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commentsmeta2"/>
  <Override ContentType="application/binary" PartName="/xl/metadata"/>
  <Override ContentType="application/binary" PartName="/xl/commentsmeta0"/>
  <Override ContentType="application/binary" PartName="/xl/commentsmeta1"/>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N" sheetId="1" r:id="rId4"/>
    <sheet state="hidden" name="Vietnamese" sheetId="2" r:id="rId5"/>
    <sheet state="hidden" name="CN" sheetId="3" r:id="rId6"/>
  </sheets>
  <definedNames>
    <definedName hidden="1" localSheetId="0" name="_xlnm._FilterDatabase">VN!$A$1:$E$1</definedName>
    <definedName hidden="1" localSheetId="1" name="_xlnm._FilterDatabase">Vietnamese!$A$1:$E$1</definedName>
    <definedName hidden="1" localSheetId="2" name="_xlnm._FilterDatabase">CN!$A$1:$X$1</definedName>
  </definedNames>
  <calcPr/>
  <extLst>
    <ext uri="GoogleSheetsCustomDataVersion2">
      <go:sheetsCustomData xmlns:go="http://customooxmlschemas.google.com/" r:id="rId7" roundtripDataChecksum="0bdjOcyTljoqwxzF6mX+x4XEji2+XKk4MnL3JjHH0kk="/>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ID#AAAByKm4hek
Admin    (2025-12-30 03:50:35)
//作物大类 区分 普通作物 母体作物 功能作物等
[普通作物:1]
[金币作物:2]
[体力作物:3]
[宝箱作物:4]
[礼包作物:5]
[占地杂物:6]
[加速作物:7]
[加量作物:8]
[拆分作物:9]
[可产出母体:10]
[不可产出母体:11]
[收纳箱作物:12]
[精灵作物:13]
[固定作物宝箱:14]
[收纳箱扩展卡:15]
[皮肤道具卡:16]
[自选奖励宝箱:17]
[特殊用途:18]
[家园道具:19]
[可重复自选奖励宝箱:20]
[拆分器道具:21]
[加速器道具:22]
[加量器道具:23]
[万花筒道具:24]
[固定升级道具:25]
[随机升级道具:26]
[魔法石:27]
[新人在线奖励礼包作物:28]
[连续登录礼包作物:29]
[免单卡:30]
[大盘鸡产出的子精灵:31]
[普通兑换卡:32]
[VIP兑换卡:33]
[团队赛道具:34]
[盲盒钥匙:35]
[盲盒碎片:36]
[盲盒手办:37]
[藏品卡:38]
[资源道具:39]
[幻灵专用放置到地块的非作物类型:40]
[资源类道具的映射:42]
[有保底的宝箱作物:43]
[超级加速器:44]
[超级加量器:45]
[超级拆分器:46]
[契约之瓶:47]
[聊天道具:48]
[乐园玩法道具:100]</t>
      </text>
    </comment>
    <comment authorId="0" ref="C1">
      <text>
        <t xml:space="preserve">======
ID#AAAByKm4heY
Admin    (2025-12-30 03:50:35)
//作物等级</t>
      </text>
    </comment>
    <comment authorId="0" ref="B1">
      <text>
        <t xml:space="preserve">======
ID#AAAByKm4heA
Admin    (2025-12-30 03:50:35)
//子类型 同类型下不同作物品种的子品种（140子类型暂时不使用）
子类型填1时特殊处理 详情界面不显示解锁进度</t>
      </text>
    </comment>
    <comment authorId="0" ref="D1">
      <text>
        <t xml:space="preserve">======
ID#AAAByKm4hd4
Admin    (2025-12-30 03:50:35)
//作物名称</t>
      </text>
    </comment>
  </commentList>
  <extLst>
    <ext uri="GoogleSheetsCustomDataVersion2">
      <go:sheetsCustomData xmlns:go="http://customooxmlschemas.google.com/" r:id="rId1" roundtripDataSignature="AMtx7miyeY+pP3bH6P+byox4H67btUU6xw=="/>
    </ext>
  </extL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B1">
      <text>
        <t xml:space="preserve">======
ID#AAAByKm4hec
Admin    (2025-12-30 03:50:35)
//子类型 同类型下不同作物品种的子品种（140子类型暂时不使用）
子类型填1时特殊处理 详情界面不显示解锁进度</t>
      </text>
    </comment>
    <comment authorId="0" ref="C1">
      <text>
        <t xml:space="preserve">======
ID#AAAByKm4heg
Admin    (2025-12-30 03:50:35)
//作物等级</t>
      </text>
    </comment>
    <comment authorId="0" ref="D1">
      <text>
        <t xml:space="preserve">======
ID#AAAByKm4heQ
Admin    (2025-12-30 03:50:35)
//作物名称</t>
      </text>
    </comment>
    <comment authorId="0" ref="A1">
      <text>
        <t xml:space="preserve">======
ID#AAAByKm4heM
Admin    (2025-12-30 03:50:35)
//作物大类 区分 普通作物 母体作物 功能作物等
[普通作物:1]
[金币作物:2]
[体力作物:3]
[宝箱作物:4]
[礼包作物:5]
[占地杂物:6]
[加速作物:7]
[加量作物:8]
[拆分作物:9]
[可产出母体:10]
[不可产出母体:11]
[收纳箱作物:12]
[精灵作物:13]
[固定作物宝箱:14]
[收纳箱扩展卡:15]
[皮肤道具卡:16]
[自选奖励宝箱:17]
[特殊用途:18]
[家园道具:19]
[可重复自选奖励宝箱:20]
[拆分器道具:21]
[加速器道具:22]
[加量器道具:23]
[万花筒道具:24]
[固定升级道具:25]
[随机升级道具:26]
[魔法石:27]
[新人在线奖励礼包作物:28]
[连续登录礼包作物:29]
[免单卡:30]
[大盘鸡产出的子精灵:31]
[普通兑换卡:32]
[VIP兑换卡:33]
[团队赛道具:34]
[盲盒钥匙:35]
[盲盒碎片:36]
[盲盒手办:37]
[藏品卡:38]
[资源道具:39]
[幻灵专用放置到地块的非作物类型:40]
[资源类道具的映射:42]
[有保底的宝箱作物:43]
[超级加速器:44]
[超级加量器:45]
[超级拆分器:46]
[契约之瓶:47]
[聊天道具:48]
[乐园玩法道具:100]</t>
      </text>
    </comment>
  </commentList>
  <extLst>
    <ext uri="GoogleSheetsCustomDataVersion2">
      <go:sheetsCustomData xmlns:go="http://customooxmlschemas.google.com/" r:id="rId1" roundtripDataSignature="AMtx7mgVKVfvNn2XtVW3vKtNbssciQhzfw=="/>
    </ext>
  </extL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
ID#AAAByKm4heU
Admin    (2025-12-30 03:50:35)
//作物大类 区分 普通作物 母体作物 功能作物等
[普通作物:1]
[金币作物:2]
[体力作物:3]
[宝箱作物:4]
[礼包作物:5]
[占地杂物:6]
[加速作物:7]
[加量作物:8]
[拆分作物:9]
[可产出母体:10]
[不可产出母体:11]
[收纳箱作物:12]
[精灵作物:13]
[固定作物宝箱:14]
[收纳箱扩展卡:15]
[皮肤道具卡:16]
[自选奖励宝箱:17]
[特殊用途:18]
[家园道具:19]
[可重复自选奖励宝箱:20]
[拆分器道具:21]
[加速器道具:22]
[加量器道具:23]
[万花筒道具:24]
[固定升级道具:25]
[随机升级道具:26]
[魔法石:27]
[新人在线奖励礼包作物:28]
[连续登录礼包作物:29]
[免单卡:30]
[大盘鸡产出的子精灵:31]
[普通兑换卡:32]
[VIP兑换卡:33]
[团队赛道具:34]
[盲盒钥匙:35]
[盲盒碎片:36]
[盲盒手办:37]
[藏品卡:38]
[资源道具:39]
[幻灵专用放置到地块的非作物类型:40]
[资源类道具的映射:42]
[有保底的宝箱作物:43]
[超级加速器:44]
[超级加量器:45]
[超级拆分器:46]
[契约之瓶:47]
[聊天道具:48]
[乐园玩法道具:100]</t>
      </text>
    </comment>
    <comment authorId="0" ref="C1">
      <text>
        <t xml:space="preserve">======
ID#AAAByKm4heE
Admin    (2025-12-30 03:50:35)
//作物等级</t>
      </text>
    </comment>
    <comment authorId="0" ref="D1">
      <text>
        <t xml:space="preserve">======
ID#AAAByKm4heI
Admin    (2025-12-30 03:50:35)
//作物名称</t>
      </text>
    </comment>
    <comment authorId="0" ref="B1">
      <text>
        <t xml:space="preserve">======
ID#AAAByKm4hd8
Admin    (2025-12-30 03:50:35)
//子类型 同类型下不同作物品种的子品种（140子类型暂时不使用）
子类型填1时特殊处理 详情界面不显示解锁进度</t>
      </text>
    </comment>
  </commentList>
  <extLst>
    <ext uri="GoogleSheetsCustomDataVersion2">
      <go:sheetsCustomData xmlns:go="http://customooxmlschemas.google.com/" r:id="rId1" roundtripDataSignature="AMtx7mhWyEUIN2kiN7bjCSBh8kl7+9RwLA=="/>
    </ext>
  </extLst>
</comments>
</file>

<file path=xl/sharedStrings.xml><?xml version="1.0" encoding="utf-8"?>
<sst xmlns="http://schemas.openxmlformats.org/spreadsheetml/2006/main" count="27705" uniqueCount="7802">
  <si>
    <t>iType</t>
  </si>
  <si>
    <t>iSonType</t>
  </si>
  <si>
    <t>iLv</t>
  </si>
  <si>
    <t>sName</t>
  </si>
  <si>
    <t>sDes</t>
  </si>
  <si>
    <t>sName GG Trans</t>
  </si>
  <si>
    <t>sDes GG Trans</t>
  </si>
  <si>
    <t>收纳箱</t>
  </si>
  <si>
    <t>一个神奇的箱子，用于存储棋盘上的东西。</t>
  </si>
  <si>
    <t>经验</t>
  </si>
  <si>
    <t>装扮值</t>
  </si>
  <si>
    <t>金币</t>
  </si>
  <si>
    <t>代表金币数值，用于技术写死</t>
  </si>
  <si>
    <t>体力</t>
  </si>
  <si>
    <t>代表体力数值，用于技术写死</t>
  </si>
  <si>
    <t>畅享卡</t>
  </si>
  <si>
    <t>获得后，直接得到一张7天的畅享卡，请于星石商城-特权功能中查看</t>
  </si>
  <si>
    <t>尊享卡</t>
  </si>
  <si>
    <t>获得后，直接得到一张30天的尊享卡，请于星石商城-特权功能中查看</t>
  </si>
  <si>
    <t>礼券（废弃）</t>
  </si>
  <si>
    <t>价值1礼券，技术写死</t>
  </si>
  <si>
    <t>能量积分</t>
  </si>
  <si>
    <t>锅炉经验</t>
  </si>
  <si>
    <t>魔法石</t>
  </si>
  <si>
    <t>双击使用，魔法石数值+1</t>
  </si>
  <si>
    <t>精灵复制体</t>
  </si>
  <si>
    <t>大盘鸡创造的复制体，双击使用技能</t>
  </si>
  <si>
    <t>普通兑换卡</t>
  </si>
  <si>
    <t>可以在商城-母体商城中兑换限时母体</t>
  </si>
  <si>
    <t>VIP兑换卡</t>
  </si>
  <si>
    <t>可以在商城-母体商城中兑换VIP母体</t>
  </si>
  <si>
    <t>成长值</t>
  </si>
  <si>
    <t>悦享卡</t>
  </si>
  <si>
    <t>获得后，直接得到一张7天的悦享卡，请于星石商城-特权功能中查看</t>
  </si>
  <si>
    <t>钥匙</t>
  </si>
  <si>
    <t>用于萌甜小美盲盒活动抽奖</t>
  </si>
  <si>
    <t>手办碎片1</t>
  </si>
  <si>
    <t>用于合成萌甜小美盲盒手办</t>
  </si>
  <si>
    <t>手办碎片2</t>
  </si>
  <si>
    <t>手办碎片3</t>
  </si>
  <si>
    <t>手办碎片4</t>
  </si>
  <si>
    <t>手办碎片5</t>
  </si>
  <si>
    <t>手办碎片6</t>
  </si>
  <si>
    <t>手办碎片7</t>
  </si>
  <si>
    <t>手办碎片8</t>
  </si>
  <si>
    <t>手办碎片9</t>
  </si>
  <si>
    <t>萌甜小美盲盒手办</t>
  </si>
  <si>
    <t>盲盒手办</t>
  </si>
  <si>
    <t>藏品卡-萌甜小美</t>
  </si>
  <si>
    <t>用于激活萌甜小美手办藏品码</t>
  </si>
  <si>
    <t>电商藏品卡-萌甜小美</t>
  </si>
  <si>
    <t>电商藏品卡-银白汤勺</t>
  </si>
  <si>
    <t>用于激活银白汤勺手办藏品码</t>
  </si>
  <si>
    <t>星石</t>
  </si>
  <si>
    <t>一种珍贵的资源</t>
  </si>
  <si>
    <t>非作物展示</t>
  </si>
  <si>
    <t>展示需要放到棋盘的非作物</t>
  </si>
  <si>
    <t>祈愿币</t>
  </si>
  <si>
    <t>活动的资源类道具，不进入棋盘地块和待入场区</t>
  </si>
  <si>
    <t>可在祈愿抽奖中进行抽奖，双击使用，祈愿币数值+1</t>
  </si>
  <si>
    <t>魔法硬币</t>
  </si>
  <si>
    <t>可用于魔法商城购买道具</t>
  </si>
  <si>
    <t>纸鸢</t>
  </si>
  <si>
    <t>可用于给好友寄售商品</t>
  </si>
  <si>
    <t>商券</t>
  </si>
  <si>
    <t>可用于在市集发布委托</t>
  </si>
  <si>
    <t>骰子</t>
  </si>
  <si>
    <t>可以在大富翁活动中使用</t>
  </si>
  <si>
    <t>藏品卡-风信礼遇使</t>
  </si>
  <si>
    <t>用于激活风信礼遇使藏品码</t>
  </si>
  <si>
    <t>契约之瓶</t>
  </si>
  <si>
    <t>双击可打开，拖拽精灵可放入取出</t>
  </si>
  <si>
    <t>魔法碎晶</t>
  </si>
  <si>
    <t>用于魔法汤锅添加魔法燃料</t>
  </si>
  <si>
    <t>茶社币</t>
  </si>
  <si>
    <t>可用于茶社星光杂货铺购物</t>
  </si>
  <si>
    <t>织玉扣</t>
  </si>
  <si>
    <t>可以用于星石商城-兑换分页里，兑换想要的皮肤~</t>
  </si>
  <si>
    <t>喵爪贝</t>
  </si>
  <si>
    <t>时光喵精灵幻化时的必需材料</t>
  </si>
  <si>
    <t>琉璃羽</t>
  </si>
  <si>
    <t>果汁鸟精灵幻化时的必需材料</t>
  </si>
  <si>
    <t>赤莓翎</t>
  </si>
  <si>
    <t>草莓精灵幻化时的必需材料</t>
  </si>
  <si>
    <t>桃绒团</t>
  </si>
  <si>
    <t>玫瑰金精灵幻化时的必需材料</t>
  </si>
  <si>
    <t>镭骨棒</t>
  </si>
  <si>
    <t>菜菜狗精灵幻化时的必需材料</t>
  </si>
  <si>
    <t>萝卜糖</t>
  </si>
  <si>
    <t>兔兔精灵幻化时的必需材料</t>
  </si>
  <si>
    <t>珊瑚螺</t>
  </si>
  <si>
    <t>拆拆蟹精灵幻化时的必需材料</t>
  </si>
  <si>
    <t>翡翠笋</t>
  </si>
  <si>
    <t>壕小熊精灵幻化时的必需材料</t>
  </si>
  <si>
    <t>糖星蛋</t>
  </si>
  <si>
    <t>大盘鸡精灵幻化时的必需材料</t>
  </si>
  <si>
    <t>粉晶鳞</t>
  </si>
  <si>
    <t>甜菜鱼精灵幻化时的必需材料</t>
  </si>
  <si>
    <t>灵犀木</t>
  </si>
  <si>
    <t>星晖幻灵概率+3%，月曜幻灵概率+1%。若未幻化到月曜幻灵，增加2点幸运值</t>
  </si>
  <si>
    <t>吉祥玉</t>
  </si>
  <si>
    <t>星晖幻灵概率+6%，月曜幻灵概率+2%。若未幻化到月曜幻灵，增加5点幸运值</t>
  </si>
  <si>
    <t>瑞兽骨</t>
  </si>
  <si>
    <t>星晖幻灵概率+9%，月曜幻灵概率+3%。若未幻化到月曜幻灵，增加10点幸运值</t>
  </si>
  <si>
    <t>月砂</t>
  </si>
  <si>
    <t>1星和2星月曜幻灵的升星材料</t>
  </si>
  <si>
    <t>月魄</t>
  </si>
  <si>
    <t>3星和4星月曜幻灵的升星材料</t>
  </si>
  <si>
    <t>精力</t>
  </si>
  <si>
    <t>精灵旅行需要消耗的精力</t>
  </si>
  <si>
    <t>短途车票</t>
  </si>
  <si>
    <t>前往同城市群内的城市需要消耗此车票</t>
  </si>
  <si>
    <t>长途车票</t>
  </si>
  <si>
    <t>前往不同城市群内的城市需要消耗此车票</t>
  </si>
  <si>
    <t>载客车厢</t>
  </si>
  <si>
    <t>精灵旅列增加一节车厢</t>
  </si>
  <si>
    <t>旅行经验</t>
  </si>
  <si>
    <t>旅行后获得的经验，可以提升列车等级</t>
  </si>
  <si>
    <t>旅行点数</t>
  </si>
  <si>
    <t>旅行后获得的点数，可以于纪念品商店兑换奖励</t>
  </si>
  <si>
    <t>1点精力</t>
  </si>
  <si>
    <t>双击使用后，可以获得1点列车精力，请于列车场景查看</t>
  </si>
  <si>
    <t>2点精力</t>
  </si>
  <si>
    <t>双击使用后，可以获得2点列车精力，请于列车场景查看</t>
  </si>
  <si>
    <t>4点精力</t>
  </si>
  <si>
    <t>双击使用后，可以获得4点列车精力，请于列车场景查看</t>
  </si>
  <si>
    <t>8点精力</t>
  </si>
  <si>
    <t>双击使用后，可以获得8点列车精力，请于列车场景查看</t>
  </si>
  <si>
    <t>1张短途车票</t>
  </si>
  <si>
    <t>双击使用后，可以获得1张短途车票，请于列车场景查看</t>
  </si>
  <si>
    <t>5张短途车票</t>
  </si>
  <si>
    <t>双击使用后，可以获得5张短途车票，请于列车场景查看</t>
  </si>
  <si>
    <t>1张长途车票</t>
  </si>
  <si>
    <t>双击使用后，可以获得1张长途车票，请于列车场景查看</t>
  </si>
  <si>
    <t>5张长途车票</t>
  </si>
  <si>
    <t>双击使用后，可以获得5张长途车票，请于列车场景查看</t>
  </si>
  <si>
    <t>1星百变卡</t>
  </si>
  <si>
    <t>列车玩法中代替订单相片消耗，请于列车-手账-背包查看</t>
  </si>
  <si>
    <t>2星百变卡</t>
  </si>
  <si>
    <t>3星百变卡</t>
  </si>
  <si>
    <t>4星百变卡</t>
  </si>
  <si>
    <t>5星百变卡</t>
  </si>
  <si>
    <t>圣诞之雪</t>
  </si>
  <si>
    <t>双击使用，庭院-圣诞之雪庭院皮肤收集进度+1</t>
  </si>
  <si>
    <t>卯兔迎春</t>
  </si>
  <si>
    <t>双击使用，庭院-卯兔迎春庭院皮肤收集进度+1</t>
  </si>
  <si>
    <t>国风赵小姐</t>
  </si>
  <si>
    <t>双击使用，国风赵小姐皮肤收集进度+1</t>
  </si>
  <si>
    <t>兔头鹅脑</t>
  </si>
  <si>
    <t>双击使用，兔头鹅脑皮肤收集进度+1</t>
  </si>
  <si>
    <t>圣诞赐福妖精</t>
  </si>
  <si>
    <t>双击使用，风信子—圣诞赐福妖精皮肤收集进度+1</t>
  </si>
  <si>
    <t>兔年风信子</t>
  </si>
  <si>
    <t>双击使用，风信子—兔年使者皮肤收集进度+1</t>
  </si>
  <si>
    <t>童年玩具箱</t>
  </si>
  <si>
    <t>双击使用，收纳箱—童年玩具箱皮肤收集进度+1</t>
  </si>
  <si>
    <t>圣诞礼物盒</t>
  </si>
  <si>
    <t>双击使用，收纳箱-圣诞礼物盒皮肤收集进度+1</t>
  </si>
  <si>
    <t>圣诞精灵犬</t>
  </si>
  <si>
    <t>双击使用，菜菜狗-圣诞精灵犬皮肤收集进度+1</t>
  </si>
  <si>
    <t>兔年聚宝盆</t>
  </si>
  <si>
    <t>双击使用，收纳箱-兔年聚宝盆皮肤收集进度+1</t>
  </si>
  <si>
    <t>樱粉皇妃鸟</t>
  </si>
  <si>
    <t>双击使用，果汁鸟-樱粉皇妃鸟皮肤收集进度+1</t>
  </si>
  <si>
    <t>藏青女仆咩</t>
  </si>
  <si>
    <t>双击使用，玫瑰金-藏青女仆咩皮肤收集进度+1</t>
  </si>
  <si>
    <t>海蓝水手蟹</t>
  </si>
  <si>
    <t>双击使用，拆拆蟹-海蓝水手蟹皮肤收集进度+1</t>
  </si>
  <si>
    <t>都市塑形馆</t>
  </si>
  <si>
    <t>双击使用，庭院-都市塑形馆庭院皮肤收集进度+1</t>
  </si>
  <si>
    <t>风荷曲院</t>
  </si>
  <si>
    <t>双击使用，庭院-风荷曲院庭院皮肤收集进度+1</t>
  </si>
  <si>
    <t>水晶葡萄喵</t>
  </si>
  <si>
    <t>双击使用，葡萄喵-水晶葡萄喵皮肤收集进度+1</t>
  </si>
  <si>
    <t>巧克力公主兔</t>
  </si>
  <si>
    <t>双击使用，兔精灵-巧克力公主兔皮肤收集进度+1</t>
  </si>
  <si>
    <t>北国城堡</t>
  </si>
  <si>
    <t>双击使用，庭院-北国城堡庭院皮肤收集进度+1</t>
  </si>
  <si>
    <t>小龙藏宝室</t>
  </si>
  <si>
    <t>双击使用，收纳箱-小龙藏宝室皮肤收集进度+1</t>
  </si>
  <si>
    <t>龙女迎春</t>
  </si>
  <si>
    <t>双击使用，风信子-龙女迎春皮肤收集进度+1</t>
  </si>
  <si>
    <t>瑞气庆云宫</t>
  </si>
  <si>
    <t>双击使用，庭院-瑞气庆云宫皮肤收集进度+1</t>
  </si>
  <si>
    <t>冰淇淋糖果城堡</t>
  </si>
  <si>
    <t>双击使用，庭院-冰淇淋糖果城堡皮肤收集进度+1</t>
  </si>
  <si>
    <t>五福临门汪</t>
  </si>
  <si>
    <t>双击使用，菜菜狗-五福临门汪皮肤收集进度+1</t>
  </si>
  <si>
    <t>招财进宝蟹</t>
  </si>
  <si>
    <t>双击使用，拆拆蟹-招财进宝蟹皮肤收集进度+1</t>
  </si>
  <si>
    <t>喜洋洋大肥鸽</t>
  </si>
  <si>
    <t>双击使用，果汁鸟-喜洋洋大肥鸽皮肤收集进度+1</t>
  </si>
  <si>
    <t>沃贞的慧蟹</t>
  </si>
  <si>
    <t>双击使用，拆拆蟹-沃贞的慧蟹皮肤收集进度+1</t>
  </si>
  <si>
    <t>甜心小精灵</t>
  </si>
  <si>
    <t>双击使用，甜菜鱼-甜心小精灵皮肤收集进度+1</t>
  </si>
  <si>
    <t>绵绵绯舞姬</t>
  </si>
  <si>
    <t>双击使用，玫瑰金-绵绵绯舞姬皮肤收集进度+1</t>
  </si>
  <si>
    <t>熊熊的少女心</t>
  </si>
  <si>
    <t>双击使用，壕小熊-熊熊的少女心皮肤收集进度+1</t>
  </si>
  <si>
    <t>时计小女巫</t>
  </si>
  <si>
    <t>双击使用，时光喵-时计小女巫皮肤收集进度+1</t>
  </si>
  <si>
    <t>小美二周年</t>
  </si>
  <si>
    <t>双击使用，庭院-小美二周年皮肤收集进度+1</t>
  </si>
  <si>
    <t>逐梦绿茵场</t>
  </si>
  <si>
    <t>双击使用，庭院-逐梦绿茵场皮肤收集进度+1</t>
  </si>
  <si>
    <t>远山龙舟竞</t>
  </si>
  <si>
    <t>双击使用，庭院-远山龙舟竞皮肤收集进度+1</t>
  </si>
  <si>
    <t>夏日激凉水乐园</t>
  </si>
  <si>
    <t>双击使用，庭院-夏日激凉水乐园皮肤收集进度+1</t>
  </si>
  <si>
    <t>在天愿做比翼鸟</t>
  </si>
  <si>
    <t>双击使用，庭院-在天愿做比翼鸟皮肤收集进度+1</t>
  </si>
  <si>
    <t>原木置物架</t>
  </si>
  <si>
    <t>双击使用，小店-原木置物架皮肤收集进度+1</t>
  </si>
  <si>
    <t>萌偶百宝柜</t>
  </si>
  <si>
    <t>双击使用，小店-萌偶百宝柜皮肤收集进度+1</t>
  </si>
  <si>
    <t>香颂面包屋</t>
  </si>
  <si>
    <t>双击使用，小店-香颂面包屋皮肤收集进度+1</t>
  </si>
  <si>
    <t>七十五周年国庆</t>
  </si>
  <si>
    <t>双击使用，庭院-七十五周年国庆皮肤收集进度+1</t>
  </si>
  <si>
    <t>天府之国</t>
  </si>
  <si>
    <t>双击使用，庭院-天府之国皮肤收集进度+1</t>
  </si>
  <si>
    <t>银白汤勺</t>
  </si>
  <si>
    <t>双击使用，汤勺-银白汤勺皮肤收集进度+1</t>
  </si>
  <si>
    <t>叶落知秋</t>
  </si>
  <si>
    <t>双击使用，庭院-叶落知秋皮肤收集进度+1</t>
  </si>
  <si>
    <t>精灵之森</t>
  </si>
  <si>
    <t>双击使用，庭院-精灵之森皮肤收集进度+1</t>
  </si>
  <si>
    <t>午夜黑大帅</t>
  </si>
  <si>
    <t>双击使用，果汁鸟-午夜黑大帅皮肤收集进度+1</t>
  </si>
  <si>
    <t>丝娇白蕊鸟</t>
  </si>
  <si>
    <t>双击使用，草莓鸟-丝娇白蕊鸟皮肤收集进度+1</t>
  </si>
  <si>
    <t>雪锦绒</t>
  </si>
  <si>
    <t>双击使用，菜菜狗-雪锦绒皮肤收集进度+1</t>
  </si>
  <si>
    <t>咕噜咕噜魔力屋</t>
  </si>
  <si>
    <t>双击使用，小店-咕噜咕噜魔力屋皮肤收集进度+1</t>
  </si>
  <si>
    <t>财神爷聚宝盆</t>
  </si>
  <si>
    <t>双击使用，收纳箱-财神爷聚宝盆皮肤收集进度+1</t>
  </si>
  <si>
    <t>宫梅映雪</t>
  </si>
  <si>
    <t>双击使用，庭院-宫梅映雪皮肤收集进度+1</t>
  </si>
  <si>
    <t>醒狮贺岁</t>
  </si>
  <si>
    <t>双击使用，庭院-醒狮贺岁皮肤收集进度+1</t>
  </si>
  <si>
    <t>芭蕾小仙子</t>
  </si>
  <si>
    <t>双击使用，葡啾啾-芭蕾小仙子皮肤收集进度+1</t>
  </si>
  <si>
    <t>舞狮小财神</t>
  </si>
  <si>
    <t>双击使用，喵团团-舞狮小财神皮肤收集进度+1</t>
  </si>
  <si>
    <t>郁见倾心</t>
  </si>
  <si>
    <t>双击使用，庭院-郁见倾心皮肤收集进度+1</t>
  </si>
  <si>
    <t>幽林花屉</t>
  </si>
  <si>
    <t>双击使用，收纳箱-幽林花屉皮肤收集进度+1</t>
  </si>
  <si>
    <t>冰蓝魔魅</t>
  </si>
  <si>
    <t>双击使用，风信子-冰蓝魔魅皮肤收集进度+1</t>
  </si>
  <si>
    <t>密林山野</t>
  </si>
  <si>
    <t>双击使用，庭院-密林山野皮肤收集进度+1</t>
  </si>
  <si>
    <t>历新世界</t>
  </si>
  <si>
    <t>双击使用，庭院-历新世界皮肤收集进度+1</t>
  </si>
  <si>
    <t>海底龙宫</t>
  </si>
  <si>
    <t>双击使用，庭院-海底龙宫皮肤收集进度+1</t>
  </si>
  <si>
    <t>林氏庄园</t>
  </si>
  <si>
    <t>双击使用，庭院-林氏庄园皮肤收集进度+1</t>
  </si>
  <si>
    <t>小美三周年</t>
  </si>
  <si>
    <t>双击使用，庭院-小美三周年皮肤收集进度+1</t>
  </si>
  <si>
    <t>夜宴明珠</t>
  </si>
  <si>
    <t>双击使用，风信子-夜宴明珠皮肤收集进度+1</t>
  </si>
  <si>
    <t>欢聚蛋糕屋</t>
  </si>
  <si>
    <t>双击使用，小店-欢聚蛋糕屋皮肤收集进度+1</t>
  </si>
  <si>
    <t>萨卡班甲鱼</t>
  </si>
  <si>
    <t>双击使用，甜菜鱼-萨卡班甲鱼皮肤收集进度+1</t>
  </si>
  <si>
    <t>假面舞会</t>
  </si>
  <si>
    <t>双击使用，庭院-假面舞会皮肤皮肤收集进度+1</t>
  </si>
  <si>
    <t>自动贩卖机</t>
  </si>
  <si>
    <t>双击使用，小店-自动贩卖机皮肤皮肤收集进度+1</t>
  </si>
  <si>
    <t>星之湖</t>
  </si>
  <si>
    <t>双击使用，契约之瓶-星之湖皮肤皮肤收集进度+1</t>
  </si>
  <si>
    <t>考古营地</t>
  </si>
  <si>
    <t>双击使用，庭院-考古营地皮肤皮肤收集进度+1</t>
  </si>
  <si>
    <t>猎心小恶魔</t>
  </si>
  <si>
    <t>双击使用，风信子-猎心小恶魔皮肤皮肤收集进度+1</t>
  </si>
  <si>
    <t>绘梦速写师</t>
  </si>
  <si>
    <t>双击使用，莓果果-绘梦速写师皮肤收集进度+1</t>
  </si>
  <si>
    <t>茶花女王</t>
  </si>
  <si>
    <t>双击使用，玫绯绯-茶花女王皮肤收集进度+1</t>
  </si>
  <si>
    <t>烟火大会</t>
  </si>
  <si>
    <t>双击使用，庭院-烟火大会皮肤收集进度+1</t>
  </si>
  <si>
    <t>泳池派对</t>
  </si>
  <si>
    <t>双击使用，庭院-泳池派对皮肤收集进度+1</t>
  </si>
  <si>
    <t>凝霜覆雪底座</t>
  </si>
  <si>
    <t>双击使用，底座-凝霜覆雪底座皮肤收集进度+1</t>
  </si>
  <si>
    <t>凝霜覆雪井</t>
  </si>
  <si>
    <t>双击使用，汤锅-凝霜覆雪井皮肤收集进度+1</t>
  </si>
  <si>
    <t>凝霜覆雪勺</t>
  </si>
  <si>
    <t>双击使用，汤勺-凝霜覆雪勺皮肤收集进度+1</t>
  </si>
  <si>
    <t>寒霜之瓶</t>
  </si>
  <si>
    <t>双击使用，契约之瓶-寒霜之瓶皮肤收集进度+1</t>
  </si>
  <si>
    <t>金葫侠客</t>
  </si>
  <si>
    <t>双击使用，壕小熊-金葫侠客皮肤收集进度+1</t>
  </si>
  <si>
    <t>诡秘红月</t>
  </si>
  <si>
    <t>双击使用，庭院-诡秘红月皮肤收集进度+1</t>
  </si>
  <si>
    <t>兔耳信使</t>
  </si>
  <si>
    <t>双击使用，萝茵茵-兔耳信使皮肤收集进度+1</t>
  </si>
  <si>
    <t>白帽绅士</t>
  </si>
  <si>
    <t>双击使用，汪睿睿-白帽绅士皮肤收集进度+1</t>
  </si>
  <si>
    <t>佳节共庆</t>
  </si>
  <si>
    <t>双击使用，庭院-佳节共庆皮肤收集进度+1</t>
  </si>
  <si>
    <t>呱叽呱叽</t>
  </si>
  <si>
    <t>双击使用，大盘鸡-呱叽呱叽皮肤收集进度+1</t>
  </si>
  <si>
    <t>萌兔手作Live秀</t>
  </si>
  <si>
    <t>双击使用，庭院-萌兔手作Live秀皮肤收集进度+1</t>
  </si>
  <si>
    <t>冰雪庄园</t>
  </si>
  <si>
    <t>双击使用，庭院-冰雪庄园皮肤收集进度+1</t>
  </si>
  <si>
    <t>海边小确幸</t>
  </si>
  <si>
    <t>双击使用，庭院-海边小确幸皮肤收集进度+1</t>
  </si>
  <si>
    <t>圣诞星熊仔</t>
  </si>
  <si>
    <t>双击使用，壕小熊-圣诞星熊仔皮肤收集进度+1</t>
  </si>
  <si>
    <t>小狐的环球漂流</t>
  </si>
  <si>
    <t>双击使用，加量器-小狐的环球漂流皮肤收集进度+1</t>
  </si>
  <si>
    <t>顾客皮肤礼包</t>
  </si>
  <si>
    <t>双击后概率产出顾客皮肤道具</t>
  </si>
  <si>
    <t>精灵皮肤礼包</t>
  </si>
  <si>
    <t>双击后概率产出精灵皮肤道具</t>
  </si>
  <si>
    <t>庭院皮肤礼包</t>
  </si>
  <si>
    <t>双击后概率产出庭院皮肤道具</t>
  </si>
  <si>
    <t>糖果礼包</t>
  </si>
  <si>
    <t>双击后概率产出各种道具</t>
  </si>
  <si>
    <t>小美皮肤大礼包</t>
  </si>
  <si>
    <t>双击，打开后选择奖励，完成后场地上单击产出已选奖励。</t>
  </si>
  <si>
    <t>小美皮肤礼包</t>
  </si>
  <si>
    <t>小美的感谢大礼包</t>
  </si>
  <si>
    <t>精灵奇遇记皮肤礼包</t>
  </si>
  <si>
    <t>双击后概率产出皮肤道具</t>
  </si>
  <si>
    <t>小美究极至尊大礼包</t>
  </si>
  <si>
    <t>双击可获得4个织玉扣，可于星石商城-兑换中兑换自选皮肤</t>
  </si>
  <si>
    <t>小美巅峰大礼包</t>
  </si>
  <si>
    <t>双击可获得3个织玉扣，可于星石商城-兑换中兑换自选皮肤</t>
  </si>
  <si>
    <t>小美王者礼包</t>
  </si>
  <si>
    <t>双击可获得2个织玉扣，可于星石商城-兑换中兑换自选皮肤</t>
  </si>
  <si>
    <t>兔子方包</t>
  </si>
  <si>
    <t>长着兔耳朵和兔尾巴的包包。合成可获得萌兔。</t>
  </si>
  <si>
    <t>萌兔</t>
  </si>
  <si>
    <t>萌萌的小兔，最治愈了。合成可获得贪吃兔。</t>
  </si>
  <si>
    <t>贪吃兔</t>
  </si>
  <si>
    <t>一根胡萝卜，就是一切。合成可获得发呆小兔。</t>
  </si>
  <si>
    <t>发呆小兔</t>
  </si>
  <si>
    <t>正在发呆的兔子。合成可获得蝴蝶结小兔。</t>
  </si>
  <si>
    <t>S</t>
  </si>
  <si>
    <t>蝴蝶结小兔</t>
  </si>
  <si>
    <t>带着蝴蝶结的小兔子。合成可获得开心小兔。</t>
  </si>
  <si>
    <t>开心小兔</t>
  </si>
  <si>
    <t>什么都有了，还有什么不开心呢？合成可获得胡萝卜小兔</t>
  </si>
  <si>
    <t>胡萝卜小兔</t>
  </si>
  <si>
    <t>胡萝卜是它的最爱。合成可获得优雅小兔。</t>
  </si>
  <si>
    <t>优雅小兔</t>
  </si>
  <si>
    <t>像淑女一般优雅。合成可获得高贵小兔。</t>
  </si>
  <si>
    <t>高贵小兔</t>
  </si>
  <si>
    <t>端正庄重。合成可获得爱之兔。</t>
  </si>
  <si>
    <t>爱之兔</t>
  </si>
  <si>
    <t>兔兔爱你呦。合成可获得兔兔精灵碎片。</t>
  </si>
  <si>
    <t>兔兔精灵碎片</t>
  </si>
  <si>
    <t>两个兔兔精灵碎片合成，有几率捕获精灵哦。</t>
  </si>
  <si>
    <t>兔兔精灵</t>
  </si>
  <si>
    <t>机灵可爱的我，你值得拥有！</t>
  </si>
  <si>
    <t>破损手套</t>
  </si>
  <si>
    <t>已不能使用。合成可获得凑合手套</t>
  </si>
  <si>
    <t>凑合手套</t>
  </si>
  <si>
    <t>有破洞但还能用，合成可获得单个手套</t>
  </si>
  <si>
    <t>单个手套</t>
  </si>
  <si>
    <t>孤单的手套。合成可获得一双手套。</t>
  </si>
  <si>
    <t>一双手套</t>
  </si>
  <si>
    <t>一双手套，相互依靠。合成可获得精致手套。</t>
  </si>
  <si>
    <t>精致手套</t>
  </si>
  <si>
    <t>外观精致的手套，合成可获得线装手套。</t>
  </si>
  <si>
    <t>线装手套</t>
  </si>
  <si>
    <t>手套的线脚多漂亮啊。合成可获得华丽手套。</t>
  </si>
  <si>
    <t>华丽手套</t>
  </si>
  <si>
    <t>最华丽的手套，没有之一。合成可获得紫皮手套。</t>
  </si>
  <si>
    <t>紫皮手套</t>
  </si>
  <si>
    <t>据说紫皮是高科技材料呢。合成可获得羽绒手套。</t>
  </si>
  <si>
    <t>羽绒手套</t>
  </si>
  <si>
    <t>非常保暖。合成可获得盒装手套。</t>
  </si>
  <si>
    <t>盒装手套</t>
  </si>
  <si>
    <t>价格昂贵的奢华手套。已升至最高级。</t>
  </si>
  <si>
    <t>扫帚</t>
  </si>
  <si>
    <t>小美家的扫帚。合成可获得钢制抓手。</t>
  </si>
  <si>
    <t>钢制抓手</t>
  </si>
  <si>
    <t>纯钢打造的抓手，抓力惊人。合成可获得老虎钳子。</t>
  </si>
  <si>
    <t>老虎钳子</t>
  </si>
  <si>
    <t>老虎钳子的杠杆之力，剪碎一切。合成可获得铁锹。</t>
  </si>
  <si>
    <t>铁锹</t>
  </si>
  <si>
    <t>种花种草，必不可少。合成可获得铁桶。</t>
  </si>
  <si>
    <t>铁桶</t>
  </si>
  <si>
    <t>能装许多水。合成可获得花洒。</t>
  </si>
  <si>
    <t>花洒</t>
  </si>
  <si>
    <t>带一个门把手的精致花洒。合成可获得铁耙</t>
  </si>
  <si>
    <t>铁耙</t>
  </si>
  <si>
    <t>尖牙闪闪发光。合成可获得镐子。</t>
  </si>
  <si>
    <t>镐子</t>
  </si>
  <si>
    <t>很有用的工具。合成可获得推车。</t>
  </si>
  <si>
    <t>推车</t>
  </si>
  <si>
    <t>能方便地运载许多东西。合成可获得自动喷洒器。</t>
  </si>
  <si>
    <t>自动喷洒器</t>
  </si>
  <si>
    <t>革命性的机器，这下人就能休息啦。已升至最高等级。</t>
  </si>
  <si>
    <t>普通口罩</t>
  </si>
  <si>
    <t>常见的口罩。合成可获得N95口罩。</t>
  </si>
  <si>
    <t>N95口罩</t>
  </si>
  <si>
    <t>防护力一流的口罩。合成可获得医用口罩。</t>
  </si>
  <si>
    <t>医用口罩</t>
  </si>
  <si>
    <t>医生专用口罩，阻隔病毒，非它莫属。合成可获得一包口罩。</t>
  </si>
  <si>
    <t>一包口罩</t>
  </si>
  <si>
    <t>装有许多医用口罩。合成可得一大包口罩。</t>
  </si>
  <si>
    <t>一大包口罩</t>
  </si>
  <si>
    <t>记得多存点，以备不时之需。合成可获得护目镜。</t>
  </si>
  <si>
    <t>护目镜</t>
  </si>
  <si>
    <t>医用款式，隔绝病毒。合成可获得精良护目镜。</t>
  </si>
  <si>
    <t>精良护目镜</t>
  </si>
  <si>
    <t>制作精良，安全性有保障。合成可获得先进护目镜。</t>
  </si>
  <si>
    <t>先进护目镜</t>
  </si>
  <si>
    <t>由先进技术制造。合成可获得头戴式面罩。</t>
  </si>
  <si>
    <t>头戴式面罩</t>
  </si>
  <si>
    <t>无死角防护，一看就给人信心。合成可获得完美面罩。</t>
  </si>
  <si>
    <t>完美面罩</t>
  </si>
  <si>
    <t>顶级装备，值得信赖。已升至最高级。</t>
  </si>
  <si>
    <t>半块西瓜</t>
  </si>
  <si>
    <t>甜甜的半块西瓜。合成可获得一角西瓜。</t>
  </si>
  <si>
    <t>一角西瓜</t>
  </si>
  <si>
    <t>某个西瓜，切下一角。合成可获得半颗西瓜。</t>
  </si>
  <si>
    <t>半颗西瓜</t>
  </si>
  <si>
    <t>被谁切开一半的西瓜。合成可获得大半颗西瓜。</t>
  </si>
  <si>
    <t>大半颗西瓜</t>
  </si>
  <si>
    <t>汁水鲜嫩。合成可获得大大半颗西瓜。</t>
  </si>
  <si>
    <t>大大半颗西瓜</t>
  </si>
  <si>
    <t>每一口都汁水四溢。合成可获得大西瓜。</t>
  </si>
  <si>
    <t>大西瓜</t>
  </si>
  <si>
    <t>庭院土地上长出的大西瓜。合成可获得一颗半西瓜。</t>
  </si>
  <si>
    <t>一颗半西瓜</t>
  </si>
  <si>
    <t>多的一颗可以带回家吃。合成可获得西瓜和西瓜汁。</t>
  </si>
  <si>
    <t>西瓜和西瓜汁</t>
  </si>
  <si>
    <t>一边吃瓜，一边畅饮。合成可获得西瓜拼盘。</t>
  </si>
  <si>
    <t>西瓜拼盘</t>
  </si>
  <si>
    <t>里面的小果实很好吃哦。合成可获得西瓜大杂烩。</t>
  </si>
  <si>
    <t>西瓜大杂烩</t>
  </si>
  <si>
    <t>夏日就应该这样度过！已升至最高等级。</t>
  </si>
  <si>
    <t>玫瑰花瓣</t>
  </si>
  <si>
    <t>一片玫瑰花瓣。合成可获得玫瑰花瓣堆。</t>
  </si>
  <si>
    <t>玫瑰花瓣堆</t>
  </si>
  <si>
    <t>一堆玫瑰花瓣。合成可获得玫瑰花骨朵。</t>
  </si>
  <si>
    <t>玫瑰花骨朵</t>
  </si>
  <si>
    <t>含苞待放的玫瑰。合成可获得绽放玫瑰。</t>
  </si>
  <si>
    <t>绽放玫瑰</t>
  </si>
  <si>
    <t>尽情释放的玫瑰花。合成可获得双色玫瑰。</t>
  </si>
  <si>
    <t>双色玫瑰</t>
  </si>
  <si>
    <t>两种颜色的神奇玫瑰花。合成可获得安静的玫瑰。</t>
  </si>
  <si>
    <t>安静的玫瑰</t>
  </si>
  <si>
    <t>充满沉静之美的玫瑰花。合成可获得铿锵玫瑰。</t>
  </si>
  <si>
    <t>铿锵玫瑰</t>
  </si>
  <si>
    <t>风雨彩虹，铿锵玫瑰。合成可获得花瓶与玫瑰。</t>
  </si>
  <si>
    <t>花瓶与玫瑰</t>
  </si>
  <si>
    <t>花瓶与玫瑰，良配。合成可获得一簇玫瑰花。</t>
  </si>
  <si>
    <t>一簇玫瑰花</t>
  </si>
  <si>
    <t>一簇娇艳欲滴的玫瑰花。合成可获得玫瑰精灵碎片。</t>
  </si>
  <si>
    <t>玫瑰精灵碎片</t>
  </si>
  <si>
    <t>两个玫瑰精灵碎片合成，有几率捕获精灵哦。</t>
  </si>
  <si>
    <t>玫瑰金精灵</t>
  </si>
  <si>
    <t>咻咻咻~浑身都是金币的味道。</t>
  </si>
  <si>
    <t>1个金币</t>
  </si>
  <si>
    <t>双击后获得1个金币。合成可达到更高等级。</t>
  </si>
  <si>
    <t>2个金币</t>
  </si>
  <si>
    <t>双击后获得2个金币。合成可达到更高等级。</t>
  </si>
  <si>
    <t>4个金币</t>
  </si>
  <si>
    <t>双击后获得4个金币。合成可达到更高等级。</t>
  </si>
  <si>
    <t>8个金币</t>
  </si>
  <si>
    <t>双击后获得8个金币。合成可达到更高等级。</t>
  </si>
  <si>
    <t>16个金币</t>
  </si>
  <si>
    <t>双击后获得16个金币。合成可达到更高等级。</t>
  </si>
  <si>
    <t>32个金币</t>
  </si>
  <si>
    <t>双击后获得32个金币。已达到最高等级。</t>
  </si>
  <si>
    <t>50个金币</t>
  </si>
  <si>
    <t>双击后获得50个金币。已达到最高等级。</t>
  </si>
  <si>
    <t>1个金币（盲盒）</t>
  </si>
  <si>
    <t>2个金币（盲盒）</t>
  </si>
  <si>
    <t>4个金币（盲盒）</t>
  </si>
  <si>
    <t>8个金币（盲盒）</t>
  </si>
  <si>
    <t>16个金币（盲盒）</t>
  </si>
  <si>
    <t>32个金币（盲盒）</t>
  </si>
  <si>
    <t>400个金币</t>
  </si>
  <si>
    <t>双击后获得400个金币。</t>
  </si>
  <si>
    <t>300个金币</t>
  </si>
  <si>
    <t>双击后获得300个金币。</t>
  </si>
  <si>
    <t>100个金币</t>
  </si>
  <si>
    <t>双击后获得100个金币。</t>
  </si>
  <si>
    <t>150个金币</t>
  </si>
  <si>
    <t>双击后获得150个金币。</t>
  </si>
  <si>
    <t>500个金币</t>
  </si>
  <si>
    <t>双击后获得500个金币。</t>
  </si>
  <si>
    <t>2000个金币</t>
  </si>
  <si>
    <t>双击后获得2000个金币。</t>
  </si>
  <si>
    <t>1000个金币</t>
  </si>
  <si>
    <t>双击后获得1000个金币。</t>
  </si>
  <si>
    <t>5000个金币</t>
  </si>
  <si>
    <t>双击后获得5000个金币。</t>
  </si>
  <si>
    <t>1级蛋壳</t>
  </si>
  <si>
    <t>双击后获得20金币</t>
  </si>
  <si>
    <t>2级蛋壳</t>
  </si>
  <si>
    <t>双击后获得40金币</t>
  </si>
  <si>
    <t>3级蛋壳</t>
  </si>
  <si>
    <t>双击后获得60金币</t>
  </si>
  <si>
    <t>4级蛋壳</t>
  </si>
  <si>
    <t>双击后获得80金币</t>
  </si>
  <si>
    <t>5级蛋壳</t>
  </si>
  <si>
    <t>双击后获得120金币</t>
  </si>
  <si>
    <t>星晖蛋壳</t>
  </si>
  <si>
    <t>双击后获得200金币</t>
  </si>
  <si>
    <t>月曜蛋壳</t>
  </si>
  <si>
    <t>1点体力</t>
  </si>
  <si>
    <t>双击后获得1点体力。合成可达到更高等级。</t>
  </si>
  <si>
    <t>2点体力</t>
  </si>
  <si>
    <t>双击后获得2点体力。合成可达到更高等级。</t>
  </si>
  <si>
    <t>4点体力</t>
  </si>
  <si>
    <t>双击后获得4点体力。合成可达到更高等级。</t>
  </si>
  <si>
    <t>8点体力</t>
  </si>
  <si>
    <t>双击后获得8点体力。合成可达到更高等级。</t>
  </si>
  <si>
    <t>16点体力</t>
  </si>
  <si>
    <t>双击后获得16点体力。合成可达到更高等级。</t>
  </si>
  <si>
    <t>32点体力</t>
  </si>
  <si>
    <t>双击后获得32点体力。已升至最高级。</t>
  </si>
  <si>
    <t>20体力</t>
  </si>
  <si>
    <t>双击后获得20点体力</t>
  </si>
  <si>
    <t>50体力</t>
  </si>
  <si>
    <t>双击后获得50点体力</t>
  </si>
  <si>
    <t>100体力</t>
  </si>
  <si>
    <t>双击后获得100点体力</t>
  </si>
  <si>
    <t>格子扩展卡</t>
  </si>
  <si>
    <t>双击后增加收纳箱或契约之瓶一个格子，满时转化为金币。</t>
  </si>
  <si>
    <t>免单卡</t>
  </si>
  <si>
    <t>消耗庭院格子上的免单卡可完成拼拼乐中的任意订单。</t>
  </si>
  <si>
    <t>限时免单卡</t>
  </si>
  <si>
    <t>地契道具卡</t>
  </si>
  <si>
    <t>解锁家园地块所需的道具，双击使用</t>
  </si>
  <si>
    <t>绿礼包</t>
  </si>
  <si>
    <t>双击后概率产出奖励</t>
  </si>
  <si>
    <t>蓝礼盒</t>
  </si>
  <si>
    <t>紫礼盒</t>
  </si>
  <si>
    <t>橙礼盒</t>
  </si>
  <si>
    <t>红礼盒</t>
  </si>
  <si>
    <t>宝箱（加速）</t>
  </si>
  <si>
    <t>使用后，概率产出加速功能道具</t>
  </si>
  <si>
    <t>宝箱（加量）</t>
  </si>
  <si>
    <t>使用后，概率产出加量功能道具</t>
  </si>
  <si>
    <t>宝箱（金币）</t>
  </si>
  <si>
    <t>使用后，概率产出金币</t>
  </si>
  <si>
    <t>宝箱（体力）</t>
  </si>
  <si>
    <t>使用后，概率产出体力</t>
  </si>
  <si>
    <t>宝箱（拆分）</t>
  </si>
  <si>
    <t>使用后，概率产出拆分功能道具</t>
  </si>
  <si>
    <t>10个加量30</t>
  </si>
  <si>
    <t>双击后产出10个【+30】的加量道具</t>
  </si>
  <si>
    <t>10个加量20</t>
  </si>
  <si>
    <t>双击后产出10个【+20】的加量道具</t>
  </si>
  <si>
    <t>5个加量20</t>
  </si>
  <si>
    <t>双击后产出5个【+20】的加量道具</t>
  </si>
  <si>
    <t>20个加量20</t>
  </si>
  <si>
    <t>双击后产出20个【+20】的加量道具</t>
  </si>
  <si>
    <t>10个加速10min</t>
  </si>
  <si>
    <t>双击后产出10个【加速10min】道具</t>
  </si>
  <si>
    <t>10个加速5min</t>
  </si>
  <si>
    <t>双击后产出10个【加速5min】道具</t>
  </si>
  <si>
    <t>5个加速5min</t>
  </si>
  <si>
    <t>双击后产出5个【加速5min】道具</t>
  </si>
  <si>
    <t>20个加速5min</t>
  </si>
  <si>
    <t>双击后产出20个【加速5min】道具</t>
  </si>
  <si>
    <t>5个拆分</t>
  </si>
  <si>
    <t>双击后产出5个【拆分】道具</t>
  </si>
  <si>
    <t>10个拆分</t>
  </si>
  <si>
    <t>双击后产出10个【拆分】道具</t>
  </si>
  <si>
    <t>20个拆分</t>
  </si>
  <si>
    <t>双击后产出20个【拆分】道具</t>
  </si>
  <si>
    <t>30个拆分</t>
  </si>
  <si>
    <t>双击后产出30个【拆分】道具</t>
  </si>
  <si>
    <t>2个加量30</t>
  </si>
  <si>
    <t>双击后产出2个【加量30】道具</t>
  </si>
  <si>
    <t>3个加量30</t>
  </si>
  <si>
    <t>双击后产出3个【加量30】道具</t>
  </si>
  <si>
    <t>5个加量30</t>
  </si>
  <si>
    <t>双击后产出5个【加量30】道具</t>
  </si>
  <si>
    <t>6个加量30</t>
  </si>
  <si>
    <t>双击后产出6个【加量30】道具</t>
  </si>
  <si>
    <t>2个拆分</t>
  </si>
  <si>
    <t>双击后产出2个【拆分】道具</t>
  </si>
  <si>
    <t>3个拆分</t>
  </si>
  <si>
    <t>双击后产出3个【拆分】道具</t>
  </si>
  <si>
    <t>6个拆分</t>
  </si>
  <si>
    <t>双击后产出6个【拆分】道具</t>
  </si>
  <si>
    <t>1000体力</t>
  </si>
  <si>
    <t>双击后产出10个【100体力】道具</t>
  </si>
  <si>
    <t>300体力</t>
  </si>
  <si>
    <t>双击后产出3个【100体力】道具</t>
  </si>
  <si>
    <t>4点精力宝箱</t>
  </si>
  <si>
    <t>双击后产出1个【4点精力】道具</t>
  </si>
  <si>
    <t>8点精力宝箱</t>
  </si>
  <si>
    <t>双击后产出1个【8点精力】道具</t>
  </si>
  <si>
    <t>16点精力宝箱</t>
  </si>
  <si>
    <t>双击后产出2个【8点精力】道具</t>
  </si>
  <si>
    <t>32点精力宝箱</t>
  </si>
  <si>
    <t>双击后产出4个【8点精力】道具</t>
  </si>
  <si>
    <t>破纸盒</t>
  </si>
  <si>
    <t>空空的纸盒子，只能卖了换钱了</t>
  </si>
  <si>
    <t>金币宝箱（小）</t>
  </si>
  <si>
    <t>双击后产出金币</t>
  </si>
  <si>
    <t>金币宝箱（中）</t>
  </si>
  <si>
    <t>金币宝箱（大）</t>
  </si>
  <si>
    <t>新人在线福利</t>
  </si>
  <si>
    <t>满足在线时长后，可领取奖励</t>
  </si>
  <si>
    <t>连续登录福利</t>
  </si>
  <si>
    <t>满足连续登录条件后，可领取奖励</t>
  </si>
  <si>
    <t>神秘拜年客的馈赠</t>
  </si>
  <si>
    <t>双击后产出随机奖励</t>
  </si>
  <si>
    <t>双击选择奖品，然后单击产出奖励</t>
  </si>
  <si>
    <t>随机礼包</t>
  </si>
  <si>
    <t>体力宝箱</t>
  </si>
  <si>
    <t>双击后概率产出体力</t>
  </si>
  <si>
    <t>体力宝箱（新）</t>
  </si>
  <si>
    <t>道具宝箱</t>
  </si>
  <si>
    <t>双击后概率产出道具</t>
  </si>
  <si>
    <t>竞速赛轮次宝箱</t>
  </si>
  <si>
    <t>双击后产出4级小供桌母体*1、100体力*1、400金币*1、初级功能礼包*1</t>
  </si>
  <si>
    <t>双击后产出100体力*1、400金币*1、初级功能礼包*1</t>
  </si>
  <si>
    <t>双击后产出100体力*1、初级功能礼包*1</t>
  </si>
  <si>
    <t>双击后产出100体力*1</t>
  </si>
  <si>
    <t>竞速赛月度宝箱</t>
  </si>
  <si>
    <t>双击后产出皮肤自选礼包*1、普通兑换卡*50</t>
  </si>
  <si>
    <t>双击后产出皮肤自选礼包*1、普通兑换卡*30</t>
  </si>
  <si>
    <t>双击后产出1000金币*1、普通兑换卡*20</t>
  </si>
  <si>
    <t>双击后产出1000金币*1、普通兑换卡*10</t>
  </si>
  <si>
    <t>双击后产出2500金币</t>
  </si>
  <si>
    <t>双击后产出1500金币</t>
  </si>
  <si>
    <t>双击后产出1000金币</t>
  </si>
  <si>
    <t>双击后产出500金币</t>
  </si>
  <si>
    <t>双击后产出25000金币</t>
  </si>
  <si>
    <t>双击后产出15000金币</t>
  </si>
  <si>
    <t>双击后产出10000金币</t>
  </si>
  <si>
    <t>双击后产出5000金币</t>
  </si>
  <si>
    <t>风信子心愿宝箱</t>
  </si>
  <si>
    <t>双击后产出奖励</t>
  </si>
  <si>
    <t>1级小美店铺礼包</t>
  </si>
  <si>
    <t>【小美优品】的购物返礼，双击后产出奖励</t>
  </si>
  <si>
    <t>2级小美店铺礼包</t>
  </si>
  <si>
    <t>3级小美店铺礼包</t>
  </si>
  <si>
    <t>4级小美店铺礼包</t>
  </si>
  <si>
    <t>5级小美店铺礼包</t>
  </si>
  <si>
    <t>兔灯礼盒</t>
  </si>
  <si>
    <t>双击后产出体力道具</t>
  </si>
  <si>
    <t>大量体力宝箱</t>
  </si>
  <si>
    <t>双击后产出总计500体力的体力道具</t>
  </si>
  <si>
    <t>巨量体力宝箱</t>
  </si>
  <si>
    <t>双击后产出总计1000体力的体力道具</t>
  </si>
  <si>
    <t>风信子宝箱</t>
  </si>
  <si>
    <t>1级母体宝箱</t>
  </si>
  <si>
    <t>双击后产出1级母体</t>
  </si>
  <si>
    <t>2级母体宝箱</t>
  </si>
  <si>
    <t>双击后产出2级母体</t>
  </si>
  <si>
    <t>3级母体宝箱</t>
  </si>
  <si>
    <t>双击后产出3级母体</t>
  </si>
  <si>
    <t>4级母体宝箱</t>
  </si>
  <si>
    <t>双击后产出4级母体</t>
  </si>
  <si>
    <t>随机皮肤碎片</t>
  </si>
  <si>
    <t>双击后产出皮肤碎片</t>
  </si>
  <si>
    <t>随机精灵碎片</t>
  </si>
  <si>
    <t>双击后产出精灵碎片</t>
  </si>
  <si>
    <t>4级月度母体自选宝箱</t>
  </si>
  <si>
    <t>4级等级母体自选宝箱</t>
  </si>
  <si>
    <t>4级母体随机宝箱</t>
  </si>
  <si>
    <t>皮肤自选宝箱</t>
  </si>
  <si>
    <t>双击选择奖品，然后单击产出奖励，可选1个碎片</t>
  </si>
  <si>
    <t>幸运大福袋</t>
  </si>
  <si>
    <t>2级等级母体随机宝箱</t>
  </si>
  <si>
    <t>3级月度母体自选宝箱</t>
  </si>
  <si>
    <t>3级等级母体自选宝箱</t>
  </si>
  <si>
    <t>1级汤锅母体随机宝箱</t>
  </si>
  <si>
    <t>2级汤锅母体自选宝箱</t>
  </si>
  <si>
    <t>2级月度母体随机宝箱</t>
  </si>
  <si>
    <t>双击后随机产出2级月度母体</t>
  </si>
  <si>
    <t>3级月度母体随机宝箱</t>
  </si>
  <si>
    <t>双击后随机产出3级月度母体</t>
  </si>
  <si>
    <t>4级月度母体随机宝箱</t>
  </si>
  <si>
    <t>双击后随机产出4级月度母体</t>
  </si>
  <si>
    <t>精力体力自选宝箱</t>
  </si>
  <si>
    <t>长途车票母体自选宝箱</t>
  </si>
  <si>
    <t>2级母体自选签到宝箱</t>
  </si>
  <si>
    <t>3级母体自选签到宝箱</t>
  </si>
  <si>
    <t>4级母体自选签到宝箱</t>
  </si>
  <si>
    <t>1级等级母体自选宝箱</t>
  </si>
  <si>
    <t>2级等级母体自选宝箱</t>
  </si>
  <si>
    <t>绿礼包（废弃）</t>
  </si>
  <si>
    <t>蓝礼盒（废弃）</t>
  </si>
  <si>
    <t>紫礼盒（废弃）</t>
  </si>
  <si>
    <t>17级庭院礼包</t>
  </si>
  <si>
    <t>双击后概率产出生产类宝贝【瓜架】</t>
  </si>
  <si>
    <t>21级庭院礼包</t>
  </si>
  <si>
    <t>双击后概率产出生产类宝贝【清洁车】</t>
  </si>
  <si>
    <t>23级庭院礼包</t>
  </si>
  <si>
    <t>双击后概率产出生产类宝贝【美妆工具柜】</t>
  </si>
  <si>
    <t>25级庭院礼包</t>
  </si>
  <si>
    <t>双击后概率产出生产类宝贝【小美的包包】</t>
  </si>
  <si>
    <t>27级庭院礼包</t>
  </si>
  <si>
    <t>双击后概率产出生产类宝贝【衣柜】</t>
  </si>
  <si>
    <t>29级庭院礼包</t>
  </si>
  <si>
    <t>双击后概率产出生产类宝贝【植物暖棚】</t>
  </si>
  <si>
    <t>31级庭院礼包</t>
  </si>
  <si>
    <t>双击后概率产出生产类宝贝【首饰盒】</t>
  </si>
  <si>
    <t>33级庭院礼包</t>
  </si>
  <si>
    <t>双击后概率产出生产类宝贝【快递包裹】</t>
  </si>
  <si>
    <t>35级庭院礼包</t>
  </si>
  <si>
    <t>双击后概率产出生产类宝贝【冰柜】</t>
  </si>
  <si>
    <t>37级庭院礼包</t>
  </si>
  <si>
    <t>双击后概率产出生产类宝贝【蛋糕机】</t>
  </si>
  <si>
    <t>39级庭院礼包</t>
  </si>
  <si>
    <t>双击后概率产出生产类宝贝【烧烤架】</t>
  </si>
  <si>
    <t>加量礼包（小）</t>
  </si>
  <si>
    <t>双击后概率产出加量道具</t>
  </si>
  <si>
    <t>加量礼包（中）</t>
  </si>
  <si>
    <t>加量礼包（大）</t>
  </si>
  <si>
    <t>加速礼包（小）</t>
  </si>
  <si>
    <t>双击后概率产出加速道具</t>
  </si>
  <si>
    <t>加速礼包（中）</t>
  </si>
  <si>
    <t>加速礼包（大）</t>
  </si>
  <si>
    <t>拆分礼包（小）</t>
  </si>
  <si>
    <t>双击后概率产出拆分道具</t>
  </si>
  <si>
    <t>拆分礼包（中）</t>
  </si>
  <si>
    <t>拆分礼包（大）</t>
  </si>
  <si>
    <t>功能礼包（小）</t>
  </si>
  <si>
    <t>双击后概率产出各种功能道具</t>
  </si>
  <si>
    <t>功能礼包（中）</t>
  </si>
  <si>
    <t>功能礼包（大）</t>
  </si>
  <si>
    <t>功能礼包（抽奖）</t>
  </si>
  <si>
    <t>双击后概率产出功能道具</t>
  </si>
  <si>
    <t>体力礼包（抽奖）</t>
  </si>
  <si>
    <t>双击后概率产出体力道具</t>
  </si>
  <si>
    <t>七夕孔明灯</t>
  </si>
  <si>
    <t>加速礼包（新）</t>
  </si>
  <si>
    <t>加量礼包（新）</t>
  </si>
  <si>
    <t>功能礼包（新）</t>
  </si>
  <si>
    <t>拆分礼包（新）</t>
  </si>
  <si>
    <t>新年皮肤宝箱</t>
  </si>
  <si>
    <t>双击后概率产出新年皮肤激活道具</t>
  </si>
  <si>
    <t>水果篮礼包</t>
  </si>
  <si>
    <t>双击后概率产出【水果篮】</t>
  </si>
  <si>
    <t>花圃礼包</t>
  </si>
  <si>
    <t>双击后概率产出【花圃】</t>
  </si>
  <si>
    <t>手提袋礼包</t>
  </si>
  <si>
    <t>双击后概率产出【手提袋】</t>
  </si>
  <si>
    <t>菜篮子礼包</t>
  </si>
  <si>
    <t>双击后概率产出【菜篮子】</t>
  </si>
  <si>
    <t>瓜架礼包</t>
  </si>
  <si>
    <t>双击后概率产出【瓜架】</t>
  </si>
  <si>
    <t>清洁车礼包</t>
  </si>
  <si>
    <t>双击后概率产出【清洁车】</t>
  </si>
  <si>
    <t>美妆工具柜礼包</t>
  </si>
  <si>
    <t>双击后概率产出【工具柜】</t>
  </si>
  <si>
    <t>小美礼包</t>
  </si>
  <si>
    <t>双击后概率产出【小美的包包】</t>
  </si>
  <si>
    <t>衣柜礼包</t>
  </si>
  <si>
    <t>双击后概率产出【衣柜】</t>
  </si>
  <si>
    <t>暖棚礼包</t>
  </si>
  <si>
    <t>双击后概率产出【暖棚】</t>
  </si>
  <si>
    <t>首饰盒礼包</t>
  </si>
  <si>
    <t>双击后概率产出【首饰盒】</t>
  </si>
  <si>
    <t>包裹礼包</t>
  </si>
  <si>
    <t>双击后概率产出【快递包裹】</t>
  </si>
  <si>
    <t>冰柜礼包</t>
  </si>
  <si>
    <t>双击后概率产出【冰柜】</t>
  </si>
  <si>
    <t>蛋糕机礼包</t>
  </si>
  <si>
    <t>双击后概率产出【蛋糕机】</t>
  </si>
  <si>
    <t>烧烤架礼包</t>
  </si>
  <si>
    <t>双击后概率产出【烧烤架】</t>
  </si>
  <si>
    <t>内测玩家礼包</t>
  </si>
  <si>
    <t>专属内测玩家的福利大礼包，双击后概率产出各种惊喜！</t>
  </si>
  <si>
    <t>随机母体礼包</t>
  </si>
  <si>
    <t>分享好友后的福报，双击后概率产出各类母体</t>
  </si>
  <si>
    <t>签到小礼包</t>
  </si>
  <si>
    <t>坚持签到后的礼包，双击后概率产出体力与加量道具。</t>
  </si>
  <si>
    <t>签到小礼盒</t>
  </si>
  <si>
    <t>坚持签到后的礼盒，双击后概率产出体力与加速道具。</t>
  </si>
  <si>
    <t>签到大宝箱</t>
  </si>
  <si>
    <t>七天签到后的大宝箱，双击后概率产出大额体力与加速加量道具。</t>
  </si>
  <si>
    <t>园丁工具箱礼包</t>
  </si>
  <si>
    <t>双击后概率产出【园丁工具箱】</t>
  </si>
  <si>
    <t>神龙信物</t>
  </si>
  <si>
    <t>双击后概率产出【神龙碎片】</t>
  </si>
  <si>
    <t>植物礼包</t>
  </si>
  <si>
    <t>双击后概率产出植物类可产出宝贝</t>
  </si>
  <si>
    <t>盒子礼包</t>
  </si>
  <si>
    <t>双击后概率产出收纳类可产出宝贝</t>
  </si>
  <si>
    <t>美食礼包</t>
  </si>
  <si>
    <t>双击后概率产出快消品可产出宝贝</t>
  </si>
  <si>
    <t>庭院装饰物</t>
  </si>
  <si>
    <t>双击后概率产出庭院装饰物</t>
  </si>
  <si>
    <t>旺旺大礼包</t>
  </si>
  <si>
    <t>双击后概率产出各种可产出宝贝</t>
  </si>
  <si>
    <t>母体礼包（抽奖）</t>
  </si>
  <si>
    <t>双击后概率产出母体</t>
  </si>
  <si>
    <t>泳池母体礼包</t>
  </si>
  <si>
    <t>双击后概率产出对应母体材料</t>
  </si>
  <si>
    <t>工具箱母体礼包</t>
  </si>
  <si>
    <t>食盒母体礼包</t>
  </si>
  <si>
    <t>帐篷母体礼包</t>
  </si>
  <si>
    <t>宠物母体礼包</t>
  </si>
  <si>
    <t>圣诞树母体礼包</t>
  </si>
  <si>
    <t>红包母体礼包</t>
  </si>
  <si>
    <t>爱情岛母体礼包</t>
  </si>
  <si>
    <t>健身房母体礼包</t>
  </si>
  <si>
    <t>春游巴士礼包</t>
  </si>
  <si>
    <t>劳动丰碑母体</t>
  </si>
  <si>
    <t>随机3级母体礼包</t>
  </si>
  <si>
    <t>双击后概率产出3级母体材料</t>
  </si>
  <si>
    <t>母体小礼包（抽奖）</t>
  </si>
  <si>
    <t>双击后概率产出各种母体</t>
  </si>
  <si>
    <t>母体大礼包（抽奖）</t>
  </si>
  <si>
    <t>装扮礼包（抽奖）</t>
  </si>
  <si>
    <t>双击后概率产出装扮皮肤</t>
  </si>
  <si>
    <t>团队赛第一名每日宝箱</t>
  </si>
  <si>
    <t>你已遥遥领先！</t>
  </si>
  <si>
    <t>团队赛第二名每日宝箱</t>
  </si>
  <si>
    <t>加油，快超过第一了！</t>
  </si>
  <si>
    <t>团队赛第三名每日宝箱</t>
  </si>
  <si>
    <t>中流砥柱</t>
  </si>
  <si>
    <t>团队赛第四名每日宝箱</t>
  </si>
  <si>
    <t>再接再励！</t>
  </si>
  <si>
    <t>团队赛第五名每日宝箱</t>
  </si>
  <si>
    <t>幸运母体礼包</t>
  </si>
  <si>
    <t>初级皮肤宝箱（消除）</t>
  </si>
  <si>
    <t>双击后有概率产出皮肤碎片、金币、道具、体力、母体</t>
  </si>
  <si>
    <t>初级精灵宝箱（消除）</t>
  </si>
  <si>
    <t>双击后有概率产出精灵碎片、金币、道具、体力、母体</t>
  </si>
  <si>
    <t>高级皮肤宝箱（消除）</t>
  </si>
  <si>
    <t>高级精灵宝箱（消除）</t>
  </si>
  <si>
    <t>自选奖励测试宝箱</t>
  </si>
  <si>
    <t>精灵皮肤自选礼包</t>
  </si>
  <si>
    <t>新人下单礼包</t>
  </si>
  <si>
    <t>新人收货礼包</t>
  </si>
  <si>
    <t>团队第1名</t>
  </si>
  <si>
    <t>庭院马拉送第1名自选奖励礼包。双击产出奖励</t>
  </si>
  <si>
    <t>团队第2名</t>
  </si>
  <si>
    <t>庭院马拉送第2名自选奖励礼包。双击产出奖励</t>
  </si>
  <si>
    <t>团队第3名</t>
  </si>
  <si>
    <t>庭院马拉送第3名自选奖励礼包。双击产出奖励</t>
  </si>
  <si>
    <t>母体自选礼包1</t>
  </si>
  <si>
    <t>母体自选礼包2</t>
  </si>
  <si>
    <t>母体自选礼包3</t>
  </si>
  <si>
    <t>小美店铺自选礼包</t>
  </si>
  <si>
    <t>双击选择奖品体力或者收纳箱扩展卡，然后单击产出奖励</t>
  </si>
  <si>
    <t>自选宝箱1</t>
  </si>
  <si>
    <t>自选宝箱2</t>
  </si>
  <si>
    <t>自选宝箱3</t>
  </si>
  <si>
    <t>自选宝箱4</t>
  </si>
  <si>
    <t>自选宝箱5</t>
  </si>
  <si>
    <t>自选宝箱6</t>
  </si>
  <si>
    <t>惊喜等级母体礼包</t>
  </si>
  <si>
    <t>惊喜限时母体礼包</t>
  </si>
  <si>
    <t>惊喜Vip母体礼包</t>
  </si>
  <si>
    <t>新人首购大礼包</t>
  </si>
  <si>
    <t>收纳箱皮肤礼包</t>
  </si>
  <si>
    <t>顾客风信子皮肤礼包</t>
  </si>
  <si>
    <t>庭院精灵礼包1</t>
  </si>
  <si>
    <t>庭院精灵礼包2</t>
  </si>
  <si>
    <t>庭院精灵礼包3</t>
  </si>
  <si>
    <t>双击选择奖品，然后单击产出奖励，可选4个碎片</t>
  </si>
  <si>
    <t>双击选择奖品，然后单击产出奖励，可选2个碎片</t>
  </si>
  <si>
    <t>双击选择奖品，然后单击产出奖励，可选3个碎片</t>
  </si>
  <si>
    <t>小美福利自选宝箱</t>
  </si>
  <si>
    <t>精灵福利自选宝箱</t>
  </si>
  <si>
    <t>精灵魔法石自选宝箱</t>
  </si>
  <si>
    <t>双击选择奖品，然后单击产出奖励，可选1个奖励</t>
  </si>
  <si>
    <t>新人宝箱</t>
  </si>
  <si>
    <t>青铜积分礼包</t>
  </si>
  <si>
    <t>双击后概率产出各种奖励</t>
  </si>
  <si>
    <t>白银积分礼包</t>
  </si>
  <si>
    <t>黄金积分礼包</t>
  </si>
  <si>
    <t>铂金积分礼包</t>
  </si>
  <si>
    <t>钻石积分礼包</t>
  </si>
  <si>
    <t>星耀积分礼包</t>
  </si>
  <si>
    <t>王者积分礼包</t>
  </si>
  <si>
    <t>最强积分礼包</t>
  </si>
  <si>
    <t>皮肤自选礼包</t>
  </si>
  <si>
    <t>可重复自选测试宝箱</t>
  </si>
  <si>
    <t>点击后，打开奖励选择界面</t>
  </si>
  <si>
    <t>母体自选礼包4</t>
  </si>
  <si>
    <t>精灵碎片自选礼包1</t>
  </si>
  <si>
    <t>精灵碎片自选礼包2</t>
  </si>
  <si>
    <t>精灵碎片自选礼包3</t>
  </si>
  <si>
    <t>精灵碎片自选礼包4</t>
  </si>
  <si>
    <t>母体自选礼包5</t>
  </si>
  <si>
    <t>母体自选礼包6</t>
  </si>
  <si>
    <t>母体自选礼包7</t>
  </si>
  <si>
    <t>母体自选礼包8</t>
  </si>
  <si>
    <t>母体自选礼包9</t>
  </si>
  <si>
    <t>59礼包</t>
  </si>
  <si>
    <t>99大礼包</t>
  </si>
  <si>
    <t>189奢华大礼包</t>
  </si>
  <si>
    <t>289尊贵大礼包</t>
  </si>
  <si>
    <t>529究极至尊大礼包</t>
  </si>
  <si>
    <t>小美店铺VIP1礼包</t>
  </si>
  <si>
    <t>小美店铺VIP2礼包</t>
  </si>
  <si>
    <t>小美店铺VIP3礼包</t>
  </si>
  <si>
    <t>小美店铺VIP4礼包</t>
  </si>
  <si>
    <t>乐园道具大礼包</t>
  </si>
  <si>
    <t>不限额礼包</t>
  </si>
  <si>
    <t>119大礼包</t>
  </si>
  <si>
    <t>169奢华大礼包</t>
  </si>
  <si>
    <t>269尊贵大礼包</t>
  </si>
  <si>
    <t>59礼包[V]</t>
  </si>
  <si>
    <t>269尊贵大礼包[V]</t>
  </si>
  <si>
    <t>529究极至尊大礼包[V]</t>
  </si>
  <si>
    <t>不限额皮肤礼包</t>
  </si>
  <si>
    <t>99奢华皮肤礼包</t>
  </si>
  <si>
    <t>119尊贵皮肤礼包</t>
  </si>
  <si>
    <t>169究极至尊皮肤礼包</t>
  </si>
  <si>
    <t>169尊贵大礼包</t>
  </si>
  <si>
    <t>99大礼包[V]</t>
  </si>
  <si>
    <t>169尊贵大礼包[V]</t>
  </si>
  <si>
    <t>269至尊大礼包</t>
  </si>
  <si>
    <t>新人活动母体宝箱</t>
  </si>
  <si>
    <t>新人活动道具宝箱</t>
  </si>
  <si>
    <t>私域宝箱</t>
  </si>
  <si>
    <t>269至尊大礼包[V]</t>
  </si>
  <si>
    <t>店铺宝箱1</t>
  </si>
  <si>
    <t>店铺宝箱2</t>
  </si>
  <si>
    <t>精灵皮肤自选宝箱</t>
  </si>
  <si>
    <t>庭院皮肤自选宝箱</t>
  </si>
  <si>
    <t>每日幸运大礼包</t>
  </si>
  <si>
    <t>幸运大礼包！双击后产出随机奖励</t>
  </si>
  <si>
    <t>乐园道具礼包</t>
  </si>
  <si>
    <t>双击后产出奖励，一共可获得2蓝礼券、1紫礼券</t>
  </si>
  <si>
    <t>小美活力礼包</t>
  </si>
  <si>
    <t>双击后产出奖励，一共可获得400金币、200体力</t>
  </si>
  <si>
    <t>小美活力大礼包</t>
  </si>
  <si>
    <t>双击后产出奖励，一共可获得2200金币、1200体力</t>
  </si>
  <si>
    <t>母体卡礼包</t>
  </si>
  <si>
    <t>双击后产出奖励，一共可获得普通兑换卡*16、加速10min*1、加量30*2、拆分*3</t>
  </si>
  <si>
    <t>母体卡大礼包</t>
  </si>
  <si>
    <t>双击后产出奖励，一共可获得普通兑换卡*64、自选初级功能道具*5、300体力</t>
  </si>
  <si>
    <t>VIP母体卡礼包</t>
  </si>
  <si>
    <t>双击后产出奖励，一共可获得VIP兑换卡*16、自选初级功能道具*2</t>
  </si>
  <si>
    <t>VIP母体卡大礼包</t>
  </si>
  <si>
    <t>双击后产出奖励，一共可获得VIP兑换卡*64、自选中级功能道具*5、300体力</t>
  </si>
  <si>
    <t>功能道具礼包</t>
  </si>
  <si>
    <t>双击后产出奖励，一共可获得魔法石*1、自选初级功能道具*5、自选中级功能道具*2</t>
  </si>
  <si>
    <t>功能道具大礼包</t>
  </si>
  <si>
    <t>双击后产出奖励，一共可获得魔法石*5、自选高级功能道具*4、300体力、700金币</t>
  </si>
  <si>
    <t>测试礼包1</t>
  </si>
  <si>
    <t>测试礼包2</t>
  </si>
  <si>
    <t>测试礼包3</t>
  </si>
  <si>
    <t>测试礼包4</t>
  </si>
  <si>
    <t>双击后产出奖励，魔法石*5、自选高级功能道具*4、300体力、700金币</t>
  </si>
  <si>
    <t>测试礼包5</t>
  </si>
  <si>
    <t>测试礼包6</t>
  </si>
  <si>
    <t>测试礼包7</t>
  </si>
  <si>
    <t>升星自选礼包</t>
  </si>
  <si>
    <t>双击，打开后选择奖励，完成后奖励直接进入幻灵-材料匣</t>
  </si>
  <si>
    <t>幻晶自选宝箱1</t>
  </si>
  <si>
    <t>双击选择奖品，单击后材料直接进入幻灵-材料匣中</t>
  </si>
  <si>
    <t>幻晶自选宝箱2</t>
  </si>
  <si>
    <t>幸运材料礼包</t>
  </si>
  <si>
    <t>双击后产出随机幸运材料，奖励直接进入幻灵-材料匣</t>
  </si>
  <si>
    <t>母体随机宝箱1</t>
  </si>
  <si>
    <t>双击后产出随机1级汤锅专属母体</t>
  </si>
  <si>
    <t>母体随机宝箱2</t>
  </si>
  <si>
    <t>双击后产出随机2级汤锅专属母体</t>
  </si>
  <si>
    <t>幻晶自选宝箱3</t>
  </si>
  <si>
    <t>幻晶自选宝箱4</t>
  </si>
  <si>
    <t>3星百变卡礼包</t>
  </si>
  <si>
    <t>双击后产出奖励，可获得3星百变卡*1</t>
  </si>
  <si>
    <t>幻晶自选宝箱5</t>
  </si>
  <si>
    <t>幻晶自选宝箱6</t>
  </si>
  <si>
    <t>双击后产出奖励，一共可获得普通兑换卡*16</t>
  </si>
  <si>
    <t>双击后产出奖励，一共可获得普通兑换卡*64</t>
  </si>
  <si>
    <t>双击后产出奖励，一共可获得VIP兑换卡*16</t>
  </si>
  <si>
    <t>双击后产出奖励，一共可获得VIP兑换卡*64</t>
  </si>
  <si>
    <t>精灵碎片自选宝箱</t>
  </si>
  <si>
    <t>初级功能道具小礼包</t>
  </si>
  <si>
    <t>初级功能道具大礼包</t>
  </si>
  <si>
    <t>幻晶自选宝箱7</t>
  </si>
  <si>
    <t>幻晶自选宝箱8</t>
  </si>
  <si>
    <t>59乐园建筑礼包</t>
  </si>
  <si>
    <t>109乐园建筑礼包</t>
  </si>
  <si>
    <t>219乐园建筑礼包</t>
  </si>
  <si>
    <t>329乐园建筑礼包</t>
  </si>
  <si>
    <t>509乐园建筑礼包</t>
  </si>
  <si>
    <t>39乐园建筑礼包</t>
  </si>
  <si>
    <t>99乐园建筑礼包</t>
  </si>
  <si>
    <t>269乐园建筑礼包</t>
  </si>
  <si>
    <t>529乐园建筑礼包</t>
  </si>
  <si>
    <t>加速5min</t>
  </si>
  <si>
    <t>拖向母体作物可立即使其加速5分钟</t>
  </si>
  <si>
    <t>加速10min</t>
  </si>
  <si>
    <t>拖向母体作物可立即使其加速10分钟</t>
  </si>
  <si>
    <t>加速2min</t>
  </si>
  <si>
    <t>拖向母体作物可立即使其加速2分钟</t>
  </si>
  <si>
    <t>加速3min</t>
  </si>
  <si>
    <t>拖向母体作物可立即使其加速3分钟</t>
  </si>
  <si>
    <t>初级加速器</t>
  </si>
  <si>
    <t>拖向母体加速，拖向同加速器合并，可投喂加速道具</t>
  </si>
  <si>
    <t>中级加速器</t>
  </si>
  <si>
    <t>高级加速器</t>
  </si>
  <si>
    <t>初级功能礼包</t>
  </si>
  <si>
    <t>中级功能礼包</t>
  </si>
  <si>
    <t>高级功能礼包</t>
  </si>
  <si>
    <t>超级加速器</t>
  </si>
  <si>
    <t>拖向母体加速，可投喂加速道具，可以扩展升级</t>
  </si>
  <si>
    <t>加量5</t>
  </si>
  <si>
    <t>拖向母体作物可立即使其增加5个产出量</t>
  </si>
  <si>
    <t>加量10</t>
  </si>
  <si>
    <t>拖向母体作物可立即使其增加10个产出量</t>
  </si>
  <si>
    <t>加量20</t>
  </si>
  <si>
    <t>拖向母体作物可立即使其增加20个产出量</t>
  </si>
  <si>
    <t>加量30</t>
  </si>
  <si>
    <t>拖向母体作物可立即使其增加30个产出量</t>
  </si>
  <si>
    <t>初级加量器</t>
  </si>
  <si>
    <t>拖向母体增加20储量，拖向同加量器合并，可投喂加量道具</t>
  </si>
  <si>
    <t>中级加量器</t>
  </si>
  <si>
    <t>高级加量器</t>
  </si>
  <si>
    <t>超级加量器</t>
  </si>
  <si>
    <t>拖向母体增加20储量，可投喂加量道具，可以扩展升级</t>
  </si>
  <si>
    <t>拆分</t>
  </si>
  <si>
    <t>拖向作物可立即拆分成2个低级作物</t>
  </si>
  <si>
    <t>初级拆分器</t>
  </si>
  <si>
    <t>拖向作物拆分，拖向同拆分器合并，可投喂拆分道具</t>
  </si>
  <si>
    <t>中级拆分器</t>
  </si>
  <si>
    <t>高级拆分器</t>
  </si>
  <si>
    <t>超级拆分器</t>
  </si>
  <si>
    <t>拖向作物拆分，可投喂拆分道具，可以扩展升级</t>
  </si>
  <si>
    <t>低级固定升级卡</t>
  </si>
  <si>
    <t>拖向1~5级的子体作物，可使该作物提升3级</t>
  </si>
  <si>
    <t>低级随机升级卡</t>
  </si>
  <si>
    <t>拖向1~5级的子体作物，可使该作物随机提升1~3级</t>
  </si>
  <si>
    <t>万花筒</t>
  </si>
  <si>
    <t>拖向非满级的子体作物，可使该作物提升1级</t>
  </si>
  <si>
    <t>中级固定升级卡</t>
  </si>
  <si>
    <t>拖向1~8级的子体作物，可使该作物提升2级</t>
  </si>
  <si>
    <t>中级随机升级卡</t>
  </si>
  <si>
    <t>拖向1~8级的子体作物，可使该作物随机提升1~2级</t>
  </si>
  <si>
    <t>初始花圃</t>
  </si>
  <si>
    <t>开始它可能是一块砖。合成至5级可获得母体作物。</t>
  </si>
  <si>
    <t>开裂花圃</t>
  </si>
  <si>
    <t>断开的花圃，需要修复。合成至5级可获得母体作物。</t>
  </si>
  <si>
    <t>完整花圃</t>
  </si>
  <si>
    <t>修复后上色好的花圃。合成至5级可获得母体作物。</t>
  </si>
  <si>
    <t>花圃新芽</t>
  </si>
  <si>
    <t>花圃静静抽出一颗新芽。合成至5级可获得母体作物。</t>
  </si>
  <si>
    <t>开花的花圃</t>
  </si>
  <si>
    <t>经过培育后开花的花圃。合成可获得茂盛的花圃。</t>
  </si>
  <si>
    <t>茂盛的花圃</t>
  </si>
  <si>
    <t>花圃与花，谁更依恋谁？合成可获得大花圃。</t>
  </si>
  <si>
    <t>大花圃</t>
  </si>
  <si>
    <t>超大的花圃，小美的最爱。合成可获得圆形花圃。</t>
  </si>
  <si>
    <t>圆形花圃</t>
  </si>
  <si>
    <t>大户人家的花圃。已升至最高级。</t>
  </si>
  <si>
    <t>手提袋</t>
  </si>
  <si>
    <t>常见的粉色手提袋。合成至4级可获得母体作物。</t>
  </si>
  <si>
    <t>手提纸袋</t>
  </si>
  <si>
    <t>纸质手提袋。合成至4级可获得母体作物。</t>
  </si>
  <si>
    <t>高级手提袋</t>
  </si>
  <si>
    <t>袋身有一只小兔。合成至4级可获得母体作物。</t>
  </si>
  <si>
    <t>小熊手提袋</t>
  </si>
  <si>
    <t>手提袋里放着小美的小熊娃娃。合成可获得挎包。</t>
  </si>
  <si>
    <t>挎包</t>
  </si>
  <si>
    <t>一只小兔的脑袋露了出来。合成可获得精致挎包。</t>
  </si>
  <si>
    <t>精致挎包</t>
  </si>
  <si>
    <t>有着舒适把手的精致挎包。合成可获得购物拉车。</t>
  </si>
  <si>
    <t>购物拉车</t>
  </si>
  <si>
    <t>小美专用的购物拉车，小巧玲珑。合成可获得购物车。</t>
  </si>
  <si>
    <t>购物车</t>
  </si>
  <si>
    <t>附近超市常见的购物车。合成可获得玩具推车。</t>
  </si>
  <si>
    <t>玩具推车</t>
  </si>
  <si>
    <t>盛满玩具的小推车。已升至最高级。</t>
  </si>
  <si>
    <t>清洁布</t>
  </si>
  <si>
    <t>一块简单的清洁布。合成至5级可获得母体作物。</t>
  </si>
  <si>
    <t>清洁桶</t>
  </si>
  <si>
    <t>盛满清水的桶。合成至5级可获得母体作物。</t>
  </si>
  <si>
    <t>扫地簸箕</t>
  </si>
  <si>
    <t>盛放垃圾的拖簸箕。合成至5级可获得母体作物。</t>
  </si>
  <si>
    <t>拖把</t>
  </si>
  <si>
    <t>拖把水桶，家居好帮手。合成至5级可获得母体作物。</t>
  </si>
  <si>
    <t>清洁车</t>
  </si>
  <si>
    <t>放置清洁物品的板车。合成可获得精致清洁车。</t>
  </si>
  <si>
    <t>精致清洁车</t>
  </si>
  <si>
    <t>精致的清洁物品板车。合成可获得高级清洁车。</t>
  </si>
  <si>
    <t>高级清洁车</t>
  </si>
  <si>
    <t>高级清洁车，自带垃圾桶。合成可获得清洁收纳车。</t>
  </si>
  <si>
    <t>清洁收纳车</t>
  </si>
  <si>
    <t>清洁车，附带清洁工具收纳箱。合成可获得双层清洁车。</t>
  </si>
  <si>
    <t>双层清洁车</t>
  </si>
  <si>
    <t>拥有双层配置的清洁车。合成可获得豪华清洁车。</t>
  </si>
  <si>
    <t>豪华清洁车</t>
  </si>
  <si>
    <t>自带储物柜的清洁车。已升至最高级。</t>
  </si>
  <si>
    <t>瓜架木桩</t>
  </si>
  <si>
    <t>制造瓜架的木桩。合成至5级可获得母体作物。</t>
  </si>
  <si>
    <t>两根圆木桩</t>
  </si>
  <si>
    <t>两根绑在一起的木桩。合成至5级可获得母体作物。</t>
  </si>
  <si>
    <t>一堆圆木</t>
  </si>
  <si>
    <t>一堆原木桩。合成至5级可获得母体作物。</t>
  </si>
  <si>
    <t>瓜架铭牌</t>
  </si>
  <si>
    <t>带有铭牌的瓜架。合成至5级可获得母体作物。</t>
  </si>
  <si>
    <t>带叶瓜架</t>
  </si>
  <si>
    <t>一簇簇绿叶长在瓜架上。合成可获得茂盛瓜架。</t>
  </si>
  <si>
    <t>茂盛瓜架</t>
  </si>
  <si>
    <t>瓜架稠密，瓜叶隆盛。合成可获得丰收瓜架。</t>
  </si>
  <si>
    <t>丰收瓜架</t>
  </si>
  <si>
    <t>长满了鲜花的瓜架。已升至最高级。</t>
  </si>
  <si>
    <t>黄瓜芽</t>
  </si>
  <si>
    <t>地里的黄瓜藤，抽了新芽。合成可获得黄瓜藤。</t>
  </si>
  <si>
    <t>黄瓜藤</t>
  </si>
  <si>
    <t>黄瓜藤蔓，它长得多茂盛啊。合成可获得黄瓜花。</t>
  </si>
  <si>
    <t>黄瓜花</t>
  </si>
  <si>
    <t>黄瓜的花，自然是黄色的。合成可获得一根黄瓜。</t>
  </si>
  <si>
    <t>一根黄瓜</t>
  </si>
  <si>
    <t>纯天然，无污染。合成可获得黄瓜和切片</t>
  </si>
  <si>
    <t>黄瓜和切片</t>
  </si>
  <si>
    <t>看起来很好吃的样子。合成可获得两根黄瓜。</t>
  </si>
  <si>
    <t>两根黄瓜</t>
  </si>
  <si>
    <t>两根黄瓜，小美一个人就能吃光它们。合成可获得开花黄瓜。</t>
  </si>
  <si>
    <t>开花黄瓜</t>
  </si>
  <si>
    <t>黄与绿交汇，多美丽。合成可获得黄瓜装盘。</t>
  </si>
  <si>
    <t>黄瓜装盘</t>
  </si>
  <si>
    <t>美容养颜哦。合成可获得黄瓜拼盘。</t>
  </si>
  <si>
    <t>黄瓜拼盘</t>
  </si>
  <si>
    <t>加上了许多酱料，显得更可口了。合成可获得黄瓜罐头。</t>
  </si>
  <si>
    <t>黄瓜罐头</t>
  </si>
  <si>
    <t>罐装食品，随时随地都能享用哦。已升至最高等级。</t>
  </si>
  <si>
    <t>信封</t>
  </si>
  <si>
    <t>一个古朴的信封。合成至5级可获得母体作物。</t>
  </si>
  <si>
    <t>牛皮纸袋</t>
  </si>
  <si>
    <t>里面盛的是什么呢。合成至5级可获得母体作物。</t>
  </si>
  <si>
    <t>包邮信封</t>
  </si>
  <si>
    <t>包邮快递，使命必达。合成至5级可获得母体作物。</t>
  </si>
  <si>
    <t>包装纸板</t>
  </si>
  <si>
    <t>包装快递用的纸板。合成至5级可获得母体作物。</t>
  </si>
  <si>
    <t>快递纸箱</t>
  </si>
  <si>
    <t>小美的秘密，藏在里面。合成可获得密封纸箱。</t>
  </si>
  <si>
    <t>密封纸箱</t>
  </si>
  <si>
    <t>四角有保护，投递稳当当。合成可获得快递木箱。</t>
  </si>
  <si>
    <t>快递木箱</t>
  </si>
  <si>
    <t>密封的木箱，快递贵重物品。合成可获得金属快递柜。</t>
  </si>
  <si>
    <t>金属快递柜</t>
  </si>
  <si>
    <t>小美奶奶专用的箱子。已升至最高级。</t>
  </si>
  <si>
    <t>插线板</t>
  </si>
  <si>
    <t>奇怪的插线板，一开四孔？合成可获得手电筒。</t>
  </si>
  <si>
    <t>手电筒</t>
  </si>
  <si>
    <t>庭院里停电的夜晚，最需要它了。合成可获得拖线板。</t>
  </si>
  <si>
    <t>拖线板</t>
  </si>
  <si>
    <t>两个三角孔的高级插线板。合成可获得电风扇。</t>
  </si>
  <si>
    <t>电风扇</t>
  </si>
  <si>
    <t>老式的电风扇，小美用很久了。合成可获得台灯。</t>
  </si>
  <si>
    <t>台灯</t>
  </si>
  <si>
    <t>繁星的夜晚，灯下读书。合成可获得烧水壶。</t>
  </si>
  <si>
    <t>烧水壶</t>
  </si>
  <si>
    <t>小美最讨厌的话，“多喝热水哦！”合成可获得面包机。</t>
  </si>
  <si>
    <t>面包机</t>
  </si>
  <si>
    <t>面包弹出来的瞬间，有点帅呢。合成可获得熨斗。</t>
  </si>
  <si>
    <t>熨斗</t>
  </si>
  <si>
    <t>奶奶已经习惯使用它。合成可获得扫地机器人。</t>
  </si>
  <si>
    <t>扫地机器人</t>
  </si>
  <si>
    <t>它如果能说话就好了。合成可获得电饭煲。</t>
  </si>
  <si>
    <t>电饭煲</t>
  </si>
  <si>
    <t>干饭人的灵魂神器。合成可获得微波炉。</t>
  </si>
  <si>
    <t>微波炉</t>
  </si>
  <si>
    <t>最期待是那“叮”的一声。合成可获得空气炸锅。</t>
  </si>
  <si>
    <t>空气炸锅</t>
  </si>
  <si>
    <t>少油烹炸，健康的生活方式。合成可获得老式电视机。</t>
  </si>
  <si>
    <t>老式电视机</t>
  </si>
  <si>
    <t>奶奶的老物件，至今还能播放。合成可获得老式音响。</t>
  </si>
  <si>
    <t>老式音响</t>
  </si>
  <si>
    <t>嗯，它可响可响了！合成可获得空气净化机。</t>
  </si>
  <si>
    <t>空气净化机</t>
  </si>
  <si>
    <t>使用它后，连空气都是香甜的。已升至最高级。</t>
  </si>
  <si>
    <t>汤勺</t>
  </si>
  <si>
    <t>简单的汤勺。合成可获得削皮刀。</t>
  </si>
  <si>
    <t>削皮刀</t>
  </si>
  <si>
    <t>小美最喜欢用它削土豆。合成可获得锅铲。</t>
  </si>
  <si>
    <t>锅铲</t>
  </si>
  <si>
    <t>炒菜用的锅铲，粉色的把手。合成可获得漏勺。</t>
  </si>
  <si>
    <t>漏勺</t>
  </si>
  <si>
    <t>焯水、油炸，非它不可。合成可获得奶锅。</t>
  </si>
  <si>
    <t>奶锅</t>
  </si>
  <si>
    <t>煮一杯鲜奶，小美的一天开始了。合成可获得铸铁煎锅。</t>
  </si>
  <si>
    <t>铸铁煎锅</t>
  </si>
  <si>
    <t>铸铁锅，超沉的！合成可获得平底锅。</t>
  </si>
  <si>
    <t>平底锅</t>
  </si>
  <si>
    <t>记不清做了多少次生煎包了。合成可获得汤锅。</t>
  </si>
  <si>
    <t>汤锅</t>
  </si>
  <si>
    <t>今晚煮鸡汤还是蛋花汤呢？合成可获得圆肚汤锅。</t>
  </si>
  <si>
    <t>圆肚汤锅</t>
  </si>
  <si>
    <t>一个小目标，先煲它三个小时。合成可获得铜火锅。</t>
  </si>
  <si>
    <t>铜火锅</t>
  </si>
  <si>
    <t>全铜打造，吃火锅更带感了。已升至最高级。</t>
  </si>
  <si>
    <t>滑板</t>
  </si>
  <si>
    <t>让开让开！起飞了！合成可获得滑板车。</t>
  </si>
  <si>
    <t>滑板车</t>
  </si>
  <si>
    <t>小美儿时的最爱。合成可获得自行车。</t>
  </si>
  <si>
    <t>自行车</t>
  </si>
  <si>
    <t>造型别致的自行车。合成可获得双轮滑步车。</t>
  </si>
  <si>
    <t>双轮滑步车</t>
  </si>
  <si>
    <t>踩上去才知道它很稳。合成可获得小电车。</t>
  </si>
  <si>
    <t>小电车</t>
  </si>
  <si>
    <t>再小的电动车，也是新能源哦。合成可获得带篷摩托。</t>
  </si>
  <si>
    <t>带篷摩托</t>
  </si>
  <si>
    <t>自带顶棚，防雨防晒。合成可获得机车。</t>
  </si>
  <si>
    <t>机车</t>
  </si>
  <si>
    <t>俯下身子，做一个追风的少女。合成可获得小轿车。</t>
  </si>
  <si>
    <t>小轿车</t>
  </si>
  <si>
    <t>先要去申请个牌照。合成可获得飞机。</t>
  </si>
  <si>
    <t>飞机</t>
  </si>
  <si>
    <t>起飞起飞，真的起飞了。合成可获得不明飞行物。</t>
  </si>
  <si>
    <t>不明飞行物</t>
  </si>
  <si>
    <t>目标是星辰大海！已升至最高级。</t>
  </si>
  <si>
    <t>藤条</t>
  </si>
  <si>
    <t>编织菜篮子用的藤条。合成至5级可获得母体作物。</t>
  </si>
  <si>
    <t>背篓</t>
  </si>
  <si>
    <t>小背篓，晃悠悠。合成至5级可获得母体作物。</t>
  </si>
  <si>
    <t>藤框</t>
  </si>
  <si>
    <t>餐桌最靓的仔。合成至5级可获得母体作物。</t>
  </si>
  <si>
    <t>藤篮</t>
  </si>
  <si>
    <t>奶奶每次都会带着它。合成至5级可获得母体作物。</t>
  </si>
  <si>
    <t>圆形藤篮</t>
  </si>
  <si>
    <t>小美的衣物收纳篮。合成可获得菜篮。</t>
  </si>
  <si>
    <t>菜篮</t>
  </si>
  <si>
    <t>放了两颗白菜叶的菜篮子。合成可获得精致菜篮。</t>
  </si>
  <si>
    <t>精致菜篮</t>
  </si>
  <si>
    <t>你猜篮子里能放下几颗大白菜？合成可获得丰盛菜篮。</t>
  </si>
  <si>
    <t>丰盛菜篮</t>
  </si>
  <si>
    <t>菜篮底部垫了一张布。合成可获得丰收菜篮。</t>
  </si>
  <si>
    <t>丰收菜篮</t>
  </si>
  <si>
    <t>放满了各种蔬果的菜篮子。合成可获得小鸡篮子。</t>
  </si>
  <si>
    <t>小鸡篮子</t>
  </si>
  <si>
    <t>小鸡遇到了什么困难吗？已升至最高级。</t>
  </si>
  <si>
    <t>白菜叶</t>
  </si>
  <si>
    <t>一片白菜叶。合成可获得两片白菜叶。</t>
  </si>
  <si>
    <t>两片白菜叶</t>
  </si>
  <si>
    <t>自己吃呢？还是喂小兔兔？合成可获得半颗白菜。</t>
  </si>
  <si>
    <t>半颗白菜</t>
  </si>
  <si>
    <t>切开一半的白菜。合成可获得白菜。</t>
  </si>
  <si>
    <t>白菜</t>
  </si>
  <si>
    <t>一颗绿油油的白菜。合成可获得两颗白菜。</t>
  </si>
  <si>
    <t>两颗白菜</t>
  </si>
  <si>
    <t>两颗白菜，可以吃一周。合成可获得一堆白菜。</t>
  </si>
  <si>
    <t>一堆白菜</t>
  </si>
  <si>
    <t>开始囤白菜了吗？合成可获得一篮白菜。</t>
  </si>
  <si>
    <t>一篮白菜</t>
  </si>
  <si>
    <t>小美和奶奶两个人才拎的动。合成可获得一箱白菜。</t>
  </si>
  <si>
    <t>一箱白菜</t>
  </si>
  <si>
    <t>快递一箱白菜，远道而来。合成可获得白菜精灵。</t>
  </si>
  <si>
    <t>菜狗精灵碎片</t>
  </si>
  <si>
    <t>白菜成精，就是这个样子。已升至最高级。</t>
  </si>
  <si>
    <t>菜菜狗精灵</t>
  </si>
  <si>
    <t>汪汪汪~有一种神奇的能力！</t>
  </si>
  <si>
    <t>甜菜叶</t>
  </si>
  <si>
    <t>一片甜菜叶。合成可获得两片甜菜叶。</t>
  </si>
  <si>
    <t>两片甜菜叶</t>
  </si>
  <si>
    <t>两片甜菜的叶子。合成可获得甜菜叶堆。</t>
  </si>
  <si>
    <t>甜菜叶堆</t>
  </si>
  <si>
    <t>很多的甜菜叶子。合成可获得一颗甜菜。</t>
  </si>
  <si>
    <t>一颗甜菜</t>
  </si>
  <si>
    <t>它真的不是萝卜。合成可获得两颗甜菜。</t>
  </si>
  <si>
    <t>两颗甜菜</t>
  </si>
  <si>
    <t>两颗甜菜，甜甜圆圆。合成可获得一堆甜菜。</t>
  </si>
  <si>
    <t>一堆甜菜</t>
  </si>
  <si>
    <t>吃不完，可以囤起来呀。合成可获得甜菜沙拉。</t>
  </si>
  <si>
    <t>甜菜沙拉</t>
  </si>
  <si>
    <t>沙拉界新宠。合成可获得甜菜酱。</t>
  </si>
  <si>
    <t>甜菜酱</t>
  </si>
  <si>
    <t>甜菜做成的酱，佐菜良品。合成可获得甜菜汁。</t>
  </si>
  <si>
    <t>甜菜汁</t>
  </si>
  <si>
    <t>味道甜甜的，小美的心头好。合成可获得甜菜鱼碎片。</t>
  </si>
  <si>
    <t>甜菜鱼碎片</t>
  </si>
  <si>
    <t>这家伙怎么鱼头鱼脑的。合成可获得甜菜鱼精灵</t>
  </si>
  <si>
    <t>甜菜鱼精灵</t>
  </si>
  <si>
    <t>七彩绚丽的泡泡会有奇妙的魔法！</t>
  </si>
  <si>
    <t>脚手架</t>
  </si>
  <si>
    <t>一根普通的脚手架。合成至5级可获得母体作物。</t>
  </si>
  <si>
    <t>直角架</t>
  </si>
  <si>
    <t>制作暖棚的基础材料。合成至5级可获得母体作物。</t>
  </si>
  <si>
    <t>矩形架子</t>
  </si>
  <si>
    <t>脚手架拼成的矩形架。合成至5级可获得母体作物。</t>
  </si>
  <si>
    <t>矩形架体</t>
  </si>
  <si>
    <t>你看，架子已经成型了。合成至5级可获得母体作物。</t>
  </si>
  <si>
    <t>薄膜架</t>
  </si>
  <si>
    <t>架子上方，覆盖了一层保温薄膜。合成可获得初级暖棚。</t>
  </si>
  <si>
    <t>初级暖棚</t>
  </si>
  <si>
    <t>简单的尖角植物暖棚。合成可获得方形暖棚。</t>
  </si>
  <si>
    <t>方形暖棚</t>
  </si>
  <si>
    <t>初具规模的植物暖棚。合成可获得豪华暖棚。</t>
  </si>
  <si>
    <t>豪华暖棚</t>
  </si>
  <si>
    <t>植物暖棚的最佳代表之一。合成可获得双层暖棚。</t>
  </si>
  <si>
    <t>双层暖棚</t>
  </si>
  <si>
    <t>双层暖棚，可以容纳更多植物。合成可获得自动化暖棚。</t>
  </si>
  <si>
    <t>自动化暖棚</t>
  </si>
  <si>
    <t>三层的暖棚，采用了自动化技术。已升至最高级。</t>
  </si>
  <si>
    <t>芦荟切片</t>
  </si>
  <si>
    <t>薄薄的一片，可以用作面膜。合成可获得芦荟根茎。</t>
  </si>
  <si>
    <t>芦荟根茎</t>
  </si>
  <si>
    <t>草本芦荟，补水精华。合成可获得初生芦荟。</t>
  </si>
  <si>
    <t>初生芦荟</t>
  </si>
  <si>
    <t>刚长出的芦荟，嫩绿嫩绿的。合成可获得芦荟盆栽。</t>
  </si>
  <si>
    <t>芦荟盆栽</t>
  </si>
  <si>
    <t>小美卧室的窗前，摆放了一盆。合成可获得盆养芦荟。</t>
  </si>
  <si>
    <t>盆养芦荟</t>
  </si>
  <si>
    <t>使用了瓷盆。合成可获得高盆芦荟。</t>
  </si>
  <si>
    <t>高盆芦荟</t>
  </si>
  <si>
    <t>加了一个支架，升高高度。合成可获得高架芦荟。</t>
  </si>
  <si>
    <t>高架芦荟</t>
  </si>
  <si>
    <t>越高就长的越好。合成可获得芦荟盆植。</t>
  </si>
  <si>
    <t>芦荟盆植</t>
  </si>
  <si>
    <t>庭院最美的装饰之一。合成可获得芦荟景观。</t>
  </si>
  <si>
    <t>芦荟景观</t>
  </si>
  <si>
    <t>庭院里已经放不下了。合成可获得芦荟罗马柱。</t>
  </si>
  <si>
    <t>芦荟罗马柱</t>
  </si>
  <si>
    <t>庭院路边，摆放了两行芦荟罗马柱。已升至最高级。</t>
  </si>
  <si>
    <t>郁金香花瓣</t>
  </si>
  <si>
    <t>花瓣的清香，来自花蕊。合成可获得郁金香花瓣堆。</t>
  </si>
  <si>
    <t>郁金香花瓣堆</t>
  </si>
  <si>
    <t>闭上眼睛，香气更浓郁了。合成可获得一支郁金香。</t>
  </si>
  <si>
    <t>一支郁金香</t>
  </si>
  <si>
    <t>小美准备把它送给奶奶。合成可获得双色郁金香。</t>
  </si>
  <si>
    <t>双色郁金香</t>
  </si>
  <si>
    <t>红花和黄花，两相得宜。合成可获得一瓶郁金香。</t>
  </si>
  <si>
    <t>一瓶郁金香</t>
  </si>
  <si>
    <t>郁金香离开大地，美丽了庭院。合成可获得郁金香礼盒。</t>
  </si>
  <si>
    <t>郁金香礼盒</t>
  </si>
  <si>
    <t>精致的礼盒，送给谁的呢？合成可获得郁金香花束。</t>
  </si>
  <si>
    <t>郁金香花束</t>
  </si>
  <si>
    <t>带着它，看望想念的人吧！合成可获得郁金香花瓶。</t>
  </si>
  <si>
    <t>郁金香花瓶</t>
  </si>
  <si>
    <t>白色的瓷瓶，尽显高雅。合成可获得郁金香花篮。</t>
  </si>
  <si>
    <t>郁金香花篮</t>
  </si>
  <si>
    <t>满满当当的一篮子郁金香。合成可获得郁金香精灵材料。</t>
  </si>
  <si>
    <t>郁金香精灵碎片</t>
  </si>
  <si>
    <t>郁金香精灵材料。已合成至最高级。</t>
  </si>
  <si>
    <t>郁金香精灵</t>
  </si>
  <si>
    <t>水果盘</t>
  </si>
  <si>
    <t>普通的圆形水果盘。合成至5级可获得母体作物。</t>
  </si>
  <si>
    <t>异型水果盘</t>
  </si>
  <si>
    <t>造型奇怪的水果盘。合成至5级可获得母体作物。</t>
  </si>
  <si>
    <t>手提水果盘</t>
  </si>
  <si>
    <t>给它装上满满的水果吧。合成至5级可获得母体作物。</t>
  </si>
  <si>
    <t>水果篮</t>
  </si>
  <si>
    <t>空的手提水果篮。合成至5级可获得母体作物。</t>
  </si>
  <si>
    <t>精美水果篮</t>
  </si>
  <si>
    <t>装有一些水果的编织篮子。合成可获得豪华水果篮。</t>
  </si>
  <si>
    <t>豪华水果篮</t>
  </si>
  <si>
    <t>精致的水果篮，放满了水果。合成可获得单排水果架。</t>
  </si>
  <si>
    <t>单排水果架</t>
  </si>
  <si>
    <t>单排水果架，装有好多水果。合成获得双排水果架。</t>
  </si>
  <si>
    <t>双排水果架</t>
  </si>
  <si>
    <t>小美上次见到它，还是在一个度假酒店。已升至最高级。</t>
  </si>
  <si>
    <t>青葡萄</t>
  </si>
  <si>
    <t>一颗青涩的葡萄。合成可获得紫葡萄。</t>
  </si>
  <si>
    <t>紫葡萄</t>
  </si>
  <si>
    <t>一个紫色的葡萄。合成可获得两颗葡萄。</t>
  </si>
  <si>
    <t>两颗葡萄</t>
  </si>
  <si>
    <t>看样子，葡萄已经熟透了。合成可获得很多葡萄。</t>
  </si>
  <si>
    <t>很多葡萄</t>
  </si>
  <si>
    <t>许多紫色的葡萄粒。合成可获得新鲜葡萄。</t>
  </si>
  <si>
    <t>新鲜葡萄</t>
  </si>
  <si>
    <t>新鲜采摘的葡萄，还带着绿叶。合成可获得一串葡萄。</t>
  </si>
  <si>
    <t>一串葡萄</t>
  </si>
  <si>
    <t>诱人的紫葡萄，散发着迷人香味。合成可获得大串葡萄。</t>
  </si>
  <si>
    <t>大串葡萄</t>
  </si>
  <si>
    <t>适合作礼物的大串葡萄。合成可获得葡萄贮藏箱。</t>
  </si>
  <si>
    <t>葡萄贮藏箱</t>
  </si>
  <si>
    <t>满满当当的葡萄，箱子都放不下。合成可获得葡萄方箱。</t>
  </si>
  <si>
    <t>葡萄方箱</t>
  </si>
  <si>
    <t>古朴的箱子，放最优质的葡萄。合成可获得葡萄精灵碎片。</t>
  </si>
  <si>
    <t>葡萄精灵碎片</t>
  </si>
  <si>
    <t>葡萄精灵合成材料。合成有几率捕获精灵哦。</t>
  </si>
  <si>
    <t>时光喵精灵</t>
  </si>
  <si>
    <t>在时光之河中恣意徜徉。</t>
  </si>
  <si>
    <t>初生草莓</t>
  </si>
  <si>
    <t>刚刚长出来的草莓，青涩。合成可获得生长草莓。</t>
  </si>
  <si>
    <t>生长草莓</t>
  </si>
  <si>
    <t>生长期的草莓。合成可获得渐熟草莓。</t>
  </si>
  <si>
    <t>渐熟草莓</t>
  </si>
  <si>
    <t>已经熟了一半的草莓。合成可获得熟成草莓。</t>
  </si>
  <si>
    <t>熟成草莓</t>
  </si>
  <si>
    <t>红色的草莓，完全成熟了。合成可获得草莓与花。</t>
  </si>
  <si>
    <t>草莓与花</t>
  </si>
  <si>
    <t>草莓与草莓花。合成可获得两颗草莓。</t>
  </si>
  <si>
    <t>两颗草莓</t>
  </si>
  <si>
    <t>两颗草莓，不会孤独。合成可获得一堆草莓。</t>
  </si>
  <si>
    <t>一堆草莓</t>
  </si>
  <si>
    <t>一堆草莓，摆出诱人的pose。合成可获得草莓礼盒。</t>
  </si>
  <si>
    <t>草莓礼盒</t>
  </si>
  <si>
    <t>一盒草莓，赠友佳品。合成可获得一箱草莓。</t>
  </si>
  <si>
    <t>一箱草莓</t>
  </si>
  <si>
    <t>精致的箱装草莓。合成可获得草莓精灵碎片。</t>
  </si>
  <si>
    <t>草莓精灵碎片</t>
  </si>
  <si>
    <t>草莓海豚，不仅要甜，还要远航。合成可获得草莓精灵</t>
  </si>
  <si>
    <t>草莓精灵</t>
  </si>
  <si>
    <t>要抓到我没那么容易</t>
  </si>
  <si>
    <t>1级草莓盲盒</t>
  </si>
  <si>
    <t>2级草莓盲盒</t>
  </si>
  <si>
    <t>3级草莓盲盒</t>
  </si>
  <si>
    <t>4级草莓盲盒</t>
  </si>
  <si>
    <t>5级草莓盲盒</t>
  </si>
  <si>
    <t>初级幻灵盲盒</t>
  </si>
  <si>
    <t>双击后概率产出各种奖励,可开启5次</t>
  </si>
  <si>
    <t>中级幻灵盲盒</t>
  </si>
  <si>
    <t>高级幻灵盲盒</t>
  </si>
  <si>
    <t>双击产出奖励，可开启5次；每开启100次以内必出万花筒</t>
  </si>
  <si>
    <t>玩具屋</t>
  </si>
  <si>
    <t>作物描述文本，最多40个文字合成可获得玩具屋。</t>
  </si>
  <si>
    <t>作物描述文本，最多40个文字合成可获得模型玩具。</t>
  </si>
  <si>
    <t>模型玩具</t>
  </si>
  <si>
    <t>作物描述文本，最多40个文字合成可获得小首饰盒。</t>
  </si>
  <si>
    <t>小首饰盒</t>
  </si>
  <si>
    <t>简单首饰盒。合成至5级可获得母体作物。</t>
  </si>
  <si>
    <t>祖母绿戒指盒</t>
  </si>
  <si>
    <t>盒内一枚祖母绿的戒指。合成至5级可获得母体作物。</t>
  </si>
  <si>
    <t>心形戒指盒</t>
  </si>
  <si>
    <t>心状的戒指盒。合成至5级可获得母体作物。</t>
  </si>
  <si>
    <t>精致首饰</t>
  </si>
  <si>
    <t>何以致区区？合成至5级可获得母体作物。</t>
  </si>
  <si>
    <t>双层首饰盒</t>
  </si>
  <si>
    <t>带两个抽屉的首饰盒。合成可获得三层首饰盒。</t>
  </si>
  <si>
    <t>三层首饰盒</t>
  </si>
  <si>
    <t>奶奶的全部首饰，都在这里。合成可获得实木首饰盒。</t>
  </si>
  <si>
    <t>实木首饰盒</t>
  </si>
  <si>
    <t>给首饰木盒刷上少女的颜色。合成可获得高档首饰盒。</t>
  </si>
  <si>
    <t>高档首饰盒</t>
  </si>
  <si>
    <t>首饰们也有了自己的小房间。合成可获得双门首饰盒。</t>
  </si>
  <si>
    <t>双门首饰盒</t>
  </si>
  <si>
    <t>双开门的设计像衣橱一样。合成可获得复古首饰盒。</t>
  </si>
  <si>
    <t>复古首饰盒</t>
  </si>
  <si>
    <t>最珍贵的首饰放在底层的秘密抽屉里。已升至最高级。</t>
  </si>
  <si>
    <t>发卡</t>
  </si>
  <si>
    <t>星星发卡，星空蕴在发端。合成可获得丝巾。</t>
  </si>
  <si>
    <t>丝巾</t>
  </si>
  <si>
    <t>丝绸做的丝巾，名贵顺滑。合成可获得发箍。</t>
  </si>
  <si>
    <t>发箍</t>
  </si>
  <si>
    <t>朴实无华的发箍，小美常用之物。合成可获得心形项链。</t>
  </si>
  <si>
    <t>心形项链</t>
  </si>
  <si>
    <t>红色的宝石，让项链熠熠生辉。合成可获得宝石戒指。</t>
  </si>
  <si>
    <t>宝石戒指</t>
  </si>
  <si>
    <t>红宝石与金戒更搭配。合成可获得宝石耳坠。</t>
  </si>
  <si>
    <t>宝石耳坠</t>
  </si>
  <si>
    <t>带上它，更出挑。合成可获得宝石项链。</t>
  </si>
  <si>
    <t>宝石项链</t>
  </si>
  <si>
    <t>祖母绿的宝石，画龙点睛。合成可获得金色皇冠。</t>
  </si>
  <si>
    <t>金色皇冠</t>
  </si>
  <si>
    <t>气质已经烘托到这里了。合成可获得玛瑙皇冠。</t>
  </si>
  <si>
    <t>玛瑙皇冠</t>
  </si>
  <si>
    <t>顶上镶嵌有一颗红玛瑙。合成可获得神圣皇冠。</t>
  </si>
  <si>
    <t>神圣皇冠</t>
  </si>
  <si>
    <t>放在布上的皇冠，是最有诱惑力的。已升至最高等级。</t>
  </si>
  <si>
    <t>卡包</t>
  </si>
  <si>
    <t>普通的卡包。合成至5级可获得母体作物。</t>
  </si>
  <si>
    <t>手包</t>
  </si>
  <si>
    <t>随手携带的包。合成至5级可获得母体作物。</t>
  </si>
  <si>
    <t>手提包</t>
  </si>
  <si>
    <t>古朴的手提包。合成至5级可获得母体作物。</t>
  </si>
  <si>
    <t>斜挎包</t>
  </si>
  <si>
    <t>棱角分明的挎包。合成至5级可获得母体作物。</t>
  </si>
  <si>
    <t>古典手提包</t>
  </si>
  <si>
    <t>手提包装以金饰。合成至高等级可获得母体作物。</t>
  </si>
  <si>
    <t>气质手提包</t>
  </si>
  <si>
    <t>很有古韵的包包。合成可获得豪华手提包。</t>
  </si>
  <si>
    <t>豪华手提包</t>
  </si>
  <si>
    <t>非常豪华的限量包。已升至最高级。</t>
  </si>
  <si>
    <t>棉花</t>
  </si>
  <si>
    <t>一团棉花。合成可获得纽扣。</t>
  </si>
  <si>
    <t>纽扣</t>
  </si>
  <si>
    <t>两颗纽扣。合成可获得棉线。</t>
  </si>
  <si>
    <t>棉线</t>
  </si>
  <si>
    <t>面线轴，编制毛衣的优质材料。合成可获得纺纱轴。</t>
  </si>
  <si>
    <t>纺纱轴</t>
  </si>
  <si>
    <t>洁白细腻的纺纱布。合成可获得彩色毛线。</t>
  </si>
  <si>
    <t>彩色毛线</t>
  </si>
  <si>
    <t>一盒彩色毛线，织出缤纷的衣物。合成可获得小风铃。</t>
  </si>
  <si>
    <t>小风铃</t>
  </si>
  <si>
    <t>风儿吹进来时，它会唱歌。合成可获得布娃娃。</t>
  </si>
  <si>
    <t>布娃娃</t>
  </si>
  <si>
    <t>可爱的布娃娃，没有头发。合成可获得蝴蝶结娃娃。</t>
  </si>
  <si>
    <t>蝴蝶结娃娃</t>
  </si>
  <si>
    <t>带着蝴蝶结的布娃娃。合成可获得少女布娃娃。</t>
  </si>
  <si>
    <t>少女布娃娃</t>
  </si>
  <si>
    <t>瞧她的样子，在笑呢。合成可获得精致娃娃。</t>
  </si>
  <si>
    <t>精致娃娃</t>
  </si>
  <si>
    <t>带着发箍的精致布娃娃，多开心呀。已升至最高级。</t>
  </si>
  <si>
    <t>黄梨玩偶</t>
  </si>
  <si>
    <t>黄色的梨子形状布偶。合成可获得鸭鸭玩偶。</t>
  </si>
  <si>
    <t>鸭鸭玩偶</t>
  </si>
  <si>
    <t>小鸭子张大嘴巴，嘎嘎。合成可获得猫咪玩偶。</t>
  </si>
  <si>
    <t>猫咪玩偶</t>
  </si>
  <si>
    <t>小灰猫呆萌呆萌的。合成可获得斑点狗玩偶。</t>
  </si>
  <si>
    <t>斑点狗玩偶</t>
  </si>
  <si>
    <t>斑点狗趴在地上。合成可获得猪猪玩偶。</t>
  </si>
  <si>
    <t>猪猪玩偶</t>
  </si>
  <si>
    <t>小猪猪戴了顶帽子。合成可获得猴子玩偶。</t>
  </si>
  <si>
    <t>猴子玩偶</t>
  </si>
  <si>
    <t>香蕉呢，猴子的最爱啦。合成可获得小熊玩偶。</t>
  </si>
  <si>
    <t>小熊玩偶</t>
  </si>
  <si>
    <t>小熊系着一个蝴蝶结。合成可获得独角兽玩偶。</t>
  </si>
  <si>
    <t>独角兽玩偶</t>
  </si>
  <si>
    <t>金黄的独角兽，带着一双翅膀。合成可获得小羊玩偶。</t>
  </si>
  <si>
    <t>小羊玩偶</t>
  </si>
  <si>
    <t>可爱小羊，浑身毛茸茸的。合成可获得松鼠玩偶。</t>
  </si>
  <si>
    <t>松鼠玩偶</t>
  </si>
  <si>
    <t>紧紧抱住一颗栗子，不会松手的。合成后可获得小熊精灵碎片。</t>
  </si>
  <si>
    <t>小熊精灵碎片</t>
  </si>
  <si>
    <t>两个小熊精灵碎片合成，有几率捕获精灵哦。</t>
  </si>
  <si>
    <t>小熊精灵</t>
  </si>
  <si>
    <t>哦吼，不要随意点我嚄！</t>
  </si>
  <si>
    <t>蝴蝶结</t>
  </si>
  <si>
    <t>小美最常戴的发饰。合成可获得美妆蛋。</t>
  </si>
  <si>
    <t>美妆蛋</t>
  </si>
  <si>
    <t>上粉底专用，软软的，弹弹的。合成可获得镜子。</t>
  </si>
  <si>
    <t>镜子</t>
  </si>
  <si>
    <t>带把手的小镜子，可以随身携带。合成可获得睫毛夹。</t>
  </si>
  <si>
    <t>睫毛夹</t>
  </si>
  <si>
    <t>轻轻一夹，弯弯的睫毛出来了。合成可获得眉笔。</t>
  </si>
  <si>
    <t>眉笔</t>
  </si>
  <si>
    <t>轻轻巧巧的眉笔。合成可获得眼线笔。</t>
  </si>
  <si>
    <t>眼线笔</t>
  </si>
  <si>
    <t>精致的眼线笔，造型独特。合成可获得防晒霜。</t>
  </si>
  <si>
    <t>防晒霜</t>
  </si>
  <si>
    <t>夏日出门必备单品。合成可获得口红。</t>
  </si>
  <si>
    <t>口红</t>
  </si>
  <si>
    <t>口红的味道，是甜甜的。合成可获得化妆盒。</t>
  </si>
  <si>
    <t>化妆盒</t>
  </si>
  <si>
    <t>简单的化妆盒子。合成可获得腮红。</t>
  </si>
  <si>
    <t>腮红</t>
  </si>
  <si>
    <t>精致的腮红。合成可获得四色眼影。</t>
  </si>
  <si>
    <t>四色眼影</t>
  </si>
  <si>
    <t>盛放四色眼影的美妆盒子。合成可获得六色眼影。</t>
  </si>
  <si>
    <t>六色眼影</t>
  </si>
  <si>
    <t>盛放六色眼影的美妆盒子。合成可获得美妆工具。</t>
  </si>
  <si>
    <t>美妆工具</t>
  </si>
  <si>
    <t>各式的美妆工具，样样齐全。已升至最高级。</t>
  </si>
  <si>
    <t>冰</t>
  </si>
  <si>
    <t>一块冰，融化了一半。合成至5级可获得母体作物。</t>
  </si>
  <si>
    <t>冰块</t>
  </si>
  <si>
    <t>一堆冰块，即将融化。合成至5级可获得母体作物。</t>
  </si>
  <si>
    <t>大冰块</t>
  </si>
  <si>
    <t>光滑表面，清凉内里。合成至5级可获得母体作物。</t>
  </si>
  <si>
    <t>冰盒</t>
  </si>
  <si>
    <t>冰制盒子，尽是清凉。合成至5级可获得母体作物。</t>
  </si>
  <si>
    <t>冰柜</t>
  </si>
  <si>
    <t>冷饮柜子，夏天的保命神器。合成可获得立式冰柜。</t>
  </si>
  <si>
    <t>立式冰柜</t>
  </si>
  <si>
    <t>巨大的冰柜，可容纳巨多东西。合成可获得双门冰柜。</t>
  </si>
  <si>
    <t>双门冰柜</t>
  </si>
  <si>
    <t>比单门冰箱方便多啦。合成可获得保鲜冰柜。</t>
  </si>
  <si>
    <t>保鲜冰柜</t>
  </si>
  <si>
    <t>上层放快乐水，下层也放快乐水！合成可获得法式冰箱。</t>
  </si>
  <si>
    <t>法式冰箱</t>
  </si>
  <si>
    <t>颜值超高，功能超强。合成可获得高科技冰箱。</t>
  </si>
  <si>
    <t>高科技冰箱</t>
  </si>
  <si>
    <t>科技感满满，冰箱中的爱马仕。已升至最高级。</t>
  </si>
  <si>
    <t>可乐杯</t>
  </si>
  <si>
    <t>空空的可乐杯。合成可获得半杯可乐。</t>
  </si>
  <si>
    <t>半杯可乐</t>
  </si>
  <si>
    <t>半杯可乐，丝丝凉意。合成可获得罐装可乐。</t>
  </si>
  <si>
    <t>罐装可乐</t>
  </si>
  <si>
    <t>罐装快乐水，小美的最爱。合成可获得两听可乐。</t>
  </si>
  <si>
    <t>两听可乐</t>
  </si>
  <si>
    <t>两听可乐，偷偷喝掉它。合成可获得经典可乐。</t>
  </si>
  <si>
    <t>经典可乐</t>
  </si>
  <si>
    <t>经典瓶身，握持感超佳。合成可获得开盖快乐水。</t>
  </si>
  <si>
    <t>开盖快乐水</t>
  </si>
  <si>
    <t>是谁偷开了其中一瓶？合成可获得冰桶可乐。</t>
  </si>
  <si>
    <t>冰桶可乐</t>
  </si>
  <si>
    <t>可乐加冰块，凉爽更加快。合成可获得一筐可乐。</t>
  </si>
  <si>
    <t>一筐可乐</t>
  </si>
  <si>
    <t>一筐可乐，放在房间的客厅。合成可获得一堆可乐。</t>
  </si>
  <si>
    <t>一堆可乐</t>
  </si>
  <si>
    <t>一大堆可乐，纵情快乐。合成可获得可乐机。</t>
  </si>
  <si>
    <t>可乐机</t>
  </si>
  <si>
    <t>可乐制造机器。已升至最高级。</t>
  </si>
  <si>
    <t>半杯咖啡</t>
  </si>
  <si>
    <t>仅余半杯的咖啡。合成可获得一杯咖啡。</t>
  </si>
  <si>
    <t>一杯咖啡</t>
  </si>
  <si>
    <t>刚刚冲泡的一杯现磨咖啡。合成可获得意式咖啡。</t>
  </si>
  <si>
    <t>意式咖啡</t>
  </si>
  <si>
    <t>简单的一杯意式咖啡。合成可获得拿铁。</t>
  </si>
  <si>
    <t>拿铁</t>
  </si>
  <si>
    <t>拿铁咖啡，牛奶与咖啡的碰撞。合成可获得外送咖啡。</t>
  </si>
  <si>
    <t>外送咖啡</t>
  </si>
  <si>
    <t>点一杯咖啡，舒缓心神。合成可获得精致咖啡。</t>
  </si>
  <si>
    <t>精致咖啡</t>
  </si>
  <si>
    <t>咖啡的香味弥漫在空气中。合成可获得手冲咖啡。</t>
  </si>
  <si>
    <t>手冲咖啡</t>
  </si>
  <si>
    <t>手冲加现磨，咖啡的仪式感。合成可获得咖啡与糖。</t>
  </si>
  <si>
    <t>咖啡与糖</t>
  </si>
  <si>
    <t>苦与甜，碰撞的醇香。合成可获得咖啡饼干。</t>
  </si>
  <si>
    <t>咖啡饼干</t>
  </si>
  <si>
    <t>咖啡和饼干，下午茶的标配。合成可获得咖啡套装。</t>
  </si>
  <si>
    <t>咖啡套装</t>
  </si>
  <si>
    <t>精致的咖啡壶，开启满室醇香。已升至最高级。</t>
  </si>
  <si>
    <t>果汁杯</t>
  </si>
  <si>
    <t>空空的果汁杯。合成可获得凉白开。</t>
  </si>
  <si>
    <t>凉白开</t>
  </si>
  <si>
    <t>无色无味，却最纯真。合成可获得橙汁。</t>
  </si>
  <si>
    <t>橙汁</t>
  </si>
  <si>
    <t>酸酸甜甜，小美爱极了它。合成可获得芒果汁。</t>
  </si>
  <si>
    <t>芒果汁</t>
  </si>
  <si>
    <t>黄色的果汁，浓郁的芒果香。合成可获得海滩冷饮。</t>
  </si>
  <si>
    <t>海滩冷饮</t>
  </si>
  <si>
    <t>迎面吹着海风，凉意直入心中。合成可获得胡萝卜汁。</t>
  </si>
  <si>
    <t>胡萝卜汁</t>
  </si>
  <si>
    <t>维生素的秘密，藏在这里。合成可获得热带冷饮。</t>
  </si>
  <si>
    <t>热带冷饮</t>
  </si>
  <si>
    <t>一站到马尔代夫。合成可获得果汁壶。</t>
  </si>
  <si>
    <t>果汁壶</t>
  </si>
  <si>
    <t>满满一壶果汁，盛满了奶奶的爱。合成可获得樱桃果汁。</t>
  </si>
  <si>
    <t>樱桃果汁</t>
  </si>
  <si>
    <t>樱桃挂在杯壁，发出诱人的邀请。合成可获得果汁精灵碎片。</t>
  </si>
  <si>
    <t>果汁鸟精灵碎片</t>
  </si>
  <si>
    <t>果汁鸟精灵的碎片。合成可获得果汁鸟精灵。</t>
  </si>
  <si>
    <t>果汁鸟精灵</t>
  </si>
  <si>
    <t>“体力什么的，我最不需要了。”</t>
  </si>
  <si>
    <t>半个雪糕</t>
  </si>
  <si>
    <t>雪糕在阳光下，渐渐融化。合成可获得一根雪糕。</t>
  </si>
  <si>
    <t>一根雪糕</t>
  </si>
  <si>
    <t>小美偷偷的尝了一口，冰爽。合成可获得果橙雪糕。</t>
  </si>
  <si>
    <t>果橙雪糕</t>
  </si>
  <si>
    <t>浓浓的奶油，冰爽的凉意。合成可获得巧克力雪糕。</t>
  </si>
  <si>
    <t>巧克力雪糕</t>
  </si>
  <si>
    <t>散发着浓郁的巧克力香味。合成可获得冰激凌。</t>
  </si>
  <si>
    <t>冰激凌</t>
  </si>
  <si>
    <t>简单的冰激凌。合成可获得樱桃冰激凌。</t>
  </si>
  <si>
    <t>樱桃冰激凌</t>
  </si>
  <si>
    <t>诱人的樱桃，融化在目光里。合成可获得冰激凌甜筒。</t>
  </si>
  <si>
    <t>冰激凌甜筒</t>
  </si>
  <si>
    <t>没有人能抵挡住它的诱惑。合成可获得冰激凌高脚杯。</t>
  </si>
  <si>
    <t>冰激凌高脚杯</t>
  </si>
  <si>
    <t>冰激凌和巧克力棒的碰撞。合成可获得奶油冰激凌。</t>
  </si>
  <si>
    <t>奶油冰激凌</t>
  </si>
  <si>
    <t>表面流淌着奶油。合成可获得豪华冰激凌。</t>
  </si>
  <si>
    <t>豪华冰激凌</t>
  </si>
  <si>
    <t>梦想中的冰激凌。已升至最高级。</t>
  </si>
  <si>
    <t>蛋糕模具</t>
  </si>
  <si>
    <t>制作奶酪蛋糕的模具。合成至5级可获得母体作物。</t>
  </si>
  <si>
    <t>打蛋器</t>
  </si>
  <si>
    <t>快速搅动，鸡蛋打发。合成至5级可获得母体作物。</t>
  </si>
  <si>
    <t>蛋液盆</t>
  </si>
  <si>
    <t>搅打鸡蛋液的盆。合成至5级可获得母体作物。</t>
  </si>
  <si>
    <t>厨师机</t>
  </si>
  <si>
    <t>厨师必备的厨房神器。合成至5级可获得母体作物。</t>
  </si>
  <si>
    <t>烤箱</t>
  </si>
  <si>
    <t>面包烤箱，金黄的面包就要出炉。合成可获得蛋糕橱窗。</t>
  </si>
  <si>
    <t>蛋糕橱窗</t>
  </si>
  <si>
    <t>盛放各色蛋糕的橱窗。合成可获得甜品小推车。</t>
  </si>
  <si>
    <t>甜品小推车</t>
  </si>
  <si>
    <t>摆摊首选小推车。合成可获得移动甜品车。</t>
  </si>
  <si>
    <t>移动甜品车</t>
  </si>
  <si>
    <t>在城市的各个角落售卖甜品。合成可获得甜品三轮车。</t>
  </si>
  <si>
    <t>甜品三轮车</t>
  </si>
  <si>
    <t>下雨不怕，城管也不怕~合成可获得四轮小吃车。</t>
  </si>
  <si>
    <t>四轮小吃车</t>
  </si>
  <si>
    <t>即可出餐也可休息，打工人契合度一百分。已升至最高级。</t>
  </si>
  <si>
    <t>一片面包</t>
  </si>
  <si>
    <t>一片简单的面包。合成可获得马卡龙。</t>
  </si>
  <si>
    <t>马卡龙</t>
  </si>
  <si>
    <t>两个法式马卡龙。合成可获得甜甜圈。</t>
  </si>
  <si>
    <t>甜甜圈</t>
  </si>
  <si>
    <t>诱人的甜甜圈。合成可获得奶油蛋糕。</t>
  </si>
  <si>
    <t>奶油蛋糕</t>
  </si>
  <si>
    <t>诱人的奶油光泽。合成可获得草莓小蛋糕。</t>
  </si>
  <si>
    <t>草莓小蛋糕</t>
  </si>
  <si>
    <t>简单的草莓蛋糕。合成可获得草莓卷。</t>
  </si>
  <si>
    <t>草莓卷</t>
  </si>
  <si>
    <t>草莓、奶油、蛋糕卷。合成可获得草莓蛋糕块。</t>
  </si>
  <si>
    <t>草莓蛋糕块</t>
  </si>
  <si>
    <t>一块草莓蛋糕。合成可获得草莓三明治。</t>
  </si>
  <si>
    <t>草莓三明治</t>
  </si>
  <si>
    <t>草莓和蓝莓做成的三明治。合成可获得豪华三明治。</t>
  </si>
  <si>
    <t>豪华三明治</t>
  </si>
  <si>
    <t>配料丰富的豪华三明治。合成可获得生日蛋糕。</t>
  </si>
  <si>
    <t>生日蛋糕</t>
  </si>
  <si>
    <t>缺了一角的生日蛋糕。已合成至最高等级。</t>
  </si>
  <si>
    <t>糖豆</t>
  </si>
  <si>
    <t>几颗色彩缤纷的糖豆。合成可获得糖。</t>
  </si>
  <si>
    <t>糖</t>
  </si>
  <si>
    <t>一块粉白相间的糖。合成可获得糖果。</t>
  </si>
  <si>
    <t>糖果</t>
  </si>
  <si>
    <t>一个糖果，包着糖衣。合成可获得椰子糖。</t>
  </si>
  <si>
    <t>椰子糖</t>
  </si>
  <si>
    <t>隔着糖衣也能闻到浓浓椰香。合成可获得棒棒糖。</t>
  </si>
  <si>
    <t>棒棒糖</t>
  </si>
  <si>
    <t>小朋友难以抗拒的诱惑。合成可获得球形棒棒糖。</t>
  </si>
  <si>
    <t>球形棒棒糖</t>
  </si>
  <si>
    <t>棒棒糖的脑袋上，开着一朵花。合成可获得大棒棒糖。</t>
  </si>
  <si>
    <t>大棒棒糖</t>
  </si>
  <si>
    <t>巨大的棒棒糖。合成可获得星星棒棒糖。</t>
  </si>
  <si>
    <t>星星棒棒糖</t>
  </si>
  <si>
    <t>没有星星亮，却比星星甜。合成可获得棒棒糖礼物。</t>
  </si>
  <si>
    <t>棒棒糖礼物</t>
  </si>
  <si>
    <t>小美收到的棒棒糖礼物。合成可获得糖小熊。</t>
  </si>
  <si>
    <t>糖小熊</t>
  </si>
  <si>
    <t>粉粉的，软软的，甜甜的。已升至最高级。</t>
  </si>
  <si>
    <t>烧烤叉</t>
  </si>
  <si>
    <t>烧烤专用叉子。合成至5级可获得母体作物。</t>
  </si>
  <si>
    <t>烤鱼架</t>
  </si>
  <si>
    <t>烤鱼用的钢架。合成至5级可获得母体作物。</t>
  </si>
  <si>
    <t>野餐炉</t>
  </si>
  <si>
    <t>简单的野餐炉子。合成至5级可获得母体作物。</t>
  </si>
  <si>
    <t>忙碌野餐炉</t>
  </si>
  <si>
    <t>生火中的野餐炉。合成至5级可获得母体作物。</t>
  </si>
  <si>
    <t>烤肉架</t>
  </si>
  <si>
    <t>散发着浓郁的肉香。合成可获得更高级母体作物。</t>
  </si>
  <si>
    <t>简易烤串炉</t>
  </si>
  <si>
    <t>简单的烤串架。合成可获得更高级母体作物。</t>
  </si>
  <si>
    <t>烧烤架</t>
  </si>
  <si>
    <t>家用的烧烤架。合成可获得更高级母体作物。</t>
  </si>
  <si>
    <t>豪华烧烤架</t>
  </si>
  <si>
    <t>奢华的烧烤架。已升至最高级。</t>
  </si>
  <si>
    <t>烤韭菜</t>
  </si>
  <si>
    <t>韭菜烤串。合成可获得烤素鸡。</t>
  </si>
  <si>
    <t>烤素鸡</t>
  </si>
  <si>
    <t>素鸡烤串。合成可获得香菇烤串。</t>
  </si>
  <si>
    <t>香菇烤串</t>
  </si>
  <si>
    <t>烧烤香菇串。合成可获得金针菇肉卷。</t>
  </si>
  <si>
    <t>金针菇肉卷</t>
  </si>
  <si>
    <t>金针菇和肉肉的组合。合成可获得黄瓜烤串。</t>
  </si>
  <si>
    <t>黄瓜烤串</t>
  </si>
  <si>
    <t>荤与素的碰撞。合成可获得龙虾烤串。</t>
  </si>
  <si>
    <t>龙虾烤串</t>
  </si>
  <si>
    <t>去头的龙虾烤串。合成可获得鱿鱼串。</t>
  </si>
  <si>
    <t>鱿鱼串</t>
  </si>
  <si>
    <t>烧烤鱿鱼串。合成可获得肉丸单品。</t>
  </si>
  <si>
    <t>肉丸单品</t>
  </si>
  <si>
    <t>单点的肉丸。合成可获得烤鸡腿。</t>
  </si>
  <si>
    <t>烤鸡腿</t>
  </si>
  <si>
    <t>两根香辣烤鸡腿。合成可获得碳烤生蚝。</t>
  </si>
  <si>
    <t>碳烤生蚝</t>
  </si>
  <si>
    <t>可口的烧烤食物，大排档必不可少。合成可获得烤鱼。</t>
  </si>
  <si>
    <t>烤鱼</t>
  </si>
  <si>
    <t>外酥里嫩的鱼肉。合成可获得烤火鸡。</t>
  </si>
  <si>
    <t>烤火鸡</t>
  </si>
  <si>
    <t>超大的火鸡，全家共享。已合成至最高级。</t>
  </si>
  <si>
    <t>晾衣架</t>
  </si>
  <si>
    <t>普通的塑料晾衣架。合成至5级可获得母体作物。</t>
  </si>
  <si>
    <t>木质晾衣架</t>
  </si>
  <si>
    <t>木制晾衣架，不留折痕。合成至5级可获得母体作物。</t>
  </si>
  <si>
    <t>晾衣杆</t>
  </si>
  <si>
    <t>木制晾衣杆，放在室内。合成至5级可获得母体作物。</t>
  </si>
  <si>
    <t>精致晾衣架</t>
  </si>
  <si>
    <t>附带底座的精致晾衣架。合成至5级可获得母体作物。</t>
  </si>
  <si>
    <t>衣橱</t>
  </si>
  <si>
    <t>布制的普通衣橱。合成可获得衣柜。</t>
  </si>
  <si>
    <t>衣柜</t>
  </si>
  <si>
    <t>木制的高级衣柜。已升至最高级。</t>
  </si>
  <si>
    <t>胸衣</t>
  </si>
  <si>
    <t>小美的贴身小衣。合成可获得吊带衫。</t>
  </si>
  <si>
    <t>吊带衫</t>
  </si>
  <si>
    <t>简单的吊带衫，衬托完美的身材。合成可获得吊带裙。</t>
  </si>
  <si>
    <t>吊带裙</t>
  </si>
  <si>
    <t>华丽的吊带裙，蕾丝裙摆。合成可获得粉色外套。</t>
  </si>
  <si>
    <t>粉色外套</t>
  </si>
  <si>
    <t>粉粉嫩嫩的外套。合成可获得蝴蝶结外套。</t>
  </si>
  <si>
    <t>蝴蝶结外套</t>
  </si>
  <si>
    <t>外套上扎着蝴蝶结，可爱的装扮。合成可获得波浪裙。</t>
  </si>
  <si>
    <t>波浪裙</t>
  </si>
  <si>
    <t>波浪形的裙摆，青春的气息。合成可获得羽绒衣。</t>
  </si>
  <si>
    <t>羽绒衣</t>
  </si>
  <si>
    <t>厚厚的羽绒衣，挡风御雪。合成可获得羽绒外套。</t>
  </si>
  <si>
    <t>羽绒外套</t>
  </si>
  <si>
    <t>双层的羽绒外套。合成可获得红色大衣。</t>
  </si>
  <si>
    <t>红色大衣</t>
  </si>
  <si>
    <t>亮红色的大衣，自带气场。合成可获得厚实摆裙。</t>
  </si>
  <si>
    <t>厚实摆裙</t>
  </si>
  <si>
    <t>厚实的摆裙，彰显气质。已升至最高级。</t>
  </si>
  <si>
    <t>袜子</t>
  </si>
  <si>
    <t>一双简单的袜子。合成可获得四角内裤。</t>
  </si>
  <si>
    <t>四角内裤</t>
  </si>
  <si>
    <t>宽松的四角内裤。合成可获得短裤。</t>
  </si>
  <si>
    <t>短裤</t>
  </si>
  <si>
    <t>双手插进裤兜，走在街头。合成可获得短裙。</t>
  </si>
  <si>
    <t>短裙</t>
  </si>
  <si>
    <t>摇曳的裙摆，秀美的身姿。合成可获得吊带短裙。</t>
  </si>
  <si>
    <t>吊带短裙</t>
  </si>
  <si>
    <t>酷酷的牛仔吊带短裙。合成可获得洛丽塔。</t>
  </si>
  <si>
    <t>洛丽塔</t>
  </si>
  <si>
    <t>简单的洛丽塔装。合成可获得精致洛丽塔。</t>
  </si>
  <si>
    <t>精致洛丽塔</t>
  </si>
  <si>
    <t>精致的洛丽塔裙。合成可获得蝴蝶结洛丽塔。</t>
  </si>
  <si>
    <t>蝴蝶结洛丽塔</t>
  </si>
  <si>
    <t>系着粉色蝴蝶结的长裙。合成可获得双摆洛丽塔裙。</t>
  </si>
  <si>
    <t>双摆洛丽塔裙</t>
  </si>
  <si>
    <t>两层裙摆的洛丽塔长裙。合成可获得豪华洛丽塔裙。</t>
  </si>
  <si>
    <t>豪华洛丽塔裙</t>
  </si>
  <si>
    <t>贵重的洛丽塔裙子。已升至最高级。</t>
  </si>
  <si>
    <t>帽子雏形</t>
  </si>
  <si>
    <t>一顶帽子的雏形。合成可获得星星帽。</t>
  </si>
  <si>
    <t>星星帽</t>
  </si>
  <si>
    <t>帽子顶端有颗星星。合成可获得小丑帽。</t>
  </si>
  <si>
    <t>小丑帽</t>
  </si>
  <si>
    <t>小丑带的演出帽。合成可获得遮阳帽。</t>
  </si>
  <si>
    <t>遮阳帽</t>
  </si>
  <si>
    <t>遮挡阳光的帽子。合成可获得翻檐帽。</t>
  </si>
  <si>
    <t>翻檐帽</t>
  </si>
  <si>
    <t>帽檐向上翻。合成可获得蝴蝶结帽子。</t>
  </si>
  <si>
    <t>蝴蝶结帽子</t>
  </si>
  <si>
    <t>系着蝴蝶结的帽子。合成可获得性感帽子。</t>
  </si>
  <si>
    <t>性感帽子</t>
  </si>
  <si>
    <t>性感的女士帽子。合成可获得蝴蝶结礼帽。</t>
  </si>
  <si>
    <t>蝴蝶结礼帽</t>
  </si>
  <si>
    <t>帽冠很高的礼帽。合成可获得蝴蝶结遮阳帽。</t>
  </si>
  <si>
    <t>蝴蝶结遮阳帽</t>
  </si>
  <si>
    <t>系着蝴蝶结的遮阳帽。合成可获得时尚帽子。</t>
  </si>
  <si>
    <t>时尚帽子</t>
  </si>
  <si>
    <t>时尚秀场的装饰帽子。合成可获得插羽帽子。</t>
  </si>
  <si>
    <t>插羽帽子</t>
  </si>
  <si>
    <t>帽子一侧插了一根羽毛。合成可获得蕾丝帽子。</t>
  </si>
  <si>
    <t>蕾丝帽子</t>
  </si>
  <si>
    <t>侧边装饰着蕾丝的帽子。已合成至最高级。</t>
  </si>
  <si>
    <t>口红套装</t>
  </si>
  <si>
    <t>美妆工具箱基础套装。合成至5级可获得母体作物。</t>
  </si>
  <si>
    <t>美妆盒子</t>
  </si>
  <si>
    <t>入门级的美妆盒子。合成至5级可获得母体作物。</t>
  </si>
  <si>
    <t>美妆小包</t>
  </si>
  <si>
    <t>便携美妆包，出行必备。合成至5级可获得母体作物。</t>
  </si>
  <si>
    <t>美妆圆包</t>
  </si>
  <si>
    <t>圆筒形的美妆包。合成至5级可获得母体作物。</t>
  </si>
  <si>
    <t>美妆挎包</t>
  </si>
  <si>
    <t>中型的美妆挎包，容量惊人。合成可获得美妆箱。</t>
  </si>
  <si>
    <t>美妆箱</t>
  </si>
  <si>
    <t>奢华美妆箱，可容纳大量美妆工具。合成可获得美妆台。</t>
  </si>
  <si>
    <t>美妆台</t>
  </si>
  <si>
    <t>储物位置超多的美妆台。合成可获得双层美妆台。</t>
  </si>
  <si>
    <t>双层美妆台</t>
  </si>
  <si>
    <t>两层分别放什么呢？合成可获得美妆礼盒。</t>
  </si>
  <si>
    <t>美妆礼盒</t>
  </si>
  <si>
    <t>小美收到的美妆礼盒。合成可获得美妆橱柜。</t>
  </si>
  <si>
    <t>美妆橱柜</t>
  </si>
  <si>
    <t>琳琅满目的美妆品。引人眼球。已升至最高级。</t>
  </si>
  <si>
    <t>粉底</t>
  </si>
  <si>
    <t>简单的粉底盒子。合成可获得梳子。</t>
  </si>
  <si>
    <t>梳子</t>
  </si>
  <si>
    <t>普通的塑料梳子。合成可获得扎头皮筋。</t>
  </si>
  <si>
    <t>扎头皮筋</t>
  </si>
  <si>
    <t>兔耳朵造型的扎头发皮筋合成可获得面膜。</t>
  </si>
  <si>
    <t>面膜</t>
  </si>
  <si>
    <t>湿滑的面膜，满满的水份。合成可获得指甲油。</t>
  </si>
  <si>
    <t>指甲油</t>
  </si>
  <si>
    <t>红色指甲油，时尚新宠。合成可获得护手霜。</t>
  </si>
  <si>
    <t>护手霜</t>
  </si>
  <si>
    <t>你认识它吗？合成可获得面霜。</t>
  </si>
  <si>
    <t>面霜</t>
  </si>
  <si>
    <t>呵护你的每一寸肌肤。合成可获得香水。</t>
  </si>
  <si>
    <t>香水</t>
  </si>
  <si>
    <t>开卷有益，开盖有香。合成可获得卷发棒。</t>
  </si>
  <si>
    <t>卷发棒</t>
  </si>
  <si>
    <t>卷出你的大波浪。合成可获得脱毛仪。</t>
  </si>
  <si>
    <t>脱毛仪</t>
  </si>
  <si>
    <t>安安静静的脱毛神器。合成可获得吹风机。</t>
  </si>
  <si>
    <t>吹风机</t>
  </si>
  <si>
    <t>吹起你的发。合成可获得洁面仪。</t>
  </si>
  <si>
    <t>洁面仪</t>
  </si>
  <si>
    <t>洗脸刷，高效无刺激。合成可获得美容仪。</t>
  </si>
  <si>
    <t>美容仪</t>
  </si>
  <si>
    <t>高级美容工具。已升至最高级。</t>
  </si>
  <si>
    <t>普通蘑菇</t>
  </si>
  <si>
    <t>白色的小蘑菇，常见于山上。合成可获得绿色蘑菇。</t>
  </si>
  <si>
    <t>绿色蘑菇</t>
  </si>
  <si>
    <t>两个绿色蘑菇，一高一矮。合成可获得蓝色蘑菇。</t>
  </si>
  <si>
    <t>蓝色蘑菇</t>
  </si>
  <si>
    <t>蓝色的蘑菇，生在庭院里。合成可获得紫色蘑菇。</t>
  </si>
  <si>
    <t>紫色蘑菇</t>
  </si>
  <si>
    <t>彩色蘑菇，不要乱尝哦。合成可获得橙色蘑菇。</t>
  </si>
  <si>
    <t>橙色蘑菇</t>
  </si>
  <si>
    <t>色彩艳丽的橙色蘑菇。合成可获得红蘑菇。</t>
  </si>
  <si>
    <t>红蘑菇</t>
  </si>
  <si>
    <t>小美最爱采摘的蘑菇。合成可获得红伞蘑菇。</t>
  </si>
  <si>
    <t>红伞蘑菇</t>
  </si>
  <si>
    <t>奇特的伞状。合成可获得黄条纹蘑菇。</t>
  </si>
  <si>
    <t>黄条纹蘑菇</t>
  </si>
  <si>
    <t>长有独特的条纹。合成可获得粉蘑菇。</t>
  </si>
  <si>
    <t>粉蘑菇</t>
  </si>
  <si>
    <t>一直看的话，眼睛会晕的。合成可获得紫斑点蘑菇。</t>
  </si>
  <si>
    <t>紫斑点蘑菇</t>
  </si>
  <si>
    <t>一看就很危险，要警惕。已升至最高级。</t>
  </si>
  <si>
    <t>蝶蛹</t>
  </si>
  <si>
    <t>蝴蝶的虫蛹。合成可获得蝴蝶雏形。</t>
  </si>
  <si>
    <t>蝴蝶雏形</t>
  </si>
  <si>
    <t>渐渐有了蝴蝶的模样。合成可获得幼生蝴蝶。</t>
  </si>
  <si>
    <t>幼生蝴蝶</t>
  </si>
  <si>
    <t>蝴蝶幼年的样子。合成可获得蓝色蝴蝶。</t>
  </si>
  <si>
    <t>蓝色蝴蝶</t>
  </si>
  <si>
    <t>蓝色斑点花纹的蝴蝶。合成可获得花蝶。</t>
  </si>
  <si>
    <t>花蝶</t>
  </si>
  <si>
    <t>春光无限好，彩蝶翩跹飞。合成可获得彩蝶。</t>
  </si>
  <si>
    <t>彩蝶</t>
  </si>
  <si>
    <t>缤纷花色，五彩斑斓。合成可获得幻蝶。</t>
  </si>
  <si>
    <t>幻蝶</t>
  </si>
  <si>
    <t>带有梦幻色彩的蝴蝶。合成可获得幽蝶。</t>
  </si>
  <si>
    <t>幽蝶</t>
  </si>
  <si>
    <t>身上带有幽香的蝴蝶。合成可获得灵蝶。</t>
  </si>
  <si>
    <t>灵蝶</t>
  </si>
  <si>
    <t>如同大自然的精灵。合成可获得四翼彩蝶。</t>
  </si>
  <si>
    <t>四翼彩蝶</t>
  </si>
  <si>
    <t>十分稀少，是大自然的使者。已升至最高级。</t>
  </si>
  <si>
    <t>水晶矿石</t>
  </si>
  <si>
    <t>尚未打磨的水晶原石。合成可获得水晶六芒星。</t>
  </si>
  <si>
    <t>水晶六芒星</t>
  </si>
  <si>
    <t>六芒星状的水晶宝石。合成可获得璀璨珠宝。</t>
  </si>
  <si>
    <t>璀璨珠宝</t>
  </si>
  <si>
    <t>熠熠生辉的红色宝石。合成可获得水晶吊坠。</t>
  </si>
  <si>
    <t>水晶吊坠</t>
  </si>
  <si>
    <t>红色水晶搭配金色绳线。合成可获得水晶手镯。</t>
  </si>
  <si>
    <t>水晶手镯</t>
  </si>
  <si>
    <t>红宝石的手镯。合成可获得水晶手链。</t>
  </si>
  <si>
    <t>水晶手链</t>
  </si>
  <si>
    <t>紫色和红色珠子相得益彰。合成可获得水晶花手链。</t>
  </si>
  <si>
    <t>水晶花手链</t>
  </si>
  <si>
    <t>水晶雕刻的花朵，装饰着手链。合成可获得水晶球。</t>
  </si>
  <si>
    <t>水晶球</t>
  </si>
  <si>
    <t>据说可以预见未来哦。合成可获得水晶灯。</t>
  </si>
  <si>
    <t>水晶灯</t>
  </si>
  <si>
    <t>华丽的灯具，照出梦幻的色彩。合成可获得水晶吊灯。</t>
  </si>
  <si>
    <t>水晶吊灯</t>
  </si>
  <si>
    <t>奢华无比，饱含能量。已升至最高级。</t>
  </si>
  <si>
    <t>石头</t>
  </si>
  <si>
    <t>普通的碎石头。合成可获得石砖。</t>
  </si>
  <si>
    <t>石砖</t>
  </si>
  <si>
    <t>石头切割成的砖块。合成可获得石墩。</t>
  </si>
  <si>
    <t>石墩</t>
  </si>
  <si>
    <t>憨厚的石墩，可以当成座椅。合成可获得石桌。</t>
  </si>
  <si>
    <t>石桌</t>
  </si>
  <si>
    <t>石头材质的圆桌。合成可获得宫灯。</t>
  </si>
  <si>
    <t>宫灯</t>
  </si>
  <si>
    <t>石质宫灯，散发着黄色灯光。合成可获得石槽。</t>
  </si>
  <si>
    <t>石槽</t>
  </si>
  <si>
    <t>饮水专用的石槽。合成可获得石盆。</t>
  </si>
  <si>
    <t>石盆</t>
  </si>
  <si>
    <t>石质的面盆。合成可获得石喷泉。</t>
  </si>
  <si>
    <t>石喷泉</t>
  </si>
  <si>
    <t>大理石基底的喷泉。合成可获得石象。</t>
  </si>
  <si>
    <t>石象</t>
  </si>
  <si>
    <t>大理石雕刻而成的大象。合成可获得石狮。</t>
  </si>
  <si>
    <t>石狮</t>
  </si>
  <si>
    <t>石头的狮子，镇守家宅。合成可获得麒麟。</t>
  </si>
  <si>
    <t>麒麟</t>
  </si>
  <si>
    <t>麒麟出没，必有祥瑞。合成可获得龙龟。</t>
  </si>
  <si>
    <t>龙龟</t>
  </si>
  <si>
    <t>海里的神龟，安家镇宅，招财进宝。合成可获得石龙。</t>
  </si>
  <si>
    <t>石龙</t>
  </si>
  <si>
    <t>盘踞在石基上的巨龙，雕刻得栩栩如生。已升至最高级。</t>
  </si>
  <si>
    <t>盆栽种子</t>
  </si>
  <si>
    <t>两粒盆栽种子。合成可获得盆栽新芽。</t>
  </si>
  <si>
    <t>盆栽新芽</t>
  </si>
  <si>
    <t>盆栽抽出新芽。合成可获得盆栽幼苗。</t>
  </si>
  <si>
    <t>盆栽幼苗</t>
  </si>
  <si>
    <t>新生的盆栽幼苗。合成可获得样本盆栽。</t>
  </si>
  <si>
    <t>样本盆栽</t>
  </si>
  <si>
    <t>可以当作样本的盆栽。合成可获得观赏灌木。</t>
  </si>
  <si>
    <t>观赏灌木</t>
  </si>
  <si>
    <t>小而美的灌木盆栽。合成可获得粗壮灌木。</t>
  </si>
  <si>
    <t>粗壮灌木</t>
  </si>
  <si>
    <t>枝干粗壮的灌木盆栽。合成可获得常绿灌木。</t>
  </si>
  <si>
    <t>常绿灌木</t>
  </si>
  <si>
    <t>终年常绿的盆栽。合成可获得茂盛灌木。</t>
  </si>
  <si>
    <t>茂盛灌木</t>
  </si>
  <si>
    <t>枝繁叶茂的灌木。合成可获得豪华盆栽。</t>
  </si>
  <si>
    <t>豪华盆栽</t>
  </si>
  <si>
    <t>姿态万方的盆栽。合成可获得聚宝盆栽。</t>
  </si>
  <si>
    <t>聚宝盆栽</t>
  </si>
  <si>
    <t>盆栽里的古树，自成一道风景。已升至最高级。</t>
  </si>
  <si>
    <t>普通气球</t>
  </si>
  <si>
    <t>长得像香肠的长条形气球。合成可获得彩虹糖气球。</t>
  </si>
  <si>
    <t>彩虹糖气球</t>
  </si>
  <si>
    <t>彩虹糖的颜色，想一口吃下去。合成可获得婴儿泳池。</t>
  </si>
  <si>
    <t>婴儿泳池</t>
  </si>
  <si>
    <t>大小刚好能容纳一个小婴儿。合成可获得小黄鸭泳池。</t>
  </si>
  <si>
    <t>小黄鸭泳池</t>
  </si>
  <si>
    <t>小鸭子也喜欢游泳吗？合成可获得海洋球泳池。</t>
  </si>
  <si>
    <t>海洋球泳池</t>
  </si>
  <si>
    <t>海洋球和充气泳池更配哦~合成可获得爬梯泳池。</t>
  </si>
  <si>
    <t>爬梯泳池</t>
  </si>
  <si>
    <t>再也不用担心出泳池会滑倒了。合成可获得防晒泳池。</t>
  </si>
  <si>
    <t>防晒泳池</t>
  </si>
  <si>
    <t>有了遮阳棚就不怕晒黑啦！合成可获得快艇泳池。</t>
  </si>
  <si>
    <t>快艇泳池</t>
  </si>
  <si>
    <t>看上去像快艇，其实人家是泳池~合成可获得木屋泳池。</t>
  </si>
  <si>
    <t>木屋泳池</t>
  </si>
  <si>
    <t>水上乐园的标配设备。合成可获得滑梯水世界。</t>
  </si>
  <si>
    <t>滑梯水世界</t>
  </si>
  <si>
    <t>椰子树、滑梯、泳池，小球的梦中情堡。已升至最高级。</t>
  </si>
  <si>
    <t>冲浪板配件</t>
  </si>
  <si>
    <t>好像是冲浪板上的某个配件。合成可获得冲浪板主体。</t>
  </si>
  <si>
    <t>冲浪板主体</t>
  </si>
  <si>
    <t>光滑的板子，已经上过蜡了！合成可获得完整冲浪板。</t>
  </si>
  <si>
    <t>完整冲浪板</t>
  </si>
  <si>
    <t>有了它，就可以在海上驰骋啦~合成可获得单人气船。</t>
  </si>
  <si>
    <t>单人气船</t>
  </si>
  <si>
    <t>放在水上会漫无目的飘走的气船。合成可获得单人气艇。</t>
  </si>
  <si>
    <t>单人气艇</t>
  </si>
  <si>
    <t>虽然能控制方向，可划桨超累哎。合成可获得沙发气船。</t>
  </si>
  <si>
    <t>沙发气船</t>
  </si>
  <si>
    <t>单人气船上安装了舒服的座椅。合成可获得水上三轮车。</t>
  </si>
  <si>
    <t>水上三轮车</t>
  </si>
  <si>
    <t>能在水上骑行的三轮神器。合成可获得水上双人单车。</t>
  </si>
  <si>
    <t>水上双人单车</t>
  </si>
  <si>
    <t>三轮不敌四脚。合成可获得单桅纵帆。</t>
  </si>
  <si>
    <t>单桅纵帆</t>
  </si>
  <si>
    <t>想去海上探险的话，请带上它。合成可获得双体帆船。</t>
  </si>
  <si>
    <t>双体帆船</t>
  </si>
  <si>
    <t>帆船上面会有海盗吗？合成可获得摩托艇。</t>
  </si>
  <si>
    <t>摩托艇</t>
  </si>
  <si>
    <t>骑上我心爱的小摩托~合成可获得多层快艇。</t>
  </si>
  <si>
    <t>多层快艇</t>
  </si>
  <si>
    <t>双层的快艇会跑得更快吗？合成可获得豪华游艇。</t>
  </si>
  <si>
    <t>豪华游艇</t>
  </si>
  <si>
    <t>女孩子都幻想过的浪漫游艇。已升至最高级。</t>
  </si>
  <si>
    <t>小纸船</t>
  </si>
  <si>
    <t>蓝蓝的天空银河里，有只小黄船~合成可获得小兔浮板。</t>
  </si>
  <si>
    <t>小兔浮板</t>
  </si>
  <si>
    <t>小兔子头像印在了浮板上。合成可获得皮球。</t>
  </si>
  <si>
    <t>皮球</t>
  </si>
  <si>
    <t>被小淘气遗忘在水乐园的小球。合成可获得小黄鸭。</t>
  </si>
  <si>
    <t>小黄鸭</t>
  </si>
  <si>
    <t>象征着天真无忧的浮水鸭。合成可获得游泳圈。</t>
  </si>
  <si>
    <t>游泳圈</t>
  </si>
  <si>
    <t>不会游泳星人的救星。合成可获得救生衣。</t>
  </si>
  <si>
    <t>救生衣</t>
  </si>
  <si>
    <t>穿上它，你就是最靓的！合成可获得小海豚坐骑。</t>
  </si>
  <si>
    <t>小海豚坐骑</t>
  </si>
  <si>
    <t>骑上后在水面沉浮像幼时的摇篮。合成可获得贝壳浮床。</t>
  </si>
  <si>
    <t>贝壳浮床</t>
  </si>
  <si>
    <t>贝壳造型的浮床镶着大珍珠。合成可获得水上跷跷板。</t>
  </si>
  <si>
    <t>水上跷跷板</t>
  </si>
  <si>
    <t>独乐乐不如众乐乐啦！合成可获得香蕉船。</t>
  </si>
  <si>
    <t>香蕉船</t>
  </si>
  <si>
    <t>小美人鱼和王子初遇的船。合成可获得小海豹泳圈。</t>
  </si>
  <si>
    <t>小海豹泳圈</t>
  </si>
  <si>
    <t>成年不久就出来打工的小海豹。合成可获得水烈鸟泳圈。</t>
  </si>
  <si>
    <t>水烈鸟泳圈</t>
  </si>
  <si>
    <t>水中的火烈鸟，简称...水烈鸟？合成可获得独角兽泳圈。</t>
  </si>
  <si>
    <t>独角兽泳圈</t>
  </si>
  <si>
    <t>传说中的生物，遇见它是好运的象征呢。已升至最高级。</t>
  </si>
  <si>
    <t>呲水管</t>
  </si>
  <si>
    <t>不知道的还以为是个打气筒。合成可获得圆润水枪。</t>
  </si>
  <si>
    <t>圆润水枪</t>
  </si>
  <si>
    <t>边角圆润，适合小朋友佩戴。合成可获得虎鲨呲水枪。</t>
  </si>
  <si>
    <t>虎鲨呲水枪</t>
  </si>
  <si>
    <t>鲨鱼幼崽造型，可能水力很强大。合成可获得海豚呲水枪。</t>
  </si>
  <si>
    <t>海豚呲水枪</t>
  </si>
  <si>
    <t>拥有它，可以横行水世界。合成可获得推管呲水枪。</t>
  </si>
  <si>
    <t>推管呲水枪</t>
  </si>
  <si>
    <t>可快速装卸储水瓶。合成可获得星际呲水枪。</t>
  </si>
  <si>
    <t>星际呲水枪</t>
  </si>
  <si>
    <t>很像电影里的激光手枪吧。合成可获得双管呲水枪。</t>
  </si>
  <si>
    <t>双管呲水枪</t>
  </si>
  <si>
    <t>上下两个枪口可呲水。合成可获得榴弹呲水枪。</t>
  </si>
  <si>
    <t>榴弹呲水枪</t>
  </si>
  <si>
    <t>单发可爆发输出水弹。合成可获得连发呲水枪。</t>
  </si>
  <si>
    <t>连发呲水枪</t>
  </si>
  <si>
    <t>可快速连发，毫无后坐力。合成可获得多发呲水枪。</t>
  </si>
  <si>
    <t>多发呲水枪</t>
  </si>
  <si>
    <t>这就是小朋友最喜欢的玩具？合成可获得加特林呲水枪。</t>
  </si>
  <si>
    <t>加特林水枪</t>
  </si>
  <si>
    <t>30岁大叔也能俘获的重装呲水枪。合成可获得背包水枪。</t>
  </si>
  <si>
    <t>背包水枪</t>
  </si>
  <si>
    <t>不说了，冲锋就是了。合成可获得勇者呲水枪。</t>
  </si>
  <si>
    <t>勇者呲水枪</t>
  </si>
  <si>
    <t>只有勇者才能拥有，水世界的霸主。已升至最高级。</t>
  </si>
  <si>
    <t>木质把手</t>
  </si>
  <si>
    <t>纤细的木棍，没什么重量的样子。合成可获得实木木板。</t>
  </si>
  <si>
    <t>实木木板</t>
  </si>
  <si>
    <t>隐约有了木箱的雏形。合成可获得普通木箱。</t>
  </si>
  <si>
    <t>普通木箱</t>
  </si>
  <si>
    <t>里面空荡荡的，什么也没有。合成可获得镶边木箱。</t>
  </si>
  <si>
    <t>镶边木箱</t>
  </si>
  <si>
    <t>镶了铁皮后，看起来更牢固了。合成可获得木质工具箱。</t>
  </si>
  <si>
    <t>木质工具箱</t>
  </si>
  <si>
    <t>用来装铁锹刚刚好。合成可获得简单工具箱。</t>
  </si>
  <si>
    <t>简单工具箱</t>
  </si>
  <si>
    <t>刷了漆后感觉精致了许多。合成可获得布艺工具包。</t>
  </si>
  <si>
    <t>布艺工具包</t>
  </si>
  <si>
    <t>做成提包的样子，方便携带。合成可获得双层工具台。</t>
  </si>
  <si>
    <t>双层工具台</t>
  </si>
  <si>
    <t>上面放着园丁的种子包和工具。合成可获得工具推车。</t>
  </si>
  <si>
    <t>工具推车</t>
  </si>
  <si>
    <t>推着就能走，园丁们都很爱用。合成可获得工具收纳箱。</t>
  </si>
  <si>
    <t>工具收纳箱</t>
  </si>
  <si>
    <t>小木屋的形状，工具们的家。已升至最高级。</t>
  </si>
  <si>
    <t>小圆盘</t>
  </si>
  <si>
    <t>小小的木盘里盛着一片树叶。合成可获得井字糕点盘。</t>
  </si>
  <si>
    <t>井字糕点盘</t>
  </si>
  <si>
    <t>竹制的容器却不失雅致。合成可获得简易竹盒。</t>
  </si>
  <si>
    <t>简易竹盒</t>
  </si>
  <si>
    <t>做工略微粗糙，容量却很大。合成可获得四格点心盒。</t>
  </si>
  <si>
    <t>四格点心盒</t>
  </si>
  <si>
    <t>方方正正，突显中华文化之美。合成可获得简朴提盒。</t>
  </si>
  <si>
    <t>简朴提盒</t>
  </si>
  <si>
    <t>盖子不翼而飞，会在哪里呢？合成可获得素雅提盒。</t>
  </si>
  <si>
    <t>素雅提盒</t>
  </si>
  <si>
    <t>不大不小，刚好能装下一只月饼。合成可获得典雅食盒。</t>
  </si>
  <si>
    <t>典雅食盒</t>
  </si>
  <si>
    <t>手艺精湛的巧匠打造出来的盒子。合成可获得双层食盒。</t>
  </si>
  <si>
    <t>双层食盒</t>
  </si>
  <si>
    <t>双层结构，可容纳的空间更大了。合成可获得古典食盒。</t>
  </si>
  <si>
    <t>古典食盒</t>
  </si>
  <si>
    <t>华美的盒子充满了古典气息。合成可获得玉兔食盒。</t>
  </si>
  <si>
    <t>玉兔食盒</t>
  </si>
  <si>
    <t>中秋佳节居家送礼的必备良品。已升至最高级。</t>
  </si>
  <si>
    <t>面粉</t>
  </si>
  <si>
    <t>小麦粉、低筋面粉...选哪个好呢？合成可获得面团。</t>
  </si>
  <si>
    <t>面团</t>
  </si>
  <si>
    <t>把面粉揉成团，下一步是什么呢？合成可获得空心月饼。</t>
  </si>
  <si>
    <t>空心月饼</t>
  </si>
  <si>
    <t>不加鸡蛋的月饼是没有灵魂的！合成可获得豆沙月饼。</t>
  </si>
  <si>
    <t>豆沙月饼</t>
  </si>
  <si>
    <t>被熊孩子偷吃的月饼。合成可获得小兔月饼。</t>
  </si>
  <si>
    <t>小兔月饼</t>
  </si>
  <si>
    <t>印着小兔的月饼是什么馅的呢？合成可获得玉兔蛋黄饼。</t>
  </si>
  <si>
    <t>玉兔蛋黄饼</t>
  </si>
  <si>
    <t>蛋黄控连炫一百个停不下来。合成可获得莲蓉蛋黄饼。</t>
  </si>
  <si>
    <t>莲蓉蛋黄饼</t>
  </si>
  <si>
    <t>甜口与咸口的极致结合。合成可获得木质托盘月饼。</t>
  </si>
  <si>
    <t>木质托盘月饼</t>
  </si>
  <si>
    <t>中式糕点和木质托盘更配哦。合成可获得简约盒装月饼。</t>
  </si>
  <si>
    <t>简约盒装月饼</t>
  </si>
  <si>
    <t>极简的包装，丰富的内里。合成可获得精美盒装月饼。</t>
  </si>
  <si>
    <t>精美盒装月饼</t>
  </si>
  <si>
    <t>人看衣装，饼看包装。合成可获得华贵盒装月饼。</t>
  </si>
  <si>
    <t>华贵盒装月饼</t>
  </si>
  <si>
    <t>中秋佳节，最好的随身礼盒。合成可获得花好月圆饼。</t>
  </si>
  <si>
    <t>花好月圆饼</t>
  </si>
  <si>
    <t>小饼如嚼月,中有酥和饴。合成可获得阖家团圆饼。</t>
  </si>
  <si>
    <t>阖家团圆饼</t>
  </si>
  <si>
    <t>一叠月饼,一盏清茶，团圆的味道。已升至最高级。</t>
  </si>
  <si>
    <t>一朵祥云</t>
  </si>
  <si>
    <t>祥云入境，见者吉祥。合成可获得二朵祥云。</t>
  </si>
  <si>
    <t>二朵祥云</t>
  </si>
  <si>
    <t>环绕在神龙左右，透露出福寿气息。合成可获得宝珠。</t>
  </si>
  <si>
    <t>宝珠</t>
  </si>
  <si>
    <t>闪闪发亮的宝珠，神龙最爱的玩具。合成可获得神龙龙尾。</t>
  </si>
  <si>
    <t>神龙龙尾</t>
  </si>
  <si>
    <t>戴龙尾，避邪气，保安康。合成可获得神龙碎片一。</t>
  </si>
  <si>
    <t>神龙碎片一</t>
  </si>
  <si>
    <t>神龙的部分驱干。合成可获得神龙碎片二。</t>
  </si>
  <si>
    <t>神龙碎片二</t>
  </si>
  <si>
    <t>神龙的部分驱干。合成可获得神龙碎片三。</t>
  </si>
  <si>
    <t>神龙碎片三</t>
  </si>
  <si>
    <t>神龙的部分驱干。合成可获得神龙碎片四。</t>
  </si>
  <si>
    <t>神龙碎片四</t>
  </si>
  <si>
    <t>神龙的部分驱干。合成可获得神龙碎片五。</t>
  </si>
  <si>
    <t>神龙碎片五</t>
  </si>
  <si>
    <t>神龙的部分驱干。合成可获得神龙碎片六。</t>
  </si>
  <si>
    <t>神龙碎片六</t>
  </si>
  <si>
    <t>神龙的部分驱干。合成可获得神龙碎片七。</t>
  </si>
  <si>
    <t>神龙碎片七</t>
  </si>
  <si>
    <t>神龙的部分驱干。合成可获得神龙碎片八。</t>
  </si>
  <si>
    <t>神龙碎片八</t>
  </si>
  <si>
    <t>神龙的部分驱干。合成可获得神龙龙首。</t>
  </si>
  <si>
    <t>神龙龙首</t>
  </si>
  <si>
    <t>祥龙问世，福寿安康。已升至最高级。</t>
  </si>
  <si>
    <t>野餐布</t>
  </si>
  <si>
    <t>防潮隔温，野餐必备。合成可获得露营灯。</t>
  </si>
  <si>
    <t>露营灯</t>
  </si>
  <si>
    <t>暖黄的灯光，像盛着萤火虫。合成可获得折叠凳。</t>
  </si>
  <si>
    <t>折叠凳</t>
  </si>
  <si>
    <t>一折一叠，随意携带。合成可获得折叠椅。</t>
  </si>
  <si>
    <t>折叠椅</t>
  </si>
  <si>
    <t>能屈能伸，人生的艺术。合成可获得折叠沙发。</t>
  </si>
  <si>
    <t>折叠沙发</t>
  </si>
  <si>
    <t>躺在沙发上，仰头能看到星星。合成可获得置物三脚架。</t>
  </si>
  <si>
    <t>置物三脚架</t>
  </si>
  <si>
    <t>在户外也要把炊具摆放整齐哦。合成可获得折叠收纳箱。</t>
  </si>
  <si>
    <t>折叠收纳箱</t>
  </si>
  <si>
    <t>方方正正，户外收纳必备哟。合成可获得双层收纳箱。</t>
  </si>
  <si>
    <t>双层收纳箱</t>
  </si>
  <si>
    <t>侧开的小门，使得取物更方便。合成可获得营地小马扎。</t>
  </si>
  <si>
    <t>营地小马扎</t>
  </si>
  <si>
    <t>结实的马扎，能顶起1个大胖子。合成可获得营地小拖车。</t>
  </si>
  <si>
    <t>营地小拖车</t>
  </si>
  <si>
    <t>便携拖车，户外可快速转移物资。合成可获得营地小餐桌。</t>
  </si>
  <si>
    <t>营地小餐桌</t>
  </si>
  <si>
    <t>单车变摩托，拖车变餐桌。合成可获得充气沙发。</t>
  </si>
  <si>
    <t>充气沙发</t>
  </si>
  <si>
    <t>户外也能拥有的Q弹沙发。合成可获得充气床。</t>
  </si>
  <si>
    <t>充气床</t>
  </si>
  <si>
    <t>帐篷配气床，露营美梦便有了。已升至最高级。</t>
  </si>
  <si>
    <t>瓜刨</t>
  </si>
  <si>
    <t>别忘了把刨下来的果皮清理干净哦。合成可获得切丝板。</t>
  </si>
  <si>
    <t>切丝板</t>
  </si>
  <si>
    <t>刀技不够，切丝板来凑。合成可获得切丝器。</t>
  </si>
  <si>
    <t>切丝器</t>
  </si>
  <si>
    <t>切丝板与承接容器的完美结合。合成可获得户外刀板。</t>
  </si>
  <si>
    <t>户外刀板</t>
  </si>
  <si>
    <t>小心不要伤到手哦。合成可获得户外煎锅。</t>
  </si>
  <si>
    <t>户外煎锅</t>
  </si>
  <si>
    <t>煎炒烹炸，样样少不了它。合成可获得户外汤锅。</t>
  </si>
  <si>
    <t>户外汤锅</t>
  </si>
  <si>
    <t>汤的香味从盖子里钻出来。合成可获得户外水壶。</t>
  </si>
  <si>
    <t>户外水壶</t>
  </si>
  <si>
    <t>户外也要记得多喝热水。合成可获得卡式炉。</t>
  </si>
  <si>
    <t>卡式炉</t>
  </si>
  <si>
    <t>旅行途中最好的烹饪火源。合成可获得卡式炉铁板烧。</t>
  </si>
  <si>
    <t>卡式炉铁板烧</t>
  </si>
  <si>
    <t>卡式炉的第n种用途。合成可获得沸腾汤锅。</t>
  </si>
  <si>
    <t>沸腾汤锅</t>
  </si>
  <si>
    <t>炉子上的汤锅咕噜咕噜地响。合成可获得少量炊具。</t>
  </si>
  <si>
    <t>少量炊具</t>
  </si>
  <si>
    <t>加上挡风板就不怕火被吹灭啦。合成可获得大量炊具。</t>
  </si>
  <si>
    <t>大量炊具</t>
  </si>
  <si>
    <t>炒菜与烧水同步进行。合成可获得全套炊具。</t>
  </si>
  <si>
    <t>全套炊具</t>
  </si>
  <si>
    <t>一切准备就绪，准备开饭咯。已升至最高级。</t>
  </si>
  <si>
    <t>支撑杆</t>
  </si>
  <si>
    <t>给俺一根杆，俺能架起所有帐篷。合成可获得松紧绳。</t>
  </si>
  <si>
    <t>松紧绳</t>
  </si>
  <si>
    <t>绳结打得好，帐篷不会倒。合成可获得帐篷布。</t>
  </si>
  <si>
    <t>帐篷布</t>
  </si>
  <si>
    <t>比雨衣更厚实，比雨伞更扛造。合成可获得收拢帐篷。</t>
  </si>
  <si>
    <t>收拢帐篷</t>
  </si>
  <si>
    <t>收拢起来像一把超大的雨伞。合成可获得儿童帐篷。</t>
  </si>
  <si>
    <t>儿童帐篷</t>
  </si>
  <si>
    <t>小朋友在家也要支楞起来的帐篷。合成可获得金字塔帐篷。</t>
  </si>
  <si>
    <t>金字塔帐篷</t>
  </si>
  <si>
    <t>卷起窗帘呼吸野外的新鲜空气。合成可获得草帽帐篷。</t>
  </si>
  <si>
    <t>草帽帐篷</t>
  </si>
  <si>
    <t>形似草帽，里面藏了好多熊孩子。合成可获得球形帐篷。</t>
  </si>
  <si>
    <t>球形帐篷</t>
  </si>
  <si>
    <t>顶上的小红旗随风舞动。合成可获得屋脊帐篷。</t>
  </si>
  <si>
    <t>屋脊帐篷</t>
  </si>
  <si>
    <t>在野外也能找到家的感觉。合成可获得豪华帐篷。</t>
  </si>
  <si>
    <t>豪华帐篷</t>
  </si>
  <si>
    <t>户外露营街区，你就是最靓的崽！已升至最高级。</t>
  </si>
  <si>
    <t>磨牙棒</t>
  </si>
  <si>
    <t>毛孩子拥有健康牙齿的保障。合成可获得玩具皮球。</t>
  </si>
  <si>
    <t>玩具皮球</t>
  </si>
  <si>
    <t>拆家小狗的心爱玩具。合成可获得宠物飞盘。</t>
  </si>
  <si>
    <t>宠物飞盘</t>
  </si>
  <si>
    <t>和主人玩了飞盘之后就不许拆家了哦！合成可获得柯基犬。</t>
  </si>
  <si>
    <t>柯基犬</t>
  </si>
  <si>
    <t>圆润且腿短，好rua且倔强。合成可获得吉娃娃。</t>
  </si>
  <si>
    <t>吉娃娃</t>
  </si>
  <si>
    <t>看着娇小，食量可大。合成可获得西施犬。</t>
  </si>
  <si>
    <t>西施犬</t>
  </si>
  <si>
    <t>毛发旺盛的优雅小狗。合成可获得乖巧柴犬。</t>
  </si>
  <si>
    <t>乖巧柴犬</t>
  </si>
  <si>
    <t>在表情包领域，无犬能与之一战。合成可获得比格犬。</t>
  </si>
  <si>
    <t>比格犬</t>
  </si>
  <si>
    <t>没人能抵抗包子脸和大垂耳的魅力。合成可获得懒腰柴犬。</t>
  </si>
  <si>
    <t>懒腰柴犬</t>
  </si>
  <si>
    <t>伸伸懒腰，缓解疲劳。合成可获得哈士奇。</t>
  </si>
  <si>
    <t>哈士奇</t>
  </si>
  <si>
    <t>智商换来的颜值，狗勾界的拆家王者。合成可获得金毛犬。</t>
  </si>
  <si>
    <t>金毛犬</t>
  </si>
  <si>
    <t>小朋友们最亲近的温顺修勾。合成可获得萨摩耶。</t>
  </si>
  <si>
    <t>萨摩耶</t>
  </si>
  <si>
    <t>微笑天使萨摩耶，狗狗界的傻白甜。合成可获得阿拉斯加。</t>
  </si>
  <si>
    <t>阿拉斯加</t>
  </si>
  <si>
    <t>吵架没输过，打架没赢过。已升至最高级。</t>
  </si>
  <si>
    <t>小鱼干</t>
  </si>
  <si>
    <t>猫咪最爱的小零食，没有之一。合成可获得逗猫棒。</t>
  </si>
  <si>
    <t>逗猫棒</t>
  </si>
  <si>
    <t>没有什么事是一根逗猫棒解决不了的。合成可获得猫爬架。</t>
  </si>
  <si>
    <t>猫爬架</t>
  </si>
  <si>
    <t>爬上爬下，释放天性。合成可获得纸袋猫。</t>
  </si>
  <si>
    <t>纸袋猫</t>
  </si>
  <si>
    <t>钻进纸袋里看看有什么好东西。合成可获得小白猫。</t>
  </si>
  <si>
    <t>小白猫</t>
  </si>
  <si>
    <t>通体雪白，玉雪可爱。合成可获得小棕猫。</t>
  </si>
  <si>
    <t>小棕猫</t>
  </si>
  <si>
    <t>懒洋洋的小猫缩在纸盒里睡觉。合成可获得三花猫。</t>
  </si>
  <si>
    <t>三花猫</t>
  </si>
  <si>
    <t>戴着蝴蝶结的绅士小猫。合成可获得虎斑猫。</t>
  </si>
  <si>
    <t>虎斑猫</t>
  </si>
  <si>
    <t>哼哧哼哧的干饭猪咪。合成可获得英短猫。</t>
  </si>
  <si>
    <t>英短猫</t>
  </si>
  <si>
    <t>优雅地伸个懒腰。合成可获得大橘猫。</t>
  </si>
  <si>
    <t>大橘猫</t>
  </si>
  <si>
    <t>和树叶玩得不亦乐乎。合成可获得斑点猫。</t>
  </si>
  <si>
    <t>斑点猫</t>
  </si>
  <si>
    <t>快来陪小猫玩！现在立刻马上！合成可获得蓝猫。</t>
  </si>
  <si>
    <t>蓝猫</t>
  </si>
  <si>
    <t>最爱的物品是小鸭子和铃铛。合成可获得蓝瞳小猫。</t>
  </si>
  <si>
    <t>蓝瞳小猫</t>
  </si>
  <si>
    <t>成年猫就是鱼干、蝴蝶结和王冠都要拥有。已升至最高级。</t>
  </si>
  <si>
    <t>宠物纸箱</t>
  </si>
  <si>
    <t>猜猜纸箱里的是猫咪还是修勾吧！合成可获得宠物软垫。</t>
  </si>
  <si>
    <t>宠物软垫</t>
  </si>
  <si>
    <t>软乎乎的触感和小猫的肉垫一样。合成可获得宠物沙发。</t>
  </si>
  <si>
    <t>宠物沙发</t>
  </si>
  <si>
    <t>迷你版沙发，除了可爱还是可爱。合成可获得宠物小窝。</t>
  </si>
  <si>
    <t>宠物小窝</t>
  </si>
  <si>
    <t>挂饰的毛球玩着玩着就睡着啦。合成可获得宠物帐篷。</t>
  </si>
  <si>
    <t>宠物帐篷</t>
  </si>
  <si>
    <t>小美秋游时为猫咪准备的帐篷。合成可获得简易手工屋。</t>
  </si>
  <si>
    <t>简易手工屋</t>
  </si>
  <si>
    <t>爱猫人士亲手组装的小房子。合成可获得精致手工屋。</t>
  </si>
  <si>
    <t>精致手工屋</t>
  </si>
  <si>
    <t>狗狗党也不甘落后。合成可获得宠物小筑。</t>
  </si>
  <si>
    <t>宠物小筑</t>
  </si>
  <si>
    <t>给小屋装个窗户透透气。合成可获得宠物木屋。</t>
  </si>
  <si>
    <t>宠物木屋</t>
  </si>
  <si>
    <t>舒适的小屋给宠物带来更多安全感。合成可获得宠物乐园。</t>
  </si>
  <si>
    <t>宠物乐园</t>
  </si>
  <si>
    <t>猫狗双全，人生乐事。已升至最高级。</t>
  </si>
  <si>
    <t>松针</t>
  </si>
  <si>
    <t>松针坚韧，小心扎到手。合成可获得松枝。</t>
  </si>
  <si>
    <t>松枝</t>
  </si>
  <si>
    <t>绿油油里钻出一片红果果。合成可获得雪顶冷杉。</t>
  </si>
  <si>
    <t>雪顶冷杉</t>
  </si>
  <si>
    <t>树顶有顶白帽子。合成可获得松果冷杉。</t>
  </si>
  <si>
    <t>松果冷杉</t>
  </si>
  <si>
    <t>松果会引来哪只贪吃的松鼠呢。合成可获得松果与雪树。</t>
  </si>
  <si>
    <t>松果与雪树</t>
  </si>
  <si>
    <t>有松果和雪花，难道是雪糕。合成可获得彩带冷杉。</t>
  </si>
  <si>
    <t>彩带冷杉</t>
  </si>
  <si>
    <t>给冷杉披上彩带，庆祝圣诞到来。合成可获得简约圣诞树。</t>
  </si>
  <si>
    <t>简约圣诞树</t>
  </si>
  <si>
    <t>带上围脖，我就是一棵圣诞树咯。合成可获得雪人圣诞树。</t>
  </si>
  <si>
    <t>雪人圣诞树</t>
  </si>
  <si>
    <t>雪孩子也来与我一起欢度圣诞啦。合成可获得礼物圣诞树。</t>
  </si>
  <si>
    <t>礼物圣诞树</t>
  </si>
  <si>
    <t>礼物礼物，全都是你的礼物。合成可获得麋鹿圣诞树。</t>
  </si>
  <si>
    <t>麋鹿圣诞树</t>
  </si>
  <si>
    <t>圣诞老人可能忘了他的座驾。已合成至最高级。</t>
  </si>
  <si>
    <t>圣诞贺卡</t>
  </si>
  <si>
    <t>卡片虽轻，心意不轻。合成可获得香薰片。</t>
  </si>
  <si>
    <t>香薰片</t>
  </si>
  <si>
    <t>大概这就是圣诞的味道吧。合成可获得香薰蜡烛。</t>
  </si>
  <si>
    <t>香薰蜡烛</t>
  </si>
  <si>
    <t>蜡烛和香薰片，有点难以取舍呢。合成可获得圣诞袜。</t>
  </si>
  <si>
    <t>圣诞袜</t>
  </si>
  <si>
    <t>圣诞老人会往袜子里放什么呢。合成可获得麋鹿帽。</t>
  </si>
  <si>
    <t>麋鹿帽</t>
  </si>
  <si>
    <t>戴上它就像小麋鹿一样可爱啦。合成可获得圣诞手套。</t>
  </si>
  <si>
    <t>圣诞手套</t>
  </si>
  <si>
    <t>寒冬腊月里不生冻疮的保障。合成可获得圣诞围巾。</t>
  </si>
  <si>
    <t>圣诞围巾</t>
  </si>
  <si>
    <t>冷风休想钻进来。合成可获得圣诞树抱枕。</t>
  </si>
  <si>
    <t>圣诞树抱枕</t>
  </si>
  <si>
    <t>和圣诞树抱了个满怀。合成可获得无盖水杯。</t>
  </si>
  <si>
    <t>无盖水杯</t>
  </si>
  <si>
    <t>冰化了，杯子里的雪人不会化。合成可获得圣诞陶瓷杯。</t>
  </si>
  <si>
    <t>圣诞陶瓷杯</t>
  </si>
  <si>
    <t>圣诞老人从杯盖上长出来。合成可获得圣诞杯碗碟。</t>
  </si>
  <si>
    <t>圣诞碗杯碟</t>
  </si>
  <si>
    <t>圣诞老人的周边，快用起来吧。合成可获得圣诞加湿器。</t>
  </si>
  <si>
    <t>圣诞加湿器</t>
  </si>
  <si>
    <t>小房子里喷出的水汽会是冰的吗。合成可获得圣诞日历。</t>
  </si>
  <si>
    <t>圣诞日历</t>
  </si>
  <si>
    <t>注意注意！明天就是圣诞节了哦！合成可获得麋鹿玩偶。</t>
  </si>
  <si>
    <t>麋鹿玩偶</t>
  </si>
  <si>
    <t>和小鹿在一起的每天都是圣诞节。合成可获得麋鹿雕像。</t>
  </si>
  <si>
    <t>麋鹿雕像</t>
  </si>
  <si>
    <t>纯金小鹿不会更好看，但会更贵。已合成至最高级。</t>
  </si>
  <si>
    <t>一块积木</t>
  </si>
  <si>
    <t>搭建积木王国从一块小积木开始。合成可获得两块积木。</t>
  </si>
  <si>
    <t>两块积木</t>
  </si>
  <si>
    <t>拼装组合，便产生无限可能。合成可获得紫罗迷雾。</t>
  </si>
  <si>
    <t>紫罗迷雾</t>
  </si>
  <si>
    <t>紫罗兰在积木方块里盛开。合成可获得恋人未满。</t>
  </si>
  <si>
    <t>恋人未满</t>
  </si>
  <si>
    <t>牵手暖冬，也许只差一份礼物。合成可获得夏日倾情。</t>
  </si>
  <si>
    <t>夏日倾情</t>
  </si>
  <si>
    <t>为自己搭建一整个夏天。合成可获得郁金香积木。</t>
  </si>
  <si>
    <t>郁金香积木</t>
  </si>
  <si>
    <t>栩栩如生，仿佛可以嗅到香气。合成可获得汉堡小车。</t>
  </si>
  <si>
    <t>汉堡小车</t>
  </si>
  <si>
    <t>在积木王国里拥有自己的汉堡车。合成可获得美食小车。</t>
  </si>
  <si>
    <t>美食小车</t>
  </si>
  <si>
    <t>打开小车橱窗，为客人递上美食。合成可获得水晶城堡。</t>
  </si>
  <si>
    <t>水晶城堡</t>
  </si>
  <si>
    <t>积木王国也信奉童话。合成可获得圣诞小屋。</t>
  </si>
  <si>
    <t>圣诞小屋</t>
  </si>
  <si>
    <t>四季都置身于圣诞的氛围中。合成可获得圣诞礼盒。</t>
  </si>
  <si>
    <t>圣诞礼盒</t>
  </si>
  <si>
    <t>圣诞老人和他的礼物向你飞奔而来。合成可获得姜饼屋。</t>
  </si>
  <si>
    <t>姜饼屋</t>
  </si>
  <si>
    <t>姜饼屋里烤的姜饼是什么味道呢。合成可获得圣诞夜。</t>
  </si>
  <si>
    <t>圣诞夜</t>
  </si>
  <si>
    <t>好好享受美好的圣诞夜晚吧。已合成至最高级。</t>
  </si>
  <si>
    <t>小甩炮</t>
  </si>
  <si>
    <t>儿时新年最热门的玩具。合成可获得直线仙女棒。</t>
  </si>
  <si>
    <t>直线仙女棒</t>
  </si>
  <si>
    <t>小仙女专属烟花棒。合成可获得爱心仙女棒。</t>
  </si>
  <si>
    <t>爱心仙女棒</t>
  </si>
  <si>
    <t>仙女教母会发光的秘密法杖。合成可获得福字鞭炮。</t>
  </si>
  <si>
    <t>福字鞭炮</t>
  </si>
  <si>
    <t>鞭炮响一响，福气一整年。合成可获得窜天猴。</t>
  </si>
  <si>
    <t>窜天猴</t>
  </si>
  <si>
    <t>物如其名，窜出去后再难以找到。合成可获得小火箭。</t>
  </si>
  <si>
    <t>小火箭</t>
  </si>
  <si>
    <t>状似火箭，飞得也很高哦。合成可获得兔形炮竹。</t>
  </si>
  <si>
    <t>兔形炮竹</t>
  </si>
  <si>
    <t>这炮竹怎么兔里兔气的。合成可获得冲天炮。</t>
  </si>
  <si>
    <t>冲天炮</t>
  </si>
  <si>
    <t>好像看到一只会飞的兔子冲出去了。合成可获得烟花盒。</t>
  </si>
  <si>
    <t>烟花盒</t>
  </si>
  <si>
    <t>兔子炮竹们乖乖躺成一排。合成可获得大地红。</t>
  </si>
  <si>
    <t>大地红</t>
  </si>
  <si>
    <t>烟雾散去，大地一片红。合成可获得挂鞭。</t>
  </si>
  <si>
    <t>挂鞭</t>
  </si>
  <si>
    <t>传统爆竹，贺岁纳福。合成可获得中型烟花。</t>
  </si>
  <si>
    <t>中型烟花</t>
  </si>
  <si>
    <t>为新年打响热烈的第一炮。合成可获得电子礼炮。</t>
  </si>
  <si>
    <t>电子礼炮</t>
  </si>
  <si>
    <t>庆贺新年和保护环境可以兼得哦！已升至最高级。</t>
  </si>
  <si>
    <t>春联-兔</t>
  </si>
  <si>
    <t>春联之兔年吉祥。合成可获得春联-年。</t>
  </si>
  <si>
    <t>春联-年</t>
  </si>
  <si>
    <t>春联之兔年吉祥。合成可获得春联-吉。</t>
  </si>
  <si>
    <t>春联-吉</t>
  </si>
  <si>
    <t>春联之兔年吉祥。合成可获得春联-祥。</t>
  </si>
  <si>
    <t>春联-祥</t>
  </si>
  <si>
    <t>春联之兔年吉祥。合成可获得春联-恭。</t>
  </si>
  <si>
    <t>春联-恭</t>
  </si>
  <si>
    <t>春联之恭喜发财。合成可获得春联-喜。</t>
  </si>
  <si>
    <t>春联-喜</t>
  </si>
  <si>
    <t>春联之恭喜发财。合成可获得春联-发。</t>
  </si>
  <si>
    <t>春联-发</t>
  </si>
  <si>
    <t>春联之恭喜发财。合成可获得春联-财。</t>
  </si>
  <si>
    <t>春联-财</t>
  </si>
  <si>
    <t>春联之恭喜发财。合成可获得春联-新。</t>
  </si>
  <si>
    <t>春联-新</t>
  </si>
  <si>
    <t>春联之新春快乐。合成可获得春联-春。</t>
  </si>
  <si>
    <t>春联-春</t>
  </si>
  <si>
    <t>春联之新春快乐。合成可获得春联-快。</t>
  </si>
  <si>
    <t>春联-快</t>
  </si>
  <si>
    <t>春联之新春快乐。合成可获得春联-乐。</t>
  </si>
  <si>
    <t>春联-乐</t>
  </si>
  <si>
    <t>春联之新春快乐。合成可获得春联-倒福。</t>
  </si>
  <si>
    <t>春联-倒福</t>
  </si>
  <si>
    <t>福倒了，福到了。已升至最高级。</t>
  </si>
  <si>
    <t>碎竹片</t>
  </si>
  <si>
    <t>几片有弧度的碎竹片。合成可获得花灯支架。</t>
  </si>
  <si>
    <t>花灯支架</t>
  </si>
  <si>
    <t>花瓣和支架缠绕在一起。合成可获得花灯雏形。</t>
  </si>
  <si>
    <t>花灯雏形</t>
  </si>
  <si>
    <t>匠人手中的花苞灯盏栩栩如生。合成可获得手提荷花灯。</t>
  </si>
  <si>
    <t>手提荷花灯</t>
  </si>
  <si>
    <t>有了把手后就能随身提着了。合成可获得点亮荷花灯。</t>
  </si>
  <si>
    <t>点亮荷花灯</t>
  </si>
  <si>
    <t>人手一盏的”宝莲灯“。合成可获得纱灯。</t>
  </si>
  <si>
    <t>纱灯</t>
  </si>
  <si>
    <t>素白的薄纱灯面略有些单调。合成可获得棱角灯。</t>
  </si>
  <si>
    <t>棱角灯</t>
  </si>
  <si>
    <t>流苏在灯角上晃来晃去。合成可获得宫廷花灯。</t>
  </si>
  <si>
    <t>宫廷花灯</t>
  </si>
  <si>
    <t>似有小兔子在灯纸上张望。合成可获得弯月灯。</t>
  </si>
  <si>
    <t>弯月灯</t>
  </si>
  <si>
    <t>月亮弯弯，隐入云层。合成可获得圆月灯。</t>
  </si>
  <si>
    <t>圆月灯</t>
  </si>
  <si>
    <t>是哪只小兔子把月亮的圆心偷吃啦？合成可获得萌兔灯。</t>
  </si>
  <si>
    <t>萌兔灯</t>
  </si>
  <si>
    <t>抓到一只偷吃月亮的小萌兔。合成可获得玉兔灯。</t>
  </si>
  <si>
    <t>玉兔灯</t>
  </si>
  <si>
    <t>看！一只会发光的兔子！合成可获得月兔灯。</t>
  </si>
  <si>
    <t>月兔灯</t>
  </si>
  <si>
    <t>坐在弯月上的小兔子是在等嫦娥吗？合成可获得福兔灯。</t>
  </si>
  <si>
    <t>福兔灯</t>
  </si>
  <si>
    <t>你收到小福兔送的对联了吗？合成可获得莲花兔灯。</t>
  </si>
  <si>
    <t>莲花兔灯</t>
  </si>
  <si>
    <t>新的一年让兔兔神守护你吧。已升至最高级。</t>
  </si>
  <si>
    <t>新年红纸</t>
  </si>
  <si>
    <t>方正的红纸，看着就很喜庆。合成可获得双层纸。</t>
  </si>
  <si>
    <t>双层红纸</t>
  </si>
  <si>
    <t>两片红纸相叠，红包雏形初见。合成可获得传统红包。</t>
  </si>
  <si>
    <t>传统红包</t>
  </si>
  <si>
    <t>走亲访友必不能少的传统物品。合成可获得压岁红包。</t>
  </si>
  <si>
    <t>压岁红包</t>
  </si>
  <si>
    <t>装上崭新的钱币，添个好彩头。合成可获得印花红包。</t>
  </si>
  <si>
    <t>印花红包</t>
  </si>
  <si>
    <t>红包印上了兔兔神的头像。合成可获得兔耳红包。</t>
  </si>
  <si>
    <t>兔耳红包</t>
  </si>
  <si>
    <t>发动兔耳神功，拥有一整年好运气。合成可获得迷你福袋。</t>
  </si>
  <si>
    <t>迷你福袋</t>
  </si>
  <si>
    <t>这么小的福袋能装下多少压岁钱呢。合成可获得红包福袋。</t>
  </si>
  <si>
    <t>红包福袋</t>
  </si>
  <si>
    <t>红包满到快要溢出来啦。合成可获得元宝福袋。</t>
  </si>
  <si>
    <t>元宝福袋</t>
  </si>
  <si>
    <t>闪闪发亮的金元宝，比红包更诱人。合成可获得兔年福袋。</t>
  </si>
  <si>
    <t>兔年福袋</t>
  </si>
  <si>
    <t>兔兔神躲在金福袋里睡懒觉。已升至最高级。</t>
  </si>
  <si>
    <t>编织红绳</t>
  </si>
  <si>
    <t>纯手工编程成的红绳手串。合成可获得金珠红绳。</t>
  </si>
  <si>
    <t>金珠红绳</t>
  </si>
  <si>
    <t>简约却不失贵气。合成可获得平安扣红绳。</t>
  </si>
  <si>
    <t>平安扣红绳</t>
  </si>
  <si>
    <t>给最爱的人送上平安的祝愿。合成可获得平安扣手链。</t>
  </si>
  <si>
    <t>平安扣手链</t>
  </si>
  <si>
    <t>平安扣上长出了兔耳朵。合成可获得金猪手链。</t>
  </si>
  <si>
    <t>金猪手链</t>
  </si>
  <si>
    <t>把小猪戴在手上。合成可获得元宝手链。</t>
  </si>
  <si>
    <t>元宝手链</t>
  </si>
  <si>
    <t>黄金小元宝，招财又进宝。合成可获得兔兔手链。</t>
  </si>
  <si>
    <t>兔兔手链</t>
  </si>
  <si>
    <t>一只表情傲娇的小兔。合成可获得纯金吊坠手链。</t>
  </si>
  <si>
    <t>纯金吊坠手链</t>
  </si>
  <si>
    <t>金珠串起来的手链。合成可获得金铃铛手链。</t>
  </si>
  <si>
    <t>金铃铛手链</t>
  </si>
  <si>
    <t>铃铛一响，黄金万两。合成可获得流苏手镯。</t>
  </si>
  <si>
    <t>流苏手镯</t>
  </si>
  <si>
    <t>一步一响，一步一想。合成可获得雕花手镯。</t>
  </si>
  <si>
    <t>雕花手镯</t>
  </si>
  <si>
    <t>精心雕琢而出，充满古典气息。合成可获得金铜钱平安扣。</t>
  </si>
  <si>
    <t>金铜钱平安扣</t>
  </si>
  <si>
    <t>铜钱与平安扣合二为一。合成可获得金元宝。</t>
  </si>
  <si>
    <t>金元宝</t>
  </si>
  <si>
    <t>一”锭“发财。合成可获得纯金平安锁。</t>
  </si>
  <si>
    <t>纯金平安锁</t>
  </si>
  <si>
    <t>锁财更锁平安。合成可获得金貔貅。</t>
  </si>
  <si>
    <t>金貔貅</t>
  </si>
  <si>
    <t>福禄双收，辈辈有财。已升至最高级。</t>
  </si>
  <si>
    <t>海带丝</t>
  </si>
  <si>
    <t>咸鲜可口的开胃美食。合成可获得海带结。</t>
  </si>
  <si>
    <t>海带结</t>
  </si>
  <si>
    <t>海带打成结，下到火锅里。合成可获得蘸酱海螺。</t>
  </si>
  <si>
    <t>蘸酱海螺</t>
  </si>
  <si>
    <t>吃完的海螺别扔，做成小螺号。合成可获得扇贝。</t>
  </si>
  <si>
    <t>扇贝</t>
  </si>
  <si>
    <t>小心吃到珍珠哦。合成可获得北极贝。</t>
  </si>
  <si>
    <t>北极贝</t>
  </si>
  <si>
    <t>北极不生产北极贝。合成可获得三文鱼。</t>
  </si>
  <si>
    <t>三文鱼</t>
  </si>
  <si>
    <t>配上芥末和酱油一起，超美味。合成可获得鳗鱼。</t>
  </si>
  <si>
    <t>鳗鱼</t>
  </si>
  <si>
    <t>鲜美肥嫩的鳗鱼烫饭，请品尝~合成可获得银鳕鱼。</t>
  </si>
  <si>
    <t>银鳕鱼</t>
  </si>
  <si>
    <t>没有鱼刺，可以超大口享用。合成可获得红烧鲍鱼。</t>
  </si>
  <si>
    <t>红烧鲍鱼</t>
  </si>
  <si>
    <t>葱香鲍鱼，饭扫光神器。合成可获得鱼翅。</t>
  </si>
  <si>
    <t>鱼翅</t>
  </si>
  <si>
    <t>柔嫩腴滑，软糯爽口。合成可获得大闸蟹。</t>
  </si>
  <si>
    <t>大闸蟹</t>
  </si>
  <si>
    <t>冬日里的第一只大闸蟹。合成可获得小龙虾。</t>
  </si>
  <si>
    <t>小龙虾</t>
  </si>
  <si>
    <t>确定不来一盘蒜蓉龙虾吗？合成可获得澳龙。</t>
  </si>
  <si>
    <t>澳龙</t>
  </si>
  <si>
    <t>海鲜盛宴，现在开始！已升至最高级。</t>
  </si>
  <si>
    <t>简约木簪</t>
  </si>
  <si>
    <t>还未经过雕琢的简朴簪子。合成可获得檀木素簪。</t>
  </si>
  <si>
    <t>檀木素簪</t>
  </si>
  <si>
    <t>稍微雕琢下便有了神韵。合成可获得鹿角木簪。</t>
  </si>
  <si>
    <t>鹿角木簪</t>
  </si>
  <si>
    <t>形似鹿角，还能开瓶盖。合成可获得镂空木簪。</t>
  </si>
  <si>
    <t>镂空木簪</t>
  </si>
  <si>
    <t>细致打磨后，精致度满分。合成可获得银杏银簪。</t>
  </si>
  <si>
    <t>银杏银簪</t>
  </si>
  <si>
    <t>两片银杏叶依偎在一起。合成可获得双花银簪。</t>
  </si>
  <si>
    <t>双花银簪</t>
  </si>
  <si>
    <t>素手执梅，东方婉约之美。合成可获得莲花流苏簪。</t>
  </si>
  <si>
    <t>莲花流苏簪</t>
  </si>
  <si>
    <t>莲花开在了银簪上。合成可获得枫叶流苏簪。</t>
  </si>
  <si>
    <t>枫叶流苏簪</t>
  </si>
  <si>
    <t>逼真得仿佛枫叶要从簪子上落下来。合成可获得宫灯步摇。</t>
  </si>
  <si>
    <t>宫灯步摇</t>
  </si>
  <si>
    <t>天亮时是步摇，天暗时是宫灯。合成可获得凤凰步摇。</t>
  </si>
  <si>
    <t>凤凰步摇</t>
  </si>
  <si>
    <t>一步一摇，摇曳生姿。合成可获得嵌绿松石金冠。</t>
  </si>
  <si>
    <t>嵌绿松石金冠</t>
  </si>
  <si>
    <t>嵌上绿松石，发冠的点睛之笔。合成可获得镶宝点翠凤冠。</t>
  </si>
  <si>
    <t>镶宝点翠凤冠</t>
  </si>
  <si>
    <t>传统婚礼中新娘头戴之物。合成可获得鎏金双鸾凤冠。</t>
  </si>
  <si>
    <t>鎏金双鸾凤冠</t>
  </si>
  <si>
    <t>双凤齐飞，华贵非常。已升至最高级。</t>
  </si>
  <si>
    <t>蚕丝口红纸</t>
  </si>
  <si>
    <t>蚕茧制成的纯天然上妆用品。合成可获得口红色卡。</t>
  </si>
  <si>
    <t>口红色卡</t>
  </si>
  <si>
    <t>试完再买，保护钱包。合成可获得古法口脂。</t>
  </si>
  <si>
    <t>古法口脂</t>
  </si>
  <si>
    <t>东方妆容，千年审美。合成可获得胶囊口红。</t>
  </si>
  <si>
    <t>胶囊口红</t>
  </si>
  <si>
    <t>超大型胶囊，小朋友不要误食哦。合成可获得糖果口红。</t>
  </si>
  <si>
    <t>糖果口红</t>
  </si>
  <si>
    <t>包装甜甜的，颜色也甜甜的。合成可获得无色润唇膏。</t>
  </si>
  <si>
    <t>无色润唇膏</t>
  </si>
  <si>
    <t>涂口红前别忘了先润下唇哦。合成可获得裸色口红。</t>
  </si>
  <si>
    <t>裸色口红</t>
  </si>
  <si>
    <t>素颜妆专属神器。合成可获得豆沙色唇釉。</t>
  </si>
  <si>
    <t>豆沙色唇釉</t>
  </si>
  <si>
    <t>清冷温柔气质get！合成可获得番茄色唇釉。</t>
  </si>
  <si>
    <t>番茄色唇釉</t>
  </si>
  <si>
    <t>你可以永远相信烂番茄！合成可获得梅子色唇釉。</t>
  </si>
  <si>
    <t>梅子色唇釉</t>
  </si>
  <si>
    <t>酒渍杨梅，显白必备。合成可获得单支小礼盒。</t>
  </si>
  <si>
    <t>单支小礼盒</t>
  </si>
  <si>
    <t>口红也能拥有漂亮的小房间。合成可获得口红礼盒。</t>
  </si>
  <si>
    <t>口红礼盒</t>
  </si>
  <si>
    <t>把心意包装在礼盒里。合成可获得全色号口红。</t>
  </si>
  <si>
    <t>全色号口红</t>
  </si>
  <si>
    <t>谁能拒绝全色号的口红套装呢？已升至最高级。</t>
  </si>
  <si>
    <t>三叶草</t>
  </si>
  <si>
    <t>三叶代表真爱、健康、名誉。合成获得薰衣草。</t>
  </si>
  <si>
    <t>薰衣草</t>
  </si>
  <si>
    <t>历百难，执子手。合成获得勿忘我。</t>
  </si>
  <si>
    <t>勿忘我</t>
  </si>
  <si>
    <t>勿忘我，勿忘我，不要忘记我呀。合成获得向日葵。</t>
  </si>
  <si>
    <t>向日葵</t>
  </si>
  <si>
    <t>默默的守护也是一种爱。合成获得双枝玫瑰。</t>
  </si>
  <si>
    <t>双枝玫瑰</t>
  </si>
  <si>
    <t>你和我便是世界的全部。合成获得雏菊。</t>
  </si>
  <si>
    <t>雏菊</t>
  </si>
  <si>
    <t>我爱着，什么也不说。合成获得三朵玫瑰。</t>
  </si>
  <si>
    <t>三朵玫瑰</t>
  </si>
  <si>
    <t>三朵玫瑰代表深情的那三个字。合成获得栀子花。</t>
  </si>
  <si>
    <t>栀子花</t>
  </si>
  <si>
    <t>熬过了整个冬天而在夏天盛开。合成获得紫色紫罗兰。</t>
  </si>
  <si>
    <t>紫色紫罗兰</t>
  </si>
  <si>
    <t>我好像在梦里就爱过你一万次。合成获得白百合。</t>
  </si>
  <si>
    <t>白百合</t>
  </si>
  <si>
    <t>永远纯洁、永远天真、永远少女。合成获得郁金香。</t>
  </si>
  <si>
    <t>郁金香</t>
  </si>
  <si>
    <t>你在我心中是永远的公主。合成获得满天星</t>
  </si>
  <si>
    <t>满天星</t>
  </si>
  <si>
    <t>咖啡中每次都会多一颗糖。合成获得碎冰蓝玫瑰。</t>
  </si>
  <si>
    <t>碎冰蓝玫瑰</t>
  </si>
  <si>
    <t>遇见你是我此生的幸运。已合成至最高级。</t>
  </si>
  <si>
    <t>甜蜜的信</t>
  </si>
  <si>
    <t>那甜美的回忆。合成获得热烈的宣告。</t>
  </si>
  <si>
    <t>热烈的宣告</t>
  </si>
  <si>
    <t>读完信的下午，悸动在蔓延。合成获得罗曼蒂克巧克力。</t>
  </si>
  <si>
    <t>罗曼蒂克巧克力</t>
  </si>
  <si>
    <t>在此之前，我从不吃巧克力。合成获得第一个惊喜</t>
  </si>
  <si>
    <t>第一个惊喜</t>
  </si>
  <si>
    <t>犹记得你收到时的红颊。合成获得第一千个惊喜。</t>
  </si>
  <si>
    <t>第一千个惊喜</t>
  </si>
  <si>
    <t>越发了解彼此，但仍会心动。合成获得情人节香水。</t>
  </si>
  <si>
    <t>情人节香水</t>
  </si>
  <si>
    <t>这股味道，此生难忘。合成获得意料之外的化妆品。</t>
  </si>
  <si>
    <t>意料之外的化妆品</t>
  </si>
  <si>
    <t>能变美的礼物都是好礼物。合成获得奢华包包。</t>
  </si>
  <si>
    <t>奢华包包</t>
  </si>
  <si>
    <t>下次别送了呦，爱就是为对方考虑。合成获得致灰姑娘。</t>
  </si>
  <si>
    <t>致灰姑娘</t>
  </si>
  <si>
    <t>灰姑娘是谁？王子又是谁呢？合成获得珍视的连衣裙。</t>
  </si>
  <si>
    <t>珍视的连衣裙</t>
  </si>
  <si>
    <t>爱的人前穿喜欢的衣服，双倍的快乐。合成获得随行婚车。</t>
  </si>
  <si>
    <t>随行婚车</t>
  </si>
  <si>
    <t>亲人朋友们的祝福。合成获得主婚车。</t>
  </si>
  <si>
    <t>主婚车</t>
  </si>
  <si>
    <t>终于，得偿所愿。合成获得最长久的爱情。</t>
  </si>
  <si>
    <t>最长久的爱情</t>
  </si>
  <si>
    <t>最长久的爱情是陪伴。已合成最高级。</t>
  </si>
  <si>
    <t>感情的土壤</t>
  </si>
  <si>
    <t>一切始于可能的土壤。合成获得好感的萌芽。</t>
  </si>
  <si>
    <t>好感的萌芽</t>
  </si>
  <si>
    <t>偶然的小事，触动了彼此。合成获得交错的双叶。</t>
  </si>
  <si>
    <t>交错的双叶</t>
  </si>
  <si>
    <t>心动瞬间就像触了电。合成获得成长的幼苗。</t>
  </si>
  <si>
    <t>成长的幼苗</t>
  </si>
  <si>
    <t>时间就像雨水，浇灌着感情。合成获得浅浅的花丛。</t>
  </si>
  <si>
    <t>浅浅的花丛</t>
  </si>
  <si>
    <t>浅浅的爱，就像悠悠的小船。合成获得开花的花丛。</t>
  </si>
  <si>
    <t>开花的花丛</t>
  </si>
  <si>
    <t>玫瑰总会开花，感情总会结果。合成获得荆棘玫瑰。</t>
  </si>
  <si>
    <t>荆棘玫瑰</t>
  </si>
  <si>
    <t>相处过程，难免少不了磕绊。合成获得玫瑰花圃。</t>
  </si>
  <si>
    <t>玫瑰花圃</t>
  </si>
  <si>
    <t>经历风吹雨打，我仍然爱你。合成获得爱的宫殿。</t>
  </si>
  <si>
    <t>爱的宫殿</t>
  </si>
  <si>
    <t>家庭，是爱的宫殿。合成获得爱情岛。</t>
  </si>
  <si>
    <t>爱情岛</t>
  </si>
  <si>
    <t>爱情就像岛屿，神秘、美丽、诱惑。已合成至最高级。</t>
  </si>
  <si>
    <t>感情的土壤[V]</t>
  </si>
  <si>
    <t>一切始于可能的土壤。合成获得好感的萌芽[V]。</t>
  </si>
  <si>
    <t>好感的萌芽[V]</t>
  </si>
  <si>
    <t>偶然的小事，触动了彼此。合成获得交错的双叶[V]。</t>
  </si>
  <si>
    <t>交错的双叶[V]</t>
  </si>
  <si>
    <t>心动瞬间就像触了电。合成获得成长的幼苗[V]。</t>
  </si>
  <si>
    <t>成长的幼苗[V]</t>
  </si>
  <si>
    <t>时间就像雨水，浇灌着感情。合成获得浅浅的花丛[V]。</t>
  </si>
  <si>
    <t>浅浅的花丛[V]</t>
  </si>
  <si>
    <t>浅浅的爱，就像悠悠的小船。合成获得开花的花丛[V]。</t>
  </si>
  <si>
    <t>开花的花丛[V]</t>
  </si>
  <si>
    <t>玫瑰总会开花，感情总会结果。合成获得荆棘玫瑰[V]。</t>
  </si>
  <si>
    <t>荆棘玫瑰[V]</t>
  </si>
  <si>
    <t>相处过程，难免少不了磕绊。合成获得玫瑰花圃[V]。</t>
  </si>
  <si>
    <t>玫瑰花圃[V]</t>
  </si>
  <si>
    <t>经历风吹雨打，我仍然爱你。合成获得爱的宫殿[V]。</t>
  </si>
  <si>
    <t>爱的宫殿[V]</t>
  </si>
  <si>
    <t>家庭，是爱的宫殿。合成获得爱情岛[V]。</t>
  </si>
  <si>
    <t>爱情岛[V]</t>
  </si>
  <si>
    <t>网兜手提袋</t>
  </si>
  <si>
    <t>千万不要装小物件哦！。合成获得简易抽绳背包。</t>
  </si>
  <si>
    <t>简易抽绳背包</t>
  </si>
  <si>
    <t>拉紧真容易，打开好难呀。合成获得运动双肩包。</t>
  </si>
  <si>
    <t>运动双肩包</t>
  </si>
  <si>
    <t>矿泉水、面包、充电器...都装在里面。合成获得干湿分离运动包。</t>
  </si>
  <si>
    <t>干湿分离运动包</t>
  </si>
  <si>
    <t>独立鞋仓，再也不用担心有异味啦。合成获得有氧手提篮。</t>
  </si>
  <si>
    <t>有氧手提篮</t>
  </si>
  <si>
    <t>新手有氧套装，你值得拥有。合成获得器械手推车。</t>
  </si>
  <si>
    <t>器械手推车</t>
  </si>
  <si>
    <t>其实，推车子时就已经在锻炼了。合成获得教练手推车。</t>
  </si>
  <si>
    <t>教练手推车</t>
  </si>
  <si>
    <t>我没有偷懒！是在检查装备有没有少。合成获得电动器械车。</t>
  </si>
  <si>
    <t>电动器械车</t>
  </si>
  <si>
    <t>呼~终于省力啦。合成获得健身驿站。</t>
  </si>
  <si>
    <t>健身驿站</t>
  </si>
  <si>
    <t>向前一小步，健康一大步。合成获得有氧阳光房。</t>
  </si>
  <si>
    <t>有氧阳光房</t>
  </si>
  <si>
    <t>嘿咻嘿咻，下次比赛绝不会再输给乌龟了。已合成至最高级。</t>
  </si>
  <si>
    <t>偷懒兔</t>
  </si>
  <si>
    <t>我没睡，我只是在听大地的心跳。合成获得兴奋兔。</t>
  </si>
  <si>
    <t>兴奋兔</t>
  </si>
  <si>
    <t>吼吼吼吼！我的肥膘已经在颤抖啦。合成获得伸展兔。</t>
  </si>
  <si>
    <t>伸展兔</t>
  </si>
  <si>
    <t>唔~运动前拉伸，才不容易受伤。合成获得瑜伽兔。</t>
  </si>
  <si>
    <t>瑜伽兔</t>
  </si>
  <si>
    <t>呼吸~放松~放空你的心灵~呼吸......合成获得哑铃兔。</t>
  </si>
  <si>
    <t>哑铃兔</t>
  </si>
  <si>
    <t>一二、三四、五，唔，呜......合成获得滚球兔。</t>
  </si>
  <si>
    <t>滚球兔</t>
  </si>
  <si>
    <t>总有一天，我要征服这个球。合成获得蹦床兔。</t>
  </si>
  <si>
    <t>蹦床兔</t>
  </si>
  <si>
    <t>旋转跳跃，我的强项。合成获得跳绳兔。</t>
  </si>
  <si>
    <t>跳绳兔</t>
  </si>
  <si>
    <t>呼哧、呼哧、呼哧，目标1000下。合成获得跑步兔。</t>
  </si>
  <si>
    <t>跑步兔</t>
  </si>
  <si>
    <t>兔子，四只脚跑步算作弊嘛？合成获得单车兔。</t>
  </si>
  <si>
    <t>单车兔</t>
  </si>
  <si>
    <t>摇摆摇摆，我是最靓的崽！合成获得卧推兔。</t>
  </si>
  <si>
    <t>卧推兔</t>
  </si>
  <si>
    <t>据说可以变大，我不能放弃！！！合成获得深蹲兔。</t>
  </si>
  <si>
    <t>深蹲兔</t>
  </si>
  <si>
    <t>两片三片四五片，腿上肥肉都不见。合成获得臭美兔。</t>
  </si>
  <si>
    <t>臭美兔</t>
  </si>
  <si>
    <t>这角度看，线条很棒( •̀ ω •́ )y~~~已合成至最高级。</t>
  </si>
  <si>
    <t>全麦面包</t>
  </si>
  <si>
    <t>细粮要吃，粗粮也要吃。合成获得水煮玉米。</t>
  </si>
  <si>
    <t>水煮玉米</t>
  </si>
  <si>
    <t>又香又甜又糯，来一根！合成获得蔬菜汁。</t>
  </si>
  <si>
    <t>蔬菜汁</t>
  </si>
  <si>
    <t>补充维生素，就喝蔬菜汁！合成获得水煮鸡蛋</t>
  </si>
  <si>
    <t>水煮鸡蛋</t>
  </si>
  <si>
    <t>鸡蛋里有着最丰富的营养，健身必备。合成获得胡萝卜沙拉。</t>
  </si>
  <si>
    <t>胡萝卜沙拉</t>
  </si>
  <si>
    <t>硬啃胡萝卜，不如做成美味的沙拉。合成获得黄瓜胡萝卜沙拉。</t>
  </si>
  <si>
    <t>黄瓜胡萝卜沙拉</t>
  </si>
  <si>
    <t>有股瓜果的独特清香，很可口哦。合成获得三明治。</t>
  </si>
  <si>
    <t>三明治</t>
  </si>
  <si>
    <t>营养丰富、制作简单，早餐首选。合成获得什锦蔬菜沙拉。</t>
  </si>
  <si>
    <t>什锦蔬菜沙拉</t>
  </si>
  <si>
    <t>光看这五颜六色，食欲就起来了呢。合成获得鸡蛋轻食沙拉。</t>
  </si>
  <si>
    <t>鸡蛋轻食沙拉</t>
  </si>
  <si>
    <t>荤素搭配，营养全面。合成获得鸡胸肉减脂餐。</t>
  </si>
  <si>
    <t>鸡胸肉减脂餐</t>
  </si>
  <si>
    <t>最平淡的味道，最纯正的蛋白源。合成获得青花鱼减脂餐。</t>
  </si>
  <si>
    <t>青花鱼减脂餐</t>
  </si>
  <si>
    <t>减脂瘦身期间，白色蛋白不可或缺。合成获得虾仁减脂餐。</t>
  </si>
  <si>
    <t>虾仁减脂餐</t>
  </si>
  <si>
    <t>低脂海鲜，再来点芥末就更好了。合成获得5分熟牛排。</t>
  </si>
  <si>
    <t>5分熟牛排</t>
  </si>
  <si>
    <t>牛肉，那可是最好的健身主食！已合成至最高级。</t>
  </si>
  <si>
    <t>弹力绳</t>
  </si>
  <si>
    <t>简便易携，既能练力量，又能练柔韧。合成获得呼啦圈。</t>
  </si>
  <si>
    <t>呼啦圈</t>
  </si>
  <si>
    <t>一圈又一圈，练出马甲线。合成获得瑜伽砖。</t>
  </si>
  <si>
    <t>瑜伽砖</t>
  </si>
  <si>
    <t>柔韧性不够的话，就借助瑜伽砖吧。合成获得跳绳。</t>
  </si>
  <si>
    <t>跳绳</t>
  </si>
  <si>
    <t>今天目标，2000个！合成获得放松狼牙棒。</t>
  </si>
  <si>
    <t>放松狼牙棒</t>
  </si>
  <si>
    <t>拍打紧绷部位，可有效放松。合成获得瑜伽垫。</t>
  </si>
  <si>
    <t>瑜伽垫</t>
  </si>
  <si>
    <t>有了瑜伽垫，哪里都能练。合成获得翘臀壶铃。</t>
  </si>
  <si>
    <t>翘臀壶铃</t>
  </si>
  <si>
    <t>蜜桃蜜桃蜜桃，就用它。合成获得泡沫滚轴。</t>
  </si>
  <si>
    <t>泡沫滚轴</t>
  </si>
  <si>
    <t>肌肉的酸痛瓦解了呢。合成获得女士哑铃。</t>
  </si>
  <si>
    <t>女士哑铃</t>
  </si>
  <si>
    <t>虽然不重，但是真的好好看啊。合成获得瘦腿神器。</t>
  </si>
  <si>
    <t>瘦腿神器</t>
  </si>
  <si>
    <t>坚持，就可以驾驭丝袜和短裙。合成获得健腹滚轮。</t>
  </si>
  <si>
    <t>健腹滚轮</t>
  </si>
  <si>
    <t>我推~我收~，我像个皮皮虾~合成获得瘦腿踏步机。</t>
  </si>
  <si>
    <t>瘦腿踏步机</t>
  </si>
  <si>
    <t>夏天到啦，也到了该练腿的时候了。合成获得美腰卷腹机。</t>
  </si>
  <si>
    <t>美腰卷腹机</t>
  </si>
  <si>
    <t>练出马甲线，羡慕死别人！已合成至最高级。</t>
  </si>
  <si>
    <t>网兜手提袋[V]</t>
  </si>
  <si>
    <t>千万不要装小物件哦！。合成获得简易抽绳背包[V]。</t>
  </si>
  <si>
    <t>简易抽绳背包[V]</t>
  </si>
  <si>
    <t>拉紧真容易，打开好难呀。合成获得运动双肩包[V]。</t>
  </si>
  <si>
    <t>运动双肩包[V]</t>
  </si>
  <si>
    <t>矿泉水、面包、充电器...都装在里面。合成获得干湿分离运动包[V]。</t>
  </si>
  <si>
    <t>干湿分离运动包[V]</t>
  </si>
  <si>
    <t>独立鞋仓，再也不用担心有异味啦。合成获得有氧手提篮[V]。</t>
  </si>
  <si>
    <t>有氧手提篮[V]</t>
  </si>
  <si>
    <t>新手有氧套装，你值得拥有。合成获得器械手推车[V]。</t>
  </si>
  <si>
    <t>器械手推车[V]</t>
  </si>
  <si>
    <t>其实，推车子时就已经在锻炼了。合成获得教练手推车[V]。</t>
  </si>
  <si>
    <t>教练手推车[V]</t>
  </si>
  <si>
    <t>我没有偷懒！是在检查装备有没有少。合成获得电动器械车[V]。</t>
  </si>
  <si>
    <t>电动器械车[V]</t>
  </si>
  <si>
    <t>呼~终于省力啦。合成获得健身驿站[V]。</t>
  </si>
  <si>
    <t>健身驿站[V]</t>
  </si>
  <si>
    <t>向前一小步，健康一大步。合成获得有氧阳光房[V]。</t>
  </si>
  <si>
    <t>有氧阳光房[V]</t>
  </si>
  <si>
    <t>风筝线轴</t>
  </si>
  <si>
    <t>圆圆的线轴卷起长长的线。合成获得风筝骨架。</t>
  </si>
  <si>
    <t>风筝骨架</t>
  </si>
  <si>
    <t>竹签与丝线缠绕出风筝的形状。合成获得简易风筝。</t>
  </si>
  <si>
    <t>简易风筝</t>
  </si>
  <si>
    <t>粘上风筝布，仿佛注入了灵魂。合成获得笑脸风筝。</t>
  </si>
  <si>
    <t>笑脸风筝</t>
  </si>
  <si>
    <t>看！风筝也会笑。合成获得蝴蝶风筝。</t>
  </si>
  <si>
    <t>蝴蝶风筝</t>
  </si>
  <si>
    <t>迎着春风翩跹起舞。合成获得金鱼风筝。</t>
  </si>
  <si>
    <t>金鱼风筝</t>
  </si>
  <si>
    <t>咦？金鱼也会飞吗？合成获得猫头鹰风筝。</t>
  </si>
  <si>
    <t>猫头鹰风筝</t>
  </si>
  <si>
    <t>大大的眼睛透露出清澈的呆滞。合成获得沙燕风筝。</t>
  </si>
  <si>
    <t>沙燕风筝</t>
  </si>
  <si>
    <t>北城黑锅底，南城大沙燕。合成获得老鹰风筝。</t>
  </si>
  <si>
    <t>老鹰风筝</t>
  </si>
  <si>
    <t>雄赳赳，气昂昂，眼神比爪子更锐利。合成获得凤凰风筝。</t>
  </si>
  <si>
    <t>凤凰风筝</t>
  </si>
  <si>
    <t>七彩凤凰，涅槃重生。合成获得鲸鱼风筝。</t>
  </si>
  <si>
    <t>鲸鱼风筝</t>
  </si>
  <si>
    <t>以天空为海，遨游其中。合成获得大鹅风筝。</t>
  </si>
  <si>
    <t>大鹅风筝</t>
  </si>
  <si>
    <t>比飞得高，我大白鹅还没输过。合成获得战斗机风筝。</t>
  </si>
  <si>
    <t>战斗机风筝</t>
  </si>
  <si>
    <t>飞再高的风筝在战斗机面前都不足为惧。已合成至最高级。</t>
  </si>
  <si>
    <t>小树种子</t>
  </si>
  <si>
    <t>三颗还未萌芽的种子。合成获得小树幼苗。</t>
  </si>
  <si>
    <t>小树幼苗</t>
  </si>
  <si>
    <t>经过雨水的灌溉破土而出。合成获得小树壮苗。</t>
  </si>
  <si>
    <t>小树壮苗</t>
  </si>
  <si>
    <t>风吹日晒下仍茁壮成长。合成获得四季青球形树。</t>
  </si>
  <si>
    <t>四季青球形树</t>
  </si>
  <si>
    <t>给四季青修剪一个圆圆的发型。合成获得香樟。</t>
  </si>
  <si>
    <t>香樟</t>
  </si>
  <si>
    <t>今日种下一棵树，明日还你一片林。合成获得橡树。</t>
  </si>
  <si>
    <t>橡树</t>
  </si>
  <si>
    <t>浑如一棵亭亭如盖的古树。合成获得垂柳。</t>
  </si>
  <si>
    <t>垂柳</t>
  </si>
  <si>
    <t>纤细的枝条由春风亲自裁剪。合成获得银薇。</t>
  </si>
  <si>
    <t>银薇</t>
  </si>
  <si>
    <t>象征好运的花开在美好的季节。合成获得木棉。</t>
  </si>
  <si>
    <t>木棉</t>
  </si>
  <si>
    <t>等春天来，先染一树红头发。合成获得白玉兰。</t>
  </si>
  <si>
    <t>白玉兰</t>
  </si>
  <si>
    <t>花之君子，艳而不妖。合成获得桃树。</t>
  </si>
  <si>
    <t>桃树</t>
  </si>
  <si>
    <t>繁花似锦，发出春天到来的信号。合成获得樱树。</t>
  </si>
  <si>
    <t>樱树</t>
  </si>
  <si>
    <t>一树便可成花海。合成获得紫藤。</t>
  </si>
  <si>
    <t>紫藤</t>
  </si>
  <si>
    <t>在春天里邂逅一帘紫色瀑布。已合成至最高级。</t>
  </si>
  <si>
    <t>导游兔</t>
  </si>
  <si>
    <t>来来来，大家都跟着我走~合成获得小学生兔。</t>
  </si>
  <si>
    <t>小学生兔</t>
  </si>
  <si>
    <t>等等我，腿短跟不上啦！合成获得唱歌兔。</t>
  </si>
  <si>
    <t>唱歌兔</t>
  </si>
  <si>
    <t>我是一只乖巧的小兔仔lala~合成获得采花兔。</t>
  </si>
  <si>
    <t>采花兔</t>
  </si>
  <si>
    <t>我就采一朵，唔，再采一朵。合成获得看书兔。</t>
  </si>
  <si>
    <t>看书兔</t>
  </si>
  <si>
    <t>出去玩也要保持阅读的好习惯。合成获得浇水兔。</t>
  </si>
  <si>
    <t>浇水兔</t>
  </si>
  <si>
    <t>给小苗浇水，快快长大哟！合成获得扑蝶兔。</t>
  </si>
  <si>
    <t>扑蝶兔</t>
  </si>
  <si>
    <t>我可是兔子，怎么可能跑不过蝴蝶。合成获得风筝兔。</t>
  </si>
  <si>
    <t>风筝兔</t>
  </si>
  <si>
    <t>比比谁的风筝飞得更高吧。合成获得萝卜兔。</t>
  </si>
  <si>
    <t>萝卜兔</t>
  </si>
  <si>
    <t>美味...是需要付出代价的！合成获得野餐兔。</t>
  </si>
  <si>
    <t>野餐兔</t>
  </si>
  <si>
    <t>把好吃的一样一样摆出来。合成获得烹饪兔。</t>
  </si>
  <si>
    <t>烹饪兔</t>
  </si>
  <si>
    <t>让我看看哪只小兔子被馋哭啦。合成获得植树兔。</t>
  </si>
  <si>
    <t>植树兔</t>
  </si>
  <si>
    <t>一片森林的起始。合成获得打滚兔。</t>
  </si>
  <si>
    <t>打滚兔</t>
  </si>
  <si>
    <t>在草地里打滚是春天最美好的事情。已合成至最高级。</t>
  </si>
  <si>
    <t>二轮板车</t>
  </si>
  <si>
    <t>年代久远的载人工具。合成获得人力三轮。</t>
  </si>
  <si>
    <t>人力三轮</t>
  </si>
  <si>
    <t>比二轮板车省力不少。合成获得电动三轮。</t>
  </si>
  <si>
    <t>电动三轮</t>
  </si>
  <si>
    <t>有了车顶，下雨也不怕。合成获得面包车。</t>
  </si>
  <si>
    <t>面包车</t>
  </si>
  <si>
    <t>形如面包，听起来很好吃~合成获得旅行房车。</t>
  </si>
  <si>
    <t>旅行房车</t>
  </si>
  <si>
    <t>车房一体，出行无敌。合成获得普通巴士。</t>
  </si>
  <si>
    <t>普通巴士</t>
  </si>
  <si>
    <t>城市中的钢铁马车。合成获得踏青中巴。</t>
  </si>
  <si>
    <t>踏青中巴</t>
  </si>
  <si>
    <t>载着小学生兔们奔赴春天的旅程。合成获得踏青大巴。</t>
  </si>
  <si>
    <t>踏青大巴</t>
  </si>
  <si>
    <t>车顶嘛，就是用来放行李的啦。合成获得单层露天巴士。</t>
  </si>
  <si>
    <t>单层露天巴士</t>
  </si>
  <si>
    <t>露天巴士，正好可以透透气。合成获得双层观光巴士。</t>
  </si>
  <si>
    <t>双层观光巴士</t>
  </si>
  <si>
    <t>春游也要绿色出行哦。已合成至最高级。</t>
  </si>
  <si>
    <t>二轮板车[V]</t>
  </si>
  <si>
    <t>年代久远的载人工具。合成获得人力三轮[V]。</t>
  </si>
  <si>
    <t>人力三轮[V]</t>
  </si>
  <si>
    <t>比二轮板车省力不少。合成获得电动三轮[V]。</t>
  </si>
  <si>
    <t>电动三轮[V]</t>
  </si>
  <si>
    <t>有了车顶，下雨也不怕。合成获得面包车[V]。</t>
  </si>
  <si>
    <t>面包车[V]</t>
  </si>
  <si>
    <t>形如面包，听起来很好吃~合成获得旅行房车[V]。</t>
  </si>
  <si>
    <t>旅行房车[V]</t>
  </si>
  <si>
    <t>车房一体，出行无敌。合成获得普通巴士[V]。</t>
  </si>
  <si>
    <t>普通巴士[V]</t>
  </si>
  <si>
    <t>城市中的钢铁马车。合成获得踏青中巴[V]。</t>
  </si>
  <si>
    <t>踏青中巴[V]</t>
  </si>
  <si>
    <t>载着小学生兔们奔赴春天的旅程。合成获得踏青大巴[V]。</t>
  </si>
  <si>
    <t>踏青大巴[V]</t>
  </si>
  <si>
    <t>车顶嘛，就是用来放行李的啦。合成获得单层露天巴士[V]。</t>
  </si>
  <si>
    <t>单层露天巴士[V]</t>
  </si>
  <si>
    <t>露天巴士，正好可以透透气。合成获得双层观光巴士[V]。</t>
  </si>
  <si>
    <t>双层观光巴士[V]</t>
  </si>
  <si>
    <t>农民兔</t>
  </si>
  <si>
    <t>去看看作物有没有长高~合成获得渔民兔。</t>
  </si>
  <si>
    <t>渔民兔</t>
  </si>
  <si>
    <t>兔太公钓鱼，愿者上钩。合成获得泥工兔。</t>
  </si>
  <si>
    <t>泥工兔</t>
  </si>
  <si>
    <t>楼层再高，地基得打好。合成获得环卫兔。</t>
  </si>
  <si>
    <t>环卫兔</t>
  </si>
  <si>
    <t>今天的任务是横扫这条街！合成获得骑手兔。</t>
  </si>
  <si>
    <t>骑手兔</t>
  </si>
  <si>
    <t>等着！外卖马上就到！合成获得调酒师兔。</t>
  </si>
  <si>
    <t>调酒师兔</t>
  </si>
  <si>
    <t>我的调酒技术无人能敌。合成获得教师兔。</t>
  </si>
  <si>
    <t>教师兔</t>
  </si>
  <si>
    <t>是老师，也是培育祖国花朵的园丁。合成获得运动员兔。</t>
  </si>
  <si>
    <t>运动员兔</t>
  </si>
  <si>
    <t>注意哦，我要发球了！合成获得裁缝兔。</t>
  </si>
  <si>
    <t>裁缝兔</t>
  </si>
  <si>
    <t>一针一线，把温暖缝进衣物里。合成获得画手兔。</t>
  </si>
  <si>
    <t>画手兔</t>
  </si>
  <si>
    <t>妙手丹青，兔间马良。合成获得记者兔。</t>
  </si>
  <si>
    <t>记者兔</t>
  </si>
  <si>
    <t>哪里路不平，哪里就有我。合成获得科研兔。</t>
  </si>
  <si>
    <t>科研兔</t>
  </si>
  <si>
    <t>用试管和烧杯担起重大使命。合成获得工程师兔。</t>
  </si>
  <si>
    <t>工程师兔</t>
  </si>
  <si>
    <t>学好数理化，走到外太空都不怕。已合成至最高级。</t>
  </si>
  <si>
    <t>镰刀</t>
  </si>
  <si>
    <t>古人智慧的证明。合成获得鱼竿。</t>
  </si>
  <si>
    <t>鱼竿</t>
  </si>
  <si>
    <t>鱼线动了，有大鱼上钩了。合成获得水泥桶。</t>
  </si>
  <si>
    <t>水泥桶</t>
  </si>
  <si>
    <t>泥工用具都收纳其中。合成获得防风簸箕。</t>
  </si>
  <si>
    <t>防风簸箕</t>
  </si>
  <si>
    <t>维护街道干净必不可少的用品。合成获得外卖箱。</t>
  </si>
  <si>
    <t>外卖箱</t>
  </si>
  <si>
    <t>以一箱之力护外卖不凉。合成获得雪克壶。</t>
  </si>
  <si>
    <t>雪克壶</t>
  </si>
  <si>
    <t>寻常配料混合出不寻常的味道。合成获得圆规三角尺。</t>
  </si>
  <si>
    <t>圆规三角尺</t>
  </si>
  <si>
    <t>简洁的线条蕴含着知识的力量。合成获得乒乓球拍。</t>
  </si>
  <si>
    <t>乒乓球拍</t>
  </si>
  <si>
    <t>运动员球场上的武器。合成获得缝纫机。</t>
  </si>
  <si>
    <t>缝纫机</t>
  </si>
  <si>
    <t>赋予裙子生命与时间的痕迹。合成获得画盘画笔。</t>
  </si>
  <si>
    <t>画盘画笔</t>
  </si>
  <si>
    <t>一笔调出千万色。合成获得摄影机。</t>
  </si>
  <si>
    <t>摄影机</t>
  </si>
  <si>
    <t>小小镜头记录百味。合成获得显微镜。</t>
  </si>
  <si>
    <t>显微镜</t>
  </si>
  <si>
    <t>透过镜片探索微观世界。合成获得计算机。</t>
  </si>
  <si>
    <t>计算机</t>
  </si>
  <si>
    <t>精密高效，是我的代名词。已合成至最高级。</t>
  </si>
  <si>
    <t>稻米</t>
  </si>
  <si>
    <t>粒粒稻米皆辛苦。合成获得小桶鱼。</t>
  </si>
  <si>
    <t>小桶鱼</t>
  </si>
  <si>
    <t>垂钓一下午的成果。合成获得砖堆。</t>
  </si>
  <si>
    <t>砖堆</t>
  </si>
  <si>
    <t>和泥、脱模、砌砖...这可是技术活！合成获得分类垃圾桶。</t>
  </si>
  <si>
    <t>分类垃圾桶</t>
  </si>
  <si>
    <t>垃圾分类，讲究的就是个干湿分离。合成获得外卖。</t>
  </si>
  <si>
    <t>外卖</t>
  </si>
  <si>
    <t>刚出锅的外卖，趁热吃！合成获得调制酒。</t>
  </si>
  <si>
    <t>调制酒</t>
  </si>
  <si>
    <t>一种酒，可以拥有一百种味道。合成获得荣誉证书。</t>
  </si>
  <si>
    <t>荣誉证书</t>
  </si>
  <si>
    <t>是学生的荣誉，也是老师的荣誉。合成获得运动奖杯。</t>
  </si>
  <si>
    <t>运动奖杯</t>
  </si>
  <si>
    <t>运动场挥洒汗水，只为这一刻。合成获得手作裙子。</t>
  </si>
  <si>
    <t>手作裙子</t>
  </si>
  <si>
    <t>量身定做，胜过价值连城。合成获得手绘。</t>
  </si>
  <si>
    <t>手绘</t>
  </si>
  <si>
    <t>画笔一挥，世界跃然于纸上。合成获得新闻报道。</t>
  </si>
  <si>
    <t>新闻报道</t>
  </si>
  <si>
    <t>道尽人情冷暖新鲜事儿。合成获得科研药品。</t>
  </si>
  <si>
    <t>科研药品</t>
  </si>
  <si>
    <t>致力于消除所有兔兔的疾病。合成获得航天器。</t>
  </si>
  <si>
    <t>航天器</t>
  </si>
  <si>
    <t>我的征途是星辰大海。已合成至最高级。</t>
  </si>
  <si>
    <t>劳动竹签</t>
  </si>
  <si>
    <t>竹签在手，劳动名额我有。合成获得劳动竹简。</t>
  </si>
  <si>
    <t>劳动竹简</t>
  </si>
  <si>
    <t>把报名劳动的兔兔写在竹简上。合成获得劳动证。</t>
  </si>
  <si>
    <t>劳动证</t>
  </si>
  <si>
    <t>汗水的结晶，劳动的证明。合成获得劳动锦旗。</t>
  </si>
  <si>
    <t>劳动锦旗</t>
  </si>
  <si>
    <t>美好生活，劳动创造。合成获得金属奖状。</t>
  </si>
  <si>
    <t>金属奖状</t>
  </si>
  <si>
    <t>实打实的含“金”量。合成获得劳动奖状。</t>
  </si>
  <si>
    <t>劳动奖状</t>
  </si>
  <si>
    <t>徽章嵌进奖状，劳动记在心中。合成获得立体奖状。</t>
  </si>
  <si>
    <t>立体奖状</t>
  </si>
  <si>
    <t>表彰劳动也要仪式感满满。合成获得宣传栏。</t>
  </si>
  <si>
    <t>宣传栏</t>
  </si>
  <si>
    <t>勤劳的兔兔最光荣。合成获得光荣榜。</t>
  </si>
  <si>
    <t>光荣榜</t>
  </si>
  <si>
    <t>让我看看，有哪些小兔上榜了呢?合成获得劳动丰碑。</t>
  </si>
  <si>
    <t>劳动丰碑</t>
  </si>
  <si>
    <t>劳动，一首永恒的赞歌。已合成至最高级。</t>
  </si>
  <si>
    <t>劳动竹签[V]</t>
  </si>
  <si>
    <t>竹签在手，劳动名额我有。合成获得劳动竹简[V]。</t>
  </si>
  <si>
    <t>劳动竹简[V]</t>
  </si>
  <si>
    <t>把报名劳动的兔兔写在竹简上。合成获得劳动证[V]。</t>
  </si>
  <si>
    <t>劳动证[V]</t>
  </si>
  <si>
    <t>汗水的结晶，劳动的证明。合成获得劳动锦旗[V]。</t>
  </si>
  <si>
    <t>劳动锦旗[V]</t>
  </si>
  <si>
    <t>美好生活，劳动创造。合成获得金属奖状[V]。</t>
  </si>
  <si>
    <t>金属奖状[V]</t>
  </si>
  <si>
    <t>实打实的含“金”量。合成获得劳动奖状[V]。</t>
  </si>
  <si>
    <t>劳动奖状[V]</t>
  </si>
  <si>
    <t>徽章嵌进奖状，劳动记在心中。合成获得立体奖状[V]。</t>
  </si>
  <si>
    <t>立体奖状[V]</t>
  </si>
  <si>
    <t>表彰劳动也要仪式感满满。合成获得宣传栏[V]。</t>
  </si>
  <si>
    <t>宣传栏[V]</t>
  </si>
  <si>
    <t>勤劳的兔兔最光荣。合成获得光荣榜[V]。</t>
  </si>
  <si>
    <t>光荣榜[V]</t>
  </si>
  <si>
    <t>让我看看，有哪些小兔上榜了呢?合成获得劳动丰碑[V]。</t>
  </si>
  <si>
    <t>劳动丰碑[V]</t>
  </si>
  <si>
    <t>弹珠</t>
  </si>
  <si>
    <t>晶莹剔透，小心误食。合成获得竹蜻蜓。</t>
  </si>
  <si>
    <t>竹蜻蜓</t>
  </si>
  <si>
    <t>螺旋浆叶和空心吸管组成的彩色旋风。合成获得鸡毛毽。</t>
  </si>
  <si>
    <t>鸡毛毽</t>
  </si>
  <si>
    <t>拿着鸡毛当令“毽”。合成获得七巧板。</t>
  </si>
  <si>
    <t>七巧板</t>
  </si>
  <si>
    <t>七块小板，可拼世界。合成获得幸运星。</t>
  </si>
  <si>
    <t>幸运星</t>
  </si>
  <si>
    <t>心愿折进星星里。合成获得鲁班锁。</t>
  </si>
  <si>
    <t>鲁班锁</t>
  </si>
  <si>
    <t>环环相扣，智慧传承。合成获得不倒翁。</t>
  </si>
  <si>
    <t>不倒翁</t>
  </si>
  <si>
    <t>哪里摔倒，就从哪里爬起来。合成获得小风车。</t>
  </si>
  <si>
    <t>小风车</t>
  </si>
  <si>
    <t>有风的地方就有快乐。合成获得拨浪鼓。</t>
  </si>
  <si>
    <t>拨浪鼓</t>
  </si>
  <si>
    <t>幼崽自娱自乐的神奇法宝。合成获得套圈机。</t>
  </si>
  <si>
    <t>套圈机</t>
  </si>
  <si>
    <t>古早的玩具也能带来现实的快乐。合成获得红白机。</t>
  </si>
  <si>
    <t>红白机</t>
  </si>
  <si>
    <t>红白相间，快乐无限。合成获得小木马。</t>
  </si>
  <si>
    <t>小木马</t>
  </si>
  <si>
    <t>摇啊摇，摇到外婆桥~合成获得古早街机。</t>
  </si>
  <si>
    <t>古早街机</t>
  </si>
  <si>
    <t>传闻中的街头霸王。已合成至最高级。</t>
  </si>
  <si>
    <t>儿童飞盘</t>
  </si>
  <si>
    <t>飞盘迷你，运动量可不迷你。合成获得魔法棒。</t>
  </si>
  <si>
    <t>魔法棒</t>
  </si>
  <si>
    <t>我有一根魔法棒，变大变小变漂亮。合成获得起泡胶。</t>
  </si>
  <si>
    <t>起泡胶</t>
  </si>
  <si>
    <t>捏一捏，把烦恼都粘走。合成获得蛙蛙气球。</t>
  </si>
  <si>
    <t>蛙蛙气球</t>
  </si>
  <si>
    <t>会飞的青蛙，快买下来带回家。合成获得小对讲机。</t>
  </si>
  <si>
    <t>小对讲机</t>
  </si>
  <si>
    <t>呼叫小兔，收到请回答。合成获得泡泡机。</t>
  </si>
  <si>
    <t>泡泡机</t>
  </si>
  <si>
    <t>震惊！相机竟然会吐泡泡。合成获得音乐盒。</t>
  </si>
  <si>
    <t>音乐盒</t>
  </si>
  <si>
    <t>会唱歌的小蛋糕，听得肚子咕咕叫。合成获得地鼠玩具。</t>
  </si>
  <si>
    <t>地鼠玩具</t>
  </si>
  <si>
    <t>一锤一个小地鼠。合成获得电子钢琴。</t>
  </si>
  <si>
    <t>电子钢琴</t>
  </si>
  <si>
    <t>艺术细胞，得从小培养。合成获得游戏机。</t>
  </si>
  <si>
    <t>游戏机</t>
  </si>
  <si>
    <t>适当玩游戏也能提升智力哦。合成获得收银玩具。</t>
  </si>
  <si>
    <t>收银玩具</t>
  </si>
  <si>
    <t>玩着玩着就学会算术啦。合成获得摇摇车。</t>
  </si>
  <si>
    <t>摇摇车</t>
  </si>
  <si>
    <t>大朋友也能玩的摇摇车。合成获得厨房玩具。</t>
  </si>
  <si>
    <t>厨房玩具</t>
  </si>
  <si>
    <t>过家家游戏的最佳道具。已合成至最高级。</t>
  </si>
  <si>
    <t>婴儿兔</t>
  </si>
  <si>
    <t>鼓声咕咚，引兔入梦。合成获得毽子兔。</t>
  </si>
  <si>
    <t>毽子兔</t>
  </si>
  <si>
    <t>一跳一跳长高高。合成获得泡泡兔。</t>
  </si>
  <si>
    <t>泡泡兔</t>
  </si>
  <si>
    <t>小小的快乐蕴含在泡泡里。合成获得风车兔。</t>
  </si>
  <si>
    <t>风车兔</t>
  </si>
  <si>
    <t>风往哪边吹，我往哪边跑。合成获得魔法师兔。</t>
  </si>
  <si>
    <t>魔法师兔</t>
  </si>
  <si>
    <t>咪西咪西，变身！合成获得积木兔。</t>
  </si>
  <si>
    <t>积木兔</t>
  </si>
  <si>
    <t>建造城堡，从学会搭建积木开始。合成获得平衡车兔。</t>
  </si>
  <si>
    <t>平衡车兔</t>
  </si>
  <si>
    <t>快让开！我要刹不住车啦！合成获得娃娃兔。</t>
  </si>
  <si>
    <t>娃娃兔</t>
  </si>
  <si>
    <t>可爱的兔子只和可爱的娃娃一起玩。合成获得飞机兔。</t>
  </si>
  <si>
    <t>飞机兔</t>
  </si>
  <si>
    <t>我的遥控飞机是世界第一酷。合成获得游戏兔。</t>
  </si>
  <si>
    <t>游戏兔</t>
  </si>
  <si>
    <t>我不是在玩游戏，而是在开发智力。合成获得过家家兔。</t>
  </si>
  <si>
    <t>过家家兔</t>
  </si>
  <si>
    <t>今天扮演大厨师，给大家露一手。合成获得木马兔。</t>
  </si>
  <si>
    <t>木马兔</t>
  </si>
  <si>
    <t>坐在木马上，梦回童年。合成获得滑梯兔。</t>
  </si>
  <si>
    <t>滑梯兔</t>
  </si>
  <si>
    <t>小兔子滑梯，是我小兔子专属的哦。已合成至最高级。</t>
  </si>
  <si>
    <t>时光口袋</t>
  </si>
  <si>
    <t>鼓囊囊的口袋，装满了时间。合成获得时光沙漏。</t>
  </si>
  <si>
    <t>时光沙漏</t>
  </si>
  <si>
    <t>时间即沙漏，不停息，匆匆走。合成获得时光钟表。</t>
  </si>
  <si>
    <t>时光钟表</t>
  </si>
  <si>
    <t>指针回到起点，但已不是昨日。合成获得时光抽屉。</t>
  </si>
  <si>
    <t>时光抽屉</t>
  </si>
  <si>
    <t>抽屉里盛满了过去的旧时光。合成获得时光门。</t>
  </si>
  <si>
    <t>时光门</t>
  </si>
  <si>
    <t>穿过这扇门，就回到了童年。合成获得时光电话亭。</t>
  </si>
  <si>
    <t>时光电话亭</t>
  </si>
  <si>
    <t>给儿时的自己打个电话。合成获得时光高塔。</t>
  </si>
  <si>
    <t>时光高塔</t>
  </si>
  <si>
    <t>往高处去，寻找时间。合成获得时光钟楼。</t>
  </si>
  <si>
    <t>时光钟楼</t>
  </si>
  <si>
    <t>时光之音，无声流逝。合成获得时光小筑。</t>
  </si>
  <si>
    <t>时光小筑</t>
  </si>
  <si>
    <t>儿时的记忆犹新，回忆永不褪色。合成获得时光城堡。</t>
  </si>
  <si>
    <t>时光城堡</t>
  </si>
  <si>
    <t>童年堆砌的梦幻城堡，通往过去的秘道。已合成至最高级。</t>
  </si>
  <si>
    <t>时光口袋[V]</t>
  </si>
  <si>
    <t>鼓囊囊的口袋，装满了时间。合成获得时光沙漏[V]。</t>
  </si>
  <si>
    <t>时光沙漏[V]</t>
  </si>
  <si>
    <t>时间即沙漏，不停息，匆匆走。合成获得时光钟表[V]。</t>
  </si>
  <si>
    <t>时光钟表[V]</t>
  </si>
  <si>
    <t>指针回到起点，但已不是昨日。合成获得时光抽屉[V]。</t>
  </si>
  <si>
    <t>时光抽屉[V]</t>
  </si>
  <si>
    <t>抽屉里盛满了过去的旧时光。合成获得时光门[V]。</t>
  </si>
  <si>
    <t>时光门[V]</t>
  </si>
  <si>
    <t>穿过这扇门，就回到了童年。合成获得时光电话亭[V]。</t>
  </si>
  <si>
    <t>时光电话亭[V]</t>
  </si>
  <si>
    <t>给儿时的自己打个电话。合成获得时光高塔[V]。</t>
  </si>
  <si>
    <t>时光高塔[V]</t>
  </si>
  <si>
    <t>往高处去，寻找时间。合成获得时光钟楼[V]。</t>
  </si>
  <si>
    <t>时光钟楼[V]</t>
  </si>
  <si>
    <t>时光之音，无声流逝。合成获得时光小筑[V]。</t>
  </si>
  <si>
    <t>时光小屋[V]</t>
  </si>
  <si>
    <t>儿时的记忆犹新，回忆永不褪色。合成获得时光城堡[V]。</t>
  </si>
  <si>
    <t>时光城堡[V]</t>
  </si>
  <si>
    <t>小木筏</t>
  </si>
  <si>
    <t>看似简陋却稳固的小木筏。合成获得小木船。</t>
  </si>
  <si>
    <t>小木船</t>
  </si>
  <si>
    <t>小小的木船，浅浅的湾~合成获得乌篷船。</t>
  </si>
  <si>
    <t>乌篷船</t>
  </si>
  <si>
    <t>有了篷子便能遮风挡雨。合成获得单桅小帆船。</t>
  </si>
  <si>
    <t>单桅小帆船</t>
  </si>
  <si>
    <t>向着大海，进发！合成获得多桅小帆船。</t>
  </si>
  <si>
    <t>多桅小帆船</t>
  </si>
  <si>
    <t>探寻传奇海贼的宝藏！合成获得远洋小渔船。</t>
  </si>
  <si>
    <t>远洋小渔船</t>
  </si>
  <si>
    <t>科技的发展，让人类征服了海面。合成获得鱼形潜艇。</t>
  </si>
  <si>
    <t>鱼形潜艇</t>
  </si>
  <si>
    <t>鱼的形态，更适合潜水。合成获得鲨鱼潜艇。</t>
  </si>
  <si>
    <t>鲨鱼潜艇</t>
  </si>
  <si>
    <t>可可爱爱，鲨鱼古怪。合成获得鮟鱇深海探测器。</t>
  </si>
  <si>
    <t>鮟鱇深海探测器</t>
  </si>
  <si>
    <t>头上的灯泡能照亮海沟.合成获得蛟龙深海探测器。</t>
  </si>
  <si>
    <t>蛟龙深海探测器</t>
  </si>
  <si>
    <t>龙归大海，驰骋天下！已合成至最高级。</t>
  </si>
  <si>
    <t>小木筏[V]</t>
  </si>
  <si>
    <t>看似简陋却稳固的小木筏。合成获得小木船[V]。</t>
  </si>
  <si>
    <t>小木船[V]</t>
  </si>
  <si>
    <t>小小的木船，浅浅的湾~合成获得乌篷船[V]。</t>
  </si>
  <si>
    <t>乌篷船[V]</t>
  </si>
  <si>
    <t>有了篷子便能遮风挡雨。合成获得单桅小帆船[V]。</t>
  </si>
  <si>
    <t>单桅小帆船[V]</t>
  </si>
  <si>
    <t>向着大海，进发！合成获得多桅小帆船[V]。</t>
  </si>
  <si>
    <t>多桅小帆船[V]</t>
  </si>
  <si>
    <t>探寻传奇海贼的宝藏！合成获得远洋小渔船[V]。</t>
  </si>
  <si>
    <t>远洋小渔船[V]</t>
  </si>
  <si>
    <t>科技的发展，让人类征服了海面。合成获得鱼形潜艇[V]。</t>
  </si>
  <si>
    <t>鱼形潜艇[V]</t>
  </si>
  <si>
    <t>鱼的形态，更适合潜水。合成获得鲨鱼潜艇[V]。</t>
  </si>
  <si>
    <t>鲨鱼潜艇[V]</t>
  </si>
  <si>
    <t>可可爱爱，鲨鱼古怪。合成获得鮟鱇深海探测器[V]。</t>
  </si>
  <si>
    <t>鮟鱇深海探测器[V]</t>
  </si>
  <si>
    <t>头上的灯泡能照亮海沟.合成获得蛟龙深海探测器[V]。</t>
  </si>
  <si>
    <t>蛟龙深海探测器[V]</t>
  </si>
  <si>
    <t>龙归大海，驰骋天下！已合成至最高级[V]。</t>
  </si>
  <si>
    <t>海兔</t>
  </si>
  <si>
    <t>白乎乎、软糯糯~合成获得小丑鱼。</t>
  </si>
  <si>
    <t>小丑鱼</t>
  </si>
  <si>
    <t>身上的花纹红白相间。合成获得海马。</t>
  </si>
  <si>
    <t>海马</t>
  </si>
  <si>
    <t>你见过海马吐泡泡吗？合成获得气球鱼。</t>
  </si>
  <si>
    <t>气球鱼</t>
  </si>
  <si>
    <t>心情不好，别来烦我！合成获得变色章鱼。</t>
  </si>
  <si>
    <t>变色章鱼</t>
  </si>
  <si>
    <t>我们三其实是一家。合成获得企鹅。</t>
  </si>
  <si>
    <t>企鹅</t>
  </si>
  <si>
    <t>企鹅宝宝爱吃鱼~合成获得海龟。</t>
  </si>
  <si>
    <t>海龟</t>
  </si>
  <si>
    <t>听说，我是龙宫的丞相？合成获得鳐鱼。</t>
  </si>
  <si>
    <t>鳐鱼</t>
  </si>
  <si>
    <t>我可不是海里的风筝。合成获得海豚。</t>
  </si>
  <si>
    <t>海豚</t>
  </si>
  <si>
    <t>海豚可喜欢和人类玩耍啦。合成获得鲨鱼。</t>
  </si>
  <si>
    <t>鲨鱼</t>
  </si>
  <si>
    <t>古灵精怪、鲨鱼脑袋！合成获得大王乌贼。</t>
  </si>
  <si>
    <t>大王乌贼</t>
  </si>
  <si>
    <t>乌贼可是海洋中的智者呢。合成获得虎鲸。</t>
  </si>
  <si>
    <t>虎鲸</t>
  </si>
  <si>
    <t>鲸鲸我想和人类做朋友！合成获得美人鱼。</t>
  </si>
  <si>
    <t>美人鱼</t>
  </si>
  <si>
    <t>天籁的歌声能安抚大海的风暴。已合成至最顶级。</t>
  </si>
  <si>
    <t>漂流瓶</t>
  </si>
  <si>
    <t>瓶里是一封远方的问候，还是深埋的秘密。合成获得贝壳。</t>
  </si>
  <si>
    <t>贝壳</t>
  </si>
  <si>
    <t>海蓝色的贝壳是大海的发夹。合成获得海螺。</t>
  </si>
  <si>
    <t>海螺</t>
  </si>
  <si>
    <t>听说向海螺许愿可以获得好运呢。合成获得浅海银币。</t>
  </si>
  <si>
    <t>浅海银币</t>
  </si>
  <si>
    <t>运气真好，捡到一枚古银币。合成获得浅海金币。</t>
  </si>
  <si>
    <t>浅海金币</t>
  </si>
  <si>
    <t>海洋王国，是否也会使用金币呢？合成获得珍珠手链。</t>
  </si>
  <si>
    <t>珍珠手链</t>
  </si>
  <si>
    <t>浅紫色的珍珠受贵人的青睐。合成获得红珊瑚手链。</t>
  </si>
  <si>
    <t>红珊瑚手链</t>
  </si>
  <si>
    <t>传说，红珊瑚能带来好运幸福平安。合成获得水草花瓶。</t>
  </si>
  <si>
    <t>水草花瓶</t>
  </si>
  <si>
    <t>长满了水草的花瓶。合成获得游鱼花瓶。</t>
  </si>
  <si>
    <t>游鱼花瓶</t>
  </si>
  <si>
    <t>鱼儿似乎对这个家很满意。合成获得海世界花瓶。</t>
  </si>
  <si>
    <t>海世界花瓶</t>
  </si>
  <si>
    <t>珊瑚珍珠贝壳，仿佛是海世界的缩影。合成获得海底宝箱。</t>
  </si>
  <si>
    <t>海底宝箱</t>
  </si>
  <si>
    <t>海洋王国也喜欢宝箱吗？合成获得人鱼宝箱。</t>
  </si>
  <si>
    <t>人鱼宝箱</t>
  </si>
  <si>
    <t>亮闪闪的金币在哪儿都受欢迎。合成获得龙宫宝箱。</t>
  </si>
  <si>
    <t>龙宫宝箱</t>
  </si>
  <si>
    <t>珍珠玛瑙和金币，是龙王的珍藏。已合成至最高级。</t>
  </si>
  <si>
    <t>远方来信</t>
  </si>
  <si>
    <t>我收到了一封远方的来信。合成获得叔祖父的遗物。</t>
  </si>
  <si>
    <t>叔祖父的遗物</t>
  </si>
  <si>
    <t>叔祖父是一名教授，遗产与研究相关。合成获得研究笔记。</t>
  </si>
  <si>
    <t>研究笔记</t>
  </si>
  <si>
    <t>笔记里记载了一个深海中的古老文明？合成获得神秘雕像。</t>
  </si>
  <si>
    <t>神秘雕像</t>
  </si>
  <si>
    <t>这尊雕像描述的生物真存在于地球吗？合成获得古怪的梦。</t>
  </si>
  <si>
    <t>古怪的梦</t>
  </si>
  <si>
    <t>我做了个梦，梦到海渊有一座城市。合成获得藏宝图。</t>
  </si>
  <si>
    <t>藏宝图</t>
  </si>
  <si>
    <t>这藏宝图似乎有奇异的魔力，驱使我出海。合成获得警戒号。</t>
  </si>
  <si>
    <t>警戒号</t>
  </si>
  <si>
    <t>船上有二十人，为何只有我回来了？合成获得不存在的小岛。</t>
  </si>
  <si>
    <t>不存在的小岛</t>
  </si>
  <si>
    <t>哦上帝！海面上突然浮起了一座小岛！合成获得丢下的武器。</t>
  </si>
  <si>
    <t>丢下的武器</t>
  </si>
  <si>
    <t>怪物的嘶吼、人的尖叫、诡异的星星。合成获得精神药物。</t>
  </si>
  <si>
    <t>精神药物</t>
  </si>
  <si>
    <t>吃下药物，努力忘却痛苦的回忆。合成获得检查房间。</t>
  </si>
  <si>
    <t>检查房间</t>
  </si>
  <si>
    <t>似乎有什么东西藏在阴影里？合成获得颤抖的笔迹。</t>
  </si>
  <si>
    <t>颤抖的笔迹</t>
  </si>
  <si>
    <t>我知道我逃不掉，它们，不，已经来了！合成获得拍摄完成。</t>
  </si>
  <si>
    <t>拍摄完成</t>
  </si>
  <si>
    <t>一切只是场电影，世界上没有怪物呢。已合成至最高级。</t>
  </si>
  <si>
    <t>彩羽</t>
  </si>
  <si>
    <t>彩色的羽毛，透露出祥瑞的气息。合成获得鹊羽。</t>
  </si>
  <si>
    <t>鹊羽</t>
  </si>
  <si>
    <t>捡到两片鹊羽，双倍的幸运！合成获得雏鸟。</t>
  </si>
  <si>
    <t>雏鸟</t>
  </si>
  <si>
    <t>小小的幼鸟也有修建鹊桥的梦想。合成获得喜鹊。</t>
  </si>
  <si>
    <t>喜鹊</t>
  </si>
  <si>
    <t>喜鹊衔枝，鸿运当头！合成获得半截木桥。</t>
  </si>
  <si>
    <t>半截木桥</t>
  </si>
  <si>
    <t>很快...就要修建完成啦。合成获得简易木桥。</t>
  </si>
  <si>
    <t>简易木桥</t>
  </si>
  <si>
    <t>简单的桥梁，沉重的过往。合成获得浮云木桥。</t>
  </si>
  <si>
    <t>浮云木桥</t>
  </si>
  <si>
    <t>跨越人间与天界，打破世俗与偏见。合成获得木拱廊桥。</t>
  </si>
  <si>
    <t>木拱廊桥</t>
  </si>
  <si>
    <t>万事俱备，只等一对有情人。合成获得乌鹊木桥。</t>
  </si>
  <si>
    <t>乌鹊木桥</t>
  </si>
  <si>
    <t>乌鹊感动于爱情，于是铸造了神迹。合成获得灯影鹊桥。</t>
  </si>
  <si>
    <t>灯影鹊桥</t>
  </si>
  <si>
    <t>灯影绰绰，照亮爱人含笑的眼。已合成至最高级。</t>
  </si>
  <si>
    <t>彩羽[V]</t>
  </si>
  <si>
    <t>彩色的羽毛，透露出祥瑞的气息。合成获得鹊羽[V]。</t>
  </si>
  <si>
    <t>鹊羽[V]</t>
  </si>
  <si>
    <t>捡到两片鹊羽，双倍的幸运！合成获得雏鸟[V]。</t>
  </si>
  <si>
    <t>雏鸟[V]</t>
  </si>
  <si>
    <t>小小的幼鸟也有修建鹊桥的梦想。合成获得喜鹊[V]。</t>
  </si>
  <si>
    <t>喜鹊[V]</t>
  </si>
  <si>
    <t>喜鹊衔枝，鸿运当头！合成获得半截木桥[V]。</t>
  </si>
  <si>
    <t>半截木桥[V]</t>
  </si>
  <si>
    <t>很快...就要修建完成啦。合成获得简易木桥[V]。</t>
  </si>
  <si>
    <t>简易木桥[V]</t>
  </si>
  <si>
    <t>简单的桥梁，沉重的过往。合成获得浮云木桥[V]。</t>
  </si>
  <si>
    <t>浮云木桥[V]</t>
  </si>
  <si>
    <t>跨越人间与天界，打破世俗与偏见。合成获得木拱廊桥[V]。</t>
  </si>
  <si>
    <t>木拱廊桥[V]</t>
  </si>
  <si>
    <t>万事俱备，只等一对有情人。合成获得乌鹊木桥[V]。</t>
  </si>
  <si>
    <t>乌鹊木桥[V]</t>
  </si>
  <si>
    <t>乌鹊感动于爱情，于是铸造了神迹。合成获得灯影鹊桥[V]。</t>
  </si>
  <si>
    <t>灯影鹊桥[V]</t>
  </si>
  <si>
    <t>面糊</t>
  </si>
  <si>
    <t>面糊糊，要蒸熟才能入口。合成获得枣泥糕。</t>
  </si>
  <si>
    <t>枣泥糕</t>
  </si>
  <si>
    <t>平平无奇的样子，其实很甜的哦。合成获得七巧果。</t>
  </si>
  <si>
    <t>七巧果</t>
  </si>
  <si>
    <t>传统节日，应食传统味道。合成获得蛋黄莲蓉酥。</t>
  </si>
  <si>
    <t>蛋黄莲蓉酥</t>
  </si>
  <si>
    <t>甜味与咸味的完美结合。合成获得鲜花饼。</t>
  </si>
  <si>
    <t>鲜花饼</t>
  </si>
  <si>
    <t>把春天留在美味里。合成获得桃花酥。</t>
  </si>
  <si>
    <t>桃花酥</t>
  </si>
  <si>
    <t>古法烘制的中式艺术。合成获得兔儿糕。</t>
  </si>
  <si>
    <t>兔儿糕</t>
  </si>
  <si>
    <t>兔兔那么可爱，就要吃掉兔兔。合成获得春水生。</t>
  </si>
  <si>
    <t>春水生</t>
  </si>
  <si>
    <t>工艺繁琐，但美味值得。合成获得凤梨酥。</t>
  </si>
  <si>
    <t>凤梨酥</t>
  </si>
  <si>
    <t>凤梨的外观，凤梨的味道~合成获得芙蓉酥。</t>
  </si>
  <si>
    <t>芙蓉酥</t>
  </si>
  <si>
    <t>面团做出一朵花，色香味全酥掉渣。合成获得巧果拼盘。</t>
  </si>
  <si>
    <t>巧果拼盘</t>
  </si>
  <si>
    <t>以一方小小糕点，细品百态滋味。合成获得七巧点心盏。</t>
  </si>
  <si>
    <t>七巧点心盏</t>
  </si>
  <si>
    <t>解馋尽欢，古人风雅。合成获得吉祥酥点盒。</t>
  </si>
  <si>
    <t>吉祥酥点盒</t>
  </si>
  <si>
    <t>春饼，夏糕，秋酥，冬糖。已合成至最高级。</t>
  </si>
  <si>
    <t>十字结</t>
  </si>
  <si>
    <t>十全十美，四方圆满。合成获得同心结。</t>
  </si>
  <si>
    <t>同心结</t>
  </si>
  <si>
    <t>两结相连，永结同心。合成获得平安结。</t>
  </si>
  <si>
    <t>平安结</t>
  </si>
  <si>
    <t>红线编织，以祈求平安。合成获得简易香包。</t>
  </si>
  <si>
    <t>简易香包</t>
  </si>
  <si>
    <t>真诚的心意不需要复杂的装饰。合成获得元宝香袋。</t>
  </si>
  <si>
    <t>元宝香袋</t>
  </si>
  <si>
    <t>能装元宝，也可盛香。合成获得福祥香袋。</t>
  </si>
  <si>
    <t>福祥香袋</t>
  </si>
  <si>
    <t>步步传香，念念回响。合成获得福瑞香囊。</t>
  </si>
  <si>
    <t>福瑞香囊</t>
  </si>
  <si>
    <t>以香为礼，寄予深情。合成获得蝴蝶香缨。</t>
  </si>
  <si>
    <t>蝴蝶香缨</t>
  </si>
  <si>
    <t>刺绣背后的心意，值得被好好珍藏。合成获得半枚碎玉。</t>
  </si>
  <si>
    <t>半枚碎玉</t>
  </si>
  <si>
    <t>碎碎平安，岁岁平安。合成获得如意玉环。</t>
  </si>
  <si>
    <t>如意玉环</t>
  </si>
  <si>
    <t>互赠信物，以表衷情。合成获得云纹玉佩。</t>
  </si>
  <si>
    <t>云纹玉佩</t>
  </si>
  <si>
    <t>云卷云舒皆祥瑞。合成获得祥云翡翠。</t>
  </si>
  <si>
    <t>祥云翡翠</t>
  </si>
  <si>
    <t>赠与翡翠一同心。合成获得玉如意。</t>
  </si>
  <si>
    <t>玉如意</t>
  </si>
  <si>
    <t>意如玉，玉如意。已合成至最高级。</t>
  </si>
  <si>
    <t>印章</t>
  </si>
  <si>
    <t>为喜事盖个章。合成获得窗花。</t>
  </si>
  <si>
    <t>窗花</t>
  </si>
  <si>
    <t>简单的剪纸，缠绵的心意。合成获得婚书。</t>
  </si>
  <si>
    <t>婚书</t>
  </si>
  <si>
    <t>两姓联姻，一堂缔约。良缘永结，匹配同称。合成获得喜帖。</t>
  </si>
  <si>
    <t>喜帖</t>
  </si>
  <si>
    <t>吾家有喜，恭请光临。合成获得喜帕。</t>
  </si>
  <si>
    <t>喜帕</t>
  </si>
  <si>
    <t>方巾蔽面，遮住新娘羞怯的笑脸。合成获得牵巾。</t>
  </si>
  <si>
    <t>牵巾</t>
  </si>
  <si>
    <t>各执一端，相向而行。合成获得喜梳。</t>
  </si>
  <si>
    <t>喜梳</t>
  </si>
  <si>
    <t>一梳梳到底，二梳白头齐。合成获得盖碗。</t>
  </si>
  <si>
    <t>盖碗</t>
  </si>
  <si>
    <t>双喜茶具，为喜事再添喜庆。合成获得喜烛。</t>
  </si>
  <si>
    <t>喜烛</t>
  </si>
  <si>
    <t>蜡烛燃尽，缘分续存。合成获得合欢扇。</t>
  </si>
  <si>
    <t>合欢扇</t>
  </si>
  <si>
    <t>轻举团扇，遮住哭花的妆。合成获得喜屏风。</t>
  </si>
  <si>
    <t>喜屏风</t>
  </si>
  <si>
    <t>隔断视线，隔不断感情。合成获得压箱。</t>
  </si>
  <si>
    <t>压箱</t>
  </si>
  <si>
    <t>明珠出嫁，红妆十里。合成获得喜轿。</t>
  </si>
  <si>
    <t>喜轿</t>
  </si>
  <si>
    <t>今日嘉礼初成，良缘遂缔。已合成至最高级。</t>
  </si>
  <si>
    <t>门票</t>
  </si>
  <si>
    <t>小小的纸张，与偶像会面的通道。合成获得两张门票。</t>
  </si>
  <si>
    <t>两张门票</t>
  </si>
  <si>
    <t>追星当然是和好朋友一起才有意思啦。合成获得应援棒。</t>
  </si>
  <si>
    <t>应援棒</t>
  </si>
  <si>
    <t>手中的荧光棒，为热爱而挥舞。合成获得麦克风。</t>
  </si>
  <si>
    <t>麦克风</t>
  </si>
  <si>
    <t>让悠扬的乐声传播得更远些。合成获得音响。</t>
  </si>
  <si>
    <t>音响</t>
  </si>
  <si>
    <t>把美妙的旋律传递给每个观众。合成获得空旷舞台。</t>
  </si>
  <si>
    <t>空旷舞台</t>
  </si>
  <si>
    <t>场地空出来，正好再排练几遍。合成获得演唱舞台。</t>
  </si>
  <si>
    <t>演唱舞台</t>
  </si>
  <si>
    <t>舞台准备就绪，演出即将开始。合成获得小型演出。</t>
  </si>
  <si>
    <t>小型演出</t>
  </si>
  <si>
    <t>场地再小，也要全力表演。合成获得韵律之夜。</t>
  </si>
  <si>
    <t>韵律之夜</t>
  </si>
  <si>
    <t>中西合鸣，奏响韵律之声。合成获得音海之夜。</t>
  </si>
  <si>
    <t>音海之夜</t>
  </si>
  <si>
    <t>沉浸在音符的海洋，感受一场音乐盛宴。已合成至最高级。</t>
  </si>
  <si>
    <t>门票[V]</t>
  </si>
  <si>
    <t>小小的纸张，与偶像会面的通道。合成获得两张门票[V]。</t>
  </si>
  <si>
    <t>两张门票[V]</t>
  </si>
  <si>
    <t>追星当然是和好朋友一起才有意思啦。合成获得应援棒[V]。</t>
  </si>
  <si>
    <t>应援棒[V]</t>
  </si>
  <si>
    <t>手中的荧光棒，为热爱而挥舞。合成获得麦克风[V]。</t>
  </si>
  <si>
    <t>麦克风[V]</t>
  </si>
  <si>
    <t>让悠扬的乐声传播得更远些。合成获得音响[V]。</t>
  </si>
  <si>
    <t>音响[V]</t>
  </si>
  <si>
    <t>把美妙的旋律传递给每个观众。合成获得空旷舞台[V]。</t>
  </si>
  <si>
    <t>空旷舞台[V]</t>
  </si>
  <si>
    <t>场地空出来，正好再排练几遍。合成获得演唱舞台[V]。</t>
  </si>
  <si>
    <t>演唱舞台[V]</t>
  </si>
  <si>
    <t>舞台准备就绪，演出即将开始。合成获得小型演出[V]。</t>
  </si>
  <si>
    <t>小型演出[V]</t>
  </si>
  <si>
    <t>场地再小，也要全力表演。合成获得韵律之夜[V]。</t>
  </si>
  <si>
    <t>韵律之夜[V]</t>
  </si>
  <si>
    <t>中西合鸣，奏响韵律之声。合成获得音海之夜[V]。</t>
  </si>
  <si>
    <t>音海之夜[V]</t>
  </si>
  <si>
    <t>三角铁</t>
  </si>
  <si>
    <t>回音清脆，简而不凡。合成获得口琴。</t>
  </si>
  <si>
    <t>口琴</t>
  </si>
  <si>
    <t>娇小便携，走到哪吹到哪。合成获得单簧管。</t>
  </si>
  <si>
    <t>单簧管</t>
  </si>
  <si>
    <t>不是喇叭，不是喇叭！重要的事情说两遍！合成获得小号。</t>
  </si>
  <si>
    <t>小号</t>
  </si>
  <si>
    <t>欢乐嘹亮，赶走所有忧愁。合成获得萨克斯。</t>
  </si>
  <si>
    <t>萨克斯</t>
  </si>
  <si>
    <t>金碧辉煌的外表，质朴古典的情怀。合成获得吉他。</t>
  </si>
  <si>
    <t>吉他</t>
  </si>
  <si>
    <t>组建乐队，从学习吉他开始。合成获得小提琴。</t>
  </si>
  <si>
    <t>小提琴</t>
  </si>
  <si>
    <t>琴身、琴弦、琴弓，组成了优雅本身。合成获得竖琴。</t>
  </si>
  <si>
    <t>竖琴</t>
  </si>
  <si>
    <t>弹奏竖琴，成为仙女的第一步。合成获得电子琴。</t>
  </si>
  <si>
    <t>电子琴</t>
  </si>
  <si>
    <t>电子乐队，少不了我。合成获得手风琴。</t>
  </si>
  <si>
    <t>手风琴</t>
  </si>
  <si>
    <t>把浪漫怀抱在手中。合成获得立式钢琴。</t>
  </si>
  <si>
    <t>立式钢琴</t>
  </si>
  <si>
    <t>一组和弦，振动出天籁乐声。合成获得三角钢琴。</t>
  </si>
  <si>
    <t>三角钢琴</t>
  </si>
  <si>
    <t>无数遍的练习，铸就出艺术。合成获得架子鼓。</t>
  </si>
  <si>
    <t>架子鼓</t>
  </si>
  <si>
    <t>鼓点，是节奏的灵魂。已合成至最高级。</t>
  </si>
  <si>
    <t>快板</t>
  </si>
  <si>
    <t>竹板这么一打啊，别的咱不夸~合成获得萧。</t>
  </si>
  <si>
    <t>箫</t>
  </si>
  <si>
    <t>箫声悠扬，曲音绕梁。合成获得铜镲。</t>
  </si>
  <si>
    <t>铜镲</t>
  </si>
  <si>
    <t>锣镲铿锵，气氛一点即燃。合成获得埙。</t>
  </si>
  <si>
    <t>埙</t>
  </si>
  <si>
    <t>古老的乐声，像从千年前传来。合成获得唢呐。</t>
  </si>
  <si>
    <t>唢呐</t>
  </si>
  <si>
    <t>百般乐器，唢呐为王。合成获得葫芦丝。</t>
  </si>
  <si>
    <t>葫芦丝</t>
  </si>
  <si>
    <t>锻炼心肺功能，乐器的不二之选。合成获得二胡。</t>
  </si>
  <si>
    <t>二胡</t>
  </si>
  <si>
    <t>一根琴杆顶天立地，两根琴弦连接东西。合成获得中阮。</t>
  </si>
  <si>
    <t>中阮</t>
  </si>
  <si>
    <t>马背上的古乐器，一弹一拨，解尽思乡情。合成获得琵琶。</t>
  </si>
  <si>
    <t>琵琶</t>
  </si>
  <si>
    <t>如银瓶乍破，如流水飞迸。合成获得古琴。</t>
  </si>
  <si>
    <t>古琴</t>
  </si>
  <si>
    <t>兴起抚琴，再听高山流水音。合成获得古筝。</t>
  </si>
  <si>
    <t>古筝</t>
  </si>
  <si>
    <t>筝声起，悦耳悦心。合成获得大鼓。</t>
  </si>
  <si>
    <t>大鼓</t>
  </si>
  <si>
    <t>亿鼓齐鸣,击响东方。合成获得编钟。</t>
  </si>
  <si>
    <t>编钟</t>
  </si>
  <si>
    <t>音韵古老，鸣响千年。已合成至最高级。</t>
  </si>
  <si>
    <t>小红花</t>
  </si>
  <si>
    <t>送你一朵小红花。合成获得折叠绶带。</t>
  </si>
  <si>
    <t>折叠绶带</t>
  </si>
  <si>
    <t>为演出参与者献上表彰。合成获得镂空徽章。</t>
  </si>
  <si>
    <t>镂空徽章</t>
  </si>
  <si>
    <t>设计简单的奖章，蕴含着荣誉。合成获得圆形徽章。</t>
  </si>
  <si>
    <t>圆形徽章</t>
  </si>
  <si>
    <t>别在衣领上，很拉风。合成获得异形徽章。</t>
  </si>
  <si>
    <t>异形徽章</t>
  </si>
  <si>
    <t>珍贵的奖项，永远值得纪念。合成获得绶带徽章。</t>
  </si>
  <si>
    <t>绶带徽章</t>
  </si>
  <si>
    <t>是徽章，也是奖牌。合成获得条形奖杯。</t>
  </si>
  <si>
    <t>条形奖杯</t>
  </si>
  <si>
    <t>优秀的乐手都能获得的优秀奖。合成获得星星奖杯。</t>
  </si>
  <si>
    <t>星星奖杯</t>
  </si>
  <si>
    <t>继续向前，成为冉冉升起的新星。合成获得水晶奖杯。</t>
  </si>
  <si>
    <t>水晶奖杯</t>
  </si>
  <si>
    <t>玻璃易碎，小心轻放。合成获得铜奖杯。</t>
  </si>
  <si>
    <t>铜奖杯</t>
  </si>
  <si>
    <t>拿到名次就已经很棒啦。合成获得银奖杯。</t>
  </si>
  <si>
    <t>银奖杯</t>
  </si>
  <si>
    <t>努努力，下次一定拿第一。合成获得金奖杯。</t>
  </si>
  <si>
    <t>金奖杯</t>
  </si>
  <si>
    <t>象征着荣誉与成就的超级奖项。合成获得金嗓子奖杯。</t>
  </si>
  <si>
    <t>金嗓子奖杯</t>
  </si>
  <si>
    <t>最可爱的奖杯，颁给最会唱歌的小兔子。已合成至最高级。</t>
  </si>
  <si>
    <t>树干</t>
  </si>
  <si>
    <t>光秃秃的木材，被砍伐下来许久了。合成获得树桩。</t>
  </si>
  <si>
    <t>树桩</t>
  </si>
  <si>
    <t>一圈年轮，代表着一岁记忆。合成获得木刻。</t>
  </si>
  <si>
    <t>木刻</t>
  </si>
  <si>
    <t>把自然产物雕琢成人工艺术。合成获得简易工作台。</t>
  </si>
  <si>
    <t>简易工作台</t>
  </si>
  <si>
    <t>架起桌子，就能创作。合成获得工匠工作台。</t>
  </si>
  <si>
    <t>工匠工作台</t>
  </si>
  <si>
    <t>有了柜子，收纳的空间更多了。合成获得凌乱工作台。</t>
  </si>
  <si>
    <t>凌乱工作台</t>
  </si>
  <si>
    <t>堆满了各种工具，急需整理一下。合成获得圆润小屋。</t>
  </si>
  <si>
    <t>圆润小屋</t>
  </si>
  <si>
    <t>橡果形状的屋子，远远看着就饿了。合成获得简朴小屋。</t>
  </si>
  <si>
    <t>简朴小屋</t>
  </si>
  <si>
    <t>还没来得及给小屋盖上屋顶。合成获得精美小屋。</t>
  </si>
  <si>
    <t>精美小屋</t>
  </si>
  <si>
    <t>加上屋顶后精致度翻倍！合成获得温馨小屋。</t>
  </si>
  <si>
    <t>温馨小屋</t>
  </si>
  <si>
    <t>森林中的一隅，充满着生活气息。已合成至最高级。</t>
  </si>
  <si>
    <t>树干[V]</t>
  </si>
  <si>
    <t>光秃秃的木材，被砍伐下来许久了。合成获得树桩[V]。</t>
  </si>
  <si>
    <t>树桩[V]</t>
  </si>
  <si>
    <t>一圈年轮，代表着一岁记忆。合成获得木刻[V]。</t>
  </si>
  <si>
    <t>木刻[V]</t>
  </si>
  <si>
    <t>把自然产物雕琢成人工艺术。合成获得简易工作台[V]。</t>
  </si>
  <si>
    <t>简易工作台[V]</t>
  </si>
  <si>
    <t>架起桌子，就能创作。合成获得工匠工作台[V]。</t>
  </si>
  <si>
    <t>工匠工作台[V]</t>
  </si>
  <si>
    <t>有了柜子，收纳的空间更多了。合成获得凌乱工作台[V]。</t>
  </si>
  <si>
    <t>凌乱工作台[V]</t>
  </si>
  <si>
    <t>堆满了各种工具，急需整理一下。合成获得圆润小屋[V]。</t>
  </si>
  <si>
    <t>圆润小屋[V]</t>
  </si>
  <si>
    <t>橡果形状的屋子，远远看着就饿了。合成获得简朴小屋[V]。</t>
  </si>
  <si>
    <t>简朴小屋[V]</t>
  </si>
  <si>
    <t>还没来得及给小屋盖上屋顶。合成获得精美小屋[V]。</t>
  </si>
  <si>
    <t>精美小屋[V]</t>
  </si>
  <si>
    <t>加上屋顶后精致度翻倍！合成获得温馨小屋[V]。</t>
  </si>
  <si>
    <t>温馨小屋[V]</t>
  </si>
  <si>
    <t>小木环</t>
  </si>
  <si>
    <t>粗制滥造的半成品，还需打磨一下。合成获得木圆环。</t>
  </si>
  <si>
    <t>木圆环</t>
  </si>
  <si>
    <t>简单的工艺也能做出有趣的玩具。合成获得木陀螺。</t>
  </si>
  <si>
    <t>木陀螺</t>
  </si>
  <si>
    <t>旋转的陀螺，可以玩上一整天。合成获得木制小车。</t>
  </si>
  <si>
    <t>木制小车</t>
  </si>
  <si>
    <t>新手上路，闲人避让哟。合成获得木雕小鸟。</t>
  </si>
  <si>
    <t>木雕小鸟</t>
  </si>
  <si>
    <t>形态逼真到像下一秒就会飞走。合成获得木雕猫头鹰。</t>
  </si>
  <si>
    <t>木雕猫头鹰</t>
  </si>
  <si>
    <t>即使是木雕而成，眼睛也依旧有神呢。合成获得木雕猴子。</t>
  </si>
  <si>
    <t>木雕猴子</t>
  </si>
  <si>
    <t>上蹿下跳，我的特长。合成获得木雕飞猪。</t>
  </si>
  <si>
    <t>木雕飞猪</t>
  </si>
  <si>
    <t>猪猪我啊，也有一个飞天的梦想。合成获得木雕刺猬。</t>
  </si>
  <si>
    <t>木雕刺猬</t>
  </si>
  <si>
    <t>集才华和可爱于一身的小刺猬。合成获得木制飞机。</t>
  </si>
  <si>
    <t>木制飞机</t>
  </si>
  <si>
    <t>飞机模型，当然是不能起飞的啦。合成获得旋转木马。</t>
  </si>
  <si>
    <t>旋转木马</t>
  </si>
  <si>
    <t>木制的旋转木马，还是第一次见呢。合成获得木制摩天轮。</t>
  </si>
  <si>
    <t>木制摩天轮</t>
  </si>
  <si>
    <t>光是看着模型，就能感到浪漫和幸福。合成获得木制大风车。</t>
  </si>
  <si>
    <t>木制大风车</t>
  </si>
  <si>
    <t>拨动风车，可以听到美妙的音乐。已合成至最高级。</t>
  </si>
  <si>
    <t>小勺子</t>
  </si>
  <si>
    <t>喂饭小勺，婴儿专用。合成获得干净小碟。</t>
  </si>
  <si>
    <t>干净小碟</t>
  </si>
  <si>
    <t>洗洗刷刷，干净到可以反光~合成获得可爱兔碗。</t>
  </si>
  <si>
    <t>可爱兔碗</t>
  </si>
  <si>
    <t>冒尖的耳朵，其实是把手啦。合成获得爱心杯子。</t>
  </si>
  <si>
    <t>爱心杯子</t>
  </si>
  <si>
    <t>小诺诺最宝贝的杯子，可别磕坏了。合成获得精致瓷瓶。</t>
  </si>
  <si>
    <t>精致瓷瓶</t>
  </si>
  <si>
    <t>与鲜花的适配度是百分百。合成获得萌系盆栽。</t>
  </si>
  <si>
    <t>萌系盆栽</t>
  </si>
  <si>
    <t>多余的宠物碗，正好用来种花。合成获得乖巧小兔。</t>
  </si>
  <si>
    <t>乖巧小兔</t>
  </si>
  <si>
    <t>白色陶瓷与白色小兔很搭哦。合成获得挥手小熊。</t>
  </si>
  <si>
    <t>挥手小熊</t>
  </si>
  <si>
    <t>超有礼貌的小熊一只呀。合成获得踩奶小猫。</t>
  </si>
  <si>
    <t>踩奶小猫</t>
  </si>
  <si>
    <t>猜猜我在干什么？合成获得囤粮松鼠。</t>
  </si>
  <si>
    <t>囤粮松鼠</t>
  </si>
  <si>
    <t>囤粮，是小松鼠的天性~合成获得捧花小狗。</t>
  </si>
  <si>
    <t>捧花小狗</t>
  </si>
  <si>
    <t>是陶瓷小狗，也是可爱绅士。合成获得长颈鹿兄弟。</t>
  </si>
  <si>
    <t>长颈鹿兄弟</t>
  </si>
  <si>
    <t>大小不一样？一定是你看错了。合成获得花颈熊猫。</t>
  </si>
  <si>
    <t>花颈熊猫</t>
  </si>
  <si>
    <t>没见过脖子上戴花的熊猫嘛？已合成至最高级。</t>
  </si>
  <si>
    <t>皮绳</t>
  </si>
  <si>
    <t>备用头绳，物尽其用。合成获得皮环。</t>
  </si>
  <si>
    <t>皮环</t>
  </si>
  <si>
    <t>诶，我的挂件呢？合成获得皮质流苏。</t>
  </si>
  <si>
    <t>皮质流苏</t>
  </si>
  <si>
    <t>裁成流苏就拉风多了。合成获得皮质爱心。</t>
  </si>
  <si>
    <t>皮质爱心</t>
  </si>
  <si>
    <t>制作简单，值得一学。合成获得皮革甜甜圈。</t>
  </si>
  <si>
    <t>皮革甜甜圈</t>
  </si>
  <si>
    <t>看上去甜甜的散发着香气。合成获得蜜桃挂件。</t>
  </si>
  <si>
    <t>蜜桃挂件</t>
  </si>
  <si>
    <t>绳子系好，别再掉啦。合成获得橘子饰品。</t>
  </si>
  <si>
    <t>橘子饰品</t>
  </si>
  <si>
    <t>色彩鲜艳，看一眼心情也变得阳光。合成获得真皮小马。</t>
  </si>
  <si>
    <t>真皮小马</t>
  </si>
  <si>
    <t>真皮制作，价格有些昂贵。合成获得摘星皮兔。</t>
  </si>
  <si>
    <t>摘星皮兔</t>
  </si>
  <si>
    <t>呐，给你星星~合成获得立体萌熊。</t>
  </si>
  <si>
    <t>立体萌熊</t>
  </si>
  <si>
    <t>可可爱爱，小熊脑袋。合成获得立体恐龙。</t>
  </si>
  <si>
    <t>立体恐龙</t>
  </si>
  <si>
    <t>霸王龙，皮革界的超萌霸主。合成获得立体麋鹿。</t>
  </si>
  <si>
    <t>立体麋鹿</t>
  </si>
  <si>
    <t>套好项圈，谨防丢失哦。合成获得炫酷娃娃。</t>
  </si>
  <si>
    <t>炫酷娃娃</t>
  </si>
  <si>
    <t>百搭挂件，时尚单品。已合成至最高级。</t>
  </si>
  <si>
    <t>明星照片</t>
  </si>
  <si>
    <t>想成为这样的人。合成获得明星写真册。</t>
  </si>
  <si>
    <t>明星写真册</t>
  </si>
  <si>
    <t>仔细保管，从不外借。合成获得一本时尚杂志。</t>
  </si>
  <si>
    <t>一本时尚杂志</t>
  </si>
  <si>
    <t>小时候，时尚杂志是新世界。合成获得多本时尚杂志。</t>
  </si>
  <si>
    <t>多本时尚杂志</t>
  </si>
  <si>
    <t>就是从这儿学习明星穿搭的。合成获得平板。</t>
  </si>
  <si>
    <t>平板</t>
  </si>
  <si>
    <t>有了网络后，就从网上学习穿搭。合成获得电视机。</t>
  </si>
  <si>
    <t>电视机</t>
  </si>
  <si>
    <t>电视里的服饰穿到现实中往往是一场灾难。合成获得衣台。</t>
  </si>
  <si>
    <t>衣台</t>
  </si>
  <si>
    <t>再怎么网上看，不如线下亲自试穿。合成获得高级衣台。</t>
  </si>
  <si>
    <t>高级衣台</t>
  </si>
  <si>
    <t>试了一万件衣服，但很少买。合成获得T台。</t>
  </si>
  <si>
    <t>T台</t>
  </si>
  <si>
    <t>“我长大后，也要当模特。”合成获得高级T台。</t>
  </si>
  <si>
    <t>高级T台</t>
  </si>
  <si>
    <t>想登上这样的舞台，因为它星光闪耀。已合成最高级。</t>
  </si>
  <si>
    <t>明星照片[V]</t>
  </si>
  <si>
    <t>想成为这样的人。合成获得明星写真册[V]。</t>
  </si>
  <si>
    <t>明星写真册[V]</t>
  </si>
  <si>
    <t>仔细保管，从不外接。合成获得一本时尚杂志[V]。</t>
  </si>
  <si>
    <t>一本时尚杂志[V]</t>
  </si>
  <si>
    <t>小时候，时尚杂志是新世界。合成获得多本时尚杂志[V]。</t>
  </si>
  <si>
    <t>多本时尚杂志[V]</t>
  </si>
  <si>
    <t>就是从这儿学习明星穿搭的。合成获得平板[V]。</t>
  </si>
  <si>
    <t>平板[V]</t>
  </si>
  <si>
    <t>有了网络后，就从网上学习穿搭。合成获得电视机[V]。</t>
  </si>
  <si>
    <t>电视机[V]</t>
  </si>
  <si>
    <t>电视里的服饰穿到现实中往往是一场灾难。合成获得衣台[V]。</t>
  </si>
  <si>
    <t>衣台[V]</t>
  </si>
  <si>
    <t>再怎么网上看，不如线下亲自试穿。合成获得高级衣台[V]。</t>
  </si>
  <si>
    <t>高级衣台[V]</t>
  </si>
  <si>
    <t>试了一万件衣服，但很少买。合成获得T台[V]。</t>
  </si>
  <si>
    <t>T台[V]</t>
  </si>
  <si>
    <t>“我长大后，也要当模特。”合成获得高级T台[V]。</t>
  </si>
  <si>
    <t>高级T台[V]</t>
  </si>
  <si>
    <t>简单吊带</t>
  </si>
  <si>
    <t>纯色的简单吊带，居家打扮，不怕脏。合成获得粉色吊带。</t>
  </si>
  <si>
    <t>粉色吊带</t>
  </si>
  <si>
    <t>体现少女心的粉色吊带。合成获得花朵卫衣。</t>
  </si>
  <si>
    <t>花朵卫衣</t>
  </si>
  <si>
    <t>宽松舒适的大卫衣。合成获得兔纸卫衣。</t>
  </si>
  <si>
    <t>兔纸卫衣</t>
  </si>
  <si>
    <t>胸口绣了一只可爱兔纸的卫衣。合成获得小熊卫衣。</t>
  </si>
  <si>
    <t>小熊卫衣</t>
  </si>
  <si>
    <t>熊熊是天真和贪睡的。合成获得熊熊逛街卫衣。</t>
  </si>
  <si>
    <t>熊熊逛街卫衣</t>
  </si>
  <si>
    <t>带上了心爱的小包，可以出门逛街啦。合成获得青春水手服。</t>
  </si>
  <si>
    <t>青春水手服</t>
  </si>
  <si>
    <t>温顺的猫咪、校园的落叶、朝气的朗颂声...合成获得先锋糖果色。</t>
  </si>
  <si>
    <t>先锋糖果色</t>
  </si>
  <si>
    <t>由于那种叛逆，选择成为一颗艳丽的糖果。合成获得浪漫洛丽塔。</t>
  </si>
  <si>
    <t>甜美洛丽塔</t>
  </si>
  <si>
    <t>少女的生活，如蜂蜜般甘甜。合成获得韩系花苞裙。</t>
  </si>
  <si>
    <t>韩系花苞裙</t>
  </si>
  <si>
    <t>大方地展示出自己的成熟之美。合成获得时尚网红。</t>
  </si>
  <si>
    <t>时尚网红</t>
  </si>
  <si>
    <t>在CityWalk中，你是最靓的仔！合成获得上海滩旗袍。</t>
  </si>
  <si>
    <t>上海滩旗袍</t>
  </si>
  <si>
    <t>一旦穿上它，仿佛变成了古早的摩登女郎。合成获得古典宫装。</t>
  </si>
  <si>
    <t>古殿宫装</t>
  </si>
  <si>
    <t>月下独舞，更显美丽。已合成至最高级。</t>
  </si>
  <si>
    <t>朴实汗衫</t>
  </si>
  <si>
    <t>再朴实不过的衣服了，极为耐用。合成获得格子衬衫。</t>
  </si>
  <si>
    <t>格子衬衫</t>
  </si>
  <si>
    <t>理工男的标配，不知道穿啥就穿这件吧。合成获得兜帽卫衣。</t>
  </si>
  <si>
    <t>兜帽卫衣</t>
  </si>
  <si>
    <t>售价昂贵，质感出色，还能档雨。合成获得兜帽卫衣套装。</t>
  </si>
  <si>
    <t>兜帽卫衣套装</t>
  </si>
  <si>
    <t>加上了裤子后，显得更潮流时尚了。合成获得西服套装。</t>
  </si>
  <si>
    <t>西服套装</t>
  </si>
  <si>
    <t>正式场合下的穿搭。合成获得夹克牛仔。</t>
  </si>
  <si>
    <t>夹克牛仔</t>
  </si>
  <si>
    <t>周末，是时候换上宽松的衣服去玩耍了。合成获得度假公子。</t>
  </si>
  <si>
    <t>度假公子</t>
  </si>
  <si>
    <t>衣服有了，我的庄园与游艇呢？合成获得运动型男。</t>
  </si>
  <si>
    <t>运动型男</t>
  </si>
  <si>
    <t>在山间的小路上有一个坚毅的身影。合成获得硬朗工装。</t>
  </si>
  <si>
    <t>硬朗工装</t>
  </si>
  <si>
    <t>能扛刮风下雨的衣服，就是好衣服。合成获得文艺青年。</t>
  </si>
  <si>
    <t>文艺青年</t>
  </si>
  <si>
    <t>朝向天空，45度角迎风流泪。合成获得大牌明星。</t>
  </si>
  <si>
    <t>大牌明星</t>
  </si>
  <si>
    <t>据说全套服装都是私人定制。合成获得英伦贵族。</t>
  </si>
  <si>
    <t>英伦贵族</t>
  </si>
  <si>
    <t>让万千少女花池，让无数女性尖叫。合成获得型男雅痞。</t>
  </si>
  <si>
    <t>型男雅痞</t>
  </si>
  <si>
    <t>有文化的流氓、高学历的痞子、懂法律的无赖。已合成至最高级。</t>
  </si>
  <si>
    <t>鱼头帽</t>
  </si>
  <si>
    <t>伙伴们一起戴上，仿佛进入了海底世界。合成获得万圣幽灵。</t>
  </si>
  <si>
    <t>万圣幽灵</t>
  </si>
  <si>
    <t>我来喽~我来喽~我来喽~~~合成获得可爱肥肥。</t>
  </si>
  <si>
    <t>可爱肥肥</t>
  </si>
  <si>
    <t>那是一个无拘无束的日子。合成获得外星绑架。</t>
  </si>
  <si>
    <t>外星绑架</t>
  </si>
  <si>
    <t>可恶，我被外星人绑架了，快来救我！合成获得水果达人。</t>
  </si>
  <si>
    <t>水果达人</t>
  </si>
  <si>
    <t>我是香蕉、你是苹果。我俩从果园逃走啦。合成获得古怪异类。</t>
  </si>
  <si>
    <t>古怪异类</t>
  </si>
  <si>
    <t>奇奇怪怪，不知道是啥的古怪服饰。合成获得卖仔青蛙。</t>
  </si>
  <si>
    <t>卖仔青蛙</t>
  </si>
  <si>
    <t>卖青蛙啦卖青蛙啦，3元1只，10元3只。合成获得一只小蜜蜂。</t>
  </si>
  <si>
    <t>一只小蜜蜂</t>
  </si>
  <si>
    <t>偶尔也想成为一只无忧无虑的小蜜蜂。合成获得鸭子走路。</t>
  </si>
  <si>
    <t>鸭子走路</t>
  </si>
  <si>
    <t>鸭子走路，嘎嘎叫。合成获得恐龙再临。</t>
  </si>
  <si>
    <t>恐龙再临</t>
  </si>
  <si>
    <t>地球生物呐，你们的爬行王者回来啦。合成获得小熊睡衣。</t>
  </si>
  <si>
    <t>小熊睡衣</t>
  </si>
  <si>
    <t>我是一头小熊，爱睡觉的唯妮熊。合成获得鲨鱼睡衣。</t>
  </si>
  <si>
    <t>鲨鱼睡衣</t>
  </si>
  <si>
    <t>在梦里，我是一头浩瀚海洋中的小鲨鱼。合成获得魔法女巫</t>
  </si>
  <si>
    <t>魔法女巫</t>
  </si>
  <si>
    <t>蝙蝠爪、七月露、三叶草，咕噜噜魔药成功啦。已合成至最高级。</t>
  </si>
  <si>
    <t>轮滑鞋</t>
  </si>
  <si>
    <t>走得不如滑得快。合成获得雪橇。</t>
  </si>
  <si>
    <t>雪橇</t>
  </si>
  <si>
    <t>享受从高处往下俯冲的运动快感。合成获得雪橇车。</t>
  </si>
  <si>
    <t>雪橇车</t>
  </si>
  <si>
    <t>光有车，但是俺的雪橇犬哩？合成获得冰雪马车。</t>
  </si>
  <si>
    <t>冰雪马车</t>
  </si>
  <si>
    <t>坐上这样的马车，去往王子的舞会！合成获得冰雪巴士。</t>
  </si>
  <si>
    <t>冰雪巴士</t>
  </si>
  <si>
    <t>冬之国科技异常发达的证明。合成获得冰雪小火车。</t>
  </si>
  <si>
    <t>冰雪小火车</t>
  </si>
  <si>
    <t>能在严寒下运行的蒸汽火车。合成获得快乐兔兔号火车。</t>
  </si>
  <si>
    <t>快乐兔兔号火车</t>
  </si>
  <si>
    <t>专给孩子们乘坐，充满童趣。合成获得迅捷驯鹿号火车。</t>
  </si>
  <si>
    <t>迅捷驯鹿号火车</t>
  </si>
  <si>
    <t>带领乘客体验北境俊险景色。合成获得魔法踏雪列车。</t>
  </si>
  <si>
    <t>魔法踏雪列车</t>
  </si>
  <si>
    <t>雪国先进的科技与魔法结合的产物。合成获得雪国专列。</t>
  </si>
  <si>
    <t>雪国专列</t>
  </si>
  <si>
    <t>王室的专列，是科技与魔法的最高结晶。已合成至最高级。</t>
  </si>
  <si>
    <t>轮滑鞋[V]</t>
  </si>
  <si>
    <t>走得不如滑得快。合成获得雪橇[V]。</t>
  </si>
  <si>
    <t>雪橇[V]</t>
  </si>
  <si>
    <t>享受从高处往下俯冲的运动快感。合成获得雪橇车[V]。</t>
  </si>
  <si>
    <t>雪橇车[V]</t>
  </si>
  <si>
    <t>光有车，但是俺的雪橇犬哩？合成获得冰雪马车[V]。</t>
  </si>
  <si>
    <t>冰雪马车[V]</t>
  </si>
  <si>
    <t>坐上这样的马车，去往王子的舞会！合成获得冰雪巴士[V]。</t>
  </si>
  <si>
    <t>冰雪巴士[V]</t>
  </si>
  <si>
    <t>冬之国科技异常发达的证明。合成获得冰雪小火车[V]。</t>
  </si>
  <si>
    <t>冰雪小火车[V]</t>
  </si>
  <si>
    <t>能在严寒下运行的蒸汽火车。合成获得快乐兔兔号火车[V]。</t>
  </si>
  <si>
    <t>快乐兔兔号火车[V]</t>
  </si>
  <si>
    <t>专给孩子们乘坐，充满童趣。合成获得迅捷驯鹿号火车[V]。</t>
  </si>
  <si>
    <t>迅捷驯鹿号火车[V]</t>
  </si>
  <si>
    <t>带领乘客体验北境俊险景色。合成获得魔法踏雪列车[V]。</t>
  </si>
  <si>
    <t>魔法踏雪列车[V]</t>
  </si>
  <si>
    <t>雪国先进的科技与魔法结合的产物。合成获得雪国专列[V]。</t>
  </si>
  <si>
    <t>雪国专列[V]</t>
  </si>
  <si>
    <t>热咖啡</t>
  </si>
  <si>
    <t>一杯热咖啡，温暖了整个冬天。合成获得猫咪方糖咖啡。</t>
  </si>
  <si>
    <t>猫咪方糖咖啡</t>
  </si>
  <si>
    <t>如果嫌苦，那就加一块猫咪方糖吧。合成获得蘑菇咖啡。</t>
  </si>
  <si>
    <t>蘑菇咖啡</t>
  </si>
  <si>
    <t>奇妙的中西结合，据说用灵芝会更好。合成获得团子咖啡。</t>
  </si>
  <si>
    <t>团子咖啡</t>
  </si>
  <si>
    <t>好可爱的团子，你一定不忍心吃吧？合成获得巧克力火锅。</t>
  </si>
  <si>
    <t>巧克力火锅</t>
  </si>
  <si>
    <t>一般会搭配一些硬菜吃，热量很高。合成获得冰淇淋火锅。</t>
  </si>
  <si>
    <t>冰淇淋火锅</t>
  </si>
  <si>
    <t>奇妙的冰火两重天体验。合成获得缤纷糖果火锅。</t>
  </si>
  <si>
    <t>缤纷糖果火锅</t>
  </si>
  <si>
    <t>据说蘸酱后会更好吃，只是据说。合成获得多彩奶茶火锅。</t>
  </si>
  <si>
    <t>多彩奶茶火锅</t>
  </si>
  <si>
    <t>奶茶做的火锅，仅少数人喜欢。合成获得温泉泡澡火锅。</t>
  </si>
  <si>
    <t>温泉泡澡火锅</t>
  </si>
  <si>
    <t>大鹅舒服泡澡，没有意识到不对。合成获得猫猫奶油蛋糕。</t>
  </si>
  <si>
    <t>猫猫奶油蛋糕</t>
  </si>
  <si>
    <t>据说冬之国有人属猫哦。合成获得兔与草莓蛋糕。</t>
  </si>
  <si>
    <t>兔与草莓蛋糕</t>
  </si>
  <si>
    <t>粉色与兔，寓意纯洁美好梦想成真。合成获得慕斯熊蛋糕。</t>
  </si>
  <si>
    <t>慕斯熊蛋糕</t>
  </si>
  <si>
    <t>祝福孩子能像熊一样健康、强壮。合成获得大鹅水果蛋糕。</t>
  </si>
  <si>
    <t>大鹅水果蛋糕</t>
  </si>
  <si>
    <t>献给所有热爱这一切的玩家。已合成至最高级。</t>
  </si>
  <si>
    <t>冻梨</t>
  </si>
  <si>
    <t>又凉又甜，一口一个，还想吃。合成获得糖葫芦。</t>
  </si>
  <si>
    <t>糖葫芦</t>
  </si>
  <si>
    <t>卖糖葫芦喽，3元1串，10元3串。合成获得大列巴。</t>
  </si>
  <si>
    <t>大列巴</t>
  </si>
  <si>
    <t>切开，蘸上饱满的果酱，接着咬下去！合成获得风味香肠。</t>
  </si>
  <si>
    <t>风味香肠</t>
  </si>
  <si>
    <t>将香肠夹在黄油面包里，是味蕾炸弹！合成获得黑巧克力熊。</t>
  </si>
  <si>
    <t>黑巧克力熊</t>
  </si>
  <si>
    <t>味道微苦，能降低血压，抗氧化。合成获得俄罗斯套娃。</t>
  </si>
  <si>
    <t>俄罗斯套娃</t>
  </si>
  <si>
    <t>据说她们以姐妹相称...合成获得真菌精灵。</t>
  </si>
  <si>
    <t>真菌精灵</t>
  </si>
  <si>
    <t>有许多不怀好意的人打着它的主意。合成获得人参宝宝。</t>
  </si>
  <si>
    <t>人参宝宝</t>
  </si>
  <si>
    <t>种植园里的阵法是为了防止它逃走。合成获得冰冻的宝箱。</t>
  </si>
  <si>
    <t>冰冻的宝箱</t>
  </si>
  <si>
    <t>更加好奇千年前的工艺水平。合成获得冰冻的剑齿虎。</t>
  </si>
  <si>
    <t>冰冻的剑齿虎</t>
  </si>
  <si>
    <t>是研究古生物的有力凭证。合成获得冰冻的猛犸象。</t>
  </si>
  <si>
    <t>冰冻的猛犸象</t>
  </si>
  <si>
    <t>灭绝的古生物说不定可以借此复活呢。合成获得冰冻的恐龙。</t>
  </si>
  <si>
    <t>冰冻的恐龙</t>
  </si>
  <si>
    <t>这就是侏罗纪公园的来源。合成获得冰冻的飞碟。</t>
  </si>
  <si>
    <t>冰冻的飞碟</t>
  </si>
  <si>
    <t>为了破解飞碟的科技，产生了更多故事。已合成至最高级。</t>
  </si>
  <si>
    <t>小雪人</t>
  </si>
  <si>
    <t>是谁堆起来的小雪人，还披件围巾。合成获得新衣小雪人。</t>
  </si>
  <si>
    <t>新衣小雪人</t>
  </si>
  <si>
    <t>过年啦，小雪人也穿上了新衣。合成获得滑雪运动员。</t>
  </si>
  <si>
    <t>滑雪运动员</t>
  </si>
  <si>
    <t>运动员们来到雪国训练，力争取得好成绩。合成获得大灰狼。</t>
  </si>
  <si>
    <t>大灰狼</t>
  </si>
  <si>
    <t>我是大灰狼，接下来我要干什么来着？合成获得小红帽。</t>
  </si>
  <si>
    <t>小红帽</t>
  </si>
  <si>
    <t>我是小红帽，我该扛起猎枪抓灰狼来着?合成获得维京勇士。</t>
  </si>
  <si>
    <t>维京勇士</t>
  </si>
  <si>
    <t>弟兄们，干完这一票，享受好酒好肉！合成获得冬日飞行员。</t>
  </si>
  <si>
    <t>冬日飞行员</t>
  </si>
  <si>
    <t>飞行员们是喜欢雪国的美食吗？合成获得极地探险家。</t>
  </si>
  <si>
    <t>极地探险家</t>
  </si>
  <si>
    <t>不畏严寒的勇士，来此探索古老秘密。合成获得年兽小可爱。</t>
  </si>
  <si>
    <t>年兽小可爱</t>
  </si>
  <si>
    <t>好可爱的孩子，过年时候能得到大糖果！合成获得神秘雪怪。</t>
  </si>
  <si>
    <t>神秘雪怪</t>
  </si>
  <si>
    <t>黑山的大雪怪来啦，交出所有糖果！合成获得北境萨满。</t>
  </si>
  <si>
    <t>北境萨满</t>
  </si>
  <si>
    <t>萨满们能与雪国的精灵沟通，祈祷力量。合成获得雪国公主。</t>
  </si>
  <si>
    <t>雪国公主</t>
  </si>
  <si>
    <t>美丽、优雅、高贵，受万千人爱戴。合成获得冬之精灵。</t>
  </si>
  <si>
    <t>冬之精灵</t>
  </si>
  <si>
    <t>雪国的真正主人，力量强大但喜欢睡懒觉。已合成至最高级。</t>
  </si>
  <si>
    <t>圣诞拐杖糖</t>
  </si>
  <si>
    <t>系上蝴蝶结，糖果会变得更美味吗。合成获得圣诞花环糖果。</t>
  </si>
  <si>
    <t>圣诞花环糖果</t>
  </si>
  <si>
    <t>装饰在小蛋糕上，饿了就一口吃掉。合成获得圣诞雪人树糖。</t>
  </si>
  <si>
    <t>圣诞雪人树糖</t>
  </si>
  <si>
    <t>星星树和雪人，双重节日氛围。合成获得小房子糖果。</t>
  </si>
  <si>
    <t>小房子糖果</t>
  </si>
  <si>
    <t>屋顶的珍珠闪闪发亮，就是太甜啦。合成获得饼干糖果屋。</t>
  </si>
  <si>
    <t>饼干糖果屋</t>
  </si>
  <si>
    <t>很漂亮，也很顶饱。合成获得蔓越莓糖果屋。</t>
  </si>
  <si>
    <t>蔓越莓糖果屋</t>
  </si>
  <si>
    <t>有了蔓越莓的装点，美味更上一层！合成获得蛋糕卷糖果屋。</t>
  </si>
  <si>
    <t>蛋糕卷糖果屋</t>
  </si>
  <si>
    <t>坚硬的糖果外衣，柔软的蛋糕内里。合成获得圣诞星星屋。</t>
  </si>
  <si>
    <t>圣诞星星屋</t>
  </si>
  <si>
    <t>临近圣诞，节日氛围安排起来。合成获得圣诞姜饼屋。</t>
  </si>
  <si>
    <t>圣诞姜饼屋</t>
  </si>
  <si>
    <t>粗心的大人把姜饼忘在了屋顶上。合成获得圣诞麋鹿屋。</t>
  </si>
  <si>
    <t>圣诞麋鹿屋</t>
  </si>
  <si>
    <t>浓浓的圣诞氛围，圣诞老人一定会光临！已合成至最高级。</t>
  </si>
  <si>
    <t>苹果核</t>
  </si>
  <si>
    <t>种下果核，明年收获一树苹果！合成获得缺口苹果。</t>
  </si>
  <si>
    <t>缺口苹果</t>
  </si>
  <si>
    <t>是谁偷吃了我的苹果？合成获得圣诞苹果。</t>
  </si>
  <si>
    <t>圣诞苹果</t>
  </si>
  <si>
    <t>迷你版的圣诞帽，苹果专属哦。合成获得开花苹果。</t>
  </si>
  <si>
    <t>开花苹果</t>
  </si>
  <si>
    <t>世界上第一只会开花的苹果。合成获得苹果娃娃。</t>
  </si>
  <si>
    <t>苹果娃娃</t>
  </si>
  <si>
    <t>天啦噜！苹果好像变异了！合成获得苹果幼崽。</t>
  </si>
  <si>
    <t>苹果幼崽</t>
  </si>
  <si>
    <t>丑娃娃长成了可爱的苹果幼崽。合成获得苹果女孩。</t>
  </si>
  <si>
    <t>苹果女孩</t>
  </si>
  <si>
    <t>摇一摇铃铛，召唤圣诞老人。合成获得鹿角女孩。</t>
  </si>
  <si>
    <t>鹿角女孩</t>
  </si>
  <si>
    <t>我不是苹果，也不是小鹿哦。合成获得圣诞袜女孩。</t>
  </si>
  <si>
    <t>圣诞袜女孩</t>
  </si>
  <si>
    <t>偷偷躲在袜子里，吓圣诞老人一跳。合成获得礼物盒女孩。</t>
  </si>
  <si>
    <t>礼物盒女孩</t>
  </si>
  <si>
    <t>礼物盒里有什么，让我看看...合成获得雪人女孩。</t>
  </si>
  <si>
    <t>雪人女孩</t>
  </si>
  <si>
    <t>穿上它，你就是躲猫猫的终极赢家。合成获得麋鹿女孩。</t>
  </si>
  <si>
    <t>麋鹿女孩</t>
  </si>
  <si>
    <t>穿上玩偶服，沉浸式拆礼物。合成获得圣诞老人。</t>
  </si>
  <si>
    <t>圣诞老人</t>
  </si>
  <si>
    <t>又是扮演圣诞老人的一天。已合成至最高级。</t>
  </si>
  <si>
    <t>暴富一月</t>
  </si>
  <si>
    <t>收获了满满一包压岁钱。合成获得浪漫二月。</t>
  </si>
  <si>
    <t>浪漫二月</t>
  </si>
  <si>
    <t>美丽的花盛开在浪漫的季节。合成获得健身三月。</t>
  </si>
  <si>
    <t>健身三月</t>
  </si>
  <si>
    <t>为了完美的身材，开始运动！合成获得春游四月。</t>
  </si>
  <si>
    <t>春游四月</t>
  </si>
  <si>
    <t>春天，最适合去郊游啦。合成获得劳动五月。</t>
  </si>
  <si>
    <t>劳动五月</t>
  </si>
  <si>
    <t>干劲满满的五月，今天也是勤劳的一天。合成获得童真六月。</t>
  </si>
  <si>
    <t>童真六月</t>
  </si>
  <si>
    <t>大孩子也要过儿童节。合成获得探险七月。</t>
  </si>
  <si>
    <t>探险七月</t>
  </si>
  <si>
    <t>去大海探险，超酷的。合成获得乞巧八月。</t>
  </si>
  <si>
    <t>乞巧八月</t>
  </si>
  <si>
    <t>鹊桥入画屏，乞巧寄长情。合成获得乐享九月。</t>
  </si>
  <si>
    <t>乐享九月</t>
  </si>
  <si>
    <t>享受音乐，享受九月。合成获得匠心十月。</t>
  </si>
  <si>
    <t>匠心十月</t>
  </si>
  <si>
    <t>奇迹产生于匠心与手艺的碰撞。合成获得潮流十一月。</t>
  </si>
  <si>
    <t>潮流十一月</t>
  </si>
  <si>
    <t>精心搭配，做新时代的弄潮儿。合成获得冰雪十二月。</t>
  </si>
  <si>
    <t>冰雪十二月</t>
  </si>
  <si>
    <t>承载冰魔法的列车通往神秘的雪国。合成获得龙年大吉。</t>
  </si>
  <si>
    <t>龙年大吉</t>
  </si>
  <si>
    <t>玉兔辞年传吉利,金龙贺岁保平安。已合成至最高级。</t>
  </si>
  <si>
    <t>冰淇淋球</t>
  </si>
  <si>
    <t>看起来真诱人呐！合成获得冰淇淋筒。</t>
  </si>
  <si>
    <t>冰淇淋筒</t>
  </si>
  <si>
    <t>奶油、布丁、巧克力，还有樱桃！合成获得动物冰淇淋。</t>
  </si>
  <si>
    <t>动物冰淇淋</t>
  </si>
  <si>
    <t>蛙蛙和它的好朋友悠悠。合成获得冰淇淋塔。</t>
  </si>
  <si>
    <t>冰淇淋塔</t>
  </si>
  <si>
    <t>造型似一座高塔，表皮格外的脆。合成获得冰淇淋铺子。</t>
  </si>
  <si>
    <t>冰淇淋铺子</t>
  </si>
  <si>
    <t>瞧瞧看看，卖冰淇淋喽！合成获得冰淇淋小屋。</t>
  </si>
  <si>
    <t>冰淇淋小屋</t>
  </si>
  <si>
    <t>屋内不要做饭，否则墙壁会化的！合成获得冰淇淋木屋。</t>
  </si>
  <si>
    <t>冰淇淋木屋</t>
  </si>
  <si>
    <t>梦王国的居民，居住在这种屋子。合成获得冰淇淋豪宅。</t>
  </si>
  <si>
    <t>冰淇淋豪宅</t>
  </si>
  <si>
    <t>一个问题，不怕闹鬼吗？合成获得冰淇淋庄园。</t>
  </si>
  <si>
    <t>冰淇淋庄园</t>
  </si>
  <si>
    <t>里面有非常多好玩的地方！合成获得冰淇淋城堡。</t>
  </si>
  <si>
    <t>冰淇淋城堡</t>
  </si>
  <si>
    <t>是所有孩子的梦中情堡，彩色是想象的颜色。已合成顶级。</t>
  </si>
  <si>
    <t>冰淇淋球[V]</t>
  </si>
  <si>
    <t>看起来真诱人呐！合成获得冰淇淋筒[V]。</t>
  </si>
  <si>
    <t>冰淇淋筒[V]</t>
  </si>
  <si>
    <t>奶油、布丁、巧克力，还有樱桃！合成获得动物冰淇淋[V]。</t>
  </si>
  <si>
    <t>动物冰淇淋[V]</t>
  </si>
  <si>
    <t>蛙蛙和它的好朋友悠悠。合成获得冰淇淋塔[V]。</t>
  </si>
  <si>
    <t>冰淇淋塔[V]</t>
  </si>
  <si>
    <t>造型似一座高塔，表皮格外的脆。合成获得冰淇淋铺子[V]。</t>
  </si>
  <si>
    <t>冰淇淋铺子[V]</t>
  </si>
  <si>
    <t>瞧瞧看看，卖冰淇淋喽！合成获得冰淇淋小屋[V]。</t>
  </si>
  <si>
    <t>冰淇淋小屋[V]</t>
  </si>
  <si>
    <t>屋内不要做饭，否则墙壁会化的！合成获得冰淇淋木屋[V]。</t>
  </si>
  <si>
    <t>冰淇淋木屋[V]</t>
  </si>
  <si>
    <t>梦王国的居民，居住在这种屋子。合成获得冰淇淋豪宅[V]。</t>
  </si>
  <si>
    <t>冰淇淋豪宅[V]</t>
  </si>
  <si>
    <t>一个问题，不怕闹鬼吗？合成获得冰淇淋庄园[V]。</t>
  </si>
  <si>
    <t>冰淇淋庄园[V]</t>
  </si>
  <si>
    <t>里面有非常多好玩的地方！合成获得冰淇淋城堡[V]。</t>
  </si>
  <si>
    <t>冰淇淋城堡[V]</t>
  </si>
  <si>
    <t>一根火柴</t>
  </si>
  <si>
    <t>不要小瞧它，它可以照起一片光明。合成获得一包火柴。</t>
  </si>
  <si>
    <t>一包火柴</t>
  </si>
  <si>
    <t>可以发出五颜六色的光芒哦。合成获得小蜡烛。</t>
  </si>
  <si>
    <t>小蜡烛</t>
  </si>
  <si>
    <t>足够写完今天的作业啦。合成获得大蜡烛。</t>
  </si>
  <si>
    <t>大蜡烛</t>
  </si>
  <si>
    <t>可以用一个月，就是要小心蜡烛油。合成获得火堆</t>
  </si>
  <si>
    <t>火堆</t>
  </si>
  <si>
    <t>明亮又温暖，总是令人安心。合成获得火盆。</t>
  </si>
  <si>
    <t>火盆</t>
  </si>
  <si>
    <t>可以移动，方便烤火。合成获得火炉。</t>
  </si>
  <si>
    <t>火炉</t>
  </si>
  <si>
    <t>风再大，也不容易熄灭。合成获得烤火炉。</t>
  </si>
  <si>
    <t>烤火炉</t>
  </si>
  <si>
    <t>它陪伴着我们度过一个又一个冬夜。合成获得烤火炉与猫。</t>
  </si>
  <si>
    <t>烤火炉与猫</t>
  </si>
  <si>
    <t>猫猫也趴伏在烤火炉上取暖。合成获得壁炉。</t>
  </si>
  <si>
    <t>壁炉</t>
  </si>
  <si>
    <t>是暴风雪中的定海神针。有它就安心。合成获得圣诞壁炉。</t>
  </si>
  <si>
    <t>圣诞壁炉</t>
  </si>
  <si>
    <t>孩子们，快来领取自己的礼物吧！合成获得围炉夜话。</t>
  </si>
  <si>
    <t>围炉夜话</t>
  </si>
  <si>
    <t>“姐妹们，上次那个送礼的男生...”合成获得冬日聚会。</t>
  </si>
  <si>
    <t>冬日聚会</t>
  </si>
  <si>
    <t>热茶、咖啡、蛋糕、花束、猫猫、碎语...已合成最高级。</t>
  </si>
  <si>
    <t>空的塑料脚盆</t>
  </si>
  <si>
    <t>一个空的塑胶脚盆。合成获得满的塑料脚盆。</t>
  </si>
  <si>
    <t>满的塑料脚盆</t>
  </si>
  <si>
    <t>装满了水的塑胶脚盆。合成获得木制泡脚盆。</t>
  </si>
  <si>
    <t>木制泡脚盆</t>
  </si>
  <si>
    <t>晃晃悠悠、晃晃悠悠。合成获得智能足浴盆。</t>
  </si>
  <si>
    <t>智能足浴盆</t>
  </si>
  <si>
    <t>科技改变生活，轻松泡脚，愉快养生。合成获得普通浴缸。</t>
  </si>
  <si>
    <t>普通浴缸</t>
  </si>
  <si>
    <t>劳累一天，最舒服的事就是泡个澡了。合成获得轻奢浴缸。</t>
  </si>
  <si>
    <t>轻奢浴缸</t>
  </si>
  <si>
    <t>还缺一只橡胶充气鸭就完美了。合成获得天然温泉。</t>
  </si>
  <si>
    <t>天然温泉</t>
  </si>
  <si>
    <t>大自然的馈赠，天然的温泉浴场！合成获得木制私人浴场。</t>
  </si>
  <si>
    <t>木制私人浴场</t>
  </si>
  <si>
    <t>空间宽敞，悠闲自在。合成获得石制私人浴场。</t>
  </si>
  <si>
    <t>石制私人浴场</t>
  </si>
  <si>
    <t>环境宜人，还有可爱的动物侍者。合成获得复古围石浴场。</t>
  </si>
  <si>
    <t>复古围石浴场</t>
  </si>
  <si>
    <t>贴近自然的温泉，有时更加舒畅。合成获得山野自然浴场。</t>
  </si>
  <si>
    <t>山野自然浴场</t>
  </si>
  <si>
    <t>偶尔还能碰到小动物，一起入浴。合成获得四月樱飞浴场。</t>
  </si>
  <si>
    <t>四月樱飞浴场</t>
  </si>
  <si>
    <t>水汽腾腾，花瓣飞舞，人间仙境。合成获得千山雪落浴场。</t>
  </si>
  <si>
    <t>千山雪落浴场</t>
  </si>
  <si>
    <t>山林裹上洁白的素裳，热气熏蒸人间的美好。已合成顶级。</t>
  </si>
  <si>
    <t>赖床的沫沫</t>
  </si>
  <si>
    <t>呜~~才8点，让我再多睡会儿~~合成获得入眠的小鳄。</t>
  </si>
  <si>
    <t>入眠的小鳄</t>
  </si>
  <si>
    <t>大河，游泳，开心，欸嘿嘿...合成获得好梦的峰峰。</t>
  </si>
  <si>
    <t>好梦的峰峰</t>
  </si>
  <si>
    <t>花瓣是峰峰最喜欢的床。合成获得演奏的小蛙。</t>
  </si>
  <si>
    <t>演奏的小蛙</t>
  </si>
  <si>
    <t>我一定要成为摇滚大师！锵锵锵~合成获得戴眼罩的奇奇。</t>
  </si>
  <si>
    <t>戴眼罩的奇奇</t>
  </si>
  <si>
    <t>看起来它似乎睡得很安逸？合成获得看书的小壮。</t>
  </si>
  <si>
    <t>看书的小壮</t>
  </si>
  <si>
    <t>明天我要把故事讲给好朋友听。合成获得被子合身的猬猬。</t>
  </si>
  <si>
    <t>被子合身的猬猬</t>
  </si>
  <si>
    <t>它总算找到一床不容易破的被子。合成获得爱枕头的佳佳。</t>
  </si>
  <si>
    <t>爱枕头的佳佳</t>
  </si>
  <si>
    <t>奶酪山、奶酪河、奶酪路...合成获得打电动的狸狸。</t>
  </si>
  <si>
    <t>打电动的狸狸</t>
  </si>
  <si>
    <t>晚上，才是咱们精神的时间！合成获得爬月亮的拉拉。</t>
  </si>
  <si>
    <t>爬月亮的拉拉</t>
  </si>
  <si>
    <t>黄澄澄的月亮，是什么味道呢？合成获得熬夜看剧的小企。</t>
  </si>
  <si>
    <t>熬夜看剧的小企</t>
  </si>
  <si>
    <t>明天不上班的感觉真好。合成获得静谧的羊羊。</t>
  </si>
  <si>
    <t>静谧的羊羊</t>
  </si>
  <si>
    <t>我入了羊的梦，羊入了我的梦？合成获得龙猫相伴的宝宝。</t>
  </si>
  <si>
    <t>龙猫相伴的宝宝</t>
  </si>
  <si>
    <t>就这样入眠，直到永远。已合成至最高级。</t>
  </si>
  <si>
    <t>可爱纸盒</t>
  </si>
  <si>
    <t>谁会忍心打开这样一个可爱的纸盒呢？合成获得新年礼盒。</t>
  </si>
  <si>
    <t>新年礼盒</t>
  </si>
  <si>
    <t>红色的结，觊觎着对新年的祝福。合成获得橙色塑料箱。</t>
  </si>
  <si>
    <t>橙色塑料箱</t>
  </si>
  <si>
    <t>让我猜猜，是零食？还是娃娃？合成获得手提式塑料箱。</t>
  </si>
  <si>
    <t>手提式塑料箱</t>
  </si>
  <si>
    <t>过年过节，最期待的就是拎来它了！合成获得滚轮塑料箱。</t>
  </si>
  <si>
    <t>年货小推车</t>
  </si>
  <si>
    <t>透过包装袋，隐约可以看见里面！合成获得年货购物车。</t>
  </si>
  <si>
    <t>年货购物车</t>
  </si>
  <si>
    <t>在商城里，尽情扫货，年末狂欢！合成获得双轮小推车。</t>
  </si>
  <si>
    <t>双轮小推车</t>
  </si>
  <si>
    <t>年终特价，5元一件大甩卖喽！合成获得年货小摊车。</t>
  </si>
  <si>
    <t>年货小摊车</t>
  </si>
  <si>
    <t>现做的炸糕、春卷。可好吃嘞！合成获得年货三轮车。</t>
  </si>
  <si>
    <t>年货三轮车</t>
  </si>
  <si>
    <t>年前最后一碗，过这村没这店啦。合成获得年货美食巴士。</t>
  </si>
  <si>
    <t>年货美食巴士</t>
  </si>
  <si>
    <t>浓郁的香气，勾起人肚中的馋虫。合成获得年货小卡车。</t>
  </si>
  <si>
    <t>年货小卡车</t>
  </si>
  <si>
    <t>运的不仅是年货，更是幸福。合成获得年货大卡车。</t>
  </si>
  <si>
    <t>年货大卡车</t>
  </si>
  <si>
    <t>烟花爆竹响叮当，祝大家新年好！已合成至最高级。</t>
  </si>
  <si>
    <t>可爱纸盒[V]</t>
  </si>
  <si>
    <t>谁会忍心打开这样一个可爱的纸盒呢？合成获得新年礼盒[V]</t>
  </si>
  <si>
    <t>新年礼盒[V]</t>
  </si>
  <si>
    <t>红色的结，觊觎着对新年的祝福。合成获得橙色塑料箱[V]</t>
  </si>
  <si>
    <t>橙色塑料箱[V]</t>
  </si>
  <si>
    <t>让我猜猜，是零食？还是娃娃？合成获得手提式塑料箱[V]</t>
  </si>
  <si>
    <t>手提式塑料箱[V]</t>
  </si>
  <si>
    <t>过年过节，最期待的就是拎来它了！合成获得滚轮塑料箱[V]</t>
  </si>
  <si>
    <t>年货小推车[V]</t>
  </si>
  <si>
    <t>透过包装袋，隐约可以看见里面！合成获得年货购物车[V]</t>
  </si>
  <si>
    <t>年货购物车[V]</t>
  </si>
  <si>
    <t>在商城里，尽情扫货，年末狂欢！合成获得双轮小推车[V]</t>
  </si>
  <si>
    <t>双轮小推车[V]</t>
  </si>
  <si>
    <t>年终特价，5元一件大甩卖喽！合成获得年货小摊车[V]。</t>
  </si>
  <si>
    <t>年货小摊车[V]</t>
  </si>
  <si>
    <t>现做的炸糕、春卷。可好吃嘞！合成获得年货三轮车[V]。</t>
  </si>
  <si>
    <t>年货三轮车[V]</t>
  </si>
  <si>
    <t>年前最后一碗，过这村没这店啦。合成获得年货美食巴士[V]</t>
  </si>
  <si>
    <t>年货美食巴士[V]</t>
  </si>
  <si>
    <t>浓郁的香气，勾起人肚中的馋虫。合成获得年货小卡车[V]</t>
  </si>
  <si>
    <t>年货小卡车[V]</t>
  </si>
  <si>
    <t>运的不仅是年货，更是幸福。合成获得年货大卡车[V]。</t>
  </si>
  <si>
    <t>年货大卡车[V]</t>
  </si>
  <si>
    <t>折耳兔奶糖</t>
  </si>
  <si>
    <t>口感略硬，但是很甜。合成获得卡通软糖。</t>
  </si>
  <si>
    <t>卡通软糖</t>
  </si>
  <si>
    <t>真得有人狠心吃它吗？合成获得芝麻汤圆。</t>
  </si>
  <si>
    <t>芝麻汤圆</t>
  </si>
  <si>
    <t>一口一个是不是略显残忍了？合成获得饺子。</t>
  </si>
  <si>
    <t>饺子</t>
  </si>
  <si>
    <t>幸福就是和家人一起包饺子。合成获得馄饨。</t>
  </si>
  <si>
    <t>馄饨</t>
  </si>
  <si>
    <t>在葱花的加持下，显得无比开胃。合成获得烤年糕。</t>
  </si>
  <si>
    <t>烤年糕</t>
  </si>
  <si>
    <t>老大猫猫，老二熊熊，老三团子。合成获得红糖糍粑。</t>
  </si>
  <si>
    <t>红糖糍粑</t>
  </si>
  <si>
    <t>又甜又糯，一口下去，再难舍弃。合成获得春卷。</t>
  </si>
  <si>
    <t>春卷</t>
  </si>
  <si>
    <t>脆皮春卷，是不爱吃饭的小孩子们最爱。合成获得蛋黄酥。</t>
  </si>
  <si>
    <t>蛋黄酥</t>
  </si>
  <si>
    <t>有小猪、有小鹿，还有小熊形状的。合成获得粘豆包。</t>
  </si>
  <si>
    <t>粘豆包</t>
  </si>
  <si>
    <t>虎虎和它的朋友们组成了粘豆包家族。合成获得红烧狮子头</t>
  </si>
  <si>
    <t>红烧狮子头</t>
  </si>
  <si>
    <t>浓烈酱汁下的狮子头才是真狮子头。合成获得腊肉。</t>
  </si>
  <si>
    <t>腊肉</t>
  </si>
  <si>
    <t>一道传统的风味美食，深受人们喜爱。合成获得海鲜大餐。</t>
  </si>
  <si>
    <t>海鲜大餐</t>
  </si>
  <si>
    <t>几只蟹，一盘虾，可以撑起年夜饭的场面。合成获得硬菜。</t>
  </si>
  <si>
    <t>硬菜</t>
  </si>
  <si>
    <t>我的肚皮留空就是为了它们！合成获得年年有余。</t>
  </si>
  <si>
    <t>年年有余</t>
  </si>
  <si>
    <t>希望每年都能有余钱，变得越来越富有！已合成最高级。</t>
  </si>
  <si>
    <t>龙年邮票</t>
  </si>
  <si>
    <t>集邮，保存的是时光。合成获得龙年贴纸。</t>
  </si>
  <si>
    <t>龙年贴纸</t>
  </si>
  <si>
    <t>贴在额头上，也能长出尾巴、犄角吗？合成获得龙年袜子。</t>
  </si>
  <si>
    <t>龙年袜子</t>
  </si>
  <si>
    <t>2024，充满希望的新一年！合成获得龙年钥匙扣。</t>
  </si>
  <si>
    <t>龙年钥匙扣</t>
  </si>
  <si>
    <t>异常可爱，每次都会让旁人惊叹。合成获得龙年发卡。</t>
  </si>
  <si>
    <t>龙年发卡</t>
  </si>
  <si>
    <t>这下，就真得长出犄角喽！合成获得龙年杯套。</t>
  </si>
  <si>
    <t>龙年杯套</t>
  </si>
  <si>
    <t>连喝水，都能感受到新年氛围。合成获得龙年台历。</t>
  </si>
  <si>
    <t>龙年台历</t>
  </si>
  <si>
    <t>日子，就在一页页纸张中过去。合成获得龙年钱包。</t>
  </si>
  <si>
    <t>龙年钱包</t>
  </si>
  <si>
    <t>龙口藏金，寓意财源广进。合成获得龙年帆布包。</t>
  </si>
  <si>
    <t>龙年帆布包</t>
  </si>
  <si>
    <t>龙是瑞兽，也能带来财富！合成获得龙年帽子。</t>
  </si>
  <si>
    <t>龙年帽子</t>
  </si>
  <si>
    <t>孩子们都想变成龙。合成获得可爱龙枕头。</t>
  </si>
  <si>
    <t>可爱龙枕头</t>
  </si>
  <si>
    <t>会梦见可爱的小龙人吗？合成获得龙年毛衣。</t>
  </si>
  <si>
    <t>龙年毛衣</t>
  </si>
  <si>
    <t>红红火火，喜庆发财！合成获得龙年小宝。</t>
  </si>
  <si>
    <t>龙年小宝</t>
  </si>
  <si>
    <t>快乐的童年与幸福的新年交织在一起。合成获得龙年小宝贝</t>
  </si>
  <si>
    <t>龙年小宝贝</t>
  </si>
  <si>
    <t>过年喽，恭喜发财，红包拿来！合成获得小龙人</t>
  </si>
  <si>
    <t>小龙人</t>
  </si>
  <si>
    <t>乐园居民小龙人，来庭院给大家打招呼啦.已合成至最高级。</t>
  </si>
  <si>
    <t>龙</t>
  </si>
  <si>
    <t>龙凤呈祥。合成获得马.</t>
  </si>
  <si>
    <t>马</t>
  </si>
  <si>
    <t>马到成功。合成获得精。</t>
  </si>
  <si>
    <t>精</t>
  </si>
  <si>
    <t>精诚所至。合成获得神。</t>
  </si>
  <si>
    <t>神</t>
  </si>
  <si>
    <t>神机妙算。合成获得万。</t>
  </si>
  <si>
    <t>万</t>
  </si>
  <si>
    <t>万象更新。合成获得事。</t>
  </si>
  <si>
    <t>事</t>
  </si>
  <si>
    <t>事半功倍。合成获得如。</t>
  </si>
  <si>
    <t>如</t>
  </si>
  <si>
    <t>如虎添翼。合成获得意。</t>
  </si>
  <si>
    <t>意</t>
  </si>
  <si>
    <t>意气风发。合成获得好。</t>
  </si>
  <si>
    <t>好</t>
  </si>
  <si>
    <t>好善乐施。合成获得运。</t>
  </si>
  <si>
    <t>运</t>
  </si>
  <si>
    <t>运转时来。合成获得当。</t>
  </si>
  <si>
    <t>当</t>
  </si>
  <si>
    <t>当世才度。合成获得头。</t>
  </si>
  <si>
    <t>头</t>
  </si>
  <si>
    <t>头角峥嵘。合成获得岁。</t>
  </si>
  <si>
    <t>岁</t>
  </si>
  <si>
    <t>岁稔年丰。合成获得今。</t>
  </si>
  <si>
    <t>今</t>
  </si>
  <si>
    <t>今非昔比。合成获得朝。</t>
  </si>
  <si>
    <t>朝</t>
  </si>
  <si>
    <t>朝气蓬勃。已合成最高级。</t>
  </si>
  <si>
    <t>白纸</t>
  </si>
  <si>
    <t>一张白纸，轻灵飘逸。合成获得风叶折纸。</t>
  </si>
  <si>
    <t>风叶折纸</t>
  </si>
  <si>
    <t>两张风叶，尚不能转动。合成获得简易风车。</t>
  </si>
  <si>
    <t>简易风车</t>
  </si>
  <si>
    <t>可以随风转动，好有意思。合成获得小花风车。</t>
  </si>
  <si>
    <t>小花风车</t>
  </si>
  <si>
    <t>随风而动时，宛若一个绚烂的彩虹。合成获得卡通小风车。</t>
  </si>
  <si>
    <t>卡通小风车</t>
  </si>
  <si>
    <t>可爱的小熊风车，孩子们很喜欢。合成获得卡通七叶风车。</t>
  </si>
  <si>
    <t>卡通七叶风车</t>
  </si>
  <si>
    <t>七片叶子，转得更快啦！合成获得奇妙魔杖风车。</t>
  </si>
  <si>
    <t>奇妙魔杖风车</t>
  </si>
  <si>
    <t>好像一根神奇的兔兔魔杖，能召唤风。合成获得兔兔大风车。</t>
  </si>
  <si>
    <t>兔兔大风车</t>
  </si>
  <si>
    <t>不是风车动，不是风在动，是心动。合成获得挂幡大风车。</t>
  </si>
  <si>
    <t>挂幡大风车</t>
  </si>
  <si>
    <t>幡布随风飘动，生机盎然勃发。合成获得阳春大风车。</t>
  </si>
  <si>
    <t>阳春大风车</t>
  </si>
  <si>
    <t>“山城鸟鹊喜，佳句来春风。”已合成至最高级。</t>
  </si>
  <si>
    <t>白纸[V]</t>
  </si>
  <si>
    <t>一张白纸，轻灵飘逸。合成获得风叶折纸[V]。</t>
  </si>
  <si>
    <t>风叶折纸[V]</t>
  </si>
  <si>
    <t>两张风叶，尚不能转动。合成获得简易风车[V]。</t>
  </si>
  <si>
    <t>简易风车[V]</t>
  </si>
  <si>
    <t>可以随风转动，好有意思。合成获得小风车[V]。</t>
  </si>
  <si>
    <t>小花风车[V]</t>
  </si>
  <si>
    <t>随风而动时，宛若一个绚烂的彩虹。合成获得卡通小风车[V]。</t>
  </si>
  <si>
    <t>卡通小风车[V]</t>
  </si>
  <si>
    <t>可爱的小熊风车，孩子们很喜欢。合成获得卡通七叶风车[V]。</t>
  </si>
  <si>
    <t>卡通七叶风车[V]</t>
  </si>
  <si>
    <t>七片叶子，转得更快啦！合成获得奇妙魔杖风车[V]。</t>
  </si>
  <si>
    <t>奇妙魔杖风车[V]</t>
  </si>
  <si>
    <t>好像一根神奇的兔兔魔杖，能召唤风。合成获得兔兔大风车[V]。</t>
  </si>
  <si>
    <t>兔兔大风车[V]</t>
  </si>
  <si>
    <t>不是风车动，不是风在动，是心动。合成获得挂幡大风车[V]。</t>
  </si>
  <si>
    <t>挂幡大风车[V]</t>
  </si>
  <si>
    <t>幡布随风飘动，生机盎然勃发。合成获得阳春大风车[V]。</t>
  </si>
  <si>
    <t>阳春大风车[V]</t>
  </si>
  <si>
    <t>一粒种子</t>
  </si>
  <si>
    <t>小小一颗，却蕴含着无穷的生命力。合成获得一株小芽</t>
  </si>
  <si>
    <t>一株小芽</t>
  </si>
  <si>
    <t>不知它会开出怎样的花朵呢？合成获得土堆小花</t>
  </si>
  <si>
    <t>土堆小花</t>
  </si>
  <si>
    <t>无拘无束生长的花朵。合成获得圆形红花坛</t>
  </si>
  <si>
    <t>圆形红花坛</t>
  </si>
  <si>
    <t>一朵小红花，简单又美丽。合成获得方形冰火花坛</t>
  </si>
  <si>
    <t>方形冰火花坛</t>
  </si>
  <si>
    <t>一只送给爱人，一只送给友人.合成获得方形蓝花坛</t>
  </si>
  <si>
    <t>方形蓝花坛</t>
  </si>
  <si>
    <t>蓝色风信子，总能给人带来镇定。合成获得方形红花坛</t>
  </si>
  <si>
    <t>方形红花坛</t>
  </si>
  <si>
    <t>三朵小红花，明丽而不媚俗。合成获得矩形三色花坛</t>
  </si>
  <si>
    <t>矩形三色花坛</t>
  </si>
  <si>
    <t>红、黄、橘，三色郁金香代表三种情感。合成获得矩形白花坛</t>
  </si>
  <si>
    <t>矩形白花坛</t>
  </si>
  <si>
    <t>纯白的花朵，涤去人的烦恼。合成获得矩形双花坛</t>
  </si>
  <si>
    <t>矩形双花坛</t>
  </si>
  <si>
    <t>盛开着2种花的长方形木制花坛。合成获得姹紫嫣红花台</t>
  </si>
  <si>
    <t>姹紫嫣红花台</t>
  </si>
  <si>
    <t>各色的绚烂花朵，一齐开放。合成获得四月芳飞花台</t>
  </si>
  <si>
    <t>四月芳飞花台</t>
  </si>
  <si>
    <t>姹紫的花朵，飞舞的蝴蝶，仿若仙境。合成获得嫦娥舞清影</t>
  </si>
  <si>
    <t>嫦娥舞清影</t>
  </si>
  <si>
    <t>孤寒月下，美人花台舞只影。为谁怜？已合成最高级。</t>
  </si>
  <si>
    <t>一根树枝</t>
  </si>
  <si>
    <t>平平无奇的树枝，不如当柴烧？合成获得一块木板</t>
  </si>
  <si>
    <t>一块木板</t>
  </si>
  <si>
    <t>坐上去，不太稳当。合成获得绑绳木板</t>
  </si>
  <si>
    <t>绑绳木板</t>
  </si>
  <si>
    <t>有了绳子后，木板可以派上更多用场。合成获得秋千座椅</t>
  </si>
  <si>
    <t>秋千座椅</t>
  </si>
  <si>
    <t>终于可以舒舒服服地平稳坐上去啦。合成获得简易秋千</t>
  </si>
  <si>
    <t>简易秋千</t>
  </si>
  <si>
    <t>挂靠在坚实的树干上，可以荡得更远。合成获得木藤秋千</t>
  </si>
  <si>
    <t>木藤秋千</t>
  </si>
  <si>
    <t>由藤曼代替绳子，坚韧之余，多了股自然的气息。合成获得立式秋千</t>
  </si>
  <si>
    <t>立式秋千</t>
  </si>
  <si>
    <t>立式结构更加平稳，可以坐上好几个孩子。合成获得青藤缠绕秋千</t>
  </si>
  <si>
    <t>青藤缠绕秋千</t>
  </si>
  <si>
    <t>有时，小动物们也会在其上休息。合成获得绿叶小花秋千</t>
  </si>
  <si>
    <t>绿叶小花秋千</t>
  </si>
  <si>
    <t>淡黄的小花，丝丝的香气，让心灵平静下来。合成获得粉红长椅秋千</t>
  </si>
  <si>
    <t>粉红长椅秋千</t>
  </si>
  <si>
    <t>隐遁大自然的庄园中，藏着这样一座秋千。合成获得粉蓝玫瑰秋千</t>
  </si>
  <si>
    <t>粉蓝玫瑰秋千</t>
  </si>
  <si>
    <t>热情与沉静完美的融合在一起。合成获得花团锦簇秋千</t>
  </si>
  <si>
    <t>花团锦簇秋千</t>
  </si>
  <si>
    <t>不知是精灵还是神明，安憩在摇篮之中。合成获得春日之梦秋千</t>
  </si>
  <si>
    <t>春日之梦秋千</t>
  </si>
  <si>
    <t>睡在其中，仿若做了一个永恒的鸟语花香的梦，已合成最高级</t>
  </si>
  <si>
    <t>初生雏鸟</t>
  </si>
  <si>
    <t>破壳而出的小生命，有着整个未来。合成获得雪山雀</t>
  </si>
  <si>
    <t>雪山雀</t>
  </si>
  <si>
    <t>毛发雪白，与冬天融为一体，洗澡也许很费劲？合成获得玄凤鹦鹉</t>
  </si>
  <si>
    <t>玄凤鹦鹉</t>
  </si>
  <si>
    <t>聪明友善、会说话能当伴。合成获得红嘴蓝鹊</t>
  </si>
  <si>
    <t>红嘴蓝鹊</t>
  </si>
  <si>
    <t>是传说中的青鸟，侍奉在王母娘娘身边。合成获得啄木鸟</t>
  </si>
  <si>
    <t>啄木鸟</t>
  </si>
  <si>
    <t>专吃害虫，是森林医生。合成获得鸮鹦鹉</t>
  </si>
  <si>
    <t>鸮鹦鹉</t>
  </si>
  <si>
    <t>体型最大，又不会飞的奇葩鹦鹉。合成获得鸳鸯</t>
  </si>
  <si>
    <t>鸳鸯</t>
  </si>
  <si>
    <t>毛色鲜艳，绚丽。彼此情感忠贞。合成获得鹦鹉</t>
  </si>
  <si>
    <t>鹦鹉</t>
  </si>
  <si>
    <t>冠羽直立，它看起来好像生气了？合成获得巨嘴鸟</t>
  </si>
  <si>
    <t>巨嘴鸟</t>
  </si>
  <si>
    <t>非常美丽的喙，一定是个美食家。合成获得鹈鹕</t>
  </si>
  <si>
    <t>鹈鹕</t>
  </si>
  <si>
    <t>它在给你量身高时要小心，这是想吃了你。合成获得老鹰</t>
  </si>
  <si>
    <t>老鹰</t>
  </si>
  <si>
    <t>鸟中举重冠军，拥有极强的力量抓起猎物。合成获得孔雀</t>
  </si>
  <si>
    <t>孔雀</t>
  </si>
  <si>
    <t>孔雀是鸟中艺术家，穿着羽绒彩斑连体衣。合成获得仙鹤</t>
  </si>
  <si>
    <t>仙鹤</t>
  </si>
  <si>
    <t>乘风归去，直上云霄。已合成最高级。</t>
  </si>
  <si>
    <t>包布</t>
  </si>
  <si>
    <t>简单折叠，家当尽收其中。合成获得小包袱。</t>
  </si>
  <si>
    <t>小包袱</t>
  </si>
  <si>
    <t>小小包袱，甸甸重金。合成获得圆形箩筐。</t>
  </si>
  <si>
    <t>圆形箩筐</t>
  </si>
  <si>
    <t>盛满春意的小小角落。合成获得背包箩筐。</t>
  </si>
  <si>
    <t>背包箩筐</t>
  </si>
  <si>
    <t>装满野果的背篓，是一下午劳作的见证。合成获得货担箱。</t>
  </si>
  <si>
    <t>货担箱</t>
  </si>
  <si>
    <t>装满民间流传的字画，其中不乏一些大师之作。合成获得骡子载货。</t>
  </si>
  <si>
    <t>骡子载货</t>
  </si>
  <si>
    <t>挣到了银两，先买一匹载货的骡子。合成获得马车拉货。</t>
  </si>
  <si>
    <t>马车拉货</t>
  </si>
  <si>
    <t>带着满车的货物，卖遍大江南北。合成获得杂货小摊。</t>
  </si>
  <si>
    <t>杂货小摊</t>
  </si>
  <si>
    <t>在热闹市集里也有一席之地。合成获得南杂铺。</t>
  </si>
  <si>
    <t>南杂铺</t>
  </si>
  <si>
    <t>食品调料，布料衣物，应有尽有。合成获得百什阁。</t>
  </si>
  <si>
    <t>百什阁</t>
  </si>
  <si>
    <t>北方的鹿茸，南方的丝绸...琳琅满目。已合成至最高级。</t>
  </si>
  <si>
    <t>包布[V]</t>
  </si>
  <si>
    <t>简单折叠，家当尽收其中。合成获得小包袱[V]。</t>
  </si>
  <si>
    <t>小包袱[V]</t>
  </si>
  <si>
    <t>小小包袱，甸甸重金。合成获得圆形箩筐[V]。</t>
  </si>
  <si>
    <t>圆形箩筐[V]</t>
  </si>
  <si>
    <t>盛满春意的小小角落。合成获得背包箩筐[V]。</t>
  </si>
  <si>
    <t>背包箩筐[V]</t>
  </si>
  <si>
    <t>装满野果的背篓，是一下午劳作的见证。合成获得货担箱[V]。</t>
  </si>
  <si>
    <t>货担箱[V]</t>
  </si>
  <si>
    <t>装满民间流传的字画，其中不乏一些大师之作。合成获得骡子载货[V]。</t>
  </si>
  <si>
    <t>骡子载货[V]</t>
  </si>
  <si>
    <t>挣到了银两，先买一匹载货的骡子。合成获得马车拉货[V]。</t>
  </si>
  <si>
    <t>马车拉货[V]</t>
  </si>
  <si>
    <t>带着满车的货物，卖遍大江南北。合成获得杂货小摊[V]。</t>
  </si>
  <si>
    <t>杂货小摊[V]</t>
  </si>
  <si>
    <t>在热闹市集里也有一席之地。合成获得南杂铺[V]。</t>
  </si>
  <si>
    <t>南杂铺[V]</t>
  </si>
  <si>
    <t>食品调料，布料衣物，应有尽有。合成获得百什阁[V]。</t>
  </si>
  <si>
    <t>百什阁[V]</t>
  </si>
  <si>
    <t>布帛</t>
  </si>
  <si>
    <t>布帛与衣物，仅差一道剪裁的魔法。合成获得诃子。</t>
  </si>
  <si>
    <t>诃子</t>
  </si>
  <si>
    <t>闷热夏日里必不可少的古代单品。合成获得粗麻衣。</t>
  </si>
  <si>
    <t>粗麻衣</t>
  </si>
  <si>
    <t>半匹粗布随意缝制而得，主打性价比。合成获得锦袍。</t>
  </si>
  <si>
    <t>锦袍</t>
  </si>
  <si>
    <t>上好的锦缎理应匹配精致的做工。合成获得罗衣民女。</t>
  </si>
  <si>
    <t>罗衣民女</t>
  </si>
  <si>
    <t>时兴的款式，大街上几乎人手一件。合成获得唐妆仕女。</t>
  </si>
  <si>
    <t>唐妆仕女</t>
  </si>
  <si>
    <t>锦衣美妆，相得益彰。合成获得抱扇淑女。</t>
  </si>
  <si>
    <t>抱扇淑女</t>
  </si>
  <si>
    <t>轻拈罗扇，一动一静皆是诗。合成获得执伞少女。</t>
  </si>
  <si>
    <t>执伞少女</t>
  </si>
  <si>
    <t>防晒，跨越时代的美丽秘诀。合成获得温婉千金。</t>
  </si>
  <si>
    <t>温婉千金</t>
  </si>
  <si>
    <t>鬓间点缀鲜花，胜过万千珠宝。合成获得华服闺秀。</t>
  </si>
  <si>
    <t>华服闺秀</t>
  </si>
  <si>
    <t>眼若星辰，笑如春风，身着华服，仪态万千。合成获得典雅中宫。</t>
  </si>
  <si>
    <t>典雅中宫</t>
  </si>
  <si>
    <t>雍容华贵，端庄典雅。合成获得敦煌飞仙。</t>
  </si>
  <si>
    <t>敦煌飞仙</t>
  </si>
  <si>
    <t>身姿曼妙，轻盈飘逸，宛如谪仙。合成获得霓裳神女。</t>
  </si>
  <si>
    <t>霓裳神女</t>
  </si>
  <si>
    <t>身着羽衣的神女，只在梦里见过。已合成至最高级。</t>
  </si>
  <si>
    <t>四角地灯</t>
  </si>
  <si>
    <t>微弱的光，驱散黑暗。合成获得粉彩花瓶。</t>
  </si>
  <si>
    <t>粉彩花瓶</t>
  </si>
  <si>
    <t>鲜花娇艳，插在哪里，哪里就是春天。合成获得青花书画瓶。</t>
  </si>
  <si>
    <t>青花书画瓶</t>
  </si>
  <si>
    <t>瓷瓶淡雅，书画素净。合成获得檀香炉。</t>
  </si>
  <si>
    <t>檀香炉</t>
  </si>
  <si>
    <t>烟雾袅袅升起，内心也变得安宁。合成获得八仙桌。</t>
  </si>
  <si>
    <t>八仙桌</t>
  </si>
  <si>
    <t>传说是八仙过海时围坐过的桌子，寓意吉祥。合成获得镜台。</t>
  </si>
  <si>
    <t>镜台</t>
  </si>
  <si>
    <t>光滑的铜镜，反射岁月的光芒。合成获得梳妆台。</t>
  </si>
  <si>
    <t>梳妆台</t>
  </si>
  <si>
    <t>见证世代女子的美丽与哀愁。合成获得实木折屏。</t>
  </si>
  <si>
    <t>实木折屏</t>
  </si>
  <si>
    <t>“翠屏罗幕遮前后，舞袖翻风拂香篆。”合成获得墨香书案。</t>
  </si>
  <si>
    <t>墨香书案</t>
  </si>
  <si>
    <t>书案堆满的字画，彰显主人的高雅。合成获得太师椅。</t>
  </si>
  <si>
    <t>太师椅</t>
  </si>
  <si>
    <t>见证权力的传承与交替。合成获得雕花衣箱。</t>
  </si>
  <si>
    <t>雕花衣箱</t>
  </si>
  <si>
    <t>女子的衣箱，永远少最称心的那件。合成获得薰花木桶。</t>
  </si>
  <si>
    <t>薰花木桶</t>
  </si>
  <si>
    <t>沐浴的水，能消除一天的疲惫。合成获得飞瀑墙饰。</t>
  </si>
  <si>
    <t>飞瀑墙饰</t>
  </si>
  <si>
    <t>典雅的墙饰，是一种无言的高贵。已合成至最高级。</t>
  </si>
  <si>
    <t>小木碗</t>
  </si>
  <si>
    <t>虽为木制，却坚固如钢铁。合成获得简易食盒。</t>
  </si>
  <si>
    <t>简易食盒</t>
  </si>
  <si>
    <t>加上木盖，汤汁不会再洒出来。合成获得精致食盒。</t>
  </si>
  <si>
    <t>精致食盒</t>
  </si>
  <si>
    <t>餐盒雅致，米饭都添香几分。合成获得玉兰纹食盒。</t>
  </si>
  <si>
    <t>玉兰纹食盒</t>
  </si>
  <si>
    <t>木刻的玉兰纹路，散发出古朴气息。合成获得传统提手食盒。</t>
  </si>
  <si>
    <t>传统提手食盒</t>
  </si>
  <si>
    <t>食盒无盖，美味难留。合成获得华贵圆形食盒。</t>
  </si>
  <si>
    <t>华贵圆形食盒</t>
  </si>
  <si>
    <t>汤盏放入其中，也能一滴不撒。合成获得雕花花瓣食盒。</t>
  </si>
  <si>
    <t>雕花花瓣食盒</t>
  </si>
  <si>
    <t>精美的雕花木盒，能锁住糕点的芳香。合成获得四象食盒。</t>
  </si>
  <si>
    <t>四象食盒</t>
  </si>
  <si>
    <t>蘸上中间的糖霜，美味更上一层。合成获得六宫格食盒。</t>
  </si>
  <si>
    <t>六宫格食盒</t>
  </si>
  <si>
    <t>六种糕点，出自六位顶级厨子之手。合成获得九宫格食盒。</t>
  </si>
  <si>
    <t>九宫格食盒</t>
  </si>
  <si>
    <t>一个格子代表着一个地域的传统风味。合成获得点心摊。</t>
  </si>
  <si>
    <t>点心摊</t>
  </si>
  <si>
    <t>不小心做多了，顺便出个摊吧。合成获得香食车。</t>
  </si>
  <si>
    <t>香食车</t>
  </si>
  <si>
    <t>美食的香气随车飘遍大街小巷。合成获得珍馐食肆。</t>
  </si>
  <si>
    <t>珍馐食肆</t>
  </si>
  <si>
    <t>最受欢迎的食肆，汇聚着各地的特色佳肴。已合成至最高级。</t>
  </si>
  <si>
    <t>空的野餐篮</t>
  </si>
  <si>
    <t>让我想想，带点什么呢？合成获得满的野餐篮</t>
  </si>
  <si>
    <t>满的野餐篮</t>
  </si>
  <si>
    <t>两个三明治，一盒桂花酥。合成获得野餐垫</t>
  </si>
  <si>
    <t>野餐垫</t>
  </si>
  <si>
    <t>花瓣飘落，好美丽呀。合成获得精良野餐垫</t>
  </si>
  <si>
    <t>精良野餐垫</t>
  </si>
  <si>
    <t>到了午饭时分，咱们休息会儿吧。合成获得露营小车</t>
  </si>
  <si>
    <t>露营小车</t>
  </si>
  <si>
    <t>里面有三明治、三脚架、折叠座椅...合成获得半载露营小车</t>
  </si>
  <si>
    <t>半载露营小车</t>
  </si>
  <si>
    <t>还装了音响、投影仪，一堆桌游...合成获得满载露营小车</t>
  </si>
  <si>
    <t>满载露营小车</t>
  </si>
  <si>
    <t>小车都装满了，是打算野外生存吗？合成获得高级露营车</t>
  </si>
  <si>
    <t>高级露营车</t>
  </si>
  <si>
    <t>还没到营地，就有人开吃了。合成获得露营小营地</t>
  </si>
  <si>
    <t>露营小营地</t>
  </si>
  <si>
    <t>姐妹们，先摆个造型，拍个照。合成获得露营全家桶</t>
  </si>
  <si>
    <t>露营全家桶</t>
  </si>
  <si>
    <t>嘶，嘶，好冷呀，拍完照回车里吧。已合成至最高级</t>
  </si>
  <si>
    <t>空的野餐篮[V]</t>
  </si>
  <si>
    <t>让我想想，带点什么呢？合成获得满的野餐篮[V]</t>
  </si>
  <si>
    <t>满的野餐篮[V]</t>
  </si>
  <si>
    <t>两个三明治，一盒桂花酥。合成获得野餐垫[V]</t>
  </si>
  <si>
    <t>野餐垫[V]</t>
  </si>
  <si>
    <t>花瓣飘落，好美丽呀。合成获得精良野餐垫[V]</t>
  </si>
  <si>
    <t>精良野餐垫[V]</t>
  </si>
  <si>
    <t>到了午饭时分，咱们休息会儿吧。合成获得露营小车[V]</t>
  </si>
  <si>
    <t>露营小车[V]</t>
  </si>
  <si>
    <t>里面有三明治、三脚架、折叠座椅...合成获得半载露营小车[V]</t>
  </si>
  <si>
    <t>半载露营小车[V]</t>
  </si>
  <si>
    <t>还装了音响、投影仪，一堆桌游...合成获得满载露营小车[V]</t>
  </si>
  <si>
    <t>满载露营小车[V]</t>
  </si>
  <si>
    <t>小车都装满了，是打算野外生存吗？合成获得高级露营车[V]</t>
  </si>
  <si>
    <t>高级露营车[V]</t>
  </si>
  <si>
    <t>还没到营地，就有人开吃了。合成获得露营小营地[V]</t>
  </si>
  <si>
    <t>露营小营地[V]</t>
  </si>
  <si>
    <t>姐妹们，先摆个造型，拍个照。合成获得露营全家桶[V]</t>
  </si>
  <si>
    <t>露营全家桶[V]</t>
  </si>
  <si>
    <t>破烂香蕉皮</t>
  </si>
  <si>
    <t>不要乱丢香蕉皮，容易让人摔倒！合成获得剩苹果</t>
  </si>
  <si>
    <t>剩苹果</t>
  </si>
  <si>
    <t>老鼠不会介意的。合成获得鸡蛋壳</t>
  </si>
  <si>
    <t>鸡蛋壳</t>
  </si>
  <si>
    <t>打碎的不够完美。合成获得吃剩的西瓜</t>
  </si>
  <si>
    <t>吃剩的西瓜</t>
  </si>
  <si>
    <t>还剩一般瓜瓤，有点浪费。合成获得鱼骨头</t>
  </si>
  <si>
    <t>鱼骨头</t>
  </si>
  <si>
    <t>吃的真干净，小动物们没得尝了。合成获得吐司面包残渣</t>
  </si>
  <si>
    <t>吐司面包残渣</t>
  </si>
  <si>
    <t>沾点酱，还能吃。合成获得牛奶壳子</t>
  </si>
  <si>
    <t>牛奶壳子</t>
  </si>
  <si>
    <t>要是壳子里的牛奶都收集起来就好了。合成获得烂菜叶</t>
  </si>
  <si>
    <t>烂菜叶</t>
  </si>
  <si>
    <t>似乎得了虫害。合成获得空酒瓶</t>
  </si>
  <si>
    <t>空酒瓶</t>
  </si>
  <si>
    <t>小心碎片伤人。合成获得摔坏的手电筒</t>
  </si>
  <si>
    <t>摔坏的手电筒</t>
  </si>
  <si>
    <t>收集起来，不要丢在野外。合成获得修修补补的雨衣</t>
  </si>
  <si>
    <t>修修补补的雨衣</t>
  </si>
  <si>
    <t>还能派上用场吧，大概？合成获得老旧的睡袋</t>
  </si>
  <si>
    <t>老旧的睡袋</t>
  </si>
  <si>
    <t>洗洗还能用。合成获得生锈的烧烤架</t>
  </si>
  <si>
    <t>生锈的烧烤架</t>
  </si>
  <si>
    <t>烤出来的东西，真的能吃吗？已合成至最高级。</t>
  </si>
  <si>
    <t>圆板凳</t>
  </si>
  <si>
    <t>普通原木板凳。合成获得靠背座椅</t>
  </si>
  <si>
    <t>靠背座椅</t>
  </si>
  <si>
    <t>有靠背的木座椅，坐上去很安心。合成获得蓝白椅子</t>
  </si>
  <si>
    <t>蓝白椅子</t>
  </si>
  <si>
    <t>仿佛漫画世界的椅子。合成获得西瓜椅子</t>
  </si>
  <si>
    <t>西瓜椅子</t>
  </si>
  <si>
    <t>不要让孩子们坐，否则会被吃的。合成获得菠萝椅子</t>
  </si>
  <si>
    <t>菠萝椅子</t>
  </si>
  <si>
    <t>水果王国的座椅。合成获得仙人掌椅子</t>
  </si>
  <si>
    <t>仙人掌椅子</t>
  </si>
  <si>
    <t>应该没人敢坐吧？合成获得南瓜椅子</t>
  </si>
  <si>
    <t>南瓜椅子</t>
  </si>
  <si>
    <t>躲进去，仿佛遗忘了全世界。合成获得火烈鸟椅子</t>
  </si>
  <si>
    <t>火烈鸟椅子</t>
  </si>
  <si>
    <t>艺术家们的最爱。合成获得奶油饼干椅子</t>
  </si>
  <si>
    <t>奶油饼干椅子</t>
  </si>
  <si>
    <t>香甜而又可口，口水淌在了椅子上。合成获得夹心饼干椅子</t>
  </si>
  <si>
    <t>夹心饼干椅子</t>
  </si>
  <si>
    <t>不如进我的肚子里好好保管吧？合成获得自然绿藤长椅</t>
  </si>
  <si>
    <t>自然绿藤长椅</t>
  </si>
  <si>
    <t>绿色的藤条，自然的气息。合成获得粉花绿藤长椅</t>
  </si>
  <si>
    <t>粉花绿藤长椅</t>
  </si>
  <si>
    <t>一朵朵粉花，更是增添了别样的情趣。合成获得桂香躺椅</t>
  </si>
  <si>
    <t>桂香躺椅</t>
  </si>
  <si>
    <t>赏月观海、好不惬意。已合成至最高级。</t>
  </si>
  <si>
    <t>成人飞盘</t>
  </si>
  <si>
    <t>其实，好玩的不是运动本身。合成获得麻将</t>
  </si>
  <si>
    <t>麻将</t>
  </si>
  <si>
    <t>更好奇是怎么在关灯期间作弊的？合成获得积木</t>
  </si>
  <si>
    <t>积木</t>
  </si>
  <si>
    <t>倒下的人，要罚3杯酒哦！合成获得UNO</t>
  </si>
  <si>
    <t>UNO</t>
  </si>
  <si>
    <t>相比游戏，更有趣的是对方表情。合成获得大富翁</t>
  </si>
  <si>
    <t>大富翁</t>
  </si>
  <si>
    <t>全世界都是我的地！合成获得飞行棋</t>
  </si>
  <si>
    <t>飞行棋</t>
  </si>
  <si>
    <t>让我掷个6！合成获得撕名牌</t>
  </si>
  <si>
    <t>撕名牌</t>
  </si>
  <si>
    <t>极易毁灭朋友情谊。合成获得观测星空</t>
  </si>
  <si>
    <t>观测星空</t>
  </si>
  <si>
    <t>天气寒冷，但星空很美。合成获得看电影</t>
  </si>
  <si>
    <t>看电影</t>
  </si>
  <si>
    <t>看电影要的其实是一种氛围。合成获得剧本杀</t>
  </si>
  <si>
    <t>剧本杀</t>
  </si>
  <si>
    <t>我的身份是：阳光开朗大男孩。合成获得龙与地下城</t>
  </si>
  <si>
    <t>龙与地下城</t>
  </si>
  <si>
    <t>我是一位盗窃技艺高超的圣骑士。合成获得茶话会</t>
  </si>
  <si>
    <t>茶话会</t>
  </si>
  <si>
    <t>欸，上次约你看电影的男生没后续嘛？合成获得火锅聚餐</t>
  </si>
  <si>
    <t>火锅聚餐</t>
  </si>
  <si>
    <t>往往在熏蒸的热气之中，大家撕下平日的面具。已合成至最高级。</t>
  </si>
  <si>
    <t>木水桶</t>
  </si>
  <si>
    <t>满满一大桶水，可喝可洗。合成获得铁水桶</t>
  </si>
  <si>
    <t>铁水桶</t>
  </si>
  <si>
    <t>铁质水桶，不怕磕裂。合成获得卡通澡盆</t>
  </si>
  <si>
    <t>卡通澡盆</t>
  </si>
  <si>
    <t>洗刷刷，美好的一天~合成获得花瓣形澡盆</t>
  </si>
  <si>
    <t>花瓣形澡盆</t>
  </si>
  <si>
    <t>在澡盆里闹腾，就是快乐的童年！合成获得单层游泳馆</t>
  </si>
  <si>
    <t>单层游泳馆</t>
  </si>
  <si>
    <t>和朋友们约好了，要比赛水花大！合成获得双层游泳馆</t>
  </si>
  <si>
    <t>双层游泳馆</t>
  </si>
  <si>
    <t>总是很好奇，2层不会漏水嘛？合成获得精致游泳馆</t>
  </si>
  <si>
    <t>精致游泳馆</t>
  </si>
  <si>
    <t>最喜欢吃附近卖的冰淇淋了~合成获得高档游泳馆</t>
  </si>
  <si>
    <t>高档游泳馆</t>
  </si>
  <si>
    <t>顶层的露天泳池，是打卡圣地。合成获得贵宾游泳馆</t>
  </si>
  <si>
    <t>贵宾游泳馆</t>
  </si>
  <si>
    <t>预约人员，已经排到了半年后。合成获得豪华游泳馆</t>
  </si>
  <si>
    <t>豪华游泳馆</t>
  </si>
  <si>
    <t>在露天高层泳池，俯瞰城市的美景。已合成最高级</t>
  </si>
  <si>
    <t>木水桶[V]</t>
  </si>
  <si>
    <t>满满一大桶水，可喝可洗。合成获得铁水桶[V]</t>
  </si>
  <si>
    <t>铁水桶[V]</t>
  </si>
  <si>
    <t>铁质水桶，不怕磕裂。合成获得卡通澡盆[V]</t>
  </si>
  <si>
    <t>卡通澡盆[V]</t>
  </si>
  <si>
    <t>洗刷刷，美好的一天~合成获得花瓣形澡盆[V]</t>
  </si>
  <si>
    <t>花瓣形澡盆[V]</t>
  </si>
  <si>
    <t>在澡盆里闹腾，就是快乐的童年！合成获得单层游泳馆[V]</t>
  </si>
  <si>
    <t>单层游泳馆[V]</t>
  </si>
  <si>
    <t>和朋友们约好了，要比赛水花大！合成获得双层游泳馆[V]</t>
  </si>
  <si>
    <t>双层游泳馆[V]</t>
  </si>
  <si>
    <t>总是很好奇，2层不会漏水嘛？合成获得精致游泳馆[V]</t>
  </si>
  <si>
    <t>精致游泳馆[V]</t>
  </si>
  <si>
    <t>最喜欢吃附近卖的冰淇淋了~合成获得高档游泳馆[V]</t>
  </si>
  <si>
    <t>高档游泳馆[V]</t>
  </si>
  <si>
    <t>顶层的露天泳池，是打卡圣地。合成获得贵宾游泳馆[V]</t>
  </si>
  <si>
    <t>贵宾游泳馆[V]</t>
  </si>
  <si>
    <t>预约人员，已经排到了半年后。合成获得豪华游泳馆[V]</t>
  </si>
  <si>
    <t>豪华游泳馆[V]</t>
  </si>
  <si>
    <t>硅胶耳塞</t>
  </si>
  <si>
    <t>必备物品，预防耳道发炎。合成获得游泳吸氧管</t>
  </si>
  <si>
    <t>游泳吸氧管</t>
  </si>
  <si>
    <t>有了它，可以安心欣赏水下的风景，合成获得游泳束发带</t>
  </si>
  <si>
    <t>游泳束发带</t>
  </si>
  <si>
    <t>我是一只螃蟹，一只灵活的螃蟹。合成获得兔兔泳镜</t>
  </si>
  <si>
    <t>兔兔泳镜</t>
  </si>
  <si>
    <t>戴上后，仿佛长了2只角。合成获得哈基米泳帽</t>
  </si>
  <si>
    <t>哈基米泳帽</t>
  </si>
  <si>
    <t>小猫可以下海捕鱼啦~合成获得泳裤</t>
  </si>
  <si>
    <t>泳裤</t>
  </si>
  <si>
    <t>清爽、透气、舒适。合成获得沙滩裤</t>
  </si>
  <si>
    <t>沙滩裤</t>
  </si>
  <si>
    <t>穿上后仿佛置身于炎炎夏日下的沙滩。合成获得分体式泳衣</t>
  </si>
  <si>
    <t>分体式泳衣</t>
  </si>
  <si>
    <t>尽情凸显胴体美丽~合成获得连体式泳衣</t>
  </si>
  <si>
    <t>连体式泳衣</t>
  </si>
  <si>
    <t>粉色泳衣，仿佛海洋中的花朵。合成获得可爱潜水服</t>
  </si>
  <si>
    <t>可爱潜水服</t>
  </si>
  <si>
    <t>神秘的大海，我来啦~合成获得深海探险服</t>
  </si>
  <si>
    <t>深海探险服</t>
  </si>
  <si>
    <t>据说深海中，还保留着远古生物呢~合成获得兔兔潜水服</t>
  </si>
  <si>
    <t>兔兔潜水服</t>
  </si>
  <si>
    <t>可以在海中如履平地一般。合成获得未来潜水服</t>
  </si>
  <si>
    <t>未来潜水服</t>
  </si>
  <si>
    <t>是时候把海洋建设成第二家园了！已合成最高级</t>
  </si>
  <si>
    <t>泥土水坑</t>
  </si>
  <si>
    <t>下雨天出现的。合成获得浅草水坑</t>
  </si>
  <si>
    <t>浅草水坑</t>
  </si>
  <si>
    <t>经常下雨，周围都长出了草。合成获得山野水坑</t>
  </si>
  <si>
    <t>山野水坑</t>
  </si>
  <si>
    <t>山野中的长期水坑，动物偶尔饮水。合成获得荷花水坑</t>
  </si>
  <si>
    <t>荷花水坑</t>
  </si>
  <si>
    <t>鸟儿投下了种子，于是长出了植物。合成获得呱呱水坑</t>
  </si>
  <si>
    <t>呱呱水坑</t>
  </si>
  <si>
    <t>呱呱的冒险故事，由此伊始。合成获得充气泳池</t>
  </si>
  <si>
    <t>充气泳池</t>
  </si>
  <si>
    <t>即使在户外，也能快速搭建。合成获得兔兔泳池</t>
  </si>
  <si>
    <t>兔兔泳池</t>
  </si>
  <si>
    <t>泳池的形状好像兔头。合成获得双圆泳池</t>
  </si>
  <si>
    <t>双圆泳池</t>
  </si>
  <si>
    <t>圆润的造型很受人们喜欢。合成获得白瓷花瓣泳池</t>
  </si>
  <si>
    <t>白瓷花瓣泳池</t>
  </si>
  <si>
    <t>一个人独享的完美空间。合成获得卡哇伊泳池</t>
  </si>
  <si>
    <t>卡哇伊泳池</t>
  </si>
  <si>
    <t>仿佛回到了童年时代。合成获得双层卡哇伊泳池</t>
  </si>
  <si>
    <t>双层卡哇伊泳池</t>
  </si>
  <si>
    <t>小黄鸭与皮球，两大开心法宝。合成获得二月芳菲泳池</t>
  </si>
  <si>
    <t>二月芳菲泳池</t>
  </si>
  <si>
    <t>犹如古代的妃子，在此入浴。合成获得潭中星月泳池</t>
  </si>
  <si>
    <t>潭中星月泳池</t>
  </si>
  <si>
    <t>静谧的星与月，分不清天与水。已合成最高级</t>
  </si>
  <si>
    <t>沙滩躺椅</t>
  </si>
  <si>
    <t>晒晒太阳，度假就该享受~合成获得水上蹦床</t>
  </si>
  <si>
    <t>水上蹦床</t>
  </si>
  <si>
    <t>蹦蹦跳跳真好玩~合成获得水上自行车</t>
  </si>
  <si>
    <t>水上自行车</t>
  </si>
  <si>
    <t>骑呀骑，骑呀骑。合成获得海绵垫</t>
  </si>
  <si>
    <t>海绵垫</t>
  </si>
  <si>
    <t>安全保护不伤人。合成获得气垫船</t>
  </si>
  <si>
    <t>气垫船</t>
  </si>
  <si>
    <t>想在水上飙车！合成获得水上转圈</t>
  </si>
  <si>
    <t>水上转圈</t>
  </si>
  <si>
    <t>闯关挑战必备，运动神经不发达慎入。合成获得水上木鹅</t>
  </si>
  <si>
    <t>水上木鹅</t>
  </si>
  <si>
    <t>水上木马的亲戚，水上木鹅。合成获得鲸鱼喷泉</t>
  </si>
  <si>
    <t>鲸鱼喷泉</t>
  </si>
  <si>
    <t>造型别致的喷泉，带来丝丝凉意。合成获得水上滑梯</t>
  </si>
  <si>
    <t>水上滑梯</t>
  </si>
  <si>
    <t>在重力的作用下冲进水中！合成获得鸭鸭滑梯</t>
  </si>
  <si>
    <t>鸭鸭滑梯</t>
  </si>
  <si>
    <t>可爱的鸭鸭形象，更受孩子们喜欢。合成获得兔兔冲浪管道</t>
  </si>
  <si>
    <t>兔兔冲浪管道</t>
  </si>
  <si>
    <t>兔兔爱冲浪！可喜欢玩啦~合成获得海之国冲浪管道</t>
  </si>
  <si>
    <t>海之国冲浪管道</t>
  </si>
  <si>
    <t>这是夏日的最好记忆~合成获得海洋之心冲浪管道</t>
  </si>
  <si>
    <t>海洋之心冲浪管道</t>
  </si>
  <si>
    <t>多年以后，依然能回忆起这份快乐。已合成最高级</t>
  </si>
  <si>
    <t>勺子</t>
  </si>
  <si>
    <t>可以用来挖冰淇淋泥。可合成勺碗</t>
  </si>
  <si>
    <t>勺碗</t>
  </si>
  <si>
    <t>可以用来盛放冰淇凌泥。可合成冰淇淋柜</t>
  </si>
  <si>
    <t>冰淇淋柜</t>
  </si>
  <si>
    <t>孩子们最爱聚集，吃不完的冰淇淋~可合成高级冰淇淋柜</t>
  </si>
  <si>
    <t>高级冰淇淋柜</t>
  </si>
  <si>
    <t>多种口味，任意搭配，美味的甜点。可合成冰淇淋机</t>
  </si>
  <si>
    <t>冰淇淋机</t>
  </si>
  <si>
    <t>想学习那种打出一个雕花的技术。可合成冰淇淋小摊</t>
  </si>
  <si>
    <t>冰淇淋小摊</t>
  </si>
  <si>
    <t>常开在学校门口，放学时最热闹。可合成冰淇淋小摊车</t>
  </si>
  <si>
    <t>冰淇淋小摊车</t>
  </si>
  <si>
    <t>可移动，少不了和城管斗智斗勇。可合成冰淇淋三蹦子</t>
  </si>
  <si>
    <t>冰淇淋三蹦子</t>
  </si>
  <si>
    <t>精髓是大喇叭，传遍大街小巷。可合成冰淇淋小巴士</t>
  </si>
  <si>
    <t>冰淇淋小巴士</t>
  </si>
  <si>
    <t>在大夏天，仿佛沙漠中的水一般诱人。可合成冰淇淋小皮卡</t>
  </si>
  <si>
    <t>冰淇淋小皮卡</t>
  </si>
  <si>
    <t>好似梦中才会出现的车，是对童年的一个补完。已合成最高级</t>
  </si>
  <si>
    <t>勺子[V]</t>
  </si>
  <si>
    <t>可以用来挖冰淇淋泥。可合成勺碗[V]</t>
  </si>
  <si>
    <t>勺碗[V]</t>
  </si>
  <si>
    <t>餐厅中常见的自助取冰淇淋。可合成冰淇淋柜[V]</t>
  </si>
  <si>
    <t>冰淇淋柜[V]</t>
  </si>
  <si>
    <t>孩子们最爱聚集，吃不完的冰淇淋~可合成高级冰淇淋柜[V]</t>
  </si>
  <si>
    <t>高级冰淇淋柜[V]</t>
  </si>
  <si>
    <t>多种口味，任意搭配，美味的甜点。可合成冰淇淋机[V]</t>
  </si>
  <si>
    <t>冰淇淋机[V]</t>
  </si>
  <si>
    <t>想学习那种打出一个雕花的技术。可合成冰淇淋小摊[V]</t>
  </si>
  <si>
    <t>冰淇淋小摊[V]</t>
  </si>
  <si>
    <t>常开在学校门口，放学时最热闹。可合成冰淇淋小摊车[V]</t>
  </si>
  <si>
    <t>冰淇淋小摊车[V]</t>
  </si>
  <si>
    <t>可移动，少不了和城管斗智斗勇。可合成冰淇淋三蹦子[V]</t>
  </si>
  <si>
    <t>冰淇淋三蹦子[V]</t>
  </si>
  <si>
    <t>精髓是大喇叭，传遍大街小巷。可合成冰淇淋小巴士[V]</t>
  </si>
  <si>
    <t>冰淇淋小巴士[V]</t>
  </si>
  <si>
    <t>在大夏天，仿佛沙漠中的水一般诱人。可合成冰淇淋小皮卡[V]</t>
  </si>
  <si>
    <t>冰淇淋小皮卡[V]</t>
  </si>
  <si>
    <t>空玻璃杯</t>
  </si>
  <si>
    <t>除了可以敲击，好像没啥用。可合成柑橘汁</t>
  </si>
  <si>
    <t>柑橘汁</t>
  </si>
  <si>
    <t>除了果汁，也不要错过果肉呦。可合成青柠汁</t>
  </si>
  <si>
    <t>青柠汁</t>
  </si>
  <si>
    <t>酸酸的奇妙味道，或许少数人喜欢喝。可合成车厘子果汁</t>
  </si>
  <si>
    <t>车厘子果汁</t>
  </si>
  <si>
    <t>好不好喝不知道，价格一定很贵。可合成草莓汁</t>
  </si>
  <si>
    <t>草莓汁</t>
  </si>
  <si>
    <t>甘甜的草莓，颇受人们喜爱。可合成西瓜汁</t>
  </si>
  <si>
    <t>西瓜汁</t>
  </si>
  <si>
    <t>盛夏消暑必备的饮品。可合成蓝莓汁</t>
  </si>
  <si>
    <t>蓝莓汁</t>
  </si>
  <si>
    <t>又酸又甜，异常爽口，生津止渴。可合成葡萄汁</t>
  </si>
  <si>
    <t>葡萄汁</t>
  </si>
  <si>
    <t>就怕遇到酸葡萄，那一口喝下去，咦~~可合成菠萝汁</t>
  </si>
  <si>
    <t>菠萝汁</t>
  </si>
  <si>
    <t>爱喝菠萝汁，更爱吃菠萝肉。可合成四季鲜生果汁</t>
  </si>
  <si>
    <t>四季鲜生果汁</t>
  </si>
  <si>
    <t>使用多种水果制成，还加上了许多沙冰。可合成解暑沁凉果酒</t>
  </si>
  <si>
    <t>解暑沁凉果酒</t>
  </si>
  <si>
    <t>炎炎酷暑，来一杯吧。小孩子不能喝哦~可合成清凉一夏果浆</t>
  </si>
  <si>
    <t>清凉一夏果浆</t>
  </si>
  <si>
    <t>优质水果榨出的天然果浆，健康又美味。可合成蜜桃如春琼浆</t>
  </si>
  <si>
    <t>蜜桃如春琼浆</t>
  </si>
  <si>
    <t>喝的不是果汁，而是一种情调，一种生活态度。已合成最高级。</t>
  </si>
  <si>
    <t>粉色冰棍</t>
  </si>
  <si>
    <t>朴实无华，好吃得很！可合成彩虹糖冰棍</t>
  </si>
  <si>
    <t>彩虹糖冰棍</t>
  </si>
  <si>
    <t>很甜哦，忌口的不要吃。可合成三色冰棍</t>
  </si>
  <si>
    <t>三色冰棍</t>
  </si>
  <si>
    <t>三种口感，总想一口吞下。可合成巧克力脆皮冰棍</t>
  </si>
  <si>
    <t>巧克力脆皮冰棍</t>
  </si>
  <si>
    <t>最爱外面的脆皮，薄而不烂，入口甘美。可合成奶油雪糕</t>
  </si>
  <si>
    <t>奶油雪糕</t>
  </si>
  <si>
    <t>裹上一层奶油，是味蕾风暴。可合成西瓜冰棍</t>
  </si>
  <si>
    <t>西瓜冰棍</t>
  </si>
  <si>
    <t>瓜皮会是怎样的味道呢？可合成笨笨熊冰棍</t>
  </si>
  <si>
    <t>笨笨熊冰棍</t>
  </si>
  <si>
    <t>一口咬下去，有点硬，或许有人会喜欢。可合成榴莲冰棍</t>
  </si>
  <si>
    <t>榴莲冰棍</t>
  </si>
  <si>
    <t>富有营养的一种冰棍。可合成雪怪冰淇淋</t>
  </si>
  <si>
    <t>雪怪冰淇淋</t>
  </si>
  <si>
    <t>说是雪怪，更像是雪宝，孩子们吵着要买。可合成双生雪王冰淇淋</t>
  </si>
  <si>
    <t>双生雪王冰淇淋</t>
  </si>
  <si>
    <t>一个叫团团，一个叫暖暖。可合成三花冰淇淋</t>
  </si>
  <si>
    <t>三花冰淇淋</t>
  </si>
  <si>
    <t>其实是熊熊和喵喵在抢奶油吃。可合成缤纷果盘冰淇淋</t>
  </si>
  <si>
    <t>缤纷果盘冰淇淋</t>
  </si>
  <si>
    <t>多样水果汇聚其中，带来自然的甘美之味。可合成童年迷梦冰淇淋</t>
  </si>
  <si>
    <t>童年迷梦冰淇淋</t>
  </si>
  <si>
    <t>那如梦似幻的，美好的，不再回来的童年啊~已合成最高级</t>
  </si>
  <si>
    <t>树叶</t>
  </si>
  <si>
    <t>地上捡到的树叶，不指望有芭蕉扇的能力。可合成团扇</t>
  </si>
  <si>
    <t>团扇</t>
  </si>
  <si>
    <t>飘来一朵云，挡住了夏日的炎炎之光。可合成蒲扇</t>
  </si>
  <si>
    <t>蒲扇</t>
  </si>
  <si>
    <t>风很凉快，扇风却累。可合成折扇</t>
  </si>
  <si>
    <t>折扇</t>
  </si>
  <si>
    <t>相比实用性，更重要的是附庸风雅。可合成便携电风扇</t>
  </si>
  <si>
    <t>便携电风扇</t>
  </si>
  <si>
    <t>随身携带，随时使用。可合成立式电风扇</t>
  </si>
  <si>
    <t>立式电风扇</t>
  </si>
  <si>
    <t>伴随着风声和虫鸣，陷入好梦。可合成移动电风扇</t>
  </si>
  <si>
    <t>移动电风扇</t>
  </si>
  <si>
    <t>可以便捷地布置到场地各处。可合成冷饮机</t>
  </si>
  <si>
    <t>冷饮机</t>
  </si>
  <si>
    <t>西瓜汁和橙汁混合，会是什么颜色呢？可合成高级冷饮机</t>
  </si>
  <si>
    <t>高级冷饮机</t>
  </si>
  <si>
    <t>是孩子们心中的神器！可合成除湿机</t>
  </si>
  <si>
    <t>除湿机</t>
  </si>
  <si>
    <t>营造更美好的家庭环境。可合成制冰机</t>
  </si>
  <si>
    <t>制冰机</t>
  </si>
  <si>
    <t>冰块可是个好东西，保存冷饮、治疗发热...可合成冷气机</t>
  </si>
  <si>
    <t>冷气机</t>
  </si>
  <si>
    <t>这奇妙的玩意，让孩子们兴奋起来。可合成兔兔的玫瑰空调。</t>
  </si>
  <si>
    <t>兔兔的玫瑰空调</t>
  </si>
  <si>
    <t>不仅能制冷，还有光效、氛围灯。已合成最高级。</t>
  </si>
  <si>
    <t>升仙令</t>
  </si>
  <si>
    <t>“持此令者，可成我宗外门弟子”合成可得仙门牌匾</t>
  </si>
  <si>
    <t>仙门牌匾</t>
  </si>
  <si>
    <t>大道至简，牌匾也是如此。合成可得简易山门</t>
  </si>
  <si>
    <t>简易山门</t>
  </si>
  <si>
    <t>谁都想不到，这会是一个仙门的入口。合成可得普通山门</t>
  </si>
  <si>
    <t>普通山门</t>
  </si>
  <si>
    <t>毫不起眼，十分平凡。合成可得正式山门</t>
  </si>
  <si>
    <t>正式山门</t>
  </si>
  <si>
    <t>每年都会有很多孩子来这里测灵根。合成可得古朴山门</t>
  </si>
  <si>
    <t>古朴山门</t>
  </si>
  <si>
    <t>唯有通过考验，才能正式加入仙宗。合成可得典雅山门</t>
  </si>
  <si>
    <t>典雅山门</t>
  </si>
  <si>
    <t>居住在这里的上使，连皇帝都不敢得罪。合成可得古殿山门</t>
  </si>
  <si>
    <t>古殿山门</t>
  </si>
  <si>
    <t>大殿的装饰古意盎然又磅礴大气。合成可得跨界山门</t>
  </si>
  <si>
    <t>跨界山门</t>
  </si>
  <si>
    <t>穿过重重保护阵法，才能来到真正的入口。合成可得悬空山门</t>
  </si>
  <si>
    <t>悬空山门</t>
  </si>
  <si>
    <t>高居九天，象征着仙门的超然与尊贵。已合成最高级</t>
  </si>
  <si>
    <t>升仙令[V]</t>
  </si>
  <si>
    <t>“持此令者，可成我宗外门弟子”合成可得仙门牌匾[V]</t>
  </si>
  <si>
    <t>仙门牌匾[V]</t>
  </si>
  <si>
    <t>大道至简，牌匾也是如此。合成可得简易山门[V]</t>
  </si>
  <si>
    <t>简易山门[V]</t>
  </si>
  <si>
    <t>谁都想不到，这会是一个仙门的入口。合成可得普通山门[V]</t>
  </si>
  <si>
    <t>普通山门[V]</t>
  </si>
  <si>
    <t>毫不起眼，十分平凡。合成可得正式山门[V]</t>
  </si>
  <si>
    <t>正式山门[V]</t>
  </si>
  <si>
    <t>每年都会有很多孩子来这里测灵根。合成可得古朴山门[V]</t>
  </si>
  <si>
    <t>古朴山门[V]</t>
  </si>
  <si>
    <t>唯有通过考验，才能正式加入仙宗。合成可得典雅山门[V]</t>
  </si>
  <si>
    <t>典雅山门[V]</t>
  </si>
  <si>
    <t>居住在这里的上使，连皇帝都不敢得罪。合成可得古殿山门[V]</t>
  </si>
  <si>
    <t>古殿山门[V]</t>
  </si>
  <si>
    <t>大殿的装饰古意盎然又磅礴大气。合成可得跨界山门[V]</t>
  </si>
  <si>
    <t>跨界山门[V]</t>
  </si>
  <si>
    <t>穿过重重保护阵法，才能来到真正的入口。合成可得悬空山门[V]</t>
  </si>
  <si>
    <t>悬空山门[V]</t>
  </si>
  <si>
    <t>丹药瓶</t>
  </si>
  <si>
    <t>能够减缓丹药的药力流失速度，长久储存。合成可得如意镯</t>
  </si>
  <si>
    <t>如意镯</t>
  </si>
  <si>
    <t>可大可小，伸缩自如，降妖居家好法器。合成可得长明灯</t>
  </si>
  <si>
    <t>长明灯</t>
  </si>
  <si>
    <t>紫焰燃世间，光芒亘古明。合成可得阴阳鉴</t>
  </si>
  <si>
    <t>阴阳鉴</t>
  </si>
  <si>
    <t>明辨阴阳，窥探天机。合成可得千变假面</t>
  </si>
  <si>
    <t>千变假面</t>
  </si>
  <si>
    <t>猜猜看，这副皮囊下，到底是谁呢~合成可得琉璃盏</t>
  </si>
  <si>
    <t>琉璃盏</t>
  </si>
  <si>
    <t>小小一盏，内含无量之水，可倾天覆地。合成可得芭蕉扇</t>
  </si>
  <si>
    <t>芭蕉扇</t>
  </si>
  <si>
    <t>风属性神器，最易克制火属性法宝。合成可得青冥伞</t>
  </si>
  <si>
    <t>青冥伞</t>
  </si>
  <si>
    <t>自青冥而来，能引导神秘莫测之力。合成可得天地棋盘</t>
  </si>
  <si>
    <t>天地棋盘</t>
  </si>
  <si>
    <t>以天地为棋盘，以众生为棋子。合成可得莲花座</t>
  </si>
  <si>
    <t>莲花座</t>
  </si>
  <si>
    <t>一刻千里，衍化妙法，绝佳的综合性坐骑。合成可得伏羲琴</t>
  </si>
  <si>
    <t>伏羲琴</t>
  </si>
  <si>
    <t>雷音阵阵，破魔驱邪，人皇神器！合成可得老君炉</t>
  </si>
  <si>
    <t>老君炉</t>
  </si>
  <si>
    <t>镇界神器之一，提升丹药品质和数量！合成可得七香车</t>
  </si>
  <si>
    <t>七香车</t>
  </si>
  <si>
    <t>镇界神器之一，趋吉避凶，探宝寻秘。已合成至最高级</t>
  </si>
  <si>
    <t>益气丹</t>
  </si>
  <si>
    <t>调理气血，让凡人长命百岁。合成可得培元丹</t>
  </si>
  <si>
    <t>培元丹</t>
  </si>
  <si>
    <t>固本培元，提高修士修炼速度。合成可得通脉丹</t>
  </si>
  <si>
    <t>通脉丹</t>
  </si>
  <si>
    <t>帮助修士打通经脉，提纯资质。合成可得解毒丹</t>
  </si>
  <si>
    <t>解毒丹</t>
  </si>
  <si>
    <t>可解瘴气、毒雾，游历必备。合成可得月华筑基丹</t>
  </si>
  <si>
    <t>月华筑基丹</t>
  </si>
  <si>
    <t>内含月华之力，帮助修士铸就道基。合成可得冰心丹</t>
  </si>
  <si>
    <t>冰心丹</t>
  </si>
  <si>
    <t>让神识保持冷静，不被幻境迷惑。合成可得紫雷淬体丹</t>
  </si>
  <si>
    <t>紫雷淬体丹</t>
  </si>
  <si>
    <t>借助雷霆之力，淬炼肉体，过程痛苦。合成可得九转金丹</t>
  </si>
  <si>
    <t>九转金丹</t>
  </si>
  <si>
    <t>突破结丹时服用，可结上品金丹。合成可得涅槃丹。</t>
  </si>
  <si>
    <t>涅槃丹</t>
  </si>
  <si>
    <t>濒死之时服下，可重获新生，境界突破！合成可得玉颜冰肌丹</t>
  </si>
  <si>
    <t>玉颜冰肌丹</t>
  </si>
  <si>
    <t>容颜常驻，岁月无忧。合成可得金身不灭丹</t>
  </si>
  <si>
    <t>金身不灭丹</t>
  </si>
  <si>
    <t>至刚至阳之力，铸造不灭金身。合成可得天元悟道丹</t>
  </si>
  <si>
    <t>天元悟道丹</t>
  </si>
  <si>
    <t>一念沧海生，一念山峦起。合成可得三花化神丹。</t>
  </si>
  <si>
    <t>三花化神丹</t>
  </si>
  <si>
    <t>精、气、神完备无缺，可化神矣。已合成至最高级。</t>
  </si>
  <si>
    <t>冰心蚕</t>
  </si>
  <si>
    <t>宗门大量养殖的灵兽，它的丝可制作软甲，合成可得魅心蝶</t>
  </si>
  <si>
    <t>魅心蝶</t>
  </si>
  <si>
    <t>它的粉尘，是制作迷幻药的必需品。合成可得鼹鼠工</t>
  </si>
  <si>
    <t>鼹鼠工</t>
  </si>
  <si>
    <t>受仙门控制，修建各类城池关隘。合成可得猫乐师</t>
  </si>
  <si>
    <t>猫乐师</t>
  </si>
  <si>
    <t>娱乐场所最常雇佣的灵兽，会弹琴，颇受人喜爱。合成可得兔仆</t>
  </si>
  <si>
    <t>兔仆</t>
  </si>
  <si>
    <t>名门正派最喜欢的仆人丫鬟。合成可得黄金蟹</t>
  </si>
  <si>
    <t>黄金蟹</t>
  </si>
  <si>
    <t>它的钳子是制作金属性法器的上佳材料。合成可得老龟</t>
  </si>
  <si>
    <t>老龟</t>
  </si>
  <si>
    <t>老龟老龟，上知天文，下知地理。合成可得水母仙</t>
  </si>
  <si>
    <t>水母仙</t>
  </si>
  <si>
    <t>虽名仙，实则为妖。靠着美肤法术被女修追捧。合成可得白药猴</t>
  </si>
  <si>
    <t>白药猴</t>
  </si>
  <si>
    <t>宗门丹堂里的杂役，能识百草，打理灵田。合成可得青鸾</t>
  </si>
  <si>
    <t>青鸾</t>
  </si>
  <si>
    <t>修仙界梦寐以求的神兽，高飞九天一日千里。合成可得百宝呱</t>
  </si>
  <si>
    <t>百宝呱</t>
  </si>
  <si>
    <t>修仙界梦寐以求的神兽，能探查周围的宝物踪迹。合成可得小穷奇</t>
  </si>
  <si>
    <t>小穷奇</t>
  </si>
  <si>
    <t>远古神兽，镇宗之宝。成年体可毁天灭地。合成可得九尾狐</t>
  </si>
  <si>
    <t>九尾狐</t>
  </si>
  <si>
    <t>远古神兽，九尾九命，它的出世往往是天地大兆。已合成最高级</t>
  </si>
  <si>
    <t>宣传海报</t>
  </si>
  <si>
    <t>快来加入学生会，为大家服务吧~合成获得宣传路牌</t>
  </si>
  <si>
    <t>宣传路牌</t>
  </si>
  <si>
    <t>学生会在此、社团在那、教学楼在这~合成获得活动路牌</t>
  </si>
  <si>
    <t>活动路牌</t>
  </si>
  <si>
    <t>学校地图一眼知~合成获得折叠海报架</t>
  </si>
  <si>
    <t>折叠海报架</t>
  </si>
  <si>
    <t>漂亮学姐、帅气学长、等你来共事~合成获得招新小桌</t>
  </si>
  <si>
    <t>招新小桌</t>
  </si>
  <si>
    <t>每一位新生都受到学姐学长的嘘寒问暖。合成获得招新柜台</t>
  </si>
  <si>
    <t>招新柜台</t>
  </si>
  <si>
    <t>桌上放着一叠又一叠的调查问卷。合成获得招新大柜台</t>
  </si>
  <si>
    <t>招新大柜台</t>
  </si>
  <si>
    <t>填了问卷后，还有周边相赠哦~合成获得招新遮阳台</t>
  </si>
  <si>
    <t>招新遮阳台</t>
  </si>
  <si>
    <t>炎炎夏日里，能安心在里面休息。合成获得招新挡雨台</t>
  </si>
  <si>
    <t>招新挡雨台</t>
  </si>
  <si>
    <t>雨是挡住了，可哪还会有新生来。合成获得招新宣传亭</t>
  </si>
  <si>
    <t>招新宣传亭</t>
  </si>
  <si>
    <t>由最有财力的社团推出，里面摆满了有趣玩意。已合成最高级</t>
  </si>
  <si>
    <t>宣传海报[V]</t>
  </si>
  <si>
    <t>快来加入学生会，为大家服务吧~合成获得宣传路牌[V]</t>
  </si>
  <si>
    <t>宣传路牌[V]</t>
  </si>
  <si>
    <t>学生会在此、社团在那、教学楼在这~合成获得活动路牌[V]</t>
  </si>
  <si>
    <t>活动路牌[V]</t>
  </si>
  <si>
    <t>学校地图一眼知~合成获得折叠海报架[V]</t>
  </si>
  <si>
    <t>折叠海报架[V]</t>
  </si>
  <si>
    <t>漂亮学姐、帅气学长、等你来共事~合成获得招新小桌[V]</t>
  </si>
  <si>
    <t>招新小桌[V]</t>
  </si>
  <si>
    <t>每一位新生都受到学姐学长的嘘寒问暖。合成获得招新柜台[V]</t>
  </si>
  <si>
    <t>招新柜台[V]</t>
  </si>
  <si>
    <t>桌上放着一叠又一叠的调查问卷。合成获得招新大柜台[V]</t>
  </si>
  <si>
    <t>招新大柜台[V]</t>
  </si>
  <si>
    <t>填了问卷后，还有周边相赠哦~合成获得招新遮阳台[V]</t>
  </si>
  <si>
    <t>招新遮阳台[V]</t>
  </si>
  <si>
    <t>炎炎夏日里，能安心在里面休息。合成获得招新挡雨台[V]</t>
  </si>
  <si>
    <t>招新挡雨台[V]</t>
  </si>
  <si>
    <t>雨是挡住了，可哪还会有新生来。合成获得招新宣传亭[V]</t>
  </si>
  <si>
    <t>招新宣传亭[V]</t>
  </si>
  <si>
    <t>铅笔</t>
  </si>
  <si>
    <t>基础的工具，创造美丽的风景。合成获得自动铅笔</t>
  </si>
  <si>
    <t>自动铅笔</t>
  </si>
  <si>
    <t>最怕的就是那一声咔哒声。合成获得呱呱橡皮</t>
  </si>
  <si>
    <t>呱呱橡皮</t>
  </si>
  <si>
    <t>呱呱橡皮，擦的时候还会呱呱叫~合成获得剪刀</t>
  </si>
  <si>
    <t>剪刀</t>
  </si>
  <si>
    <t>裁剪纸张，抒发心中的创意。合成获得直尺</t>
  </si>
  <si>
    <t>直尺</t>
  </si>
  <si>
    <t>衡量长度，帮助做题。合成获得量角工具</t>
  </si>
  <si>
    <t>量角工具</t>
  </si>
  <si>
    <t>又到了计算三角形难题的时候了。合成获得圆规</t>
  </si>
  <si>
    <t>圆规</t>
  </si>
  <si>
    <t>要是笔芯断了，就难办了。合成获得笔记本</t>
  </si>
  <si>
    <t>笔记本</t>
  </si>
  <si>
    <t>浅浅的本子里，藏着厚厚的心事。合成获得订书机</t>
  </si>
  <si>
    <t>订书机</t>
  </si>
  <si>
    <t>订书机的乐趣超越了订书本身。合成获得文具盒</t>
  </si>
  <si>
    <t>文具盒</t>
  </si>
  <si>
    <t>可不能不比学习比文具哦。合成获得计算器</t>
  </si>
  <si>
    <t>计算器</t>
  </si>
  <si>
    <t>虽然有了它，但是考试不能用。合成获得书包</t>
  </si>
  <si>
    <t>书包</t>
  </si>
  <si>
    <t>一个好看的书包，会成为班里的风云人物。合成获得小黑板</t>
  </si>
  <si>
    <t>小黑板</t>
  </si>
  <si>
    <t>有时，黑板也能成为涂鸦绘画的地方。已合成最高级</t>
  </si>
  <si>
    <t>萝卜刀</t>
  </si>
  <si>
    <t>很安全的玩具，颇受孩子喜欢。合成获得随身听</t>
  </si>
  <si>
    <t>随身听</t>
  </si>
  <si>
    <t>学校里少数允许携带的电子设备。合成获得手工彩泥</t>
  </si>
  <si>
    <t>手工彩泥</t>
  </si>
  <si>
    <t>看我捏出一个小怪兽！合成获得黑白漫画书</t>
  </si>
  <si>
    <t>黑白漫画书</t>
  </si>
  <si>
    <t>精致的线条，表达浓烈的情感。合成获得玩具万花筒</t>
  </si>
  <si>
    <t>玩具万花筒</t>
  </si>
  <si>
    <t>一眼看到绚烂缤纷的世界。合成获得溜溜球</t>
  </si>
  <si>
    <t>溜溜球</t>
  </si>
  <si>
    <t>孩子们坚信，里面蕴藏着神兽。合成获得抽陀螺</t>
  </si>
  <si>
    <t>抽陀螺</t>
  </si>
  <si>
    <t>这是一项群体性的玩具哦~合成获得捕虫网</t>
  </si>
  <si>
    <t>捕虫网</t>
  </si>
  <si>
    <t>不要过度捕捞，要保护大自然哦~合成获得魔方</t>
  </si>
  <si>
    <t>魔方</t>
  </si>
  <si>
    <t>可以锻炼智力的小玩具。合成获得太空弹珠机</t>
  </si>
  <si>
    <t>太空弹珠机</t>
  </si>
  <si>
    <t>我是要成为太空海贼王的人！合成获得数字迷宫</t>
  </si>
  <si>
    <t>数字迷宫</t>
  </si>
  <si>
    <t>考验智力，别有一番趣味。合成获得做陶器</t>
  </si>
  <si>
    <t>做陶器</t>
  </si>
  <si>
    <t>轻松、悠闲、自在的创造。合成获得卡牌对决</t>
  </si>
  <si>
    <t>卡牌对决</t>
  </si>
  <si>
    <t>这大概是孩子们最火的游戏之一啦~已合成最高级</t>
  </si>
  <si>
    <t>睡眠社</t>
  </si>
  <si>
    <t>社团活动，就是比谁入睡快！睡得好！合成获得占卜社</t>
  </si>
  <si>
    <t>占卜社</t>
  </si>
  <si>
    <t>水晶水晶快显灵~~~合成获得催眠社</t>
  </si>
  <si>
    <t>催眠社</t>
  </si>
  <si>
    <t>请看着手表，慢慢放轻松。合成获得魔药社</t>
  </si>
  <si>
    <t>魔药社</t>
  </si>
  <si>
    <t>虽然按照古方炼出了很多，但无人敢喝。合成获得巫师社</t>
  </si>
  <si>
    <t>巫师社</t>
  </si>
  <si>
    <t>一半是角色扮演，一半是真想当巫师。合成获得特摄社</t>
  </si>
  <si>
    <t>特摄社</t>
  </si>
  <si>
    <t>总是穿着奇怪腰带，摆着奇怪Pose。合成获得纸飞机社</t>
  </si>
  <si>
    <t>纸飞机社</t>
  </si>
  <si>
    <t>大到能站人的纸飞机，这就是他们的追求。合成获得侦探社</t>
  </si>
  <si>
    <t>侦探社</t>
  </si>
  <si>
    <t>一大半人都是某部侦探动画的粉丝。合成获得电玩社</t>
  </si>
  <si>
    <t>电玩社</t>
  </si>
  <si>
    <t>大概是成员最多的几个社团之一了。合成获得兵击社</t>
  </si>
  <si>
    <t>兵击社</t>
  </si>
  <si>
    <t>勇敢的心与坚强的体魄，才能参与。合成获得UFO社</t>
  </si>
  <si>
    <t>UFO社</t>
  </si>
  <si>
    <t>据说有各种途径获得的UFO照片。合成获得发明创造社</t>
  </si>
  <si>
    <t>发明创造社</t>
  </si>
  <si>
    <t>总是能捣鼓出异想天开的玩意儿。合成获得异常研究社</t>
  </si>
  <si>
    <t>异常研究社</t>
  </si>
  <si>
    <t>跟UFO社是友社关系，研究异常现象。已合成最高级</t>
  </si>
  <si>
    <t>施工牌</t>
  </si>
  <si>
    <t>地已买下，等待施工。合成获得伐木中</t>
  </si>
  <si>
    <t>伐木中</t>
  </si>
  <si>
    <t>万丈高楼平地起~合成获得木框架</t>
  </si>
  <si>
    <t>木框架</t>
  </si>
  <si>
    <t>还是雏形，看不出要造什么东西。合成获得小木屋</t>
  </si>
  <si>
    <t>小木屋</t>
  </si>
  <si>
    <t>平平无奇的小屋，可以住人。合成获得便利店</t>
  </si>
  <si>
    <t>便利店</t>
  </si>
  <si>
    <t>冷饮、烤肠、零食、便当，应有尽有。合成获得拉面店</t>
  </si>
  <si>
    <t>拉面店</t>
  </si>
  <si>
    <t>“老板，来一碗豚骨拉面。”合成获得豪华五星级酒店</t>
  </si>
  <si>
    <t>豪华五星级酒店</t>
  </si>
  <si>
    <t>还得是咱家的酒店住的习惯~合成获得游乐园</t>
  </si>
  <si>
    <t>游乐园</t>
  </si>
  <si>
    <t>可以实现霸总文中的包场桥段。合成获得环球影城</t>
  </si>
  <si>
    <t>环球影城</t>
  </si>
  <si>
    <t>如同来到了一个个异世界般~合成获得私人度假岛屿</t>
  </si>
  <si>
    <t>私人度假岛屿</t>
  </si>
  <si>
    <t>阳光、沙滩、海浪，没有老船长~已合成最高级</t>
  </si>
  <si>
    <t>施工牌[V]</t>
  </si>
  <si>
    <t>地已买下，等待施工。合成获得伐木中[V]</t>
  </si>
  <si>
    <t>伐木中[V]</t>
  </si>
  <si>
    <t>万丈高楼平地起~合成获得木框架[V]</t>
  </si>
  <si>
    <t>木框架[V]</t>
  </si>
  <si>
    <t>还是雏形，看不出要造什么东西。合成获得小木屋[V]</t>
  </si>
  <si>
    <t>小木屋[V]</t>
  </si>
  <si>
    <t>平平无奇的小屋，可以住人。合成获得便利店[V]</t>
  </si>
  <si>
    <t>便利店[V]</t>
  </si>
  <si>
    <t>冷饮、烤肠、零食、便当，应有尽有。合成获得拉面店[V]</t>
  </si>
  <si>
    <t>拉面店[V]</t>
  </si>
  <si>
    <t>“老板，来一碗豚骨拉面。”合成获得豪华五星级酒店[V]</t>
  </si>
  <si>
    <t>豪华五星级酒店[V]</t>
  </si>
  <si>
    <t>还得是咱家的酒店住的习惯~合成获得游乐园[V]</t>
  </si>
  <si>
    <t>游乐园[V]</t>
  </si>
  <si>
    <t>可以实现霸总文中的包场桥段。合成获得环球影城[V]</t>
  </si>
  <si>
    <t>环球影城[V]</t>
  </si>
  <si>
    <t>如同来到了一个个异世界般~合成获得私人度假岛屿[V]</t>
  </si>
  <si>
    <t>私人度假岛屿[V]</t>
  </si>
  <si>
    <t>布艺软拖</t>
  </si>
  <si>
    <t>软软的，还很香。合成获得花花凉拖</t>
  </si>
  <si>
    <t>花花凉拖</t>
  </si>
  <si>
    <t>红色小花，深受女孩子欢迎。合成获得休闲凉鞋</t>
  </si>
  <si>
    <t>休闲凉鞋</t>
  </si>
  <si>
    <t>既简单，又美观的鞋子。合成获得软皮凉拖</t>
  </si>
  <si>
    <t>软皮凉拖</t>
  </si>
  <si>
    <t>穿上去异常舒适、清凉。合成获得白领便鞋</t>
  </si>
  <si>
    <t>白领便鞋</t>
  </si>
  <si>
    <t>这是一双需要在别人面前秀的鞋子。合成获得蝴蝶结单鞋</t>
  </si>
  <si>
    <t>蝴蝶结单鞋</t>
  </si>
  <si>
    <t>内敛中蕴含着典雅的鞋子。合成获得真皮乐福鞋</t>
  </si>
  <si>
    <t>真皮乐福鞋</t>
  </si>
  <si>
    <t>少女搭配制服的绝佳配鞋！合成获得高档单鞋</t>
  </si>
  <si>
    <t>高档单鞋</t>
  </si>
  <si>
    <t>黑色蕴含着端庄与高贵。合成获得斜杠高跟</t>
  </si>
  <si>
    <t>斜杠高跟</t>
  </si>
  <si>
    <t>粉色高跟鞋，更显珠光宝气~合成获得满天星高跟</t>
  </si>
  <si>
    <t>满天星高跟</t>
  </si>
  <si>
    <t>红黑相间，彰显性感与气质~合成获得粗花呢高跟</t>
  </si>
  <si>
    <t>粗花呢高跟</t>
  </si>
  <si>
    <t>颇有艺术气息的一双鞋子。合成获得方扣高跟鞋</t>
  </si>
  <si>
    <t>方扣高跟鞋</t>
  </si>
  <si>
    <t>造型独特，提现主人的修养品味。合成获得水晶高跟鞋</t>
  </si>
  <si>
    <t>水晶高跟鞋</t>
  </si>
  <si>
    <t>穿上之后，仿佛是童话里的公主~已合成最高级</t>
  </si>
  <si>
    <t>奢侈品发夹</t>
  </si>
  <si>
    <t>看上去很精致，质感细腻。合成获得奢侈品唇膏</t>
  </si>
  <si>
    <t>奢侈品唇膏</t>
  </si>
  <si>
    <t>用惯了，觉得好用，但没比较过。合成获得奢侈品香水</t>
  </si>
  <si>
    <t>奢侈品香水</t>
  </si>
  <si>
    <t>香气绵亘悠长，自然怡人。合成获得奢侈品香氛</t>
  </si>
  <si>
    <t>奢侈品香氛</t>
  </si>
  <si>
    <t>惯用的除臭剂，顺手就喷。合成获得奢侈品箱包</t>
  </si>
  <si>
    <t>奢侈品箱包</t>
  </si>
  <si>
    <t>有一柜子，每天换个样式背。合成获得奢侈品项链</t>
  </si>
  <si>
    <t>奢侈品项链</t>
  </si>
  <si>
    <t>心情不好的时候，会一天换3根。合成获得奢侈品耳环</t>
  </si>
  <si>
    <t>奢侈品耳环</t>
  </si>
  <si>
    <t>据说其上的绿宝石很珍贵，谁care？合成获得奢侈品钻戒</t>
  </si>
  <si>
    <t>奢侈品钻戒</t>
  </si>
  <si>
    <t>在我的强烈要求下，打造成兔兔的形状。合成获得奢侈品眼镜</t>
  </si>
  <si>
    <t>奢侈品眼镜</t>
  </si>
  <si>
    <t>每当郁闷时，就会戴这副眼睛开车兜风。合成获得金枝玉叶胸针</t>
  </si>
  <si>
    <t>金枝玉叶胸针</t>
  </si>
  <si>
    <t>出席盛装场合会戴，但我本人并不喜欢。合成获得浪漫寰宇手表</t>
  </si>
  <si>
    <t>浪漫寰宇手表</t>
  </si>
  <si>
    <t>款式上并不出色，但却打磨的足够细腻精致。合成获得森林之心吊坠</t>
  </si>
  <si>
    <t>森林之心吊坠</t>
  </si>
  <si>
    <t>仿佛蕴藏着一整个森林的力量。合成获得潮流之夜高定时装</t>
  </si>
  <si>
    <t>潮流之夜高定时装</t>
  </si>
  <si>
    <t>上次参加时装周时，定做的衣服，全场瞩目~已合成最高级。</t>
  </si>
  <si>
    <t>宴会邀请函</t>
  </si>
  <si>
    <t>“诚邀您参加私密高档宴会活动”。合成获得冰透纯欲美甲</t>
  </si>
  <si>
    <t>冰透纯欲美甲</t>
  </si>
  <si>
    <t>无聊了就去做最贵的美甲。合成获得茶艺</t>
  </si>
  <si>
    <t>茶艺</t>
  </si>
  <si>
    <t>学是不认真学的，糊弄是会糊弄的。合成获得插花</t>
  </si>
  <si>
    <t>插花</t>
  </si>
  <si>
    <t>插花课，又是补觉的时候啦~合成获得购物</t>
  </si>
  <si>
    <t>购物</t>
  </si>
  <si>
    <t>除了这两个不要，其他我都要了。合成获得泡泡浴</t>
  </si>
  <si>
    <t>泡泡浴</t>
  </si>
  <si>
    <t>一边泡澡，一边刷剧，真惬意呀~合成获得上流舞会</t>
  </si>
  <si>
    <t>上流舞会</t>
  </si>
  <si>
    <t>兴致来了，会去舞会跳段舞，然后拉黑新加的人。合成获得音乐会</t>
  </si>
  <si>
    <t>音乐会</t>
  </si>
  <si>
    <t>音乐会期间的睡眠质量，明显比平时高。合成获得艺术藏品</t>
  </si>
  <si>
    <t>艺术藏品</t>
  </si>
  <si>
    <t>不懂艺术，只是喜欢拍卖喊价的刺激感。合成获得巨型浪漫花束</t>
  </si>
  <si>
    <t>巨型浪漫花束</t>
  </si>
  <si>
    <t>这是少有的，让我觉得有趣的事了。合成获得姐妹下午茶</t>
  </si>
  <si>
    <t>姐妹下午茶</t>
  </si>
  <si>
    <t>同圈子里的姐妹，热聊全球的新鲜事。合成获得海滩度假</t>
  </si>
  <si>
    <t>海滩度假</t>
  </si>
  <si>
    <t>累了，就打个飞的去度假！合成获得时装周红毯</t>
  </si>
  <si>
    <t>时装周红毯</t>
  </si>
  <si>
    <t>在时装周上，我就是最引人瞩目的星星！已合成最高级。</t>
  </si>
  <si>
    <t>南瓜种子</t>
  </si>
  <si>
    <t>今天种下种子，明天收获果实。合成获得成熟南瓜</t>
  </si>
  <si>
    <t>成熟南瓜</t>
  </si>
  <si>
    <t>一个成熟的南瓜，能吃也能做工艺品。合成获得南瓜灯</t>
  </si>
  <si>
    <t>南瓜灯</t>
  </si>
  <si>
    <t>极具圣诞氛围的南瓜灯。合成获得复式南瓜灯</t>
  </si>
  <si>
    <t>复式南瓜灯</t>
  </si>
  <si>
    <t>表情不一的两个南瓜，气氛诡异。合成获得南瓜与鬼魂</t>
  </si>
  <si>
    <t>南瓜与鬼魂</t>
  </si>
  <si>
    <t>经过旁边，会觉得有股冷风。合成获得恶魔南瓜</t>
  </si>
  <si>
    <t>恶魔南瓜</t>
  </si>
  <si>
    <t>密室装修的绝佳灯具。合成获得南瓜巫师</t>
  </si>
  <si>
    <t>南瓜巫师</t>
  </si>
  <si>
    <t>据说摘掉南瓜头套后，里面是空的。合成获得南瓜与黑猫</t>
  </si>
  <si>
    <t>南瓜与黑猫</t>
  </si>
  <si>
    <t>黑猫与南瓜，是万圣节的绝配。合成获得南瓜八音盒</t>
  </si>
  <si>
    <t>南瓜八音盒</t>
  </si>
  <si>
    <t>传来了一段悲伤、诡谲的音乐...合成获得南瓜马车</t>
  </si>
  <si>
    <t>南瓜马车</t>
  </si>
  <si>
    <t>今夜，是鬼怪们的主场~已合成至最高级</t>
  </si>
  <si>
    <t>南瓜种子[V]</t>
  </si>
  <si>
    <t>今天种下种子，明天收获果实。合成获得成熟南瓜[V]</t>
  </si>
  <si>
    <t>成熟南瓜[V]</t>
  </si>
  <si>
    <t>一个成熟的南瓜，能吃也能做工艺品。合成获得南瓜灯[V]</t>
  </si>
  <si>
    <t>南瓜灯[V]</t>
  </si>
  <si>
    <t>极具圣诞氛围的南瓜灯。合成获得复式南瓜灯[V]</t>
  </si>
  <si>
    <t>复式南瓜灯[V]</t>
  </si>
  <si>
    <t>表情不一的两个南瓜，气氛诡异。合成获得南瓜与鬼魂[V]</t>
  </si>
  <si>
    <t>南瓜与鬼魂[V]</t>
  </si>
  <si>
    <t>经过旁边，会觉得有股冷风。合成获得恶魔南瓜[V]</t>
  </si>
  <si>
    <t>恶魔南瓜[V]</t>
  </si>
  <si>
    <t>密室装修的绝佳灯具。合成获得南瓜巫师[V]</t>
  </si>
  <si>
    <t>南瓜巫师[V]</t>
  </si>
  <si>
    <t>据说摘掉南瓜头套后，里面是空的。合成获得南瓜与黑猫[V]</t>
  </si>
  <si>
    <t>南瓜与黑猫[V]</t>
  </si>
  <si>
    <t>黑猫与南瓜，是万圣节的绝配。合成获得南瓜八音盒[V]</t>
  </si>
  <si>
    <t>南瓜八音盒[V]</t>
  </si>
  <si>
    <t>传来了一段悲伤、诡谲的音乐...合成获得南瓜马车[V]</t>
  </si>
  <si>
    <t>南瓜马车[V]</t>
  </si>
  <si>
    <t>今夜，是鬼怪们的狂欢节~已合成至最高级</t>
  </si>
  <si>
    <t>骷髅蜡烛</t>
  </si>
  <si>
    <t>紫色的火焰渲染出阴森的气氛。合成获得鬼脸气球</t>
  </si>
  <si>
    <t>鬼脸气球</t>
  </si>
  <si>
    <t>表情浮夸，似乎被鬼魂附着了。合成获得南瓜草人</t>
  </si>
  <si>
    <t>南瓜草人</t>
  </si>
  <si>
    <t>专门用来吓人的东西，极具恐怖谷效应。合成获得阴森路牌</t>
  </si>
  <si>
    <t>阴森路牌</t>
  </si>
  <si>
    <t>似乎是个古老的几百年前的地名。合成获得幽灵相片</t>
  </si>
  <si>
    <t>幽灵相片</t>
  </si>
  <si>
    <t>一张空白的相片，里面似乎有东西，合成获得诡异挂画</t>
  </si>
  <si>
    <t>诡异挂画</t>
  </si>
  <si>
    <t>画里的人趁我不注意在偷看我？合成获得活的铠甲？</t>
  </si>
  <si>
    <t>活的铠甲？</t>
  </si>
  <si>
    <t>这铠甲之前是在这个角落吗？合成获得幽灵沙发</t>
  </si>
  <si>
    <t>幽灵沙发</t>
  </si>
  <si>
    <t>心中的灵感告诉自己不要躺。合成获得诡异枯树</t>
  </si>
  <si>
    <t>诡异枯树</t>
  </si>
  <si>
    <t>没有外力作用，在自己晃荡的秋千。合成获得古怪汤锅</t>
  </si>
  <si>
    <t>古怪汤锅</t>
  </si>
  <si>
    <t>锅中泛起了诡异的眨动的眼珠。合成获得黑魔法仪式桌</t>
  </si>
  <si>
    <t>黑魔法仪式桌</t>
  </si>
  <si>
    <t>总觉得乱动这张桌子会发生不好的事情。合成获得无名的墓碑</t>
  </si>
  <si>
    <t>无名的墓碑</t>
  </si>
  <si>
    <t>阴森的庄园中，潜藏着一个无名的墓碑。合成获得颤动的棺材</t>
  </si>
  <si>
    <t>颤动的棺材</t>
  </si>
  <si>
    <t>棺材在动！里面是活的还是死的！？已合成最高级</t>
  </si>
  <si>
    <t>小鬼魂口香糖</t>
  </si>
  <si>
    <t>不知道是什么味道，不敢尝。合成获得蝙蝠饼干</t>
  </si>
  <si>
    <t>蝙蝠饼干</t>
  </si>
  <si>
    <t>外形可爱的饼干，味道美味。合成获得骷髅饼干</t>
  </si>
  <si>
    <t>骷髅饼干</t>
  </si>
  <si>
    <t>或许可以用来灭鼠。合成获得拐杖糖果</t>
  </si>
  <si>
    <t>拐杖糖果</t>
  </si>
  <si>
    <t>可以当作收集品。合成获得万圣棒棒糖</t>
  </si>
  <si>
    <t>万圣棒棒糖</t>
  </si>
  <si>
    <t>香气甜美、但不敢吃下去。合成获得拉肚子糖果</t>
  </si>
  <si>
    <t>拉肚子糖果</t>
  </si>
  <si>
    <t>有种预感，吃下去一定会拉肚子。合成获得可疑的蛋糕</t>
  </si>
  <si>
    <t>可疑的蛋糕</t>
  </si>
  <si>
    <t>好可疑的蛋糕，还是送给讨厌的人吧。合成获得女巫魔药蛋糕</t>
  </si>
  <si>
    <t>女巫魔药蛋糕</t>
  </si>
  <si>
    <t>吃下去后，会变成一只猫吗？合成获得蛛网甜甜圈</t>
  </si>
  <si>
    <t>蛛网甜甜圈</t>
  </si>
  <si>
    <t>巧克力做的蜘蛛，非常拟真~合成获得黑暗来袭冰淇凌</t>
  </si>
  <si>
    <t>黑暗来袭冰淇凌</t>
  </si>
  <si>
    <t>一口一个小鬼魂，甜蜜又清凉。合成获得克苏鲁三明治</t>
  </si>
  <si>
    <t>克苏鲁三明治</t>
  </si>
  <si>
    <t>我看到了一个不可名状的三明治。合成获得鬼怪烤串</t>
  </si>
  <si>
    <t>鬼怪烤串</t>
  </si>
  <si>
    <t>出乎我的意料，味道异常鲜美。合成获得万圣糖果大礼包</t>
  </si>
  <si>
    <t>万圣糖果大礼包</t>
  </si>
  <si>
    <t>一切你想要的搞怪糖果，都在里面！已合成最高级</t>
  </si>
  <si>
    <t>小蝙蝠</t>
  </si>
  <si>
    <t>有可能是密探。合成获得小鬼魂</t>
  </si>
  <si>
    <t>小鬼魂</t>
  </si>
  <si>
    <t>常人难以看见，只会觉得阴风掠过。合成获得小恶魔</t>
  </si>
  <si>
    <t>小恶魔</t>
  </si>
  <si>
    <t>是心中的恶魔，总是为你着想。合成获得小花妖</t>
  </si>
  <si>
    <t>小花妖</t>
  </si>
  <si>
    <t>外表可爱，但是性格恶劣，爱捉弄人。合成获得小怪物</t>
  </si>
  <si>
    <t>小怪物</t>
  </si>
  <si>
    <t>性格很好，愿意给摸。合成获得木乃伊</t>
  </si>
  <si>
    <t>木乃伊</t>
  </si>
  <si>
    <t>行动迟缓，说着听不懂的古埃及语言。合成获得学徒女巫</t>
  </si>
  <si>
    <t>学徒女巫</t>
  </si>
  <si>
    <t>爱折腾一些魔药，把人暂时变成小动物。合成获得狼人少女</t>
  </si>
  <si>
    <t>狼人少女</t>
  </si>
  <si>
    <t>少女只是大晚上散步，就变成这副模样了。合成获得吸血鬼女仆</t>
  </si>
  <si>
    <t>吸血鬼女仆</t>
  </si>
  <si>
    <t>她是全世界最好的女仆！只要你定时献血~合成获得鬼新娘</t>
  </si>
  <si>
    <t>鬼新娘</t>
  </si>
  <si>
    <t>即便是一副残躯，也想找到真爱~合成获得小死神</t>
  </si>
  <si>
    <t>小死神</t>
  </si>
  <si>
    <t>工作真辛苦呀，偶尔度度假~合成获得幽灵船长</t>
  </si>
  <si>
    <t>幽灵船长</t>
  </si>
  <si>
    <t>千百年来，寻找神秘宝藏的执念支撑着它。合成获得吸血鬼伯爵</t>
  </si>
  <si>
    <t>吸血鬼伯爵</t>
  </si>
  <si>
    <t>英俊帅气的富有绅士，对待女孩很温柔~已合成最高级</t>
  </si>
  <si>
    <t>马戏团旗帜</t>
  </si>
  <si>
    <t>每当竖起这面旗帜，就意味着马戏团来了~合成获得道具盒</t>
  </si>
  <si>
    <t>道具盒</t>
  </si>
  <si>
    <t>里面收纳着小丑表演用的纸牌。合成获得道具箱</t>
  </si>
  <si>
    <t>道具箱</t>
  </si>
  <si>
    <t>除了纸牌，还有魔术道具。合成获得精装道具箱</t>
  </si>
  <si>
    <t>精装道具箱</t>
  </si>
  <si>
    <t>里面的道具能带给观众惊喜。合成获得售票亭</t>
  </si>
  <si>
    <t>售票亭</t>
  </si>
  <si>
    <t>排队的人络绎不绝，大家都想看热闹。合成获得马戏团入口</t>
  </si>
  <si>
    <t>马戏团入口</t>
  </si>
  <si>
    <t>门口的路牌，指出了各个表演的方向。合成获得游乐马车</t>
  </si>
  <si>
    <t>游乐马车</t>
  </si>
  <si>
    <t>随机挑选一名观众，一起上车互动。合成获得马戏小帐篷</t>
  </si>
  <si>
    <t>马戏小帐篷</t>
  </si>
  <si>
    <t>是马戏团的休息处，不对外开放。合成获得马戏大帐篷</t>
  </si>
  <si>
    <t>马戏大帐篷</t>
  </si>
  <si>
    <t>里面藏着各种神奇的装置。合成获得马戏演出帐篷</t>
  </si>
  <si>
    <t>马戏演出帐篷</t>
  </si>
  <si>
    <t>室内演出场所，好戏即将开演~已合成至最高级</t>
  </si>
  <si>
    <t>马戏团旗帜[V]</t>
  </si>
  <si>
    <t>每当竖起这面旗帜，就意味着马戏团来了~合成获得道具盒[V]</t>
  </si>
  <si>
    <t>道具盒[V]</t>
  </si>
  <si>
    <t>里面收纳着小丑表演用的纸牌。合成获得道具箱[V]</t>
  </si>
  <si>
    <t>道具箱[V]</t>
  </si>
  <si>
    <t>除了纸牌，还有魔术道具。合成获得精装道具箱[V]</t>
  </si>
  <si>
    <t>精装道具箱[V]</t>
  </si>
  <si>
    <t>里面的道具能带给观众惊喜。合成获得售票亭[V]</t>
  </si>
  <si>
    <t>售票亭[V]</t>
  </si>
  <si>
    <t>排队的人络绎不绝，大家都想看热闹。合成获得马戏团入口[V]</t>
  </si>
  <si>
    <t>马戏团入口[V]</t>
  </si>
  <si>
    <t>门口的路牌，指出了各个表演的方向。合成获得游乐马车[V]</t>
  </si>
  <si>
    <t>游乐马车[V]</t>
  </si>
  <si>
    <t>随机挑选一名观众，一起上车互动。合成获得马戏小帐篷[V]</t>
  </si>
  <si>
    <t>马戏小帐篷[V]</t>
  </si>
  <si>
    <t>是马戏团的休息处，不对外开放。合成获得马戏大帐篷[V]</t>
  </si>
  <si>
    <t>马戏大帐篷[V]</t>
  </si>
  <si>
    <t>里面藏着各种神奇的装置。合成获得马戏演出帐篷[V]</t>
  </si>
  <si>
    <t>马戏演出帐篷[V]</t>
  </si>
  <si>
    <t>室内演出场所，好戏即将开演~已合成至最高级[V]</t>
  </si>
  <si>
    <t>小丑卡</t>
  </si>
  <si>
    <t>幸运的卡片，可以当作收藏品，合成获得小丑面具</t>
  </si>
  <si>
    <t>小丑面具</t>
  </si>
  <si>
    <t>戴上面具，给别人带来欢乐。合成获得小丑上衣</t>
  </si>
  <si>
    <t>小丑上衣</t>
  </si>
  <si>
    <t>很滑稽的设计，十分有趣。合成获得马戏球</t>
  </si>
  <si>
    <t>马戏球</t>
  </si>
  <si>
    <t>能抛、能接、能踩，全能型球。合成获得小丑盒</t>
  </si>
  <si>
    <t>小丑盒</t>
  </si>
  <si>
    <t>打开后，吓人一跳。合成获得小丑气球</t>
  </si>
  <si>
    <t>小丑气球</t>
  </si>
  <si>
    <t>给人带来阵阵欢乐。合成获得魔术帽</t>
  </si>
  <si>
    <t>魔术帽</t>
  </si>
  <si>
    <t>猜猜里面有几只兔子？合成获得奇妙小号</t>
  </si>
  <si>
    <t>奇妙小号</t>
  </si>
  <si>
    <t>吹响快乐的小曲~合成获得小丑伞</t>
  </si>
  <si>
    <t>小丑伞</t>
  </si>
  <si>
    <t>打开后，冒出一个惊喜。合成获得独轮车</t>
  </si>
  <si>
    <t>独轮车</t>
  </si>
  <si>
    <t>平常人难以驾驭的器械。合成获得魔术箱</t>
  </si>
  <si>
    <t>魔术箱</t>
  </si>
  <si>
    <t>仿佛是异次元，大卸八块都不会伤到里面的人。合成获得提线木偶</t>
  </si>
  <si>
    <t>提线木偶</t>
  </si>
  <si>
    <t>一个会走路，能说话的木偶。合成获得小丑碰碰车</t>
  </si>
  <si>
    <t>小丑碰碰车</t>
  </si>
  <si>
    <t>碰撞时会发出哈哈哈的小丑笑声，蛮洗脑的。已合成最高级</t>
  </si>
  <si>
    <t>马戏团门票</t>
  </si>
  <si>
    <t>马戏团一日游！中途不可离场。合成获得三连圈</t>
  </si>
  <si>
    <t>三连圈</t>
  </si>
  <si>
    <t>对于体型的要求较大，苗条的人才能通过。合成获得飞镖靶</t>
  </si>
  <si>
    <t>飞镖靶</t>
  </si>
  <si>
    <t>孩子们很爱玩。合成获得火箭座椅</t>
  </si>
  <si>
    <t>火箭座椅</t>
  </si>
  <si>
    <t>摇摇晃晃，仿佛乘着火箭上月球。合成获得人间大炮</t>
  </si>
  <si>
    <t>人间大炮</t>
  </si>
  <si>
    <t>小丑像炮弹一样进场。合成获得弹跳球</t>
  </si>
  <si>
    <t>弹跳球</t>
  </si>
  <si>
    <t>跳得很高，很欢乐。合成获得力量测试</t>
  </si>
  <si>
    <t>力量测试</t>
  </si>
  <si>
    <t>听说达到最大力量后，还会有小礼品呢。合成获得小丑琴</t>
  </si>
  <si>
    <t>小丑琴</t>
  </si>
  <si>
    <t>按照正常的谱子弹，会弹出滑稽的音律。合成获得气球车</t>
  </si>
  <si>
    <t>气球车</t>
  </si>
  <si>
    <t>1元1个，5元10个~合成获得小丑摇摇船</t>
  </si>
  <si>
    <t>小丑摇摇船</t>
  </si>
  <si>
    <t>坐上去后，仿佛置身于汪洋大海。合成获得小丑旋转木马</t>
  </si>
  <si>
    <t>小丑旋转木马</t>
  </si>
  <si>
    <t>五颜六色，好像在彩虹上行驰。合成获得章鱼摩天轮</t>
  </si>
  <si>
    <t>章鱼摩天轮</t>
  </si>
  <si>
    <t>灯光炫酷，让乘坐的孩子有炫耀的资本。合成获得小丑号气球飞艇</t>
  </si>
  <si>
    <t>小丑号气球飞艇</t>
  </si>
  <si>
    <t>欢乐的小丑飞艇，不定时投下礼物哦~已合成最高级</t>
  </si>
  <si>
    <t>玩杂耍的鼠鼠</t>
  </si>
  <si>
    <t>它的动作非常敏捷，让人目不暇接。合成获得魔术帽与鸽子</t>
  </si>
  <si>
    <t>魔术帽与鸽子</t>
  </si>
  <si>
    <t>它有许多兄弟姐妹，来帮助完成魔术。合成获得猫猫走钢丝</t>
  </si>
  <si>
    <t>猫猫走钢丝</t>
  </si>
  <si>
    <t>猫猫仿佛走在平地上一般。合成获得被套圈的乖狗狗</t>
  </si>
  <si>
    <t>被套圈的乖狗狗</t>
  </si>
  <si>
    <t>它的任务，就是站好被套，让游客开心。合成获得高手小企</t>
  </si>
  <si>
    <t>高手小企</t>
  </si>
  <si>
    <t>负责和游客打牌，但是从来没输过。合成获得乐感出色的白白</t>
  </si>
  <si>
    <t>乐感出色的白白</t>
  </si>
  <si>
    <t>辛苦的工作，时常吹上一段烘托气氛。合成获得问你买气球的小浣</t>
  </si>
  <si>
    <t>问你买气球的小浣</t>
  </si>
  <si>
    <t>它经营着乐园内的气球贩卖车。合成获得独轮车小猴</t>
  </si>
  <si>
    <t>独轮车小猴</t>
  </si>
  <si>
    <t>一边骑车、一边吹哨，是个技术活。合成获得困倦的皮皮</t>
  </si>
  <si>
    <t>困倦的皮皮</t>
  </si>
  <si>
    <t>好想睡觉啊。皮皮如是想到。合成获得能跳舞的二憨</t>
  </si>
  <si>
    <t>能跳舞的二憨</t>
  </si>
  <si>
    <t>虽然是熊，但是性格温顺，擅长舞蹈。合成获得毛发精致的卷福</t>
  </si>
  <si>
    <t>毛发精致的卷福</t>
  </si>
  <si>
    <t>可以撸毛哦，手感很好~合成获得魔法大师虎大王</t>
  </si>
  <si>
    <t>魔法大师虎大王</t>
  </si>
  <si>
    <t>环游世界学艺的魔法大师，全球闻名！合成获得吹泡泡冠军小嘟嘟</t>
  </si>
  <si>
    <t>吹泡泡冠军小嘟嘟</t>
  </si>
  <si>
    <t>能吹到一名观众一个泡泡的传奇吹泡泡大师！已合成最高级</t>
  </si>
  <si>
    <t>田园梦境</t>
  </si>
  <si>
    <t>悠闲的乡间时光。合成获得甜点梦境</t>
  </si>
  <si>
    <t>甜点梦境</t>
  </si>
  <si>
    <t>吃甜点吃个够！合成获得小怪物梦境</t>
  </si>
  <si>
    <t>小怪物梦境</t>
  </si>
  <si>
    <t>抓怪物，进行怪物对决！合成获得下午茶梦境</t>
  </si>
  <si>
    <t>下午茶梦境</t>
  </si>
  <si>
    <t>和姐妹们喝下午茶，谈论影视剧。合成获得积木迷宫梦境</t>
  </si>
  <si>
    <t>积木迷宫梦境</t>
  </si>
  <si>
    <t>日常生活中，偶尔也需要趣味事件来装点。合成获得航海冒险梦境</t>
  </si>
  <si>
    <t>航海冒险梦境</t>
  </si>
  <si>
    <t>狂风暴雨，大海怪和迷雾~合成获得异域风情梦境</t>
  </si>
  <si>
    <t>异域风情梦境</t>
  </si>
  <si>
    <t>来到冰激凌王国，一起都是奶油做的！合成获得讨伐恶龙梦境</t>
  </si>
  <si>
    <t>讨伐恶龙梦境</t>
  </si>
  <si>
    <t>成功打败恶龙，赢得了人们的信赖。合成获得加冕为王梦境</t>
  </si>
  <si>
    <t>加冕为王梦境</t>
  </si>
  <si>
    <t>凭借着伟大功绩，成为了下一任国王。合成获得月之彼岸梦境</t>
  </si>
  <si>
    <t>月之彼岸梦境</t>
  </si>
  <si>
    <t>数十年恍然如梦，一如月亮上的一瞥。已合成最高级</t>
  </si>
  <si>
    <t>珊瑚苗苗</t>
  </si>
  <si>
    <t>海洋宝宝的初芽。合成获得豆丁珊瑚</t>
  </si>
  <si>
    <t>豆丁珊瑚</t>
  </si>
  <si>
    <t>小巧玲珑豆丁儿。合成获得双生珊瑚</t>
  </si>
  <si>
    <t>双生珊瑚</t>
  </si>
  <si>
    <t>海底小姐妹。合成获得闪耀珊瑚</t>
  </si>
  <si>
    <t>闪耀珊瑚</t>
  </si>
  <si>
    <t>光彩夺目。合成获得彩卷珊瑚</t>
  </si>
  <si>
    <t>彩卷珊瑚</t>
  </si>
  <si>
    <t>卡兹一口上去。合成获得榔头珊瑚</t>
  </si>
  <si>
    <t>榔头珊瑚</t>
  </si>
  <si>
    <t>敲开海洋秘密。合成获得喇叭珊瑚</t>
  </si>
  <si>
    <t>喇叭珊瑚</t>
  </si>
  <si>
    <t>吹响欢乐的小喇叭。合成获得扇贝珊瑚</t>
  </si>
  <si>
    <t>扇贝珊瑚</t>
  </si>
  <si>
    <t>飘逸温柔。合成获得菠萝丁珊瑚</t>
  </si>
  <si>
    <t>菠萝丁珊瑚</t>
  </si>
  <si>
    <t>看起来酸甜可口。合成获得宝石珊瑚</t>
  </si>
  <si>
    <t>宝石珊瑚</t>
  </si>
  <si>
    <t>璀璨夺目。合成获得叉干星珊瑚</t>
  </si>
  <si>
    <t>叉干星珊瑚</t>
  </si>
  <si>
    <t>点亮深海的星光。合成获得太阳花珊瑚</t>
  </si>
  <si>
    <t>太阳花珊瑚</t>
  </si>
  <si>
    <t>向阳而生的小花。合成获得海梦礁珊瑚</t>
  </si>
  <si>
    <t>海梦礁珊瑚</t>
  </si>
  <si>
    <t>好似海洋中的一个小王国。已合成最高级</t>
  </si>
  <si>
    <t>黑桃A二等兵</t>
  </si>
  <si>
    <t>黑桃A二等兵前来报到！合成获得方片2一等兵</t>
  </si>
  <si>
    <t>方片2一等兵</t>
  </si>
  <si>
    <t>方片2一等兵请求归队！合成获得梅花3上等兵</t>
  </si>
  <si>
    <t>梅花3上等兵</t>
  </si>
  <si>
    <t>梅花3上等兵请求指示！合成获得红心4下士</t>
  </si>
  <si>
    <t>红心4下士</t>
  </si>
  <si>
    <t>红心4下士已经就位！合成获得黑桃5中士</t>
  </si>
  <si>
    <t>黑桃5中士</t>
  </si>
  <si>
    <t>黑桃5中士随时准备执行命令！合成获得红心6上士</t>
  </si>
  <si>
    <t>红心6上士</t>
  </si>
  <si>
    <t>红心6上士请求分配任务！合成获得梅花7少尉</t>
  </si>
  <si>
    <t>梅花7少尉</t>
  </si>
  <si>
    <t>梅花7少尉发号施令。合成获得红心8中尉</t>
  </si>
  <si>
    <t>红心8中尉</t>
  </si>
  <si>
    <t>红心8中尉拿好骑枪，合成获得黑桃9上尉</t>
  </si>
  <si>
    <t>黑桃9上尉</t>
  </si>
  <si>
    <t>黑桃9上尉守护军备后勤。合成获得方块10大尉</t>
  </si>
  <si>
    <t>方块10大尉</t>
  </si>
  <si>
    <t>方块10大尉全神贯注，准备射击。合成获得梅花大臣</t>
  </si>
  <si>
    <t>梅花大臣</t>
  </si>
  <si>
    <t>梅花大臣掌控局势。合成获得黑桃女王</t>
  </si>
  <si>
    <t>黑桃女王</t>
  </si>
  <si>
    <t>黑桃女王魅力张扬。合成获得红心国王</t>
  </si>
  <si>
    <t>红心国王</t>
  </si>
  <si>
    <t>红心国王权威无限。已合成最高级</t>
  </si>
  <si>
    <t>魔法千纸鹤</t>
  </si>
  <si>
    <t>真的能飞起来的千纸鹤。合成获得飞翔舞鞋</t>
  </si>
  <si>
    <t>飞翔舞鞋</t>
  </si>
  <si>
    <t>跳着跳着，就能上云霄。合成获得自动绘画铅笔</t>
  </si>
  <si>
    <t>自动绘画铅笔</t>
  </si>
  <si>
    <t>先在脑子里想好，它就能帮你画出来。合成获得魔法帽</t>
  </si>
  <si>
    <t>魔法帽</t>
  </si>
  <si>
    <t>据说蕴含空间魔法。合成获得下雨伞</t>
  </si>
  <si>
    <t>下雨伞</t>
  </si>
  <si>
    <t>打开后能下雨的伞，专用于恶作剧。合成获得未来电视</t>
  </si>
  <si>
    <t>未来电视</t>
  </si>
  <si>
    <t>能看到未来场景的电视，但是并不准确。合成获得冒险舵轮</t>
  </si>
  <si>
    <t>冒险舵轮</t>
  </si>
  <si>
    <t>大力转动舵轮，它停在哪里，就会去往哪里。合成获得火之冠冕</t>
  </si>
  <si>
    <t>火之冠冕</t>
  </si>
  <si>
    <t>戴上后，就能掌握火焰的力量，合成获得冰之心脏</t>
  </si>
  <si>
    <t>冰之心脏</t>
  </si>
  <si>
    <t>可以借用其中的冰霜力量。合成获得占卜水晶球</t>
  </si>
  <si>
    <t>占卜水晶球</t>
  </si>
  <si>
    <t>球球，请告诉我哥德巴赫猜想的解答？合成获得丘比特之弓</t>
  </si>
  <si>
    <t>丘比特之弓</t>
  </si>
  <si>
    <t>爱情的箭矢射中了心脏~合成获得捕梦网</t>
  </si>
  <si>
    <t>捕梦网</t>
  </si>
  <si>
    <t>捕捉梦境，探索潜意识~合成获得占星仪</t>
  </si>
  <si>
    <t>占星仪</t>
  </si>
  <si>
    <t>星辰变换，洞悉宇宙奥秘。已合成最高级</t>
  </si>
  <si>
    <t>医书</t>
  </si>
  <si>
    <t>《黄帝内经》有云~合成获得采药背篓</t>
  </si>
  <si>
    <t>采药背篓</t>
  </si>
  <si>
    <t>“松下问童子，言师采药去。”合成获得医馆旗帜</t>
  </si>
  <si>
    <t>医馆旗帜</t>
  </si>
  <si>
    <t>治病救人，祛除病邪。合成获得行医背篓</t>
  </si>
  <si>
    <t>行医背篓</t>
  </si>
  <si>
    <t>走遍大江南北，遍治民众恶疾。合成获得医诊小桌</t>
  </si>
  <si>
    <t>医诊小桌</t>
  </si>
  <si>
    <t>进来第一件事，先望闻问切。合成获得医诊大桌</t>
  </si>
  <si>
    <t>医诊大桌</t>
  </si>
  <si>
    <t>避风挡雨，阴天也能看诊。合成获得医诊台</t>
  </si>
  <si>
    <t>医诊台</t>
  </si>
  <si>
    <t>可以让病人坐下，详细诊断。合成获得药铺</t>
  </si>
  <si>
    <t>药铺</t>
  </si>
  <si>
    <t>药铺中传来一股混合着药草味的清香。合成获得小医馆</t>
  </si>
  <si>
    <t>小医馆</t>
  </si>
  <si>
    <t>小小的医馆，承载着沉甸甸的情感。合成获得大医馆</t>
  </si>
  <si>
    <t>大医馆</t>
  </si>
  <si>
    <t>但祈世间人无病，何愁架上药生尘。已合成最高级</t>
  </si>
  <si>
    <t>医书[V]</t>
  </si>
  <si>
    <t>《黄帝内经》有云~合成获得采药背篓[V]</t>
  </si>
  <si>
    <t>采药背篓[V]</t>
  </si>
  <si>
    <t>“松下问童子，言师采药去。”合成获得医馆旗帜[V]</t>
  </si>
  <si>
    <t>医馆旗帜[V]</t>
  </si>
  <si>
    <t>治病救人，祛除病邪。合成获得行医背篓[V]</t>
  </si>
  <si>
    <t>行医背篓[V]</t>
  </si>
  <si>
    <t>走遍大江南北，遍治民众恶疾。合成获得医诊小桌[V]</t>
  </si>
  <si>
    <t>医诊小桌[V]</t>
  </si>
  <si>
    <t>进来第一件事，先望闻问切。合成获得医诊大桌[V]</t>
  </si>
  <si>
    <t>医诊大桌[V]</t>
  </si>
  <si>
    <t>避风挡雨，阴天也能看诊。合成获得医诊台[V]</t>
  </si>
  <si>
    <t>医诊台[V]</t>
  </si>
  <si>
    <t>可以让病人坐下，详细诊断。合成获得药铺[V]</t>
  </si>
  <si>
    <t>药铺[V]</t>
  </si>
  <si>
    <t>药铺中传来一股混合着药草味的清香。合成获得小医馆[V]</t>
  </si>
  <si>
    <t>小医馆[V]</t>
  </si>
  <si>
    <t>小小的医馆，承载着沉甸甸的情感。合成获得大医馆[V]</t>
  </si>
  <si>
    <t>大医馆[V]</t>
  </si>
  <si>
    <t>针灸针</t>
  </si>
  <si>
    <t>针灸针还分为毫针、火针等。合成获得包药纸</t>
  </si>
  <si>
    <t>包药纸</t>
  </si>
  <si>
    <t>结实耐用，很好用。合成获得艾条</t>
  </si>
  <si>
    <t>艾条</t>
  </si>
  <si>
    <t>至阳之物，可以做艾灸温补阳气。合成获得刮痧板</t>
  </si>
  <si>
    <t>刮痧板</t>
  </si>
  <si>
    <t>刮痧为泻，可活血化瘀、舒筋通络。合成获得火罐</t>
  </si>
  <si>
    <t>火罐</t>
  </si>
  <si>
    <t>拔火罐可以通经活络、祛风散寒。合成获得切药刀</t>
  </si>
  <si>
    <t>切药刀</t>
  </si>
  <si>
    <t>加工药材的神器。合成获得药碾</t>
  </si>
  <si>
    <t>药碾</t>
  </si>
  <si>
    <t>很多药材，需要碾碎加工。合成获得戥秤</t>
  </si>
  <si>
    <t>戥秤</t>
  </si>
  <si>
    <t>药的量，也是是否有效的关键一步。合成获得捣药碗</t>
  </si>
  <si>
    <t>捣药碗</t>
  </si>
  <si>
    <t>逢子必捣，方便调配成药剂。合成获得药酒葫芦</t>
  </si>
  <si>
    <t>药酒葫芦</t>
  </si>
  <si>
    <t>里面装了一些治疗跌打损伤的药酒。合成获得煎药锅</t>
  </si>
  <si>
    <t>煎药锅</t>
  </si>
  <si>
    <t>一副汤剂，承载着家属的希望。合成获得小药柜</t>
  </si>
  <si>
    <t>小药柜</t>
  </si>
  <si>
    <t>一个个抽屉里放着五花八门的药材。合成获得药浴池</t>
  </si>
  <si>
    <t>药浴池</t>
  </si>
  <si>
    <t>据说搭配一些祖传秘方，可以强身健体，洗经伐髓。已合成最高级</t>
  </si>
  <si>
    <t>生姜</t>
  </si>
  <si>
    <t>可以解表散寒、温中止呕。专用于风寒感冒，合成获得何首乌</t>
  </si>
  <si>
    <t>何首乌</t>
  </si>
  <si>
    <t>可补益精血，润肠通便。合成获得甘草片</t>
  </si>
  <si>
    <t>甘草片</t>
  </si>
  <si>
    <t>能补气益脾，和中缓急。合成获得罗汉果</t>
  </si>
  <si>
    <t>罗汉果</t>
  </si>
  <si>
    <t>能清热润肺，利咽开音。合成获得花木槿</t>
  </si>
  <si>
    <t>花木槿</t>
  </si>
  <si>
    <t>清热利湿，杀菌消炎。合成获得佛手柑</t>
  </si>
  <si>
    <t>佛手柑</t>
  </si>
  <si>
    <t>疏肝解郁、燥湿化痰。合成获得红枣</t>
  </si>
  <si>
    <t>红枣</t>
  </si>
  <si>
    <t>补中益气、养血安神。合成获得金银花</t>
  </si>
  <si>
    <t>金银花</t>
  </si>
  <si>
    <t>清热解毒，消炎退肿。合成获得黄精</t>
  </si>
  <si>
    <t>黄精</t>
  </si>
  <si>
    <t>补气养阴，健脾润肺。合成获得荷花</t>
  </si>
  <si>
    <t>荷花</t>
  </si>
  <si>
    <t>活血止血、祛湿消风。合成获得花椒</t>
  </si>
  <si>
    <t>花椒</t>
  </si>
  <si>
    <t>入肺散寒，入脾除湿。合成获得白术</t>
  </si>
  <si>
    <t>白术</t>
  </si>
  <si>
    <t>健脾益气、燥湿利水。合成获得人参</t>
  </si>
  <si>
    <t>人参</t>
  </si>
  <si>
    <t>善大补元气、补脾益气。已合成最高级</t>
  </si>
  <si>
    <t>一勺枸杞</t>
  </si>
  <si>
    <t>一般用于加到菜中。合成获得一碟莲蓬</t>
  </si>
  <si>
    <t>一碟莲子</t>
  </si>
  <si>
    <t>可以当作点心吃。合成获得一盘莲藕</t>
  </si>
  <si>
    <t>一盘藕片</t>
  </si>
  <si>
    <t>饭前开开胃。合成获得玫瑰养生奶茶</t>
  </si>
  <si>
    <t>玫瑰养生奶茶</t>
  </si>
  <si>
    <t>中药奶茶，既好喝，又健康！合成获得笋干白粥</t>
  </si>
  <si>
    <t>笋干白粥</t>
  </si>
  <si>
    <t>肠胃不好的时候，可以吃这些调理。合成获得红豆薏米粥</t>
  </si>
  <si>
    <t>红豆薏米粥</t>
  </si>
  <si>
    <t>能够益气补血。合成获得野生山菌鲜汤</t>
  </si>
  <si>
    <t>野生山菌鲜汤</t>
  </si>
  <si>
    <t>一碗鲜美的汤，更胜山珍海味！合成获得红枣气血汤</t>
  </si>
  <si>
    <t>红枣气血汤</t>
  </si>
  <si>
    <t>滋补气血，保养身体。合成获得银耳莲子枸杞汤</t>
  </si>
  <si>
    <t>银耳莲子枸杞汤</t>
  </si>
  <si>
    <t>营养丰富，美味健康！合成获得玉竹百合椰皇汤</t>
  </si>
  <si>
    <t>玉竹百合椰皇汤</t>
  </si>
  <si>
    <t>滋味极其鲜美，好吃极了！合成获得橄榄白萝卜排骨煲</t>
  </si>
  <si>
    <t>橄榄白萝卜排骨煲</t>
  </si>
  <si>
    <t>香气扑鼻，强健筋骨，极富营养。合成获得玉米排骨金汤煲</t>
  </si>
  <si>
    <t>玉米排骨金汤煲</t>
  </si>
  <si>
    <t>金黄色的汤汁，跃入舌尖的一刻即让人升华！合成获得鹿茸菌菇羊肉煲</t>
  </si>
  <si>
    <t>鹿茸菌菇羊肉煲</t>
  </si>
  <si>
    <t>极鲜极美的菌菇汤，配上软滑可口的羊肉，是人间珍馐！已合成最高级。</t>
  </si>
  <si>
    <t>小香炉</t>
  </si>
  <si>
    <t>心假香传。合成获得普通香炉</t>
  </si>
  <si>
    <t>普通香炉</t>
  </si>
  <si>
    <t>比较经典的造型。合成获得典雅香炉</t>
  </si>
  <si>
    <t>典雅香炉</t>
  </si>
  <si>
    <t>加上了木制底座和黄边花纹。合成获得小供桌</t>
  </si>
  <si>
    <t>小供桌</t>
  </si>
  <si>
    <t>空间可以摆上2盘贡品。合成获得供桌</t>
  </si>
  <si>
    <t>供桌</t>
  </si>
  <si>
    <t>空间更大了，可以点上2根蜡烛。合成获得大供桌</t>
  </si>
  <si>
    <t>大供桌</t>
  </si>
  <si>
    <t>贡品换上了新鲜的水果和甜点。合成获得精致供桌</t>
  </si>
  <si>
    <t>精致供桌</t>
  </si>
  <si>
    <t>神龛中，供奉着一个宝葫芦。合成获得小庙宇</t>
  </si>
  <si>
    <t>小庙宇</t>
  </si>
  <si>
    <t>一座安静的老寺。合成获得人气庙宇</t>
  </si>
  <si>
    <t>人气庙宇</t>
  </si>
  <si>
    <t>常有香客来访。合成获得辉煌庙宇</t>
  </si>
  <si>
    <t>辉煌庙宇</t>
  </si>
  <si>
    <t>庙后的大树，见证了这座庙宇的辉煌。已合成最高级</t>
  </si>
  <si>
    <t>小香炉[V]</t>
  </si>
  <si>
    <t>心假香传。合成获得普通香炉[V]</t>
  </si>
  <si>
    <t>普通香炉[V]</t>
  </si>
  <si>
    <t>比较经典的造型。合成获得典雅香炉[V]</t>
  </si>
  <si>
    <t>典雅香炉[V]</t>
  </si>
  <si>
    <t>加上了木制底座和黄边花纹。合成获得小供桌[V]</t>
  </si>
  <si>
    <t>小供桌[V]</t>
  </si>
  <si>
    <t>空间可以摆上2盘贡品。合成获得供桌[V]</t>
  </si>
  <si>
    <t>供桌[V]</t>
  </si>
  <si>
    <t>空间更大了，可以点上2根蜡烛。合成获得大供桌[V]</t>
  </si>
  <si>
    <t>大供桌[V]</t>
  </si>
  <si>
    <t>贡品换上了新鲜的水果和甜点。合成获得精致供桌[V]</t>
  </si>
  <si>
    <t>精致供桌[V]</t>
  </si>
  <si>
    <t>神龛中，供奉着一个宝葫芦。合成获得小庙宇[V]</t>
  </si>
  <si>
    <t>小庙宇[V]</t>
  </si>
  <si>
    <t>一座安静的老寺。合成获得人气庙宇[V]</t>
  </si>
  <si>
    <t>人气庙宇[V]</t>
  </si>
  <si>
    <t>常有香客来访。合成获得辉煌庙宇[V]</t>
  </si>
  <si>
    <t>辉煌庙宇[V]</t>
  </si>
  <si>
    <t>幸运钱币</t>
  </si>
  <si>
    <t>人们在钱币上寄托了美好的愿望。合成获得元宝钥匙扣</t>
  </si>
  <si>
    <t>元宝钥匙扣</t>
  </si>
  <si>
    <t>很想要发财！合成获得福气红包</t>
  </si>
  <si>
    <t>福气红包</t>
  </si>
  <si>
    <t>萌萌的红包封皮。合成获得猫猫香囊</t>
  </si>
  <si>
    <t>猫猫香囊</t>
  </si>
  <si>
    <t>十分可爱，深受女孩子们的欢迎。合成获得好运手机壳</t>
  </si>
  <si>
    <t>好运手机壳</t>
  </si>
  <si>
    <t>接好运~合成获得大红保温杯</t>
  </si>
  <si>
    <t>大红保温杯</t>
  </si>
  <si>
    <t>红色往往是吉利的颜色。合成获得吉祥对联</t>
  </si>
  <si>
    <t>吉祥对联</t>
  </si>
  <si>
    <t>贴对联代表了人们的朴素愿望。合成获得聚财扇</t>
  </si>
  <si>
    <t>聚财扇</t>
  </si>
  <si>
    <t>我扇、我扇、我扇扇！合成获得红彤彤灯笼</t>
  </si>
  <si>
    <t>红彤彤灯笼</t>
  </si>
  <si>
    <t>希望大红灯笼带来好运！合成获得小福神暖手宝</t>
  </si>
  <si>
    <t>小福神暖手宝</t>
  </si>
  <si>
    <t>外形酷似太空舱，仿佛里面的小人在求救。合成获得新年连镜梳</t>
  </si>
  <si>
    <t>新年连镜梳</t>
  </si>
  <si>
    <t>装饰了古殿的花纹和图案，别有韵致，合成获得财神爷摆件灯</t>
  </si>
  <si>
    <t>财神爷摆件灯</t>
  </si>
  <si>
    <t>财神爷，快看看我！合成获得小福神置物架</t>
  </si>
  <si>
    <t>小福神置物架</t>
  </si>
  <si>
    <t>这些是我的新年聚福法阵！已合成最高级</t>
  </si>
  <si>
    <t>煎蛋</t>
  </si>
  <si>
    <t>保质期不长，要早点换。合成获得皮蛋</t>
  </si>
  <si>
    <t>皮蛋</t>
  </si>
  <si>
    <t>保质期较长，但是神仙们喜欢加酱油嘛？合成获得糕点</t>
  </si>
  <si>
    <t>糕点</t>
  </si>
  <si>
    <t>咬了一口，因为有点嘴馋，不会怪我吧？合成获得坚果</t>
  </si>
  <si>
    <t>坚果</t>
  </si>
  <si>
    <t>每天薅一点，应该看不出来，合成获得小甜品</t>
  </si>
  <si>
    <t>小甜品</t>
  </si>
  <si>
    <t>2口一个，太好吃啦！合成获得兔子甜糕</t>
  </si>
  <si>
    <t>兔子甜糕</t>
  </si>
  <si>
    <t>一口一个，回味无穷。合成获得柿子</t>
  </si>
  <si>
    <t>柿子</t>
  </si>
  <si>
    <t>软软甜甜，果肉甘美~合成获得鲍鱼</t>
  </si>
  <si>
    <t>鲍鱼</t>
  </si>
  <si>
    <t>营养丰富，美容养颜。合成获得清蒸大虾</t>
  </si>
  <si>
    <t>清蒸大虾</t>
  </si>
  <si>
    <t>撒上一层酱汁，领略海洋蛋白的风味，合成获得香辣炒螃蟹</t>
  </si>
  <si>
    <t>香辣炒螃蟹</t>
  </si>
  <si>
    <t>表面有一层红油，看起来辣极了。合成获得红烧肉</t>
  </si>
  <si>
    <t>红烧肉</t>
  </si>
  <si>
    <t>肥瘦相间，回味无穷~合成获得炖猪肘</t>
  </si>
  <si>
    <t>炖猪肘</t>
  </si>
  <si>
    <t>这是大肉！我替神仙尝尝~合成获得上贡酱猪头</t>
  </si>
  <si>
    <t>上贡酱猪头</t>
  </si>
  <si>
    <t>不一定好吃。但是看起来很有场面！已合成最高级</t>
  </si>
  <si>
    <t>招财猫</t>
  </si>
  <si>
    <t>家有招财猫，天天财不断~合成获得锦鲤宝宝</t>
  </si>
  <si>
    <t>锦鲤宝宝</t>
  </si>
  <si>
    <t>抽中锦鲤，就代表了下一年的好运！合成获得善财童子</t>
  </si>
  <si>
    <t>善财童子</t>
  </si>
  <si>
    <t>求财运，求好运！合成获得小关公</t>
  </si>
  <si>
    <t>小关公</t>
  </si>
  <si>
    <t>是祈求财运亨通、生意兴隆的守护神。合成获得小钟馗</t>
  </si>
  <si>
    <t>小钟馗</t>
  </si>
  <si>
    <t>可以镇宅驱邪。合成获得小寿仙</t>
  </si>
  <si>
    <t>小寿仙</t>
  </si>
  <si>
    <t>祈求身体健康，幸福长寿。合成获得东海龙王</t>
  </si>
  <si>
    <t>东海龙王</t>
  </si>
  <si>
    <t>祈求来年风调雨顺、国泰民安，合成获得托塔天王</t>
  </si>
  <si>
    <t>托塔天王</t>
  </si>
  <si>
    <t>象征着权威和保护。合成获得观音菩萨</t>
  </si>
  <si>
    <t>观音菩萨</t>
  </si>
  <si>
    <t>是大慈大悲、救苦救难的庇护之神。合成获得妈祖娘娘</t>
  </si>
  <si>
    <t>妈祖娘娘</t>
  </si>
  <si>
    <t>是渔民的守护神，保佑船只平安归来。合成获得文曲星</t>
  </si>
  <si>
    <t>文曲星</t>
  </si>
  <si>
    <t>文曲星祝您考公考研上岸啦~合成获得小月老</t>
  </si>
  <si>
    <t>小月老</t>
  </si>
  <si>
    <t>月老祝您早日找到爱人，婚姻幸福美满啦~合成获得财神爷</t>
  </si>
  <si>
    <t>财神爷</t>
  </si>
  <si>
    <t>财神爷祝您财源广进，每天都有花不完的钱~已合成最高级</t>
  </si>
  <si>
    <t>光镭射门票</t>
  </si>
  <si>
    <t>光芒闪烁，收藏价值大！合成获得漫展宣传单</t>
  </si>
  <si>
    <t>漫展宣传单</t>
  </si>
  <si>
    <t>哇~国漫漫展里有我最喜欢的嘉宾！合成获得漫展路牌</t>
  </si>
  <si>
    <t>漫展路牌</t>
  </si>
  <si>
    <t>轻松找到漫展入口~合成获得漫展信息墙</t>
  </si>
  <si>
    <t>漫展信息墙</t>
  </si>
  <si>
    <t>清楚了解场馆布局和活动时间~合成获得漫展塑料门</t>
  </si>
  <si>
    <t>漫展塑料门</t>
  </si>
  <si>
    <t>让人怀疑主办方的水平。合成获得漫展金属门</t>
  </si>
  <si>
    <t>漫展金属门</t>
  </si>
  <si>
    <t>颇具游戏风格，代入感强。合成获得漫展电子门</t>
  </si>
  <si>
    <t>漫展电子门</t>
  </si>
  <si>
    <t>氛围灯是Ukim的主题色哎，好惊喜！合成获得漫画展厅</t>
  </si>
  <si>
    <t>漫画展厅</t>
  </si>
  <si>
    <t>可以购买国漫的漫画、手办~合成获得潮流游戏展厅</t>
  </si>
  <si>
    <t>潮流游戏展厅</t>
  </si>
  <si>
    <t>可以体验最新最火的国漫游戏！合成获得赛博签售展厅</t>
  </si>
  <si>
    <t>赛博签售展厅</t>
  </si>
  <si>
    <t>排长队，期待嘉宾coser的签名！已合成最高级</t>
  </si>
  <si>
    <t>光镭射门票[V]</t>
  </si>
  <si>
    <t>光芒闪烁，收藏价值大！合成获得漫展宣传单[V]</t>
  </si>
  <si>
    <t>漫展宣传单[V]</t>
  </si>
  <si>
    <t>哇~国漫漫展里有我最喜欢的嘉宾！合成获得漫展路牌[V]</t>
  </si>
  <si>
    <t>漫展路牌[V]</t>
  </si>
  <si>
    <t>轻松找到漫展入口~合成获得漫展信息墙[V]</t>
  </si>
  <si>
    <t>漫展信息墙[V]</t>
  </si>
  <si>
    <t>清楚了解场馆布局和活动时间~合成获得漫展塑料门[V]</t>
  </si>
  <si>
    <t>漫展塑料门[V]</t>
  </si>
  <si>
    <t>让人怀疑主办方的水平。合成获得漫展金属门[V]</t>
  </si>
  <si>
    <t>漫展金属门[V]</t>
  </si>
  <si>
    <t>颇具游戏风格，代入感强。合成获得漫展电子门[V]</t>
  </si>
  <si>
    <t>漫展电子门[V]</t>
  </si>
  <si>
    <t>氛围灯是Ukim的主题色哎，好惊喜！合成获得漫画展厅[V]</t>
  </si>
  <si>
    <t>漫画展厅[V]</t>
  </si>
  <si>
    <t>可以购买国漫的漫画、手办~合成获得潮流游戏展厅[V]</t>
  </si>
  <si>
    <t>潮流游戏展厅[V]</t>
  </si>
  <si>
    <t>可以体验最新最火的国漫游戏！合成获得赛博签售展厅[V]</t>
  </si>
  <si>
    <t>赛博签售展厅[V]</t>
  </si>
  <si>
    <t>三国演义小说</t>
  </si>
  <si>
    <t>经典名著之一，充满着英雄豪情！合成获得封神演义小说</t>
  </si>
  <si>
    <t>封神演义小说</t>
  </si>
  <si>
    <t>设定严密，衍生出很多同人作品。合成获得西游记小说</t>
  </si>
  <si>
    <t>西游记小说</t>
  </si>
  <si>
    <t>神魔玄幻的世界，由此洞开~合成获得三国漫画</t>
  </si>
  <si>
    <t>三国漫画</t>
  </si>
  <si>
    <t>同人作品，讲述别样的趣味三国。合成获得封神漫画</t>
  </si>
  <si>
    <t>封神漫画</t>
  </si>
  <si>
    <t>着重讲述妲己与纣王的爱情故事。合成获得西游漫画</t>
  </si>
  <si>
    <t>西游漫画</t>
  </si>
  <si>
    <t>讲述西游背后的阴谋。合成获得三国动漫</t>
  </si>
  <si>
    <t>三国动漫</t>
  </si>
  <si>
    <t>经典动画，再看依然惆怅。合成获得封神动漫</t>
  </si>
  <si>
    <t>封神动漫</t>
  </si>
  <si>
    <t>故事的开头，要从一个三岁小孩讲起。合成获得西游动漫</t>
  </si>
  <si>
    <t>西游动漫</t>
  </si>
  <si>
    <t>总是幻想自己也有一根棍子~合成获得水浒游戏</t>
  </si>
  <si>
    <t>水浒游戏</t>
  </si>
  <si>
    <t>替天行道！快意恩仇！合成获得三国游戏</t>
  </si>
  <si>
    <t>三国游戏</t>
  </si>
  <si>
    <t>改写历史，朝着心目中的未来前进！合成获得封神游戏</t>
  </si>
  <si>
    <t>封神游戏</t>
  </si>
  <si>
    <t>一直在研究装备、技能的搭配，停不下来~合成获得西游游戏</t>
  </si>
  <si>
    <t>西游游戏</t>
  </si>
  <si>
    <t>终于圆了小时候的梦想！已合成最高级</t>
  </si>
  <si>
    <t>西游主题书签</t>
  </si>
  <si>
    <t>金箍棒带来好运！合成获得关二爷贴纸</t>
  </si>
  <si>
    <t>关二爷贴纸</t>
  </si>
  <si>
    <t>关圣帝君驱魔辟邪！合成获得哪吒主题吧唧</t>
  </si>
  <si>
    <t>哪吒主题吧唧</t>
  </si>
  <si>
    <t>可爱的莲花徽章，一直挂着。合成获得妲己亚克力挂件</t>
  </si>
  <si>
    <t>妲己亚克力挂件</t>
  </si>
  <si>
    <t>偶尔觉得，自己也有狐狸的血脉。合成获得姜太公钓鱼立牌</t>
  </si>
  <si>
    <t>姜太公钓鱼立牌</t>
  </si>
  <si>
    <t>告诫自己，要有耐心。合成获得哪吒主题卡套</t>
  </si>
  <si>
    <t>哪吒主题卡套</t>
  </si>
  <si>
    <t>红色卡套，自带祝福~合成获得周郎钢笔</t>
  </si>
  <si>
    <t>周郎钢笔</t>
  </si>
  <si>
    <t>羽扇纶巾、雄姿英发~合成获得大圣蟠桃零钱袋</t>
  </si>
  <si>
    <t>大圣蟠桃零钱袋</t>
  </si>
  <si>
    <t>我那么大一个桃子去哪儿了？合成获得青龙偃月小刀</t>
  </si>
  <si>
    <t>青龙偃月小刀</t>
  </si>
  <si>
    <t>一把玩具刀，孩子们会很喜欢。合成获得悟能水杯</t>
  </si>
  <si>
    <t>悟能水杯</t>
  </si>
  <si>
    <t>圆润精致，既能当手办，又能喝水。合成获得Q版三藏摆件</t>
  </si>
  <si>
    <t>Q版三藏摆件</t>
  </si>
  <si>
    <t>可惜他不能用来装水~合成获得哪吒抱枕</t>
  </si>
  <si>
    <t>哪吒抱枕</t>
  </si>
  <si>
    <t>梦到我也有了风火轮，可以飞天！合成获得悟空联名痛包</t>
  </si>
  <si>
    <t>悟空联名痛包</t>
  </si>
  <si>
    <t>有了这包，就是班里最潮的小孩。已合成最高级</t>
  </si>
  <si>
    <t>漫展票根</t>
  </si>
  <si>
    <t>拍照、上传朋友圈、点赞一条龙。合成获得二次元湿巾</t>
  </si>
  <si>
    <t>二次元湿巾</t>
  </si>
  <si>
    <t>可以不好用，但必须可爱！合成获得暖身贴</t>
  </si>
  <si>
    <t>暖身贴</t>
  </si>
  <si>
    <t>艾草暖身贴，能调理身体！合成获得不织布挂件</t>
  </si>
  <si>
    <t>不织布挂件</t>
  </si>
  <si>
    <t>带上了这个，被搭讪次数显著增多。合成获得补妆镜</t>
  </si>
  <si>
    <t>补妆镜</t>
  </si>
  <si>
    <t>重新补上美美的妆~合成获得美妆包</t>
  </si>
  <si>
    <t>美妆包</t>
  </si>
  <si>
    <t>随身携带，时刻保持白皙皮肤~合成获得充电宝</t>
  </si>
  <si>
    <t>充电宝</t>
  </si>
  <si>
    <t>功能还是其次，顺眼的外形最重要！合成获得自拍杆</t>
  </si>
  <si>
    <t>自拍杆</t>
  </si>
  <si>
    <t>魔法少女变变变！合成获得应援扇</t>
  </si>
  <si>
    <t>应援扇</t>
  </si>
  <si>
    <t>今天是我喜欢角色的生日耶。合成获得角色应援棒</t>
  </si>
  <si>
    <t>角色应援棒</t>
  </si>
  <si>
    <t>其实，我是粉蓝CP档~合成获得二次元痛包</t>
  </si>
  <si>
    <t>二次元痛包</t>
  </si>
  <si>
    <t>龙猫的大嘴里装满了装备。合成获得小相机</t>
  </si>
  <si>
    <t>小相机</t>
  </si>
  <si>
    <t>随时捕捉Coser，记录每一个瞬间。合成获得电动行李箱</t>
  </si>
  <si>
    <t>电动行李箱</t>
  </si>
  <si>
    <t>废了好大劲赶来，多亏它省了很多功夫。已合成最高级</t>
  </si>
  <si>
    <t>简易塑料袋</t>
  </si>
  <si>
    <t>商城里送的袋子。合成获得小纸袋</t>
  </si>
  <si>
    <t>小纸袋</t>
  </si>
  <si>
    <t>买电子产品时送的袋子。合成获得铝箔袋</t>
  </si>
  <si>
    <t>铝箔袋</t>
  </si>
  <si>
    <t>装食品用的袋子，安全卫生。合成获得防水袋</t>
  </si>
  <si>
    <t>防水袋</t>
  </si>
  <si>
    <t>手机放里面，不怕坏。合成获得仓鼠背包</t>
  </si>
  <si>
    <t>仓鼠背包</t>
  </si>
  <si>
    <t>背上后触发仓鼠症。合成获得猫猫背包</t>
  </si>
  <si>
    <t>猫猫背包</t>
  </si>
  <si>
    <t>人喜欢，猫也喜欢。合成获得小马背包</t>
  </si>
  <si>
    <t>小马背包</t>
  </si>
  <si>
    <t>两侧有翅膀，心理上让人觉得轻松。合成获得小怪物背包</t>
  </si>
  <si>
    <t>小怪物背包</t>
  </si>
  <si>
    <t>“吼，怪物来吃你喽~”合成获得太空人背包</t>
  </si>
  <si>
    <t>太空人背包</t>
  </si>
  <si>
    <t>如果在太空，那么背再多也不重。合成获得咩咩背包</t>
  </si>
  <si>
    <t>咩咩背包</t>
  </si>
  <si>
    <t>限量款珍稀背包，得到的会成为孩子王！已合成最高级</t>
  </si>
  <si>
    <t>简易塑料袋[V]</t>
  </si>
  <si>
    <t>商城里送的袋子。合成获得小纸袋[V]</t>
  </si>
  <si>
    <t>小纸袋[V]</t>
  </si>
  <si>
    <t>买电子产品时送的袋子。合成获得铝箔袋[V]</t>
  </si>
  <si>
    <t>铝箔袋[V]</t>
  </si>
  <si>
    <t>装食品用的袋子，安全卫生。合成获得防水袋[V]</t>
  </si>
  <si>
    <t>防水袋[V]</t>
  </si>
  <si>
    <t>手机放里面，不怕坏。合成获得仓鼠背包[V]</t>
  </si>
  <si>
    <t>仓鼠背包[V]</t>
  </si>
  <si>
    <t>背上后触发仓鼠症。合成获得猫猫背包[V]</t>
  </si>
  <si>
    <t>猫猫背包[V]</t>
  </si>
  <si>
    <t>人喜欢，猫也喜欢。合成获得小马背包[V]</t>
  </si>
  <si>
    <t>小马背包[V]</t>
  </si>
  <si>
    <t>两侧有翅膀，心理上让人觉得轻松。合成获得小怪物背包[V]</t>
  </si>
  <si>
    <t>小怪物背包[V]</t>
  </si>
  <si>
    <t>“吼，怪物来吃你喽~”合成获得太空人背包[V]</t>
  </si>
  <si>
    <t>太空人背包[V]</t>
  </si>
  <si>
    <t>如果在太空，那么背再多也不重。合成获得咩咩背包[V]</t>
  </si>
  <si>
    <t>咩咩背包[V]</t>
  </si>
  <si>
    <t>运动饮料</t>
  </si>
  <si>
    <t>补充大量电解质、水分。合成获得能量饮品</t>
  </si>
  <si>
    <t>能量饮品</t>
  </si>
  <si>
    <t>提神醒脑、补充能量。合成获得果泥</t>
  </si>
  <si>
    <t>果泥</t>
  </si>
  <si>
    <t>水果制作，有效弥补维生素。合成获得压缩饼干</t>
  </si>
  <si>
    <t>压缩饼干</t>
  </si>
  <si>
    <t>不要吃太多，喝水后会膨胀哦~合成获得压缩蔬菜包</t>
  </si>
  <si>
    <t>压缩蔬菜包</t>
  </si>
  <si>
    <t>小小一袋，却含有大量蔬菜。合成获得压缩肉脯</t>
  </si>
  <si>
    <t>压缩肉脯</t>
  </si>
  <si>
    <t>体力不支时，来一块吧。合成获得谷物蛋白棒</t>
  </si>
  <si>
    <t>谷物蛋白棒</t>
  </si>
  <si>
    <t>饿了没？啃一口。合成获得高蛋白棒</t>
  </si>
  <si>
    <t>高蛋白棒</t>
  </si>
  <si>
    <t>啃一口，抗一天。合成获得巧克力热量棒</t>
  </si>
  <si>
    <t>巧克力热量棒</t>
  </si>
  <si>
    <t>不玩户外，也爱吃~合成获得水果罐头</t>
  </si>
  <si>
    <t>水果罐头</t>
  </si>
  <si>
    <t>高效补充维生素，口感也不错！合成获得蔬菜罐头</t>
  </si>
  <si>
    <t>蔬菜罐头</t>
  </si>
  <si>
    <t>可以直接吃，也可以做菜。合成获得午餐肉罐头</t>
  </si>
  <si>
    <t>午餐肉罐头</t>
  </si>
  <si>
    <t>烹饪一下，就是美味！合成获得海鲜罐头</t>
  </si>
  <si>
    <t>海鲜罐头</t>
  </si>
  <si>
    <t>鱼虾往往含有丰富的蛋白质！已合成最高级</t>
  </si>
  <si>
    <t>防风打火机</t>
  </si>
  <si>
    <t>不怕被风吹灭哟。合成获得多功能折叠刀</t>
  </si>
  <si>
    <t>多功能折叠刀</t>
  </si>
  <si>
    <t>用途多多，必备物品。合成获得运动手表</t>
  </si>
  <si>
    <t>运动手表</t>
  </si>
  <si>
    <t>检测心率、血氧、呼吸，安全守护者。合成获得运动眼镜</t>
  </si>
  <si>
    <t>运动眼镜</t>
  </si>
  <si>
    <t>不易脱落，不怕划伤。合成获得对讲机</t>
  </si>
  <si>
    <t>对讲机</t>
  </si>
  <si>
    <t>没有信号的地方，可以使用它联络。合成获得动力绳</t>
  </si>
  <si>
    <t>动力绳</t>
  </si>
  <si>
    <t>不止能攀岩，还能过河、救援.合成获得登山靴</t>
  </si>
  <si>
    <t>登山靴</t>
  </si>
  <si>
    <t>征服崎岖坎坷的山路。合成获得保温杯</t>
  </si>
  <si>
    <t>保温杯</t>
  </si>
  <si>
    <t>一杯热水，温暖身心。合成获得滤水器</t>
  </si>
  <si>
    <t>滤水器</t>
  </si>
  <si>
    <t>在恶劣环境下，也能生存。合成获得头戴式照明</t>
  </si>
  <si>
    <t>头戴式照明</t>
  </si>
  <si>
    <t>去山洞探险的必备物品。合成获得登山杖</t>
  </si>
  <si>
    <t>登山杖</t>
  </si>
  <si>
    <t>对于泥土、碎石、杂草之路，很好用。合成获得冰镐</t>
  </si>
  <si>
    <t>冰镐</t>
  </si>
  <si>
    <t>冬季，高山上总是有不化的寒冰。合成获得信号枪</t>
  </si>
  <si>
    <t>信号枪</t>
  </si>
  <si>
    <t>危急关头，可以求援！已合成最高级</t>
  </si>
  <si>
    <t>捕兽夹</t>
  </si>
  <si>
    <t>饥肠辘辘，等着猎物。合成获得地图寻宝</t>
  </si>
  <si>
    <t>地图寻宝</t>
  </si>
  <si>
    <t>300年前的藏宝图，宝物还在吗？合成获得追踪脚印</t>
  </si>
  <si>
    <t>追踪脚印</t>
  </si>
  <si>
    <t>脚印的主人，似乎受伤了。合成获得救助小鹿</t>
  </si>
  <si>
    <t>救助小鹿</t>
  </si>
  <si>
    <t>好可怜的小鹿，我们来帮它吧。合成获得掏蜂窝</t>
  </si>
  <si>
    <t>掏蜂窝</t>
  </si>
  <si>
    <t>花蜜精华，归我喽~合成获得树叶画</t>
  </si>
  <si>
    <t>树叶画</t>
  </si>
  <si>
    <t>生活中只是缺少发现美的眼睛~合成获得偷猴儿酒</t>
  </si>
  <si>
    <t>偷猴儿酒</t>
  </si>
  <si>
    <t>悄悄滴，它们睡得好沉。合成获得钓鱼</t>
  </si>
  <si>
    <t>钓鱼</t>
  </si>
  <si>
    <t>悠闲的一天，从钓鱼开始吧。合成获得亲亲小鹿</t>
  </si>
  <si>
    <t>亲亲小鹿</t>
  </si>
  <si>
    <t>伤好后的小鹿，成为了我的朋友~合成获得椰子水上漂流</t>
  </si>
  <si>
    <t>椰子水上漂流</t>
  </si>
  <si>
    <t>坐在超巨型椰子上，玩水上漂流吧~合成获得探访原始部落</t>
  </si>
  <si>
    <t>探访原始部落</t>
  </si>
  <si>
    <t>神秘的图腾，古怪的氛围。合成获得泡温泉</t>
  </si>
  <si>
    <t>泡温泉</t>
  </si>
  <si>
    <t>山上的自然温泉，汩汩而涌。合成获得篝火派对</t>
  </si>
  <si>
    <t>篝火派对</t>
  </si>
  <si>
    <t>一起在星空下安然入眠~已合成最高级</t>
  </si>
  <si>
    <t>门牌</t>
  </si>
  <si>
    <t>林氏庄园的门牌。合成获得庄园路灯</t>
  </si>
  <si>
    <t>庄园路灯</t>
  </si>
  <si>
    <t>几十万的路灯，极尽奢华。合成获得庄园大门</t>
  </si>
  <si>
    <t>庄园大门</t>
  </si>
  <si>
    <t>时时维护，闪亮如新。合成获得庄园雕塑</t>
  </si>
  <si>
    <t>庄园雕塑</t>
  </si>
  <si>
    <t>请知名艺术家设计的雕塑，寓意隽永。合成获得静谧的秋千</t>
  </si>
  <si>
    <t>静谧的秋千</t>
  </si>
  <si>
    <t>小时候和哥哥一起在这儿玩耍。合成获得花园下午茶</t>
  </si>
  <si>
    <t>花园下午茶</t>
  </si>
  <si>
    <t>请闺蜜们喝亲手泡的下午茶。合成获得幽静的凉亭</t>
  </si>
  <si>
    <t>幽静的凉亭</t>
  </si>
  <si>
    <t>环境深幽，深得我的喜欢。合成获得喷泉</t>
  </si>
  <si>
    <t>喷泉</t>
  </si>
  <si>
    <t>庄园中央的喷泉，寓意带来财富。合成获得明丽窗景</t>
  </si>
  <si>
    <t>明丽窗景</t>
  </si>
  <si>
    <t>睡前总是想着星与月坠落之夜。合成获得林氏庄园</t>
  </si>
  <si>
    <t>这一世，我不再允许它被卖掉！已合成最高级</t>
  </si>
  <si>
    <t>门牌[V]</t>
  </si>
  <si>
    <t>林氏庄园的门牌。合成获得路灯[V]</t>
  </si>
  <si>
    <t>路灯[V]</t>
  </si>
  <si>
    <t>几十万的路灯，极尽奢华。合成获得庄园大门[V]</t>
  </si>
  <si>
    <t>庄园大门[V]</t>
  </si>
  <si>
    <t>时时维护，闪亮如新。合成获得庄园雕塑[V]</t>
  </si>
  <si>
    <t>庄园雕塑[V]</t>
  </si>
  <si>
    <t>请知名艺术家设计的雕塑，寓意隽永。合成获得静谧的秋千[V]</t>
  </si>
  <si>
    <t>静谧的秋千[V]</t>
  </si>
  <si>
    <t>小时候和哥哥一起在这儿玩耍。合成获得花园下午茶[V]</t>
  </si>
  <si>
    <t>花园下午茶[V]</t>
  </si>
  <si>
    <t>请闺蜜们喝亲手泡的下午茶。合成获得幽静的凉亭[V]</t>
  </si>
  <si>
    <t>幽静的凉亭[V]</t>
  </si>
  <si>
    <t>环境深幽，深得我的喜欢。合成获得喷泉[V]</t>
  </si>
  <si>
    <t>喷泉[V]</t>
  </si>
  <si>
    <t>庄园中央的喷泉，寓意带来财富。合成获得明丽窗景[V]</t>
  </si>
  <si>
    <t>明丽窗景[V]</t>
  </si>
  <si>
    <t>睡前总是想着星与月坠落之夜。合成获得林氏庄园[V]</t>
  </si>
  <si>
    <t>林氏庄园[V]</t>
  </si>
  <si>
    <t>剧本</t>
  </si>
  <si>
    <t>每天背台本的时候，是最痛苦的时光~合成获得胶带</t>
  </si>
  <si>
    <t>胶带</t>
  </si>
  <si>
    <t>万能胶带，啥都能黏上。合成获得反光板</t>
  </si>
  <si>
    <t>反光板</t>
  </si>
  <si>
    <t>请把C位给我！合成获得导演耳机</t>
  </si>
  <si>
    <t>导演耳机</t>
  </si>
  <si>
    <t>也想体验一下当导演的感觉。合成获得场记板</t>
  </si>
  <si>
    <t>场记板</t>
  </si>
  <si>
    <t>写着今天要拍哪些戏。合成获得胶卷</t>
  </si>
  <si>
    <t>胶卷</t>
  </si>
  <si>
    <t>长长的胶卷是每天的成果。合成获得灯棒</t>
  </si>
  <si>
    <t>灯棒</t>
  </si>
  <si>
    <t>需要人手举着。合成获得打光灯</t>
  </si>
  <si>
    <t>打光灯</t>
  </si>
  <si>
    <t>昏黄的灯光，营造出浪漫的意境。合成获得长筒摄影机</t>
  </si>
  <si>
    <t>长筒摄影机</t>
  </si>
  <si>
    <t>专业级设备，超级贵。合成获得服装箱</t>
  </si>
  <si>
    <t>服装箱</t>
  </si>
  <si>
    <t>里面的衣服要重新烫一遍才能穿。合成获得化妆箱</t>
  </si>
  <si>
    <t>化妆箱</t>
  </si>
  <si>
    <t>今天化的是前世的天真少女妆。合成获得影视道具箱</t>
  </si>
  <si>
    <t>影视道具箱</t>
  </si>
  <si>
    <t>塞满了各种杂物。合成获得导演车</t>
  </si>
  <si>
    <t>导演车</t>
  </si>
  <si>
    <t>整个班子跟着导演车跑~已合成最高级</t>
  </si>
  <si>
    <t>小台灯</t>
  </si>
  <si>
    <t>其实只是一个壳子。合成获得固定电话</t>
  </si>
  <si>
    <t>固定电话</t>
  </si>
  <si>
    <t>有关商业机密的戏份，要用到它。合成获得酒杯组合</t>
  </si>
  <si>
    <t>酒杯组合</t>
  </si>
  <si>
    <t>不是真酒，只是紫色饮料。合成获得名贵犬种</t>
  </si>
  <si>
    <t>名贵犬种</t>
  </si>
  <si>
    <t>租来的小狗，很可爱，想养。合成获得精致小桌</t>
  </si>
  <si>
    <t>精致小桌</t>
  </si>
  <si>
    <t>很多闺蜜离间的戏码，在此展开。合成获得甜品车</t>
  </si>
  <si>
    <t>甜品车</t>
  </si>
  <si>
    <t>可惜道具不能吃。合成获得原木沙发</t>
  </si>
  <si>
    <t>原木沙发</t>
  </si>
  <si>
    <t>也是租的，不敢坐的太用力。合成获得古典钢琴</t>
  </si>
  <si>
    <t>古典钢琴</t>
  </si>
  <si>
    <t>弹钢琴的桥段，用的是替身加CG技术。合成获得沙发读书角</t>
  </si>
  <si>
    <t>沙发读书角</t>
  </si>
  <si>
    <t>有因为焦虑，而在沙发上入睡的戏。合成获得书柜</t>
  </si>
  <si>
    <t>书柜</t>
  </si>
  <si>
    <t>重要的商业机密就藏在书柜中！合成获得主角的衣架</t>
  </si>
  <si>
    <t>主角的衣架</t>
  </si>
  <si>
    <t>前世的主角，是个无忧无虑的大小姐。合成获得主角的大床</t>
  </si>
  <si>
    <t>主角的大床</t>
  </si>
  <si>
    <t>某日我睁开眼睛，眼前浮现了熟悉的天花板。合成获得豪华长桌</t>
  </si>
  <si>
    <t>豪华长桌</t>
  </si>
  <si>
    <t>一些重要的家族戏码在此发生。已合成最高级</t>
  </si>
  <si>
    <t>林南客（前世）</t>
  </si>
  <si>
    <t>前世的我是个傻白甜，被人骗走了商业机密。合成获得林远鹿</t>
  </si>
  <si>
    <t>林远鹿</t>
  </si>
  <si>
    <t>这是我爸，辛苦打拼的富一代，小时候常常不回家。合成获得孙美香</t>
  </si>
  <si>
    <t>孙美香</t>
  </si>
  <si>
    <t>这是我妈，饭菜做得超好吃！合成获得刘速豹</t>
  </si>
  <si>
    <t>刘速豹</t>
  </si>
  <si>
    <t>刘氏兄妹的爸爸，目前半退休状态。合成获得吴英狮</t>
  </si>
  <si>
    <t>吴英狮</t>
  </si>
  <si>
    <t>刘氏兄妹的妈妈，商业女强人，退休后喜欢户外。合成获得赵虎鹦</t>
  </si>
  <si>
    <t>赵虎鹦</t>
  </si>
  <si>
    <t>赵白鸽的爸爸，据说有绯闻传出......合成获得边牧侦探</t>
  </si>
  <si>
    <t>边牧侦探</t>
  </si>
  <si>
    <t>私家侦探，帮我查出了上一世害我的真凶！合成获得刘小狐</t>
  </si>
  <si>
    <t>刘小狐</t>
  </si>
  <si>
    <t>上一世唆使我偷商业机密，亏我曾把她当作好闺蜜，合成获得赵白鸽</t>
  </si>
  <si>
    <t>赵白鸽</t>
  </si>
  <si>
    <t>一切的谜团，都在2个赵白鸽身上。合成获得林小狼</t>
  </si>
  <si>
    <t>林小狼</t>
  </si>
  <si>
    <t>这是我哥，可奶狗可狼狗。这一世我要拯救他！合成获得刘明虎</t>
  </si>
  <si>
    <t>刘明虎</t>
  </si>
  <si>
    <t>曾与我定下娃娃亲，上一世最落魄时他也想帮我...合成获得赵黑鸦</t>
  </si>
  <si>
    <t>赵黑鸦</t>
  </si>
  <si>
    <t>即使在下水道中，也仰望着天空......合成获得林南客（已黑化）</t>
  </si>
  <si>
    <t>林南客（已黑化）</t>
  </si>
  <si>
    <t>我手下留情了，因为她眼中的那一抹色彩让我感到熟悉~已合成最高级</t>
  </si>
  <si>
    <t>迎宾气球</t>
  </si>
  <si>
    <t>举办舞会前，会摆放一些气泡。合成获得迎宾牌</t>
  </si>
  <si>
    <t>迎宾牌</t>
  </si>
  <si>
    <t>上面写清了舞会地点和时间。合成获得典致迎宾牌</t>
  </si>
  <si>
    <t>典致迎宾牌</t>
  </si>
  <si>
    <t>上面还标注了饭点。合成获得鲜花烛台</t>
  </si>
  <si>
    <t>鲜花烛台</t>
  </si>
  <si>
    <t>水上明火的造景，颇为奇特。合成获得宴会桌</t>
  </si>
  <si>
    <t>宴会桌</t>
  </si>
  <si>
    <t>每张桌子都价值连城。合成获得香槟塔</t>
  </si>
  <si>
    <t>香槟塔</t>
  </si>
  <si>
    <t>喝尽香槟，主宾狂欢~合成获得司仪台</t>
  </si>
  <si>
    <t>司仪台</t>
  </si>
  <si>
    <t>司仪上台为大家祝酒。合成获得舞会厅</t>
  </si>
  <si>
    <t>舞会厅</t>
  </si>
  <si>
    <t>空间开阔，方便大家尽情舞蹈。合成获得宴客厅</t>
  </si>
  <si>
    <t>宴客厅</t>
  </si>
  <si>
    <t>休息一会儿，用甜点填点肚子~合成获得狂欢晚宴厅</t>
  </si>
  <si>
    <t>狂欢晚宴厅</t>
  </si>
  <si>
    <t>香槟、甜品、还有假面舞会，今天不醉不归~已合成最高级</t>
  </si>
  <si>
    <t>迎宾气球[V]</t>
  </si>
  <si>
    <t>举办舞会前，会摆放一些气泡。合成获得迎宾牌[V]</t>
  </si>
  <si>
    <t>迎宾牌[V]</t>
  </si>
  <si>
    <t>上面写清了舞会地点和时间。合成获得典致迎宾牌[V]</t>
  </si>
  <si>
    <t>典致迎宾牌[V]</t>
  </si>
  <si>
    <t>上面还标注了饭点。合成获得鲜花烛台[V]</t>
  </si>
  <si>
    <t>鲜花烛台[V]</t>
  </si>
  <si>
    <t>水上明火的造景，颇为奇特。合成获得宴会桌[V]</t>
  </si>
  <si>
    <t>宴会桌[V]</t>
  </si>
  <si>
    <t>每张桌子都价值连城。合成获得香槟塔[V]</t>
  </si>
  <si>
    <t>香槟塔[V]</t>
  </si>
  <si>
    <t>喝尽香槟，主宾狂欢~合成获得司仪台[V]</t>
  </si>
  <si>
    <t>司仪台[V]</t>
  </si>
  <si>
    <t>司仪上台为大家祝酒。合成获得舞会厅[V]</t>
  </si>
  <si>
    <t>舞会厅[V]</t>
  </si>
  <si>
    <t>空间开阔，方便大家尽情舞蹈。合成获得宴客厅[V]</t>
  </si>
  <si>
    <t>宴客厅[V]</t>
  </si>
  <si>
    <t>休息一会儿，用甜点填点肚子~合成获得狂欢晚宴厅[V]</t>
  </si>
  <si>
    <t>狂欢晚宴厅[V]</t>
  </si>
  <si>
    <t>金边地毯</t>
  </si>
  <si>
    <t>纯手动制作，花纹细腻华美~合成获得流水烛灯</t>
  </si>
  <si>
    <t>流水烛灯</t>
  </si>
  <si>
    <t>营造了一种幽深的氛围。合成获得鲜花鸟笼</t>
  </si>
  <si>
    <t>鲜花鸟笼</t>
  </si>
  <si>
    <t>体现主人家的雄厚财力。合成获得鎏金礼物架</t>
  </si>
  <si>
    <t>鎏金礼物架</t>
  </si>
  <si>
    <t>每位客人都可以获得一份礼物~合成获得留声机</t>
  </si>
  <si>
    <t>留声机</t>
  </si>
  <si>
    <t>留声机配黑胶，彰显的是一种品味。合成获得西洋棋盘</t>
  </si>
  <si>
    <t>西洋棋盘</t>
  </si>
  <si>
    <t>不论有没有人下，总要准备一桌。合成获得毛巾保管箱</t>
  </si>
  <si>
    <t>毛巾保管箱</t>
  </si>
  <si>
    <t>由侍者为每位宾客送上毛巾。合成获得古典香氛机</t>
  </si>
  <si>
    <t>古典香氛机</t>
  </si>
  <si>
    <t>淡淡的芬芳的花香逐渐充满空间。合成获得私人藏品台</t>
  </si>
  <si>
    <t>私人藏品台</t>
  </si>
  <si>
    <t>收藏了世界上仅几枚的珠宝。合成获得鹿首像</t>
  </si>
  <si>
    <t>鹿首像</t>
  </si>
  <si>
    <t>是主人打猎所获。合成获得管弦乐队</t>
  </si>
  <si>
    <t>管弦乐队</t>
  </si>
  <si>
    <t>一场盛大的舞会怎么少得了乐队呢~合成获得浪漫花丛钢琴</t>
  </si>
  <si>
    <t>浪漫花丛钢琴</t>
  </si>
  <si>
    <t>虽然很美丽，但应该没人弹。合成获得观星台</t>
  </si>
  <si>
    <t>观星台</t>
  </si>
  <si>
    <t>眺望天上的星星，万千思绪流落。已合成最高级</t>
  </si>
  <si>
    <t>可爱吐司面包</t>
  </si>
  <si>
    <t>呜呜呜，真不忍心吃它。合成获得生菜三明治</t>
  </si>
  <si>
    <t>生菜三明治</t>
  </si>
  <si>
    <t>营养均衡，味道鲜美。合成获得奶油泡芙</t>
  </si>
  <si>
    <t>奶油泡芙</t>
  </si>
  <si>
    <t>甜甜腻腻，热量炸弹！合成获得蓝莓黄油三明治</t>
  </si>
  <si>
    <t>蓝莓黄油三明治</t>
  </si>
  <si>
    <t>一口吃下去，醇香美味！合成获得慕斯草莓蛋糕</t>
  </si>
  <si>
    <t>慕斯草莓蛋糕</t>
  </si>
  <si>
    <t>冰冰凉凉，孩子们的最爱。合成获得蜜桃蓝莓慕斯杯</t>
  </si>
  <si>
    <t>蜜桃蓝莓慕斯杯</t>
  </si>
  <si>
    <t>一口、两口、三口，没了！合成获得鱼子酱蛋糕</t>
  </si>
  <si>
    <t>鱼子酱蛋糕</t>
  </si>
  <si>
    <t>奇特的配方，味道却不赖。合成获得多彩甜甜圈</t>
  </si>
  <si>
    <t>多彩甜甜圈</t>
  </si>
  <si>
    <t>好吃到一地狼藉。合成获得高塔巧克力</t>
  </si>
  <si>
    <t>高塔巧克力</t>
  </si>
  <si>
    <t>炫技之作，吃起来不太方便。合成获得千层生日蛋糕</t>
  </si>
  <si>
    <t>千层生日蛋糕</t>
  </si>
  <si>
    <t>高高大大，分给全舞会的人吃。合成获得甜点架</t>
  </si>
  <si>
    <t>甜点架</t>
  </si>
  <si>
    <t>点心精致，食欲盎然。合成获得甜点台</t>
  </si>
  <si>
    <t>甜点台</t>
  </si>
  <si>
    <t>色彩缤纷，气味香甜~合成获得甜点自助台</t>
  </si>
  <si>
    <t>甜点自助台</t>
  </si>
  <si>
    <t>一手吃，一手抓，很快就吃饱啦~已合成最高级</t>
  </si>
  <si>
    <t>萌蛙假面</t>
  </si>
  <si>
    <t>可爱萌蛙，充满青春活力。合成获得智鼠假面</t>
  </si>
  <si>
    <t>智鼠假面</t>
  </si>
  <si>
    <t>狡黠的鼠鼠，小心被骗哦~合成获得敏兔假面</t>
  </si>
  <si>
    <t>敏兔假面</t>
  </si>
  <si>
    <t>跳起舞来，蹦蹦跳跳迅捷有力。合成获得美羊假面</t>
  </si>
  <si>
    <t>美羊假面</t>
  </si>
  <si>
    <t>美丽优雅集于一身~合成获得红粉佳人假面</t>
  </si>
  <si>
    <t>红粉佳人假面</t>
  </si>
  <si>
    <t>爱的炽烈，爱的火热。合成获得黑夜诱惑假面</t>
  </si>
  <si>
    <t>黑夜诱惑假面</t>
  </si>
  <si>
    <t>仿佛心甘情愿走到了蛛网中。合成获得魅惑紫意假面</t>
  </si>
  <si>
    <t>魅惑紫意假面</t>
  </si>
  <si>
    <t>好似翩翩起舞的蝴蝶。合成获得原始激情假面</t>
  </si>
  <si>
    <t>原始激情假面</t>
  </si>
  <si>
    <t>使用鸟羽、兽毛、野花制成，原始美感。合成获得森之女巫假面</t>
  </si>
  <si>
    <t>森之女巫假面</t>
  </si>
  <si>
    <t>或许假面底下是一位真正的女巫。合成获得电子姬假面</t>
  </si>
  <si>
    <t>电子姬假面</t>
  </si>
  <si>
    <t>充满未来、科技感，仿若真正的机器人。合成获得鲛人公主假面</t>
  </si>
  <si>
    <t>鲛人公主假面</t>
  </si>
  <si>
    <t>海洋的珍宝尽倾注成这副假面。合成获得凤凰来仪假面</t>
  </si>
  <si>
    <t>凤凰来仪假面</t>
  </si>
  <si>
    <t>仿若有了凤凰的神性。合成获得天使临尘假面</t>
  </si>
  <si>
    <t>天使临尘假面</t>
  </si>
  <si>
    <t>神圣、圣洁、美丽，好似天使下凡。已合成最高级</t>
  </si>
  <si>
    <t>燎炬</t>
  </si>
  <si>
    <t>可以插在架子上的大型火把，较亮。合成获得尼龙绳索</t>
  </si>
  <si>
    <t>尼龙绳索</t>
  </si>
  <si>
    <t>好用的东西，结实耐用。合成获得飞爪</t>
  </si>
  <si>
    <t>飞爪</t>
  </si>
  <si>
    <t>攀爬险地的必备之物。合成获得洛阳铲</t>
  </si>
  <si>
    <t>洛阳铲</t>
  </si>
  <si>
    <t>考古过程中用于挖掘土壤。合成获得考古工具盒</t>
  </si>
  <si>
    <t>考古工具盒</t>
  </si>
  <si>
    <t>考古工具，一应俱全。合成获得篝火堆</t>
  </si>
  <si>
    <t>篝火堆</t>
  </si>
  <si>
    <t>熊熊大火，驱散黑暗中的不安。合成获得考古营地雏形</t>
  </si>
  <si>
    <t>考古营地雏形</t>
  </si>
  <si>
    <t>先把东西准备好，预备扎营！合成获得考古营地</t>
  </si>
  <si>
    <t>舒服的营地，但是缺点防御力。合成获得辟邪营地</t>
  </si>
  <si>
    <t>辟邪营地</t>
  </si>
  <si>
    <t>撒上雄黄粉，贴上符，这下安全了！合成获得镇魔营地</t>
  </si>
  <si>
    <t>镇魔营地</t>
  </si>
  <si>
    <t>连法器也一并挂上，邪魔退散！已合成最高级</t>
  </si>
  <si>
    <t>燎炬[V]</t>
  </si>
  <si>
    <t>可以插在架子上的大型火把，较亮。合成获得尼龙绳索[V]</t>
  </si>
  <si>
    <t>尼龙绳索[V]</t>
  </si>
  <si>
    <t>好用的东西，结实耐用。合成获得飞爪[V]</t>
  </si>
  <si>
    <t>飞爪[V]</t>
  </si>
  <si>
    <t>攀爬险地的必备之物。合成获得洛阳铲[V]</t>
  </si>
  <si>
    <t>洛阳铲[V]</t>
  </si>
  <si>
    <t>考古过程中用于挖掘土壤。合成获得考古工具盒[V]</t>
  </si>
  <si>
    <t>考古工具盒[V]</t>
  </si>
  <si>
    <t>考古工具，一应俱全。合成获得篝火堆[V]</t>
  </si>
  <si>
    <t>篝火堆[V]</t>
  </si>
  <si>
    <t>熊熊大火，驱散黑暗中的不安。合成获得考古营地雏形[V]</t>
  </si>
  <si>
    <t>考古营地雏形[V]</t>
  </si>
  <si>
    <t>先把东西准备好，预备扎营！合成获得考古营地[V]</t>
  </si>
  <si>
    <t>考古营地[V]</t>
  </si>
  <si>
    <t>舒服的营地，但是缺点防御力。合成获得辟邪营地[V]</t>
  </si>
  <si>
    <t>辟邪营地[V]</t>
  </si>
  <si>
    <t>撒上雄黄粉，贴上符，这下安全了！合成获得镇魔营地[V]</t>
  </si>
  <si>
    <t>镇魔营地[V]</t>
  </si>
  <si>
    <t>艾草香包</t>
  </si>
  <si>
    <t>驱虫效果绝佳。合成获得一盆糯米</t>
  </si>
  <si>
    <t>一盆糯米</t>
  </si>
  <si>
    <t>糯米阳气旺盛，可以辟邪。合成获得一罐雄黄粉</t>
  </si>
  <si>
    <t>一罐雄黄粉</t>
  </si>
  <si>
    <t>雄黄粉洒在四周，可以驱赶蛇虫。合成获得朱砂手串</t>
  </si>
  <si>
    <t>朱砂手串</t>
  </si>
  <si>
    <t>清心安神，辟邪清肝。合成获得一桶黑狗血</t>
  </si>
  <si>
    <t>一桶黑狗血</t>
  </si>
  <si>
    <t>可以破邪祟。合成获得一对黑驴蹄子</t>
  </si>
  <si>
    <t>一对黑驴蹄子</t>
  </si>
  <si>
    <t>能够克制邪物，特别是粽子。合成获得虎牙项链</t>
  </si>
  <si>
    <t>虎牙项链</t>
  </si>
  <si>
    <t>虎牙至刚至阳，辟邪破秽。合成获得犀牛角</t>
  </si>
  <si>
    <t>犀牛角</t>
  </si>
  <si>
    <t>燃犀可通灵。合成获得墨斗</t>
  </si>
  <si>
    <t>墨斗</t>
  </si>
  <si>
    <t>墨斗线是克制粽子的利器。合成获得五帝钱护身符</t>
  </si>
  <si>
    <t>五帝钱护身符</t>
  </si>
  <si>
    <t>用钱币上的气运来护身。合成获得八卦镜</t>
  </si>
  <si>
    <t>八卦镜</t>
  </si>
  <si>
    <t>八卦镜可以化解煞气，镇宅驱邪。合成获得雷击桃木剑</t>
  </si>
  <si>
    <t>雷击桃木剑</t>
  </si>
  <si>
    <t>天雷，听我号令！合成获得五行阵盘</t>
  </si>
  <si>
    <t>五行阵盘</t>
  </si>
  <si>
    <t>可以布下结界，用五行之力除妖！已合成最高级</t>
  </si>
  <si>
    <t>帛书</t>
  </si>
  <si>
    <t>绢帛上的文字是无价的信息！合成获得竹简</t>
  </si>
  <si>
    <t>竹简</t>
  </si>
  <si>
    <t>一卷卷竹简，意味着文化的传承。合成获得龟甲甲骨文</t>
  </si>
  <si>
    <t>龟甲甲骨文</t>
  </si>
  <si>
    <t>可以一窥商周时期的面貌。合成获得青铜酒杯</t>
  </si>
  <si>
    <t>青铜酒杯</t>
  </si>
  <si>
    <t>古人也爱品酒。合成获得闺蜜陶俑</t>
  </si>
  <si>
    <t>闺蜜陶俑</t>
  </si>
  <si>
    <t>爱心贴贴~合成获得粉彩荷花式纪念杯</t>
  </si>
  <si>
    <t>粉彩荷花式纪念杯</t>
  </si>
  <si>
    <t>放到现代依然惊艳的设计~合成获得金蝉玉叶</t>
  </si>
  <si>
    <t>金蝉玉叶</t>
  </si>
  <si>
    <t>体验了我国古人的精湛工艺。合成获得长信宫灯</t>
  </si>
  <si>
    <t>长信宫灯</t>
  </si>
  <si>
    <t>宫女一手执灯，一手挡风，设计精巧。合成获得越王勾践剑</t>
  </si>
  <si>
    <t>越王勾践剑</t>
  </si>
  <si>
    <t>古老神器，重焕光辉。合成获得双龙白玉璧</t>
  </si>
  <si>
    <t>双龙白玉璧</t>
  </si>
  <si>
    <t>是汉代玉器制作的巅峰工艺。合成获得天子玉玺</t>
  </si>
  <si>
    <t>天子玉玺</t>
  </si>
  <si>
    <t>象征着至高的权力。合成获得后母戊鼎</t>
  </si>
  <si>
    <t>后母戊鼎</t>
  </si>
  <si>
    <t>证明了九鼎的传说确实存在。合成获得青铜神树</t>
  </si>
  <si>
    <t>青铜神树</t>
  </si>
  <si>
    <t>从中一窥三星堆人的世界。已合成最高级</t>
  </si>
  <si>
    <t>温和的年轻人</t>
  </si>
  <si>
    <t>是铁三角的军师。合成获得神秘血脉后裔</t>
  </si>
  <si>
    <t>神秘血脉后裔</t>
  </si>
  <si>
    <t>帅就完事了~合成获得粗中有细的胖子</t>
  </si>
  <si>
    <t>粗中有细的胖子</t>
  </si>
  <si>
    <t>幽默贪财，粗中有细。合成获得粽子</t>
  </si>
  <si>
    <t>粽子</t>
  </si>
  <si>
    <t>考古最怕遇见的，就是粽子，合成获得黄皮子</t>
  </si>
  <si>
    <t>黄皮子</t>
  </si>
  <si>
    <t>“你看我像个什么？”合成获得狐精</t>
  </si>
  <si>
    <t>狐精</t>
  </si>
  <si>
    <t>自古为此传出多少胭脂情事~合成获得蛇妖</t>
  </si>
  <si>
    <t>蛇妖</t>
  </si>
  <si>
    <t>她是柳家的，可不是好惹的~合成获得思归人</t>
  </si>
  <si>
    <t>思归人</t>
  </si>
  <si>
    <t>“夫君..夫君..”她终日啼诉着。合成获得萨满</t>
  </si>
  <si>
    <t>萨满</t>
  </si>
  <si>
    <t>用舞蹈，唤醒圣兽的力量。合成获得苗疆圣女</t>
  </si>
  <si>
    <t>苗疆圣女</t>
  </si>
  <si>
    <t>背叛的人，会被情蛊钻心哦~合成获得老道长</t>
  </si>
  <si>
    <t>老道长</t>
  </si>
  <si>
    <t>维护人间的平衡与正义。合成获得守护兽貔貅</t>
  </si>
  <si>
    <t>守护兽貔貅</t>
  </si>
  <si>
    <t>护卫王的陵寝，不容任何人冒犯！合成获得守护兽饕餮</t>
  </si>
  <si>
    <t>守护兽饕餮</t>
  </si>
  <si>
    <t>忠诚执行守护的任务，镇压邪魔。已合成最高级。</t>
  </si>
  <si>
    <t>塑料板凳</t>
  </si>
  <si>
    <t>简易的板凳，丢了也不心疼。合成获得折叠板凳</t>
  </si>
  <si>
    <t>折叠板凳</t>
  </si>
  <si>
    <t>可以折叠起来节省空间。合成获得坐垫</t>
  </si>
  <si>
    <t>坐垫</t>
  </si>
  <si>
    <t>中心画有好看图案的标志性坐垫。合成获得高级坐垫</t>
  </si>
  <si>
    <t>高级坐垫</t>
  </si>
  <si>
    <t>能舒服的倚靠。合成获得天然木台</t>
  </si>
  <si>
    <t>天然木台</t>
  </si>
  <si>
    <t>站得比别人略高一些。合成获得方形木台</t>
  </si>
  <si>
    <t>方形木台</t>
  </si>
  <si>
    <t>专门的登高点，视野更好。合成获得圆形木台</t>
  </si>
  <si>
    <t>圆形木台</t>
  </si>
  <si>
    <t>可以坐在坐垫上，舒服极了。合成获得水上木板台</t>
  </si>
  <si>
    <t>水上木板台</t>
  </si>
  <si>
    <t>清幽的水上环境，十分惬意。合成获得水上垫子台</t>
  </si>
  <si>
    <t>水上垫子台</t>
  </si>
  <si>
    <t>装潢豪华，如同包厢般的极致享受。合成获得水上浪漫台</t>
  </si>
  <si>
    <t>水上浪漫台</t>
  </si>
  <si>
    <t>浪漫的烟火在天边升起，此景让人沉醉。已合成最高级</t>
  </si>
  <si>
    <t>塑料板凳[V]</t>
  </si>
  <si>
    <t>简易的板凳，丢了也不心疼。合成获得折叠板凳[V]</t>
  </si>
  <si>
    <t>折叠板凳[V]</t>
  </si>
  <si>
    <t>可以折叠起来节省空间。合成获得坐垫[V]</t>
  </si>
  <si>
    <t>坐垫[V]</t>
  </si>
  <si>
    <t>中心画有好看图案的标志性坐垫。合成获得高级坐垫[V]</t>
  </si>
  <si>
    <t>高级坐垫[V]</t>
  </si>
  <si>
    <t>能舒服的倚靠。合成获得天然木台[V]</t>
  </si>
  <si>
    <t>天然木台[V]</t>
  </si>
  <si>
    <t>站得比别人略高一些。合成获得方形木台[V]</t>
  </si>
  <si>
    <t>方形木台[V]</t>
  </si>
  <si>
    <t>专门的登高点，视野更好。合成获得圆形木台[V]</t>
  </si>
  <si>
    <t>圆形木台[V]</t>
  </si>
  <si>
    <t>可以坐在坐垫上，舒服极了。合成获得水上木板台[V]</t>
  </si>
  <si>
    <t>水上木板台[V]</t>
  </si>
  <si>
    <t>清幽的水上环境，十分惬意。合成获得水上垫子台[V]</t>
  </si>
  <si>
    <t>水上垫子台[V]</t>
  </si>
  <si>
    <t>装潢豪华，如同包厢般的极致享受。合成获得水上浪漫台[V]</t>
  </si>
  <si>
    <t>水上浪漫台[V]</t>
  </si>
  <si>
    <t>团子</t>
  </si>
  <si>
    <t>一口一个，再一口两个，全没了！合成获得棉花糖</t>
  </si>
  <si>
    <t>棉花糖</t>
  </si>
  <si>
    <t>暴风吸入！合成获得刨冰</t>
  </si>
  <si>
    <t>刨冰</t>
  </si>
  <si>
    <t>适合夏天吃的冰爽刨冰。合成获得弹珠汽水</t>
  </si>
  <si>
    <t>弹珠汽水</t>
  </si>
  <si>
    <t>冰凉的碳酸饮料，让人回想起了童年。合成获得苹果糖</t>
  </si>
  <si>
    <t>苹果糖</t>
  </si>
  <si>
    <t>色泽红艳，不忍下口。合成获得章鱼小丸子</t>
  </si>
  <si>
    <t>章鱼小丸子</t>
  </si>
  <si>
    <t>咬破后，醇香满口。合成获得烤鱿鱼</t>
  </si>
  <si>
    <t>烤鱿鱼</t>
  </si>
  <si>
    <t>口感较好，嚼着吃。合成获得蔬菜煎饼</t>
  </si>
  <si>
    <t>蔬菜煎饼</t>
  </si>
  <si>
    <t>香味诱人，口水淌下。合成获得铜锣烧</t>
  </si>
  <si>
    <t>铜锣烧</t>
  </si>
  <si>
    <t>常出现在动画片中的著名食物。合成获得鲷鱼烧</t>
  </si>
  <si>
    <t>鲷鱼烧</t>
  </si>
  <si>
    <t>海鲜小吃，口感独特。合成获得烤鸡肉串</t>
  </si>
  <si>
    <t>烤鸡肉串</t>
  </si>
  <si>
    <t>大名鼎鼎的烧鸟，有独门的调料！合成获得炒面</t>
  </si>
  <si>
    <t>炒面</t>
  </si>
  <si>
    <t>营养美味，嘴馋不已。合成获得关东煮</t>
  </si>
  <si>
    <t>关东煮</t>
  </si>
  <si>
    <t>全家桶级关东煮！流口水！已合成最高级</t>
  </si>
  <si>
    <t>仙女棒</t>
  </si>
  <si>
    <t>熠熠生辉的火光，照亮了他的脸庞。合成获得吹泡泡</t>
  </si>
  <si>
    <t>吹泡泡</t>
  </si>
  <si>
    <t>彩色的泡泡，象征着美丽的愿望。合成获得歌牌</t>
  </si>
  <si>
    <t>歌牌</t>
  </si>
  <si>
    <t>趣味游戏，锻炼记忆力。合成获得糖果雕刻</t>
  </si>
  <si>
    <t>糖果雕刻</t>
  </si>
  <si>
    <t>这个游戏可没有很可怕的惩罚。合成获得折千纸鹤</t>
  </si>
  <si>
    <t>折千纸鹤</t>
  </si>
  <si>
    <t>千纸鹤象征和平与希望。合成获得智慧弹珠</t>
  </si>
  <si>
    <t>智慧弹珠</t>
  </si>
  <si>
    <t>玩着令人头大。合成获得投球游戏</t>
  </si>
  <si>
    <t>投球游戏</t>
  </si>
  <si>
    <t>连得3分，获得玩偶！合成获得羽板球</t>
  </si>
  <si>
    <t>羽板球</t>
  </si>
  <si>
    <t>活络下筋骨也不错。合成获得套圈</t>
  </si>
  <si>
    <t>套圈</t>
  </si>
  <si>
    <t>想要套中那只鹅！合成获得捞金鱼</t>
  </si>
  <si>
    <t>捞金鱼</t>
  </si>
  <si>
    <t>捞啊捞，捞啊捞。合成获得气枪</t>
  </si>
  <si>
    <t>气枪</t>
  </si>
  <si>
    <t>啪啪的气球破裂声。合成获得投壶</t>
  </si>
  <si>
    <t>投壶</t>
  </si>
  <si>
    <t>看我如何优雅的把箭投进去。合成获得沙包投掷游戏</t>
  </si>
  <si>
    <t>沙包投掷游戏</t>
  </si>
  <si>
    <t>力量、敏捷，缺一不可。已合成最高级</t>
  </si>
  <si>
    <t>猫又</t>
  </si>
  <si>
    <t>如果看到2条尾巴的猫，那就要小心哟。合成获得背书包的小孩</t>
  </si>
  <si>
    <t>背书包的小孩</t>
  </si>
  <si>
    <t>下了课的学生，也会来参加烟火大会。合成获得摸鱼的河童</t>
  </si>
  <si>
    <t>摸鱼的河童</t>
  </si>
  <si>
    <t>河童也爱看热闹。合成获得志愿者</t>
  </si>
  <si>
    <t>志愿者</t>
  </si>
  <si>
    <t>他们会协助维护现场秩序。合成获得料理大叔</t>
  </si>
  <si>
    <t>料理大叔</t>
  </si>
  <si>
    <t>好想让他当场做份料理。合成获得租赁女仆服务</t>
  </si>
  <si>
    <t>租赁女仆服务</t>
  </si>
  <si>
    <t>有女仆的烟火大会，真是份奇妙的体验~合成获得情侣-男方</t>
  </si>
  <si>
    <t>情侣-男方</t>
  </si>
  <si>
    <t>他准备了一束鲜花。合成获得情侣-女方</t>
  </si>
  <si>
    <t>情侣-女方</t>
  </si>
  <si>
    <t>她期待着一个惊喜。合成获得三味线乐手</t>
  </si>
  <si>
    <t>三味线乐手</t>
  </si>
  <si>
    <t>现场有着烘托气氛的乐手。合成获得来透气的花魁</t>
  </si>
  <si>
    <t>来透气的花魁</t>
  </si>
  <si>
    <t>偶尔，花魁也会出来透透气。合成获得大葱精</t>
  </si>
  <si>
    <t>大葱精</t>
  </si>
  <si>
    <t>世界第一的公主殿下！合成获得巫女</t>
  </si>
  <si>
    <t>巫女</t>
  </si>
  <si>
    <t>巫女小姐，在这种日子里，要为大家祈福~合成获得山神老爷爷</t>
  </si>
  <si>
    <t>山神老爷爷</t>
  </si>
  <si>
    <t>如此盛典，就连山神，也下山享受。已合成最高级</t>
  </si>
  <si>
    <t>圆形坐垫</t>
  </si>
  <si>
    <t>纷纷软软的坐垫~合成获得懒人沙发</t>
  </si>
  <si>
    <t>懒人沙发</t>
  </si>
  <si>
    <t>躺下去，就想沉入梦乡。合成获得长型沙发</t>
  </si>
  <si>
    <t>长型沙发</t>
  </si>
  <si>
    <t>和好闺蜜背对背~合成获得畅聊长桌</t>
  </si>
  <si>
    <t>畅聊长桌</t>
  </si>
  <si>
    <t>吐露心中聊不完的天。合成获得小屋轰趴</t>
  </si>
  <si>
    <t>小屋轰趴</t>
  </si>
  <si>
    <t>长毯一盖，睡意袭来。合成获得露营轰趴</t>
  </si>
  <si>
    <t>露营轰趴</t>
  </si>
  <si>
    <t>要是没有蚊子，就完美了~合成获得银幕轰趴</t>
  </si>
  <si>
    <t>银幕轰趴</t>
  </si>
  <si>
    <t>在清新的旷野，看着城市的电影。合成获得泳池轰趴</t>
  </si>
  <si>
    <t>泳池轰趴</t>
  </si>
  <si>
    <t>玩水的快乐想不到！合成获得游艇轰趴</t>
  </si>
  <si>
    <t>游艇轰趴</t>
  </si>
  <si>
    <t>迎着海风，挥洒青春。合成获得别墅轰趴</t>
  </si>
  <si>
    <t>别墅轰趴</t>
  </si>
  <si>
    <t>租个别墅、吃喝玩乐全都有！已合成最高级</t>
  </si>
  <si>
    <t>圆形坐垫[V]</t>
  </si>
  <si>
    <t>纷纷软软的坐垫~合成获得懒人沙发[V]</t>
  </si>
  <si>
    <t>懒人沙发[V]</t>
  </si>
  <si>
    <t>躺下去，就想沉入梦乡。合成获得长型沙发[V]</t>
  </si>
  <si>
    <t>长型沙发[V]</t>
  </si>
  <si>
    <t>和好闺蜜背对背~合成获得畅聊长桌[V]</t>
  </si>
  <si>
    <t>畅聊长桌[V]</t>
  </si>
  <si>
    <t>吐露心中聊不完的天。合成获得小屋轰趴[V]</t>
  </si>
  <si>
    <t>小屋轰趴[V]</t>
  </si>
  <si>
    <t>长毯一盖，睡意袭来。合成获得露营轰趴[V]</t>
  </si>
  <si>
    <t>露营轰趴[V]</t>
  </si>
  <si>
    <t>要是没有蚊子，就完美了~合成获得银幕轰趴[V]</t>
  </si>
  <si>
    <t>银幕轰趴[V]</t>
  </si>
  <si>
    <t>在清新的旷野，看着城市的电影。合成获得泳池轰趴[V]</t>
  </si>
  <si>
    <t>泳池轰趴[V]</t>
  </si>
  <si>
    <t>玩水的快乐想不到！合成获得游艇轰趴[V]</t>
  </si>
  <si>
    <t>游艇轰趴[V]</t>
  </si>
  <si>
    <t>迎着海风，挥洒青春。合成获得别墅轰趴[V]</t>
  </si>
  <si>
    <t>别墅轰趴[V]</t>
  </si>
  <si>
    <t>心形气球</t>
  </si>
  <si>
    <t>快乐轰趴，赶走烦恼！合成获得大鹅套圈</t>
  </si>
  <si>
    <t>大鹅套圈</t>
  </si>
  <si>
    <t>萌萌的大鹅，主动往圈上靠。合成获得游戏手柄</t>
  </si>
  <si>
    <t>游戏手柄</t>
  </si>
  <si>
    <t>霹雳巴拉一顿按，就打败了对手。合成获得飞镖</t>
  </si>
  <si>
    <t>飞镖</t>
  </si>
  <si>
    <t>不会算分，只会猛扎。合成获得保龄球</t>
  </si>
  <si>
    <t>保龄球</t>
  </si>
  <si>
    <t>这次总能中一个了吧？合成获得围炉煮茶</t>
  </si>
  <si>
    <t>围炉煮茶</t>
  </si>
  <si>
    <t>休憩时分，吃点甜点。合成获得歌王亮相</t>
  </si>
  <si>
    <t>歌王亮相</t>
  </si>
  <si>
    <t>麦霸出场，全部听她嚎嗓子。合成获得桌上足球</t>
  </si>
  <si>
    <t>桌上足球</t>
  </si>
  <si>
    <t>一个人即是一支球队。合成获得娃娃机</t>
  </si>
  <si>
    <t>娃娃机</t>
  </si>
  <si>
    <t>总感觉被这机器做局了。合成获得街机闯关</t>
  </si>
  <si>
    <t>街机闯关</t>
  </si>
  <si>
    <t>跳上去吃蘑菇，再跳一次踩死怪物~合成获得我是雀神</t>
  </si>
  <si>
    <t>我是雀神</t>
  </si>
  <si>
    <t>最怕有人关灯!!!合成获得绚烂灯球</t>
  </si>
  <si>
    <t>绚烂灯球</t>
  </si>
  <si>
    <t>霓虹灯光下，话语有了出口的勇气。合成获得听歌舞动</t>
  </si>
  <si>
    <t>听歌舞动</t>
  </si>
  <si>
    <t>妖娆的舞步，似魔鬼的步伐。已合成最高级</t>
  </si>
  <si>
    <t>聚会骰子</t>
  </si>
  <si>
    <t>新买的骰子，希望别马上丢，合成获得角色棋子</t>
  </si>
  <si>
    <t>角色棋子</t>
  </si>
  <si>
    <t>克莱因蓝是我的幸运色！合成获得资产</t>
  </si>
  <si>
    <t>资产</t>
  </si>
  <si>
    <t>偷偷地往口袋里多塞几张资产卡~合成获得策略卡</t>
  </si>
  <si>
    <t>策略卡</t>
  </si>
  <si>
    <t>使用策略卡逆转战局吧！合成获得起点地块</t>
  </si>
  <si>
    <t>起点地块</t>
  </si>
  <si>
    <t>棋子都要从起点出发。合成获得前进地块</t>
  </si>
  <si>
    <t>前进地块</t>
  </si>
  <si>
    <t>踩到后，可以前进2格。合成获得待购买地块</t>
  </si>
  <si>
    <t>待购买地块</t>
  </si>
  <si>
    <t>这块地皮是我的囊中之物！合成获得机会地块</t>
  </si>
  <si>
    <t>机会地块</t>
  </si>
  <si>
    <t>会发生什么有趣事件呢？合成获得停留地块</t>
  </si>
  <si>
    <t>停留地块</t>
  </si>
  <si>
    <t>呜呜呜~还有一回合才能出来。合成获得建造地块</t>
  </si>
  <si>
    <t>建造地块</t>
  </si>
  <si>
    <t>此地块建造中，敬请期待。合成获得电力厂地块</t>
  </si>
  <si>
    <t>电力厂地块</t>
  </si>
  <si>
    <t>踩到后，使其他玩家的建筑拉闸一回合！合成获得抵押地块</t>
  </si>
  <si>
    <t>抵押地块</t>
  </si>
  <si>
    <t>此地块已经被银行查封。合成获得大富翁游戏标题</t>
  </si>
  <si>
    <t>大富翁游戏标题</t>
  </si>
  <si>
    <t>小美大富翁，惊喜乐无限~已合成最高级</t>
  </si>
  <si>
    <t>园丁</t>
  </si>
  <si>
    <t>新手园丁，种植花卉获得更多金币。合成获得打铁匠</t>
  </si>
  <si>
    <t>打铁匠</t>
  </si>
  <si>
    <t>每走一步，都可以锻造出武器工具。合成获得女仆</t>
  </si>
  <si>
    <t>女仆</t>
  </si>
  <si>
    <t>善于打扫，每回合获得古董珠宝。合成获得管家</t>
  </si>
  <si>
    <t>管家</t>
  </si>
  <si>
    <t>擅长经营，总金币收益增加。合成获得骑士</t>
  </si>
  <si>
    <t>骑士</t>
  </si>
  <si>
    <t>鲁莽的骑士，可以选择发起决斗。合成获得男爵</t>
  </si>
  <si>
    <t>男爵</t>
  </si>
  <si>
    <t>受到分封，开局多获得一块土地。合成获得歌唱家</t>
  </si>
  <si>
    <t>歌唱家</t>
  </si>
  <si>
    <t>能建造专属演唱场地，向所有人收门票钱，合成获得魔术师</t>
  </si>
  <si>
    <t>魔术师</t>
  </si>
  <si>
    <t>不满意的骰子结果，可以再投一次。合成获得富商</t>
  </si>
  <si>
    <t>富商</t>
  </si>
  <si>
    <t>踩到富商地块，要付出更多金币，合成获得公爵</t>
  </si>
  <si>
    <t>公爵</t>
  </si>
  <si>
    <t>地位较高，免疫刑事诉讼。合成获得公爵夫人</t>
  </si>
  <si>
    <t>公爵夫人</t>
  </si>
  <si>
    <t>爱美一只花，购买珠宝获得更多折扣。合成获得将军</t>
  </si>
  <si>
    <t>将军</t>
  </si>
  <si>
    <t>可以征服别人的地皮。合成获得国王</t>
  </si>
  <si>
    <t>国王</t>
  </si>
  <si>
    <t>可以在游戏中颁布一条法令。已合成最高级</t>
  </si>
  <si>
    <t>齿轮</t>
  </si>
  <si>
    <t>蒸汽时代的根基与代表。合成获得护目镜</t>
  </si>
  <si>
    <t>劳作时，防止受伤。合成获得怀表</t>
  </si>
  <si>
    <t>怀表</t>
  </si>
  <si>
    <t>精密机械构造的结晶。合成获得礼帽</t>
  </si>
  <si>
    <t>礼帽</t>
  </si>
  <si>
    <t>用于凸显社会身份。合成获得煤气灯</t>
  </si>
  <si>
    <t>煤气灯</t>
  </si>
  <si>
    <t>带有时代特色的照明工具，较有危险性。合成获得机械义肢</t>
  </si>
  <si>
    <t>机械义肢</t>
  </si>
  <si>
    <t>登峰造极的蒸汽产物，仿若正常的肢体。合成获得蒸汽飞翼</t>
  </si>
  <si>
    <t>蒸汽飞翼</t>
  </si>
  <si>
    <t>军用级设备，可以单人飞行！合成获得蒸汽机器人</t>
  </si>
  <si>
    <t>蒸汽机器人</t>
  </si>
  <si>
    <t>启动时，会喷出浓厚蒸汽。合成获得蒸汽火车</t>
  </si>
  <si>
    <t>蒸汽火车</t>
  </si>
  <si>
    <t>先进的货运能力，动摇着旧秩序。合成获得蒸汽飞艇</t>
  </si>
  <si>
    <t>蒸汽飞艇</t>
  </si>
  <si>
    <t>蒸汽时代的浪漫，天空上的宴会厅！已合成最高级</t>
  </si>
  <si>
    <t>齿轮[V]</t>
  </si>
  <si>
    <t>蒸汽时代的根基与代表。合成获得护目镜[V]</t>
  </si>
  <si>
    <t>护目镜[V]</t>
  </si>
  <si>
    <t>劳作时，防止受伤。合成获得怀表[V]</t>
  </si>
  <si>
    <t>怀表[V]</t>
  </si>
  <si>
    <t>精密机械构造的结晶。合成获得礼帽[V]</t>
  </si>
  <si>
    <t>礼帽[V]</t>
  </si>
  <si>
    <t>用于凸显社会身份。合成获得煤气灯[V]</t>
  </si>
  <si>
    <t>煤气灯[V]</t>
  </si>
  <si>
    <t>带有时代特色的照明工具，较有危险性。合成获得机械义肢[V]</t>
  </si>
  <si>
    <t>机械义肢[V]</t>
  </si>
  <si>
    <t>登峰造极的蒸汽产物，仿若正常的肢体。合成获得蒸汽飞翼[V]</t>
  </si>
  <si>
    <t>蒸汽飞翼[V]</t>
  </si>
  <si>
    <t>军用级设备，可以单人飞行！合成获得蒸汽机器人[V]</t>
  </si>
  <si>
    <t>蒸汽机器人[V]</t>
  </si>
  <si>
    <t>启动时，会喷出浓厚蒸汽。合成获得蒸汽火车[V]</t>
  </si>
  <si>
    <t>蒸汽火车[V]</t>
  </si>
  <si>
    <t>先进的货运能力，动摇着旧秩序。合成获得蒸汽飞艇[V]</t>
  </si>
  <si>
    <t>蒸汽飞艇[V]</t>
  </si>
  <si>
    <t>单片眼镜</t>
  </si>
  <si>
    <t>具有神奇力量，可以看到盒子里的物品。合成获得铜哨</t>
  </si>
  <si>
    <t>铜哨</t>
  </si>
  <si>
    <t>是神秘组织内用于沟通的信号。合成获得红宝石戒指</t>
  </si>
  <si>
    <t>红宝石戒指</t>
  </si>
  <si>
    <t>具有强大的防护力量。合成获得仪式蜡烛</t>
  </si>
  <si>
    <t>仪式蜡烛</t>
  </si>
  <si>
    <t>进行仪式前的必备物品。合成获得黄铜书</t>
  </si>
  <si>
    <t>黄铜书</t>
  </si>
  <si>
    <t>里面不知藏着怎样黑暗的秘密？合成获得神秘笔记</t>
  </si>
  <si>
    <t>神秘笔记</t>
  </si>
  <si>
    <t>里面的图画，不知为何，让人疯狂...合成获得幸运天平</t>
  </si>
  <si>
    <t>幸运天平</t>
  </si>
  <si>
    <t>时而幸运，但是运气是“守恒”的。合成获得复苏手杖</t>
  </si>
  <si>
    <t>复苏手杖</t>
  </si>
  <si>
    <t>能让触碰的生灵，伤势快速恢复。合成获得星辉法杖</t>
  </si>
  <si>
    <t>星辉法杖</t>
  </si>
  <si>
    <t>脑海里浮现真实场景，便能前往。合成获得神之王冠</t>
  </si>
  <si>
    <t>神之王冠</t>
  </si>
  <si>
    <t>象征着神灵的权柄。合成获得血色战旗</t>
  </si>
  <si>
    <t>血色战旗</t>
  </si>
  <si>
    <t>0级封印物，不可描述！不可窥探！合成获得钢铁王座</t>
  </si>
  <si>
    <t>钢铁王座</t>
  </si>
  <si>
    <t>谁能登上钢与铁的王座？合成获得星界之门</t>
  </si>
  <si>
    <t>星界之门</t>
  </si>
  <si>
    <t>未知？神秘？危险？门的后面会是什么？已合成最高级</t>
  </si>
  <si>
    <t>世界</t>
  </si>
  <si>
    <t>世界的本意是达成，有耕耘，就会有收获。合成获得审判</t>
  </si>
  <si>
    <t>审判</t>
  </si>
  <si>
    <t>审判的寓意是复活，去除糟粕，取其精华。合成获得太阳</t>
  </si>
  <si>
    <t>太阳</t>
  </si>
  <si>
    <t>太阳象征知识与活力，它给以万物生命。合成获得月亮</t>
  </si>
  <si>
    <t>月亮</t>
  </si>
  <si>
    <t>月亮代表迷惑、困顿，是精神世界的桥梁。合成获得星星</t>
  </si>
  <si>
    <t>星星</t>
  </si>
  <si>
    <t>星星代表着希望，前途会无比光明。合成获得节制</t>
  </si>
  <si>
    <t>节制</t>
  </si>
  <si>
    <t>节制寓意净化、单纯、调整、平顺、互惠互利合成获得死神</t>
  </si>
  <si>
    <t>死神</t>
  </si>
  <si>
    <t>死神意味着结束，结束一段旧关系，重新出发吧。合成获得倒吊人</t>
  </si>
  <si>
    <t>倒吊人</t>
  </si>
  <si>
    <t>倒吊人意味着牺牲，接受考验，然后浴火重生。合成获得正义</t>
  </si>
  <si>
    <t>正义</t>
  </si>
  <si>
    <t>正义意味着公正，勇往直前吧~合成获得隐士</t>
  </si>
  <si>
    <t>隐士</t>
  </si>
  <si>
    <t>隐士寓意探索，请在困境中积极探索吧。合成获得皇帝</t>
  </si>
  <si>
    <t>皇帝</t>
  </si>
  <si>
    <t>皇帝象征着支配、光荣、权力、胜利。合成获得魔法师</t>
  </si>
  <si>
    <t>魔法师</t>
  </si>
  <si>
    <t>魔法师，代表权力的交流和精神的赠与。合成获得愚者</t>
  </si>
  <si>
    <t>愚者</t>
  </si>
  <si>
    <t>零，是一切的开端或者终结。已合成最高级</t>
  </si>
  <si>
    <t>黑夜教会</t>
  </si>
  <si>
    <t>暗夜燃灯，护安眠驱邪祟。合成获得大地教会</t>
  </si>
  <si>
    <t>大地教会</t>
  </si>
  <si>
    <t>拥沃土，育生机济众生。合成获得生命教会</t>
  </si>
  <si>
    <t>生命教会</t>
  </si>
  <si>
    <t>抚灵愈体，赞生命韵律。合成获得红月教会</t>
  </si>
  <si>
    <t>红月教会</t>
  </si>
  <si>
    <t>随月语，破迷局知命途。合成获得烈阳教会</t>
  </si>
  <si>
    <t>烈阳教会</t>
  </si>
  <si>
    <t>焚黑暗，以光明判不义。合成获得战神教会</t>
  </si>
  <si>
    <t>战神教会</t>
  </si>
  <si>
    <t>执利刃，凭勇武铸荣光。合成获得风暴教会</t>
  </si>
  <si>
    <t>风暴教会</t>
  </si>
  <si>
    <t>驭狂澜，调风雨护人间。合成获得丰收教会</t>
  </si>
  <si>
    <t>丰收教会</t>
  </si>
  <si>
    <t>耕希望，以丰饶馈勤恳。合成获得星界教会</t>
  </si>
  <si>
    <t>星界教会</t>
  </si>
  <si>
    <t>望星河，揭宇宙之秘辛。合成获得智慧教会</t>
  </si>
  <si>
    <t>智慧教会</t>
  </si>
  <si>
    <t>汇真知，破蒙昧启心智。合成获得机械教会</t>
  </si>
  <si>
    <t>机械教会</t>
  </si>
  <si>
    <t>研机巧，以造物拓新境。合成获得原初教会</t>
  </si>
  <si>
    <t>原初教会</t>
  </si>
  <si>
    <t>溯本源，承初始守真义。合成获得旧日教会</t>
  </si>
  <si>
    <t>旧日教会</t>
  </si>
  <si>
    <t>循古礼，传旧训护安宁。已合成最高级</t>
  </si>
  <si>
    <t>朋友请教</t>
  </si>
  <si>
    <t>打个电话向朋友请教怎么入门。合成获得从零到入门</t>
  </si>
  <si>
    <t>从零到入门</t>
  </si>
  <si>
    <t>一本关于手作入门的书籍。合成获得入门不放弃</t>
  </si>
  <si>
    <t>入门不放弃</t>
  </si>
  <si>
    <t>一本关于手作进阶的书籍。合成获得搜索一下</t>
  </si>
  <si>
    <t>搜索一下</t>
  </si>
  <si>
    <t>上网搜索手作教程视频。合成获得视频跟练</t>
  </si>
  <si>
    <t>视频跟练</t>
  </si>
  <si>
    <t>跟着视频一起做，加油！合成获得关注涨粉</t>
  </si>
  <si>
    <t>关注涨粉</t>
  </si>
  <si>
    <t>把手作视频发出后，粉丝一直增长。合成获得深度钻研</t>
  </si>
  <si>
    <t>深度钻研</t>
  </si>
  <si>
    <t>买了一本又一本书，只为更高境界！合成获得直播展示</t>
  </si>
  <si>
    <t>直播展示</t>
  </si>
  <si>
    <t>直播手工教学，舰长噌噌登舰。合成获得热卖爆单</t>
  </si>
  <si>
    <t>热卖爆单</t>
  </si>
  <si>
    <t>手作作品大受欢迎，店铺都爆单啦！合成获得授课教学</t>
  </si>
  <si>
    <t>授课教学</t>
  </si>
  <si>
    <t>已成为手工大咖，可以授课出书！已合成最高级</t>
  </si>
  <si>
    <t>朋友请教[V]</t>
  </si>
  <si>
    <t>打个电话向朋友请教怎么入门。合成获得从零到入门[V]</t>
  </si>
  <si>
    <t>从零到入门[V]</t>
  </si>
  <si>
    <t>一本关于手作入门的书籍。合成获得入门不放弃[V]</t>
  </si>
  <si>
    <t>入门不放弃[V]</t>
  </si>
  <si>
    <t>一本关于手作进阶的书籍。合成获得搜索一下[V]</t>
  </si>
  <si>
    <t>搜索一下[V]</t>
  </si>
  <si>
    <t>上网搜索手作教程视频。合成获得视频跟练[V]</t>
  </si>
  <si>
    <t>视频跟练[V]</t>
  </si>
  <si>
    <t>跟着视频一起做，加油！合成获得关注涨粉[V]</t>
  </si>
  <si>
    <t>关注涨粉[V]</t>
  </si>
  <si>
    <t>把手作视频发出后，粉丝一直增长。合成获得深度钻研[V]</t>
  </si>
  <si>
    <t>深度钻研[V]</t>
  </si>
  <si>
    <t>买了一本又一本书，只为更高境界！合成获得直播展示[V]</t>
  </si>
  <si>
    <t>直播展示[V]</t>
  </si>
  <si>
    <t>直播手工教学，舰长噌噌登舰。合成获得热卖爆单[V]</t>
  </si>
  <si>
    <t>热卖爆单[V]</t>
  </si>
  <si>
    <t>手作作品大受欢迎，店铺都爆单啦！合成获得授课教学[V]</t>
  </si>
  <si>
    <t>授课教学[V]</t>
  </si>
  <si>
    <t>穿针引线</t>
  </si>
  <si>
    <t>针线是手作的基础工具。合成获得胶带</t>
  </si>
  <si>
    <t>用胶带可以粘合物件。合成获得万能胶水</t>
  </si>
  <si>
    <t>万能胶水</t>
  </si>
  <si>
    <t>很好用的胶水，使用时要小心。合成获得勾线笔</t>
  </si>
  <si>
    <t>勾线笔</t>
  </si>
  <si>
    <t>用于勾勒线条。合成获得圆头剪刀</t>
  </si>
  <si>
    <t>圆头剪刀</t>
  </si>
  <si>
    <t>适合新手使用，防止意外伤害。合成获得裁纸刀</t>
  </si>
  <si>
    <t>裁纸刀</t>
  </si>
  <si>
    <t>不用时可以收缩起来。合成获得尼龙钳</t>
  </si>
  <si>
    <t>尼龙钳</t>
  </si>
  <si>
    <t>可以处理一些细线材。合成获得透明护目镜</t>
  </si>
  <si>
    <t>透明护目镜</t>
  </si>
  <si>
    <t>作业时，防止眼睛受到伤害。合成获得裁缝软尺</t>
  </si>
  <si>
    <t>裁缝软尺</t>
  </si>
  <si>
    <t>方便量出物体长度。合成获得切割垫板</t>
  </si>
  <si>
    <t>切割垫板</t>
  </si>
  <si>
    <t>手作过程中，用于保护桌面、工具。合成获得色纸</t>
  </si>
  <si>
    <t>色纸</t>
  </si>
  <si>
    <t>给作品套上好看的外壳。合成获得电热熔枪</t>
  </si>
  <si>
    <t>电热熔枪</t>
  </si>
  <si>
    <t>用于粘接材料，玻璃、金属、木头...合成获得小型缝纫机</t>
  </si>
  <si>
    <t>小型缝纫机</t>
  </si>
  <si>
    <t>能制作抱枕、玩偶啦~已合成最高级</t>
  </si>
  <si>
    <t>钩织小方巾</t>
  </si>
  <si>
    <t>方巾上印了一个可爱的兔兔图案。合成获得钩织小花朵</t>
  </si>
  <si>
    <t>钩织小花朵</t>
  </si>
  <si>
    <t>2朵小花，可以挂在书包、水杯等地方。合成获得钩织发夹</t>
  </si>
  <si>
    <t>钩织发夹</t>
  </si>
  <si>
    <t>买不到的绝版发卡！合成获得钩织挂件</t>
  </si>
  <si>
    <t>钩织挂件</t>
  </si>
  <si>
    <t>随处一挂，让生活更优雅~合成获得钩织盆栽</t>
  </si>
  <si>
    <t>钩织盆栽</t>
  </si>
  <si>
    <t>一盆不需要维护的盆栽。合成获得钩织财神</t>
  </si>
  <si>
    <t>钩织财神</t>
  </si>
  <si>
    <t>亲手做的玩偶，赶紧来财！合成获得钩织零钱包</t>
  </si>
  <si>
    <t>钩织零钱包</t>
  </si>
  <si>
    <t>专门换了几块硬币装里面，听个响！合成获得钩织挎包</t>
  </si>
  <si>
    <t>钩织挎包</t>
  </si>
  <si>
    <t>饿了时，看一眼就饱了。合成获得钩织背包</t>
  </si>
  <si>
    <t>钩织背包</t>
  </si>
  <si>
    <t>可爱鼠鼠，太犯规啦~合成获得钩织花毯</t>
  </si>
  <si>
    <t>钩织花毯</t>
  </si>
  <si>
    <t>好想躺在这样的毯子上，仿佛花香沁鼻。合成获得钩织围巾</t>
  </si>
  <si>
    <t>钩织围巾</t>
  </si>
  <si>
    <t>秋冬时，戴上这件围巾，既保暖又亮眼。合成获得钩织背心</t>
  </si>
  <si>
    <t>钩织背心</t>
  </si>
  <si>
    <t>市面上没有第二件的绝版背心！合成获得十字绣</t>
  </si>
  <si>
    <t>十字绣</t>
  </si>
  <si>
    <t>绝版纪念品，值得珍藏~已合成最高级</t>
  </si>
  <si>
    <t>树叶书签</t>
  </si>
  <si>
    <t>收集一千片树叶，做成一千片书签~合成获得卷纸筒摆件</t>
  </si>
  <si>
    <t>卷纸筒摆件</t>
  </si>
  <si>
    <t>精致可爱的狗狗卷纸筒。合成获得牛奶盒车</t>
  </si>
  <si>
    <t>牛奶盒车</t>
  </si>
  <si>
    <t>在梦中，开着牛奶盒车去往大草原~合成获得瓶盖风铃</t>
  </si>
  <si>
    <t>瓶盖风铃</t>
  </si>
  <si>
    <t>各式各样的瓶盖，组成了五彩的风铃。合成获得旧纸盒挂历</t>
  </si>
  <si>
    <t>旧纸盒挂历</t>
  </si>
  <si>
    <t>有实体的日历，更能存续时间的感觉。合成获得玻璃生态瓶</t>
  </si>
  <si>
    <t>玻璃生态瓶</t>
  </si>
  <si>
    <t>小小的海底世界。合成获得豆子拼图</t>
  </si>
  <si>
    <t>豆子拼图</t>
  </si>
  <si>
    <t>用各色豆子拼出美丽的图案。合成获得T恤环保袋</t>
  </si>
  <si>
    <t>T恤环保袋</t>
  </si>
  <si>
    <t>废物利用，又为世界节省了一个袋子！合成获得报纸裙子</t>
  </si>
  <si>
    <t>报纸裙子</t>
  </si>
  <si>
    <t>T台走秀上，也是夺目焦点。合成获得筷子风车</t>
  </si>
  <si>
    <t>筷子风车</t>
  </si>
  <si>
    <t>有趣的小玩具，发出吱呀呀的声音。合成获得轮胎稻草人</t>
  </si>
  <si>
    <t>轮胎稻草人</t>
  </si>
  <si>
    <t>高大的身影，能吓唬庄稼地里的鸟。合成获得竹竿置物架</t>
  </si>
  <si>
    <t>竹竿置物架</t>
  </si>
  <si>
    <t>带有植物的清香~合成获得塑料瓶帆船</t>
  </si>
  <si>
    <t>塑料瓶帆船</t>
  </si>
  <si>
    <t>水手们，咱们启航！已合成最高级</t>
  </si>
  <si>
    <t>雪花</t>
  </si>
  <si>
    <t>无数的雪花，汇聚成冰的世界。合成获得大片雪花</t>
  </si>
  <si>
    <t>大片雪花</t>
  </si>
  <si>
    <t>美丽的形状，是天然的艺术品。合成获得冰晶</t>
  </si>
  <si>
    <t>冰晶</t>
  </si>
  <si>
    <t>小块冰晶，孩子们的最爱。合成获得冰柱</t>
  </si>
  <si>
    <t>冰柱</t>
  </si>
  <si>
    <t>可以用来修建冰雪建筑。合成获得冰屋</t>
  </si>
  <si>
    <t>冰屋</t>
  </si>
  <si>
    <t>过于小巧的冰屋。只能趴着钻进去。合成获得冰雪阁楼</t>
  </si>
  <si>
    <t>冰雪阁楼</t>
  </si>
  <si>
    <t>童话小精灵最爱住的屋子。合成获得雪花迷宫</t>
  </si>
  <si>
    <t>雪花迷宫</t>
  </si>
  <si>
    <t>钻进去后，可以玩一天的捉迷藏！合成获得冰雪摩天轮</t>
  </si>
  <si>
    <t>冰雪摩天轮</t>
  </si>
  <si>
    <t>要是有魔法让其转动就好了！合成获得冰雪大教堂</t>
  </si>
  <si>
    <t>冰雪大教堂</t>
  </si>
  <si>
    <t>造型充满古典美~合成获得冰雪之冠</t>
  </si>
  <si>
    <t>冰雪之冠</t>
  </si>
  <si>
    <t>冰雪之塔，冰雪世界的最高处。已合成最高级</t>
  </si>
  <si>
    <t>雪花[V]</t>
  </si>
  <si>
    <t>无数的雪花，汇聚成冰的世界。合成获得大片雪花[V]</t>
  </si>
  <si>
    <t>大片雪花[V]</t>
  </si>
  <si>
    <t>美丽的形状，是天然的艺术品。合成获得冰晶[V]</t>
  </si>
  <si>
    <t>冰晶[V]</t>
  </si>
  <si>
    <t>小块冰晶，孩子们的最爱。合成获得冰柱[V]</t>
  </si>
  <si>
    <t>冰柱[V]</t>
  </si>
  <si>
    <t>可以用来修建冰雪建筑。合成获得冰屋[V]</t>
  </si>
  <si>
    <t>冰屋[V]</t>
  </si>
  <si>
    <t>过于小巧的冰屋。只能趴着钻进去。合成获得冰雪阁楼[V]</t>
  </si>
  <si>
    <t>冰雪阁楼[V]</t>
  </si>
  <si>
    <t>童话小精灵最爱住的屋子。合成获得雪花迷宫[V]</t>
  </si>
  <si>
    <t>雪花迷宫[V]</t>
  </si>
  <si>
    <t>钻进去后，可以玩一天的捉迷藏！合成获得冰雪摩天轮[V]</t>
  </si>
  <si>
    <t>冰雪摩天轮[V]</t>
  </si>
  <si>
    <t>要是有魔法让其转动就好了！合成获得冰雪大教堂[V]</t>
  </si>
  <si>
    <t>冰雪大教堂[V]</t>
  </si>
  <si>
    <t>造型充满古典美~合成获得冰雪之冠[V]</t>
  </si>
  <si>
    <t>冰雪之冠[V]</t>
  </si>
  <si>
    <t>冰溜子</t>
  </si>
  <si>
    <t>小心墙上挂的冰溜子，会伤人！合成获得冰灯</t>
  </si>
  <si>
    <t>冰灯</t>
  </si>
  <si>
    <t>极寒与极热组合在一起，是别样的美景。合成获得冰之绿叶</t>
  </si>
  <si>
    <t>冰之绿叶</t>
  </si>
  <si>
    <t>冰也有生机~合成获得冰心雪莲</t>
  </si>
  <si>
    <t>冰心雪莲</t>
  </si>
  <si>
    <t>降火作用极佳，甚至能灭火！合成获得冰晶翠瓶</t>
  </si>
  <si>
    <t>冰晶翠瓶</t>
  </si>
  <si>
    <t>美丽的冰雕工艺品。合成获得冰之精灵</t>
  </si>
  <si>
    <t>冰之精灵</t>
  </si>
  <si>
    <t>什么时候，能每户人家发一只呀？合成获得冰晶企鹅</t>
  </si>
  <si>
    <t>冰晶企鹅</t>
  </si>
  <si>
    <t>盼望着冬天慢些消失，企鹅再长些留存~合成获得冰晶天马</t>
  </si>
  <si>
    <t>冰晶天马</t>
  </si>
  <si>
    <t>骑上去，容易被黏住，下不来哦~合成获得冰晶熊猫</t>
  </si>
  <si>
    <t>冰晶熊猫</t>
  </si>
  <si>
    <t>建议每家每户都发一只！合成获得冰之九尾狐</t>
  </si>
  <si>
    <t>冰之九尾狐</t>
  </si>
  <si>
    <t>它没有消失，它只是变成水啦~合成获得冰晶凤凰</t>
  </si>
  <si>
    <t>冰晶凤凰</t>
  </si>
  <si>
    <t>凌烈寒风，铸就了它铁一般的翅膀。合成获得冰之魔女</t>
  </si>
  <si>
    <t>冰之魔女</t>
  </si>
  <si>
    <t>童话故事中似正似邪的存在。合成获得冰之王座</t>
  </si>
  <si>
    <t>冰之王座</t>
  </si>
  <si>
    <t>渴求力量的人，最终会坐上王座。已合成最高级</t>
  </si>
  <si>
    <t>葡萄冰</t>
  </si>
  <si>
    <t>酸酸甜甜又冰凉，真好吃！合成获得水果冰</t>
  </si>
  <si>
    <t>水果冰</t>
  </si>
  <si>
    <t>红黄绿，三色带来三种口感！合成获得白雪冰沙</t>
  </si>
  <si>
    <t>白雪冰沙</t>
  </si>
  <si>
    <t>一口下去，透心凉！合成获得蓝莓冰沙</t>
  </si>
  <si>
    <t>蓝莓冰沙</t>
  </si>
  <si>
    <t>浓郁的果酸味，让人胃口大开~合成获得草莓冰沙</t>
  </si>
  <si>
    <t>草莓冰沙</t>
  </si>
  <si>
    <t>甜甜草莓搭配上凉凉冰沙，极美味。合成获得油炸冰溜子</t>
  </si>
  <si>
    <t>油炸冰溜子</t>
  </si>
  <si>
    <t>外热内冷，油炸美味！合成获得辣条糖葫芦</t>
  </si>
  <si>
    <t>辣条糖葫芦</t>
  </si>
  <si>
    <t>辣味与甜味融合，独特的新奇口感。合成获得杨桃糖葫芦</t>
  </si>
  <si>
    <t>杨桃糖葫芦</t>
  </si>
  <si>
    <t>外形独特，像一颗颗五角星~合成获得水果糖葫芦</t>
  </si>
  <si>
    <t>水果糖葫芦</t>
  </si>
  <si>
    <t>草莓、葡萄、蓝莓...丰盛水果宴~合成获得冰镇玫瑰香槟</t>
  </si>
  <si>
    <t>冰镇玫瑰香槟</t>
  </si>
  <si>
    <t>清爽的酒香味~合成获得草莓酸奶雪冰</t>
  </si>
  <si>
    <t>草莓酸奶雪冰</t>
  </si>
  <si>
    <t>酸甜口，吃了还想吃，太美味了！合成获得多彩水果雪冰</t>
  </si>
  <si>
    <t>多彩水果雪冰</t>
  </si>
  <si>
    <t>各式水果摆放其上，配上香醇冰沙~合成获得可爱兔兔雪冰</t>
  </si>
  <si>
    <t>可爱兔兔雪冰</t>
  </si>
  <si>
    <t>可爱的简直不忍心咬下去！已合成最高级</t>
  </si>
  <si>
    <t>冰球</t>
  </si>
  <si>
    <t>比赛用球，坚韧耐用。合成获得班迪球</t>
  </si>
  <si>
    <t>班迪球</t>
  </si>
  <si>
    <t>班迪球又称冰上曲棍球。合成获得冰陀螺</t>
  </si>
  <si>
    <t>冰陀螺</t>
  </si>
  <si>
    <t>陀螺转呀转，是孩子们的童年。合成获得冰壶</t>
  </si>
  <si>
    <t>冰壶</t>
  </si>
  <si>
    <t>锻炼体力与气魄吧！合成获得速滑冰刀</t>
  </si>
  <si>
    <t>速滑冰刀</t>
  </si>
  <si>
    <t>展示角色迅捷的身姿。合成获得冰壶刷</t>
  </si>
  <si>
    <t>冰壶刷</t>
  </si>
  <si>
    <t>用它来扫刷冰面。合成获得冰球杆</t>
  </si>
  <si>
    <t>冰球杆</t>
  </si>
  <si>
    <t>看我用力地挥打！合成获得冰钓</t>
  </si>
  <si>
    <t>冰钓</t>
  </si>
  <si>
    <t>钓上一条大鱼，然后煮晚鱼汤吧~合成获得冰爬犁</t>
  </si>
  <si>
    <t>冰爬犁</t>
  </si>
  <si>
    <t>可以用于冬天运输物资。合成获得冰上自行车</t>
  </si>
  <si>
    <t>冰上自行车</t>
  </si>
  <si>
    <t>嘎嘎卖力地骑，免费减肥了~合成获得冰上雪车</t>
  </si>
  <si>
    <t>冰上雪车</t>
  </si>
  <si>
    <t>开车在冰雪世界四处逛逛吧~合成获得冰上赛车</t>
  </si>
  <si>
    <t>冰上赛车</t>
  </si>
  <si>
    <t>轮胎防滑很重要！合成获得冰上龙舟</t>
  </si>
  <si>
    <t>冰上龙舟</t>
  </si>
  <si>
    <t>乘龙启航~已合成最高级</t>
  </si>
  <si>
    <t>羽毛笔</t>
  </si>
  <si>
    <t>借助羽毛笔，吟游诗人写出传颂的诗歌。合成获得诗集。</t>
  </si>
  <si>
    <t>诗集</t>
  </si>
  <si>
    <t>写在纸上，才可以流芳百世。合成获得手套。</t>
  </si>
  <si>
    <t>手套</t>
  </si>
  <si>
    <t>那个年代，手套是礼仪的象征。合成获得靴子。</t>
  </si>
  <si>
    <t>靴子</t>
  </si>
  <si>
    <t>尖头靴子是中世纪的时尚。合成获得帽子。</t>
  </si>
  <si>
    <t>帽子</t>
  </si>
  <si>
    <t>一顶好的帽子，可以提升别人对你的印象三分。合成获得斗篷。</t>
  </si>
  <si>
    <t>斗篷</t>
  </si>
  <si>
    <t>据说，这件斗篷上被施加了保护的魔法。合成获得上衣。</t>
  </si>
  <si>
    <t>上衣</t>
  </si>
  <si>
    <t>珍贵的礼服一般只有在宴会上才会穿着。合成获得长弓。</t>
  </si>
  <si>
    <t>长弓</t>
  </si>
  <si>
    <t>咦，还有吟游诗人不会射箭的吗？合成获得长笛。</t>
  </si>
  <si>
    <t>长笛</t>
  </si>
  <si>
    <t>长笛是便携的乐器，适合临时起奏。合成获得魔笛。</t>
  </si>
  <si>
    <t>魔琴</t>
  </si>
  <si>
    <t>国王的晚宴上，吟游诗人弹起魔琴，歌颂胜利。已合成至最高级。</t>
  </si>
  <si>
    <t>羽毛笔[V]</t>
  </si>
  <si>
    <t>借助羽毛笔，吟游诗人写出传颂的诗歌。合成获得诗集[V]。</t>
  </si>
  <si>
    <t>诗集[V]</t>
  </si>
  <si>
    <t>写在纸上，才可以流芳百世。合成获得手套[V]。</t>
  </si>
  <si>
    <t>手套[V]</t>
  </si>
  <si>
    <t>那个年代，手套是礼仪的象征。合成获得靴子[V]。</t>
  </si>
  <si>
    <t>靴子[V]</t>
  </si>
  <si>
    <t>尖头靴子是中世纪的时尚。合成获得帽子[V]。</t>
  </si>
  <si>
    <t>帽子[V]</t>
  </si>
  <si>
    <t>一顶好的帽子，可以提升别人对你的印象三分。合成获得斗篷[V]。</t>
  </si>
  <si>
    <t>斗篷[V]</t>
  </si>
  <si>
    <t>据说，这件斗篷上被施加了保护的魔法。合成获得上衣[V]。</t>
  </si>
  <si>
    <t>上衣[V]</t>
  </si>
  <si>
    <t>珍贵的礼服一般只有在宴会上才会穿着。合成获得长弓[V]。</t>
  </si>
  <si>
    <t>长弓[V]</t>
  </si>
  <si>
    <t>咦，还有吟游诗人不会射箭的吗？合成获得长笛[V]。</t>
  </si>
  <si>
    <t>长笛[V]</t>
  </si>
  <si>
    <t>长笛是便携的乐器，适合临时起奏。合成获得魔笛[V]。</t>
  </si>
  <si>
    <t>魔琴[V]</t>
  </si>
  <si>
    <t>毒苹果</t>
  </si>
  <si>
    <t>不要吃陌生人给过来的东西！合成获得水晶鞋。</t>
  </si>
  <si>
    <t>水晶鞋</t>
  </si>
  <si>
    <t>即使在皇家晚宴上，穿上它的人也最夺人瞩目。合成获得红舞鞋。</t>
  </si>
  <si>
    <t>红舞鞋</t>
  </si>
  <si>
    <t>穿上后便永远跳舞，这是对自负的人的惩罚。合成获得红玫瑰。</t>
  </si>
  <si>
    <t>红玫瑰</t>
  </si>
  <si>
    <t>白玫瑰女孩和红玫瑰女孩。合成获得魔镜。</t>
  </si>
  <si>
    <t>魔镜</t>
  </si>
  <si>
    <t>魔镜魔镜，哥德巴赫猜想该怎么证明呢？合成获得魔法如意。</t>
  </si>
  <si>
    <t>魔法如意</t>
  </si>
  <si>
    <t>如意如意，随我心意~合成获得兔耳帽。</t>
  </si>
  <si>
    <t>兔耳帽</t>
  </si>
  <si>
    <t>戴上帽子后能跳得比树还高。合成获得猎人的长枪。</t>
  </si>
  <si>
    <t>猎人的长枪</t>
  </si>
  <si>
    <t>猎人用刀把小红帽和外婆从狼肚子理解救出来。合成获得神灯。</t>
  </si>
  <si>
    <t>神灯</t>
  </si>
  <si>
    <t>一盏神灯，三个愿望。合成获得魔法杖。</t>
  </si>
  <si>
    <t>魔法杖</t>
  </si>
  <si>
    <t>一根法杖、一段咒语，往往造就了故事的开端。合成获得木偶人。</t>
  </si>
  <si>
    <t>木偶人</t>
  </si>
  <si>
    <t>即使是木头做的人，也拥有心。合成获得巫师帽。</t>
  </si>
  <si>
    <t>巫师帽</t>
  </si>
  <si>
    <t>邪恶的巫师总是各种故事里的反派。合成获得喷火的恶龙。</t>
  </si>
  <si>
    <t>喷火的恶龙</t>
  </si>
  <si>
    <t>很久以前，有条恶龙掳走了公主......已合成至最高级。</t>
  </si>
  <si>
    <t>暗器</t>
  </si>
  <si>
    <t>飞镖是用来偷袭的。合成获得匕首。</t>
  </si>
  <si>
    <t>匕首</t>
  </si>
  <si>
    <t>我的这把匕首上，可是涂了剧毒。合成获得长剑。</t>
  </si>
  <si>
    <t>长剑</t>
  </si>
  <si>
    <t>百兵之君，君子之器。合成获得长枪。</t>
  </si>
  <si>
    <t>长枪</t>
  </si>
  <si>
    <t>一寸长，一寸强。长到极致变火枪。合成获得大刀。</t>
  </si>
  <si>
    <t>大刀</t>
  </si>
  <si>
    <t>简单速成的武器，最易学习。合成获得流星锤。</t>
  </si>
  <si>
    <t>流星锤</t>
  </si>
  <si>
    <t>流星锤有一记隐藏杀招，那就是投掷！合成获得大斧。</t>
  </si>
  <si>
    <t>大斧</t>
  </si>
  <si>
    <t>攻城略地，无所不能。合成获得大锤。</t>
  </si>
  <si>
    <t>大锤</t>
  </si>
  <si>
    <t>专门用于拆机甲、砸马达。合成获得方天画戟。</t>
  </si>
  <si>
    <t>方天画戟</t>
  </si>
  <si>
    <t>三国时期的猛将吕布所使用的武器。合成获得弓箭。</t>
  </si>
  <si>
    <t>弓箭</t>
  </si>
  <si>
    <t>百步穿杨，辕门射戟。合成获得附魔法杖。</t>
  </si>
  <si>
    <t>附魔法杖</t>
  </si>
  <si>
    <t>再坚韧的肉体，也难以抵挡魔法的力量。合成获得龙头盾牌。</t>
  </si>
  <si>
    <t>龙头盾牌</t>
  </si>
  <si>
    <t>攻守一体的宝具，其上的龙头能喷火。合成获得屠龙宝刀。</t>
  </si>
  <si>
    <t>屠龙宝刀</t>
  </si>
  <si>
    <t>所有恶龙的头号劲敌。已合成至最高级。</t>
  </si>
  <si>
    <t>恶龙脚印</t>
  </si>
  <si>
    <t>快看，恶龙的巢穴就在附近。合成获得龙蛋。</t>
  </si>
  <si>
    <t>龙蛋</t>
  </si>
  <si>
    <t>看来，这是一条母龙。合成获得宝石。</t>
  </si>
  <si>
    <t>宝石</t>
  </si>
  <si>
    <t>在它的巢穴中，我们找到了许多宝藏。合成获得魔法药剂。</t>
  </si>
  <si>
    <t>魔法药剂</t>
  </si>
  <si>
    <t>敏捷药水，喝了能更快逃跑，咳咳...合成获得勇者宝剑。</t>
  </si>
  <si>
    <t>勇者宝剑</t>
  </si>
  <si>
    <t>听说是稀有神器，可我怎么见大街上人手一件...合成获得勇者盾。</t>
  </si>
  <si>
    <t>勇者盾</t>
  </si>
  <si>
    <t>其他都可以往后排，盾是最优先的！合成获得勇者头盔。</t>
  </si>
  <si>
    <t>勇者头盔</t>
  </si>
  <si>
    <t>看上去，似乎帅气了很多。合成获得勇者战靴。</t>
  </si>
  <si>
    <t>勇者战靴</t>
  </si>
  <si>
    <t>老实说，铁靴真的很重哎。合成获得勇者腰带。</t>
  </si>
  <si>
    <t>勇者腰带</t>
  </si>
  <si>
    <t>据说腰带能增加属性，这是哪儿传出的谣言？合成获得传送锚点。</t>
  </si>
  <si>
    <t>传送锚点</t>
  </si>
  <si>
    <t>传送点真是个伟大的发明，节省大量时间！合成获得法师手办。</t>
  </si>
  <si>
    <t>法师手办</t>
  </si>
  <si>
    <t>招法师啦，会火球、电击等伤害性法术优先！合成获得牧师手办。</t>
  </si>
  <si>
    <t>牧师手办</t>
  </si>
  <si>
    <t>招牧师啦，身强体壮，能抱大腿的优先！合成获得勇者手办。</t>
  </si>
  <si>
    <t>勇者手办</t>
  </si>
  <si>
    <t>勇者，是团队的核心。已合成至最高级。</t>
  </si>
  <si>
    <t>杂色稻草</t>
  </si>
  <si>
    <t>摆放整齐，和杂乱的颜色形成对比。合成获得杂乱草窝。</t>
  </si>
  <si>
    <t>杂乱草窝</t>
  </si>
  <si>
    <t>乱糟糟的草窝，能孵出蛋来嘛？合成获得粗制树窝。</t>
  </si>
  <si>
    <t>粗制树窝</t>
  </si>
  <si>
    <t>随便摆弄一下，一个树窝就做好啦。合成获得嵌花树窝。</t>
  </si>
  <si>
    <t>嵌花树窝</t>
  </si>
  <si>
    <t>嵌上鲜花，很有仪式感。合成获得石砌蛋窝。</t>
  </si>
  <si>
    <t>石砌蛋窝</t>
  </si>
  <si>
    <t>石块打底，孵化的概率又高了几分。合成获得树桩蛋窝。</t>
  </si>
  <si>
    <t>树桩蛋窝</t>
  </si>
  <si>
    <t>半包围蛋窝，满满的安全感！合成获得原始屋蛋窝。</t>
  </si>
  <si>
    <t>原始屋蛋窝</t>
  </si>
  <si>
    <t>原始房子里放着数枚未孵化的蛋。合成获得旋转孵蛋器。</t>
  </si>
  <si>
    <t>旋转孵蛋器</t>
  </si>
  <si>
    <t>音乐下高速旋转，是一种蛋类早教。合成获得魔法孵蛋器。</t>
  </si>
  <si>
    <t>魔法孵蛋器</t>
  </si>
  <si>
    <t>通过仪器向蛋仔们传输魔法能量。合成获得扭蛋猫孵蛋器。</t>
  </si>
  <si>
    <t>扭蛋猫孵蛋器</t>
  </si>
  <si>
    <t>扭到的蛋会孵出什么样的小生物呢？已合成至最高级。</t>
  </si>
  <si>
    <t>杂色稻草[V]</t>
  </si>
  <si>
    <t>摆放整齐，和杂乱的颜色形成对比。合成获得杂乱草窝[V]。</t>
  </si>
  <si>
    <t>杂乱草窝[V]</t>
  </si>
  <si>
    <t>乱糟糟的草窝，能孵出蛋来嘛？合成获得粗制树窝[V]。</t>
  </si>
  <si>
    <t>粗制树窝[V]</t>
  </si>
  <si>
    <t>随便摆弄一下，一个树窝就做好啦。合成获得嵌花树窝[V]。</t>
  </si>
  <si>
    <t>嵌花树窝[V]</t>
  </si>
  <si>
    <t>嵌上鲜花，很有仪式感。合成获得石砌蛋窝[V]。</t>
  </si>
  <si>
    <t>石砌蛋窝[V]</t>
  </si>
  <si>
    <t>石块打底，孵化的概率又高了几分。合成获得树桩蛋窝[V]。</t>
  </si>
  <si>
    <t>树桩蛋窝[V]</t>
  </si>
  <si>
    <t>半包围蛋窝，满满的安全感！合成获得原始屋蛋窝[V]。</t>
  </si>
  <si>
    <t>原始屋蛋窝[V]</t>
  </si>
  <si>
    <t>原始房子里放着数枚未孵化的蛋。合成获得旋转孵蛋器[V]。</t>
  </si>
  <si>
    <t>旋转孵蛋器[V]</t>
  </si>
  <si>
    <t>音乐下高速旋转，是一种蛋类早教。合成获得魔法孵蛋器[V]。</t>
  </si>
  <si>
    <t>魔法孵蛋器[V]</t>
  </si>
  <si>
    <t>通过仪器向蛋仔们传输魔法能量。合成获得扭蛋猫孵蛋器[V]。</t>
  </si>
  <si>
    <t>扭蛋猫孵蛋器[V]</t>
  </si>
  <si>
    <t>恐龙蛋</t>
  </si>
  <si>
    <t>光滑的表面镌刻着远古的纹路。合成获得恐龙宝宝。</t>
  </si>
  <si>
    <t>恐龙宝宝</t>
  </si>
  <si>
    <t>刚孵化的宝宝，还有点害羞。合成获得破壳小龙。</t>
  </si>
  <si>
    <t>破壳小龙</t>
  </si>
  <si>
    <t>紧紧贴着蛋壳，汲取壳中的剩余能量。合成获得眯眼小龙。</t>
  </si>
  <si>
    <t>眯眼小龙</t>
  </si>
  <si>
    <t>我不是眯眯眼噢，只是还有点困。合成获得肥肥幼龙。</t>
  </si>
  <si>
    <t>肥肥幼龙</t>
  </si>
  <si>
    <t>这不是赘肉，是健康肥！合成获得乖巧幼龙。</t>
  </si>
  <si>
    <t>乖巧幼龙</t>
  </si>
  <si>
    <t>乖乖地坐着，等待投喂。合成获得软糯萌龙。</t>
  </si>
  <si>
    <t>软糯萌龙</t>
  </si>
  <si>
    <t>可爱到犯规，忍不住想多rua几下。合成获得琉璃爱心恐龙。</t>
  </si>
  <si>
    <t>琉璃爱心恐龙</t>
  </si>
  <si>
    <t>幼龙喜欢和自己颜色相近的玩具。合成获得闪耀五芒星恐龙。</t>
  </si>
  <si>
    <t>闪耀五芒星恐龙</t>
  </si>
  <si>
    <t>喜欢亮闪闪的东西，是龙的本能。合成获得顽皮蝶耳恐龙。</t>
  </si>
  <si>
    <t>顽皮蝶耳恐龙</t>
  </si>
  <si>
    <t>耳朵像蝴蝶翅膀，可惜不能飞。合成获得童趣扑蝶恐龙。</t>
  </si>
  <si>
    <t>童趣扑蝶恐龙</t>
  </si>
  <si>
    <t>体型变得庞大，内在还是个宝宝。合成获得魔法控火恐龙。</t>
  </si>
  <si>
    <t>魔法控火恐龙</t>
  </si>
  <si>
    <t>控火嘛，小事一桩啦。合成获得机械电子恐龙。</t>
  </si>
  <si>
    <t>机械电子恐龙</t>
  </si>
  <si>
    <t>坚硬的外壳，强大的能量，无敌的王者。已合成至最高级。</t>
  </si>
  <si>
    <t>袖珍小怪</t>
  </si>
  <si>
    <t>超小一只，要小心饲养哦。合成获得玲珑小怪。</t>
  </si>
  <si>
    <t>玲珑小怪</t>
  </si>
  <si>
    <t>小怪物，到底能不能长大呀。合成获得贪睡小怪。</t>
  </si>
  <si>
    <t>贪睡小怪</t>
  </si>
  <si>
    <t>能闭着眼睛绝不睁着。合成获得纯真小怪。</t>
  </si>
  <si>
    <t>纯真小怪</t>
  </si>
  <si>
    <t>幼崽时期，纯净得不参杂质。合成获得簪花小怪。</t>
  </si>
  <si>
    <t>簪花小怪</t>
  </si>
  <si>
    <t>角上簪花，一直漂亮。合成获得忧郁小怪。</t>
  </si>
  <si>
    <t>忧郁小怪</t>
  </si>
  <si>
    <t>脑袋小小，烦恼不少。合成获得灵动小怪。</t>
  </si>
  <si>
    <t>灵动小怪</t>
  </si>
  <si>
    <t>快乐也是一种天赋！合成获得恬静幽灵。</t>
  </si>
  <si>
    <t>恬静幽灵</t>
  </si>
  <si>
    <t>漂亮的双角，幽灵的进化。合成获得甜心幽灵。</t>
  </si>
  <si>
    <t>甜心幽灵</t>
  </si>
  <si>
    <t>戴上喜欢的帽子，当个甜甜的小怪物。合成获得糖果幽灵。</t>
  </si>
  <si>
    <t>糖果幽灵</t>
  </si>
  <si>
    <t>谁说成为幽灵就不能吃糖果啦？合成获得幽灵守卫。</t>
  </si>
  <si>
    <t>幽灵守卫</t>
  </si>
  <si>
    <t>身为守卫，克服恐惧是我的职责。合成获得暗夜幽灵。</t>
  </si>
  <si>
    <t>暗夜幽灵</t>
  </si>
  <si>
    <t>暗夜的行者，守护在公主左右。合成获得幽灵公主。</t>
  </si>
  <si>
    <t>幽灵公主</t>
  </si>
  <si>
    <t>爱好是偶尔吓唬下胆小的人类。已合成至最高级。</t>
  </si>
  <si>
    <t>蛋壳碎片</t>
  </si>
  <si>
    <t>壳碎了，里面的小鸡仔去哪儿了？合成获得裂缝蛋壳。</t>
  </si>
  <si>
    <t>裂缝蛋壳</t>
  </si>
  <si>
    <t>有个小生命即将破壳而出。合成获得破壳小鸡。</t>
  </si>
  <si>
    <t>破壳小鸡</t>
  </si>
  <si>
    <t>睁开眼看到的第一个生物要抚养它哦。合成获得超萌小鸡。</t>
  </si>
  <si>
    <t>超萌小鸡</t>
  </si>
  <si>
    <t>身披蛋甲，我是最强的小鸡战士！合成获得毛茸小鸡。</t>
  </si>
  <si>
    <t>毛茸小鸡</t>
  </si>
  <si>
    <t>没有什么比毛茸茸的小鸡更可爱。合成获得躺平雏鸡。</t>
  </si>
  <si>
    <t>躺平雏鸡</t>
  </si>
  <si>
    <t>躺平是一种生活态度，不是因为懒哦。合成获得懵懂雏鸡。</t>
  </si>
  <si>
    <t>懵懂雏鸡</t>
  </si>
  <si>
    <t>散发可爱，是鸡仔的必修课之一。合成获得雨披鸡仔。</t>
  </si>
  <si>
    <t>雨披鸡仔</t>
  </si>
  <si>
    <t>披着雨衣，雨天也不会打湿羽毛。合成获得背包鸡仔。</t>
  </si>
  <si>
    <t>背包鸡仔</t>
  </si>
  <si>
    <t>随身携带鸡妈妈准备的零食包。合成获得探险鸡仔。</t>
  </si>
  <si>
    <t>探险鸡仔</t>
  </si>
  <si>
    <t>我要成为最伟大的小鸡探险家！合成获得工装酷鸡。</t>
  </si>
  <si>
    <t>工装酷鸡</t>
  </si>
  <si>
    <t>穿上工装，感觉自己酷酷哒。合成获得西装靓鸡。</t>
  </si>
  <si>
    <t>西装靓鸡</t>
  </si>
  <si>
    <t>魔镜魔镜，谁是世界上最靓的鸡仔？合成获得大盘鸡碎片。</t>
  </si>
  <si>
    <t>大盘鸡碎片</t>
  </si>
  <si>
    <t>两个大盘鸡精灵碎片合成，有几率捕获精灵哦。</t>
  </si>
  <si>
    <t>大盘鸡精灵</t>
  </si>
  <si>
    <t>我其实也是龙，祖上也曾经辉煌过。</t>
  </si>
  <si>
    <t>老底子板凳</t>
  </si>
  <si>
    <t>异常耐用，是老底子传下来的。合成获得老底子靠背椅。</t>
  </si>
  <si>
    <t>老底子靠背椅</t>
  </si>
  <si>
    <t>搬椅子，晒太阳，眯眯眼打瞌睡。合成获得老底子木桌。</t>
  </si>
  <si>
    <t>老底子木桌</t>
  </si>
  <si>
    <t>没有花里胡哨，质量却十分可靠。合成获得包厢小桌。</t>
  </si>
  <si>
    <t>包厢小桌</t>
  </si>
  <si>
    <t>一般是老总的预留包间。合成获得昼东京饭店。</t>
  </si>
  <si>
    <t>昼东京饭店</t>
  </si>
  <si>
    <t>料理特别的贵，但也有贵的道理。合成获得和平饭店。</t>
  </si>
  <si>
    <t>和平饭店</t>
  </si>
  <si>
    <t>72号英国套房，是他们的长包房。合成获得国际饭店。</t>
  </si>
  <si>
    <t>国际饭店</t>
  </si>
  <si>
    <t>那场跨年夜，是两个年轻人的开始。合成获得至美园。</t>
  </si>
  <si>
    <t>至美园</t>
  </si>
  <si>
    <t>看似红火，但早已危机四伏。合成获得申联商厦。</t>
  </si>
  <si>
    <t>申联商厦</t>
  </si>
  <si>
    <t>只有它才能吃下80万件T恤。合成获得美真园。</t>
  </si>
  <si>
    <t>美真园</t>
  </si>
  <si>
    <t>事物的果源自因，一切早已命中注定，在劫难逃。已合成最高级。</t>
  </si>
  <si>
    <t>老底子板凳[V]</t>
  </si>
  <si>
    <t>异常耐用，是老底子传下来的。合成获得老底子靠背椅[V]。</t>
  </si>
  <si>
    <t>老底子靠背椅[V]</t>
  </si>
  <si>
    <t>搬椅子，晒太阳，眯眯眼打瞌睡。合成获得老底子木桌[V]。</t>
  </si>
  <si>
    <t>老底子木桌[V]</t>
  </si>
  <si>
    <t>没有花里胡哨，质量却十分可靠。合成获得包厢小桌[V]。</t>
  </si>
  <si>
    <t>包厢小桌[V]</t>
  </si>
  <si>
    <t>一般是老总的预留包间。合成获得昼东京饭店[V]。</t>
  </si>
  <si>
    <t>日东京饭店[V]</t>
  </si>
  <si>
    <t>料理特别的贵，但也有贵的道理。合成获得和平饭店[V]。</t>
  </si>
  <si>
    <t>和平饭店[V]</t>
  </si>
  <si>
    <t>72号英国套房，是他们的长包房。合成获得国际饭店[V]。</t>
  </si>
  <si>
    <t>国际饭店[V]</t>
  </si>
  <si>
    <t>那场跨年夜，是两个年轻人的开始。合成获得至美园[V]。</t>
  </si>
  <si>
    <t>至美园[V]</t>
  </si>
  <si>
    <t>看似红火，但早已危机四伏。合成获得申联商厦[V]。</t>
  </si>
  <si>
    <t>申联商厦[V]</t>
  </si>
  <si>
    <t>只有它才能吃下80万件T恤。合成获得美真园[V]。</t>
  </si>
  <si>
    <t>美真园[V]</t>
  </si>
  <si>
    <t>油墩子</t>
  </si>
  <si>
    <t>凑合着填饱肚子。合成获得定胜糕。</t>
  </si>
  <si>
    <t>定胜糕</t>
  </si>
  <si>
    <t>老爷爷每天早晨都要来上一块定胜糕。合成获得排骨年糕。</t>
  </si>
  <si>
    <t>排骨年糕</t>
  </si>
  <si>
    <t>外面的东西再好吃，也比不过排骨年糕。合成获得船王炒饭</t>
  </si>
  <si>
    <t>船王炒饭</t>
  </si>
  <si>
    <t>没生过蛋的川乌才能做原料，讲究！合成获得干炒牛河。</t>
  </si>
  <si>
    <t>干炒牛河</t>
  </si>
  <si>
    <t>因老总吃了一次，这道菜就成了店里的名菜。合成获得鸡油花雕蒸鲥鱼</t>
  </si>
  <si>
    <t>鸡油花雕蒸鲥鱼</t>
  </si>
  <si>
    <t>走出自己的风格，活出自己的人生。合成获得老总泡饭。</t>
  </si>
  <si>
    <t>老总泡饭</t>
  </si>
  <si>
    <t>别看是泡饭，小菜丰富，一般人可吃不起。合成获得青鱼秃肺。</t>
  </si>
  <si>
    <t>青鱼秃肺</t>
  </si>
  <si>
    <t>讲究、精致，能体现饭店的档次。合成获得鸭舌天妇罗。</t>
  </si>
  <si>
    <t>鸭舌天妇罗</t>
  </si>
  <si>
    <t>本帮料理跟怀石料理的完美结合。合成获得热气羊肉。</t>
  </si>
  <si>
    <t>热气羊肉</t>
  </si>
  <si>
    <t>升温的不仅有热气，还有情感。合成获得火焰大王蛇。</t>
  </si>
  <si>
    <t>火焰大王蛇</t>
  </si>
  <si>
    <t>仿若地狱恶魔，给了别人狠狠一棒。合成获得霸王别姬</t>
  </si>
  <si>
    <t>霸王别姬</t>
  </si>
  <si>
    <t>八十八只霸王别姬的风头，一时盖过了老总。合成获得仙鹤神针。</t>
  </si>
  <si>
    <t>仙鹤神针</t>
  </si>
  <si>
    <t>顶级粤菜，噱头十足，破解危机。已合成至最高级。</t>
  </si>
  <si>
    <t>曙光牛奶</t>
  </si>
  <si>
    <t>老一辈的经典回忆，用料放心。合成获得PEEB啤酒。</t>
  </si>
  <si>
    <t>PEEB啤酒</t>
  </si>
  <si>
    <t>当初家喻户晓的啤酒品牌。合成获得巧克力球。</t>
  </si>
  <si>
    <t>巧克力球</t>
  </si>
  <si>
    <t>孩子们最馋这个了。合成获得CFK炸鸡。</t>
  </si>
  <si>
    <t>CFK炸鸡</t>
  </si>
  <si>
    <t>那个年代，好不容易才能吃一次炸鸡。合成获得隐形眼镜。</t>
  </si>
  <si>
    <t>隐形眼镜</t>
  </si>
  <si>
    <t>“只有看到未来，才会有未来”。合成获得俄提兰德面霜</t>
  </si>
  <si>
    <t>俄提兰德面霜</t>
  </si>
  <si>
    <t>比起实际效用，更多是财力的象征。合成获得俄提兰德口红。</t>
  </si>
  <si>
    <t>俄提兰德口红</t>
  </si>
  <si>
    <t>是约会中的决胜“武器”。合成获得三牛牌T恤。</t>
  </si>
  <si>
    <t>三牛牌T恤</t>
  </si>
  <si>
    <t>正宗国产火烧丝光棉，不输外国货！合成获得梦特刚T恤。</t>
  </si>
  <si>
    <t>梦特刚T恤</t>
  </si>
  <si>
    <t>有百年历史的经典服装。合成获得半人马白兰地。</t>
  </si>
  <si>
    <t>半人马白兰地</t>
  </si>
  <si>
    <t>喝得不是酒，喝得是圈子的入场券。合成获得茅台酒。</t>
  </si>
  <si>
    <t>茅台酒</t>
  </si>
  <si>
    <t>宴请宾客必备，是一种档次的象征。合成获得名牌手表。</t>
  </si>
  <si>
    <t>名牌手表</t>
  </si>
  <si>
    <t>是上流社会的标配。合成获得阿人西装。</t>
  </si>
  <si>
    <t>阿人西装</t>
  </si>
  <si>
    <t>料子一定要英纺，衬衫要现熨现穿，才够挺刮。已合成至最高级</t>
  </si>
  <si>
    <t>存钱罐</t>
  </si>
  <si>
    <t>一辈子的好兄弟，才会无条件相信你。合成获得电真空股票。</t>
  </si>
  <si>
    <t>电真空股票</t>
  </si>
  <si>
    <t>第一次的跌涨，让他明白了市场的险恶。合成获得认购证。</t>
  </si>
  <si>
    <t>认购证</t>
  </si>
  <si>
    <t>因此而蜕变为老总，也因此欠下人情。合成获得老头的账本。</t>
  </si>
  <si>
    <t>老头的账本</t>
  </si>
  <si>
    <t>一张张平平无奇的纸张，却胜过千军万马。合成获得大哥大。</t>
  </si>
  <si>
    <t>大哥大</t>
  </si>
  <si>
    <t>挂下电话，等个3秒，她一定会再打过来。合成获得集邮书。</t>
  </si>
  <si>
    <t>集邮书</t>
  </si>
  <si>
    <t>他与她因邮票相识，也开启了今后的曲折。合成获得外贸试单。</t>
  </si>
  <si>
    <t>外贸试单</t>
  </si>
  <si>
    <t>做外贸的第一桶金，更重要是认识了她。合成获得珍珠耳环。</t>
  </si>
  <si>
    <t>珍珠耳环</t>
  </si>
  <si>
    <t>一场阴差阳错，导致了后续的一系列灾难。合成获得超越凯迪拉克。</t>
  </si>
  <si>
    <t>超越凯迪拉克</t>
  </si>
  <si>
    <t>我已经拥有了最好的车，它甚至超越凯迪拉克。合成获得地契。</t>
  </si>
  <si>
    <t>地契</t>
  </si>
  <si>
    <t>它是因人情而生，因人情而死的见证。合成获得两只大皮包。</t>
  </si>
  <si>
    <t>两只大皮包</t>
  </si>
  <si>
    <t>皮包里，最值钱的不是钞票，是胆识。合成获得本帮怀石料理。</t>
  </si>
  <si>
    <t>本帮怀石料理</t>
  </si>
  <si>
    <t>人是要成长的，也是终将孤独的。合成获得凯迪拉克。</t>
  </si>
  <si>
    <t>凯迪拉克</t>
  </si>
  <si>
    <t>时过境迁，岁月荏苒，但愿无悔。已合成至最高级。</t>
  </si>
  <si>
    <t>凸透镜片</t>
  </si>
  <si>
    <t>纯手工，一点点细致打磨出来的。合成获得放大镜</t>
  </si>
  <si>
    <t>放大镜</t>
  </si>
  <si>
    <t>好孩子，不要用它来点火哦。合成获得单筒望远镜</t>
  </si>
  <si>
    <t>单筒望远镜</t>
  </si>
  <si>
    <t>用它就能看得更远。合成获得长筒望远镜</t>
  </si>
  <si>
    <t>长筒望远镜</t>
  </si>
  <si>
    <t>可以看到很高的山与很远的楼。合成获得航海望远镜</t>
  </si>
  <si>
    <t>航海望远镜</t>
  </si>
  <si>
    <t>白茫茫的大海之上，利用它能发现岛屿和宝藏。合成获得双筒望远镜</t>
  </si>
  <si>
    <t>双筒望远镜</t>
  </si>
  <si>
    <t>便于携带，适合野外使用。合成获得入门天文望远镜</t>
  </si>
  <si>
    <t>入门天文望远镜</t>
  </si>
  <si>
    <t>云朵稀寥，空气澄清，最适合观星的夜晚。合成获得专业天文望远镜</t>
  </si>
  <si>
    <t>专业天文望远镜</t>
  </si>
  <si>
    <t>摧残绚烂的星河，我来啦！合成获得太空望远镜</t>
  </si>
  <si>
    <t>太空望远镜</t>
  </si>
  <si>
    <t>人类用它来探索宇宙的奥妙。合成获得哈勃太空望远镜</t>
  </si>
  <si>
    <t>哈勃太空望远镜</t>
  </si>
  <si>
    <t>人类科技的结晶，只为解开宇宙的面纱。已合成最高级</t>
  </si>
  <si>
    <t>凸透镜片[V]</t>
  </si>
  <si>
    <t>纯手工，一点点细致打磨出来的。合成获得放大镜[V]</t>
  </si>
  <si>
    <t>放大镜[V]</t>
  </si>
  <si>
    <t>好孩子，不要用它来点火哦。合成获得单筒望远镜[V]</t>
  </si>
  <si>
    <t>单筒望远镜[V]</t>
  </si>
  <si>
    <t>用它就能看得更远。合成获得长筒望远镜[V]</t>
  </si>
  <si>
    <t>长筒望远镜[V]</t>
  </si>
  <si>
    <t>可以看到很高的山与很远的楼。合成获得航海望远镜[V]</t>
  </si>
  <si>
    <t>航海望远镜[V]</t>
  </si>
  <si>
    <t>白茫茫的大海之上，利用它能发现岛屿和宝藏。合成获得双筒望远镜[V]</t>
  </si>
  <si>
    <t>双筒望远镜[V]</t>
  </si>
  <si>
    <t>便于携带，适合野外使用。合成获得入门天文望远镜[V]</t>
  </si>
  <si>
    <t>入门天文望远镜[V]</t>
  </si>
  <si>
    <t>云朵稀寥，空气澄清，最适合观星的夜晚。合成获得专业天文望远镜[V]</t>
  </si>
  <si>
    <t>专业天文望远镜[V]</t>
  </si>
  <si>
    <t>摧残绚烂的星河，我来啦！合成获得太空望远镜[V]</t>
  </si>
  <si>
    <t>太空望远镜[V]</t>
  </si>
  <si>
    <t>人类用它来探索宇宙的奥妙。合成获得哈勃太空望远镜[V]</t>
  </si>
  <si>
    <t>哈勃太空望远镜[V]</t>
  </si>
  <si>
    <t>晴天</t>
  </si>
  <si>
    <t>温暖的晴天，太阳公公出来喽。合成获得打雷</t>
  </si>
  <si>
    <t>打雷</t>
  </si>
  <si>
    <t>云朵中冒出了闪电，好吓人哦。合成获得下雨</t>
  </si>
  <si>
    <t>下雨</t>
  </si>
  <si>
    <t>下雨啦，快回家收衣服呀。合成获得下雪</t>
  </si>
  <si>
    <t>下雪</t>
  </si>
  <si>
    <t>嘶~~好冷呀。合成获得彩虹</t>
  </si>
  <si>
    <t>彩虹</t>
  </si>
  <si>
    <t>漂亮的彩虹，预示着顺顺利利。合成获得冰雹</t>
  </si>
  <si>
    <t>冰雹</t>
  </si>
  <si>
    <t>斗大的冰雹打在门窗上，劈里啪啦。合成获得火烧云</t>
  </si>
  <si>
    <t>火烧云</t>
  </si>
  <si>
    <t>傍晚的霞光照在云朵上，好生美丽。合成获得龙卷风</t>
  </si>
  <si>
    <t>龙卷风</t>
  </si>
  <si>
    <t>当心，龙卷风有着巨大的破坏力。合成获得水龙卷</t>
  </si>
  <si>
    <t>水龙卷</t>
  </si>
  <si>
    <t>海鲜雨这样的奇观就是水龙卷引起的。合成获得海啸</t>
  </si>
  <si>
    <t>海啸</t>
  </si>
  <si>
    <t>大自然的伟力让人惊叹。合成获得飓风</t>
  </si>
  <si>
    <t>飓风</t>
  </si>
  <si>
    <t>每年的台风天，都是最要小心危险的日子。合成获得流星</t>
  </si>
  <si>
    <t>流星</t>
  </si>
  <si>
    <t>流星闪过，快许愿！合成获得流星雨</t>
  </si>
  <si>
    <t>流星雨</t>
  </si>
  <si>
    <t>流星雨下，少年少女们许起了青涩的愿望。已合成最高级</t>
  </si>
  <si>
    <t>一颗星星</t>
  </si>
  <si>
    <t>天上的星星，是距离地球很远的另一个世界。合成获得白羊座</t>
  </si>
  <si>
    <t>白羊座</t>
  </si>
  <si>
    <t>性格冲动爱冒险，头上的双角是勇气的象征。合成获得金牛座</t>
  </si>
  <si>
    <t>金牛座</t>
  </si>
  <si>
    <t>喜欢平静的生活，务实稳重是他们最大的特点。合成获得双子座</t>
  </si>
  <si>
    <t>双子座</t>
  </si>
  <si>
    <t>聪明又机灵，喜欢充满变数的生活。合成获得巨蟹座</t>
  </si>
  <si>
    <t>巨蟹座</t>
  </si>
  <si>
    <t>温情脉脉，重视家人朋友，是极好的伙伴。合成获得狮子座</t>
  </si>
  <si>
    <t>狮子座</t>
  </si>
  <si>
    <t>狮子是天生的领袖，自信而又充满魅力。合成获得处女座</t>
  </si>
  <si>
    <t>处女座</t>
  </si>
  <si>
    <t>严重的完美主义者，眼里容不下一粒沙子。合成获得天秤座</t>
  </si>
  <si>
    <t>天秤座</t>
  </si>
  <si>
    <t>就像一杆秤一样，公平公正地平衡着世间一切。合成获得天蝎座</t>
  </si>
  <si>
    <t>天蝎座</t>
  </si>
  <si>
    <t>既神神秘秘，又充满热情，有着旺盛的精力。合成获得射手座</t>
  </si>
  <si>
    <t>射手座</t>
  </si>
  <si>
    <t>遇到再大的困难依然笑笑嬉戏，保持乐观开朗。合成获得摩羯座</t>
  </si>
  <si>
    <t>摩羯座</t>
  </si>
  <si>
    <t>踏踏实实，一步一个脚印地往前走。合成获得水瓶座</t>
  </si>
  <si>
    <t>水瓶座</t>
  </si>
  <si>
    <t>独立思考的同时又充满理想，积极参与社会变革。合成获得双鱼座</t>
  </si>
  <si>
    <t>双鱼座</t>
  </si>
  <si>
    <t>天生的艺术家，感性地感受世界，并且善于表达。已合成最高级</t>
  </si>
  <si>
    <t>破碎星球</t>
  </si>
  <si>
    <t>据说，这颗星球上曾诞生过文明，但...合成获得贫瘠废土</t>
  </si>
  <si>
    <t>贫瘠废土</t>
  </si>
  <si>
    <t>什么都没有的星球，只会白耗飞船的燃料钱。合成获得极冻冰寒</t>
  </si>
  <si>
    <t>极冻冰寒</t>
  </si>
  <si>
    <t>藏匿着一件神器，但极度的冰寒，阻止了探险。合成获得棉花糖星球</t>
  </si>
  <si>
    <t>棉花糖星球</t>
  </si>
  <si>
    <t>这是宇宙中的天然补给站，饿了就去大吃一通吧！合成获得沼泽星球</t>
  </si>
  <si>
    <t>沼泽星球</t>
  </si>
  <si>
    <t>这颗星球的沼泽，甚至可以把飞船吞没。合成获得红砂荒漠</t>
  </si>
  <si>
    <t>红砂荒漠</t>
  </si>
  <si>
    <t>人迹罕至的星球，可能潜藏着一些通缉犯。合成获得爆米花星球</t>
  </si>
  <si>
    <t>爆米花星球</t>
  </si>
  <si>
    <t>往往是在宇宙大赛期间创造的，所有人免费吃！合成获得进化之地</t>
  </si>
  <si>
    <t>进化之地</t>
  </si>
  <si>
    <t>成分配比极好的宝藏星球，有着丰富的生命。合成获得电能激荡</t>
  </si>
  <si>
    <t>电能激荡</t>
  </si>
  <si>
    <t>宇宙中的加油站，当然了，需要缴费。合成获得星环缭绕</t>
  </si>
  <si>
    <t>星环缭绕</t>
  </si>
  <si>
    <t>一颗神秘的星球，层层星环阻止了了他人的探险。合成获得崇山峻岭</t>
  </si>
  <si>
    <t>崇山峻岭</t>
  </si>
  <si>
    <t>突破物理学的高山，谁也不知道藏着什么秘密。合成获得暴躁脾气</t>
  </si>
  <si>
    <t>暴躁脾气</t>
  </si>
  <si>
    <t>这颗星球脾气可不太好，随时会发怒。合成获得魔法圣地</t>
  </si>
  <si>
    <t>魔法圣地</t>
  </si>
  <si>
    <t>这是宇宙中魔法师们的圣地。已合成最高级</t>
  </si>
  <si>
    <t>魔法学院毕业证</t>
  </si>
  <si>
    <t>王国魔法学院的毕业证，代表着人生的新开篇~合成获得城建印章</t>
  </si>
  <si>
    <t>城建印章</t>
  </si>
  <si>
    <t>盖章通过后，才允许建造咱的魔法屋。合成获得魔法柜台</t>
  </si>
  <si>
    <t>魔法柜台</t>
  </si>
  <si>
    <t>出售魔杖、巫师帽、畅销魔法书等。合成获得魔法树桩柜台</t>
  </si>
  <si>
    <t>魔法树桩柜台</t>
  </si>
  <si>
    <t>中间一层售卖咱炼制的精品魔药。合成获得魔法屋前台</t>
  </si>
  <si>
    <t>魔法屋前台</t>
  </si>
  <si>
    <t>瞧瞧看看，精品魔法道具热销中！合成获得魔法屋精装前台</t>
  </si>
  <si>
    <t>魔法屋精装前台</t>
  </si>
  <si>
    <t>为了吸引贵客前来，咱特意精装修了一下前台。合成获得魔法屋高级前台</t>
  </si>
  <si>
    <t>魔法屋高级前台</t>
  </si>
  <si>
    <t>不时有贵客来询问商品。合成获得初级魔法万事屋</t>
  </si>
  <si>
    <t>初级魔法万事屋</t>
  </si>
  <si>
    <t>只要钱给够，咱愿意接下任何合法委托！合成获得中级魔法万事屋</t>
  </si>
  <si>
    <t>中级魔法万事屋</t>
  </si>
  <si>
    <t>咱的魔药是本城质量第一的！合成获得高级魔法万事屋</t>
  </si>
  <si>
    <t>高级魔法万事屋</t>
  </si>
  <si>
    <t>店做大了，咱还请了一位猫族助理一起看店。已合成最高级</t>
  </si>
  <si>
    <t>魔法学院毕业证[V]</t>
  </si>
  <si>
    <t>王国魔法学院的毕业证，代表着人生的新开篇~合成获得城建印章[V]</t>
  </si>
  <si>
    <t>城建印章[V]</t>
  </si>
  <si>
    <t>盖章通过后，才允许建造咱的魔法屋。合成获得魔法柜台[V]</t>
  </si>
  <si>
    <t>魔法柜台[V]</t>
  </si>
  <si>
    <t>出售魔杖、巫师帽、畅销魔法书等。合成获得魔法树桩柜台[V]</t>
  </si>
  <si>
    <t>魔法树桩柜台[V]</t>
  </si>
  <si>
    <t>中间一层售卖咱炼制的精品魔药。合成获得魔法屋前台[V]</t>
  </si>
  <si>
    <t>魔法屋前台[V]</t>
  </si>
  <si>
    <t>瞧瞧看看，精品魔法道具热销中！合成获得魔法屋精装前台[V]</t>
  </si>
  <si>
    <t>魔法屋精装前台[V]</t>
  </si>
  <si>
    <t>为了吸引贵客前来，咱特意精装修了一下前台。合成获得魔法屋高级前台[V]</t>
  </si>
  <si>
    <t>魔法屋高级前台[V]</t>
  </si>
  <si>
    <t>不时有贵客来询问商品。合成获得初级魔法万事屋[V]</t>
  </si>
  <si>
    <t>初级魔法万事屋[V]</t>
  </si>
  <si>
    <t>只要钱给够，咱愿意接下任何合法委托！合成获得中级魔法万事屋[V]</t>
  </si>
  <si>
    <t>中级魔法万事屋[V]</t>
  </si>
  <si>
    <t>咱的魔药是本城质量第一的！合成获得高级魔法万事屋[V]</t>
  </si>
  <si>
    <t>高级魔法万事屋[V]</t>
  </si>
  <si>
    <t>叛之魔药</t>
  </si>
  <si>
    <t>蓝色紫阳花的忧伤~合成获得忆之魔药</t>
  </si>
  <si>
    <t>忆之魔药</t>
  </si>
  <si>
    <t>勿忘草的永远的回忆~合成获得炽之魔药</t>
  </si>
  <si>
    <t>炽之魔药</t>
  </si>
  <si>
    <t>红色玫瑰的炽烈之爱~合成获得友之魔药</t>
  </si>
  <si>
    <t>友之魔药</t>
  </si>
  <si>
    <t>黄色郁金香的友谊与感恩~合成获得秘之魔药</t>
  </si>
  <si>
    <t>秘之魔药</t>
  </si>
  <si>
    <t>紫藤花的一切笼罩在神秘中~合成获得永恒之魔药</t>
  </si>
  <si>
    <t>永恒之魔药</t>
  </si>
  <si>
    <t>桔梗花于永恒中盛开~合成获得光明之魔药</t>
  </si>
  <si>
    <t>光明之魔药</t>
  </si>
  <si>
    <t>太阳花带来光明~合成获得胜利之魔药</t>
  </si>
  <si>
    <t>胜利之魔药</t>
  </si>
  <si>
    <t>头戴月桂之冠~合成获得忧喜之魔药</t>
  </si>
  <si>
    <t>忧喜之魔药</t>
  </si>
  <si>
    <t>三色堇浸润在喜与忧的泪水之中~合成获得纯洁之魔药</t>
  </si>
  <si>
    <t>纯洁之魔药</t>
  </si>
  <si>
    <t>纯洁无垢之百合~合成获得吉祥之魔药</t>
  </si>
  <si>
    <t>吉祥之魔药</t>
  </si>
  <si>
    <t>桂花洒下，吉祥富贵~合成获得刹那即美之魔药</t>
  </si>
  <si>
    <t>刹那即美之魔药</t>
  </si>
  <si>
    <t>昙花，一瞬绽放，映照永远~合成获得悲歌之魔药</t>
  </si>
  <si>
    <t>悲歌之魔药</t>
  </si>
  <si>
    <t>虞姬与项羽的悲歌~已合成最高级</t>
  </si>
  <si>
    <t>鸮之传单</t>
  </si>
  <si>
    <t>开业之初，让心爱的魔宠鸮发传单。合成获得魔法喇叭</t>
  </si>
  <si>
    <t>魔法喇叭</t>
  </si>
  <si>
    <t>附有扩音魔法，让整个街区的人听到。合成获得黑猫魔法屋</t>
  </si>
  <si>
    <t>黑猫魔法屋</t>
  </si>
  <si>
    <t>这就是咱们店的招牌，“黑猫魔法屋”！合成获得通灵占卜</t>
  </si>
  <si>
    <t>通灵占卜</t>
  </si>
  <si>
    <t>虽然咱的通灵学并不好，但也能解决银行卡密码丢失的问题。合成获得灵摆占卜</t>
  </si>
  <si>
    <t>灵摆占卜</t>
  </si>
  <si>
    <t>亲爱的灵摆，请问客人的金首饰丢在哪个方位？合成获得塔罗牌占卜</t>
  </si>
  <si>
    <t>塔罗牌占卜</t>
  </si>
  <si>
    <t>于万千牌象中，窥探客人的命运。合成获得龙猫送货</t>
  </si>
  <si>
    <t>龙猫送货</t>
  </si>
  <si>
    <t>每周，我炼制好的魔药，都会委托龙猫给客人送去。合成获得飞行派送</t>
  </si>
  <si>
    <t>飞行派送</t>
  </si>
  <si>
    <t>为偏远的客人亲自送货。当然要加收邮费。合成得魔动力机车派送</t>
  </si>
  <si>
    <t>魔动力机车派送</t>
  </si>
  <si>
    <t>这是王国邮局的车，咱也好想买上一辆！合成获得炼金论文协作</t>
  </si>
  <si>
    <t>炼金论文协作</t>
  </si>
  <si>
    <t>咱愿意帮学弟学妹毕业，只要一点儿辛苦费。合成获得魔药学论文协作</t>
  </si>
  <si>
    <t>魔药学论文协作</t>
  </si>
  <si>
    <t>咱最擅长魔药学，这方面拿的辛苦费也最多！合成获得占星学论文协作</t>
  </si>
  <si>
    <t>占星学论文协作</t>
  </si>
  <si>
    <t>写论文之余，我不禁对浩瀚星空升起无边向往。合成获得召唤学论文协作</t>
  </si>
  <si>
    <t>召唤学论文协作</t>
  </si>
  <si>
    <t>绝不是咱犯糊涂把甜食放进魔法阵了~已合成最高级</t>
  </si>
  <si>
    <t>成精的茶杯</t>
  </si>
  <si>
    <t>魔法学院老茶杯，沾染了灵物后成精。合成获得成精的雪糕</t>
  </si>
  <si>
    <t>成精的雪糕</t>
  </si>
  <si>
    <t>据说是炼金术的意外，创造了它。合成获得成精的牛奶</t>
  </si>
  <si>
    <t>成精的牛奶</t>
  </si>
  <si>
    <t>每天早上能自动帮我倒牛奶哦~合成获得鼠族少女</t>
  </si>
  <si>
    <t>鼠族少女</t>
  </si>
  <si>
    <t>总是向咱占卜前男友的下落。合成获得有心计的赌徒</t>
  </si>
  <si>
    <t>有心计的赌徒</t>
  </si>
  <si>
    <t>来向咱占卜今天赌局的输赢，结果往往不理想。合成获得阿宅</t>
  </si>
  <si>
    <t>阿宅</t>
  </si>
  <si>
    <t>经常购买饱食魔药，据说是为了省下吃饭时间打游戏。合成获得探险家</t>
  </si>
  <si>
    <t>探险家</t>
  </si>
  <si>
    <t>钟情远视和疗愈魔药，出手很大方。合成获得神秘的少女</t>
  </si>
  <si>
    <t>神秘的少女</t>
  </si>
  <si>
    <t>很有钱的样子，咱推荐什么她就买了。合成获得狐族少女</t>
  </si>
  <si>
    <t>狐族少女</t>
  </si>
  <si>
    <t>向咱订购了一大批香水、魅惑魔药等。合成获得猫族女仆</t>
  </si>
  <si>
    <t>猫族女仆</t>
  </si>
  <si>
    <t>替庄园采购一大批魔法道具。合成获得独角兽少女</t>
  </si>
  <si>
    <t>独角兽少女</t>
  </si>
  <si>
    <t>向咱打探一些珍贵材料的消息，难道她要进化了？合成获得朋克魔族</t>
  </si>
  <si>
    <t>朋克魔族</t>
  </si>
  <si>
    <t>她们组了乐队，是城里的大明星！恕不泄露客人隐私。合成获得天使族少女</t>
  </si>
  <si>
    <t>天使族少女</t>
  </si>
  <si>
    <t>王国的大人物，为咱的店带来很大客流量！已合成最高级</t>
  </si>
  <si>
    <t>分院帽</t>
  </si>
  <si>
    <t>它会检测每位学员的资质，并分配学院。合成获得学院徽章</t>
  </si>
  <si>
    <t>学院徽章</t>
  </si>
  <si>
    <t>每座学院都有自身的独特专属徽章。合成获得个人魔法桌</t>
  </si>
  <si>
    <t>个人魔法桌</t>
  </si>
  <si>
    <t>会陪伴每位魔法师至少十多年。合成获得魔法壁炉</t>
  </si>
  <si>
    <t>炼金坩埚</t>
  </si>
  <si>
    <t>相比较提炼能力，安全性更为重要。合成获得讲课台</t>
  </si>
  <si>
    <t>讲课台</t>
  </si>
  <si>
    <t>由于经年累月的讲习，讲课台也通了灵。合成获得魔法壁炉</t>
  </si>
  <si>
    <t>魔法壁炉</t>
  </si>
  <si>
    <t>兼有通讯与移动功能的超级神器！合成获得魔草屋</t>
  </si>
  <si>
    <t>女巫仓库</t>
  </si>
  <si>
    <t>书、卷轴、水晶...乱七八糟杂物啥都有！合成获得奇幻商店</t>
  </si>
  <si>
    <t>奇幻商店</t>
  </si>
  <si>
    <t>本店热销智慧999药水，喝了包满分！合成获得魔草屋</t>
  </si>
  <si>
    <t>魔草屋</t>
  </si>
  <si>
    <t>魔草屋招收兼职，夜班工钱10倍！大体安全~合成获得黑森林</t>
  </si>
  <si>
    <t>黑森林</t>
  </si>
  <si>
    <t>魔宠、魔草、奇矿，这一切都可以在黑森林找到！已合成最高级</t>
  </si>
  <si>
    <t>分院帽[V]</t>
  </si>
  <si>
    <t>它会检测每位学员的资质，并分配学院。合成获得学院徽章[V]</t>
  </si>
  <si>
    <t>学院徽章[V]</t>
  </si>
  <si>
    <t>每座学院都有自身的独特专属徽章。合成获得个人魔法桌[V]</t>
  </si>
  <si>
    <t>个人魔法桌[V]</t>
  </si>
  <si>
    <t>会陪伴每位魔法师至少十多年。合成获得魔法壁炉[V]</t>
  </si>
  <si>
    <t>魔法壁炉[V]</t>
  </si>
  <si>
    <t>相比较提炼能力，安全性更为重要。合成获得讲课台[V]</t>
  </si>
  <si>
    <t>讲课台[V]</t>
  </si>
  <si>
    <t>由于经年累月的讲习，讲课台也通了灵。合成获得魔法壁炉[V]</t>
  </si>
  <si>
    <t>炼金坩埚[V]</t>
  </si>
  <si>
    <t>兼有通讯与移动功能的超级神器！合成获得魔草屋[V]</t>
  </si>
  <si>
    <t>魔草屋[V]</t>
  </si>
  <si>
    <t>书、卷轴、水晶...乱七八糟杂物啥都有！合成获得奇幻商店[V]</t>
  </si>
  <si>
    <t>女巫仓库[V]</t>
  </si>
  <si>
    <t>本店热销智慧999药水，喝了包满分！合成获得魔草屋[V]</t>
  </si>
  <si>
    <t>奇幻商店[V]</t>
  </si>
  <si>
    <t>魔草屋招收兼职，夜班工钱10倍！大体安全~合成获得黑森林[V]</t>
  </si>
  <si>
    <t>黑森林[V]</t>
  </si>
  <si>
    <t>碎星石</t>
  </si>
  <si>
    <t>天外陨铁，是为碎星。合成获得太阳石</t>
  </si>
  <si>
    <t>太阳石</t>
  </si>
  <si>
    <t>长久吸收太阳精华，最终蜕变为太阳石。合成获得月光石</t>
  </si>
  <si>
    <t>月光石</t>
  </si>
  <si>
    <t>吸收太阴月华而成，可以发出月光。合成获得生命石</t>
  </si>
  <si>
    <t>生命石</t>
  </si>
  <si>
    <t>似乎跟德鲁伊有关，可以治疗伤势。合成获得闪电石</t>
  </si>
  <si>
    <t>闪电石</t>
  </si>
  <si>
    <t>蕴含强大的闪电之力，可以制作魔导长矛。合成获得净化石</t>
  </si>
  <si>
    <t>净化石</t>
  </si>
  <si>
    <t>珍稀矿石，可以解除诅咒、虚弱等负面状态。合成获得山脉石</t>
  </si>
  <si>
    <t>山脉石</t>
  </si>
  <si>
    <t>蕴含雄浑的大地之力，可以平地起山峦。合成获得血晶石</t>
  </si>
  <si>
    <t>血晶石</t>
  </si>
  <si>
    <t>自然诞生的神奇矿物，可以扩展血脉之力。合成获得琥珀龙石</t>
  </si>
  <si>
    <t>琥珀龙石</t>
  </si>
  <si>
    <t>一个偶尔，琥珀中封印了龙的力量。合成获得深渊冰晶石</t>
  </si>
  <si>
    <t>深渊冰晶石</t>
  </si>
  <si>
    <t>来自深渊的阴寒之力。合成获得神力石</t>
  </si>
  <si>
    <t>神力石</t>
  </si>
  <si>
    <t>封印了一丝神之力。合成获得真理石</t>
  </si>
  <si>
    <t>真理石</t>
  </si>
  <si>
    <t>可以揭示魔药合成的规则。合成获得预言石</t>
  </si>
  <si>
    <t>预言石</t>
  </si>
  <si>
    <t>使用后，可以窥见未来的一角。合成获得梦境石</t>
  </si>
  <si>
    <t>梦境石</t>
  </si>
  <si>
    <t>陷入香甜的梦中，无法自拔。合成获得永恒石</t>
  </si>
  <si>
    <t>永恒石</t>
  </si>
  <si>
    <t>坚不可摧，岁月也不能磨灭的永恒之石。已合成最高级</t>
  </si>
  <si>
    <t>发光蘑菇</t>
  </si>
  <si>
    <t>可以照亮夜晚的黑森林。合成获得火焰辣椒</t>
  </si>
  <si>
    <t>火焰辣椒</t>
  </si>
  <si>
    <t>不可食用的辣椒，除非想嘴角冒火。合成获得泡泡果</t>
  </si>
  <si>
    <t>泡泡果</t>
  </si>
  <si>
    <t>形如葡萄，晶莹可爱。合成获得棉花糖草</t>
  </si>
  <si>
    <t>棉花糖草</t>
  </si>
  <si>
    <t>品尝一口，也是棉花糖的味道。合成获得曼德拉草</t>
  </si>
  <si>
    <t>曼德拉草</t>
  </si>
  <si>
    <t>带有较强毒性，不可食用。合成获得透明花</t>
  </si>
  <si>
    <t>透明花</t>
  </si>
  <si>
    <t>晶莹剔透，异常美丽。合成获得羽衣草</t>
  </si>
  <si>
    <t>羽衣草</t>
  </si>
  <si>
    <t>一些轻盈飞行类魔药，长加此配方。合成获得月光花</t>
  </si>
  <si>
    <t>月光花</t>
  </si>
  <si>
    <t>常与月光石伴生，会自动发出月光。合成获得智慧苹果</t>
  </si>
  <si>
    <t>智慧苹果</t>
  </si>
  <si>
    <t>据古老的传说，会诱人堕落。合成获得水晶玫瑰</t>
  </si>
  <si>
    <t>水晶玫瑰</t>
  </si>
  <si>
    <t>不仅好看，也是水晶魔法的必需品。合成获得许愿草</t>
  </si>
  <si>
    <t>许愿草</t>
  </si>
  <si>
    <t>可以小概率增加许愿魔法的成功率。合成获得幽魂草</t>
  </si>
  <si>
    <t>幽魂草</t>
  </si>
  <si>
    <t>是一些无家可归的小灵体的新家。合成获得南瓜屋</t>
  </si>
  <si>
    <t>南瓜屋</t>
  </si>
  <si>
    <t>一果一屋，人人有房住！合成获得幻梦树</t>
  </si>
  <si>
    <t>幻梦树</t>
  </si>
  <si>
    <t>每一朵花，都代表着一个美好的梦境。合成获得精灵古树</t>
  </si>
  <si>
    <t>精灵古树</t>
  </si>
  <si>
    <t>传说中，是精灵族的起源。已合成最高级</t>
  </si>
  <si>
    <t>斥候鼠</t>
  </si>
  <si>
    <t>体型娇小，天生就是当斥候的料！合成获得爆破蛙</t>
  </si>
  <si>
    <t>爆破蛙</t>
  </si>
  <si>
    <t>小心，让它远离木头！合成获得潜水松鼠</t>
  </si>
  <si>
    <t>潜水松鼠</t>
  </si>
  <si>
    <t>能下海抓鱼。合成获得医疗兔子</t>
  </si>
  <si>
    <t>医疗兔子</t>
  </si>
  <si>
    <t>谁不喜欢兔兔医疗兵？合成获得飞翔蝙蝠</t>
  </si>
  <si>
    <t>飞翔蝙蝠</t>
  </si>
  <si>
    <t>飞行能力特化的蝙蝠，是蝙蝠中的骄傲。合成获得隐身乌鸦</t>
  </si>
  <si>
    <t>隐身乌鸦</t>
  </si>
  <si>
    <t>擅长追踪别人的乌鸦探子。合成获得信使猫头鹰</t>
  </si>
  <si>
    <t>信使猫头鹰</t>
  </si>
  <si>
    <t>猫头鹰送信，使命必达！合成获得月光猫</t>
  </si>
  <si>
    <t>月光猫</t>
  </si>
  <si>
    <t>能调动暗月之力的猫咪。合成获得智者老蛇</t>
  </si>
  <si>
    <t>智者老蛇</t>
  </si>
  <si>
    <t>学识渊博，很懂魔法的老蛇。合成获得水灵狐</t>
  </si>
  <si>
    <t>水灵狐</t>
  </si>
  <si>
    <t>擅长水系魔法的魔狐。合成获得猎人狼</t>
  </si>
  <si>
    <t>猎人狼</t>
  </si>
  <si>
    <t>有了它，就不用自己打猎啦~合成获得功夫熊猫·水</t>
  </si>
  <si>
    <t>功夫熊猫·水</t>
  </si>
  <si>
    <t>自幼便在竹林水潭边修行。合成获得飞马</t>
  </si>
  <si>
    <t>飞马</t>
  </si>
  <si>
    <t>飓风般的速度，无可匹敌。合成获得黑天鹅舞者</t>
  </si>
  <si>
    <t>黑天鹅舞者</t>
  </si>
  <si>
    <t>能跳起优雅的皇家舞蹈~合成获得王者之象</t>
  </si>
  <si>
    <t>王者之象</t>
  </si>
  <si>
    <t>它是黑森林中的魔兽之王。已合成最高级</t>
  </si>
  <si>
    <t>蓝礼券*1</t>
  </si>
  <si>
    <t>乐园玩法道具，可在乐园玩法中使用</t>
  </si>
  <si>
    <t>蓝礼券*5</t>
  </si>
  <si>
    <t>蓝礼券*10</t>
  </si>
  <si>
    <t>蓝礼券*50</t>
  </si>
  <si>
    <t>蓝礼券*100</t>
  </si>
  <si>
    <t>紫礼券*1</t>
  </si>
  <si>
    <t>紫礼券*5</t>
  </si>
  <si>
    <t>紫礼券*10</t>
  </si>
  <si>
    <t>紫礼券*50</t>
  </si>
  <si>
    <t>紫礼券*100</t>
  </si>
  <si>
    <t>橙礼券*1</t>
  </si>
  <si>
    <t>橙礼券*5</t>
  </si>
  <si>
    <t>橙礼券*10</t>
  </si>
  <si>
    <t>橙礼券*50</t>
  </si>
  <si>
    <t>橙礼券*100</t>
  </si>
  <si>
    <t>镀金摇杆*1</t>
  </si>
  <si>
    <t>镀金摇杆*5</t>
  </si>
  <si>
    <t>镀金摇杆*10</t>
  </si>
  <si>
    <t>镀金摇杆*50</t>
  </si>
  <si>
    <t>镀金摇杆*100</t>
  </si>
  <si>
    <t>紫金摇杆*1</t>
  </si>
  <si>
    <t>紫金摇杆*5</t>
  </si>
  <si>
    <t>紫金摇杆*10</t>
  </si>
  <si>
    <t>紫金摇杆*50</t>
  </si>
  <si>
    <t>紫金摇杆*100</t>
  </si>
  <si>
    <t>水晶摇杆*1</t>
  </si>
  <si>
    <t>水晶摇杆*5</t>
  </si>
  <si>
    <t>水晶摇杆*10</t>
  </si>
  <si>
    <t>水晶摇杆*50</t>
  </si>
  <si>
    <t>水晶摇杆*100</t>
  </si>
  <si>
    <t>通灵摇杆*1</t>
  </si>
  <si>
    <t>通灵摇杆*5</t>
  </si>
  <si>
    <t>通灵摇杆*10</t>
  </si>
  <si>
    <t>通灵摇杆*50</t>
  </si>
  <si>
    <t>通灵摇杆*100</t>
  </si>
  <si>
    <t>产料</t>
  </si>
  <si>
    <t>木板</t>
  </si>
  <si>
    <t>初级寝具</t>
  </si>
  <si>
    <t>中级寝具</t>
  </si>
  <si>
    <t>高级寝具</t>
  </si>
  <si>
    <t>初级食材</t>
  </si>
  <si>
    <t>中级食材</t>
  </si>
  <si>
    <t>高级食材</t>
  </si>
  <si>
    <t>初级乐器</t>
  </si>
  <si>
    <t>中级乐器</t>
  </si>
  <si>
    <t>高级乐器</t>
  </si>
  <si>
    <t>初级地热</t>
  </si>
  <si>
    <t>中级地热</t>
  </si>
  <si>
    <t>高级地热</t>
  </si>
  <si>
    <t>初级铜锁</t>
  </si>
  <si>
    <t>中级银锁</t>
  </si>
  <si>
    <t>高级金锁</t>
  </si>
  <si>
    <t>小路</t>
  </si>
  <si>
    <t>水坑</t>
  </si>
  <si>
    <t>泥潭</t>
  </si>
  <si>
    <t>滚桶</t>
  </si>
  <si>
    <t>跑步机</t>
  </si>
  <si>
    <t>蹦床</t>
  </si>
  <si>
    <t>摩天轮</t>
  </si>
  <si>
    <t>秋千</t>
  </si>
  <si>
    <t>花草</t>
  </si>
  <si>
    <t>多肉</t>
  </si>
  <si>
    <t>树木</t>
  </si>
  <si>
    <t>花坛</t>
  </si>
  <si>
    <t>花圃</t>
  </si>
  <si>
    <t>板凳</t>
  </si>
  <si>
    <t>长凳</t>
  </si>
  <si>
    <t>桌子</t>
  </si>
  <si>
    <t>路灯</t>
  </si>
  <si>
    <t>屏风</t>
  </si>
  <si>
    <t>拱门</t>
  </si>
  <si>
    <t>水潭</t>
  </si>
  <si>
    <t>花架</t>
  </si>
  <si>
    <t>木马</t>
  </si>
  <si>
    <t>钟楼</t>
  </si>
  <si>
    <t>马车</t>
  </si>
  <si>
    <t>邮箱</t>
  </si>
  <si>
    <t>小栅栏</t>
  </si>
  <si>
    <t>蛋糕</t>
  </si>
  <si>
    <t>鼓</t>
  </si>
  <si>
    <t>树洞</t>
  </si>
  <si>
    <t>山包</t>
  </si>
  <si>
    <t>地板-深木地板</t>
  </si>
  <si>
    <t>地板-木板路</t>
  </si>
  <si>
    <t>地板-粉色地板</t>
  </si>
  <si>
    <t>地板-鹅卵石地板</t>
  </si>
  <si>
    <t>地板-砖石地板</t>
  </si>
  <si>
    <t>地板-大理石地板</t>
  </si>
  <si>
    <t>水坑-碎石水坑</t>
  </si>
  <si>
    <t>水坑-鲜花水坑</t>
  </si>
  <si>
    <t>水坑-野花水坑</t>
  </si>
  <si>
    <t>泥潭-碎石泥潭</t>
  </si>
  <si>
    <t>泥潭-鲜花</t>
  </si>
  <si>
    <t>泥潭-海泥</t>
  </si>
  <si>
    <t>泥潭-深海泥</t>
  </si>
  <si>
    <t>滚桶-旧木桶</t>
  </si>
  <si>
    <t>跑步机-木艺</t>
  </si>
  <si>
    <t>跑步机-机械</t>
  </si>
  <si>
    <t>跑步机-现代</t>
  </si>
  <si>
    <t>跑步机-甜甜圈</t>
  </si>
  <si>
    <t>蹦床-皮制</t>
  </si>
  <si>
    <t>蹦床-充气</t>
  </si>
  <si>
    <t>蹦床-铁艺</t>
  </si>
  <si>
    <t>蹦床-高级</t>
  </si>
  <si>
    <t>摩天轮-精良</t>
  </si>
  <si>
    <t>炫彩摩天轮道具</t>
  </si>
  <si>
    <t>糖果摩天轮道具</t>
  </si>
  <si>
    <t>棒棒糖摩天轮道具</t>
  </si>
  <si>
    <t>秋千-树藤</t>
  </si>
  <si>
    <t>秋千-鲜花</t>
  </si>
  <si>
    <t>花草-蒲公英</t>
  </si>
  <si>
    <t>花草-芒草</t>
  </si>
  <si>
    <t>花草-紫罗兰</t>
  </si>
  <si>
    <t>花草-向日葵</t>
  </si>
  <si>
    <t>花草-晴时花</t>
  </si>
  <si>
    <t>花草-迎春花</t>
  </si>
  <si>
    <t>花草-狗尾巴草</t>
  </si>
  <si>
    <t>花草-绣球</t>
  </si>
  <si>
    <t>花草-郁金香</t>
  </si>
  <si>
    <t>花草-铃兰花</t>
  </si>
  <si>
    <t>多肉-吸财树</t>
  </si>
  <si>
    <t>多肉-仙人掌</t>
  </si>
  <si>
    <t>多肉-绿熊掌</t>
  </si>
  <si>
    <t>树木-黄叶栌</t>
  </si>
  <si>
    <t>树木-翠叶栌</t>
  </si>
  <si>
    <t>树木-枫树</t>
  </si>
  <si>
    <t>树木-梅花树</t>
  </si>
  <si>
    <t>树木-梨花树</t>
  </si>
  <si>
    <t>树木-棉花糖树</t>
  </si>
  <si>
    <t>树木-椰子树</t>
  </si>
  <si>
    <t>树木-气球树</t>
  </si>
  <si>
    <t>树木-结果桃树</t>
  </si>
  <si>
    <t>树木-小黄杨</t>
  </si>
  <si>
    <t>树木-芭蕉树</t>
  </si>
  <si>
    <t>树木-苹果树</t>
  </si>
  <si>
    <t>树木-银杏树</t>
  </si>
  <si>
    <t>树木-高山松</t>
  </si>
  <si>
    <t>花坛-圆桶花坛</t>
  </si>
  <si>
    <t>花坛-古典花坛</t>
  </si>
  <si>
    <t>花坛-喷泉花坛</t>
  </si>
  <si>
    <t>花坛-创意高挑花坛</t>
  </si>
  <si>
    <t>花圃-四季秋海棠花圃</t>
  </si>
  <si>
    <t>花圃-美人蕉花圃</t>
  </si>
  <si>
    <t>花圃-金鱼草花圃</t>
  </si>
  <si>
    <t>花圃-玫瑰花圃</t>
  </si>
  <si>
    <t>板凳-单人方凳</t>
  </si>
  <si>
    <t>板凳-木质摇椅</t>
  </si>
  <si>
    <t>长凳-彩绘长凳</t>
  </si>
  <si>
    <t>长凳-皇家长凳</t>
  </si>
  <si>
    <t>长凳-粉圆长凳</t>
  </si>
  <si>
    <t>长凳-铁艺长凳</t>
  </si>
  <si>
    <t>长凳-木制长凳</t>
  </si>
  <si>
    <t>桌子-格子圆桌</t>
  </si>
  <si>
    <t>桌子-木质圆桌</t>
  </si>
  <si>
    <t>桌子-欧式雕花圆桌</t>
  </si>
  <si>
    <t>桌子-玻璃圆桌</t>
  </si>
  <si>
    <t>路灯-中式简约</t>
  </si>
  <si>
    <t>屏风-花鸟屏风</t>
  </si>
  <si>
    <t>屏风-千里江山屏风</t>
  </si>
  <si>
    <t>拱门-花园</t>
  </si>
  <si>
    <t>拱门-圣诞</t>
  </si>
  <si>
    <t>水潭-瀑布</t>
  </si>
  <si>
    <t>木马-摇摆木马</t>
  </si>
  <si>
    <t>木马-旋转木马</t>
  </si>
  <si>
    <t>木马-独角兽木马</t>
  </si>
  <si>
    <t>钟楼-木制钟楼</t>
  </si>
  <si>
    <t>钟楼-瓷砖钟楼</t>
  </si>
  <si>
    <t>栅栏-石墙</t>
  </si>
  <si>
    <t>栅栏-彩色</t>
  </si>
  <si>
    <t>栅栏-铁艺</t>
  </si>
  <si>
    <t>树洞-木屋树洞</t>
  </si>
  <si>
    <t>树洞-枫叶树洞</t>
  </si>
  <si>
    <t>山包-梯田山包</t>
  </si>
  <si>
    <t>山包-彩虹山包</t>
  </si>
  <si>
    <t>外墙</t>
  </si>
  <si>
    <t>墙饰</t>
  </si>
  <si>
    <t>风车</t>
  </si>
  <si>
    <t>餐车</t>
  </si>
  <si>
    <t>炉子</t>
  </si>
  <si>
    <t>凉亭</t>
  </si>
  <si>
    <t>沙盘</t>
  </si>
  <si>
    <t>地板-古朴路</t>
  </si>
  <si>
    <t>地板-石板路</t>
  </si>
  <si>
    <t>地板-实木地板</t>
  </si>
  <si>
    <t>地板-浅色草皮</t>
  </si>
  <si>
    <t>地板-深色草皮</t>
  </si>
  <si>
    <t>秋千-花朵秋千</t>
  </si>
  <si>
    <t>花圃-蒲公英花圃</t>
  </si>
  <si>
    <t>花圃-姹紫花圃</t>
  </si>
  <si>
    <t>花圃-丰收稻田</t>
  </si>
  <si>
    <t>板凳-花纹小板凳</t>
  </si>
  <si>
    <t>板凳-落花摇椅</t>
  </si>
  <si>
    <t>长椅-桂香躺椅</t>
  </si>
  <si>
    <t>路灯-高宫灯</t>
  </si>
  <si>
    <t>路灯-低宫灯</t>
  </si>
  <si>
    <t>路灯-石灯</t>
  </si>
  <si>
    <t>拱门-藤曼拱门</t>
  </si>
  <si>
    <t>拱门-国风拱门</t>
  </si>
  <si>
    <t>水潭-绿树水潭</t>
  </si>
  <si>
    <t>栅栏-花朵木栅栏</t>
  </si>
  <si>
    <t>蛋糕-糕点篮</t>
  </si>
  <si>
    <t>蛋糕-火锅蛋糕</t>
  </si>
  <si>
    <t>树洞-花团树洞</t>
  </si>
  <si>
    <t>外墙-古风木墙</t>
  </si>
  <si>
    <t>外墙-古风红墙</t>
  </si>
  <si>
    <t>路灯-低垂路灯</t>
  </si>
  <si>
    <t>路灯-欧式路灯</t>
  </si>
  <si>
    <t>墙角</t>
  </si>
  <si>
    <t>萌甜小美建筑</t>
  </si>
  <si>
    <t>萌甜小美皮肤</t>
  </si>
  <si>
    <t>香蕉皮</t>
  </si>
  <si>
    <t>使后方身位的一只队伍里程-3</t>
  </si>
  <si>
    <t>背后一枪</t>
  </si>
  <si>
    <t>使前方身位的一只队伍里程-3</t>
  </si>
  <si>
    <t>随机3只队伍被龙卷风攻击，里程-2</t>
  </si>
  <si>
    <t>炸弹</t>
  </si>
  <si>
    <t>使指定的一只队伍里程-2</t>
  </si>
  <si>
    <t>拼命三郎</t>
  </si>
  <si>
    <t>自身里程-2，使1个身位内的1只队伍里程-6</t>
  </si>
  <si>
    <t>吸铁石</t>
  </si>
  <si>
    <t>使前方身位的一只队伍里程减少排名差值，自身里程增加相同值</t>
  </si>
  <si>
    <t>盾牌</t>
  </si>
  <si>
    <t>防御攻击性道具，并随机转移至其他一个队伍上</t>
  </si>
  <si>
    <t>医疗箱</t>
  </si>
  <si>
    <t>抵消下2次的里程损失</t>
  </si>
  <si>
    <t>红包</t>
  </si>
  <si>
    <t>使一只队伍和己方的里程+2</t>
  </si>
  <si>
    <t>输血</t>
  </si>
  <si>
    <t>自身队伍里程-1，指定队伍里程+4</t>
  </si>
  <si>
    <t>默认表情包</t>
  </si>
  <si>
    <t>获得后直接解锁默认表情包</t>
  </si>
  <si>
    <t>夏日表情包</t>
  </si>
  <si>
    <t>冬日表情包</t>
  </si>
  <si>
    <t>高级称号</t>
  </si>
  <si>
    <t>获得后直接解锁称号</t>
  </si>
  <si>
    <t>初级称号</t>
  </si>
  <si>
    <t>高级头像框</t>
  </si>
  <si>
    <t>获得后直接解锁头像框</t>
  </si>
  <si>
    <t>初级头像框</t>
  </si>
  <si>
    <t>喇叭</t>
  </si>
  <si>
    <t>获得1个喇叭</t>
  </si>
  <si>
    <t>超级喇叭</t>
  </si>
</sst>
</file>

<file path=xl/styles.xml><?xml version="1.0" encoding="utf-8"?>
<styleSheet xmlns="http://schemas.openxmlformats.org/spreadsheetml/2006/main" xmlns:x14ac="http://schemas.microsoft.com/office/spreadsheetml/2009/9/ac" xmlns:mc="http://schemas.openxmlformats.org/markup-compatibility/2006">
  <fonts count="37">
    <font>
      <sz val="11.0"/>
      <color theme="1"/>
      <name val="Calibri"/>
      <scheme val="minor"/>
    </font>
    <font>
      <b/>
      <sz val="11.0"/>
      <color theme="0"/>
      <name val="Arial"/>
    </font>
    <font>
      <b/>
      <sz val="11.0"/>
      <color theme="1"/>
      <name val="Arial"/>
    </font>
    <font>
      <b/>
      <sz val="11.0"/>
      <color theme="1"/>
      <name val="Calibri"/>
    </font>
    <font>
      <b/>
      <sz val="11.0"/>
      <color theme="0"/>
      <name val="Calibri"/>
    </font>
    <font>
      <sz val="11.0"/>
      <color theme="1"/>
      <name val="SimSun"/>
    </font>
    <font>
      <sz val="11.0"/>
      <color theme="1"/>
      <name val="Calibri"/>
    </font>
    <font>
      <b/>
      <sz val="11.0"/>
      <color theme="1"/>
      <name val="SimSun"/>
    </font>
    <font>
      <sz val="12.0"/>
      <color theme="1"/>
      <name val="SimSun"/>
    </font>
    <font>
      <b/>
      <sz val="11.0"/>
      <color theme="0"/>
      <name val="SimSun"/>
    </font>
    <font>
      <b/>
      <sz val="11.0"/>
      <color rgb="FFFF0000"/>
      <name val="Arial"/>
    </font>
    <font>
      <b/>
      <sz val="11.0"/>
      <color rgb="FFFF0000"/>
      <name val="Calibri"/>
    </font>
    <font>
      <b/>
      <sz val="11.0"/>
      <color rgb="FFFF0000"/>
      <name val="SimSun"/>
    </font>
    <font>
      <sz val="11.0"/>
      <color rgb="FFFF0000"/>
      <name val="Calibri"/>
    </font>
    <font>
      <sz val="11.0"/>
      <color rgb="FF000000"/>
      <name val="Arial"/>
    </font>
    <font>
      <sz val="10.0"/>
      <color theme="1"/>
      <name val="Calibri"/>
    </font>
    <font>
      <sz val="10.0"/>
      <color theme="1"/>
      <name val="SimSun"/>
    </font>
    <font>
      <b/>
      <sz val="12.0"/>
      <color rgb="FF333333"/>
      <name val="SimSun"/>
    </font>
    <font>
      <sz val="12.0"/>
      <color rgb="FF000000"/>
      <name val="SimSun"/>
    </font>
    <font>
      <sz val="12.0"/>
      <color rgb="FF1C1F23"/>
      <name val="SimSun"/>
    </font>
    <font>
      <sz val="12.0"/>
      <color theme="1"/>
      <name val="Calibri"/>
    </font>
    <font>
      <sz val="12.0"/>
      <color rgb="FF000000"/>
      <name val="Calibri"/>
    </font>
    <font>
      <sz val="11.0"/>
      <color rgb="FF333333"/>
      <name val="Calibri"/>
    </font>
    <font>
      <sz val="10.0"/>
      <color rgb="FF000000"/>
      <name val="Calibri"/>
    </font>
    <font>
      <sz val="10.0"/>
      <color rgb="FF1F2329"/>
      <name val="Calibri"/>
    </font>
    <font>
      <sz val="10.0"/>
      <color rgb="FF333333"/>
      <name val="Calibri"/>
    </font>
    <font>
      <sz val="12.0"/>
      <color rgb="FF333333"/>
      <name val="SimSun"/>
    </font>
    <font>
      <sz val="12.0"/>
      <color rgb="FF0F1115"/>
      <name val="Calibri"/>
    </font>
    <font>
      <sz val="11.0"/>
      <color theme="1"/>
      <name val="等线"/>
    </font>
    <font>
      <sz val="12.0"/>
      <color rgb="FF1C1F23"/>
      <name val="Calibri"/>
    </font>
    <font>
      <sz val="11.0"/>
      <color theme="1"/>
      <name val="Microsoft Yahei"/>
    </font>
    <font>
      <sz val="12.0"/>
      <color rgb="FF000000"/>
      <name val="Tahoma"/>
    </font>
    <font>
      <sz val="12.0"/>
      <color rgb="FF1F2329"/>
      <name val="Tahoma"/>
    </font>
    <font>
      <sz val="12.0"/>
      <color rgb="FF1F2329"/>
      <name val="Calibri"/>
    </font>
    <font>
      <b/>
      <sz val="11.0"/>
      <color theme="1"/>
      <name val="Cambria"/>
    </font>
    <font>
      <sz val="11.0"/>
      <color theme="1"/>
      <name val="Cambria"/>
    </font>
    <font>
      <color theme="1"/>
      <name val="Calibri"/>
      <scheme val="minor"/>
    </font>
  </fonts>
  <fills count="21">
    <fill>
      <patternFill patternType="none"/>
    </fill>
    <fill>
      <patternFill patternType="lightGray"/>
    </fill>
    <fill>
      <patternFill patternType="solid">
        <fgColor rgb="FF262626"/>
        <bgColor rgb="FF262626"/>
      </patternFill>
    </fill>
    <fill>
      <patternFill patternType="solid">
        <fgColor rgb="FF548DD4"/>
        <bgColor rgb="FF548DD4"/>
      </patternFill>
    </fill>
    <fill>
      <patternFill patternType="solid">
        <fgColor rgb="FF92D050"/>
        <bgColor rgb="FF92D050"/>
      </patternFill>
    </fill>
    <fill>
      <patternFill patternType="solid">
        <fgColor rgb="FF00B050"/>
        <bgColor rgb="FF00B050"/>
      </patternFill>
    </fill>
    <fill>
      <patternFill patternType="solid">
        <fgColor rgb="FFFFFF00"/>
        <bgColor rgb="FFFFFF00"/>
      </patternFill>
    </fill>
    <fill>
      <patternFill patternType="solid">
        <fgColor rgb="FFFF0000"/>
        <bgColor rgb="FFFF0000"/>
      </patternFill>
    </fill>
    <fill>
      <patternFill patternType="solid">
        <fgColor rgb="FFFDE9D9"/>
        <bgColor rgb="FFFDE9D9"/>
      </patternFill>
    </fill>
    <fill>
      <patternFill patternType="solid">
        <fgColor rgb="FF8DB3E2"/>
        <bgColor rgb="FF8DB3E2"/>
      </patternFill>
    </fill>
    <fill>
      <patternFill patternType="solid">
        <fgColor theme="7"/>
        <bgColor theme="7"/>
      </patternFill>
    </fill>
    <fill>
      <patternFill patternType="solid">
        <fgColor theme="8"/>
        <bgColor theme="8"/>
      </patternFill>
    </fill>
    <fill>
      <patternFill patternType="solid">
        <fgColor rgb="FFFFC000"/>
        <bgColor rgb="FFFFC000"/>
      </patternFill>
    </fill>
    <fill>
      <patternFill patternType="solid">
        <fgColor rgb="FFBFBFBF"/>
        <bgColor rgb="FFBFBFBF"/>
      </patternFill>
    </fill>
    <fill>
      <patternFill patternType="solid">
        <fgColor rgb="FF92CDDC"/>
        <bgColor rgb="FF92CDDC"/>
      </patternFill>
    </fill>
    <fill>
      <patternFill patternType="solid">
        <fgColor rgb="FFF2DBDB"/>
        <bgColor rgb="FFF2DBDB"/>
      </patternFill>
    </fill>
    <fill>
      <patternFill patternType="solid">
        <fgColor theme="0"/>
        <bgColor theme="0"/>
      </patternFill>
    </fill>
    <fill>
      <patternFill patternType="solid">
        <fgColor rgb="FFD9F5D6"/>
        <bgColor rgb="FFD9F5D6"/>
      </patternFill>
    </fill>
    <fill>
      <patternFill patternType="solid">
        <fgColor rgb="FFFFFFFF"/>
        <bgColor rgb="FFFFFFFF"/>
      </patternFill>
    </fill>
    <fill>
      <patternFill patternType="solid">
        <fgColor rgb="FFDAEEF3"/>
        <bgColor rgb="FFDAEEF3"/>
      </patternFill>
    </fill>
    <fill>
      <patternFill patternType="solid">
        <fgColor rgb="FFEEECE1"/>
        <bgColor rgb="FFEEECE1"/>
      </patternFill>
    </fill>
  </fills>
  <borders count="26">
    <border/>
    <border>
      <left style="thin">
        <color rgb="FF000000"/>
      </left>
      <right style="thin">
        <color rgb="FF000000"/>
      </right>
      <top style="thin">
        <color rgb="FF000000"/>
      </top>
      <bottom style="thin">
        <color rgb="FF000000"/>
      </bottom>
    </border>
    <border>
      <left/>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right style="thin">
        <color rgb="FF000000"/>
      </right>
      <top style="thin">
        <color rgb="FF000000"/>
      </top>
    </border>
    <border>
      <left style="thin">
        <color rgb="FF000000"/>
      </left>
      <right style="thin">
        <color rgb="FF000000"/>
      </right>
      <top style="medium">
        <color rgb="FF000000"/>
      </top>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thin">
        <color rgb="FF000000"/>
      </left>
      <right style="thin">
        <color rgb="FF000000"/>
      </right>
      <top style="thin">
        <color rgb="FF000000"/>
      </top>
      <bottom style="medium">
        <color rgb="FF000000"/>
      </bottom>
    </border>
    <border>
      <left style="thin">
        <color rgb="FF000000"/>
      </left>
      <top style="thin">
        <color rgb="FF000000"/>
      </top>
      <bottom style="medium">
        <color rgb="FF000000"/>
      </bottom>
    </border>
    <border>
      <right style="thin">
        <color rgb="FF000000"/>
      </right>
      <top style="thin">
        <color rgb="FF000000"/>
      </top>
      <bottom style="medium">
        <color rgb="FF000000"/>
      </bottom>
    </border>
    <border>
      <left style="thin">
        <color rgb="FF000000"/>
      </left>
      <right style="thin">
        <color rgb="FF000000"/>
      </right>
      <top style="thin">
        <color rgb="FF000000"/>
      </top>
      <bottom/>
    </border>
    <border>
      <right style="thin">
        <color rgb="FF000000"/>
      </right>
    </border>
    <border>
      <left style="thin">
        <color rgb="FF000000"/>
      </left>
      <right style="thin">
        <color rgb="FF000000"/>
      </right>
      <top/>
      <bottom style="thin">
        <color rgb="FF000000"/>
      </bottom>
    </border>
    <border>
      <left style="thin">
        <color rgb="FF000000"/>
      </left>
      <bottom style="thin">
        <color rgb="FF000000"/>
      </bottom>
    </border>
    <border>
      <right style="thin">
        <color rgb="FF000000"/>
      </right>
      <bottom style="thin">
        <color rgb="FF000000"/>
      </bottom>
    </border>
    <border>
      <left style="medium">
        <color rgb="FFFFFFFF"/>
      </left>
      <top style="medium">
        <color rgb="FFFFFFFF"/>
      </top>
      <bottom style="medium">
        <color rgb="FFFFFFFF"/>
      </bottom>
    </border>
    <border>
      <left style="medium">
        <color rgb="FFFFFFFF"/>
      </left>
      <right/>
      <top style="medium">
        <color rgb="FFFFFFFF"/>
      </top>
      <bottom style="medium">
        <color rgb="FFFFFFFF"/>
      </bottom>
    </border>
    <border>
      <left style="medium">
        <color rgb="FF1F2329"/>
      </left>
      <top style="medium">
        <color rgb="FF1F2329"/>
      </top>
      <bottom style="medium">
        <color rgb="FF1F2329"/>
      </bottom>
    </border>
    <border>
      <left style="thin">
        <color rgb="FFDEE0E3"/>
      </left>
      <top style="thin">
        <color rgb="FFDEE0E3"/>
      </top>
      <bottom style="thin">
        <color rgb="FFDEE0E3"/>
      </bottom>
    </border>
    <border>
      <left style="thin">
        <color rgb="FFFFFFFF"/>
      </left>
      <top style="thin">
        <color rgb="FFFFFFFF"/>
      </top>
      <bottom style="thin">
        <color rgb="FFFFFFFF"/>
      </bottom>
    </border>
    <border>
      <left style="thin">
        <color rgb="FFDEE0E3"/>
      </left>
      <right/>
      <top style="thin">
        <color rgb="FFDEE0E3"/>
      </top>
      <bottom style="thin">
        <color rgb="FFDEE0E3"/>
      </bottom>
    </border>
    <border>
      <left style="medium">
        <color rgb="FFDEE0E3"/>
      </left>
      <right/>
      <top style="medium">
        <color rgb="FFDEE0E3"/>
      </top>
      <bottom style="medium">
        <color rgb="FFDEE0E3"/>
      </bottom>
    </border>
  </borders>
  <cellStyleXfs count="1">
    <xf borderId="0" fillId="0" fontId="0" numFmtId="0" applyAlignment="1" applyFont="1"/>
  </cellStyleXfs>
  <cellXfs count="200">
    <xf borderId="0" fillId="0" fontId="0" numFmtId="0" xfId="0" applyAlignment="1" applyFont="1">
      <alignment readingOrder="0" shrinkToFit="0" vertical="center" wrapText="0"/>
    </xf>
    <xf borderId="1" fillId="2" fontId="1" numFmtId="0" xfId="0" applyAlignment="1" applyBorder="1" applyFill="1" applyFont="1">
      <alignment vertical="center"/>
    </xf>
    <xf borderId="1" fillId="0" fontId="2" numFmtId="0" xfId="0" applyAlignment="1" applyBorder="1" applyFont="1">
      <alignment vertical="center"/>
    </xf>
    <xf borderId="0" fillId="0" fontId="3" numFmtId="0" xfId="0" applyAlignment="1" applyFont="1">
      <alignment readingOrder="0" vertical="center"/>
    </xf>
    <xf borderId="0" fillId="0" fontId="3" numFmtId="0" xfId="0" applyAlignment="1" applyFont="1">
      <alignment vertical="center"/>
    </xf>
    <xf borderId="1" fillId="3" fontId="1" numFmtId="0" xfId="0" applyAlignment="1" applyBorder="1" applyFill="1" applyFont="1">
      <alignment vertical="center"/>
    </xf>
    <xf borderId="1" fillId="3" fontId="4" numFmtId="0" xfId="0" applyAlignment="1" applyBorder="1" applyFont="1">
      <alignment vertical="center"/>
    </xf>
    <xf borderId="1" fillId="0" fontId="5" numFmtId="0" xfId="0" applyAlignment="1" applyBorder="1" applyFont="1">
      <alignment vertical="center"/>
    </xf>
    <xf borderId="0" fillId="0" fontId="6" numFmtId="0" xfId="0" applyAlignment="1" applyFont="1">
      <alignment vertical="center"/>
    </xf>
    <xf borderId="1" fillId="0" fontId="6" numFmtId="0" xfId="0" applyAlignment="1" applyBorder="1" applyFont="1">
      <alignment vertical="center"/>
    </xf>
    <xf borderId="1" fillId="4" fontId="5" numFmtId="0" xfId="0" applyAlignment="1" applyBorder="1" applyFill="1" applyFont="1">
      <alignment vertical="center"/>
    </xf>
    <xf borderId="1" fillId="4" fontId="6" numFmtId="0" xfId="0" applyAlignment="1" applyBorder="1" applyFont="1">
      <alignment vertical="center"/>
    </xf>
    <xf borderId="1" fillId="4" fontId="1" numFmtId="0" xfId="0" applyAlignment="1" applyBorder="1" applyFont="1">
      <alignment vertical="center"/>
    </xf>
    <xf borderId="1" fillId="4" fontId="4" numFmtId="0" xfId="0" applyAlignment="1" applyBorder="1" applyFont="1">
      <alignment vertical="center"/>
    </xf>
    <xf borderId="2" fillId="4" fontId="6" numFmtId="0" xfId="0" applyAlignment="1" applyBorder="1" applyFont="1">
      <alignment vertical="center"/>
    </xf>
    <xf borderId="1" fillId="0" fontId="6" numFmtId="0" xfId="0" applyAlignment="1" applyBorder="1" applyFont="1">
      <alignment shrinkToFit="0" vertical="center" wrapText="1"/>
    </xf>
    <xf borderId="1" fillId="0" fontId="7" numFmtId="0" xfId="0" applyAlignment="1" applyBorder="1" applyFont="1">
      <alignment vertical="center"/>
    </xf>
    <xf borderId="1" fillId="5" fontId="1" numFmtId="0" xfId="0" applyAlignment="1" applyBorder="1" applyFill="1" applyFont="1">
      <alignment vertical="center"/>
    </xf>
    <xf borderId="1" fillId="5" fontId="4" numFmtId="0" xfId="0" applyAlignment="1" applyBorder="1" applyFont="1">
      <alignment vertical="center"/>
    </xf>
    <xf borderId="1" fillId="5" fontId="6" numFmtId="0" xfId="0" applyAlignment="1" applyBorder="1" applyFont="1">
      <alignment vertical="center"/>
    </xf>
    <xf borderId="2" fillId="5" fontId="6" numFmtId="0" xfId="0" applyAlignment="1" applyBorder="1" applyFont="1">
      <alignment vertical="center"/>
    </xf>
    <xf borderId="1" fillId="5" fontId="8" numFmtId="0" xfId="0" applyAlignment="1" applyBorder="1" applyFont="1">
      <alignment vertical="center"/>
    </xf>
    <xf borderId="1" fillId="5" fontId="5" numFmtId="0" xfId="0" applyAlignment="1" applyBorder="1" applyFont="1">
      <alignment vertical="center"/>
    </xf>
    <xf borderId="1" fillId="0" fontId="3" numFmtId="0" xfId="0" applyAlignment="1" applyBorder="1" applyFont="1">
      <alignment vertical="center"/>
    </xf>
    <xf borderId="1" fillId="4" fontId="2" numFmtId="0" xfId="0" applyAlignment="1" applyBorder="1" applyFont="1">
      <alignment vertical="center"/>
    </xf>
    <xf borderId="1" fillId="4" fontId="3" numFmtId="0" xfId="0" applyAlignment="1" applyBorder="1" applyFont="1">
      <alignment vertical="center"/>
    </xf>
    <xf borderId="1" fillId="4" fontId="7" numFmtId="0" xfId="0" applyAlignment="1" applyBorder="1" applyFont="1">
      <alignment vertical="center"/>
    </xf>
    <xf borderId="2" fillId="6" fontId="6" numFmtId="0" xfId="0" applyAlignment="1" applyBorder="1" applyFill="1" applyFont="1">
      <alignment vertical="center"/>
    </xf>
    <xf borderId="1" fillId="7" fontId="1" numFmtId="0" xfId="0" applyAlignment="1" applyBorder="1" applyFill="1" applyFont="1">
      <alignment vertical="center"/>
    </xf>
    <xf borderId="1" fillId="7" fontId="4" numFmtId="0" xfId="0" applyAlignment="1" applyBorder="1" applyFont="1">
      <alignment vertical="center"/>
    </xf>
    <xf borderId="1" fillId="6" fontId="2" numFmtId="0" xfId="0" applyAlignment="1" applyBorder="1" applyFont="1">
      <alignment vertical="center"/>
    </xf>
    <xf borderId="1" fillId="6" fontId="3" numFmtId="0" xfId="0" applyAlignment="1" applyBorder="1" applyFont="1">
      <alignment vertical="center"/>
    </xf>
    <xf borderId="1" fillId="6" fontId="5" numFmtId="0" xfId="0" applyAlignment="1" applyBorder="1" applyFont="1">
      <alignment vertical="center"/>
    </xf>
    <xf borderId="1" fillId="6" fontId="6" numFmtId="0" xfId="0" applyAlignment="1" applyBorder="1" applyFont="1">
      <alignment vertical="center"/>
    </xf>
    <xf borderId="1" fillId="6" fontId="7" numFmtId="0" xfId="0" applyAlignment="1" applyBorder="1" applyFont="1">
      <alignment vertical="center"/>
    </xf>
    <xf borderId="1" fillId="0" fontId="6" numFmtId="0" xfId="0" applyAlignment="1" applyBorder="1" applyFont="1">
      <alignment horizontal="center" vertical="center"/>
    </xf>
    <xf borderId="1" fillId="8" fontId="6" numFmtId="0" xfId="0" applyAlignment="1" applyBorder="1" applyFill="1" applyFont="1">
      <alignment horizontal="center" vertical="center"/>
    </xf>
    <xf borderId="1" fillId="9" fontId="2" numFmtId="0" xfId="0" applyAlignment="1" applyBorder="1" applyFill="1" applyFont="1">
      <alignment vertical="center"/>
    </xf>
    <xf borderId="1" fillId="9" fontId="3" numFmtId="0" xfId="0" applyAlignment="1" applyBorder="1" applyFont="1">
      <alignment vertical="center"/>
    </xf>
    <xf borderId="1" fillId="9" fontId="7" numFmtId="0" xfId="0" applyAlignment="1" applyBorder="1" applyFont="1">
      <alignment vertical="center"/>
    </xf>
    <xf borderId="1" fillId="9" fontId="6" numFmtId="0" xfId="0" applyAlignment="1" applyBorder="1" applyFont="1">
      <alignment vertical="center"/>
    </xf>
    <xf borderId="2" fillId="9" fontId="6" numFmtId="0" xfId="0" applyAlignment="1" applyBorder="1" applyFont="1">
      <alignment vertical="center"/>
    </xf>
    <xf borderId="1" fillId="10" fontId="9" numFmtId="0" xfId="0" applyAlignment="1" applyBorder="1" applyFill="1" applyFont="1">
      <alignment vertical="center"/>
    </xf>
    <xf borderId="1" fillId="3" fontId="10" numFmtId="0" xfId="0" applyAlignment="1" applyBorder="1" applyFont="1">
      <alignment vertical="center"/>
    </xf>
    <xf borderId="1" fillId="3" fontId="11" numFmtId="0" xfId="0" applyAlignment="1" applyBorder="1" applyFont="1">
      <alignment vertical="center"/>
    </xf>
    <xf borderId="1" fillId="0" fontId="12" numFmtId="0" xfId="0" applyAlignment="1" applyBorder="1" applyFont="1">
      <alignment vertical="center"/>
    </xf>
    <xf borderId="1" fillId="0" fontId="13" numFmtId="0" xfId="0" applyAlignment="1" applyBorder="1" applyFont="1">
      <alignment vertical="center"/>
    </xf>
    <xf borderId="0" fillId="0" fontId="13" numFmtId="0" xfId="0" applyAlignment="1" applyFont="1">
      <alignment vertical="center"/>
    </xf>
    <xf borderId="1" fillId="11" fontId="2" numFmtId="0" xfId="0" applyAlignment="1" applyBorder="1" applyFill="1" applyFont="1">
      <alignment vertical="center"/>
    </xf>
    <xf borderId="1" fillId="11" fontId="3" numFmtId="0" xfId="0" applyAlignment="1" applyBorder="1" applyFont="1">
      <alignment vertical="center"/>
    </xf>
    <xf borderId="1" fillId="11" fontId="7" numFmtId="0" xfId="0" applyAlignment="1" applyBorder="1" applyFont="1">
      <alignment vertical="center"/>
    </xf>
    <xf borderId="1" fillId="11" fontId="6" numFmtId="0" xfId="0" applyAlignment="1" applyBorder="1" applyFont="1">
      <alignment vertical="center"/>
    </xf>
    <xf borderId="2" fillId="11" fontId="6" numFmtId="0" xfId="0" applyAlignment="1" applyBorder="1" applyFont="1">
      <alignment vertical="center"/>
    </xf>
    <xf borderId="1" fillId="7" fontId="2" numFmtId="0" xfId="0" applyAlignment="1" applyBorder="1" applyFont="1">
      <alignment vertical="center"/>
    </xf>
    <xf borderId="1" fillId="5" fontId="2" numFmtId="0" xfId="0" applyAlignment="1" applyBorder="1" applyFont="1">
      <alignment vertical="center"/>
    </xf>
    <xf borderId="1" fillId="5" fontId="3" numFmtId="0" xfId="0" applyAlignment="1" applyBorder="1" applyFont="1">
      <alignment vertical="center"/>
    </xf>
    <xf borderId="1" fillId="5" fontId="7" numFmtId="0" xfId="0" applyAlignment="1" applyBorder="1" applyFont="1">
      <alignment vertical="center"/>
    </xf>
    <xf borderId="1" fillId="12" fontId="2" numFmtId="0" xfId="0" applyAlignment="1" applyBorder="1" applyFill="1" applyFont="1">
      <alignment vertical="center"/>
    </xf>
    <xf borderId="1" fillId="12" fontId="3" numFmtId="0" xfId="0" applyAlignment="1" applyBorder="1" applyFont="1">
      <alignment vertical="center"/>
    </xf>
    <xf borderId="1" fillId="12" fontId="7" numFmtId="0" xfId="0" applyAlignment="1" applyBorder="1" applyFont="1">
      <alignment vertical="center"/>
    </xf>
    <xf borderId="1" fillId="12" fontId="6" numFmtId="0" xfId="0" applyAlignment="1" applyBorder="1" applyFont="1">
      <alignment vertical="center"/>
    </xf>
    <xf borderId="2" fillId="12" fontId="6" numFmtId="0" xfId="0" applyAlignment="1" applyBorder="1" applyFont="1">
      <alignment vertical="center"/>
    </xf>
    <xf borderId="2" fillId="13" fontId="6" numFmtId="0" xfId="0" applyAlignment="1" applyBorder="1" applyFill="1" applyFont="1">
      <alignment vertical="center"/>
    </xf>
    <xf borderId="1" fillId="0" fontId="14" numFmtId="0" xfId="0" applyAlignment="1" applyBorder="1" applyFont="1">
      <alignment vertical="center"/>
    </xf>
    <xf borderId="1" fillId="14" fontId="4" numFmtId="0" xfId="0" applyAlignment="1" applyBorder="1" applyFill="1" applyFont="1">
      <alignment vertical="center"/>
    </xf>
    <xf borderId="1" fillId="14" fontId="6" numFmtId="0" xfId="0" applyAlignment="1" applyBorder="1" applyFont="1">
      <alignment vertical="center"/>
    </xf>
    <xf borderId="2" fillId="14" fontId="6" numFmtId="0" xfId="0" applyAlignment="1" applyBorder="1" applyFont="1">
      <alignment vertical="center"/>
    </xf>
    <xf borderId="1" fillId="0" fontId="15" numFmtId="0" xfId="0" applyAlignment="1" applyBorder="1" applyFont="1">
      <alignment vertical="center"/>
    </xf>
    <xf borderId="1" fillId="15" fontId="6" numFmtId="0" xfId="0" applyAlignment="1" applyBorder="1" applyFill="1" applyFont="1">
      <alignment horizontal="center" vertical="center"/>
    </xf>
    <xf borderId="1" fillId="0" fontId="6" numFmtId="0" xfId="0" applyAlignment="1" applyBorder="1" applyFont="1">
      <alignment horizontal="left" vertical="center"/>
    </xf>
    <xf borderId="1" fillId="15" fontId="6" numFmtId="0" xfId="0" applyAlignment="1" applyBorder="1" applyFont="1">
      <alignment horizontal="left" vertical="center"/>
    </xf>
    <xf borderId="1" fillId="4" fontId="6" numFmtId="0" xfId="0" applyAlignment="1" applyBorder="1" applyFont="1">
      <alignment horizontal="center" vertical="center"/>
    </xf>
    <xf borderId="1" fillId="16" fontId="6" numFmtId="0" xfId="0" applyAlignment="1" applyBorder="1" applyFill="1" applyFont="1">
      <alignment vertical="center"/>
    </xf>
    <xf borderId="1" fillId="4" fontId="6" numFmtId="0" xfId="0" applyAlignment="1" applyBorder="1" applyFont="1">
      <alignment shrinkToFit="0" vertical="center" wrapText="1"/>
    </xf>
    <xf borderId="1" fillId="0" fontId="16" numFmtId="0" xfId="0" applyAlignment="1" applyBorder="1" applyFont="1">
      <alignment shrinkToFit="0" vertical="center" wrapText="1"/>
    </xf>
    <xf borderId="1" fillId="5" fontId="6" numFmtId="0" xfId="0" applyAlignment="1" applyBorder="1" applyFont="1">
      <alignment shrinkToFit="0" vertical="center" wrapText="1"/>
    </xf>
    <xf borderId="1" fillId="0" fontId="17" numFmtId="0" xfId="0" applyAlignment="1" applyBorder="1" applyFont="1">
      <alignment vertical="center"/>
    </xf>
    <xf borderId="1" fillId="0" fontId="18" numFmtId="0" xfId="0" applyAlignment="1" applyBorder="1" applyFont="1">
      <alignment shrinkToFit="0" vertical="center" wrapText="1"/>
    </xf>
    <xf borderId="1" fillId="0" fontId="8" numFmtId="0" xfId="0" applyAlignment="1" applyBorder="1" applyFont="1">
      <alignment shrinkToFit="0" vertical="center" wrapText="1"/>
    </xf>
    <xf borderId="1" fillId="0" fontId="19" numFmtId="0" xfId="0" applyAlignment="1" applyBorder="1" applyFont="1">
      <alignment shrinkToFit="0" vertical="center" wrapText="1"/>
    </xf>
    <xf borderId="1" fillId="0" fontId="20" numFmtId="0" xfId="0" applyAlignment="1" applyBorder="1" applyFont="1">
      <alignment vertical="center"/>
    </xf>
    <xf borderId="1" fillId="0" fontId="21" numFmtId="0" xfId="0" applyAlignment="1" applyBorder="1" applyFont="1">
      <alignment vertical="center"/>
    </xf>
    <xf borderId="1" fillId="17" fontId="20" numFmtId="0" xfId="0" applyAlignment="1" applyBorder="1" applyFill="1" applyFont="1">
      <alignment vertical="center"/>
    </xf>
    <xf borderId="1" fillId="17" fontId="15" numFmtId="0" xfId="0" applyAlignment="1" applyBorder="1" applyFont="1">
      <alignment vertical="center"/>
    </xf>
    <xf borderId="1" fillId="18" fontId="22" numFmtId="0" xfId="0" applyAlignment="1" applyBorder="1" applyFill="1" applyFont="1">
      <alignment vertical="center"/>
    </xf>
    <xf borderId="1" fillId="0" fontId="23" numFmtId="0" xfId="0" applyAlignment="1" applyBorder="1" applyFont="1">
      <alignment vertical="center"/>
    </xf>
    <xf borderId="1" fillId="18" fontId="15" numFmtId="0" xfId="0" applyAlignment="1" applyBorder="1" applyFont="1">
      <alignment vertical="center"/>
    </xf>
    <xf borderId="1" fillId="18" fontId="23" numFmtId="0" xfId="0" applyAlignment="1" applyBorder="1" applyFont="1">
      <alignment vertical="center"/>
    </xf>
    <xf borderId="1" fillId="18" fontId="24" numFmtId="0" xfId="0" applyAlignment="1" applyBorder="1" applyFont="1">
      <alignment vertical="center"/>
    </xf>
    <xf borderId="1" fillId="18" fontId="25" numFmtId="0" xfId="0" applyAlignment="1" applyBorder="1" applyFont="1">
      <alignment vertical="center"/>
    </xf>
    <xf borderId="1" fillId="17" fontId="21" numFmtId="0" xfId="0" applyAlignment="1" applyBorder="1" applyFont="1">
      <alignment vertical="center"/>
    </xf>
    <xf borderId="1" fillId="17" fontId="23" numFmtId="0" xfId="0" applyAlignment="1" applyBorder="1" applyFont="1">
      <alignment vertical="center"/>
    </xf>
    <xf borderId="1" fillId="0" fontId="26" numFmtId="0" xfId="0" applyAlignment="1" applyBorder="1" applyFont="1">
      <alignment vertical="center"/>
    </xf>
    <xf borderId="1" fillId="0" fontId="24" numFmtId="0" xfId="0" applyAlignment="1" applyBorder="1" applyFont="1">
      <alignment vertical="center"/>
    </xf>
    <xf borderId="1" fillId="0" fontId="27" numFmtId="0" xfId="0" applyAlignment="1" applyBorder="1" applyFont="1">
      <alignment vertical="center"/>
    </xf>
    <xf borderId="1" fillId="4" fontId="28" numFmtId="0" xfId="0" applyAlignment="1" applyBorder="1" applyFont="1">
      <alignment horizontal="left" shrinkToFit="0" vertical="center" wrapText="1"/>
    </xf>
    <xf borderId="1" fillId="18" fontId="20" numFmtId="0" xfId="0" applyAlignment="1" applyBorder="1" applyFont="1">
      <alignment vertical="center"/>
    </xf>
    <xf borderId="1" fillId="18" fontId="21" numFmtId="0" xfId="0" applyAlignment="1" applyBorder="1" applyFont="1">
      <alignment vertical="center"/>
    </xf>
    <xf borderId="1" fillId="17" fontId="29" numFmtId="0" xfId="0" applyAlignment="1" applyBorder="1" applyFont="1">
      <alignment vertical="center"/>
    </xf>
    <xf borderId="1" fillId="19" fontId="30" numFmtId="0" xfId="0" applyAlignment="1" applyBorder="1" applyFill="1" applyFont="1">
      <alignment horizontal="center" vertical="center"/>
    </xf>
    <xf borderId="1" fillId="0" fontId="30" numFmtId="0" xfId="0" applyAlignment="1" applyBorder="1" applyFont="1">
      <alignment horizontal="center" vertical="center"/>
    </xf>
    <xf borderId="1" fillId="20" fontId="6" numFmtId="0" xfId="0" applyAlignment="1" applyBorder="1" applyFill="1" applyFont="1">
      <alignment vertical="center"/>
    </xf>
    <xf borderId="1" fillId="0" fontId="31" numFmtId="0" xfId="0" applyAlignment="1" applyBorder="1" applyFont="1">
      <alignment shrinkToFit="0" vertical="center" wrapText="1"/>
    </xf>
    <xf borderId="1" fillId="0" fontId="32" numFmtId="0" xfId="0" applyAlignment="1" applyBorder="1" applyFont="1">
      <alignment shrinkToFit="0" vertical="center" wrapText="1"/>
    </xf>
    <xf borderId="1" fillId="18" fontId="33" numFmtId="0" xfId="0" applyAlignment="1" applyBorder="1" applyFont="1">
      <alignment vertical="center"/>
    </xf>
    <xf borderId="3" fillId="0" fontId="2" numFmtId="0" xfId="0" applyAlignment="1" applyBorder="1" applyFont="1">
      <alignment vertical="center"/>
    </xf>
    <xf borderId="0" fillId="0" fontId="34" numFmtId="0" xfId="0" applyAlignment="1" applyFont="1">
      <alignment vertical="center"/>
    </xf>
    <xf borderId="4" fillId="0" fontId="3" numFmtId="0" xfId="0" applyAlignment="1" applyBorder="1" applyFont="1">
      <alignment vertical="center"/>
    </xf>
    <xf borderId="3" fillId="0" fontId="5" numFmtId="0" xfId="0" applyAlignment="1" applyBorder="1" applyFont="1">
      <alignment vertical="center"/>
    </xf>
    <xf borderId="0" fillId="0" fontId="35" numFmtId="0" xfId="0" applyAlignment="1" applyFont="1">
      <alignment vertical="center"/>
    </xf>
    <xf borderId="4" fillId="0" fontId="6" numFmtId="0" xfId="0" applyAlignment="1" applyBorder="1" applyFont="1">
      <alignment vertical="center"/>
    </xf>
    <xf borderId="5" fillId="4" fontId="5" numFmtId="0" xfId="0" applyAlignment="1" applyBorder="1" applyFont="1">
      <alignment vertical="center"/>
    </xf>
    <xf borderId="6" fillId="4" fontId="6" numFmtId="0" xfId="0" applyAlignment="1" applyBorder="1" applyFont="1">
      <alignment vertical="center"/>
    </xf>
    <xf borderId="0" fillId="0" fontId="36" numFmtId="0" xfId="0" applyAlignment="1" applyFont="1">
      <alignment vertical="center"/>
    </xf>
    <xf borderId="0" fillId="0" fontId="5" numFmtId="0" xfId="0" applyAlignment="1" applyFont="1">
      <alignment vertical="center"/>
    </xf>
    <xf borderId="3" fillId="0" fontId="6" numFmtId="0" xfId="0" applyAlignment="1" applyBorder="1" applyFont="1">
      <alignment shrinkToFit="0" vertical="center" wrapText="1"/>
    </xf>
    <xf borderId="3" fillId="0" fontId="7" numFmtId="0" xfId="0" applyAlignment="1" applyBorder="1" applyFont="1">
      <alignment vertical="center"/>
    </xf>
    <xf borderId="2" fillId="5" fontId="1" numFmtId="0" xfId="0" applyAlignment="1" applyBorder="1" applyFont="1">
      <alignment vertical="center"/>
    </xf>
    <xf borderId="6" fillId="5" fontId="6" numFmtId="0" xfId="0" applyAlignment="1" applyBorder="1" applyFont="1">
      <alignment vertical="center"/>
    </xf>
    <xf borderId="2" fillId="5" fontId="8" numFmtId="0" xfId="0" applyAlignment="1" applyBorder="1" applyFont="1">
      <alignment vertical="center"/>
    </xf>
    <xf borderId="5" fillId="5" fontId="5" numFmtId="0" xfId="0" applyAlignment="1" applyBorder="1" applyFont="1">
      <alignment vertical="center"/>
    </xf>
    <xf borderId="5" fillId="4" fontId="7" numFmtId="0" xfId="0" applyAlignment="1" applyBorder="1" applyFont="1">
      <alignment vertical="center"/>
    </xf>
    <xf borderId="3" fillId="0" fontId="6" numFmtId="0" xfId="0" applyAlignment="1" applyBorder="1" applyFont="1">
      <alignment vertical="center"/>
    </xf>
    <xf borderId="5" fillId="6" fontId="5" numFmtId="0" xfId="0" applyAlignment="1" applyBorder="1" applyFont="1">
      <alignment vertical="center"/>
    </xf>
    <xf borderId="6" fillId="6" fontId="6" numFmtId="0" xfId="0" applyAlignment="1" applyBorder="1" applyFont="1">
      <alignment vertical="center"/>
    </xf>
    <xf borderId="5" fillId="6" fontId="7" numFmtId="0" xfId="0" applyAlignment="1" applyBorder="1" applyFont="1">
      <alignment vertical="center"/>
    </xf>
    <xf borderId="3" fillId="0" fontId="6" numFmtId="0" xfId="0" applyAlignment="1" applyBorder="1" applyFont="1">
      <alignment horizontal="center" vertical="center"/>
    </xf>
    <xf borderId="5" fillId="8" fontId="6" numFmtId="0" xfId="0" applyAlignment="1" applyBorder="1" applyFont="1">
      <alignment horizontal="center" vertical="center"/>
    </xf>
    <xf borderId="5" fillId="9" fontId="7" numFmtId="0" xfId="0" applyAlignment="1" applyBorder="1" applyFont="1">
      <alignment vertical="center"/>
    </xf>
    <xf borderId="6" fillId="9" fontId="6" numFmtId="0" xfId="0" applyAlignment="1" applyBorder="1" applyFont="1">
      <alignment vertical="center"/>
    </xf>
    <xf borderId="5" fillId="10" fontId="9" numFmtId="0" xfId="0" applyAlignment="1" applyBorder="1" applyFont="1">
      <alignment vertical="center"/>
    </xf>
    <xf borderId="3" fillId="0" fontId="12" numFmtId="0" xfId="0" applyAlignment="1" applyBorder="1" applyFont="1">
      <alignment vertical="center"/>
    </xf>
    <xf borderId="4" fillId="0" fontId="13" numFmtId="0" xfId="0" applyAlignment="1" applyBorder="1" applyFont="1">
      <alignment vertical="center"/>
    </xf>
    <xf borderId="7" fillId="0" fontId="6" numFmtId="0" xfId="0" applyAlignment="1" applyBorder="1" applyFont="1">
      <alignment vertical="center"/>
    </xf>
    <xf borderId="8" fillId="3" fontId="1" numFmtId="0" xfId="0" applyAlignment="1" applyBorder="1" applyFont="1">
      <alignment vertical="center"/>
    </xf>
    <xf borderId="8" fillId="3" fontId="4" numFmtId="0" xfId="0" applyAlignment="1" applyBorder="1" applyFont="1">
      <alignment vertical="center"/>
    </xf>
    <xf borderId="9" fillId="0" fontId="7" numFmtId="0" xfId="0" applyAlignment="1" applyBorder="1" applyFont="1">
      <alignment vertical="center"/>
    </xf>
    <xf borderId="10" fillId="0" fontId="6" numFmtId="0" xfId="0" applyAlignment="1" applyBorder="1" applyFont="1">
      <alignment vertical="center"/>
    </xf>
    <xf borderId="11" fillId="3" fontId="1" numFmtId="0" xfId="0" applyAlignment="1" applyBorder="1" applyFont="1">
      <alignment vertical="center"/>
    </xf>
    <xf borderId="11" fillId="3" fontId="4" numFmtId="0" xfId="0" applyAlignment="1" applyBorder="1" applyFont="1">
      <alignment vertical="center"/>
    </xf>
    <xf borderId="12" fillId="0" fontId="7" numFmtId="0" xfId="0" applyAlignment="1" applyBorder="1" applyFont="1">
      <alignment vertical="center"/>
    </xf>
    <xf borderId="13" fillId="0" fontId="6" numFmtId="0" xfId="0" applyAlignment="1" applyBorder="1" applyFont="1">
      <alignment vertical="center"/>
    </xf>
    <xf borderId="14" fillId="3" fontId="4" numFmtId="0" xfId="0" applyAlignment="1" applyBorder="1" applyFont="1">
      <alignment vertical="center"/>
    </xf>
    <xf borderId="15" fillId="0" fontId="6" numFmtId="0" xfId="0" applyAlignment="1" applyBorder="1" applyFont="1">
      <alignment vertical="center"/>
    </xf>
    <xf borderId="16" fillId="3" fontId="1" numFmtId="0" xfId="0" applyAlignment="1" applyBorder="1" applyFont="1">
      <alignment vertical="center"/>
    </xf>
    <xf borderId="16" fillId="3" fontId="4" numFmtId="0" xfId="0" applyAlignment="1" applyBorder="1" applyFont="1">
      <alignment vertical="center"/>
    </xf>
    <xf borderId="17" fillId="0" fontId="7" numFmtId="0" xfId="0" applyAlignment="1" applyBorder="1" applyFont="1">
      <alignment vertical="center"/>
    </xf>
    <xf borderId="18" fillId="0" fontId="6" numFmtId="0" xfId="0" applyAlignment="1" applyBorder="1" applyFont="1">
      <alignment vertical="center"/>
    </xf>
    <xf borderId="5" fillId="11" fontId="7" numFmtId="0" xfId="0" applyAlignment="1" applyBorder="1" applyFont="1">
      <alignment vertical="center"/>
    </xf>
    <xf borderId="5" fillId="5" fontId="7" numFmtId="0" xfId="0" applyAlignment="1" applyBorder="1" applyFont="1">
      <alignment vertical="center"/>
    </xf>
    <xf borderId="5" fillId="12" fontId="7" numFmtId="0" xfId="0" applyAlignment="1" applyBorder="1" applyFont="1">
      <alignment vertical="center"/>
    </xf>
    <xf borderId="3" fillId="0" fontId="3" numFmtId="0" xfId="0" applyAlignment="1" applyBorder="1" applyFont="1">
      <alignment vertical="center"/>
    </xf>
    <xf borderId="5" fillId="4" fontId="6" numFmtId="0" xfId="0" applyAlignment="1" applyBorder="1" applyFont="1">
      <alignment vertical="center"/>
    </xf>
    <xf borderId="5" fillId="6" fontId="6" numFmtId="0" xfId="0" applyAlignment="1" applyBorder="1" applyFont="1">
      <alignment vertical="center"/>
    </xf>
    <xf borderId="6" fillId="13" fontId="6" numFmtId="0" xfId="0" applyAlignment="1" applyBorder="1" applyFont="1">
      <alignment vertical="center"/>
    </xf>
    <xf borderId="3" fillId="0" fontId="14" numFmtId="0" xfId="0" applyAlignment="1" applyBorder="1" applyFont="1">
      <alignment vertical="center"/>
    </xf>
    <xf borderId="5" fillId="14" fontId="6" numFmtId="0" xfId="0" applyAlignment="1" applyBorder="1" applyFont="1">
      <alignment vertical="center"/>
    </xf>
    <xf borderId="6" fillId="14" fontId="6" numFmtId="0" xfId="0" applyAlignment="1" applyBorder="1" applyFont="1">
      <alignment vertical="center"/>
    </xf>
    <xf borderId="5" fillId="15" fontId="6" numFmtId="0" xfId="0" applyAlignment="1" applyBorder="1" applyFont="1">
      <alignment horizontal="center" vertical="center"/>
    </xf>
    <xf borderId="5" fillId="4" fontId="6" numFmtId="0" xfId="0" applyAlignment="1" applyBorder="1" applyFont="1">
      <alignment horizontal="center" vertical="center"/>
    </xf>
    <xf borderId="5" fillId="4" fontId="3" numFmtId="0" xfId="0" applyAlignment="1" applyBorder="1" applyFont="1">
      <alignment vertical="center"/>
    </xf>
    <xf borderId="0" fillId="0" fontId="6" numFmtId="0" xfId="0" applyAlignment="1" applyFont="1">
      <alignment shrinkToFit="0" vertical="center" wrapText="1"/>
    </xf>
    <xf borderId="19" fillId="0" fontId="6" numFmtId="0" xfId="0" applyAlignment="1" applyBorder="1" applyFont="1">
      <alignment shrinkToFit="0" vertical="center" wrapText="1"/>
    </xf>
    <xf borderId="2" fillId="4" fontId="6" numFmtId="0" xfId="0" applyAlignment="1" applyBorder="1" applyFont="1">
      <alignment shrinkToFit="0" vertical="center" wrapText="1"/>
    </xf>
    <xf borderId="20" fillId="4" fontId="6" numFmtId="0" xfId="0" applyAlignment="1" applyBorder="1" applyFont="1">
      <alignment shrinkToFit="0" vertical="center" wrapText="1"/>
    </xf>
    <xf borderId="0" fillId="0" fontId="16" numFmtId="0" xfId="0" applyAlignment="1" applyFont="1">
      <alignment shrinkToFit="0" vertical="center" wrapText="1"/>
    </xf>
    <xf borderId="20" fillId="5" fontId="6" numFmtId="0" xfId="0" applyAlignment="1" applyBorder="1" applyFont="1">
      <alignment shrinkToFit="0" vertical="center" wrapText="1"/>
    </xf>
    <xf borderId="21" fillId="0" fontId="15" numFmtId="0" xfId="0" applyAlignment="1" applyBorder="1" applyFont="1">
      <alignment vertical="center"/>
    </xf>
    <xf borderId="0" fillId="0" fontId="18" numFmtId="0" xfId="0" applyAlignment="1" applyFont="1">
      <alignment shrinkToFit="0" vertical="center" wrapText="1"/>
    </xf>
    <xf borderId="0" fillId="0" fontId="8" numFmtId="0" xfId="0" applyAlignment="1" applyFont="1">
      <alignment shrinkToFit="0" vertical="center" wrapText="1"/>
    </xf>
    <xf borderId="0" fillId="0" fontId="19" numFmtId="0" xfId="0" applyAlignment="1" applyFont="1">
      <alignment shrinkToFit="0" vertical="center" wrapText="1"/>
    </xf>
    <xf borderId="22" fillId="0" fontId="20" numFmtId="0" xfId="0" applyAlignment="1" applyBorder="1" applyFont="1">
      <alignment vertical="center"/>
    </xf>
    <xf borderId="23" fillId="0" fontId="21" numFmtId="0" xfId="0" applyAlignment="1" applyBorder="1" applyFont="1">
      <alignment vertical="center"/>
    </xf>
    <xf borderId="22" fillId="0" fontId="15" numFmtId="0" xfId="0" applyAlignment="1" applyBorder="1" applyFont="1">
      <alignment vertical="center"/>
    </xf>
    <xf borderId="24" fillId="17" fontId="20" numFmtId="0" xfId="0" applyAlignment="1" applyBorder="1" applyFont="1">
      <alignment vertical="center"/>
    </xf>
    <xf borderId="24" fillId="17" fontId="15" numFmtId="0" xfId="0" applyAlignment="1" applyBorder="1" applyFont="1">
      <alignment vertical="center"/>
    </xf>
    <xf borderId="24" fillId="18" fontId="22" numFmtId="0" xfId="0" applyAlignment="1" applyBorder="1" applyFont="1">
      <alignment vertical="center"/>
    </xf>
    <xf borderId="22" fillId="0" fontId="23" numFmtId="0" xfId="0" applyAlignment="1" applyBorder="1" applyFont="1">
      <alignment vertical="center"/>
    </xf>
    <xf borderId="24" fillId="18" fontId="15" numFmtId="0" xfId="0" applyAlignment="1" applyBorder="1" applyFont="1">
      <alignment vertical="center"/>
    </xf>
    <xf borderId="24" fillId="18" fontId="23" numFmtId="0" xfId="0" applyAlignment="1" applyBorder="1" applyFont="1">
      <alignment vertical="center"/>
    </xf>
    <xf borderId="24" fillId="18" fontId="24" numFmtId="0" xfId="0" applyAlignment="1" applyBorder="1" applyFont="1">
      <alignment vertical="center"/>
    </xf>
    <xf borderId="24" fillId="18" fontId="25" numFmtId="0" xfId="0" applyAlignment="1" applyBorder="1" applyFont="1">
      <alignment vertical="center"/>
    </xf>
    <xf borderId="24" fillId="17" fontId="21" numFmtId="0" xfId="0" applyAlignment="1" applyBorder="1" applyFont="1">
      <alignment vertical="center"/>
    </xf>
    <xf borderId="24" fillId="17" fontId="23" numFmtId="0" xfId="0" applyAlignment="1" applyBorder="1" applyFont="1">
      <alignment vertical="center"/>
    </xf>
    <xf borderId="22" fillId="0" fontId="21" numFmtId="0" xfId="0" applyAlignment="1" applyBorder="1" applyFont="1">
      <alignment vertical="center"/>
    </xf>
    <xf borderId="22" fillId="0" fontId="24" numFmtId="0" xfId="0" applyAlignment="1" applyBorder="1" applyFont="1">
      <alignment vertical="center"/>
    </xf>
    <xf borderId="22" fillId="0" fontId="27" numFmtId="0" xfId="0" applyAlignment="1" applyBorder="1" applyFont="1">
      <alignment vertical="center"/>
    </xf>
    <xf borderId="2" fillId="5" fontId="6" numFmtId="0" xfId="0" applyAlignment="1" applyBorder="1" applyFont="1">
      <alignment shrinkToFit="0" vertical="center" wrapText="1"/>
    </xf>
    <xf borderId="2" fillId="4" fontId="28" numFmtId="0" xfId="0" applyAlignment="1" applyBorder="1" applyFont="1">
      <alignment horizontal="left" shrinkToFit="0" vertical="center" wrapText="1"/>
    </xf>
    <xf borderId="24" fillId="18" fontId="20" numFmtId="0" xfId="0" applyAlignment="1" applyBorder="1" applyFont="1">
      <alignment vertical="center"/>
    </xf>
    <xf borderId="24" fillId="18" fontId="21" numFmtId="0" xfId="0" applyAlignment="1" applyBorder="1" applyFont="1">
      <alignment vertical="center"/>
    </xf>
    <xf borderId="2" fillId="3" fontId="4" numFmtId="0" xfId="0" applyAlignment="1" applyBorder="1" applyFont="1">
      <alignment vertical="center"/>
    </xf>
    <xf borderId="24" fillId="17" fontId="29" numFmtId="0" xfId="0" applyAlignment="1" applyBorder="1" applyFont="1">
      <alignment vertical="center"/>
    </xf>
    <xf borderId="5" fillId="19" fontId="30" numFmtId="0" xfId="0" applyAlignment="1" applyBorder="1" applyFont="1">
      <alignment horizontal="center" vertical="center"/>
    </xf>
    <xf borderId="3" fillId="0" fontId="30" numFmtId="0" xfId="0" applyAlignment="1" applyBorder="1" applyFont="1">
      <alignment horizontal="center" vertical="center"/>
    </xf>
    <xf borderId="2" fillId="20" fontId="6" numFmtId="0" xfId="0" applyAlignment="1" applyBorder="1" applyFont="1">
      <alignment vertical="center"/>
    </xf>
    <xf borderId="0" fillId="0" fontId="32" numFmtId="0" xfId="0" applyAlignment="1" applyFont="1">
      <alignment shrinkToFit="0" vertical="center" wrapText="1"/>
    </xf>
    <xf borderId="25" fillId="18" fontId="33" numFmtId="0" xfId="0" applyAlignment="1" applyBorder="1" applyFont="1">
      <alignment vertical="center"/>
    </xf>
    <xf borderId="2" fillId="4" fontId="4" numFmtId="0" xfId="0" applyAlignment="1" applyBorder="1" applyFont="1">
      <alignment vertical="center"/>
    </xf>
    <xf borderId="2" fillId="4" fontId="3" numFmtId="0" xfId="0" applyAlignment="1" applyBorder="1" applyFont="1">
      <alignment vertical="center"/>
    </xf>
  </cellXfs>
  <cellStyles count="1">
    <cellStyle xfId="0" name="Normal" builtinId="0"/>
  </cellStyles>
  <dxfs count="0"/>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comments3.xml.rels><?xml version="1.0" encoding="UTF-8" standalone="yes"?><Relationships xmlns="http://schemas.openxmlformats.org/package/2006/relationships"><Relationship Id="rId1" Type="http://customschemas.google.com/relationships/workbookmetadata" Target="commentsmeta2"/></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29"/>
    <col customWidth="1" min="2" max="2" width="8.14"/>
    <col customWidth="1" min="3" max="3" width="3.43"/>
    <col customWidth="1" min="4" max="4" width="18.29"/>
    <col customWidth="1" min="5" max="5" width="57.29"/>
    <col customWidth="1" min="6" max="6" width="19.29"/>
    <col customWidth="1" min="7" max="7" width="19.0"/>
    <col customWidth="1" min="8" max="10" width="9.0"/>
  </cols>
  <sheetData>
    <row r="1" ht="93.0" customHeight="1">
      <c r="A1" s="1" t="s">
        <v>0</v>
      </c>
      <c r="B1" s="1" t="s">
        <v>1</v>
      </c>
      <c r="C1" s="1" t="s">
        <v>2</v>
      </c>
      <c r="D1" s="2" t="s">
        <v>3</v>
      </c>
      <c r="E1" s="2" t="s">
        <v>4</v>
      </c>
      <c r="F1" s="3" t="s">
        <v>5</v>
      </c>
      <c r="G1" s="3" t="s">
        <v>6</v>
      </c>
      <c r="H1" s="4"/>
      <c r="I1" s="4"/>
      <c r="J1" s="4"/>
    </row>
    <row r="2" ht="21.0" customHeight="1">
      <c r="A2" s="5">
        <v>12.0</v>
      </c>
      <c r="B2" s="6">
        <v>1.0</v>
      </c>
      <c r="C2" s="5">
        <v>1.0</v>
      </c>
      <c r="D2" s="7" t="s">
        <v>7</v>
      </c>
      <c r="E2" s="7" t="s">
        <v>8</v>
      </c>
      <c r="F2" s="8" t="str">
        <f>IFERROR(__xludf.DUMMYFUNCTION("GOOGLETRANSLATE(D2,""zh-CN"",""vi"")"),"hộp đựng đồ")</f>
        <v>hộp đựng đồ</v>
      </c>
      <c r="G2" s="8" t="str">
        <f>IFERROR(__xludf.DUMMYFUNCTION("GOOGLETRANSLATE(E2,""zh-CN"",""vi"")"),"Một chiếc hộp thần kỳ dùng để cất giữ các vật phẩm trên bàn cờ.")</f>
        <v>Một chiếc hộp thần kỳ dùng để cất giữ các vật phẩm trên bàn cờ.</v>
      </c>
      <c r="H2" s="8"/>
      <c r="I2" s="8"/>
      <c r="J2" s="8"/>
    </row>
    <row r="3" ht="21.0" customHeight="1">
      <c r="A3" s="5">
        <v>1.0</v>
      </c>
      <c r="B3" s="6">
        <v>2.0</v>
      </c>
      <c r="C3" s="6">
        <v>1.0</v>
      </c>
      <c r="D3" s="7" t="s">
        <v>9</v>
      </c>
      <c r="E3" s="9" t="s">
        <v>9</v>
      </c>
      <c r="F3" s="8" t="str">
        <f>IFERROR(__xludf.DUMMYFUNCTION("GOOGLETRANSLATE(D3,""zh-CN"",""vi"")"),"kinh nghiệm")</f>
        <v>kinh nghiệm</v>
      </c>
      <c r="G3" s="8" t="str">
        <f>IFERROR(__xludf.DUMMYFUNCTION("GOOGLETRANSLATE(E3,""zh-CN"",""vi"")"),"kinh nghiệm")</f>
        <v>kinh nghiệm</v>
      </c>
      <c r="H3" s="8"/>
      <c r="I3" s="8"/>
      <c r="J3" s="8"/>
    </row>
    <row r="4" ht="21.0" customHeight="1">
      <c r="A4" s="5">
        <v>1.0</v>
      </c>
      <c r="B4" s="6">
        <v>3.0</v>
      </c>
      <c r="C4" s="6">
        <v>1.0</v>
      </c>
      <c r="D4" s="7" t="s">
        <v>10</v>
      </c>
      <c r="E4" s="9" t="s">
        <v>10</v>
      </c>
      <c r="F4" s="8" t="str">
        <f>IFERROR(__xludf.DUMMYFUNCTION("GOOGLETRANSLATE(D4,""zh-CN"",""vi"")"),"Giá trị trang phục")</f>
        <v>Giá trị trang phục</v>
      </c>
      <c r="G4" s="8" t="str">
        <f>IFERROR(__xludf.DUMMYFUNCTION("GOOGLETRANSLATE(E4,""zh-CN"",""vi"")"),"Giá trị trang phục")</f>
        <v>Giá trị trang phục</v>
      </c>
      <c r="H4" s="8"/>
      <c r="I4" s="8"/>
      <c r="J4" s="8"/>
    </row>
    <row r="5" ht="21.0" customHeight="1">
      <c r="A5" s="5">
        <v>18.0</v>
      </c>
      <c r="B5" s="6">
        <v>4.0</v>
      </c>
      <c r="C5" s="6">
        <v>1.0</v>
      </c>
      <c r="D5" s="7" t="s">
        <v>11</v>
      </c>
      <c r="E5" s="9" t="s">
        <v>12</v>
      </c>
      <c r="F5" s="8" t="str">
        <f>IFERROR(__xludf.DUMMYFUNCTION("GOOGLETRANSLATE(D5,""zh-CN"",""vi"")"),"vàng")</f>
        <v>vàng</v>
      </c>
      <c r="G5" s="8" t="str">
        <f>IFERROR(__xludf.DUMMYFUNCTION("GOOGLETRANSLATE(E5,""zh-CN"",""vi"")"),"Biểu thị giá trị của đồng tiền vàng, được sử dụng để mã hóa cứng trong kỹ thuật.")</f>
        <v>Biểu thị giá trị của đồng tiền vàng, được sử dụng để mã hóa cứng trong kỹ thuật.</v>
      </c>
      <c r="H5" s="8"/>
      <c r="I5" s="8"/>
      <c r="J5" s="8"/>
    </row>
    <row r="6" ht="21.0" customHeight="1">
      <c r="A6" s="5">
        <v>18.0</v>
      </c>
      <c r="B6" s="6">
        <v>5.0</v>
      </c>
      <c r="C6" s="6">
        <v>1.0</v>
      </c>
      <c r="D6" s="7" t="s">
        <v>13</v>
      </c>
      <c r="E6" s="9" t="s">
        <v>14</v>
      </c>
      <c r="F6" s="8" t="str">
        <f>IFERROR(__xludf.DUMMYFUNCTION("GOOGLETRANSLATE(D6,""zh-CN"",""vi"")"),"sức mạnh thể chất")</f>
        <v>sức mạnh thể chất</v>
      </c>
      <c r="G6" s="8" t="str">
        <f>IFERROR(__xludf.DUMMYFUNCTION("GOOGLETRANSLATE(E6,""zh-CN"",""vi"")"),"Biểu thị các giá trị sức mạnh thể chất, được sử dụng cho các kỹ thuật mã hóa cứng.")</f>
        <v>Biểu thị các giá trị sức mạnh thể chất, được sử dụng cho các kỹ thuật mã hóa cứng.</v>
      </c>
      <c r="H6" s="8"/>
      <c r="I6" s="8"/>
      <c r="J6" s="8"/>
    </row>
    <row r="7" ht="21.0" customHeight="1">
      <c r="A7" s="5">
        <v>18.0</v>
      </c>
      <c r="B7" s="6">
        <v>6.0</v>
      </c>
      <c r="C7" s="6">
        <v>1.0</v>
      </c>
      <c r="D7" s="10" t="s">
        <v>15</v>
      </c>
      <c r="E7" s="11" t="s">
        <v>16</v>
      </c>
      <c r="F7" s="8" t="str">
        <f>IFERROR(__xludf.DUMMYFUNCTION("GOOGLETRANSLATE(D7,""zh-CN"",""vi"")"),"Thẻ Thưởng thức")</f>
        <v>Thẻ Thưởng thức</v>
      </c>
      <c r="G7" s="8" t="str">
        <f>IFERROR(__xludf.DUMMYFUNCTION("GOOGLETRANSLATE(E7,""zh-CN"",""vi"")"),"Sau khi nhận thẻ, bạn sẽ được cấp thẻ ra vào không giới hạn trong 7 ngày. Vui lòng xem mục Đặc quyền tại Trung tâm thương mại Star Stone.")</f>
        <v>Sau khi nhận thẻ, bạn sẽ được cấp thẻ ra vào không giới hạn trong 7 ngày. Vui lòng xem mục Đặc quyền tại Trung tâm thương mại Star Stone.</v>
      </c>
      <c r="H7" s="8"/>
      <c r="I7" s="8"/>
      <c r="J7" s="8"/>
    </row>
    <row r="8" ht="21.0" customHeight="1">
      <c r="A8" s="5">
        <v>18.0</v>
      </c>
      <c r="B8" s="6">
        <v>6.0</v>
      </c>
      <c r="C8" s="6">
        <v>1.0</v>
      </c>
      <c r="D8" s="7" t="s">
        <v>17</v>
      </c>
      <c r="E8" s="9" t="s">
        <v>18</v>
      </c>
      <c r="F8" s="8" t="str">
        <f>IFERROR(__xludf.DUMMYFUNCTION("GOOGLETRANSLATE(D8,""zh-CN"",""vi"")"),"Thẻ VIP")</f>
        <v>Thẻ VIP</v>
      </c>
      <c r="G8" s="8" t="str">
        <f>IFERROR(__xludf.DUMMYFUNCTION("GOOGLETRANSLATE(E8,""zh-CN"",""vi"")"),"Sau khi nhận được đơn hàng, bạn sẽ trực tiếp nhận được thẻ VIP 30 ngày. Vui lòng kiểm tra mục Đặc quyền tại Trung tâm thương mại Star Stone.")</f>
        <v>Sau khi nhận được đơn hàng, bạn sẽ trực tiếp nhận được thẻ VIP 30 ngày. Vui lòng kiểm tra mục Đặc quyền tại Trung tâm thương mại Star Stone.</v>
      </c>
      <c r="H8" s="8"/>
      <c r="I8" s="8"/>
      <c r="J8" s="8"/>
    </row>
    <row r="9" ht="21.0" customHeight="1">
      <c r="A9" s="5">
        <v>19.0</v>
      </c>
      <c r="B9" s="6">
        <v>8.0</v>
      </c>
      <c r="C9" s="6">
        <v>1.0</v>
      </c>
      <c r="D9" s="7" t="s">
        <v>19</v>
      </c>
      <c r="E9" s="9" t="s">
        <v>20</v>
      </c>
      <c r="F9" s="8" t="str">
        <f>IFERROR(__xludf.DUMMYFUNCTION("GOOGLETRANSLATE(D9,""zh-CN"",""vi"")"),"Phiếu quà tặng (đã bị hủy bỏ)")</f>
        <v>Phiếu quà tặng (đã bị hủy bỏ)</v>
      </c>
      <c r="G9" s="8" t="str">
        <f>IFERROR(__xludf.DUMMYFUNCTION("GOOGLETRANSLATE(E9,""zh-CN"",""vi"")"),"Phiếu quà tặng trị giá 1, về mặt kỹ thuật là bị kẹt.")</f>
        <v>Phiếu quà tặng trị giá 1, về mặt kỹ thuật là bị kẹt.</v>
      </c>
      <c r="H9" s="8"/>
      <c r="I9" s="8"/>
      <c r="J9" s="8"/>
    </row>
    <row r="10" ht="21.0" customHeight="1">
      <c r="A10" s="5">
        <v>1.0</v>
      </c>
      <c r="B10" s="6">
        <v>2.0</v>
      </c>
      <c r="C10" s="6">
        <v>1.0</v>
      </c>
      <c r="D10" s="7" t="s">
        <v>21</v>
      </c>
      <c r="E10" s="9" t="s">
        <v>21</v>
      </c>
      <c r="F10" s="8" t="str">
        <f>IFERROR(__xludf.DUMMYFUNCTION("GOOGLETRANSLATE(D10,""zh-CN"",""vi"")"),"Tích phân năng lượng")</f>
        <v>Tích phân năng lượng</v>
      </c>
      <c r="G10" s="8" t="str">
        <f>IFERROR(__xludf.DUMMYFUNCTION("GOOGLETRANSLATE(E10,""zh-CN"",""vi"")"),"Tích phân năng lượng")</f>
        <v>Tích phân năng lượng</v>
      </c>
      <c r="H10" s="8"/>
      <c r="I10" s="8"/>
      <c r="J10" s="8"/>
    </row>
    <row r="11" ht="21.0" customHeight="1">
      <c r="A11" s="5">
        <v>1.0</v>
      </c>
      <c r="B11" s="6">
        <v>2.0</v>
      </c>
      <c r="C11" s="6">
        <v>1.0</v>
      </c>
      <c r="D11" s="7" t="s">
        <v>22</v>
      </c>
      <c r="E11" s="7" t="s">
        <v>22</v>
      </c>
      <c r="F11" s="8" t="str">
        <f>IFERROR(__xludf.DUMMYFUNCTION("GOOGLETRANSLATE(D11,""zh-CN"",""vi"")"),"Kinh nghiệm về nồi hơi")</f>
        <v>Kinh nghiệm về nồi hơi</v>
      </c>
      <c r="G11" s="8" t="str">
        <f>IFERROR(__xludf.DUMMYFUNCTION("GOOGLETRANSLATE(E11,""zh-CN"",""vi"")"),"Kinh nghiệm về nồi hơi")</f>
        <v>Kinh nghiệm về nồi hơi</v>
      </c>
      <c r="H11" s="8"/>
      <c r="I11" s="8"/>
      <c r="J11" s="8"/>
    </row>
    <row r="12" ht="21.0" customHeight="1">
      <c r="A12" s="5">
        <v>27.0</v>
      </c>
      <c r="B12" s="6">
        <v>11.0</v>
      </c>
      <c r="C12" s="5">
        <v>1.0</v>
      </c>
      <c r="D12" s="7" t="s">
        <v>23</v>
      </c>
      <c r="E12" s="7" t="s">
        <v>24</v>
      </c>
      <c r="F12" s="8" t="str">
        <f>IFERROR(__xludf.DUMMYFUNCTION("GOOGLETRANSLATE(D12,""zh-CN"",""vi"")"),"viên đá ma thuật")</f>
        <v>viên đá ma thuật</v>
      </c>
      <c r="G12" s="8" t="str">
        <f>IFERROR(__xludf.DUMMYFUNCTION("GOOGLETRANSLATE(E12,""zh-CN"",""vi"")"),"Nhấp đúp để sử dụng, giá trị Đá Ma Thuật +1")</f>
        <v>Nhấp đúp để sử dụng, giá trị Đá Ma Thuật +1</v>
      </c>
      <c r="H12" s="8"/>
      <c r="I12" s="8"/>
      <c r="J12" s="8"/>
    </row>
    <row r="13" ht="21.0" customHeight="1">
      <c r="A13" s="5">
        <v>31.0</v>
      </c>
      <c r="B13" s="6">
        <v>9.0</v>
      </c>
      <c r="C13" s="5">
        <v>1.0</v>
      </c>
      <c r="D13" s="7" t="s">
        <v>25</v>
      </c>
      <c r="E13" s="7" t="s">
        <v>26</v>
      </c>
      <c r="F13" s="8" t="str">
        <f>IFERROR(__xludf.DUMMYFUNCTION("GOOGLETRANSLATE(D13,""zh-CN"",""vi"")"),"Bản sao yêu tinh")</f>
        <v>Bản sao yêu tinh</v>
      </c>
      <c r="G13" s="8" t="str">
        <f>IFERROR(__xludf.DUMMYFUNCTION("GOOGLETRANSLATE(E13,""zh-CN"",""vi"")"),"Bản sao được tạo ra bởi Dapanji (một loại lẩu Tứ Xuyên) có thể được sử dụng bằng cách nhấp đúp chuột để kích hoạt kỹ năng của nó.")</f>
        <v>Bản sao được tạo ra bởi Dapanji (một loại lẩu Tứ Xuyên) có thể được sử dụng bằng cách nhấp đúp chuột để kích hoạt kỹ năng của nó.</v>
      </c>
      <c r="H13" s="8"/>
      <c r="I13" s="8"/>
      <c r="J13" s="8"/>
    </row>
    <row r="14" ht="21.0" customHeight="1">
      <c r="A14" s="12">
        <v>32.0</v>
      </c>
      <c r="B14" s="13">
        <v>10001.0</v>
      </c>
      <c r="C14" s="12">
        <v>1.0</v>
      </c>
      <c r="D14" s="10" t="s">
        <v>27</v>
      </c>
      <c r="E14" s="10" t="s">
        <v>28</v>
      </c>
      <c r="F14" s="8" t="str">
        <f>IFERROR(__xludf.DUMMYFUNCTION("GOOGLETRANSLATE(D14,""zh-CN"",""vi"")"),"Thẻ đổi thưởng thông thường")</f>
        <v>Thẻ đổi thưởng thông thường</v>
      </c>
      <c r="G14" s="8" t="str">
        <f>IFERROR(__xludf.DUMMYFUNCTION("GOOGLETRANSLATE(E14,""zh-CN"",""vi"")"),"Các vật phẩm Mother phiên bản giới hạn có thể được đổi tại Cửa hàng vật phẩm Mother.")</f>
        <v>Các vật phẩm Mother phiên bản giới hạn có thể được đổi tại Cửa hàng vật phẩm Mother.</v>
      </c>
      <c r="H14" s="14"/>
      <c r="I14" s="14"/>
      <c r="J14" s="14"/>
    </row>
    <row r="15" ht="21.0" customHeight="1">
      <c r="A15" s="12">
        <v>33.0</v>
      </c>
      <c r="B15" s="13">
        <v>10002.0</v>
      </c>
      <c r="C15" s="12">
        <v>1.0</v>
      </c>
      <c r="D15" s="10" t="s">
        <v>29</v>
      </c>
      <c r="E15" s="10" t="s">
        <v>30</v>
      </c>
      <c r="F15" s="8" t="str">
        <f>IFERROR(__xludf.DUMMYFUNCTION("GOOGLETRANSLATE(D15,""zh-CN"",""vi"")"),"Thẻ đổi quà VIP")</f>
        <v>Thẻ đổi quà VIP</v>
      </c>
      <c r="G15" s="8" t="str">
        <f>IFERROR(__xludf.DUMMYFUNCTION("GOOGLETRANSLATE(E15,""zh-CN"",""vi"")"),"Bạn có thể đổi các vật phẩm VIP Mother trong Trung tâm thương mại - Trung tâm vật phẩm Mother.")</f>
        <v>Bạn có thể đổi các vật phẩm VIP Mother trong Trung tâm thương mại - Trung tâm vật phẩm Mother.</v>
      </c>
      <c r="H15" s="14"/>
      <c r="I15" s="14"/>
      <c r="J15" s="14"/>
    </row>
    <row r="16" ht="21.0" customHeight="1">
      <c r="A16" s="5">
        <v>1.0</v>
      </c>
      <c r="B16" s="6">
        <v>15.0</v>
      </c>
      <c r="C16" s="6">
        <v>1.0</v>
      </c>
      <c r="D16" s="7" t="s">
        <v>31</v>
      </c>
      <c r="E16" s="9" t="s">
        <v>31</v>
      </c>
      <c r="F16" s="8" t="str">
        <f>IFERROR(__xludf.DUMMYFUNCTION("GOOGLETRANSLATE(D16,""zh-CN"",""vi"")"),"Giá trị tăng trưởng")</f>
        <v>Giá trị tăng trưởng</v>
      </c>
      <c r="G16" s="8" t="str">
        <f>IFERROR(__xludf.DUMMYFUNCTION("GOOGLETRANSLATE(E16,""zh-CN"",""vi"")"),"Giá trị tăng trưởng")</f>
        <v>Giá trị tăng trưởng</v>
      </c>
      <c r="H16" s="8"/>
      <c r="I16" s="8"/>
      <c r="J16" s="8"/>
    </row>
    <row r="17" ht="21.0" customHeight="1">
      <c r="A17" s="12">
        <v>18.0</v>
      </c>
      <c r="B17" s="13">
        <v>6.0</v>
      </c>
      <c r="C17" s="13">
        <v>1.0</v>
      </c>
      <c r="D17" s="10" t="s">
        <v>32</v>
      </c>
      <c r="E17" s="11" t="s">
        <v>33</v>
      </c>
      <c r="F17" s="8" t="str">
        <f>IFERROR(__xludf.DUMMYFUNCTION("GOOGLETRANSLATE(D17,""zh-CN"",""vi"")"),"Thẻ Thưởng thức")</f>
        <v>Thẻ Thưởng thức</v>
      </c>
      <c r="G17" s="8" t="str">
        <f>IFERROR(__xludf.DUMMYFUNCTION("GOOGLETRANSLATE(E17,""zh-CN"",""vi"")"),"Sau khi nhận được thẻ, bạn sẽ nhận ngay thẻ sử dụng miễn phí 7 ngày. Vui lòng kiểm tra mục Đặc quyền tại Trung tâm thương mại Star Stone.")</f>
        <v>Sau khi nhận được thẻ, bạn sẽ nhận ngay thẻ sử dụng miễn phí 7 ngày. Vui lòng kiểm tra mục Đặc quyền tại Trung tâm thương mại Star Stone.</v>
      </c>
      <c r="H17" s="14"/>
      <c r="I17" s="14"/>
      <c r="J17" s="14"/>
    </row>
    <row r="18" ht="21.0" customHeight="1">
      <c r="A18" s="5">
        <v>35.0</v>
      </c>
      <c r="B18" s="6">
        <v>1.0</v>
      </c>
      <c r="C18" s="5">
        <v>1.0</v>
      </c>
      <c r="D18" s="7" t="s">
        <v>34</v>
      </c>
      <c r="E18" s="7" t="s">
        <v>35</v>
      </c>
      <c r="F18" s="8" t="str">
        <f>IFERROR(__xludf.DUMMYFUNCTION("GOOGLETRANSLATE(D18,""zh-CN"",""vi"")"),"chìa khóa")</f>
        <v>chìa khóa</v>
      </c>
      <c r="G18" s="8" t="str">
        <f>IFERROR(__xludf.DUMMYFUNCTION("GOOGLETRANSLATE(E18,""zh-CN"",""vi"")"),"Được dùng để quay số may mắn trong sự kiện hộp quà bí ẩn ""Cute Little Beauty"".")</f>
        <v>Được dùng để quay số may mắn trong sự kiện hộp quà bí ẩn "Cute Little Beauty".</v>
      </c>
      <c r="H18" s="8"/>
      <c r="I18" s="8"/>
      <c r="J18" s="8"/>
    </row>
    <row r="19" ht="21.0" customHeight="1">
      <c r="A19" s="5">
        <v>36.0</v>
      </c>
      <c r="B19" s="6">
        <v>1.0</v>
      </c>
      <c r="C19" s="5">
        <v>1.0</v>
      </c>
      <c r="D19" s="7" t="s">
        <v>36</v>
      </c>
      <c r="E19" s="7" t="s">
        <v>37</v>
      </c>
      <c r="F19" s="8" t="str">
        <f>IFERROR(__xludf.DUMMYFUNCTION("GOOGLETRANSLATE(D19,""zh-CN"",""vi"")"),"Hình ảnh mảnh 1")</f>
        <v>Hình ảnh mảnh 1</v>
      </c>
      <c r="G19" s="8" t="str">
        <f>IFERROR(__xludf.DUMMYFUNCTION("GOOGLETRANSLATE(E19,""zh-CN"",""vi"")"),"Được sử dụng để tổng hợp mô hình búp bê Little Beauty dễ thương trong hộp bí ẩn.")</f>
        <v>Được sử dụng để tổng hợp mô hình búp bê Little Beauty dễ thương trong hộp bí ẩn.</v>
      </c>
      <c r="H19" s="8"/>
      <c r="I19" s="8"/>
      <c r="J19" s="8"/>
    </row>
    <row r="20" ht="21.0" customHeight="1">
      <c r="A20" s="5">
        <v>36.0</v>
      </c>
      <c r="B20" s="6">
        <v>1.0</v>
      </c>
      <c r="C20" s="5">
        <v>1.0</v>
      </c>
      <c r="D20" s="7" t="s">
        <v>38</v>
      </c>
      <c r="E20" s="7" t="s">
        <v>37</v>
      </c>
      <c r="F20" s="8" t="str">
        <f>IFERROR(__xludf.DUMMYFUNCTION("GOOGLETRANSLATE(D20,""zh-CN"",""vi"")"),"Hình ảnh mảnh 2")</f>
        <v>Hình ảnh mảnh 2</v>
      </c>
      <c r="G20" s="8" t="str">
        <f>IFERROR(__xludf.DUMMYFUNCTION("GOOGLETRANSLATE(E20,""zh-CN"",""vi"")"),"Được sử dụng để tổng hợp mô hình búp bê Little Beauty dễ thương trong hộp bí ẩn.")</f>
        <v>Được sử dụng để tổng hợp mô hình búp bê Little Beauty dễ thương trong hộp bí ẩn.</v>
      </c>
      <c r="H20" s="8"/>
      <c r="I20" s="8"/>
      <c r="J20" s="8"/>
    </row>
    <row r="21" ht="21.0" customHeight="1">
      <c r="A21" s="5">
        <v>36.0</v>
      </c>
      <c r="B21" s="6">
        <v>1.0</v>
      </c>
      <c r="C21" s="5">
        <v>1.0</v>
      </c>
      <c r="D21" s="7" t="s">
        <v>39</v>
      </c>
      <c r="E21" s="7" t="s">
        <v>37</v>
      </c>
      <c r="F21" s="8" t="str">
        <f>IFERROR(__xludf.DUMMYFUNCTION("GOOGLETRANSLATE(D21,""zh-CN"",""vi"")"),"Hình ảnh mảnh 3")</f>
        <v>Hình ảnh mảnh 3</v>
      </c>
      <c r="G21" s="8" t="str">
        <f>IFERROR(__xludf.DUMMYFUNCTION("GOOGLETRANSLATE(E21,""zh-CN"",""vi"")"),"Được sử dụng để tổng hợp mô hình búp bê Little Beauty dễ thương trong hộp bí ẩn.")</f>
        <v>Được sử dụng để tổng hợp mô hình búp bê Little Beauty dễ thương trong hộp bí ẩn.</v>
      </c>
      <c r="H21" s="8"/>
      <c r="I21" s="8"/>
      <c r="J21" s="8"/>
    </row>
    <row r="22" ht="21.0" customHeight="1">
      <c r="A22" s="5">
        <v>36.0</v>
      </c>
      <c r="B22" s="6">
        <v>1.0</v>
      </c>
      <c r="C22" s="5">
        <v>1.0</v>
      </c>
      <c r="D22" s="7" t="s">
        <v>40</v>
      </c>
      <c r="E22" s="7" t="s">
        <v>37</v>
      </c>
      <c r="F22" s="8" t="str">
        <f>IFERROR(__xludf.DUMMYFUNCTION("GOOGLETRANSLATE(D22,""zh-CN"",""vi"")"),"Hình ảnh mảnh 4")</f>
        <v>Hình ảnh mảnh 4</v>
      </c>
      <c r="G22" s="8" t="str">
        <f>IFERROR(__xludf.DUMMYFUNCTION("GOOGLETRANSLATE(E22,""zh-CN"",""vi"")"),"Được sử dụng để tổng hợp mô hình búp bê Little Beauty dễ thương trong hộp bí ẩn.")</f>
        <v>Được sử dụng để tổng hợp mô hình búp bê Little Beauty dễ thương trong hộp bí ẩn.</v>
      </c>
      <c r="H22" s="8"/>
      <c r="I22" s="8"/>
      <c r="J22" s="8"/>
    </row>
    <row r="23" ht="21.0" customHeight="1">
      <c r="A23" s="5">
        <v>36.0</v>
      </c>
      <c r="B23" s="6">
        <v>1.0</v>
      </c>
      <c r="C23" s="5">
        <v>1.0</v>
      </c>
      <c r="D23" s="7" t="s">
        <v>41</v>
      </c>
      <c r="E23" s="7" t="s">
        <v>37</v>
      </c>
      <c r="F23" s="8" t="str">
        <f>IFERROR(__xludf.DUMMYFUNCTION("GOOGLETRANSLATE(D23,""zh-CN"",""vi"")"),"Hình ảnh đoạn 5")</f>
        <v>Hình ảnh đoạn 5</v>
      </c>
      <c r="G23" s="8" t="str">
        <f>IFERROR(__xludf.DUMMYFUNCTION("GOOGLETRANSLATE(E23,""zh-CN"",""vi"")"),"Được sử dụng để tổng hợp mô hình búp bê Little Beauty dễ thương trong hộp bí ẩn.")</f>
        <v>Được sử dụng để tổng hợp mô hình búp bê Little Beauty dễ thương trong hộp bí ẩn.</v>
      </c>
      <c r="H23" s="8"/>
      <c r="I23" s="8"/>
      <c r="J23" s="8"/>
    </row>
    <row r="24" ht="21.0" customHeight="1">
      <c r="A24" s="5">
        <v>36.0</v>
      </c>
      <c r="B24" s="6">
        <v>1.0</v>
      </c>
      <c r="C24" s="5">
        <v>1.0</v>
      </c>
      <c r="D24" s="7" t="s">
        <v>42</v>
      </c>
      <c r="E24" s="7" t="s">
        <v>37</v>
      </c>
      <c r="F24" s="8" t="str">
        <f>IFERROR(__xludf.DUMMYFUNCTION("GOOGLETRANSLATE(D24,""zh-CN"",""vi"")"),"Hình ảnh mảnh 6")</f>
        <v>Hình ảnh mảnh 6</v>
      </c>
      <c r="G24" s="8" t="str">
        <f>IFERROR(__xludf.DUMMYFUNCTION("GOOGLETRANSLATE(E24,""zh-CN"",""vi"")"),"Được sử dụng để tổng hợp mô hình búp bê Little Beauty dễ thương trong hộp bí ẩn.")</f>
        <v>Được sử dụng để tổng hợp mô hình búp bê Little Beauty dễ thương trong hộp bí ẩn.</v>
      </c>
      <c r="H24" s="8"/>
      <c r="I24" s="8"/>
      <c r="J24" s="8"/>
    </row>
    <row r="25" ht="21.0" customHeight="1">
      <c r="A25" s="5">
        <v>36.0</v>
      </c>
      <c r="B25" s="6">
        <v>1.0</v>
      </c>
      <c r="C25" s="5">
        <v>1.0</v>
      </c>
      <c r="D25" s="7" t="s">
        <v>43</v>
      </c>
      <c r="E25" s="7" t="s">
        <v>37</v>
      </c>
      <c r="F25" s="8" t="str">
        <f>IFERROR(__xludf.DUMMYFUNCTION("GOOGLETRANSLATE(D25,""zh-CN"",""vi"")"),"Hình ảnh mảnh 7")</f>
        <v>Hình ảnh mảnh 7</v>
      </c>
      <c r="G25" s="8" t="str">
        <f>IFERROR(__xludf.DUMMYFUNCTION("GOOGLETRANSLATE(E25,""zh-CN"",""vi"")"),"Được sử dụng để tổng hợp mô hình búp bê Little Beauty dễ thương trong hộp bí ẩn.")</f>
        <v>Được sử dụng để tổng hợp mô hình búp bê Little Beauty dễ thương trong hộp bí ẩn.</v>
      </c>
      <c r="H25" s="8"/>
      <c r="I25" s="8"/>
      <c r="J25" s="8"/>
    </row>
    <row r="26" ht="21.0" customHeight="1">
      <c r="A26" s="5">
        <v>36.0</v>
      </c>
      <c r="B26" s="6">
        <v>1.0</v>
      </c>
      <c r="C26" s="5">
        <v>1.0</v>
      </c>
      <c r="D26" s="7" t="s">
        <v>44</v>
      </c>
      <c r="E26" s="7" t="s">
        <v>37</v>
      </c>
      <c r="F26" s="8" t="str">
        <f>IFERROR(__xludf.DUMMYFUNCTION("GOOGLETRANSLATE(D26,""zh-CN"",""vi"")"),"Hình ảnh mảnh 8")</f>
        <v>Hình ảnh mảnh 8</v>
      </c>
      <c r="G26" s="8" t="str">
        <f>IFERROR(__xludf.DUMMYFUNCTION("GOOGLETRANSLATE(E26,""zh-CN"",""vi"")"),"Được sử dụng để tổng hợp mô hình búp bê Little Beauty dễ thương trong hộp bí ẩn.")</f>
        <v>Được sử dụng để tổng hợp mô hình búp bê Little Beauty dễ thương trong hộp bí ẩn.</v>
      </c>
      <c r="H26" s="8"/>
      <c r="I26" s="8"/>
      <c r="J26" s="8"/>
    </row>
    <row r="27" ht="21.0" customHeight="1">
      <c r="A27" s="5">
        <v>36.0</v>
      </c>
      <c r="B27" s="6">
        <v>1.0</v>
      </c>
      <c r="C27" s="5">
        <v>1.0</v>
      </c>
      <c r="D27" s="7" t="s">
        <v>45</v>
      </c>
      <c r="E27" s="7" t="s">
        <v>37</v>
      </c>
      <c r="F27" s="8" t="str">
        <f>IFERROR(__xludf.DUMMYFUNCTION("GOOGLETRANSLATE(D27,""zh-CN"",""vi"")"),"Hình ảnh mảnh 9")</f>
        <v>Hình ảnh mảnh 9</v>
      </c>
      <c r="G27" s="8" t="str">
        <f>IFERROR(__xludf.DUMMYFUNCTION("GOOGLETRANSLATE(E27,""zh-CN"",""vi"")"),"Được sử dụng để tổng hợp mô hình búp bê Little Beauty dễ thương trong hộp bí ẩn.")</f>
        <v>Được sử dụng để tổng hợp mô hình búp bê Little Beauty dễ thương trong hộp bí ẩn.</v>
      </c>
      <c r="H27" s="8"/>
      <c r="I27" s="8"/>
      <c r="J27" s="8"/>
    </row>
    <row r="28" ht="21.0" customHeight="1">
      <c r="A28" s="5">
        <v>37.0</v>
      </c>
      <c r="B28" s="6">
        <v>1.0</v>
      </c>
      <c r="C28" s="5">
        <v>1.0</v>
      </c>
      <c r="D28" s="7" t="s">
        <v>46</v>
      </c>
      <c r="E28" s="7" t="s">
        <v>47</v>
      </c>
      <c r="F28" s="8" t="str">
        <f>IFERROR(__xludf.DUMMYFUNCTION("GOOGLETRANSLATE(D28,""zh-CN"",""vi"")"),"Búp bê Little Beauty dễ thương và ngọt ngào trong hộp bí ẩn.")</f>
        <v>Búp bê Little Beauty dễ thương và ngọt ngào trong hộp bí ẩn.</v>
      </c>
      <c r="G28" s="8" t="str">
        <f>IFERROR(__xludf.DUMMYFUNCTION("GOOGLETRANSLATE(E28,""zh-CN"",""vi"")"),"Mô hình hộp bí ẩn")</f>
        <v>Mô hình hộp bí ẩn</v>
      </c>
      <c r="H28" s="8"/>
      <c r="I28" s="8"/>
      <c r="J28" s="8"/>
    </row>
    <row r="29" ht="21.0" customHeight="1">
      <c r="A29" s="5">
        <v>38.0</v>
      </c>
      <c r="B29" s="6">
        <v>1.0</v>
      </c>
      <c r="C29" s="5">
        <v>1.0</v>
      </c>
      <c r="D29" s="7" t="s">
        <v>48</v>
      </c>
      <c r="E29" s="7" t="s">
        <v>49</v>
      </c>
      <c r="F29" s="8" t="str">
        <f>IFERROR(__xludf.DUMMYFUNCTION("GOOGLETRANSLATE(D29,""zh-CN"",""vi"")"),"Thẻ sưu tập - Vẻ đẹp nhỏ nhắn dễ thương và ngọt ngào")</f>
        <v>Thẻ sưu tập - Vẻ đẹp nhỏ nhắn dễ thương và ngọt ngào</v>
      </c>
      <c r="G29" s="8" t="str">
        <f>IFERROR(__xludf.DUMMYFUNCTION("GOOGLETRANSLATE(E29,""zh-CN"",""vi"")"),"Dùng để kích hoạt mã cho bộ sưu tập tượng nhỏ Cute Little Beauty.")</f>
        <v>Dùng để kích hoạt mã cho bộ sưu tập tượng nhỏ Cute Little Beauty.</v>
      </c>
      <c r="H29" s="8"/>
      <c r="I29" s="8"/>
      <c r="J29" s="8"/>
    </row>
    <row r="30" ht="21.0" customHeight="1">
      <c r="A30" s="5">
        <v>38.0</v>
      </c>
      <c r="B30" s="6">
        <v>1.0</v>
      </c>
      <c r="C30" s="5">
        <v>1.0</v>
      </c>
      <c r="D30" s="7" t="s">
        <v>50</v>
      </c>
      <c r="E30" s="7" t="s">
        <v>49</v>
      </c>
      <c r="F30" s="8" t="str">
        <f>IFERROR(__xludf.DUMMYFUNCTION("GOOGLETRANSLATE(D30,""zh-CN"",""vi"")"),"Thẻ sưu tầm thương mại điện tử - Xiaomei dễ thương và ngọt ngào")</f>
        <v>Thẻ sưu tầm thương mại điện tử - Xiaomei dễ thương và ngọt ngào</v>
      </c>
      <c r="G30" s="8" t="str">
        <f>IFERROR(__xludf.DUMMYFUNCTION("GOOGLETRANSLATE(E30,""zh-CN"",""vi"")"),"Dùng để kích hoạt mã cho bộ sưu tập tượng nhỏ Cute Little Beauty.")</f>
        <v>Dùng để kích hoạt mã cho bộ sưu tập tượng nhỏ Cute Little Beauty.</v>
      </c>
      <c r="H30" s="8"/>
      <c r="I30" s="8"/>
      <c r="J30" s="8"/>
    </row>
    <row r="31" ht="21.0" customHeight="1">
      <c r="A31" s="5">
        <v>38.0</v>
      </c>
      <c r="B31" s="6">
        <v>1.0</v>
      </c>
      <c r="C31" s="5">
        <v>1.0</v>
      </c>
      <c r="D31" s="7" t="s">
        <v>51</v>
      </c>
      <c r="E31" s="7" t="s">
        <v>52</v>
      </c>
      <c r="F31" s="8" t="str">
        <f>IFERROR(__xludf.DUMMYFUNCTION("GOOGLETRANSLATE(D31,""zh-CN"",""vi"")"),"Thẻ sưu tầm thương mại điện tử - thìa bạc")</f>
        <v>Thẻ sưu tầm thương mại điện tử - thìa bạc</v>
      </c>
      <c r="G31" s="8" t="str">
        <f>IFERROR(__xludf.DUMMYFUNCTION("GOOGLETRANSLATE(E31,""zh-CN"",""vi"")"),"Mã để kích hoạt vật phẩm sưu tầm tượng chiếc thìa bạc.")</f>
        <v>Mã để kích hoạt vật phẩm sưu tầm tượng chiếc thìa bạc.</v>
      </c>
      <c r="H31" s="8"/>
      <c r="I31" s="8"/>
      <c r="J31" s="8"/>
    </row>
    <row r="32" ht="21.0" customHeight="1">
      <c r="A32" s="5">
        <v>39.0</v>
      </c>
      <c r="B32" s="6">
        <v>7.0</v>
      </c>
      <c r="C32" s="6">
        <v>1.0</v>
      </c>
      <c r="D32" s="7" t="s">
        <v>53</v>
      </c>
      <c r="E32" s="9" t="s">
        <v>54</v>
      </c>
      <c r="F32" s="8" t="str">
        <f>IFERROR(__xludf.DUMMYFUNCTION("GOOGLETRANSLATE(D32,""zh-CN"",""vi"")"),"Đá Sao")</f>
        <v>Đá Sao</v>
      </c>
      <c r="G32" s="8" t="str">
        <f>IFERROR(__xludf.DUMMYFUNCTION("GOOGLETRANSLATE(E32,""zh-CN"",""vi"")"),"Một nguồn tài nguyên quý giá")</f>
        <v>Một nguồn tài nguyên quý giá</v>
      </c>
      <c r="H32" s="8"/>
      <c r="I32" s="8"/>
      <c r="J32" s="8"/>
    </row>
    <row r="33" ht="21.0" customHeight="1">
      <c r="A33" s="5">
        <v>40.0</v>
      </c>
      <c r="B33" s="6">
        <v>10032.0</v>
      </c>
      <c r="C33" s="6">
        <v>1.0</v>
      </c>
      <c r="D33" s="10" t="s">
        <v>55</v>
      </c>
      <c r="E33" s="11" t="s">
        <v>56</v>
      </c>
      <c r="F33" s="8" t="str">
        <f>IFERROR(__xludf.DUMMYFUNCTION("GOOGLETRANSLATE(D33,""zh-CN"",""vi"")"),"Màn hình không cắt xén")</f>
        <v>Màn hình không cắt xén</v>
      </c>
      <c r="G33" s="8" t="str">
        <f>IFERROR(__xludf.DUMMYFUNCTION("GOOGLETRANSLATE(E33,""zh-CN"",""vi"")"),"Hiển thị các đối tượng không phải cây trồng cần được đặt trên bàn cờ.")</f>
        <v>Hiển thị các đối tượng không phải cây trồng cần được đặt trên bàn cờ.</v>
      </c>
      <c r="H33" s="8"/>
      <c r="I33" s="8"/>
      <c r="J33" s="8"/>
    </row>
    <row r="34" ht="21.0" customHeight="1">
      <c r="A34" s="5">
        <v>39.0</v>
      </c>
      <c r="B34" s="6">
        <v>10017.0</v>
      </c>
      <c r="C34" s="6">
        <v>1.0</v>
      </c>
      <c r="D34" s="7" t="s">
        <v>57</v>
      </c>
      <c r="E34" s="7" t="s">
        <v>58</v>
      </c>
      <c r="F34" s="8" t="str">
        <f>IFERROR(__xludf.DUMMYFUNCTION("GOOGLETRANSLATE(D34,""zh-CN"",""vi"")"),"Xu ước nguyện")</f>
        <v>Xu ước nguyện</v>
      </c>
      <c r="G34" s="8" t="str">
        <f>IFERROR(__xludf.DUMMYFUNCTION("GOOGLETRANSLATE(E34,""zh-CN"",""vi"")"),"Các vật phẩm tài nguyên từ sự kiện sẽ không được đặt trên các ô bàn cờ hoặc trong khu vực chờ.")</f>
        <v>Các vật phẩm tài nguyên từ sự kiện sẽ không được đặt trên các ô bàn cờ hoặc trong khu vực chờ.</v>
      </c>
      <c r="H34" s="8"/>
      <c r="I34" s="8"/>
      <c r="J34" s="8"/>
    </row>
    <row r="35" ht="21.0" customHeight="1">
      <c r="A35" s="5">
        <v>42.0</v>
      </c>
      <c r="B35" s="6">
        <v>10018.0</v>
      </c>
      <c r="C35" s="6">
        <v>1.0</v>
      </c>
      <c r="D35" s="7" t="s">
        <v>57</v>
      </c>
      <c r="E35" s="7" t="s">
        <v>59</v>
      </c>
      <c r="F35" s="8" t="str">
        <f>IFERROR(__xludf.DUMMYFUNCTION("GOOGLETRANSLATE(D35,""zh-CN"",""vi"")"),"Xu ước nguyện")</f>
        <v>Xu ước nguyện</v>
      </c>
      <c r="G35" s="8" t="str">
        <f>IFERROR(__xludf.DUMMYFUNCTION("GOOGLETRANSLATE(E35,""zh-CN"",""vi"")"),"Bạn có thể tham gia rút thăm may mắn bằng cách nhấp đúp chuột. Số lượng xu may mắn sẽ tăng thêm 1.")</f>
        <v>Bạn có thể tham gia rút thăm may mắn bằng cách nhấp đúp chuột. Số lượng xu may mắn sẽ tăng thêm 1.</v>
      </c>
      <c r="H35" s="8"/>
      <c r="I35" s="8"/>
      <c r="J35" s="8"/>
    </row>
    <row r="36" ht="21.0" customHeight="1">
      <c r="A36" s="5">
        <v>39.0</v>
      </c>
      <c r="B36" s="6">
        <v>1.0</v>
      </c>
      <c r="C36" s="6">
        <v>1.0</v>
      </c>
      <c r="D36" s="7" t="s">
        <v>60</v>
      </c>
      <c r="E36" s="7" t="s">
        <v>61</v>
      </c>
      <c r="F36" s="8" t="str">
        <f>IFERROR(__xludf.DUMMYFUNCTION("GOOGLETRANSLATE(D36,""zh-CN"",""vi"")"),"Đồng xu ma thuật")</f>
        <v>Đồng xu ma thuật</v>
      </c>
      <c r="G36" s="8" t="str">
        <f>IFERROR(__xludf.DUMMYFUNCTION("GOOGLETRANSLATE(E36,""zh-CN"",""vi"")"),"Thẻ này có thể được dùng để mua vật phẩm trong Cửa hàng Phép thuật.")</f>
        <v>Thẻ này có thể được dùng để mua vật phẩm trong Cửa hàng Phép thuật.</v>
      </c>
      <c r="H36" s="8"/>
      <c r="I36" s="8"/>
      <c r="J36" s="8"/>
    </row>
    <row r="37" ht="21.0" customHeight="1">
      <c r="A37" s="5">
        <v>39.0</v>
      </c>
      <c r="B37" s="6">
        <v>1.0</v>
      </c>
      <c r="C37" s="6">
        <v>1.0</v>
      </c>
      <c r="D37" s="7" t="s">
        <v>62</v>
      </c>
      <c r="E37" s="7" t="s">
        <v>63</v>
      </c>
      <c r="F37" s="8" t="str">
        <f>IFERROR(__xludf.DUMMYFUNCTION("GOOGLETRANSLATE(D37,""zh-CN"",""vi"")"),"diều")</f>
        <v>diều</v>
      </c>
      <c r="G37" s="8" t="str">
        <f>IFERROR(__xludf.DUMMYFUNCTION("GOOGLETRANSLATE(E37,""zh-CN"",""vi"")"),"Nó có thể được dùng để gửi hàng cho bạn bè.")</f>
        <v>Nó có thể được dùng để gửi hàng cho bạn bè.</v>
      </c>
      <c r="H37" s="8"/>
      <c r="I37" s="8"/>
      <c r="J37" s="8"/>
    </row>
    <row r="38" ht="21.0" customHeight="1">
      <c r="A38" s="5">
        <v>39.0</v>
      </c>
      <c r="B38" s="6">
        <v>1.0</v>
      </c>
      <c r="C38" s="6">
        <v>1.0</v>
      </c>
      <c r="D38" s="7" t="s">
        <v>64</v>
      </c>
      <c r="E38" s="7" t="s">
        <v>65</v>
      </c>
      <c r="F38" s="8" t="str">
        <f>IFERROR(__xludf.DUMMYFUNCTION("GOOGLETRANSLATE(D38,""zh-CN"",""vi"")"),"Chứng khoán thương mại")</f>
        <v>Chứng khoán thương mại</v>
      </c>
      <c r="G38" s="8" t="str">
        <f>IFERROR(__xludf.DUMMYFUNCTION("GOOGLETRANSLATE(E38,""zh-CN"",""vi"")"),"Nó có thể được sử dụng để đăng tin về các đơn đặt hàng trên thị trường.")</f>
        <v>Nó có thể được sử dụng để đăng tin về các đơn đặt hàng trên thị trường.</v>
      </c>
      <c r="H38" s="8"/>
      <c r="I38" s="8"/>
      <c r="J38" s="8"/>
    </row>
    <row r="39" ht="21.0" customHeight="1">
      <c r="A39" s="5">
        <v>39.0</v>
      </c>
      <c r="B39" s="6">
        <v>1.0</v>
      </c>
      <c r="C39" s="6">
        <v>1.0</v>
      </c>
      <c r="D39" s="10" t="s">
        <v>66</v>
      </c>
      <c r="E39" s="10" t="s">
        <v>67</v>
      </c>
      <c r="F39" s="8" t="str">
        <f>IFERROR(__xludf.DUMMYFUNCTION("GOOGLETRANSLATE(D39,""zh-CN"",""vi"")"),"xúc xắc")</f>
        <v>xúc xắc</v>
      </c>
      <c r="G39" s="8" t="str">
        <f>IFERROR(__xludf.DUMMYFUNCTION("GOOGLETRANSLATE(E39,""zh-CN"",""vi"")"),"Có thể được sử dụng trong các hoạt động của trò chơi Monopoly.")</f>
        <v>Có thể được sử dụng trong các hoạt động của trò chơi Monopoly.</v>
      </c>
      <c r="H39" s="8"/>
      <c r="I39" s="8"/>
      <c r="J39" s="8"/>
    </row>
    <row r="40" ht="21.0" customHeight="1">
      <c r="A40" s="5">
        <v>38.0</v>
      </c>
      <c r="B40" s="6">
        <v>1.0</v>
      </c>
      <c r="C40" s="5">
        <v>1.0</v>
      </c>
      <c r="D40" s="7" t="s">
        <v>68</v>
      </c>
      <c r="E40" s="7" t="s">
        <v>69</v>
      </c>
      <c r="F40" s="8" t="str">
        <f>IFERROR(__xludf.DUMMYFUNCTION("GOOGLETRANSLATE(D40,""zh-CN"",""vi"")"),"Thẻ sưu tập - Đại sứ gió")</f>
        <v>Thẻ sưu tập - Đại sứ gió</v>
      </c>
      <c r="G40" s="8" t="str">
        <f>IFERROR(__xludf.DUMMYFUNCTION("GOOGLETRANSLATE(E40,""zh-CN"",""vi"")"),"Dùng để kích hoạt mã thu thập Đặc phái viên Fengxin.")</f>
        <v>Dùng để kích hoạt mã thu thập Đặc phái viên Fengxin.</v>
      </c>
      <c r="H40" s="8"/>
      <c r="I40" s="8"/>
      <c r="J40" s="8"/>
    </row>
    <row r="41" ht="21.0" customHeight="1">
      <c r="A41" s="5">
        <v>47.0</v>
      </c>
      <c r="B41" s="6">
        <v>1.0</v>
      </c>
      <c r="C41" s="6">
        <v>1.0</v>
      </c>
      <c r="D41" s="10" t="s">
        <v>70</v>
      </c>
      <c r="E41" s="10" t="s">
        <v>71</v>
      </c>
      <c r="F41" s="8" t="str">
        <f>IFERROR(__xludf.DUMMYFUNCTION("GOOGLETRANSLATE(D41,""zh-CN"",""vi"")"),"Chai Hợp Đồng")</f>
        <v>Chai Hợp Đồng</v>
      </c>
      <c r="G41" s="8" t="str">
        <f>IFERROR(__xludf.DUMMYFUNCTION("GOOGLETRANSLATE(E41,""zh-CN"",""vi"")"),"Nhấp đúp chuột để mở, kéo và thả hình ảnh để thêm vào hoặc xóa đi.")</f>
        <v>Nhấp đúp chuột để mở, kéo và thả hình ảnh để thêm vào hoặc xóa đi.</v>
      </c>
      <c r="H41" s="8"/>
      <c r="I41" s="8"/>
      <c r="J41" s="8"/>
    </row>
    <row r="42" ht="21.0" customHeight="1">
      <c r="A42" s="5">
        <v>39.0</v>
      </c>
      <c r="B42" s="6">
        <v>11.0</v>
      </c>
      <c r="C42" s="5">
        <v>1.0</v>
      </c>
      <c r="D42" s="7" t="s">
        <v>72</v>
      </c>
      <c r="E42" s="7" t="s">
        <v>73</v>
      </c>
      <c r="F42" s="8" t="str">
        <f>IFERROR(__xludf.DUMMYFUNCTION("GOOGLETRANSLATE(D42,""zh-CN"",""vi"")"),"Tinh thể ma thuật")</f>
        <v>Tinh thể ma thuật</v>
      </c>
      <c r="G42" s="8" t="str">
        <f>IFERROR(__xludf.DUMMYFUNCTION("GOOGLETRANSLATE(E42,""zh-CN"",""vi"")"),"Dùng để thêm nhiên liệu ma thuật vào chiếc nồi ma thuật.")</f>
        <v>Dùng để thêm nhiên liệu ma thuật vào chiếc nồi ma thuật.</v>
      </c>
      <c r="H42" s="8"/>
      <c r="I42" s="8"/>
      <c r="J42" s="8"/>
    </row>
    <row r="43" ht="21.0" customHeight="1">
      <c r="A43" s="5">
        <v>39.0</v>
      </c>
      <c r="B43" s="6">
        <v>1.0</v>
      </c>
      <c r="C43" s="6">
        <v>1.0</v>
      </c>
      <c r="D43" s="7" t="s">
        <v>74</v>
      </c>
      <c r="E43" s="7" t="s">
        <v>75</v>
      </c>
      <c r="F43" s="8" t="str">
        <f>IFERROR(__xludf.DUMMYFUNCTION("GOOGLETRANSLATE(D43,""zh-CN"",""vi"")"),"Tiền xu quán trà")</f>
        <v>Tiền xu quán trà</v>
      </c>
      <c r="G43" s="8" t="str">
        <f>IFERROR(__xludf.DUMMYFUNCTION("GOOGLETRANSLATE(E43,""zh-CN"",""vi"")"),"Thẻ này có thể dùng để mua sắm tại quán trà và cửa hàng tạp hóa Starlight.")</f>
        <v>Thẻ này có thể dùng để mua sắm tại quán trà và cửa hàng tạp hóa Starlight.</v>
      </c>
      <c r="H43" s="8"/>
      <c r="I43" s="8"/>
      <c r="J43" s="8"/>
    </row>
    <row r="44" ht="21.0" customHeight="1">
      <c r="A44" s="5">
        <v>39.0</v>
      </c>
      <c r="B44" s="6">
        <v>1.0</v>
      </c>
      <c r="C44" s="6">
        <v>1.0</v>
      </c>
      <c r="D44" s="10" t="s">
        <v>76</v>
      </c>
      <c r="E44" s="10" t="s">
        <v>77</v>
      </c>
      <c r="F44" s="8" t="str">
        <f>IFERROR(__xludf.DUMMYFUNCTION("GOOGLETRANSLATE(D44,""zh-CN"",""vi"")"),"Khóa ngọc bích")</f>
        <v>Khóa ngọc bích</v>
      </c>
      <c r="G44" s="8" t="str">
        <f>IFERROR(__xludf.DUMMYFUNCTION("GOOGLETRANSLATE(E44,""zh-CN"",""vi"")"),"Bạn có thể sử dụng nó trong Cửa hàng Đá Sao - mục Đổi đồ để đổi lấy những trang phục bạn muốn.")</f>
        <v>Bạn có thể sử dụng nó trong Cửa hàng Đá Sao - mục Đổi đồ để đổi lấy những trang phục bạn muốn.</v>
      </c>
      <c r="H44" s="8"/>
      <c r="I44" s="8"/>
      <c r="J44" s="8"/>
    </row>
    <row r="45" ht="21.0" customHeight="1">
      <c r="A45" s="5">
        <v>39.0</v>
      </c>
      <c r="B45" s="6">
        <v>14001.0</v>
      </c>
      <c r="C45" s="6">
        <v>1.0</v>
      </c>
      <c r="D45" s="10" t="s">
        <v>78</v>
      </c>
      <c r="E45" s="10" t="s">
        <v>79</v>
      </c>
      <c r="F45" s="8" t="str">
        <f>IFERROR(__xludf.DUMMYFUNCTION("GOOGLETRANSLATE(D45,""zh-CN"",""vi"")"),"Meow Paw Shell")</f>
        <v>Meow Paw Shell</v>
      </c>
      <c r="G45" s="8" t="str">
        <f>IFERROR(__xludf.DUMMYFUNCTION("GOOGLETRANSLATE(E45,""zh-CN"",""vi"")"),"Nguyên liệu cần thiết cho quá trình biến hình thành Yêu tinh Mèo Thời gian")</f>
        <v>Nguyên liệu cần thiết cho quá trình biến hình thành Yêu tinh Mèo Thời gian</v>
      </c>
      <c r="H45" s="8"/>
      <c r="I45" s="8"/>
      <c r="J45" s="8"/>
    </row>
    <row r="46" ht="21.0" customHeight="1">
      <c r="A46" s="5">
        <v>39.0</v>
      </c>
      <c r="B46" s="6">
        <v>14002.0</v>
      </c>
      <c r="C46" s="6">
        <v>1.0</v>
      </c>
      <c r="D46" s="10" t="s">
        <v>80</v>
      </c>
      <c r="E46" s="10" t="s">
        <v>81</v>
      </c>
      <c r="F46" s="8" t="str">
        <f>IFERROR(__xludf.DUMMYFUNCTION("GOOGLETRANSLATE(D46,""zh-CN"",""vi"")"),"Lưu Ly Ngọc")</f>
        <v>Lưu Ly Ngọc</v>
      </c>
      <c r="G46" s="8" t="str">
        <f>IFERROR(__xludf.DUMMYFUNCTION("GOOGLETRANSLATE(E46,""zh-CN"",""vi"")"),"Nguyên liệu cần thiết để biến hình thành Thần Chim Trái Cây")</f>
        <v>Nguyên liệu cần thiết để biến hình thành Thần Chim Trái Cây</v>
      </c>
      <c r="H46" s="8"/>
      <c r="I46" s="8"/>
      <c r="J46" s="8"/>
    </row>
    <row r="47" ht="21.0" customHeight="1">
      <c r="A47" s="5">
        <v>39.0</v>
      </c>
      <c r="B47" s="6">
        <v>14003.0</v>
      </c>
      <c r="C47" s="6">
        <v>1.0</v>
      </c>
      <c r="D47" s="10" t="s">
        <v>82</v>
      </c>
      <c r="E47" s="10" t="s">
        <v>83</v>
      </c>
      <c r="F47" s="8" t="str">
        <f>IFERROR(__xludf.DUMMYFUNCTION("GOOGLETRANSLATE(D47,""zh-CN"",""vi"")"),"Lông vũ quả mâm xôi đỏ")</f>
        <v>Lông vũ quả mâm xôi đỏ</v>
      </c>
      <c r="G47" s="8" t="str">
        <f>IFERROR(__xludf.DUMMYFUNCTION("GOOGLETRANSLATE(E47,""zh-CN"",""vi"")"),"Nguyên liệu cần thiết cho màn biến thân thành Tiên Dâu Tây")</f>
        <v>Nguyên liệu cần thiết cho màn biến thân thành Tiên Dâu Tây</v>
      </c>
      <c r="H47" s="8"/>
      <c r="I47" s="8"/>
      <c r="J47" s="8"/>
    </row>
    <row r="48" ht="21.0" customHeight="1">
      <c r="A48" s="5">
        <v>39.0</v>
      </c>
      <c r="B48" s="6">
        <v>14004.0</v>
      </c>
      <c r="C48" s="6">
        <v>1.0</v>
      </c>
      <c r="D48" s="10" t="s">
        <v>84</v>
      </c>
      <c r="E48" s="10" t="s">
        <v>85</v>
      </c>
      <c r="F48" s="8" t="str">
        <f>IFERROR(__xludf.DUMMYFUNCTION("GOOGLETRANSLATE(D48,""zh-CN"",""vi"")"),"Quả bông đào")</f>
        <v>Quả bông đào</v>
      </c>
      <c r="G48" s="8" t="str">
        <f>IFERROR(__xludf.DUMMYFUNCTION("GOOGLETRANSLATE(E48,""zh-CN"",""vi"")"),"Nguyên liệu cần thiết cho việc biến hình Tiên tộc Vàng Hồng.")</f>
        <v>Nguyên liệu cần thiết cho việc biến hình Tiên tộc Vàng Hồng.</v>
      </c>
      <c r="H48" s="8"/>
      <c r="I48" s="8"/>
      <c r="J48" s="8"/>
    </row>
    <row r="49" ht="21.0" customHeight="1">
      <c r="A49" s="5">
        <v>39.0</v>
      </c>
      <c r="B49" s="6">
        <v>14005.0</v>
      </c>
      <c r="C49" s="6">
        <v>1.0</v>
      </c>
      <c r="D49" s="10" t="s">
        <v>86</v>
      </c>
      <c r="E49" s="10" t="s">
        <v>87</v>
      </c>
      <c r="F49" s="8" t="str">
        <f>IFERROR(__xludf.DUMMYFUNCTION("GOOGLETRANSLATE(D49,""zh-CN"",""vi"")"),"thanh xương quay")</f>
        <v>thanh xương quay</v>
      </c>
      <c r="G49" s="8" t="str">
        <f>IFERROR(__xludf.DUMMYFUNCTION("GOOGLETRANSLATE(E49,""zh-CN"",""vi"")"),"Nguyên liệu cần thiết để biến đổi Chú yêu tinh Chó Rau Củ")</f>
        <v>Nguyên liệu cần thiết để biến đổi Chú yêu tinh Chó Rau Củ</v>
      </c>
      <c r="H49" s="8"/>
      <c r="I49" s="8"/>
      <c r="J49" s="8"/>
    </row>
    <row r="50" ht="21.0" customHeight="1">
      <c r="A50" s="5">
        <v>39.0</v>
      </c>
      <c r="B50" s="6">
        <v>14006.0</v>
      </c>
      <c r="C50" s="6">
        <v>1.0</v>
      </c>
      <c r="D50" s="10" t="s">
        <v>88</v>
      </c>
      <c r="E50" s="10" t="s">
        <v>89</v>
      </c>
      <c r="F50" s="8" t="str">
        <f>IFERROR(__xludf.DUMMYFUNCTION("GOOGLETRANSLATE(D50,""zh-CN"",""vi"")"),"Kẹo củ cải")</f>
        <v>Kẹo củ cải</v>
      </c>
      <c r="G50" s="8" t="str">
        <f>IFERROR(__xludf.DUMMYFUNCTION("GOOGLETRANSLATE(E50,""zh-CN"",""vi"")"),"Nguyên liệu cần thiết cho quá trình biến đổi của Thần Thỏ")</f>
        <v>Nguyên liệu cần thiết cho quá trình biến đổi của Thần Thỏ</v>
      </c>
      <c r="H50" s="8"/>
      <c r="I50" s="8"/>
      <c r="J50" s="8"/>
    </row>
    <row r="51" ht="21.0" customHeight="1">
      <c r="A51" s="5">
        <v>39.0</v>
      </c>
      <c r="B51" s="6">
        <v>14007.0</v>
      </c>
      <c r="C51" s="6">
        <v>1.0</v>
      </c>
      <c r="D51" s="10" t="s">
        <v>90</v>
      </c>
      <c r="E51" s="10" t="s">
        <v>91</v>
      </c>
      <c r="F51" s="8" t="str">
        <f>IFERROR(__xludf.DUMMYFUNCTION("GOOGLETRANSLATE(D51,""zh-CN"",""vi"")"),"Ốc san hô")</f>
        <v>Ốc san hô</v>
      </c>
      <c r="G51" s="8" t="str">
        <f>IFERROR(__xludf.DUMMYFUNCTION("GOOGLETRANSLATE(E51,""zh-CN"",""vi"")"),"Nguyên liệu thiết yếu để chuyển hóa Tinh thần Cua")</f>
        <v>Nguyên liệu thiết yếu để chuyển hóa Tinh thần Cua</v>
      </c>
      <c r="H51" s="8"/>
      <c r="I51" s="8"/>
      <c r="J51" s="8"/>
    </row>
    <row r="52" ht="21.0" customHeight="1">
      <c r="A52" s="5">
        <v>39.0</v>
      </c>
      <c r="B52" s="6">
        <v>14008.0</v>
      </c>
      <c r="C52" s="6">
        <v>1.0</v>
      </c>
      <c r="D52" s="10" t="s">
        <v>92</v>
      </c>
      <c r="E52" s="10" t="s">
        <v>93</v>
      </c>
      <c r="F52" s="8" t="str">
        <f>IFERROR(__xludf.DUMMYFUNCTION("GOOGLETRANSLATE(D52,""zh-CN"",""vi"")"),"Măng tre ngọc bích")</f>
        <v>Măng tre ngọc bích</v>
      </c>
      <c r="G52" s="8" t="str">
        <f>IFERROR(__xludf.DUMMYFUNCTION("GOOGLETRANSLATE(E52,""zh-CN"",""vi"")"),"Nguyên liệu cần thiết để biến đổi chú yêu tinh Gấu Giàu")</f>
        <v>Nguyên liệu cần thiết để biến đổi chú yêu tinh Gấu Giàu</v>
      </c>
      <c r="H52" s="8"/>
      <c r="I52" s="8"/>
      <c r="J52" s="8"/>
    </row>
    <row r="53" ht="21.0" customHeight="1">
      <c r="A53" s="5">
        <v>39.0</v>
      </c>
      <c r="B53" s="6">
        <v>14009.0</v>
      </c>
      <c r="C53" s="6">
        <v>1.0</v>
      </c>
      <c r="D53" s="10" t="s">
        <v>94</v>
      </c>
      <c r="E53" s="10" t="s">
        <v>95</v>
      </c>
      <c r="F53" s="8" t="str">
        <f>IFERROR(__xludf.DUMMYFUNCTION("GOOGLETRANSLATE(D53,""zh-CN"",""vi"")"),"Trứng Sugar Star")</f>
        <v>Trứng Sugar Star</v>
      </c>
      <c r="G53" s="8" t="str">
        <f>IFERROR(__xludf.DUMMYFUNCTION("GOOGLETRANSLATE(E53,""zh-CN"",""vi"")"),"Nguyên liệu cần thiết để biến hóa thành Tinh thần Gà nướng đĩa lớn")</f>
        <v>Nguyên liệu cần thiết để biến hóa thành Tinh thần Gà nướng đĩa lớn</v>
      </c>
      <c r="H53" s="8"/>
      <c r="I53" s="8"/>
      <c r="J53" s="8"/>
    </row>
    <row r="54" ht="21.0" customHeight="1">
      <c r="A54" s="5">
        <v>39.0</v>
      </c>
      <c r="B54" s="6">
        <v>14010.0</v>
      </c>
      <c r="C54" s="6">
        <v>1.0</v>
      </c>
      <c r="D54" s="10" t="s">
        <v>96</v>
      </c>
      <c r="E54" s="10" t="s">
        <v>97</v>
      </c>
      <c r="F54" s="8" t="str">
        <f>IFERROR(__xludf.DUMMYFUNCTION("GOOGLETRANSLATE(D54,""zh-CN"",""vi"")"),"Vảy tinh thể màu hồng")</f>
        <v>Vảy tinh thể màu hồng</v>
      </c>
      <c r="G54" s="8" t="str">
        <f>IFERROR(__xludf.DUMMYFUNCTION("GOOGLETRANSLATE(E54,""zh-CN"",""vi"")"),"Nguyên liệu cần thiết cho quá trình biến hình thành yêu tinh cá củ dền.")</f>
        <v>Nguyên liệu cần thiết cho quá trình biến hình thành yêu tinh cá củ dền.</v>
      </c>
      <c r="H54" s="8"/>
      <c r="I54" s="8"/>
      <c r="J54" s="8"/>
    </row>
    <row r="55" ht="21.0" customHeight="1">
      <c r="A55" s="5">
        <v>39.0</v>
      </c>
      <c r="B55" s="6">
        <v>14101.0</v>
      </c>
      <c r="C55" s="6">
        <v>1.0</v>
      </c>
      <c r="D55" s="10" t="s">
        <v>98</v>
      </c>
      <c r="E55" s="10" t="s">
        <v>99</v>
      </c>
      <c r="F55" s="8" t="str">
        <f>IFERROR(__xludf.DUMMYFUNCTION("GOOGLETRANSLATE(D55,""zh-CN"",""vi"")"),"Gỗ tê giác")</f>
        <v>Gỗ tê giác</v>
      </c>
      <c r="G55" s="8" t="str">
        <f>IFERROR(__xludf.DUMMYFUNCTION("GOOGLETRANSLATE(E55,""zh-CN"",""vi"")"),"Xác suất biến hình thành Bóng Ma Đêm Sao tăng 3%, và xác suất biến hình thành Bóng Ma Đêm Trăng tăng 1%. Nếu bạn không biến hình thành Bóng Ma Đêm Trăng, bạn nhận được 2 điểm May Mắn.")</f>
        <v>Xác suất biến hình thành Bóng Ma Đêm Sao tăng 3%, và xác suất biến hình thành Bóng Ma Đêm Trăng tăng 1%. Nếu bạn không biến hình thành Bóng Ma Đêm Trăng, bạn nhận được 2 điểm May Mắn.</v>
      </c>
      <c r="H55" s="8"/>
      <c r="I55" s="8"/>
      <c r="J55" s="8"/>
    </row>
    <row r="56" ht="21.0" customHeight="1">
      <c r="A56" s="5">
        <v>39.0</v>
      </c>
      <c r="B56" s="6">
        <v>14102.0</v>
      </c>
      <c r="C56" s="6">
        <v>1.0</v>
      </c>
      <c r="D56" s="10" t="s">
        <v>100</v>
      </c>
      <c r="E56" s="10" t="s">
        <v>101</v>
      </c>
      <c r="F56" s="8" t="str">
        <f>IFERROR(__xludf.DUMMYFUNCTION("GOOGLETRANSLATE(D56,""zh-CN"",""vi"")"),"Ngọc may mắn")</f>
        <v>Ngọc may mắn</v>
      </c>
      <c r="G56" s="8" t="str">
        <f>IFERROR(__xludf.DUMMYFUNCTION("GOOGLETRANSLATE(E56,""zh-CN"",""vi"")"),"Xác suất biến hình thành Bóng Ma Đêm Sao tăng 6%, và xác suất biến hình thành Bóng Ma Đêm Trăng tăng 2%. Nếu bạn không biến hình thành Bóng Ma Đêm Trăng, bạn nhận được 5 điểm May Mắn.")</f>
        <v>Xác suất biến hình thành Bóng Ma Đêm Sao tăng 6%, và xác suất biến hình thành Bóng Ma Đêm Trăng tăng 2%. Nếu bạn không biến hình thành Bóng Ma Đêm Trăng, bạn nhận được 5 điểm May Mắn.</v>
      </c>
      <c r="H56" s="8"/>
      <c r="I56" s="8"/>
      <c r="J56" s="8"/>
    </row>
    <row r="57" ht="21.0" customHeight="1">
      <c r="A57" s="5">
        <v>39.0</v>
      </c>
      <c r="B57" s="6">
        <v>14103.0</v>
      </c>
      <c r="C57" s="6">
        <v>1.0</v>
      </c>
      <c r="D57" s="10" t="s">
        <v>102</v>
      </c>
      <c r="E57" s="10" t="s">
        <v>103</v>
      </c>
      <c r="F57" s="8" t="str">
        <f>IFERROR(__xludf.DUMMYFUNCTION("GOOGLETRANSLATE(D57,""zh-CN"",""vi"")"),"Xương thú may mắn")</f>
        <v>Xương thú may mắn</v>
      </c>
      <c r="G57" s="8" t="str">
        <f>IFERROR(__xludf.DUMMYFUNCTION("GOOGLETRANSLATE(E57,""zh-CN"",""vi"")"),"Xác suất biến hình thành Bóng Ma Đêm Sao tăng 9%, và xác suất biến hình thành Bóng Ma Đêm Trăng tăng 3%. Nếu bạn không biến hình thành Bóng Ma Đêm Trăng, bạn nhận được 10 điểm May Mắn.")</f>
        <v>Xác suất biến hình thành Bóng Ma Đêm Sao tăng 9%, và xác suất biến hình thành Bóng Ma Đêm Trăng tăng 3%. Nếu bạn không biến hình thành Bóng Ma Đêm Trăng, bạn nhận được 10 điểm May Mắn.</v>
      </c>
      <c r="H57" s="8"/>
      <c r="I57" s="8"/>
      <c r="J57" s="8"/>
    </row>
    <row r="58" ht="21.0" customHeight="1">
      <c r="A58" s="5">
        <v>39.0</v>
      </c>
      <c r="B58" s="6">
        <v>14201.0</v>
      </c>
      <c r="C58" s="6">
        <v>1.0</v>
      </c>
      <c r="D58" s="10" t="s">
        <v>104</v>
      </c>
      <c r="E58" s="10" t="s">
        <v>105</v>
      </c>
      <c r="F58" s="8" t="str">
        <f>IFERROR(__xludf.DUMMYFUNCTION("GOOGLETRANSLATE(D58,""zh-CN"",""vi"")"),"Cát Mặt Trăng")</f>
        <v>Cát Mặt Trăng</v>
      </c>
      <c r="G58" s="8" t="str">
        <f>IFERROR(__xludf.DUMMYFUNCTION("GOOGLETRANSLATE(E58,""zh-CN"",""vi"")"),"Nguyên liệu nâng cấp cho Moon Phantom 1 sao và 2 sao.")</f>
        <v>Nguyên liệu nâng cấp cho Moon Phantom 1 sao và 2 sao.</v>
      </c>
      <c r="H58" s="8"/>
      <c r="I58" s="8"/>
      <c r="J58" s="8"/>
    </row>
    <row r="59" ht="21.0" customHeight="1">
      <c r="A59" s="5">
        <v>39.0</v>
      </c>
      <c r="B59" s="6">
        <v>14202.0</v>
      </c>
      <c r="C59" s="6">
        <v>1.0</v>
      </c>
      <c r="D59" s="10" t="s">
        <v>106</v>
      </c>
      <c r="E59" s="10" t="s">
        <v>107</v>
      </c>
      <c r="F59" s="8" t="str">
        <f>IFERROR(__xludf.DUMMYFUNCTION("GOOGLETRANSLATE(D59,""zh-CN"",""vi"")"),"Linh hồn Mặt Trăng")</f>
        <v>Linh hồn Mặt Trăng</v>
      </c>
      <c r="G59" s="8" t="str">
        <f>IFERROR(__xludf.DUMMYFUNCTION("GOOGLETRANSLATE(E59,""zh-CN"",""vi"")"),"Nguyên liệu nâng cấp cho Moon Phantom 3 sao và 4 sao.")</f>
        <v>Nguyên liệu nâng cấp cho Moon Phantom 3 sao và 4 sao.</v>
      </c>
      <c r="H59" s="8"/>
      <c r="I59" s="8"/>
      <c r="J59" s="8"/>
    </row>
    <row r="60" ht="21.0" customHeight="1">
      <c r="A60" s="5">
        <v>39.0</v>
      </c>
      <c r="B60" s="6">
        <v>15001.0</v>
      </c>
      <c r="C60" s="5">
        <v>1.0</v>
      </c>
      <c r="D60" s="7" t="s">
        <v>108</v>
      </c>
      <c r="E60" s="7" t="s">
        <v>109</v>
      </c>
      <c r="F60" s="8" t="str">
        <f>IFERROR(__xludf.DUMMYFUNCTION("GOOGLETRANSLATE(D60,""zh-CN"",""vi"")"),"năng lượng")</f>
        <v>năng lượng</v>
      </c>
      <c r="G60" s="8" t="str">
        <f>IFERROR(__xludf.DUMMYFUNCTION("GOOGLETRANSLATE(E60,""zh-CN"",""vi"")"),"Năng lượng cần thiết cho hành trình của một yêu tinh")</f>
        <v>Năng lượng cần thiết cho hành trình của một yêu tinh</v>
      </c>
      <c r="H60" s="8"/>
      <c r="I60" s="8"/>
      <c r="J60" s="8"/>
    </row>
    <row r="61" ht="21.0" customHeight="1">
      <c r="A61" s="5">
        <v>39.0</v>
      </c>
      <c r="B61" s="6">
        <v>15002.0</v>
      </c>
      <c r="C61" s="5">
        <v>1.0</v>
      </c>
      <c r="D61" s="9" t="s">
        <v>110</v>
      </c>
      <c r="E61" s="7" t="s">
        <v>111</v>
      </c>
      <c r="F61" s="8" t="str">
        <f>IFERROR(__xludf.DUMMYFUNCTION("GOOGLETRANSLATE(D61,""zh-CN"",""vi"")"),"Vé chặng ngắn")</f>
        <v>Vé chặng ngắn</v>
      </c>
      <c r="G61" s="8" t="str">
        <f>IFERROR(__xludf.DUMMYFUNCTION("GOOGLETRANSLATE(E61,""zh-CN"",""vi"")"),"Vé này là bắt buộc để di chuyển giữa các thành phố trong cùng một cụm thành phố.")</f>
        <v>Vé này là bắt buộc để di chuyển giữa các thành phố trong cùng một cụm thành phố.</v>
      </c>
      <c r="H61" s="8"/>
      <c r="I61" s="8"/>
      <c r="J61" s="8"/>
    </row>
    <row r="62" ht="21.0" customHeight="1">
      <c r="A62" s="5">
        <v>39.0</v>
      </c>
      <c r="B62" s="6">
        <v>15003.0</v>
      </c>
      <c r="C62" s="5">
        <v>1.0</v>
      </c>
      <c r="D62" s="9" t="s">
        <v>112</v>
      </c>
      <c r="E62" s="7" t="s">
        <v>113</v>
      </c>
      <c r="F62" s="8" t="str">
        <f>IFERROR(__xludf.DUMMYFUNCTION("GOOGLETRANSLATE(D62,""zh-CN"",""vi"")"),"Vé xe buýt đường dài")</f>
        <v>Vé xe buýt đường dài</v>
      </c>
      <c r="G62" s="8" t="str">
        <f>IFERROR(__xludf.DUMMYFUNCTION("GOOGLETRANSLATE(E62,""zh-CN"",""vi"")"),"Vé này là cần thiết để di chuyển giữa các thành phố thuộc các cụm thành phố khác nhau.")</f>
        <v>Vé này là cần thiết để di chuyển giữa các thành phố thuộc các cụm thành phố khác nhau.</v>
      </c>
      <c r="H62" s="8"/>
      <c r="I62" s="8"/>
      <c r="J62" s="8"/>
    </row>
    <row r="63" ht="21.0" customHeight="1">
      <c r="A63" s="5">
        <v>39.0</v>
      </c>
      <c r="B63" s="6">
        <v>15004.0</v>
      </c>
      <c r="C63" s="5">
        <v>1.0</v>
      </c>
      <c r="D63" s="9" t="s">
        <v>114</v>
      </c>
      <c r="E63" s="7" t="s">
        <v>115</v>
      </c>
      <c r="F63" s="8" t="str">
        <f>IFERROR(__xludf.DUMMYFUNCTION("GOOGLETRANSLATE(D63,""zh-CN"",""vi"")"),"toa hành khách")</f>
        <v>toa hành khách</v>
      </c>
      <c r="G63" s="8" t="str">
        <f>IFERROR(__xludf.DUMMYFUNCTION("GOOGLETRANSLATE(E63,""zh-CN"",""vi"")"),"Đoàn tàu Elf bổ sung thêm một toa xe.")</f>
        <v>Đoàn tàu Elf bổ sung thêm một toa xe.</v>
      </c>
      <c r="H63" s="8"/>
      <c r="I63" s="8"/>
      <c r="J63" s="8"/>
    </row>
    <row r="64" ht="21.0" customHeight="1">
      <c r="A64" s="5">
        <v>39.0</v>
      </c>
      <c r="B64" s="6">
        <v>15005.0</v>
      </c>
      <c r="C64" s="5">
        <v>1.0</v>
      </c>
      <c r="D64" s="7" t="s">
        <v>116</v>
      </c>
      <c r="E64" s="7" t="s">
        <v>117</v>
      </c>
      <c r="F64" s="8" t="str">
        <f>IFERROR(__xludf.DUMMYFUNCTION("GOOGLETRANSLATE(D64,""zh-CN"",""vi"")"),"Trải nghiệm du lịch")</f>
        <v>Trải nghiệm du lịch</v>
      </c>
      <c r="G64" s="8" t="str">
        <f>IFERROR(__xludf.DUMMYFUNCTION("GOOGLETRANSLATE(E64,""zh-CN"",""vi"")"),"Kinh nghiệm thu được từ chuyến đi có thể nâng cấp cấp độ của đoàn tàu.")</f>
        <v>Kinh nghiệm thu được từ chuyến đi có thể nâng cấp cấp độ của đoàn tàu.</v>
      </c>
      <c r="H64" s="8"/>
      <c r="I64" s="8"/>
      <c r="J64" s="8"/>
    </row>
    <row r="65" ht="21.0" customHeight="1">
      <c r="A65" s="5">
        <v>39.0</v>
      </c>
      <c r="B65" s="6">
        <v>15006.0</v>
      </c>
      <c r="C65" s="5">
        <v>1.0</v>
      </c>
      <c r="D65" s="7" t="s">
        <v>118</v>
      </c>
      <c r="E65" s="7" t="s">
        <v>119</v>
      </c>
      <c r="F65" s="8" t="str">
        <f>IFERROR(__xludf.DUMMYFUNCTION("GOOGLETRANSLATE(D65,""zh-CN"",""vi"")"),"điểm du lịch")</f>
        <v>điểm du lịch</v>
      </c>
      <c r="G65" s="8" t="str">
        <f>IFERROR(__xludf.DUMMYFUNCTION("GOOGLETRANSLATE(E65,""zh-CN"",""vi"")"),"Bạn có thể quy đổi điểm tích lũy trong chuyến đi để nhận quà tại cửa hàng lưu niệm.")</f>
        <v>Bạn có thể quy đổi điểm tích lũy trong chuyến đi để nhận quà tại cửa hàng lưu niệm.</v>
      </c>
      <c r="H65" s="8"/>
      <c r="I65" s="8"/>
      <c r="J65" s="8"/>
    </row>
    <row r="66" ht="21.0" customHeight="1">
      <c r="A66" s="5">
        <v>42.0</v>
      </c>
      <c r="B66" s="6">
        <v>16001.0</v>
      </c>
      <c r="C66" s="5">
        <v>1.0</v>
      </c>
      <c r="D66" s="7" t="s">
        <v>120</v>
      </c>
      <c r="E66" s="7" t="s">
        <v>121</v>
      </c>
      <c r="F66" s="8" t="str">
        <f>IFERROR(__xludf.DUMMYFUNCTION("GOOGLETRANSLATE(D66,""zh-CN"",""vi"")"),"1 điểm năng lượng")</f>
        <v>1 điểm năng lượng</v>
      </c>
      <c r="G66" s="8" t="str">
        <f>IFERROR(__xludf.DUMMYFUNCTION("GOOGLETRANSLATE(E66,""zh-CN"",""vi"")"),"Nhấp đúp chuột để sử dụng sẽ cộng thêm 1 điểm sức bền cho tàu. Vui lòng kiểm tra cảnh tàu.")</f>
        <v>Nhấp đúp chuột để sử dụng sẽ cộng thêm 1 điểm sức bền cho tàu. Vui lòng kiểm tra cảnh tàu.</v>
      </c>
      <c r="H66" s="8"/>
      <c r="I66" s="8"/>
      <c r="J66" s="8"/>
    </row>
    <row r="67" ht="21.0" customHeight="1">
      <c r="A67" s="5">
        <v>42.0</v>
      </c>
      <c r="B67" s="6">
        <v>16001.0</v>
      </c>
      <c r="C67" s="5">
        <v>1.0</v>
      </c>
      <c r="D67" s="7" t="s">
        <v>122</v>
      </c>
      <c r="E67" s="7" t="s">
        <v>123</v>
      </c>
      <c r="F67" s="8" t="str">
        <f>IFERROR(__xludf.DUMMYFUNCTION("GOOGLETRANSLATE(D67,""zh-CN"",""vi"")"),"2 điểm năng lượng")</f>
        <v>2 điểm năng lượng</v>
      </c>
      <c r="G67" s="8" t="str">
        <f>IFERROR(__xludf.DUMMYFUNCTION("GOOGLETRANSLATE(E67,""zh-CN"",""vi"")"),"Nhấp đúp chuột để sử dụng sẽ giúp bạn nhận được 2 điểm thể lực cho tàu. Vui lòng kiểm tra cảnh tàu hỏa.")</f>
        <v>Nhấp đúp chuột để sử dụng sẽ giúp bạn nhận được 2 điểm thể lực cho tàu. Vui lòng kiểm tra cảnh tàu hỏa.</v>
      </c>
      <c r="H67" s="8"/>
      <c r="I67" s="8"/>
      <c r="J67" s="8"/>
    </row>
    <row r="68" ht="21.0" customHeight="1">
      <c r="A68" s="5">
        <v>42.0</v>
      </c>
      <c r="B68" s="6">
        <v>16001.0</v>
      </c>
      <c r="C68" s="5">
        <v>1.0</v>
      </c>
      <c r="D68" s="7" t="s">
        <v>124</v>
      </c>
      <c r="E68" s="7" t="s">
        <v>125</v>
      </c>
      <c r="F68" s="8" t="str">
        <f>IFERROR(__xludf.DUMMYFUNCTION("GOOGLETRANSLATE(D68,""zh-CN"",""vi"")"),"4 điểm năng lượng")</f>
        <v>4 điểm năng lượng</v>
      </c>
      <c r="G68" s="8" t="str">
        <f>IFERROR(__xludf.DUMMYFUNCTION("GOOGLETRANSLATE(E68,""zh-CN"",""vi"")"),"Nhấp đúp chuột để sử dụng sẽ giúp bạn nhận được 4 điểm thể lực cho tàu. Vui lòng kiểm tra cảnh tàu hỏa.")</f>
        <v>Nhấp đúp chuột để sử dụng sẽ giúp bạn nhận được 4 điểm thể lực cho tàu. Vui lòng kiểm tra cảnh tàu hỏa.</v>
      </c>
      <c r="H68" s="8"/>
      <c r="I68" s="8"/>
      <c r="J68" s="8"/>
    </row>
    <row r="69" ht="21.0" customHeight="1">
      <c r="A69" s="5">
        <v>42.0</v>
      </c>
      <c r="B69" s="6">
        <v>16001.0</v>
      </c>
      <c r="C69" s="5">
        <v>1.0</v>
      </c>
      <c r="D69" s="7" t="s">
        <v>126</v>
      </c>
      <c r="E69" s="7" t="s">
        <v>127</v>
      </c>
      <c r="F69" s="8" t="str">
        <f>IFERROR(__xludf.DUMMYFUNCTION("GOOGLETRANSLATE(D69,""zh-CN"",""vi"")"),"8 điểm năng lượng")</f>
        <v>8 điểm năng lượng</v>
      </c>
      <c r="G69" s="8" t="str">
        <f>IFERROR(__xludf.DUMMYFUNCTION("GOOGLETRANSLATE(E69,""zh-CN"",""vi"")"),"Nhấp đúp chuột để sử dụng sẽ giúp bạn nhận được 8 điểm thể lực cho tàu. Vui lòng kiểm tra cảnh tàu hỏa.")</f>
        <v>Nhấp đúp chuột để sử dụng sẽ giúp bạn nhận được 8 điểm thể lực cho tàu. Vui lòng kiểm tra cảnh tàu hỏa.</v>
      </c>
      <c r="H69" s="8"/>
      <c r="I69" s="8"/>
      <c r="J69" s="8"/>
    </row>
    <row r="70" ht="21.0" customHeight="1">
      <c r="A70" s="5">
        <v>42.0</v>
      </c>
      <c r="B70" s="6">
        <v>16003.0</v>
      </c>
      <c r="C70" s="5">
        <v>1.0</v>
      </c>
      <c r="D70" s="7" t="s">
        <v>128</v>
      </c>
      <c r="E70" s="7" t="s">
        <v>129</v>
      </c>
      <c r="F70" s="8" t="str">
        <f>IFERROR(__xludf.DUMMYFUNCTION("GOOGLETRANSLATE(D70,""zh-CN"",""vi"")"),"1 vé chặng ngắn")</f>
        <v>1 vé chặng ngắn</v>
      </c>
      <c r="G70" s="8" t="str">
        <f>IFERROR(__xludf.DUMMYFUNCTION("GOOGLETRANSLATE(E70,""zh-CN"",""vi"")"),"Nhấp đúp chuột để sử dụng và bạn sẽ nhận được một vé tàu chặng ngắn. Vui lòng kiểm tra hình ảnh trên tàu.")</f>
        <v>Nhấp đúp chuột để sử dụng và bạn sẽ nhận được một vé tàu chặng ngắn. Vui lòng kiểm tra hình ảnh trên tàu.</v>
      </c>
      <c r="H70" s="8"/>
      <c r="I70" s="8"/>
      <c r="J70" s="8"/>
    </row>
    <row r="71" ht="21.0" customHeight="1">
      <c r="A71" s="5">
        <v>42.0</v>
      </c>
      <c r="B71" s="6">
        <v>16004.0</v>
      </c>
      <c r="C71" s="5">
        <v>1.0</v>
      </c>
      <c r="D71" s="7" t="s">
        <v>130</v>
      </c>
      <c r="E71" s="7" t="s">
        <v>131</v>
      </c>
      <c r="F71" s="8" t="str">
        <f>IFERROR(__xludf.DUMMYFUNCTION("GOOGLETRANSLATE(D71,""zh-CN"",""vi"")"),"5 vé tàu chặng ngắn")</f>
        <v>5 vé tàu chặng ngắn</v>
      </c>
      <c r="G71" s="8" t="str">
        <f>IFERROR(__xludf.DUMMYFUNCTION("GOOGLETRANSLATE(E71,""zh-CN"",""vi"")"),"Nhấp đúp chuột để sử dụng, bạn sẽ nhận được 5 vé tàu chặng ngắn. Vui lòng xem hình ảnh trên tàu.")</f>
        <v>Nhấp đúp chuột để sử dụng, bạn sẽ nhận được 5 vé tàu chặng ngắn. Vui lòng xem hình ảnh trên tàu.</v>
      </c>
      <c r="H71" s="8"/>
      <c r="I71" s="8"/>
      <c r="J71" s="8"/>
    </row>
    <row r="72" ht="21.0" customHeight="1">
      <c r="A72" s="5">
        <v>42.0</v>
      </c>
      <c r="B72" s="6">
        <v>16005.0</v>
      </c>
      <c r="C72" s="5">
        <v>1.0</v>
      </c>
      <c r="D72" s="7" t="s">
        <v>132</v>
      </c>
      <c r="E72" s="7" t="s">
        <v>133</v>
      </c>
      <c r="F72" s="8" t="str">
        <f>IFERROR(__xludf.DUMMYFUNCTION("GOOGLETRANSLATE(D72,""zh-CN"",""vi"")"),"1 vé xe buýt đường dài")</f>
        <v>1 vé xe buýt đường dài</v>
      </c>
      <c r="G72" s="8" t="str">
        <f>IFERROR(__xludf.DUMMYFUNCTION("GOOGLETRANSLATE(E72,""zh-CN"",""vi"")"),"Nhấp đúp chuột để sử dụng và bạn sẽ nhận được một vé tàu đường dài. Vui lòng xem hình ảnh trên tàu.")</f>
        <v>Nhấp đúp chuột để sử dụng và bạn sẽ nhận được một vé tàu đường dài. Vui lòng xem hình ảnh trên tàu.</v>
      </c>
      <c r="H72" s="8"/>
      <c r="I72" s="8"/>
      <c r="J72" s="8"/>
    </row>
    <row r="73" ht="21.0" customHeight="1">
      <c r="A73" s="5">
        <v>42.0</v>
      </c>
      <c r="B73" s="6">
        <v>16006.0</v>
      </c>
      <c r="C73" s="5">
        <v>1.0</v>
      </c>
      <c r="D73" s="7" t="s">
        <v>134</v>
      </c>
      <c r="E73" s="7" t="s">
        <v>135</v>
      </c>
      <c r="F73" s="8" t="str">
        <f>IFERROR(__xludf.DUMMYFUNCTION("GOOGLETRANSLATE(D73,""zh-CN"",""vi"")"),"5 vé xe buýt đường dài")</f>
        <v>5 vé xe buýt đường dài</v>
      </c>
      <c r="G73" s="8" t="str">
        <f>IFERROR(__xludf.DUMMYFUNCTION("GOOGLETRANSLATE(E73,""zh-CN"",""vi"")"),"Nhấp đúp chuột để sử dụng, bạn sẽ nhận được 5 vé xe buýt đường dài. Vui lòng kiểm tra phần vé tàu.")</f>
        <v>Nhấp đúp chuột để sử dụng, bạn sẽ nhận được 5 vé xe buýt đường dài. Vui lòng kiểm tra phần vé tàu.</v>
      </c>
      <c r="H73" s="8"/>
      <c r="I73" s="8"/>
      <c r="J73" s="8"/>
    </row>
    <row r="74" ht="21.0" customHeight="1">
      <c r="A74" s="5">
        <v>39.0</v>
      </c>
      <c r="B74" s="6">
        <v>1.0</v>
      </c>
      <c r="C74" s="5">
        <v>1.0</v>
      </c>
      <c r="D74" s="7" t="s">
        <v>136</v>
      </c>
      <c r="E74" s="7" t="s">
        <v>137</v>
      </c>
      <c r="F74" s="8" t="str">
        <f>IFERROR(__xludf.DUMMYFUNCTION("GOOGLETRANSLATE(D74,""zh-CN"",""vi"")"),"Thẻ 1 sao luôn thay đổi")</f>
        <v>Thẻ 1 sao luôn thay đổi</v>
      </c>
      <c r="G74" s="8" t="str">
        <f>IFERROR(__xludf.DUMMYFUNCTION("GOOGLETRANSLATE(E74,""zh-CN"",""vi"")"),"Trong trò chơi lái tàu, ảnh được sử dụng để thay thế ảnh đơn hàng. Vui lòng kiểm tra trong mục Tàu - Nhật ký - Ba lô.")</f>
        <v>Trong trò chơi lái tàu, ảnh được sử dụng để thay thế ảnh đơn hàng. Vui lòng kiểm tra trong mục Tàu - Nhật ký - Ba lô.</v>
      </c>
      <c r="H74" s="8"/>
      <c r="I74" s="8"/>
      <c r="J74" s="8"/>
    </row>
    <row r="75" ht="21.0" customHeight="1">
      <c r="A75" s="5">
        <v>39.0</v>
      </c>
      <c r="B75" s="6">
        <v>1.0</v>
      </c>
      <c r="C75" s="5">
        <v>1.0</v>
      </c>
      <c r="D75" s="7" t="s">
        <v>138</v>
      </c>
      <c r="E75" s="7" t="s">
        <v>137</v>
      </c>
      <c r="F75" s="8" t="str">
        <f>IFERROR(__xludf.DUMMYFUNCTION("GOOGLETRANSLATE(D75,""zh-CN"",""vi"")"),"Thẻ đa dạng 2 sao")</f>
        <v>Thẻ đa dạng 2 sao</v>
      </c>
      <c r="G75" s="8" t="str">
        <f>IFERROR(__xludf.DUMMYFUNCTION("GOOGLETRANSLATE(E75,""zh-CN"",""vi"")"),"Trong trò chơi lái tàu, ảnh được sử dụng để thay thế ảnh đơn hàng. Vui lòng kiểm tra trong mục Tàu - Nhật ký - Ba lô.")</f>
        <v>Trong trò chơi lái tàu, ảnh được sử dụng để thay thế ảnh đơn hàng. Vui lòng kiểm tra trong mục Tàu - Nhật ký - Ba lô.</v>
      </c>
      <c r="H75" s="8"/>
      <c r="I75" s="8"/>
      <c r="J75" s="8"/>
    </row>
    <row r="76" ht="21.0" customHeight="1">
      <c r="A76" s="5">
        <v>39.0</v>
      </c>
      <c r="B76" s="6">
        <v>1.0</v>
      </c>
      <c r="C76" s="5">
        <v>1.0</v>
      </c>
      <c r="D76" s="7" t="s">
        <v>139</v>
      </c>
      <c r="E76" s="7" t="s">
        <v>137</v>
      </c>
      <c r="F76" s="8" t="str">
        <f>IFERROR(__xludf.DUMMYFUNCTION("GOOGLETRANSLATE(D76,""zh-CN"",""vi"")"),"Thẻ đa dạng 3 sao")</f>
        <v>Thẻ đa dạng 3 sao</v>
      </c>
      <c r="G76" s="8" t="str">
        <f>IFERROR(__xludf.DUMMYFUNCTION("GOOGLETRANSLATE(E76,""zh-CN"",""vi"")"),"Trong trò chơi lái tàu, ảnh được sử dụng để thay thế ảnh đơn hàng. Vui lòng kiểm tra trong mục Tàu - Nhật ký - Ba lô.")</f>
        <v>Trong trò chơi lái tàu, ảnh được sử dụng để thay thế ảnh đơn hàng. Vui lòng kiểm tra trong mục Tàu - Nhật ký - Ba lô.</v>
      </c>
      <c r="H76" s="8"/>
      <c r="I76" s="8"/>
      <c r="J76" s="8"/>
    </row>
    <row r="77" ht="21.0" customHeight="1">
      <c r="A77" s="5">
        <v>39.0</v>
      </c>
      <c r="B77" s="6">
        <v>1.0</v>
      </c>
      <c r="C77" s="5">
        <v>1.0</v>
      </c>
      <c r="D77" s="7" t="s">
        <v>140</v>
      </c>
      <c r="E77" s="7" t="s">
        <v>137</v>
      </c>
      <c r="F77" s="8" t="str">
        <f>IFERROR(__xludf.DUMMYFUNCTION("GOOGLETRANSLATE(D77,""zh-CN"",""vi"")"),"Thẻ đa dạng 4 sao")</f>
        <v>Thẻ đa dạng 4 sao</v>
      </c>
      <c r="G77" s="8" t="str">
        <f>IFERROR(__xludf.DUMMYFUNCTION("GOOGLETRANSLATE(E77,""zh-CN"",""vi"")"),"Trong trò chơi lái tàu, ảnh được sử dụng để thay thế ảnh đơn hàng. Vui lòng kiểm tra trong mục Tàu - Nhật ký - Ba lô.")</f>
        <v>Trong trò chơi lái tàu, ảnh được sử dụng để thay thế ảnh đơn hàng. Vui lòng kiểm tra trong mục Tàu - Nhật ký - Ba lô.</v>
      </c>
      <c r="H77" s="8"/>
      <c r="I77" s="8"/>
      <c r="J77" s="8"/>
    </row>
    <row r="78" ht="21.0" customHeight="1">
      <c r="A78" s="5">
        <v>39.0</v>
      </c>
      <c r="B78" s="6">
        <v>1.0</v>
      </c>
      <c r="C78" s="5">
        <v>1.0</v>
      </c>
      <c r="D78" s="7" t="s">
        <v>141</v>
      </c>
      <c r="E78" s="7" t="s">
        <v>137</v>
      </c>
      <c r="F78" s="8" t="str">
        <f>IFERROR(__xludf.DUMMYFUNCTION("GOOGLETRANSLATE(D78,""zh-CN"",""vi"")"),"Thẻ đa dạng 5 sao")</f>
        <v>Thẻ đa dạng 5 sao</v>
      </c>
      <c r="G78" s="8" t="str">
        <f>IFERROR(__xludf.DUMMYFUNCTION("GOOGLETRANSLATE(E78,""zh-CN"",""vi"")"),"Trong trò chơi lái tàu, ảnh được sử dụng để thay thế ảnh đơn hàng. Vui lòng kiểm tra trong mục Tàu - Nhật ký - Ba lô.")</f>
        <v>Trong trò chơi lái tàu, ảnh được sử dụng để thay thế ảnh đơn hàng. Vui lòng kiểm tra trong mục Tàu - Nhật ký - Ba lô.</v>
      </c>
      <c r="H78" s="8"/>
      <c r="I78" s="8"/>
      <c r="J78" s="8"/>
    </row>
    <row r="79" ht="21.0" customHeight="1">
      <c r="A79" s="5">
        <v>16.0</v>
      </c>
      <c r="B79" s="6">
        <v>10.0</v>
      </c>
      <c r="C79" s="5">
        <v>1.0</v>
      </c>
      <c r="D79" s="7" t="s">
        <v>142</v>
      </c>
      <c r="E79" s="7" t="s">
        <v>143</v>
      </c>
      <c r="F79" s="8" t="str">
        <f>IFERROR(__xludf.DUMMYFUNCTION("GOOGLETRANSLATE(D79,""zh-CN"",""vi"")"),"Tuyết Giáng Sinh")</f>
        <v>Tuyết Giáng Sinh</v>
      </c>
      <c r="G79" s="8" t="str">
        <f>IFERROR(__xludf.DUMMYFUNCTION("GOOGLETRANSLATE(E79,""zh-CN"",""vi"")"),"Nhấp đúp để sử dụng, Sân trong - Bộ sưu tập trang phục Sân trong phủ tuyết Giáng sinh - Tiến độ +1")</f>
        <v>Nhấp đúp để sử dụng, Sân trong - Bộ sưu tập trang phục Sân trong phủ tuyết Giáng sinh - Tiến độ +1</v>
      </c>
      <c r="H79" s="8"/>
      <c r="I79" s="8"/>
      <c r="J79" s="8"/>
    </row>
    <row r="80" ht="21.0" customHeight="1">
      <c r="A80" s="5">
        <v>16.0</v>
      </c>
      <c r="B80" s="6">
        <v>11.0</v>
      </c>
      <c r="C80" s="6">
        <v>1.0</v>
      </c>
      <c r="D80" s="7" t="s">
        <v>144</v>
      </c>
      <c r="E80" s="9" t="s">
        <v>145</v>
      </c>
      <c r="F80" s="8" t="str">
        <f>IFERROR(__xludf.DUMMYFUNCTION("GOOGLETRANSLATE(D80,""zh-CN"",""vi"")"),"Thỏ chào đón mùa xuân")</f>
        <v>Thỏ chào đón mùa xuân</v>
      </c>
      <c r="G80" s="8" t="str">
        <f>IFERROR(__xludf.DUMMYFUNCTION("GOOGLETRANSLATE(E80,""zh-CN"",""vi"")"),"Nhấp đúp để sử dụng, Sân trong - Bộ sưu tập trang phục Sân trong chào đón mùa xuân của Thỏ - Tiến độ +1")</f>
        <v>Nhấp đúp để sử dụng, Sân trong - Bộ sưu tập trang phục Sân trong chào đón mùa xuân của Thỏ - Tiến độ +1</v>
      </c>
      <c r="H80" s="8"/>
      <c r="I80" s="8"/>
      <c r="J80" s="8"/>
    </row>
    <row r="81" ht="21.0" customHeight="1">
      <c r="A81" s="5">
        <v>16.0</v>
      </c>
      <c r="B81" s="6">
        <v>12.0</v>
      </c>
      <c r="C81" s="5">
        <v>1.0</v>
      </c>
      <c r="D81" s="7" t="s">
        <v>146</v>
      </c>
      <c r="E81" s="7" t="s">
        <v>147</v>
      </c>
      <c r="F81" s="8" t="str">
        <f>IFERROR(__xludf.DUMMYFUNCTION("GOOGLETRANSLATE(D81,""zh-CN"",""vi"")"),"Cô Zhao theo phong cách Trung Hoa")</f>
        <v>Cô Zhao theo phong cách Trung Hoa</v>
      </c>
      <c r="G81" s="8" t="str">
        <f>IFERROR(__xludf.DUMMYFUNCTION("GOOGLETRANSLATE(E81,""zh-CN"",""vi"")"),"Nhấp đúp chuột để sử dụng, và tiến độ thu thập trang phục ""Cô Triệu"" (phong cách truyền thống Trung Quốc) của bạn sẽ tăng thêm 1.")</f>
        <v>Nhấp đúp chuột để sử dụng, và tiến độ thu thập trang phục "Cô Triệu" (phong cách truyền thống Trung Quốc) của bạn sẽ tăng thêm 1.</v>
      </c>
      <c r="H81" s="8"/>
      <c r="I81" s="8"/>
      <c r="J81" s="8"/>
    </row>
    <row r="82" ht="21.0" customHeight="1">
      <c r="A82" s="5">
        <v>16.0</v>
      </c>
      <c r="B82" s="6">
        <v>13.0</v>
      </c>
      <c r="C82" s="6">
        <v>1.0</v>
      </c>
      <c r="D82" s="7" t="s">
        <v>148</v>
      </c>
      <c r="E82" s="9" t="s">
        <v>149</v>
      </c>
      <c r="F82" s="8" t="str">
        <f>IFERROR(__xludf.DUMMYFUNCTION("GOOGLETRANSLATE(D82,""zh-CN"",""vi"")"),"Đầu thỏ và não ngỗng")</f>
        <v>Đầu thỏ và não ngỗng</v>
      </c>
      <c r="G82" s="8" t="str">
        <f>IFERROR(__xludf.DUMMYFUNCTION("GOOGLETRANSLATE(E82,""zh-CN"",""vi"")"),"Nhấp đúp để sử dụng, tiến độ thu thập đầu thỏ, não ngỗng và da +1")</f>
        <v>Nhấp đúp để sử dụng, tiến độ thu thập đầu thỏ, não ngỗng và da +1</v>
      </c>
      <c r="H82" s="8"/>
      <c r="I82" s="8"/>
      <c r="J82" s="8"/>
    </row>
    <row r="83" ht="21.0" customHeight="1">
      <c r="A83" s="5">
        <v>16.0</v>
      </c>
      <c r="B83" s="6">
        <v>14.0</v>
      </c>
      <c r="C83" s="5">
        <v>1.0</v>
      </c>
      <c r="D83" s="7" t="s">
        <v>150</v>
      </c>
      <c r="E83" s="7" t="s">
        <v>151</v>
      </c>
      <c r="F83" s="8" t="str">
        <f>IFERROR(__xludf.DUMMYFUNCTION("GOOGLETRANSLATE(D83,""zh-CN"",""vi"")"),"Nàng tiên ban phước lành Giáng sinh")</f>
        <v>Nàng tiên ban phước lành Giáng sinh</v>
      </c>
      <c r="G83" s="8" t="str">
        <f>IFERROR(__xludf.DUMMYFUNCTION("GOOGLETRANSLATE(E83,""zh-CN"",""vi"")"),"Nhấp đúp chuột để sử dụng, Hyacinth - Bộ sưu tập trang phục Tiên nữ Chúc phúc Giáng sinh - Tiến độ +1")</f>
        <v>Nhấp đúp chuột để sử dụng, Hyacinth - Bộ sưu tập trang phục Tiên nữ Chúc phúc Giáng sinh - Tiến độ +1</v>
      </c>
      <c r="H83" s="8"/>
      <c r="I83" s="8"/>
      <c r="J83" s="8"/>
    </row>
    <row r="84" ht="21.0" customHeight="1">
      <c r="A84" s="5">
        <v>16.0</v>
      </c>
      <c r="B84" s="6">
        <v>15.0</v>
      </c>
      <c r="C84" s="6">
        <v>1.0</v>
      </c>
      <c r="D84" s="7" t="s">
        <v>152</v>
      </c>
      <c r="E84" s="9" t="s">
        <v>153</v>
      </c>
      <c r="F84" s="8" t="str">
        <f>IFERROR(__xludf.DUMMYFUNCTION("GOOGLETRANSLATE(D84,""zh-CN"",""vi"")"),"Hoa lục bình cho năm con Thỏ")</f>
        <v>Hoa lục bình cho năm con Thỏ</v>
      </c>
      <c r="G84" s="8" t="str">
        <f>IFERROR(__xludf.DUMMYFUNCTION("GOOGLETRANSLATE(E84,""zh-CN"",""vi"")"),"Nhấp đúp chuột để sử dụng, Hyacinth - Bộ sưu tập trang phục Sứ giả Năm Thỏ - Tiến độ +1")</f>
        <v>Nhấp đúp chuột để sử dụng, Hyacinth - Bộ sưu tập trang phục Sứ giả Năm Thỏ - Tiến độ +1</v>
      </c>
      <c r="H84" s="8"/>
      <c r="I84" s="8"/>
      <c r="J84" s="8"/>
    </row>
    <row r="85" ht="21.0" customHeight="1">
      <c r="A85" s="5">
        <v>16.0</v>
      </c>
      <c r="B85" s="6">
        <v>16.0</v>
      </c>
      <c r="C85" s="5">
        <v>1.0</v>
      </c>
      <c r="D85" s="7" t="s">
        <v>154</v>
      </c>
      <c r="E85" s="7" t="s">
        <v>155</v>
      </c>
      <c r="F85" s="8" t="str">
        <f>IFERROR(__xludf.DUMMYFUNCTION("GOOGLETRANSLATE(D85,""zh-CN"",""vi"")"),"Hộp đồ chơi thời thơ ấu")</f>
        <v>Hộp đồ chơi thời thơ ấu</v>
      </c>
      <c r="G85" s="8" t="str">
        <f>IFERROR(__xludf.DUMMYFUNCTION("GOOGLETRANSLATE(E85,""zh-CN"",""vi"")"),"Nhấp đúp để sử dụng, Hộp lưu trữ - Bộ sưu tập skin Hộp đồ chơi tuổi thơ - Tiến độ +1")</f>
        <v>Nhấp đúp để sử dụng, Hộp lưu trữ - Bộ sưu tập skin Hộp đồ chơi tuổi thơ - Tiến độ +1</v>
      </c>
      <c r="H85" s="8"/>
      <c r="I85" s="8"/>
      <c r="J85" s="8"/>
    </row>
    <row r="86" ht="21.0" customHeight="1">
      <c r="A86" s="5">
        <v>16.0</v>
      </c>
      <c r="B86" s="6">
        <v>17.0</v>
      </c>
      <c r="C86" s="6">
        <v>1.0</v>
      </c>
      <c r="D86" s="7" t="s">
        <v>156</v>
      </c>
      <c r="E86" s="9" t="s">
        <v>157</v>
      </c>
      <c r="F86" s="8" t="str">
        <f>IFERROR(__xludf.DUMMYFUNCTION("GOOGLETRANSLATE(D86,""zh-CN"",""vi"")"),"Hộp quà Giáng sinh")</f>
        <v>Hộp quà Giáng sinh</v>
      </c>
      <c r="G86" s="8" t="str">
        <f>IFERROR(__xludf.DUMMYFUNCTION("GOOGLETRANSLATE(E86,""zh-CN"",""vi"")"),"Nhấp đúp để sử dụng, tiến độ bộ sưu tập skin Hộp quà Giáng sinh - Hộp lưu trữ +1")</f>
        <v>Nhấp đúp để sử dụng, tiến độ bộ sưu tập skin Hộp quà Giáng sinh - Hộp lưu trữ +1</v>
      </c>
      <c r="H86" s="8"/>
      <c r="I86" s="8"/>
      <c r="J86" s="8"/>
    </row>
    <row r="87" ht="21.0" customHeight="1">
      <c r="A87" s="5">
        <v>16.0</v>
      </c>
      <c r="B87" s="6">
        <v>18.0</v>
      </c>
      <c r="C87" s="5">
        <v>1.0</v>
      </c>
      <c r="D87" s="7" t="s">
        <v>158</v>
      </c>
      <c r="E87" s="7" t="s">
        <v>159</v>
      </c>
      <c r="F87" s="8" t="str">
        <f>IFERROR(__xludf.DUMMYFUNCTION("GOOGLETRANSLATE(D87,""zh-CN"",""vi"")"),"Chú chó yêu tinh Giáng sinh")</f>
        <v>Chú chó yêu tinh Giáng sinh</v>
      </c>
      <c r="G87" s="8" t="str">
        <f>IFERROR(__xludf.DUMMYFUNCTION("GOOGLETRANSLATE(E87,""zh-CN"",""vi"")"),"Nhấp đúp chuột để sử dụng, và tiến độ thu thập trang phục ""CaiCai Dog - Chú chó yêu tinh Giáng sinh"" sẽ tăng lên 1.")</f>
        <v>Nhấp đúp chuột để sử dụng, và tiến độ thu thập trang phục "CaiCai Dog - Chú chó yêu tinh Giáng sinh" sẽ tăng lên 1.</v>
      </c>
      <c r="H87" s="8"/>
      <c r="I87" s="8"/>
      <c r="J87" s="8"/>
    </row>
    <row r="88" ht="21.0" customHeight="1">
      <c r="A88" s="5">
        <v>16.0</v>
      </c>
      <c r="B88" s="6">
        <v>19.0</v>
      </c>
      <c r="C88" s="6">
        <v>1.0</v>
      </c>
      <c r="D88" s="7" t="s">
        <v>160</v>
      </c>
      <c r="E88" s="9" t="s">
        <v>161</v>
      </c>
      <c r="F88" s="8" t="str">
        <f>IFERROR(__xludf.DUMMYFUNCTION("GOOGLETRANSLATE(D88,""zh-CN"",""vi"")"),"Chiếc bát kho báu cho năm con Thỏ")</f>
        <v>Chiếc bát kho báu cho năm con Thỏ</v>
      </c>
      <c r="G88" s="8" t="str">
        <f>IFERROR(__xludf.DUMMYFUNCTION("GOOGLETRANSLATE(E88,""zh-CN"",""vi"")"),"Nhấp đúp chuột để sử dụng, và tiến độ thu thập trang phục Chậu Kho Báu Năm Thỏ trong Hộp Lưu Trữ sẽ tăng thêm 1.")</f>
        <v>Nhấp đúp chuột để sử dụng, và tiến độ thu thập trang phục Chậu Kho Báu Năm Thỏ trong Hộp Lưu Trữ sẽ tăng thêm 1.</v>
      </c>
      <c r="H88" s="8"/>
      <c r="I88" s="8"/>
      <c r="J88" s="8"/>
    </row>
    <row r="89" ht="21.0" customHeight="1">
      <c r="A89" s="5">
        <v>16.0</v>
      </c>
      <c r="B89" s="6">
        <v>20.0</v>
      </c>
      <c r="C89" s="5">
        <v>1.0</v>
      </c>
      <c r="D89" s="15" t="s">
        <v>162</v>
      </c>
      <c r="E89" s="7" t="s">
        <v>163</v>
      </c>
      <c r="F89" s="8" t="str">
        <f>IFERROR(__xludf.DUMMYFUNCTION("GOOGLETRANSLATE(D89,""zh-CN"",""vi"")"),"Công chúa chim hoa anh đào")</f>
        <v>Công chúa chim hoa anh đào</v>
      </c>
      <c r="G89" s="8" t="str">
        <f>IFERROR(__xludf.DUMMYFUNCTION("GOOGLETRANSLATE(E89,""zh-CN"",""vi"")"),"Nhấp đúp để sử dụng, tiến độ bộ sưu tập trang phục Juice Bird - Cherry Blossom Princess Bird +1")</f>
        <v>Nhấp đúp để sử dụng, tiến độ bộ sưu tập trang phục Juice Bird - Cherry Blossom Princess Bird +1</v>
      </c>
      <c r="H89" s="8"/>
      <c r="I89" s="8"/>
      <c r="J89" s="8"/>
    </row>
    <row r="90" ht="21.0" customHeight="1">
      <c r="A90" s="5">
        <v>16.0</v>
      </c>
      <c r="B90" s="6">
        <v>21.0</v>
      </c>
      <c r="C90" s="5">
        <v>1.0</v>
      </c>
      <c r="D90" s="15" t="s">
        <v>164</v>
      </c>
      <c r="E90" s="7" t="s">
        <v>165</v>
      </c>
      <c r="F90" s="8" t="str">
        <f>IFERROR(__xludf.DUMMYFUNCTION("GOOGLETRANSLATE(D90,""zh-CN"",""vi"")"),"Cô hầu gái màu xanh đậm?")</f>
        <v>Cô hầu gái màu xanh đậm?</v>
      </c>
      <c r="G90" s="8" t="str">
        <f>IFERROR(__xludf.DUMMYFUNCTION("GOOGLETRANSLATE(E90,""zh-CN"",""vi"")"),"Nhấp đúp để sử dụng, Bộ sưu tập trang phục hầu gái màu vàng hồng - xanh hải quân - Tiến độ +1")</f>
        <v>Nhấp đúp để sử dụng, Bộ sưu tập trang phục hầu gái màu vàng hồng - xanh hải quân - Tiến độ +1</v>
      </c>
      <c r="H90" s="8"/>
      <c r="I90" s="8"/>
      <c r="J90" s="8"/>
    </row>
    <row r="91" ht="21.0" customHeight="1">
      <c r="A91" s="5">
        <v>16.0</v>
      </c>
      <c r="B91" s="6">
        <v>22.0</v>
      </c>
      <c r="C91" s="5">
        <v>1.0</v>
      </c>
      <c r="D91" s="15" t="s">
        <v>166</v>
      </c>
      <c r="E91" s="7" t="s">
        <v>167</v>
      </c>
      <c r="F91" s="8" t="str">
        <f>IFERROR(__xludf.DUMMYFUNCTION("GOOGLETRANSLATE(D91,""zh-CN"",""vi"")"),"Cua thủy thủ xanh")</f>
        <v>Cua thủy thủ xanh</v>
      </c>
      <c r="G91" s="8" t="str">
        <f>IFERROR(__xludf.DUMMYFUNCTION("GOOGLETRANSLATE(E91,""zh-CN"",""vi"")"),"Nhấp đúp chuột để sử dụng, và tiến độ thu thập trang phục ""Cua Tháo Rách - Cua Thủy Thủ Aquamarine"" sẽ tăng lên 1.")</f>
        <v>Nhấp đúp chuột để sử dụng, và tiến độ thu thập trang phục "Cua Tháo Rách - Cua Thủy Thủ Aquamarine" sẽ tăng lên 1.</v>
      </c>
      <c r="H91" s="8"/>
      <c r="I91" s="8"/>
      <c r="J91" s="8"/>
    </row>
    <row r="92" ht="21.0" customHeight="1">
      <c r="A92" s="5">
        <v>16.0</v>
      </c>
      <c r="B92" s="6">
        <v>23.0</v>
      </c>
      <c r="C92" s="5">
        <v>1.0</v>
      </c>
      <c r="D92" s="7" t="s">
        <v>168</v>
      </c>
      <c r="E92" s="7" t="s">
        <v>169</v>
      </c>
      <c r="F92" s="8" t="str">
        <f>IFERROR(__xludf.DUMMYFUNCTION("GOOGLETRANSLATE(D92,""zh-CN"",""vi"")"),"Trung tâm định hình đô thị")</f>
        <v>Trung tâm định hình đô thị</v>
      </c>
      <c r="G92" s="8" t="str">
        <f>IFERROR(__xludf.DUMMYFUNCTION("GOOGLETRANSLATE(E92,""zh-CN"",""vi"")"),"Nhấp đúp để sử dụng, Courtyard - Urban Shaping Hall Courtyard Skin Collection Progress +1")</f>
        <v>Nhấp đúp để sử dụng, Courtyard - Urban Shaping Hall Courtyard Skin Collection Progress +1</v>
      </c>
      <c r="H92" s="8"/>
      <c r="I92" s="8"/>
      <c r="J92" s="8"/>
    </row>
    <row r="93" ht="21.0" customHeight="1">
      <c r="A93" s="5">
        <v>16.0</v>
      </c>
      <c r="B93" s="6">
        <v>24.0</v>
      </c>
      <c r="C93" s="5">
        <v>1.0</v>
      </c>
      <c r="D93" s="7" t="s">
        <v>170</v>
      </c>
      <c r="E93" s="7" t="s">
        <v>171</v>
      </c>
      <c r="F93" s="8" t="str">
        <f>IFERROR(__xludf.DUMMYFUNCTION("GOOGLETRANSLATE(D93,""zh-CN"",""vi"")"),"Fenghe Quyuan")</f>
        <v>Fenghe Quyuan</v>
      </c>
      <c r="G93" s="8" t="str">
        <f>IFERROR(__xludf.DUMMYFUNCTION("GOOGLETRANSLATE(E93,""zh-CN"",""vi"")"),"Nhấp đúp để sử dụng, tiến độ bộ sưu tập giao diện sân trong - ao sen +1")</f>
        <v>Nhấp đúp để sử dụng, tiến độ bộ sưu tập giao diện sân trong - ao sen +1</v>
      </c>
      <c r="H93" s="8"/>
      <c r="I93" s="8"/>
      <c r="J93" s="8"/>
    </row>
    <row r="94" ht="21.0" customHeight="1">
      <c r="A94" s="5">
        <v>16.0</v>
      </c>
      <c r="B94" s="6">
        <v>25.0</v>
      </c>
      <c r="C94" s="6">
        <v>1.0</v>
      </c>
      <c r="D94" s="16" t="s">
        <v>172</v>
      </c>
      <c r="E94" s="9" t="s">
        <v>173</v>
      </c>
      <c r="F94" s="8" t="str">
        <f>IFERROR(__xludf.DUMMYFUNCTION("GOOGLETRANSLATE(D94,""zh-CN"",""vi"")"),"Mèo Nho Pha Lê")</f>
        <v>Mèo Nho Pha Lê</v>
      </c>
      <c r="G94" s="8" t="str">
        <f>IFERROR(__xludf.DUMMYFUNCTION("GOOGLETRANSLATE(E94,""zh-CN"",""vi"")"),"Nhấp đúp để sử dụng, Mèo Nho - Bộ sưu tập skin Mèo Nho Pha Lê đang được cập nhật +1")</f>
        <v>Nhấp đúp để sử dụng, Mèo Nho - Bộ sưu tập skin Mèo Nho Pha Lê đang được cập nhật +1</v>
      </c>
      <c r="H94" s="8"/>
      <c r="I94" s="8"/>
      <c r="J94" s="8"/>
    </row>
    <row r="95" ht="21.0" customHeight="1">
      <c r="A95" s="5">
        <v>16.0</v>
      </c>
      <c r="B95" s="6">
        <v>26.0</v>
      </c>
      <c r="C95" s="6">
        <v>1.0</v>
      </c>
      <c r="D95" s="16" t="s">
        <v>174</v>
      </c>
      <c r="E95" s="9" t="s">
        <v>175</v>
      </c>
      <c r="F95" s="8" t="str">
        <f>IFERROR(__xludf.DUMMYFUNCTION("GOOGLETRANSLATE(D95,""zh-CN"",""vi"")"),"Công chúa Thỏ Sô cô la")</f>
        <v>Công chúa Thỏ Sô cô la</v>
      </c>
      <c r="G95" s="8" t="str">
        <f>IFERROR(__xludf.DUMMYFUNCTION("GOOGLETRANSLATE(E95,""zh-CN"",""vi"")"),"Nhấp đúp để sử dụng, Tinh linh Thỏ - Bộ sưu tập trang phục Công chúa Sô cô la - tiến độ +1")</f>
        <v>Nhấp đúp để sử dụng, Tinh linh Thỏ - Bộ sưu tập trang phục Công chúa Sô cô la - tiến độ +1</v>
      </c>
      <c r="H95" s="8"/>
      <c r="I95" s="8"/>
      <c r="J95" s="8"/>
    </row>
    <row r="96" ht="21.0" customHeight="1">
      <c r="A96" s="5">
        <v>16.0</v>
      </c>
      <c r="B96" s="6">
        <v>27.0</v>
      </c>
      <c r="C96" s="6">
        <v>1.0</v>
      </c>
      <c r="D96" s="16" t="s">
        <v>176</v>
      </c>
      <c r="E96" s="9" t="s">
        <v>177</v>
      </c>
      <c r="F96" s="8" t="str">
        <f>IFERROR(__xludf.DUMMYFUNCTION("GOOGLETRANSLATE(D96,""zh-CN"",""vi"")"),"Lâu đài phía Bắc")</f>
        <v>Lâu đài phía Bắc</v>
      </c>
      <c r="G96" s="8" t="str">
        <f>IFERROR(__xludf.DUMMYFUNCTION("GOOGLETRANSLATE(E96,""zh-CN"",""vi"")"),"Nhấp đúp để sử dụng, Sân trong - Bộ sưu tập giao diện Sân trong Lâu đài phía Bắc - Tiến độ +1")</f>
        <v>Nhấp đúp để sử dụng, Sân trong - Bộ sưu tập giao diện Sân trong Lâu đài phía Bắc - Tiến độ +1</v>
      </c>
      <c r="H96" s="8"/>
      <c r="I96" s="8"/>
      <c r="J96" s="8"/>
    </row>
    <row r="97" ht="21.0" customHeight="1">
      <c r="A97" s="5">
        <v>16.0</v>
      </c>
      <c r="B97" s="6">
        <v>28.0</v>
      </c>
      <c r="C97" s="6">
        <v>1.0</v>
      </c>
      <c r="D97" s="16" t="s">
        <v>178</v>
      </c>
      <c r="E97" s="9" t="s">
        <v>179</v>
      </c>
      <c r="F97" s="8" t="str">
        <f>IFERROR(__xludf.DUMMYFUNCTION("GOOGLETRANSLATE(D97,""zh-CN"",""vi"")"),"Phòng Kho Báu của Tiểu Long")</f>
        <v>Phòng Kho Báu của Tiểu Long</v>
      </c>
      <c r="G97" s="8" t="str">
        <f>IFERROR(__xludf.DUMMYFUNCTION("GOOGLETRANSLATE(E97,""zh-CN"",""vi"")"),"Nhấp đúp để sử dụng, Hộp Lưu Trữ - Tiến độ thu thập trang phục Phòng Kho Báu của Tiểu Long +1")</f>
        <v>Nhấp đúp để sử dụng, Hộp Lưu Trữ - Tiến độ thu thập trang phục Phòng Kho Báu của Tiểu Long +1</v>
      </c>
      <c r="H97" s="8"/>
      <c r="I97" s="8"/>
      <c r="J97" s="8"/>
    </row>
    <row r="98" ht="21.0" customHeight="1">
      <c r="A98" s="5">
        <v>16.0</v>
      </c>
      <c r="B98" s="6">
        <v>29.0</v>
      </c>
      <c r="C98" s="6">
        <v>1.0</v>
      </c>
      <c r="D98" s="16" t="s">
        <v>180</v>
      </c>
      <c r="E98" s="9" t="s">
        <v>181</v>
      </c>
      <c r="F98" s="8" t="str">
        <f>IFERROR(__xludf.DUMMYFUNCTION("GOOGLETRANSLATE(D98,""zh-CN"",""vi"")"),"Cô gái Rồng chào đón mùa xuân")</f>
        <v>Cô gái Rồng chào đón mùa xuân</v>
      </c>
      <c r="G98" s="8" t="str">
        <f>IFERROR(__xludf.DUMMYFUNCTION("GOOGLETRANSLATE(E98,""zh-CN"",""vi"")"),"Nhấp đúp chuột để sử dụng, tiến độ bộ sưu tập trang phục Hyacinth - Dragon Girl Welcoming Spring +1")</f>
        <v>Nhấp đúp chuột để sử dụng, tiến độ bộ sưu tập trang phục Hyacinth - Dragon Girl Welcoming Spring +1</v>
      </c>
      <c r="H98" s="8"/>
      <c r="I98" s="8"/>
      <c r="J98" s="8"/>
    </row>
    <row r="99" ht="21.0" customHeight="1">
      <c r="A99" s="5">
        <v>16.0</v>
      </c>
      <c r="B99" s="6">
        <v>30.0</v>
      </c>
      <c r="C99" s="6">
        <v>1.0</v>
      </c>
      <c r="D99" s="16" t="s">
        <v>182</v>
      </c>
      <c r="E99" s="9" t="s">
        <v>183</v>
      </c>
      <c r="F99" s="8" t="str">
        <f>IFERROR(__xludf.DUMMYFUNCTION("GOOGLETRANSLATE(D99,""zh-CN"",""vi"")"),"Cung điện Thụy Kỳ Thanh Vân")</f>
        <v>Cung điện Thụy Kỳ Thanh Vân</v>
      </c>
      <c r="G99" s="8" t="str">
        <f>IFERROR(__xludf.DUMMYFUNCTION("GOOGLETRANSLATE(E99,""zh-CN"",""vi"")"),"Nhấp đúp để sử dụng, tiến độ bộ sưu tập trang phục Courtyard - Auspicious Cloud Palace +1")</f>
        <v>Nhấp đúp để sử dụng, tiến độ bộ sưu tập trang phục Courtyard - Auspicious Cloud Palace +1</v>
      </c>
      <c r="H99" s="8"/>
      <c r="I99" s="8"/>
      <c r="J99" s="8"/>
    </row>
    <row r="100" ht="21.0" customHeight="1">
      <c r="A100" s="5">
        <v>16.0</v>
      </c>
      <c r="B100" s="6">
        <v>31.0</v>
      </c>
      <c r="C100" s="6">
        <v>1.0</v>
      </c>
      <c r="D100" s="16" t="s">
        <v>184</v>
      </c>
      <c r="E100" s="9" t="s">
        <v>185</v>
      </c>
      <c r="F100" s="8" t="str">
        <f>IFERROR(__xludf.DUMMYFUNCTION("GOOGLETRANSLATE(D100,""zh-CN"",""vi"")"),"Lâu đài kẹo kem")</f>
        <v>Lâu đài kẹo kem</v>
      </c>
      <c r="G100" s="8" t="str">
        <f>IFERROR(__xludf.DUMMYFUNCTION("GOOGLETRANSLATE(E100,""zh-CN"",""vi"")"),"Nhấp đúp để sử dụng, Tiến độ Bộ sưu tập Trang phục Lâu đài Kẹo Kem - Sân trong +1")</f>
        <v>Nhấp đúp để sử dụng, Tiến độ Bộ sưu tập Trang phục Lâu đài Kẹo Kem - Sân trong +1</v>
      </c>
      <c r="H100" s="8"/>
      <c r="I100" s="8"/>
      <c r="J100" s="8"/>
    </row>
    <row r="101" ht="21.0" customHeight="1">
      <c r="A101" s="5">
        <v>16.0</v>
      </c>
      <c r="B101" s="6">
        <v>32.0</v>
      </c>
      <c r="C101" s="6">
        <v>1.0</v>
      </c>
      <c r="D101" s="16" t="s">
        <v>186</v>
      </c>
      <c r="E101" s="9" t="s">
        <v>187</v>
      </c>
      <c r="F101" s="8" t="str">
        <f>IFERROR(__xludf.DUMMYFUNCTION("GOOGLETRANSLATE(D101,""zh-CN"",""vi"")"),"Năm lời chúc phúc ở cửa")</f>
        <v>Năm lời chúc phúc ở cửa</v>
      </c>
      <c r="G101" s="8" t="str">
        <f>IFERROR(__xludf.DUMMYFUNCTION("GOOGLETRANSLATE(E101,""zh-CN"",""vi"")"),"Nhấp đúp để sử dụng, CaiCaiDog - Bộ sưu tập da chó Năm Phước Lành - Tiến độ +1")</f>
        <v>Nhấp đúp để sử dụng, CaiCaiDog - Bộ sưu tập da chó Năm Phước Lành - Tiến độ +1</v>
      </c>
      <c r="H101" s="8"/>
      <c r="I101" s="8"/>
      <c r="J101" s="8"/>
    </row>
    <row r="102" ht="21.0" customHeight="1">
      <c r="A102" s="5">
        <v>16.0</v>
      </c>
      <c r="B102" s="6">
        <v>33.0</v>
      </c>
      <c r="C102" s="6">
        <v>1.0</v>
      </c>
      <c r="D102" s="16" t="s">
        <v>188</v>
      </c>
      <c r="E102" s="9" t="s">
        <v>189</v>
      </c>
      <c r="F102" s="8" t="str">
        <f>IFERROR(__xludf.DUMMYFUNCTION("GOOGLETRANSLATE(D102,""zh-CN"",""vi"")"),"Cua May Mắn và Kho Báu")</f>
        <v>Cua May Mắn và Kho Báu</v>
      </c>
      <c r="G102" s="8" t="str">
        <f>IFERROR(__xludf.DUMMYFUNCTION("GOOGLETRANSLATE(E102,""zh-CN"",""vi"")"),"Nhấp đúp chuột để sử dụng, và tiến độ thu thập Da Cua ""Cua May Mắn"" sẽ tăng thêm 1.")</f>
        <v>Nhấp đúp chuột để sử dụng, và tiến độ thu thập Da Cua "Cua May Mắn" sẽ tăng thêm 1.</v>
      </c>
      <c r="H102" s="8"/>
      <c r="I102" s="8"/>
      <c r="J102" s="8"/>
    </row>
    <row r="103" ht="21.0" customHeight="1">
      <c r="A103" s="5">
        <v>16.0</v>
      </c>
      <c r="B103" s="6">
        <v>34.0</v>
      </c>
      <c r="C103" s="6">
        <v>1.0</v>
      </c>
      <c r="D103" s="16" t="s">
        <v>190</v>
      </c>
      <c r="E103" s="9" t="s">
        <v>191</v>
      </c>
      <c r="F103" s="8" t="str">
        <f>IFERROR(__xludf.DUMMYFUNCTION("GOOGLETRANSLATE(D103,""zh-CN"",""vi"")"),"Chim bồ câu béo ú hạnh phúc")</f>
        <v>Chim bồ câu béo ú hạnh phúc</v>
      </c>
      <c r="G103" s="8" t="str">
        <f>IFERROR(__xludf.DUMMYFUNCTION("GOOGLETRANSLATE(E103,""zh-CN"",""vi"")"),"Nhấp đúp để sử dụng, tiến độ bộ sưu tập skin Juice Bird - Happy Big Fat Pigeon +1")</f>
        <v>Nhấp đúp để sử dụng, tiến độ bộ sưu tập skin Juice Bird - Happy Big Fat Pigeon +1</v>
      </c>
      <c r="H103" s="8"/>
      <c r="I103" s="8"/>
      <c r="J103" s="8"/>
    </row>
    <row r="104" ht="21.0" customHeight="1">
      <c r="A104" s="5">
        <v>16.0</v>
      </c>
      <c r="B104" s="6">
        <v>35.0</v>
      </c>
      <c r="C104" s="6">
        <v>1.0</v>
      </c>
      <c r="D104" s="16" t="s">
        <v>192</v>
      </c>
      <c r="E104" s="9" t="s">
        <v>193</v>
      </c>
      <c r="F104" s="8" t="str">
        <f>IFERROR(__xludf.DUMMYFUNCTION("GOOGLETRANSLATE(D104,""zh-CN"",""vi"")"),"Cua Khôn Ngoan của Wo Zhen")</f>
        <v>Cua Khôn Ngoan của Wo Zhen</v>
      </c>
      <c r="G104" s="8" t="str">
        <f>IFERROR(__xludf.DUMMYFUNCTION("GOOGLETRANSLATE(E104,""zh-CN"",""vi"")"),"Nhấp đúp chuột để sử dụng, và tiến độ thu thập da Cua - Cua Thông Thái Wojnarowski sẽ tăng lên 1.")</f>
        <v>Nhấp đúp chuột để sử dụng, và tiến độ thu thập da Cua - Cua Thông Thái Wojnarowski sẽ tăng lên 1.</v>
      </c>
      <c r="H104" s="8"/>
      <c r="I104" s="8"/>
      <c r="J104" s="8"/>
    </row>
    <row r="105" ht="21.0" customHeight="1">
      <c r="A105" s="5">
        <v>16.0</v>
      </c>
      <c r="B105" s="6">
        <v>36.0</v>
      </c>
      <c r="C105" s="6">
        <v>1.0</v>
      </c>
      <c r="D105" s="16" t="s">
        <v>194</v>
      </c>
      <c r="E105" s="9" t="s">
        <v>195</v>
      </c>
      <c r="F105" s="8" t="str">
        <f>IFERROR(__xludf.DUMMYFUNCTION("GOOGLETRANSLATE(D105,""zh-CN"",""vi"")"),"Nàng tiên tình yêu")</f>
        <v>Nàng tiên tình yêu</v>
      </c>
      <c r="G105" s="8" t="str">
        <f>IFERROR(__xludf.DUMMYFUNCTION("GOOGLETRANSLATE(E105,""zh-CN"",""vi"")"),"Nhấp đúp để sử dụng, tiến độ bộ sưu tập skin Cá Củ Củ Cải - Tinh Linh Tình Yêu +1")</f>
        <v>Nhấp đúp để sử dụng, tiến độ bộ sưu tập skin Cá Củ Củ Cải - Tinh Linh Tình Yêu +1</v>
      </c>
      <c r="H105" s="8"/>
      <c r="I105" s="8"/>
      <c r="J105" s="8"/>
    </row>
    <row r="106" ht="21.0" customHeight="1">
      <c r="A106" s="5">
        <v>16.0</v>
      </c>
      <c r="B106" s="6">
        <v>37.0</v>
      </c>
      <c r="C106" s="6">
        <v>1.0</v>
      </c>
      <c r="D106" s="16" t="s">
        <v>196</v>
      </c>
      <c r="E106" s="9" t="s">
        <v>197</v>
      </c>
      <c r="F106" s="8" t="str">
        <f>IFERROR(__xludf.DUMMYFUNCTION("GOOGLETRANSLATE(D106,""zh-CN"",""vi"")"),"Vũ công đỏ Mianmian")</f>
        <v>Vũ công đỏ Mianmian</v>
      </c>
      <c r="G106" s="8" t="str">
        <f>IFERROR(__xludf.DUMMYFUNCTION("GOOGLETRANSLATE(E106,""zh-CN"",""vi"")"),"Nhấp đúp để sử dụng, tiến độ bộ sưu tập trang phục Rose Gold - Cotton Scarlet Dancer +1")</f>
        <v>Nhấp đúp để sử dụng, tiến độ bộ sưu tập trang phục Rose Gold - Cotton Scarlet Dancer +1</v>
      </c>
      <c r="H106" s="8"/>
      <c r="I106" s="8"/>
      <c r="J106" s="8"/>
    </row>
    <row r="107" ht="21.0" customHeight="1">
      <c r="A107" s="5">
        <v>16.0</v>
      </c>
      <c r="B107" s="6">
        <v>38.0</v>
      </c>
      <c r="C107" s="6">
        <v>1.0</v>
      </c>
      <c r="D107" s="16" t="s">
        <v>198</v>
      </c>
      <c r="E107" s="9" t="s">
        <v>199</v>
      </c>
      <c r="F107" s="8" t="str">
        <f>IFERROR(__xludf.DUMMYFUNCTION("GOOGLETRANSLATE(D107,""zh-CN"",""vi"")"),"Trái tim nữ tính của một chú gấu")</f>
        <v>Trái tim nữ tính của một chú gấu</v>
      </c>
      <c r="G107" s="8" t="str">
        <f>IFERROR(__xludf.DUMMYFUNCTION("GOOGLETRANSLATE(E107,""zh-CN"",""vi"")"),"Nhấp đúp chuột để sử dụng, và tiến độ thu thập trang phục ""Gấu Giàu Có - Trái Tim Nữ Tính Của Gấu"" của bạn sẽ tăng thêm 1.")</f>
        <v>Nhấp đúp chuột để sử dụng, và tiến độ thu thập trang phục "Gấu Giàu Có - Trái Tim Nữ Tính Của Gấu" của bạn sẽ tăng thêm 1.</v>
      </c>
      <c r="H107" s="8"/>
      <c r="I107" s="8"/>
      <c r="J107" s="8"/>
    </row>
    <row r="108" ht="21.0" customHeight="1">
      <c r="A108" s="5">
        <v>16.0</v>
      </c>
      <c r="B108" s="6">
        <v>39.0</v>
      </c>
      <c r="C108" s="6">
        <v>1.0</v>
      </c>
      <c r="D108" s="16" t="s">
        <v>200</v>
      </c>
      <c r="E108" s="9" t="s">
        <v>201</v>
      </c>
      <c r="F108" s="8" t="str">
        <f>IFERROR(__xludf.DUMMYFUNCTION("GOOGLETRANSLATE(D108,""zh-CN"",""vi"")"),"Phù thủy nhỏ đồng hồ")</f>
        <v>Phù thủy nhỏ đồng hồ</v>
      </c>
      <c r="G108" s="8" t="str">
        <f>IFERROR(__xludf.DUMMYFUNCTION("GOOGLETRANSLATE(E108,""zh-CN"",""vi"")"),"Nhấp đúp để sử dụng, tiến độ bộ sưu tập trang phục Time Cat - Clockwork Little Witch +1")</f>
        <v>Nhấp đúp để sử dụng, tiến độ bộ sưu tập trang phục Time Cat - Clockwork Little Witch +1</v>
      </c>
      <c r="H108" s="8"/>
      <c r="I108" s="8"/>
      <c r="J108" s="8"/>
    </row>
    <row r="109" ht="21.0" customHeight="1">
      <c r="A109" s="5">
        <v>16.0</v>
      </c>
      <c r="B109" s="6">
        <v>40.0</v>
      </c>
      <c r="C109" s="6">
        <v>1.0</v>
      </c>
      <c r="D109" s="16" t="s">
        <v>202</v>
      </c>
      <c r="E109" s="9" t="s">
        <v>203</v>
      </c>
      <c r="F109" s="8" t="str">
        <f>IFERROR(__xludf.DUMMYFUNCTION("GOOGLETRANSLATE(D109,""zh-CN"",""vi"")"),"Kỷ niệm hai năm ngày sinh của Tiểu Mai")</f>
        <v>Kỷ niệm hai năm ngày sinh của Tiểu Mai</v>
      </c>
      <c r="G109" s="8" t="str">
        <f>IFERROR(__xludf.DUMMYFUNCTION("GOOGLETRANSLATE(E109,""zh-CN"",""vi"")"),"Nhấp đúp để sử dụng, Courtyard - Tiến độ bộ sưu tập trang phục kỷ niệm 2 năm của Xiaomei +1")</f>
        <v>Nhấp đúp để sử dụng, Courtyard - Tiến độ bộ sưu tập trang phục kỷ niệm 2 năm của Xiaomei +1</v>
      </c>
      <c r="H109" s="8"/>
      <c r="I109" s="8"/>
      <c r="J109" s="8"/>
    </row>
    <row r="110" ht="21.0" customHeight="1">
      <c r="A110" s="5">
        <v>16.0</v>
      </c>
      <c r="B110" s="6">
        <v>41.0</v>
      </c>
      <c r="C110" s="6">
        <v>1.0</v>
      </c>
      <c r="D110" s="16" t="s">
        <v>204</v>
      </c>
      <c r="E110" s="9" t="s">
        <v>205</v>
      </c>
      <c r="F110" s="8" t="str">
        <f>IFERROR(__xludf.DUMMYFUNCTION("GOOGLETRANSLATE(D110,""zh-CN"",""vi"")"),"Theo đuổi ước mơ trên cánh đồng xanh")</f>
        <v>Theo đuổi ước mơ trên cánh đồng xanh</v>
      </c>
      <c r="G110" s="8" t="str">
        <f>IFERROR(__xludf.DUMMYFUNCTION("GOOGLETRANSLATE(E110,""zh-CN"",""vi"")"),"Nhấp đúp để sử dụng, Tiến độ Bộ sưu tập Trang phục Sân trong - Cánh đồng Mơ ước +1")</f>
        <v>Nhấp đúp để sử dụng, Tiến độ Bộ sưu tập Trang phục Sân trong - Cánh đồng Mơ ước +1</v>
      </c>
      <c r="H110" s="8"/>
      <c r="I110" s="8"/>
      <c r="J110" s="8"/>
    </row>
    <row r="111" ht="21.0" customHeight="1">
      <c r="A111" s="5">
        <v>16.0</v>
      </c>
      <c r="B111" s="6">
        <v>42.0</v>
      </c>
      <c r="C111" s="6">
        <v>1.0</v>
      </c>
      <c r="D111" s="11" t="s">
        <v>206</v>
      </c>
      <c r="E111" s="9" t="s">
        <v>207</v>
      </c>
      <c r="F111" s="8" t="str">
        <f>IFERROR(__xludf.DUMMYFUNCTION("GOOGLETRANSLATE(D111,""zh-CN"",""vi"")"),"Cuộc đua thuyền rồng trên những ngọn núi xa xôi")</f>
        <v>Cuộc đua thuyền rồng trên những ngọn núi xa xôi</v>
      </c>
      <c r="G111" s="8" t="str">
        <f>IFERROR(__xludf.DUMMYFUNCTION("GOOGLETRANSLATE(E111,""zh-CN"",""vi"")"),"Nhấp đúp để sử dụng, tiến độ thu thập trang phục Sân trong - Cuộc đua thuyền rồng trên núi xa +1")</f>
        <v>Nhấp đúp để sử dụng, tiến độ thu thập trang phục Sân trong - Cuộc đua thuyền rồng trên núi xa +1</v>
      </c>
      <c r="H111" s="8"/>
      <c r="I111" s="8"/>
      <c r="J111" s="8"/>
    </row>
    <row r="112" ht="21.0" customHeight="1">
      <c r="A112" s="5">
        <v>16.0</v>
      </c>
      <c r="B112" s="6">
        <v>43.0</v>
      </c>
      <c r="C112" s="6">
        <v>1.0</v>
      </c>
      <c r="D112" s="11" t="s">
        <v>208</v>
      </c>
      <c r="E112" s="9" t="s">
        <v>209</v>
      </c>
      <c r="F112" s="8" t="str">
        <f>IFERROR(__xludf.DUMMYFUNCTION("GOOGLETRANSLATE(D112,""zh-CN"",""vi"")"),"Công viên nước mùa hè mát mẻ")</f>
        <v>Công viên nước mùa hè mát mẻ</v>
      </c>
      <c r="G112" s="8" t="str">
        <f>IFERROR(__xludf.DUMMYFUNCTION("GOOGLETRANSLATE(E112,""zh-CN"",""vi"")"),"Nhấp đúp để sử dụng, tiến độ bộ sưu tập trang phục Courtyard - Summer Cool Water Park +1")</f>
        <v>Nhấp đúp để sử dụng, tiến độ bộ sưu tập trang phục Courtyard - Summer Cool Water Park +1</v>
      </c>
      <c r="H112" s="8"/>
      <c r="I112" s="8"/>
      <c r="J112" s="8"/>
    </row>
    <row r="113" ht="21.0" customHeight="1">
      <c r="A113" s="5">
        <v>16.0</v>
      </c>
      <c r="B113" s="6">
        <v>44.0</v>
      </c>
      <c r="C113" s="6">
        <v>1.0</v>
      </c>
      <c r="D113" s="11" t="s">
        <v>210</v>
      </c>
      <c r="E113" s="9" t="s">
        <v>211</v>
      </c>
      <c r="F113" s="8" t="str">
        <f>IFERROR(__xludf.DUMMYFUNCTION("GOOGLETRANSLATE(D113,""zh-CN"",""vi"")"),"Mong chúng ta sẽ mãi là một đôi tình nhân hạnh phúc trên thiên đường.")</f>
        <v>Mong chúng ta sẽ mãi là một đôi tình nhân hạnh phúc trên thiên đường.</v>
      </c>
      <c r="G113" s="8" t="str">
        <f>IFERROR(__xludf.DUMMYFUNCTION("GOOGLETRANSLATE(E113,""zh-CN"",""vi"")"),"Nhấp đúp để sử dụng, tiến độ bộ sưu tập trang phục Courtyard - ""Ước ao trở thành chim uyên ương trên thiên đường"" +1")</f>
        <v>Nhấp đúp để sử dụng, tiến độ bộ sưu tập trang phục Courtyard - "Ước ao trở thành chim uyên ương trên thiên đường" +1</v>
      </c>
      <c r="H113" s="8"/>
      <c r="I113" s="8"/>
      <c r="J113" s="8"/>
    </row>
    <row r="114" ht="21.0" customHeight="1">
      <c r="A114" s="5">
        <v>16.0</v>
      </c>
      <c r="B114" s="6">
        <v>45.0</v>
      </c>
      <c r="C114" s="6">
        <v>1.0</v>
      </c>
      <c r="D114" s="11" t="s">
        <v>212</v>
      </c>
      <c r="E114" s="9" t="s">
        <v>213</v>
      </c>
      <c r="F114" s="8" t="str">
        <f>IFERROR(__xludf.DUMMYFUNCTION("GOOGLETRANSLATE(D114,""zh-CN"",""vi"")"),"giá để gỗ")</f>
        <v>giá để gỗ</v>
      </c>
      <c r="G114" s="8" t="str">
        <f>IFERROR(__xludf.DUMMYFUNCTION("GOOGLETRANSLATE(E114,""zh-CN"",""vi"")"),"Nhấp đúp để sử dụng, Cửa hàng - Bộ sưu tập skin Kệ gỗ, tiến độ +1")</f>
        <v>Nhấp đúp để sử dụng, Cửa hàng - Bộ sưu tập skin Kệ gỗ, tiến độ +1</v>
      </c>
      <c r="H114" s="8"/>
      <c r="I114" s="8"/>
      <c r="J114" s="8"/>
    </row>
    <row r="115" ht="21.0" customHeight="1">
      <c r="A115" s="5">
        <v>16.0</v>
      </c>
      <c r="B115" s="6">
        <v>46.0</v>
      </c>
      <c r="C115" s="6">
        <v>1.0</v>
      </c>
      <c r="D115" s="11" t="s">
        <v>214</v>
      </c>
      <c r="E115" s="9" t="s">
        <v>215</v>
      </c>
      <c r="F115" s="8" t="str">
        <f>IFERROR(__xludf.DUMMYFUNCTION("GOOGLETRANSLATE(D115,""zh-CN"",""vi"")"),"Tủ kho báu búp bê dễ thương")</f>
        <v>Tủ kho báu búp bê dễ thương</v>
      </c>
      <c r="G115" s="8" t="str">
        <f>IFERROR(__xludf.DUMMYFUNCTION("GOOGLETRANSLATE(E115,""zh-CN"",""vi"")"),"Nhấp đúp chuột để sử dụng, và tiến độ thu thập trang phục từ Tủ Kho Báu Búp Bê Dễ Thương trong cửa hàng của bạn sẽ tăng thêm 1.")</f>
        <v>Nhấp đúp chuột để sử dụng, và tiến độ thu thập trang phục từ Tủ Kho Báu Búp Bê Dễ Thương trong cửa hàng của bạn sẽ tăng thêm 1.</v>
      </c>
      <c r="H115" s="8"/>
      <c r="I115" s="8"/>
      <c r="J115" s="8"/>
    </row>
    <row r="116" ht="21.0" customHeight="1">
      <c r="A116" s="5">
        <v>16.0</v>
      </c>
      <c r="B116" s="6">
        <v>47.0</v>
      </c>
      <c r="C116" s="6">
        <v>1.0</v>
      </c>
      <c r="D116" s="7" t="s">
        <v>216</v>
      </c>
      <c r="E116" s="9" t="s">
        <v>217</v>
      </c>
      <c r="F116" s="8" t="str">
        <f>IFERROR(__xludf.DUMMYFUNCTION("GOOGLETRANSLATE(D116,""zh-CN"",""vi"")"),"Tiệm bánh Chanson")</f>
        <v>Tiệm bánh Chanson</v>
      </c>
      <c r="G116" s="8" t="str">
        <f>IFERROR(__xludf.DUMMYFUNCTION("GOOGLETRANSLATE(E116,""zh-CN"",""vi"")"),"Nhấp đúp để sử dụng, Cửa hàng - Tiến độ bộ sưu tập trang phục Chanson Bakery +1")</f>
        <v>Nhấp đúp để sử dụng, Cửa hàng - Tiến độ bộ sưu tập trang phục Chanson Bakery +1</v>
      </c>
      <c r="H116" s="8"/>
      <c r="I116" s="8"/>
      <c r="J116" s="8"/>
    </row>
    <row r="117" ht="21.0" customHeight="1">
      <c r="A117" s="5">
        <v>16.0</v>
      </c>
      <c r="B117" s="6">
        <v>48.0</v>
      </c>
      <c r="C117" s="6">
        <v>1.0</v>
      </c>
      <c r="D117" s="7" t="s">
        <v>218</v>
      </c>
      <c r="E117" s="9" t="s">
        <v>219</v>
      </c>
      <c r="F117" s="8" t="str">
        <f>IFERROR(__xludf.DUMMYFUNCTION("GOOGLETRANSLATE(D117,""zh-CN"",""vi"")"),"Ngày Quốc Khánh lần thứ 75")</f>
        <v>Ngày Quốc Khánh lần thứ 75</v>
      </c>
      <c r="G117" s="8" t="str">
        <f>IFERROR(__xludf.DUMMYFUNCTION("GOOGLETRANSLATE(E117,""zh-CN"",""vi"")"),"Nhấp đúp để sử dụng, Courtyard - Bộ sưu tập trang phục kỷ niệm 75 năm Quốc khánh - Tiến độ +1")</f>
        <v>Nhấp đúp để sử dụng, Courtyard - Bộ sưu tập trang phục kỷ niệm 75 năm Quốc khánh - Tiến độ +1</v>
      </c>
      <c r="H117" s="8"/>
      <c r="I117" s="8"/>
      <c r="J117" s="8"/>
    </row>
    <row r="118" ht="21.0" customHeight="1">
      <c r="A118" s="5">
        <v>16.0</v>
      </c>
      <c r="B118" s="6">
        <v>49.0</v>
      </c>
      <c r="C118" s="6">
        <v>1.0</v>
      </c>
      <c r="D118" s="7" t="s">
        <v>220</v>
      </c>
      <c r="E118" s="9" t="s">
        <v>221</v>
      </c>
      <c r="F118" s="8" t="str">
        <f>IFERROR(__xludf.DUMMYFUNCTION("GOOGLETRANSLATE(D118,""zh-CN"",""vi"")"),"Vùng đất trù phú")</f>
        <v>Vùng đất trù phú</v>
      </c>
      <c r="G118" s="8" t="str">
        <f>IFERROR(__xludf.DUMMYFUNCTION("GOOGLETRANSLATE(E118,""zh-CN"",""vi"")"),"Nhấp đúp để sử dụng, sân trong - Tiến độ thu thập trang phục Tứ Xuyên +1")</f>
        <v>Nhấp đúp để sử dụng, sân trong - Tiến độ thu thập trang phục Tứ Xuyên +1</v>
      </c>
      <c r="H118" s="8"/>
      <c r="I118" s="8"/>
      <c r="J118" s="8"/>
    </row>
    <row r="119" ht="21.0" customHeight="1">
      <c r="A119" s="5">
        <v>16.0</v>
      </c>
      <c r="B119" s="6">
        <v>50.0</v>
      </c>
      <c r="C119" s="6">
        <v>1.0</v>
      </c>
      <c r="D119" s="7" t="s">
        <v>222</v>
      </c>
      <c r="E119" s="9" t="s">
        <v>223</v>
      </c>
      <c r="F119" s="8" t="str">
        <f>IFERROR(__xludf.DUMMYFUNCTION("GOOGLETRANSLATE(D119,""zh-CN"",""vi"")"),"thìa bạc")</f>
        <v>thìa bạc</v>
      </c>
      <c r="G119" s="8" t="str">
        <f>IFERROR(__xludf.DUMMYFUNCTION("GOOGLETRANSLATE(E119,""zh-CN"",""vi"")"),"Nhấp đúp để sử dụng, thìa - Tiến độ bộ sưu tập skin thìa bạc +1")</f>
        <v>Nhấp đúp để sử dụng, thìa - Tiến độ bộ sưu tập skin thìa bạc +1</v>
      </c>
      <c r="H119" s="8"/>
      <c r="I119" s="8"/>
      <c r="J119" s="8"/>
    </row>
    <row r="120" ht="21.0" customHeight="1">
      <c r="A120" s="5">
        <v>16.0</v>
      </c>
      <c r="B120" s="6">
        <v>51.0</v>
      </c>
      <c r="C120" s="6">
        <v>1.0</v>
      </c>
      <c r="D120" s="7" t="s">
        <v>224</v>
      </c>
      <c r="E120" s="9" t="s">
        <v>225</v>
      </c>
      <c r="F120" s="8" t="str">
        <f>IFERROR(__xludf.DUMMYFUNCTION("GOOGLETRANSLATE(D120,""zh-CN"",""vi"")"),"Lá rụng báo hiệu mùa thu.")</f>
        <v>Lá rụng báo hiệu mùa thu.</v>
      </c>
      <c r="G120" s="8" t="str">
        <f>IFERROR(__xludf.DUMMYFUNCTION("GOOGLETRANSLATE(E120,""zh-CN"",""vi"")"),"Nhấp đúp để sử dụng, tiến độ thu thập trang phục sân trong - lá mùa thu +1")</f>
        <v>Nhấp đúp để sử dụng, tiến độ thu thập trang phục sân trong - lá mùa thu +1</v>
      </c>
      <c r="H120" s="8"/>
      <c r="I120" s="8"/>
      <c r="J120" s="8"/>
    </row>
    <row r="121" ht="21.0" customHeight="1">
      <c r="A121" s="5">
        <v>16.0</v>
      </c>
      <c r="B121" s="6">
        <v>52.0</v>
      </c>
      <c r="C121" s="6">
        <v>1.0</v>
      </c>
      <c r="D121" s="7" t="s">
        <v>226</v>
      </c>
      <c r="E121" s="9" t="s">
        <v>227</v>
      </c>
      <c r="F121" s="8" t="str">
        <f>IFERROR(__xludf.DUMMYFUNCTION("GOOGLETRANSLATE(D121,""zh-CN"",""vi"")"),"Rừng Tiên")</f>
        <v>Rừng Tiên</v>
      </c>
      <c r="G121" s="8" t="str">
        <f>IFERROR(__xludf.DUMMYFUNCTION("GOOGLETRANSLATE(E121,""zh-CN"",""vi"")"),"Nhấp đúp để sử dụng, tiến độ bộ sưu tập trang phục Garden - Elf Forest +1")</f>
        <v>Nhấp đúp để sử dụng, tiến độ bộ sưu tập trang phục Garden - Elf Forest +1</v>
      </c>
      <c r="H121" s="8"/>
      <c r="I121" s="8"/>
      <c r="J121" s="8"/>
    </row>
    <row r="122" ht="21.0" customHeight="1">
      <c r="A122" s="5">
        <v>16.0</v>
      </c>
      <c r="B122" s="6">
        <v>53.0</v>
      </c>
      <c r="C122" s="6">
        <v>1.0</v>
      </c>
      <c r="D122" s="7" t="s">
        <v>228</v>
      </c>
      <c r="E122" s="9" t="s">
        <v>229</v>
      </c>
      <c r="F122" s="8" t="str">
        <f>IFERROR(__xludf.DUMMYFUNCTION("GOOGLETRANSLATE(D122,""zh-CN"",""vi"")"),"Tướng Đen Nửa Đêm")</f>
        <v>Tướng Đen Nửa Đêm</v>
      </c>
      <c r="G122" s="8" t="str">
        <f>IFERROR(__xludf.DUMMYFUNCTION("GOOGLETRANSLATE(E122,""zh-CN"",""vi"")"),"Nhấp đúp để sử dụng, Juice Bird - Midnight Black - Tiến độ thu thập skin tổng thể +1")</f>
        <v>Nhấp đúp để sử dụng, Juice Bird - Midnight Black - Tiến độ thu thập skin tổng thể +1</v>
      </c>
      <c r="H122" s="8"/>
      <c r="I122" s="8"/>
      <c r="J122" s="8"/>
    </row>
    <row r="123" ht="21.0" customHeight="1">
      <c r="A123" s="5">
        <v>16.0</v>
      </c>
      <c r="B123" s="6">
        <v>54.0</v>
      </c>
      <c r="C123" s="6">
        <v>1.0</v>
      </c>
      <c r="D123" s="7" t="s">
        <v>230</v>
      </c>
      <c r="E123" s="9" t="s">
        <v>231</v>
      </c>
      <c r="F123" s="8" t="str">
        <f>IFERROR(__xludf.DUMMYFUNCTION("GOOGLETRANSLATE(D123,""zh-CN"",""vi"")"),"Chim trắng mượt có mùi thơm")</f>
        <v>Chim trắng mượt có mùi thơm</v>
      </c>
      <c r="G123" s="8" t="str">
        <f>IFERROR(__xludf.DUMMYFUNCTION("GOOGLETRANSLATE(E123,""zh-CN"",""vi"")"),"Nhấp đúp để sử dụng, Tiến độ Bộ sưu tập Trang phục Phượng Hoàng Trắng Mượt - Chim Dâu Tây +1")</f>
        <v>Nhấp đúp để sử dụng, Tiến độ Bộ sưu tập Trang phục Phượng Hoàng Trắng Mượt - Chim Dâu Tây +1</v>
      </c>
      <c r="H123" s="8"/>
      <c r="I123" s="8"/>
      <c r="J123" s="8"/>
    </row>
    <row r="124" ht="21.0" customHeight="1">
      <c r="A124" s="5">
        <v>16.0</v>
      </c>
      <c r="B124" s="6">
        <v>55.0</v>
      </c>
      <c r="C124" s="6">
        <v>1.0</v>
      </c>
      <c r="D124" s="7" t="s">
        <v>232</v>
      </c>
      <c r="E124" s="9" t="s">
        <v>233</v>
      </c>
      <c r="F124" s="8" t="str">
        <f>IFERROR(__xludf.DUMMYFUNCTION("GOOGLETRANSLATE(D124,""zh-CN"",""vi"")"),"Nhung tuyết")</f>
        <v>Nhung tuyết</v>
      </c>
      <c r="G124" s="8" t="str">
        <f>IFERROR(__xludf.DUMMYFUNCTION("GOOGLETRANSLATE(E124,""zh-CN"",""vi"")"),"Nhấp đúp để sử dụng, CaiCaiDog - Bộ sưu tập da nhung tuyết - Tiến độ +1")</f>
        <v>Nhấp đúp để sử dụng, CaiCaiDog - Bộ sưu tập da nhung tuyết - Tiến độ +1</v>
      </c>
      <c r="H124" s="8"/>
      <c r="I124" s="8"/>
      <c r="J124" s="8"/>
    </row>
    <row r="125" ht="21.0" customHeight="1">
      <c r="A125" s="5">
        <v>16.0</v>
      </c>
      <c r="B125" s="6">
        <v>56.0</v>
      </c>
      <c r="C125" s="6">
        <v>1.0</v>
      </c>
      <c r="D125" s="7" t="s">
        <v>234</v>
      </c>
      <c r="E125" s="9" t="s">
        <v>235</v>
      </c>
      <c r="F125" s="8" t="str">
        <f>IFERROR(__xludf.DUMMYFUNCTION("GOOGLETRANSLATE(D125,""zh-CN"",""vi"")"),"Ngôi nhà ma thuật Gulu Gulu")</f>
        <v>Ngôi nhà ma thuật Gulu Gulu</v>
      </c>
      <c r="G125" s="8" t="str">
        <f>IFERROR(__xludf.DUMMYFUNCTION("GOOGLETRANSLATE(E125,""zh-CN"",""vi"")"),"Nhấp đúp chuột để sử dụng, và tiến trình thu thập trang phục trong cửa hàng - Gulu Gulu Magic House +1 sẽ tăng lên.")</f>
        <v>Nhấp đúp chuột để sử dụng, và tiến trình thu thập trang phục trong cửa hàng - Gulu Gulu Magic House +1 sẽ tăng lên.</v>
      </c>
      <c r="H125" s="8"/>
      <c r="I125" s="8"/>
      <c r="J125" s="8"/>
    </row>
    <row r="126" ht="21.0" customHeight="1">
      <c r="A126" s="5">
        <v>16.0</v>
      </c>
      <c r="B126" s="6">
        <v>57.0</v>
      </c>
      <c r="C126" s="6">
        <v>1.0</v>
      </c>
      <c r="D126" s="7" t="s">
        <v>236</v>
      </c>
      <c r="E126" s="9" t="s">
        <v>237</v>
      </c>
      <c r="F126" s="8" t="str">
        <f>IFERROR(__xludf.DUMMYFUNCTION("GOOGLETRANSLATE(D126,""zh-CN"",""vi"")"),"Chiếc bát kho báu của Thần Tài")</f>
        <v>Chiếc bát kho báu của Thần Tài</v>
      </c>
      <c r="G126" s="8" t="str">
        <f>IFERROR(__xludf.DUMMYFUNCTION("GOOGLETRANSLATE(E126,""zh-CN"",""vi"")"),"Nhấp đúp chuột để sử dụng, và tiến độ thu thập trang phục ""Kho báu Thần Tài"" trong rương đồ sẽ tăng lên 1.")</f>
        <v>Nhấp đúp chuột để sử dụng, và tiến độ thu thập trang phục "Kho báu Thần Tài" trong rương đồ sẽ tăng lên 1.</v>
      </c>
      <c r="H126" s="8"/>
      <c r="I126" s="8"/>
      <c r="J126" s="8"/>
    </row>
    <row r="127" ht="21.0" customHeight="1">
      <c r="A127" s="5">
        <v>16.0</v>
      </c>
      <c r="B127" s="6">
        <v>58.0</v>
      </c>
      <c r="C127" s="6">
        <v>1.0</v>
      </c>
      <c r="D127" s="7" t="s">
        <v>238</v>
      </c>
      <c r="E127" s="9" t="s">
        <v>239</v>
      </c>
      <c r="F127" s="8" t="str">
        <f>IFERROR(__xludf.DUMMYFUNCTION("GOOGLETRANSLATE(D127,""zh-CN"",""vi"")"),"Hoa mai cung điện phản chiếu tuyết")</f>
        <v>Hoa mai cung điện phản chiếu tuyết</v>
      </c>
      <c r="G127" s="8" t="str">
        <f>IFERROR(__xludf.DUMMYFUNCTION("GOOGLETRANSLATE(E127,""zh-CN"",""vi"")"),"Nhấp đúp để sử dụng, tiến độ bộ sưu tập trang phục Courtyard - Palace Plum Blossom Reflecting Snow +1")</f>
        <v>Nhấp đúp để sử dụng, tiến độ bộ sưu tập trang phục Courtyard - Palace Plum Blossom Reflecting Snow +1</v>
      </c>
      <c r="H127" s="8"/>
      <c r="I127" s="8"/>
      <c r="J127" s="8"/>
    </row>
    <row r="128" ht="21.0" customHeight="1">
      <c r="A128" s="5">
        <v>16.0</v>
      </c>
      <c r="B128" s="6">
        <v>59.0</v>
      </c>
      <c r="C128" s="6">
        <v>1.0</v>
      </c>
      <c r="D128" s="7" t="s">
        <v>240</v>
      </c>
      <c r="E128" s="9" t="s">
        <v>241</v>
      </c>
      <c r="F128" s="8" t="str">
        <f>IFERROR(__xludf.DUMMYFUNCTION("GOOGLETRANSLATE(D128,""zh-CN"",""vi"")"),"Múa lân chào đón năm mới")</f>
        <v>Múa lân chào đón năm mới</v>
      </c>
      <c r="G128" s="8" t="str">
        <f>IFERROR(__xludf.DUMMYFUNCTION("GOOGLETRANSLATE(E128,""zh-CN"",""vi"")"),"Nhấp đúp để sử dụng, Tiến độ Bộ sưu tập Trang phục Múa lân mừng năm mới tại Sân trong +1")</f>
        <v>Nhấp đúp để sử dụng, Tiến độ Bộ sưu tập Trang phục Múa lân mừng năm mới tại Sân trong +1</v>
      </c>
      <c r="H128" s="8"/>
      <c r="I128" s="8"/>
      <c r="J128" s="8"/>
    </row>
    <row r="129" ht="21.0" customHeight="1">
      <c r="A129" s="5">
        <v>16.0</v>
      </c>
      <c r="B129" s="6">
        <v>60.0</v>
      </c>
      <c r="C129" s="6">
        <v>1.0</v>
      </c>
      <c r="D129" s="7" t="s">
        <v>242</v>
      </c>
      <c r="E129" s="9" t="s">
        <v>243</v>
      </c>
      <c r="F129" s="8" t="str">
        <f>IFERROR(__xludf.DUMMYFUNCTION("GOOGLETRANSLATE(D129,""zh-CN"",""vi"")"),"Nàng tiên múa ba lê nhỏ")</f>
        <v>Nàng tiên múa ba lê nhỏ</v>
      </c>
      <c r="G129" s="8" t="str">
        <f>IFERROR(__xludf.DUMMYFUNCTION("GOOGLETRANSLATE(E129,""zh-CN"",""vi"")"),"Nhấp đúp chuột để sử dụng, và tiến độ thu thập trang phục ""Pujuju - Ballet Fairy"" sẽ tăng thêm 1.")</f>
        <v>Nhấp đúp chuột để sử dụng, và tiến độ thu thập trang phục "Pujuju - Ballet Fairy" sẽ tăng thêm 1.</v>
      </c>
      <c r="H129" s="8"/>
      <c r="I129" s="8"/>
      <c r="J129" s="8"/>
    </row>
    <row r="130" ht="21.0" customHeight="1">
      <c r="A130" s="5">
        <v>16.0</v>
      </c>
      <c r="B130" s="6">
        <v>61.0</v>
      </c>
      <c r="C130" s="6">
        <v>1.0</v>
      </c>
      <c r="D130" s="7" t="s">
        <v>244</v>
      </c>
      <c r="E130" s="9" t="s">
        <v>245</v>
      </c>
      <c r="F130" s="8" t="str">
        <f>IFERROR(__xludf.DUMMYFUNCTION("GOOGLETRANSLATE(D130,""zh-CN"",""vi"")"),"Múa lân, Tiểu thần Tài")</f>
        <v>Múa lân, Tiểu thần Tài</v>
      </c>
      <c r="G130" s="8" t="str">
        <f>IFERROR(__xludf.DUMMYFUNCTION("GOOGLETRANSLATE(E130,""zh-CN"",""vi"")"),"Nhấp đúp để sử dụng, tiến độ thu thập trang phục Meow Tuantuan - Tiểu Thần Tài Múa Lân +1")</f>
        <v>Nhấp đúp để sử dụng, tiến độ thu thập trang phục Meow Tuantuan - Tiểu Thần Tài Múa Lân +1</v>
      </c>
      <c r="H130" s="8"/>
      <c r="I130" s="8"/>
      <c r="J130" s="8"/>
    </row>
    <row r="131" ht="21.0" customHeight="1">
      <c r="A131" s="5">
        <v>16.0</v>
      </c>
      <c r="B131" s="6">
        <v>62.0</v>
      </c>
      <c r="C131" s="6">
        <v>1.0</v>
      </c>
      <c r="D131" s="7" t="s">
        <v>246</v>
      </c>
      <c r="E131" s="9" t="s">
        <v>247</v>
      </c>
      <c r="F131" s="8" t="str">
        <f>IFERROR(__xludf.DUMMYFUNCTION("GOOGLETRANSLATE(D131,""zh-CN"",""vi"")"),"Yu Jianqingxin")</f>
        <v>Yu Jianqingxin</v>
      </c>
      <c r="G131" s="8" t="str">
        <f>IFERROR(__xludf.DUMMYFUNCTION("GOOGLETRANSLATE(E131,""zh-CN"",""vi"")"),"Nhấp đúp để sử dụng, Tiến độ Bộ sưu tập Trang phục Courtyard - Enchanted Heart +1")</f>
        <v>Nhấp đúp để sử dụng, Tiến độ Bộ sưu tập Trang phục Courtyard - Enchanted Heart +1</v>
      </c>
      <c r="H131" s="8"/>
      <c r="I131" s="8"/>
      <c r="J131" s="8"/>
    </row>
    <row r="132" ht="21.0" customHeight="1">
      <c r="A132" s="5">
        <v>16.0</v>
      </c>
      <c r="B132" s="6">
        <v>63.0</v>
      </c>
      <c r="C132" s="6">
        <v>1.0</v>
      </c>
      <c r="D132" s="7" t="s">
        <v>248</v>
      </c>
      <c r="E132" s="9" t="s">
        <v>249</v>
      </c>
      <c r="F132" s="8" t="str">
        <f>IFERROR(__xludf.DUMMYFUNCTION("GOOGLETRANSLATE(D132,""zh-CN"",""vi"")"),"Ngăn kéo hoa rừng bí ẩn")</f>
        <v>Ngăn kéo hoa rừng bí ẩn</v>
      </c>
      <c r="G132" s="8" t="str">
        <f>IFERROR(__xludf.DUMMYFUNCTION("GOOGLETRANSLATE(E132,""zh-CN"",""vi"")"),"Nhấp đúp để sử dụng, Hộp lưu trữ - Bộ sưu tập giao diện ngăn kéo hoa rừng - Tiến độ +1")</f>
        <v>Nhấp đúp để sử dụng, Hộp lưu trữ - Bộ sưu tập giao diện ngăn kéo hoa rừng - Tiến độ +1</v>
      </c>
      <c r="H132" s="8"/>
      <c r="I132" s="8"/>
      <c r="J132" s="8"/>
    </row>
    <row r="133" ht="21.0" customHeight="1">
      <c r="A133" s="5">
        <v>16.0</v>
      </c>
      <c r="B133" s="6">
        <v>64.0</v>
      </c>
      <c r="C133" s="6">
        <v>1.0</v>
      </c>
      <c r="D133" s="7" t="s">
        <v>250</v>
      </c>
      <c r="E133" s="9" t="s">
        <v>251</v>
      </c>
      <c r="F133" s="8" t="str">
        <f>IFERROR(__xludf.DUMMYFUNCTION("GOOGLETRANSLATE(D133,""zh-CN"",""vi"")"),"Quỷ Xanh Băng")</f>
        <v>Quỷ Xanh Băng</v>
      </c>
      <c r="G133" s="8" t="str">
        <f>IFERROR(__xludf.DUMMYFUNCTION("GOOGLETRANSLATE(E133,""zh-CN"",""vi"")"),"Nhấp đúp chuột để sử dụng, Hyacinth - Bộ sưu tập trang phục quyến rũ màu xanh băng giá - Tiến độ +1")</f>
        <v>Nhấp đúp chuột để sử dụng, Hyacinth - Bộ sưu tập trang phục quyến rũ màu xanh băng giá - Tiến độ +1</v>
      </c>
      <c r="H133" s="8"/>
      <c r="I133" s="8"/>
      <c r="J133" s="8"/>
    </row>
    <row r="134" ht="21.0" customHeight="1">
      <c r="A134" s="5">
        <v>16.0</v>
      </c>
      <c r="B134" s="6">
        <v>65.0</v>
      </c>
      <c r="C134" s="6">
        <v>1.0</v>
      </c>
      <c r="D134" s="7" t="s">
        <v>252</v>
      </c>
      <c r="E134" s="9" t="s">
        <v>253</v>
      </c>
      <c r="F134" s="8" t="str">
        <f>IFERROR(__xludf.DUMMYFUNCTION("GOOGLETRANSLATE(D134,""zh-CN"",""vi"")"),"Rừng rậm và núi non")</f>
        <v>Rừng rậm và núi non</v>
      </c>
      <c r="G134" s="8" t="str">
        <f>IFERROR(__xludf.DUMMYFUNCTION("GOOGLETRANSLATE(E134,""zh-CN"",""vi"")"),"Nhấp đúp để sử dụng, tiến độ thu thập trang phục Sân trong - Rừng rậm và Hoang dã +1")</f>
        <v>Nhấp đúp để sử dụng, tiến độ thu thập trang phục Sân trong - Rừng rậm và Hoang dã +1</v>
      </c>
      <c r="H134" s="8"/>
      <c r="I134" s="8"/>
      <c r="J134" s="8"/>
    </row>
    <row r="135" ht="21.0" customHeight="1">
      <c r="A135" s="5">
        <v>16.0</v>
      </c>
      <c r="B135" s="6">
        <v>66.0</v>
      </c>
      <c r="C135" s="6">
        <v>1.0</v>
      </c>
      <c r="D135" s="7" t="s">
        <v>254</v>
      </c>
      <c r="E135" s="9" t="s">
        <v>255</v>
      </c>
      <c r="F135" s="8" t="str">
        <f>IFERROR(__xludf.DUMMYFUNCTION("GOOGLETRANSLATE(D135,""zh-CN"",""vi"")"),"Thế giới mới")</f>
        <v>Thế giới mới</v>
      </c>
      <c r="G135" s="8" t="str">
        <f>IFERROR(__xludf.DUMMYFUNCTION("GOOGLETRANSLATE(E135,""zh-CN"",""vi"")"),"Nhấp đúp để sử dụng, Courtyard - Bộ sưu tập trang phục Thế giới mới - Tiến độ +1")</f>
        <v>Nhấp đúp để sử dụng, Courtyard - Bộ sưu tập trang phục Thế giới mới - Tiến độ +1</v>
      </c>
      <c r="H135" s="8"/>
      <c r="I135" s="8"/>
      <c r="J135" s="8"/>
    </row>
    <row r="136" ht="21.0" customHeight="1">
      <c r="A136" s="5">
        <v>16.0</v>
      </c>
      <c r="B136" s="6">
        <v>67.0</v>
      </c>
      <c r="C136" s="6">
        <v>1.0</v>
      </c>
      <c r="D136" s="7" t="s">
        <v>256</v>
      </c>
      <c r="E136" s="9" t="s">
        <v>257</v>
      </c>
      <c r="F136" s="8" t="str">
        <f>IFERROR(__xludf.DUMMYFUNCTION("GOOGLETRANSLATE(D136,""zh-CN"",""vi"")"),"Cung điện Rồng dưới biển")</f>
        <v>Cung điện Rồng dưới biển</v>
      </c>
      <c r="G136" s="8" t="str">
        <f>IFERROR(__xludf.DUMMYFUNCTION("GOOGLETRANSLATE(E136,""zh-CN"",""vi"")"),"Nhấp đúp để sử dụng, tiến độ bộ sưu tập trang phục Cung điện Rồng dưới biển - Courtyard +1")</f>
        <v>Nhấp đúp để sử dụng, tiến độ bộ sưu tập trang phục Cung điện Rồng dưới biển - Courtyard +1</v>
      </c>
      <c r="H136" s="8"/>
      <c r="I136" s="8"/>
      <c r="J136" s="8"/>
    </row>
    <row r="137" ht="21.0" customHeight="1">
      <c r="A137" s="5">
        <v>16.0</v>
      </c>
      <c r="B137" s="6">
        <v>68.0</v>
      </c>
      <c r="C137" s="6">
        <v>1.0</v>
      </c>
      <c r="D137" s="7" t="s">
        <v>258</v>
      </c>
      <c r="E137" s="9" t="s">
        <v>259</v>
      </c>
      <c r="F137" s="8" t="str">
        <f>IFERROR(__xludf.DUMMYFUNCTION("GOOGLETRANSLATE(D137,""zh-CN"",""vi"")"),"Dinh thự gia tộc Lin")</f>
        <v>Dinh thự gia tộc Lin</v>
      </c>
      <c r="G137" s="8" t="str">
        <f>IFERROR(__xludf.DUMMYFUNCTION("GOOGLETRANSLATE(E137,""zh-CN"",""vi"")"),"Nhấp đúp chuột để sử dụng, tiến độ thu thập trang phục Sân trong - Biệt thự họ Lin +1")</f>
        <v>Nhấp đúp chuột để sử dụng, tiến độ thu thập trang phục Sân trong - Biệt thự họ Lin +1</v>
      </c>
      <c r="H137" s="8"/>
      <c r="I137" s="8"/>
      <c r="J137" s="8"/>
    </row>
    <row r="138" ht="21.0" customHeight="1">
      <c r="A138" s="5">
        <v>16.0</v>
      </c>
      <c r="B138" s="6">
        <v>69.0</v>
      </c>
      <c r="C138" s="6">
        <v>1.0</v>
      </c>
      <c r="D138" s="7" t="s">
        <v>260</v>
      </c>
      <c r="E138" s="9" t="s">
        <v>261</v>
      </c>
      <c r="F138" s="8" t="str">
        <f>IFERROR(__xludf.DUMMYFUNCTION("GOOGLETRANSLATE(D138,""zh-CN"",""vi"")"),"Kỷ niệm ba năm ngày sinh của Tiểu Mai")</f>
        <v>Kỷ niệm ba năm ngày sinh của Tiểu Mai</v>
      </c>
      <c r="G138" s="8" t="str">
        <f>IFERROR(__xludf.DUMMYFUNCTION("GOOGLETRANSLATE(E138,""zh-CN"",""vi"")"),"Nhấp đúp để sử dụng, Tiến độ Bộ sưu tập Trang phục kỷ niệm 3 năm Garden - Xiaomei +1")</f>
        <v>Nhấp đúp để sử dụng, Tiến độ Bộ sưu tập Trang phục kỷ niệm 3 năm Garden - Xiaomei +1</v>
      </c>
      <c r="H138" s="8"/>
      <c r="I138" s="8"/>
      <c r="J138" s="8"/>
    </row>
    <row r="139" ht="21.0" customHeight="1">
      <c r="A139" s="5">
        <v>16.0</v>
      </c>
      <c r="B139" s="6">
        <v>70.0</v>
      </c>
      <c r="C139" s="6">
        <v>1.0</v>
      </c>
      <c r="D139" s="7" t="s">
        <v>262</v>
      </c>
      <c r="E139" s="9" t="s">
        <v>263</v>
      </c>
      <c r="F139" s="8" t="str">
        <f>IFERROR(__xludf.DUMMYFUNCTION("GOOGLETRANSLATE(D139,""zh-CN"",""vi"")"),"Đêm tiệc Ngọc Trai")</f>
        <v>Đêm tiệc Ngọc Trai</v>
      </c>
      <c r="G139" s="8" t="str">
        <f>IFERROR(__xludf.DUMMYFUNCTION("GOOGLETRANSLATE(E139,""zh-CN"",""vi"")"),"Nhấp đúp chuột để sử dụng, tiến độ bộ sưu tập trang phục Hyacinth - Night Banquet Pearl +1")</f>
        <v>Nhấp đúp chuột để sử dụng, tiến độ bộ sưu tập trang phục Hyacinth - Night Banquet Pearl +1</v>
      </c>
      <c r="H139" s="8"/>
      <c r="I139" s="8"/>
      <c r="J139" s="8"/>
    </row>
    <row r="140" ht="21.0" customHeight="1">
      <c r="A140" s="5">
        <v>16.0</v>
      </c>
      <c r="B140" s="6">
        <v>71.0</v>
      </c>
      <c r="C140" s="6">
        <v>1.0</v>
      </c>
      <c r="D140" s="7" t="s">
        <v>264</v>
      </c>
      <c r="E140" s="9" t="s">
        <v>265</v>
      </c>
      <c r="F140" s="8" t="str">
        <f>IFERROR(__xludf.DUMMYFUNCTION("GOOGLETRANSLATE(D140,""zh-CN"",""vi"")"),"Cửa hàng bánh Huanju")</f>
        <v>Cửa hàng bánh Huanju</v>
      </c>
      <c r="G140" s="8" t="str">
        <f>IFERROR(__xludf.DUMMYFUNCTION("GOOGLETRANSLATE(E140,""zh-CN"",""vi"")"),"Nhấp đúp chuột để sử dụng, và tiến độ thu thập trang phục từ Cửa hàng bánh Happy Gathering của bạn sẽ tăng thêm 1.")</f>
        <v>Nhấp đúp chuột để sử dụng, và tiến độ thu thập trang phục từ Cửa hàng bánh Happy Gathering của bạn sẽ tăng thêm 1.</v>
      </c>
      <c r="H140" s="8"/>
      <c r="I140" s="8"/>
      <c r="J140" s="8"/>
    </row>
    <row r="141" ht="21.0" customHeight="1">
      <c r="A141" s="5">
        <v>16.0</v>
      </c>
      <c r="B141" s="6">
        <v>72.0</v>
      </c>
      <c r="C141" s="6">
        <v>1.0</v>
      </c>
      <c r="D141" s="7" t="s">
        <v>266</v>
      </c>
      <c r="E141" s="9" t="s">
        <v>267</v>
      </c>
      <c r="F141" s="8" t="str">
        <f>IFERROR(__xludf.DUMMYFUNCTION("GOOGLETRANSLATE(D141,""zh-CN"",""vi"")"),"Rùa Sakaban")</f>
        <v>Rùa Sakaban</v>
      </c>
      <c r="G141" s="8" t="str">
        <f>IFERROR(__xludf.DUMMYFUNCTION("GOOGLETRANSLATE(E141,""zh-CN"",""vi"")"),"Nhấp đúp để sử dụng, tiến độ thu thập bộ sưu tập Cá Củ Cải Đường - Da Rùa Sakaban +1")</f>
        <v>Nhấp đúp để sử dụng, tiến độ thu thập bộ sưu tập Cá Củ Cải Đường - Da Rùa Sakaban +1</v>
      </c>
      <c r="H141" s="8"/>
      <c r="I141" s="8"/>
      <c r="J141" s="8"/>
    </row>
    <row r="142" ht="21.0" customHeight="1">
      <c r="A142" s="5">
        <v>16.0</v>
      </c>
      <c r="B142" s="6">
        <v>73.0</v>
      </c>
      <c r="C142" s="6">
        <v>1.0</v>
      </c>
      <c r="D142" s="7" t="s">
        <v>268</v>
      </c>
      <c r="E142" s="9" t="s">
        <v>269</v>
      </c>
      <c r="F142" s="8" t="str">
        <f>IFERROR(__xludf.DUMMYFUNCTION("GOOGLETRANSLATE(D142,""zh-CN"",""vi"")"),"Lễ hội hóa trang")</f>
        <v>Lễ hội hóa trang</v>
      </c>
      <c r="G142" s="8" t="str">
        <f>IFERROR(__xludf.DUMMYFUNCTION("GOOGLETRANSLATE(E142,""zh-CN"",""vi"")"),"Nhấp đúp để sử dụng, tiến độ bộ sưu tập trang phục Garden - Masquerade +1")</f>
        <v>Nhấp đúp để sử dụng, tiến độ bộ sưu tập trang phục Garden - Masquerade +1</v>
      </c>
      <c r="H142" s="8"/>
      <c r="I142" s="8"/>
      <c r="J142" s="8"/>
    </row>
    <row r="143" ht="21.0" customHeight="1">
      <c r="A143" s="5">
        <v>16.0</v>
      </c>
      <c r="B143" s="6">
        <v>74.0</v>
      </c>
      <c r="C143" s="6">
        <v>1.0</v>
      </c>
      <c r="D143" s="7" t="s">
        <v>270</v>
      </c>
      <c r="E143" s="9" t="s">
        <v>271</v>
      </c>
      <c r="F143" s="8" t="str">
        <f>IFERROR(__xludf.DUMMYFUNCTION("GOOGLETRANSLATE(D143,""zh-CN"",""vi"")"),"máy bán hàng tự động")</f>
        <v>máy bán hàng tự động</v>
      </c>
      <c r="G143" s="8" t="str">
        <f>IFERROR(__xludf.DUMMYFUNCTION("GOOGLETRANSLATE(E143,""zh-CN"",""vi"")"),"Nhấp đúp để sử dụng, Cửa hàng - Bộ sưu tập giao diện máy bán hàng tự động - Tiến độ +1")</f>
        <v>Nhấp đúp để sử dụng, Cửa hàng - Bộ sưu tập giao diện máy bán hàng tự động - Tiến độ +1</v>
      </c>
      <c r="H143" s="8"/>
      <c r="I143" s="8"/>
      <c r="J143" s="8"/>
    </row>
    <row r="144" ht="21.0" customHeight="1">
      <c r="A144" s="5">
        <v>16.0</v>
      </c>
      <c r="B144" s="6">
        <v>75.0</v>
      </c>
      <c r="C144" s="6">
        <v>1.0</v>
      </c>
      <c r="D144" s="7" t="s">
        <v>272</v>
      </c>
      <c r="E144" s="9" t="s">
        <v>273</v>
      </c>
      <c r="F144" s="8" t="str">
        <f>IFERROR(__xludf.DUMMYFUNCTION("GOOGLETRANSLATE(D144,""zh-CN"",""vi"")"),"Hồ Sao")</f>
        <v>Hồ Sao</v>
      </c>
      <c r="G144" s="8" t="str">
        <f>IFERROR(__xludf.DUMMYFUNCTION("GOOGLETRANSLATE(E144,""zh-CN"",""vi"")"),"Nhấp đúp để sử dụng, Chai Hợp Đồng - Tiến độ thu thập trang phục Star Lake +1")</f>
        <v>Nhấp đúp để sử dụng, Chai Hợp Đồng - Tiến độ thu thập trang phục Star Lake +1</v>
      </c>
      <c r="H144" s="8"/>
      <c r="I144" s="8"/>
      <c r="J144" s="8"/>
    </row>
    <row r="145" ht="21.0" customHeight="1">
      <c r="A145" s="5">
        <v>16.0</v>
      </c>
      <c r="B145" s="6">
        <v>76.0</v>
      </c>
      <c r="C145" s="6">
        <v>1.0</v>
      </c>
      <c r="D145" s="7" t="s">
        <v>274</v>
      </c>
      <c r="E145" s="9" t="s">
        <v>275</v>
      </c>
      <c r="F145" s="8" t="str">
        <f>IFERROR(__xludf.DUMMYFUNCTION("GOOGLETRANSLATE(D145,""zh-CN"",""vi"")"),"Trại khảo cổ")</f>
        <v>Trại khảo cổ</v>
      </c>
      <c r="G145" s="8" t="str">
        <f>IFERROR(__xludf.DUMMYFUNCTION("GOOGLETRANSLATE(E145,""zh-CN"",""vi"")"),"Nhấp đúp chuột để sử dụng, tiến độ thu thập trang phục Sân trong - Trại khảo cổ +1")</f>
        <v>Nhấp đúp chuột để sử dụng, tiến độ thu thập trang phục Sân trong - Trại khảo cổ +1</v>
      </c>
      <c r="H145" s="8"/>
      <c r="I145" s="8"/>
      <c r="J145" s="8"/>
    </row>
    <row r="146" ht="21.0" customHeight="1">
      <c r="A146" s="5">
        <v>16.0</v>
      </c>
      <c r="B146" s="6">
        <v>77.0</v>
      </c>
      <c r="C146" s="6">
        <v>1.0</v>
      </c>
      <c r="D146" s="7" t="s">
        <v>276</v>
      </c>
      <c r="E146" s="9" t="s">
        <v>277</v>
      </c>
      <c r="F146" s="8" t="str">
        <f>IFERROR(__xludf.DUMMYFUNCTION("GOOGLETRANSLATE(D146,""zh-CN"",""vi"")"),"Ác quỷ nhỏ săn lùng trái tim")</f>
        <v>Ác quỷ nhỏ săn lùng trái tim</v>
      </c>
      <c r="G146" s="8" t="str">
        <f>IFERROR(__xludf.DUMMYFUNCTION("GOOGLETRANSLATE(E146,""zh-CN"",""vi"")"),"Nhấp đúp chuột để sử dụng, tiến độ thu thập trang phục Hyacinth - Hearthunter Little Devil +1")</f>
        <v>Nhấp đúp chuột để sử dụng, tiến độ thu thập trang phục Hyacinth - Hearthunter Little Devil +1</v>
      </c>
      <c r="H146" s="8"/>
      <c r="I146" s="8"/>
      <c r="J146" s="8"/>
    </row>
    <row r="147" ht="21.0" customHeight="1">
      <c r="A147" s="5">
        <v>16.0</v>
      </c>
      <c r="B147" s="6">
        <v>78.0</v>
      </c>
      <c r="C147" s="6">
        <v>1.0</v>
      </c>
      <c r="D147" s="7" t="s">
        <v>278</v>
      </c>
      <c r="E147" s="9" t="s">
        <v>279</v>
      </c>
      <c r="F147" s="8" t="str">
        <f>IFERROR(__xludf.DUMMYFUNCTION("GOOGLETRANSLATE(D147,""zh-CN"",""vi"")"),"Người phác thảo giấc mơ")</f>
        <v>Người phác thảo giấc mơ</v>
      </c>
      <c r="G147" s="8" t="str">
        <f>IFERROR(__xludf.DUMMYFUNCTION("GOOGLETRANSLATE(E147,""zh-CN"",""vi"")"),"Nhấp đúp để sử dụng, Berry Fruit - Dream Sketcher Skin Collection Progress +1")</f>
        <v>Nhấp đúp để sử dụng, Berry Fruit - Dream Sketcher Skin Collection Progress +1</v>
      </c>
      <c r="H147" s="8"/>
      <c r="I147" s="8"/>
      <c r="J147" s="8"/>
    </row>
    <row r="148" ht="21.0" customHeight="1">
      <c r="A148" s="5">
        <v>16.0</v>
      </c>
      <c r="B148" s="6">
        <v>79.0</v>
      </c>
      <c r="C148" s="6">
        <v>1.0</v>
      </c>
      <c r="D148" s="7" t="s">
        <v>280</v>
      </c>
      <c r="E148" s="9" t="s">
        <v>281</v>
      </c>
      <c r="F148" s="8" t="str">
        <f>IFERROR(__xludf.DUMMYFUNCTION("GOOGLETRANSLATE(D148,""zh-CN"",""vi"")"),"Nữ hoàng hoa trà")</f>
        <v>Nữ hoàng hoa trà</v>
      </c>
      <c r="G148" s="8" t="str">
        <f>IFERROR(__xludf.DUMMYFUNCTION("GOOGLETRANSLATE(E148,""zh-CN"",""vi"")"),"Nhấp đúp chuột để sử dụng, tiến độ bộ sưu tập trang phục Rose Scarlet - Camellia Queen +1")</f>
        <v>Nhấp đúp chuột để sử dụng, tiến độ bộ sưu tập trang phục Rose Scarlet - Camellia Queen +1</v>
      </c>
      <c r="H148" s="8"/>
      <c r="I148" s="8"/>
      <c r="J148" s="8"/>
    </row>
    <row r="149" ht="21.0" customHeight="1">
      <c r="A149" s="5">
        <v>16.0</v>
      </c>
      <c r="B149" s="6">
        <v>80.0</v>
      </c>
      <c r="C149" s="6">
        <v>1.0</v>
      </c>
      <c r="D149" s="7" t="s">
        <v>282</v>
      </c>
      <c r="E149" s="9" t="s">
        <v>283</v>
      </c>
      <c r="F149" s="8" t="str">
        <f>IFERROR(__xludf.DUMMYFUNCTION("GOOGLETRANSLATE(D149,""zh-CN"",""vi"")"),"Lễ hội pháo hoa")</f>
        <v>Lễ hội pháo hoa</v>
      </c>
      <c r="G149" s="8" t="str">
        <f>IFERROR(__xludf.DUMMYFUNCTION("GOOGLETRANSLATE(E149,""zh-CN"",""vi"")"),"Nhấp đúp để sử dụng, tiến độ bộ sưu tập trang phục Sân trong - Lễ hội pháo hoa +1")</f>
        <v>Nhấp đúp để sử dụng, tiến độ bộ sưu tập trang phục Sân trong - Lễ hội pháo hoa +1</v>
      </c>
      <c r="H149" s="8"/>
      <c r="I149" s="8"/>
      <c r="J149" s="8"/>
    </row>
    <row r="150" ht="21.0" customHeight="1">
      <c r="A150" s="5">
        <v>16.0</v>
      </c>
      <c r="B150" s="6">
        <v>81.0</v>
      </c>
      <c r="C150" s="6">
        <v>1.0</v>
      </c>
      <c r="D150" s="7" t="s">
        <v>284</v>
      </c>
      <c r="E150" s="9" t="s">
        <v>285</v>
      </c>
      <c r="F150" s="8" t="str">
        <f>IFERROR(__xludf.DUMMYFUNCTION("GOOGLETRANSLATE(D150,""zh-CN"",""vi"")"),"Tiệc bể bơi")</f>
        <v>Tiệc bể bơi</v>
      </c>
      <c r="G150" s="8" t="str">
        <f>IFERROR(__xludf.DUMMYFUNCTION("GOOGLETRANSLATE(E150,""zh-CN"",""vi"")"),"Nhấp đúp để sử dụng, tiến độ bộ sưu tập trang phục Garden - Pool Party +1")</f>
        <v>Nhấp đúp để sử dụng, tiến độ bộ sưu tập trang phục Garden - Pool Party +1</v>
      </c>
      <c r="H150" s="8"/>
      <c r="I150" s="8"/>
      <c r="J150" s="8"/>
    </row>
    <row r="151" ht="21.0" customHeight="1">
      <c r="A151" s="17">
        <v>16.0</v>
      </c>
      <c r="B151" s="18">
        <v>82.0</v>
      </c>
      <c r="C151" s="18">
        <v>1.0</v>
      </c>
      <c r="D151" s="19" t="s">
        <v>286</v>
      </c>
      <c r="E151" s="19" t="s">
        <v>287</v>
      </c>
      <c r="F151" s="8" t="str">
        <f>IFERROR(__xludf.DUMMYFUNCTION("GOOGLETRANSLATE(D151,""zh-CN"",""vi"")"),"Chân đế tuyết giá lạnh")</f>
        <v>Chân đế tuyết giá lạnh</v>
      </c>
      <c r="G151" s="8" t="str">
        <f>IFERROR(__xludf.DUMMYFUNCTION("GOOGLETRANSLATE(E151,""zh-CN"",""vi"")"),"Nhấp đúp để sử dụng; Tiến độ Bộ sưu tập Trang phục Cơ bản Tuyết Giá Lạnh +1")</f>
        <v>Nhấp đúp để sử dụng; Tiến độ Bộ sưu tập Trang phục Cơ bản Tuyết Giá Lạnh +1</v>
      </c>
      <c r="H151" s="20"/>
      <c r="I151" s="20"/>
      <c r="J151" s="20"/>
    </row>
    <row r="152" ht="21.0" customHeight="1">
      <c r="A152" s="17">
        <v>16.0</v>
      </c>
      <c r="B152" s="18">
        <v>83.0</v>
      </c>
      <c r="C152" s="18">
        <v>1.0</v>
      </c>
      <c r="D152" s="21" t="s">
        <v>288</v>
      </c>
      <c r="E152" s="19" t="s">
        <v>289</v>
      </c>
      <c r="F152" s="8" t="str">
        <f>IFERROR(__xludf.DUMMYFUNCTION("GOOGLETRANSLATE(D152,""zh-CN"",""vi"")"),"Giếng tuyết phủ sương giá")</f>
        <v>Giếng tuyết phủ sương giá</v>
      </c>
      <c r="G152" s="8" t="str">
        <f>IFERROR(__xludf.DUMMYFUNCTION("GOOGLETRANSLATE(E152,""zh-CN"",""vi"")"),"Nhấp đúp để sử dụng, tiến trình thu thập trang phục Giếng Tuyết Giá Lạnh +1")</f>
        <v>Nhấp đúp để sử dụng, tiến trình thu thập trang phục Giếng Tuyết Giá Lạnh +1</v>
      </c>
      <c r="H152" s="20"/>
      <c r="I152" s="20"/>
      <c r="J152" s="20"/>
    </row>
    <row r="153" ht="21.0" customHeight="1">
      <c r="A153" s="17">
        <v>16.0</v>
      </c>
      <c r="B153" s="18">
        <v>84.0</v>
      </c>
      <c r="C153" s="18">
        <v>1.0</v>
      </c>
      <c r="D153" s="19" t="s">
        <v>290</v>
      </c>
      <c r="E153" s="19" t="s">
        <v>291</v>
      </c>
      <c r="F153" s="8" t="str">
        <f>IFERROR(__xludf.DUMMYFUNCTION("GOOGLETRANSLATE(D153,""zh-CN"",""vi"")"),"Chiếc thìa phủ sương giá")</f>
        <v>Chiếc thìa phủ sương giá</v>
      </c>
      <c r="G153" s="8" t="str">
        <f>IFERROR(__xludf.DUMMYFUNCTION("GOOGLETRANSLATE(E153,""zh-CN"",""vi"")"),"Nhấp đúp để sử dụng, Tiến trình thu thập skin Muỗng Tuyết Giá - Frosty Snow +1")</f>
        <v>Nhấp đúp để sử dụng, Tiến trình thu thập skin Muỗng Tuyết Giá - Frosty Snow +1</v>
      </c>
      <c r="H153" s="20"/>
      <c r="I153" s="20"/>
      <c r="J153" s="20"/>
    </row>
    <row r="154" ht="21.0" customHeight="1">
      <c r="A154" s="17">
        <v>16.0</v>
      </c>
      <c r="B154" s="18">
        <v>85.0</v>
      </c>
      <c r="C154" s="18">
        <v>1.0</v>
      </c>
      <c r="D154" s="22" t="s">
        <v>292</v>
      </c>
      <c r="E154" s="19" t="s">
        <v>293</v>
      </c>
      <c r="F154" s="8" t="str">
        <f>IFERROR(__xludf.DUMMYFUNCTION("GOOGLETRANSLATE(D154,""zh-CN"",""vi"")"),"Chai Frost")</f>
        <v>Chai Frost</v>
      </c>
      <c r="G154" s="8" t="str">
        <f>IFERROR(__xludf.DUMMYFUNCTION("GOOGLETRANSLATE(E154,""zh-CN"",""vi"")"),"Nhấp đúp để sử dụng, Tiến độ thu thập skin Chai Hợp Đồng - Chai Băng Giá +1")</f>
        <v>Nhấp đúp để sử dụng, Tiến độ thu thập skin Chai Hợp Đồng - Chai Băng Giá +1</v>
      </c>
      <c r="H154" s="20"/>
      <c r="I154" s="20"/>
      <c r="J154" s="20"/>
    </row>
    <row r="155" ht="21.0" customHeight="1">
      <c r="A155" s="17">
        <v>16.0</v>
      </c>
      <c r="B155" s="18">
        <v>86.0</v>
      </c>
      <c r="C155" s="18">
        <v>1.0</v>
      </c>
      <c r="D155" s="22" t="s">
        <v>294</v>
      </c>
      <c r="E155" s="19" t="s">
        <v>295</v>
      </c>
      <c r="F155" s="8" t="str">
        <f>IFERROR(__xludf.DUMMYFUNCTION("GOOGLETRANSLATE(D155,""zh-CN"",""vi"")"),"Kiếm sĩ Quả bầu vàng")</f>
        <v>Kiếm sĩ Quả bầu vàng</v>
      </c>
      <c r="G155" s="8" t="str">
        <f>IFERROR(__xludf.DUMMYFUNCTION("GOOGLETRANSLATE(E155,""zh-CN"",""vi"")"),"Nhấp đúp chuột để sử dụng, và tiến độ thu thập trang phục ""Anh hùng Quả bầu Vàng"" cho trang phục ""Gấu Giàu Có"" sẽ tăng thêm 1.")</f>
        <v>Nhấp đúp chuột để sử dụng, và tiến độ thu thập trang phục "Anh hùng Quả bầu Vàng" cho trang phục "Gấu Giàu Có" sẽ tăng thêm 1.</v>
      </c>
      <c r="H155" s="20"/>
      <c r="I155" s="20"/>
      <c r="J155" s="20"/>
    </row>
    <row r="156" ht="21.0" customHeight="1">
      <c r="A156" s="5">
        <v>16.0</v>
      </c>
      <c r="B156" s="6">
        <v>87.0</v>
      </c>
      <c r="C156" s="6">
        <v>1.0</v>
      </c>
      <c r="D156" s="7" t="s">
        <v>296</v>
      </c>
      <c r="E156" s="9" t="s">
        <v>297</v>
      </c>
      <c r="F156" s="8" t="str">
        <f>IFERROR(__xludf.DUMMYFUNCTION("GOOGLETRANSLATE(D156,""zh-CN"",""vi"")"),"Trăng Đỏ Bí Ẩn")</f>
        <v>Trăng Đỏ Bí Ẩn</v>
      </c>
      <c r="G156" s="8" t="str">
        <f>IFERROR(__xludf.DUMMYFUNCTION("GOOGLETRANSLATE(E156,""zh-CN"",""vi"")"),"Nhấp đúp để sử dụng, tiến độ bộ sưu tập trang phục Sân trong - Trăng Đỏ Huyền Bí +1")</f>
        <v>Nhấp đúp để sử dụng, tiến độ bộ sưu tập trang phục Sân trong - Trăng Đỏ Huyền Bí +1</v>
      </c>
      <c r="H156" s="8"/>
      <c r="I156" s="8"/>
      <c r="J156" s="8"/>
    </row>
    <row r="157" ht="21.0" customHeight="1">
      <c r="A157" s="5">
        <v>16.0</v>
      </c>
      <c r="B157" s="6">
        <v>88.0</v>
      </c>
      <c r="C157" s="6">
        <v>1.0</v>
      </c>
      <c r="D157" s="7" t="s">
        <v>298</v>
      </c>
      <c r="E157" s="9" t="s">
        <v>299</v>
      </c>
      <c r="F157" s="8" t="str">
        <f>IFERROR(__xludf.DUMMYFUNCTION("GOOGLETRANSLATE(D157,""zh-CN"",""vi"")"),"Sứ giả tai thỏ")</f>
        <v>Sứ giả tai thỏ</v>
      </c>
      <c r="G157" s="8" t="str">
        <f>IFERROR(__xludf.DUMMYFUNCTION("GOOGLETRANSLATE(E157,""zh-CN"",""vi"")"),"Nhấp đúp để sử dụng, tiến độ bộ sưu tập trang phục Loinin - Rabbit Ear Messenger +1")</f>
        <v>Nhấp đúp để sử dụng, tiến độ bộ sưu tập trang phục Loinin - Rabbit Ear Messenger +1</v>
      </c>
      <c r="H157" s="8"/>
      <c r="I157" s="8"/>
      <c r="J157" s="8"/>
    </row>
    <row r="158" ht="21.0" customHeight="1">
      <c r="A158" s="5">
        <v>16.0</v>
      </c>
      <c r="B158" s="6">
        <v>89.0</v>
      </c>
      <c r="C158" s="6">
        <v>1.0</v>
      </c>
      <c r="D158" s="7" t="s">
        <v>300</v>
      </c>
      <c r="E158" s="9" t="s">
        <v>301</v>
      </c>
      <c r="F158" s="8" t="str">
        <f>IFERROR(__xludf.DUMMYFUNCTION("GOOGLETRANSLATE(D158,""zh-CN"",""vi"")"),"quý ông đội mũ trắng")</f>
        <v>quý ông đội mũ trắng</v>
      </c>
      <c r="G158" s="8" t="str">
        <f>IFERROR(__xludf.DUMMYFUNCTION("GOOGLETRANSLATE(E158,""zh-CN"",""vi"")"),"Nhấp đúp để sử dụng, tiến độ bộ sưu tập trang phục Quý ông Mũ Trắng của Wang Ruirui +1")</f>
        <v>Nhấp đúp để sử dụng, tiến độ bộ sưu tập trang phục Quý ông Mũ Trắng của Wang Ruirui +1</v>
      </c>
      <c r="H158" s="8"/>
      <c r="I158" s="8"/>
      <c r="J158" s="8"/>
    </row>
    <row r="159" ht="21.0" customHeight="1">
      <c r="A159" s="5">
        <v>16.0</v>
      </c>
      <c r="B159" s="6">
        <v>90.0</v>
      </c>
      <c r="C159" s="6">
        <v>1.0</v>
      </c>
      <c r="D159" s="7" t="s">
        <v>302</v>
      </c>
      <c r="E159" s="9" t="s">
        <v>303</v>
      </c>
      <c r="F159" s="8" t="str">
        <f>IFERROR(__xludf.DUMMYFUNCTION("GOOGLETRANSLATE(D159,""zh-CN"",""vi"")"),"Cùng nhau ăn mừng lễ hội")</f>
        <v>Cùng nhau ăn mừng lễ hội</v>
      </c>
      <c r="G159" s="8" t="str">
        <f>IFERROR(__xludf.DUMMYFUNCTION("GOOGLETRANSLATE(E159,""zh-CN"",""vi"")"),"Nhấp đúp chuột để sử dụng, Courtyard - Bộ sưu tập trang phục Lễ hội - Tiến độ +1")</f>
        <v>Nhấp đúp chuột để sử dụng, Courtyard - Bộ sưu tập trang phục Lễ hội - Tiến độ +1</v>
      </c>
      <c r="H159" s="8"/>
      <c r="I159" s="8"/>
      <c r="J159" s="8"/>
    </row>
    <row r="160" ht="21.0" customHeight="1">
      <c r="A160" s="5">
        <v>16.0</v>
      </c>
      <c r="B160" s="6">
        <v>91.0</v>
      </c>
      <c r="C160" s="6">
        <v>1.0</v>
      </c>
      <c r="D160" s="7" t="s">
        <v>304</v>
      </c>
      <c r="E160" s="9" t="s">
        <v>305</v>
      </c>
      <c r="F160" s="8" t="str">
        <f>IFERROR(__xludf.DUMMYFUNCTION("GOOGLETRANSLATE(D160,""zh-CN"",""vi"")"),"Quack quack")</f>
        <v>Quack quack</v>
      </c>
      <c r="G160" s="8" t="str">
        <f>IFERROR(__xludf.DUMMYFUNCTION("GOOGLETRANSLATE(E160,""zh-CN"",""vi"")"),"Nhấp đúp để sử dụng, Gà Đĩa Lớn - Tiến độ thu thập trang phục Guaji Guaji +1")</f>
        <v>Nhấp đúp để sử dụng, Gà Đĩa Lớn - Tiến độ thu thập trang phục Guaji Guaji +1</v>
      </c>
      <c r="H160" s="8"/>
      <c r="I160" s="8"/>
      <c r="J160" s="8"/>
    </row>
    <row r="161" ht="21.0" customHeight="1">
      <c r="A161" s="5">
        <v>16.0</v>
      </c>
      <c r="B161" s="6">
        <v>92.0</v>
      </c>
      <c r="C161" s="6">
        <v>1.0</v>
      </c>
      <c r="D161" s="23" t="s">
        <v>306</v>
      </c>
      <c r="E161" s="9" t="s">
        <v>307</v>
      </c>
      <c r="F161" s="8" t="str">
        <f>IFERROR(__xludf.DUMMYFUNCTION("GOOGLETRANSLATE(D161,""zh-CN"",""vi"")"),"Chương trình biểu diễn trực tiếp thủ công hình thỏ dễ thương")</f>
        <v>Chương trình biểu diễn trực tiếp thủ công hình thỏ dễ thương</v>
      </c>
      <c r="G161" s="8" t="str">
        <f>IFERROR(__xludf.DUMMYFUNCTION("GOOGLETRANSLATE(E161,""zh-CN"",""vi"")"),"Nhấp đúp để sử dụng, tiến độ bộ sưu tập trang phục Courtyard - Cute Bunny Handmade Live Show +1")</f>
        <v>Nhấp đúp để sử dụng, tiến độ bộ sưu tập trang phục Courtyard - Cute Bunny Handmade Live Show +1</v>
      </c>
      <c r="H161" s="8"/>
      <c r="I161" s="8"/>
      <c r="J161" s="8"/>
    </row>
    <row r="162" ht="21.0" customHeight="1">
      <c r="A162" s="5">
        <v>16.0</v>
      </c>
      <c r="B162" s="6">
        <v>93.0</v>
      </c>
      <c r="C162" s="6">
        <v>1.0</v>
      </c>
      <c r="D162" s="23" t="s">
        <v>308</v>
      </c>
      <c r="E162" s="9" t="s">
        <v>309</v>
      </c>
      <c r="F162" s="8" t="str">
        <f>IFERROR(__xludf.DUMMYFUNCTION("GOOGLETRANSLATE(D162,""zh-CN"",""vi"")"),"Lâu đài Băng và Tuyết")</f>
        <v>Lâu đài Băng và Tuyết</v>
      </c>
      <c r="G162" s="8" t="str">
        <f>IFERROR(__xludf.DUMMYFUNCTION("GOOGLETRANSLATE(E162,""zh-CN"",""vi"")"),"Nhấp đúp chuột để sử dụng, tiến độ thu thập trang phục Courtyard - Ice and Snow Manor +1")</f>
        <v>Nhấp đúp chuột để sử dụng, tiến độ thu thập trang phục Courtyard - Ice and Snow Manor +1</v>
      </c>
      <c r="H162" s="8"/>
      <c r="I162" s="8"/>
      <c r="J162" s="8"/>
    </row>
    <row r="163" ht="21.0" customHeight="1">
      <c r="A163" s="5">
        <v>16.0</v>
      </c>
      <c r="B163" s="6">
        <v>1.0</v>
      </c>
      <c r="C163" s="6">
        <v>1.0</v>
      </c>
      <c r="D163" s="7" t="s">
        <v>310</v>
      </c>
      <c r="E163" s="9" t="s">
        <v>311</v>
      </c>
      <c r="F163" s="8" t="str">
        <f>IFERROR(__xludf.DUMMYFUNCTION("GOOGLETRANSLATE(D163,""zh-CN"",""vi"")"),"Những niềm vui nhỏ bé bên bờ biển")</f>
        <v>Những niềm vui nhỏ bé bên bờ biển</v>
      </c>
      <c r="G163" s="8" t="str">
        <f>IFERROR(__xludf.DUMMYFUNCTION("GOOGLETRANSLATE(E163,""zh-CN"",""vi"")"),"Nhấp đúp để sử dụng, tiến độ bộ sưu tập giao diện Garden - Seaside Little Joys +1")</f>
        <v>Nhấp đúp để sử dụng, tiến độ bộ sưu tập giao diện Garden - Seaside Little Joys +1</v>
      </c>
      <c r="H163" s="8"/>
      <c r="I163" s="8"/>
      <c r="J163" s="8"/>
    </row>
    <row r="164" ht="21.0" customHeight="1">
      <c r="A164" s="5">
        <v>16.0</v>
      </c>
      <c r="B164" s="6">
        <v>1.0</v>
      </c>
      <c r="C164" s="6">
        <v>1.0</v>
      </c>
      <c r="D164" s="7" t="s">
        <v>312</v>
      </c>
      <c r="E164" s="9" t="s">
        <v>313</v>
      </c>
      <c r="F164" s="8" t="str">
        <f>IFERROR(__xludf.DUMMYFUNCTION("GOOGLETRANSLATE(D164,""zh-CN"",""vi"")"),"Gấu Ngôi Sao Giáng Sinh")</f>
        <v>Gấu Ngôi Sao Giáng Sinh</v>
      </c>
      <c r="G164" s="8" t="str">
        <f>IFERROR(__xludf.DUMMYFUNCTION("GOOGLETRANSLATE(E164,""zh-CN"",""vi"")"),"Nhấp đúp chuột để sử dụng, và tiến độ thu thập trang phục ""Rich Bear - Christmas Star Bear Cub"" của bạn sẽ tăng thêm 1.")</f>
        <v>Nhấp đúp chuột để sử dụng, và tiến độ thu thập trang phục "Rich Bear - Christmas Star Bear Cub" của bạn sẽ tăng thêm 1.</v>
      </c>
      <c r="H164" s="8"/>
      <c r="I164" s="8"/>
      <c r="J164" s="8"/>
    </row>
    <row r="165" ht="21.0" customHeight="1">
      <c r="A165" s="5">
        <v>16.0</v>
      </c>
      <c r="B165" s="6">
        <v>1.0</v>
      </c>
      <c r="C165" s="6">
        <v>1.0</v>
      </c>
      <c r="D165" s="7" t="s">
        <v>314</v>
      </c>
      <c r="E165" s="9" t="s">
        <v>315</v>
      </c>
      <c r="F165" s="8" t="str">
        <f>IFERROR(__xludf.DUMMYFUNCTION("GOOGLETRANSLATE(D165,""zh-CN"",""vi"")"),"Cuộc phiêu lưu toàn cầu của chú cáo nhỏ")</f>
        <v>Cuộc phiêu lưu toàn cầu của chú cáo nhỏ</v>
      </c>
      <c r="G165" s="8" t="str">
        <f>IFERROR(__xludf.DUMMYFUNCTION("GOOGLETRANSLATE(E165,""zh-CN"",""vi"")"),"Nhấp đúp chuột để sử dụng, tăng tiến độ thu thập trang phục Global Drifting của Little Fox lên 1.")</f>
        <v>Nhấp đúp chuột để sử dụng, tăng tiến độ thu thập trang phục Global Drifting của Little Fox lên 1.</v>
      </c>
      <c r="H165" s="8"/>
      <c r="I165" s="8"/>
      <c r="J165" s="8"/>
    </row>
    <row r="166" ht="21.0" customHeight="1">
      <c r="A166" s="5">
        <v>5.0</v>
      </c>
      <c r="B166" s="6">
        <v>532.0</v>
      </c>
      <c r="C166" s="6">
        <v>1.0</v>
      </c>
      <c r="D166" s="16" t="s">
        <v>316</v>
      </c>
      <c r="E166" s="9" t="s">
        <v>317</v>
      </c>
      <c r="F166" s="8" t="str">
        <f>IFERROR(__xludf.DUMMYFUNCTION("GOOGLETRANSLATE(D166,""zh-CN"",""vi"")"),"Gói quà tặng chăm sóc da khách hàng")</f>
        <v>Gói quà tặng chăm sóc da khách hàng</v>
      </c>
      <c r="G166" s="8" t="str">
        <f>IFERROR(__xludf.DUMMYFUNCTION("GOOGLETRANSLATE(E166,""zh-CN"",""vi"")"),"Nhấp đúp chuột sẽ tạo ngẫu nhiên các vật phẩm trang phục cho khách hàng.")</f>
        <v>Nhấp đúp chuột sẽ tạo ngẫu nhiên các vật phẩm trang phục cho khách hàng.</v>
      </c>
      <c r="H166" s="8"/>
      <c r="I166" s="8"/>
      <c r="J166" s="8"/>
    </row>
    <row r="167" ht="21.0" customHeight="1">
      <c r="A167" s="5">
        <v>5.0</v>
      </c>
      <c r="B167" s="6">
        <v>532.0</v>
      </c>
      <c r="C167" s="6">
        <v>1.0</v>
      </c>
      <c r="D167" s="16" t="s">
        <v>318</v>
      </c>
      <c r="E167" s="9" t="s">
        <v>319</v>
      </c>
      <c r="F167" s="8" t="str">
        <f>IFERROR(__xludf.DUMMYFUNCTION("GOOGLETRANSLATE(D167,""zh-CN"",""vi"")"),"Bộ quà tặng Elf Skin")</f>
        <v>Bộ quà tặng Elf Skin</v>
      </c>
      <c r="G167" s="8" t="str">
        <f>IFERROR(__xludf.DUMMYFUNCTION("GOOGLETRANSLATE(E167,""zh-CN"",""vi"")"),"Nhấp đúp chuột sẽ cho bạn cơ hội nhận được vật phẩm trang phục linh hồn.")</f>
        <v>Nhấp đúp chuột sẽ cho bạn cơ hội nhận được vật phẩm trang phục linh hồn.</v>
      </c>
      <c r="H167" s="8"/>
      <c r="I167" s="8"/>
      <c r="J167" s="8"/>
    </row>
    <row r="168" ht="21.0" customHeight="1">
      <c r="A168" s="5">
        <v>5.0</v>
      </c>
      <c r="B168" s="6">
        <v>532.0</v>
      </c>
      <c r="C168" s="6">
        <v>1.0</v>
      </c>
      <c r="D168" s="16" t="s">
        <v>320</v>
      </c>
      <c r="E168" s="9" t="s">
        <v>321</v>
      </c>
      <c r="F168" s="8" t="str">
        <f>IFERROR(__xludf.DUMMYFUNCTION("GOOGLETRANSLATE(D168,""zh-CN"",""vi"")"),"Bộ quà tặng Courtyard Skin")</f>
        <v>Bộ quà tặng Courtyard Skin</v>
      </c>
      <c r="G168" s="8" t="str">
        <f>IFERROR(__xludf.DUMMYFUNCTION("GOOGLETRANSLATE(E168,""zh-CN"",""vi"")"),"Nhấp đúp chuột sẽ cho bạn cơ hội nhận được các vật phẩm trang trí sân trong.")</f>
        <v>Nhấp đúp chuột sẽ cho bạn cơ hội nhận được các vật phẩm trang trí sân trong.</v>
      </c>
      <c r="H168" s="8"/>
      <c r="I168" s="8"/>
      <c r="J168" s="8"/>
    </row>
    <row r="169" ht="21.0" customHeight="1">
      <c r="A169" s="12">
        <v>5.0</v>
      </c>
      <c r="B169" s="13">
        <v>532.0</v>
      </c>
      <c r="C169" s="13">
        <v>1.0</v>
      </c>
      <c r="D169" s="10" t="s">
        <v>322</v>
      </c>
      <c r="E169" s="11" t="s">
        <v>323</v>
      </c>
      <c r="F169" s="8" t="str">
        <f>IFERROR(__xludf.DUMMYFUNCTION("GOOGLETRANSLATE(D169,""zh-CN"",""vi"")"),"Hộp quà kẹo")</f>
        <v>Hộp quà kẹo</v>
      </c>
      <c r="G169" s="8" t="str">
        <f>IFERROR(__xludf.DUMMYFUNCTION("GOOGLETRANSLATE(E169,""zh-CN"",""vi"")"),"Nhấp đúp chuột sẽ tạo ra nhiều vật phẩm khác nhau với một xác suất nhất định.")</f>
        <v>Nhấp đúp chuột sẽ tạo ra nhiều vật phẩm khác nhau với một xác suất nhất định.</v>
      </c>
      <c r="H169" s="14"/>
      <c r="I169" s="14"/>
      <c r="J169" s="14"/>
    </row>
    <row r="170" ht="21.0" customHeight="1">
      <c r="A170" s="24">
        <v>20.0</v>
      </c>
      <c r="B170" s="25">
        <v>532.0</v>
      </c>
      <c r="C170" s="25">
        <v>1.0</v>
      </c>
      <c r="D170" s="26" t="s">
        <v>324</v>
      </c>
      <c r="E170" s="11" t="s">
        <v>325</v>
      </c>
      <c r="F170" s="8" t="str">
        <f>IFERROR(__xludf.DUMMYFUNCTION("GOOGLETRANSLATE(D170,""zh-CN"",""vi"")"),"Bộ quà tặng trang điểm của Mei")</f>
        <v>Bộ quà tặng trang điểm của Mei</v>
      </c>
      <c r="G170" s="8" t="str">
        <f>IFERROR(__xludf.DUMMYFUNCTION("GOOGLETRANSLATE(E170,""zh-CN"",""vi"")"),"Nhấp đúp chuột để mở, chọn phần thưởng, sau đó nhấp vào ô để tạo phần thưởng đã chọn.")</f>
        <v>Nhấp đúp chuột để mở, chọn phần thưởng, sau đó nhấp vào ô để tạo phần thưởng đã chọn.</v>
      </c>
      <c r="H170" s="27"/>
      <c r="I170" s="27"/>
      <c r="J170" s="27"/>
    </row>
    <row r="171" ht="21.0" customHeight="1">
      <c r="A171" s="24">
        <v>20.0</v>
      </c>
      <c r="B171" s="25">
        <v>532.0</v>
      </c>
      <c r="C171" s="25">
        <v>1.0</v>
      </c>
      <c r="D171" s="26" t="s">
        <v>326</v>
      </c>
      <c r="E171" s="11" t="s">
        <v>325</v>
      </c>
      <c r="F171" s="8" t="str">
        <f>IFERROR(__xludf.DUMMYFUNCTION("GOOGLETRANSLATE(D171,""zh-CN"",""vi"")"),"Bộ quà tặng Mei Skin")</f>
        <v>Bộ quà tặng Mei Skin</v>
      </c>
      <c r="G171" s="8" t="str">
        <f>IFERROR(__xludf.DUMMYFUNCTION("GOOGLETRANSLATE(E171,""zh-CN"",""vi"")"),"Nhấp đúp chuột để mở, chọn phần thưởng, sau đó nhấp vào ô để tạo phần thưởng đã chọn.")</f>
        <v>Nhấp đúp chuột để mở, chọn phần thưởng, sau đó nhấp vào ô để tạo phần thưởng đã chọn.</v>
      </c>
      <c r="H171" s="27"/>
      <c r="I171" s="27"/>
      <c r="J171" s="27"/>
    </row>
    <row r="172" ht="21.0" customHeight="1">
      <c r="A172" s="24">
        <v>20.0</v>
      </c>
      <c r="B172" s="25">
        <v>532.0</v>
      </c>
      <c r="C172" s="25">
        <v>1.0</v>
      </c>
      <c r="D172" s="26" t="s">
        <v>318</v>
      </c>
      <c r="E172" s="11" t="s">
        <v>325</v>
      </c>
      <c r="F172" s="8" t="str">
        <f>IFERROR(__xludf.DUMMYFUNCTION("GOOGLETRANSLATE(D172,""zh-CN"",""vi"")"),"Bộ quà tặng Elf Skin")</f>
        <v>Bộ quà tặng Elf Skin</v>
      </c>
      <c r="G172" s="8" t="str">
        <f>IFERROR(__xludf.DUMMYFUNCTION("GOOGLETRANSLATE(E172,""zh-CN"",""vi"")"),"Nhấp đúp chuột để mở, chọn phần thưởng, sau đó nhấp vào ô để tạo phần thưởng đã chọn.")</f>
        <v>Nhấp đúp chuột để mở, chọn phần thưởng, sau đó nhấp vào ô để tạo phần thưởng đã chọn.</v>
      </c>
      <c r="H172" s="27"/>
      <c r="I172" s="27"/>
      <c r="J172" s="27"/>
    </row>
    <row r="173" ht="21.0" customHeight="1">
      <c r="A173" s="24">
        <v>20.0</v>
      </c>
      <c r="B173" s="25">
        <v>532.0</v>
      </c>
      <c r="C173" s="25">
        <v>1.0</v>
      </c>
      <c r="D173" s="26" t="s">
        <v>327</v>
      </c>
      <c r="E173" s="11" t="s">
        <v>325</v>
      </c>
      <c r="F173" s="8" t="str">
        <f>IFERROR(__xludf.DUMMYFUNCTION("GOOGLETRANSLATE(D173,""zh-CN"",""vi"")"),"Gói quà cảm ơn của Xiao Mei")</f>
        <v>Gói quà cảm ơn của Xiao Mei</v>
      </c>
      <c r="G173" s="8" t="str">
        <f>IFERROR(__xludf.DUMMYFUNCTION("GOOGLETRANSLATE(E173,""zh-CN"",""vi"")"),"Nhấp đúp chuột để mở, chọn phần thưởng, sau đó nhấp vào ô để tạo phần thưởng đã chọn.")</f>
        <v>Nhấp đúp chuột để mở, chọn phần thưởng, sau đó nhấp vào ô để tạo phần thưởng đã chọn.</v>
      </c>
      <c r="H173" s="27"/>
      <c r="I173" s="27"/>
      <c r="J173" s="27"/>
    </row>
    <row r="174" ht="21.0" customHeight="1">
      <c r="A174" s="5">
        <v>5.0</v>
      </c>
      <c r="B174" s="6">
        <v>532.0</v>
      </c>
      <c r="C174" s="6">
        <v>1.0</v>
      </c>
      <c r="D174" s="16" t="s">
        <v>328</v>
      </c>
      <c r="E174" s="9" t="s">
        <v>329</v>
      </c>
      <c r="F174" s="8" t="str">
        <f>IFERROR(__xludf.DUMMYFUNCTION("GOOGLETRANSLATE(D174,""zh-CN"",""vi"")"),"Gói trang phục phiêu lưu của yêu tinh")</f>
        <v>Gói trang phục phiêu lưu của yêu tinh</v>
      </c>
      <c r="G174" s="8" t="str">
        <f>IFERROR(__xludf.DUMMYFUNCTION("GOOGLETRANSLATE(E174,""zh-CN"",""vi"")"),"Nhấp đúp chuột sẽ cho bạn cơ hội nhận được các vật phẩm trang phục.")</f>
        <v>Nhấp đúp chuột sẽ cho bạn cơ hội nhận được các vật phẩm trang phục.</v>
      </c>
      <c r="H174" s="8"/>
      <c r="I174" s="8"/>
      <c r="J174" s="8"/>
    </row>
    <row r="175" ht="21.0" customHeight="1">
      <c r="A175" s="24">
        <v>20.0</v>
      </c>
      <c r="B175" s="25">
        <v>532.0</v>
      </c>
      <c r="C175" s="25">
        <v>1.0</v>
      </c>
      <c r="D175" s="26" t="s">
        <v>324</v>
      </c>
      <c r="E175" s="11" t="s">
        <v>325</v>
      </c>
      <c r="F175" s="8" t="str">
        <f>IFERROR(__xludf.DUMMYFUNCTION("GOOGLETRANSLATE(D175,""zh-CN"",""vi"")"),"Bộ quà tặng trang điểm của Mei")</f>
        <v>Bộ quà tặng trang điểm của Mei</v>
      </c>
      <c r="G175" s="8" t="str">
        <f>IFERROR(__xludf.DUMMYFUNCTION("GOOGLETRANSLATE(E175,""zh-CN"",""vi"")"),"Nhấp đúp chuột để mở, chọn phần thưởng, sau đó nhấp vào ô để tạo phần thưởng đã chọn.")</f>
        <v>Nhấp đúp chuột để mở, chọn phần thưởng, sau đó nhấp vào ô để tạo phần thưởng đã chọn.</v>
      </c>
      <c r="H175" s="27"/>
      <c r="I175" s="27"/>
      <c r="J175" s="27"/>
    </row>
    <row r="176" ht="21.0" customHeight="1">
      <c r="A176" s="24">
        <v>20.0</v>
      </c>
      <c r="B176" s="25">
        <v>532.0</v>
      </c>
      <c r="C176" s="25">
        <v>1.0</v>
      </c>
      <c r="D176" s="26" t="s">
        <v>326</v>
      </c>
      <c r="E176" s="11" t="s">
        <v>325</v>
      </c>
      <c r="F176" s="8" t="str">
        <f>IFERROR(__xludf.DUMMYFUNCTION("GOOGLETRANSLATE(D176,""zh-CN"",""vi"")"),"Bộ quà tặng Mei Skin")</f>
        <v>Bộ quà tặng Mei Skin</v>
      </c>
      <c r="G176" s="8" t="str">
        <f>IFERROR(__xludf.DUMMYFUNCTION("GOOGLETRANSLATE(E176,""zh-CN"",""vi"")"),"Nhấp đúp chuột để mở, chọn phần thưởng, sau đó nhấp vào ô để tạo phần thưởng đã chọn.")</f>
        <v>Nhấp đúp chuột để mở, chọn phần thưởng, sau đó nhấp vào ô để tạo phần thưởng đã chọn.</v>
      </c>
      <c r="H176" s="27"/>
      <c r="I176" s="27"/>
      <c r="J176" s="27"/>
    </row>
    <row r="177" ht="21.0" customHeight="1">
      <c r="A177" s="24">
        <v>20.0</v>
      </c>
      <c r="B177" s="25">
        <v>532.0</v>
      </c>
      <c r="C177" s="25">
        <v>1.0</v>
      </c>
      <c r="D177" s="26" t="s">
        <v>318</v>
      </c>
      <c r="E177" s="11" t="s">
        <v>325</v>
      </c>
      <c r="F177" s="8" t="str">
        <f>IFERROR(__xludf.DUMMYFUNCTION("GOOGLETRANSLATE(D177,""zh-CN"",""vi"")"),"Bộ quà tặng Elf Skin")</f>
        <v>Bộ quà tặng Elf Skin</v>
      </c>
      <c r="G177" s="8" t="str">
        <f>IFERROR(__xludf.DUMMYFUNCTION("GOOGLETRANSLATE(E177,""zh-CN"",""vi"")"),"Nhấp đúp chuột để mở, chọn phần thưởng, sau đó nhấp vào ô để tạo phần thưởng đã chọn.")</f>
        <v>Nhấp đúp chuột để mở, chọn phần thưởng, sau đó nhấp vào ô để tạo phần thưởng đã chọn.</v>
      </c>
      <c r="H177" s="27"/>
      <c r="I177" s="27"/>
      <c r="J177" s="27"/>
    </row>
    <row r="178" ht="21.0" customHeight="1">
      <c r="A178" s="24">
        <v>20.0</v>
      </c>
      <c r="B178" s="25">
        <v>532.0</v>
      </c>
      <c r="C178" s="25">
        <v>1.0</v>
      </c>
      <c r="D178" s="26" t="s">
        <v>327</v>
      </c>
      <c r="E178" s="11" t="s">
        <v>325</v>
      </c>
      <c r="F178" s="8" t="str">
        <f>IFERROR(__xludf.DUMMYFUNCTION("GOOGLETRANSLATE(D178,""zh-CN"",""vi"")"),"Gói quà cảm ơn của Xiao Mei")</f>
        <v>Gói quà cảm ơn của Xiao Mei</v>
      </c>
      <c r="G178" s="8" t="str">
        <f>IFERROR(__xludf.DUMMYFUNCTION("GOOGLETRANSLATE(E178,""zh-CN"",""vi"")"),"Nhấp đúp chuột để mở, chọn phần thưởng, sau đó nhấp vào ô để tạo phần thưởng đã chọn.")</f>
        <v>Nhấp đúp chuột để mở, chọn phần thưởng, sau đó nhấp vào ô để tạo phần thưởng đã chọn.</v>
      </c>
      <c r="H178" s="27"/>
      <c r="I178" s="27"/>
      <c r="J178" s="27"/>
    </row>
    <row r="179" ht="21.0" customHeight="1">
      <c r="A179" s="24">
        <v>14.0</v>
      </c>
      <c r="B179" s="25">
        <v>1.0</v>
      </c>
      <c r="C179" s="25">
        <v>1.0</v>
      </c>
      <c r="D179" s="26" t="s">
        <v>330</v>
      </c>
      <c r="E179" s="11" t="s">
        <v>331</v>
      </c>
      <c r="F179" s="8" t="str">
        <f>IFERROR(__xludf.DUMMYFUNCTION("GOOGLETRANSLATE(D179,""zh-CN"",""vi"")"),"Bộ quà tặng cao cấp tuyệt đỉnh của Xiao Mei")</f>
        <v>Bộ quà tặng cao cấp tuyệt đỉnh của Xiao Mei</v>
      </c>
      <c r="G179" s="8" t="str">
        <f>IFERROR(__xludf.DUMMYFUNCTION("GOOGLETRANSLATE(E179,""zh-CN"",""vi"")"),"Nhấp đúp chuột sẽ giúp bạn nhận được 4 Khóa Ngọc, có thể đổi lấy một trang phục tùy chọn trong Cửa hàng Đá Sao - mục Đổi đồ.")</f>
        <v>Nhấp đúp chuột sẽ giúp bạn nhận được 4 Khóa Ngọc, có thể đổi lấy một trang phục tùy chọn trong Cửa hàng Đá Sao - mục Đổi đồ.</v>
      </c>
      <c r="H179" s="27"/>
      <c r="I179" s="27"/>
      <c r="J179" s="27"/>
    </row>
    <row r="180" ht="21.0" customHeight="1">
      <c r="A180" s="24">
        <v>14.0</v>
      </c>
      <c r="B180" s="25">
        <v>1.0</v>
      </c>
      <c r="C180" s="25">
        <v>1.0</v>
      </c>
      <c r="D180" s="26" t="s">
        <v>332</v>
      </c>
      <c r="E180" s="11" t="s">
        <v>333</v>
      </c>
      <c r="F180" s="8" t="str">
        <f>IFERROR(__xludf.DUMMYFUNCTION("GOOGLETRANSLATE(D180,""zh-CN"",""vi"")"),"Bộ quà tặng tuyệt đỉnh của Xiao Mei")</f>
        <v>Bộ quà tặng tuyệt đỉnh của Xiao Mei</v>
      </c>
      <c r="G180" s="8" t="str">
        <f>IFERROR(__xludf.DUMMYFUNCTION("GOOGLETRANSLATE(E180,""zh-CN"",""vi"")"),"Nhấp đúp chuột sẽ giúp bạn nhận được 3 Khóa Ngọc, có thể dùng để đổi lấy trang phục tùy chọn trong Cửa hàng Đá Sao - mục Đổi đồ.")</f>
        <v>Nhấp đúp chuột sẽ giúp bạn nhận được 3 Khóa Ngọc, có thể dùng để đổi lấy trang phục tùy chọn trong Cửa hàng Đá Sao - mục Đổi đồ.</v>
      </c>
      <c r="H180" s="27"/>
      <c r="I180" s="27"/>
      <c r="J180" s="27"/>
    </row>
    <row r="181" ht="21.0" customHeight="1">
      <c r="A181" s="24">
        <v>14.0</v>
      </c>
      <c r="B181" s="25">
        <v>1.0</v>
      </c>
      <c r="C181" s="25">
        <v>1.0</v>
      </c>
      <c r="D181" s="26" t="s">
        <v>334</v>
      </c>
      <c r="E181" s="11" t="s">
        <v>335</v>
      </c>
      <c r="F181" s="8" t="str">
        <f>IFERROR(__xludf.DUMMYFUNCTION("GOOGLETRANSLATE(D181,""zh-CN"",""vi"")"),"Bộ quà tặng của Tiểu Mai Vương")</f>
        <v>Bộ quà tặng của Tiểu Mai Vương</v>
      </c>
      <c r="G181" s="8" t="str">
        <f>IFERROR(__xludf.DUMMYFUNCTION("GOOGLETRANSLATE(E181,""zh-CN"",""vi"")"),"Nhấp đúp chuột sẽ giúp bạn nhận được 2 Khóa Ngọc, có thể đổi lấy trang phục tùy chọn trong Cửa hàng Đá Sao - mục Đổi đồ.")</f>
        <v>Nhấp đúp chuột sẽ giúp bạn nhận được 2 Khóa Ngọc, có thể đổi lấy trang phục tùy chọn trong Cửa hàng Đá Sao - mục Đổi đồ.</v>
      </c>
      <c r="H181" s="27"/>
      <c r="I181" s="27"/>
      <c r="J181" s="27"/>
    </row>
    <row r="182" ht="21.0" customHeight="1">
      <c r="A182" s="5">
        <v>1.0</v>
      </c>
      <c r="B182" s="6">
        <v>103.0</v>
      </c>
      <c r="C182" s="6">
        <v>1.0</v>
      </c>
      <c r="D182" s="7" t="s">
        <v>336</v>
      </c>
      <c r="E182" s="9" t="s">
        <v>337</v>
      </c>
      <c r="F182" s="8" t="str">
        <f>IFERROR(__xludf.DUMMYFUNCTION("GOOGLETRANSLATE(D182,""zh-CN"",""vi"")"),"Bánh mì vuông hình thỏ")</f>
        <v>Bánh mì vuông hình thỏ</v>
      </c>
      <c r="G182" s="8" t="str">
        <f>IFERROR(__xludf.DUMMYFUNCTION("GOOGLETRANSLATE(E182,""zh-CN"",""vi"")"),"Một chiếc túi có tai thỏ và đuôi thỏ. Kết hợp chúng lại để tạo thành một chú thỏ dễ thương.")</f>
        <v>Một chiếc túi có tai thỏ và đuôi thỏ. Kết hợp chúng lại để tạo thành một chú thỏ dễ thương.</v>
      </c>
      <c r="H182" s="8"/>
      <c r="I182" s="8"/>
      <c r="J182" s="8"/>
    </row>
    <row r="183" ht="21.0" customHeight="1">
      <c r="A183" s="5">
        <v>1.0</v>
      </c>
      <c r="B183" s="6">
        <v>103.0</v>
      </c>
      <c r="C183" s="6">
        <v>2.0</v>
      </c>
      <c r="D183" s="7" t="s">
        <v>338</v>
      </c>
      <c r="E183" s="9" t="s">
        <v>339</v>
      </c>
      <c r="F183" s="8" t="str">
        <f>IFERROR(__xludf.DUMMYFUNCTION("GOOGLETRANSLATE(D183,""zh-CN"",""vi"")"),"Chú thỏ dễ thương")</f>
        <v>Chú thỏ dễ thương</v>
      </c>
      <c r="G183" s="8" t="str">
        <f>IFERROR(__xludf.DUMMYFUNCTION("GOOGLETRANSLATE(E183,""zh-CN"",""vi"")"),"Chú thỏ nhỏ đáng yêu này mang lại cảm giác thư giãn tuyệt vời nhất. Bạn có thể kết hợp chúng để tạo ra Chú Thỏ Tham Lam.")</f>
        <v>Chú thỏ nhỏ đáng yêu này mang lại cảm giác thư giãn tuyệt vời nhất. Bạn có thể kết hợp chúng để tạo ra Chú Thỏ Tham Lam.</v>
      </c>
      <c r="H183" s="8"/>
      <c r="I183" s="8"/>
      <c r="J183" s="8"/>
    </row>
    <row r="184" ht="21.0" customHeight="1">
      <c r="A184" s="5">
        <v>1.0</v>
      </c>
      <c r="B184" s="6">
        <v>103.0</v>
      </c>
      <c r="C184" s="6">
        <v>3.0</v>
      </c>
      <c r="D184" s="7" t="s">
        <v>340</v>
      </c>
      <c r="E184" s="9" t="s">
        <v>341</v>
      </c>
      <c r="F184" s="8" t="str">
        <f>IFERROR(__xludf.DUMMYFUNCTION("GOOGLETRANSLATE(D184,""zh-CN"",""vi"")"),"Thỏ Tham Lam")</f>
        <v>Thỏ Tham Lam</v>
      </c>
      <c r="G184" s="8" t="str">
        <f>IFERROR(__xludf.DUMMYFUNCTION("GOOGLETRANSLATE(E184,""zh-CN"",""vi"")"),"Một củ cà rốt là tất cả. Kết hợp chúng lại sẽ khiến chú thỏ trở nên ngơ ngác.")</f>
        <v>Một củ cà rốt là tất cả. Kết hợp chúng lại sẽ khiến chú thỏ trở nên ngơ ngác.</v>
      </c>
      <c r="H184" s="8"/>
      <c r="I184" s="8"/>
      <c r="J184" s="8"/>
    </row>
    <row r="185" ht="21.0" customHeight="1">
      <c r="A185" s="5">
        <v>1.0</v>
      </c>
      <c r="B185" s="6">
        <v>103.0</v>
      </c>
      <c r="C185" s="6">
        <v>4.0</v>
      </c>
      <c r="D185" s="7" t="s">
        <v>342</v>
      </c>
      <c r="E185" s="9" t="s">
        <v>343</v>
      </c>
      <c r="F185" s="8" t="str">
        <f>IFERROR(__xludf.DUMMYFUNCTION("GOOGLETRANSLATE(D185,""zh-CN"",""vi"")"),"Chú Thỏ Mơ Mộng")</f>
        <v>Chú Thỏ Mơ Mộng</v>
      </c>
      <c r="G185" s="8" t="str">
        <f>IFERROR(__xludf.DUMMYFUNCTION("GOOGLETRANSLATE(E185,""zh-CN"",""vi"")"),"Một chú thỏ đang trầm tư suy nghĩ. Kết hợp chúng lại để có được một chú thỏ được trang trí bằng nơ.")</f>
        <v>Một chú thỏ đang trầm tư suy nghĩ. Kết hợp chúng lại để có được một chú thỏ được trang trí bằng nơ.</v>
      </c>
      <c r="H185" s="8"/>
      <c r="I185" s="8"/>
      <c r="J185" s="8" t="s">
        <v>344</v>
      </c>
    </row>
    <row r="186" ht="21.0" customHeight="1">
      <c r="A186" s="5">
        <v>1.0</v>
      </c>
      <c r="B186" s="6">
        <v>103.0</v>
      </c>
      <c r="C186" s="6">
        <v>5.0</v>
      </c>
      <c r="D186" s="7" t="s">
        <v>345</v>
      </c>
      <c r="E186" s="9" t="s">
        <v>346</v>
      </c>
      <c r="F186" s="8" t="str">
        <f>IFERROR(__xludf.DUMMYFUNCTION("GOOGLETRANSLATE(D186,""zh-CN"",""vi"")"),"Chú thỏ nhỏ với chiếc nơ")</f>
        <v>Chú thỏ nhỏ với chiếc nơ</v>
      </c>
      <c r="G186" s="8" t="str">
        <f>IFERROR(__xludf.DUMMYFUNCTION("GOOGLETRANSLATE(E186,""zh-CN"",""vi"")"),"Một chú thỏ nhỏ đeo nơ. Kết hợp chúng lại để tạo thành Chú Thỏ Vui Vẻ.")</f>
        <v>Một chú thỏ nhỏ đeo nơ. Kết hợp chúng lại để tạo thành Chú Thỏ Vui Vẻ.</v>
      </c>
      <c r="H186" s="8"/>
      <c r="I186" s="8"/>
      <c r="J186" s="8"/>
    </row>
    <row r="187" ht="21.0" customHeight="1">
      <c r="A187" s="5">
        <v>1.0</v>
      </c>
      <c r="B187" s="6">
        <v>103.0</v>
      </c>
      <c r="C187" s="6">
        <v>6.0</v>
      </c>
      <c r="D187" s="7" t="s">
        <v>347</v>
      </c>
      <c r="E187" s="9" t="s">
        <v>348</v>
      </c>
      <c r="F187" s="8" t="str">
        <f>IFERROR(__xludf.DUMMYFUNCTION("GOOGLETRANSLATE(D187,""zh-CN"",""vi"")"),"Chú Thỏ Nhỏ Hạnh Phúc")</f>
        <v>Chú Thỏ Nhỏ Hạnh Phúc</v>
      </c>
      <c r="G187" s="8" t="str">
        <f>IFERROR(__xludf.DUMMYFUNCTION("GOOGLETRANSLATE(E187,""zh-CN"",""vi"")"),"Bạn có tất cả mọi thứ rồi, còn gì để mà buồn nữa? Bạn có thể tự làm một chú thỏ cà rốt.")</f>
        <v>Bạn có tất cả mọi thứ rồi, còn gì để mà buồn nữa? Bạn có thể tự làm một chú thỏ cà rốt.</v>
      </c>
      <c r="H187" s="8"/>
      <c r="I187" s="8"/>
      <c r="J187" s="8"/>
    </row>
    <row r="188" ht="21.0" customHeight="1">
      <c r="A188" s="28">
        <v>1.0</v>
      </c>
      <c r="B188" s="29">
        <v>103.0</v>
      </c>
      <c r="C188" s="6">
        <v>7.0</v>
      </c>
      <c r="D188" s="7" t="s">
        <v>349</v>
      </c>
      <c r="E188" s="9" t="s">
        <v>350</v>
      </c>
      <c r="F188" s="8" t="str">
        <f>IFERROR(__xludf.DUMMYFUNCTION("GOOGLETRANSLATE(D188,""zh-CN"",""vi"")"),"Thỏ Cà Rốt")</f>
        <v>Thỏ Cà Rốt</v>
      </c>
      <c r="G188" s="8" t="str">
        <f>IFERROR(__xludf.DUMMYFUNCTION("GOOGLETRANSLATE(E188,""zh-CN"",""vi"")"),"Cà rốt là món ăn ưa thích của nó. Kết hợp chúng lại với nhau sẽ tạo ra một chú thỏ nhỏ xinh xắn.")</f>
        <v>Cà rốt là món ăn ưa thích của nó. Kết hợp chúng lại với nhau sẽ tạo ra một chú thỏ nhỏ xinh xắn.</v>
      </c>
      <c r="H188" s="8"/>
      <c r="I188" s="8"/>
      <c r="J188" s="8"/>
    </row>
    <row r="189" ht="21.0" customHeight="1">
      <c r="A189" s="28">
        <v>1.0</v>
      </c>
      <c r="B189" s="29">
        <v>103.0</v>
      </c>
      <c r="C189" s="6">
        <v>8.0</v>
      </c>
      <c r="D189" s="7" t="s">
        <v>351</v>
      </c>
      <c r="E189" s="9" t="s">
        <v>352</v>
      </c>
      <c r="F189" s="8" t="str">
        <f>IFERROR(__xludf.DUMMYFUNCTION("GOOGLETRANSLATE(D189,""zh-CN"",""vi"")"),"Chú thỏ nhỏ thanh lịch")</f>
        <v>Chú thỏ nhỏ thanh lịch</v>
      </c>
      <c r="G189" s="8" t="str">
        <f>IFERROR(__xludf.DUMMYFUNCTION("GOOGLETRANSLATE(E189,""zh-CN"",""vi"")"),"Thanh lịch như một quý cô. Kết hợp chúng để có được Thỏ Quý tộc.")</f>
        <v>Thanh lịch như một quý cô. Kết hợp chúng để có được Thỏ Quý tộc.</v>
      </c>
      <c r="H189" s="8"/>
      <c r="I189" s="8"/>
      <c r="J189" s="8"/>
    </row>
    <row r="190" ht="21.0" customHeight="1">
      <c r="A190" s="28">
        <v>1.0</v>
      </c>
      <c r="B190" s="29">
        <v>103.0</v>
      </c>
      <c r="C190" s="6">
        <v>9.0</v>
      </c>
      <c r="D190" s="7" t="s">
        <v>353</v>
      </c>
      <c r="E190" s="9" t="s">
        <v>354</v>
      </c>
      <c r="F190" s="8" t="str">
        <f>IFERROR(__xludf.DUMMYFUNCTION("GOOGLETRANSLATE(D190,""zh-CN"",""vi"")"),"Thỏ Nhỏ Cao Quý")</f>
        <v>Thỏ Nhỏ Cao Quý</v>
      </c>
      <c r="G190" s="8" t="str">
        <f>IFERROR(__xludf.DUMMYFUNCTION("GOOGLETRANSLATE(E190,""zh-CN"",""vi"")"),"Đứng thẳng và trang nghiêm. Kết hợp lại, chúng tạo nên chú Thỏ Tình Yêu.")</f>
        <v>Đứng thẳng và trang nghiêm. Kết hợp lại, chúng tạo nên chú Thỏ Tình Yêu.</v>
      </c>
      <c r="H190" s="8"/>
      <c r="I190" s="8"/>
      <c r="J190" s="8"/>
    </row>
    <row r="191" ht="21.0" customHeight="1">
      <c r="A191" s="28">
        <v>1.0</v>
      </c>
      <c r="B191" s="29">
        <v>103.0</v>
      </c>
      <c r="C191" s="6">
        <v>10.0</v>
      </c>
      <c r="D191" s="7" t="s">
        <v>355</v>
      </c>
      <c r="E191" s="9" t="s">
        <v>356</v>
      </c>
      <c r="F191" s="8" t="str">
        <f>IFERROR(__xludf.DUMMYFUNCTION("GOOGLETRANSLATE(D191,""zh-CN"",""vi"")"),"Thỏ Tình Yêu")</f>
        <v>Thỏ Tình Yêu</v>
      </c>
      <c r="G191" s="8" t="str">
        <f>IFERROR(__xludf.DUMMYFUNCTION("GOOGLETRANSLATE(E191,""zh-CN"",""vi"")"),"Thỏ yêu bạn! Kết hợp chúng để nhận được Mảnh Linh Hồn Thỏ.")</f>
        <v>Thỏ yêu bạn! Kết hợp chúng để nhận được Mảnh Linh Hồn Thỏ.</v>
      </c>
      <c r="H191" s="8"/>
      <c r="I191" s="8"/>
      <c r="J191" s="8"/>
    </row>
    <row r="192" ht="21.0" customHeight="1">
      <c r="A192" s="5">
        <v>1.0</v>
      </c>
      <c r="B192" s="6">
        <v>103.0</v>
      </c>
      <c r="C192" s="6">
        <v>11.0</v>
      </c>
      <c r="D192" s="7" t="s">
        <v>357</v>
      </c>
      <c r="E192" s="9" t="s">
        <v>358</v>
      </c>
      <c r="F192" s="8" t="str">
        <f>IFERROR(__xludf.DUMMYFUNCTION("GOOGLETRANSLATE(D192,""zh-CN"",""vi"")"),"Mảnh vỡ yêu tinh thỏ")</f>
        <v>Mảnh vỡ yêu tinh thỏ</v>
      </c>
      <c r="G192" s="8" t="str">
        <f>IFERROR(__xludf.DUMMYFUNCTION("GOOGLETRANSLATE(E192,""zh-CN"",""vi"")"),"Kết hợp hai mảnh ghép Tinh linh Thỏ để có cơ hội bắt được một tinh linh!")</f>
        <v>Kết hợp hai mảnh ghép Tinh linh Thỏ để có cơ hội bắt được một tinh linh!</v>
      </c>
      <c r="H192" s="8"/>
      <c r="I192" s="8"/>
      <c r="J192" s="8"/>
    </row>
    <row r="193" ht="21.0" customHeight="1">
      <c r="A193" s="5">
        <v>13.0</v>
      </c>
      <c r="B193" s="6">
        <v>103.0</v>
      </c>
      <c r="C193" s="6">
        <v>12.0</v>
      </c>
      <c r="D193" s="7" t="s">
        <v>359</v>
      </c>
      <c r="E193" s="9" t="s">
        <v>360</v>
      </c>
      <c r="F193" s="8" t="str">
        <f>IFERROR(__xludf.DUMMYFUNCTION("GOOGLETRANSLATE(D193,""zh-CN"",""vi"")"),"Thỏ yêu tinh")</f>
        <v>Thỏ yêu tinh</v>
      </c>
      <c r="G193" s="8" t="str">
        <f>IFERROR(__xludf.DUMMYFUNCTION("GOOGLETRANSLATE(E193,""zh-CN"",""vi"")"),"Thông minh và đáng yêu, bạn xứng đáng có được tôi!")</f>
        <v>Thông minh và đáng yêu, bạn xứng đáng có được tôi!</v>
      </c>
      <c r="H193" s="8"/>
      <c r="I193" s="8"/>
      <c r="J193" s="8"/>
    </row>
    <row r="194" ht="21.0" customHeight="1">
      <c r="A194" s="5">
        <v>1.0</v>
      </c>
      <c r="B194" s="6">
        <v>104.0</v>
      </c>
      <c r="C194" s="6">
        <v>1.0</v>
      </c>
      <c r="D194" s="9" t="s">
        <v>361</v>
      </c>
      <c r="E194" s="9" t="s">
        <v>362</v>
      </c>
      <c r="F194" s="8" t="str">
        <f>IFERROR(__xludf.DUMMYFUNCTION("GOOGLETRANSLATE(D194,""zh-CN"",""vi"")"),"Găng tay bị hư hỏng")</f>
        <v>Găng tay bị hư hỏng</v>
      </c>
      <c r="G194" s="8" t="str">
        <f>IFERROR(__xludf.DUMMYFUNCTION("GOOGLETRANSLATE(E194,""zh-CN"",""vi"")"),"Nó không còn sử dụng được nữa. Có thể chế tạo nó để tạo ra một chiếc găng tay tạm thời.")</f>
        <v>Nó không còn sử dụng được nữa. Có thể chế tạo nó để tạo ra một chiếc găng tay tạm thời.</v>
      </c>
      <c r="H194" s="8"/>
      <c r="I194" s="8"/>
      <c r="J194" s="8"/>
    </row>
    <row r="195" ht="21.0" customHeight="1">
      <c r="A195" s="5">
        <v>1.0</v>
      </c>
      <c r="B195" s="6">
        <v>104.0</v>
      </c>
      <c r="C195" s="6">
        <v>2.0</v>
      </c>
      <c r="D195" s="9" t="s">
        <v>363</v>
      </c>
      <c r="E195" s="9" t="s">
        <v>364</v>
      </c>
      <c r="F195" s="8" t="str">
        <f>IFERROR(__xludf.DUMMYFUNCTION("GOOGLETRANSLATE(D195,""zh-CN"",""vi"")"),"găng tay tự chế")</f>
        <v>găng tay tự chế</v>
      </c>
      <c r="G195" s="8" t="str">
        <f>IFERROR(__xludf.DUMMYFUNCTION("GOOGLETRANSLATE(E195,""zh-CN"",""vi"")"),"Nó có những lỗ thủng nhưng vẫn có thể sử dụng được; ghép chúng lại sẽ tạo thành một chiếc găng tay hoàn chỉnh.")</f>
        <v>Nó có những lỗ thủng nhưng vẫn có thể sử dụng được; ghép chúng lại sẽ tạo thành một chiếc găng tay hoàn chỉnh.</v>
      </c>
      <c r="H195" s="8"/>
      <c r="I195" s="8"/>
      <c r="J195" s="8"/>
    </row>
    <row r="196" ht="21.0" customHeight="1">
      <c r="A196" s="5">
        <v>1.0</v>
      </c>
      <c r="B196" s="6">
        <v>104.0</v>
      </c>
      <c r="C196" s="6">
        <v>3.0</v>
      </c>
      <c r="D196" s="7" t="s">
        <v>365</v>
      </c>
      <c r="E196" s="9" t="s">
        <v>366</v>
      </c>
      <c r="F196" s="8" t="str">
        <f>IFERROR(__xludf.DUMMYFUNCTION("GOOGLETRANSLATE(D196,""zh-CN"",""vi"")"),"găng tay đơn")</f>
        <v>găng tay đơn</v>
      </c>
      <c r="G196" s="8" t="str">
        <f>IFERROR(__xludf.DUMMYFUNCTION("GOOGLETRANSLATE(E196,""zh-CN"",""vi"")"),"Một chiếc găng tay lẻ loi. Hãy chế tạo nó để có được một đôi găng tay.")</f>
        <v>Một chiếc găng tay lẻ loi. Hãy chế tạo nó để có được một đôi găng tay.</v>
      </c>
      <c r="H196" s="8"/>
      <c r="I196" s="8"/>
      <c r="J196" s="8"/>
    </row>
    <row r="197" ht="21.0" customHeight="1">
      <c r="A197" s="5">
        <v>1.0</v>
      </c>
      <c r="B197" s="6">
        <v>104.0</v>
      </c>
      <c r="C197" s="6">
        <v>4.0</v>
      </c>
      <c r="D197" s="7" t="s">
        <v>367</v>
      </c>
      <c r="E197" s="9" t="s">
        <v>368</v>
      </c>
      <c r="F197" s="8" t="str">
        <f>IFERROR(__xludf.DUMMYFUNCTION("GOOGLETRANSLATE(D197,""zh-CN"",""vi"")"),"Một đôi găng tay")</f>
        <v>Một đôi găng tay</v>
      </c>
      <c r="G197" s="8" t="str">
        <f>IFERROR(__xludf.DUMMYFUNCTION("GOOGLETRANSLATE(E197,""zh-CN"",""vi"")"),"Một đôi găng tay, dựa vào nhau. Việc chế tác chúng cùng nhau tạo nên một đôi găng tay tinh xảo.")</f>
        <v>Một đôi găng tay, dựa vào nhau. Việc chế tác chúng cùng nhau tạo nên một đôi găng tay tinh xảo.</v>
      </c>
      <c r="H197" s="8"/>
      <c r="I197" s="8"/>
      <c r="J197" s="8"/>
    </row>
    <row r="198" ht="21.0" customHeight="1">
      <c r="A198" s="5">
        <v>1.0</v>
      </c>
      <c r="B198" s="6">
        <v>104.0</v>
      </c>
      <c r="C198" s="6">
        <v>5.0</v>
      </c>
      <c r="D198" s="7" t="s">
        <v>369</v>
      </c>
      <c r="E198" s="9" t="s">
        <v>370</v>
      </c>
      <c r="F198" s="8" t="str">
        <f>IFERROR(__xludf.DUMMYFUNCTION("GOOGLETRANSLATE(D198,""zh-CN"",""vi"")"),"Găng tay cao cấp")</f>
        <v>Găng tay cao cấp</v>
      </c>
      <c r="G198" s="8" t="str">
        <f>IFERROR(__xludf.DUMMYFUNCTION("GOOGLETRANSLATE(E198,""zh-CN"",""vi"")"),"Những chiếc găng tay được thiết kế tinh xảo; có thể được chế tác thành găng tay đan.")</f>
        <v>Những chiếc găng tay được thiết kế tinh xảo; có thể được chế tác thành găng tay đan.</v>
      </c>
      <c r="H198" s="8"/>
      <c r="I198" s="8"/>
      <c r="J198" s="8"/>
    </row>
    <row r="199" ht="21.0" customHeight="1">
      <c r="A199" s="5">
        <v>1.0</v>
      </c>
      <c r="B199" s="6">
        <v>104.0</v>
      </c>
      <c r="C199" s="6">
        <v>6.0</v>
      </c>
      <c r="D199" s="7" t="s">
        <v>371</v>
      </c>
      <c r="E199" s="9" t="s">
        <v>372</v>
      </c>
      <c r="F199" s="8" t="str">
        <f>IFERROR(__xludf.DUMMYFUNCTION("GOOGLETRANSLATE(D199,""zh-CN"",""vi"")"),"găng tay ren")</f>
        <v>găng tay ren</v>
      </c>
      <c r="G199" s="8" t="str">
        <f>IFERROR(__xludf.DUMMYFUNCTION("GOOGLETRANSLATE(E199,""zh-CN"",""vi"")"),"Đường khâu trên đôi găng tay này rất đẹp. Tự tay làm ra chúng sẽ tạo nên những đôi găng tay tuyệt đẹp.")</f>
        <v>Đường khâu trên đôi găng tay này rất đẹp. Tự tay làm ra chúng sẽ tạo nên những đôi găng tay tuyệt đẹp.</v>
      </c>
      <c r="H199" s="8"/>
      <c r="I199" s="8"/>
      <c r="J199" s="8"/>
    </row>
    <row r="200" ht="21.0" customHeight="1">
      <c r="A200" s="5">
        <v>1.0</v>
      </c>
      <c r="B200" s="6">
        <v>104.0</v>
      </c>
      <c r="C200" s="6">
        <v>7.0</v>
      </c>
      <c r="D200" s="7" t="s">
        <v>373</v>
      </c>
      <c r="E200" s="9" t="s">
        <v>374</v>
      </c>
      <c r="F200" s="8" t="str">
        <f>IFERROR(__xludf.DUMMYFUNCTION("GOOGLETRANSLATE(D200,""zh-CN"",""vi"")"),"găng tay tuyệt đẹp")</f>
        <v>găng tay tuyệt đẹp</v>
      </c>
      <c r="G200" s="8" t="str">
        <f>IFERROR(__xludf.DUMMYFUNCTION("GOOGLETRANSLATE(E200,""zh-CN"",""vi"")"),"Đôi găng tay đẹp nhất, không gì sánh bằng. Được chế tác để tạo ra đôi găng tay màu tím.")</f>
        <v>Đôi găng tay đẹp nhất, không gì sánh bằng. Được chế tác để tạo ra đôi găng tay màu tím.</v>
      </c>
      <c r="H200" s="8"/>
      <c r="I200" s="8"/>
      <c r="J200" s="8"/>
    </row>
    <row r="201" ht="21.0" customHeight="1">
      <c r="A201" s="5">
        <v>1.0</v>
      </c>
      <c r="B201" s="6">
        <v>104.0</v>
      </c>
      <c r="C201" s="6">
        <v>8.0</v>
      </c>
      <c r="D201" s="7" t="s">
        <v>375</v>
      </c>
      <c r="E201" s="9" t="s">
        <v>376</v>
      </c>
      <c r="F201" s="8" t="str">
        <f>IFERROR(__xludf.DUMMYFUNCTION("GOOGLETRANSLATE(D201,""zh-CN"",""vi"")"),"Găng tay màu tím")</f>
        <v>Găng tay màu tím</v>
      </c>
      <c r="G201" s="8" t="str">
        <f>IFERROR(__xludf.DUMMYFUNCTION("GOOGLETRANSLATE(E201,""zh-CN"",""vi"")"),"Người ta nói rằng da màu tím là một loại vật liệu công nghệ cao. Nó có thể được dùng để làm găng tay lông vũ.")</f>
        <v>Người ta nói rằng da màu tím là một loại vật liệu công nghệ cao. Nó có thể được dùng để làm găng tay lông vũ.</v>
      </c>
      <c r="H201" s="8"/>
      <c r="I201" s="8"/>
      <c r="J201" s="8"/>
    </row>
    <row r="202" ht="21.0" customHeight="1">
      <c r="A202" s="5">
        <v>1.0</v>
      </c>
      <c r="B202" s="6">
        <v>104.0</v>
      </c>
      <c r="C202" s="6">
        <v>9.0</v>
      </c>
      <c r="D202" s="7" t="s">
        <v>377</v>
      </c>
      <c r="E202" s="9" t="s">
        <v>378</v>
      </c>
      <c r="F202" s="8" t="str">
        <f>IFERROR(__xludf.DUMMYFUNCTION("GOOGLETRANSLATE(D202,""zh-CN"",""vi"")"),"găng tay lông vũ")</f>
        <v>găng tay lông vũ</v>
      </c>
      <c r="G202" s="8" t="str">
        <f>IFERROR(__xludf.DUMMYFUNCTION("GOOGLETRANSLATE(E202,""zh-CN"",""vi"")"),"Rất ấm. Có thể chế tạo để có được găng tay đóng hộp.")</f>
        <v>Rất ấm. Có thể chế tạo để có được găng tay đóng hộp.</v>
      </c>
      <c r="H202" s="8"/>
      <c r="I202" s="8"/>
      <c r="J202" s="8"/>
    </row>
    <row r="203" ht="21.0" customHeight="1">
      <c r="A203" s="5">
        <v>1.0</v>
      </c>
      <c r="B203" s="6">
        <v>104.0</v>
      </c>
      <c r="C203" s="6">
        <v>10.0</v>
      </c>
      <c r="D203" s="7" t="s">
        <v>379</v>
      </c>
      <c r="E203" s="9" t="s">
        <v>380</v>
      </c>
      <c r="F203" s="8" t="str">
        <f>IFERROR(__xludf.DUMMYFUNCTION("GOOGLETRANSLATE(D203,""zh-CN"",""vi"")"),"Găng tay đóng hộp")</f>
        <v>Găng tay đóng hộp</v>
      </c>
      <c r="G203" s="8" t="str">
        <f>IFERROR(__xludf.DUMMYFUNCTION("GOOGLETRANSLATE(E203,""zh-CN"",""vi"")"),"Găng tay cao cấp đắt tiền. Được nâng cấp lên loại cao cấp nhất.")</f>
        <v>Găng tay cao cấp đắt tiền. Được nâng cấp lên loại cao cấp nhất.</v>
      </c>
      <c r="H203" s="8"/>
      <c r="I203" s="8"/>
      <c r="J203" s="8"/>
    </row>
    <row r="204" ht="21.0" customHeight="1">
      <c r="A204" s="5">
        <v>1.0</v>
      </c>
      <c r="B204" s="6">
        <v>105.0</v>
      </c>
      <c r="C204" s="6">
        <v>1.0</v>
      </c>
      <c r="D204" s="7" t="s">
        <v>381</v>
      </c>
      <c r="E204" s="9" t="s">
        <v>382</v>
      </c>
      <c r="F204" s="8" t="str">
        <f>IFERROR(__xludf.DUMMYFUNCTION("GOOGLETRANSLATE(D204,""zh-CN"",""vi"")"),"chổi")</f>
        <v>chổi</v>
      </c>
      <c r="G204" s="8" t="str">
        <f>IFERROR(__xludf.DUMMYFUNCTION("GOOGLETRANSLATE(E204,""zh-CN"",""vi"")"),"Chổi của Tiểu Mai. Có thể chế tạo để có được cán chổi bằng thép.")</f>
        <v>Chổi của Tiểu Mai. Có thể chế tạo để có được cán chổi bằng thép.</v>
      </c>
      <c r="H204" s="8"/>
      <c r="I204" s="8"/>
      <c r="J204" s="8"/>
    </row>
    <row r="205" ht="21.0" customHeight="1">
      <c r="A205" s="5">
        <v>1.0</v>
      </c>
      <c r="B205" s="6">
        <v>105.0</v>
      </c>
      <c r="C205" s="6">
        <v>2.0</v>
      </c>
      <c r="D205" s="7" t="s">
        <v>383</v>
      </c>
      <c r="E205" s="9" t="s">
        <v>384</v>
      </c>
      <c r="F205" s="8" t="str">
        <f>IFERROR(__xludf.DUMMYFUNCTION("GOOGLETRANSLATE(D205,""zh-CN"",""vi"")"),"kẹp thép")</f>
        <v>kẹp thép</v>
      </c>
      <c r="G205" s="8" t="str">
        <f>IFERROR(__xludf.DUMMYFUNCTION("GOOGLETRANSLATE(E205,""zh-CN"",""vi"")"),"Bộ kẹp được làm từ thép nguyên chất và có lực kẹp cực mạnh. Nó có thể được chế tạo thành kìm.")</f>
        <v>Bộ kẹp được làm từ thép nguyên chất và có lực kẹp cực mạnh. Nó có thể được chế tạo thành kìm.</v>
      </c>
      <c r="H205" s="8"/>
      <c r="I205" s="8"/>
      <c r="J205" s="8"/>
    </row>
    <row r="206" ht="21.0" customHeight="1">
      <c r="A206" s="5">
        <v>1.0</v>
      </c>
      <c r="B206" s="6">
        <v>105.0</v>
      </c>
      <c r="C206" s="6">
        <v>3.0</v>
      </c>
      <c r="D206" s="7" t="s">
        <v>385</v>
      </c>
      <c r="E206" s="9" t="s">
        <v>386</v>
      </c>
      <c r="F206" s="8" t="str">
        <f>IFERROR(__xludf.DUMMYFUNCTION("GOOGLETRANSLATE(D206,""zh-CN"",""vi"")"),"Kìm")</f>
        <v>Kìm</v>
      </c>
      <c r="G206" s="8" t="str">
        <f>IFERROR(__xludf.DUMMYFUNCTION("GOOGLETRANSLATE(E206,""zh-CN"",""vi"")"),"Lực đòn bẩy của kìm có thể cắt xuyên mọi thứ. Chế tạo chúng sẽ tạo ra một cái xẻng.")</f>
        <v>Lực đòn bẩy của kìm có thể cắt xuyên mọi thứ. Chế tạo chúng sẽ tạo ra một cái xẻng.</v>
      </c>
      <c r="H206" s="8"/>
      <c r="I206" s="8"/>
      <c r="J206" s="8"/>
    </row>
    <row r="207" ht="21.0" customHeight="1">
      <c r="A207" s="5">
        <v>1.0</v>
      </c>
      <c r="B207" s="6">
        <v>105.0</v>
      </c>
      <c r="C207" s="6">
        <v>4.0</v>
      </c>
      <c r="D207" s="7" t="s">
        <v>387</v>
      </c>
      <c r="E207" s="9" t="s">
        <v>388</v>
      </c>
      <c r="F207" s="8" t="str">
        <f>IFERROR(__xludf.DUMMYFUNCTION("GOOGLETRANSLATE(D207,""zh-CN"",""vi"")"),"cái xẻng")</f>
        <v>cái xẻng</v>
      </c>
      <c r="G207" s="8" t="str">
        <f>IFERROR(__xludf.DUMMYFUNCTION("GOOGLETRANSLATE(E207,""zh-CN"",""vi"")"),"Trồng hoa và cỏ là điều cần thiết. Hoàn thành việc này sẽ tạo ra một chiếc xô sắt.")</f>
        <v>Trồng hoa và cỏ là điều cần thiết. Hoàn thành việc này sẽ tạo ra một chiếc xô sắt.</v>
      </c>
      <c r="H207" s="8"/>
      <c r="I207" s="8"/>
      <c r="J207" s="8"/>
    </row>
    <row r="208" ht="21.0" customHeight="1">
      <c r="A208" s="5">
        <v>1.0</v>
      </c>
      <c r="B208" s="6">
        <v>105.0</v>
      </c>
      <c r="C208" s="6">
        <v>5.0</v>
      </c>
      <c r="D208" s="9" t="s">
        <v>389</v>
      </c>
      <c r="E208" s="9" t="s">
        <v>390</v>
      </c>
      <c r="F208" s="8" t="str">
        <f>IFERROR(__xludf.DUMMYFUNCTION("GOOGLETRANSLATE(D208,""zh-CN"",""vi"")"),"cái trống")</f>
        <v>cái trống</v>
      </c>
      <c r="G208" s="8" t="str">
        <f>IFERROR(__xludf.DUMMYFUNCTION("GOOGLETRANSLATE(E208,""zh-CN"",""vi"")"),"Nó có thể chứa rất nhiều nước. Nó có thể được chế tạo để làm vòi sen.")</f>
        <v>Nó có thể chứa rất nhiều nước. Nó có thể được chế tạo để làm vòi sen.</v>
      </c>
      <c r="H208" s="8"/>
      <c r="I208" s="8"/>
      <c r="J208" s="8"/>
    </row>
    <row r="209" ht="21.0" customHeight="1">
      <c r="A209" s="5">
        <v>1.0</v>
      </c>
      <c r="B209" s="6">
        <v>105.0</v>
      </c>
      <c r="C209" s="6">
        <v>6.0</v>
      </c>
      <c r="D209" s="7" t="s">
        <v>391</v>
      </c>
      <c r="E209" s="9" t="s">
        <v>392</v>
      </c>
      <c r="F209" s="8" t="str">
        <f>IFERROR(__xludf.DUMMYFUNCTION("GOOGLETRANSLATE(D209,""zh-CN"",""vi"")"),"Đầu vòi sen")</f>
        <v>Đầu vòi sen</v>
      </c>
      <c r="G209" s="8" t="str">
        <f>IFERROR(__xludf.DUMMYFUNCTION("GOOGLETRANSLATE(E209,""zh-CN"",""vi"")"),"Một chiếc vòi sen tinh tế với tay nắm cửa. Được chế tác để lấy một chiếc cào sắt.")</f>
        <v>Một chiếc vòi sen tinh tế với tay nắm cửa. Được chế tác để lấy một chiếc cào sắt.</v>
      </c>
      <c r="H209" s="8"/>
      <c r="I209" s="8"/>
      <c r="J209" s="8"/>
    </row>
    <row r="210" ht="21.0" customHeight="1">
      <c r="A210" s="5">
        <v>1.0</v>
      </c>
      <c r="B210" s="6">
        <v>105.0</v>
      </c>
      <c r="C210" s="6">
        <v>7.0</v>
      </c>
      <c r="D210" s="7" t="s">
        <v>393</v>
      </c>
      <c r="E210" s="7" t="s">
        <v>394</v>
      </c>
      <c r="F210" s="8" t="str">
        <f>IFERROR(__xludf.DUMMYFUNCTION("GOOGLETRANSLATE(D210,""zh-CN"",""vi"")"),"Cào sắt")</f>
        <v>Cào sắt</v>
      </c>
      <c r="G210" s="8" t="str">
        <f>IFERROR(__xludf.DUMMYFUNCTION("GOOGLETRANSLATE(E210,""zh-CN"",""vi"")"),"Những chiếc răng nanh sáng loáng. Hãy chế tạo chúng để có được một cái cuốc.")</f>
        <v>Những chiếc răng nanh sáng loáng. Hãy chế tạo chúng để có được một cái cuốc.</v>
      </c>
      <c r="H210" s="8"/>
      <c r="I210" s="8"/>
      <c r="J210" s="8"/>
    </row>
    <row r="211" ht="21.0" customHeight="1">
      <c r="A211" s="5">
        <v>1.0</v>
      </c>
      <c r="B211" s="6">
        <v>105.0</v>
      </c>
      <c r="C211" s="6">
        <v>8.0</v>
      </c>
      <c r="D211" s="7" t="s">
        <v>395</v>
      </c>
      <c r="E211" s="7" t="s">
        <v>396</v>
      </c>
      <c r="F211" s="8" t="str">
        <f>IFERROR(__xludf.DUMMYFUNCTION("GOOGLETRANSLATE(D211,""zh-CN"",""vi"")"),"cuốc chim")</f>
        <v>cuốc chim</v>
      </c>
      <c r="G211" s="8" t="str">
        <f>IFERROR(__xludf.DUMMYFUNCTION("GOOGLETRANSLATE(E211,""zh-CN"",""vi"")"),"Một công cụ rất hữu ích. Chế tạo nó sẽ tạo ra một chiếc xe đẩy.")</f>
        <v>Một công cụ rất hữu ích. Chế tạo nó sẽ tạo ra một chiếc xe đẩy.</v>
      </c>
      <c r="H211" s="8"/>
      <c r="I211" s="8"/>
      <c r="J211" s="8"/>
    </row>
    <row r="212" ht="21.0" customHeight="1">
      <c r="A212" s="5">
        <v>1.0</v>
      </c>
      <c r="B212" s="6">
        <v>105.0</v>
      </c>
      <c r="C212" s="6">
        <v>9.0</v>
      </c>
      <c r="D212" s="7" t="s">
        <v>397</v>
      </c>
      <c r="E212" s="7" t="s">
        <v>398</v>
      </c>
      <c r="F212" s="8" t="str">
        <f>IFERROR(__xludf.DUMMYFUNCTION("GOOGLETRANSLATE(D212,""zh-CN"",""vi"")"),"xe đẩy")</f>
        <v>xe đẩy</v>
      </c>
      <c r="G212" s="8" t="str">
        <f>IFERROR(__xludf.DUMMYFUNCTION("GOOGLETRANSLATE(E212,""zh-CN"",""vi"")"),"Nó có thể dễ dàng vận chuyển nhiều thứ. Việc chế tạo nó sẽ tạo ra một máy phun tự động.")</f>
        <v>Nó có thể dễ dàng vận chuyển nhiều thứ. Việc chế tạo nó sẽ tạo ra một máy phun tự động.</v>
      </c>
      <c r="H212" s="8"/>
      <c r="I212" s="8"/>
      <c r="J212" s="8"/>
    </row>
    <row r="213" ht="21.0" customHeight="1">
      <c r="A213" s="5">
        <v>1.0</v>
      </c>
      <c r="B213" s="6">
        <v>105.0</v>
      </c>
      <c r="C213" s="6">
        <v>10.0</v>
      </c>
      <c r="D213" s="7" t="s">
        <v>399</v>
      </c>
      <c r="E213" s="7" t="s">
        <v>400</v>
      </c>
      <c r="F213" s="8" t="str">
        <f>IFERROR(__xludf.DUMMYFUNCTION("GOOGLETRANSLATE(D213,""zh-CN"",""vi"")"),"Máy phun tự động")</f>
        <v>Máy phun tự động</v>
      </c>
      <c r="G213" s="8" t="str">
        <f>IFERROR(__xludf.DUMMYFUNCTION("GOOGLETRANSLATE(E213,""zh-CN"",""vi"")"),"Một cỗ máy mang tính cách mạng! Giờ đây mọi người cuối cùng cũng có thể nghỉ ngơi. Nó đã được nâng cấp lên cấp độ cao nhất.")</f>
        <v>Một cỗ máy mang tính cách mạng! Giờ đây mọi người cuối cùng cũng có thể nghỉ ngơi. Nó đã được nâng cấp lên cấp độ cao nhất.</v>
      </c>
      <c r="H213" s="8"/>
      <c r="I213" s="8"/>
      <c r="J213" s="8"/>
    </row>
    <row r="214" ht="21.0" customHeight="1">
      <c r="A214" s="5">
        <v>1.0</v>
      </c>
      <c r="B214" s="6">
        <v>102.0</v>
      </c>
      <c r="C214" s="6">
        <v>1.0</v>
      </c>
      <c r="D214" s="7" t="s">
        <v>401</v>
      </c>
      <c r="E214" s="7" t="s">
        <v>402</v>
      </c>
      <c r="F214" s="8" t="str">
        <f>IFERROR(__xludf.DUMMYFUNCTION("GOOGLETRANSLATE(D214,""zh-CN"",""vi"")"),"mặt nạ thông thường")</f>
        <v>mặt nạ thông thường</v>
      </c>
      <c r="G214" s="8" t="str">
        <f>IFERROR(__xludf.DUMMYFUNCTION("GOOGLETRANSLATE(E214,""zh-CN"",""vi"")"),"Các loại khẩu trang thông thường. Khẩu trang N95 có thể được tổng hợp từ chúng.")</f>
        <v>Các loại khẩu trang thông thường. Khẩu trang N95 có thể được tổng hợp từ chúng.</v>
      </c>
      <c r="H214" s="8"/>
      <c r="I214" s="8"/>
      <c r="J214" s="8"/>
    </row>
    <row r="215" ht="21.0" customHeight="1">
      <c r="A215" s="5">
        <v>1.0</v>
      </c>
      <c r="B215" s="6">
        <v>102.0</v>
      </c>
      <c r="C215" s="6">
        <v>2.0</v>
      </c>
      <c r="D215" s="7" t="s">
        <v>403</v>
      </c>
      <c r="E215" s="7" t="s">
        <v>404</v>
      </c>
      <c r="F215" s="8" t="str">
        <f>IFERROR(__xludf.DUMMYFUNCTION("GOOGLETRANSLATE(D215,""zh-CN"",""vi"")"),"Khẩu trang n95")</f>
        <v>Khẩu trang n95</v>
      </c>
      <c r="G215" s="8" t="str">
        <f>IFERROR(__xludf.DUMMYFUNCTION("GOOGLETRANSLATE(E215,""zh-CN"",""vi"")"),"Một loại mặt nạ có khả năng bảo vệ vượt trội. Mặt nạ y tế có thể được tổng hợp từ vật liệu này.")</f>
        <v>Một loại mặt nạ có khả năng bảo vệ vượt trội. Mặt nạ y tế có thể được tổng hợp từ vật liệu này.</v>
      </c>
      <c r="H215" s="8"/>
      <c r="I215" s="8"/>
      <c r="J215" s="8"/>
    </row>
    <row r="216" ht="21.0" customHeight="1">
      <c r="A216" s="5">
        <v>1.0</v>
      </c>
      <c r="B216" s="6">
        <v>102.0</v>
      </c>
      <c r="C216" s="6">
        <v>3.0</v>
      </c>
      <c r="D216" s="7" t="s">
        <v>405</v>
      </c>
      <c r="E216" s="9" t="s">
        <v>406</v>
      </c>
      <c r="F216" s="8" t="str">
        <f>IFERROR(__xludf.DUMMYFUNCTION("GOOGLETRANSLATE(D216,""zh-CN"",""vi"")"),"khẩu trang y tế")</f>
        <v>khẩu trang y tế</v>
      </c>
      <c r="G216" s="8" t="str">
        <f>IFERROR(__xludf.DUMMYFUNCTION("GOOGLETRANSLATE(E216,""zh-CN"",""vi"")"),"Đây là những khẩu trang y tế đạt tiêu chuẩn, loại tốt nhất trong việc ngăn chặn virus. Bạn có thể tự làm một gói khẩu trang từ chúng.")</f>
        <v>Đây là những khẩu trang y tế đạt tiêu chuẩn, loại tốt nhất trong việc ngăn chặn virus. Bạn có thể tự làm một gói khẩu trang từ chúng.</v>
      </c>
      <c r="H216" s="8"/>
      <c r="I216" s="8"/>
      <c r="J216" s="8"/>
    </row>
    <row r="217" ht="21.0" customHeight="1">
      <c r="A217" s="5">
        <v>1.0</v>
      </c>
      <c r="B217" s="6">
        <v>102.0</v>
      </c>
      <c r="C217" s="6">
        <v>4.0</v>
      </c>
      <c r="D217" s="7" t="s">
        <v>407</v>
      </c>
      <c r="E217" s="9" t="s">
        <v>408</v>
      </c>
      <c r="F217" s="8" t="str">
        <f>IFERROR(__xludf.DUMMYFUNCTION("GOOGLETRANSLATE(D217,""zh-CN"",""vi"")"),"Một gói khẩu trang")</f>
        <v>Một gói khẩu trang</v>
      </c>
      <c r="G217" s="8" t="str">
        <f>IFERROR(__xludf.DUMMYFUNCTION("GOOGLETRANSLATE(E217,""zh-CN"",""vi"")"),"Nó chứa nhiều khẩu trang y tế. Chúng có thể được kết hợp lại để tạo thành một túi khẩu trang lớn.")</f>
        <v>Nó chứa nhiều khẩu trang y tế. Chúng có thể được kết hợp lại để tạo thành một túi khẩu trang lớn.</v>
      </c>
      <c r="H217" s="8"/>
      <c r="I217" s="8"/>
      <c r="J217" s="8"/>
    </row>
    <row r="218" ht="21.0" customHeight="1">
      <c r="A218" s="5">
        <v>1.0</v>
      </c>
      <c r="B218" s="6">
        <v>102.0</v>
      </c>
      <c r="C218" s="6">
        <v>5.0</v>
      </c>
      <c r="D218" s="7" t="s">
        <v>409</v>
      </c>
      <c r="E218" s="9" t="s">
        <v>410</v>
      </c>
      <c r="F218" s="8" t="str">
        <f>IFERROR(__xludf.DUMMYFUNCTION("GOOGLETRANSLATE(D218,""zh-CN"",""vi"")"),"Một túi lớn đựng khẩu trang")</f>
        <v>Một túi lớn đựng khẩu trang</v>
      </c>
      <c r="G218" s="8" t="str">
        <f>IFERROR(__xludf.DUMMYFUNCTION("GOOGLETRANSLATE(E218,""zh-CN"",""vi"")"),"Nhớ dự trữ sẵn đồ dùng phòng trường hợp cần thiết. Bạn có thể tự chế kính bảo hộ.")</f>
        <v>Nhớ dự trữ sẵn đồ dùng phòng trường hợp cần thiết. Bạn có thể tự chế kính bảo hộ.</v>
      </c>
      <c r="H218" s="8"/>
      <c r="I218" s="8"/>
      <c r="J218" s="8"/>
    </row>
    <row r="219" ht="21.0" customHeight="1">
      <c r="A219" s="5">
        <v>1.0</v>
      </c>
      <c r="B219" s="6">
        <v>102.0</v>
      </c>
      <c r="C219" s="6">
        <v>6.0</v>
      </c>
      <c r="D219" s="7" t="s">
        <v>411</v>
      </c>
      <c r="E219" s="9" t="s">
        <v>412</v>
      </c>
      <c r="F219" s="8" t="str">
        <f>IFERROR(__xludf.DUMMYFUNCTION("GOOGLETRANSLATE(D219,""zh-CN"",""vi"")"),"kính bảo hộ")</f>
        <v>kính bảo hộ</v>
      </c>
      <c r="G219" s="8" t="str">
        <f>IFERROR(__xludf.DUMMYFUNCTION("GOOGLETRANSLATE(E219,""zh-CN"",""vi"")"),"Thiết kế đạt tiêu chuẩn y tế, hiệu quả chống lại virus. Có thể sản xuất kính bảo hộ chất lượng cao.")</f>
        <v>Thiết kế đạt tiêu chuẩn y tế, hiệu quả chống lại virus. Có thể sản xuất kính bảo hộ chất lượng cao.</v>
      </c>
      <c r="H219" s="8"/>
      <c r="I219" s="8"/>
      <c r="J219" s="8"/>
    </row>
    <row r="220" ht="21.0" customHeight="1">
      <c r="A220" s="5">
        <v>1.0</v>
      </c>
      <c r="B220" s="6">
        <v>102.0</v>
      </c>
      <c r="C220" s="6">
        <v>7.0</v>
      </c>
      <c r="D220" s="7" t="s">
        <v>413</v>
      </c>
      <c r="E220" s="9" t="s">
        <v>414</v>
      </c>
      <c r="F220" s="8" t="str">
        <f>IFERROR(__xludf.DUMMYFUNCTION("GOOGLETRANSLATE(D220,""zh-CN"",""vi"")"),"Kính bảo hộ chất lượng cao")</f>
        <v>Kính bảo hộ chất lượng cao</v>
      </c>
      <c r="G220" s="8" t="str">
        <f>IFERROR(__xludf.DUMMYFUNCTION("GOOGLETRANSLATE(E220,""zh-CN"",""vi"")"),"Được chế tạo tốt và an toàn. Ứng dụng vật liệu tổng hợp tạo ra kính bảo hộ tiên tiến.")</f>
        <v>Được chế tạo tốt và an toàn. Ứng dụng vật liệu tổng hợp tạo ra kính bảo hộ tiên tiến.</v>
      </c>
      <c r="H220" s="8"/>
      <c r="I220" s="8"/>
      <c r="J220" s="8"/>
    </row>
    <row r="221" ht="21.0" customHeight="1">
      <c r="A221" s="5">
        <v>1.0</v>
      </c>
      <c r="B221" s="6">
        <v>102.0</v>
      </c>
      <c r="C221" s="6">
        <v>8.0</v>
      </c>
      <c r="D221" s="7" t="s">
        <v>415</v>
      </c>
      <c r="E221" s="9" t="s">
        <v>416</v>
      </c>
      <c r="F221" s="8" t="str">
        <f>IFERROR(__xludf.DUMMYFUNCTION("GOOGLETRANSLATE(D221,""zh-CN"",""vi"")"),"Kính bảo hộ cao cấp")</f>
        <v>Kính bảo hộ cao cấp</v>
      </c>
      <c r="G221" s="8" t="str">
        <f>IFERROR(__xludf.DUMMYFUNCTION("GOOGLETRANSLATE(E221,""zh-CN"",""vi"")"),"Được sản xuất bằng công nghệ tiên tiến. Phương pháp tổng hợp tạo ra mặt nạ đeo trên đầu.")</f>
        <v>Được sản xuất bằng công nghệ tiên tiến. Phương pháp tổng hợp tạo ra mặt nạ đeo trên đầu.</v>
      </c>
      <c r="H221" s="8"/>
      <c r="I221" s="8"/>
      <c r="J221" s="8"/>
    </row>
    <row r="222" ht="21.0" customHeight="1">
      <c r="A222" s="5">
        <v>1.0</v>
      </c>
      <c r="B222" s="6">
        <v>102.0</v>
      </c>
      <c r="C222" s="6">
        <v>9.0</v>
      </c>
      <c r="D222" s="7" t="s">
        <v>417</v>
      </c>
      <c r="E222" s="9" t="s">
        <v>418</v>
      </c>
      <c r="F222" s="8" t="str">
        <f>IFERROR(__xludf.DUMMYFUNCTION("GOOGLETRANSLATE(D222,""zh-CN"",""vi"")"),"băng đô che mặt")</f>
        <v>băng đô che mặt</v>
      </c>
      <c r="G222" s="8" t="str">
        <f>IFERROR(__xludf.DUMMYFUNCTION("GOOGLETRANSLATE(E222,""zh-CN"",""vi"")"),"Nó mang lại sự bảo vệ toàn diện, ngay lập tức tạo cảm giác tự tin. Một chiếc khẩu trang hoàn hảo có thể được chế tạo từ đầu.")</f>
        <v>Nó mang lại sự bảo vệ toàn diện, ngay lập tức tạo cảm giác tự tin. Một chiếc khẩu trang hoàn hảo có thể được chế tạo từ đầu.</v>
      </c>
      <c r="H222" s="8"/>
      <c r="I222" s="8"/>
      <c r="J222" s="8"/>
    </row>
    <row r="223" ht="21.0" customHeight="1">
      <c r="A223" s="5">
        <v>1.0</v>
      </c>
      <c r="B223" s="6">
        <v>102.0</v>
      </c>
      <c r="C223" s="6">
        <v>10.0</v>
      </c>
      <c r="D223" s="7" t="s">
        <v>419</v>
      </c>
      <c r="E223" s="9" t="s">
        <v>420</v>
      </c>
      <c r="F223" s="8" t="str">
        <f>IFERROR(__xludf.DUMMYFUNCTION("GOOGLETRANSLATE(D223,""zh-CN"",""vi"")"),"Mặt nạ hoàn hảo")</f>
        <v>Mặt nạ hoàn hảo</v>
      </c>
      <c r="G223" s="8" t="str">
        <f>IFERROR(__xludf.DUMMYFUNCTION("GOOGLETRANSLATE(E223,""zh-CN"",""vi"")"),"Thiết bị hàng đầu, đáng tin cậy. Được nâng cấp lên mức cao nhất.")</f>
        <v>Thiết bị hàng đầu, đáng tin cậy. Được nâng cấp lên mức cao nhất.</v>
      </c>
      <c r="H223" s="8"/>
      <c r="I223" s="8"/>
      <c r="J223" s="8"/>
    </row>
    <row r="224" ht="21.0" customHeight="1">
      <c r="A224" s="5">
        <v>1.0</v>
      </c>
      <c r="B224" s="6">
        <v>106.0</v>
      </c>
      <c r="C224" s="6">
        <v>1.0</v>
      </c>
      <c r="D224" s="7" t="s">
        <v>421</v>
      </c>
      <c r="E224" s="9" t="s">
        <v>422</v>
      </c>
      <c r="F224" s="8" t="str">
        <f>IFERROR(__xludf.DUMMYFUNCTION("GOOGLETRANSLATE(D224,""zh-CN"",""vi"")"),"Nửa quả dưa hấu")</f>
        <v>Nửa quả dưa hấu</v>
      </c>
      <c r="G224" s="8" t="str">
        <f>IFERROR(__xludf.DUMMYFUNCTION("GOOGLETRANSLATE(E224,""zh-CN"",""vi"")"),"Một nửa quả dưa hấu ngọt. Kết hợp chúng lại để được một lát dưa hấu.")</f>
        <v>Một nửa quả dưa hấu ngọt. Kết hợp chúng lại để được một lát dưa hấu.</v>
      </c>
      <c r="H224" s="8"/>
      <c r="I224" s="8"/>
      <c r="J224" s="8"/>
    </row>
    <row r="225" ht="21.0" customHeight="1">
      <c r="A225" s="5">
        <v>1.0</v>
      </c>
      <c r="B225" s="6">
        <v>106.0</v>
      </c>
      <c r="C225" s="6">
        <v>2.0</v>
      </c>
      <c r="D225" s="7" t="s">
        <v>423</v>
      </c>
      <c r="E225" s="9" t="s">
        <v>424</v>
      </c>
      <c r="F225" s="8" t="str">
        <f>IFERROR(__xludf.DUMMYFUNCTION("GOOGLETRANSLATE(D225,""zh-CN"",""vi"")"),"Một lát dưa hấu")</f>
        <v>Một lát dưa hấu</v>
      </c>
      <c r="G225" s="8" t="str">
        <f>IFERROR(__xludf.DUMMYFUNCTION("GOOGLETRANSLATE(E225,""zh-CN"",""vi"")"),"Cắt một góc của quả dưa hấu. Ghép hai phần lại để được một nửa quả dưa hấu.")</f>
        <v>Cắt một góc của quả dưa hấu. Ghép hai phần lại để được một nửa quả dưa hấu.</v>
      </c>
      <c r="H225" s="8"/>
      <c r="I225" s="8"/>
      <c r="J225" s="8"/>
    </row>
    <row r="226" ht="21.0" customHeight="1">
      <c r="A226" s="5">
        <v>1.0</v>
      </c>
      <c r="B226" s="6">
        <v>106.0</v>
      </c>
      <c r="C226" s="6">
        <v>3.0</v>
      </c>
      <c r="D226" s="7" t="s">
        <v>425</v>
      </c>
      <c r="E226" s="9" t="s">
        <v>426</v>
      </c>
      <c r="F226" s="8" t="str">
        <f>IFERROR(__xludf.DUMMYFUNCTION("GOOGLETRANSLATE(D226,""zh-CN"",""vi"")"),"Nửa quả dưa hấu")</f>
        <v>Nửa quả dưa hấu</v>
      </c>
      <c r="G226" s="8" t="str">
        <f>IFERROR(__xludf.DUMMYFUNCTION("GOOGLETRANSLATE(E226,""zh-CN"",""vi"")"),"Một quả dưa hấu đã được ai đó bổ đôi. Ghép hai nửa lại sẽ được nhiều hơn một nửa quả dưa hấu.")</f>
        <v>Một quả dưa hấu đã được ai đó bổ đôi. Ghép hai nửa lại sẽ được nhiều hơn một nửa quả dưa hấu.</v>
      </c>
      <c r="H226" s="8"/>
      <c r="I226" s="8"/>
      <c r="J226" s="8"/>
    </row>
    <row r="227" ht="21.0" customHeight="1">
      <c r="A227" s="5">
        <v>1.0</v>
      </c>
      <c r="B227" s="6">
        <v>106.0</v>
      </c>
      <c r="C227" s="6">
        <v>4.0</v>
      </c>
      <c r="D227" s="9" t="s">
        <v>427</v>
      </c>
      <c r="E227" s="9" t="s">
        <v>428</v>
      </c>
      <c r="F227" s="8" t="str">
        <f>IFERROR(__xludf.DUMMYFUNCTION("GOOGLETRANSLATE(D227,""zh-CN"",""vi"")"),"Phần lớn quả dưa hấu")</f>
        <v>Phần lớn quả dưa hấu</v>
      </c>
      <c r="G227" s="8" t="str">
        <f>IFERROR(__xludf.DUMMYFUNCTION("GOOGLETRANSLATE(E227,""zh-CN"",""vi"")"),"Mọng nước và mềm mại. Công thức này cho ra hơn nửa quả dưa hấu.")</f>
        <v>Mọng nước và mềm mại. Công thức này cho ra hơn nửa quả dưa hấu.</v>
      </c>
      <c r="H227" s="8"/>
      <c r="I227" s="8"/>
      <c r="J227" s="8"/>
    </row>
    <row r="228" ht="21.0" customHeight="1">
      <c r="A228" s="5">
        <v>1.0</v>
      </c>
      <c r="B228" s="6">
        <v>106.0</v>
      </c>
      <c r="C228" s="6">
        <v>5.0</v>
      </c>
      <c r="D228" s="7" t="s">
        <v>429</v>
      </c>
      <c r="E228" s="9" t="s">
        <v>430</v>
      </c>
      <c r="F228" s="8" t="str">
        <f>IFERROR(__xludf.DUMMYFUNCTION("GOOGLETRANSLATE(D228,""zh-CN"",""vi"")"),"Một nửa quả dưa hấu lớn")</f>
        <v>Một nửa quả dưa hấu lớn</v>
      </c>
      <c r="G228" s="8" t="str">
        <f>IFERROR(__xludf.DUMMYFUNCTION("GOOGLETRANSLATE(E228,""zh-CN"",""vi"")"),"Mỗi miếng cắn đều ngập tràn nước ép. Kết hợp chúng lại để tạo thành một quả dưa hấu lớn.")</f>
        <v>Mỗi miếng cắn đều ngập tràn nước ép. Kết hợp chúng lại để tạo thành một quả dưa hấu lớn.</v>
      </c>
      <c r="H228" s="8"/>
      <c r="I228" s="8"/>
      <c r="J228" s="8"/>
    </row>
    <row r="229" ht="21.0" customHeight="1">
      <c r="A229" s="5">
        <v>1.0</v>
      </c>
      <c r="B229" s="6">
        <v>106.0</v>
      </c>
      <c r="C229" s="6">
        <v>6.0</v>
      </c>
      <c r="D229" s="7" t="s">
        <v>431</v>
      </c>
      <c r="E229" s="9" t="s">
        <v>432</v>
      </c>
      <c r="F229" s="8" t="str">
        <f>IFERROR(__xludf.DUMMYFUNCTION("GOOGLETRANSLATE(D229,""zh-CN"",""vi"")"),"Dưa hấu lớn")</f>
        <v>Dưa hấu lớn</v>
      </c>
      <c r="G229" s="8" t="str">
        <f>IFERROR(__xludf.DUMMYFUNCTION("GOOGLETRANSLATE(E229,""zh-CN"",""vi"")"),"Một quả dưa hấu lớn đang mọc trên mảnh đất trong sân. Chế tạo nó sẽ thu được một quả rưỡi dưa hấu.")</f>
        <v>Một quả dưa hấu lớn đang mọc trên mảnh đất trong sân. Chế tạo nó sẽ thu được một quả rưỡi dưa hấu.</v>
      </c>
      <c r="H229" s="8"/>
      <c r="I229" s="8"/>
      <c r="J229" s="8"/>
    </row>
    <row r="230" ht="21.0" customHeight="1">
      <c r="A230" s="5">
        <v>1.0</v>
      </c>
      <c r="B230" s="6">
        <v>106.0</v>
      </c>
      <c r="C230" s="6">
        <v>7.0</v>
      </c>
      <c r="D230" s="7" t="s">
        <v>433</v>
      </c>
      <c r="E230" s="9" t="s">
        <v>434</v>
      </c>
      <c r="F230" s="8" t="str">
        <f>IFERROR(__xludf.DUMMYFUNCTION("GOOGLETRANSLATE(D230,""zh-CN"",""vi"")"),"Một quả dưa hấu rưỡi")</f>
        <v>Một quả dưa hấu rưỡi</v>
      </c>
      <c r="G230" s="8" t="str">
        <f>IFERROR(__xludf.DUMMYFUNCTION("GOOGLETRANSLATE(E230,""zh-CN"",""vi"")"),"Bạn có thể mang phần thừa về nhà ăn. Khi chế biến, bạn sẽ thu được dưa hấu và nước ép dưa hấu.")</f>
        <v>Bạn có thể mang phần thừa về nhà ăn. Khi chế biến, bạn sẽ thu được dưa hấu và nước ép dưa hấu.</v>
      </c>
      <c r="H230" s="8"/>
      <c r="I230" s="8"/>
      <c r="J230" s="8"/>
    </row>
    <row r="231" ht="21.0" customHeight="1">
      <c r="A231" s="5">
        <v>1.0</v>
      </c>
      <c r="B231" s="6">
        <v>106.0</v>
      </c>
      <c r="C231" s="6">
        <v>8.0</v>
      </c>
      <c r="D231" s="7" t="s">
        <v>435</v>
      </c>
      <c r="E231" s="9" t="s">
        <v>436</v>
      </c>
      <c r="F231" s="8" t="str">
        <f>IFERROR(__xludf.DUMMYFUNCTION("GOOGLETRANSLATE(D231,""zh-CN"",""vi"")"),"Dưa hấu và nước ép dưa hấu")</f>
        <v>Dưa hấu và nước ép dưa hấu</v>
      </c>
      <c r="G231" s="8" t="str">
        <f>IFERROR(__xludf.DUMMYFUNCTION("GOOGLETRANSLATE(E231,""zh-CN"",""vi"")"),"Thưởng thức dưa hấu và đồ uống cùng lúc. Kết hợp các nguyên liệu để tạo nên một đĩa dưa hấu hấp dẫn.")</f>
        <v>Thưởng thức dưa hấu và đồ uống cùng lúc. Kết hợp các nguyên liệu để tạo nên một đĩa dưa hấu hấp dẫn.</v>
      </c>
      <c r="H231" s="8"/>
      <c r="I231" s="8"/>
      <c r="J231" s="8"/>
    </row>
    <row r="232" ht="21.0" customHeight="1">
      <c r="A232" s="5">
        <v>1.0</v>
      </c>
      <c r="B232" s="6">
        <v>106.0</v>
      </c>
      <c r="C232" s="6">
        <v>9.0</v>
      </c>
      <c r="D232" s="7" t="s">
        <v>437</v>
      </c>
      <c r="E232" s="9" t="s">
        <v>438</v>
      </c>
      <c r="F232" s="8" t="str">
        <f>IFERROR(__xludf.DUMMYFUNCTION("GOOGLETRANSLATE(D232,""zh-CN"",""vi"")"),"Đĩa dưa hấu")</f>
        <v>Đĩa dưa hấu</v>
      </c>
      <c r="G232" s="8" t="str">
        <f>IFERROR(__xludf.DUMMYFUNCTION("GOOGLETRANSLATE(E232,""zh-CN"",""vi"")"),"Những quả nhỏ bên trong rất ngon! Bạn có thể kết hợp chúng để làm món hầm dưa hấu.")</f>
        <v>Những quả nhỏ bên trong rất ngon! Bạn có thể kết hợp chúng để làm món hầm dưa hấu.</v>
      </c>
      <c r="H232" s="8"/>
      <c r="I232" s="8"/>
      <c r="J232" s="8"/>
    </row>
    <row r="233" ht="21.0" customHeight="1">
      <c r="A233" s="5">
        <v>1.0</v>
      </c>
      <c r="B233" s="6">
        <v>106.0</v>
      </c>
      <c r="C233" s="6">
        <v>10.0</v>
      </c>
      <c r="D233" s="7" t="s">
        <v>439</v>
      </c>
      <c r="E233" s="9" t="s">
        <v>440</v>
      </c>
      <c r="F233" s="8" t="str">
        <f>IFERROR(__xludf.DUMMYFUNCTION("GOOGLETRANSLATE(D233,""zh-CN"",""vi"")"),"Hỗn hợp dưa hấu")</f>
        <v>Hỗn hợp dưa hấu</v>
      </c>
      <c r="G233" s="8" t="str">
        <f>IFERROR(__xludf.DUMMYFUNCTION("GOOGLETRANSLATE(E233,""zh-CN"",""vi"")"),"Đây mới chính là cách tận hưởng mùa hè! (Cấp độ 100)")</f>
        <v>Đây mới chính là cách tận hưởng mùa hè! (Cấp độ 100)</v>
      </c>
      <c r="H233" s="8"/>
      <c r="I233" s="8"/>
      <c r="J233" s="8"/>
    </row>
    <row r="234" ht="21.0" customHeight="1">
      <c r="A234" s="5">
        <v>1.0</v>
      </c>
      <c r="B234" s="6">
        <v>107.0</v>
      </c>
      <c r="C234" s="6">
        <v>1.0</v>
      </c>
      <c r="D234" s="7" t="s">
        <v>441</v>
      </c>
      <c r="E234" s="9" t="s">
        <v>442</v>
      </c>
      <c r="F234" s="8" t="str">
        <f>IFERROR(__xludf.DUMMYFUNCTION("GOOGLETRANSLATE(D234,""zh-CN"",""vi"")"),"Cánh hoa hồng")</f>
        <v>Cánh hoa hồng</v>
      </c>
      <c r="G234" s="8" t="str">
        <f>IFERROR(__xludf.DUMMYFUNCTION("GOOGLETRANSLATE(E234,""zh-CN"",""vi"")"),"Một cánh hoa hồng đơn lẻ. Kết hợp chúng lại sẽ tạo thành một đống cánh hoa hồng.")</f>
        <v>Một cánh hoa hồng đơn lẻ. Kết hợp chúng lại sẽ tạo thành một đống cánh hoa hồng.</v>
      </c>
      <c r="H234" s="8"/>
      <c r="I234" s="8"/>
      <c r="J234" s="8"/>
    </row>
    <row r="235" ht="21.0" customHeight="1">
      <c r="A235" s="5">
        <v>1.0</v>
      </c>
      <c r="B235" s="6">
        <v>107.0</v>
      </c>
      <c r="C235" s="6">
        <v>2.0</v>
      </c>
      <c r="D235" s="7" t="s">
        <v>443</v>
      </c>
      <c r="E235" s="9" t="s">
        <v>444</v>
      </c>
      <c r="F235" s="8" t="str">
        <f>IFERROR(__xludf.DUMMYFUNCTION("GOOGLETRANSLATE(D235,""zh-CN"",""vi"")"),"Đống cánh hoa hồng")</f>
        <v>Đống cánh hoa hồng</v>
      </c>
      <c r="G235" s="8" t="str">
        <f>IFERROR(__xludf.DUMMYFUNCTION("GOOGLETRANSLATE(E235,""zh-CN"",""vi"")"),"Một đống cánh hoa hồng. Kết hợp chúng lại để tạo thành một nụ hoa hồng.")</f>
        <v>Một đống cánh hoa hồng. Kết hợp chúng lại để tạo thành một nụ hoa hồng.</v>
      </c>
      <c r="H235" s="8"/>
      <c r="I235" s="8"/>
      <c r="J235" s="8"/>
    </row>
    <row r="236" ht="21.0" customHeight="1">
      <c r="A236" s="5">
        <v>1.0</v>
      </c>
      <c r="B236" s="6">
        <v>107.0</v>
      </c>
      <c r="C236" s="6">
        <v>3.0</v>
      </c>
      <c r="D236" s="7" t="s">
        <v>445</v>
      </c>
      <c r="E236" s="9" t="s">
        <v>446</v>
      </c>
      <c r="F236" s="8" t="str">
        <f>IFERROR(__xludf.DUMMYFUNCTION("GOOGLETRANSLATE(D236,""zh-CN"",""vi"")"),"Nụ hoa hồng")</f>
        <v>Nụ hoa hồng</v>
      </c>
      <c r="G236" s="8" t="str">
        <f>IFERROR(__xludf.DUMMYFUNCTION("GOOGLETRANSLATE(E236,""zh-CN"",""vi"")"),"Một nụ hồng. Việc tạo hình từ nụ hồng này sẽ tạo ra một bông hồng nở rộ.")</f>
        <v>Một nụ hồng. Việc tạo hình từ nụ hồng này sẽ tạo ra một bông hồng nở rộ.</v>
      </c>
      <c r="H236" s="8"/>
      <c r="I236" s="8"/>
      <c r="J236" s="8"/>
    </row>
    <row r="237" ht="21.0" customHeight="1">
      <c r="A237" s="5">
        <v>1.0</v>
      </c>
      <c r="B237" s="6">
        <v>107.0</v>
      </c>
      <c r="C237" s="6">
        <v>4.0</v>
      </c>
      <c r="D237" s="7" t="s">
        <v>447</v>
      </c>
      <c r="E237" s="9" t="s">
        <v>448</v>
      </c>
      <c r="F237" s="8" t="str">
        <f>IFERROR(__xludf.DUMMYFUNCTION("GOOGLETRANSLATE(D237,""zh-CN"",""vi"")"),"Hoa hồng nở rộ")</f>
        <v>Hoa hồng nở rộ</v>
      </c>
      <c r="G237" s="8" t="str">
        <f>IFERROR(__xludf.DUMMYFUNCTION("GOOGLETRANSLATE(E237,""zh-CN"",""vi"")"),"Hoa hồng đang nở rộ. Việc kết tinh chúng tạo ra một bông hồng hai màu.")</f>
        <v>Hoa hồng đang nở rộ. Việc kết tinh chúng tạo ra một bông hồng hai màu.</v>
      </c>
      <c r="H237" s="8"/>
      <c r="I237" s="8"/>
      <c r="J237" s="8"/>
    </row>
    <row r="238" ht="21.0" customHeight="1">
      <c r="A238" s="5">
        <v>1.0</v>
      </c>
      <c r="B238" s="6">
        <v>107.0</v>
      </c>
      <c r="C238" s="6">
        <v>5.0</v>
      </c>
      <c r="D238" s="7" t="s">
        <v>449</v>
      </c>
      <c r="E238" s="9" t="s">
        <v>450</v>
      </c>
      <c r="F238" s="8" t="str">
        <f>IFERROR(__xludf.DUMMYFUNCTION("GOOGLETRANSLATE(D238,""zh-CN"",""vi"")"),"Hoa hồng hai màu")</f>
        <v>Hoa hồng hai màu</v>
      </c>
      <c r="G238" s="8" t="str">
        <f>IFERROR(__xludf.DUMMYFUNCTION("GOOGLETRANSLATE(E238,""zh-CN"",""vi"")"),"Hai bông hồng kỳ diệu với hai màu sắc khác nhau. Hãy kết hợp chúng lại để tạo nên Bông Hồng Yên Tĩnh.")</f>
        <v>Hai bông hồng kỳ diệu với hai màu sắc khác nhau. Hãy kết hợp chúng lại để tạo nên Bông Hồng Yên Tĩnh.</v>
      </c>
      <c r="H238" s="8"/>
      <c r="I238" s="8"/>
      <c r="J238" s="8"/>
    </row>
    <row r="239" ht="21.0" customHeight="1">
      <c r="A239" s="5">
        <v>1.0</v>
      </c>
      <c r="B239" s="6">
        <v>107.0</v>
      </c>
      <c r="C239" s="6">
        <v>6.0</v>
      </c>
      <c r="D239" s="7" t="s">
        <v>451</v>
      </c>
      <c r="E239" s="9" t="s">
        <v>452</v>
      </c>
      <c r="F239" s="8" t="str">
        <f>IFERROR(__xludf.DUMMYFUNCTION("GOOGLETRANSLATE(D239,""zh-CN"",""vi"")"),"Hoa hồng lặng lẽ")</f>
        <v>Hoa hồng lặng lẽ</v>
      </c>
      <c r="G239" s="8" t="str">
        <f>IFERROR(__xludf.DUMMYFUNCTION("GOOGLETRANSLATE(E239,""zh-CN"",""vi"")"),"Một đóa hồng toát lên vẻ đẹp thanh bình. Có thể kết hợp với các giống khác để tạo ra ""Hoa hồng mạnh mẽ"".")</f>
        <v>Một đóa hồng toát lên vẻ đẹp thanh bình. Có thể kết hợp với các giống khác để tạo ra "Hoa hồng mạnh mẽ".</v>
      </c>
      <c r="H239" s="8"/>
      <c r="I239" s="8"/>
      <c r="J239" s="8"/>
    </row>
    <row r="240" ht="21.0" customHeight="1">
      <c r="A240" s="5">
        <v>1.0</v>
      </c>
      <c r="B240" s="6">
        <v>107.0</v>
      </c>
      <c r="C240" s="6">
        <v>7.0</v>
      </c>
      <c r="D240" s="7" t="s">
        <v>453</v>
      </c>
      <c r="E240" s="9" t="s">
        <v>454</v>
      </c>
      <c r="F240" s="8" t="str">
        <f>IFERROR(__xludf.DUMMYFUNCTION("GOOGLETRANSLATE(D240,""zh-CN"",""vi"")"),"Hoa hồng mạnh mẽ")</f>
        <v>Hoa hồng mạnh mẽ</v>
      </c>
      <c r="G240" s="8" t="str">
        <f>IFERROR(__xludf.DUMMYFUNCTION("GOOGLETRANSLATE(E240,""zh-CN"",""vi"")"),"Qua gió mưa, cầu vồng hiện ra; một đóa hồng kiên cường nở rộ. Thành phẩm sẽ là một chiếc bình và một đóa hồng.")</f>
        <v>Qua gió mưa, cầu vồng hiện ra; một đóa hồng kiên cường nở rộ. Thành phẩm sẽ là một chiếc bình và một đóa hồng.</v>
      </c>
      <c r="H240" s="8"/>
      <c r="I240" s="8"/>
      <c r="J240" s="8"/>
    </row>
    <row r="241" ht="21.0" customHeight="1">
      <c r="A241" s="5">
        <v>1.0</v>
      </c>
      <c r="B241" s="6">
        <v>107.0</v>
      </c>
      <c r="C241" s="6">
        <v>8.0</v>
      </c>
      <c r="D241" s="7" t="s">
        <v>455</v>
      </c>
      <c r="E241" s="9" t="s">
        <v>456</v>
      </c>
      <c r="F241" s="8" t="str">
        <f>IFERROR(__xludf.DUMMYFUNCTION("GOOGLETRANSLATE(D241,""zh-CN"",""vi"")"),"Bình hoa và hoa hồng")</f>
        <v>Bình hoa và hoa hồng</v>
      </c>
      <c r="G241" s="8" t="str">
        <f>IFERROR(__xludf.DUMMYFUNCTION("GOOGLETRANSLATE(E241,""zh-CN"",""vi"")"),"Bình hoa và hoa hồng là một sự kết hợp hoàn hảo. Kết hợp chúng sẽ tạo thành một bó hoa hồng.")</f>
        <v>Bình hoa và hoa hồng là một sự kết hợp hoàn hảo. Kết hợp chúng sẽ tạo thành một bó hoa hồng.</v>
      </c>
      <c r="H241" s="8"/>
      <c r="I241" s="8"/>
      <c r="J241" s="8"/>
    </row>
    <row r="242" ht="21.0" customHeight="1">
      <c r="A242" s="5">
        <v>1.0</v>
      </c>
      <c r="B242" s="6">
        <v>107.0</v>
      </c>
      <c r="C242" s="6">
        <v>9.0</v>
      </c>
      <c r="D242" s="7" t="s">
        <v>457</v>
      </c>
      <c r="E242" s="9" t="s">
        <v>458</v>
      </c>
      <c r="F242" s="8" t="str">
        <f>IFERROR(__xludf.DUMMYFUNCTION("GOOGLETRANSLATE(D242,""zh-CN"",""vi"")"),"Một cụm hoa hồng")</f>
        <v>Một cụm hoa hồng</v>
      </c>
      <c r="G242" s="8" t="str">
        <f>IFERROR(__xludf.DUMMYFUNCTION("GOOGLETRANSLATE(E242,""zh-CN"",""vi"")"),"Một cụm hoa hồng rực rỡ, đẫm sương. Kết hợp chúng lại để nhận được Mảnh Hoa Hồng Tiên.")</f>
        <v>Một cụm hoa hồng rực rỡ, đẫm sương. Kết hợp chúng lại để nhận được Mảnh Hoa Hồng Tiên.</v>
      </c>
      <c r="H242" s="8"/>
      <c r="I242" s="8"/>
      <c r="J242" s="8"/>
    </row>
    <row r="243" ht="21.0" customHeight="1">
      <c r="A243" s="5">
        <v>1.0</v>
      </c>
      <c r="B243" s="6">
        <v>107.0</v>
      </c>
      <c r="C243" s="6">
        <v>10.0</v>
      </c>
      <c r="D243" s="7" t="s">
        <v>459</v>
      </c>
      <c r="E243" s="9" t="s">
        <v>460</v>
      </c>
      <c r="F243" s="8" t="str">
        <f>IFERROR(__xludf.DUMMYFUNCTION("GOOGLETRANSLATE(D243,""zh-CN"",""vi"")"),"Những mảnh vỡ của nàng tiên hoa hồng")</f>
        <v>Những mảnh vỡ của nàng tiên hoa hồng</v>
      </c>
      <c r="G243" s="8" t="str">
        <f>IFERROR(__xludf.DUMMYFUNCTION("GOOGLETRANSLATE(E243,""zh-CN"",""vi"")"),"Kết hợp hai Mảnh Tiên Hoa Hồng để có cơ hội bắt được một nàng tiên!")</f>
        <v>Kết hợp hai Mảnh Tiên Hoa Hồng để có cơ hội bắt được một nàng tiên!</v>
      </c>
      <c r="H243" s="8"/>
      <c r="I243" s="8"/>
      <c r="J243" s="8"/>
    </row>
    <row r="244" ht="21.0" customHeight="1">
      <c r="A244" s="5">
        <v>13.0</v>
      </c>
      <c r="B244" s="6">
        <v>107.0</v>
      </c>
      <c r="C244" s="6">
        <v>11.0</v>
      </c>
      <c r="D244" s="7" t="s">
        <v>461</v>
      </c>
      <c r="E244" s="9" t="s">
        <v>462</v>
      </c>
      <c r="F244" s="8" t="str">
        <f>IFERROR(__xludf.DUMMYFUNCTION("GOOGLETRANSLATE(D244,""zh-CN"",""vi"")"),"Nàng tiên vàng hồng")</f>
        <v>Nàng tiên vàng hồng</v>
      </c>
      <c r="G244" s="8" t="str">
        <f>IFERROR(__xludf.DUMMYFUNCTION("GOOGLETRANSLATE(E244,""zh-CN"",""vi"")"),"Vù vù vù~ Tôi ngửi thấy mùi tiền vàng khắp nơi.")</f>
        <v>Vù vù vù~ Tôi ngửi thấy mùi tiền vàng khắp nơi.</v>
      </c>
      <c r="H244" s="8"/>
      <c r="I244" s="8"/>
      <c r="J244" s="8"/>
    </row>
    <row r="245" ht="21.0" customHeight="1">
      <c r="A245" s="5">
        <v>2.0</v>
      </c>
      <c r="B245" s="6">
        <v>201.0</v>
      </c>
      <c r="C245" s="6">
        <v>1.0</v>
      </c>
      <c r="D245" s="7" t="s">
        <v>463</v>
      </c>
      <c r="E245" s="9" t="s">
        <v>464</v>
      </c>
      <c r="F245" s="8" t="str">
        <f>IFERROR(__xludf.DUMMYFUNCTION("GOOGLETRANSLATE(D245,""zh-CN"",""vi"")"),"1 đồng tiền vàng")</f>
        <v>1 đồng tiền vàng</v>
      </c>
      <c r="G245" s="8" t="str">
        <f>IFERROR(__xludf.DUMMYFUNCTION("GOOGLETRANSLATE(E245,""zh-CN"",""vi"")"),"Nhấp đúp chuột để nhận 1 đồng vàng. Quá trình tổng hợp cho phép bạn đạt được cấp độ cao hơn.")</f>
        <v>Nhấp đúp chuột để nhận 1 đồng vàng. Quá trình tổng hợp cho phép bạn đạt được cấp độ cao hơn.</v>
      </c>
      <c r="H245" s="8"/>
      <c r="I245" s="8"/>
      <c r="J245" s="8"/>
    </row>
    <row r="246" ht="21.0" customHeight="1">
      <c r="A246" s="5">
        <v>2.0</v>
      </c>
      <c r="B246" s="6">
        <v>201.0</v>
      </c>
      <c r="C246" s="6">
        <v>2.0</v>
      </c>
      <c r="D246" s="7" t="s">
        <v>465</v>
      </c>
      <c r="E246" s="9" t="s">
        <v>466</v>
      </c>
      <c r="F246" s="8" t="str">
        <f>IFERROR(__xludf.DUMMYFUNCTION("GOOGLETRANSLATE(D246,""zh-CN"",""vi"")"),"2 đồng tiền vàng")</f>
        <v>2 đồng tiền vàng</v>
      </c>
      <c r="G246" s="8" t="str">
        <f>IFERROR(__xludf.DUMMYFUNCTION("GOOGLETRANSLATE(E246,""zh-CN"",""vi"")"),"Nhấp đúp chuột để nhận 2 đồng xu. Kết hợp chúng để lên cấp cao hơn.")</f>
        <v>Nhấp đúp chuột để nhận 2 đồng xu. Kết hợp chúng để lên cấp cao hơn.</v>
      </c>
      <c r="H246" s="8"/>
      <c r="I246" s="8"/>
      <c r="J246" s="8"/>
    </row>
    <row r="247" ht="21.0" customHeight="1">
      <c r="A247" s="5">
        <v>2.0</v>
      </c>
      <c r="B247" s="6">
        <v>201.0</v>
      </c>
      <c r="C247" s="6">
        <v>3.0</v>
      </c>
      <c r="D247" s="7" t="s">
        <v>467</v>
      </c>
      <c r="E247" s="9" t="s">
        <v>468</v>
      </c>
      <c r="F247" s="8" t="str">
        <f>IFERROR(__xludf.DUMMYFUNCTION("GOOGLETRANSLATE(D247,""zh-CN"",""vi"")"),"4 đồng tiền vàng")</f>
        <v>4 đồng tiền vàng</v>
      </c>
      <c r="G247" s="8" t="str">
        <f>IFERROR(__xludf.DUMMYFUNCTION("GOOGLETRANSLATE(E247,""zh-CN"",""vi"")"),"Nhấp đúp chuột để nhận 4 đồng xu. Kết hợp chúng để lên cấp cao hơn.")</f>
        <v>Nhấp đúp chuột để nhận 4 đồng xu. Kết hợp chúng để lên cấp cao hơn.</v>
      </c>
      <c r="H247" s="8"/>
      <c r="I247" s="8"/>
      <c r="J247" s="8"/>
    </row>
    <row r="248" ht="21.0" customHeight="1">
      <c r="A248" s="5">
        <v>2.0</v>
      </c>
      <c r="B248" s="6">
        <v>201.0</v>
      </c>
      <c r="C248" s="6">
        <v>4.0</v>
      </c>
      <c r="D248" s="7" t="s">
        <v>469</v>
      </c>
      <c r="E248" s="9" t="s">
        <v>470</v>
      </c>
      <c r="F248" s="8" t="str">
        <f>IFERROR(__xludf.DUMMYFUNCTION("GOOGLETRANSLATE(D248,""zh-CN"",""vi"")"),"8 đồng tiền vàng")</f>
        <v>8 đồng tiền vàng</v>
      </c>
      <c r="G248" s="8" t="str">
        <f>IFERROR(__xludf.DUMMYFUNCTION("GOOGLETRANSLATE(E248,""zh-CN"",""vi"")"),"Nhấp đúp chuột để nhận 8 đồng xu. Kết hợp chúng để lên cấp cao hơn.")</f>
        <v>Nhấp đúp chuột để nhận 8 đồng xu. Kết hợp chúng để lên cấp cao hơn.</v>
      </c>
      <c r="H248" s="8"/>
      <c r="I248" s="8"/>
      <c r="J248" s="8"/>
    </row>
    <row r="249" ht="21.0" customHeight="1">
      <c r="A249" s="5">
        <v>2.0</v>
      </c>
      <c r="B249" s="6">
        <v>201.0</v>
      </c>
      <c r="C249" s="6">
        <v>5.0</v>
      </c>
      <c r="D249" s="7" t="s">
        <v>471</v>
      </c>
      <c r="E249" s="9" t="s">
        <v>472</v>
      </c>
      <c r="F249" s="8" t="str">
        <f>IFERROR(__xludf.DUMMYFUNCTION("GOOGLETRANSLATE(D249,""zh-CN"",""vi"")"),"16 đồng tiền vàng")</f>
        <v>16 đồng tiền vàng</v>
      </c>
      <c r="G249" s="8" t="str">
        <f>IFERROR(__xludf.DUMMYFUNCTION("GOOGLETRANSLATE(E249,""zh-CN"",""vi"")"),"Nhấp đúp chuột để nhận 16 đồng xu. Kết hợp chúng để đạt cấp độ cao hơn.")</f>
        <v>Nhấp đúp chuột để nhận 16 đồng xu. Kết hợp chúng để đạt cấp độ cao hơn.</v>
      </c>
      <c r="H249" s="8"/>
      <c r="I249" s="8"/>
      <c r="J249" s="8"/>
    </row>
    <row r="250" ht="21.0" customHeight="1">
      <c r="A250" s="5">
        <v>2.0</v>
      </c>
      <c r="B250" s="6">
        <v>201.0</v>
      </c>
      <c r="C250" s="6">
        <v>6.0</v>
      </c>
      <c r="D250" s="7" t="s">
        <v>473</v>
      </c>
      <c r="E250" s="9" t="s">
        <v>474</v>
      </c>
      <c r="F250" s="8" t="str">
        <f>IFERROR(__xludf.DUMMYFUNCTION("GOOGLETRANSLATE(D250,""zh-CN"",""vi"")"),"32 đồng tiền vàng")</f>
        <v>32 đồng tiền vàng</v>
      </c>
      <c r="G250" s="8" t="str">
        <f>IFERROR(__xludf.DUMMYFUNCTION("GOOGLETRANSLATE(E250,""zh-CN"",""vi"")"),"Nhấp đúp chuột để nhận 32 xu. Bạn đã đạt cấp độ tối đa.")</f>
        <v>Nhấp đúp chuột để nhận 32 xu. Bạn đã đạt cấp độ tối đa.</v>
      </c>
      <c r="H250" s="8"/>
      <c r="I250" s="8"/>
      <c r="J250" s="8"/>
    </row>
    <row r="251" ht="21.0" customHeight="1">
      <c r="A251" s="5">
        <v>2.0</v>
      </c>
      <c r="B251" s="6">
        <v>201.0</v>
      </c>
      <c r="C251" s="6">
        <v>6.0</v>
      </c>
      <c r="D251" s="7" t="s">
        <v>475</v>
      </c>
      <c r="E251" s="9" t="s">
        <v>476</v>
      </c>
      <c r="F251" s="8" t="str">
        <f>IFERROR(__xludf.DUMMYFUNCTION("GOOGLETRANSLATE(D251,""zh-CN"",""vi"")"),"50 đồng tiền vàng")</f>
        <v>50 đồng tiền vàng</v>
      </c>
      <c r="G251" s="8" t="str">
        <f>IFERROR(__xludf.DUMMYFUNCTION("GOOGLETRANSLATE(E251,""zh-CN"",""vi"")"),"Nhấp đúp chuột để nhận 50 xu. Bạn đã đạt cấp độ tối đa.")</f>
        <v>Nhấp đúp chuột để nhận 50 xu. Bạn đã đạt cấp độ tối đa.</v>
      </c>
      <c r="H251" s="8"/>
      <c r="I251" s="8"/>
      <c r="J251" s="8"/>
    </row>
    <row r="252" ht="21.0" customHeight="1">
      <c r="A252" s="30">
        <v>2.0</v>
      </c>
      <c r="B252" s="31">
        <v>202.0</v>
      </c>
      <c r="C252" s="31">
        <v>1.0</v>
      </c>
      <c r="D252" s="32" t="s">
        <v>477</v>
      </c>
      <c r="E252" s="33" t="s">
        <v>464</v>
      </c>
      <c r="F252" s="8" t="str">
        <f>IFERROR(__xludf.DUMMYFUNCTION("GOOGLETRANSLATE(D252,""zh-CN"",""vi"")"),"1 đồng xu vàng (hộp kín)")</f>
        <v>1 đồng xu vàng (hộp kín)</v>
      </c>
      <c r="G252" s="8" t="str">
        <f>IFERROR(__xludf.DUMMYFUNCTION("GOOGLETRANSLATE(E252,""zh-CN"",""vi"")"),"Nhấp đúp chuột để nhận 1 đồng vàng. Quá trình tổng hợp cho phép bạn đạt được cấp độ cao hơn.")</f>
        <v>Nhấp đúp chuột để nhận 1 đồng vàng. Quá trình tổng hợp cho phép bạn đạt được cấp độ cao hơn.</v>
      </c>
      <c r="H252" s="27"/>
      <c r="I252" s="27"/>
      <c r="J252" s="27"/>
    </row>
    <row r="253" ht="21.0" customHeight="1">
      <c r="A253" s="30">
        <v>2.0</v>
      </c>
      <c r="B253" s="31">
        <v>202.0</v>
      </c>
      <c r="C253" s="31">
        <v>2.0</v>
      </c>
      <c r="D253" s="32" t="s">
        <v>478</v>
      </c>
      <c r="E253" s="33" t="s">
        <v>466</v>
      </c>
      <c r="F253" s="8" t="str">
        <f>IFERROR(__xludf.DUMMYFUNCTION("GOOGLETRANSLATE(D253,""zh-CN"",""vi"")"),"2 đồng xu vàng (hộp kín)")</f>
        <v>2 đồng xu vàng (hộp kín)</v>
      </c>
      <c r="G253" s="8" t="str">
        <f>IFERROR(__xludf.DUMMYFUNCTION("GOOGLETRANSLATE(E253,""zh-CN"",""vi"")"),"Nhấp đúp chuột để nhận 2 đồng xu. Kết hợp chúng để lên cấp cao hơn.")</f>
        <v>Nhấp đúp chuột để nhận 2 đồng xu. Kết hợp chúng để lên cấp cao hơn.</v>
      </c>
      <c r="H253" s="27"/>
      <c r="I253" s="27"/>
      <c r="J253" s="27"/>
    </row>
    <row r="254" ht="21.0" customHeight="1">
      <c r="A254" s="30">
        <v>2.0</v>
      </c>
      <c r="B254" s="31">
        <v>202.0</v>
      </c>
      <c r="C254" s="31">
        <v>3.0</v>
      </c>
      <c r="D254" s="32" t="s">
        <v>479</v>
      </c>
      <c r="E254" s="33" t="s">
        <v>468</v>
      </c>
      <c r="F254" s="8" t="str">
        <f>IFERROR(__xludf.DUMMYFUNCTION("GOOGLETRANSLATE(D254,""zh-CN"",""vi"")"),"4 đồng tiền vàng (hộp kín)")</f>
        <v>4 đồng tiền vàng (hộp kín)</v>
      </c>
      <c r="G254" s="8" t="str">
        <f>IFERROR(__xludf.DUMMYFUNCTION("GOOGLETRANSLATE(E254,""zh-CN"",""vi"")"),"Nhấp đúp chuột để nhận 4 đồng xu. Kết hợp chúng để lên cấp cao hơn.")</f>
        <v>Nhấp đúp chuột để nhận 4 đồng xu. Kết hợp chúng để lên cấp cao hơn.</v>
      </c>
      <c r="H254" s="27"/>
      <c r="I254" s="27"/>
      <c r="J254" s="27"/>
    </row>
    <row r="255" ht="21.0" customHeight="1">
      <c r="A255" s="30">
        <v>2.0</v>
      </c>
      <c r="B255" s="31">
        <v>202.0</v>
      </c>
      <c r="C255" s="31">
        <v>4.0</v>
      </c>
      <c r="D255" s="32" t="s">
        <v>480</v>
      </c>
      <c r="E255" s="33" t="s">
        <v>470</v>
      </c>
      <c r="F255" s="8" t="str">
        <f>IFERROR(__xludf.DUMMYFUNCTION("GOOGLETRANSLATE(D255,""zh-CN"",""vi"")"),"8 đồng tiền vàng (hộp bí ẩn)")</f>
        <v>8 đồng tiền vàng (hộp bí ẩn)</v>
      </c>
      <c r="G255" s="8" t="str">
        <f>IFERROR(__xludf.DUMMYFUNCTION("GOOGLETRANSLATE(E255,""zh-CN"",""vi"")"),"Nhấp đúp chuột để nhận 8 đồng xu. Kết hợp chúng để lên cấp cao hơn.")</f>
        <v>Nhấp đúp chuột để nhận 8 đồng xu. Kết hợp chúng để lên cấp cao hơn.</v>
      </c>
      <c r="H255" s="27"/>
      <c r="I255" s="27"/>
      <c r="J255" s="27"/>
    </row>
    <row r="256" ht="21.0" customHeight="1">
      <c r="A256" s="30">
        <v>2.0</v>
      </c>
      <c r="B256" s="31">
        <v>202.0</v>
      </c>
      <c r="C256" s="31">
        <v>5.0</v>
      </c>
      <c r="D256" s="32" t="s">
        <v>481</v>
      </c>
      <c r="E256" s="33" t="s">
        <v>472</v>
      </c>
      <c r="F256" s="8" t="str">
        <f>IFERROR(__xludf.DUMMYFUNCTION("GOOGLETRANSLATE(D256,""zh-CN"",""vi"")"),"16 đồng tiền vàng (hộp kín)")</f>
        <v>16 đồng tiền vàng (hộp kín)</v>
      </c>
      <c r="G256" s="8" t="str">
        <f>IFERROR(__xludf.DUMMYFUNCTION("GOOGLETRANSLATE(E256,""zh-CN"",""vi"")"),"Nhấp đúp chuột để nhận 16 đồng xu. Kết hợp chúng để đạt cấp độ cao hơn.")</f>
        <v>Nhấp đúp chuột để nhận 16 đồng xu. Kết hợp chúng để đạt cấp độ cao hơn.</v>
      </c>
      <c r="H256" s="27"/>
      <c r="I256" s="27"/>
      <c r="J256" s="27"/>
    </row>
    <row r="257" ht="21.0" customHeight="1">
      <c r="A257" s="30">
        <v>2.0</v>
      </c>
      <c r="B257" s="31">
        <v>202.0</v>
      </c>
      <c r="C257" s="31">
        <v>6.0</v>
      </c>
      <c r="D257" s="32" t="s">
        <v>482</v>
      </c>
      <c r="E257" s="33" t="s">
        <v>474</v>
      </c>
      <c r="F257" s="8" t="str">
        <f>IFERROR(__xludf.DUMMYFUNCTION("GOOGLETRANSLATE(D257,""zh-CN"",""vi"")"),"32 đồng tiền vàng (hộp kín)")</f>
        <v>32 đồng tiền vàng (hộp kín)</v>
      </c>
      <c r="G257" s="8" t="str">
        <f>IFERROR(__xludf.DUMMYFUNCTION("GOOGLETRANSLATE(E257,""zh-CN"",""vi"")"),"Nhấp đúp chuột để nhận 32 xu. Bạn đã đạt cấp độ tối đa.")</f>
        <v>Nhấp đúp chuột để nhận 32 xu. Bạn đã đạt cấp độ tối đa.</v>
      </c>
      <c r="H257" s="27"/>
      <c r="I257" s="27"/>
      <c r="J257" s="27"/>
    </row>
    <row r="258" ht="21.0" customHeight="1">
      <c r="A258" s="30">
        <v>2.0</v>
      </c>
      <c r="B258" s="31">
        <v>202.0</v>
      </c>
      <c r="C258" s="31">
        <v>1.0</v>
      </c>
      <c r="D258" s="32" t="s">
        <v>483</v>
      </c>
      <c r="E258" s="33" t="s">
        <v>484</v>
      </c>
      <c r="F258" s="8" t="str">
        <f>IFERROR(__xludf.DUMMYFUNCTION("GOOGLETRANSLATE(D258,""zh-CN"",""vi"")"),"400 đồng tiền vàng")</f>
        <v>400 đồng tiền vàng</v>
      </c>
      <c r="G258" s="8" t="str">
        <f>IFERROR(__xludf.DUMMYFUNCTION("GOOGLETRANSLATE(E258,""zh-CN"",""vi"")"),"Nhấp đúp chuột để nhận 400 đồng vàng.")</f>
        <v>Nhấp đúp chuột để nhận 400 đồng vàng.</v>
      </c>
      <c r="H258" s="27"/>
      <c r="I258" s="27"/>
      <c r="J258" s="27"/>
    </row>
    <row r="259" ht="21.0" customHeight="1">
      <c r="A259" s="30">
        <v>2.0</v>
      </c>
      <c r="B259" s="31">
        <v>202.0</v>
      </c>
      <c r="C259" s="31">
        <v>1.0</v>
      </c>
      <c r="D259" s="32" t="s">
        <v>485</v>
      </c>
      <c r="E259" s="33" t="s">
        <v>486</v>
      </c>
      <c r="F259" s="8" t="str">
        <f>IFERROR(__xludf.DUMMYFUNCTION("GOOGLETRANSLATE(D259,""zh-CN"",""vi"")"),"300 đồng tiền vàng")</f>
        <v>300 đồng tiền vàng</v>
      </c>
      <c r="G259" s="8" t="str">
        <f>IFERROR(__xludf.DUMMYFUNCTION("GOOGLETRANSLATE(E259,""zh-CN"",""vi"")"),"Nhấp đúp chuột để nhận 300 đồng vàng.")</f>
        <v>Nhấp đúp chuột để nhận 300 đồng vàng.</v>
      </c>
      <c r="H259" s="27"/>
      <c r="I259" s="27"/>
      <c r="J259" s="27"/>
    </row>
    <row r="260" ht="21.0" customHeight="1">
      <c r="A260" s="30">
        <v>2.0</v>
      </c>
      <c r="B260" s="31">
        <v>202.0</v>
      </c>
      <c r="C260" s="31">
        <v>1.0</v>
      </c>
      <c r="D260" s="32" t="s">
        <v>487</v>
      </c>
      <c r="E260" s="33" t="s">
        <v>488</v>
      </c>
      <c r="F260" s="8" t="str">
        <f>IFERROR(__xludf.DUMMYFUNCTION("GOOGLETRANSLATE(D260,""zh-CN"",""vi"")"),"100 đồng tiền vàng")</f>
        <v>100 đồng tiền vàng</v>
      </c>
      <c r="G260" s="8" t="str">
        <f>IFERROR(__xludf.DUMMYFUNCTION("GOOGLETRANSLATE(E260,""zh-CN"",""vi"")"),"Nhấp đúp chuột để nhận 100 đồng vàng.")</f>
        <v>Nhấp đúp chuột để nhận 100 đồng vàng.</v>
      </c>
      <c r="H260" s="8"/>
      <c r="I260" s="8"/>
      <c r="J260" s="8"/>
    </row>
    <row r="261" ht="21.0" customHeight="1">
      <c r="A261" s="30">
        <v>2.0</v>
      </c>
      <c r="B261" s="31">
        <v>202.0</v>
      </c>
      <c r="C261" s="31">
        <v>1.0</v>
      </c>
      <c r="D261" s="32" t="s">
        <v>489</v>
      </c>
      <c r="E261" s="33" t="s">
        <v>490</v>
      </c>
      <c r="F261" s="8" t="str">
        <f>IFERROR(__xludf.DUMMYFUNCTION("GOOGLETRANSLATE(D261,""zh-CN"",""vi"")"),"150 đồng tiền vàng")</f>
        <v>150 đồng tiền vàng</v>
      </c>
      <c r="G261" s="8" t="str">
        <f>IFERROR(__xludf.DUMMYFUNCTION("GOOGLETRANSLATE(E261,""zh-CN"",""vi"")"),"Nhấp đúp chuột để nhận 150 đồng vàng.")</f>
        <v>Nhấp đúp chuột để nhận 150 đồng vàng.</v>
      </c>
      <c r="H261" s="8"/>
      <c r="I261" s="8"/>
      <c r="J261" s="8"/>
    </row>
    <row r="262" ht="21.0" customHeight="1">
      <c r="A262" s="2">
        <v>2.0</v>
      </c>
      <c r="B262" s="23">
        <v>203.0</v>
      </c>
      <c r="C262" s="23">
        <v>1.0</v>
      </c>
      <c r="D262" s="7" t="s">
        <v>483</v>
      </c>
      <c r="E262" s="9" t="s">
        <v>484</v>
      </c>
      <c r="F262" s="8" t="str">
        <f>IFERROR(__xludf.DUMMYFUNCTION("GOOGLETRANSLATE(D262,""zh-CN"",""vi"")"),"400 đồng tiền vàng")</f>
        <v>400 đồng tiền vàng</v>
      </c>
      <c r="G262" s="8" t="str">
        <f>IFERROR(__xludf.DUMMYFUNCTION("GOOGLETRANSLATE(E262,""zh-CN"",""vi"")"),"Nhấp đúp chuột để nhận 400 đồng vàng.")</f>
        <v>Nhấp đúp chuột để nhận 400 đồng vàng.</v>
      </c>
      <c r="H262" s="8"/>
      <c r="I262" s="8"/>
      <c r="J262" s="8"/>
    </row>
    <row r="263" ht="21.0" customHeight="1">
      <c r="A263" s="2">
        <v>2.0</v>
      </c>
      <c r="B263" s="23">
        <v>203.0</v>
      </c>
      <c r="C263" s="23">
        <v>1.0</v>
      </c>
      <c r="D263" s="7" t="s">
        <v>491</v>
      </c>
      <c r="E263" s="9" t="s">
        <v>492</v>
      </c>
      <c r="F263" s="8" t="str">
        <f>IFERROR(__xludf.DUMMYFUNCTION("GOOGLETRANSLATE(D263,""zh-CN"",""vi"")"),"500 đồng tiền vàng")</f>
        <v>500 đồng tiền vàng</v>
      </c>
      <c r="G263" s="8" t="str">
        <f>IFERROR(__xludf.DUMMYFUNCTION("GOOGLETRANSLATE(E263,""zh-CN"",""vi"")"),"Nhấp đúp chuột để nhận 500 đồng vàng.")</f>
        <v>Nhấp đúp chuột để nhận 500 đồng vàng.</v>
      </c>
      <c r="H263" s="8"/>
      <c r="I263" s="8"/>
      <c r="J263" s="8"/>
    </row>
    <row r="264" ht="21.0" customHeight="1">
      <c r="A264" s="2">
        <v>2.0</v>
      </c>
      <c r="B264" s="23">
        <v>204.0</v>
      </c>
      <c r="C264" s="23">
        <v>1.0</v>
      </c>
      <c r="D264" s="7" t="s">
        <v>485</v>
      </c>
      <c r="E264" s="9" t="s">
        <v>486</v>
      </c>
      <c r="F264" s="8" t="str">
        <f>IFERROR(__xludf.DUMMYFUNCTION("GOOGLETRANSLATE(D264,""zh-CN"",""vi"")"),"300 đồng tiền vàng")</f>
        <v>300 đồng tiền vàng</v>
      </c>
      <c r="G264" s="8" t="str">
        <f>IFERROR(__xludf.DUMMYFUNCTION("GOOGLETRANSLATE(E264,""zh-CN"",""vi"")"),"Nhấp đúp chuột để nhận 300 đồng vàng.")</f>
        <v>Nhấp đúp chuột để nhận 300 đồng vàng.</v>
      </c>
      <c r="H264" s="8"/>
      <c r="I264" s="8"/>
      <c r="J264" s="8"/>
    </row>
    <row r="265" ht="21.0" customHeight="1">
      <c r="A265" s="2">
        <v>2.0</v>
      </c>
      <c r="B265" s="23">
        <v>205.0</v>
      </c>
      <c r="C265" s="23">
        <v>1.0</v>
      </c>
      <c r="D265" s="7" t="s">
        <v>487</v>
      </c>
      <c r="E265" s="9" t="s">
        <v>488</v>
      </c>
      <c r="F265" s="8" t="str">
        <f>IFERROR(__xludf.DUMMYFUNCTION("GOOGLETRANSLATE(D265,""zh-CN"",""vi"")"),"100 đồng tiền vàng")</f>
        <v>100 đồng tiền vàng</v>
      </c>
      <c r="G265" s="8" t="str">
        <f>IFERROR(__xludf.DUMMYFUNCTION("GOOGLETRANSLATE(E265,""zh-CN"",""vi"")"),"Nhấp đúp chuột để nhận 100 đồng vàng.")</f>
        <v>Nhấp đúp chuột để nhận 100 đồng vàng.</v>
      </c>
      <c r="H265" s="8"/>
      <c r="I265" s="8"/>
      <c r="J265" s="8"/>
    </row>
    <row r="266" ht="21.0" customHeight="1">
      <c r="A266" s="2">
        <v>2.0</v>
      </c>
      <c r="B266" s="23">
        <v>206.0</v>
      </c>
      <c r="C266" s="23">
        <v>1.0</v>
      </c>
      <c r="D266" s="7" t="s">
        <v>489</v>
      </c>
      <c r="E266" s="9" t="s">
        <v>490</v>
      </c>
      <c r="F266" s="8" t="str">
        <f>IFERROR(__xludf.DUMMYFUNCTION("GOOGLETRANSLATE(D266,""zh-CN"",""vi"")"),"150 đồng tiền vàng")</f>
        <v>150 đồng tiền vàng</v>
      </c>
      <c r="G266" s="8" t="str">
        <f>IFERROR(__xludf.DUMMYFUNCTION("GOOGLETRANSLATE(E266,""zh-CN"",""vi"")"),"Nhấp đúp chuột để nhận 150 đồng vàng.")</f>
        <v>Nhấp đúp chuột để nhận 150 đồng vàng.</v>
      </c>
      <c r="H266" s="8"/>
      <c r="I266" s="8"/>
      <c r="J266" s="8"/>
    </row>
    <row r="267" ht="21.0" customHeight="1">
      <c r="A267" s="2">
        <v>2.0</v>
      </c>
      <c r="B267" s="23">
        <v>207.0</v>
      </c>
      <c r="C267" s="23">
        <v>1.0</v>
      </c>
      <c r="D267" s="7" t="s">
        <v>493</v>
      </c>
      <c r="E267" s="9" t="s">
        <v>494</v>
      </c>
      <c r="F267" s="8" t="str">
        <f>IFERROR(__xludf.DUMMYFUNCTION("GOOGLETRANSLATE(D267,""zh-CN"",""vi"")"),"2000 đồng tiền vàng")</f>
        <v>2000 đồng tiền vàng</v>
      </c>
      <c r="G267" s="8" t="str">
        <f>IFERROR(__xludf.DUMMYFUNCTION("GOOGLETRANSLATE(E267,""zh-CN"",""vi"")"),"Nhấp đúp chuột để nhận 2000 đồng vàng.")</f>
        <v>Nhấp đúp chuột để nhận 2000 đồng vàng.</v>
      </c>
      <c r="H267" s="8"/>
      <c r="I267" s="8"/>
      <c r="J267" s="8"/>
    </row>
    <row r="268" ht="21.0" customHeight="1">
      <c r="A268" s="2">
        <v>2.0</v>
      </c>
      <c r="B268" s="23">
        <v>207.0</v>
      </c>
      <c r="C268" s="23">
        <v>1.0</v>
      </c>
      <c r="D268" s="7" t="s">
        <v>495</v>
      </c>
      <c r="E268" s="9" t="s">
        <v>496</v>
      </c>
      <c r="F268" s="8" t="str">
        <f>IFERROR(__xludf.DUMMYFUNCTION("GOOGLETRANSLATE(D268,""zh-CN"",""vi"")"),"1000 đồng tiền vàng")</f>
        <v>1000 đồng tiền vàng</v>
      </c>
      <c r="G268" s="8" t="str">
        <f>IFERROR(__xludf.DUMMYFUNCTION("GOOGLETRANSLATE(E268,""zh-CN"",""vi"")"),"Nhấp đúp chuột để nhận 1000 đồng vàng.")</f>
        <v>Nhấp đúp chuột để nhận 1000 đồng vàng.</v>
      </c>
      <c r="H268" s="8"/>
      <c r="I268" s="8"/>
      <c r="J268" s="8"/>
    </row>
    <row r="269" ht="21.0" customHeight="1">
      <c r="A269" s="2">
        <v>2.0</v>
      </c>
      <c r="B269" s="23">
        <v>208.0</v>
      </c>
      <c r="C269" s="23">
        <v>1.0</v>
      </c>
      <c r="D269" s="7" t="s">
        <v>497</v>
      </c>
      <c r="E269" s="9" t="s">
        <v>498</v>
      </c>
      <c r="F269" s="8" t="str">
        <f>IFERROR(__xludf.DUMMYFUNCTION("GOOGLETRANSLATE(D269,""zh-CN"",""vi"")"),"5000 đồng tiền vàng")</f>
        <v>5000 đồng tiền vàng</v>
      </c>
      <c r="G269" s="8" t="str">
        <f>IFERROR(__xludf.DUMMYFUNCTION("GOOGLETRANSLATE(E269,""zh-CN"",""vi"")"),"Nhấp đúp chuột để nhận 5000 đồng vàng.")</f>
        <v>Nhấp đúp chuột để nhận 5000 đồng vàng.</v>
      </c>
      <c r="H269" s="8"/>
      <c r="I269" s="8"/>
      <c r="J269" s="8"/>
    </row>
    <row r="270" ht="21.0" customHeight="1">
      <c r="A270" s="5">
        <v>2.0</v>
      </c>
      <c r="B270" s="6">
        <v>209.0</v>
      </c>
      <c r="C270" s="6">
        <v>1.0</v>
      </c>
      <c r="D270" s="7" t="s">
        <v>499</v>
      </c>
      <c r="E270" s="9" t="s">
        <v>500</v>
      </c>
      <c r="F270" s="8" t="str">
        <f>IFERROR(__xludf.DUMMYFUNCTION("GOOGLETRANSLATE(D270,""zh-CN"",""vi"")"),"Vỏ trứng cấp 1")</f>
        <v>Vỏ trứng cấp 1</v>
      </c>
      <c r="G270" s="8" t="str">
        <f>IFERROR(__xludf.DUMMYFUNCTION("GOOGLETRANSLATE(E270,""zh-CN"",""vi"")"),"Nhấp đúp chuột để nhận 20 đồng xu vàng")</f>
        <v>Nhấp đúp chuột để nhận 20 đồng xu vàng</v>
      </c>
      <c r="H270" s="8"/>
      <c r="I270" s="8"/>
      <c r="J270" s="8"/>
    </row>
    <row r="271" ht="21.0" customHeight="1">
      <c r="A271" s="5">
        <v>2.0</v>
      </c>
      <c r="B271" s="6">
        <v>209.0</v>
      </c>
      <c r="C271" s="6">
        <v>1.0</v>
      </c>
      <c r="D271" s="7" t="s">
        <v>501</v>
      </c>
      <c r="E271" s="9" t="s">
        <v>502</v>
      </c>
      <c r="F271" s="8" t="str">
        <f>IFERROR(__xludf.DUMMYFUNCTION("GOOGLETRANSLATE(D271,""zh-CN"",""vi"")"),"Vỏ trứng cấp độ 2")</f>
        <v>Vỏ trứng cấp độ 2</v>
      </c>
      <c r="G271" s="8" t="str">
        <f>IFERROR(__xludf.DUMMYFUNCTION("GOOGLETRANSLATE(E271,""zh-CN"",""vi"")"),"Nhấp đúp chuột để nhận 40 đồng xu vàng")</f>
        <v>Nhấp đúp chuột để nhận 40 đồng xu vàng</v>
      </c>
      <c r="H271" s="8"/>
      <c r="I271" s="8"/>
      <c r="J271" s="8"/>
    </row>
    <row r="272" ht="21.0" customHeight="1">
      <c r="A272" s="5">
        <v>2.0</v>
      </c>
      <c r="B272" s="6">
        <v>209.0</v>
      </c>
      <c r="C272" s="6">
        <v>1.0</v>
      </c>
      <c r="D272" s="7" t="s">
        <v>503</v>
      </c>
      <c r="E272" s="9" t="s">
        <v>504</v>
      </c>
      <c r="F272" s="8" t="str">
        <f>IFERROR(__xludf.DUMMYFUNCTION("GOOGLETRANSLATE(D272,""zh-CN"",""vi"")"),"Vỏ trứng cấp độ 3")</f>
        <v>Vỏ trứng cấp độ 3</v>
      </c>
      <c r="G272" s="8" t="str">
        <f>IFERROR(__xludf.DUMMYFUNCTION("GOOGLETRANSLATE(E272,""zh-CN"",""vi"")"),"Nhấp đúp chuột để nhận 60 đồng xu vàng")</f>
        <v>Nhấp đúp chuột để nhận 60 đồng xu vàng</v>
      </c>
      <c r="H272" s="8"/>
      <c r="I272" s="8"/>
      <c r="J272" s="8"/>
    </row>
    <row r="273" ht="21.0" customHeight="1">
      <c r="A273" s="5">
        <v>2.0</v>
      </c>
      <c r="B273" s="6">
        <v>209.0</v>
      </c>
      <c r="C273" s="6">
        <v>1.0</v>
      </c>
      <c r="D273" s="7" t="s">
        <v>505</v>
      </c>
      <c r="E273" s="9" t="s">
        <v>506</v>
      </c>
      <c r="F273" s="8" t="str">
        <f>IFERROR(__xludf.DUMMYFUNCTION("GOOGLETRANSLATE(D273,""zh-CN"",""vi"")"),"Vỏ trứng cấp 4")</f>
        <v>Vỏ trứng cấp 4</v>
      </c>
      <c r="G273" s="8" t="str">
        <f>IFERROR(__xludf.DUMMYFUNCTION("GOOGLETRANSLATE(E273,""zh-CN"",""vi"")"),"Nhấp đúp chuột để nhận 80 đồng vàng")</f>
        <v>Nhấp đúp chuột để nhận 80 đồng vàng</v>
      </c>
      <c r="H273" s="8"/>
      <c r="I273" s="8"/>
      <c r="J273" s="8"/>
    </row>
    <row r="274" ht="21.0" customHeight="1">
      <c r="A274" s="5">
        <v>2.0</v>
      </c>
      <c r="B274" s="6">
        <v>209.0</v>
      </c>
      <c r="C274" s="6">
        <v>1.0</v>
      </c>
      <c r="D274" s="7" t="s">
        <v>507</v>
      </c>
      <c r="E274" s="9" t="s">
        <v>508</v>
      </c>
      <c r="F274" s="8" t="str">
        <f>IFERROR(__xludf.DUMMYFUNCTION("GOOGLETRANSLATE(D274,""zh-CN"",""vi"")"),"Vỏ trứng cấp 5")</f>
        <v>Vỏ trứng cấp 5</v>
      </c>
      <c r="G274" s="8" t="str">
        <f>IFERROR(__xludf.DUMMYFUNCTION("GOOGLETRANSLATE(E274,""zh-CN"",""vi"")"),"Nhấp đúp chuột để nhận 120 đồng vàng")</f>
        <v>Nhấp đúp chuột để nhận 120 đồng vàng</v>
      </c>
      <c r="H274" s="8"/>
      <c r="I274" s="8"/>
      <c r="J274" s="8"/>
    </row>
    <row r="275" ht="21.0" customHeight="1">
      <c r="A275" s="5">
        <v>2.0</v>
      </c>
      <c r="B275" s="6">
        <v>209.0</v>
      </c>
      <c r="C275" s="6">
        <v>1.0</v>
      </c>
      <c r="D275" s="7" t="s">
        <v>509</v>
      </c>
      <c r="E275" s="9" t="s">
        <v>510</v>
      </c>
      <c r="F275" s="8" t="str">
        <f>IFERROR(__xludf.DUMMYFUNCTION("GOOGLETRANSLATE(D275,""zh-CN"",""vi"")"),"Vỏ trứng lấp lánh")</f>
        <v>Vỏ trứng lấp lánh</v>
      </c>
      <c r="G275" s="8" t="str">
        <f>IFERROR(__xludf.DUMMYFUNCTION("GOOGLETRANSLATE(E275,""zh-CN"",""vi"")"),"Nhấp đúp chuột để nhận 200 đồng vàng")</f>
        <v>Nhấp đúp chuột để nhận 200 đồng vàng</v>
      </c>
      <c r="H275" s="8"/>
      <c r="I275" s="8"/>
      <c r="J275" s="8"/>
    </row>
    <row r="276" ht="21.0" customHeight="1">
      <c r="A276" s="5">
        <v>2.0</v>
      </c>
      <c r="B276" s="6">
        <v>209.0</v>
      </c>
      <c r="C276" s="6">
        <v>1.0</v>
      </c>
      <c r="D276" s="7" t="s">
        <v>511</v>
      </c>
      <c r="E276" s="9" t="s">
        <v>510</v>
      </c>
      <c r="F276" s="8" t="str">
        <f>IFERROR(__xludf.DUMMYFUNCTION("GOOGLETRANSLATE(D276,""zh-CN"",""vi"")"),"Vỏ trứng ánh trăng")</f>
        <v>Vỏ trứng ánh trăng</v>
      </c>
      <c r="G276" s="8" t="str">
        <f>IFERROR(__xludf.DUMMYFUNCTION("GOOGLETRANSLATE(E276,""zh-CN"",""vi"")"),"Nhấp đúp chuột để nhận 200 đồng vàng")</f>
        <v>Nhấp đúp chuột để nhận 200 đồng vàng</v>
      </c>
      <c r="H276" s="8"/>
      <c r="I276" s="8"/>
      <c r="J276" s="8"/>
    </row>
    <row r="277" ht="21.0" customHeight="1">
      <c r="A277" s="5">
        <v>3.0</v>
      </c>
      <c r="B277" s="6">
        <v>301.0</v>
      </c>
      <c r="C277" s="6">
        <v>1.0</v>
      </c>
      <c r="D277" s="7" t="s">
        <v>512</v>
      </c>
      <c r="E277" s="9" t="s">
        <v>513</v>
      </c>
      <c r="F277" s="8" t="str">
        <f>IFERROR(__xludf.DUMMYFUNCTION("GOOGLETRANSLATE(D277,""zh-CN"",""vi"")"),"1 điểm sức bền")</f>
        <v>1 điểm sức bền</v>
      </c>
      <c r="G277" s="8" t="str">
        <f>IFERROR(__xludf.DUMMYFUNCTION("GOOGLETRANSLATE(E277,""zh-CN"",""vi"")"),"Nhấp đúp chuột để nhận 1 điểm thể lực. Quá trình tổng hợp cho phép bạn đạt được cấp độ cao hơn.")</f>
        <v>Nhấp đúp chuột để nhận 1 điểm thể lực. Quá trình tổng hợp cho phép bạn đạt được cấp độ cao hơn.</v>
      </c>
      <c r="H277" s="8"/>
      <c r="I277" s="8"/>
      <c r="J277" s="8"/>
    </row>
    <row r="278" ht="21.0" customHeight="1">
      <c r="A278" s="5">
        <v>3.0</v>
      </c>
      <c r="B278" s="6">
        <v>301.0</v>
      </c>
      <c r="C278" s="6">
        <v>2.0</v>
      </c>
      <c r="D278" s="7" t="s">
        <v>514</v>
      </c>
      <c r="E278" s="9" t="s">
        <v>515</v>
      </c>
      <c r="F278" s="8" t="str">
        <f>IFERROR(__xludf.DUMMYFUNCTION("GOOGLETRANSLATE(D278,""zh-CN"",""vi"")"),"2 điểm thể lực")</f>
        <v>2 điểm thể lực</v>
      </c>
      <c r="G278" s="8" t="str">
        <f>IFERROR(__xludf.DUMMYFUNCTION("GOOGLETRANSLATE(E278,""zh-CN"",""vi"")"),"Nhấp đúp chuột để nhận 2 điểm thể lực. Quá trình tổng hợp cho phép bạn đạt được cấp độ cao hơn.")</f>
        <v>Nhấp đúp chuột để nhận 2 điểm thể lực. Quá trình tổng hợp cho phép bạn đạt được cấp độ cao hơn.</v>
      </c>
      <c r="H278" s="8"/>
      <c r="I278" s="8"/>
      <c r="J278" s="8"/>
    </row>
    <row r="279" ht="21.0" customHeight="1">
      <c r="A279" s="5">
        <v>3.0</v>
      </c>
      <c r="B279" s="6">
        <v>301.0</v>
      </c>
      <c r="C279" s="6">
        <v>3.0</v>
      </c>
      <c r="D279" s="7" t="s">
        <v>516</v>
      </c>
      <c r="E279" s="9" t="s">
        <v>517</v>
      </c>
      <c r="F279" s="8" t="str">
        <f>IFERROR(__xludf.DUMMYFUNCTION("GOOGLETRANSLATE(D279,""zh-CN"",""vi"")"),"4 điểm thể lực")</f>
        <v>4 điểm thể lực</v>
      </c>
      <c r="G279" s="8" t="str">
        <f>IFERROR(__xludf.DUMMYFUNCTION("GOOGLETRANSLATE(E279,""zh-CN"",""vi"")"),"Nhấp đúp chuột để nhận 4 điểm thể lực. Quá trình tổng hợp cho phép bạn đạt được cấp độ cao hơn.")</f>
        <v>Nhấp đúp chuột để nhận 4 điểm thể lực. Quá trình tổng hợp cho phép bạn đạt được cấp độ cao hơn.</v>
      </c>
      <c r="H279" s="8"/>
      <c r="I279" s="8"/>
      <c r="J279" s="8"/>
    </row>
    <row r="280" ht="21.0" customHeight="1">
      <c r="A280" s="5">
        <v>3.0</v>
      </c>
      <c r="B280" s="6">
        <v>301.0</v>
      </c>
      <c r="C280" s="6">
        <v>4.0</v>
      </c>
      <c r="D280" s="7" t="s">
        <v>518</v>
      </c>
      <c r="E280" s="9" t="s">
        <v>519</v>
      </c>
      <c r="F280" s="8" t="str">
        <f>IFERROR(__xludf.DUMMYFUNCTION("GOOGLETRANSLATE(D280,""zh-CN"",""vi"")"),"8 điểm thể lực")</f>
        <v>8 điểm thể lực</v>
      </c>
      <c r="G280" s="8" t="str">
        <f>IFERROR(__xludf.DUMMYFUNCTION("GOOGLETRANSLATE(E280,""zh-CN"",""vi"")"),"Nhấp đúp chuột để nhận 8 điểm thể lực. Quá trình tổng hợp cho phép bạn đạt được cấp độ cao hơn.")</f>
        <v>Nhấp đúp chuột để nhận 8 điểm thể lực. Quá trình tổng hợp cho phép bạn đạt được cấp độ cao hơn.</v>
      </c>
      <c r="H280" s="8"/>
      <c r="I280" s="8"/>
      <c r="J280" s="8"/>
    </row>
    <row r="281" ht="21.0" customHeight="1">
      <c r="A281" s="5">
        <v>3.0</v>
      </c>
      <c r="B281" s="6">
        <v>301.0</v>
      </c>
      <c r="C281" s="6">
        <v>5.0</v>
      </c>
      <c r="D281" s="7" t="s">
        <v>520</v>
      </c>
      <c r="E281" s="9" t="s">
        <v>521</v>
      </c>
      <c r="F281" s="8" t="str">
        <f>IFERROR(__xludf.DUMMYFUNCTION("GOOGLETRANSLATE(D281,""zh-CN"",""vi"")"),"16 điểm thể lực")</f>
        <v>16 điểm thể lực</v>
      </c>
      <c r="G281" s="8" t="str">
        <f>IFERROR(__xludf.DUMMYFUNCTION("GOOGLETRANSLATE(E281,""zh-CN"",""vi"")"),"Nhấp đúp chuột để nhận 16 điểm thể lực. Quá trình tổng hợp cho phép bạn đạt được cấp độ cao hơn.")</f>
        <v>Nhấp đúp chuột để nhận 16 điểm thể lực. Quá trình tổng hợp cho phép bạn đạt được cấp độ cao hơn.</v>
      </c>
      <c r="H281" s="8"/>
      <c r="I281" s="8"/>
      <c r="J281" s="8"/>
    </row>
    <row r="282" ht="21.0" customHeight="1">
      <c r="A282" s="5">
        <v>3.0</v>
      </c>
      <c r="B282" s="6">
        <v>301.0</v>
      </c>
      <c r="C282" s="6">
        <v>6.0</v>
      </c>
      <c r="D282" s="7" t="s">
        <v>522</v>
      </c>
      <c r="E282" s="9" t="s">
        <v>523</v>
      </c>
      <c r="F282" s="8" t="str">
        <f>IFERROR(__xludf.DUMMYFUNCTION("GOOGLETRANSLATE(D282,""zh-CN"",""vi"")"),"32 điểm thể lực")</f>
        <v>32 điểm thể lực</v>
      </c>
      <c r="G282" s="8" t="str">
        <f>IFERROR(__xludf.DUMMYFUNCTION("GOOGLETRANSLATE(E282,""zh-CN"",""vi"")"),"Nhấp đúp chuột để nhận 32 điểm thể lực. Lên cấp độ cao nhất.")</f>
        <v>Nhấp đúp chuột để nhận 32 điểm thể lực. Lên cấp độ cao nhất.</v>
      </c>
      <c r="H282" s="8"/>
      <c r="I282" s="8"/>
      <c r="J282" s="8"/>
    </row>
    <row r="283" ht="21.0" customHeight="1">
      <c r="A283" s="5">
        <v>3.0</v>
      </c>
      <c r="B283" s="6">
        <v>302.0</v>
      </c>
      <c r="C283" s="6">
        <v>1.0</v>
      </c>
      <c r="D283" s="7" t="s">
        <v>524</v>
      </c>
      <c r="E283" s="9" t="s">
        <v>525</v>
      </c>
      <c r="F283" s="8" t="str">
        <f>IFERROR(__xludf.DUMMYFUNCTION("GOOGLETRANSLATE(D283,""zh-CN"",""vi"")"),"20 sức mạnh thể chất")</f>
        <v>20 sức mạnh thể chất</v>
      </c>
      <c r="G283" s="8" t="str">
        <f>IFERROR(__xludf.DUMMYFUNCTION("GOOGLETRANSLATE(E283,""zh-CN"",""vi"")"),"Nhấp đúp chuột để nhận 20 điểm thể lực.")</f>
        <v>Nhấp đúp chuột để nhận 20 điểm thể lực.</v>
      </c>
      <c r="H283" s="8"/>
      <c r="I283" s="8"/>
      <c r="J283" s="8"/>
    </row>
    <row r="284" ht="21.0" customHeight="1">
      <c r="A284" s="5">
        <v>3.0</v>
      </c>
      <c r="B284" s="6">
        <v>302.0</v>
      </c>
      <c r="C284" s="6">
        <v>1.0</v>
      </c>
      <c r="D284" s="7" t="s">
        <v>526</v>
      </c>
      <c r="E284" s="9" t="s">
        <v>527</v>
      </c>
      <c r="F284" s="8" t="str">
        <f>IFERROR(__xludf.DUMMYFUNCTION("GOOGLETRANSLATE(D284,""zh-CN"",""vi"")"),"50 điểm sức bền")</f>
        <v>50 điểm sức bền</v>
      </c>
      <c r="G284" s="8" t="str">
        <f>IFERROR(__xludf.DUMMYFUNCTION("GOOGLETRANSLATE(E284,""zh-CN"",""vi"")"),"Nhấp đúp chuột để nhận 50 điểm thể lực")</f>
        <v>Nhấp đúp chuột để nhận 50 điểm thể lực</v>
      </c>
      <c r="H284" s="8"/>
      <c r="I284" s="8"/>
      <c r="J284" s="8"/>
    </row>
    <row r="285" ht="21.0" customHeight="1">
      <c r="A285" s="5">
        <v>3.0</v>
      </c>
      <c r="B285" s="6">
        <v>302.0</v>
      </c>
      <c r="C285" s="6">
        <v>1.0</v>
      </c>
      <c r="D285" s="7" t="s">
        <v>528</v>
      </c>
      <c r="E285" s="9" t="s">
        <v>529</v>
      </c>
      <c r="F285" s="8" t="str">
        <f>IFERROR(__xludf.DUMMYFUNCTION("GOOGLETRANSLATE(D285,""zh-CN"",""vi"")"),"100 điểm sức bền")</f>
        <v>100 điểm sức bền</v>
      </c>
      <c r="G285" s="8" t="str">
        <f>IFERROR(__xludf.DUMMYFUNCTION("GOOGLETRANSLATE(E285,""zh-CN"",""vi"")"),"Nhấp đúp chuột để nhận 100 điểm thể lực.")</f>
        <v>Nhấp đúp chuột để nhận 100 điểm thể lực.</v>
      </c>
      <c r="H285" s="8"/>
      <c r="I285" s="8"/>
      <c r="J285" s="8"/>
    </row>
    <row r="286" ht="21.0" customHeight="1">
      <c r="A286" s="5">
        <v>15.0</v>
      </c>
      <c r="B286" s="6">
        <v>303.0</v>
      </c>
      <c r="C286" s="6">
        <v>1.0</v>
      </c>
      <c r="D286" s="7" t="s">
        <v>530</v>
      </c>
      <c r="E286" s="9" t="s">
        <v>531</v>
      </c>
      <c r="F286" s="8" t="str">
        <f>IFERROR(__xludf.DUMMYFUNCTION("GOOGLETRANSLATE(D286,""zh-CN"",""vi"")"),"Thẻ mở rộng lưới")</f>
        <v>Thẻ mở rộng lưới</v>
      </c>
      <c r="G286" s="8" t="str">
        <f>IFERROR(__xludf.DUMMYFUNCTION("GOOGLETRANSLATE(E286,""zh-CN"",""vi"")"),"Nhấp đúp chuột sẽ thêm một ô vào hộp lưu trữ hoặc chai hợp đồng; khi đầy, nó sẽ được chuyển đổi thành tiền vàng.")</f>
        <v>Nhấp đúp chuột sẽ thêm một ô vào hộp lưu trữ hoặc chai hợp đồng; khi đầy, nó sẽ được chuyển đổi thành tiền vàng.</v>
      </c>
      <c r="H286" s="8"/>
      <c r="I286" s="8"/>
      <c r="J286" s="8"/>
    </row>
    <row r="287" ht="21.0" customHeight="1">
      <c r="A287" s="5">
        <v>30.0</v>
      </c>
      <c r="B287" s="6">
        <v>305.0</v>
      </c>
      <c r="C287" s="6">
        <v>1.0</v>
      </c>
      <c r="D287" s="7" t="s">
        <v>532</v>
      </c>
      <c r="E287" s="9" t="s">
        <v>533</v>
      </c>
      <c r="F287" s="8" t="str">
        <f>IFERROR(__xludf.DUMMYFUNCTION("GOOGLETRANSLATE(D287,""zh-CN"",""vi"")"),"Thẻ miễn phí")</f>
        <v>Thẻ miễn phí</v>
      </c>
      <c r="G287" s="8" t="str">
        <f>IFERROR(__xludf.DUMMYFUNCTION("GOOGLETRANSLATE(E287,""zh-CN"",""vi"")"),"Bạn có thể sử dụng thẻ miễn phí trên lưới sân để hoàn thành bất kỳ đơn hàng nào trong trò chơi xếp hình.")</f>
        <v>Bạn có thể sử dụng thẻ miễn phí trên lưới sân để hoàn thành bất kỳ đơn hàng nào trong trò chơi xếp hình.</v>
      </c>
      <c r="H287" s="8"/>
      <c r="I287" s="8"/>
      <c r="J287" s="8"/>
    </row>
    <row r="288" ht="21.0" customHeight="1">
      <c r="A288" s="12">
        <v>30.0</v>
      </c>
      <c r="B288" s="13">
        <v>306.0</v>
      </c>
      <c r="C288" s="13">
        <v>1.0</v>
      </c>
      <c r="D288" s="10" t="s">
        <v>534</v>
      </c>
      <c r="E288" s="11" t="s">
        <v>533</v>
      </c>
      <c r="F288" s="8" t="str">
        <f>IFERROR(__xludf.DUMMYFUNCTION("GOOGLETRANSLATE(D288,""zh-CN"",""vi"")"),"Thẻ quà tặng miễn phí có thời hạn")</f>
        <v>Thẻ quà tặng miễn phí có thời hạn</v>
      </c>
      <c r="G288" s="8" t="str">
        <f>IFERROR(__xludf.DUMMYFUNCTION("GOOGLETRANSLATE(E288,""zh-CN"",""vi"")"),"Bạn có thể sử dụng thẻ miễn phí trên lưới sân để hoàn thành bất kỳ đơn hàng nào trong trò chơi xếp hình.")</f>
        <v>Bạn có thể sử dụng thẻ miễn phí trên lưới sân để hoàn thành bất kỳ đơn hàng nào trong trò chơi xếp hình.</v>
      </c>
      <c r="H288" s="14"/>
      <c r="I288" s="14"/>
      <c r="J288" s="14"/>
    </row>
    <row r="289" ht="21.0" customHeight="1">
      <c r="A289" s="5">
        <v>19.0</v>
      </c>
      <c r="B289" s="6">
        <v>304.0</v>
      </c>
      <c r="C289" s="6">
        <v>1.0</v>
      </c>
      <c r="D289" s="7" t="s">
        <v>535</v>
      </c>
      <c r="E289" s="9" t="s">
        <v>536</v>
      </c>
      <c r="F289" s="8" t="str">
        <f>IFERROR(__xludf.DUMMYFUNCTION("GOOGLETRANSLATE(D289,""zh-CN"",""vi"")"),"thẻ chứng minh quyền sở hữu đất")</f>
        <v>thẻ chứng minh quyền sở hữu đất</v>
      </c>
      <c r="G289" s="8" t="str">
        <f>IFERROR(__xludf.DUMMYFUNCTION("GOOGLETRANSLATE(E289,""zh-CN"",""vi"")"),"Vật phẩm cần thiết để mở khóa khu đất nhà bạn; nhấp đúp chuột để sử dụng.")</f>
        <v>Vật phẩm cần thiết để mở khóa khu đất nhà bạn; nhấp đúp chuột để sử dụng.</v>
      </c>
      <c r="H289" s="8"/>
      <c r="I289" s="8"/>
      <c r="J289" s="8"/>
    </row>
    <row r="290" ht="21.0" customHeight="1">
      <c r="A290" s="5">
        <v>4.0</v>
      </c>
      <c r="B290" s="6">
        <v>401.0</v>
      </c>
      <c r="C290" s="6">
        <v>1.0</v>
      </c>
      <c r="D290" s="7" t="s">
        <v>537</v>
      </c>
      <c r="E290" s="9" t="s">
        <v>538</v>
      </c>
      <c r="F290" s="8" t="str">
        <f>IFERROR(__xludf.DUMMYFUNCTION("GOOGLETRANSLATE(D290,""zh-CN"",""vi"")"),"Bộ quà tặng màu xanh lá cây")</f>
        <v>Bộ quà tặng màu xanh lá cây</v>
      </c>
      <c r="G290" s="8" t="str">
        <f>IFERROR(__xludf.DUMMYFUNCTION("GOOGLETRANSLATE(E290,""zh-CN"",""vi"")"),"Nhấp đúp chuột sẽ nhận được phần thưởng với một xác suất nhất định.")</f>
        <v>Nhấp đúp chuột sẽ nhận được phần thưởng với một xác suất nhất định.</v>
      </c>
      <c r="H290" s="8"/>
      <c r="I290" s="8"/>
      <c r="J290" s="8"/>
    </row>
    <row r="291" ht="21.0" customHeight="1">
      <c r="A291" s="5">
        <v>4.0</v>
      </c>
      <c r="B291" s="6">
        <v>402.0</v>
      </c>
      <c r="C291" s="6">
        <v>1.0</v>
      </c>
      <c r="D291" s="7" t="s">
        <v>539</v>
      </c>
      <c r="E291" s="9" t="s">
        <v>538</v>
      </c>
      <c r="F291" s="8" t="str">
        <f>IFERROR(__xludf.DUMMYFUNCTION("GOOGLETRANSLATE(D291,""zh-CN"",""vi"")"),"Hộp quà màu xanh dương")</f>
        <v>Hộp quà màu xanh dương</v>
      </c>
      <c r="G291" s="8" t="str">
        <f>IFERROR(__xludf.DUMMYFUNCTION("GOOGLETRANSLATE(E291,""zh-CN"",""vi"")"),"Nhấp đúp chuột sẽ nhận được phần thưởng với một xác suất nhất định.")</f>
        <v>Nhấp đúp chuột sẽ nhận được phần thưởng với một xác suất nhất định.</v>
      </c>
      <c r="H291" s="8"/>
      <c r="I291" s="8"/>
      <c r="J291" s="8"/>
    </row>
    <row r="292" ht="21.0" customHeight="1">
      <c r="A292" s="5">
        <v>4.0</v>
      </c>
      <c r="B292" s="6">
        <v>403.0</v>
      </c>
      <c r="C292" s="6">
        <v>1.0</v>
      </c>
      <c r="D292" s="7" t="s">
        <v>540</v>
      </c>
      <c r="E292" s="9" t="s">
        <v>538</v>
      </c>
      <c r="F292" s="8" t="str">
        <f>IFERROR(__xludf.DUMMYFUNCTION("GOOGLETRANSLATE(D292,""zh-CN"",""vi"")"),"Hộp quà màu tím")</f>
        <v>Hộp quà màu tím</v>
      </c>
      <c r="G292" s="8" t="str">
        <f>IFERROR(__xludf.DUMMYFUNCTION("GOOGLETRANSLATE(E292,""zh-CN"",""vi"")"),"Nhấp đúp chuột sẽ nhận được phần thưởng với một xác suất nhất định.")</f>
        <v>Nhấp đúp chuột sẽ nhận được phần thưởng với một xác suất nhất định.</v>
      </c>
      <c r="H292" s="8"/>
      <c r="I292" s="8"/>
      <c r="J292" s="8"/>
    </row>
    <row r="293" ht="21.0" customHeight="1">
      <c r="A293" s="5">
        <v>4.0</v>
      </c>
      <c r="B293" s="6">
        <v>404.0</v>
      </c>
      <c r="C293" s="6">
        <v>1.0</v>
      </c>
      <c r="D293" s="7" t="s">
        <v>541</v>
      </c>
      <c r="E293" s="9" t="s">
        <v>538</v>
      </c>
      <c r="F293" s="8" t="str">
        <f>IFERROR(__xludf.DUMMYFUNCTION("GOOGLETRANSLATE(D293,""zh-CN"",""vi"")"),"Hộp quà màu cam")</f>
        <v>Hộp quà màu cam</v>
      </c>
      <c r="G293" s="8" t="str">
        <f>IFERROR(__xludf.DUMMYFUNCTION("GOOGLETRANSLATE(E293,""zh-CN"",""vi"")"),"Nhấp đúp chuột sẽ nhận được phần thưởng với một xác suất nhất định.")</f>
        <v>Nhấp đúp chuột sẽ nhận được phần thưởng với một xác suất nhất định.</v>
      </c>
      <c r="H293" s="8"/>
      <c r="I293" s="8"/>
      <c r="J293" s="8"/>
    </row>
    <row r="294" ht="21.0" customHeight="1">
      <c r="A294" s="5">
        <v>4.0</v>
      </c>
      <c r="B294" s="6">
        <v>405.0</v>
      </c>
      <c r="C294" s="6">
        <v>1.0</v>
      </c>
      <c r="D294" s="7" t="s">
        <v>542</v>
      </c>
      <c r="E294" s="9" t="s">
        <v>538</v>
      </c>
      <c r="F294" s="8" t="str">
        <f>IFERROR(__xludf.DUMMYFUNCTION("GOOGLETRANSLATE(D294,""zh-CN"",""vi"")"),"Hộp quà màu đỏ")</f>
        <v>Hộp quà màu đỏ</v>
      </c>
      <c r="G294" s="8" t="str">
        <f>IFERROR(__xludf.DUMMYFUNCTION("GOOGLETRANSLATE(E294,""zh-CN"",""vi"")"),"Nhấp đúp chuột sẽ nhận được phần thưởng với một xác suất nhất định.")</f>
        <v>Nhấp đúp chuột sẽ nhận được phần thưởng với một xác suất nhất định.</v>
      </c>
      <c r="H294" s="8"/>
      <c r="I294" s="8"/>
      <c r="J294" s="8"/>
    </row>
    <row r="295" ht="21.0" customHeight="1">
      <c r="A295" s="30">
        <v>4.0</v>
      </c>
      <c r="B295" s="31">
        <v>410.0</v>
      </c>
      <c r="C295" s="31">
        <v>1.0</v>
      </c>
      <c r="D295" s="34" t="s">
        <v>543</v>
      </c>
      <c r="E295" s="33" t="s">
        <v>544</v>
      </c>
      <c r="F295" s="8" t="str">
        <f>IFERROR(__xludf.DUMMYFUNCTION("GOOGLETRANSLATE(D295,""zh-CN"",""vi"")"),"Rương kho báu (tăng tốc)")</f>
        <v>Rương kho báu (tăng tốc)</v>
      </c>
      <c r="G295" s="8" t="str">
        <f>IFERROR(__xludf.DUMMYFUNCTION("GOOGLETRANSLATE(E295,""zh-CN"",""vi"")"),"Sau khi sử dụng, nó sẽ làm tăng khả năng nhận được các vật phẩm có chức năng tăng tốc.")</f>
        <v>Sau khi sử dụng, nó sẽ làm tăng khả năng nhận được các vật phẩm có chức năng tăng tốc.</v>
      </c>
      <c r="H295" s="27"/>
      <c r="I295" s="27"/>
      <c r="J295" s="27"/>
    </row>
    <row r="296" ht="21.0" customHeight="1">
      <c r="A296" s="30">
        <v>4.0</v>
      </c>
      <c r="B296" s="31">
        <v>410.0</v>
      </c>
      <c r="C296" s="31">
        <v>1.0</v>
      </c>
      <c r="D296" s="34" t="s">
        <v>545</v>
      </c>
      <c r="E296" s="33" t="s">
        <v>546</v>
      </c>
      <c r="F296" s="8" t="str">
        <f>IFERROR(__xludf.DUMMYFUNCTION("GOOGLETRANSLATE(D296,""zh-CN"",""vi"")"),"Rương kho báu (Kích thước lớn)")</f>
        <v>Rương kho báu (Kích thước lớn)</v>
      </c>
      <c r="G296" s="8" t="str">
        <f>IFERROR(__xludf.DUMMYFUNCTION("GOOGLETRANSLATE(E296,""zh-CN"",""vi"")"),"Sau khi sử dụng, có cơ hội nhận được vật phẩm tăng cường.")</f>
        <v>Sau khi sử dụng, có cơ hội nhận được vật phẩm tăng cường.</v>
      </c>
      <c r="H296" s="27"/>
      <c r="I296" s="27"/>
      <c r="J296" s="27"/>
    </row>
    <row r="297" ht="21.0" customHeight="1">
      <c r="A297" s="30">
        <v>4.0</v>
      </c>
      <c r="B297" s="31">
        <v>410.0</v>
      </c>
      <c r="C297" s="31">
        <v>1.0</v>
      </c>
      <c r="D297" s="34" t="s">
        <v>547</v>
      </c>
      <c r="E297" s="33" t="s">
        <v>548</v>
      </c>
      <c r="F297" s="8" t="str">
        <f>IFERROR(__xludf.DUMMYFUNCTION("GOOGLETRANSLATE(D297,""zh-CN"",""vi"")"),"Rương kho báu (tiền vàng)")</f>
        <v>Rương kho báu (tiền vàng)</v>
      </c>
      <c r="G297" s="8" t="str">
        <f>IFERROR(__xludf.DUMMYFUNCTION("GOOGLETRANSLATE(E297,""zh-CN"",""vi"")"),"Sau khi sử dụng, có khả năng nhận được tiền vàng.")</f>
        <v>Sau khi sử dụng, có khả năng nhận được tiền vàng.</v>
      </c>
      <c r="H297" s="27"/>
      <c r="I297" s="27"/>
      <c r="J297" s="27"/>
    </row>
    <row r="298" ht="21.0" customHeight="1">
      <c r="A298" s="30">
        <v>4.0</v>
      </c>
      <c r="B298" s="31">
        <v>410.0</v>
      </c>
      <c r="C298" s="31">
        <v>1.0</v>
      </c>
      <c r="D298" s="34" t="s">
        <v>549</v>
      </c>
      <c r="E298" s="33" t="s">
        <v>550</v>
      </c>
      <c r="F298" s="8" t="str">
        <f>IFERROR(__xludf.DUMMYFUNCTION("GOOGLETRANSLATE(D298,""zh-CN"",""vi"")"),"Rương kho báu (Thể lực)")</f>
        <v>Rương kho báu (Thể lực)</v>
      </c>
      <c r="G298" s="8" t="str">
        <f>IFERROR(__xludf.DUMMYFUNCTION("GOOGLETRANSLATE(E298,""zh-CN"",""vi"")"),"Sau khi sử dụng, có khả năng sẽ tạo ra thêm sức bền.")</f>
        <v>Sau khi sử dụng, có khả năng sẽ tạo ra thêm sức bền.</v>
      </c>
      <c r="H298" s="27"/>
      <c r="I298" s="27"/>
      <c r="J298" s="27"/>
    </row>
    <row r="299" ht="21.0" customHeight="1">
      <c r="A299" s="30">
        <v>4.0</v>
      </c>
      <c r="B299" s="31">
        <v>410.0</v>
      </c>
      <c r="C299" s="31">
        <v>1.0</v>
      </c>
      <c r="D299" s="34" t="s">
        <v>551</v>
      </c>
      <c r="E299" s="33" t="s">
        <v>552</v>
      </c>
      <c r="F299" s="8" t="str">
        <f>IFERROR(__xludf.DUMMYFUNCTION("GOOGLETRANSLATE(D299,""zh-CN"",""vi"")"),"Rương kho báu (chia đôi)")</f>
        <v>Rương kho báu (chia đôi)</v>
      </c>
      <c r="G299" s="8" t="str">
        <f>IFERROR(__xludf.DUMMYFUNCTION("GOOGLETRANSLATE(E299,""zh-CN"",""vi"")"),"Sau khi sử dụng, có khả năng nhận được vật phẩm có chức năng chia tách.")</f>
        <v>Sau khi sử dụng, có khả năng nhận được vật phẩm có chức năng chia tách.</v>
      </c>
      <c r="H299" s="27"/>
      <c r="I299" s="27"/>
      <c r="J299" s="27"/>
    </row>
    <row r="300" ht="21.0" customHeight="1">
      <c r="A300" s="30">
        <v>14.0</v>
      </c>
      <c r="B300" s="31">
        <v>410.0</v>
      </c>
      <c r="C300" s="31">
        <v>1.0</v>
      </c>
      <c r="D300" s="34" t="s">
        <v>553</v>
      </c>
      <c r="E300" s="33" t="s">
        <v>554</v>
      </c>
      <c r="F300" s="8" t="str">
        <f>IFERROR(__xludf.DUMMYFUNCTION("GOOGLETRANSLATE(D300,""zh-CN"",""vi"")"),"10 cộng 30")</f>
        <v>10 cộng 30</v>
      </c>
      <c r="G300" s="8" t="str">
        <f>IFERROR(__xludf.DUMMYFUNCTION("GOOGLETRANSLATE(E300,""zh-CN"",""vi"")"),"Nhấp đúp chuột sẽ tạo ra 10 [+30] vật phẩm tăng cường.")</f>
        <v>Nhấp đúp chuột sẽ tạo ra 10 [+30] vật phẩm tăng cường.</v>
      </c>
      <c r="H300" s="27"/>
      <c r="I300" s="27"/>
      <c r="J300" s="27"/>
    </row>
    <row r="301" ht="21.0" customHeight="1">
      <c r="A301" s="30">
        <v>14.0</v>
      </c>
      <c r="B301" s="31">
        <v>410.0</v>
      </c>
      <c r="C301" s="31">
        <v>1.0</v>
      </c>
      <c r="D301" s="34" t="s">
        <v>555</v>
      </c>
      <c r="E301" s="33" t="s">
        <v>556</v>
      </c>
      <c r="F301" s="8" t="str">
        <f>IFERROR(__xludf.DUMMYFUNCTION("GOOGLETRANSLATE(D301,""zh-CN"",""vi"")"),"10 cộng 20")</f>
        <v>10 cộng 20</v>
      </c>
      <c r="G301" s="8" t="str">
        <f>IFERROR(__xludf.DUMMYFUNCTION("GOOGLETRANSLATE(E301,""zh-CN"",""vi"")"),"Nhấp đúp chuột sẽ tạo ra 10 [+20] vật phẩm tăng cường.")</f>
        <v>Nhấp đúp chuột sẽ tạo ra 10 [+20] vật phẩm tăng cường.</v>
      </c>
      <c r="H301" s="27"/>
      <c r="I301" s="27"/>
      <c r="J301" s="27"/>
    </row>
    <row r="302" ht="21.0" customHeight="1">
      <c r="A302" s="30">
        <v>14.0</v>
      </c>
      <c r="B302" s="31">
        <v>410.0</v>
      </c>
      <c r="C302" s="31">
        <v>1.0</v>
      </c>
      <c r="D302" s="34" t="s">
        <v>557</v>
      </c>
      <c r="E302" s="33" t="s">
        <v>558</v>
      </c>
      <c r="F302" s="8" t="str">
        <f>IFERROR(__xludf.DUMMYFUNCTION("GOOGLETRANSLATE(D302,""zh-CN"",""vi"")"),"Thêm 5, 20")</f>
        <v>Thêm 5, 20</v>
      </c>
      <c r="G302" s="8" t="str">
        <f>IFERROR(__xludf.DUMMYFUNCTION("GOOGLETRANSLATE(E302,""zh-CN"",""vi"")"),"Nhấp đúp chuột sẽ tạo ra 5 [+20] vật phẩm tăng cường.")</f>
        <v>Nhấp đúp chuột sẽ tạo ra 5 [+20] vật phẩm tăng cường.</v>
      </c>
      <c r="H302" s="27"/>
      <c r="I302" s="27"/>
      <c r="J302" s="27"/>
    </row>
    <row r="303" ht="21.0" customHeight="1">
      <c r="A303" s="30">
        <v>14.0</v>
      </c>
      <c r="B303" s="31">
        <v>410.0</v>
      </c>
      <c r="C303" s="31">
        <v>1.0</v>
      </c>
      <c r="D303" s="34" t="s">
        <v>559</v>
      </c>
      <c r="E303" s="33" t="s">
        <v>560</v>
      </c>
      <c r="F303" s="8" t="str">
        <f>IFERROR(__xludf.DUMMYFUNCTION("GOOGLETRANSLATE(D303,""zh-CN"",""vi"")"),"Thêm 20 phần ăn")</f>
        <v>Thêm 20 phần ăn</v>
      </c>
      <c r="G303" s="8" t="str">
        <f>IFERROR(__xludf.DUMMYFUNCTION("GOOGLETRANSLATE(E303,""zh-CN"",""vi"")"),"Nhấp đúp chuột sẽ tạo ra 20 [+20] vật phẩm tăng cường.")</f>
        <v>Nhấp đúp chuột sẽ tạo ra 20 [+20] vật phẩm tăng cường.</v>
      </c>
      <c r="H303" s="27"/>
      <c r="I303" s="27"/>
      <c r="J303" s="27"/>
    </row>
    <row r="304" ht="21.0" customHeight="1">
      <c r="A304" s="30">
        <v>14.0</v>
      </c>
      <c r="B304" s="31">
        <v>410.0</v>
      </c>
      <c r="C304" s="31">
        <v>1.0</v>
      </c>
      <c r="D304" s="34" t="s">
        <v>561</v>
      </c>
      <c r="E304" s="33" t="s">
        <v>562</v>
      </c>
      <c r="F304" s="8" t="str">
        <f>IFERROR(__xludf.DUMMYFUNCTION("GOOGLETRANSLATE(D304,""zh-CN"",""vi"")"),"10 lần tăng tốc trong 10 phút")</f>
        <v>10 lần tăng tốc trong 10 phút</v>
      </c>
      <c r="G304" s="8" t="str">
        <f>IFERROR(__xludf.DUMMYFUNCTION("GOOGLETRANSLATE(E304,""zh-CN"",""vi"")"),"Nhấp đúp chuột sẽ tạo ra 10 vật phẩm ""Tăng tốc 10 phút"".")</f>
        <v>Nhấp đúp chuột sẽ tạo ra 10 vật phẩm "Tăng tốc 10 phút".</v>
      </c>
      <c r="H304" s="27"/>
      <c r="I304" s="27"/>
      <c r="J304" s="27"/>
    </row>
    <row r="305" ht="21.0" customHeight="1">
      <c r="A305" s="30">
        <v>14.0</v>
      </c>
      <c r="B305" s="31">
        <v>410.0</v>
      </c>
      <c r="C305" s="31">
        <v>1.0</v>
      </c>
      <c r="D305" s="34" t="s">
        <v>563</v>
      </c>
      <c r="E305" s="33" t="s">
        <v>564</v>
      </c>
      <c r="F305" s="8" t="str">
        <f>IFERROR(__xludf.DUMMYFUNCTION("GOOGLETRANSLATE(D305,""zh-CN"",""vi"")"),"10 lần tăng tốc trong 5 phút")</f>
        <v>10 lần tăng tốc trong 5 phút</v>
      </c>
      <c r="G305" s="8" t="str">
        <f>IFERROR(__xludf.DUMMYFUNCTION("GOOGLETRANSLATE(E305,""zh-CN"",""vi"")"),"Nhấp đúp chuột sẽ hiển thị 10 mục ""Tăng tốc 5 phút"".")</f>
        <v>Nhấp đúp chuột sẽ hiển thị 10 mục "Tăng tốc 5 phút".</v>
      </c>
      <c r="H305" s="27"/>
      <c r="I305" s="27"/>
      <c r="J305" s="27"/>
    </row>
    <row r="306" ht="21.0" customHeight="1">
      <c r="A306" s="30">
        <v>14.0</v>
      </c>
      <c r="B306" s="31">
        <v>410.0</v>
      </c>
      <c r="C306" s="31">
        <v>1.0</v>
      </c>
      <c r="D306" s="34" t="s">
        <v>565</v>
      </c>
      <c r="E306" s="33" t="s">
        <v>566</v>
      </c>
      <c r="F306" s="8" t="str">
        <f>IFERROR(__xludf.DUMMYFUNCTION("GOOGLETRANSLATE(D306,""zh-CN"",""vi"")"),"5 lần tăng tốc trong 5 phút")</f>
        <v>5 lần tăng tốc trong 5 phút</v>
      </c>
      <c r="G306" s="8" t="str">
        <f>IFERROR(__xludf.DUMMYFUNCTION("GOOGLETRANSLATE(E306,""zh-CN"",""vi"")"),"Nhấp đúp chuột sẽ hiển thị 5 mục ""Tăng tốc trong 5 phút"".")</f>
        <v>Nhấp đúp chuột sẽ hiển thị 5 mục "Tăng tốc trong 5 phút".</v>
      </c>
      <c r="H306" s="27"/>
      <c r="I306" s="27"/>
      <c r="J306" s="27"/>
    </row>
    <row r="307" ht="21.0" customHeight="1">
      <c r="A307" s="30">
        <v>14.0</v>
      </c>
      <c r="B307" s="31">
        <v>410.0</v>
      </c>
      <c r="C307" s="31">
        <v>1.0</v>
      </c>
      <c r="D307" s="34" t="s">
        <v>567</v>
      </c>
      <c r="E307" s="33" t="s">
        <v>568</v>
      </c>
      <c r="F307" s="8" t="str">
        <f>IFERROR(__xludf.DUMMYFUNCTION("GOOGLETRANSLATE(D307,""zh-CN"",""vi"")"),"20 lần tăng tốc trong 5 phút")</f>
        <v>20 lần tăng tốc trong 5 phút</v>
      </c>
      <c r="G307" s="8" t="str">
        <f>IFERROR(__xludf.DUMMYFUNCTION("GOOGLETRANSLATE(E307,""zh-CN"",""vi"")"),"Nhấp đúp chuột sẽ hiển thị 20 mục ""Tăng tốc 5 phút"".")</f>
        <v>Nhấp đúp chuột sẽ hiển thị 20 mục "Tăng tốc 5 phút".</v>
      </c>
      <c r="H307" s="27"/>
      <c r="I307" s="27"/>
      <c r="J307" s="27"/>
    </row>
    <row r="308" ht="21.0" customHeight="1">
      <c r="A308" s="30">
        <v>14.0</v>
      </c>
      <c r="B308" s="31">
        <v>410.0</v>
      </c>
      <c r="C308" s="31">
        <v>1.0</v>
      </c>
      <c r="D308" s="34" t="s">
        <v>569</v>
      </c>
      <c r="E308" s="33" t="s">
        <v>570</v>
      </c>
      <c r="F308" s="8" t="str">
        <f>IFERROR(__xludf.DUMMYFUNCTION("GOOGLETRANSLATE(D308,""zh-CN"",""vi"")"),"5 lần chia")</f>
        <v>5 lần chia</v>
      </c>
      <c r="G308" s="8" t="str">
        <f>IFERROR(__xludf.DUMMYFUNCTION("GOOGLETRANSLATE(E308,""zh-CN"",""vi"")"),"Nhấp đúp chuột sẽ tạo ra 5 vật phẩm [Tháo rời].")</f>
        <v>Nhấp đúp chuột sẽ tạo ra 5 vật phẩm [Tháo rời].</v>
      </c>
      <c r="H308" s="27"/>
      <c r="I308" s="27"/>
      <c r="J308" s="27"/>
    </row>
    <row r="309" ht="21.0" customHeight="1">
      <c r="A309" s="30">
        <v>14.0</v>
      </c>
      <c r="B309" s="31">
        <v>410.0</v>
      </c>
      <c r="C309" s="31">
        <v>1.0</v>
      </c>
      <c r="D309" s="34" t="s">
        <v>571</v>
      </c>
      <c r="E309" s="33" t="s">
        <v>572</v>
      </c>
      <c r="F309" s="8" t="str">
        <f>IFERROR(__xludf.DUMMYFUNCTION("GOOGLETRANSLATE(D309,""zh-CN"",""vi"")"),"10 lần chia")</f>
        <v>10 lần chia</v>
      </c>
      <c r="G309" s="8" t="str">
        <f>IFERROR(__xludf.DUMMYFUNCTION("GOOGLETRANSLATE(E309,""zh-CN"",""vi"")"),"Nhấp đúp chuột sẽ tạo ra 10 vật phẩm [Tháo rời].")</f>
        <v>Nhấp đúp chuột sẽ tạo ra 10 vật phẩm [Tháo rời].</v>
      </c>
      <c r="H309" s="27"/>
      <c r="I309" s="27"/>
      <c r="J309" s="27"/>
    </row>
    <row r="310" ht="21.0" customHeight="1">
      <c r="A310" s="30">
        <v>14.0</v>
      </c>
      <c r="B310" s="31">
        <v>410.0</v>
      </c>
      <c r="C310" s="31">
        <v>1.0</v>
      </c>
      <c r="D310" s="34" t="s">
        <v>573</v>
      </c>
      <c r="E310" s="33" t="s">
        <v>574</v>
      </c>
      <c r="F310" s="8" t="str">
        <f>IFERROR(__xludf.DUMMYFUNCTION("GOOGLETRANSLATE(D310,""zh-CN"",""vi"")"),"20 lần chia")</f>
        <v>20 lần chia</v>
      </c>
      <c r="G310" s="8" t="str">
        <f>IFERROR(__xludf.DUMMYFUNCTION("GOOGLETRANSLATE(E310,""zh-CN"",""vi"")"),"Nhấp đúp chuột sẽ tạo ra 20 vật phẩm [Tháo rời].")</f>
        <v>Nhấp đúp chuột sẽ tạo ra 20 vật phẩm [Tháo rời].</v>
      </c>
      <c r="H310" s="27"/>
      <c r="I310" s="27"/>
      <c r="J310" s="27"/>
    </row>
    <row r="311" ht="21.0" customHeight="1">
      <c r="A311" s="30">
        <v>14.0</v>
      </c>
      <c r="B311" s="31">
        <v>410.0</v>
      </c>
      <c r="C311" s="31">
        <v>1.0</v>
      </c>
      <c r="D311" s="34" t="s">
        <v>575</v>
      </c>
      <c r="E311" s="33" t="s">
        <v>576</v>
      </c>
      <c r="F311" s="8" t="str">
        <f>IFERROR(__xludf.DUMMYFUNCTION("GOOGLETRANSLATE(D311,""zh-CN"",""vi"")"),"30 lần chia")</f>
        <v>30 lần chia</v>
      </c>
      <c r="G311" s="8" t="str">
        <f>IFERROR(__xludf.DUMMYFUNCTION("GOOGLETRANSLATE(E311,""zh-CN"",""vi"")"),"Nhấp đúp chuột sẽ tạo ra 30 vật phẩm [Tháo rời].")</f>
        <v>Nhấp đúp chuột sẽ tạo ra 30 vật phẩm [Tháo rời].</v>
      </c>
      <c r="H311" s="27"/>
      <c r="I311" s="27"/>
      <c r="J311" s="27"/>
    </row>
    <row r="312" ht="21.0" customHeight="1">
      <c r="A312" s="5">
        <v>14.0</v>
      </c>
      <c r="B312" s="6">
        <v>410.0</v>
      </c>
      <c r="C312" s="6">
        <v>1.0</v>
      </c>
      <c r="D312" s="35" t="s">
        <v>577</v>
      </c>
      <c r="E312" s="9" t="s">
        <v>578</v>
      </c>
      <c r="F312" s="8" t="str">
        <f>IFERROR(__xludf.DUMMYFUNCTION("GOOGLETRANSLATE(D312,""zh-CN"",""vi"")"),"2 với giá thêm 30")</f>
        <v>2 với giá thêm 30</v>
      </c>
      <c r="G312" s="8" t="str">
        <f>IFERROR(__xludf.DUMMYFUNCTION("GOOGLETRANSLATE(E312,""zh-CN"",""vi"")"),"Nhấp đúp chuột sẽ tạo ra 2 [Tăng số lượng thêm 30] vật phẩm.")</f>
        <v>Nhấp đúp chuột sẽ tạo ra 2 [Tăng số lượng thêm 30] vật phẩm.</v>
      </c>
      <c r="H312" s="8"/>
      <c r="I312" s="8"/>
      <c r="J312" s="8"/>
    </row>
    <row r="313" ht="21.0" customHeight="1">
      <c r="A313" s="5">
        <v>14.0</v>
      </c>
      <c r="B313" s="6">
        <v>410.0</v>
      </c>
      <c r="C313" s="6">
        <v>1.0</v>
      </c>
      <c r="D313" s="36" t="s">
        <v>579</v>
      </c>
      <c r="E313" s="9" t="s">
        <v>580</v>
      </c>
      <c r="F313" s="8" t="str">
        <f>IFERROR(__xludf.DUMMYFUNCTION("GOOGLETRANSLATE(D313,""zh-CN"",""vi"")"),"Thêm 3 cái nữa 30")</f>
        <v>Thêm 3 cái nữa 30</v>
      </c>
      <c r="G313" s="8" t="str">
        <f>IFERROR(__xludf.DUMMYFUNCTION("GOOGLETRANSLATE(E313,""zh-CN"",""vi"")"),"Nhấp đúp chuột sẽ tạo ra 3 vật phẩm [Tăng số lượng 30].")</f>
        <v>Nhấp đúp chuột sẽ tạo ra 3 vật phẩm [Tăng số lượng 30].</v>
      </c>
      <c r="H313" s="8"/>
      <c r="I313" s="8"/>
      <c r="J313" s="8"/>
    </row>
    <row r="314" ht="21.0" customHeight="1">
      <c r="A314" s="5">
        <v>14.0</v>
      </c>
      <c r="B314" s="6">
        <v>410.0</v>
      </c>
      <c r="C314" s="6">
        <v>1.0</v>
      </c>
      <c r="D314" s="35" t="s">
        <v>581</v>
      </c>
      <c r="E314" s="9" t="s">
        <v>582</v>
      </c>
      <c r="F314" s="8" t="str">
        <f>IFERROR(__xludf.DUMMYFUNCTION("GOOGLETRANSLATE(D314,""zh-CN"",""vi"")"),"5 cho thêm 30")</f>
        <v>5 cho thêm 30</v>
      </c>
      <c r="G314" s="8" t="str">
        <f>IFERROR(__xludf.DUMMYFUNCTION("GOOGLETRANSLATE(E314,""zh-CN"",""vi"")"),"Nhấp đúp chuột sẽ tạo ra 5 [Tăng số lượng 30] vật phẩm.")</f>
        <v>Nhấp đúp chuột sẽ tạo ra 5 [Tăng số lượng 30] vật phẩm.</v>
      </c>
      <c r="H314" s="8"/>
      <c r="I314" s="8"/>
      <c r="J314" s="8"/>
    </row>
    <row r="315" ht="21.0" customHeight="1">
      <c r="A315" s="5">
        <v>14.0</v>
      </c>
      <c r="B315" s="6">
        <v>410.0</v>
      </c>
      <c r="C315" s="6">
        <v>1.0</v>
      </c>
      <c r="D315" s="36" t="s">
        <v>583</v>
      </c>
      <c r="E315" s="9" t="s">
        <v>584</v>
      </c>
      <c r="F315" s="8" t="str">
        <f>IFERROR(__xludf.DUMMYFUNCTION("GOOGLETRANSLATE(D315,""zh-CN"",""vi"")"),"6 thêm 30")</f>
        <v>6 thêm 30</v>
      </c>
      <c r="G315" s="8" t="str">
        <f>IFERROR(__xludf.DUMMYFUNCTION("GOOGLETRANSLATE(E315,""zh-CN"",""vi"")"),"Nhấp đúp chuột sẽ tạo ra 6 [Tăng số lượng 30] vật phẩm.")</f>
        <v>Nhấp đúp chuột sẽ tạo ra 6 [Tăng số lượng 30] vật phẩm.</v>
      </c>
      <c r="H315" s="8"/>
      <c r="I315" s="8"/>
      <c r="J315" s="8"/>
    </row>
    <row r="316" ht="21.0" customHeight="1">
      <c r="A316" s="5">
        <v>14.0</v>
      </c>
      <c r="B316" s="6">
        <v>410.0</v>
      </c>
      <c r="C316" s="6">
        <v>1.0</v>
      </c>
      <c r="D316" s="35" t="s">
        <v>585</v>
      </c>
      <c r="E316" s="9" t="s">
        <v>586</v>
      </c>
      <c r="F316" s="8" t="str">
        <f>IFERROR(__xludf.DUMMYFUNCTION("GOOGLETRANSLATE(D316,""zh-CN"",""vi"")"),"2 lần chia đôi")</f>
        <v>2 lần chia đôi</v>
      </c>
      <c r="G316" s="8" t="str">
        <f>IFERROR(__xludf.DUMMYFUNCTION("GOOGLETRANSLATE(E316,""zh-CN"",""vi"")"),"Nhấp đúp chuột sẽ tạo ra 2 vật phẩm [Tháo rời].")</f>
        <v>Nhấp đúp chuột sẽ tạo ra 2 vật phẩm [Tháo rời].</v>
      </c>
      <c r="H316" s="8"/>
      <c r="I316" s="8"/>
      <c r="J316" s="8"/>
    </row>
    <row r="317" ht="21.0" customHeight="1">
      <c r="A317" s="5">
        <v>14.0</v>
      </c>
      <c r="B317" s="6">
        <v>410.0</v>
      </c>
      <c r="C317" s="6">
        <v>1.0</v>
      </c>
      <c r="D317" s="36" t="s">
        <v>587</v>
      </c>
      <c r="E317" s="9" t="s">
        <v>588</v>
      </c>
      <c r="F317" s="8" t="str">
        <f>IFERROR(__xludf.DUMMYFUNCTION("GOOGLETRANSLATE(D317,""zh-CN"",""vi"")"),"3 lần chia")</f>
        <v>3 lần chia</v>
      </c>
      <c r="G317" s="8" t="str">
        <f>IFERROR(__xludf.DUMMYFUNCTION("GOOGLETRANSLATE(E317,""zh-CN"",""vi"")"),"Nhấp đúp chuột sẽ tạo ra 3 vật phẩm [Tháo rời].")</f>
        <v>Nhấp đúp chuột sẽ tạo ra 3 vật phẩm [Tháo rời].</v>
      </c>
      <c r="H317" s="8"/>
      <c r="I317" s="8"/>
      <c r="J317" s="8"/>
    </row>
    <row r="318" ht="21.0" customHeight="1">
      <c r="A318" s="5">
        <v>14.0</v>
      </c>
      <c r="B318" s="6">
        <v>410.0</v>
      </c>
      <c r="C318" s="6">
        <v>1.0</v>
      </c>
      <c r="D318" s="35" t="s">
        <v>589</v>
      </c>
      <c r="E318" s="9" t="s">
        <v>590</v>
      </c>
      <c r="F318" s="8" t="str">
        <f>IFERROR(__xludf.DUMMYFUNCTION("GOOGLETRANSLATE(D318,""zh-CN"",""vi"")"),"6 lần chia")</f>
        <v>6 lần chia</v>
      </c>
      <c r="G318" s="8" t="str">
        <f>IFERROR(__xludf.DUMMYFUNCTION("GOOGLETRANSLATE(E318,""zh-CN"",""vi"")"),"Nhấp đúp chuột sẽ tạo ra 6 vật phẩm [Tháo rời].")</f>
        <v>Nhấp đúp chuột sẽ tạo ra 6 vật phẩm [Tháo rời].</v>
      </c>
      <c r="H318" s="8"/>
      <c r="I318" s="8"/>
      <c r="J318" s="8"/>
    </row>
    <row r="319" ht="21.0" customHeight="1">
      <c r="A319" s="5">
        <v>14.0</v>
      </c>
      <c r="B319" s="6">
        <v>410.0</v>
      </c>
      <c r="C319" s="6">
        <v>1.0</v>
      </c>
      <c r="D319" s="35" t="s">
        <v>591</v>
      </c>
      <c r="E319" s="9" t="s">
        <v>592</v>
      </c>
      <c r="F319" s="8" t="str">
        <f>IFERROR(__xludf.DUMMYFUNCTION("GOOGLETRANSLATE(D319,""zh-CN"",""vi"")"),"1000 sức bền")</f>
        <v>1000 sức bền</v>
      </c>
      <c r="G319" s="8" t="str">
        <f>IFERROR(__xludf.DUMMYFUNCTION("GOOGLETRANSLATE(E319,""zh-CN"",""vi"")"),"Nhấp đúp chuột sẽ tạo ra 10 vật phẩm với 100 điểm thể lực.")</f>
        <v>Nhấp đúp chuột sẽ tạo ra 10 vật phẩm với 100 điểm thể lực.</v>
      </c>
      <c r="H319" s="8"/>
      <c r="I319" s="8"/>
      <c r="J319" s="8"/>
    </row>
    <row r="320" ht="21.0" customHeight="1">
      <c r="A320" s="5">
        <v>14.0</v>
      </c>
      <c r="B320" s="6">
        <v>410.0</v>
      </c>
      <c r="C320" s="6">
        <v>1.0</v>
      </c>
      <c r="D320" s="35" t="s">
        <v>593</v>
      </c>
      <c r="E320" s="9" t="s">
        <v>594</v>
      </c>
      <c r="F320" s="8" t="str">
        <f>IFERROR(__xludf.DUMMYFUNCTION("GOOGLETRANSLATE(D320,""zh-CN"",""vi"")"),"300 sức bền")</f>
        <v>300 sức bền</v>
      </c>
      <c r="G320" s="8" t="str">
        <f>IFERROR(__xludf.DUMMYFUNCTION("GOOGLETRANSLATE(E320,""zh-CN"",""vi"")"),"Nhấp đúp chuột sẽ tạo ra 3 vật phẩm, mỗi vật phẩm có 100 điểm thể lực.")</f>
        <v>Nhấp đúp chuột sẽ tạo ra 3 vật phẩm, mỗi vật phẩm có 100 điểm thể lực.</v>
      </c>
      <c r="H320" s="8"/>
      <c r="I320" s="8"/>
      <c r="J320" s="8"/>
    </row>
    <row r="321" ht="21.0" customHeight="1">
      <c r="A321" s="5">
        <v>14.0</v>
      </c>
      <c r="B321" s="6">
        <v>418.0</v>
      </c>
      <c r="C321" s="6">
        <v>1.0</v>
      </c>
      <c r="D321" s="35" t="s">
        <v>595</v>
      </c>
      <c r="E321" s="9" t="s">
        <v>596</v>
      </c>
      <c r="F321" s="8" t="str">
        <f>IFERROR(__xludf.DUMMYFUNCTION("GOOGLETRANSLATE(D321,""zh-CN"",""vi"")"),"rương kho báu năng lượng 4 điểm")</f>
        <v>rương kho báu năng lượng 4 điểm</v>
      </c>
      <c r="G321" s="8" t="str">
        <f>IFERROR(__xludf.DUMMYFUNCTION("GOOGLETRANSLATE(E321,""zh-CN"",""vi"")"),"Nhấp đúp chuột sẽ tạo ra một vật phẩm chứa 4 điểm thể lực.")</f>
        <v>Nhấp đúp chuột sẽ tạo ra một vật phẩm chứa 4 điểm thể lực.</v>
      </c>
      <c r="H321" s="8"/>
      <c r="I321" s="8"/>
      <c r="J321" s="8"/>
    </row>
    <row r="322" ht="21.0" customHeight="1">
      <c r="A322" s="5">
        <v>14.0</v>
      </c>
      <c r="B322" s="6">
        <v>418.0</v>
      </c>
      <c r="C322" s="6">
        <v>1.0</v>
      </c>
      <c r="D322" s="35" t="s">
        <v>597</v>
      </c>
      <c r="E322" s="9" t="s">
        <v>598</v>
      </c>
      <c r="F322" s="8" t="str">
        <f>IFERROR(__xludf.DUMMYFUNCTION("GOOGLETRANSLATE(D322,""zh-CN"",""vi"")"),"rương kho báu năng lượng 8 điểm")</f>
        <v>rương kho báu năng lượng 8 điểm</v>
      </c>
      <c r="G322" s="8" t="str">
        <f>IFERROR(__xludf.DUMMYFUNCTION("GOOGLETRANSLATE(E322,""zh-CN"",""vi"")"),"Nhấp đúp chuột sẽ tạo ra một vật phẩm với 8 điểm thể lực.")</f>
        <v>Nhấp đúp chuột sẽ tạo ra một vật phẩm với 8 điểm thể lực.</v>
      </c>
      <c r="H322" s="8"/>
      <c r="I322" s="8"/>
      <c r="J322" s="8"/>
    </row>
    <row r="323" ht="21.0" customHeight="1">
      <c r="A323" s="5">
        <v>14.0</v>
      </c>
      <c r="B323" s="6">
        <v>418.0</v>
      </c>
      <c r="C323" s="6">
        <v>1.0</v>
      </c>
      <c r="D323" s="35" t="s">
        <v>599</v>
      </c>
      <c r="E323" s="9" t="s">
        <v>600</v>
      </c>
      <c r="F323" s="8" t="str">
        <f>IFERROR(__xludf.DUMMYFUNCTION("GOOGLETRANSLATE(D323,""zh-CN"",""vi"")"),"rương kho báu năng lượng 16 điểm")</f>
        <v>rương kho báu năng lượng 16 điểm</v>
      </c>
      <c r="G323" s="8" t="str">
        <f>IFERROR(__xludf.DUMMYFUNCTION("GOOGLETRANSLATE(E323,""zh-CN"",""vi"")"),"Nhấp đúp chuột sẽ tạo ra 2 vật phẩm với 8 điểm thể lực.")</f>
        <v>Nhấp đúp chuột sẽ tạo ra 2 vật phẩm với 8 điểm thể lực.</v>
      </c>
      <c r="H323" s="8"/>
      <c r="I323" s="8"/>
      <c r="J323" s="8"/>
    </row>
    <row r="324" ht="21.0" customHeight="1">
      <c r="A324" s="5">
        <v>14.0</v>
      </c>
      <c r="B324" s="6">
        <v>418.0</v>
      </c>
      <c r="C324" s="6">
        <v>1.0</v>
      </c>
      <c r="D324" s="35" t="s">
        <v>601</v>
      </c>
      <c r="E324" s="9" t="s">
        <v>602</v>
      </c>
      <c r="F324" s="8" t="str">
        <f>IFERROR(__xludf.DUMMYFUNCTION("GOOGLETRANSLATE(D324,""zh-CN"",""vi"")"),"rương kho báu năng lượng 32 điểm")</f>
        <v>rương kho báu năng lượng 32 điểm</v>
      </c>
      <c r="G324" s="8" t="str">
        <f>IFERROR(__xludf.DUMMYFUNCTION("GOOGLETRANSLATE(E324,""zh-CN"",""vi"")"),"Nhấp đúp chuột sẽ tạo ra 4 vật phẩm với 8 điểm thể lực.")</f>
        <v>Nhấp đúp chuột sẽ tạo ra 4 vật phẩm với 8 điểm thể lực.</v>
      </c>
      <c r="H324" s="8"/>
      <c r="I324" s="8"/>
      <c r="J324" s="8"/>
    </row>
    <row r="325" ht="21.0" customHeight="1">
      <c r="A325" s="5">
        <v>4.0</v>
      </c>
      <c r="B325" s="6">
        <v>407.0</v>
      </c>
      <c r="C325" s="6">
        <v>1.0</v>
      </c>
      <c r="D325" s="7" t="s">
        <v>603</v>
      </c>
      <c r="E325" s="9" t="s">
        <v>604</v>
      </c>
      <c r="F325" s="8" t="str">
        <f>IFERROR(__xludf.DUMMYFUNCTION("GOOGLETRANSLATE(D325,""zh-CN"",""vi"")"),"Hộp bìa cứng bị rách")</f>
        <v>Hộp bìa cứng bị rách</v>
      </c>
      <c r="G325" s="8" t="str">
        <f>IFERROR(__xludf.DUMMYFUNCTION("GOOGLETRANSLATE(E325,""zh-CN"",""vi"")"),"Thùng carton rỗng chỉ có thể được bán để lấy tiền.")</f>
        <v>Thùng carton rỗng chỉ có thể được bán để lấy tiền.</v>
      </c>
      <c r="H325" s="8"/>
      <c r="I325" s="8"/>
      <c r="J325" s="8"/>
    </row>
    <row r="326" ht="21.0" customHeight="1">
      <c r="A326" s="5">
        <v>4.0</v>
      </c>
      <c r="B326" s="6">
        <v>407.0</v>
      </c>
      <c r="C326" s="6">
        <v>1.0</v>
      </c>
      <c r="D326" s="7" t="s">
        <v>603</v>
      </c>
      <c r="E326" s="9" t="s">
        <v>604</v>
      </c>
      <c r="F326" s="8" t="str">
        <f>IFERROR(__xludf.DUMMYFUNCTION("GOOGLETRANSLATE(D326,""zh-CN"",""vi"")"),"Hộp bìa cứng bị rách")</f>
        <v>Hộp bìa cứng bị rách</v>
      </c>
      <c r="G326" s="8" t="str">
        <f>IFERROR(__xludf.DUMMYFUNCTION("GOOGLETRANSLATE(E326,""zh-CN"",""vi"")"),"Thùng carton rỗng chỉ có thể được bán để lấy tiền.")</f>
        <v>Thùng carton rỗng chỉ có thể được bán để lấy tiền.</v>
      </c>
      <c r="H326" s="8"/>
      <c r="I326" s="8"/>
      <c r="J326" s="8"/>
    </row>
    <row r="327" ht="21.0" customHeight="1">
      <c r="A327" s="5">
        <v>4.0</v>
      </c>
      <c r="B327" s="6">
        <v>407.0</v>
      </c>
      <c r="C327" s="6">
        <v>1.0</v>
      </c>
      <c r="D327" s="9" t="s">
        <v>603</v>
      </c>
      <c r="E327" s="9" t="s">
        <v>604</v>
      </c>
      <c r="F327" s="8" t="str">
        <f>IFERROR(__xludf.DUMMYFUNCTION("GOOGLETRANSLATE(D327,""zh-CN"",""vi"")"),"Hộp bìa cứng bị rách")</f>
        <v>Hộp bìa cứng bị rách</v>
      </c>
      <c r="G327" s="8" t="str">
        <f>IFERROR(__xludf.DUMMYFUNCTION("GOOGLETRANSLATE(E327,""zh-CN"",""vi"")"),"Thùng carton rỗng chỉ có thể được bán để lấy tiền.")</f>
        <v>Thùng carton rỗng chỉ có thể được bán để lấy tiền.</v>
      </c>
      <c r="H327" s="8"/>
      <c r="I327" s="8"/>
      <c r="J327" s="8"/>
    </row>
    <row r="328" ht="21.0" customHeight="1">
      <c r="A328" s="5">
        <v>4.0</v>
      </c>
      <c r="B328" s="6">
        <v>408.0</v>
      </c>
      <c r="C328" s="6">
        <v>1.0</v>
      </c>
      <c r="D328" s="16" t="s">
        <v>605</v>
      </c>
      <c r="E328" s="9" t="s">
        <v>606</v>
      </c>
      <c r="F328" s="8" t="str">
        <f>IFERROR(__xludf.DUMMYFUNCTION("GOOGLETRANSLATE(D328,""zh-CN"",""vi"")"),"Hộp đựng tiền xu vàng nhỏ")</f>
        <v>Hộp đựng tiền xu vàng nhỏ</v>
      </c>
      <c r="G328" s="8" t="str">
        <f>IFERROR(__xludf.DUMMYFUNCTION("GOOGLETRANSLATE(E328,""zh-CN"",""vi"")"),"Nhấp đúp chuột để tạo ra tiền vàng")</f>
        <v>Nhấp đúp chuột để tạo ra tiền vàng</v>
      </c>
      <c r="H328" s="8"/>
      <c r="I328" s="8"/>
      <c r="J328" s="8"/>
    </row>
    <row r="329" ht="21.0" customHeight="1">
      <c r="A329" s="5">
        <v>4.0</v>
      </c>
      <c r="B329" s="6">
        <v>408.0</v>
      </c>
      <c r="C329" s="6">
        <v>1.0</v>
      </c>
      <c r="D329" s="16" t="s">
        <v>607</v>
      </c>
      <c r="E329" s="9" t="s">
        <v>606</v>
      </c>
      <c r="F329" s="8" t="str">
        <f>IFERROR(__xludf.DUMMYFUNCTION("GOOGLETRANSLATE(D329,""zh-CN"",""vi"")"),"Rương đựng tiền vàng (cỡ trung bình)")</f>
        <v>Rương đựng tiền vàng (cỡ trung bình)</v>
      </c>
      <c r="G329" s="8" t="str">
        <f>IFERROR(__xludf.DUMMYFUNCTION("GOOGLETRANSLATE(E329,""zh-CN"",""vi"")"),"Nhấp đúp chuột để tạo ra tiền vàng")</f>
        <v>Nhấp đúp chuột để tạo ra tiền vàng</v>
      </c>
      <c r="H329" s="8"/>
      <c r="I329" s="8"/>
      <c r="J329" s="8"/>
    </row>
    <row r="330" ht="21.0" customHeight="1">
      <c r="A330" s="5">
        <v>4.0</v>
      </c>
      <c r="B330" s="6">
        <v>408.0</v>
      </c>
      <c r="C330" s="6">
        <v>1.0</v>
      </c>
      <c r="D330" s="16" t="s">
        <v>608</v>
      </c>
      <c r="E330" s="9" t="s">
        <v>606</v>
      </c>
      <c r="F330" s="8" t="str">
        <f>IFERROR(__xludf.DUMMYFUNCTION("GOOGLETRANSLATE(D330,""zh-CN"",""vi"")"),"Rương đựng tiền vàng (cỡ lớn)")</f>
        <v>Rương đựng tiền vàng (cỡ lớn)</v>
      </c>
      <c r="G330" s="8" t="str">
        <f>IFERROR(__xludf.DUMMYFUNCTION("GOOGLETRANSLATE(E330,""zh-CN"",""vi"")"),"Nhấp đúp chuột để tạo ra tiền vàng")</f>
        <v>Nhấp đúp chuột để tạo ra tiền vàng</v>
      </c>
      <c r="H330" s="8"/>
      <c r="I330" s="8"/>
      <c r="J330" s="8"/>
    </row>
    <row r="331" ht="21.0" customHeight="1">
      <c r="A331" s="5">
        <v>28.0</v>
      </c>
      <c r="B331" s="6">
        <v>408.0</v>
      </c>
      <c r="C331" s="6">
        <v>1.0</v>
      </c>
      <c r="D331" s="16" t="s">
        <v>609</v>
      </c>
      <c r="E331" s="9" t="s">
        <v>610</v>
      </c>
      <c r="F331" s="8" t="str">
        <f>IFERROR(__xludf.DUMMYFUNCTION("GOOGLETRANSLATE(D331,""zh-CN"",""vi"")"),"Lợi ích trực tuyến dành cho người mới")</f>
        <v>Lợi ích trực tuyến dành cho người mới</v>
      </c>
      <c r="G331" s="8" t="str">
        <f>IFERROR(__xludf.DUMMYFUNCTION("GOOGLETRANSLATE(E331,""zh-CN"",""vi"")"),"Bạn có thể nhận phần thưởng sau khi đáp ứng đủ thời gian trực tuyến yêu cầu.")</f>
        <v>Bạn có thể nhận phần thưởng sau khi đáp ứng đủ thời gian trực tuyến yêu cầu.</v>
      </c>
      <c r="H331" s="8"/>
      <c r="I331" s="8"/>
      <c r="J331" s="8"/>
    </row>
    <row r="332" ht="21.0" customHeight="1">
      <c r="A332" s="5">
        <v>29.0</v>
      </c>
      <c r="B332" s="6">
        <v>408.0</v>
      </c>
      <c r="C332" s="6">
        <v>1.0</v>
      </c>
      <c r="D332" s="16" t="s">
        <v>611</v>
      </c>
      <c r="E332" s="9" t="s">
        <v>612</v>
      </c>
      <c r="F332" s="8" t="str">
        <f>IFERROR(__xludf.DUMMYFUNCTION("GOOGLETRANSLATE(D332,""zh-CN"",""vi"")"),"Lợi ích đăng nhập liên tiếp")</f>
        <v>Lợi ích đăng nhập liên tiếp</v>
      </c>
      <c r="G332" s="8" t="str">
        <f>IFERROR(__xludf.DUMMYFUNCTION("GOOGLETRANSLATE(E332,""zh-CN"",""vi"")"),"Bạn có thể nhận phần thưởng sau khi đáp ứng đủ số lần đăng nhập liên tiếp.")</f>
        <v>Bạn có thể nhận phần thưởng sau khi đáp ứng đủ số lần đăng nhập liên tiếp.</v>
      </c>
      <c r="H332" s="8"/>
      <c r="I332" s="8"/>
      <c r="J332" s="8"/>
    </row>
    <row r="333" ht="21.0" customHeight="1">
      <c r="A333" s="30">
        <v>5.0</v>
      </c>
      <c r="B333" s="31">
        <v>409.0</v>
      </c>
      <c r="C333" s="31">
        <v>1.0</v>
      </c>
      <c r="D333" s="34" t="s">
        <v>613</v>
      </c>
      <c r="E333" s="33" t="s">
        <v>614</v>
      </c>
      <c r="F333" s="8" t="str">
        <f>IFERROR(__xludf.DUMMYFUNCTION("GOOGLETRANSLATE(D333,""zh-CN"",""vi"")"),"Quà tặng từ một vị khách bí ẩn trong dịp năm mới")</f>
        <v>Quà tặng từ một vị khách bí ẩn trong dịp năm mới</v>
      </c>
      <c r="G333" s="8" t="str">
        <f>IFERROR(__xludf.DUMMYFUNCTION("GOOGLETRANSLATE(E333,""zh-CN"",""vi"")"),"Nhấp đúp chuột để nhận phần thưởng ngẫu nhiên")</f>
        <v>Nhấp đúp chuột để nhận phần thưởng ngẫu nhiên</v>
      </c>
      <c r="H333" s="27"/>
      <c r="I333" s="27"/>
      <c r="J333" s="27"/>
    </row>
    <row r="334" ht="21.0" customHeight="1">
      <c r="A334" s="30">
        <v>20.0</v>
      </c>
      <c r="B334" s="31">
        <v>417.0</v>
      </c>
      <c r="C334" s="31">
        <v>1.0</v>
      </c>
      <c r="D334" s="34" t="s">
        <v>613</v>
      </c>
      <c r="E334" s="33" t="s">
        <v>615</v>
      </c>
      <c r="F334" s="8" t="str">
        <f>IFERROR(__xludf.DUMMYFUNCTION("GOOGLETRANSLATE(D334,""zh-CN"",""vi"")"),"Quà tặng từ một vị khách bí ẩn trong dịp năm mới")</f>
        <v>Quà tặng từ một vị khách bí ẩn trong dịp năm mới</v>
      </c>
      <c r="G334" s="8" t="str">
        <f>IFERROR(__xludf.DUMMYFUNCTION("GOOGLETRANSLATE(E334,""zh-CN"",""vi"")"),"Nhấp đúp chuột để chọn giải thưởng, sau đó nhấp chuột để tạo phần thưởng.")</f>
        <v>Nhấp đúp chuột để chọn giải thưởng, sau đó nhấp chuột để tạo phần thưởng.</v>
      </c>
      <c r="H334" s="27"/>
      <c r="I334" s="27"/>
      <c r="J334" s="27"/>
    </row>
    <row r="335" ht="21.0" customHeight="1">
      <c r="A335" s="30">
        <v>5.0</v>
      </c>
      <c r="B335" s="31">
        <v>417.0</v>
      </c>
      <c r="C335" s="31">
        <v>1.0</v>
      </c>
      <c r="D335" s="34" t="s">
        <v>616</v>
      </c>
      <c r="E335" s="33" t="s">
        <v>614</v>
      </c>
      <c r="F335" s="8" t="str">
        <f>IFERROR(__xludf.DUMMYFUNCTION("GOOGLETRANSLATE(D335,""zh-CN"",""vi"")"),"Gói quà ngẫu nhiên")</f>
        <v>Gói quà ngẫu nhiên</v>
      </c>
      <c r="G335" s="8" t="str">
        <f>IFERROR(__xludf.DUMMYFUNCTION("GOOGLETRANSLATE(E335,""zh-CN"",""vi"")"),"Nhấp đúp chuột để nhận phần thưởng ngẫu nhiên")</f>
        <v>Nhấp đúp chuột để nhận phần thưởng ngẫu nhiên</v>
      </c>
      <c r="H335" s="27"/>
      <c r="I335" s="27"/>
      <c r="J335" s="27"/>
    </row>
    <row r="336" ht="21.0" customHeight="1">
      <c r="A336" s="30">
        <v>4.0</v>
      </c>
      <c r="B336" s="31">
        <v>411.0</v>
      </c>
      <c r="C336" s="31">
        <v>1.0</v>
      </c>
      <c r="D336" s="34" t="s">
        <v>617</v>
      </c>
      <c r="E336" s="33" t="s">
        <v>618</v>
      </c>
      <c r="F336" s="8" t="str">
        <f>IFERROR(__xludf.DUMMYFUNCTION("GOOGLETRANSLATE(D336,""zh-CN"",""vi"")"),"Ngực sức bền")</f>
        <v>Ngực sức bền</v>
      </c>
      <c r="G336" s="8" t="str">
        <f>IFERROR(__xludf.DUMMYFUNCTION("GOOGLETRANSLATE(E336,""zh-CN"",""vi"")"),"Nhấp đúp chuột sẽ ngẫu nhiên tạo ra năng lượng.")</f>
        <v>Nhấp đúp chuột sẽ ngẫu nhiên tạo ra năng lượng.</v>
      </c>
      <c r="H336" s="27"/>
      <c r="I336" s="27"/>
      <c r="J336" s="27"/>
    </row>
    <row r="337" ht="21.0" customHeight="1">
      <c r="A337" s="30">
        <v>4.0</v>
      </c>
      <c r="B337" s="31">
        <v>411.0</v>
      </c>
      <c r="C337" s="31">
        <v>1.0</v>
      </c>
      <c r="D337" s="34" t="s">
        <v>617</v>
      </c>
      <c r="E337" s="33" t="s">
        <v>618</v>
      </c>
      <c r="F337" s="8" t="str">
        <f>IFERROR(__xludf.DUMMYFUNCTION("GOOGLETRANSLATE(D337,""zh-CN"",""vi"")"),"Ngực sức bền")</f>
        <v>Ngực sức bền</v>
      </c>
      <c r="G337" s="8" t="str">
        <f>IFERROR(__xludf.DUMMYFUNCTION("GOOGLETRANSLATE(E337,""zh-CN"",""vi"")"),"Nhấp đúp chuột sẽ ngẫu nhiên tạo ra năng lượng.")</f>
        <v>Nhấp đúp chuột sẽ ngẫu nhiên tạo ra năng lượng.</v>
      </c>
      <c r="H337" s="27"/>
      <c r="I337" s="27"/>
      <c r="J337" s="27"/>
    </row>
    <row r="338" ht="21.0" customHeight="1">
      <c r="A338" s="30">
        <v>4.0</v>
      </c>
      <c r="B338" s="31">
        <v>411.0</v>
      </c>
      <c r="C338" s="31">
        <v>1.0</v>
      </c>
      <c r="D338" s="34" t="s">
        <v>617</v>
      </c>
      <c r="E338" s="33" t="s">
        <v>618</v>
      </c>
      <c r="F338" s="8" t="str">
        <f>IFERROR(__xludf.DUMMYFUNCTION("GOOGLETRANSLATE(D338,""zh-CN"",""vi"")"),"Ngực sức bền")</f>
        <v>Ngực sức bền</v>
      </c>
      <c r="G338" s="8" t="str">
        <f>IFERROR(__xludf.DUMMYFUNCTION("GOOGLETRANSLATE(E338,""zh-CN"",""vi"")"),"Nhấp đúp chuột sẽ ngẫu nhiên tạo ra năng lượng.")</f>
        <v>Nhấp đúp chuột sẽ ngẫu nhiên tạo ra năng lượng.</v>
      </c>
      <c r="H338" s="27"/>
      <c r="I338" s="27"/>
      <c r="J338" s="27"/>
    </row>
    <row r="339" ht="21.0" customHeight="1">
      <c r="A339" s="30">
        <v>4.0</v>
      </c>
      <c r="B339" s="31">
        <v>411.0</v>
      </c>
      <c r="C339" s="31">
        <v>1.0</v>
      </c>
      <c r="D339" s="34" t="s">
        <v>617</v>
      </c>
      <c r="E339" s="33" t="s">
        <v>618</v>
      </c>
      <c r="F339" s="8" t="str">
        <f>IFERROR(__xludf.DUMMYFUNCTION("GOOGLETRANSLATE(D339,""zh-CN"",""vi"")"),"Ngực sức bền")</f>
        <v>Ngực sức bền</v>
      </c>
      <c r="G339" s="8" t="str">
        <f>IFERROR(__xludf.DUMMYFUNCTION("GOOGLETRANSLATE(E339,""zh-CN"",""vi"")"),"Nhấp đúp chuột sẽ ngẫu nhiên tạo ra năng lượng.")</f>
        <v>Nhấp đúp chuột sẽ ngẫu nhiên tạo ra năng lượng.</v>
      </c>
      <c r="H339" s="27"/>
      <c r="I339" s="27"/>
      <c r="J339" s="27"/>
    </row>
    <row r="340" ht="21.0" customHeight="1">
      <c r="A340" s="30">
        <v>4.0</v>
      </c>
      <c r="B340" s="31">
        <v>411.0</v>
      </c>
      <c r="C340" s="31">
        <v>1.0</v>
      </c>
      <c r="D340" s="34" t="s">
        <v>617</v>
      </c>
      <c r="E340" s="33" t="s">
        <v>618</v>
      </c>
      <c r="F340" s="8" t="str">
        <f>IFERROR(__xludf.DUMMYFUNCTION("GOOGLETRANSLATE(D340,""zh-CN"",""vi"")"),"Ngực sức bền")</f>
        <v>Ngực sức bền</v>
      </c>
      <c r="G340" s="8" t="str">
        <f>IFERROR(__xludf.DUMMYFUNCTION("GOOGLETRANSLATE(E340,""zh-CN"",""vi"")"),"Nhấp đúp chuột sẽ ngẫu nhiên tạo ra năng lượng.")</f>
        <v>Nhấp đúp chuột sẽ ngẫu nhiên tạo ra năng lượng.</v>
      </c>
      <c r="H340" s="27"/>
      <c r="I340" s="27"/>
      <c r="J340" s="27"/>
    </row>
    <row r="341" ht="21.0" customHeight="1">
      <c r="A341" s="30">
        <v>4.0</v>
      </c>
      <c r="B341" s="31">
        <v>411.0</v>
      </c>
      <c r="C341" s="31">
        <v>1.0</v>
      </c>
      <c r="D341" s="34" t="s">
        <v>619</v>
      </c>
      <c r="E341" s="33" t="s">
        <v>618</v>
      </c>
      <c r="F341" s="8" t="str">
        <f>IFERROR(__xludf.DUMMYFUNCTION("GOOGLETRANSLATE(D341,""zh-CN"",""vi"")"),"Rương Sức Bền (Mới)")</f>
        <v>Rương Sức Bền (Mới)</v>
      </c>
      <c r="G341" s="8" t="str">
        <f>IFERROR(__xludf.DUMMYFUNCTION("GOOGLETRANSLATE(E341,""zh-CN"",""vi"")"),"Nhấp đúp chuột sẽ ngẫu nhiên tạo ra năng lượng.")</f>
        <v>Nhấp đúp chuột sẽ ngẫu nhiên tạo ra năng lượng.</v>
      </c>
      <c r="H341" s="27"/>
      <c r="I341" s="27"/>
      <c r="J341" s="27"/>
    </row>
    <row r="342" ht="21.0" customHeight="1">
      <c r="A342" s="30">
        <v>4.0</v>
      </c>
      <c r="B342" s="31">
        <v>412.0</v>
      </c>
      <c r="C342" s="31">
        <v>1.0</v>
      </c>
      <c r="D342" s="34" t="s">
        <v>620</v>
      </c>
      <c r="E342" s="33" t="s">
        <v>621</v>
      </c>
      <c r="F342" s="8" t="str">
        <f>IFERROR(__xludf.DUMMYFUNCTION("GOOGLETRANSLATE(D342,""zh-CN"",""vi"")"),"rương kho báu giả")</f>
        <v>rương kho báu giả</v>
      </c>
      <c r="G342" s="8" t="str">
        <f>IFERROR(__xludf.DUMMYFUNCTION("GOOGLETRANSLATE(E342,""zh-CN"",""vi"")"),"Nhấp đúp chuột sẽ tạo ra các vật phẩm với một xác suất nhất định.")</f>
        <v>Nhấp đúp chuột sẽ tạo ra các vật phẩm với một xác suất nhất định.</v>
      </c>
      <c r="H342" s="27"/>
      <c r="I342" s="27"/>
      <c r="J342" s="27"/>
    </row>
    <row r="343" ht="12.0" customHeight="1">
      <c r="A343" s="30">
        <v>4.0</v>
      </c>
      <c r="B343" s="31">
        <v>412.0</v>
      </c>
      <c r="C343" s="31">
        <v>1.0</v>
      </c>
      <c r="D343" s="34" t="s">
        <v>620</v>
      </c>
      <c r="E343" s="33" t="s">
        <v>621</v>
      </c>
      <c r="F343" s="8" t="str">
        <f>IFERROR(__xludf.DUMMYFUNCTION("GOOGLETRANSLATE(D343,""zh-CN"",""vi"")"),"rương kho báu giả")</f>
        <v>rương kho báu giả</v>
      </c>
      <c r="G343" s="8" t="str">
        <f>IFERROR(__xludf.DUMMYFUNCTION("GOOGLETRANSLATE(E343,""zh-CN"",""vi"")"),"Nhấp đúp chuột sẽ tạo ra các vật phẩm với một xác suất nhất định.")</f>
        <v>Nhấp đúp chuột sẽ tạo ra các vật phẩm với một xác suất nhất định.</v>
      </c>
      <c r="H343" s="27"/>
      <c r="I343" s="27"/>
      <c r="J343" s="27"/>
    </row>
    <row r="344" ht="12.0" customHeight="1">
      <c r="A344" s="30">
        <v>4.0</v>
      </c>
      <c r="B344" s="31">
        <v>412.0</v>
      </c>
      <c r="C344" s="31">
        <v>1.0</v>
      </c>
      <c r="D344" s="34" t="s">
        <v>620</v>
      </c>
      <c r="E344" s="33" t="s">
        <v>621</v>
      </c>
      <c r="F344" s="8" t="str">
        <f>IFERROR(__xludf.DUMMYFUNCTION("GOOGLETRANSLATE(D344,""zh-CN"",""vi"")"),"rương kho báu giả")</f>
        <v>rương kho báu giả</v>
      </c>
      <c r="G344" s="8" t="str">
        <f>IFERROR(__xludf.DUMMYFUNCTION("GOOGLETRANSLATE(E344,""zh-CN"",""vi"")"),"Nhấp đúp chuột sẽ tạo ra các vật phẩm với một xác suất nhất định.")</f>
        <v>Nhấp đúp chuột sẽ tạo ra các vật phẩm với một xác suất nhất định.</v>
      </c>
      <c r="H344" s="27"/>
      <c r="I344" s="27"/>
      <c r="J344" s="27"/>
    </row>
    <row r="345" ht="12.0" customHeight="1">
      <c r="A345" s="30">
        <v>4.0</v>
      </c>
      <c r="B345" s="31">
        <v>412.0</v>
      </c>
      <c r="C345" s="31">
        <v>1.0</v>
      </c>
      <c r="D345" s="34" t="s">
        <v>620</v>
      </c>
      <c r="E345" s="33" t="s">
        <v>621</v>
      </c>
      <c r="F345" s="8" t="str">
        <f>IFERROR(__xludf.DUMMYFUNCTION("GOOGLETRANSLATE(D345,""zh-CN"",""vi"")"),"rương kho báu giả")</f>
        <v>rương kho báu giả</v>
      </c>
      <c r="G345" s="8" t="str">
        <f>IFERROR(__xludf.DUMMYFUNCTION("GOOGLETRANSLATE(E345,""zh-CN"",""vi"")"),"Nhấp đúp chuột sẽ tạo ra các vật phẩm với một xác suất nhất định.")</f>
        <v>Nhấp đúp chuột sẽ tạo ra các vật phẩm với một xác suất nhất định.</v>
      </c>
      <c r="H345" s="27"/>
      <c r="I345" s="27"/>
      <c r="J345" s="27"/>
    </row>
    <row r="346" ht="12.0" customHeight="1">
      <c r="A346" s="30">
        <v>4.0</v>
      </c>
      <c r="B346" s="31">
        <v>412.0</v>
      </c>
      <c r="C346" s="31">
        <v>1.0</v>
      </c>
      <c r="D346" s="34" t="s">
        <v>620</v>
      </c>
      <c r="E346" s="33" t="s">
        <v>621</v>
      </c>
      <c r="F346" s="8" t="str">
        <f>IFERROR(__xludf.DUMMYFUNCTION("GOOGLETRANSLATE(D346,""zh-CN"",""vi"")"),"rương kho báu giả")</f>
        <v>rương kho báu giả</v>
      </c>
      <c r="G346" s="8" t="str">
        <f>IFERROR(__xludf.DUMMYFUNCTION("GOOGLETRANSLATE(E346,""zh-CN"",""vi"")"),"Nhấp đúp chuột sẽ tạo ra các vật phẩm với một xác suất nhất định.")</f>
        <v>Nhấp đúp chuột sẽ tạo ra các vật phẩm với một xác suất nhất định.</v>
      </c>
      <c r="H346" s="27"/>
      <c r="I346" s="27"/>
      <c r="J346" s="27"/>
    </row>
    <row r="347" ht="12.0" customHeight="1">
      <c r="A347" s="30">
        <v>14.0</v>
      </c>
      <c r="B347" s="31">
        <v>413.0</v>
      </c>
      <c r="C347" s="31">
        <v>1.0</v>
      </c>
      <c r="D347" s="34" t="s">
        <v>622</v>
      </c>
      <c r="E347" s="33" t="s">
        <v>623</v>
      </c>
      <c r="F347" s="8" t="str">
        <f>IFERROR(__xludf.DUMMYFUNCTION("GOOGLETRANSLATE(D347,""zh-CN"",""vi"")"),"Rương kho báu vòng đua")</f>
        <v>Rương kho báu vòng đua</v>
      </c>
      <c r="G347" s="8" t="str">
        <f>IFERROR(__xludf.DUMMYFUNCTION("GOOGLETRANSLATE(E347,""zh-CN"",""vi"")"),"Nhấp đúp chuột sẽ nhận được 1 Mẹ Bàn Thờ Nhỏ Cấp 4, 100 Thể Lực, 100 Vàng và 1 Gói Chức Năng Cơ Bản.")</f>
        <v>Nhấp đúp chuột sẽ nhận được 1 Mẹ Bàn Thờ Nhỏ Cấp 4, 100 Thể Lực, 100 Vàng và 1 Gói Chức Năng Cơ Bản.</v>
      </c>
      <c r="H347" s="27"/>
      <c r="I347" s="27"/>
      <c r="J347" s="27"/>
    </row>
    <row r="348" ht="12.0" customHeight="1">
      <c r="A348" s="30">
        <v>14.0</v>
      </c>
      <c r="B348" s="31">
        <v>413.0</v>
      </c>
      <c r="C348" s="31">
        <v>1.0</v>
      </c>
      <c r="D348" s="34" t="s">
        <v>622</v>
      </c>
      <c r="E348" s="33" t="s">
        <v>624</v>
      </c>
      <c r="F348" s="8" t="str">
        <f>IFERROR(__xludf.DUMMYFUNCTION("GOOGLETRANSLATE(D348,""zh-CN"",""vi"")"),"Rương kho báu vòng đua")</f>
        <v>Rương kho báu vòng đua</v>
      </c>
      <c r="G348" s="8" t="str">
        <f>IFERROR(__xludf.DUMMYFUNCTION("GOOGLETRANSLATE(E348,""zh-CN"",""vi"")"),"Nhấp đúp chuột sẽ nhận được 100 Thể lực*1, 400 Vàng*1 và ​​Gói Chức năng dành cho người mới bắt đầu*1")</f>
        <v>Nhấp đúp chuột sẽ nhận được 100 Thể lực*1, 400 Vàng*1 và ​​Gói Chức năng dành cho người mới bắt đầu*1</v>
      </c>
      <c r="H348" s="27"/>
      <c r="I348" s="27"/>
      <c r="J348" s="27"/>
    </row>
    <row r="349" ht="12.0" customHeight="1">
      <c r="A349" s="30">
        <v>14.0</v>
      </c>
      <c r="B349" s="31">
        <v>413.0</v>
      </c>
      <c r="C349" s="31">
        <v>1.0</v>
      </c>
      <c r="D349" s="34" t="s">
        <v>622</v>
      </c>
      <c r="E349" s="33" t="s">
        <v>625</v>
      </c>
      <c r="F349" s="8" t="str">
        <f>IFERROR(__xludf.DUMMYFUNCTION("GOOGLETRANSLATE(D349,""zh-CN"",""vi"")"),"Rương kho báu vòng đua")</f>
        <v>Rương kho báu vòng đua</v>
      </c>
      <c r="G349" s="8" t="str">
        <f>IFERROR(__xludf.DUMMYFUNCTION("GOOGLETRANSLATE(E349,""zh-CN"",""vi"")"),"Nhấp đúp chuột sẽ nhận được 100 điểm Thể lực*1 và ​​Gói Chức năng dành cho người mới bắt đầu*1")</f>
        <v>Nhấp đúp chuột sẽ nhận được 100 điểm Thể lực*1 và ​​Gói Chức năng dành cho người mới bắt đầu*1</v>
      </c>
      <c r="H349" s="27"/>
      <c r="I349" s="27"/>
      <c r="J349" s="27"/>
    </row>
    <row r="350" ht="12.0" customHeight="1">
      <c r="A350" s="30">
        <v>14.0</v>
      </c>
      <c r="B350" s="31">
        <v>413.0</v>
      </c>
      <c r="C350" s="31">
        <v>1.0</v>
      </c>
      <c r="D350" s="34" t="s">
        <v>622</v>
      </c>
      <c r="E350" s="33" t="s">
        <v>626</v>
      </c>
      <c r="F350" s="8" t="str">
        <f>IFERROR(__xludf.DUMMYFUNCTION("GOOGLETRANSLATE(D350,""zh-CN"",""vi"")"),"Rương kho báu vòng đua")</f>
        <v>Rương kho báu vòng đua</v>
      </c>
      <c r="G350" s="8" t="str">
        <f>IFERROR(__xludf.DUMMYFUNCTION("GOOGLETRANSLATE(E350,""zh-CN"",""vi"")"),"Nhấp đúp chuột sẽ tạo ra 100 điểm thể lực.")</f>
        <v>Nhấp đúp chuột sẽ tạo ra 100 điểm thể lực.</v>
      </c>
      <c r="H350" s="27"/>
      <c r="I350" s="27"/>
      <c r="J350" s="27"/>
    </row>
    <row r="351" ht="12.0" customHeight="1">
      <c r="A351" s="30">
        <v>14.0</v>
      </c>
      <c r="B351" s="31">
        <v>413.0</v>
      </c>
      <c r="C351" s="31">
        <v>1.0</v>
      </c>
      <c r="D351" s="34" t="s">
        <v>627</v>
      </c>
      <c r="E351" s="33" t="s">
        <v>628</v>
      </c>
      <c r="F351" s="8" t="str">
        <f>IFERROR(__xludf.DUMMYFUNCTION("GOOGLETRANSLATE(D351,""zh-CN"",""vi"")"),"Rương kho báu hàng tháng của cuộc đua")</f>
        <v>Rương kho báu hàng tháng của cuộc đua</v>
      </c>
      <c r="G351" s="8" t="str">
        <f>IFERROR(__xludf.DUMMYFUNCTION("GOOGLETRANSLATE(E351,""zh-CN"",""vi"")"),"Nhấp đúp chuột sẽ thưởng cho bạn Gói Chọn Trang Phục*1 và ​​50 Thẻ Đổi Thường.")</f>
        <v>Nhấp đúp chuột sẽ thưởng cho bạn Gói Chọn Trang Phục*1 và ​​50 Thẻ Đổi Thường.</v>
      </c>
      <c r="H351" s="27"/>
      <c r="I351" s="27"/>
      <c r="J351" s="27"/>
    </row>
    <row r="352" ht="12.0" customHeight="1">
      <c r="A352" s="30">
        <v>14.0</v>
      </c>
      <c r="B352" s="31">
        <v>413.0</v>
      </c>
      <c r="C352" s="31">
        <v>1.0</v>
      </c>
      <c r="D352" s="34" t="s">
        <v>627</v>
      </c>
      <c r="E352" s="33" t="s">
        <v>629</v>
      </c>
      <c r="F352" s="8" t="str">
        <f>IFERROR(__xludf.DUMMYFUNCTION("GOOGLETRANSLATE(D352,""zh-CN"",""vi"")"),"Rương kho báu hàng tháng của cuộc đua")</f>
        <v>Rương kho báu hàng tháng của cuộc đua</v>
      </c>
      <c r="G352" s="8" t="str">
        <f>IFERROR(__xludf.DUMMYFUNCTION("GOOGLETRANSLATE(E352,""zh-CN"",""vi"")"),"Nhấp đúp chuột sẽ thưởng cho bạn Gói Chọn Trang Phục*1 và ​​30 Thẻ Đổi Thường.")</f>
        <v>Nhấp đúp chuột sẽ thưởng cho bạn Gói Chọn Trang Phục*1 và ​​30 Thẻ Đổi Thường.</v>
      </c>
      <c r="H352" s="27"/>
      <c r="I352" s="27"/>
      <c r="J352" s="27"/>
    </row>
    <row r="353" ht="12.0" customHeight="1">
      <c r="A353" s="30">
        <v>14.0</v>
      </c>
      <c r="B353" s="31">
        <v>413.0</v>
      </c>
      <c r="C353" s="31">
        <v>1.0</v>
      </c>
      <c r="D353" s="34" t="s">
        <v>627</v>
      </c>
      <c r="E353" s="33" t="s">
        <v>630</v>
      </c>
      <c r="F353" s="8" t="str">
        <f>IFERROR(__xludf.DUMMYFUNCTION("GOOGLETRANSLATE(D353,""zh-CN"",""vi"")"),"Rương kho báu hàng tháng của cuộc đua")</f>
        <v>Rương kho báu hàng tháng của cuộc đua</v>
      </c>
      <c r="G353" s="8" t="str">
        <f>IFERROR(__xludf.DUMMYFUNCTION("GOOGLETRANSLATE(E353,""zh-CN"",""vi"")"),"Nhấp đúp chuột sẽ nhận được 1000 đồng vàng và 20 thẻ đổi thưởng thông thường.")</f>
        <v>Nhấp đúp chuột sẽ nhận được 1000 đồng vàng và 20 thẻ đổi thưởng thông thường.</v>
      </c>
      <c r="H353" s="27"/>
      <c r="I353" s="27"/>
      <c r="J353" s="27"/>
    </row>
    <row r="354" ht="12.0" customHeight="1">
      <c r="A354" s="30">
        <v>14.0</v>
      </c>
      <c r="B354" s="31">
        <v>413.0</v>
      </c>
      <c r="C354" s="31">
        <v>1.0</v>
      </c>
      <c r="D354" s="34" t="s">
        <v>627</v>
      </c>
      <c r="E354" s="33" t="s">
        <v>631</v>
      </c>
      <c r="F354" s="8" t="str">
        <f>IFERROR(__xludf.DUMMYFUNCTION("GOOGLETRANSLATE(D354,""zh-CN"",""vi"")"),"Rương kho báu hàng tháng của cuộc đua")</f>
        <v>Rương kho báu hàng tháng của cuộc đua</v>
      </c>
      <c r="G354" s="8" t="str">
        <f>IFERROR(__xludf.DUMMYFUNCTION("GOOGLETRANSLATE(E354,""zh-CN"",""vi"")"),"Nhấp đúp chuột sẽ nhận được 1000 đồng vàng và 10 thẻ đổi thưởng thông thường.")</f>
        <v>Nhấp đúp chuột sẽ nhận được 1000 đồng vàng và 10 thẻ đổi thưởng thông thường.</v>
      </c>
      <c r="H354" s="27"/>
      <c r="I354" s="27"/>
      <c r="J354" s="27"/>
    </row>
    <row r="355" ht="12.0" customHeight="1">
      <c r="A355" s="30">
        <v>14.0</v>
      </c>
      <c r="B355" s="31">
        <v>413.0</v>
      </c>
      <c r="C355" s="31">
        <v>1.0</v>
      </c>
      <c r="D355" s="34" t="s">
        <v>622</v>
      </c>
      <c r="E355" s="33" t="s">
        <v>632</v>
      </c>
      <c r="F355" s="8" t="str">
        <f>IFERROR(__xludf.DUMMYFUNCTION("GOOGLETRANSLATE(D355,""zh-CN"",""vi"")"),"Rương kho báu vòng đua")</f>
        <v>Rương kho báu vòng đua</v>
      </c>
      <c r="G355" s="8" t="str">
        <f>IFERROR(__xludf.DUMMYFUNCTION("GOOGLETRANSLATE(E355,""zh-CN"",""vi"")"),"Nhấp đúp chuột sẽ nhận được 2500 đồng tiền vàng.")</f>
        <v>Nhấp đúp chuột sẽ nhận được 2500 đồng tiền vàng.</v>
      </c>
      <c r="H355" s="27"/>
      <c r="I355" s="27"/>
      <c r="J355" s="27"/>
    </row>
    <row r="356" ht="12.0" customHeight="1">
      <c r="A356" s="30">
        <v>14.0</v>
      </c>
      <c r="B356" s="31">
        <v>413.0</v>
      </c>
      <c r="C356" s="31">
        <v>1.0</v>
      </c>
      <c r="D356" s="34" t="s">
        <v>622</v>
      </c>
      <c r="E356" s="33" t="s">
        <v>633</v>
      </c>
      <c r="F356" s="8" t="str">
        <f>IFERROR(__xludf.DUMMYFUNCTION("GOOGLETRANSLATE(D356,""zh-CN"",""vi"")"),"Rương kho báu vòng đua")</f>
        <v>Rương kho báu vòng đua</v>
      </c>
      <c r="G356" s="8" t="str">
        <f>IFERROR(__xludf.DUMMYFUNCTION("GOOGLETRANSLATE(E356,""zh-CN"",""vi"")"),"Nhấp đúp chuột để tạo ra 1500 đồng tiền vàng.")</f>
        <v>Nhấp đúp chuột để tạo ra 1500 đồng tiền vàng.</v>
      </c>
      <c r="H356" s="27"/>
      <c r="I356" s="27"/>
      <c r="J356" s="27"/>
    </row>
    <row r="357" ht="12.0" customHeight="1">
      <c r="A357" s="30">
        <v>14.0</v>
      </c>
      <c r="B357" s="31">
        <v>413.0</v>
      </c>
      <c r="C357" s="31">
        <v>1.0</v>
      </c>
      <c r="D357" s="34" t="s">
        <v>622</v>
      </c>
      <c r="E357" s="33" t="s">
        <v>634</v>
      </c>
      <c r="F357" s="8" t="str">
        <f>IFERROR(__xludf.DUMMYFUNCTION("GOOGLETRANSLATE(D357,""zh-CN"",""vi"")"),"Rương kho báu vòng đua")</f>
        <v>Rương kho báu vòng đua</v>
      </c>
      <c r="G357" s="8" t="str">
        <f>IFERROR(__xludf.DUMMYFUNCTION("GOOGLETRANSLATE(E357,""zh-CN"",""vi"")"),"Nhấp đúp chuột để tạo ra 1000 đồng tiền vàng")</f>
        <v>Nhấp đúp chuột để tạo ra 1000 đồng tiền vàng</v>
      </c>
      <c r="H357" s="27"/>
      <c r="I357" s="27"/>
      <c r="J357" s="27"/>
    </row>
    <row r="358" ht="12.0" customHeight="1">
      <c r="A358" s="30">
        <v>14.0</v>
      </c>
      <c r="B358" s="31">
        <v>413.0</v>
      </c>
      <c r="C358" s="31">
        <v>1.0</v>
      </c>
      <c r="D358" s="34" t="s">
        <v>622</v>
      </c>
      <c r="E358" s="33" t="s">
        <v>635</v>
      </c>
      <c r="F358" s="8" t="str">
        <f>IFERROR(__xludf.DUMMYFUNCTION("GOOGLETRANSLATE(D358,""zh-CN"",""vi"")"),"Rương kho báu vòng đua")</f>
        <v>Rương kho báu vòng đua</v>
      </c>
      <c r="G358" s="8" t="str">
        <f>IFERROR(__xludf.DUMMYFUNCTION("GOOGLETRANSLATE(E358,""zh-CN"",""vi"")"),"Nhấp đúp chuột để tạo ra 500 đồng tiền vàng.")</f>
        <v>Nhấp đúp chuột để tạo ra 500 đồng tiền vàng.</v>
      </c>
      <c r="H358" s="27"/>
      <c r="I358" s="27"/>
      <c r="J358" s="27"/>
    </row>
    <row r="359" ht="12.0" customHeight="1">
      <c r="A359" s="30">
        <v>14.0</v>
      </c>
      <c r="B359" s="31">
        <v>413.0</v>
      </c>
      <c r="C359" s="31">
        <v>1.0</v>
      </c>
      <c r="D359" s="34" t="s">
        <v>627</v>
      </c>
      <c r="E359" s="33" t="s">
        <v>636</v>
      </c>
      <c r="F359" s="8" t="str">
        <f>IFERROR(__xludf.DUMMYFUNCTION("GOOGLETRANSLATE(D359,""zh-CN"",""vi"")"),"Rương kho báu hàng tháng của cuộc đua")</f>
        <v>Rương kho báu hàng tháng của cuộc đua</v>
      </c>
      <c r="G359" s="8" t="str">
        <f>IFERROR(__xludf.DUMMYFUNCTION("GOOGLETRANSLATE(E359,""zh-CN"",""vi"")"),"Nhấp đúp chuột sẽ nhận được 25.000 đồng vàng.")</f>
        <v>Nhấp đúp chuột sẽ nhận được 25.000 đồng vàng.</v>
      </c>
      <c r="H359" s="27"/>
      <c r="I359" s="27"/>
      <c r="J359" s="27"/>
    </row>
    <row r="360" ht="12.0" customHeight="1">
      <c r="A360" s="30">
        <v>14.0</v>
      </c>
      <c r="B360" s="31">
        <v>413.0</v>
      </c>
      <c r="C360" s="31">
        <v>1.0</v>
      </c>
      <c r="D360" s="34" t="s">
        <v>627</v>
      </c>
      <c r="E360" s="33" t="s">
        <v>637</v>
      </c>
      <c r="F360" s="8" t="str">
        <f>IFERROR(__xludf.DUMMYFUNCTION("GOOGLETRANSLATE(D360,""zh-CN"",""vi"")"),"Rương kho báu hàng tháng của cuộc đua")</f>
        <v>Rương kho báu hàng tháng của cuộc đua</v>
      </c>
      <c r="G360" s="8" t="str">
        <f>IFERROR(__xludf.DUMMYFUNCTION("GOOGLETRANSLATE(E360,""zh-CN"",""vi"")"),"Nhấp đúp chuột sẽ nhận được 15.000 đồng vàng.")</f>
        <v>Nhấp đúp chuột sẽ nhận được 15.000 đồng vàng.</v>
      </c>
      <c r="H360" s="27"/>
      <c r="I360" s="27"/>
      <c r="J360" s="27"/>
    </row>
    <row r="361" ht="12.0" customHeight="1">
      <c r="A361" s="30">
        <v>14.0</v>
      </c>
      <c r="B361" s="31">
        <v>413.0</v>
      </c>
      <c r="C361" s="31">
        <v>1.0</v>
      </c>
      <c r="D361" s="34" t="s">
        <v>627</v>
      </c>
      <c r="E361" s="33" t="s">
        <v>638</v>
      </c>
      <c r="F361" s="8" t="str">
        <f>IFERROR(__xludf.DUMMYFUNCTION("GOOGLETRANSLATE(D361,""zh-CN"",""vi"")"),"Rương kho báu hàng tháng của cuộc đua")</f>
        <v>Rương kho báu hàng tháng của cuộc đua</v>
      </c>
      <c r="G361" s="8" t="str">
        <f>IFERROR(__xludf.DUMMYFUNCTION("GOOGLETRANSLATE(E361,""zh-CN"",""vi"")"),"Nhấp đúp chuột để tạo ra 10.000 đồng vàng.")</f>
        <v>Nhấp đúp chuột để tạo ra 10.000 đồng vàng.</v>
      </c>
      <c r="H361" s="27"/>
      <c r="I361" s="27"/>
      <c r="J361" s="27"/>
    </row>
    <row r="362" ht="12.0" customHeight="1">
      <c r="A362" s="30">
        <v>14.0</v>
      </c>
      <c r="B362" s="31">
        <v>413.0</v>
      </c>
      <c r="C362" s="31">
        <v>1.0</v>
      </c>
      <c r="D362" s="34" t="s">
        <v>627</v>
      </c>
      <c r="E362" s="33" t="s">
        <v>639</v>
      </c>
      <c r="F362" s="8" t="str">
        <f>IFERROR(__xludf.DUMMYFUNCTION("GOOGLETRANSLATE(D362,""zh-CN"",""vi"")"),"Rương kho báu hàng tháng của cuộc đua")</f>
        <v>Rương kho báu hàng tháng của cuộc đua</v>
      </c>
      <c r="G362" s="8" t="str">
        <f>IFERROR(__xludf.DUMMYFUNCTION("GOOGLETRANSLATE(E362,""zh-CN"",""vi"")"),"Nhấp đúp chuột để tạo ra 5000 đồng tiền vàng")</f>
        <v>Nhấp đúp chuột để tạo ra 5000 đồng tiền vàng</v>
      </c>
      <c r="H362" s="27"/>
      <c r="I362" s="27"/>
      <c r="J362" s="27"/>
    </row>
    <row r="363" ht="12.0" customHeight="1">
      <c r="A363" s="30">
        <v>14.0</v>
      </c>
      <c r="B363" s="31">
        <v>413.0</v>
      </c>
      <c r="C363" s="31">
        <v>1.0</v>
      </c>
      <c r="D363" s="34" t="s">
        <v>640</v>
      </c>
      <c r="E363" s="33" t="s">
        <v>641</v>
      </c>
      <c r="F363" s="8" t="str">
        <f>IFERROR(__xludf.DUMMYFUNCTION("GOOGLETRANSLATE(D363,""zh-CN"",""vi"")"),"Hộp ước nguyện hoa lục bình")</f>
        <v>Hộp ước nguyện hoa lục bình</v>
      </c>
      <c r="G363" s="8" t="str">
        <f>IFERROR(__xludf.DUMMYFUNCTION("GOOGLETRANSLATE(E363,""zh-CN"",""vi"")"),"Nhấp đúp chuột để nhận phần thưởng")</f>
        <v>Nhấp đúp chuột để nhận phần thưởng</v>
      </c>
      <c r="H363" s="27"/>
      <c r="I363" s="27"/>
      <c r="J363" s="27"/>
    </row>
    <row r="364" ht="12.0" customHeight="1">
      <c r="A364" s="30">
        <v>14.0</v>
      </c>
      <c r="B364" s="31">
        <v>413.0</v>
      </c>
      <c r="C364" s="31">
        <v>1.0</v>
      </c>
      <c r="D364" s="34" t="s">
        <v>640</v>
      </c>
      <c r="E364" s="33" t="s">
        <v>641</v>
      </c>
      <c r="F364" s="8" t="str">
        <f>IFERROR(__xludf.DUMMYFUNCTION("GOOGLETRANSLATE(D364,""zh-CN"",""vi"")"),"Hộp ước nguyện hoa lục bình")</f>
        <v>Hộp ước nguyện hoa lục bình</v>
      </c>
      <c r="G364" s="8" t="str">
        <f>IFERROR(__xludf.DUMMYFUNCTION("GOOGLETRANSLATE(E364,""zh-CN"",""vi"")"),"Nhấp đúp chuột để nhận phần thưởng")</f>
        <v>Nhấp đúp chuột để nhận phần thưởng</v>
      </c>
      <c r="H364" s="8"/>
      <c r="I364" s="8"/>
      <c r="J364" s="8"/>
    </row>
    <row r="365" ht="12.0" customHeight="1">
      <c r="A365" s="30">
        <v>14.0</v>
      </c>
      <c r="B365" s="31">
        <v>413.0</v>
      </c>
      <c r="C365" s="31">
        <v>1.0</v>
      </c>
      <c r="D365" s="34" t="s">
        <v>640</v>
      </c>
      <c r="E365" s="33" t="s">
        <v>641</v>
      </c>
      <c r="F365" s="8" t="str">
        <f>IFERROR(__xludf.DUMMYFUNCTION("GOOGLETRANSLATE(D365,""zh-CN"",""vi"")"),"Hộp ước nguyện hoa lục bình")</f>
        <v>Hộp ước nguyện hoa lục bình</v>
      </c>
      <c r="G365" s="8" t="str">
        <f>IFERROR(__xludf.DUMMYFUNCTION("GOOGLETRANSLATE(E365,""zh-CN"",""vi"")"),"Nhấp đúp chuột để nhận phần thưởng")</f>
        <v>Nhấp đúp chuột để nhận phần thưởng</v>
      </c>
      <c r="H365" s="8"/>
      <c r="I365" s="8"/>
      <c r="J365" s="8"/>
    </row>
    <row r="366" ht="12.0" customHeight="1">
      <c r="A366" s="30">
        <v>14.0</v>
      </c>
      <c r="B366" s="31">
        <v>413.0</v>
      </c>
      <c r="C366" s="31">
        <v>1.0</v>
      </c>
      <c r="D366" s="34" t="s">
        <v>640</v>
      </c>
      <c r="E366" s="33" t="s">
        <v>641</v>
      </c>
      <c r="F366" s="8" t="str">
        <f>IFERROR(__xludf.DUMMYFUNCTION("GOOGLETRANSLATE(D366,""zh-CN"",""vi"")"),"Hộp ước nguyện hoa lục bình")</f>
        <v>Hộp ước nguyện hoa lục bình</v>
      </c>
      <c r="G366" s="8" t="str">
        <f>IFERROR(__xludf.DUMMYFUNCTION("GOOGLETRANSLATE(E366,""zh-CN"",""vi"")"),"Nhấp đúp chuột để nhận phần thưởng")</f>
        <v>Nhấp đúp chuột để nhận phần thưởng</v>
      </c>
      <c r="H366" s="8"/>
      <c r="I366" s="8"/>
      <c r="J366" s="8"/>
    </row>
    <row r="367" ht="12.0" customHeight="1">
      <c r="A367" s="30">
        <v>14.0</v>
      </c>
      <c r="B367" s="31">
        <v>413.0</v>
      </c>
      <c r="C367" s="31">
        <v>1.0</v>
      </c>
      <c r="D367" s="34" t="s">
        <v>640</v>
      </c>
      <c r="E367" s="33" t="s">
        <v>641</v>
      </c>
      <c r="F367" s="8" t="str">
        <f>IFERROR(__xludf.DUMMYFUNCTION("GOOGLETRANSLATE(D367,""zh-CN"",""vi"")"),"Hộp ước nguyện hoa lục bình")</f>
        <v>Hộp ước nguyện hoa lục bình</v>
      </c>
      <c r="G367" s="8" t="str">
        <f>IFERROR(__xludf.DUMMYFUNCTION("GOOGLETRANSLATE(E367,""zh-CN"",""vi"")"),"Nhấp đúp chuột để nhận phần thưởng")</f>
        <v>Nhấp đúp chuột để nhận phần thưởng</v>
      </c>
      <c r="H367" s="8"/>
      <c r="I367" s="8"/>
      <c r="J367" s="8"/>
    </row>
    <row r="368" ht="12.0" customHeight="1">
      <c r="A368" s="30">
        <v>14.0</v>
      </c>
      <c r="B368" s="31">
        <v>413.0</v>
      </c>
      <c r="C368" s="31">
        <v>1.0</v>
      </c>
      <c r="D368" s="34" t="s">
        <v>640</v>
      </c>
      <c r="E368" s="33" t="s">
        <v>641</v>
      </c>
      <c r="F368" s="8" t="str">
        <f>IFERROR(__xludf.DUMMYFUNCTION("GOOGLETRANSLATE(D368,""zh-CN"",""vi"")"),"Hộp ước nguyện hoa lục bình")</f>
        <v>Hộp ước nguyện hoa lục bình</v>
      </c>
      <c r="G368" s="8" t="str">
        <f>IFERROR(__xludf.DUMMYFUNCTION("GOOGLETRANSLATE(E368,""zh-CN"",""vi"")"),"Nhấp đúp chuột để nhận phần thưởng")</f>
        <v>Nhấp đúp chuột để nhận phần thưởng</v>
      </c>
      <c r="H368" s="8"/>
      <c r="I368" s="8"/>
      <c r="J368" s="8"/>
    </row>
    <row r="369" ht="12.0" customHeight="1">
      <c r="A369" s="30">
        <v>14.0</v>
      </c>
      <c r="B369" s="31">
        <v>413.0</v>
      </c>
      <c r="C369" s="31">
        <v>1.0</v>
      </c>
      <c r="D369" s="34" t="s">
        <v>640</v>
      </c>
      <c r="E369" s="33" t="s">
        <v>641</v>
      </c>
      <c r="F369" s="8" t="str">
        <f>IFERROR(__xludf.DUMMYFUNCTION("GOOGLETRANSLATE(D369,""zh-CN"",""vi"")"),"Hộp ước nguyện hoa lục bình")</f>
        <v>Hộp ước nguyện hoa lục bình</v>
      </c>
      <c r="G369" s="8" t="str">
        <f>IFERROR(__xludf.DUMMYFUNCTION("GOOGLETRANSLATE(E369,""zh-CN"",""vi"")"),"Nhấp đúp chuột để nhận phần thưởng")</f>
        <v>Nhấp đúp chuột để nhận phần thưởng</v>
      </c>
      <c r="H369" s="8"/>
      <c r="I369" s="8"/>
      <c r="J369" s="8"/>
    </row>
    <row r="370" ht="12.0" customHeight="1">
      <c r="A370" s="30">
        <v>14.0</v>
      </c>
      <c r="B370" s="31">
        <v>413.0</v>
      </c>
      <c r="C370" s="31">
        <v>1.0</v>
      </c>
      <c r="D370" s="34" t="s">
        <v>642</v>
      </c>
      <c r="E370" s="33" t="s">
        <v>643</v>
      </c>
      <c r="F370" s="8" t="str">
        <f>IFERROR(__xludf.DUMMYFUNCTION("GOOGLETRANSLATE(D370,""zh-CN"",""vi"")"),"Bộ quà tặng cửa hàng làm đẹp nhỏ cấp độ 1")</f>
        <v>Bộ quà tặng cửa hàng làm đẹp nhỏ cấp độ 1</v>
      </c>
      <c r="G370" s="8" t="str">
        <f>IFERROR(__xludf.DUMMYFUNCTION("GOOGLETRANSLATE(E370,""zh-CN"",""vi"")"),"【XiaoMei Youpin】Ưu đãi mua sắm: Nhấp đúp để nhận ưu đãi.")</f>
        <v>【XiaoMei Youpin】Ưu đãi mua sắm: Nhấp đúp để nhận ưu đãi.</v>
      </c>
      <c r="H370" s="8"/>
      <c r="I370" s="8"/>
      <c r="J370" s="8"/>
    </row>
    <row r="371" ht="12.0" customHeight="1">
      <c r="A371" s="30">
        <v>14.0</v>
      </c>
      <c r="B371" s="31">
        <v>413.0</v>
      </c>
      <c r="C371" s="31">
        <v>1.0</v>
      </c>
      <c r="D371" s="34" t="s">
        <v>644</v>
      </c>
      <c r="E371" s="33" t="s">
        <v>643</v>
      </c>
      <c r="F371" s="8" t="str">
        <f>IFERROR(__xludf.DUMMYFUNCTION("GOOGLETRANSLATE(D371,""zh-CN"",""vi"")"),"Bộ quà tặng cửa hàng làm đẹp nhỏ cấp độ 2")</f>
        <v>Bộ quà tặng cửa hàng làm đẹp nhỏ cấp độ 2</v>
      </c>
      <c r="G371" s="8" t="str">
        <f>IFERROR(__xludf.DUMMYFUNCTION("GOOGLETRANSLATE(E371,""zh-CN"",""vi"")"),"【XiaoMei Youpin】Ưu đãi mua sắm: Nhấp đúp để nhận ưu đãi.")</f>
        <v>【XiaoMei Youpin】Ưu đãi mua sắm: Nhấp đúp để nhận ưu đãi.</v>
      </c>
      <c r="H371" s="8"/>
      <c r="I371" s="8"/>
      <c r="J371" s="8"/>
    </row>
    <row r="372" ht="12.0" customHeight="1">
      <c r="A372" s="30">
        <v>14.0</v>
      </c>
      <c r="B372" s="31">
        <v>413.0</v>
      </c>
      <c r="C372" s="31">
        <v>1.0</v>
      </c>
      <c r="D372" s="34" t="s">
        <v>645</v>
      </c>
      <c r="E372" s="33" t="s">
        <v>643</v>
      </c>
      <c r="F372" s="8" t="str">
        <f>IFERROR(__xludf.DUMMYFUNCTION("GOOGLETRANSLATE(D372,""zh-CN"",""vi"")"),"Bộ quà tặng cửa hàng làm đẹp nhỏ cấp độ 3")</f>
        <v>Bộ quà tặng cửa hàng làm đẹp nhỏ cấp độ 3</v>
      </c>
      <c r="G372" s="8" t="str">
        <f>IFERROR(__xludf.DUMMYFUNCTION("GOOGLETRANSLATE(E372,""zh-CN"",""vi"")"),"【XiaoMei Youpin】Ưu đãi mua sắm: Nhấp đúp để nhận ưu đãi.")</f>
        <v>【XiaoMei Youpin】Ưu đãi mua sắm: Nhấp đúp để nhận ưu đãi.</v>
      </c>
      <c r="H372" s="8"/>
      <c r="I372" s="8"/>
      <c r="J372" s="8"/>
    </row>
    <row r="373" ht="12.0" customHeight="1">
      <c r="A373" s="30">
        <v>14.0</v>
      </c>
      <c r="B373" s="31">
        <v>413.0</v>
      </c>
      <c r="C373" s="31">
        <v>1.0</v>
      </c>
      <c r="D373" s="34" t="s">
        <v>646</v>
      </c>
      <c r="E373" s="33" t="s">
        <v>643</v>
      </c>
      <c r="F373" s="8" t="str">
        <f>IFERROR(__xludf.DUMMYFUNCTION("GOOGLETRANSLATE(D373,""zh-CN"",""vi"")"),"Bộ quà tặng cửa hàng làm đẹp nhỏ cấp độ 4")</f>
        <v>Bộ quà tặng cửa hàng làm đẹp nhỏ cấp độ 4</v>
      </c>
      <c r="G373" s="8" t="str">
        <f>IFERROR(__xludf.DUMMYFUNCTION("GOOGLETRANSLATE(E373,""zh-CN"",""vi"")"),"【XiaoMei Youpin】Ưu đãi mua sắm: Nhấp đúp để nhận ưu đãi.")</f>
        <v>【XiaoMei Youpin】Ưu đãi mua sắm: Nhấp đúp để nhận ưu đãi.</v>
      </c>
      <c r="H373" s="8"/>
      <c r="I373" s="8"/>
      <c r="J373" s="8"/>
    </row>
    <row r="374" ht="12.0" customHeight="1">
      <c r="A374" s="30">
        <v>14.0</v>
      </c>
      <c r="B374" s="31">
        <v>413.0</v>
      </c>
      <c r="C374" s="31">
        <v>1.0</v>
      </c>
      <c r="D374" s="34" t="s">
        <v>647</v>
      </c>
      <c r="E374" s="33" t="s">
        <v>643</v>
      </c>
      <c r="F374" s="8" t="str">
        <f>IFERROR(__xludf.DUMMYFUNCTION("GOOGLETRANSLATE(D374,""zh-CN"",""vi"")"),"Bộ quà tặng cửa hàng làm đẹp nhỏ cấp độ 5")</f>
        <v>Bộ quà tặng cửa hàng làm đẹp nhỏ cấp độ 5</v>
      </c>
      <c r="G374" s="8" t="str">
        <f>IFERROR(__xludf.DUMMYFUNCTION("GOOGLETRANSLATE(E374,""zh-CN"",""vi"")"),"【XiaoMei Youpin】Ưu đãi mua sắm: Nhấp đúp để nhận ưu đãi.")</f>
        <v>【XiaoMei Youpin】Ưu đãi mua sắm: Nhấp đúp để nhận ưu đãi.</v>
      </c>
      <c r="H374" s="8"/>
      <c r="I374" s="8"/>
      <c r="J374" s="8"/>
    </row>
    <row r="375" ht="12.0" customHeight="1">
      <c r="A375" s="30">
        <v>14.0</v>
      </c>
      <c r="B375" s="31">
        <v>413.0</v>
      </c>
      <c r="C375" s="31">
        <v>1.0</v>
      </c>
      <c r="D375" s="34" t="s">
        <v>648</v>
      </c>
      <c r="E375" s="33" t="s">
        <v>649</v>
      </c>
      <c r="F375" s="8" t="str">
        <f>IFERROR(__xludf.DUMMYFUNCTION("GOOGLETRANSLATE(D375,""zh-CN"",""vi"")"),"Hộp quà đèn lồng hình thỏ")</f>
        <v>Hộp quà đèn lồng hình thỏ</v>
      </c>
      <c r="G375" s="8" t="str">
        <f>IFERROR(__xludf.DUMMYFUNCTION("GOOGLETRANSLATE(E375,""zh-CN"",""vi"")"),"Nhấp đúp chuột để tạo ra vật phẩm tăng sức bền.")</f>
        <v>Nhấp đúp chuột để tạo ra vật phẩm tăng sức bền.</v>
      </c>
      <c r="H375" s="8"/>
      <c r="I375" s="8"/>
      <c r="J375" s="8"/>
    </row>
    <row r="376" ht="12.0" customHeight="1">
      <c r="A376" s="30">
        <v>14.0</v>
      </c>
      <c r="B376" s="31">
        <v>413.0</v>
      </c>
      <c r="C376" s="31">
        <v>1.0</v>
      </c>
      <c r="D376" s="34" t="s">
        <v>650</v>
      </c>
      <c r="E376" s="33" t="s">
        <v>651</v>
      </c>
      <c r="F376" s="8" t="str">
        <f>IFERROR(__xludf.DUMMYFUNCTION("GOOGLETRANSLATE(D376,""zh-CN"",""vi"")"),"Nhiều rương tăng sức bền")</f>
        <v>Nhiều rương tăng sức bền</v>
      </c>
      <c r="G376" s="8" t="str">
        <f>IFERROR(__xludf.DUMMYFUNCTION("GOOGLETRANSLATE(E376,""zh-CN"",""vi"")"),"Nhấp đúp chuột sẽ tạo ra một vật phẩm tăng thể lực, cung cấp tổng cộng 500 điểm thể lực.")</f>
        <v>Nhấp đúp chuột sẽ tạo ra một vật phẩm tăng thể lực, cung cấp tổng cộng 500 điểm thể lực.</v>
      </c>
      <c r="H376" s="8"/>
      <c r="I376" s="8"/>
      <c r="J376" s="8"/>
    </row>
    <row r="377" ht="12.0" customHeight="1">
      <c r="A377" s="30">
        <v>14.0</v>
      </c>
      <c r="B377" s="31">
        <v>413.0</v>
      </c>
      <c r="C377" s="31">
        <v>1.0</v>
      </c>
      <c r="D377" s="34" t="s">
        <v>652</v>
      </c>
      <c r="E377" s="33" t="s">
        <v>653</v>
      </c>
      <c r="F377" s="8" t="str">
        <f>IFERROR(__xludf.DUMMYFUNCTION("GOOGLETRANSLATE(D377,""zh-CN"",""vi"")"),"Ngực sức bền khổng lồ")</f>
        <v>Ngực sức bền khổng lồ</v>
      </c>
      <c r="G377" s="8" t="str">
        <f>IFERROR(__xludf.DUMMYFUNCTION("GOOGLETRANSLATE(E377,""zh-CN"",""vi"")"),"Nhấp đúp chuột sẽ tạo ra một vật phẩm tăng thể lực, cung cấp tổng cộng 1000 điểm thể lực.")</f>
        <v>Nhấp đúp chuột sẽ tạo ra một vật phẩm tăng thể lực, cung cấp tổng cộng 1000 điểm thể lực.</v>
      </c>
      <c r="H377" s="8"/>
      <c r="I377" s="8"/>
      <c r="J377" s="8"/>
    </row>
    <row r="378" ht="21.75" customHeight="1">
      <c r="A378" s="37">
        <v>4.0</v>
      </c>
      <c r="B378" s="38">
        <v>414.0</v>
      </c>
      <c r="C378" s="38">
        <v>1.0</v>
      </c>
      <c r="D378" s="39" t="s">
        <v>654</v>
      </c>
      <c r="E378" s="40" t="s">
        <v>538</v>
      </c>
      <c r="F378" s="8" t="str">
        <f>IFERROR(__xludf.DUMMYFUNCTION("GOOGLETRANSLATE(D378,""zh-CN"",""vi"")"),"Rương kho báu hoa lục bình")</f>
        <v>Rương kho báu hoa lục bình</v>
      </c>
      <c r="G378" s="8" t="str">
        <f>IFERROR(__xludf.DUMMYFUNCTION("GOOGLETRANSLATE(E378,""zh-CN"",""vi"")"),"Nhấp đúp chuột sẽ nhận được phần thưởng với một xác suất nhất định.")</f>
        <v>Nhấp đúp chuột sẽ nhận được phần thưởng với một xác suất nhất định.</v>
      </c>
      <c r="H378" s="41"/>
      <c r="I378" s="41"/>
      <c r="J378" s="41"/>
    </row>
    <row r="379" ht="21.75" customHeight="1">
      <c r="A379" s="37">
        <v>4.0</v>
      </c>
      <c r="B379" s="38">
        <v>414.0</v>
      </c>
      <c r="C379" s="38">
        <v>1.0</v>
      </c>
      <c r="D379" s="39" t="s">
        <v>654</v>
      </c>
      <c r="E379" s="40" t="s">
        <v>538</v>
      </c>
      <c r="F379" s="8" t="str">
        <f>IFERROR(__xludf.DUMMYFUNCTION("GOOGLETRANSLATE(D379,""zh-CN"",""vi"")"),"Rương kho báu hoa lục bình")</f>
        <v>Rương kho báu hoa lục bình</v>
      </c>
      <c r="G379" s="8" t="str">
        <f>IFERROR(__xludf.DUMMYFUNCTION("GOOGLETRANSLATE(E379,""zh-CN"",""vi"")"),"Nhấp đúp chuột sẽ nhận được phần thưởng với một xác suất nhất định.")</f>
        <v>Nhấp đúp chuột sẽ nhận được phần thưởng với một xác suất nhất định.</v>
      </c>
      <c r="H379" s="41"/>
      <c r="I379" s="41"/>
      <c r="J379" s="41"/>
    </row>
    <row r="380" ht="21.75" customHeight="1">
      <c r="A380" s="37">
        <v>4.0</v>
      </c>
      <c r="B380" s="38">
        <v>414.0</v>
      </c>
      <c r="C380" s="38">
        <v>1.0</v>
      </c>
      <c r="D380" s="39" t="s">
        <v>654</v>
      </c>
      <c r="E380" s="40" t="s">
        <v>538</v>
      </c>
      <c r="F380" s="8" t="str">
        <f>IFERROR(__xludf.DUMMYFUNCTION("GOOGLETRANSLATE(D380,""zh-CN"",""vi"")"),"Rương kho báu hoa lục bình")</f>
        <v>Rương kho báu hoa lục bình</v>
      </c>
      <c r="G380" s="8" t="str">
        <f>IFERROR(__xludf.DUMMYFUNCTION("GOOGLETRANSLATE(E380,""zh-CN"",""vi"")"),"Nhấp đúp chuột sẽ nhận được phần thưởng với một xác suất nhất định.")</f>
        <v>Nhấp đúp chuột sẽ nhận được phần thưởng với một xác suất nhất định.</v>
      </c>
      <c r="H380" s="41"/>
      <c r="I380" s="41"/>
      <c r="J380" s="41"/>
    </row>
    <row r="381" ht="21.75" customHeight="1">
      <c r="A381" s="37">
        <v>4.0</v>
      </c>
      <c r="B381" s="38">
        <v>414.0</v>
      </c>
      <c r="C381" s="38">
        <v>1.0</v>
      </c>
      <c r="D381" s="39" t="s">
        <v>654</v>
      </c>
      <c r="E381" s="40" t="s">
        <v>538</v>
      </c>
      <c r="F381" s="8" t="str">
        <f>IFERROR(__xludf.DUMMYFUNCTION("GOOGLETRANSLATE(D381,""zh-CN"",""vi"")"),"Rương kho báu hoa lục bình")</f>
        <v>Rương kho báu hoa lục bình</v>
      </c>
      <c r="G381" s="8" t="str">
        <f>IFERROR(__xludf.DUMMYFUNCTION("GOOGLETRANSLATE(E381,""zh-CN"",""vi"")"),"Nhấp đúp chuột sẽ nhận được phần thưởng với một xác suất nhất định.")</f>
        <v>Nhấp đúp chuột sẽ nhận được phần thưởng với một xác suất nhất định.</v>
      </c>
      <c r="H381" s="41"/>
      <c r="I381" s="41"/>
      <c r="J381" s="41"/>
    </row>
    <row r="382" ht="21.75" customHeight="1">
      <c r="A382" s="37">
        <v>4.0</v>
      </c>
      <c r="B382" s="38">
        <v>414.0</v>
      </c>
      <c r="C382" s="38">
        <v>1.0</v>
      </c>
      <c r="D382" s="39" t="s">
        <v>654</v>
      </c>
      <c r="E382" s="40" t="s">
        <v>538</v>
      </c>
      <c r="F382" s="8" t="str">
        <f>IFERROR(__xludf.DUMMYFUNCTION("GOOGLETRANSLATE(D382,""zh-CN"",""vi"")"),"Rương kho báu hoa lục bình")</f>
        <v>Rương kho báu hoa lục bình</v>
      </c>
      <c r="G382" s="8" t="str">
        <f>IFERROR(__xludf.DUMMYFUNCTION("GOOGLETRANSLATE(E382,""zh-CN"",""vi"")"),"Nhấp đúp chuột sẽ nhận được phần thưởng với một xác suất nhất định.")</f>
        <v>Nhấp đúp chuột sẽ nhận được phần thưởng với một xác suất nhất định.</v>
      </c>
      <c r="H382" s="41"/>
      <c r="I382" s="41"/>
      <c r="J382" s="41"/>
    </row>
    <row r="383" ht="21.75" customHeight="1">
      <c r="A383" s="37">
        <v>4.0</v>
      </c>
      <c r="B383" s="38">
        <v>414.0</v>
      </c>
      <c r="C383" s="38">
        <v>1.0</v>
      </c>
      <c r="D383" s="39" t="s">
        <v>654</v>
      </c>
      <c r="E383" s="40" t="s">
        <v>538</v>
      </c>
      <c r="F383" s="8" t="str">
        <f>IFERROR(__xludf.DUMMYFUNCTION("GOOGLETRANSLATE(D383,""zh-CN"",""vi"")"),"Rương kho báu hoa lục bình")</f>
        <v>Rương kho báu hoa lục bình</v>
      </c>
      <c r="G383" s="8" t="str">
        <f>IFERROR(__xludf.DUMMYFUNCTION("GOOGLETRANSLATE(E383,""zh-CN"",""vi"")"),"Nhấp đúp chuột sẽ nhận được phần thưởng với một xác suất nhất định.")</f>
        <v>Nhấp đúp chuột sẽ nhận được phần thưởng với một xác suất nhất định.</v>
      </c>
      <c r="H383" s="41"/>
      <c r="I383" s="41"/>
      <c r="J383" s="41"/>
    </row>
    <row r="384" ht="21.75" customHeight="1">
      <c r="A384" s="37">
        <v>4.0</v>
      </c>
      <c r="B384" s="38">
        <v>414.0</v>
      </c>
      <c r="C384" s="38">
        <v>1.0</v>
      </c>
      <c r="D384" s="39" t="s">
        <v>654</v>
      </c>
      <c r="E384" s="40" t="s">
        <v>538</v>
      </c>
      <c r="F384" s="8" t="str">
        <f>IFERROR(__xludf.DUMMYFUNCTION("GOOGLETRANSLATE(D384,""zh-CN"",""vi"")"),"Rương kho báu hoa lục bình")</f>
        <v>Rương kho báu hoa lục bình</v>
      </c>
      <c r="G384" s="8" t="str">
        <f>IFERROR(__xludf.DUMMYFUNCTION("GOOGLETRANSLATE(E384,""zh-CN"",""vi"")"),"Nhấp đúp chuột sẽ nhận được phần thưởng với một xác suất nhất định.")</f>
        <v>Nhấp đúp chuột sẽ nhận được phần thưởng với một xác suất nhất định.</v>
      </c>
      <c r="H384" s="41"/>
      <c r="I384" s="41"/>
      <c r="J384" s="41"/>
    </row>
    <row r="385" ht="21.75" customHeight="1">
      <c r="A385" s="37">
        <v>4.0</v>
      </c>
      <c r="B385" s="38">
        <v>414.0</v>
      </c>
      <c r="C385" s="38">
        <v>1.0</v>
      </c>
      <c r="D385" s="39" t="s">
        <v>654</v>
      </c>
      <c r="E385" s="40" t="s">
        <v>538</v>
      </c>
      <c r="F385" s="8" t="str">
        <f>IFERROR(__xludf.DUMMYFUNCTION("GOOGLETRANSLATE(D385,""zh-CN"",""vi"")"),"Rương kho báu hoa lục bình")</f>
        <v>Rương kho báu hoa lục bình</v>
      </c>
      <c r="G385" s="8" t="str">
        <f>IFERROR(__xludf.DUMMYFUNCTION("GOOGLETRANSLATE(E385,""zh-CN"",""vi"")"),"Nhấp đúp chuột sẽ nhận được phần thưởng với một xác suất nhất định.")</f>
        <v>Nhấp đúp chuột sẽ nhận được phần thưởng với một xác suất nhất định.</v>
      </c>
      <c r="H385" s="41"/>
      <c r="I385" s="41"/>
      <c r="J385" s="41"/>
    </row>
    <row r="386" ht="21.75" customHeight="1">
      <c r="A386" s="37">
        <v>4.0</v>
      </c>
      <c r="B386" s="38">
        <v>414.0</v>
      </c>
      <c r="C386" s="38">
        <v>1.0</v>
      </c>
      <c r="D386" s="39" t="s">
        <v>654</v>
      </c>
      <c r="E386" s="40" t="s">
        <v>538</v>
      </c>
      <c r="F386" s="8" t="str">
        <f>IFERROR(__xludf.DUMMYFUNCTION("GOOGLETRANSLATE(D386,""zh-CN"",""vi"")"),"Rương kho báu hoa lục bình")</f>
        <v>Rương kho báu hoa lục bình</v>
      </c>
      <c r="G386" s="8" t="str">
        <f>IFERROR(__xludf.DUMMYFUNCTION("GOOGLETRANSLATE(E386,""zh-CN"",""vi"")"),"Nhấp đúp chuột sẽ nhận được phần thưởng với một xác suất nhất định.")</f>
        <v>Nhấp đúp chuột sẽ nhận được phần thưởng với một xác suất nhất định.</v>
      </c>
      <c r="H386" s="41"/>
      <c r="I386" s="41"/>
      <c r="J386" s="41"/>
    </row>
    <row r="387" ht="21.75" customHeight="1">
      <c r="A387" s="37">
        <v>4.0</v>
      </c>
      <c r="B387" s="38">
        <v>414.0</v>
      </c>
      <c r="C387" s="38">
        <v>1.0</v>
      </c>
      <c r="D387" s="39" t="s">
        <v>654</v>
      </c>
      <c r="E387" s="40" t="s">
        <v>538</v>
      </c>
      <c r="F387" s="8" t="str">
        <f>IFERROR(__xludf.DUMMYFUNCTION("GOOGLETRANSLATE(D387,""zh-CN"",""vi"")"),"Rương kho báu hoa lục bình")</f>
        <v>Rương kho báu hoa lục bình</v>
      </c>
      <c r="G387" s="8" t="str">
        <f>IFERROR(__xludf.DUMMYFUNCTION("GOOGLETRANSLATE(E387,""zh-CN"",""vi"")"),"Nhấp đúp chuột sẽ nhận được phần thưởng với một xác suất nhất định.")</f>
        <v>Nhấp đúp chuột sẽ nhận được phần thưởng với một xác suất nhất định.</v>
      </c>
      <c r="H387" s="41"/>
      <c r="I387" s="41"/>
      <c r="J387" s="41"/>
    </row>
    <row r="388" ht="21.75" customHeight="1">
      <c r="A388" s="37">
        <v>4.0</v>
      </c>
      <c r="B388" s="38">
        <v>414.0</v>
      </c>
      <c r="C388" s="38">
        <v>1.0</v>
      </c>
      <c r="D388" s="39" t="s">
        <v>654</v>
      </c>
      <c r="E388" s="40" t="s">
        <v>538</v>
      </c>
      <c r="F388" s="8" t="str">
        <f>IFERROR(__xludf.DUMMYFUNCTION("GOOGLETRANSLATE(D388,""zh-CN"",""vi"")"),"Rương kho báu hoa lục bình")</f>
        <v>Rương kho báu hoa lục bình</v>
      </c>
      <c r="G388" s="8" t="str">
        <f>IFERROR(__xludf.DUMMYFUNCTION("GOOGLETRANSLATE(E388,""zh-CN"",""vi"")"),"Nhấp đúp chuột sẽ nhận được phần thưởng với một xác suất nhất định.")</f>
        <v>Nhấp đúp chuột sẽ nhận được phần thưởng với một xác suất nhất định.</v>
      </c>
      <c r="H388" s="41"/>
      <c r="I388" s="41"/>
      <c r="J388" s="41"/>
    </row>
    <row r="389" ht="21.75" customHeight="1">
      <c r="A389" s="37">
        <v>4.0</v>
      </c>
      <c r="B389" s="38">
        <v>414.0</v>
      </c>
      <c r="C389" s="38">
        <v>1.0</v>
      </c>
      <c r="D389" s="39" t="s">
        <v>654</v>
      </c>
      <c r="E389" s="40" t="s">
        <v>538</v>
      </c>
      <c r="F389" s="8" t="str">
        <f>IFERROR(__xludf.DUMMYFUNCTION("GOOGLETRANSLATE(D389,""zh-CN"",""vi"")"),"Rương kho báu hoa lục bình")</f>
        <v>Rương kho báu hoa lục bình</v>
      </c>
      <c r="G389" s="8" t="str">
        <f>IFERROR(__xludf.DUMMYFUNCTION("GOOGLETRANSLATE(E389,""zh-CN"",""vi"")"),"Nhấp đúp chuột sẽ nhận được phần thưởng với một xác suất nhất định.")</f>
        <v>Nhấp đúp chuột sẽ nhận được phần thưởng với một xác suất nhất định.</v>
      </c>
      <c r="H389" s="41"/>
      <c r="I389" s="41"/>
      <c r="J389" s="41"/>
    </row>
    <row r="390" ht="21.75" customHeight="1">
      <c r="A390" s="37">
        <v>4.0</v>
      </c>
      <c r="B390" s="38">
        <v>414.0</v>
      </c>
      <c r="C390" s="38">
        <v>1.0</v>
      </c>
      <c r="D390" s="39" t="s">
        <v>654</v>
      </c>
      <c r="E390" s="40" t="s">
        <v>538</v>
      </c>
      <c r="F390" s="8" t="str">
        <f>IFERROR(__xludf.DUMMYFUNCTION("GOOGLETRANSLATE(D390,""zh-CN"",""vi"")"),"Rương kho báu hoa lục bình")</f>
        <v>Rương kho báu hoa lục bình</v>
      </c>
      <c r="G390" s="8" t="str">
        <f>IFERROR(__xludf.DUMMYFUNCTION("GOOGLETRANSLATE(E390,""zh-CN"",""vi"")"),"Nhấp đúp chuột sẽ nhận được phần thưởng với một xác suất nhất định.")</f>
        <v>Nhấp đúp chuột sẽ nhận được phần thưởng với một xác suất nhất định.</v>
      </c>
      <c r="H390" s="41"/>
      <c r="I390" s="41"/>
      <c r="J390" s="41"/>
    </row>
    <row r="391" ht="21.75" customHeight="1">
      <c r="A391" s="37">
        <v>4.0</v>
      </c>
      <c r="B391" s="38">
        <v>414.0</v>
      </c>
      <c r="C391" s="38">
        <v>1.0</v>
      </c>
      <c r="D391" s="39" t="s">
        <v>654</v>
      </c>
      <c r="E391" s="40" t="s">
        <v>538</v>
      </c>
      <c r="F391" s="8" t="str">
        <f>IFERROR(__xludf.DUMMYFUNCTION("GOOGLETRANSLATE(D391,""zh-CN"",""vi"")"),"Rương kho báu hoa lục bình")</f>
        <v>Rương kho báu hoa lục bình</v>
      </c>
      <c r="G391" s="8" t="str">
        <f>IFERROR(__xludf.DUMMYFUNCTION("GOOGLETRANSLATE(E391,""zh-CN"",""vi"")"),"Nhấp đúp chuột sẽ nhận được phần thưởng với một xác suất nhất định.")</f>
        <v>Nhấp đúp chuột sẽ nhận được phần thưởng với một xác suất nhất định.</v>
      </c>
      <c r="H391" s="41"/>
      <c r="I391" s="41"/>
      <c r="J391" s="41"/>
    </row>
    <row r="392" ht="21.75" customHeight="1">
      <c r="A392" s="37">
        <v>4.0</v>
      </c>
      <c r="B392" s="38">
        <v>414.0</v>
      </c>
      <c r="C392" s="38">
        <v>1.0</v>
      </c>
      <c r="D392" s="39" t="s">
        <v>654</v>
      </c>
      <c r="E392" s="40" t="s">
        <v>538</v>
      </c>
      <c r="F392" s="8" t="str">
        <f>IFERROR(__xludf.DUMMYFUNCTION("GOOGLETRANSLATE(D392,""zh-CN"",""vi"")"),"Rương kho báu hoa lục bình")</f>
        <v>Rương kho báu hoa lục bình</v>
      </c>
      <c r="G392" s="8" t="str">
        <f>IFERROR(__xludf.DUMMYFUNCTION("GOOGLETRANSLATE(E392,""zh-CN"",""vi"")"),"Nhấp đúp chuột sẽ nhận được phần thưởng với một xác suất nhất định.")</f>
        <v>Nhấp đúp chuột sẽ nhận được phần thưởng với một xác suất nhất định.</v>
      </c>
      <c r="H392" s="41"/>
      <c r="I392" s="41"/>
      <c r="J392" s="41"/>
    </row>
    <row r="393" ht="21.75" customHeight="1">
      <c r="A393" s="37">
        <v>4.0</v>
      </c>
      <c r="B393" s="38">
        <v>414.0</v>
      </c>
      <c r="C393" s="38">
        <v>1.0</v>
      </c>
      <c r="D393" s="39" t="s">
        <v>654</v>
      </c>
      <c r="E393" s="40" t="s">
        <v>538</v>
      </c>
      <c r="F393" s="8" t="str">
        <f>IFERROR(__xludf.DUMMYFUNCTION("GOOGLETRANSLATE(D393,""zh-CN"",""vi"")"),"Rương kho báu hoa lục bình")</f>
        <v>Rương kho báu hoa lục bình</v>
      </c>
      <c r="G393" s="8" t="str">
        <f>IFERROR(__xludf.DUMMYFUNCTION("GOOGLETRANSLATE(E393,""zh-CN"",""vi"")"),"Nhấp đúp chuột sẽ nhận được phần thưởng với một xác suất nhất định.")</f>
        <v>Nhấp đúp chuột sẽ nhận được phần thưởng với một xác suất nhất định.</v>
      </c>
      <c r="H393" s="41"/>
      <c r="I393" s="41"/>
      <c r="J393" s="41"/>
    </row>
    <row r="394" ht="21.75" customHeight="1">
      <c r="A394" s="37">
        <v>4.0</v>
      </c>
      <c r="B394" s="38">
        <v>414.0</v>
      </c>
      <c r="C394" s="38">
        <v>1.0</v>
      </c>
      <c r="D394" s="39" t="s">
        <v>654</v>
      </c>
      <c r="E394" s="40" t="s">
        <v>538</v>
      </c>
      <c r="F394" s="8" t="str">
        <f>IFERROR(__xludf.DUMMYFUNCTION("GOOGLETRANSLATE(D394,""zh-CN"",""vi"")"),"Rương kho báu hoa lục bình")</f>
        <v>Rương kho báu hoa lục bình</v>
      </c>
      <c r="G394" s="8" t="str">
        <f>IFERROR(__xludf.DUMMYFUNCTION("GOOGLETRANSLATE(E394,""zh-CN"",""vi"")"),"Nhấp đúp chuột sẽ nhận được phần thưởng với một xác suất nhất định.")</f>
        <v>Nhấp đúp chuột sẽ nhận được phần thưởng với một xác suất nhất định.</v>
      </c>
      <c r="H394" s="41"/>
      <c r="I394" s="41"/>
      <c r="J394" s="41"/>
    </row>
    <row r="395" ht="21.75" customHeight="1">
      <c r="A395" s="37">
        <v>4.0</v>
      </c>
      <c r="B395" s="38">
        <v>414.0</v>
      </c>
      <c r="C395" s="38">
        <v>1.0</v>
      </c>
      <c r="D395" s="39" t="s">
        <v>654</v>
      </c>
      <c r="E395" s="40" t="s">
        <v>538</v>
      </c>
      <c r="F395" s="8" t="str">
        <f>IFERROR(__xludf.DUMMYFUNCTION("GOOGLETRANSLATE(D395,""zh-CN"",""vi"")"),"Rương kho báu hoa lục bình")</f>
        <v>Rương kho báu hoa lục bình</v>
      </c>
      <c r="G395" s="8" t="str">
        <f>IFERROR(__xludf.DUMMYFUNCTION("GOOGLETRANSLATE(E395,""zh-CN"",""vi"")"),"Nhấp đúp chuột sẽ nhận được phần thưởng với một xác suất nhất định.")</f>
        <v>Nhấp đúp chuột sẽ nhận được phần thưởng với một xác suất nhất định.</v>
      </c>
      <c r="H395" s="41"/>
      <c r="I395" s="41"/>
      <c r="J395" s="41"/>
    </row>
    <row r="396" ht="21.75" customHeight="1">
      <c r="A396" s="37">
        <v>4.0</v>
      </c>
      <c r="B396" s="38">
        <v>414.0</v>
      </c>
      <c r="C396" s="38">
        <v>1.0</v>
      </c>
      <c r="D396" s="39" t="s">
        <v>654</v>
      </c>
      <c r="E396" s="40" t="s">
        <v>538</v>
      </c>
      <c r="F396" s="8" t="str">
        <f>IFERROR(__xludf.DUMMYFUNCTION("GOOGLETRANSLATE(D396,""zh-CN"",""vi"")"),"Rương kho báu hoa lục bình")</f>
        <v>Rương kho báu hoa lục bình</v>
      </c>
      <c r="G396" s="8" t="str">
        <f>IFERROR(__xludf.DUMMYFUNCTION("GOOGLETRANSLATE(E396,""zh-CN"",""vi"")"),"Nhấp đúp chuột sẽ nhận được phần thưởng với một xác suất nhất định.")</f>
        <v>Nhấp đúp chuột sẽ nhận được phần thưởng với một xác suất nhất định.</v>
      </c>
      <c r="H396" s="41"/>
      <c r="I396" s="41"/>
      <c r="J396" s="41"/>
    </row>
    <row r="397" ht="21.75" customHeight="1">
      <c r="A397" s="37">
        <v>4.0</v>
      </c>
      <c r="B397" s="38">
        <v>414.0</v>
      </c>
      <c r="C397" s="38">
        <v>1.0</v>
      </c>
      <c r="D397" s="39" t="s">
        <v>654</v>
      </c>
      <c r="E397" s="40" t="s">
        <v>538</v>
      </c>
      <c r="F397" s="8" t="str">
        <f>IFERROR(__xludf.DUMMYFUNCTION("GOOGLETRANSLATE(D397,""zh-CN"",""vi"")"),"Rương kho báu hoa lục bình")</f>
        <v>Rương kho báu hoa lục bình</v>
      </c>
      <c r="G397" s="8" t="str">
        <f>IFERROR(__xludf.DUMMYFUNCTION("GOOGLETRANSLATE(E397,""zh-CN"",""vi"")"),"Nhấp đúp chuột sẽ nhận được phần thưởng với một xác suất nhất định.")</f>
        <v>Nhấp đúp chuột sẽ nhận được phần thưởng với một xác suất nhất định.</v>
      </c>
      <c r="H397" s="41"/>
      <c r="I397" s="41"/>
      <c r="J397" s="41"/>
    </row>
    <row r="398" ht="21.75" customHeight="1">
      <c r="A398" s="37">
        <v>4.0</v>
      </c>
      <c r="B398" s="38">
        <v>414.0</v>
      </c>
      <c r="C398" s="38">
        <v>1.0</v>
      </c>
      <c r="D398" s="39" t="s">
        <v>654</v>
      </c>
      <c r="E398" s="40" t="s">
        <v>538</v>
      </c>
      <c r="F398" s="8" t="str">
        <f>IFERROR(__xludf.DUMMYFUNCTION("GOOGLETRANSLATE(D398,""zh-CN"",""vi"")"),"Rương kho báu hoa lục bình")</f>
        <v>Rương kho báu hoa lục bình</v>
      </c>
      <c r="G398" s="8" t="str">
        <f>IFERROR(__xludf.DUMMYFUNCTION("GOOGLETRANSLATE(E398,""zh-CN"",""vi"")"),"Nhấp đúp chuột sẽ nhận được phần thưởng với một xác suất nhất định.")</f>
        <v>Nhấp đúp chuột sẽ nhận được phần thưởng với một xác suất nhất định.</v>
      </c>
      <c r="H398" s="41"/>
      <c r="I398" s="41"/>
      <c r="J398" s="41"/>
    </row>
    <row r="399" ht="21.0" customHeight="1">
      <c r="A399" s="5">
        <v>5.0</v>
      </c>
      <c r="B399" s="6">
        <v>415.0</v>
      </c>
      <c r="C399" s="6">
        <v>1.0</v>
      </c>
      <c r="D399" s="16" t="s">
        <v>655</v>
      </c>
      <c r="E399" s="9" t="s">
        <v>656</v>
      </c>
      <c r="F399" s="8" t="str">
        <f>IFERROR(__xludf.DUMMYFUNCTION("GOOGLETRANSLATE(D399,""zh-CN"",""vi"")"),"Rương kho báu Mẹ cấp 1")</f>
        <v>Rương kho báu Mẹ cấp 1</v>
      </c>
      <c r="G399" s="8" t="str">
        <f>IFERROR(__xludf.DUMMYFUNCTION("GOOGLETRANSLATE(E399,""zh-CN"",""vi"")"),"Nhấp đúp chuột để tạo ra thân máy mẹ cấp 1.")</f>
        <v>Nhấp đúp chuột để tạo ra thân máy mẹ cấp 1.</v>
      </c>
      <c r="H399" s="8"/>
      <c r="I399" s="8"/>
      <c r="J399" s="8"/>
    </row>
    <row r="400" ht="21.0" customHeight="1">
      <c r="A400" s="5">
        <v>5.0</v>
      </c>
      <c r="B400" s="6">
        <v>415.0</v>
      </c>
      <c r="C400" s="6">
        <v>1.0</v>
      </c>
      <c r="D400" s="16" t="s">
        <v>657</v>
      </c>
      <c r="E400" s="9" t="s">
        <v>658</v>
      </c>
      <c r="F400" s="8" t="str">
        <f>IFERROR(__xludf.DUMMYFUNCTION("GOOGLETRANSLATE(D400,""zh-CN"",""vi"")"),"Rương kho báu Mẹ cấp độ 2")</f>
        <v>Rương kho báu Mẹ cấp độ 2</v>
      </c>
      <c r="G400" s="8" t="str">
        <f>IFERROR(__xludf.DUMMYFUNCTION("GOOGLETRANSLATE(E400,""zh-CN"",""vi"")"),"Nhấp đúp chuột để tạo ra thân máy mẹ cấp 2.")</f>
        <v>Nhấp đúp chuột để tạo ra thân máy mẹ cấp 2.</v>
      </c>
      <c r="H400" s="8"/>
      <c r="I400" s="8"/>
      <c r="J400" s="8"/>
    </row>
    <row r="401" ht="21.0" customHeight="1">
      <c r="A401" s="5">
        <v>5.0</v>
      </c>
      <c r="B401" s="6">
        <v>415.0</v>
      </c>
      <c r="C401" s="6">
        <v>1.0</v>
      </c>
      <c r="D401" s="16" t="s">
        <v>659</v>
      </c>
      <c r="E401" s="9" t="s">
        <v>660</v>
      </c>
      <c r="F401" s="8" t="str">
        <f>IFERROR(__xludf.DUMMYFUNCTION("GOOGLETRANSLATE(D401,""zh-CN"",""vi"")"),"Rương kho báu Mẹ cấp 3")</f>
        <v>Rương kho báu Mẹ cấp 3</v>
      </c>
      <c r="G401" s="8" t="str">
        <f>IFERROR(__xludf.DUMMYFUNCTION("GOOGLETRANSLATE(E401,""zh-CN"",""vi"")"),"Nhấp đúp chuột để tạo ra thân máy mẹ cấp 3.")</f>
        <v>Nhấp đúp chuột để tạo ra thân máy mẹ cấp 3.</v>
      </c>
      <c r="H401" s="8"/>
      <c r="I401" s="8"/>
      <c r="J401" s="8"/>
    </row>
    <row r="402" ht="21.0" customHeight="1">
      <c r="A402" s="5">
        <v>5.0</v>
      </c>
      <c r="B402" s="6">
        <v>415.0</v>
      </c>
      <c r="C402" s="6">
        <v>1.0</v>
      </c>
      <c r="D402" s="16" t="s">
        <v>661</v>
      </c>
      <c r="E402" s="9" t="s">
        <v>662</v>
      </c>
      <c r="F402" s="8" t="str">
        <f>IFERROR(__xludf.DUMMYFUNCTION("GOOGLETRANSLATE(D402,""zh-CN"",""vi"")"),"Rương kho báu Mẹ cấp 4")</f>
        <v>Rương kho báu Mẹ cấp 4</v>
      </c>
      <c r="G402" s="8" t="str">
        <f>IFERROR(__xludf.DUMMYFUNCTION("GOOGLETRANSLATE(E402,""zh-CN"",""vi"")"),"Nhấp đúp chuột để tạo ra thân máy mẹ cấp 4.")</f>
        <v>Nhấp đúp chuột để tạo ra thân máy mẹ cấp 4.</v>
      </c>
      <c r="H402" s="8"/>
      <c r="I402" s="8"/>
      <c r="J402" s="8"/>
    </row>
    <row r="403" ht="21.0" customHeight="1">
      <c r="A403" s="5">
        <v>5.0</v>
      </c>
      <c r="B403" s="6">
        <v>416.0</v>
      </c>
      <c r="C403" s="6">
        <v>1.0</v>
      </c>
      <c r="D403" s="16" t="s">
        <v>663</v>
      </c>
      <c r="E403" s="9" t="s">
        <v>664</v>
      </c>
      <c r="F403" s="8" t="str">
        <f>IFERROR(__xludf.DUMMYFUNCTION("GOOGLETRANSLATE(D403,""zh-CN"",""vi"")"),"Các mảnh da ngẫu nhiên")</f>
        <v>Các mảnh da ngẫu nhiên</v>
      </c>
      <c r="G403" s="8" t="str">
        <f>IFERROR(__xludf.DUMMYFUNCTION("GOOGLETRANSLATE(E403,""zh-CN"",""vi"")"),"Nhấp đúp chuột để tạo mảnh da")</f>
        <v>Nhấp đúp chuột để tạo mảnh da</v>
      </c>
      <c r="H403" s="8"/>
      <c r="I403" s="8"/>
      <c r="J403" s="8"/>
    </row>
    <row r="404" ht="21.0" customHeight="1">
      <c r="A404" s="5">
        <v>5.0</v>
      </c>
      <c r="B404" s="6">
        <v>416.0</v>
      </c>
      <c r="C404" s="6">
        <v>1.0</v>
      </c>
      <c r="D404" s="16" t="s">
        <v>665</v>
      </c>
      <c r="E404" s="9" t="s">
        <v>666</v>
      </c>
      <c r="F404" s="8" t="str">
        <f>IFERROR(__xludf.DUMMYFUNCTION("GOOGLETRANSLATE(D404,""zh-CN"",""vi"")"),"Mảnh vỡ yêu tinh ngẫu nhiên")</f>
        <v>Mảnh vỡ yêu tinh ngẫu nhiên</v>
      </c>
      <c r="G404" s="8" t="str">
        <f>IFERROR(__xludf.DUMMYFUNCTION("GOOGLETRANSLATE(E404,""zh-CN"",""vi"")"),"Nhấp đúp chuột để tạo ra các mảnh linh hồn")</f>
        <v>Nhấp đúp chuột để tạo ra các mảnh linh hồn</v>
      </c>
      <c r="H404" s="8"/>
      <c r="I404" s="8"/>
      <c r="J404" s="8"/>
    </row>
    <row r="405" ht="21.0" customHeight="1">
      <c r="A405" s="5">
        <v>20.0</v>
      </c>
      <c r="B405" s="6">
        <v>415.0</v>
      </c>
      <c r="C405" s="6">
        <v>1.0</v>
      </c>
      <c r="D405" s="16" t="s">
        <v>667</v>
      </c>
      <c r="E405" s="9" t="s">
        <v>615</v>
      </c>
      <c r="F405" s="8" t="str">
        <f>IFERROR(__xludf.DUMMYFUNCTION("GOOGLETRANSLATE(D405,""zh-CN"",""vi"")"),"Hộp lựa chọn cơ thể mẹ hàng tháng cấp độ 4")</f>
        <v>Hộp lựa chọn cơ thể mẹ hàng tháng cấp độ 4</v>
      </c>
      <c r="G405" s="8" t="str">
        <f>IFERROR(__xludf.DUMMYFUNCTION("GOOGLETRANSLATE(E405,""zh-CN"",""vi"")"),"Nhấp đúp chuột để chọn giải thưởng, sau đó nhấp chuột để tạo phần thưởng.")</f>
        <v>Nhấp đúp chuột để chọn giải thưởng, sau đó nhấp chuột để tạo phần thưởng.</v>
      </c>
      <c r="H405" s="8"/>
      <c r="I405" s="8"/>
      <c r="J405" s="8"/>
    </row>
    <row r="406" ht="21.0" customHeight="1">
      <c r="A406" s="5">
        <v>20.0</v>
      </c>
      <c r="B406" s="6">
        <v>415.0</v>
      </c>
      <c r="C406" s="6">
        <v>1.0</v>
      </c>
      <c r="D406" s="16" t="s">
        <v>668</v>
      </c>
      <c r="E406" s="9" t="s">
        <v>615</v>
      </c>
      <c r="F406" s="8" t="str">
        <f>IFERROR(__xludf.DUMMYFUNCTION("GOOGLETRANSLATE(D406,""zh-CN"",""vi"")"),"Rương kho báu có thể lựa chọn trong Thân Mẹ Cấp độ 4")</f>
        <v>Rương kho báu có thể lựa chọn trong Thân Mẹ Cấp độ 4</v>
      </c>
      <c r="G406" s="8" t="str">
        <f>IFERROR(__xludf.DUMMYFUNCTION("GOOGLETRANSLATE(E406,""zh-CN"",""vi"")"),"Nhấp đúp chuột để chọn giải thưởng, sau đó nhấp chuột để tạo phần thưởng.")</f>
        <v>Nhấp đúp chuột để chọn giải thưởng, sau đó nhấp chuột để tạo phần thưởng.</v>
      </c>
      <c r="H406" s="8"/>
      <c r="I406" s="8"/>
      <c r="J406" s="8"/>
    </row>
    <row r="407" ht="21.0" customHeight="1">
      <c r="A407" s="5">
        <v>5.0</v>
      </c>
      <c r="B407" s="6">
        <v>415.0</v>
      </c>
      <c r="C407" s="6">
        <v>1.0</v>
      </c>
      <c r="D407" s="16" t="s">
        <v>669</v>
      </c>
      <c r="E407" s="9" t="s">
        <v>538</v>
      </c>
      <c r="F407" s="8" t="str">
        <f>IFERROR(__xludf.DUMMYFUNCTION("GOOGLETRANSLATE(D407,""zh-CN"",""vi"")"),"Rương kho báu ngẫu nhiên ở lối vào Mẹ cấp độ 4")</f>
        <v>Rương kho báu ngẫu nhiên ở lối vào Mẹ cấp độ 4</v>
      </c>
      <c r="G407" s="8" t="str">
        <f>IFERROR(__xludf.DUMMYFUNCTION("GOOGLETRANSLATE(E407,""zh-CN"",""vi"")"),"Nhấp đúp chuột sẽ nhận được phần thưởng với một xác suất nhất định.")</f>
        <v>Nhấp đúp chuột sẽ nhận được phần thưởng với một xác suất nhất định.</v>
      </c>
      <c r="H407" s="8"/>
      <c r="I407" s="8"/>
      <c r="J407" s="8"/>
    </row>
    <row r="408" ht="21.0" customHeight="1">
      <c r="A408" s="5">
        <v>5.0</v>
      </c>
      <c r="B408" s="6">
        <v>415.0</v>
      </c>
      <c r="C408" s="6">
        <v>1.0</v>
      </c>
      <c r="D408" s="16" t="s">
        <v>661</v>
      </c>
      <c r="E408" s="9" t="s">
        <v>662</v>
      </c>
      <c r="F408" s="8" t="str">
        <f>IFERROR(__xludf.DUMMYFUNCTION("GOOGLETRANSLATE(D408,""zh-CN"",""vi"")"),"Rương kho báu Mẹ cấp 4")</f>
        <v>Rương kho báu Mẹ cấp 4</v>
      </c>
      <c r="G408" s="8" t="str">
        <f>IFERROR(__xludf.DUMMYFUNCTION("GOOGLETRANSLATE(E408,""zh-CN"",""vi"")"),"Nhấp đúp chuột để tạo ra thân máy mẹ cấp 4.")</f>
        <v>Nhấp đúp chuột để tạo ra thân máy mẹ cấp 4.</v>
      </c>
      <c r="H408" s="8"/>
      <c r="I408" s="8"/>
      <c r="J408" s="8"/>
    </row>
    <row r="409" ht="21.0" customHeight="1">
      <c r="A409" s="5">
        <v>20.0</v>
      </c>
      <c r="B409" s="6">
        <v>518.0</v>
      </c>
      <c r="C409" s="6">
        <v>1.0</v>
      </c>
      <c r="D409" s="16" t="s">
        <v>670</v>
      </c>
      <c r="E409" s="9" t="s">
        <v>671</v>
      </c>
      <c r="F409" s="8" t="str">
        <f>IFERROR(__xludf.DUMMYFUNCTION("GOOGLETRANSLATE(D409,""zh-CN"",""vi"")"),"Lựa chọn da ngực")</f>
        <v>Lựa chọn da ngực</v>
      </c>
      <c r="G409" s="8" t="str">
        <f>IFERROR(__xludf.DUMMYFUNCTION("GOOGLETRANSLATE(E409,""zh-CN"",""vi"")"),"Nhấp đúp chuột để chọn phần thưởng, sau đó nhấp vào ""Phần thưởng"", nơi bạn có thể chọn một mảnh ghép.")</f>
        <v>Nhấp đúp chuột để chọn phần thưởng, sau đó nhấp vào "Phần thưởng", nơi bạn có thể chọn một mảnh ghép.</v>
      </c>
      <c r="H409" s="8"/>
      <c r="I409" s="8"/>
      <c r="J409" s="8"/>
    </row>
    <row r="410" ht="21.0" customHeight="1">
      <c r="A410" s="5">
        <v>5.0</v>
      </c>
      <c r="B410" s="6">
        <v>415.0</v>
      </c>
      <c r="C410" s="6">
        <v>1.0</v>
      </c>
      <c r="D410" s="16" t="s">
        <v>672</v>
      </c>
      <c r="E410" s="9" t="s">
        <v>538</v>
      </c>
      <c r="F410" s="8" t="str">
        <f>IFERROR(__xludf.DUMMYFUNCTION("GOOGLETRANSLATE(D410,""zh-CN"",""vi"")"),"Túi may mắn")</f>
        <v>Túi may mắn</v>
      </c>
      <c r="G410" s="8" t="str">
        <f>IFERROR(__xludf.DUMMYFUNCTION("GOOGLETRANSLATE(E410,""zh-CN"",""vi"")"),"Nhấp đúp chuột sẽ nhận được phần thưởng với một xác suất nhất định.")</f>
        <v>Nhấp đúp chuột sẽ nhận được phần thưởng với một xác suất nhất định.</v>
      </c>
      <c r="H410" s="8"/>
      <c r="I410" s="8"/>
      <c r="J410" s="8"/>
    </row>
    <row r="411" ht="21.0" customHeight="1">
      <c r="A411" s="5">
        <v>5.0</v>
      </c>
      <c r="B411" s="6">
        <v>415.0</v>
      </c>
      <c r="C411" s="6">
        <v>1.0</v>
      </c>
      <c r="D411" s="16" t="s">
        <v>673</v>
      </c>
      <c r="E411" s="9" t="s">
        <v>538</v>
      </c>
      <c r="F411" s="8" t="str">
        <f>IFERROR(__xludf.DUMMYFUNCTION("GOOGLETRANSLATE(D411,""zh-CN"",""vi"")"),"Rương kho báu ngẫu nhiên ở lối vào của Mẹ cấp độ 2")</f>
        <v>Rương kho báu ngẫu nhiên ở lối vào của Mẹ cấp độ 2</v>
      </c>
      <c r="G411" s="8" t="str">
        <f>IFERROR(__xludf.DUMMYFUNCTION("GOOGLETRANSLATE(E411,""zh-CN"",""vi"")"),"Nhấp đúp chuột sẽ nhận được phần thưởng với một xác suất nhất định.")</f>
        <v>Nhấp đúp chuột sẽ nhận được phần thưởng với một xác suất nhất định.</v>
      </c>
      <c r="H411" s="8"/>
      <c r="I411" s="8"/>
      <c r="J411" s="8"/>
    </row>
    <row r="412" ht="21.0" customHeight="1">
      <c r="A412" s="5">
        <v>20.0</v>
      </c>
      <c r="B412" s="6">
        <v>415.0</v>
      </c>
      <c r="C412" s="6">
        <v>1.0</v>
      </c>
      <c r="D412" s="16" t="s">
        <v>674</v>
      </c>
      <c r="E412" s="9" t="s">
        <v>615</v>
      </c>
      <c r="F412" s="8" t="str">
        <f>IFERROR(__xludf.DUMMYFUNCTION("GOOGLETRANSLATE(D412,""zh-CN"",""vi"")"),"Hộp lựa chọn cơ thể mẹ hàng tháng cấp độ 3")</f>
        <v>Hộp lựa chọn cơ thể mẹ hàng tháng cấp độ 3</v>
      </c>
      <c r="G412" s="8" t="str">
        <f>IFERROR(__xludf.DUMMYFUNCTION("GOOGLETRANSLATE(E412,""zh-CN"",""vi"")"),"Nhấp đúp chuột để chọn giải thưởng, sau đó nhấp chuột để tạo phần thưởng.")</f>
        <v>Nhấp đúp chuột để chọn giải thưởng, sau đó nhấp chuột để tạo phần thưởng.</v>
      </c>
      <c r="H412" s="8"/>
      <c r="I412" s="8"/>
      <c r="J412" s="8"/>
    </row>
    <row r="413" ht="21.0" customHeight="1">
      <c r="A413" s="5">
        <v>20.0</v>
      </c>
      <c r="B413" s="6">
        <v>415.0</v>
      </c>
      <c r="C413" s="6">
        <v>1.0</v>
      </c>
      <c r="D413" s="16" t="s">
        <v>675</v>
      </c>
      <c r="E413" s="9" t="s">
        <v>615</v>
      </c>
      <c r="F413" s="8" t="str">
        <f>IFERROR(__xludf.DUMMYFUNCTION("GOOGLETRANSLATE(D413,""zh-CN"",""vi"")"),"Rương kho báu có thể lựa chọn trong Thân Mẹ Cấp độ 3")</f>
        <v>Rương kho báu có thể lựa chọn trong Thân Mẹ Cấp độ 3</v>
      </c>
      <c r="G413" s="8" t="str">
        <f>IFERROR(__xludf.DUMMYFUNCTION("GOOGLETRANSLATE(E413,""zh-CN"",""vi"")"),"Nhấp đúp chuột để chọn giải thưởng, sau đó nhấp chuột để tạo phần thưởng.")</f>
        <v>Nhấp đúp chuột để chọn giải thưởng, sau đó nhấp chuột để tạo phần thưởng.</v>
      </c>
      <c r="H413" s="8"/>
      <c r="I413" s="8"/>
      <c r="J413" s="8"/>
    </row>
    <row r="414" ht="21.0" customHeight="1">
      <c r="A414" s="5">
        <v>5.0</v>
      </c>
      <c r="B414" s="6">
        <v>415.0</v>
      </c>
      <c r="C414" s="6">
        <v>1.0</v>
      </c>
      <c r="D414" s="16" t="s">
        <v>676</v>
      </c>
      <c r="E414" s="9" t="s">
        <v>538</v>
      </c>
      <c r="F414" s="8" t="str">
        <f>IFERROR(__xludf.DUMMYFUNCTION("GOOGLETRANSLATE(D414,""zh-CN"",""vi"")"),"Cấp độ 1 Nồi Súp Mẹ Rương Kho báu Ngẫu nhiên")</f>
        <v>Cấp độ 1 Nồi Súp Mẹ Rương Kho báu Ngẫu nhiên</v>
      </c>
      <c r="G414" s="8" t="str">
        <f>IFERROR(__xludf.DUMMYFUNCTION("GOOGLETRANSLATE(E414,""zh-CN"",""vi"")"),"Nhấp đúp chuột sẽ nhận được phần thưởng với một xác suất nhất định.")</f>
        <v>Nhấp đúp chuột sẽ nhận được phần thưởng với một xác suất nhất định.</v>
      </c>
      <c r="H414" s="8"/>
      <c r="I414" s="8"/>
      <c r="J414" s="8"/>
    </row>
    <row r="415" ht="21.0" customHeight="1">
      <c r="A415" s="5">
        <v>20.0</v>
      </c>
      <c r="B415" s="6">
        <v>415.0</v>
      </c>
      <c r="C415" s="6">
        <v>1.0</v>
      </c>
      <c r="D415" s="16" t="s">
        <v>677</v>
      </c>
      <c r="E415" s="9" t="s">
        <v>615</v>
      </c>
      <c r="F415" s="8" t="str">
        <f>IFERROR(__xludf.DUMMYFUNCTION("GOOGLETRANSLATE(D415,""zh-CN"",""vi"")"),"Nồi súp cấp 2 - Rương lựa chọn của Mẹ")</f>
        <v>Nồi súp cấp 2 - Rương lựa chọn của Mẹ</v>
      </c>
      <c r="G415" s="8" t="str">
        <f>IFERROR(__xludf.DUMMYFUNCTION("GOOGLETRANSLATE(E415,""zh-CN"",""vi"")"),"Nhấp đúp chuột để chọn giải thưởng, sau đó nhấp chuột để tạo phần thưởng.")</f>
        <v>Nhấp đúp chuột để chọn giải thưởng, sau đó nhấp chuột để tạo phần thưởng.</v>
      </c>
      <c r="H415" s="8"/>
      <c r="I415" s="8"/>
      <c r="J415" s="8"/>
    </row>
    <row r="416" ht="21.0" customHeight="1">
      <c r="A416" s="5">
        <v>5.0</v>
      </c>
      <c r="B416" s="6">
        <v>415.0</v>
      </c>
      <c r="C416" s="6">
        <v>1.0</v>
      </c>
      <c r="D416" s="16" t="s">
        <v>678</v>
      </c>
      <c r="E416" s="9" t="s">
        <v>679</v>
      </c>
      <c r="F416" s="8" t="str">
        <f>IFERROR(__xludf.DUMMYFUNCTION("GOOGLETRANSLATE(D416,""zh-CN"",""vi"")"),"Rương kho báu ngẫu nhiên hàng tháng cấp độ 2 của Tổ quốc")</f>
        <v>Rương kho báu ngẫu nhiên hàng tháng cấp độ 2 của Tổ quốc</v>
      </c>
      <c r="G416" s="8" t="str">
        <f>IFERROR(__xludf.DUMMYFUNCTION("GOOGLETRANSLATE(E416,""zh-CN"",""vi"")"),"Nhấp đúp chuột để tạo ngẫu nhiên một bà mẹ cấp 2 hàng tháng.")</f>
        <v>Nhấp đúp chuột để tạo ngẫu nhiên một bà mẹ cấp 2 hàng tháng.</v>
      </c>
      <c r="H416" s="8"/>
      <c r="I416" s="8"/>
      <c r="J416" s="8"/>
    </row>
    <row r="417" ht="21.0" customHeight="1">
      <c r="A417" s="5">
        <v>5.0</v>
      </c>
      <c r="B417" s="6">
        <v>415.0</v>
      </c>
      <c r="C417" s="6">
        <v>1.0</v>
      </c>
      <c r="D417" s="16" t="s">
        <v>680</v>
      </c>
      <c r="E417" s="9" t="s">
        <v>681</v>
      </c>
      <c r="F417" s="8" t="str">
        <f>IFERROR(__xludf.DUMMYFUNCTION("GOOGLETRANSLATE(D417,""zh-CN"",""vi"")"),"Rương kho báu ngẫu nhiên hàng tháng cấp độ 3 của Tổ quốc")</f>
        <v>Rương kho báu ngẫu nhiên hàng tháng cấp độ 3 của Tổ quốc</v>
      </c>
      <c r="G417" s="8" t="str">
        <f>IFERROR(__xludf.DUMMYFUNCTION("GOOGLETRANSLATE(E417,""zh-CN"",""vi"")"),"Nhấp đúp chuột để tạo ngẫu nhiên một bà mẹ cấp 3 hàng tháng.")</f>
        <v>Nhấp đúp chuột để tạo ngẫu nhiên một bà mẹ cấp 3 hàng tháng.</v>
      </c>
      <c r="H417" s="8"/>
      <c r="I417" s="8"/>
      <c r="J417" s="8"/>
    </row>
    <row r="418" ht="21.0" customHeight="1">
      <c r="A418" s="5">
        <v>5.0</v>
      </c>
      <c r="B418" s="6">
        <v>415.0</v>
      </c>
      <c r="C418" s="6">
        <v>1.0</v>
      </c>
      <c r="D418" s="16" t="s">
        <v>682</v>
      </c>
      <c r="E418" s="9" t="s">
        <v>683</v>
      </c>
      <c r="F418" s="8" t="str">
        <f>IFERROR(__xludf.DUMMYFUNCTION("GOOGLETRANSLATE(D418,""zh-CN"",""vi"")"),"Rương kho báu ngẫu nhiên hàng tháng cấp độ 4 của Tổ quốc")</f>
        <v>Rương kho báu ngẫu nhiên hàng tháng cấp độ 4 của Tổ quốc</v>
      </c>
      <c r="G418" s="8" t="str">
        <f>IFERROR(__xludf.DUMMYFUNCTION("GOOGLETRANSLATE(E418,""zh-CN"",""vi"")"),"Nhấp đúp chuột để tạo ngẫu nhiên một bà mẹ cấp 4 hàng tháng.")</f>
        <v>Nhấp đúp chuột để tạo ngẫu nhiên một bà mẹ cấp 4 hàng tháng.</v>
      </c>
      <c r="H418" s="8"/>
      <c r="I418" s="8"/>
      <c r="J418" s="8"/>
    </row>
    <row r="419" ht="21.0" customHeight="1">
      <c r="A419" s="5">
        <v>20.0</v>
      </c>
      <c r="B419" s="6">
        <v>415.0</v>
      </c>
      <c r="C419" s="6">
        <v>1.0</v>
      </c>
      <c r="D419" s="16" t="s">
        <v>684</v>
      </c>
      <c r="E419" s="9" t="s">
        <v>615</v>
      </c>
      <c r="F419" s="8" t="str">
        <f>IFERROR(__xludf.DUMMYFUNCTION("GOOGLETRANSLATE(D419,""zh-CN"",""vi"")"),"Rương lựa chọn Năng lượng và Sức bền")</f>
        <v>Rương lựa chọn Năng lượng và Sức bền</v>
      </c>
      <c r="G419" s="8" t="str">
        <f>IFERROR(__xludf.DUMMYFUNCTION("GOOGLETRANSLATE(E419,""zh-CN"",""vi"")"),"Nhấp đúp chuột để chọn giải thưởng, sau đó nhấp chuột để tạo phần thưởng.")</f>
        <v>Nhấp đúp chuột để chọn giải thưởng, sau đó nhấp chuột để tạo phần thưởng.</v>
      </c>
      <c r="H419" s="8"/>
      <c r="I419" s="8"/>
      <c r="J419" s="8"/>
    </row>
    <row r="420" ht="21.0" customHeight="1">
      <c r="A420" s="5">
        <v>20.0</v>
      </c>
      <c r="B420" s="6">
        <v>415.0</v>
      </c>
      <c r="C420" s="6">
        <v>1.0</v>
      </c>
      <c r="D420" s="16" t="s">
        <v>685</v>
      </c>
      <c r="E420" s="9" t="s">
        <v>615</v>
      </c>
      <c r="F420" s="8" t="str">
        <f>IFERROR(__xludf.DUMMYFUNCTION("GOOGLETRANSLATE(D420,""zh-CN"",""vi"")"),"Vé xe buýt đường dài, mẹ chọn rương kho báu")</f>
        <v>Vé xe buýt đường dài, mẹ chọn rương kho báu</v>
      </c>
      <c r="G420" s="8" t="str">
        <f>IFERROR(__xludf.DUMMYFUNCTION("GOOGLETRANSLATE(E420,""zh-CN"",""vi"")"),"Nhấp đúp chuột để chọn giải thưởng, sau đó nhấp chuột để tạo phần thưởng.")</f>
        <v>Nhấp đúp chuột để chọn giải thưởng, sau đó nhấp chuột để tạo phần thưởng.</v>
      </c>
      <c r="H420" s="8"/>
      <c r="I420" s="8"/>
      <c r="J420" s="8"/>
    </row>
    <row r="421" ht="21.0" customHeight="1">
      <c r="A421" s="5">
        <v>20.0</v>
      </c>
      <c r="B421" s="6">
        <v>415.0</v>
      </c>
      <c r="C421" s="6">
        <v>1.0</v>
      </c>
      <c r="D421" s="16" t="s">
        <v>686</v>
      </c>
      <c r="E421" s="9" t="s">
        <v>615</v>
      </c>
      <c r="F421" s="8" t="str">
        <f>IFERROR(__xludf.DUMMYFUNCTION("GOOGLETRANSLATE(D421,""zh-CN"",""vi"")"),"Rương kho báu đăng nhập có thể lựa chọn trong Chế độ Thân Mẹ Cấp 2")</f>
        <v>Rương kho báu đăng nhập có thể lựa chọn trong Chế độ Thân Mẹ Cấp 2</v>
      </c>
      <c r="G421" s="8" t="str">
        <f>IFERROR(__xludf.DUMMYFUNCTION("GOOGLETRANSLATE(E421,""zh-CN"",""vi"")"),"Nhấp đúp chuột để chọn giải thưởng, sau đó nhấp chuột để tạo phần thưởng.")</f>
        <v>Nhấp đúp chuột để chọn giải thưởng, sau đó nhấp chuột để tạo phần thưởng.</v>
      </c>
      <c r="H421" s="8"/>
      <c r="I421" s="8"/>
      <c r="J421" s="8"/>
    </row>
    <row r="422" ht="21.0" customHeight="1">
      <c r="A422" s="5">
        <v>20.0</v>
      </c>
      <c r="B422" s="6">
        <v>415.0</v>
      </c>
      <c r="C422" s="6">
        <v>1.0</v>
      </c>
      <c r="D422" s="16" t="s">
        <v>687</v>
      </c>
      <c r="E422" s="9" t="s">
        <v>615</v>
      </c>
      <c r="F422" s="8" t="str">
        <f>IFERROR(__xludf.DUMMYFUNCTION("GOOGLETRANSLATE(D422,""zh-CN"",""vi"")"),"Rương kho báu đăng nhập có thể lựa chọn trong Chế độ Thân Mẹ Cấp 3")</f>
        <v>Rương kho báu đăng nhập có thể lựa chọn trong Chế độ Thân Mẹ Cấp 3</v>
      </c>
      <c r="G422" s="8" t="str">
        <f>IFERROR(__xludf.DUMMYFUNCTION("GOOGLETRANSLATE(E422,""zh-CN"",""vi"")"),"Nhấp đúp chuột để chọn giải thưởng, sau đó nhấp chuột để tạo phần thưởng.")</f>
        <v>Nhấp đúp chuột để chọn giải thưởng, sau đó nhấp chuột để tạo phần thưởng.</v>
      </c>
      <c r="H422" s="8"/>
      <c r="I422" s="8"/>
      <c r="J422" s="8"/>
    </row>
    <row r="423" ht="21.0" customHeight="1">
      <c r="A423" s="5">
        <v>20.0</v>
      </c>
      <c r="B423" s="6">
        <v>415.0</v>
      </c>
      <c r="C423" s="6">
        <v>1.0</v>
      </c>
      <c r="D423" s="16" t="s">
        <v>688</v>
      </c>
      <c r="E423" s="9" t="s">
        <v>615</v>
      </c>
      <c r="F423" s="8" t="str">
        <f>IFERROR(__xludf.DUMMYFUNCTION("GOOGLETRANSLATE(D423,""zh-CN"",""vi"")"),"Rương kho báu đăng nhập có thể lựa chọn trong Chế độ Thân Mẹ Cấp 4")</f>
        <v>Rương kho báu đăng nhập có thể lựa chọn trong Chế độ Thân Mẹ Cấp 4</v>
      </c>
      <c r="G423" s="8" t="str">
        <f>IFERROR(__xludf.DUMMYFUNCTION("GOOGLETRANSLATE(E423,""zh-CN"",""vi"")"),"Nhấp đúp chuột để chọn giải thưởng, sau đó nhấp chuột để tạo phần thưởng.")</f>
        <v>Nhấp đúp chuột để chọn giải thưởng, sau đó nhấp chuột để tạo phần thưởng.</v>
      </c>
      <c r="H423" s="8"/>
      <c r="I423" s="8"/>
      <c r="J423" s="8"/>
    </row>
    <row r="424" ht="21.0" customHeight="1">
      <c r="A424" s="5">
        <v>20.0</v>
      </c>
      <c r="B424" s="6">
        <v>415.0</v>
      </c>
      <c r="C424" s="6">
        <v>1.0</v>
      </c>
      <c r="D424" s="16" t="s">
        <v>689</v>
      </c>
      <c r="E424" s="9" t="s">
        <v>615</v>
      </c>
      <c r="F424" s="8" t="str">
        <f>IFERROR(__xludf.DUMMYFUNCTION("GOOGLETRANSLATE(D424,""zh-CN"",""vi"")"),"Rương kho báu có thể lựa chọn trong Thân Mẹ Cấp 1")</f>
        <v>Rương kho báu có thể lựa chọn trong Thân Mẹ Cấp 1</v>
      </c>
      <c r="G424" s="8" t="str">
        <f>IFERROR(__xludf.DUMMYFUNCTION("GOOGLETRANSLATE(E424,""zh-CN"",""vi"")"),"Nhấp đúp chuột để chọn giải thưởng, sau đó nhấp chuột để tạo phần thưởng.")</f>
        <v>Nhấp đúp chuột để chọn giải thưởng, sau đó nhấp chuột để tạo phần thưởng.</v>
      </c>
      <c r="H424" s="8"/>
      <c r="I424" s="8"/>
      <c r="J424" s="8"/>
    </row>
    <row r="425" ht="21.0" customHeight="1">
      <c r="A425" s="5">
        <v>20.0</v>
      </c>
      <c r="B425" s="6">
        <v>415.0</v>
      </c>
      <c r="C425" s="6">
        <v>1.0</v>
      </c>
      <c r="D425" s="16" t="s">
        <v>690</v>
      </c>
      <c r="E425" s="9" t="s">
        <v>615</v>
      </c>
      <c r="F425" s="8" t="str">
        <f>IFERROR(__xludf.DUMMYFUNCTION("GOOGLETRANSLATE(D425,""zh-CN"",""vi"")"),"Rương kho báu có thể lựa chọn trong Thân Mẹ Cấp độ 2")</f>
        <v>Rương kho báu có thể lựa chọn trong Thân Mẹ Cấp độ 2</v>
      </c>
      <c r="G425" s="8" t="str">
        <f>IFERROR(__xludf.DUMMYFUNCTION("GOOGLETRANSLATE(E425,""zh-CN"",""vi"")"),"Nhấp đúp chuột để chọn giải thưởng, sau đó nhấp chuột để tạo phần thưởng.")</f>
        <v>Nhấp đúp chuột để chọn giải thưởng, sau đó nhấp chuột để tạo phần thưởng.</v>
      </c>
      <c r="H425" s="8"/>
      <c r="I425" s="8"/>
      <c r="J425" s="8"/>
    </row>
    <row r="426" ht="21.0" customHeight="1">
      <c r="A426" s="5">
        <v>5.0</v>
      </c>
      <c r="B426" s="6">
        <v>501.0</v>
      </c>
      <c r="C426" s="6">
        <v>1.0</v>
      </c>
      <c r="D426" s="16" t="s">
        <v>691</v>
      </c>
      <c r="E426" s="9" t="s">
        <v>538</v>
      </c>
      <c r="F426" s="8" t="str">
        <f>IFERROR(__xludf.DUMMYFUNCTION("GOOGLETRANSLATE(D426,""zh-CN"",""vi"")"),"Hộp quà màu xanh lá cây (đã bỏ đi)")</f>
        <v>Hộp quà màu xanh lá cây (đã bỏ đi)</v>
      </c>
      <c r="G426" s="8" t="str">
        <f>IFERROR(__xludf.DUMMYFUNCTION("GOOGLETRANSLATE(E426,""zh-CN"",""vi"")"),"Nhấp đúp chuột sẽ nhận được phần thưởng với một xác suất nhất định.")</f>
        <v>Nhấp đúp chuột sẽ nhận được phần thưởng với một xác suất nhất định.</v>
      </c>
      <c r="H426" s="8"/>
      <c r="I426" s="8"/>
      <c r="J426" s="8"/>
    </row>
    <row r="427" ht="21.0" customHeight="1">
      <c r="A427" s="5">
        <v>5.0</v>
      </c>
      <c r="B427" s="6">
        <v>502.0</v>
      </c>
      <c r="C427" s="6">
        <v>1.0</v>
      </c>
      <c r="D427" s="16" t="s">
        <v>692</v>
      </c>
      <c r="E427" s="9" t="s">
        <v>538</v>
      </c>
      <c r="F427" s="8" t="str">
        <f>IFERROR(__xludf.DUMMYFUNCTION("GOOGLETRANSLATE(D427,""zh-CN"",""vi"")"),"Hộp quà màu xanh (đã bỏ đi)")</f>
        <v>Hộp quà màu xanh (đã bỏ đi)</v>
      </c>
      <c r="G427" s="8" t="str">
        <f>IFERROR(__xludf.DUMMYFUNCTION("GOOGLETRANSLATE(E427,""zh-CN"",""vi"")"),"Nhấp đúp chuột sẽ nhận được phần thưởng với một xác suất nhất định.")</f>
        <v>Nhấp đúp chuột sẽ nhận được phần thưởng với một xác suất nhất định.</v>
      </c>
      <c r="H427" s="8"/>
      <c r="I427" s="8"/>
      <c r="J427" s="8"/>
    </row>
    <row r="428" ht="21.0" customHeight="1">
      <c r="A428" s="5">
        <v>5.0</v>
      </c>
      <c r="B428" s="6">
        <v>503.0</v>
      </c>
      <c r="C428" s="6">
        <v>1.0</v>
      </c>
      <c r="D428" s="16" t="s">
        <v>693</v>
      </c>
      <c r="E428" s="9" t="s">
        <v>538</v>
      </c>
      <c r="F428" s="8" t="str">
        <f>IFERROR(__xludf.DUMMYFUNCTION("GOOGLETRANSLATE(D428,""zh-CN"",""vi"")"),"Hộp quà màu tím (đã bỏ đi)")</f>
        <v>Hộp quà màu tím (đã bỏ đi)</v>
      </c>
      <c r="G428" s="8" t="str">
        <f>IFERROR(__xludf.DUMMYFUNCTION("GOOGLETRANSLATE(E428,""zh-CN"",""vi"")"),"Nhấp đúp chuột sẽ nhận được phần thưởng với một xác suất nhất định.")</f>
        <v>Nhấp đúp chuột sẽ nhận được phần thưởng với một xác suất nhất định.</v>
      </c>
      <c r="H428" s="8"/>
      <c r="I428" s="8"/>
      <c r="J428" s="8"/>
    </row>
    <row r="429" ht="21.0" customHeight="1">
      <c r="A429" s="5">
        <v>5.0</v>
      </c>
      <c r="B429" s="6">
        <v>506.0</v>
      </c>
      <c r="C429" s="6">
        <v>1.0</v>
      </c>
      <c r="D429" s="42" t="s">
        <v>694</v>
      </c>
      <c r="E429" s="9" t="s">
        <v>695</v>
      </c>
      <c r="F429" s="8" t="str">
        <f>IFERROR(__xludf.DUMMYFUNCTION("GOOGLETRANSLATE(D429,""zh-CN"",""vi"")"),"Gói quà tặng sân trong cấp độ 17")</f>
        <v>Gói quà tặng sân trong cấp độ 17</v>
      </c>
      <c r="G429" s="8" t="str">
        <f>IFERROR(__xludf.DUMMYFUNCTION("GOOGLETRANSLATE(E429,""zh-CN"",""vi"")"),"Nhấp đúp chuột có khả năng tạo ra vật phẩm loại sản xuất [Giá để dưa].")</f>
        <v>Nhấp đúp chuột có khả năng tạo ra vật phẩm loại sản xuất [Giá để dưa].</v>
      </c>
      <c r="H429" s="8"/>
      <c r="I429" s="8"/>
      <c r="J429" s="8"/>
    </row>
    <row r="430" ht="21.0" customHeight="1">
      <c r="A430" s="5">
        <v>5.0</v>
      </c>
      <c r="B430" s="6">
        <v>506.0</v>
      </c>
      <c r="C430" s="6">
        <v>1.0</v>
      </c>
      <c r="D430" s="42" t="s">
        <v>696</v>
      </c>
      <c r="E430" s="9" t="s">
        <v>697</v>
      </c>
      <c r="F430" s="8" t="str">
        <f>IFERROR(__xludf.DUMMYFUNCTION("GOOGLETRANSLATE(D430,""zh-CN"",""vi"")"),"Gói quà tặng sân trong cấp độ 21")</f>
        <v>Gói quà tặng sân trong cấp độ 21</v>
      </c>
      <c r="G430" s="8" t="str">
        <f>IFERROR(__xludf.DUMMYFUNCTION("GOOGLETRANSLATE(E430,""zh-CN"",""vi"")"),"Nhấp đúp chuột có khả năng tạo ra vật phẩm thuộc loại sản xuất [Xe đẩy vệ sinh].")</f>
        <v>Nhấp đúp chuột có khả năng tạo ra vật phẩm thuộc loại sản xuất [Xe đẩy vệ sinh].</v>
      </c>
      <c r="H430" s="8"/>
      <c r="I430" s="8"/>
      <c r="J430" s="8"/>
    </row>
    <row r="431" ht="21.0" customHeight="1">
      <c r="A431" s="5">
        <v>5.0</v>
      </c>
      <c r="B431" s="6">
        <v>506.0</v>
      </c>
      <c r="C431" s="6">
        <v>1.0</v>
      </c>
      <c r="D431" s="42" t="s">
        <v>698</v>
      </c>
      <c r="E431" s="9" t="s">
        <v>699</v>
      </c>
      <c r="F431" s="8" t="str">
        <f>IFERROR(__xludf.DUMMYFUNCTION("GOOGLETRANSLATE(D431,""zh-CN"",""vi"")"),"Gói quà tặng sân trong cấp độ 23")</f>
        <v>Gói quà tặng sân trong cấp độ 23</v>
      </c>
      <c r="G431" s="8" t="str">
        <f>IFERROR(__xludf.DUMMYFUNCTION("GOOGLETRANSLATE(E431,""zh-CN"",""vi"")"),"Nhấp đúp chuột có cơ hội tạo ra một vật phẩm liên quan đến sản xuất: [Tủ dụng cụ làm đẹp].")</f>
        <v>Nhấp đúp chuột có cơ hội tạo ra một vật phẩm liên quan đến sản xuất: [Tủ dụng cụ làm đẹp].</v>
      </c>
      <c r="H431" s="8"/>
      <c r="I431" s="8"/>
      <c r="J431" s="8"/>
    </row>
    <row r="432" ht="21.0" customHeight="1">
      <c r="A432" s="5">
        <v>5.0</v>
      </c>
      <c r="B432" s="6">
        <v>506.0</v>
      </c>
      <c r="C432" s="6">
        <v>1.0</v>
      </c>
      <c r="D432" s="42" t="s">
        <v>700</v>
      </c>
      <c r="E432" s="9" t="s">
        <v>701</v>
      </c>
      <c r="F432" s="8" t="str">
        <f>IFERROR(__xludf.DUMMYFUNCTION("GOOGLETRANSLATE(D432,""zh-CN"",""vi"")"),"Gói quà tặng sân trong cấp độ 25")</f>
        <v>Gói quà tặng sân trong cấp độ 25</v>
      </c>
      <c r="G432" s="8" t="str">
        <f>IFERROR(__xludf.DUMMYFUNCTION("GOOGLETRANSLATE(E432,""zh-CN"",""vi"")"),"Nhấp đúp chuột có cơ hội tạo ra vật phẩm chế tạo [Túi của Tiểu Mai].")</f>
        <v>Nhấp đúp chuột có cơ hội tạo ra vật phẩm chế tạo [Túi của Tiểu Mai].</v>
      </c>
      <c r="H432" s="8"/>
      <c r="I432" s="8"/>
      <c r="J432" s="8"/>
    </row>
    <row r="433" ht="21.0" customHeight="1">
      <c r="A433" s="5">
        <v>5.0</v>
      </c>
      <c r="B433" s="6">
        <v>506.0</v>
      </c>
      <c r="C433" s="6">
        <v>1.0</v>
      </c>
      <c r="D433" s="42" t="s">
        <v>702</v>
      </c>
      <c r="E433" s="9" t="s">
        <v>703</v>
      </c>
      <c r="F433" s="8" t="str">
        <f>IFERROR(__xludf.DUMMYFUNCTION("GOOGLETRANSLATE(D433,""zh-CN"",""vi"")"),"Gói quà tặng sân trong cấp độ 27")</f>
        <v>Gói quà tặng sân trong cấp độ 27</v>
      </c>
      <c r="G433" s="8" t="str">
        <f>IFERROR(__xludf.DUMMYFUNCTION("GOOGLETRANSLATE(E433,""zh-CN"",""vi"")"),"Nhấp đúp chuột có thể tạo ra một vật phẩm thuộc loại sản xuất: Tủ quần áo.")</f>
        <v>Nhấp đúp chuột có thể tạo ra một vật phẩm thuộc loại sản xuất: Tủ quần áo.</v>
      </c>
      <c r="H433" s="8"/>
      <c r="I433" s="8"/>
      <c r="J433" s="8"/>
    </row>
    <row r="434" ht="21.0" customHeight="1">
      <c r="A434" s="5">
        <v>5.0</v>
      </c>
      <c r="B434" s="6">
        <v>506.0</v>
      </c>
      <c r="C434" s="6">
        <v>1.0</v>
      </c>
      <c r="D434" s="42" t="s">
        <v>704</v>
      </c>
      <c r="E434" s="9" t="s">
        <v>705</v>
      </c>
      <c r="F434" s="8" t="str">
        <f>IFERROR(__xludf.DUMMYFUNCTION("GOOGLETRANSLATE(D434,""zh-CN"",""vi"")"),"Gói quà tặng sân trong cấp độ 29")</f>
        <v>Gói quà tặng sân trong cấp độ 29</v>
      </c>
      <c r="G434" s="8" t="str">
        <f>IFERROR(__xludf.DUMMYFUNCTION("GOOGLETRANSLATE(E434,""zh-CN"",""vi"")"),"Nhấp đúp chuột có khả năng tạo ra vật phẩm thuộc loại sản xuất [Nhà kính trồng cây].")</f>
        <v>Nhấp đúp chuột có khả năng tạo ra vật phẩm thuộc loại sản xuất [Nhà kính trồng cây].</v>
      </c>
      <c r="H434" s="8"/>
      <c r="I434" s="8"/>
      <c r="J434" s="8"/>
    </row>
    <row r="435" ht="21.0" customHeight="1">
      <c r="A435" s="5">
        <v>5.0</v>
      </c>
      <c r="B435" s="6">
        <v>506.0</v>
      </c>
      <c r="C435" s="6">
        <v>1.0</v>
      </c>
      <c r="D435" s="42" t="s">
        <v>706</v>
      </c>
      <c r="E435" s="9" t="s">
        <v>707</v>
      </c>
      <c r="F435" s="8" t="str">
        <f>IFERROR(__xludf.DUMMYFUNCTION("GOOGLETRANSLATE(D435,""zh-CN"",""vi"")"),"Gói quà tặng sân trong tầng 31")</f>
        <v>Gói quà tặng sân trong tầng 31</v>
      </c>
      <c r="G435" s="8" t="str">
        <f>IFERROR(__xludf.DUMMYFUNCTION("GOOGLETRANSLATE(E435,""zh-CN"",""vi"")"),"Nhấp đúp chuột có cơ hội tạo ra một vật phẩm chế tạo: một hộp đựng trang sức.")</f>
        <v>Nhấp đúp chuột có cơ hội tạo ra một vật phẩm chế tạo: một hộp đựng trang sức.</v>
      </c>
      <c r="H435" s="8"/>
      <c r="I435" s="8"/>
      <c r="J435" s="8"/>
    </row>
    <row r="436" ht="21.0" customHeight="1">
      <c r="A436" s="5">
        <v>5.0</v>
      </c>
      <c r="B436" s="6">
        <v>506.0</v>
      </c>
      <c r="C436" s="6">
        <v>1.0</v>
      </c>
      <c r="D436" s="42" t="s">
        <v>708</v>
      </c>
      <c r="E436" s="9" t="s">
        <v>709</v>
      </c>
      <c r="F436" s="8" t="str">
        <f>IFERROR(__xludf.DUMMYFUNCTION("GOOGLETRANSLATE(D436,""zh-CN"",""vi"")"),"Gói quà tặng sân trong cấp độ 33")</f>
        <v>Gói quà tặng sân trong cấp độ 33</v>
      </c>
      <c r="G436" s="8" t="str">
        <f>IFERROR(__xludf.DUMMYFUNCTION("GOOGLETRANSLATE(E436,""zh-CN"",""vi"")"),"Nhấp đúp chuột có thể tạo ra một vật phẩm thuộc loại sản xuất: một kiện hàng giao hàng.")</f>
        <v>Nhấp đúp chuột có thể tạo ra một vật phẩm thuộc loại sản xuất: một kiện hàng giao hàng.</v>
      </c>
      <c r="H436" s="8"/>
      <c r="I436" s="8"/>
      <c r="J436" s="8"/>
    </row>
    <row r="437" ht="21.0" customHeight="1">
      <c r="A437" s="5">
        <v>5.0</v>
      </c>
      <c r="B437" s="6">
        <v>506.0</v>
      </c>
      <c r="C437" s="6">
        <v>1.0</v>
      </c>
      <c r="D437" s="42" t="s">
        <v>710</v>
      </c>
      <c r="E437" s="9" t="s">
        <v>711</v>
      </c>
      <c r="F437" s="8" t="str">
        <f>IFERROR(__xludf.DUMMYFUNCTION("GOOGLETRANSLATE(D437,""zh-CN"",""vi"")"),"Gói quà tặng sân trong cấp độ 35")</f>
        <v>Gói quà tặng sân trong cấp độ 35</v>
      </c>
      <c r="G437" s="8" t="str">
        <f>IFERROR(__xludf.DUMMYFUNCTION("GOOGLETRANSLATE(E437,""zh-CN"",""vi"")"),"Nhấp đúp chuột có khả năng tạo ra vật phẩm thuộc loại sản xuất [Tủ đông].")</f>
        <v>Nhấp đúp chuột có khả năng tạo ra vật phẩm thuộc loại sản xuất [Tủ đông].</v>
      </c>
      <c r="H437" s="8"/>
      <c r="I437" s="8"/>
      <c r="J437" s="8"/>
    </row>
    <row r="438" ht="21.0" customHeight="1">
      <c r="A438" s="5">
        <v>5.0</v>
      </c>
      <c r="B438" s="6">
        <v>506.0</v>
      </c>
      <c r="C438" s="6">
        <v>1.0</v>
      </c>
      <c r="D438" s="42" t="s">
        <v>712</v>
      </c>
      <c r="E438" s="9" t="s">
        <v>713</v>
      </c>
      <c r="F438" s="8" t="str">
        <f>IFERROR(__xludf.DUMMYFUNCTION("GOOGLETRANSLATE(D438,""zh-CN"",""vi"")"),"Gói quà tặng sân trong cấp độ 37")</f>
        <v>Gói quà tặng sân trong cấp độ 37</v>
      </c>
      <c r="G438" s="8" t="str">
        <f>IFERROR(__xludf.DUMMYFUNCTION("GOOGLETRANSLATE(E438,""zh-CN"",""vi"")"),"Nhấp đúp chuột có khả năng tạo ra một vật phẩm thuộc loại sản xuất: Máy làm bánh.")</f>
        <v>Nhấp đúp chuột có khả năng tạo ra một vật phẩm thuộc loại sản xuất: Máy làm bánh.</v>
      </c>
      <c r="H438" s="8"/>
      <c r="I438" s="8"/>
      <c r="J438" s="8"/>
    </row>
    <row r="439" ht="21.0" customHeight="1">
      <c r="A439" s="5">
        <v>5.0</v>
      </c>
      <c r="B439" s="6">
        <v>506.0</v>
      </c>
      <c r="C439" s="6">
        <v>1.0</v>
      </c>
      <c r="D439" s="42" t="s">
        <v>714</v>
      </c>
      <c r="E439" s="9" t="s">
        <v>715</v>
      </c>
      <c r="F439" s="8" t="str">
        <f>IFERROR(__xludf.DUMMYFUNCTION("GOOGLETRANSLATE(D439,""zh-CN"",""vi"")"),"Gói quà tặng sân trong cấp độ 39")</f>
        <v>Gói quà tặng sân trong cấp độ 39</v>
      </c>
      <c r="G439" s="8" t="str">
        <f>IFERROR(__xludf.DUMMYFUNCTION("GOOGLETRANSLATE(E439,""zh-CN"",""vi"")"),"Nhấp đúp chuột có cơ hội tạo ra vật phẩm chất lượng sản xuất [Lò nướng BBQ].")</f>
        <v>Nhấp đúp chuột có cơ hội tạo ra vật phẩm chất lượng sản xuất [Lò nướng BBQ].</v>
      </c>
      <c r="H439" s="8"/>
      <c r="I439" s="8"/>
      <c r="J439" s="8"/>
    </row>
    <row r="440" ht="21.0" customHeight="1">
      <c r="A440" s="5">
        <v>5.0</v>
      </c>
      <c r="B440" s="6">
        <v>509.0</v>
      </c>
      <c r="C440" s="6">
        <v>1.0</v>
      </c>
      <c r="D440" s="16" t="s">
        <v>716</v>
      </c>
      <c r="E440" s="9" t="s">
        <v>717</v>
      </c>
      <c r="F440" s="8" t="str">
        <f>IFERROR(__xludf.DUMMYFUNCTION("GOOGLETRANSLATE(D440,""zh-CN"",""vi"")"),"Gói quà tặng kèm (nhỏ)")</f>
        <v>Gói quà tặng kèm (nhỏ)</v>
      </c>
      <c r="G440" s="8" t="str">
        <f>IFERROR(__xludf.DUMMYFUNCTION("GOOGLETRANSLATE(E440,""zh-CN"",""vi"")"),"Nhấp đúp chuột sẽ tạo ra ngẫu nhiên một vật phẩm tăng cường.")</f>
        <v>Nhấp đúp chuột sẽ tạo ra ngẫu nhiên một vật phẩm tăng cường.</v>
      </c>
      <c r="H440" s="8"/>
      <c r="I440" s="8"/>
      <c r="J440" s="8"/>
    </row>
    <row r="441" ht="21.0" customHeight="1">
      <c r="A441" s="5">
        <v>5.0</v>
      </c>
      <c r="B441" s="6">
        <v>509.0</v>
      </c>
      <c r="C441" s="6">
        <v>1.0</v>
      </c>
      <c r="D441" s="16" t="s">
        <v>718</v>
      </c>
      <c r="E441" s="9" t="s">
        <v>717</v>
      </c>
      <c r="F441" s="8" t="str">
        <f>IFERROR(__xludf.DUMMYFUNCTION("GOOGLETRANSLATE(D441,""zh-CN"",""vi"")"),"Gói quà tặng kèm (Cỡ trung bình)")</f>
        <v>Gói quà tặng kèm (Cỡ trung bình)</v>
      </c>
      <c r="G441" s="8" t="str">
        <f>IFERROR(__xludf.DUMMYFUNCTION("GOOGLETRANSLATE(E441,""zh-CN"",""vi"")"),"Nhấp đúp chuột sẽ tạo ra ngẫu nhiên một vật phẩm tăng cường.")</f>
        <v>Nhấp đúp chuột sẽ tạo ra ngẫu nhiên một vật phẩm tăng cường.</v>
      </c>
      <c r="H441" s="8"/>
      <c r="I441" s="8"/>
      <c r="J441" s="8"/>
    </row>
    <row r="442" ht="21.0" customHeight="1">
      <c r="A442" s="5">
        <v>5.0</v>
      </c>
      <c r="B442" s="6">
        <v>509.0</v>
      </c>
      <c r="C442" s="6">
        <v>1.0</v>
      </c>
      <c r="D442" s="16" t="s">
        <v>719</v>
      </c>
      <c r="E442" s="9" t="s">
        <v>717</v>
      </c>
      <c r="F442" s="8" t="str">
        <f>IFERROR(__xludf.DUMMYFUNCTION("GOOGLETRANSLATE(D442,""zh-CN"",""vi"")"),"Gói quà tặng lớn")</f>
        <v>Gói quà tặng lớn</v>
      </c>
      <c r="G442" s="8" t="str">
        <f>IFERROR(__xludf.DUMMYFUNCTION("GOOGLETRANSLATE(E442,""zh-CN"",""vi"")"),"Nhấp đúp chuột sẽ tạo ra ngẫu nhiên một vật phẩm tăng cường.")</f>
        <v>Nhấp đúp chuột sẽ tạo ra ngẫu nhiên một vật phẩm tăng cường.</v>
      </c>
      <c r="H442" s="8"/>
      <c r="I442" s="8"/>
      <c r="J442" s="8"/>
    </row>
    <row r="443" ht="21.0" customHeight="1">
      <c r="A443" s="5">
        <v>5.0</v>
      </c>
      <c r="B443" s="6">
        <v>510.0</v>
      </c>
      <c r="C443" s="6">
        <v>1.0</v>
      </c>
      <c r="D443" s="16" t="s">
        <v>720</v>
      </c>
      <c r="E443" s="9" t="s">
        <v>721</v>
      </c>
      <c r="F443" s="8" t="str">
        <f>IFERROR(__xludf.DUMMYFUNCTION("GOOGLETRANSLATE(D443,""zh-CN"",""vi"")"),"Bộ quà tặng tăng tốc (cỡ nhỏ)")</f>
        <v>Bộ quà tặng tăng tốc (cỡ nhỏ)</v>
      </c>
      <c r="G443" s="8" t="str">
        <f>IFERROR(__xludf.DUMMYFUNCTION("GOOGLETRANSLATE(E443,""zh-CN"",""vi"")"),"Nhấp đúp chuột sẽ cho bạn cơ hội nhận được các vật phẩm tăng tốc.")</f>
        <v>Nhấp đúp chuột sẽ cho bạn cơ hội nhận được các vật phẩm tăng tốc.</v>
      </c>
      <c r="H443" s="8"/>
      <c r="I443" s="8"/>
      <c r="J443" s="8"/>
    </row>
    <row r="444" ht="21.0" customHeight="1">
      <c r="A444" s="5">
        <v>5.0</v>
      </c>
      <c r="B444" s="6">
        <v>510.0</v>
      </c>
      <c r="C444" s="6">
        <v>1.0</v>
      </c>
      <c r="D444" s="16" t="s">
        <v>722</v>
      </c>
      <c r="E444" s="9" t="s">
        <v>721</v>
      </c>
      <c r="F444" s="8" t="str">
        <f>IFERROR(__xludf.DUMMYFUNCTION("GOOGLETRANSLATE(D444,""zh-CN"",""vi"")"),"Bộ quà tặng tăng tốc (Cỡ trung bình)")</f>
        <v>Bộ quà tặng tăng tốc (Cỡ trung bình)</v>
      </c>
      <c r="G444" s="8" t="str">
        <f>IFERROR(__xludf.DUMMYFUNCTION("GOOGLETRANSLATE(E444,""zh-CN"",""vi"")"),"Nhấp đúp chuột sẽ cho bạn cơ hội nhận được các vật phẩm tăng tốc.")</f>
        <v>Nhấp đúp chuột sẽ cho bạn cơ hội nhận được các vật phẩm tăng tốc.</v>
      </c>
      <c r="H444" s="8"/>
      <c r="I444" s="8"/>
      <c r="J444" s="8"/>
    </row>
    <row r="445" ht="21.0" customHeight="1">
      <c r="A445" s="5">
        <v>5.0</v>
      </c>
      <c r="B445" s="6">
        <v>510.0</v>
      </c>
      <c r="C445" s="6">
        <v>1.0</v>
      </c>
      <c r="D445" s="16" t="s">
        <v>723</v>
      </c>
      <c r="E445" s="9" t="s">
        <v>721</v>
      </c>
      <c r="F445" s="8" t="str">
        <f>IFERROR(__xludf.DUMMYFUNCTION("GOOGLETRANSLATE(D445,""zh-CN"",""vi"")"),"Bộ quà tặng tăng tốc (Cỡ lớn)")</f>
        <v>Bộ quà tặng tăng tốc (Cỡ lớn)</v>
      </c>
      <c r="G445" s="8" t="str">
        <f>IFERROR(__xludf.DUMMYFUNCTION("GOOGLETRANSLATE(E445,""zh-CN"",""vi"")"),"Nhấp đúp chuột sẽ cho bạn cơ hội nhận được các vật phẩm tăng tốc.")</f>
        <v>Nhấp đúp chuột sẽ cho bạn cơ hội nhận được các vật phẩm tăng tốc.</v>
      </c>
      <c r="H445" s="8"/>
      <c r="I445" s="8"/>
      <c r="J445" s="8"/>
    </row>
    <row r="446" ht="21.0" customHeight="1">
      <c r="A446" s="5">
        <v>5.0</v>
      </c>
      <c r="B446" s="6">
        <v>511.0</v>
      </c>
      <c r="C446" s="6">
        <v>1.0</v>
      </c>
      <c r="D446" s="16" t="s">
        <v>724</v>
      </c>
      <c r="E446" s="9" t="s">
        <v>725</v>
      </c>
      <c r="F446" s="8" t="str">
        <f>IFERROR(__xludf.DUMMYFUNCTION("GOOGLETRANSLATE(D446,""zh-CN"",""vi"")"),"Hộp quà nhỏ (chia làm hai phần)")</f>
        <v>Hộp quà nhỏ (chia làm hai phần)</v>
      </c>
      <c r="G446" s="8" t="str">
        <f>IFERROR(__xludf.DUMMYFUNCTION("GOOGLETRANSLATE(E446,""zh-CN"",""vi"")"),"Nhấp đúp chuột sẽ tạo ra một vật phẩm tách rời ngẫu nhiên.")</f>
        <v>Nhấp đúp chuột sẽ tạo ra một vật phẩm tách rời ngẫu nhiên.</v>
      </c>
      <c r="H446" s="8"/>
      <c r="I446" s="8"/>
      <c r="J446" s="8"/>
    </row>
    <row r="447" ht="21.0" customHeight="1">
      <c r="A447" s="5">
        <v>5.0</v>
      </c>
      <c r="B447" s="6">
        <v>511.0</v>
      </c>
      <c r="C447" s="6">
        <v>1.0</v>
      </c>
      <c r="D447" s="16" t="s">
        <v>726</v>
      </c>
      <c r="E447" s="9" t="s">
        <v>725</v>
      </c>
      <c r="F447" s="8" t="str">
        <f>IFERROR(__xludf.DUMMYFUNCTION("GOOGLETRANSLATE(D447,""zh-CN"",""vi"")"),"Gói quà tặng chia đôi (Phần 2)")</f>
        <v>Gói quà tặng chia đôi (Phần 2)</v>
      </c>
      <c r="G447" s="8" t="str">
        <f>IFERROR(__xludf.DUMMYFUNCTION("GOOGLETRANSLATE(E447,""zh-CN"",""vi"")"),"Nhấp đúp chuột sẽ tạo ra một vật phẩm tách rời ngẫu nhiên.")</f>
        <v>Nhấp đúp chuột sẽ tạo ra một vật phẩm tách rời ngẫu nhiên.</v>
      </c>
      <c r="H447" s="8"/>
      <c r="I447" s="8"/>
      <c r="J447" s="8"/>
    </row>
    <row r="448" ht="21.0" customHeight="1">
      <c r="A448" s="5">
        <v>5.0</v>
      </c>
      <c r="B448" s="6">
        <v>511.0</v>
      </c>
      <c r="C448" s="6">
        <v>1.0</v>
      </c>
      <c r="D448" s="16" t="s">
        <v>727</v>
      </c>
      <c r="E448" s="9" t="s">
        <v>725</v>
      </c>
      <c r="F448" s="8" t="str">
        <f>IFERROR(__xludf.DUMMYFUNCTION("GOOGLETRANSLATE(D448,""zh-CN"",""vi"")"),"Bộ quà tặng chia đôi (Cỡ lớn)")</f>
        <v>Bộ quà tặng chia đôi (Cỡ lớn)</v>
      </c>
      <c r="G448" s="8" t="str">
        <f>IFERROR(__xludf.DUMMYFUNCTION("GOOGLETRANSLATE(E448,""zh-CN"",""vi"")"),"Nhấp đúp chuột sẽ tạo ra một vật phẩm tách rời ngẫu nhiên.")</f>
        <v>Nhấp đúp chuột sẽ tạo ra một vật phẩm tách rời ngẫu nhiên.</v>
      </c>
      <c r="H448" s="8"/>
      <c r="I448" s="8"/>
      <c r="J448" s="8"/>
    </row>
    <row r="449" ht="21.0" customHeight="1">
      <c r="A449" s="5">
        <v>5.0</v>
      </c>
      <c r="B449" s="6">
        <v>512.0</v>
      </c>
      <c r="C449" s="6">
        <v>1.0</v>
      </c>
      <c r="D449" s="16" t="s">
        <v>728</v>
      </c>
      <c r="E449" s="9" t="s">
        <v>729</v>
      </c>
      <c r="F449" s="8" t="str">
        <f>IFERROR(__xludf.DUMMYFUNCTION("GOOGLETRANSLATE(D449,""zh-CN"",""vi"")"),"Bộ quà tặng tiện dụng (cỡ nhỏ)")</f>
        <v>Bộ quà tặng tiện dụng (cỡ nhỏ)</v>
      </c>
      <c r="G449" s="8" t="str">
        <f>IFERROR(__xludf.DUMMYFUNCTION("GOOGLETRANSLATE(E449,""zh-CN"",""vi"")"),"Nhấp đúp chuột sẽ tạo ra ngẫu nhiên nhiều vật phẩm chức năng khác nhau.")</f>
        <v>Nhấp đúp chuột sẽ tạo ra ngẫu nhiên nhiều vật phẩm chức năng khác nhau.</v>
      </c>
      <c r="H449" s="8"/>
      <c r="I449" s="8"/>
      <c r="J449" s="8"/>
    </row>
    <row r="450" ht="21.0" customHeight="1">
      <c r="A450" s="5">
        <v>5.0</v>
      </c>
      <c r="B450" s="6">
        <v>512.0</v>
      </c>
      <c r="C450" s="6">
        <v>1.0</v>
      </c>
      <c r="D450" s="16" t="s">
        <v>730</v>
      </c>
      <c r="E450" s="9" t="s">
        <v>729</v>
      </c>
      <c r="F450" s="8" t="str">
        <f>IFERROR(__xludf.DUMMYFUNCTION("GOOGLETRANSLATE(D450,""zh-CN"",""vi"")"),"Gói tính năng (Trung bình)")</f>
        <v>Gói tính năng (Trung bình)</v>
      </c>
      <c r="G450" s="8" t="str">
        <f>IFERROR(__xludf.DUMMYFUNCTION("GOOGLETRANSLATE(E450,""zh-CN"",""vi"")"),"Nhấp đúp chuột sẽ tạo ra ngẫu nhiên nhiều vật phẩm chức năng khác nhau.")</f>
        <v>Nhấp đúp chuột sẽ tạo ra ngẫu nhiên nhiều vật phẩm chức năng khác nhau.</v>
      </c>
      <c r="H450" s="8"/>
      <c r="I450" s="8"/>
      <c r="J450" s="8"/>
    </row>
    <row r="451" ht="21.0" customHeight="1">
      <c r="A451" s="5">
        <v>5.0</v>
      </c>
      <c r="B451" s="6">
        <v>512.0</v>
      </c>
      <c r="C451" s="6">
        <v>1.0</v>
      </c>
      <c r="D451" s="16" t="s">
        <v>731</v>
      </c>
      <c r="E451" s="9" t="s">
        <v>729</v>
      </c>
      <c r="F451" s="8" t="str">
        <f>IFERROR(__xludf.DUMMYFUNCTION("GOOGLETRANSLATE(D451,""zh-CN"",""vi"")"),"Gói tính năng (Lớn)")</f>
        <v>Gói tính năng (Lớn)</v>
      </c>
      <c r="G451" s="8" t="str">
        <f>IFERROR(__xludf.DUMMYFUNCTION("GOOGLETRANSLATE(E451,""zh-CN"",""vi"")"),"Nhấp đúp chuột sẽ tạo ra ngẫu nhiên nhiều vật phẩm chức năng khác nhau.")</f>
        <v>Nhấp đúp chuột sẽ tạo ra ngẫu nhiên nhiều vật phẩm chức năng khác nhau.</v>
      </c>
      <c r="H451" s="8"/>
      <c r="I451" s="8"/>
      <c r="J451" s="8"/>
    </row>
    <row r="452" ht="21.0" customHeight="1">
      <c r="A452" s="5">
        <v>5.0</v>
      </c>
      <c r="B452" s="6">
        <v>513.0</v>
      </c>
      <c r="C452" s="6">
        <v>1.0</v>
      </c>
      <c r="D452" s="16" t="s">
        <v>732</v>
      </c>
      <c r="E452" s="9" t="s">
        <v>733</v>
      </c>
      <c r="F452" s="8" t="str">
        <f>IFERROR(__xludf.DUMMYFUNCTION("GOOGLETRANSLATE(D452,""zh-CN"",""vi"")"),"Gói Đặc Biệt (Rút thăm may mắn)")</f>
        <v>Gói Đặc Biệt (Rút thăm may mắn)</v>
      </c>
      <c r="G452" s="8" t="str">
        <f>IFERROR(__xludf.DUMMYFUNCTION("GOOGLETRANSLATE(E452,""zh-CN"",""vi"")"),"Nhấp đúp chuột sẽ tạo ra ngẫu nhiên một vật phẩm có chức năng.")</f>
        <v>Nhấp đúp chuột sẽ tạo ra ngẫu nhiên một vật phẩm có chức năng.</v>
      </c>
      <c r="H452" s="8"/>
      <c r="I452" s="8"/>
      <c r="J452" s="8"/>
    </row>
    <row r="453" ht="21.0" customHeight="1">
      <c r="A453" s="5">
        <v>5.0</v>
      </c>
      <c r="B453" s="6">
        <v>513.0</v>
      </c>
      <c r="C453" s="6">
        <v>1.0</v>
      </c>
      <c r="D453" s="16" t="s">
        <v>734</v>
      </c>
      <c r="E453" s="9" t="s">
        <v>735</v>
      </c>
      <c r="F453" s="8" t="str">
        <f>IFERROR(__xludf.DUMMYFUNCTION("GOOGLETRANSLATE(D453,""zh-CN"",""vi"")"),"Gói quà tăng cường sức bền (Rút thăm may mắn)")</f>
        <v>Gói quà tăng cường sức bền (Rút thăm may mắn)</v>
      </c>
      <c r="G453" s="8" t="str">
        <f>IFERROR(__xludf.DUMMYFUNCTION("GOOGLETRANSLATE(E453,""zh-CN"",""vi"")"),"Nhấp đúp chuột sẽ có cơ hội nhận được vật phẩm tăng sức bền.")</f>
        <v>Nhấp đúp chuột sẽ có cơ hội nhận được vật phẩm tăng sức bền.</v>
      </c>
      <c r="H453" s="8"/>
      <c r="I453" s="8"/>
      <c r="J453" s="8"/>
    </row>
    <row r="454" ht="21.0" customHeight="1">
      <c r="A454" s="5">
        <v>5.0</v>
      </c>
      <c r="B454" s="6">
        <v>513.0</v>
      </c>
      <c r="C454" s="6">
        <v>1.0</v>
      </c>
      <c r="D454" s="16" t="s">
        <v>736</v>
      </c>
      <c r="E454" s="9" t="s">
        <v>735</v>
      </c>
      <c r="F454" s="8" t="str">
        <f>IFERROR(__xludf.DUMMYFUNCTION("GOOGLETRANSLATE(D454,""zh-CN"",""vi"")"),"Đèn lồng Qixi Kongming")</f>
        <v>Đèn lồng Qixi Kongming</v>
      </c>
      <c r="G454" s="8" t="str">
        <f>IFERROR(__xludf.DUMMYFUNCTION("GOOGLETRANSLATE(E454,""zh-CN"",""vi"")"),"Nhấp đúp chuột sẽ có cơ hội nhận được vật phẩm tăng sức bền.")</f>
        <v>Nhấp đúp chuột sẽ có cơ hội nhận được vật phẩm tăng sức bền.</v>
      </c>
      <c r="H454" s="8"/>
      <c r="I454" s="8"/>
      <c r="J454" s="8"/>
    </row>
    <row r="455" ht="21.75" customHeight="1">
      <c r="A455" s="5">
        <v>5.0</v>
      </c>
      <c r="B455" s="6">
        <v>510.0</v>
      </c>
      <c r="C455" s="6">
        <v>1.0</v>
      </c>
      <c r="D455" s="16" t="s">
        <v>737</v>
      </c>
      <c r="E455" s="9" t="s">
        <v>721</v>
      </c>
      <c r="F455" s="8" t="str">
        <f>IFERROR(__xludf.DUMMYFUNCTION("GOOGLETRANSLATE(D455,""zh-CN"",""vi"")"),"Gói quà tặng tăng tốc (Mới)")</f>
        <v>Gói quà tặng tăng tốc (Mới)</v>
      </c>
      <c r="G455" s="8" t="str">
        <f>IFERROR(__xludf.DUMMYFUNCTION("GOOGLETRANSLATE(E455,""zh-CN"",""vi"")"),"Nhấp đúp chuột sẽ cho bạn cơ hội nhận được các vật phẩm tăng tốc.")</f>
        <v>Nhấp đúp chuột sẽ cho bạn cơ hội nhận được các vật phẩm tăng tốc.</v>
      </c>
      <c r="H455" s="8"/>
      <c r="I455" s="8"/>
      <c r="J455" s="8"/>
    </row>
    <row r="456" ht="21.75" customHeight="1">
      <c r="A456" s="5">
        <v>5.0</v>
      </c>
      <c r="B456" s="6">
        <v>509.0</v>
      </c>
      <c r="C456" s="6">
        <v>1.0</v>
      </c>
      <c r="D456" s="16" t="s">
        <v>738</v>
      </c>
      <c r="E456" s="9" t="s">
        <v>717</v>
      </c>
      <c r="F456" s="8" t="str">
        <f>IFERROR(__xludf.DUMMYFUNCTION("GOOGLETRANSLATE(D456,""zh-CN"",""vi"")"),"Gói quà tặng kèm (Mới)")</f>
        <v>Gói quà tặng kèm (Mới)</v>
      </c>
      <c r="G456" s="8" t="str">
        <f>IFERROR(__xludf.DUMMYFUNCTION("GOOGLETRANSLATE(E456,""zh-CN"",""vi"")"),"Nhấp đúp chuột sẽ tạo ra ngẫu nhiên một vật phẩm tăng cường.")</f>
        <v>Nhấp đúp chuột sẽ tạo ra ngẫu nhiên một vật phẩm tăng cường.</v>
      </c>
      <c r="H456" s="8"/>
      <c r="I456" s="8"/>
      <c r="J456" s="8"/>
    </row>
    <row r="457" ht="21.75" customHeight="1">
      <c r="A457" s="5">
        <v>5.0</v>
      </c>
      <c r="B457" s="6">
        <v>512.0</v>
      </c>
      <c r="C457" s="6">
        <v>1.0</v>
      </c>
      <c r="D457" s="16" t="s">
        <v>739</v>
      </c>
      <c r="E457" s="9" t="s">
        <v>729</v>
      </c>
      <c r="F457" s="8" t="str">
        <f>IFERROR(__xludf.DUMMYFUNCTION("GOOGLETRANSLATE(D457,""zh-CN"",""vi"")"),"Gói tính năng (Mới)")</f>
        <v>Gói tính năng (Mới)</v>
      </c>
      <c r="G457" s="8" t="str">
        <f>IFERROR(__xludf.DUMMYFUNCTION("GOOGLETRANSLATE(E457,""zh-CN"",""vi"")"),"Nhấp đúp chuột sẽ tạo ra ngẫu nhiên nhiều vật phẩm chức năng khác nhau.")</f>
        <v>Nhấp đúp chuột sẽ tạo ra ngẫu nhiên nhiều vật phẩm chức năng khác nhau.</v>
      </c>
      <c r="H457" s="8"/>
      <c r="I457" s="8"/>
      <c r="J457" s="8"/>
    </row>
    <row r="458" ht="21.75" customHeight="1">
      <c r="A458" s="5">
        <v>5.0</v>
      </c>
      <c r="B458" s="6">
        <v>511.0</v>
      </c>
      <c r="C458" s="6">
        <v>1.0</v>
      </c>
      <c r="D458" s="16" t="s">
        <v>740</v>
      </c>
      <c r="E458" s="9" t="s">
        <v>725</v>
      </c>
      <c r="F458" s="8" t="str">
        <f>IFERROR(__xludf.DUMMYFUNCTION("GOOGLETRANSLATE(D458,""zh-CN"",""vi"")"),"Bộ quà tặng chia đôi (Mới)")</f>
        <v>Bộ quà tặng chia đôi (Mới)</v>
      </c>
      <c r="G458" s="8" t="str">
        <f>IFERROR(__xludf.DUMMYFUNCTION("GOOGLETRANSLATE(E458,""zh-CN"",""vi"")"),"Nhấp đúp chuột sẽ tạo ra một vật phẩm tách rời ngẫu nhiên.")</f>
        <v>Nhấp đúp chuột sẽ tạo ra một vật phẩm tách rời ngẫu nhiên.</v>
      </c>
      <c r="H458" s="8"/>
      <c r="I458" s="8"/>
      <c r="J458" s="8"/>
    </row>
    <row r="459" ht="21.75" customHeight="1">
      <c r="A459" s="5">
        <v>5.0</v>
      </c>
      <c r="B459" s="6">
        <v>506.0</v>
      </c>
      <c r="C459" s="6">
        <v>1.0</v>
      </c>
      <c r="D459" s="16" t="s">
        <v>741</v>
      </c>
      <c r="E459" s="9" t="s">
        <v>742</v>
      </c>
      <c r="F459" s="8" t="str">
        <f>IFERROR(__xludf.DUMMYFUNCTION("GOOGLETRANSLATE(D459,""zh-CN"",""vi"")"),"Da ngực năm mới")</f>
        <v>Da ngực năm mới</v>
      </c>
      <c r="G459" s="8" t="str">
        <f>IFERROR(__xludf.DUMMYFUNCTION("GOOGLETRANSLATE(E459,""zh-CN"",""vi"")"),"Nhấp đúp chuột sẽ có cơ hội nhận được vật phẩm kích hoạt trang phục năm mới.")</f>
        <v>Nhấp đúp chuột sẽ có cơ hội nhận được vật phẩm kích hoạt trang phục năm mới.</v>
      </c>
      <c r="H459" s="8"/>
      <c r="I459" s="8"/>
      <c r="J459" s="8"/>
    </row>
    <row r="460" ht="21.75" customHeight="1">
      <c r="A460" s="5">
        <v>5.0</v>
      </c>
      <c r="B460" s="6">
        <v>507.0</v>
      </c>
      <c r="C460" s="6">
        <v>1.0</v>
      </c>
      <c r="D460" s="16" t="s">
        <v>743</v>
      </c>
      <c r="E460" s="9" t="s">
        <v>744</v>
      </c>
      <c r="F460" s="8" t="str">
        <f>IFERROR(__xludf.DUMMYFUNCTION("GOOGLETRANSLATE(D460,""zh-CN"",""vi"")"),"Giỏ quà tặng trái cây")</f>
        <v>Giỏ quà tặng trái cây</v>
      </c>
      <c r="G460" s="8" t="str">
        <f>IFERROR(__xludf.DUMMYFUNCTION("GOOGLETRANSLATE(E460,""zh-CN"",""vi"")"),"Nhấp đúp chuột có cơ hội tạo ra [Giỏ trái cây].")</f>
        <v>Nhấp đúp chuột có cơ hội tạo ra [Giỏ trái cây].</v>
      </c>
      <c r="H460" s="8"/>
      <c r="I460" s="8"/>
      <c r="J460" s="8"/>
    </row>
    <row r="461" ht="21.0" customHeight="1">
      <c r="A461" s="5">
        <v>5.0</v>
      </c>
      <c r="B461" s="6">
        <v>507.0</v>
      </c>
      <c r="C461" s="6">
        <v>1.0</v>
      </c>
      <c r="D461" s="16" t="s">
        <v>745</v>
      </c>
      <c r="E461" s="9" t="s">
        <v>746</v>
      </c>
      <c r="F461" s="8" t="str">
        <f>IFERROR(__xludf.DUMMYFUNCTION("GOOGLETRANSLATE(D461,""zh-CN"",""vi"")"),"Bộ quà tặng vườn hoa")</f>
        <v>Bộ quà tặng vườn hoa</v>
      </c>
      <c r="G461" s="8" t="str">
        <f>IFERROR(__xludf.DUMMYFUNCTION("GOOGLETRANSLATE(E461,""zh-CN"",""vi"")"),"Nhấp đúp chuột sẽ tạo ngẫu nhiên một [Vườn Hoa].")</f>
        <v>Nhấp đúp chuột sẽ tạo ngẫu nhiên một [Vườn Hoa].</v>
      </c>
      <c r="H461" s="8"/>
      <c r="I461" s="8"/>
      <c r="J461" s="8"/>
    </row>
    <row r="462" ht="21.0" customHeight="1">
      <c r="A462" s="5">
        <v>5.0</v>
      </c>
      <c r="B462" s="6">
        <v>507.0</v>
      </c>
      <c r="C462" s="6">
        <v>1.0</v>
      </c>
      <c r="D462" s="16" t="s">
        <v>747</v>
      </c>
      <c r="E462" s="9" t="s">
        <v>748</v>
      </c>
      <c r="F462" s="8" t="str">
        <f>IFERROR(__xludf.DUMMYFUNCTION("GOOGLETRANSLATE(D462,""zh-CN"",""vi"")"),"Túi tote đựng quà")</f>
        <v>Túi tote đựng quà</v>
      </c>
      <c r="G462" s="8" t="str">
        <f>IFERROR(__xludf.DUMMYFUNCTION("GOOGLETRANSLATE(E462,""zh-CN"",""vi"")"),"Nhấp đúp chuột có cơ hội tạo ra [Túi xách].")</f>
        <v>Nhấp đúp chuột có cơ hội tạo ra [Túi xách].</v>
      </c>
      <c r="H462" s="8"/>
      <c r="I462" s="8"/>
      <c r="J462" s="8"/>
    </row>
    <row r="463" ht="21.0" customHeight="1">
      <c r="A463" s="5">
        <v>5.0</v>
      </c>
      <c r="B463" s="6">
        <v>507.0</v>
      </c>
      <c r="C463" s="6">
        <v>1.0</v>
      </c>
      <c r="D463" s="16" t="s">
        <v>749</v>
      </c>
      <c r="E463" s="9" t="s">
        <v>750</v>
      </c>
      <c r="F463" s="8" t="str">
        <f>IFERROR(__xludf.DUMMYFUNCTION("GOOGLETRANSLATE(D463,""zh-CN"",""vi"")"),"Giỏ quà tặng")</f>
        <v>Giỏ quà tặng</v>
      </c>
      <c r="G463" s="8" t="str">
        <f>IFERROR(__xludf.DUMMYFUNCTION("GOOGLETRANSLATE(E463,""zh-CN"",""vi"")"),"Nhấp đúp chuột sẽ tạo ngẫu nhiên một [Giỏ rau].")</f>
        <v>Nhấp đúp chuột sẽ tạo ngẫu nhiên một [Giỏ rau].</v>
      </c>
      <c r="H463" s="8"/>
      <c r="I463" s="8"/>
      <c r="J463" s="8"/>
    </row>
    <row r="464" ht="21.0" customHeight="1">
      <c r="A464" s="5">
        <v>5.0</v>
      </c>
      <c r="B464" s="6">
        <v>507.0</v>
      </c>
      <c r="C464" s="6">
        <v>1.0</v>
      </c>
      <c r="D464" s="16" t="s">
        <v>751</v>
      </c>
      <c r="E464" s="9" t="s">
        <v>752</v>
      </c>
      <c r="F464" s="8" t="str">
        <f>IFERROR(__xludf.DUMMYFUNCTION("GOOGLETRANSLATE(D464,""zh-CN"",""vi"")"),"Bộ quà tặng giá đựng dưa")</f>
        <v>Bộ quà tặng giá đựng dưa</v>
      </c>
      <c r="G464" s="8" t="str">
        <f>IFERROR(__xludf.DUMMYFUNCTION("GOOGLETRANSLATE(E464,""zh-CN"",""vi"")"),"Nhấp đúp chuột có khả năng tạo ra [Giá để dưa].")</f>
        <v>Nhấp đúp chuột có khả năng tạo ra [Giá để dưa].</v>
      </c>
      <c r="H464" s="8"/>
      <c r="I464" s="8"/>
      <c r="J464" s="8"/>
    </row>
    <row r="465" ht="21.0" customHeight="1">
      <c r="A465" s="5">
        <v>5.0</v>
      </c>
      <c r="B465" s="6">
        <v>507.0</v>
      </c>
      <c r="C465" s="6">
        <v>1.0</v>
      </c>
      <c r="D465" s="16" t="s">
        <v>753</v>
      </c>
      <c r="E465" s="9" t="s">
        <v>754</v>
      </c>
      <c r="F465" s="8" t="str">
        <f>IFERROR(__xludf.DUMMYFUNCTION("GOOGLETRANSLATE(D465,""zh-CN"",""vi"")"),"Bộ quà tặng vệ sinh xe")</f>
        <v>Bộ quà tặng vệ sinh xe</v>
      </c>
      <c r="G465" s="8" t="str">
        <f>IFERROR(__xludf.DUMMYFUNCTION("GOOGLETRANSLATE(E465,""zh-CN"",""vi"")"),"Nhấp đúp chuột sẽ tạo ngẫu nhiên một [Xe đẩy vệ sinh].")</f>
        <v>Nhấp đúp chuột sẽ tạo ngẫu nhiên một [Xe đẩy vệ sinh].</v>
      </c>
      <c r="H465" s="8"/>
      <c r="I465" s="8"/>
      <c r="J465" s="8"/>
    </row>
    <row r="466" ht="21.0" customHeight="1">
      <c r="A466" s="5">
        <v>5.0</v>
      </c>
      <c r="B466" s="6">
        <v>507.0</v>
      </c>
      <c r="C466" s="6">
        <v>1.0</v>
      </c>
      <c r="D466" s="16" t="s">
        <v>755</v>
      </c>
      <c r="E466" s="9" t="s">
        <v>756</v>
      </c>
      <c r="F466" s="8" t="str">
        <f>IFERROR(__xludf.DUMMYFUNCTION("GOOGLETRANSLATE(D466,""zh-CN"",""vi"")"),"Bộ quà tặng tủ đựng dụng cụ làm đẹp")</f>
        <v>Bộ quà tặng tủ đựng dụng cụ làm đẹp</v>
      </c>
      <c r="G466" s="8" t="str">
        <f>IFERROR(__xludf.DUMMYFUNCTION("GOOGLETRANSLATE(E466,""zh-CN"",""vi"")"),"Nhấp đúp chuột có khả năng tạo ra [Tủ dụng cụ].")</f>
        <v>Nhấp đúp chuột có khả năng tạo ra [Tủ dụng cụ].</v>
      </c>
      <c r="H466" s="8"/>
      <c r="I466" s="8"/>
      <c r="J466" s="8"/>
    </row>
    <row r="467" ht="21.0" customHeight="1">
      <c r="A467" s="5">
        <v>5.0</v>
      </c>
      <c r="B467" s="6">
        <v>507.0</v>
      </c>
      <c r="C467" s="6">
        <v>1.0</v>
      </c>
      <c r="D467" s="16" t="s">
        <v>757</v>
      </c>
      <c r="E467" s="9" t="s">
        <v>758</v>
      </c>
      <c r="F467" s="8" t="str">
        <f>IFERROR(__xludf.DUMMYFUNCTION("GOOGLETRANSLATE(D467,""zh-CN"",""vi"")"),"Bộ quà tặng Xiao Mei")</f>
        <v>Bộ quà tặng Xiao Mei</v>
      </c>
      <c r="G467" s="8" t="str">
        <f>IFERROR(__xludf.DUMMYFUNCTION("GOOGLETRANSLATE(E467,""zh-CN"",""vi"")"),"Nhấp đúp chuột có cơ hội nhận được [Túi của Tiểu Mai]")</f>
        <v>Nhấp đúp chuột có cơ hội nhận được [Túi của Tiểu Mai]</v>
      </c>
      <c r="H467" s="8"/>
      <c r="I467" s="8"/>
      <c r="J467" s="8"/>
    </row>
    <row r="468" ht="21.0" customHeight="1">
      <c r="A468" s="5">
        <v>5.0</v>
      </c>
      <c r="B468" s="6">
        <v>507.0</v>
      </c>
      <c r="C468" s="6">
        <v>1.0</v>
      </c>
      <c r="D468" s="16" t="s">
        <v>759</v>
      </c>
      <c r="E468" s="9" t="s">
        <v>760</v>
      </c>
      <c r="F468" s="8" t="str">
        <f>IFERROR(__xludf.DUMMYFUNCTION("GOOGLETRANSLATE(D468,""zh-CN"",""vi"")"),"Bộ quà tặng tủ quần áo")</f>
        <v>Bộ quà tặng tủ quần áo</v>
      </c>
      <c r="G468" s="8" t="str">
        <f>IFERROR(__xludf.DUMMYFUNCTION("GOOGLETRANSLATE(E468,""zh-CN"",""vi"")"),"Nhấp đúp chuột có khả năng tạo ra [Tủ quần áo].")</f>
        <v>Nhấp đúp chuột có khả năng tạo ra [Tủ quần áo].</v>
      </c>
      <c r="H468" s="8"/>
      <c r="I468" s="8"/>
      <c r="J468" s="8"/>
    </row>
    <row r="469" ht="21.0" customHeight="1">
      <c r="A469" s="5">
        <v>5.0</v>
      </c>
      <c r="B469" s="6">
        <v>507.0</v>
      </c>
      <c r="C469" s="6">
        <v>1.0</v>
      </c>
      <c r="D469" s="16" t="s">
        <v>761</v>
      </c>
      <c r="E469" s="9" t="s">
        <v>762</v>
      </c>
      <c r="F469" s="8" t="str">
        <f>IFERROR(__xludf.DUMMYFUNCTION("GOOGLETRANSLATE(D469,""zh-CN"",""vi"")"),"Bộ quà tặng nhà kính")</f>
        <v>Bộ quà tặng nhà kính</v>
      </c>
      <c r="G469" s="8" t="str">
        <f>IFERROR(__xludf.DUMMYFUNCTION("GOOGLETRANSLATE(E469,""zh-CN"",""vi"")"),"Nhấp đúp chuột sẽ tạo ngẫu nhiên một [Nhà kính ấm].")</f>
        <v>Nhấp đúp chuột sẽ tạo ngẫu nhiên một [Nhà kính ấm].</v>
      </c>
      <c r="H469" s="8"/>
      <c r="I469" s="8"/>
      <c r="J469" s="8"/>
    </row>
    <row r="470" ht="21.0" customHeight="1">
      <c r="A470" s="5">
        <v>5.0</v>
      </c>
      <c r="B470" s="6">
        <v>507.0</v>
      </c>
      <c r="C470" s="6">
        <v>1.0</v>
      </c>
      <c r="D470" s="16" t="s">
        <v>763</v>
      </c>
      <c r="E470" s="9" t="s">
        <v>764</v>
      </c>
      <c r="F470" s="8" t="str">
        <f>IFERROR(__xludf.DUMMYFUNCTION("GOOGLETRANSLATE(D470,""zh-CN"",""vi"")"),"Bộ hộp quà tặng trang sức")</f>
        <v>Bộ hộp quà tặng trang sức</v>
      </c>
      <c r="G470" s="8" t="str">
        <f>IFERROR(__xludf.DUMMYFUNCTION("GOOGLETRANSLATE(E470,""zh-CN"",""vi"")"),"Nhấp đúp chuột có cơ hội nhận được [Hộp trang sức].")</f>
        <v>Nhấp đúp chuột có cơ hội nhận được [Hộp trang sức].</v>
      </c>
      <c r="H470" s="8"/>
      <c r="I470" s="8"/>
      <c r="J470" s="8"/>
    </row>
    <row r="471" ht="21.0" customHeight="1">
      <c r="A471" s="5">
        <v>5.0</v>
      </c>
      <c r="B471" s="6">
        <v>507.0</v>
      </c>
      <c r="C471" s="6">
        <v>1.0</v>
      </c>
      <c r="D471" s="16" t="s">
        <v>765</v>
      </c>
      <c r="E471" s="9" t="s">
        <v>766</v>
      </c>
      <c r="F471" s="8" t="str">
        <f>IFERROR(__xludf.DUMMYFUNCTION("GOOGLETRANSLATE(D471,""zh-CN"",""vi"")"),"Gói quà tặng")</f>
        <v>Gói quà tặng</v>
      </c>
      <c r="G471" s="8" t="str">
        <f>IFERROR(__xludf.DUMMYFUNCTION("GOOGLETRANSLATE(E471,""zh-CN"",""vi"")"),"Nhấp đúp chuột có khả năng tạo ra [gói hàng giao].")</f>
        <v>Nhấp đúp chuột có khả năng tạo ra [gói hàng giao].</v>
      </c>
      <c r="H471" s="8"/>
      <c r="I471" s="8"/>
      <c r="J471" s="8"/>
    </row>
    <row r="472" ht="21.0" customHeight="1">
      <c r="A472" s="5">
        <v>5.0</v>
      </c>
      <c r="B472" s="6">
        <v>507.0</v>
      </c>
      <c r="C472" s="6">
        <v>1.0</v>
      </c>
      <c r="D472" s="16" t="s">
        <v>767</v>
      </c>
      <c r="E472" s="9" t="s">
        <v>768</v>
      </c>
      <c r="F472" s="8" t="str">
        <f>IFERROR(__xludf.DUMMYFUNCTION("GOOGLETRANSLATE(D472,""zh-CN"",""vi"")"),"Bộ quà tặng đông lạnh")</f>
        <v>Bộ quà tặng đông lạnh</v>
      </c>
      <c r="G472" s="8" t="str">
        <f>IFERROR(__xludf.DUMMYFUNCTION("GOOGLETRANSLATE(E472,""zh-CN"",""vi"")"),"Nhấp đúp chuột có khả năng tạo ra [Tủ đông].")</f>
        <v>Nhấp đúp chuột có khả năng tạo ra [Tủ đông].</v>
      </c>
      <c r="H472" s="8"/>
      <c r="I472" s="8"/>
      <c r="J472" s="8"/>
    </row>
    <row r="473" ht="21.0" customHeight="1">
      <c r="A473" s="5">
        <v>5.0</v>
      </c>
      <c r="B473" s="6">
        <v>507.0</v>
      </c>
      <c r="C473" s="6">
        <v>1.0</v>
      </c>
      <c r="D473" s="16" t="s">
        <v>769</v>
      </c>
      <c r="E473" s="9" t="s">
        <v>770</v>
      </c>
      <c r="F473" s="8" t="str">
        <f>IFERROR(__xludf.DUMMYFUNCTION("GOOGLETRANSLATE(D473,""zh-CN"",""vi"")"),"Bộ quà tặng máy làm bánh")</f>
        <v>Bộ quà tặng máy làm bánh</v>
      </c>
      <c r="G473" s="8" t="str">
        <f>IFERROR(__xludf.DUMMYFUNCTION("GOOGLETRANSLATE(E473,""zh-CN"",""vi"")"),"Nhấp đúp chuột có cơ hội tạo ra [Máy ​​làm bánh].")</f>
        <v>Nhấp đúp chuột có cơ hội tạo ra [Máy ​​làm bánh].</v>
      </c>
      <c r="H473" s="8"/>
      <c r="I473" s="8"/>
      <c r="J473" s="8"/>
    </row>
    <row r="474" ht="21.0" customHeight="1">
      <c r="A474" s="5">
        <v>5.0</v>
      </c>
      <c r="B474" s="6">
        <v>507.0</v>
      </c>
      <c r="C474" s="6">
        <v>1.0</v>
      </c>
      <c r="D474" s="16" t="s">
        <v>771</v>
      </c>
      <c r="E474" s="9" t="s">
        <v>772</v>
      </c>
      <c r="F474" s="8" t="str">
        <f>IFERROR(__xludf.DUMMYFUNCTION("GOOGLETRANSLATE(D474,""zh-CN"",""vi"")"),"Bộ quà tặng vỉ nướng BBQ")</f>
        <v>Bộ quà tặng vỉ nướng BBQ</v>
      </c>
      <c r="G474" s="8" t="str">
        <f>IFERROR(__xludf.DUMMYFUNCTION("GOOGLETRANSLATE(E474,""zh-CN"",""vi"")"),"Nhấp đúp chuột có khả năng tạo ra [Lò nướng BBQ].")</f>
        <v>Nhấp đúp chuột có khả năng tạo ra [Lò nướng BBQ].</v>
      </c>
      <c r="H474" s="8"/>
      <c r="I474" s="8"/>
      <c r="J474" s="8"/>
    </row>
    <row r="475" ht="21.0" customHeight="1">
      <c r="A475" s="43">
        <v>5.0</v>
      </c>
      <c r="B475" s="44">
        <v>507.0</v>
      </c>
      <c r="C475" s="44">
        <v>1.0</v>
      </c>
      <c r="D475" s="45" t="s">
        <v>773</v>
      </c>
      <c r="E475" s="46" t="s">
        <v>774</v>
      </c>
      <c r="F475" s="8" t="str">
        <f>IFERROR(__xludf.DUMMYFUNCTION("GOOGLETRANSLATE(D475,""zh-CN"",""vi"")"),"Gói quà tặng dành cho người chơi tham gia bản Beta kín")</f>
        <v>Gói quà tặng dành cho người chơi tham gia bản Beta kín</v>
      </c>
      <c r="G475" s="8" t="str">
        <f>IFERROR(__xludf.DUMMYFUNCTION("GOOGLETRANSLATE(E475,""zh-CN"",""vi"")"),"Gói quà tặng độc quyền dành cho người thử nghiệm bản beta! Nhấp đúp chuột để có cơ hội nhận nhiều phần quà bất ngờ!")</f>
        <v>Gói quà tặng độc quyền dành cho người thử nghiệm bản beta! Nhấp đúp chuột để có cơ hội nhận nhiều phần quà bất ngờ!</v>
      </c>
      <c r="H475" s="47"/>
      <c r="I475" s="47"/>
      <c r="J475" s="47"/>
    </row>
    <row r="476" ht="21.0" customHeight="1">
      <c r="A476" s="5">
        <v>5.0</v>
      </c>
      <c r="B476" s="6">
        <v>507.0</v>
      </c>
      <c r="C476" s="6">
        <v>1.0</v>
      </c>
      <c r="D476" s="16" t="s">
        <v>775</v>
      </c>
      <c r="E476" s="9" t="s">
        <v>776</v>
      </c>
      <c r="F476" s="8" t="str">
        <f>IFERROR(__xludf.DUMMYFUNCTION("GOOGLETRANSLATE(D476,""zh-CN"",""vi"")"),"Bộ quà tặng ngẫu nhiên cho mẹ")</f>
        <v>Bộ quà tặng ngẫu nhiên cho mẹ</v>
      </c>
      <c r="G476" s="8" t="str">
        <f>IFERROR(__xludf.DUMMYFUNCTION("GOOGLETRANSLATE(E476,""zh-CN"",""vi"")"),"Lợi ích của việc chia sẻ với bạn bè: nhấp đúp chuột cho phép tạo ra nhiều loại thực thể cha khác nhau.")</f>
        <v>Lợi ích của việc chia sẻ với bạn bè: nhấp đúp chuột cho phép tạo ra nhiều loại thực thể cha khác nhau.</v>
      </c>
      <c r="H476" s="8"/>
      <c r="I476" s="8"/>
      <c r="J476" s="8"/>
    </row>
    <row r="477" ht="21.0" customHeight="1">
      <c r="A477" s="5">
        <v>5.0</v>
      </c>
      <c r="B477" s="6">
        <v>507.0</v>
      </c>
      <c r="C477" s="6">
        <v>1.0</v>
      </c>
      <c r="D477" s="16" t="s">
        <v>777</v>
      </c>
      <c r="E477" s="9" t="s">
        <v>778</v>
      </c>
      <c r="F477" s="8" t="str">
        <f>IFERROR(__xludf.DUMMYFUNCTION("GOOGLETRANSLATE(D477,""zh-CN"",""vi"")"),"Gói quà tặng khi đăng nhập")</f>
        <v>Gói quà tặng khi đăng nhập</v>
      </c>
      <c r="G477" s="8" t="str">
        <f>IFERROR(__xludf.DUMMYFUNCTION("GOOGLETRANSLATE(E477,""zh-CN"",""vi"")"),"Gói phần thưởng đăng nhập hàng ngày có cơ hội nhận được vật phẩm tăng sức bền và vật phẩm tăng cường khi nhấp đúp chuột.")</f>
        <v>Gói phần thưởng đăng nhập hàng ngày có cơ hội nhận được vật phẩm tăng sức bền và vật phẩm tăng cường khi nhấp đúp chuột.</v>
      </c>
      <c r="H477" s="8"/>
      <c r="I477" s="8"/>
      <c r="J477" s="8"/>
    </row>
    <row r="478" ht="21.0" customHeight="1">
      <c r="A478" s="5">
        <v>5.0</v>
      </c>
      <c r="B478" s="6">
        <v>507.0</v>
      </c>
      <c r="C478" s="6">
        <v>1.0</v>
      </c>
      <c r="D478" s="16" t="s">
        <v>779</v>
      </c>
      <c r="E478" s="9" t="s">
        <v>780</v>
      </c>
      <c r="F478" s="8" t="str">
        <f>IFERROR(__xludf.DUMMYFUNCTION("GOOGLETRANSLATE(D478,""zh-CN"",""vi"")"),"Hộp quà đăng ký")</f>
        <v>Hộp quà đăng ký</v>
      </c>
      <c r="G478" s="8" t="str">
        <f>IFERROR(__xludf.DUMMYFUNCTION("GOOGLETRANSLATE(E478,""zh-CN"",""vi"")"),"Hộp quà nhận được khi điểm danh hàng ngày có cơ hội chứa vật phẩm tăng sức bền và tăng tốc khi nhấp đúp chuột.")</f>
        <v>Hộp quà nhận được khi điểm danh hàng ngày có cơ hội chứa vật phẩm tăng sức bền và tăng tốc khi nhấp đúp chuột.</v>
      </c>
      <c r="H478" s="8"/>
      <c r="I478" s="8"/>
      <c r="J478" s="8"/>
    </row>
    <row r="479" ht="21.0" customHeight="1">
      <c r="A479" s="5">
        <v>5.0</v>
      </c>
      <c r="B479" s="6">
        <v>507.0</v>
      </c>
      <c r="C479" s="6">
        <v>1.0</v>
      </c>
      <c r="D479" s="16" t="s">
        <v>781</v>
      </c>
      <c r="E479" s="9" t="s">
        <v>782</v>
      </c>
      <c r="F479" s="8" t="str">
        <f>IFERROR(__xludf.DUMMYFUNCTION("GOOGLETRANSLATE(D479,""zh-CN"",""vi"")"),"Đăng nhập Rương kho báu")</f>
        <v>Đăng nhập Rương kho báu</v>
      </c>
      <c r="G479" s="8" t="str">
        <f>IFERROR(__xludf.DUMMYFUNCTION("GOOGLETRANSLATE(E479,""zh-CN"",""vi"")"),"Rương kho báu lớn sau bảy ngày nhận phòng có cơ hội chứa một lượng lớn vật phẩm tăng sức bền và tốc độ khi nhấp đúp chuột.")</f>
        <v>Rương kho báu lớn sau bảy ngày nhận phòng có cơ hội chứa một lượng lớn vật phẩm tăng sức bền và tốc độ khi nhấp đúp chuột.</v>
      </c>
      <c r="H479" s="8"/>
      <c r="I479" s="8"/>
      <c r="J479" s="8"/>
    </row>
    <row r="480" ht="21.0" customHeight="1">
      <c r="A480" s="5">
        <v>5.0</v>
      </c>
      <c r="B480" s="6">
        <v>507.0</v>
      </c>
      <c r="C480" s="6">
        <v>1.0</v>
      </c>
      <c r="D480" s="16" t="s">
        <v>783</v>
      </c>
      <c r="E480" s="9" t="s">
        <v>784</v>
      </c>
      <c r="F480" s="8" t="str">
        <f>IFERROR(__xludf.DUMMYFUNCTION("GOOGLETRANSLATE(D480,""zh-CN"",""vi"")"),"Bộ quà tặng dụng cụ làm vườn")</f>
        <v>Bộ quà tặng dụng cụ làm vườn</v>
      </c>
      <c r="G480" s="8" t="str">
        <f>IFERROR(__xludf.DUMMYFUNCTION("GOOGLETRANSLATE(E480,""zh-CN"",""vi"")"),"Nhấp đúp chuột có khả năng tạo ra [Hộp dụng cụ làm vườn].")</f>
        <v>Nhấp đúp chuột có khả năng tạo ra [Hộp dụng cụ làm vườn].</v>
      </c>
      <c r="H480" s="8"/>
      <c r="I480" s="8"/>
      <c r="J480" s="8"/>
    </row>
    <row r="481" ht="21.0" customHeight="1">
      <c r="A481" s="5">
        <v>5.0</v>
      </c>
      <c r="B481" s="6">
        <v>507.0</v>
      </c>
      <c r="C481" s="6">
        <v>1.0</v>
      </c>
      <c r="D481" s="16" t="s">
        <v>785</v>
      </c>
      <c r="E481" s="9" t="s">
        <v>786</v>
      </c>
      <c r="F481" s="8" t="str">
        <f>IFERROR(__xludf.DUMMYFUNCTION("GOOGLETRANSLATE(D481,""zh-CN"",""vi"")"),"Thẻ Rồng")</f>
        <v>Thẻ Rồng</v>
      </c>
      <c r="G481" s="8" t="str">
        <f>IFERROR(__xludf.DUMMYFUNCTION("GOOGLETRANSLATE(E481,""zh-CN"",""vi"")"),"Nhấp đúp chuột có cơ hội nhận được [Mảnh Rồng].")</f>
        <v>Nhấp đúp chuột có cơ hội nhận được [Mảnh Rồng].</v>
      </c>
      <c r="H481" s="8"/>
      <c r="I481" s="8"/>
      <c r="J481" s="8"/>
    </row>
    <row r="482" ht="21.0" customHeight="1">
      <c r="A482" s="5">
        <v>5.0</v>
      </c>
      <c r="B482" s="6">
        <v>508.0</v>
      </c>
      <c r="C482" s="6">
        <v>1.0</v>
      </c>
      <c r="D482" s="16" t="s">
        <v>787</v>
      </c>
      <c r="E482" s="9" t="s">
        <v>788</v>
      </c>
      <c r="F482" s="8" t="str">
        <f>IFERROR(__xludf.DUMMYFUNCTION("GOOGLETRANSLATE(D482,""zh-CN"",""vi"")"),"Bộ quà tặng cây cảnh")</f>
        <v>Bộ quà tặng cây cảnh</v>
      </c>
      <c r="G482" s="8" t="str">
        <f>IFERROR(__xludf.DUMMYFUNCTION("GOOGLETRANSLATE(E482,""zh-CN"",""vi"")"),"Nhấp đúp chuột sẽ ngẫu nhiên tạo ra các vật phẩm thuộc loại thực vật, có thể thu được như kho báu.")</f>
        <v>Nhấp đúp chuột sẽ ngẫu nhiên tạo ra các vật phẩm thuộc loại thực vật, có thể thu được như kho báu.</v>
      </c>
      <c r="H482" s="8"/>
      <c r="I482" s="8"/>
      <c r="J482" s="8"/>
    </row>
    <row r="483" ht="21.0" customHeight="1">
      <c r="A483" s="5">
        <v>5.0</v>
      </c>
      <c r="B483" s="6">
        <v>508.0</v>
      </c>
      <c r="C483" s="6">
        <v>1.0</v>
      </c>
      <c r="D483" s="16" t="s">
        <v>789</v>
      </c>
      <c r="E483" s="9" t="s">
        <v>790</v>
      </c>
      <c r="F483" s="8" t="str">
        <f>IFERROR(__xludf.DUMMYFUNCTION("GOOGLETRANSLATE(D483,""zh-CN"",""vi"")"),"Hộp quà tặng")</f>
        <v>Hộp quà tặng</v>
      </c>
      <c r="G483" s="8" t="str">
        <f>IFERROR(__xludf.DUMMYFUNCTION("GOOGLETRANSLATE(E483,""zh-CN"",""vi"")"),"Nhấp đúp chuột sẽ tạo ngẫu nhiên các vật phẩm thuộc loại lưu trữ.")</f>
        <v>Nhấp đúp chuột sẽ tạo ngẫu nhiên các vật phẩm thuộc loại lưu trữ.</v>
      </c>
      <c r="H483" s="8"/>
      <c r="I483" s="8"/>
      <c r="J483" s="8"/>
    </row>
    <row r="484" ht="21.0" customHeight="1">
      <c r="A484" s="5">
        <v>5.0</v>
      </c>
      <c r="B484" s="6">
        <v>508.0</v>
      </c>
      <c r="C484" s="6">
        <v>1.0</v>
      </c>
      <c r="D484" s="16" t="s">
        <v>791</v>
      </c>
      <c r="E484" s="9" t="s">
        <v>792</v>
      </c>
      <c r="F484" s="8" t="str">
        <f>IFERROR(__xludf.DUMMYFUNCTION("GOOGLETRANSLATE(D484,""zh-CN"",""vi"")"),"Bộ quà tặng cao cấp")</f>
        <v>Bộ quà tặng cao cấp</v>
      </c>
      <c r="G484" s="8" t="str">
        <f>IFERROR(__xludf.DUMMYFUNCTION("GOOGLETRANSLATE(E484,""zh-CN"",""vi"")"),"Nhấp đúp chuột có thể tạo ra các mặt hàng tiêu dùng nhanh hoặc thậm chí là những kho báu.")</f>
        <v>Nhấp đúp chuột có thể tạo ra các mặt hàng tiêu dùng nhanh hoặc thậm chí là những kho báu.</v>
      </c>
      <c r="H484" s="8"/>
      <c r="I484" s="8"/>
      <c r="J484" s="8"/>
    </row>
    <row r="485" ht="21.0" customHeight="1">
      <c r="A485" s="5">
        <v>5.0</v>
      </c>
      <c r="B485" s="6">
        <v>508.0</v>
      </c>
      <c r="C485" s="6">
        <v>1.0</v>
      </c>
      <c r="D485" s="16" t="s">
        <v>793</v>
      </c>
      <c r="E485" s="9" t="s">
        <v>794</v>
      </c>
      <c r="F485" s="8" t="str">
        <f>IFERROR(__xludf.DUMMYFUNCTION("GOOGLETRANSLATE(D485,""zh-CN"",""vi"")"),"Trang trí sân trong")</f>
        <v>Trang trí sân trong</v>
      </c>
      <c r="G485" s="8" t="str">
        <f>IFERROR(__xludf.DUMMYFUNCTION("GOOGLETRANSLATE(E485,""zh-CN"",""vi"")"),"Nhấp đúp chuột sẽ tạo ra vật trang trí sân với một xác suất nhất định.")</f>
        <v>Nhấp đúp chuột sẽ tạo ra vật trang trí sân với một xác suất nhất định.</v>
      </c>
      <c r="H485" s="8"/>
      <c r="I485" s="8"/>
      <c r="J485" s="8"/>
    </row>
    <row r="486" ht="21.0" customHeight="1">
      <c r="A486" s="5">
        <v>5.0</v>
      </c>
      <c r="B486" s="6">
        <v>508.0</v>
      </c>
      <c r="C486" s="6">
        <v>1.0</v>
      </c>
      <c r="D486" s="16" t="s">
        <v>795</v>
      </c>
      <c r="E486" s="9" t="s">
        <v>796</v>
      </c>
      <c r="F486" s="8" t="str">
        <f>IFERROR(__xludf.DUMMYFUNCTION("GOOGLETRANSLATE(D486,""zh-CN"",""vi"")"),"Bộ quà tặng Want Want")</f>
        <v>Bộ quà tặng Want Want</v>
      </c>
      <c r="G486" s="8" t="str">
        <f>IFERROR(__xludf.DUMMYFUNCTION("GOOGLETRANSLATE(E486,""zh-CN"",""vi"")"),"Nhấp đúp chuột sẽ ngẫu nhiên tạo ra nhiều vật phẩm khác nhau.")</f>
        <v>Nhấp đúp chuột sẽ ngẫu nhiên tạo ra nhiều vật phẩm khác nhau.</v>
      </c>
      <c r="H486" s="8"/>
      <c r="I486" s="8"/>
      <c r="J486" s="8"/>
    </row>
    <row r="487" ht="21.0" customHeight="1">
      <c r="A487" s="5">
        <v>5.0</v>
      </c>
      <c r="B487" s="6">
        <v>513.0</v>
      </c>
      <c r="C487" s="6">
        <v>1.0</v>
      </c>
      <c r="D487" s="16" t="s">
        <v>797</v>
      </c>
      <c r="E487" s="9" t="s">
        <v>798</v>
      </c>
      <c r="F487" s="8" t="str">
        <f>IFERROR(__xludf.DUMMYFUNCTION("GOOGLETRANSLATE(D487,""zh-CN"",""vi"")"),"Gói quà tặng dành cho mẹ (Rút thăm may mắn)")</f>
        <v>Gói quà tặng dành cho mẹ (Rút thăm may mắn)</v>
      </c>
      <c r="G487" s="8" t="str">
        <f>IFERROR(__xludf.DUMMYFUNCTION("GOOGLETRANSLATE(E487,""zh-CN"",""vi"")"),"Nhấp đúp chuột sẽ tạo ngẫu nhiên một đối tượng cha.")</f>
        <v>Nhấp đúp chuột sẽ tạo ngẫu nhiên một đối tượng cha.</v>
      </c>
      <c r="H487" s="8"/>
      <c r="I487" s="8"/>
      <c r="J487" s="8"/>
    </row>
    <row r="488" ht="21.0" customHeight="1">
      <c r="A488" s="5">
        <v>5.0</v>
      </c>
      <c r="B488" s="6">
        <v>507.0</v>
      </c>
      <c r="C488" s="6">
        <v>1.0</v>
      </c>
      <c r="D488" s="16" t="s">
        <v>799</v>
      </c>
      <c r="E488" s="9" t="s">
        <v>800</v>
      </c>
      <c r="F488" s="8" t="str">
        <f>IFERROR(__xludf.DUMMYFUNCTION("GOOGLETRANSLATE(D488,""zh-CN"",""vi"")"),"Bộ quà tặng Pool Mother")</f>
        <v>Bộ quà tặng Pool Mother</v>
      </c>
      <c r="G488" s="8" t="str">
        <f>IFERROR(__xludf.DUMMYFUNCTION("GOOGLETRANSLATE(E488,""zh-CN"",""vi"")"),"Nhấp đúp chuột sẽ tạo ra sản phẩm gốc tương ứng với một xác suất nhất định.")</f>
        <v>Nhấp đúp chuột sẽ tạo ra sản phẩm gốc tương ứng với một xác suất nhất định.</v>
      </c>
      <c r="H488" s="8"/>
      <c r="I488" s="8"/>
      <c r="J488" s="8"/>
    </row>
    <row r="489" ht="21.0" customHeight="1">
      <c r="A489" s="5">
        <v>5.0</v>
      </c>
      <c r="B489" s="6">
        <v>507.0</v>
      </c>
      <c r="C489" s="6">
        <v>1.0</v>
      </c>
      <c r="D489" s="16" t="s">
        <v>801</v>
      </c>
      <c r="E489" s="9" t="s">
        <v>800</v>
      </c>
      <c r="F489" s="8" t="str">
        <f>IFERROR(__xludf.DUMMYFUNCTION("GOOGLETRANSLATE(D489,""zh-CN"",""vi"")"),"Bộ quà tặng Toolbox Mother")</f>
        <v>Bộ quà tặng Toolbox Mother</v>
      </c>
      <c r="G489" s="8" t="str">
        <f>IFERROR(__xludf.DUMMYFUNCTION("GOOGLETRANSLATE(E489,""zh-CN"",""vi"")"),"Nhấp đúp chuột sẽ tạo ra sản phẩm gốc tương ứng với một xác suất nhất định.")</f>
        <v>Nhấp đúp chuột sẽ tạo ra sản phẩm gốc tương ứng với một xác suất nhất định.</v>
      </c>
      <c r="H489" s="8"/>
      <c r="I489" s="8"/>
      <c r="J489" s="8"/>
    </row>
    <row r="490" ht="21.0" customHeight="1">
      <c r="A490" s="5">
        <v>5.0</v>
      </c>
      <c r="B490" s="6">
        <v>507.0</v>
      </c>
      <c r="C490" s="6">
        <v>1.0</v>
      </c>
      <c r="D490" s="16" t="s">
        <v>802</v>
      </c>
      <c r="E490" s="9" t="s">
        <v>800</v>
      </c>
      <c r="F490" s="8" t="str">
        <f>IFERROR(__xludf.DUMMYFUNCTION("GOOGLETRANSLATE(D490,""zh-CN"",""vi"")"),"Hộp quà tặng cho mẹ (Food Box Mother Gift Pack)")</f>
        <v>Hộp quà tặng cho mẹ (Food Box Mother Gift Pack)</v>
      </c>
      <c r="G490" s="8" t="str">
        <f>IFERROR(__xludf.DUMMYFUNCTION("GOOGLETRANSLATE(E490,""zh-CN"",""vi"")"),"Nhấp đúp chuột sẽ tạo ra sản phẩm gốc tương ứng với một xác suất nhất định.")</f>
        <v>Nhấp đúp chuột sẽ tạo ra sản phẩm gốc tương ứng với một xác suất nhất định.</v>
      </c>
      <c r="H490" s="8"/>
      <c r="I490" s="8"/>
      <c r="J490" s="8"/>
    </row>
    <row r="491" ht="21.0" customHeight="1">
      <c r="A491" s="5">
        <v>5.0</v>
      </c>
      <c r="B491" s="6">
        <v>507.0</v>
      </c>
      <c r="C491" s="6">
        <v>1.0</v>
      </c>
      <c r="D491" s="16" t="s">
        <v>803</v>
      </c>
      <c r="E491" s="9" t="s">
        <v>800</v>
      </c>
      <c r="F491" s="8" t="str">
        <f>IFERROR(__xludf.DUMMYFUNCTION("GOOGLETRANSLATE(D491,""zh-CN"",""vi"")"),"Bộ quà tặng dành cho mẹ của Tent")</f>
        <v>Bộ quà tặng dành cho mẹ của Tent</v>
      </c>
      <c r="G491" s="8" t="str">
        <f>IFERROR(__xludf.DUMMYFUNCTION("GOOGLETRANSLATE(E491,""zh-CN"",""vi"")"),"Nhấp đúp chuột sẽ tạo ra sản phẩm gốc tương ứng với một xác suất nhất định.")</f>
        <v>Nhấp đúp chuột sẽ tạo ra sản phẩm gốc tương ứng với một xác suất nhất định.</v>
      </c>
      <c r="H491" s="8"/>
      <c r="I491" s="8"/>
      <c r="J491" s="8"/>
    </row>
    <row r="492" ht="21.0" customHeight="1">
      <c r="A492" s="5">
        <v>5.0</v>
      </c>
      <c r="B492" s="6">
        <v>507.0</v>
      </c>
      <c r="C492" s="6">
        <v>1.0</v>
      </c>
      <c r="D492" s="16" t="s">
        <v>804</v>
      </c>
      <c r="E492" s="9" t="s">
        <v>800</v>
      </c>
      <c r="F492" s="8" t="str">
        <f>IFERROR(__xludf.DUMMYFUNCTION("GOOGLETRANSLATE(D492,""zh-CN"",""vi"")"),"Bộ quà tặng dành cho mẹ nuôi thú cưng")</f>
        <v>Bộ quà tặng dành cho mẹ nuôi thú cưng</v>
      </c>
      <c r="G492" s="8" t="str">
        <f>IFERROR(__xludf.DUMMYFUNCTION("GOOGLETRANSLATE(E492,""zh-CN"",""vi"")"),"Nhấp đúp chuột sẽ tạo ra sản phẩm gốc tương ứng với một xác suất nhất định.")</f>
        <v>Nhấp đúp chuột sẽ tạo ra sản phẩm gốc tương ứng với một xác suất nhất định.</v>
      </c>
      <c r="H492" s="8"/>
      <c r="I492" s="8"/>
      <c r="J492" s="8"/>
    </row>
    <row r="493" ht="21.0" customHeight="1">
      <c r="A493" s="5">
        <v>5.0</v>
      </c>
      <c r="B493" s="6">
        <v>507.0</v>
      </c>
      <c r="C493" s="6">
        <v>1.0</v>
      </c>
      <c r="D493" s="16" t="s">
        <v>805</v>
      </c>
      <c r="E493" s="9" t="s">
        <v>800</v>
      </c>
      <c r="F493" s="8" t="str">
        <f>IFERROR(__xludf.DUMMYFUNCTION("GOOGLETRANSLATE(D493,""zh-CN"",""vi"")"),"Bộ quà tặng cây thông Noel cho mẹ")</f>
        <v>Bộ quà tặng cây thông Noel cho mẹ</v>
      </c>
      <c r="G493" s="8" t="str">
        <f>IFERROR(__xludf.DUMMYFUNCTION("GOOGLETRANSLATE(E493,""zh-CN"",""vi"")"),"Nhấp đúp chuột sẽ tạo ra sản phẩm gốc tương ứng với một xác suất nhất định.")</f>
        <v>Nhấp đúp chuột sẽ tạo ra sản phẩm gốc tương ứng với một xác suất nhất định.</v>
      </c>
      <c r="H493" s="8"/>
      <c r="I493" s="8"/>
      <c r="J493" s="8"/>
    </row>
    <row r="494" ht="21.0" customHeight="1">
      <c r="A494" s="5">
        <v>5.0</v>
      </c>
      <c r="B494" s="6">
        <v>507.0</v>
      </c>
      <c r="C494" s="6">
        <v>1.0</v>
      </c>
      <c r="D494" s="16" t="s">
        <v>806</v>
      </c>
      <c r="E494" s="9" t="s">
        <v>800</v>
      </c>
      <c r="F494" s="8" t="str">
        <f>IFERROR(__xludf.DUMMYFUNCTION("GOOGLETRANSLATE(D494,""zh-CN"",""vi"")"),"Bộ quà tặng phong bì đỏ cho mẹ")</f>
        <v>Bộ quà tặng phong bì đỏ cho mẹ</v>
      </c>
      <c r="G494" s="8" t="str">
        <f>IFERROR(__xludf.DUMMYFUNCTION("GOOGLETRANSLATE(E494,""zh-CN"",""vi"")"),"Nhấp đúp chuột sẽ tạo ra sản phẩm gốc tương ứng với một xác suất nhất định.")</f>
        <v>Nhấp đúp chuột sẽ tạo ra sản phẩm gốc tương ứng với một xác suất nhất định.</v>
      </c>
      <c r="H494" s="8"/>
      <c r="I494" s="8"/>
      <c r="J494" s="8"/>
    </row>
    <row r="495" ht="21.0" customHeight="1">
      <c r="A495" s="5">
        <v>5.0</v>
      </c>
      <c r="B495" s="6">
        <v>507.0</v>
      </c>
      <c r="C495" s="6">
        <v>1.0</v>
      </c>
      <c r="D495" s="16" t="s">
        <v>807</v>
      </c>
      <c r="E495" s="9" t="s">
        <v>800</v>
      </c>
      <c r="F495" s="8" t="str">
        <f>IFERROR(__xludf.DUMMYFUNCTION("GOOGLETRANSLATE(D495,""zh-CN"",""vi"")"),"Bộ quà tặng cho mẹ nhân dịp Love Island")</f>
        <v>Bộ quà tặng cho mẹ nhân dịp Love Island</v>
      </c>
      <c r="G495" s="8" t="str">
        <f>IFERROR(__xludf.DUMMYFUNCTION("GOOGLETRANSLATE(E495,""zh-CN"",""vi"")"),"Nhấp đúp chuột sẽ tạo ra sản phẩm gốc tương ứng với một xác suất nhất định.")</f>
        <v>Nhấp đúp chuột sẽ tạo ra sản phẩm gốc tương ứng với một xác suất nhất định.</v>
      </c>
      <c r="H495" s="8"/>
      <c r="I495" s="8"/>
      <c r="J495" s="8"/>
    </row>
    <row r="496" ht="21.0" customHeight="1">
      <c r="A496" s="5">
        <v>5.0</v>
      </c>
      <c r="B496" s="6">
        <v>507.0</v>
      </c>
      <c r="C496" s="6">
        <v>1.0</v>
      </c>
      <c r="D496" s="16" t="s">
        <v>808</v>
      </c>
      <c r="E496" s="9" t="s">
        <v>800</v>
      </c>
      <c r="F496" s="8" t="str">
        <f>IFERROR(__xludf.DUMMYFUNCTION("GOOGLETRANSLATE(D496,""zh-CN"",""vi"")"),"Bộ quà tặng dành cho bà mẹ đam mê thể thao")</f>
        <v>Bộ quà tặng dành cho bà mẹ đam mê thể thao</v>
      </c>
      <c r="G496" s="8" t="str">
        <f>IFERROR(__xludf.DUMMYFUNCTION("GOOGLETRANSLATE(E496,""zh-CN"",""vi"")"),"Nhấp đúp chuột sẽ tạo ra sản phẩm gốc tương ứng với một xác suất nhất định.")</f>
        <v>Nhấp đúp chuột sẽ tạo ra sản phẩm gốc tương ứng với một xác suất nhất định.</v>
      </c>
      <c r="H496" s="8"/>
      <c r="I496" s="8"/>
      <c r="J496" s="8"/>
    </row>
    <row r="497" ht="21.0" customHeight="1">
      <c r="A497" s="5">
        <v>5.0</v>
      </c>
      <c r="B497" s="6">
        <v>507.0</v>
      </c>
      <c r="C497" s="6">
        <v>1.0</v>
      </c>
      <c r="D497" s="16" t="s">
        <v>809</v>
      </c>
      <c r="E497" s="9" t="s">
        <v>800</v>
      </c>
      <c r="F497" s="8" t="str">
        <f>IFERROR(__xludf.DUMMYFUNCTION("GOOGLETRANSLATE(D497,""zh-CN"",""vi"")"),"Bộ quà tặng xe buýt dã ngoại mùa xuân")</f>
        <v>Bộ quà tặng xe buýt dã ngoại mùa xuân</v>
      </c>
      <c r="G497" s="8" t="str">
        <f>IFERROR(__xludf.DUMMYFUNCTION("GOOGLETRANSLATE(E497,""zh-CN"",""vi"")"),"Nhấp đúp chuột sẽ tạo ra sản phẩm gốc tương ứng với một xác suất nhất định.")</f>
        <v>Nhấp đúp chuột sẽ tạo ra sản phẩm gốc tương ứng với một xác suất nhất định.</v>
      </c>
      <c r="H497" s="8"/>
      <c r="I497" s="8"/>
      <c r="J497" s="8"/>
    </row>
    <row r="498" ht="21.0" customHeight="1">
      <c r="A498" s="5">
        <v>5.0</v>
      </c>
      <c r="B498" s="6">
        <v>507.0</v>
      </c>
      <c r="C498" s="6">
        <v>1.0</v>
      </c>
      <c r="D498" s="16" t="s">
        <v>810</v>
      </c>
      <c r="E498" s="9" t="s">
        <v>800</v>
      </c>
      <c r="F498" s="8" t="str">
        <f>IFERROR(__xludf.DUMMYFUNCTION("GOOGLETRANSLATE(D498,""zh-CN"",""vi"")"),"Đài tưởng niệm Lao động Mẹ")</f>
        <v>Đài tưởng niệm Lao động Mẹ</v>
      </c>
      <c r="G498" s="8" t="str">
        <f>IFERROR(__xludf.DUMMYFUNCTION("GOOGLETRANSLATE(E498,""zh-CN"",""vi"")"),"Nhấp đúp chuột sẽ tạo ra sản phẩm gốc tương ứng với một xác suất nhất định.")</f>
        <v>Nhấp đúp chuột sẽ tạo ra sản phẩm gốc tương ứng với một xác suất nhất định.</v>
      </c>
      <c r="H498" s="8"/>
      <c r="I498" s="8"/>
      <c r="J498" s="8"/>
    </row>
    <row r="499" ht="21.0" customHeight="1">
      <c r="A499" s="5">
        <v>5.0</v>
      </c>
      <c r="B499" s="6">
        <v>507.0</v>
      </c>
      <c r="C499" s="6">
        <v>1.0</v>
      </c>
      <c r="D499" s="16" t="s">
        <v>811</v>
      </c>
      <c r="E499" s="9" t="s">
        <v>812</v>
      </c>
      <c r="F499" s="8" t="str">
        <f>IFERROR(__xludf.DUMMYFUNCTION("GOOGLETRANSLATE(D499,""zh-CN"",""vi"")"),"Gói quà tặng ngẫu nhiên cấp độ 3 dành cho Mẹ")</f>
        <v>Gói quà tặng ngẫu nhiên cấp độ 3 dành cho Mẹ</v>
      </c>
      <c r="G499" s="8" t="str">
        <f>IFERROR(__xludf.DUMMYFUNCTION("GOOGLETRANSLATE(E499,""zh-CN"",""vi"")"),"Nhấp đúp chuột sẽ tạo ra nguyên liệu mẹ cấp 3 với một xác suất nhất định.")</f>
        <v>Nhấp đúp chuột sẽ tạo ra nguyên liệu mẹ cấp 3 với một xác suất nhất định.</v>
      </c>
      <c r="H499" s="8"/>
      <c r="I499" s="8"/>
      <c r="J499" s="8"/>
    </row>
    <row r="500" ht="21.0" customHeight="1">
      <c r="A500" s="5">
        <v>5.0</v>
      </c>
      <c r="B500" s="6">
        <v>513.0</v>
      </c>
      <c r="C500" s="6">
        <v>1.0</v>
      </c>
      <c r="D500" s="16" t="s">
        <v>813</v>
      </c>
      <c r="E500" s="9" t="s">
        <v>814</v>
      </c>
      <c r="F500" s="8" t="str">
        <f>IFERROR(__xludf.DUMMYFUNCTION("GOOGLETRANSLATE(D500,""zh-CN"",""vi"")"),"Gói quà tặng dành cho mẹ (Rút thăm may mắn)")</f>
        <v>Gói quà tặng dành cho mẹ (Rút thăm may mắn)</v>
      </c>
      <c r="G500" s="8" t="str">
        <f>IFERROR(__xludf.DUMMYFUNCTION("GOOGLETRANSLATE(E500,""zh-CN"",""vi"")"),"Nhấp đúp chuột sẽ tạo ngẫu nhiên nhiều cấu trúc cha khác nhau.")</f>
        <v>Nhấp đúp chuột sẽ tạo ngẫu nhiên nhiều cấu trúc cha khác nhau.</v>
      </c>
      <c r="H500" s="8"/>
      <c r="I500" s="8"/>
      <c r="J500" s="8"/>
    </row>
    <row r="501" ht="21.0" customHeight="1">
      <c r="A501" s="5">
        <v>5.0</v>
      </c>
      <c r="B501" s="6">
        <v>513.0</v>
      </c>
      <c r="C501" s="6">
        <v>1.0</v>
      </c>
      <c r="D501" s="16" t="s">
        <v>815</v>
      </c>
      <c r="E501" s="9" t="s">
        <v>814</v>
      </c>
      <c r="F501" s="8" t="str">
        <f>IFERROR(__xludf.DUMMYFUNCTION("GOOGLETRANSLATE(D501,""zh-CN"",""vi"")"),"Gói quà tặng dành cho mẹ (Rút thăm may mắn)")</f>
        <v>Gói quà tặng dành cho mẹ (Rút thăm may mắn)</v>
      </c>
      <c r="G501" s="8" t="str">
        <f>IFERROR(__xludf.DUMMYFUNCTION("GOOGLETRANSLATE(E501,""zh-CN"",""vi"")"),"Nhấp đúp chuột sẽ tạo ngẫu nhiên nhiều cấu trúc cha khác nhau.")</f>
        <v>Nhấp đúp chuột sẽ tạo ngẫu nhiên nhiều cấu trúc cha khác nhau.</v>
      </c>
      <c r="H501" s="8"/>
      <c r="I501" s="8"/>
      <c r="J501" s="8"/>
    </row>
    <row r="502" ht="21.0" customHeight="1">
      <c r="A502" s="5">
        <v>5.0</v>
      </c>
      <c r="B502" s="6">
        <v>513.0</v>
      </c>
      <c r="C502" s="6">
        <v>1.0</v>
      </c>
      <c r="D502" s="16" t="s">
        <v>816</v>
      </c>
      <c r="E502" s="9" t="s">
        <v>817</v>
      </c>
      <c r="F502" s="8" t="str">
        <f>IFERROR(__xludf.DUMMYFUNCTION("GOOGLETRANSLATE(D502,""zh-CN"",""vi"")"),"Bộ quà tặng trang phục (Rút thăm may mắn)")</f>
        <v>Bộ quà tặng trang phục (Rút thăm may mắn)</v>
      </c>
      <c r="G502" s="8" t="str">
        <f>IFERROR(__xludf.DUMMYFUNCTION("GOOGLETRANSLATE(E502,""zh-CN"",""vi"")"),"Nhấp đúp chuột sẽ tạo ngẫu nhiên một giao diện trang phục.")</f>
        <v>Nhấp đúp chuột sẽ tạo ngẫu nhiên một giao diện trang phục.</v>
      </c>
      <c r="H502" s="8"/>
      <c r="I502" s="8"/>
      <c r="J502" s="8"/>
    </row>
    <row r="503" ht="21.0" customHeight="1">
      <c r="A503" s="5">
        <v>5.0</v>
      </c>
      <c r="B503" s="6">
        <v>537.0</v>
      </c>
      <c r="C503" s="6">
        <v>1.0</v>
      </c>
      <c r="D503" s="15" t="s">
        <v>818</v>
      </c>
      <c r="E503" s="9" t="s">
        <v>819</v>
      </c>
      <c r="F503" s="8" t="str">
        <f>IFERROR(__xludf.DUMMYFUNCTION("GOOGLETRANSLATE(D503,""zh-CN"",""vi"")"),"Giải nhất cuộc thi đồng đội, rương kho báu hàng ngày")</f>
        <v>Giải nhất cuộc thi đồng đội, rương kho báu hàng ngày</v>
      </c>
      <c r="G503" s="8" t="str">
        <f>IFERROR(__xludf.DUMMYFUNCTION("GOOGLETRANSLATE(E503,""zh-CN"",""vi"")"),"Bạn đã đi trước rất xa rồi!")</f>
        <v>Bạn đã đi trước rất xa rồi!</v>
      </c>
      <c r="H503" s="8"/>
      <c r="I503" s="8"/>
      <c r="J503" s="8"/>
    </row>
    <row r="504" ht="21.0" customHeight="1">
      <c r="A504" s="5">
        <v>5.0</v>
      </c>
      <c r="B504" s="6">
        <v>537.0</v>
      </c>
      <c r="C504" s="6">
        <v>1.0</v>
      </c>
      <c r="D504" s="15" t="s">
        <v>820</v>
      </c>
      <c r="E504" s="9" t="s">
        <v>821</v>
      </c>
      <c r="F504" s="8" t="str">
        <f>IFERROR(__xludf.DUMMYFUNCTION("GOOGLETRANSLATE(D504,""zh-CN"",""vi"")"),"Giải nhì cuộc thi đồng đội rương kho báu hàng ngày")</f>
        <v>Giải nhì cuộc thi đồng đội rương kho báu hàng ngày</v>
      </c>
      <c r="G504" s="8" t="str">
        <f>IFERROR(__xludf.DUMMYFUNCTION("GOOGLETRANSLATE(E504,""zh-CN"",""vi"")"),"Cứ tiếp tục như vậy, bạn sắp vượt qua người dẫn đầu rồi!")</f>
        <v>Cứ tiếp tục như vậy, bạn sắp vượt qua người dẫn đầu rồi!</v>
      </c>
      <c r="H504" s="8"/>
      <c r="I504" s="8"/>
      <c r="J504" s="8"/>
    </row>
    <row r="505" ht="21.0" customHeight="1">
      <c r="A505" s="5">
        <v>5.0</v>
      </c>
      <c r="B505" s="6">
        <v>537.0</v>
      </c>
      <c r="C505" s="6">
        <v>1.0</v>
      </c>
      <c r="D505" s="15" t="s">
        <v>822</v>
      </c>
      <c r="E505" s="9" t="s">
        <v>823</v>
      </c>
      <c r="F505" s="8" t="str">
        <f>IFERROR(__xludf.DUMMYFUNCTION("GOOGLETRANSLATE(D505,""zh-CN"",""vi"")"),"Giải đấu đồng đội hạng ba Rương kho báu hàng ngày")</f>
        <v>Giải đấu đồng đội hạng ba Rương kho báu hàng ngày</v>
      </c>
      <c r="G505" s="8" t="str">
        <f>IFERROR(__xludf.DUMMYFUNCTION("GOOGLETRANSLATE(E505,""zh-CN"",""vi"")"),"trụ cột")</f>
        <v>trụ cột</v>
      </c>
      <c r="H505" s="8"/>
      <c r="I505" s="8"/>
      <c r="J505" s="8"/>
    </row>
    <row r="506" ht="21.0" customHeight="1">
      <c r="A506" s="5">
        <v>5.0</v>
      </c>
      <c r="B506" s="6">
        <v>537.0</v>
      </c>
      <c r="C506" s="6">
        <v>1.0</v>
      </c>
      <c r="D506" s="15" t="s">
        <v>824</v>
      </c>
      <c r="E506" s="9" t="s">
        <v>825</v>
      </c>
      <c r="F506" s="8" t="str">
        <f>IFERROR(__xludf.DUMMYFUNCTION("GOOGLETRANSLATE(D506,""zh-CN"",""vi"")"),"Hạng tư cuộc thi đồng đội Rương kho báu hàng ngày")</f>
        <v>Hạng tư cuộc thi đồng đội Rương kho báu hàng ngày</v>
      </c>
      <c r="G506" s="8" t="str">
        <f>IFERROR(__xludf.DUMMYFUNCTION("GOOGLETRANSLATE(E506,""zh-CN"",""vi"")"),"Hãy tiếp tục phát huy nhé!")</f>
        <v>Hãy tiếp tục phát huy nhé!</v>
      </c>
      <c r="H506" s="8"/>
      <c r="I506" s="8"/>
      <c r="J506" s="8"/>
    </row>
    <row r="507" ht="21.0" customHeight="1">
      <c r="A507" s="5">
        <v>5.0</v>
      </c>
      <c r="B507" s="6">
        <v>537.0</v>
      </c>
      <c r="C507" s="6">
        <v>1.0</v>
      </c>
      <c r="D507" s="15" t="s">
        <v>826</v>
      </c>
      <c r="E507" s="9" t="s">
        <v>825</v>
      </c>
      <c r="F507" s="8" t="str">
        <f>IFERROR(__xludf.DUMMYFUNCTION("GOOGLETRANSLATE(D507,""zh-CN"",""vi"")"),"Hạng 5 cuộc thi đồng đội - Rương kho báu hàng ngày")</f>
        <v>Hạng 5 cuộc thi đồng đội - Rương kho báu hàng ngày</v>
      </c>
      <c r="G507" s="8" t="str">
        <f>IFERROR(__xludf.DUMMYFUNCTION("GOOGLETRANSLATE(E507,""zh-CN"",""vi"")"),"Hãy tiếp tục phát huy nhé!")</f>
        <v>Hãy tiếp tục phát huy nhé!</v>
      </c>
      <c r="H507" s="8"/>
      <c r="I507" s="8"/>
      <c r="J507" s="8"/>
    </row>
    <row r="508" ht="21.0" customHeight="1">
      <c r="A508" s="5">
        <v>5.0</v>
      </c>
      <c r="B508" s="6">
        <v>507.0</v>
      </c>
      <c r="C508" s="6">
        <v>1.0</v>
      </c>
      <c r="D508" s="16" t="s">
        <v>827</v>
      </c>
      <c r="E508" s="9" t="s">
        <v>800</v>
      </c>
      <c r="F508" s="8" t="str">
        <f>IFERROR(__xludf.DUMMYFUNCTION("GOOGLETRANSLATE(D508,""zh-CN"",""vi"")"),"Bộ quà tặng dành cho bà mẹ may mắn")</f>
        <v>Bộ quà tặng dành cho bà mẹ may mắn</v>
      </c>
      <c r="G508" s="8" t="str">
        <f>IFERROR(__xludf.DUMMYFUNCTION("GOOGLETRANSLATE(E508,""zh-CN"",""vi"")"),"Nhấp đúp chuột sẽ tạo ra sản phẩm gốc tương ứng với một xác suất nhất định.")</f>
        <v>Nhấp đúp chuột sẽ tạo ra sản phẩm gốc tương ứng với một xác suất nhất định.</v>
      </c>
      <c r="H508" s="8"/>
      <c r="I508" s="8"/>
      <c r="J508" s="8"/>
    </row>
    <row r="509" ht="21.0" customHeight="1">
      <c r="A509" s="5">
        <v>5.0</v>
      </c>
      <c r="B509" s="6">
        <v>507.0</v>
      </c>
      <c r="C509" s="6">
        <v>1.0</v>
      </c>
      <c r="D509" s="16" t="s">
        <v>827</v>
      </c>
      <c r="E509" s="9" t="s">
        <v>800</v>
      </c>
      <c r="F509" s="8" t="str">
        <f>IFERROR(__xludf.DUMMYFUNCTION("GOOGLETRANSLATE(D509,""zh-CN"",""vi"")"),"Bộ quà tặng dành cho bà mẹ may mắn")</f>
        <v>Bộ quà tặng dành cho bà mẹ may mắn</v>
      </c>
      <c r="G509" s="8" t="str">
        <f>IFERROR(__xludf.DUMMYFUNCTION("GOOGLETRANSLATE(E509,""zh-CN"",""vi"")"),"Nhấp đúp chuột sẽ tạo ra sản phẩm gốc tương ứng với một xác suất nhất định.")</f>
        <v>Nhấp đúp chuột sẽ tạo ra sản phẩm gốc tương ứng với một xác suất nhất định.</v>
      </c>
      <c r="H509" s="8"/>
      <c r="I509" s="8"/>
      <c r="J509" s="8"/>
    </row>
    <row r="510" ht="21.0" customHeight="1">
      <c r="A510" s="5">
        <v>5.0</v>
      </c>
      <c r="B510" s="6">
        <v>507.0</v>
      </c>
      <c r="C510" s="6">
        <v>1.0</v>
      </c>
      <c r="D510" s="16" t="s">
        <v>827</v>
      </c>
      <c r="E510" s="9" t="s">
        <v>800</v>
      </c>
      <c r="F510" s="8" t="str">
        <f>IFERROR(__xludf.DUMMYFUNCTION("GOOGLETRANSLATE(D510,""zh-CN"",""vi"")"),"Bộ quà tặng dành cho bà mẹ may mắn")</f>
        <v>Bộ quà tặng dành cho bà mẹ may mắn</v>
      </c>
      <c r="G510" s="8" t="str">
        <f>IFERROR(__xludf.DUMMYFUNCTION("GOOGLETRANSLATE(E510,""zh-CN"",""vi"")"),"Nhấp đúp chuột sẽ tạo ra sản phẩm gốc tương ứng với một xác suất nhất định.")</f>
        <v>Nhấp đúp chuột sẽ tạo ra sản phẩm gốc tương ứng với một xác suất nhất định.</v>
      </c>
      <c r="H510" s="8"/>
      <c r="I510" s="8"/>
      <c r="J510" s="8"/>
    </row>
    <row r="511" ht="21.0" customHeight="1">
      <c r="A511" s="5">
        <v>5.0</v>
      </c>
      <c r="B511" s="6">
        <v>507.0</v>
      </c>
      <c r="C511" s="6">
        <v>1.0</v>
      </c>
      <c r="D511" s="16" t="s">
        <v>827</v>
      </c>
      <c r="E511" s="9" t="s">
        <v>800</v>
      </c>
      <c r="F511" s="8" t="str">
        <f>IFERROR(__xludf.DUMMYFUNCTION("GOOGLETRANSLATE(D511,""zh-CN"",""vi"")"),"Bộ quà tặng dành cho bà mẹ may mắn")</f>
        <v>Bộ quà tặng dành cho bà mẹ may mắn</v>
      </c>
      <c r="G511" s="8" t="str">
        <f>IFERROR(__xludf.DUMMYFUNCTION("GOOGLETRANSLATE(E511,""zh-CN"",""vi"")"),"Nhấp đúp chuột sẽ tạo ra sản phẩm gốc tương ứng với một xác suất nhất định.")</f>
        <v>Nhấp đúp chuột sẽ tạo ra sản phẩm gốc tương ứng với một xác suất nhất định.</v>
      </c>
      <c r="H511" s="8"/>
      <c r="I511" s="8"/>
      <c r="J511" s="8"/>
    </row>
    <row r="512" ht="21.0" customHeight="1">
      <c r="A512" s="5">
        <v>5.0</v>
      </c>
      <c r="B512" s="6">
        <v>507.0</v>
      </c>
      <c r="C512" s="6">
        <v>1.0</v>
      </c>
      <c r="D512" s="16" t="s">
        <v>827</v>
      </c>
      <c r="E512" s="9" t="s">
        <v>800</v>
      </c>
      <c r="F512" s="8" t="str">
        <f>IFERROR(__xludf.DUMMYFUNCTION("GOOGLETRANSLATE(D512,""zh-CN"",""vi"")"),"Bộ quà tặng dành cho bà mẹ may mắn")</f>
        <v>Bộ quà tặng dành cho bà mẹ may mắn</v>
      </c>
      <c r="G512" s="8" t="str">
        <f>IFERROR(__xludf.DUMMYFUNCTION("GOOGLETRANSLATE(E512,""zh-CN"",""vi"")"),"Nhấp đúp chuột sẽ tạo ra sản phẩm gốc tương ứng với một xác suất nhất định.")</f>
        <v>Nhấp đúp chuột sẽ tạo ra sản phẩm gốc tương ứng với một xác suất nhất định.</v>
      </c>
      <c r="H512" s="8"/>
      <c r="I512" s="8"/>
      <c r="J512" s="8"/>
    </row>
    <row r="513" ht="21.0" customHeight="1">
      <c r="A513" s="5">
        <v>5.0</v>
      </c>
      <c r="B513" s="6">
        <v>514.0</v>
      </c>
      <c r="C513" s="6">
        <v>1.0</v>
      </c>
      <c r="D513" s="15" t="s">
        <v>828</v>
      </c>
      <c r="E513" s="9" t="s">
        <v>829</v>
      </c>
      <c r="F513" s="8" t="str">
        <f>IFERROR(__xludf.DUMMYFUNCTION("GOOGLETRANSLATE(D513,""zh-CN"",""vi"")"),"Người mới bắt đầu tập luyện lột da ngực (Loại bỏ)")</f>
        <v>Người mới bắt đầu tập luyện lột da ngực (Loại bỏ)</v>
      </c>
      <c r="G513" s="8" t="str">
        <f>IFERROR(__xludf.DUMMYFUNCTION("GOOGLETRANSLATE(E513,""zh-CN"",""vi"")"),"Nhấp đúp chuột có cơ hội nhận được mảnh da, tiền xu, vật phẩm, thể lực và cây mẹ.")</f>
        <v>Nhấp đúp chuột có cơ hội nhận được mảnh da, tiền xu, vật phẩm, thể lực và cây mẹ.</v>
      </c>
      <c r="H513" s="8"/>
      <c r="I513" s="8"/>
      <c r="J513" s="8"/>
    </row>
    <row r="514" ht="21.0" customHeight="1">
      <c r="A514" s="5">
        <v>5.0</v>
      </c>
      <c r="B514" s="6">
        <v>514.0</v>
      </c>
      <c r="C514" s="6">
        <v>1.0</v>
      </c>
      <c r="D514" s="15" t="s">
        <v>830</v>
      </c>
      <c r="E514" s="9" t="s">
        <v>831</v>
      </c>
      <c r="F514" s="8" t="str">
        <f>IFERROR(__xludf.DUMMYFUNCTION("GOOGLETRANSLATE(D514,""zh-CN"",""vi"")"),"Rương Elf dành cho người mới chơi (Loại trừ)")</f>
        <v>Rương Elf dành cho người mới chơi (Loại trừ)</v>
      </c>
      <c r="G514" s="8" t="str">
        <f>IFERROR(__xludf.DUMMYFUNCTION("GOOGLETRANSLATE(E514,""zh-CN"",""vi"")"),"Nhấp đúp chuột có cơ hội nhận được mảnh linh hồn, tiền xu, vật phẩm, thể lực và linh hồn mẹ.")</f>
        <v>Nhấp đúp chuột có cơ hội nhận được mảnh linh hồn, tiền xu, vật phẩm, thể lực và linh hồn mẹ.</v>
      </c>
      <c r="H514" s="8"/>
      <c r="I514" s="8"/>
      <c r="J514" s="8"/>
    </row>
    <row r="515" ht="21.0" customHeight="1">
      <c r="A515" s="5">
        <v>5.0</v>
      </c>
      <c r="B515" s="6">
        <v>514.0</v>
      </c>
      <c r="C515" s="6">
        <v>1.0</v>
      </c>
      <c r="D515" s="15" t="s">
        <v>832</v>
      </c>
      <c r="E515" s="9" t="s">
        <v>829</v>
      </c>
      <c r="F515" s="8" t="str">
        <f>IFERROR(__xludf.DUMMYFUNCTION("GOOGLETRANSLATE(D515,""zh-CN"",""vi"")"),"Da ngực cao cấp (Loại bỏ)")</f>
        <v>Da ngực cao cấp (Loại bỏ)</v>
      </c>
      <c r="G515" s="8" t="str">
        <f>IFERROR(__xludf.DUMMYFUNCTION("GOOGLETRANSLATE(E515,""zh-CN"",""vi"")"),"Nhấp đúp chuột có cơ hội nhận được mảnh da, tiền xu, vật phẩm, thể lực và cây mẹ.")</f>
        <v>Nhấp đúp chuột có cơ hội nhận được mảnh da, tiền xu, vật phẩm, thể lực và cây mẹ.</v>
      </c>
      <c r="H515" s="8"/>
      <c r="I515" s="8"/>
      <c r="J515" s="8"/>
    </row>
    <row r="516" ht="21.0" customHeight="1">
      <c r="A516" s="5">
        <v>5.0</v>
      </c>
      <c r="B516" s="6">
        <v>514.0</v>
      </c>
      <c r="C516" s="6">
        <v>1.0</v>
      </c>
      <c r="D516" s="15" t="s">
        <v>833</v>
      </c>
      <c r="E516" s="9" t="s">
        <v>831</v>
      </c>
      <c r="F516" s="8" t="str">
        <f>IFERROR(__xludf.DUMMYFUNCTION("GOOGLETRANSLATE(D516,""zh-CN"",""vi"")"),"Rương Elf Cao Cấp (Loại bỏ)")</f>
        <v>Rương Elf Cao Cấp (Loại bỏ)</v>
      </c>
      <c r="G516" s="8" t="str">
        <f>IFERROR(__xludf.DUMMYFUNCTION("GOOGLETRANSLATE(E516,""zh-CN"",""vi"")"),"Nhấp đúp chuột có cơ hội nhận được mảnh linh hồn, tiền xu, vật phẩm, thể lực và linh hồn mẹ.")</f>
        <v>Nhấp đúp chuột có cơ hội nhận được mảnh linh hồn, tiền xu, vật phẩm, thể lực và linh hồn mẹ.</v>
      </c>
      <c r="H516" s="8"/>
      <c r="I516" s="8"/>
      <c r="J516" s="8"/>
    </row>
    <row r="517" ht="21.0" customHeight="1">
      <c r="A517" s="5">
        <v>17.0</v>
      </c>
      <c r="B517" s="6">
        <v>515.0</v>
      </c>
      <c r="C517" s="6">
        <v>1.0</v>
      </c>
      <c r="D517" s="16" t="s">
        <v>834</v>
      </c>
      <c r="E517" s="9" t="s">
        <v>615</v>
      </c>
      <c r="F517" s="8" t="str">
        <f>IFERROR(__xludf.DUMMYFUNCTION("GOOGLETRANSLATE(D517,""zh-CN"",""vi"")"),"Rương Thử Nghiệm Phần Thưởng Tùy Chọn")</f>
        <v>Rương Thử Nghiệm Phần Thưởng Tùy Chọn</v>
      </c>
      <c r="G517" s="8" t="str">
        <f>IFERROR(__xludf.DUMMYFUNCTION("GOOGLETRANSLATE(E517,""zh-CN"",""vi"")"),"Nhấp đúp chuột để chọn giải thưởng, sau đó nhấp chuột để tạo phần thưởng.")</f>
        <v>Nhấp đúp chuột để chọn giải thưởng, sau đó nhấp chuột để tạo phần thưởng.</v>
      </c>
      <c r="H517" s="8"/>
      <c r="I517" s="8"/>
      <c r="J517" s="8"/>
    </row>
    <row r="518" ht="21.0" customHeight="1">
      <c r="A518" s="5">
        <v>17.0</v>
      </c>
      <c r="B518" s="6">
        <v>516.0</v>
      </c>
      <c r="C518" s="6">
        <v>1.0</v>
      </c>
      <c r="D518" s="16" t="s">
        <v>835</v>
      </c>
      <c r="E518" s="9" t="s">
        <v>615</v>
      </c>
      <c r="F518" s="8" t="str">
        <f>IFERROR(__xludf.DUMMYFUNCTION("GOOGLETRANSLATE(D518,""zh-CN"",""vi"")"),"Gói lựa chọn trang phục Elf")</f>
        <v>Gói lựa chọn trang phục Elf</v>
      </c>
      <c r="G518" s="8" t="str">
        <f>IFERROR(__xludf.DUMMYFUNCTION("GOOGLETRANSLATE(E518,""zh-CN"",""vi"")"),"Nhấp đúp chuột để chọn giải thưởng, sau đó nhấp chuột để tạo phần thưởng.")</f>
        <v>Nhấp đúp chuột để chọn giải thưởng, sau đó nhấp chuột để tạo phần thưởng.</v>
      </c>
      <c r="H518" s="8"/>
      <c r="I518" s="8"/>
      <c r="J518" s="8"/>
    </row>
    <row r="519" ht="21.0" customHeight="1">
      <c r="A519" s="5">
        <v>14.0</v>
      </c>
      <c r="B519" s="6">
        <v>517.0</v>
      </c>
      <c r="C519" s="6">
        <v>1.0</v>
      </c>
      <c r="D519" s="16" t="s">
        <v>836</v>
      </c>
      <c r="E519" s="9" t="s">
        <v>615</v>
      </c>
      <c r="F519" s="8" t="str">
        <f>IFERROR(__xludf.DUMMYFUNCTION("GOOGLETRANSLATE(D519,""zh-CN"",""vi"")"),"Gói quà tặng dành cho khách hàng mới đặt hàng")</f>
        <v>Gói quà tặng dành cho khách hàng mới đặt hàng</v>
      </c>
      <c r="G519" s="8" t="str">
        <f>IFERROR(__xludf.DUMMYFUNCTION("GOOGLETRANSLATE(E519,""zh-CN"",""vi"")"),"Nhấp đúp chuột để chọn giải thưởng, sau đó nhấp chuột để tạo phần thưởng.")</f>
        <v>Nhấp đúp chuột để chọn giải thưởng, sau đó nhấp chuột để tạo phần thưởng.</v>
      </c>
      <c r="H519" s="8"/>
      <c r="I519" s="8"/>
      <c r="J519" s="8"/>
    </row>
    <row r="520" ht="21.0" customHeight="1">
      <c r="A520" s="5">
        <v>17.0</v>
      </c>
      <c r="B520" s="6">
        <v>518.0</v>
      </c>
      <c r="C520" s="6">
        <v>1.0</v>
      </c>
      <c r="D520" s="16" t="s">
        <v>837</v>
      </c>
      <c r="E520" s="9" t="s">
        <v>615</v>
      </c>
      <c r="F520" s="8" t="str">
        <f>IFERROR(__xludf.DUMMYFUNCTION("GOOGLETRANSLATE(D520,""zh-CN"",""vi"")"),"Bộ quà tặng chào mừng khách hàng mới")</f>
        <v>Bộ quà tặng chào mừng khách hàng mới</v>
      </c>
      <c r="G520" s="8" t="str">
        <f>IFERROR(__xludf.DUMMYFUNCTION("GOOGLETRANSLATE(E520,""zh-CN"",""vi"")"),"Nhấp đúp chuột để chọn giải thưởng, sau đó nhấp chuột để tạo phần thưởng.")</f>
        <v>Nhấp đúp chuột để chọn giải thưởng, sau đó nhấp chuột để tạo phần thưởng.</v>
      </c>
      <c r="H520" s="8"/>
      <c r="I520" s="8"/>
      <c r="J520" s="8"/>
    </row>
    <row r="521" ht="21.0" customHeight="1">
      <c r="A521" s="5">
        <v>14.0</v>
      </c>
      <c r="B521" s="6">
        <v>518.0</v>
      </c>
      <c r="C521" s="6">
        <v>1.0</v>
      </c>
      <c r="D521" s="16" t="s">
        <v>838</v>
      </c>
      <c r="E521" s="9" t="s">
        <v>839</v>
      </c>
      <c r="F521" s="8" t="str">
        <f>IFERROR(__xludf.DUMMYFUNCTION("GOOGLETRANSLATE(D521,""zh-CN"",""vi"")"),"Đội đạt vị trí thứ nhất")</f>
        <v>Đội đạt vị trí thứ nhất</v>
      </c>
      <c r="G521" s="8" t="str">
        <f>IFERROR(__xludf.DUMMYFUNCTION("GOOGLETRANSLATE(E521,""zh-CN"",""vi"")"),"Cuộc đua ngựa trong sân mang đến một gói phần thưởng có thể lựa chọn cho người chiến thắng ở vị trí đầu tiên. Nhấp đúp chuột sẽ nhận được phần thưởng.")</f>
        <v>Cuộc đua ngựa trong sân mang đến một gói phần thưởng có thể lựa chọn cho người chiến thắng ở vị trí đầu tiên. Nhấp đúp chuột sẽ nhận được phần thưởng.</v>
      </c>
      <c r="H521" s="8"/>
      <c r="I521" s="8"/>
      <c r="J521" s="8"/>
    </row>
    <row r="522" ht="21.0" customHeight="1">
      <c r="A522" s="5">
        <v>14.0</v>
      </c>
      <c r="B522" s="6">
        <v>518.0</v>
      </c>
      <c r="C522" s="6">
        <v>1.0</v>
      </c>
      <c r="D522" s="16" t="s">
        <v>840</v>
      </c>
      <c r="E522" s="9" t="s">
        <v>841</v>
      </c>
      <c r="F522" s="8" t="str">
        <f>IFERROR(__xludf.DUMMYFUNCTION("GOOGLETRANSLATE(D522,""zh-CN"",""vi"")"),"Đội đạt vị trí thứ 2")</f>
        <v>Đội đạt vị trí thứ 2</v>
      </c>
      <c r="G522" s="8" t="str">
        <f>IFERROR(__xludf.DUMMYFUNCTION("GOOGLETRANSLATE(E522,""zh-CN"",""vi"")"),"Cuộc đua ngựa trong sân mang đến cho người chơi về nhì một gói phần thưởng tùy chọn. Nhấp đúp chuột sẽ nhận được phần thưởng.")</f>
        <v>Cuộc đua ngựa trong sân mang đến cho người chơi về nhì một gói phần thưởng tùy chọn. Nhấp đúp chuột sẽ nhận được phần thưởng.</v>
      </c>
      <c r="H522" s="8"/>
      <c r="I522" s="8"/>
      <c r="J522" s="8"/>
    </row>
    <row r="523" ht="21.0" customHeight="1">
      <c r="A523" s="5">
        <v>14.0</v>
      </c>
      <c r="B523" s="6">
        <v>518.0</v>
      </c>
      <c r="C523" s="6">
        <v>1.0</v>
      </c>
      <c r="D523" s="16" t="s">
        <v>842</v>
      </c>
      <c r="E523" s="9" t="s">
        <v>843</v>
      </c>
      <c r="F523" s="8" t="str">
        <f>IFERROR(__xludf.DUMMYFUNCTION("GOOGLETRANSLATE(D523,""zh-CN"",""vi"")"),"Đội đạt vị trí thứ 3")</f>
        <v>Đội đạt vị trí thứ 3</v>
      </c>
      <c r="G523" s="8" t="str">
        <f>IFERROR(__xludf.DUMMYFUNCTION("GOOGLETRANSLATE(E523,""zh-CN"",""vi"")"),"Cuộc đua ngựa trong sân mang đến một gói phần thưởng tùy chọn cho người về thứ 3. Nhấp đúp chuột sẽ nhận được phần thưởng.")</f>
        <v>Cuộc đua ngựa trong sân mang đến một gói phần thưởng tùy chọn cho người về thứ 3. Nhấp đúp chuột sẽ nhận được phần thưởng.</v>
      </c>
      <c r="H523" s="8"/>
      <c r="I523" s="8"/>
      <c r="J523" s="8"/>
    </row>
    <row r="524" ht="21.0" customHeight="1">
      <c r="A524" s="5">
        <v>17.0</v>
      </c>
      <c r="B524" s="6">
        <v>518.0</v>
      </c>
      <c r="C524" s="6">
        <v>1.0</v>
      </c>
      <c r="D524" s="16" t="s">
        <v>844</v>
      </c>
      <c r="E524" s="9" t="s">
        <v>615</v>
      </c>
      <c r="F524" s="8" t="str">
        <f>IFERROR(__xludf.DUMMYFUNCTION("GOOGLETRANSLATE(D524,""zh-CN"",""vi"")"),"Bộ quà tặng Mother's Choice số 1")</f>
        <v>Bộ quà tặng Mother's Choice số 1</v>
      </c>
      <c r="G524" s="8" t="str">
        <f>IFERROR(__xludf.DUMMYFUNCTION("GOOGLETRANSLATE(E524,""zh-CN"",""vi"")"),"Nhấp đúp chuột để chọn giải thưởng, sau đó nhấp chuột để tạo phần thưởng.")</f>
        <v>Nhấp đúp chuột để chọn giải thưởng, sau đó nhấp chuột để tạo phần thưởng.</v>
      </c>
      <c r="H524" s="8"/>
      <c r="I524" s="8"/>
      <c r="J524" s="8"/>
    </row>
    <row r="525" ht="21.0" customHeight="1">
      <c r="A525" s="5">
        <v>17.0</v>
      </c>
      <c r="B525" s="6">
        <v>518.0</v>
      </c>
      <c r="C525" s="6">
        <v>1.0</v>
      </c>
      <c r="D525" s="16" t="s">
        <v>845</v>
      </c>
      <c r="E525" s="9" t="s">
        <v>615</v>
      </c>
      <c r="F525" s="8" t="str">
        <f>IFERROR(__xludf.DUMMYFUNCTION("GOOGLETRANSLATE(D525,""zh-CN"",""vi"")"),"Bộ quà tặng Mother's Choice số 2")</f>
        <v>Bộ quà tặng Mother's Choice số 2</v>
      </c>
      <c r="G525" s="8" t="str">
        <f>IFERROR(__xludf.DUMMYFUNCTION("GOOGLETRANSLATE(E525,""zh-CN"",""vi"")"),"Nhấp đúp chuột để chọn giải thưởng, sau đó nhấp chuột để tạo phần thưởng.")</f>
        <v>Nhấp đúp chuột để chọn giải thưởng, sau đó nhấp chuột để tạo phần thưởng.</v>
      </c>
      <c r="H525" s="8"/>
      <c r="I525" s="8"/>
      <c r="J525" s="8"/>
    </row>
    <row r="526" ht="21.0" customHeight="1">
      <c r="A526" s="5">
        <v>17.0</v>
      </c>
      <c r="B526" s="6">
        <v>518.0</v>
      </c>
      <c r="C526" s="6">
        <v>1.0</v>
      </c>
      <c r="D526" s="16" t="s">
        <v>846</v>
      </c>
      <c r="E526" s="9" t="s">
        <v>615</v>
      </c>
      <c r="F526" s="8" t="str">
        <f>IFERROR(__xludf.DUMMYFUNCTION("GOOGLETRANSLATE(D526,""zh-CN"",""vi"")"),"Bộ quà tặng Mother's Choice số 3")</f>
        <v>Bộ quà tặng Mother's Choice số 3</v>
      </c>
      <c r="G526" s="8" t="str">
        <f>IFERROR(__xludf.DUMMYFUNCTION("GOOGLETRANSLATE(E526,""zh-CN"",""vi"")"),"Nhấp đúp chuột để chọn giải thưởng, sau đó nhấp chuột để tạo phần thưởng.")</f>
        <v>Nhấp đúp chuột để chọn giải thưởng, sau đó nhấp chuột để tạo phần thưởng.</v>
      </c>
      <c r="H526" s="8"/>
      <c r="I526" s="8"/>
      <c r="J526" s="8"/>
    </row>
    <row r="527" ht="21.0" customHeight="1">
      <c r="A527" s="5">
        <v>17.0</v>
      </c>
      <c r="B527" s="6">
        <v>518.0</v>
      </c>
      <c r="C527" s="6">
        <v>1.0</v>
      </c>
      <c r="D527" s="16" t="s">
        <v>847</v>
      </c>
      <c r="E527" s="9" t="s">
        <v>848</v>
      </c>
      <c r="F527" s="8" t="str">
        <f>IFERROR(__xludf.DUMMYFUNCTION("GOOGLETRANSLATE(D527,""zh-CN"",""vi"")"),"Gói quà tự chọn của cửa hàng Xiaomei")</f>
        <v>Gói quà tự chọn của cửa hàng Xiaomei</v>
      </c>
      <c r="G527" s="8" t="str">
        <f>IFERROR(__xludf.DUMMYFUNCTION("GOOGLETRANSLATE(E527,""zh-CN"",""vi"")"),"Nhấp đúp chuột để chọn phần thưởng (Sức bền) hoặc thẻ mở rộng hộp lưu trữ, sau đó nhấp vào ""Phần thưởng sản xuất"".")</f>
        <v>Nhấp đúp chuột để chọn phần thưởng (Sức bền) hoặc thẻ mở rộng hộp lưu trữ, sau đó nhấp vào "Phần thưởng sản xuất".</v>
      </c>
      <c r="H527" s="8"/>
      <c r="I527" s="8"/>
      <c r="J527" s="8"/>
    </row>
    <row r="528" ht="21.0" customHeight="1">
      <c r="A528" s="5">
        <v>17.0</v>
      </c>
      <c r="B528" s="6">
        <v>518.0</v>
      </c>
      <c r="C528" s="6">
        <v>1.0</v>
      </c>
      <c r="D528" s="16" t="s">
        <v>849</v>
      </c>
      <c r="E528" s="9" t="s">
        <v>615</v>
      </c>
      <c r="F528" s="8" t="str">
        <f>IFERROR(__xludf.DUMMYFUNCTION("GOOGLETRANSLATE(D528,""zh-CN"",""vi"")"),"Rương kho báu có thể chọn 1")</f>
        <v>Rương kho báu có thể chọn 1</v>
      </c>
      <c r="G528" s="8" t="str">
        <f>IFERROR(__xludf.DUMMYFUNCTION("GOOGLETRANSLATE(E528,""zh-CN"",""vi"")"),"Nhấp đúp chuột để chọn giải thưởng, sau đó nhấp chuột để tạo phần thưởng.")</f>
        <v>Nhấp đúp chuột để chọn giải thưởng, sau đó nhấp chuột để tạo phần thưởng.</v>
      </c>
      <c r="H528" s="8"/>
      <c r="I528" s="8"/>
      <c r="J528" s="8"/>
    </row>
    <row r="529" ht="21.0" customHeight="1">
      <c r="A529" s="5">
        <v>17.0</v>
      </c>
      <c r="B529" s="6">
        <v>518.0</v>
      </c>
      <c r="C529" s="6">
        <v>1.0</v>
      </c>
      <c r="D529" s="16" t="s">
        <v>850</v>
      </c>
      <c r="E529" s="9" t="s">
        <v>615</v>
      </c>
      <c r="F529" s="8" t="str">
        <f>IFERROR(__xludf.DUMMYFUNCTION("GOOGLETRANSLATE(D529,""zh-CN"",""vi"")"),"Rương kho báu có thể lựa chọn 2")</f>
        <v>Rương kho báu có thể lựa chọn 2</v>
      </c>
      <c r="G529" s="8" t="str">
        <f>IFERROR(__xludf.DUMMYFUNCTION("GOOGLETRANSLATE(E529,""zh-CN"",""vi"")"),"Nhấp đúp chuột để chọn giải thưởng, sau đó nhấp chuột để tạo phần thưởng.")</f>
        <v>Nhấp đúp chuột để chọn giải thưởng, sau đó nhấp chuột để tạo phần thưởng.</v>
      </c>
      <c r="H529" s="8"/>
      <c r="I529" s="8"/>
      <c r="J529" s="8"/>
    </row>
    <row r="530" ht="21.0" customHeight="1">
      <c r="A530" s="5">
        <v>17.0</v>
      </c>
      <c r="B530" s="6">
        <v>518.0</v>
      </c>
      <c r="C530" s="6">
        <v>1.0</v>
      </c>
      <c r="D530" s="16" t="s">
        <v>851</v>
      </c>
      <c r="E530" s="9" t="s">
        <v>615</v>
      </c>
      <c r="F530" s="8" t="str">
        <f>IFERROR(__xludf.DUMMYFUNCTION("GOOGLETRANSLATE(D530,""zh-CN"",""vi"")"),"Rương kho báu có thể lựa chọn 3")</f>
        <v>Rương kho báu có thể lựa chọn 3</v>
      </c>
      <c r="G530" s="8" t="str">
        <f>IFERROR(__xludf.DUMMYFUNCTION("GOOGLETRANSLATE(E530,""zh-CN"",""vi"")"),"Nhấp đúp chuột để chọn giải thưởng, sau đó nhấp chuột để tạo phần thưởng.")</f>
        <v>Nhấp đúp chuột để chọn giải thưởng, sau đó nhấp chuột để tạo phần thưởng.</v>
      </c>
      <c r="H530" s="8"/>
      <c r="I530" s="8"/>
      <c r="J530" s="8"/>
    </row>
    <row r="531" ht="21.0" customHeight="1">
      <c r="A531" s="5">
        <v>17.0</v>
      </c>
      <c r="B531" s="6">
        <v>518.0</v>
      </c>
      <c r="C531" s="6">
        <v>1.0</v>
      </c>
      <c r="D531" s="16" t="s">
        <v>852</v>
      </c>
      <c r="E531" s="9" t="s">
        <v>615</v>
      </c>
      <c r="F531" s="8" t="str">
        <f>IFERROR(__xludf.DUMMYFUNCTION("GOOGLETRANSLATE(D531,""zh-CN"",""vi"")"),"Rương kho báu có thể lựa chọn 4")</f>
        <v>Rương kho báu có thể lựa chọn 4</v>
      </c>
      <c r="G531" s="8" t="str">
        <f>IFERROR(__xludf.DUMMYFUNCTION("GOOGLETRANSLATE(E531,""zh-CN"",""vi"")"),"Nhấp đúp chuột để chọn giải thưởng, sau đó nhấp chuột để tạo phần thưởng.")</f>
        <v>Nhấp đúp chuột để chọn giải thưởng, sau đó nhấp chuột để tạo phần thưởng.</v>
      </c>
      <c r="H531" s="8"/>
      <c r="I531" s="8"/>
      <c r="J531" s="8"/>
    </row>
    <row r="532" ht="21.0" customHeight="1">
      <c r="A532" s="5">
        <v>17.0</v>
      </c>
      <c r="B532" s="6">
        <v>518.0</v>
      </c>
      <c r="C532" s="6">
        <v>1.0</v>
      </c>
      <c r="D532" s="16" t="s">
        <v>853</v>
      </c>
      <c r="E532" s="9" t="s">
        <v>615</v>
      </c>
      <c r="F532" s="8" t="str">
        <f>IFERROR(__xludf.DUMMYFUNCTION("GOOGLETRANSLATE(D532,""zh-CN"",""vi"")"),"Rương kho báu có thể lựa chọn 5")</f>
        <v>Rương kho báu có thể lựa chọn 5</v>
      </c>
      <c r="G532" s="8" t="str">
        <f>IFERROR(__xludf.DUMMYFUNCTION("GOOGLETRANSLATE(E532,""zh-CN"",""vi"")"),"Nhấp đúp chuột để chọn giải thưởng, sau đó nhấp chuột để tạo phần thưởng.")</f>
        <v>Nhấp đúp chuột để chọn giải thưởng, sau đó nhấp chuột để tạo phần thưởng.</v>
      </c>
      <c r="H532" s="8"/>
      <c r="I532" s="8"/>
      <c r="J532" s="8"/>
    </row>
    <row r="533" ht="21.0" customHeight="1">
      <c r="A533" s="5">
        <v>17.0</v>
      </c>
      <c r="B533" s="6">
        <v>518.0</v>
      </c>
      <c r="C533" s="6">
        <v>1.0</v>
      </c>
      <c r="D533" s="16" t="s">
        <v>854</v>
      </c>
      <c r="E533" s="9" t="s">
        <v>615</v>
      </c>
      <c r="F533" s="8" t="str">
        <f>IFERROR(__xludf.DUMMYFUNCTION("GOOGLETRANSLATE(D533,""zh-CN"",""vi"")"),"Rương kho báu có thể lựa chọn 6")</f>
        <v>Rương kho báu có thể lựa chọn 6</v>
      </c>
      <c r="G533" s="8" t="str">
        <f>IFERROR(__xludf.DUMMYFUNCTION("GOOGLETRANSLATE(E533,""zh-CN"",""vi"")"),"Nhấp đúp chuột để chọn giải thưởng, sau đó nhấp chuột để tạo phần thưởng.")</f>
        <v>Nhấp đúp chuột để chọn giải thưởng, sau đó nhấp chuột để tạo phần thưởng.</v>
      </c>
      <c r="H533" s="8"/>
      <c r="I533" s="8"/>
      <c r="J533" s="8"/>
    </row>
    <row r="534" ht="21.0" customHeight="1">
      <c r="A534" s="30">
        <v>20.0</v>
      </c>
      <c r="B534" s="31">
        <v>518.0</v>
      </c>
      <c r="C534" s="31">
        <v>1.0</v>
      </c>
      <c r="D534" s="34" t="s">
        <v>837</v>
      </c>
      <c r="E534" s="33" t="s">
        <v>615</v>
      </c>
      <c r="F534" s="8" t="str">
        <f>IFERROR(__xludf.DUMMYFUNCTION("GOOGLETRANSLATE(D534,""zh-CN"",""vi"")"),"Bộ quà tặng chào mừng khách hàng mới")</f>
        <v>Bộ quà tặng chào mừng khách hàng mới</v>
      </c>
      <c r="G534" s="8" t="str">
        <f>IFERROR(__xludf.DUMMYFUNCTION("GOOGLETRANSLATE(E534,""zh-CN"",""vi"")"),"Nhấp đúp chuột để chọn giải thưởng, sau đó nhấp chuột để tạo phần thưởng.")</f>
        <v>Nhấp đúp chuột để chọn giải thưởng, sau đó nhấp chuột để tạo phần thưởng.</v>
      </c>
      <c r="H534" s="27"/>
      <c r="I534" s="27"/>
      <c r="J534" s="27"/>
    </row>
    <row r="535" ht="21.0" customHeight="1">
      <c r="A535" s="5">
        <v>20.0</v>
      </c>
      <c r="B535" s="6">
        <v>518.0</v>
      </c>
      <c r="C535" s="6">
        <v>1.0</v>
      </c>
      <c r="D535" s="16" t="s">
        <v>855</v>
      </c>
      <c r="E535" s="9" t="s">
        <v>615</v>
      </c>
      <c r="F535" s="8" t="str">
        <f>IFERROR(__xludf.DUMMYFUNCTION("GOOGLETRANSLATE(D535,""zh-CN"",""vi"")"),"Bộ quà tặng bất ngờ dành cho mẹ")</f>
        <v>Bộ quà tặng bất ngờ dành cho mẹ</v>
      </c>
      <c r="G535" s="8" t="str">
        <f>IFERROR(__xludf.DUMMYFUNCTION("GOOGLETRANSLATE(E535,""zh-CN"",""vi"")"),"Nhấp đúp chuột để chọn giải thưởng, sau đó nhấp chuột để tạo phần thưởng.")</f>
        <v>Nhấp đúp chuột để chọn giải thưởng, sau đó nhấp chuột để tạo phần thưởng.</v>
      </c>
      <c r="H535" s="8"/>
      <c r="I535" s="8"/>
      <c r="J535" s="8"/>
    </row>
    <row r="536" ht="21.0" customHeight="1">
      <c r="A536" s="5">
        <v>20.0</v>
      </c>
      <c r="B536" s="6">
        <v>518.0</v>
      </c>
      <c r="C536" s="6">
        <v>1.0</v>
      </c>
      <c r="D536" s="16" t="s">
        <v>856</v>
      </c>
      <c r="E536" s="9" t="s">
        <v>615</v>
      </c>
      <c r="F536" s="8" t="str">
        <f>IFERROR(__xludf.DUMMYFUNCTION("GOOGLETRANSLATE(D536,""zh-CN"",""vi"")"),"Bộ quà tặng bất ngờ dành cho mẹ trong thời gian có hạn")</f>
        <v>Bộ quà tặng bất ngờ dành cho mẹ trong thời gian có hạn</v>
      </c>
      <c r="G536" s="8" t="str">
        <f>IFERROR(__xludf.DUMMYFUNCTION("GOOGLETRANSLATE(E536,""zh-CN"",""vi"")"),"Nhấp đúp chuột để chọn giải thưởng, sau đó nhấp chuột để tạo phần thưởng.")</f>
        <v>Nhấp đúp chuột để chọn giải thưởng, sau đó nhấp chuột để tạo phần thưởng.</v>
      </c>
      <c r="H536" s="8"/>
      <c r="I536" s="8"/>
      <c r="J536" s="8"/>
    </row>
    <row r="537" ht="21.0" customHeight="1">
      <c r="A537" s="5">
        <v>20.0</v>
      </c>
      <c r="B537" s="6">
        <v>518.0</v>
      </c>
      <c r="C537" s="6">
        <v>1.0</v>
      </c>
      <c r="D537" s="16" t="s">
        <v>857</v>
      </c>
      <c r="E537" s="9" t="s">
        <v>615</v>
      </c>
      <c r="F537" s="8" t="str">
        <f>IFERROR(__xludf.DUMMYFUNCTION("GOOGLETRANSLATE(D537,""zh-CN"",""vi"")"),"Bộ quà tặng bất ngờ dành cho mẹ VIP")</f>
        <v>Bộ quà tặng bất ngờ dành cho mẹ VIP</v>
      </c>
      <c r="G537" s="8" t="str">
        <f>IFERROR(__xludf.DUMMYFUNCTION("GOOGLETRANSLATE(E537,""zh-CN"",""vi"")"),"Nhấp đúp chuột để chọn giải thưởng, sau đó nhấp chuột để tạo phần thưởng.")</f>
        <v>Nhấp đúp chuột để chọn giải thưởng, sau đó nhấp chuột để tạo phần thưởng.</v>
      </c>
      <c r="H537" s="8"/>
      <c r="I537" s="8"/>
      <c r="J537" s="8"/>
    </row>
    <row r="538" ht="21.0" customHeight="1">
      <c r="A538" s="5">
        <v>20.0</v>
      </c>
      <c r="B538" s="6">
        <v>518.0</v>
      </c>
      <c r="C538" s="6">
        <v>1.0</v>
      </c>
      <c r="D538" s="16" t="s">
        <v>858</v>
      </c>
      <c r="E538" s="9" t="s">
        <v>615</v>
      </c>
      <c r="F538" s="8" t="str">
        <f>IFERROR(__xludf.DUMMYFUNCTION("GOOGLETRANSLATE(D538,""zh-CN"",""vi"")"),"Gói quà tặng dành cho khách hàng mới mua hàng lần đầu")</f>
        <v>Gói quà tặng dành cho khách hàng mới mua hàng lần đầu</v>
      </c>
      <c r="G538" s="8" t="str">
        <f>IFERROR(__xludf.DUMMYFUNCTION("GOOGLETRANSLATE(E538,""zh-CN"",""vi"")"),"Nhấp đúp chuột để chọn giải thưởng, sau đó nhấp chuột để tạo phần thưởng.")</f>
        <v>Nhấp đúp chuột để chọn giải thưởng, sau đó nhấp chuột để tạo phần thưởng.</v>
      </c>
      <c r="H538" s="8"/>
      <c r="I538" s="8"/>
      <c r="J538" s="8"/>
    </row>
    <row r="539" ht="21.0" customHeight="1">
      <c r="A539" s="5">
        <v>17.0</v>
      </c>
      <c r="B539" s="6">
        <v>518.0</v>
      </c>
      <c r="C539" s="6">
        <v>1.0</v>
      </c>
      <c r="D539" s="16" t="s">
        <v>859</v>
      </c>
      <c r="E539" s="9" t="s">
        <v>615</v>
      </c>
      <c r="F539" s="8" t="str">
        <f>IFERROR(__xludf.DUMMYFUNCTION("GOOGLETRANSLATE(D539,""zh-CN"",""vi"")"),"Hộp đựng đồ, hộp quà tặng.")</f>
        <v>Hộp đựng đồ, hộp quà tặng.</v>
      </c>
      <c r="G539" s="8" t="str">
        <f>IFERROR(__xludf.DUMMYFUNCTION("GOOGLETRANSLATE(E539,""zh-CN"",""vi"")"),"Nhấp đúp chuột để chọn giải thưởng, sau đó nhấp chuột để tạo phần thưởng.")</f>
        <v>Nhấp đúp chuột để chọn giải thưởng, sau đó nhấp chuột để tạo phần thưởng.</v>
      </c>
      <c r="H539" s="8"/>
      <c r="I539" s="8"/>
      <c r="J539" s="8"/>
    </row>
    <row r="540" ht="21.0" customHeight="1">
      <c r="A540" s="5">
        <v>17.0</v>
      </c>
      <c r="B540" s="6">
        <v>518.0</v>
      </c>
      <c r="C540" s="6">
        <v>1.0</v>
      </c>
      <c r="D540" s="16" t="s">
        <v>860</v>
      </c>
      <c r="E540" s="9" t="s">
        <v>615</v>
      </c>
      <c r="F540" s="8" t="str">
        <f>IFERROR(__xludf.DUMMYFUNCTION("GOOGLETRANSLATE(D540,""zh-CN"",""vi"")"),"Bộ quà tặng da hyacinth dành cho khách hàng")</f>
        <v>Bộ quà tặng da hyacinth dành cho khách hàng</v>
      </c>
      <c r="G540" s="8" t="str">
        <f>IFERROR(__xludf.DUMMYFUNCTION("GOOGLETRANSLATE(E540,""zh-CN"",""vi"")"),"Nhấp đúp chuột để chọn giải thưởng, sau đó nhấp chuột để tạo phần thưởng.")</f>
        <v>Nhấp đúp chuột để chọn giải thưởng, sau đó nhấp chuột để tạo phần thưởng.</v>
      </c>
      <c r="H540" s="8"/>
      <c r="I540" s="8"/>
      <c r="J540" s="8"/>
    </row>
    <row r="541" ht="21.0" customHeight="1">
      <c r="A541" s="5">
        <v>17.0</v>
      </c>
      <c r="B541" s="6">
        <v>518.0</v>
      </c>
      <c r="C541" s="6">
        <v>1.0</v>
      </c>
      <c r="D541" s="16" t="s">
        <v>320</v>
      </c>
      <c r="E541" s="9" t="s">
        <v>615</v>
      </c>
      <c r="F541" s="8" t="str">
        <f>IFERROR(__xludf.DUMMYFUNCTION("GOOGLETRANSLATE(D541,""zh-CN"",""vi"")"),"Bộ quà tặng Courtyard Skin")</f>
        <v>Bộ quà tặng Courtyard Skin</v>
      </c>
      <c r="G541" s="8" t="str">
        <f>IFERROR(__xludf.DUMMYFUNCTION("GOOGLETRANSLATE(E541,""zh-CN"",""vi"")"),"Nhấp đúp chuột để chọn giải thưởng, sau đó nhấp chuột để tạo phần thưởng.")</f>
        <v>Nhấp đúp chuột để chọn giải thưởng, sau đó nhấp chuột để tạo phần thưởng.</v>
      </c>
      <c r="H541" s="8"/>
      <c r="I541" s="8"/>
      <c r="J541" s="8"/>
    </row>
    <row r="542" ht="21.0" customHeight="1">
      <c r="A542" s="5">
        <v>17.0</v>
      </c>
      <c r="B542" s="6">
        <v>518.0</v>
      </c>
      <c r="C542" s="6">
        <v>1.0</v>
      </c>
      <c r="D542" s="16" t="s">
        <v>318</v>
      </c>
      <c r="E542" s="9" t="s">
        <v>615</v>
      </c>
      <c r="F542" s="8" t="str">
        <f>IFERROR(__xludf.DUMMYFUNCTION("GOOGLETRANSLATE(D542,""zh-CN"",""vi"")"),"Bộ quà tặng Elf Skin")</f>
        <v>Bộ quà tặng Elf Skin</v>
      </c>
      <c r="G542" s="8" t="str">
        <f>IFERROR(__xludf.DUMMYFUNCTION("GOOGLETRANSLATE(E542,""zh-CN"",""vi"")"),"Nhấp đúp chuột để chọn giải thưởng, sau đó nhấp chuột để tạo phần thưởng.")</f>
        <v>Nhấp đúp chuột để chọn giải thưởng, sau đó nhấp chuột để tạo phần thưởng.</v>
      </c>
      <c r="H542" s="8"/>
      <c r="I542" s="8"/>
      <c r="J542" s="8"/>
    </row>
    <row r="543" ht="21.0" customHeight="1">
      <c r="A543" s="5">
        <v>20.0</v>
      </c>
      <c r="B543" s="6">
        <v>518.0</v>
      </c>
      <c r="C543" s="6">
        <v>1.0</v>
      </c>
      <c r="D543" s="16" t="s">
        <v>861</v>
      </c>
      <c r="E543" s="9" t="s">
        <v>615</v>
      </c>
      <c r="F543" s="8" t="str">
        <f>IFERROR(__xludf.DUMMYFUNCTION("GOOGLETRANSLATE(D543,""zh-CN"",""vi"")"),"Bộ quà tặng yêu tinh làm vườn số 1")</f>
        <v>Bộ quà tặng yêu tinh làm vườn số 1</v>
      </c>
      <c r="G543" s="8" t="str">
        <f>IFERROR(__xludf.DUMMYFUNCTION("GOOGLETRANSLATE(E543,""zh-CN"",""vi"")"),"Nhấp đúp chuột để chọn giải thưởng, sau đó nhấp chuột để tạo phần thưởng.")</f>
        <v>Nhấp đúp chuột để chọn giải thưởng, sau đó nhấp chuột để tạo phần thưởng.</v>
      </c>
      <c r="H543" s="8"/>
      <c r="I543" s="8"/>
      <c r="J543" s="8"/>
    </row>
    <row r="544" ht="21.0" customHeight="1">
      <c r="A544" s="5">
        <v>20.0</v>
      </c>
      <c r="B544" s="6">
        <v>518.0</v>
      </c>
      <c r="C544" s="6">
        <v>1.0</v>
      </c>
      <c r="D544" s="16" t="s">
        <v>862</v>
      </c>
      <c r="E544" s="9" t="s">
        <v>615</v>
      </c>
      <c r="F544" s="8" t="str">
        <f>IFERROR(__xludf.DUMMYFUNCTION("GOOGLETRANSLATE(D544,""zh-CN"",""vi"")"),"Bộ quà tặng yêu tinh sân vườn số 2")</f>
        <v>Bộ quà tặng yêu tinh sân vườn số 2</v>
      </c>
      <c r="G544" s="8" t="str">
        <f>IFERROR(__xludf.DUMMYFUNCTION("GOOGLETRANSLATE(E544,""zh-CN"",""vi"")"),"Nhấp đúp chuột để chọn giải thưởng, sau đó nhấp chuột để tạo phần thưởng.")</f>
        <v>Nhấp đúp chuột để chọn giải thưởng, sau đó nhấp chuột để tạo phần thưởng.</v>
      </c>
      <c r="H544" s="8"/>
      <c r="I544" s="8"/>
      <c r="J544" s="8"/>
    </row>
    <row r="545" ht="21.0" customHeight="1">
      <c r="A545" s="5">
        <v>20.0</v>
      </c>
      <c r="B545" s="6">
        <v>518.0</v>
      </c>
      <c r="C545" s="6">
        <v>1.0</v>
      </c>
      <c r="D545" s="16" t="s">
        <v>863</v>
      </c>
      <c r="E545" s="9" t="s">
        <v>615</v>
      </c>
      <c r="F545" s="8" t="str">
        <f>IFERROR(__xludf.DUMMYFUNCTION("GOOGLETRANSLATE(D545,""zh-CN"",""vi"")"),"Bộ quà tặng yêu tinh sân vườn số 3")</f>
        <v>Bộ quà tặng yêu tinh sân vườn số 3</v>
      </c>
      <c r="G545" s="8" t="str">
        <f>IFERROR(__xludf.DUMMYFUNCTION("GOOGLETRANSLATE(E545,""zh-CN"",""vi"")"),"Nhấp đúp chuột để chọn giải thưởng, sau đó nhấp chuột để tạo phần thưởng.")</f>
        <v>Nhấp đúp chuột để chọn giải thưởng, sau đó nhấp chuột để tạo phần thưởng.</v>
      </c>
      <c r="H545" s="8"/>
      <c r="I545" s="8"/>
      <c r="J545" s="8"/>
    </row>
    <row r="546" ht="21.0" customHeight="1">
      <c r="A546" s="5">
        <v>20.0</v>
      </c>
      <c r="B546" s="6">
        <v>518.0</v>
      </c>
      <c r="C546" s="6">
        <v>1.0</v>
      </c>
      <c r="D546" s="16" t="s">
        <v>856</v>
      </c>
      <c r="E546" s="9" t="s">
        <v>615</v>
      </c>
      <c r="F546" s="8" t="str">
        <f>IFERROR(__xludf.DUMMYFUNCTION("GOOGLETRANSLATE(D546,""zh-CN"",""vi"")"),"Bộ quà tặng bất ngờ dành cho mẹ trong thời gian có hạn")</f>
        <v>Bộ quà tặng bất ngờ dành cho mẹ trong thời gian có hạn</v>
      </c>
      <c r="G546" s="8" t="str">
        <f>IFERROR(__xludf.DUMMYFUNCTION("GOOGLETRANSLATE(E546,""zh-CN"",""vi"")"),"Nhấp đúp chuột để chọn giải thưởng, sau đó nhấp chuột để tạo phần thưởng.")</f>
        <v>Nhấp đúp chuột để chọn giải thưởng, sau đó nhấp chuột để tạo phần thưởng.</v>
      </c>
      <c r="H546" s="8"/>
      <c r="I546" s="8"/>
      <c r="J546" s="8"/>
    </row>
    <row r="547" ht="21.0" customHeight="1">
      <c r="A547" s="5">
        <v>20.0</v>
      </c>
      <c r="B547" s="6">
        <v>518.0</v>
      </c>
      <c r="C547" s="6">
        <v>1.0</v>
      </c>
      <c r="D547" s="16" t="s">
        <v>670</v>
      </c>
      <c r="E547" s="9" t="s">
        <v>864</v>
      </c>
      <c r="F547" s="8" t="str">
        <f>IFERROR(__xludf.DUMMYFUNCTION("GOOGLETRANSLATE(D547,""zh-CN"",""vi"")"),"Lựa chọn da ngực")</f>
        <v>Lựa chọn da ngực</v>
      </c>
      <c r="G547" s="8" t="str">
        <f>IFERROR(__xludf.DUMMYFUNCTION("GOOGLETRANSLATE(E547,""zh-CN"",""vi"")"),"Nhấp đúp chuột để chọn phần thưởng, sau đó nhấp chuột để tạo phần thưởng. Bạn có thể chọn 4 mảnh ghép.")</f>
        <v>Nhấp đúp chuột để chọn phần thưởng, sau đó nhấp chuột để tạo phần thưởng. Bạn có thể chọn 4 mảnh ghép.</v>
      </c>
      <c r="H547" s="8"/>
      <c r="I547" s="8"/>
      <c r="J547" s="8"/>
    </row>
    <row r="548" ht="21.0" customHeight="1">
      <c r="A548" s="5">
        <v>20.0</v>
      </c>
      <c r="B548" s="6">
        <v>518.0</v>
      </c>
      <c r="C548" s="6">
        <v>1.0</v>
      </c>
      <c r="D548" s="16" t="s">
        <v>670</v>
      </c>
      <c r="E548" s="9" t="s">
        <v>671</v>
      </c>
      <c r="F548" s="8" t="str">
        <f>IFERROR(__xludf.DUMMYFUNCTION("GOOGLETRANSLATE(D548,""zh-CN"",""vi"")"),"Lựa chọn da ngực")</f>
        <v>Lựa chọn da ngực</v>
      </c>
      <c r="G548" s="8" t="str">
        <f>IFERROR(__xludf.DUMMYFUNCTION("GOOGLETRANSLATE(E548,""zh-CN"",""vi"")"),"Nhấp đúp chuột để chọn phần thưởng, sau đó nhấp vào ""Phần thưởng"", nơi bạn có thể chọn một mảnh ghép.")</f>
        <v>Nhấp đúp chuột để chọn phần thưởng, sau đó nhấp vào "Phần thưởng", nơi bạn có thể chọn một mảnh ghép.</v>
      </c>
      <c r="H548" s="8"/>
      <c r="I548" s="8"/>
      <c r="J548" s="8"/>
    </row>
    <row r="549" ht="21.0" customHeight="1">
      <c r="A549" s="5">
        <v>20.0</v>
      </c>
      <c r="B549" s="6">
        <v>518.0</v>
      </c>
      <c r="C549" s="6">
        <v>1.0</v>
      </c>
      <c r="D549" s="16" t="s">
        <v>670</v>
      </c>
      <c r="E549" s="9" t="s">
        <v>865</v>
      </c>
      <c r="F549" s="8" t="str">
        <f>IFERROR(__xludf.DUMMYFUNCTION("GOOGLETRANSLATE(D549,""zh-CN"",""vi"")"),"Lựa chọn da ngực")</f>
        <v>Lựa chọn da ngực</v>
      </c>
      <c r="G549" s="8" t="str">
        <f>IFERROR(__xludf.DUMMYFUNCTION("GOOGLETRANSLATE(E549,""zh-CN"",""vi"")"),"Nhấp đúp chuột để chọn phần thưởng, sau đó nhấp vào ""Phần thưởng"", nơi bạn có thể chọn 2 mảnh ghép.")</f>
        <v>Nhấp đúp chuột để chọn phần thưởng, sau đó nhấp vào "Phần thưởng", nơi bạn có thể chọn 2 mảnh ghép.</v>
      </c>
      <c r="H549" s="8"/>
      <c r="I549" s="8"/>
      <c r="J549" s="8"/>
    </row>
    <row r="550" ht="21.0" customHeight="1">
      <c r="A550" s="5">
        <v>20.0</v>
      </c>
      <c r="B550" s="6">
        <v>518.0</v>
      </c>
      <c r="C550" s="6">
        <v>1.0</v>
      </c>
      <c r="D550" s="16" t="s">
        <v>670</v>
      </c>
      <c r="E550" s="9" t="s">
        <v>866</v>
      </c>
      <c r="F550" s="8" t="str">
        <f>IFERROR(__xludf.DUMMYFUNCTION("GOOGLETRANSLATE(D550,""zh-CN"",""vi"")"),"Lựa chọn da ngực")</f>
        <v>Lựa chọn da ngực</v>
      </c>
      <c r="G550" s="8" t="str">
        <f>IFERROR(__xludf.DUMMYFUNCTION("GOOGLETRANSLATE(E550,""zh-CN"",""vi"")"),"Nhấp đúp chuột để chọn phần thưởng, sau đó nhấp chuột để tạo phần thưởng. Bạn có thể chọn 3 mảnh ghép.")</f>
        <v>Nhấp đúp chuột để chọn phần thưởng, sau đó nhấp chuột để tạo phần thưởng. Bạn có thể chọn 3 mảnh ghép.</v>
      </c>
      <c r="H550" s="8"/>
      <c r="I550" s="8"/>
      <c r="J550" s="8"/>
    </row>
    <row r="551" ht="21.0" customHeight="1">
      <c r="A551" s="5">
        <v>20.0</v>
      </c>
      <c r="B551" s="6">
        <v>518.0</v>
      </c>
      <c r="C551" s="6">
        <v>1.0</v>
      </c>
      <c r="D551" s="16" t="s">
        <v>670</v>
      </c>
      <c r="E551" s="9" t="s">
        <v>864</v>
      </c>
      <c r="F551" s="8" t="str">
        <f>IFERROR(__xludf.DUMMYFUNCTION("GOOGLETRANSLATE(D551,""zh-CN"",""vi"")"),"Lựa chọn da ngực")</f>
        <v>Lựa chọn da ngực</v>
      </c>
      <c r="G551" s="8" t="str">
        <f>IFERROR(__xludf.DUMMYFUNCTION("GOOGLETRANSLATE(E551,""zh-CN"",""vi"")"),"Nhấp đúp chuột để chọn phần thưởng, sau đó nhấp chuột để tạo phần thưởng. Bạn có thể chọn 4 mảnh ghép.")</f>
        <v>Nhấp đúp chuột để chọn phần thưởng, sau đó nhấp chuột để tạo phần thưởng. Bạn có thể chọn 4 mảnh ghép.</v>
      </c>
      <c r="H551" s="8"/>
      <c r="I551" s="8"/>
      <c r="J551" s="8"/>
    </row>
    <row r="552" ht="21.0" customHeight="1">
      <c r="A552" s="5">
        <v>20.0</v>
      </c>
      <c r="B552" s="6">
        <v>518.0</v>
      </c>
      <c r="C552" s="6">
        <v>1.0</v>
      </c>
      <c r="D552" s="16" t="s">
        <v>867</v>
      </c>
      <c r="E552" s="9" t="s">
        <v>615</v>
      </c>
      <c r="F552" s="8" t="str">
        <f>IFERROR(__xludf.DUMMYFUNCTION("GOOGLETRANSLATE(D552,""zh-CN"",""vi"")"),"Hộp quà phúc lợi của Tiểu Mai")</f>
        <v>Hộp quà phúc lợi của Tiểu Mai</v>
      </c>
      <c r="G552" s="8" t="str">
        <f>IFERROR(__xludf.DUMMYFUNCTION("GOOGLETRANSLATE(E552,""zh-CN"",""vi"")"),"Nhấp đúp chuột để chọn giải thưởng, sau đó nhấp chuột để tạo phần thưởng.")</f>
        <v>Nhấp đúp chuột để chọn giải thưởng, sau đó nhấp chuột để tạo phần thưởng.</v>
      </c>
      <c r="H552" s="8"/>
      <c r="I552" s="8"/>
      <c r="J552" s="8"/>
    </row>
    <row r="553" ht="21.0" customHeight="1">
      <c r="A553" s="5">
        <v>20.0</v>
      </c>
      <c r="B553" s="6">
        <v>518.0</v>
      </c>
      <c r="C553" s="6">
        <v>1.0</v>
      </c>
      <c r="D553" s="16" t="s">
        <v>868</v>
      </c>
      <c r="E553" s="9" t="s">
        <v>671</v>
      </c>
      <c r="F553" s="8" t="str">
        <f>IFERROR(__xludf.DUMMYFUNCTION("GOOGLETRANSLATE(D553,""zh-CN"",""vi"")"),"Rương Lựa Chọn Phúc Lợi của Yêu Tinh")</f>
        <v>Rương Lựa Chọn Phúc Lợi của Yêu Tinh</v>
      </c>
      <c r="G553" s="8" t="str">
        <f>IFERROR(__xludf.DUMMYFUNCTION("GOOGLETRANSLATE(E553,""zh-CN"",""vi"")"),"Nhấp đúp chuột để chọn phần thưởng, sau đó nhấp vào ""Phần thưởng"", nơi bạn có thể chọn một mảnh ghép.")</f>
        <v>Nhấp đúp chuột để chọn phần thưởng, sau đó nhấp vào "Phần thưởng", nơi bạn có thể chọn một mảnh ghép.</v>
      </c>
      <c r="H553" s="8"/>
      <c r="I553" s="8"/>
      <c r="J553" s="8"/>
    </row>
    <row r="554" ht="21.0" customHeight="1">
      <c r="A554" s="5">
        <v>20.0</v>
      </c>
      <c r="B554" s="6">
        <v>518.0</v>
      </c>
      <c r="C554" s="6">
        <v>1.0</v>
      </c>
      <c r="D554" s="16" t="s">
        <v>869</v>
      </c>
      <c r="E554" s="9" t="s">
        <v>870</v>
      </c>
      <c r="F554" s="8" t="str">
        <f>IFERROR(__xludf.DUMMYFUNCTION("GOOGLETRANSLATE(D554,""zh-CN"",""vi"")"),"Rương chọn đá ma thuật của yêu tinh")</f>
        <v>Rương chọn đá ma thuật của yêu tinh</v>
      </c>
      <c r="G554" s="8" t="str">
        <f>IFERROR(__xludf.DUMMYFUNCTION("GOOGLETRANSLATE(E554,""zh-CN"",""vi"")"),"Nhấp đúp chuột để chọn giải thưởng, sau đó nhấp vào ""Phần thưởng"" và bạn có thể chọn một phần thưởng.")</f>
        <v>Nhấp đúp chuột để chọn giải thưởng, sau đó nhấp vào "Phần thưởng" và bạn có thể chọn một phần thưởng.</v>
      </c>
      <c r="H554" s="8"/>
      <c r="I554" s="8"/>
      <c r="J554" s="8"/>
    </row>
    <row r="555" ht="21.0" customHeight="1">
      <c r="A555" s="30">
        <v>14.0</v>
      </c>
      <c r="B555" s="31">
        <v>518.0</v>
      </c>
      <c r="C555" s="31">
        <v>1.0</v>
      </c>
      <c r="D555" s="34" t="s">
        <v>871</v>
      </c>
      <c r="E555" s="33" t="s">
        <v>641</v>
      </c>
      <c r="F555" s="8" t="str">
        <f>IFERROR(__xludf.DUMMYFUNCTION("GOOGLETRANSLATE(D555,""zh-CN"",""vi"")"),"Rương đồ của người mới")</f>
        <v>Rương đồ của người mới</v>
      </c>
      <c r="G555" s="8" t="str">
        <f>IFERROR(__xludf.DUMMYFUNCTION("GOOGLETRANSLATE(E555,""zh-CN"",""vi"")"),"Nhấp đúp chuột để nhận phần thưởng")</f>
        <v>Nhấp đúp chuột để nhận phần thưởng</v>
      </c>
      <c r="H555" s="27"/>
      <c r="I555" s="27"/>
      <c r="J555" s="27"/>
    </row>
    <row r="556" ht="21.0" customHeight="1">
      <c r="A556" s="30">
        <v>14.0</v>
      </c>
      <c r="B556" s="31">
        <v>518.0</v>
      </c>
      <c r="C556" s="31">
        <v>1.0</v>
      </c>
      <c r="D556" s="34" t="s">
        <v>871</v>
      </c>
      <c r="E556" s="33" t="s">
        <v>641</v>
      </c>
      <c r="F556" s="8" t="str">
        <f>IFERROR(__xludf.DUMMYFUNCTION("GOOGLETRANSLATE(D556,""zh-CN"",""vi"")"),"Rương đồ của người mới")</f>
        <v>Rương đồ của người mới</v>
      </c>
      <c r="G556" s="8" t="str">
        <f>IFERROR(__xludf.DUMMYFUNCTION("GOOGLETRANSLATE(E556,""zh-CN"",""vi"")"),"Nhấp đúp chuột để nhận phần thưởng")</f>
        <v>Nhấp đúp chuột để nhận phần thưởng</v>
      </c>
      <c r="H556" s="27"/>
      <c r="I556" s="27"/>
      <c r="J556" s="27"/>
    </row>
    <row r="557" ht="21.0" customHeight="1">
      <c r="A557" s="30">
        <v>14.0</v>
      </c>
      <c r="B557" s="31">
        <v>518.0</v>
      </c>
      <c r="C557" s="31">
        <v>1.0</v>
      </c>
      <c r="D557" s="34" t="s">
        <v>871</v>
      </c>
      <c r="E557" s="33" t="s">
        <v>641</v>
      </c>
      <c r="F557" s="8" t="str">
        <f>IFERROR(__xludf.DUMMYFUNCTION("GOOGLETRANSLATE(D557,""zh-CN"",""vi"")"),"Rương đồ của người mới")</f>
        <v>Rương đồ của người mới</v>
      </c>
      <c r="G557" s="8" t="str">
        <f>IFERROR(__xludf.DUMMYFUNCTION("GOOGLETRANSLATE(E557,""zh-CN"",""vi"")"),"Nhấp đúp chuột để nhận phần thưởng")</f>
        <v>Nhấp đúp chuột để nhận phần thưởng</v>
      </c>
      <c r="H557" s="27"/>
      <c r="I557" s="27"/>
      <c r="J557" s="27"/>
    </row>
    <row r="558" ht="21.0" customHeight="1">
      <c r="A558" s="5">
        <v>20.0</v>
      </c>
      <c r="B558" s="6">
        <v>1.0</v>
      </c>
      <c r="C558" s="6">
        <v>1.0</v>
      </c>
      <c r="D558" s="16" t="s">
        <v>867</v>
      </c>
      <c r="E558" s="9" t="s">
        <v>615</v>
      </c>
      <c r="F558" s="8" t="str">
        <f>IFERROR(__xludf.DUMMYFUNCTION("GOOGLETRANSLATE(D558,""zh-CN"",""vi"")"),"Hộp quà phúc lợi của Tiểu Mai")</f>
        <v>Hộp quà phúc lợi của Tiểu Mai</v>
      </c>
      <c r="G558" s="8" t="str">
        <f>IFERROR(__xludf.DUMMYFUNCTION("GOOGLETRANSLATE(E558,""zh-CN"",""vi"")"),"Nhấp đúp chuột để chọn giải thưởng, sau đó nhấp chuột để tạo phần thưởng.")</f>
        <v>Nhấp đúp chuột để chọn giải thưởng, sau đó nhấp chuột để tạo phần thưởng.</v>
      </c>
      <c r="H558" s="8"/>
      <c r="I558" s="8"/>
      <c r="J558" s="8"/>
    </row>
    <row r="559" ht="21.0" customHeight="1">
      <c r="A559" s="5">
        <v>20.0</v>
      </c>
      <c r="B559" s="6">
        <v>1.0</v>
      </c>
      <c r="C559" s="6">
        <v>1.0</v>
      </c>
      <c r="D559" s="16" t="s">
        <v>867</v>
      </c>
      <c r="E559" s="9" t="s">
        <v>615</v>
      </c>
      <c r="F559" s="8" t="str">
        <f>IFERROR(__xludf.DUMMYFUNCTION("GOOGLETRANSLATE(D559,""zh-CN"",""vi"")"),"Hộp quà phúc lợi của Tiểu Mai")</f>
        <v>Hộp quà phúc lợi của Tiểu Mai</v>
      </c>
      <c r="G559" s="8" t="str">
        <f>IFERROR(__xludf.DUMMYFUNCTION("GOOGLETRANSLATE(E559,""zh-CN"",""vi"")"),"Nhấp đúp chuột để chọn giải thưởng, sau đó nhấp chuột để tạo phần thưởng.")</f>
        <v>Nhấp đúp chuột để chọn giải thưởng, sau đó nhấp chuột để tạo phần thưởng.</v>
      </c>
      <c r="H559" s="8"/>
      <c r="I559" s="8"/>
      <c r="J559" s="8"/>
    </row>
    <row r="560" ht="21.0" customHeight="1">
      <c r="A560" s="5">
        <v>5.0</v>
      </c>
      <c r="B560" s="6">
        <v>519.0</v>
      </c>
      <c r="C560" s="6">
        <v>1.0</v>
      </c>
      <c r="D560" s="16" t="s">
        <v>872</v>
      </c>
      <c r="E560" s="9" t="s">
        <v>873</v>
      </c>
      <c r="F560" s="8" t="str">
        <f>IFERROR(__xludf.DUMMYFUNCTION("GOOGLETRANSLATE(D560,""zh-CN"",""vi"")"),"Gói quà tặng điểm Đồng")</f>
        <v>Gói quà tặng điểm Đồng</v>
      </c>
      <c r="G560" s="8" t="str">
        <f>IFERROR(__xludf.DUMMYFUNCTION("GOOGLETRANSLATE(E560,""zh-CN"",""vi"")"),"Nhấp đúp chuột sẽ mang lại nhiều phần thưởng khác nhau với một xác suất nhất định.")</f>
        <v>Nhấp đúp chuột sẽ mang lại nhiều phần thưởng khác nhau với một xác suất nhất định.</v>
      </c>
      <c r="H560" s="8"/>
      <c r="I560" s="8"/>
      <c r="J560" s="8"/>
    </row>
    <row r="561" ht="21.0" customHeight="1">
      <c r="A561" s="5">
        <v>5.0</v>
      </c>
      <c r="B561" s="6">
        <v>519.0</v>
      </c>
      <c r="C561" s="6">
        <v>1.0</v>
      </c>
      <c r="D561" s="16" t="s">
        <v>874</v>
      </c>
      <c r="E561" s="9" t="s">
        <v>873</v>
      </c>
      <c r="F561" s="8" t="str">
        <f>IFERROR(__xludf.DUMMYFUNCTION("GOOGLETRANSLATE(D561,""zh-CN"",""vi"")"),"Bộ quà tặng điểm bạc")</f>
        <v>Bộ quà tặng điểm bạc</v>
      </c>
      <c r="G561" s="8" t="str">
        <f>IFERROR(__xludf.DUMMYFUNCTION("GOOGLETRANSLATE(E561,""zh-CN"",""vi"")"),"Nhấp đúp chuột sẽ mang lại nhiều phần thưởng khác nhau với một xác suất nhất định.")</f>
        <v>Nhấp đúp chuột sẽ mang lại nhiều phần thưởng khác nhau với một xác suất nhất định.</v>
      </c>
      <c r="H561" s="8"/>
      <c r="I561" s="8"/>
      <c r="J561" s="8"/>
    </row>
    <row r="562" ht="21.0" customHeight="1">
      <c r="A562" s="5">
        <v>5.0</v>
      </c>
      <c r="B562" s="6">
        <v>519.0</v>
      </c>
      <c r="C562" s="6">
        <v>1.0</v>
      </c>
      <c r="D562" s="16" t="s">
        <v>875</v>
      </c>
      <c r="E562" s="9" t="s">
        <v>873</v>
      </c>
      <c r="F562" s="8" t="str">
        <f>IFERROR(__xludf.DUMMYFUNCTION("GOOGLETRANSLATE(D562,""zh-CN"",""vi"")"),"Gói quà tặng điểm vàng")</f>
        <v>Gói quà tặng điểm vàng</v>
      </c>
      <c r="G562" s="8" t="str">
        <f>IFERROR(__xludf.DUMMYFUNCTION("GOOGLETRANSLATE(E562,""zh-CN"",""vi"")"),"Nhấp đúp chuột sẽ mang lại nhiều phần thưởng khác nhau với một xác suất nhất định.")</f>
        <v>Nhấp đúp chuột sẽ mang lại nhiều phần thưởng khác nhau với một xác suất nhất định.</v>
      </c>
      <c r="H562" s="8"/>
      <c r="I562" s="8"/>
      <c r="J562" s="8"/>
    </row>
    <row r="563" ht="21.0" customHeight="1">
      <c r="A563" s="5">
        <v>5.0</v>
      </c>
      <c r="B563" s="6">
        <v>519.0</v>
      </c>
      <c r="C563" s="6">
        <v>1.0</v>
      </c>
      <c r="D563" s="16" t="s">
        <v>876</v>
      </c>
      <c r="E563" s="9" t="s">
        <v>873</v>
      </c>
      <c r="F563" s="8" t="str">
        <f>IFERROR(__xludf.DUMMYFUNCTION("GOOGLETRANSLATE(D563,""zh-CN"",""vi"")"),"Gói quà tặng điểm Platinum")</f>
        <v>Gói quà tặng điểm Platinum</v>
      </c>
      <c r="G563" s="8" t="str">
        <f>IFERROR(__xludf.DUMMYFUNCTION("GOOGLETRANSLATE(E563,""zh-CN"",""vi"")"),"Nhấp đúp chuột sẽ mang lại nhiều phần thưởng khác nhau với một xác suất nhất định.")</f>
        <v>Nhấp đúp chuột sẽ mang lại nhiều phần thưởng khác nhau với một xác suất nhất định.</v>
      </c>
      <c r="H563" s="8"/>
      <c r="I563" s="8"/>
      <c r="J563" s="8"/>
    </row>
    <row r="564" ht="21.0" customHeight="1">
      <c r="A564" s="5">
        <v>5.0</v>
      </c>
      <c r="B564" s="6">
        <v>519.0</v>
      </c>
      <c r="C564" s="6">
        <v>1.0</v>
      </c>
      <c r="D564" s="16" t="s">
        <v>877</v>
      </c>
      <c r="E564" s="9" t="s">
        <v>873</v>
      </c>
      <c r="F564" s="8" t="str">
        <f>IFERROR(__xludf.DUMMYFUNCTION("GOOGLETRANSLATE(D564,""zh-CN"",""vi"")"),"Bộ quà tặng điểm kim cương")</f>
        <v>Bộ quà tặng điểm kim cương</v>
      </c>
      <c r="G564" s="8" t="str">
        <f>IFERROR(__xludf.DUMMYFUNCTION("GOOGLETRANSLATE(E564,""zh-CN"",""vi"")"),"Nhấp đúp chuột sẽ mang lại nhiều phần thưởng khác nhau với một xác suất nhất định.")</f>
        <v>Nhấp đúp chuột sẽ mang lại nhiều phần thưởng khác nhau với một xác suất nhất định.</v>
      </c>
      <c r="H564" s="8"/>
      <c r="I564" s="8"/>
      <c r="J564" s="8"/>
    </row>
    <row r="565" ht="21.0" customHeight="1">
      <c r="A565" s="5">
        <v>5.0</v>
      </c>
      <c r="B565" s="6">
        <v>519.0</v>
      </c>
      <c r="C565" s="6">
        <v>1.0</v>
      </c>
      <c r="D565" s="16" t="s">
        <v>878</v>
      </c>
      <c r="E565" s="9" t="s">
        <v>873</v>
      </c>
      <c r="F565" s="8" t="str">
        <f>IFERROR(__xludf.DUMMYFUNCTION("GOOGLETRANSLATE(D565,""zh-CN"",""vi"")"),"Bộ quà tặng điểm thưởng Star Points")</f>
        <v>Bộ quà tặng điểm thưởng Star Points</v>
      </c>
      <c r="G565" s="8" t="str">
        <f>IFERROR(__xludf.DUMMYFUNCTION("GOOGLETRANSLATE(E565,""zh-CN"",""vi"")"),"Nhấp đúp chuột sẽ mang lại nhiều phần thưởng khác nhau với một xác suất nhất định.")</f>
        <v>Nhấp đúp chuột sẽ mang lại nhiều phần thưởng khác nhau với một xác suất nhất định.</v>
      </c>
      <c r="H565" s="8"/>
      <c r="I565" s="8"/>
      <c r="J565" s="8"/>
    </row>
    <row r="566" ht="21.0" customHeight="1">
      <c r="A566" s="5">
        <v>5.0</v>
      </c>
      <c r="B566" s="6">
        <v>519.0</v>
      </c>
      <c r="C566" s="6">
        <v>1.0</v>
      </c>
      <c r="D566" s="16" t="s">
        <v>879</v>
      </c>
      <c r="E566" s="9" t="s">
        <v>873</v>
      </c>
      <c r="F566" s="8" t="str">
        <f>IFERROR(__xludf.DUMMYFUNCTION("GOOGLETRANSLATE(D566,""zh-CN"",""vi"")"),"Bộ quà tặng King's Points")</f>
        <v>Bộ quà tặng King's Points</v>
      </c>
      <c r="G566" s="8" t="str">
        <f>IFERROR(__xludf.DUMMYFUNCTION("GOOGLETRANSLATE(E566,""zh-CN"",""vi"")"),"Nhấp đúp chuột sẽ mang lại nhiều phần thưởng khác nhau với một xác suất nhất định.")</f>
        <v>Nhấp đúp chuột sẽ mang lại nhiều phần thưởng khác nhau với một xác suất nhất định.</v>
      </c>
      <c r="H566" s="8"/>
      <c r="I566" s="8"/>
      <c r="J566" s="8"/>
    </row>
    <row r="567" ht="21.0" customHeight="1">
      <c r="A567" s="5">
        <v>5.0</v>
      </c>
      <c r="B567" s="6">
        <v>519.0</v>
      </c>
      <c r="C567" s="6">
        <v>1.0</v>
      </c>
      <c r="D567" s="16" t="s">
        <v>880</v>
      </c>
      <c r="E567" s="9" t="s">
        <v>873</v>
      </c>
      <c r="F567" s="8" t="str">
        <f>IFERROR(__xludf.DUMMYFUNCTION("GOOGLETRANSLATE(D567,""zh-CN"",""vi"")"),"Bộ quà tặng những điểm mạnh nhất")</f>
        <v>Bộ quà tặng những điểm mạnh nhất</v>
      </c>
      <c r="G567" s="8" t="str">
        <f>IFERROR(__xludf.DUMMYFUNCTION("GOOGLETRANSLATE(E567,""zh-CN"",""vi"")"),"Nhấp đúp chuột sẽ mang lại nhiều phần thưởng khác nhau với một xác suất nhất định.")</f>
        <v>Nhấp đúp chuột sẽ mang lại nhiều phần thưởng khác nhau với một xác suất nhất định.</v>
      </c>
      <c r="H567" s="8"/>
      <c r="I567" s="8"/>
      <c r="J567" s="8"/>
    </row>
    <row r="568" ht="21.0" customHeight="1">
      <c r="A568" s="5">
        <v>5.0</v>
      </c>
      <c r="B568" s="6">
        <v>520.0</v>
      </c>
      <c r="C568" s="6">
        <v>1.0</v>
      </c>
      <c r="D568" s="16" t="s">
        <v>872</v>
      </c>
      <c r="E568" s="9" t="s">
        <v>873</v>
      </c>
      <c r="F568" s="8" t="str">
        <f>IFERROR(__xludf.DUMMYFUNCTION("GOOGLETRANSLATE(D568,""zh-CN"",""vi"")"),"Gói quà tặng điểm Đồng")</f>
        <v>Gói quà tặng điểm Đồng</v>
      </c>
      <c r="G568" s="8" t="str">
        <f>IFERROR(__xludf.DUMMYFUNCTION("GOOGLETRANSLATE(E568,""zh-CN"",""vi"")"),"Nhấp đúp chuột sẽ mang lại nhiều phần thưởng khác nhau với một xác suất nhất định.")</f>
        <v>Nhấp đúp chuột sẽ mang lại nhiều phần thưởng khác nhau với một xác suất nhất định.</v>
      </c>
      <c r="H568" s="8"/>
      <c r="I568" s="8"/>
      <c r="J568" s="8"/>
    </row>
    <row r="569" ht="21.0" customHeight="1">
      <c r="A569" s="5">
        <v>5.0</v>
      </c>
      <c r="B569" s="6">
        <v>520.0</v>
      </c>
      <c r="C569" s="6">
        <v>1.0</v>
      </c>
      <c r="D569" s="16" t="s">
        <v>874</v>
      </c>
      <c r="E569" s="9" t="s">
        <v>873</v>
      </c>
      <c r="F569" s="8" t="str">
        <f>IFERROR(__xludf.DUMMYFUNCTION("GOOGLETRANSLATE(D569,""zh-CN"",""vi"")"),"Bộ quà tặng điểm bạc")</f>
        <v>Bộ quà tặng điểm bạc</v>
      </c>
      <c r="G569" s="8" t="str">
        <f>IFERROR(__xludf.DUMMYFUNCTION("GOOGLETRANSLATE(E569,""zh-CN"",""vi"")"),"Nhấp đúp chuột sẽ mang lại nhiều phần thưởng khác nhau với một xác suất nhất định.")</f>
        <v>Nhấp đúp chuột sẽ mang lại nhiều phần thưởng khác nhau với một xác suất nhất định.</v>
      </c>
      <c r="H569" s="8"/>
      <c r="I569" s="8"/>
      <c r="J569" s="8"/>
    </row>
    <row r="570" ht="21.0" customHeight="1">
      <c r="A570" s="5">
        <v>5.0</v>
      </c>
      <c r="B570" s="6">
        <v>520.0</v>
      </c>
      <c r="C570" s="6">
        <v>1.0</v>
      </c>
      <c r="D570" s="16" t="s">
        <v>875</v>
      </c>
      <c r="E570" s="9" t="s">
        <v>873</v>
      </c>
      <c r="F570" s="8" t="str">
        <f>IFERROR(__xludf.DUMMYFUNCTION("GOOGLETRANSLATE(D570,""zh-CN"",""vi"")"),"Gói quà tặng điểm vàng")</f>
        <v>Gói quà tặng điểm vàng</v>
      </c>
      <c r="G570" s="8" t="str">
        <f>IFERROR(__xludf.DUMMYFUNCTION("GOOGLETRANSLATE(E570,""zh-CN"",""vi"")"),"Nhấp đúp chuột sẽ mang lại nhiều phần thưởng khác nhau với một xác suất nhất định.")</f>
        <v>Nhấp đúp chuột sẽ mang lại nhiều phần thưởng khác nhau với một xác suất nhất định.</v>
      </c>
      <c r="H570" s="8"/>
      <c r="I570" s="8"/>
      <c r="J570" s="8"/>
    </row>
    <row r="571" ht="21.0" customHeight="1">
      <c r="A571" s="5">
        <v>5.0</v>
      </c>
      <c r="B571" s="6">
        <v>520.0</v>
      </c>
      <c r="C571" s="6">
        <v>1.0</v>
      </c>
      <c r="D571" s="16" t="s">
        <v>876</v>
      </c>
      <c r="E571" s="9" t="s">
        <v>873</v>
      </c>
      <c r="F571" s="8" t="str">
        <f>IFERROR(__xludf.DUMMYFUNCTION("GOOGLETRANSLATE(D571,""zh-CN"",""vi"")"),"Gói quà tặng điểm Platinum")</f>
        <v>Gói quà tặng điểm Platinum</v>
      </c>
      <c r="G571" s="8" t="str">
        <f>IFERROR(__xludf.DUMMYFUNCTION("GOOGLETRANSLATE(E571,""zh-CN"",""vi"")"),"Nhấp đúp chuột sẽ mang lại nhiều phần thưởng khác nhau với một xác suất nhất định.")</f>
        <v>Nhấp đúp chuột sẽ mang lại nhiều phần thưởng khác nhau với một xác suất nhất định.</v>
      </c>
      <c r="H571" s="8"/>
      <c r="I571" s="8"/>
      <c r="J571" s="8"/>
    </row>
    <row r="572" ht="21.0" customHeight="1">
      <c r="A572" s="5">
        <v>5.0</v>
      </c>
      <c r="B572" s="6">
        <v>520.0</v>
      </c>
      <c r="C572" s="6">
        <v>1.0</v>
      </c>
      <c r="D572" s="16" t="s">
        <v>877</v>
      </c>
      <c r="E572" s="9" t="s">
        <v>873</v>
      </c>
      <c r="F572" s="8" t="str">
        <f>IFERROR(__xludf.DUMMYFUNCTION("GOOGLETRANSLATE(D572,""zh-CN"",""vi"")"),"Bộ quà tặng điểm kim cương")</f>
        <v>Bộ quà tặng điểm kim cương</v>
      </c>
      <c r="G572" s="8" t="str">
        <f>IFERROR(__xludf.DUMMYFUNCTION("GOOGLETRANSLATE(E572,""zh-CN"",""vi"")"),"Nhấp đúp chuột sẽ mang lại nhiều phần thưởng khác nhau với một xác suất nhất định.")</f>
        <v>Nhấp đúp chuột sẽ mang lại nhiều phần thưởng khác nhau với một xác suất nhất định.</v>
      </c>
      <c r="H572" s="8"/>
      <c r="I572" s="8"/>
      <c r="J572" s="8"/>
    </row>
    <row r="573" ht="21.0" customHeight="1">
      <c r="A573" s="5">
        <v>5.0</v>
      </c>
      <c r="B573" s="6">
        <v>520.0</v>
      </c>
      <c r="C573" s="6">
        <v>1.0</v>
      </c>
      <c r="D573" s="16" t="s">
        <v>878</v>
      </c>
      <c r="E573" s="9" t="s">
        <v>873</v>
      </c>
      <c r="F573" s="8" t="str">
        <f>IFERROR(__xludf.DUMMYFUNCTION("GOOGLETRANSLATE(D573,""zh-CN"",""vi"")"),"Bộ quà tặng điểm thưởng Star Points")</f>
        <v>Bộ quà tặng điểm thưởng Star Points</v>
      </c>
      <c r="G573" s="8" t="str">
        <f>IFERROR(__xludf.DUMMYFUNCTION("GOOGLETRANSLATE(E573,""zh-CN"",""vi"")"),"Nhấp đúp chuột sẽ mang lại nhiều phần thưởng khác nhau với một xác suất nhất định.")</f>
        <v>Nhấp đúp chuột sẽ mang lại nhiều phần thưởng khác nhau với một xác suất nhất định.</v>
      </c>
      <c r="H573" s="8"/>
      <c r="I573" s="8"/>
      <c r="J573" s="8"/>
    </row>
    <row r="574" ht="21.0" customHeight="1">
      <c r="A574" s="5">
        <v>5.0</v>
      </c>
      <c r="B574" s="6">
        <v>520.0</v>
      </c>
      <c r="C574" s="6">
        <v>1.0</v>
      </c>
      <c r="D574" s="16" t="s">
        <v>879</v>
      </c>
      <c r="E574" s="9" t="s">
        <v>873</v>
      </c>
      <c r="F574" s="8" t="str">
        <f>IFERROR(__xludf.DUMMYFUNCTION("GOOGLETRANSLATE(D574,""zh-CN"",""vi"")"),"Bộ quà tặng King's Points")</f>
        <v>Bộ quà tặng King's Points</v>
      </c>
      <c r="G574" s="8" t="str">
        <f>IFERROR(__xludf.DUMMYFUNCTION("GOOGLETRANSLATE(E574,""zh-CN"",""vi"")"),"Nhấp đúp chuột sẽ mang lại nhiều phần thưởng khác nhau với một xác suất nhất định.")</f>
        <v>Nhấp đúp chuột sẽ mang lại nhiều phần thưởng khác nhau với một xác suất nhất định.</v>
      </c>
      <c r="H574" s="8"/>
      <c r="I574" s="8"/>
      <c r="J574" s="8"/>
    </row>
    <row r="575" ht="21.0" customHeight="1">
      <c r="A575" s="5">
        <v>5.0</v>
      </c>
      <c r="B575" s="6">
        <v>520.0</v>
      </c>
      <c r="C575" s="6">
        <v>1.0</v>
      </c>
      <c r="D575" s="16" t="s">
        <v>880</v>
      </c>
      <c r="E575" s="9" t="s">
        <v>873</v>
      </c>
      <c r="F575" s="8" t="str">
        <f>IFERROR(__xludf.DUMMYFUNCTION("GOOGLETRANSLATE(D575,""zh-CN"",""vi"")"),"Bộ quà tặng những điểm mạnh nhất")</f>
        <v>Bộ quà tặng những điểm mạnh nhất</v>
      </c>
      <c r="G575" s="8" t="str">
        <f>IFERROR(__xludf.DUMMYFUNCTION("GOOGLETRANSLATE(E575,""zh-CN"",""vi"")"),"Nhấp đúp chuột sẽ mang lại nhiều phần thưởng khác nhau với một xác suất nhất định.")</f>
        <v>Nhấp đúp chuột sẽ mang lại nhiều phần thưởng khác nhau với một xác suất nhất định.</v>
      </c>
      <c r="H575" s="8"/>
      <c r="I575" s="8"/>
      <c r="J575" s="8"/>
    </row>
    <row r="576" ht="21.0" customHeight="1">
      <c r="A576" s="5">
        <v>5.0</v>
      </c>
      <c r="B576" s="6">
        <v>521.0</v>
      </c>
      <c r="C576" s="6">
        <v>1.0</v>
      </c>
      <c r="D576" s="16" t="s">
        <v>872</v>
      </c>
      <c r="E576" s="9" t="s">
        <v>873</v>
      </c>
      <c r="F576" s="8" t="str">
        <f>IFERROR(__xludf.DUMMYFUNCTION("GOOGLETRANSLATE(D576,""zh-CN"",""vi"")"),"Gói quà tặng điểm Đồng")</f>
        <v>Gói quà tặng điểm Đồng</v>
      </c>
      <c r="G576" s="8" t="str">
        <f>IFERROR(__xludf.DUMMYFUNCTION("GOOGLETRANSLATE(E576,""zh-CN"",""vi"")"),"Nhấp đúp chuột sẽ mang lại nhiều phần thưởng khác nhau với một xác suất nhất định.")</f>
        <v>Nhấp đúp chuột sẽ mang lại nhiều phần thưởng khác nhau với một xác suất nhất định.</v>
      </c>
      <c r="H576" s="8"/>
      <c r="I576" s="8"/>
      <c r="J576" s="8"/>
    </row>
    <row r="577" ht="21.0" customHeight="1">
      <c r="A577" s="5">
        <v>5.0</v>
      </c>
      <c r="B577" s="6">
        <v>521.0</v>
      </c>
      <c r="C577" s="6">
        <v>1.0</v>
      </c>
      <c r="D577" s="16" t="s">
        <v>874</v>
      </c>
      <c r="E577" s="9" t="s">
        <v>873</v>
      </c>
      <c r="F577" s="8" t="str">
        <f>IFERROR(__xludf.DUMMYFUNCTION("GOOGLETRANSLATE(D577,""zh-CN"",""vi"")"),"Bộ quà tặng điểm bạc")</f>
        <v>Bộ quà tặng điểm bạc</v>
      </c>
      <c r="G577" s="8" t="str">
        <f>IFERROR(__xludf.DUMMYFUNCTION("GOOGLETRANSLATE(E577,""zh-CN"",""vi"")"),"Nhấp đúp chuột sẽ mang lại nhiều phần thưởng khác nhau với một xác suất nhất định.")</f>
        <v>Nhấp đúp chuột sẽ mang lại nhiều phần thưởng khác nhau với một xác suất nhất định.</v>
      </c>
      <c r="H577" s="8"/>
      <c r="I577" s="8"/>
      <c r="J577" s="8"/>
    </row>
    <row r="578" ht="21.0" customHeight="1">
      <c r="A578" s="5">
        <v>5.0</v>
      </c>
      <c r="B578" s="6">
        <v>521.0</v>
      </c>
      <c r="C578" s="6">
        <v>1.0</v>
      </c>
      <c r="D578" s="16" t="s">
        <v>875</v>
      </c>
      <c r="E578" s="9" t="s">
        <v>873</v>
      </c>
      <c r="F578" s="8" t="str">
        <f>IFERROR(__xludf.DUMMYFUNCTION("GOOGLETRANSLATE(D578,""zh-CN"",""vi"")"),"Gói quà tặng điểm vàng")</f>
        <v>Gói quà tặng điểm vàng</v>
      </c>
      <c r="G578" s="8" t="str">
        <f>IFERROR(__xludf.DUMMYFUNCTION("GOOGLETRANSLATE(E578,""zh-CN"",""vi"")"),"Nhấp đúp chuột sẽ mang lại nhiều phần thưởng khác nhau với một xác suất nhất định.")</f>
        <v>Nhấp đúp chuột sẽ mang lại nhiều phần thưởng khác nhau với một xác suất nhất định.</v>
      </c>
      <c r="H578" s="8"/>
      <c r="I578" s="8"/>
      <c r="J578" s="8"/>
    </row>
    <row r="579" ht="21.0" customHeight="1">
      <c r="A579" s="5">
        <v>5.0</v>
      </c>
      <c r="B579" s="6">
        <v>521.0</v>
      </c>
      <c r="C579" s="6">
        <v>1.0</v>
      </c>
      <c r="D579" s="16" t="s">
        <v>876</v>
      </c>
      <c r="E579" s="9" t="s">
        <v>873</v>
      </c>
      <c r="F579" s="8" t="str">
        <f>IFERROR(__xludf.DUMMYFUNCTION("GOOGLETRANSLATE(D579,""zh-CN"",""vi"")"),"Gói quà tặng điểm Platinum")</f>
        <v>Gói quà tặng điểm Platinum</v>
      </c>
      <c r="G579" s="8" t="str">
        <f>IFERROR(__xludf.DUMMYFUNCTION("GOOGLETRANSLATE(E579,""zh-CN"",""vi"")"),"Nhấp đúp chuột sẽ mang lại nhiều phần thưởng khác nhau với một xác suất nhất định.")</f>
        <v>Nhấp đúp chuột sẽ mang lại nhiều phần thưởng khác nhau với một xác suất nhất định.</v>
      </c>
      <c r="H579" s="8"/>
      <c r="I579" s="8"/>
      <c r="J579" s="8"/>
    </row>
    <row r="580" ht="21.0" customHeight="1">
      <c r="A580" s="5">
        <v>5.0</v>
      </c>
      <c r="B580" s="6">
        <v>521.0</v>
      </c>
      <c r="C580" s="6">
        <v>1.0</v>
      </c>
      <c r="D580" s="16" t="s">
        <v>877</v>
      </c>
      <c r="E580" s="9" t="s">
        <v>873</v>
      </c>
      <c r="F580" s="8" t="str">
        <f>IFERROR(__xludf.DUMMYFUNCTION("GOOGLETRANSLATE(D580,""zh-CN"",""vi"")"),"Bộ quà tặng điểm kim cương")</f>
        <v>Bộ quà tặng điểm kim cương</v>
      </c>
      <c r="G580" s="8" t="str">
        <f>IFERROR(__xludf.DUMMYFUNCTION("GOOGLETRANSLATE(E580,""zh-CN"",""vi"")"),"Nhấp đúp chuột sẽ mang lại nhiều phần thưởng khác nhau với một xác suất nhất định.")</f>
        <v>Nhấp đúp chuột sẽ mang lại nhiều phần thưởng khác nhau với một xác suất nhất định.</v>
      </c>
      <c r="H580" s="8"/>
      <c r="I580" s="8"/>
      <c r="J580" s="8"/>
    </row>
    <row r="581" ht="21.0" customHeight="1">
      <c r="A581" s="5">
        <v>5.0</v>
      </c>
      <c r="B581" s="6">
        <v>521.0</v>
      </c>
      <c r="C581" s="6">
        <v>1.0</v>
      </c>
      <c r="D581" s="16" t="s">
        <v>878</v>
      </c>
      <c r="E581" s="9" t="s">
        <v>873</v>
      </c>
      <c r="F581" s="8" t="str">
        <f>IFERROR(__xludf.DUMMYFUNCTION("GOOGLETRANSLATE(D581,""zh-CN"",""vi"")"),"Bộ quà tặng điểm thưởng Star Points")</f>
        <v>Bộ quà tặng điểm thưởng Star Points</v>
      </c>
      <c r="G581" s="8" t="str">
        <f>IFERROR(__xludf.DUMMYFUNCTION("GOOGLETRANSLATE(E581,""zh-CN"",""vi"")"),"Nhấp đúp chuột sẽ mang lại nhiều phần thưởng khác nhau với một xác suất nhất định.")</f>
        <v>Nhấp đúp chuột sẽ mang lại nhiều phần thưởng khác nhau với một xác suất nhất định.</v>
      </c>
      <c r="H581" s="8"/>
      <c r="I581" s="8"/>
      <c r="J581" s="8"/>
    </row>
    <row r="582" ht="21.0" customHeight="1">
      <c r="A582" s="5">
        <v>5.0</v>
      </c>
      <c r="B582" s="6">
        <v>521.0</v>
      </c>
      <c r="C582" s="6">
        <v>1.0</v>
      </c>
      <c r="D582" s="16" t="s">
        <v>879</v>
      </c>
      <c r="E582" s="9" t="s">
        <v>873</v>
      </c>
      <c r="F582" s="8" t="str">
        <f>IFERROR(__xludf.DUMMYFUNCTION("GOOGLETRANSLATE(D582,""zh-CN"",""vi"")"),"Bộ quà tặng King's Points")</f>
        <v>Bộ quà tặng King's Points</v>
      </c>
      <c r="G582" s="8" t="str">
        <f>IFERROR(__xludf.DUMMYFUNCTION("GOOGLETRANSLATE(E582,""zh-CN"",""vi"")"),"Nhấp đúp chuột sẽ mang lại nhiều phần thưởng khác nhau với một xác suất nhất định.")</f>
        <v>Nhấp đúp chuột sẽ mang lại nhiều phần thưởng khác nhau với một xác suất nhất định.</v>
      </c>
      <c r="H582" s="8"/>
      <c r="I582" s="8"/>
      <c r="J582" s="8"/>
    </row>
    <row r="583" ht="21.0" customHeight="1">
      <c r="A583" s="5">
        <v>5.0</v>
      </c>
      <c r="B583" s="6">
        <v>521.0</v>
      </c>
      <c r="C583" s="6">
        <v>1.0</v>
      </c>
      <c r="D583" s="16" t="s">
        <v>880</v>
      </c>
      <c r="E583" s="9" t="s">
        <v>873</v>
      </c>
      <c r="F583" s="8" t="str">
        <f>IFERROR(__xludf.DUMMYFUNCTION("GOOGLETRANSLATE(D583,""zh-CN"",""vi"")"),"Bộ quà tặng những điểm mạnh nhất")</f>
        <v>Bộ quà tặng những điểm mạnh nhất</v>
      </c>
      <c r="G583" s="8" t="str">
        <f>IFERROR(__xludf.DUMMYFUNCTION("GOOGLETRANSLATE(E583,""zh-CN"",""vi"")"),"Nhấp đúp chuột sẽ mang lại nhiều phần thưởng khác nhau với một xác suất nhất định.")</f>
        <v>Nhấp đúp chuột sẽ mang lại nhiều phần thưởng khác nhau với một xác suất nhất định.</v>
      </c>
      <c r="H583" s="8"/>
      <c r="I583" s="8"/>
      <c r="J583" s="8"/>
    </row>
    <row r="584" ht="21.0" customHeight="1">
      <c r="A584" s="5">
        <v>5.0</v>
      </c>
      <c r="B584" s="6">
        <v>522.0</v>
      </c>
      <c r="C584" s="6">
        <v>1.0</v>
      </c>
      <c r="D584" s="16" t="s">
        <v>872</v>
      </c>
      <c r="E584" s="9" t="s">
        <v>873</v>
      </c>
      <c r="F584" s="8" t="str">
        <f>IFERROR(__xludf.DUMMYFUNCTION("GOOGLETRANSLATE(D584,""zh-CN"",""vi"")"),"Gói quà tặng điểm Đồng")</f>
        <v>Gói quà tặng điểm Đồng</v>
      </c>
      <c r="G584" s="8" t="str">
        <f>IFERROR(__xludf.DUMMYFUNCTION("GOOGLETRANSLATE(E584,""zh-CN"",""vi"")"),"Nhấp đúp chuột sẽ mang lại nhiều phần thưởng khác nhau với một xác suất nhất định.")</f>
        <v>Nhấp đúp chuột sẽ mang lại nhiều phần thưởng khác nhau với một xác suất nhất định.</v>
      </c>
      <c r="H584" s="8"/>
      <c r="I584" s="8"/>
      <c r="J584" s="8"/>
    </row>
    <row r="585" ht="21.0" customHeight="1">
      <c r="A585" s="5">
        <v>5.0</v>
      </c>
      <c r="B585" s="6">
        <v>522.0</v>
      </c>
      <c r="C585" s="6">
        <v>1.0</v>
      </c>
      <c r="D585" s="16" t="s">
        <v>874</v>
      </c>
      <c r="E585" s="9" t="s">
        <v>873</v>
      </c>
      <c r="F585" s="8" t="str">
        <f>IFERROR(__xludf.DUMMYFUNCTION("GOOGLETRANSLATE(D585,""zh-CN"",""vi"")"),"Bộ quà tặng điểm bạc")</f>
        <v>Bộ quà tặng điểm bạc</v>
      </c>
      <c r="G585" s="8" t="str">
        <f>IFERROR(__xludf.DUMMYFUNCTION("GOOGLETRANSLATE(E585,""zh-CN"",""vi"")"),"Nhấp đúp chuột sẽ mang lại nhiều phần thưởng khác nhau với một xác suất nhất định.")</f>
        <v>Nhấp đúp chuột sẽ mang lại nhiều phần thưởng khác nhau với một xác suất nhất định.</v>
      </c>
      <c r="H585" s="8"/>
      <c r="I585" s="8"/>
      <c r="J585" s="8"/>
    </row>
    <row r="586" ht="21.0" customHeight="1">
      <c r="A586" s="5">
        <v>5.0</v>
      </c>
      <c r="B586" s="6">
        <v>522.0</v>
      </c>
      <c r="C586" s="6">
        <v>1.0</v>
      </c>
      <c r="D586" s="16" t="s">
        <v>875</v>
      </c>
      <c r="E586" s="9" t="s">
        <v>873</v>
      </c>
      <c r="F586" s="8" t="str">
        <f>IFERROR(__xludf.DUMMYFUNCTION("GOOGLETRANSLATE(D586,""zh-CN"",""vi"")"),"Gói quà tặng điểm vàng")</f>
        <v>Gói quà tặng điểm vàng</v>
      </c>
      <c r="G586" s="8" t="str">
        <f>IFERROR(__xludf.DUMMYFUNCTION("GOOGLETRANSLATE(E586,""zh-CN"",""vi"")"),"Nhấp đúp chuột sẽ mang lại nhiều phần thưởng khác nhau với một xác suất nhất định.")</f>
        <v>Nhấp đúp chuột sẽ mang lại nhiều phần thưởng khác nhau với một xác suất nhất định.</v>
      </c>
      <c r="H586" s="8"/>
      <c r="I586" s="8"/>
      <c r="J586" s="8"/>
    </row>
    <row r="587" ht="21.0" customHeight="1">
      <c r="A587" s="5">
        <v>5.0</v>
      </c>
      <c r="B587" s="6">
        <v>522.0</v>
      </c>
      <c r="C587" s="6">
        <v>1.0</v>
      </c>
      <c r="D587" s="16" t="s">
        <v>876</v>
      </c>
      <c r="E587" s="9" t="s">
        <v>873</v>
      </c>
      <c r="F587" s="8" t="str">
        <f>IFERROR(__xludf.DUMMYFUNCTION("GOOGLETRANSLATE(D587,""zh-CN"",""vi"")"),"Gói quà tặng điểm Platinum")</f>
        <v>Gói quà tặng điểm Platinum</v>
      </c>
      <c r="G587" s="8" t="str">
        <f>IFERROR(__xludf.DUMMYFUNCTION("GOOGLETRANSLATE(E587,""zh-CN"",""vi"")"),"Nhấp đúp chuột sẽ mang lại nhiều phần thưởng khác nhau với một xác suất nhất định.")</f>
        <v>Nhấp đúp chuột sẽ mang lại nhiều phần thưởng khác nhau với một xác suất nhất định.</v>
      </c>
      <c r="H587" s="8"/>
      <c r="I587" s="8"/>
      <c r="J587" s="8"/>
    </row>
    <row r="588" ht="21.0" customHeight="1">
      <c r="A588" s="5">
        <v>5.0</v>
      </c>
      <c r="B588" s="6">
        <v>522.0</v>
      </c>
      <c r="C588" s="6">
        <v>1.0</v>
      </c>
      <c r="D588" s="16" t="s">
        <v>877</v>
      </c>
      <c r="E588" s="9" t="s">
        <v>873</v>
      </c>
      <c r="F588" s="8" t="str">
        <f>IFERROR(__xludf.DUMMYFUNCTION("GOOGLETRANSLATE(D588,""zh-CN"",""vi"")"),"Bộ quà tặng điểm kim cương")</f>
        <v>Bộ quà tặng điểm kim cương</v>
      </c>
      <c r="G588" s="8" t="str">
        <f>IFERROR(__xludf.DUMMYFUNCTION("GOOGLETRANSLATE(E588,""zh-CN"",""vi"")"),"Nhấp đúp chuột sẽ mang lại nhiều phần thưởng khác nhau với một xác suất nhất định.")</f>
        <v>Nhấp đúp chuột sẽ mang lại nhiều phần thưởng khác nhau với một xác suất nhất định.</v>
      </c>
      <c r="H588" s="8"/>
      <c r="I588" s="8"/>
      <c r="J588" s="8"/>
    </row>
    <row r="589" ht="21.0" customHeight="1">
      <c r="A589" s="5">
        <v>5.0</v>
      </c>
      <c r="B589" s="6">
        <v>522.0</v>
      </c>
      <c r="C589" s="6">
        <v>1.0</v>
      </c>
      <c r="D589" s="16" t="s">
        <v>878</v>
      </c>
      <c r="E589" s="9" t="s">
        <v>873</v>
      </c>
      <c r="F589" s="8" t="str">
        <f>IFERROR(__xludf.DUMMYFUNCTION("GOOGLETRANSLATE(D589,""zh-CN"",""vi"")"),"Bộ quà tặng điểm thưởng Star Points")</f>
        <v>Bộ quà tặng điểm thưởng Star Points</v>
      </c>
      <c r="G589" s="8" t="str">
        <f>IFERROR(__xludf.DUMMYFUNCTION("GOOGLETRANSLATE(E589,""zh-CN"",""vi"")"),"Nhấp đúp chuột sẽ mang lại nhiều phần thưởng khác nhau với một xác suất nhất định.")</f>
        <v>Nhấp đúp chuột sẽ mang lại nhiều phần thưởng khác nhau với một xác suất nhất định.</v>
      </c>
      <c r="H589" s="8"/>
      <c r="I589" s="8"/>
      <c r="J589" s="8"/>
    </row>
    <row r="590" ht="21.0" customHeight="1">
      <c r="A590" s="5">
        <v>5.0</v>
      </c>
      <c r="B590" s="6">
        <v>522.0</v>
      </c>
      <c r="C590" s="6">
        <v>1.0</v>
      </c>
      <c r="D590" s="16" t="s">
        <v>879</v>
      </c>
      <c r="E590" s="9" t="s">
        <v>873</v>
      </c>
      <c r="F590" s="8" t="str">
        <f>IFERROR(__xludf.DUMMYFUNCTION("GOOGLETRANSLATE(D590,""zh-CN"",""vi"")"),"Bộ quà tặng King's Points")</f>
        <v>Bộ quà tặng King's Points</v>
      </c>
      <c r="G590" s="8" t="str">
        <f>IFERROR(__xludf.DUMMYFUNCTION("GOOGLETRANSLATE(E590,""zh-CN"",""vi"")"),"Nhấp đúp chuột sẽ mang lại nhiều phần thưởng khác nhau với một xác suất nhất định.")</f>
        <v>Nhấp đúp chuột sẽ mang lại nhiều phần thưởng khác nhau với một xác suất nhất định.</v>
      </c>
      <c r="H590" s="8"/>
      <c r="I590" s="8"/>
      <c r="J590" s="8"/>
    </row>
    <row r="591" ht="21.0" customHeight="1">
      <c r="A591" s="5">
        <v>5.0</v>
      </c>
      <c r="B591" s="6">
        <v>522.0</v>
      </c>
      <c r="C591" s="6">
        <v>1.0</v>
      </c>
      <c r="D591" s="16" t="s">
        <v>880</v>
      </c>
      <c r="E591" s="9" t="s">
        <v>873</v>
      </c>
      <c r="F591" s="8" t="str">
        <f>IFERROR(__xludf.DUMMYFUNCTION("GOOGLETRANSLATE(D591,""zh-CN"",""vi"")"),"Bộ quà tặng những điểm mạnh nhất")</f>
        <v>Bộ quà tặng những điểm mạnh nhất</v>
      </c>
      <c r="G591" s="8" t="str">
        <f>IFERROR(__xludf.DUMMYFUNCTION("GOOGLETRANSLATE(E591,""zh-CN"",""vi"")"),"Nhấp đúp chuột sẽ mang lại nhiều phần thưởng khác nhau với một xác suất nhất định.")</f>
        <v>Nhấp đúp chuột sẽ mang lại nhiều phần thưởng khác nhau với một xác suất nhất định.</v>
      </c>
      <c r="H591" s="8"/>
      <c r="I591" s="8"/>
      <c r="J591" s="8"/>
    </row>
    <row r="592" ht="21.0" customHeight="1">
      <c r="A592" s="5">
        <v>5.0</v>
      </c>
      <c r="B592" s="6">
        <v>523.0</v>
      </c>
      <c r="C592" s="6">
        <v>1.0</v>
      </c>
      <c r="D592" s="16" t="s">
        <v>872</v>
      </c>
      <c r="E592" s="9" t="s">
        <v>873</v>
      </c>
      <c r="F592" s="8" t="str">
        <f>IFERROR(__xludf.DUMMYFUNCTION("GOOGLETRANSLATE(D592,""zh-CN"",""vi"")"),"Gói quà tặng điểm Đồng")</f>
        <v>Gói quà tặng điểm Đồng</v>
      </c>
      <c r="G592" s="8" t="str">
        <f>IFERROR(__xludf.DUMMYFUNCTION("GOOGLETRANSLATE(E592,""zh-CN"",""vi"")"),"Nhấp đúp chuột sẽ mang lại nhiều phần thưởng khác nhau với một xác suất nhất định.")</f>
        <v>Nhấp đúp chuột sẽ mang lại nhiều phần thưởng khác nhau với một xác suất nhất định.</v>
      </c>
      <c r="H592" s="8"/>
      <c r="I592" s="8"/>
      <c r="J592" s="8"/>
    </row>
    <row r="593" ht="21.0" customHeight="1">
      <c r="A593" s="5">
        <v>5.0</v>
      </c>
      <c r="B593" s="6">
        <v>523.0</v>
      </c>
      <c r="C593" s="6">
        <v>1.0</v>
      </c>
      <c r="D593" s="16" t="s">
        <v>874</v>
      </c>
      <c r="E593" s="9" t="s">
        <v>873</v>
      </c>
      <c r="F593" s="8" t="str">
        <f>IFERROR(__xludf.DUMMYFUNCTION("GOOGLETRANSLATE(D593,""zh-CN"",""vi"")"),"Bộ quà tặng điểm bạc")</f>
        <v>Bộ quà tặng điểm bạc</v>
      </c>
      <c r="G593" s="8" t="str">
        <f>IFERROR(__xludf.DUMMYFUNCTION("GOOGLETRANSLATE(E593,""zh-CN"",""vi"")"),"Nhấp đúp chuột sẽ mang lại nhiều phần thưởng khác nhau với một xác suất nhất định.")</f>
        <v>Nhấp đúp chuột sẽ mang lại nhiều phần thưởng khác nhau với một xác suất nhất định.</v>
      </c>
      <c r="H593" s="8"/>
      <c r="I593" s="8"/>
      <c r="J593" s="8"/>
    </row>
    <row r="594" ht="21.0" customHeight="1">
      <c r="A594" s="5">
        <v>5.0</v>
      </c>
      <c r="B594" s="6">
        <v>523.0</v>
      </c>
      <c r="C594" s="6">
        <v>1.0</v>
      </c>
      <c r="D594" s="16" t="s">
        <v>875</v>
      </c>
      <c r="E594" s="9" t="s">
        <v>873</v>
      </c>
      <c r="F594" s="8" t="str">
        <f>IFERROR(__xludf.DUMMYFUNCTION("GOOGLETRANSLATE(D594,""zh-CN"",""vi"")"),"Gói quà tặng điểm vàng")</f>
        <v>Gói quà tặng điểm vàng</v>
      </c>
      <c r="G594" s="8" t="str">
        <f>IFERROR(__xludf.DUMMYFUNCTION("GOOGLETRANSLATE(E594,""zh-CN"",""vi"")"),"Nhấp đúp chuột sẽ mang lại nhiều phần thưởng khác nhau với một xác suất nhất định.")</f>
        <v>Nhấp đúp chuột sẽ mang lại nhiều phần thưởng khác nhau với một xác suất nhất định.</v>
      </c>
      <c r="H594" s="8"/>
      <c r="I594" s="8"/>
      <c r="J594" s="8"/>
    </row>
    <row r="595" ht="21.0" customHeight="1">
      <c r="A595" s="5">
        <v>5.0</v>
      </c>
      <c r="B595" s="6">
        <v>523.0</v>
      </c>
      <c r="C595" s="6">
        <v>1.0</v>
      </c>
      <c r="D595" s="16" t="s">
        <v>876</v>
      </c>
      <c r="E595" s="9" t="s">
        <v>873</v>
      </c>
      <c r="F595" s="8" t="str">
        <f>IFERROR(__xludf.DUMMYFUNCTION("GOOGLETRANSLATE(D595,""zh-CN"",""vi"")"),"Gói quà tặng điểm Platinum")</f>
        <v>Gói quà tặng điểm Platinum</v>
      </c>
      <c r="G595" s="8" t="str">
        <f>IFERROR(__xludf.DUMMYFUNCTION("GOOGLETRANSLATE(E595,""zh-CN"",""vi"")"),"Nhấp đúp chuột sẽ mang lại nhiều phần thưởng khác nhau với một xác suất nhất định.")</f>
        <v>Nhấp đúp chuột sẽ mang lại nhiều phần thưởng khác nhau với một xác suất nhất định.</v>
      </c>
      <c r="H595" s="8"/>
      <c r="I595" s="8"/>
      <c r="J595" s="8"/>
    </row>
    <row r="596" ht="21.0" customHeight="1">
      <c r="A596" s="5">
        <v>5.0</v>
      </c>
      <c r="B596" s="6">
        <v>523.0</v>
      </c>
      <c r="C596" s="6">
        <v>1.0</v>
      </c>
      <c r="D596" s="16" t="s">
        <v>877</v>
      </c>
      <c r="E596" s="9" t="s">
        <v>873</v>
      </c>
      <c r="F596" s="8" t="str">
        <f>IFERROR(__xludf.DUMMYFUNCTION("GOOGLETRANSLATE(D596,""zh-CN"",""vi"")"),"Bộ quà tặng điểm kim cương")</f>
        <v>Bộ quà tặng điểm kim cương</v>
      </c>
      <c r="G596" s="8" t="str">
        <f>IFERROR(__xludf.DUMMYFUNCTION("GOOGLETRANSLATE(E596,""zh-CN"",""vi"")"),"Nhấp đúp chuột sẽ mang lại nhiều phần thưởng khác nhau với một xác suất nhất định.")</f>
        <v>Nhấp đúp chuột sẽ mang lại nhiều phần thưởng khác nhau với một xác suất nhất định.</v>
      </c>
      <c r="H596" s="8"/>
      <c r="I596" s="8"/>
      <c r="J596" s="8"/>
    </row>
    <row r="597" ht="21.0" customHeight="1">
      <c r="A597" s="5">
        <v>5.0</v>
      </c>
      <c r="B597" s="6">
        <v>523.0</v>
      </c>
      <c r="C597" s="6">
        <v>1.0</v>
      </c>
      <c r="D597" s="16" t="s">
        <v>878</v>
      </c>
      <c r="E597" s="9" t="s">
        <v>873</v>
      </c>
      <c r="F597" s="8" t="str">
        <f>IFERROR(__xludf.DUMMYFUNCTION("GOOGLETRANSLATE(D597,""zh-CN"",""vi"")"),"Bộ quà tặng điểm thưởng Star Points")</f>
        <v>Bộ quà tặng điểm thưởng Star Points</v>
      </c>
      <c r="G597" s="8" t="str">
        <f>IFERROR(__xludf.DUMMYFUNCTION("GOOGLETRANSLATE(E597,""zh-CN"",""vi"")"),"Nhấp đúp chuột sẽ mang lại nhiều phần thưởng khác nhau với một xác suất nhất định.")</f>
        <v>Nhấp đúp chuột sẽ mang lại nhiều phần thưởng khác nhau với một xác suất nhất định.</v>
      </c>
      <c r="H597" s="8"/>
      <c r="I597" s="8"/>
      <c r="J597" s="8"/>
    </row>
    <row r="598" ht="21.0" customHeight="1">
      <c r="A598" s="5">
        <v>5.0</v>
      </c>
      <c r="B598" s="6">
        <v>523.0</v>
      </c>
      <c r="C598" s="6">
        <v>1.0</v>
      </c>
      <c r="D598" s="16" t="s">
        <v>879</v>
      </c>
      <c r="E598" s="9" t="s">
        <v>873</v>
      </c>
      <c r="F598" s="8" t="str">
        <f>IFERROR(__xludf.DUMMYFUNCTION("GOOGLETRANSLATE(D598,""zh-CN"",""vi"")"),"Bộ quà tặng King's Points")</f>
        <v>Bộ quà tặng King's Points</v>
      </c>
      <c r="G598" s="8" t="str">
        <f>IFERROR(__xludf.DUMMYFUNCTION("GOOGLETRANSLATE(E598,""zh-CN"",""vi"")"),"Nhấp đúp chuột sẽ mang lại nhiều phần thưởng khác nhau với một xác suất nhất định.")</f>
        <v>Nhấp đúp chuột sẽ mang lại nhiều phần thưởng khác nhau với một xác suất nhất định.</v>
      </c>
      <c r="H598" s="8"/>
      <c r="I598" s="8"/>
      <c r="J598" s="8"/>
    </row>
    <row r="599" ht="21.0" customHeight="1">
      <c r="A599" s="5">
        <v>5.0</v>
      </c>
      <c r="B599" s="6">
        <v>523.0</v>
      </c>
      <c r="C599" s="6">
        <v>1.0</v>
      </c>
      <c r="D599" s="16" t="s">
        <v>880</v>
      </c>
      <c r="E599" s="9" t="s">
        <v>873</v>
      </c>
      <c r="F599" s="8" t="str">
        <f>IFERROR(__xludf.DUMMYFUNCTION("GOOGLETRANSLATE(D599,""zh-CN"",""vi"")"),"Bộ quà tặng những điểm mạnh nhất")</f>
        <v>Bộ quà tặng những điểm mạnh nhất</v>
      </c>
      <c r="G599" s="8" t="str">
        <f>IFERROR(__xludf.DUMMYFUNCTION("GOOGLETRANSLATE(E599,""zh-CN"",""vi"")"),"Nhấp đúp chuột sẽ mang lại nhiều phần thưởng khác nhau với một xác suất nhất định.")</f>
        <v>Nhấp đúp chuột sẽ mang lại nhiều phần thưởng khác nhau với một xác suất nhất định.</v>
      </c>
      <c r="H599" s="8"/>
      <c r="I599" s="8"/>
      <c r="J599" s="8"/>
    </row>
    <row r="600" ht="21.0" customHeight="1">
      <c r="A600" s="5">
        <v>5.0</v>
      </c>
      <c r="B600" s="6">
        <v>519.0</v>
      </c>
      <c r="C600" s="6">
        <v>1.0</v>
      </c>
      <c r="D600" s="16" t="s">
        <v>872</v>
      </c>
      <c r="E600" s="9" t="s">
        <v>873</v>
      </c>
      <c r="F600" s="8" t="str">
        <f>IFERROR(__xludf.DUMMYFUNCTION("GOOGLETRANSLATE(D600,""zh-CN"",""vi"")"),"Gói quà tặng điểm Đồng")</f>
        <v>Gói quà tặng điểm Đồng</v>
      </c>
      <c r="G600" s="8" t="str">
        <f>IFERROR(__xludf.DUMMYFUNCTION("GOOGLETRANSLATE(E600,""zh-CN"",""vi"")"),"Nhấp đúp chuột sẽ mang lại nhiều phần thưởng khác nhau với một xác suất nhất định.")</f>
        <v>Nhấp đúp chuột sẽ mang lại nhiều phần thưởng khác nhau với một xác suất nhất định.</v>
      </c>
      <c r="H600" s="8"/>
      <c r="I600" s="8"/>
      <c r="J600" s="8"/>
    </row>
    <row r="601" ht="21.0" customHeight="1">
      <c r="A601" s="5">
        <v>5.0</v>
      </c>
      <c r="B601" s="6">
        <v>519.0</v>
      </c>
      <c r="C601" s="6">
        <v>1.0</v>
      </c>
      <c r="D601" s="16" t="s">
        <v>874</v>
      </c>
      <c r="E601" s="9" t="s">
        <v>873</v>
      </c>
      <c r="F601" s="8" t="str">
        <f>IFERROR(__xludf.DUMMYFUNCTION("GOOGLETRANSLATE(D601,""zh-CN"",""vi"")"),"Bộ quà tặng điểm bạc")</f>
        <v>Bộ quà tặng điểm bạc</v>
      </c>
      <c r="G601" s="8" t="str">
        <f>IFERROR(__xludf.DUMMYFUNCTION("GOOGLETRANSLATE(E601,""zh-CN"",""vi"")"),"Nhấp đúp chuột sẽ mang lại nhiều phần thưởng khác nhau với một xác suất nhất định.")</f>
        <v>Nhấp đúp chuột sẽ mang lại nhiều phần thưởng khác nhau với một xác suất nhất định.</v>
      </c>
      <c r="H601" s="8"/>
      <c r="I601" s="8"/>
      <c r="J601" s="8"/>
    </row>
    <row r="602" ht="21.0" customHeight="1">
      <c r="A602" s="5">
        <v>5.0</v>
      </c>
      <c r="B602" s="6">
        <v>519.0</v>
      </c>
      <c r="C602" s="6">
        <v>1.0</v>
      </c>
      <c r="D602" s="16" t="s">
        <v>875</v>
      </c>
      <c r="E602" s="9" t="s">
        <v>873</v>
      </c>
      <c r="F602" s="8" t="str">
        <f>IFERROR(__xludf.DUMMYFUNCTION("GOOGLETRANSLATE(D602,""zh-CN"",""vi"")"),"Gói quà tặng điểm vàng")</f>
        <v>Gói quà tặng điểm vàng</v>
      </c>
      <c r="G602" s="8" t="str">
        <f>IFERROR(__xludf.DUMMYFUNCTION("GOOGLETRANSLATE(E602,""zh-CN"",""vi"")"),"Nhấp đúp chuột sẽ mang lại nhiều phần thưởng khác nhau với một xác suất nhất định.")</f>
        <v>Nhấp đúp chuột sẽ mang lại nhiều phần thưởng khác nhau với một xác suất nhất định.</v>
      </c>
      <c r="H602" s="8"/>
      <c r="I602" s="8"/>
      <c r="J602" s="8"/>
    </row>
    <row r="603" ht="21.0" customHeight="1">
      <c r="A603" s="5">
        <v>5.0</v>
      </c>
      <c r="B603" s="6">
        <v>519.0</v>
      </c>
      <c r="C603" s="6">
        <v>1.0</v>
      </c>
      <c r="D603" s="16" t="s">
        <v>876</v>
      </c>
      <c r="E603" s="9" t="s">
        <v>873</v>
      </c>
      <c r="F603" s="8" t="str">
        <f>IFERROR(__xludf.DUMMYFUNCTION("GOOGLETRANSLATE(D603,""zh-CN"",""vi"")"),"Gói quà tặng điểm Platinum")</f>
        <v>Gói quà tặng điểm Platinum</v>
      </c>
      <c r="G603" s="8" t="str">
        <f>IFERROR(__xludf.DUMMYFUNCTION("GOOGLETRANSLATE(E603,""zh-CN"",""vi"")"),"Nhấp đúp chuột sẽ mang lại nhiều phần thưởng khác nhau với một xác suất nhất định.")</f>
        <v>Nhấp đúp chuột sẽ mang lại nhiều phần thưởng khác nhau với một xác suất nhất định.</v>
      </c>
      <c r="H603" s="8"/>
      <c r="I603" s="8"/>
      <c r="J603" s="8"/>
    </row>
    <row r="604" ht="21.0" customHeight="1">
      <c r="A604" s="5">
        <v>5.0</v>
      </c>
      <c r="B604" s="6">
        <v>519.0</v>
      </c>
      <c r="C604" s="6">
        <v>1.0</v>
      </c>
      <c r="D604" s="16" t="s">
        <v>877</v>
      </c>
      <c r="E604" s="9" t="s">
        <v>873</v>
      </c>
      <c r="F604" s="8" t="str">
        <f>IFERROR(__xludf.DUMMYFUNCTION("GOOGLETRANSLATE(D604,""zh-CN"",""vi"")"),"Bộ quà tặng điểm kim cương")</f>
        <v>Bộ quà tặng điểm kim cương</v>
      </c>
      <c r="G604" s="8" t="str">
        <f>IFERROR(__xludf.DUMMYFUNCTION("GOOGLETRANSLATE(E604,""zh-CN"",""vi"")"),"Nhấp đúp chuột sẽ mang lại nhiều phần thưởng khác nhau với một xác suất nhất định.")</f>
        <v>Nhấp đúp chuột sẽ mang lại nhiều phần thưởng khác nhau với một xác suất nhất định.</v>
      </c>
      <c r="H604" s="8"/>
      <c r="I604" s="8"/>
      <c r="J604" s="8"/>
    </row>
    <row r="605" ht="21.0" customHeight="1">
      <c r="A605" s="5">
        <v>5.0</v>
      </c>
      <c r="B605" s="6">
        <v>519.0</v>
      </c>
      <c r="C605" s="6">
        <v>1.0</v>
      </c>
      <c r="D605" s="16" t="s">
        <v>878</v>
      </c>
      <c r="E605" s="9" t="s">
        <v>873</v>
      </c>
      <c r="F605" s="8" t="str">
        <f>IFERROR(__xludf.DUMMYFUNCTION("GOOGLETRANSLATE(D605,""zh-CN"",""vi"")"),"Bộ quà tặng điểm thưởng Star Points")</f>
        <v>Bộ quà tặng điểm thưởng Star Points</v>
      </c>
      <c r="G605" s="8" t="str">
        <f>IFERROR(__xludf.DUMMYFUNCTION("GOOGLETRANSLATE(E605,""zh-CN"",""vi"")"),"Nhấp đúp chuột sẽ mang lại nhiều phần thưởng khác nhau với một xác suất nhất định.")</f>
        <v>Nhấp đúp chuột sẽ mang lại nhiều phần thưởng khác nhau với một xác suất nhất định.</v>
      </c>
      <c r="H605" s="8"/>
      <c r="I605" s="8"/>
      <c r="J605" s="8"/>
    </row>
    <row r="606" ht="21.0" customHeight="1">
      <c r="A606" s="5">
        <v>5.0</v>
      </c>
      <c r="B606" s="6">
        <v>519.0</v>
      </c>
      <c r="C606" s="6">
        <v>1.0</v>
      </c>
      <c r="D606" s="16" t="s">
        <v>879</v>
      </c>
      <c r="E606" s="9" t="s">
        <v>873</v>
      </c>
      <c r="F606" s="8" t="str">
        <f>IFERROR(__xludf.DUMMYFUNCTION("GOOGLETRANSLATE(D606,""zh-CN"",""vi"")"),"Bộ quà tặng King's Points")</f>
        <v>Bộ quà tặng King's Points</v>
      </c>
      <c r="G606" s="8" t="str">
        <f>IFERROR(__xludf.DUMMYFUNCTION("GOOGLETRANSLATE(E606,""zh-CN"",""vi"")"),"Nhấp đúp chuột sẽ mang lại nhiều phần thưởng khác nhau với một xác suất nhất định.")</f>
        <v>Nhấp đúp chuột sẽ mang lại nhiều phần thưởng khác nhau với một xác suất nhất định.</v>
      </c>
      <c r="H606" s="8"/>
      <c r="I606" s="8"/>
      <c r="J606" s="8"/>
    </row>
    <row r="607" ht="21.0" customHeight="1">
      <c r="A607" s="5">
        <v>5.0</v>
      </c>
      <c r="B607" s="6">
        <v>519.0</v>
      </c>
      <c r="C607" s="6">
        <v>1.0</v>
      </c>
      <c r="D607" s="16" t="s">
        <v>880</v>
      </c>
      <c r="E607" s="9" t="s">
        <v>873</v>
      </c>
      <c r="F607" s="8" t="str">
        <f>IFERROR(__xludf.DUMMYFUNCTION("GOOGLETRANSLATE(D607,""zh-CN"",""vi"")"),"Bộ quà tặng những điểm mạnh nhất")</f>
        <v>Bộ quà tặng những điểm mạnh nhất</v>
      </c>
      <c r="G607" s="8" t="str">
        <f>IFERROR(__xludf.DUMMYFUNCTION("GOOGLETRANSLATE(E607,""zh-CN"",""vi"")"),"Nhấp đúp chuột sẽ mang lại nhiều phần thưởng khác nhau với một xác suất nhất định.")</f>
        <v>Nhấp đúp chuột sẽ mang lại nhiều phần thưởng khác nhau với một xác suất nhất định.</v>
      </c>
      <c r="H607" s="8"/>
      <c r="I607" s="8"/>
      <c r="J607" s="8"/>
    </row>
    <row r="608" ht="21.0" customHeight="1">
      <c r="A608" s="5">
        <v>5.0</v>
      </c>
      <c r="B608" s="6">
        <v>520.0</v>
      </c>
      <c r="C608" s="6">
        <v>1.0</v>
      </c>
      <c r="D608" s="16" t="s">
        <v>872</v>
      </c>
      <c r="E608" s="9" t="s">
        <v>873</v>
      </c>
      <c r="F608" s="8" t="str">
        <f>IFERROR(__xludf.DUMMYFUNCTION("GOOGLETRANSLATE(D608,""zh-CN"",""vi"")"),"Gói quà tặng điểm Đồng")</f>
        <v>Gói quà tặng điểm Đồng</v>
      </c>
      <c r="G608" s="8" t="str">
        <f>IFERROR(__xludf.DUMMYFUNCTION("GOOGLETRANSLATE(E608,""zh-CN"",""vi"")"),"Nhấp đúp chuột sẽ mang lại nhiều phần thưởng khác nhau với một xác suất nhất định.")</f>
        <v>Nhấp đúp chuột sẽ mang lại nhiều phần thưởng khác nhau với một xác suất nhất định.</v>
      </c>
      <c r="H608" s="8"/>
      <c r="I608" s="8"/>
      <c r="J608" s="8"/>
    </row>
    <row r="609" ht="21.0" customHeight="1">
      <c r="A609" s="5">
        <v>5.0</v>
      </c>
      <c r="B609" s="6">
        <v>520.0</v>
      </c>
      <c r="C609" s="6">
        <v>1.0</v>
      </c>
      <c r="D609" s="16" t="s">
        <v>874</v>
      </c>
      <c r="E609" s="9" t="s">
        <v>873</v>
      </c>
      <c r="F609" s="8" t="str">
        <f>IFERROR(__xludf.DUMMYFUNCTION("GOOGLETRANSLATE(D609,""zh-CN"",""vi"")"),"Bộ quà tặng điểm bạc")</f>
        <v>Bộ quà tặng điểm bạc</v>
      </c>
      <c r="G609" s="8" t="str">
        <f>IFERROR(__xludf.DUMMYFUNCTION("GOOGLETRANSLATE(E609,""zh-CN"",""vi"")"),"Nhấp đúp chuột sẽ mang lại nhiều phần thưởng khác nhau với một xác suất nhất định.")</f>
        <v>Nhấp đúp chuột sẽ mang lại nhiều phần thưởng khác nhau với một xác suất nhất định.</v>
      </c>
      <c r="H609" s="8"/>
      <c r="I609" s="8"/>
      <c r="J609" s="8"/>
    </row>
    <row r="610" ht="21.0" customHeight="1">
      <c r="A610" s="5">
        <v>5.0</v>
      </c>
      <c r="B610" s="6">
        <v>520.0</v>
      </c>
      <c r="C610" s="6">
        <v>1.0</v>
      </c>
      <c r="D610" s="16" t="s">
        <v>875</v>
      </c>
      <c r="E610" s="9" t="s">
        <v>873</v>
      </c>
      <c r="F610" s="8" t="str">
        <f>IFERROR(__xludf.DUMMYFUNCTION("GOOGLETRANSLATE(D610,""zh-CN"",""vi"")"),"Gói quà tặng điểm vàng")</f>
        <v>Gói quà tặng điểm vàng</v>
      </c>
      <c r="G610" s="8" t="str">
        <f>IFERROR(__xludf.DUMMYFUNCTION("GOOGLETRANSLATE(E610,""zh-CN"",""vi"")"),"Nhấp đúp chuột sẽ mang lại nhiều phần thưởng khác nhau với một xác suất nhất định.")</f>
        <v>Nhấp đúp chuột sẽ mang lại nhiều phần thưởng khác nhau với một xác suất nhất định.</v>
      </c>
      <c r="H610" s="8"/>
      <c r="I610" s="8"/>
      <c r="J610" s="8"/>
    </row>
    <row r="611" ht="21.0" customHeight="1">
      <c r="A611" s="5">
        <v>5.0</v>
      </c>
      <c r="B611" s="6">
        <v>520.0</v>
      </c>
      <c r="C611" s="6">
        <v>1.0</v>
      </c>
      <c r="D611" s="16" t="s">
        <v>876</v>
      </c>
      <c r="E611" s="9" t="s">
        <v>873</v>
      </c>
      <c r="F611" s="8" t="str">
        <f>IFERROR(__xludf.DUMMYFUNCTION("GOOGLETRANSLATE(D611,""zh-CN"",""vi"")"),"Gói quà tặng điểm Platinum")</f>
        <v>Gói quà tặng điểm Platinum</v>
      </c>
      <c r="G611" s="8" t="str">
        <f>IFERROR(__xludf.DUMMYFUNCTION("GOOGLETRANSLATE(E611,""zh-CN"",""vi"")"),"Nhấp đúp chuột sẽ mang lại nhiều phần thưởng khác nhau với một xác suất nhất định.")</f>
        <v>Nhấp đúp chuột sẽ mang lại nhiều phần thưởng khác nhau với một xác suất nhất định.</v>
      </c>
      <c r="H611" s="8"/>
      <c r="I611" s="8"/>
      <c r="J611" s="8"/>
    </row>
    <row r="612" ht="21.0" customHeight="1">
      <c r="A612" s="5">
        <v>5.0</v>
      </c>
      <c r="B612" s="6">
        <v>520.0</v>
      </c>
      <c r="C612" s="6">
        <v>1.0</v>
      </c>
      <c r="D612" s="16" t="s">
        <v>877</v>
      </c>
      <c r="E612" s="9" t="s">
        <v>873</v>
      </c>
      <c r="F612" s="8" t="str">
        <f>IFERROR(__xludf.DUMMYFUNCTION("GOOGLETRANSLATE(D612,""zh-CN"",""vi"")"),"Bộ quà tặng điểm kim cương")</f>
        <v>Bộ quà tặng điểm kim cương</v>
      </c>
      <c r="G612" s="8" t="str">
        <f>IFERROR(__xludf.DUMMYFUNCTION("GOOGLETRANSLATE(E612,""zh-CN"",""vi"")"),"Nhấp đúp chuột sẽ mang lại nhiều phần thưởng khác nhau với một xác suất nhất định.")</f>
        <v>Nhấp đúp chuột sẽ mang lại nhiều phần thưởng khác nhau với một xác suất nhất định.</v>
      </c>
      <c r="H612" s="8"/>
      <c r="I612" s="8"/>
      <c r="J612" s="8"/>
    </row>
    <row r="613" ht="21.0" customHeight="1">
      <c r="A613" s="5">
        <v>5.0</v>
      </c>
      <c r="B613" s="6">
        <v>520.0</v>
      </c>
      <c r="C613" s="6">
        <v>1.0</v>
      </c>
      <c r="D613" s="16" t="s">
        <v>878</v>
      </c>
      <c r="E613" s="9" t="s">
        <v>873</v>
      </c>
      <c r="F613" s="8" t="str">
        <f>IFERROR(__xludf.DUMMYFUNCTION("GOOGLETRANSLATE(D613,""zh-CN"",""vi"")"),"Bộ quà tặng điểm thưởng Star Points")</f>
        <v>Bộ quà tặng điểm thưởng Star Points</v>
      </c>
      <c r="G613" s="8" t="str">
        <f>IFERROR(__xludf.DUMMYFUNCTION("GOOGLETRANSLATE(E613,""zh-CN"",""vi"")"),"Nhấp đúp chuột sẽ mang lại nhiều phần thưởng khác nhau với một xác suất nhất định.")</f>
        <v>Nhấp đúp chuột sẽ mang lại nhiều phần thưởng khác nhau với một xác suất nhất định.</v>
      </c>
      <c r="H613" s="8"/>
      <c r="I613" s="8"/>
      <c r="J613" s="8"/>
    </row>
    <row r="614" ht="21.0" customHeight="1">
      <c r="A614" s="5">
        <v>5.0</v>
      </c>
      <c r="B614" s="6">
        <v>520.0</v>
      </c>
      <c r="C614" s="6">
        <v>1.0</v>
      </c>
      <c r="D614" s="16" t="s">
        <v>879</v>
      </c>
      <c r="E614" s="9" t="s">
        <v>873</v>
      </c>
      <c r="F614" s="8" t="str">
        <f>IFERROR(__xludf.DUMMYFUNCTION("GOOGLETRANSLATE(D614,""zh-CN"",""vi"")"),"Bộ quà tặng King's Points")</f>
        <v>Bộ quà tặng King's Points</v>
      </c>
      <c r="G614" s="8" t="str">
        <f>IFERROR(__xludf.DUMMYFUNCTION("GOOGLETRANSLATE(E614,""zh-CN"",""vi"")"),"Nhấp đúp chuột sẽ mang lại nhiều phần thưởng khác nhau với một xác suất nhất định.")</f>
        <v>Nhấp đúp chuột sẽ mang lại nhiều phần thưởng khác nhau với một xác suất nhất định.</v>
      </c>
      <c r="H614" s="8"/>
      <c r="I614" s="8"/>
      <c r="J614" s="8"/>
    </row>
    <row r="615" ht="21.0" customHeight="1">
      <c r="A615" s="5">
        <v>5.0</v>
      </c>
      <c r="B615" s="6">
        <v>520.0</v>
      </c>
      <c r="C615" s="6">
        <v>1.0</v>
      </c>
      <c r="D615" s="16" t="s">
        <v>880</v>
      </c>
      <c r="E615" s="9" t="s">
        <v>873</v>
      </c>
      <c r="F615" s="8" t="str">
        <f>IFERROR(__xludf.DUMMYFUNCTION("GOOGLETRANSLATE(D615,""zh-CN"",""vi"")"),"Bộ quà tặng những điểm mạnh nhất")</f>
        <v>Bộ quà tặng những điểm mạnh nhất</v>
      </c>
      <c r="G615" s="8" t="str">
        <f>IFERROR(__xludf.DUMMYFUNCTION("GOOGLETRANSLATE(E615,""zh-CN"",""vi"")"),"Nhấp đúp chuột sẽ mang lại nhiều phần thưởng khác nhau với một xác suất nhất định.")</f>
        <v>Nhấp đúp chuột sẽ mang lại nhiều phần thưởng khác nhau với một xác suất nhất định.</v>
      </c>
      <c r="H615" s="8"/>
      <c r="I615" s="8"/>
      <c r="J615" s="8"/>
    </row>
    <row r="616" ht="21.0" customHeight="1">
      <c r="A616" s="5">
        <v>5.0</v>
      </c>
      <c r="B616" s="6">
        <v>521.0</v>
      </c>
      <c r="C616" s="6">
        <v>1.0</v>
      </c>
      <c r="D616" s="16" t="s">
        <v>872</v>
      </c>
      <c r="E616" s="9" t="s">
        <v>873</v>
      </c>
      <c r="F616" s="8" t="str">
        <f>IFERROR(__xludf.DUMMYFUNCTION("GOOGLETRANSLATE(D616,""zh-CN"",""vi"")"),"Gói quà tặng điểm Đồng")</f>
        <v>Gói quà tặng điểm Đồng</v>
      </c>
      <c r="G616" s="8" t="str">
        <f>IFERROR(__xludf.DUMMYFUNCTION("GOOGLETRANSLATE(E616,""zh-CN"",""vi"")"),"Nhấp đúp chuột sẽ mang lại nhiều phần thưởng khác nhau với một xác suất nhất định.")</f>
        <v>Nhấp đúp chuột sẽ mang lại nhiều phần thưởng khác nhau với một xác suất nhất định.</v>
      </c>
      <c r="H616" s="8"/>
      <c r="I616" s="8"/>
      <c r="J616" s="8"/>
    </row>
    <row r="617" ht="21.0" customHeight="1">
      <c r="A617" s="5">
        <v>5.0</v>
      </c>
      <c r="B617" s="6">
        <v>521.0</v>
      </c>
      <c r="C617" s="6">
        <v>1.0</v>
      </c>
      <c r="D617" s="16" t="s">
        <v>874</v>
      </c>
      <c r="E617" s="9" t="s">
        <v>873</v>
      </c>
      <c r="F617" s="8" t="str">
        <f>IFERROR(__xludf.DUMMYFUNCTION("GOOGLETRANSLATE(D617,""zh-CN"",""vi"")"),"Bộ quà tặng điểm bạc")</f>
        <v>Bộ quà tặng điểm bạc</v>
      </c>
      <c r="G617" s="8" t="str">
        <f>IFERROR(__xludf.DUMMYFUNCTION("GOOGLETRANSLATE(E617,""zh-CN"",""vi"")"),"Nhấp đúp chuột sẽ mang lại nhiều phần thưởng khác nhau với một xác suất nhất định.")</f>
        <v>Nhấp đúp chuột sẽ mang lại nhiều phần thưởng khác nhau với một xác suất nhất định.</v>
      </c>
      <c r="H617" s="8"/>
      <c r="I617" s="8"/>
      <c r="J617" s="8"/>
    </row>
    <row r="618" ht="21.0" customHeight="1">
      <c r="A618" s="5">
        <v>5.0</v>
      </c>
      <c r="B618" s="6">
        <v>521.0</v>
      </c>
      <c r="C618" s="6">
        <v>1.0</v>
      </c>
      <c r="D618" s="16" t="s">
        <v>875</v>
      </c>
      <c r="E618" s="9" t="s">
        <v>873</v>
      </c>
      <c r="F618" s="8" t="str">
        <f>IFERROR(__xludf.DUMMYFUNCTION("GOOGLETRANSLATE(D618,""zh-CN"",""vi"")"),"Gói quà tặng điểm vàng")</f>
        <v>Gói quà tặng điểm vàng</v>
      </c>
      <c r="G618" s="8" t="str">
        <f>IFERROR(__xludf.DUMMYFUNCTION("GOOGLETRANSLATE(E618,""zh-CN"",""vi"")"),"Nhấp đúp chuột sẽ mang lại nhiều phần thưởng khác nhau với một xác suất nhất định.")</f>
        <v>Nhấp đúp chuột sẽ mang lại nhiều phần thưởng khác nhau với một xác suất nhất định.</v>
      </c>
      <c r="H618" s="8"/>
      <c r="I618" s="8"/>
      <c r="J618" s="8"/>
    </row>
    <row r="619" ht="21.0" customHeight="1">
      <c r="A619" s="5">
        <v>5.0</v>
      </c>
      <c r="B619" s="6">
        <v>521.0</v>
      </c>
      <c r="C619" s="6">
        <v>1.0</v>
      </c>
      <c r="D619" s="16" t="s">
        <v>876</v>
      </c>
      <c r="E619" s="9" t="s">
        <v>873</v>
      </c>
      <c r="F619" s="8" t="str">
        <f>IFERROR(__xludf.DUMMYFUNCTION("GOOGLETRANSLATE(D619,""zh-CN"",""vi"")"),"Gói quà tặng điểm Platinum")</f>
        <v>Gói quà tặng điểm Platinum</v>
      </c>
      <c r="G619" s="8" t="str">
        <f>IFERROR(__xludf.DUMMYFUNCTION("GOOGLETRANSLATE(E619,""zh-CN"",""vi"")"),"Nhấp đúp chuột sẽ mang lại nhiều phần thưởng khác nhau với một xác suất nhất định.")</f>
        <v>Nhấp đúp chuột sẽ mang lại nhiều phần thưởng khác nhau với một xác suất nhất định.</v>
      </c>
      <c r="H619" s="8"/>
      <c r="I619" s="8"/>
      <c r="J619" s="8"/>
    </row>
    <row r="620" ht="21.0" customHeight="1">
      <c r="A620" s="5">
        <v>5.0</v>
      </c>
      <c r="B620" s="6">
        <v>521.0</v>
      </c>
      <c r="C620" s="6">
        <v>1.0</v>
      </c>
      <c r="D620" s="16" t="s">
        <v>877</v>
      </c>
      <c r="E620" s="9" t="s">
        <v>873</v>
      </c>
      <c r="F620" s="8" t="str">
        <f>IFERROR(__xludf.DUMMYFUNCTION("GOOGLETRANSLATE(D620,""zh-CN"",""vi"")"),"Bộ quà tặng điểm kim cương")</f>
        <v>Bộ quà tặng điểm kim cương</v>
      </c>
      <c r="G620" s="8" t="str">
        <f>IFERROR(__xludf.DUMMYFUNCTION("GOOGLETRANSLATE(E620,""zh-CN"",""vi"")"),"Nhấp đúp chuột sẽ mang lại nhiều phần thưởng khác nhau với một xác suất nhất định.")</f>
        <v>Nhấp đúp chuột sẽ mang lại nhiều phần thưởng khác nhau với một xác suất nhất định.</v>
      </c>
      <c r="H620" s="8"/>
      <c r="I620" s="8"/>
      <c r="J620" s="8"/>
    </row>
    <row r="621" ht="21.0" customHeight="1">
      <c r="A621" s="5">
        <v>5.0</v>
      </c>
      <c r="B621" s="6">
        <v>521.0</v>
      </c>
      <c r="C621" s="6">
        <v>1.0</v>
      </c>
      <c r="D621" s="16" t="s">
        <v>878</v>
      </c>
      <c r="E621" s="9" t="s">
        <v>873</v>
      </c>
      <c r="F621" s="8" t="str">
        <f>IFERROR(__xludf.DUMMYFUNCTION("GOOGLETRANSLATE(D621,""zh-CN"",""vi"")"),"Bộ quà tặng điểm thưởng Star Points")</f>
        <v>Bộ quà tặng điểm thưởng Star Points</v>
      </c>
      <c r="G621" s="8" t="str">
        <f>IFERROR(__xludf.DUMMYFUNCTION("GOOGLETRANSLATE(E621,""zh-CN"",""vi"")"),"Nhấp đúp chuột sẽ mang lại nhiều phần thưởng khác nhau với một xác suất nhất định.")</f>
        <v>Nhấp đúp chuột sẽ mang lại nhiều phần thưởng khác nhau với một xác suất nhất định.</v>
      </c>
      <c r="H621" s="8"/>
      <c r="I621" s="8"/>
      <c r="J621" s="8"/>
    </row>
    <row r="622" ht="21.0" customHeight="1">
      <c r="A622" s="5">
        <v>5.0</v>
      </c>
      <c r="B622" s="6">
        <v>521.0</v>
      </c>
      <c r="C622" s="6">
        <v>1.0</v>
      </c>
      <c r="D622" s="16" t="s">
        <v>879</v>
      </c>
      <c r="E622" s="9" t="s">
        <v>873</v>
      </c>
      <c r="F622" s="8" t="str">
        <f>IFERROR(__xludf.DUMMYFUNCTION("GOOGLETRANSLATE(D622,""zh-CN"",""vi"")"),"Bộ quà tặng King's Points")</f>
        <v>Bộ quà tặng King's Points</v>
      </c>
      <c r="G622" s="8" t="str">
        <f>IFERROR(__xludf.DUMMYFUNCTION("GOOGLETRANSLATE(E622,""zh-CN"",""vi"")"),"Nhấp đúp chuột sẽ mang lại nhiều phần thưởng khác nhau với một xác suất nhất định.")</f>
        <v>Nhấp đúp chuột sẽ mang lại nhiều phần thưởng khác nhau với một xác suất nhất định.</v>
      </c>
      <c r="H622" s="8"/>
      <c r="I622" s="8"/>
      <c r="J622" s="8"/>
    </row>
    <row r="623" ht="21.0" customHeight="1">
      <c r="A623" s="5">
        <v>5.0</v>
      </c>
      <c r="B623" s="6">
        <v>521.0</v>
      </c>
      <c r="C623" s="6">
        <v>1.0</v>
      </c>
      <c r="D623" s="16" t="s">
        <v>880</v>
      </c>
      <c r="E623" s="9" t="s">
        <v>873</v>
      </c>
      <c r="F623" s="8" t="str">
        <f>IFERROR(__xludf.DUMMYFUNCTION("GOOGLETRANSLATE(D623,""zh-CN"",""vi"")"),"Bộ quà tặng những điểm mạnh nhất")</f>
        <v>Bộ quà tặng những điểm mạnh nhất</v>
      </c>
      <c r="G623" s="8" t="str">
        <f>IFERROR(__xludf.DUMMYFUNCTION("GOOGLETRANSLATE(E623,""zh-CN"",""vi"")"),"Nhấp đúp chuột sẽ mang lại nhiều phần thưởng khác nhau với một xác suất nhất định.")</f>
        <v>Nhấp đúp chuột sẽ mang lại nhiều phần thưởng khác nhau với một xác suất nhất định.</v>
      </c>
      <c r="H623" s="8"/>
      <c r="I623" s="8"/>
      <c r="J623" s="8"/>
    </row>
    <row r="624" ht="21.0" customHeight="1">
      <c r="A624" s="5">
        <v>5.0</v>
      </c>
      <c r="B624" s="6">
        <v>522.0</v>
      </c>
      <c r="C624" s="6">
        <v>1.0</v>
      </c>
      <c r="D624" s="16" t="s">
        <v>872</v>
      </c>
      <c r="E624" s="9" t="s">
        <v>873</v>
      </c>
      <c r="F624" s="8" t="str">
        <f>IFERROR(__xludf.DUMMYFUNCTION("GOOGLETRANSLATE(D624,""zh-CN"",""vi"")"),"Gói quà tặng điểm Đồng")</f>
        <v>Gói quà tặng điểm Đồng</v>
      </c>
      <c r="G624" s="8" t="str">
        <f>IFERROR(__xludf.DUMMYFUNCTION("GOOGLETRANSLATE(E624,""zh-CN"",""vi"")"),"Nhấp đúp chuột sẽ mang lại nhiều phần thưởng khác nhau với một xác suất nhất định.")</f>
        <v>Nhấp đúp chuột sẽ mang lại nhiều phần thưởng khác nhau với một xác suất nhất định.</v>
      </c>
      <c r="H624" s="8"/>
      <c r="I624" s="8"/>
      <c r="J624" s="8"/>
    </row>
    <row r="625" ht="21.0" customHeight="1">
      <c r="A625" s="5">
        <v>5.0</v>
      </c>
      <c r="B625" s="6">
        <v>522.0</v>
      </c>
      <c r="C625" s="6">
        <v>1.0</v>
      </c>
      <c r="D625" s="16" t="s">
        <v>874</v>
      </c>
      <c r="E625" s="9" t="s">
        <v>873</v>
      </c>
      <c r="F625" s="8" t="str">
        <f>IFERROR(__xludf.DUMMYFUNCTION("GOOGLETRANSLATE(D625,""zh-CN"",""vi"")"),"Bộ quà tặng điểm bạc")</f>
        <v>Bộ quà tặng điểm bạc</v>
      </c>
      <c r="G625" s="8" t="str">
        <f>IFERROR(__xludf.DUMMYFUNCTION("GOOGLETRANSLATE(E625,""zh-CN"",""vi"")"),"Nhấp đúp chuột sẽ mang lại nhiều phần thưởng khác nhau với một xác suất nhất định.")</f>
        <v>Nhấp đúp chuột sẽ mang lại nhiều phần thưởng khác nhau với một xác suất nhất định.</v>
      </c>
      <c r="H625" s="8"/>
      <c r="I625" s="8"/>
      <c r="J625" s="8"/>
    </row>
    <row r="626" ht="21.0" customHeight="1">
      <c r="A626" s="5">
        <v>5.0</v>
      </c>
      <c r="B626" s="6">
        <v>522.0</v>
      </c>
      <c r="C626" s="6">
        <v>1.0</v>
      </c>
      <c r="D626" s="16" t="s">
        <v>875</v>
      </c>
      <c r="E626" s="9" t="s">
        <v>873</v>
      </c>
      <c r="F626" s="8" t="str">
        <f>IFERROR(__xludf.DUMMYFUNCTION("GOOGLETRANSLATE(D626,""zh-CN"",""vi"")"),"Gói quà tặng điểm vàng")</f>
        <v>Gói quà tặng điểm vàng</v>
      </c>
      <c r="G626" s="8" t="str">
        <f>IFERROR(__xludf.DUMMYFUNCTION("GOOGLETRANSLATE(E626,""zh-CN"",""vi"")"),"Nhấp đúp chuột sẽ mang lại nhiều phần thưởng khác nhau với một xác suất nhất định.")</f>
        <v>Nhấp đúp chuột sẽ mang lại nhiều phần thưởng khác nhau với một xác suất nhất định.</v>
      </c>
      <c r="H626" s="8"/>
      <c r="I626" s="8"/>
      <c r="J626" s="8"/>
    </row>
    <row r="627" ht="21.0" customHeight="1">
      <c r="A627" s="5">
        <v>5.0</v>
      </c>
      <c r="B627" s="6">
        <v>522.0</v>
      </c>
      <c r="C627" s="6">
        <v>1.0</v>
      </c>
      <c r="D627" s="16" t="s">
        <v>876</v>
      </c>
      <c r="E627" s="9" t="s">
        <v>873</v>
      </c>
      <c r="F627" s="8" t="str">
        <f>IFERROR(__xludf.DUMMYFUNCTION("GOOGLETRANSLATE(D627,""zh-CN"",""vi"")"),"Gói quà tặng điểm Platinum")</f>
        <v>Gói quà tặng điểm Platinum</v>
      </c>
      <c r="G627" s="8" t="str">
        <f>IFERROR(__xludf.DUMMYFUNCTION("GOOGLETRANSLATE(E627,""zh-CN"",""vi"")"),"Nhấp đúp chuột sẽ mang lại nhiều phần thưởng khác nhau với một xác suất nhất định.")</f>
        <v>Nhấp đúp chuột sẽ mang lại nhiều phần thưởng khác nhau với một xác suất nhất định.</v>
      </c>
      <c r="H627" s="8"/>
      <c r="I627" s="8"/>
      <c r="J627" s="8"/>
    </row>
    <row r="628" ht="21.0" customHeight="1">
      <c r="A628" s="5">
        <v>5.0</v>
      </c>
      <c r="B628" s="6">
        <v>522.0</v>
      </c>
      <c r="C628" s="6">
        <v>1.0</v>
      </c>
      <c r="D628" s="16" t="s">
        <v>877</v>
      </c>
      <c r="E628" s="9" t="s">
        <v>873</v>
      </c>
      <c r="F628" s="8" t="str">
        <f>IFERROR(__xludf.DUMMYFUNCTION("GOOGLETRANSLATE(D628,""zh-CN"",""vi"")"),"Bộ quà tặng điểm kim cương")</f>
        <v>Bộ quà tặng điểm kim cương</v>
      </c>
      <c r="G628" s="8" t="str">
        <f>IFERROR(__xludf.DUMMYFUNCTION("GOOGLETRANSLATE(E628,""zh-CN"",""vi"")"),"Nhấp đúp chuột sẽ mang lại nhiều phần thưởng khác nhau với một xác suất nhất định.")</f>
        <v>Nhấp đúp chuột sẽ mang lại nhiều phần thưởng khác nhau với một xác suất nhất định.</v>
      </c>
      <c r="H628" s="8"/>
      <c r="I628" s="8"/>
      <c r="J628" s="8"/>
    </row>
    <row r="629" ht="21.0" customHeight="1">
      <c r="A629" s="5">
        <v>5.0</v>
      </c>
      <c r="B629" s="6">
        <v>522.0</v>
      </c>
      <c r="C629" s="6">
        <v>1.0</v>
      </c>
      <c r="D629" s="16" t="s">
        <v>878</v>
      </c>
      <c r="E629" s="9" t="s">
        <v>873</v>
      </c>
      <c r="F629" s="8" t="str">
        <f>IFERROR(__xludf.DUMMYFUNCTION("GOOGLETRANSLATE(D629,""zh-CN"",""vi"")"),"Bộ quà tặng điểm thưởng Star Points")</f>
        <v>Bộ quà tặng điểm thưởng Star Points</v>
      </c>
      <c r="G629" s="8" t="str">
        <f>IFERROR(__xludf.DUMMYFUNCTION("GOOGLETRANSLATE(E629,""zh-CN"",""vi"")"),"Nhấp đúp chuột sẽ mang lại nhiều phần thưởng khác nhau với một xác suất nhất định.")</f>
        <v>Nhấp đúp chuột sẽ mang lại nhiều phần thưởng khác nhau với một xác suất nhất định.</v>
      </c>
      <c r="H629" s="8"/>
      <c r="I629" s="8"/>
      <c r="J629" s="8"/>
    </row>
    <row r="630" ht="21.0" customHeight="1">
      <c r="A630" s="5">
        <v>5.0</v>
      </c>
      <c r="B630" s="6">
        <v>522.0</v>
      </c>
      <c r="C630" s="6">
        <v>1.0</v>
      </c>
      <c r="D630" s="16" t="s">
        <v>879</v>
      </c>
      <c r="E630" s="9" t="s">
        <v>873</v>
      </c>
      <c r="F630" s="8" t="str">
        <f>IFERROR(__xludf.DUMMYFUNCTION("GOOGLETRANSLATE(D630,""zh-CN"",""vi"")"),"Bộ quà tặng King's Points")</f>
        <v>Bộ quà tặng King's Points</v>
      </c>
      <c r="G630" s="8" t="str">
        <f>IFERROR(__xludf.DUMMYFUNCTION("GOOGLETRANSLATE(E630,""zh-CN"",""vi"")"),"Nhấp đúp chuột sẽ mang lại nhiều phần thưởng khác nhau với một xác suất nhất định.")</f>
        <v>Nhấp đúp chuột sẽ mang lại nhiều phần thưởng khác nhau với một xác suất nhất định.</v>
      </c>
      <c r="H630" s="8"/>
      <c r="I630" s="8"/>
      <c r="J630" s="8"/>
    </row>
    <row r="631" ht="21.0" customHeight="1">
      <c r="A631" s="5">
        <v>5.0</v>
      </c>
      <c r="B631" s="6">
        <v>522.0</v>
      </c>
      <c r="C631" s="6">
        <v>1.0</v>
      </c>
      <c r="D631" s="16" t="s">
        <v>880</v>
      </c>
      <c r="E631" s="9" t="s">
        <v>873</v>
      </c>
      <c r="F631" s="8" t="str">
        <f>IFERROR(__xludf.DUMMYFUNCTION("GOOGLETRANSLATE(D631,""zh-CN"",""vi"")"),"Bộ quà tặng những điểm mạnh nhất")</f>
        <v>Bộ quà tặng những điểm mạnh nhất</v>
      </c>
      <c r="G631" s="8" t="str">
        <f>IFERROR(__xludf.DUMMYFUNCTION("GOOGLETRANSLATE(E631,""zh-CN"",""vi"")"),"Nhấp đúp chuột sẽ mang lại nhiều phần thưởng khác nhau với một xác suất nhất định.")</f>
        <v>Nhấp đúp chuột sẽ mang lại nhiều phần thưởng khác nhau với một xác suất nhất định.</v>
      </c>
      <c r="H631" s="8"/>
      <c r="I631" s="8"/>
      <c r="J631" s="8"/>
    </row>
    <row r="632" ht="21.0" customHeight="1">
      <c r="A632" s="5">
        <v>5.0</v>
      </c>
      <c r="B632" s="6">
        <v>523.0</v>
      </c>
      <c r="C632" s="6">
        <v>1.0</v>
      </c>
      <c r="D632" s="16" t="s">
        <v>872</v>
      </c>
      <c r="E632" s="9" t="s">
        <v>873</v>
      </c>
      <c r="F632" s="8" t="str">
        <f>IFERROR(__xludf.DUMMYFUNCTION("GOOGLETRANSLATE(D632,""zh-CN"",""vi"")"),"Gói quà tặng điểm Đồng")</f>
        <v>Gói quà tặng điểm Đồng</v>
      </c>
      <c r="G632" s="8" t="str">
        <f>IFERROR(__xludf.DUMMYFUNCTION("GOOGLETRANSLATE(E632,""zh-CN"",""vi"")"),"Nhấp đúp chuột sẽ mang lại nhiều phần thưởng khác nhau với một xác suất nhất định.")</f>
        <v>Nhấp đúp chuột sẽ mang lại nhiều phần thưởng khác nhau với một xác suất nhất định.</v>
      </c>
      <c r="H632" s="8"/>
      <c r="I632" s="8"/>
      <c r="J632" s="8"/>
    </row>
    <row r="633" ht="21.0" customHeight="1">
      <c r="A633" s="5">
        <v>5.0</v>
      </c>
      <c r="B633" s="6">
        <v>523.0</v>
      </c>
      <c r="C633" s="6">
        <v>1.0</v>
      </c>
      <c r="D633" s="16" t="s">
        <v>874</v>
      </c>
      <c r="E633" s="9" t="s">
        <v>873</v>
      </c>
      <c r="F633" s="8" t="str">
        <f>IFERROR(__xludf.DUMMYFUNCTION("GOOGLETRANSLATE(D633,""zh-CN"",""vi"")"),"Bộ quà tặng điểm bạc")</f>
        <v>Bộ quà tặng điểm bạc</v>
      </c>
      <c r="G633" s="8" t="str">
        <f>IFERROR(__xludf.DUMMYFUNCTION("GOOGLETRANSLATE(E633,""zh-CN"",""vi"")"),"Nhấp đúp chuột sẽ mang lại nhiều phần thưởng khác nhau với một xác suất nhất định.")</f>
        <v>Nhấp đúp chuột sẽ mang lại nhiều phần thưởng khác nhau với một xác suất nhất định.</v>
      </c>
      <c r="H633" s="8"/>
      <c r="I633" s="8"/>
      <c r="J633" s="8"/>
    </row>
    <row r="634" ht="21.0" customHeight="1">
      <c r="A634" s="5">
        <v>5.0</v>
      </c>
      <c r="B634" s="6">
        <v>523.0</v>
      </c>
      <c r="C634" s="6">
        <v>1.0</v>
      </c>
      <c r="D634" s="16" t="s">
        <v>875</v>
      </c>
      <c r="E634" s="9" t="s">
        <v>873</v>
      </c>
      <c r="F634" s="8" t="str">
        <f>IFERROR(__xludf.DUMMYFUNCTION("GOOGLETRANSLATE(D634,""zh-CN"",""vi"")"),"Gói quà tặng điểm vàng")</f>
        <v>Gói quà tặng điểm vàng</v>
      </c>
      <c r="G634" s="8" t="str">
        <f>IFERROR(__xludf.DUMMYFUNCTION("GOOGLETRANSLATE(E634,""zh-CN"",""vi"")"),"Nhấp đúp chuột sẽ mang lại nhiều phần thưởng khác nhau với một xác suất nhất định.")</f>
        <v>Nhấp đúp chuột sẽ mang lại nhiều phần thưởng khác nhau với một xác suất nhất định.</v>
      </c>
      <c r="H634" s="8"/>
      <c r="I634" s="8"/>
      <c r="J634" s="8"/>
    </row>
    <row r="635" ht="21.0" customHeight="1">
      <c r="A635" s="5">
        <v>5.0</v>
      </c>
      <c r="B635" s="6">
        <v>523.0</v>
      </c>
      <c r="C635" s="6">
        <v>1.0</v>
      </c>
      <c r="D635" s="16" t="s">
        <v>876</v>
      </c>
      <c r="E635" s="9" t="s">
        <v>873</v>
      </c>
      <c r="F635" s="8" t="str">
        <f>IFERROR(__xludf.DUMMYFUNCTION("GOOGLETRANSLATE(D635,""zh-CN"",""vi"")"),"Gói quà tặng điểm Platinum")</f>
        <v>Gói quà tặng điểm Platinum</v>
      </c>
      <c r="G635" s="8" t="str">
        <f>IFERROR(__xludf.DUMMYFUNCTION("GOOGLETRANSLATE(E635,""zh-CN"",""vi"")"),"Nhấp đúp chuột sẽ mang lại nhiều phần thưởng khác nhau với một xác suất nhất định.")</f>
        <v>Nhấp đúp chuột sẽ mang lại nhiều phần thưởng khác nhau với một xác suất nhất định.</v>
      </c>
      <c r="H635" s="8"/>
      <c r="I635" s="8"/>
      <c r="J635" s="8"/>
    </row>
    <row r="636" ht="21.0" customHeight="1">
      <c r="A636" s="5">
        <v>5.0</v>
      </c>
      <c r="B636" s="6">
        <v>523.0</v>
      </c>
      <c r="C636" s="6">
        <v>1.0</v>
      </c>
      <c r="D636" s="16" t="s">
        <v>877</v>
      </c>
      <c r="E636" s="9" t="s">
        <v>873</v>
      </c>
      <c r="F636" s="8" t="str">
        <f>IFERROR(__xludf.DUMMYFUNCTION("GOOGLETRANSLATE(D636,""zh-CN"",""vi"")"),"Bộ quà tặng điểm kim cương")</f>
        <v>Bộ quà tặng điểm kim cương</v>
      </c>
      <c r="G636" s="8" t="str">
        <f>IFERROR(__xludf.DUMMYFUNCTION("GOOGLETRANSLATE(E636,""zh-CN"",""vi"")"),"Nhấp đúp chuột sẽ mang lại nhiều phần thưởng khác nhau với một xác suất nhất định.")</f>
        <v>Nhấp đúp chuột sẽ mang lại nhiều phần thưởng khác nhau với một xác suất nhất định.</v>
      </c>
      <c r="H636" s="8"/>
      <c r="I636" s="8"/>
      <c r="J636" s="8"/>
    </row>
    <row r="637" ht="21.0" customHeight="1">
      <c r="A637" s="5">
        <v>5.0</v>
      </c>
      <c r="B637" s="6">
        <v>523.0</v>
      </c>
      <c r="C637" s="6">
        <v>1.0</v>
      </c>
      <c r="D637" s="16" t="s">
        <v>878</v>
      </c>
      <c r="E637" s="9" t="s">
        <v>873</v>
      </c>
      <c r="F637" s="8" t="str">
        <f>IFERROR(__xludf.DUMMYFUNCTION("GOOGLETRANSLATE(D637,""zh-CN"",""vi"")"),"Bộ quà tặng điểm thưởng Star Points")</f>
        <v>Bộ quà tặng điểm thưởng Star Points</v>
      </c>
      <c r="G637" s="8" t="str">
        <f>IFERROR(__xludf.DUMMYFUNCTION("GOOGLETRANSLATE(E637,""zh-CN"",""vi"")"),"Nhấp đúp chuột sẽ mang lại nhiều phần thưởng khác nhau với một xác suất nhất định.")</f>
        <v>Nhấp đúp chuột sẽ mang lại nhiều phần thưởng khác nhau với một xác suất nhất định.</v>
      </c>
      <c r="H637" s="8"/>
      <c r="I637" s="8"/>
      <c r="J637" s="8"/>
    </row>
    <row r="638" ht="21.0" customHeight="1">
      <c r="A638" s="5">
        <v>5.0</v>
      </c>
      <c r="B638" s="6">
        <v>523.0</v>
      </c>
      <c r="C638" s="6">
        <v>1.0</v>
      </c>
      <c r="D638" s="16" t="s">
        <v>879</v>
      </c>
      <c r="E638" s="9" t="s">
        <v>873</v>
      </c>
      <c r="F638" s="8" t="str">
        <f>IFERROR(__xludf.DUMMYFUNCTION("GOOGLETRANSLATE(D638,""zh-CN"",""vi"")"),"Bộ quà tặng King's Points")</f>
        <v>Bộ quà tặng King's Points</v>
      </c>
      <c r="G638" s="8" t="str">
        <f>IFERROR(__xludf.DUMMYFUNCTION("GOOGLETRANSLATE(E638,""zh-CN"",""vi"")"),"Nhấp đúp chuột sẽ mang lại nhiều phần thưởng khác nhau với một xác suất nhất định.")</f>
        <v>Nhấp đúp chuột sẽ mang lại nhiều phần thưởng khác nhau với một xác suất nhất định.</v>
      </c>
      <c r="H638" s="8"/>
      <c r="I638" s="8"/>
      <c r="J638" s="8"/>
    </row>
    <row r="639" ht="21.0" customHeight="1">
      <c r="A639" s="5">
        <v>5.0</v>
      </c>
      <c r="B639" s="6">
        <v>523.0</v>
      </c>
      <c r="C639" s="6">
        <v>1.0</v>
      </c>
      <c r="D639" s="16" t="s">
        <v>880</v>
      </c>
      <c r="E639" s="9" t="s">
        <v>873</v>
      </c>
      <c r="F639" s="8" t="str">
        <f>IFERROR(__xludf.DUMMYFUNCTION("GOOGLETRANSLATE(D639,""zh-CN"",""vi"")"),"Bộ quà tặng những điểm mạnh nhất")</f>
        <v>Bộ quà tặng những điểm mạnh nhất</v>
      </c>
      <c r="G639" s="8" t="str">
        <f>IFERROR(__xludf.DUMMYFUNCTION("GOOGLETRANSLATE(E639,""zh-CN"",""vi"")"),"Nhấp đúp chuột sẽ mang lại nhiều phần thưởng khác nhau với một xác suất nhất định.")</f>
        <v>Nhấp đúp chuột sẽ mang lại nhiều phần thưởng khác nhau với một xác suất nhất định.</v>
      </c>
      <c r="H639" s="8"/>
      <c r="I639" s="8"/>
      <c r="J639" s="8"/>
    </row>
    <row r="640" ht="21.0" customHeight="1">
      <c r="A640" s="5">
        <v>5.0</v>
      </c>
      <c r="B640" s="6">
        <v>524.0</v>
      </c>
      <c r="C640" s="6">
        <v>1.0</v>
      </c>
      <c r="D640" s="16" t="s">
        <v>872</v>
      </c>
      <c r="E640" s="9" t="s">
        <v>873</v>
      </c>
      <c r="F640" s="8" t="str">
        <f>IFERROR(__xludf.DUMMYFUNCTION("GOOGLETRANSLATE(D640,""zh-CN"",""vi"")"),"Gói quà tặng điểm Đồng")</f>
        <v>Gói quà tặng điểm Đồng</v>
      </c>
      <c r="G640" s="8" t="str">
        <f>IFERROR(__xludf.DUMMYFUNCTION("GOOGLETRANSLATE(E640,""zh-CN"",""vi"")"),"Nhấp đúp chuột sẽ mang lại nhiều phần thưởng khác nhau với một xác suất nhất định.")</f>
        <v>Nhấp đúp chuột sẽ mang lại nhiều phần thưởng khác nhau với một xác suất nhất định.</v>
      </c>
      <c r="H640" s="8"/>
      <c r="I640" s="8"/>
      <c r="J640" s="8"/>
    </row>
    <row r="641" ht="21.0" customHeight="1">
      <c r="A641" s="5">
        <v>5.0</v>
      </c>
      <c r="B641" s="6">
        <v>524.0</v>
      </c>
      <c r="C641" s="6">
        <v>1.0</v>
      </c>
      <c r="D641" s="16" t="s">
        <v>874</v>
      </c>
      <c r="E641" s="9" t="s">
        <v>873</v>
      </c>
      <c r="F641" s="8" t="str">
        <f>IFERROR(__xludf.DUMMYFUNCTION("GOOGLETRANSLATE(D641,""zh-CN"",""vi"")"),"Bộ quà tặng điểm bạc")</f>
        <v>Bộ quà tặng điểm bạc</v>
      </c>
      <c r="G641" s="8" t="str">
        <f>IFERROR(__xludf.DUMMYFUNCTION("GOOGLETRANSLATE(E641,""zh-CN"",""vi"")"),"Nhấp đúp chuột sẽ mang lại nhiều phần thưởng khác nhau với một xác suất nhất định.")</f>
        <v>Nhấp đúp chuột sẽ mang lại nhiều phần thưởng khác nhau với một xác suất nhất định.</v>
      </c>
      <c r="H641" s="8"/>
      <c r="I641" s="8"/>
      <c r="J641" s="8"/>
    </row>
    <row r="642" ht="21.0" customHeight="1">
      <c r="A642" s="5">
        <v>5.0</v>
      </c>
      <c r="B642" s="6">
        <v>524.0</v>
      </c>
      <c r="C642" s="6">
        <v>1.0</v>
      </c>
      <c r="D642" s="16" t="s">
        <v>875</v>
      </c>
      <c r="E642" s="9" t="s">
        <v>873</v>
      </c>
      <c r="F642" s="8" t="str">
        <f>IFERROR(__xludf.DUMMYFUNCTION("GOOGLETRANSLATE(D642,""zh-CN"",""vi"")"),"Gói quà tặng điểm vàng")</f>
        <v>Gói quà tặng điểm vàng</v>
      </c>
      <c r="G642" s="8" t="str">
        <f>IFERROR(__xludf.DUMMYFUNCTION("GOOGLETRANSLATE(E642,""zh-CN"",""vi"")"),"Nhấp đúp chuột sẽ mang lại nhiều phần thưởng khác nhau với một xác suất nhất định.")</f>
        <v>Nhấp đúp chuột sẽ mang lại nhiều phần thưởng khác nhau với một xác suất nhất định.</v>
      </c>
      <c r="H642" s="8"/>
      <c r="I642" s="8"/>
      <c r="J642" s="8"/>
    </row>
    <row r="643" ht="21.0" customHeight="1">
      <c r="A643" s="5">
        <v>5.0</v>
      </c>
      <c r="B643" s="6">
        <v>524.0</v>
      </c>
      <c r="C643" s="6">
        <v>1.0</v>
      </c>
      <c r="D643" s="16" t="s">
        <v>876</v>
      </c>
      <c r="E643" s="9" t="s">
        <v>873</v>
      </c>
      <c r="F643" s="8" t="str">
        <f>IFERROR(__xludf.DUMMYFUNCTION("GOOGLETRANSLATE(D643,""zh-CN"",""vi"")"),"Gói quà tặng điểm Platinum")</f>
        <v>Gói quà tặng điểm Platinum</v>
      </c>
      <c r="G643" s="8" t="str">
        <f>IFERROR(__xludf.DUMMYFUNCTION("GOOGLETRANSLATE(E643,""zh-CN"",""vi"")"),"Nhấp đúp chuột sẽ mang lại nhiều phần thưởng khác nhau với một xác suất nhất định.")</f>
        <v>Nhấp đúp chuột sẽ mang lại nhiều phần thưởng khác nhau với một xác suất nhất định.</v>
      </c>
      <c r="H643" s="8"/>
      <c r="I643" s="8"/>
      <c r="J643" s="8"/>
    </row>
    <row r="644" ht="21.0" customHeight="1">
      <c r="A644" s="5">
        <v>5.0</v>
      </c>
      <c r="B644" s="6">
        <v>524.0</v>
      </c>
      <c r="C644" s="6">
        <v>1.0</v>
      </c>
      <c r="D644" s="16" t="s">
        <v>877</v>
      </c>
      <c r="E644" s="9" t="s">
        <v>873</v>
      </c>
      <c r="F644" s="8" t="str">
        <f>IFERROR(__xludf.DUMMYFUNCTION("GOOGLETRANSLATE(D644,""zh-CN"",""vi"")"),"Bộ quà tặng điểm kim cương")</f>
        <v>Bộ quà tặng điểm kim cương</v>
      </c>
      <c r="G644" s="8" t="str">
        <f>IFERROR(__xludf.DUMMYFUNCTION("GOOGLETRANSLATE(E644,""zh-CN"",""vi"")"),"Nhấp đúp chuột sẽ mang lại nhiều phần thưởng khác nhau với một xác suất nhất định.")</f>
        <v>Nhấp đúp chuột sẽ mang lại nhiều phần thưởng khác nhau với một xác suất nhất định.</v>
      </c>
      <c r="H644" s="8"/>
      <c r="I644" s="8"/>
      <c r="J644" s="8"/>
    </row>
    <row r="645" ht="21.0" customHeight="1">
      <c r="A645" s="5">
        <v>5.0</v>
      </c>
      <c r="B645" s="6">
        <v>524.0</v>
      </c>
      <c r="C645" s="6">
        <v>1.0</v>
      </c>
      <c r="D645" s="16" t="s">
        <v>878</v>
      </c>
      <c r="E645" s="9" t="s">
        <v>873</v>
      </c>
      <c r="F645" s="8" t="str">
        <f>IFERROR(__xludf.DUMMYFUNCTION("GOOGLETRANSLATE(D645,""zh-CN"",""vi"")"),"Bộ quà tặng điểm thưởng Star Points")</f>
        <v>Bộ quà tặng điểm thưởng Star Points</v>
      </c>
      <c r="G645" s="8" t="str">
        <f>IFERROR(__xludf.DUMMYFUNCTION("GOOGLETRANSLATE(E645,""zh-CN"",""vi"")"),"Nhấp đúp chuột sẽ mang lại nhiều phần thưởng khác nhau với một xác suất nhất định.")</f>
        <v>Nhấp đúp chuột sẽ mang lại nhiều phần thưởng khác nhau với một xác suất nhất định.</v>
      </c>
      <c r="H645" s="8"/>
      <c r="I645" s="8"/>
      <c r="J645" s="8"/>
    </row>
    <row r="646" ht="21.0" customHeight="1">
      <c r="A646" s="5">
        <v>5.0</v>
      </c>
      <c r="B646" s="6">
        <v>524.0</v>
      </c>
      <c r="C646" s="6">
        <v>1.0</v>
      </c>
      <c r="D646" s="16" t="s">
        <v>879</v>
      </c>
      <c r="E646" s="9" t="s">
        <v>873</v>
      </c>
      <c r="F646" s="8" t="str">
        <f>IFERROR(__xludf.DUMMYFUNCTION("GOOGLETRANSLATE(D646,""zh-CN"",""vi"")"),"Bộ quà tặng King's Points")</f>
        <v>Bộ quà tặng King's Points</v>
      </c>
      <c r="G646" s="8" t="str">
        <f>IFERROR(__xludf.DUMMYFUNCTION("GOOGLETRANSLATE(E646,""zh-CN"",""vi"")"),"Nhấp đúp chuột sẽ mang lại nhiều phần thưởng khác nhau với một xác suất nhất định.")</f>
        <v>Nhấp đúp chuột sẽ mang lại nhiều phần thưởng khác nhau với một xác suất nhất định.</v>
      </c>
      <c r="H646" s="8"/>
      <c r="I646" s="8"/>
      <c r="J646" s="8"/>
    </row>
    <row r="647" ht="21.0" customHeight="1">
      <c r="A647" s="5">
        <v>5.0</v>
      </c>
      <c r="B647" s="6">
        <v>524.0</v>
      </c>
      <c r="C647" s="6">
        <v>1.0</v>
      </c>
      <c r="D647" s="16" t="s">
        <v>880</v>
      </c>
      <c r="E647" s="9" t="s">
        <v>873</v>
      </c>
      <c r="F647" s="8" t="str">
        <f>IFERROR(__xludf.DUMMYFUNCTION("GOOGLETRANSLATE(D647,""zh-CN"",""vi"")"),"Bộ quà tặng những điểm mạnh nhất")</f>
        <v>Bộ quà tặng những điểm mạnh nhất</v>
      </c>
      <c r="G647" s="8" t="str">
        <f>IFERROR(__xludf.DUMMYFUNCTION("GOOGLETRANSLATE(E647,""zh-CN"",""vi"")"),"Nhấp đúp chuột sẽ mang lại nhiều phần thưởng khác nhau với một xác suất nhất định.")</f>
        <v>Nhấp đúp chuột sẽ mang lại nhiều phần thưởng khác nhau với một xác suất nhất định.</v>
      </c>
      <c r="H647" s="8"/>
      <c r="I647" s="8"/>
      <c r="J647" s="8"/>
    </row>
    <row r="648" ht="21.0" customHeight="1">
      <c r="A648" s="5">
        <v>5.0</v>
      </c>
      <c r="B648" s="6">
        <v>525.0</v>
      </c>
      <c r="C648" s="6">
        <v>1.0</v>
      </c>
      <c r="D648" s="16" t="s">
        <v>872</v>
      </c>
      <c r="E648" s="9" t="s">
        <v>873</v>
      </c>
      <c r="F648" s="8" t="str">
        <f>IFERROR(__xludf.DUMMYFUNCTION("GOOGLETRANSLATE(D648,""zh-CN"",""vi"")"),"Gói quà tặng điểm Đồng")</f>
        <v>Gói quà tặng điểm Đồng</v>
      </c>
      <c r="G648" s="8" t="str">
        <f>IFERROR(__xludf.DUMMYFUNCTION("GOOGLETRANSLATE(E648,""zh-CN"",""vi"")"),"Nhấp đúp chuột sẽ mang lại nhiều phần thưởng khác nhau với một xác suất nhất định.")</f>
        <v>Nhấp đúp chuột sẽ mang lại nhiều phần thưởng khác nhau với một xác suất nhất định.</v>
      </c>
      <c r="H648" s="8"/>
      <c r="I648" s="8"/>
      <c r="J648" s="8"/>
    </row>
    <row r="649" ht="21.0" customHeight="1">
      <c r="A649" s="5">
        <v>5.0</v>
      </c>
      <c r="B649" s="6">
        <v>525.0</v>
      </c>
      <c r="C649" s="6">
        <v>1.0</v>
      </c>
      <c r="D649" s="16" t="s">
        <v>874</v>
      </c>
      <c r="E649" s="9" t="s">
        <v>873</v>
      </c>
      <c r="F649" s="8" t="str">
        <f>IFERROR(__xludf.DUMMYFUNCTION("GOOGLETRANSLATE(D649,""zh-CN"",""vi"")"),"Bộ quà tặng điểm bạc")</f>
        <v>Bộ quà tặng điểm bạc</v>
      </c>
      <c r="G649" s="8" t="str">
        <f>IFERROR(__xludf.DUMMYFUNCTION("GOOGLETRANSLATE(E649,""zh-CN"",""vi"")"),"Nhấp đúp chuột sẽ mang lại nhiều phần thưởng khác nhau với một xác suất nhất định.")</f>
        <v>Nhấp đúp chuột sẽ mang lại nhiều phần thưởng khác nhau với một xác suất nhất định.</v>
      </c>
      <c r="H649" s="8"/>
      <c r="I649" s="8"/>
      <c r="J649" s="8"/>
    </row>
    <row r="650" ht="21.0" customHeight="1">
      <c r="A650" s="5">
        <v>5.0</v>
      </c>
      <c r="B650" s="6">
        <v>525.0</v>
      </c>
      <c r="C650" s="6">
        <v>1.0</v>
      </c>
      <c r="D650" s="16" t="s">
        <v>875</v>
      </c>
      <c r="E650" s="9" t="s">
        <v>873</v>
      </c>
      <c r="F650" s="8" t="str">
        <f>IFERROR(__xludf.DUMMYFUNCTION("GOOGLETRANSLATE(D650,""zh-CN"",""vi"")"),"Gói quà tặng điểm vàng")</f>
        <v>Gói quà tặng điểm vàng</v>
      </c>
      <c r="G650" s="8" t="str">
        <f>IFERROR(__xludf.DUMMYFUNCTION("GOOGLETRANSLATE(E650,""zh-CN"",""vi"")"),"Nhấp đúp chuột sẽ mang lại nhiều phần thưởng khác nhau với một xác suất nhất định.")</f>
        <v>Nhấp đúp chuột sẽ mang lại nhiều phần thưởng khác nhau với một xác suất nhất định.</v>
      </c>
      <c r="H650" s="8"/>
      <c r="I650" s="8"/>
      <c r="J650" s="8"/>
    </row>
    <row r="651" ht="21.0" customHeight="1">
      <c r="A651" s="5">
        <v>5.0</v>
      </c>
      <c r="B651" s="6">
        <v>525.0</v>
      </c>
      <c r="C651" s="6">
        <v>1.0</v>
      </c>
      <c r="D651" s="16" t="s">
        <v>876</v>
      </c>
      <c r="E651" s="9" t="s">
        <v>873</v>
      </c>
      <c r="F651" s="8" t="str">
        <f>IFERROR(__xludf.DUMMYFUNCTION("GOOGLETRANSLATE(D651,""zh-CN"",""vi"")"),"Gói quà tặng điểm Platinum")</f>
        <v>Gói quà tặng điểm Platinum</v>
      </c>
      <c r="G651" s="8" t="str">
        <f>IFERROR(__xludf.DUMMYFUNCTION("GOOGLETRANSLATE(E651,""zh-CN"",""vi"")"),"Nhấp đúp chuột sẽ mang lại nhiều phần thưởng khác nhau với một xác suất nhất định.")</f>
        <v>Nhấp đúp chuột sẽ mang lại nhiều phần thưởng khác nhau với một xác suất nhất định.</v>
      </c>
      <c r="H651" s="8"/>
      <c r="I651" s="8"/>
      <c r="J651" s="8"/>
    </row>
    <row r="652" ht="21.0" customHeight="1">
      <c r="A652" s="5">
        <v>5.0</v>
      </c>
      <c r="B652" s="6">
        <v>525.0</v>
      </c>
      <c r="C652" s="6">
        <v>1.0</v>
      </c>
      <c r="D652" s="16" t="s">
        <v>877</v>
      </c>
      <c r="E652" s="9" t="s">
        <v>873</v>
      </c>
      <c r="F652" s="8" t="str">
        <f>IFERROR(__xludf.DUMMYFUNCTION("GOOGLETRANSLATE(D652,""zh-CN"",""vi"")"),"Bộ quà tặng điểm kim cương")</f>
        <v>Bộ quà tặng điểm kim cương</v>
      </c>
      <c r="G652" s="8" t="str">
        <f>IFERROR(__xludf.DUMMYFUNCTION("GOOGLETRANSLATE(E652,""zh-CN"",""vi"")"),"Nhấp đúp chuột sẽ mang lại nhiều phần thưởng khác nhau với một xác suất nhất định.")</f>
        <v>Nhấp đúp chuột sẽ mang lại nhiều phần thưởng khác nhau với một xác suất nhất định.</v>
      </c>
      <c r="H652" s="8"/>
      <c r="I652" s="8"/>
      <c r="J652" s="8"/>
    </row>
    <row r="653" ht="21.0" customHeight="1">
      <c r="A653" s="5">
        <v>5.0</v>
      </c>
      <c r="B653" s="6">
        <v>525.0</v>
      </c>
      <c r="C653" s="6">
        <v>1.0</v>
      </c>
      <c r="D653" s="16" t="s">
        <v>878</v>
      </c>
      <c r="E653" s="9" t="s">
        <v>873</v>
      </c>
      <c r="F653" s="8" t="str">
        <f>IFERROR(__xludf.DUMMYFUNCTION("GOOGLETRANSLATE(D653,""zh-CN"",""vi"")"),"Bộ quà tặng điểm thưởng Star Points")</f>
        <v>Bộ quà tặng điểm thưởng Star Points</v>
      </c>
      <c r="G653" s="8" t="str">
        <f>IFERROR(__xludf.DUMMYFUNCTION("GOOGLETRANSLATE(E653,""zh-CN"",""vi"")"),"Nhấp đúp chuột sẽ mang lại nhiều phần thưởng khác nhau với một xác suất nhất định.")</f>
        <v>Nhấp đúp chuột sẽ mang lại nhiều phần thưởng khác nhau với một xác suất nhất định.</v>
      </c>
      <c r="H653" s="8"/>
      <c r="I653" s="8"/>
      <c r="J653" s="8"/>
    </row>
    <row r="654" ht="21.0" customHeight="1">
      <c r="A654" s="5">
        <v>5.0</v>
      </c>
      <c r="B654" s="6">
        <v>525.0</v>
      </c>
      <c r="C654" s="6">
        <v>1.0</v>
      </c>
      <c r="D654" s="16" t="s">
        <v>879</v>
      </c>
      <c r="E654" s="9" t="s">
        <v>873</v>
      </c>
      <c r="F654" s="8" t="str">
        <f>IFERROR(__xludf.DUMMYFUNCTION("GOOGLETRANSLATE(D654,""zh-CN"",""vi"")"),"Bộ quà tặng King's Points")</f>
        <v>Bộ quà tặng King's Points</v>
      </c>
      <c r="G654" s="8" t="str">
        <f>IFERROR(__xludf.DUMMYFUNCTION("GOOGLETRANSLATE(E654,""zh-CN"",""vi"")"),"Nhấp đúp chuột sẽ mang lại nhiều phần thưởng khác nhau với một xác suất nhất định.")</f>
        <v>Nhấp đúp chuột sẽ mang lại nhiều phần thưởng khác nhau với một xác suất nhất định.</v>
      </c>
      <c r="H654" s="8"/>
      <c r="I654" s="8"/>
      <c r="J654" s="8"/>
    </row>
    <row r="655" ht="21.0" customHeight="1">
      <c r="A655" s="5">
        <v>5.0</v>
      </c>
      <c r="B655" s="6">
        <v>525.0</v>
      </c>
      <c r="C655" s="6">
        <v>1.0</v>
      </c>
      <c r="D655" s="16" t="s">
        <v>880</v>
      </c>
      <c r="E655" s="9" t="s">
        <v>873</v>
      </c>
      <c r="F655" s="8" t="str">
        <f>IFERROR(__xludf.DUMMYFUNCTION("GOOGLETRANSLATE(D655,""zh-CN"",""vi"")"),"Bộ quà tặng những điểm mạnh nhất")</f>
        <v>Bộ quà tặng những điểm mạnh nhất</v>
      </c>
      <c r="G655" s="8" t="str">
        <f>IFERROR(__xludf.DUMMYFUNCTION("GOOGLETRANSLATE(E655,""zh-CN"",""vi"")"),"Nhấp đúp chuột sẽ mang lại nhiều phần thưởng khác nhau với một xác suất nhất định.")</f>
        <v>Nhấp đúp chuột sẽ mang lại nhiều phần thưởng khác nhau với một xác suất nhất định.</v>
      </c>
      <c r="H655" s="8"/>
      <c r="I655" s="8"/>
      <c r="J655" s="8"/>
    </row>
    <row r="656" ht="21.0" customHeight="1">
      <c r="A656" s="5">
        <v>5.0</v>
      </c>
      <c r="B656" s="6">
        <v>526.0</v>
      </c>
      <c r="C656" s="6">
        <v>1.0</v>
      </c>
      <c r="D656" s="16" t="s">
        <v>872</v>
      </c>
      <c r="E656" s="9" t="s">
        <v>873</v>
      </c>
      <c r="F656" s="8" t="str">
        <f>IFERROR(__xludf.DUMMYFUNCTION("GOOGLETRANSLATE(D656,""zh-CN"",""vi"")"),"Gói quà tặng điểm Đồng")</f>
        <v>Gói quà tặng điểm Đồng</v>
      </c>
      <c r="G656" s="8" t="str">
        <f>IFERROR(__xludf.DUMMYFUNCTION("GOOGLETRANSLATE(E656,""zh-CN"",""vi"")"),"Nhấp đúp chuột sẽ mang lại nhiều phần thưởng khác nhau với một xác suất nhất định.")</f>
        <v>Nhấp đúp chuột sẽ mang lại nhiều phần thưởng khác nhau với một xác suất nhất định.</v>
      </c>
      <c r="H656" s="8"/>
      <c r="I656" s="8"/>
      <c r="J656" s="8"/>
    </row>
    <row r="657" ht="21.0" customHeight="1">
      <c r="A657" s="5">
        <v>5.0</v>
      </c>
      <c r="B657" s="6">
        <v>526.0</v>
      </c>
      <c r="C657" s="6">
        <v>1.0</v>
      </c>
      <c r="D657" s="16" t="s">
        <v>874</v>
      </c>
      <c r="E657" s="9" t="s">
        <v>873</v>
      </c>
      <c r="F657" s="8" t="str">
        <f>IFERROR(__xludf.DUMMYFUNCTION("GOOGLETRANSLATE(D657,""zh-CN"",""vi"")"),"Bộ quà tặng điểm bạc")</f>
        <v>Bộ quà tặng điểm bạc</v>
      </c>
      <c r="G657" s="8" t="str">
        <f>IFERROR(__xludf.DUMMYFUNCTION("GOOGLETRANSLATE(E657,""zh-CN"",""vi"")"),"Nhấp đúp chuột sẽ mang lại nhiều phần thưởng khác nhau với một xác suất nhất định.")</f>
        <v>Nhấp đúp chuột sẽ mang lại nhiều phần thưởng khác nhau với một xác suất nhất định.</v>
      </c>
      <c r="H657" s="8"/>
      <c r="I657" s="8"/>
      <c r="J657" s="8"/>
    </row>
    <row r="658" ht="21.0" customHeight="1">
      <c r="A658" s="5">
        <v>5.0</v>
      </c>
      <c r="B658" s="6">
        <v>526.0</v>
      </c>
      <c r="C658" s="6">
        <v>1.0</v>
      </c>
      <c r="D658" s="16" t="s">
        <v>875</v>
      </c>
      <c r="E658" s="9" t="s">
        <v>873</v>
      </c>
      <c r="F658" s="8" t="str">
        <f>IFERROR(__xludf.DUMMYFUNCTION("GOOGLETRANSLATE(D658,""zh-CN"",""vi"")"),"Gói quà tặng điểm vàng")</f>
        <v>Gói quà tặng điểm vàng</v>
      </c>
      <c r="G658" s="8" t="str">
        <f>IFERROR(__xludf.DUMMYFUNCTION("GOOGLETRANSLATE(E658,""zh-CN"",""vi"")"),"Nhấp đúp chuột sẽ mang lại nhiều phần thưởng khác nhau với một xác suất nhất định.")</f>
        <v>Nhấp đúp chuột sẽ mang lại nhiều phần thưởng khác nhau với một xác suất nhất định.</v>
      </c>
      <c r="H658" s="8"/>
      <c r="I658" s="8"/>
      <c r="J658" s="8"/>
    </row>
    <row r="659" ht="21.0" customHeight="1">
      <c r="A659" s="5">
        <v>5.0</v>
      </c>
      <c r="B659" s="6">
        <v>526.0</v>
      </c>
      <c r="C659" s="6">
        <v>1.0</v>
      </c>
      <c r="D659" s="16" t="s">
        <v>876</v>
      </c>
      <c r="E659" s="9" t="s">
        <v>873</v>
      </c>
      <c r="F659" s="8" t="str">
        <f>IFERROR(__xludf.DUMMYFUNCTION("GOOGLETRANSLATE(D659,""zh-CN"",""vi"")"),"Gói quà tặng điểm Platinum")</f>
        <v>Gói quà tặng điểm Platinum</v>
      </c>
      <c r="G659" s="8" t="str">
        <f>IFERROR(__xludf.DUMMYFUNCTION("GOOGLETRANSLATE(E659,""zh-CN"",""vi"")"),"Nhấp đúp chuột sẽ mang lại nhiều phần thưởng khác nhau với một xác suất nhất định.")</f>
        <v>Nhấp đúp chuột sẽ mang lại nhiều phần thưởng khác nhau với một xác suất nhất định.</v>
      </c>
      <c r="H659" s="8"/>
      <c r="I659" s="8"/>
      <c r="J659" s="8"/>
    </row>
    <row r="660" ht="21.0" customHeight="1">
      <c r="A660" s="5">
        <v>5.0</v>
      </c>
      <c r="B660" s="6">
        <v>526.0</v>
      </c>
      <c r="C660" s="6">
        <v>1.0</v>
      </c>
      <c r="D660" s="16" t="s">
        <v>877</v>
      </c>
      <c r="E660" s="9" t="s">
        <v>873</v>
      </c>
      <c r="F660" s="8" t="str">
        <f>IFERROR(__xludf.DUMMYFUNCTION("GOOGLETRANSLATE(D660,""zh-CN"",""vi"")"),"Bộ quà tặng điểm kim cương")</f>
        <v>Bộ quà tặng điểm kim cương</v>
      </c>
      <c r="G660" s="8" t="str">
        <f>IFERROR(__xludf.DUMMYFUNCTION("GOOGLETRANSLATE(E660,""zh-CN"",""vi"")"),"Nhấp đúp chuột sẽ mang lại nhiều phần thưởng khác nhau với một xác suất nhất định.")</f>
        <v>Nhấp đúp chuột sẽ mang lại nhiều phần thưởng khác nhau với một xác suất nhất định.</v>
      </c>
      <c r="H660" s="8"/>
      <c r="I660" s="8"/>
      <c r="J660" s="8"/>
    </row>
    <row r="661" ht="21.0" customHeight="1">
      <c r="A661" s="5">
        <v>5.0</v>
      </c>
      <c r="B661" s="6">
        <v>526.0</v>
      </c>
      <c r="C661" s="6">
        <v>1.0</v>
      </c>
      <c r="D661" s="16" t="s">
        <v>878</v>
      </c>
      <c r="E661" s="9" t="s">
        <v>873</v>
      </c>
      <c r="F661" s="8" t="str">
        <f>IFERROR(__xludf.DUMMYFUNCTION("GOOGLETRANSLATE(D661,""zh-CN"",""vi"")"),"Bộ quà tặng điểm thưởng Star Points")</f>
        <v>Bộ quà tặng điểm thưởng Star Points</v>
      </c>
      <c r="G661" s="8" t="str">
        <f>IFERROR(__xludf.DUMMYFUNCTION("GOOGLETRANSLATE(E661,""zh-CN"",""vi"")"),"Nhấp đúp chuột sẽ mang lại nhiều phần thưởng khác nhau với một xác suất nhất định.")</f>
        <v>Nhấp đúp chuột sẽ mang lại nhiều phần thưởng khác nhau với một xác suất nhất định.</v>
      </c>
      <c r="H661" s="8"/>
      <c r="I661" s="8"/>
      <c r="J661" s="8"/>
    </row>
    <row r="662" ht="21.0" customHeight="1">
      <c r="A662" s="5">
        <v>5.0</v>
      </c>
      <c r="B662" s="6">
        <v>526.0</v>
      </c>
      <c r="C662" s="6">
        <v>1.0</v>
      </c>
      <c r="D662" s="16" t="s">
        <v>879</v>
      </c>
      <c r="E662" s="9" t="s">
        <v>873</v>
      </c>
      <c r="F662" s="8" t="str">
        <f>IFERROR(__xludf.DUMMYFUNCTION("GOOGLETRANSLATE(D662,""zh-CN"",""vi"")"),"Bộ quà tặng King's Points")</f>
        <v>Bộ quà tặng King's Points</v>
      </c>
      <c r="G662" s="8" t="str">
        <f>IFERROR(__xludf.DUMMYFUNCTION("GOOGLETRANSLATE(E662,""zh-CN"",""vi"")"),"Nhấp đúp chuột sẽ mang lại nhiều phần thưởng khác nhau với một xác suất nhất định.")</f>
        <v>Nhấp đúp chuột sẽ mang lại nhiều phần thưởng khác nhau với một xác suất nhất định.</v>
      </c>
      <c r="H662" s="8"/>
      <c r="I662" s="8"/>
      <c r="J662" s="8"/>
    </row>
    <row r="663" ht="21.0" customHeight="1">
      <c r="A663" s="5">
        <v>5.0</v>
      </c>
      <c r="B663" s="6">
        <v>526.0</v>
      </c>
      <c r="C663" s="6">
        <v>1.0</v>
      </c>
      <c r="D663" s="16" t="s">
        <v>880</v>
      </c>
      <c r="E663" s="9" t="s">
        <v>873</v>
      </c>
      <c r="F663" s="8" t="str">
        <f>IFERROR(__xludf.DUMMYFUNCTION("GOOGLETRANSLATE(D663,""zh-CN"",""vi"")"),"Bộ quà tặng những điểm mạnh nhất")</f>
        <v>Bộ quà tặng những điểm mạnh nhất</v>
      </c>
      <c r="G663" s="8" t="str">
        <f>IFERROR(__xludf.DUMMYFUNCTION("GOOGLETRANSLATE(E663,""zh-CN"",""vi"")"),"Nhấp đúp chuột sẽ mang lại nhiều phần thưởng khác nhau với một xác suất nhất định.")</f>
        <v>Nhấp đúp chuột sẽ mang lại nhiều phần thưởng khác nhau với một xác suất nhất định.</v>
      </c>
      <c r="H663" s="8"/>
      <c r="I663" s="8"/>
      <c r="J663" s="8"/>
    </row>
    <row r="664" ht="21.0" customHeight="1">
      <c r="A664" s="5">
        <v>5.0</v>
      </c>
      <c r="B664" s="6">
        <v>527.0</v>
      </c>
      <c r="C664" s="6">
        <v>1.0</v>
      </c>
      <c r="D664" s="16" t="s">
        <v>872</v>
      </c>
      <c r="E664" s="9" t="s">
        <v>873</v>
      </c>
      <c r="F664" s="8" t="str">
        <f>IFERROR(__xludf.DUMMYFUNCTION("GOOGLETRANSLATE(D664,""zh-CN"",""vi"")"),"Gói quà tặng điểm Đồng")</f>
        <v>Gói quà tặng điểm Đồng</v>
      </c>
      <c r="G664" s="8" t="str">
        <f>IFERROR(__xludf.DUMMYFUNCTION("GOOGLETRANSLATE(E664,""zh-CN"",""vi"")"),"Nhấp đúp chuột sẽ mang lại nhiều phần thưởng khác nhau với một xác suất nhất định.")</f>
        <v>Nhấp đúp chuột sẽ mang lại nhiều phần thưởng khác nhau với một xác suất nhất định.</v>
      </c>
      <c r="H664" s="8"/>
      <c r="I664" s="8"/>
      <c r="J664" s="8"/>
    </row>
    <row r="665" ht="21.0" customHeight="1">
      <c r="A665" s="5">
        <v>5.0</v>
      </c>
      <c r="B665" s="6">
        <v>527.0</v>
      </c>
      <c r="C665" s="6">
        <v>1.0</v>
      </c>
      <c r="D665" s="16" t="s">
        <v>874</v>
      </c>
      <c r="E665" s="9" t="s">
        <v>873</v>
      </c>
      <c r="F665" s="8" t="str">
        <f>IFERROR(__xludf.DUMMYFUNCTION("GOOGLETRANSLATE(D665,""zh-CN"",""vi"")"),"Bộ quà tặng điểm bạc")</f>
        <v>Bộ quà tặng điểm bạc</v>
      </c>
      <c r="G665" s="8" t="str">
        <f>IFERROR(__xludf.DUMMYFUNCTION("GOOGLETRANSLATE(E665,""zh-CN"",""vi"")"),"Nhấp đúp chuột sẽ mang lại nhiều phần thưởng khác nhau với một xác suất nhất định.")</f>
        <v>Nhấp đúp chuột sẽ mang lại nhiều phần thưởng khác nhau với một xác suất nhất định.</v>
      </c>
      <c r="H665" s="8"/>
      <c r="I665" s="8"/>
      <c r="J665" s="8"/>
    </row>
    <row r="666" ht="21.0" customHeight="1">
      <c r="A666" s="5">
        <v>5.0</v>
      </c>
      <c r="B666" s="6">
        <v>527.0</v>
      </c>
      <c r="C666" s="6">
        <v>1.0</v>
      </c>
      <c r="D666" s="16" t="s">
        <v>875</v>
      </c>
      <c r="E666" s="9" t="s">
        <v>873</v>
      </c>
      <c r="F666" s="8" t="str">
        <f>IFERROR(__xludf.DUMMYFUNCTION("GOOGLETRANSLATE(D666,""zh-CN"",""vi"")"),"Gói quà tặng điểm vàng")</f>
        <v>Gói quà tặng điểm vàng</v>
      </c>
      <c r="G666" s="8" t="str">
        <f>IFERROR(__xludf.DUMMYFUNCTION("GOOGLETRANSLATE(E666,""zh-CN"",""vi"")"),"Nhấp đúp chuột sẽ mang lại nhiều phần thưởng khác nhau với một xác suất nhất định.")</f>
        <v>Nhấp đúp chuột sẽ mang lại nhiều phần thưởng khác nhau với một xác suất nhất định.</v>
      </c>
      <c r="H666" s="8"/>
      <c r="I666" s="8"/>
      <c r="J666" s="8"/>
    </row>
    <row r="667" ht="21.0" customHeight="1">
      <c r="A667" s="5">
        <v>5.0</v>
      </c>
      <c r="B667" s="6">
        <v>527.0</v>
      </c>
      <c r="C667" s="6">
        <v>1.0</v>
      </c>
      <c r="D667" s="16" t="s">
        <v>876</v>
      </c>
      <c r="E667" s="9" t="s">
        <v>873</v>
      </c>
      <c r="F667" s="8" t="str">
        <f>IFERROR(__xludf.DUMMYFUNCTION("GOOGLETRANSLATE(D667,""zh-CN"",""vi"")"),"Gói quà tặng điểm Platinum")</f>
        <v>Gói quà tặng điểm Platinum</v>
      </c>
      <c r="G667" s="8" t="str">
        <f>IFERROR(__xludf.DUMMYFUNCTION("GOOGLETRANSLATE(E667,""zh-CN"",""vi"")"),"Nhấp đúp chuột sẽ mang lại nhiều phần thưởng khác nhau với một xác suất nhất định.")</f>
        <v>Nhấp đúp chuột sẽ mang lại nhiều phần thưởng khác nhau với một xác suất nhất định.</v>
      </c>
      <c r="H667" s="8"/>
      <c r="I667" s="8"/>
      <c r="J667" s="8"/>
    </row>
    <row r="668" ht="21.0" customHeight="1">
      <c r="A668" s="5">
        <v>5.0</v>
      </c>
      <c r="B668" s="6">
        <v>527.0</v>
      </c>
      <c r="C668" s="6">
        <v>1.0</v>
      </c>
      <c r="D668" s="16" t="s">
        <v>877</v>
      </c>
      <c r="E668" s="9" t="s">
        <v>873</v>
      </c>
      <c r="F668" s="8" t="str">
        <f>IFERROR(__xludf.DUMMYFUNCTION("GOOGLETRANSLATE(D668,""zh-CN"",""vi"")"),"Bộ quà tặng điểm kim cương")</f>
        <v>Bộ quà tặng điểm kim cương</v>
      </c>
      <c r="G668" s="8" t="str">
        <f>IFERROR(__xludf.DUMMYFUNCTION("GOOGLETRANSLATE(E668,""zh-CN"",""vi"")"),"Nhấp đúp chuột sẽ mang lại nhiều phần thưởng khác nhau với một xác suất nhất định.")</f>
        <v>Nhấp đúp chuột sẽ mang lại nhiều phần thưởng khác nhau với một xác suất nhất định.</v>
      </c>
      <c r="H668" s="8"/>
      <c r="I668" s="8"/>
      <c r="J668" s="8"/>
    </row>
    <row r="669" ht="21.0" customHeight="1">
      <c r="A669" s="5">
        <v>5.0</v>
      </c>
      <c r="B669" s="6">
        <v>527.0</v>
      </c>
      <c r="C669" s="6">
        <v>1.0</v>
      </c>
      <c r="D669" s="16" t="s">
        <v>878</v>
      </c>
      <c r="E669" s="9" t="s">
        <v>873</v>
      </c>
      <c r="F669" s="8" t="str">
        <f>IFERROR(__xludf.DUMMYFUNCTION("GOOGLETRANSLATE(D669,""zh-CN"",""vi"")"),"Bộ quà tặng điểm thưởng Star Points")</f>
        <v>Bộ quà tặng điểm thưởng Star Points</v>
      </c>
      <c r="G669" s="8" t="str">
        <f>IFERROR(__xludf.DUMMYFUNCTION("GOOGLETRANSLATE(E669,""zh-CN"",""vi"")"),"Nhấp đúp chuột sẽ mang lại nhiều phần thưởng khác nhau với một xác suất nhất định.")</f>
        <v>Nhấp đúp chuột sẽ mang lại nhiều phần thưởng khác nhau với một xác suất nhất định.</v>
      </c>
      <c r="H669" s="8"/>
      <c r="I669" s="8"/>
      <c r="J669" s="8"/>
    </row>
    <row r="670" ht="21.0" customHeight="1">
      <c r="A670" s="5">
        <v>5.0</v>
      </c>
      <c r="B670" s="6">
        <v>527.0</v>
      </c>
      <c r="C670" s="6">
        <v>1.0</v>
      </c>
      <c r="D670" s="16" t="s">
        <v>879</v>
      </c>
      <c r="E670" s="9" t="s">
        <v>873</v>
      </c>
      <c r="F670" s="8" t="str">
        <f>IFERROR(__xludf.DUMMYFUNCTION("GOOGLETRANSLATE(D670,""zh-CN"",""vi"")"),"Bộ quà tặng King's Points")</f>
        <v>Bộ quà tặng King's Points</v>
      </c>
      <c r="G670" s="8" t="str">
        <f>IFERROR(__xludf.DUMMYFUNCTION("GOOGLETRANSLATE(E670,""zh-CN"",""vi"")"),"Nhấp đúp chuột sẽ mang lại nhiều phần thưởng khác nhau với một xác suất nhất định.")</f>
        <v>Nhấp đúp chuột sẽ mang lại nhiều phần thưởng khác nhau với một xác suất nhất định.</v>
      </c>
      <c r="H670" s="8"/>
      <c r="I670" s="8"/>
      <c r="J670" s="8"/>
    </row>
    <row r="671" ht="21.0" customHeight="1">
      <c r="A671" s="5">
        <v>5.0</v>
      </c>
      <c r="B671" s="6">
        <v>527.0</v>
      </c>
      <c r="C671" s="6">
        <v>1.0</v>
      </c>
      <c r="D671" s="16" t="s">
        <v>880</v>
      </c>
      <c r="E671" s="9" t="s">
        <v>873</v>
      </c>
      <c r="F671" s="8" t="str">
        <f>IFERROR(__xludf.DUMMYFUNCTION("GOOGLETRANSLATE(D671,""zh-CN"",""vi"")"),"Bộ quà tặng những điểm mạnh nhất")</f>
        <v>Bộ quà tặng những điểm mạnh nhất</v>
      </c>
      <c r="G671" s="8" t="str">
        <f>IFERROR(__xludf.DUMMYFUNCTION("GOOGLETRANSLATE(E671,""zh-CN"",""vi"")"),"Nhấp đúp chuột sẽ mang lại nhiều phần thưởng khác nhau với một xác suất nhất định.")</f>
        <v>Nhấp đúp chuột sẽ mang lại nhiều phần thưởng khác nhau với một xác suất nhất định.</v>
      </c>
      <c r="H671" s="8"/>
      <c r="I671" s="8"/>
      <c r="J671" s="8"/>
    </row>
    <row r="672" ht="21.0" customHeight="1">
      <c r="A672" s="5">
        <v>5.0</v>
      </c>
      <c r="B672" s="6">
        <v>528.0</v>
      </c>
      <c r="C672" s="6">
        <v>1.0</v>
      </c>
      <c r="D672" s="16" t="s">
        <v>872</v>
      </c>
      <c r="E672" s="9" t="s">
        <v>873</v>
      </c>
      <c r="F672" s="8" t="str">
        <f>IFERROR(__xludf.DUMMYFUNCTION("GOOGLETRANSLATE(D672,""zh-CN"",""vi"")"),"Gói quà tặng điểm Đồng")</f>
        <v>Gói quà tặng điểm Đồng</v>
      </c>
      <c r="G672" s="8" t="str">
        <f>IFERROR(__xludf.DUMMYFUNCTION("GOOGLETRANSLATE(E672,""zh-CN"",""vi"")"),"Nhấp đúp chuột sẽ mang lại nhiều phần thưởng khác nhau với một xác suất nhất định.")</f>
        <v>Nhấp đúp chuột sẽ mang lại nhiều phần thưởng khác nhau với một xác suất nhất định.</v>
      </c>
      <c r="H672" s="8"/>
      <c r="I672" s="8"/>
      <c r="J672" s="8"/>
    </row>
    <row r="673" ht="21.0" customHeight="1">
      <c r="A673" s="5">
        <v>5.0</v>
      </c>
      <c r="B673" s="6">
        <v>528.0</v>
      </c>
      <c r="C673" s="6">
        <v>1.0</v>
      </c>
      <c r="D673" s="16" t="s">
        <v>874</v>
      </c>
      <c r="E673" s="9" t="s">
        <v>873</v>
      </c>
      <c r="F673" s="8" t="str">
        <f>IFERROR(__xludf.DUMMYFUNCTION("GOOGLETRANSLATE(D673,""zh-CN"",""vi"")"),"Bộ quà tặng điểm bạc")</f>
        <v>Bộ quà tặng điểm bạc</v>
      </c>
      <c r="G673" s="8" t="str">
        <f>IFERROR(__xludf.DUMMYFUNCTION("GOOGLETRANSLATE(E673,""zh-CN"",""vi"")"),"Nhấp đúp chuột sẽ mang lại nhiều phần thưởng khác nhau với một xác suất nhất định.")</f>
        <v>Nhấp đúp chuột sẽ mang lại nhiều phần thưởng khác nhau với một xác suất nhất định.</v>
      </c>
      <c r="H673" s="8"/>
      <c r="I673" s="8"/>
      <c r="J673" s="8"/>
    </row>
    <row r="674" ht="21.0" customHeight="1">
      <c r="A674" s="5">
        <v>5.0</v>
      </c>
      <c r="B674" s="6">
        <v>528.0</v>
      </c>
      <c r="C674" s="6">
        <v>1.0</v>
      </c>
      <c r="D674" s="16" t="s">
        <v>875</v>
      </c>
      <c r="E674" s="9" t="s">
        <v>873</v>
      </c>
      <c r="F674" s="8" t="str">
        <f>IFERROR(__xludf.DUMMYFUNCTION("GOOGLETRANSLATE(D674,""zh-CN"",""vi"")"),"Gói quà tặng điểm vàng")</f>
        <v>Gói quà tặng điểm vàng</v>
      </c>
      <c r="G674" s="8" t="str">
        <f>IFERROR(__xludf.DUMMYFUNCTION("GOOGLETRANSLATE(E674,""zh-CN"",""vi"")"),"Nhấp đúp chuột sẽ mang lại nhiều phần thưởng khác nhau với một xác suất nhất định.")</f>
        <v>Nhấp đúp chuột sẽ mang lại nhiều phần thưởng khác nhau với một xác suất nhất định.</v>
      </c>
      <c r="H674" s="8"/>
      <c r="I674" s="8"/>
      <c r="J674" s="8"/>
    </row>
    <row r="675" ht="21.0" customHeight="1">
      <c r="A675" s="5">
        <v>5.0</v>
      </c>
      <c r="B675" s="6">
        <v>528.0</v>
      </c>
      <c r="C675" s="6">
        <v>1.0</v>
      </c>
      <c r="D675" s="16" t="s">
        <v>876</v>
      </c>
      <c r="E675" s="9" t="s">
        <v>873</v>
      </c>
      <c r="F675" s="8" t="str">
        <f>IFERROR(__xludf.DUMMYFUNCTION("GOOGLETRANSLATE(D675,""zh-CN"",""vi"")"),"Gói quà tặng điểm Platinum")</f>
        <v>Gói quà tặng điểm Platinum</v>
      </c>
      <c r="G675" s="8" t="str">
        <f>IFERROR(__xludf.DUMMYFUNCTION("GOOGLETRANSLATE(E675,""zh-CN"",""vi"")"),"Nhấp đúp chuột sẽ mang lại nhiều phần thưởng khác nhau với một xác suất nhất định.")</f>
        <v>Nhấp đúp chuột sẽ mang lại nhiều phần thưởng khác nhau với một xác suất nhất định.</v>
      </c>
      <c r="H675" s="8"/>
      <c r="I675" s="8"/>
      <c r="J675" s="8"/>
    </row>
    <row r="676" ht="21.0" customHeight="1">
      <c r="A676" s="5">
        <v>5.0</v>
      </c>
      <c r="B676" s="6">
        <v>528.0</v>
      </c>
      <c r="C676" s="6">
        <v>1.0</v>
      </c>
      <c r="D676" s="16" t="s">
        <v>877</v>
      </c>
      <c r="E676" s="9" t="s">
        <v>873</v>
      </c>
      <c r="F676" s="8" t="str">
        <f>IFERROR(__xludf.DUMMYFUNCTION("GOOGLETRANSLATE(D676,""zh-CN"",""vi"")"),"Bộ quà tặng điểm kim cương")</f>
        <v>Bộ quà tặng điểm kim cương</v>
      </c>
      <c r="G676" s="8" t="str">
        <f>IFERROR(__xludf.DUMMYFUNCTION("GOOGLETRANSLATE(E676,""zh-CN"",""vi"")"),"Nhấp đúp chuột sẽ mang lại nhiều phần thưởng khác nhau với một xác suất nhất định.")</f>
        <v>Nhấp đúp chuột sẽ mang lại nhiều phần thưởng khác nhau với một xác suất nhất định.</v>
      </c>
      <c r="H676" s="8"/>
      <c r="I676" s="8"/>
      <c r="J676" s="8"/>
    </row>
    <row r="677" ht="21.0" customHeight="1">
      <c r="A677" s="5">
        <v>5.0</v>
      </c>
      <c r="B677" s="6">
        <v>528.0</v>
      </c>
      <c r="C677" s="6">
        <v>1.0</v>
      </c>
      <c r="D677" s="16" t="s">
        <v>878</v>
      </c>
      <c r="E677" s="9" t="s">
        <v>873</v>
      </c>
      <c r="F677" s="8" t="str">
        <f>IFERROR(__xludf.DUMMYFUNCTION("GOOGLETRANSLATE(D677,""zh-CN"",""vi"")"),"Bộ quà tặng điểm thưởng Star Points")</f>
        <v>Bộ quà tặng điểm thưởng Star Points</v>
      </c>
      <c r="G677" s="8" t="str">
        <f>IFERROR(__xludf.DUMMYFUNCTION("GOOGLETRANSLATE(E677,""zh-CN"",""vi"")"),"Nhấp đúp chuột sẽ mang lại nhiều phần thưởng khác nhau với một xác suất nhất định.")</f>
        <v>Nhấp đúp chuột sẽ mang lại nhiều phần thưởng khác nhau với một xác suất nhất định.</v>
      </c>
      <c r="H677" s="8"/>
      <c r="I677" s="8"/>
      <c r="J677" s="8"/>
    </row>
    <row r="678" ht="21.0" customHeight="1">
      <c r="A678" s="5">
        <v>5.0</v>
      </c>
      <c r="B678" s="6">
        <v>528.0</v>
      </c>
      <c r="C678" s="6">
        <v>1.0</v>
      </c>
      <c r="D678" s="16" t="s">
        <v>879</v>
      </c>
      <c r="E678" s="9" t="s">
        <v>873</v>
      </c>
      <c r="F678" s="8" t="str">
        <f>IFERROR(__xludf.DUMMYFUNCTION("GOOGLETRANSLATE(D678,""zh-CN"",""vi"")"),"Bộ quà tặng King's Points")</f>
        <v>Bộ quà tặng King's Points</v>
      </c>
      <c r="G678" s="8" t="str">
        <f>IFERROR(__xludf.DUMMYFUNCTION("GOOGLETRANSLATE(E678,""zh-CN"",""vi"")"),"Nhấp đúp chuột sẽ mang lại nhiều phần thưởng khác nhau với một xác suất nhất định.")</f>
        <v>Nhấp đúp chuột sẽ mang lại nhiều phần thưởng khác nhau với một xác suất nhất định.</v>
      </c>
      <c r="H678" s="8"/>
      <c r="I678" s="8"/>
      <c r="J678" s="8"/>
    </row>
    <row r="679" ht="21.0" customHeight="1">
      <c r="A679" s="5">
        <v>5.0</v>
      </c>
      <c r="B679" s="6">
        <v>528.0</v>
      </c>
      <c r="C679" s="6">
        <v>1.0</v>
      </c>
      <c r="D679" s="16" t="s">
        <v>880</v>
      </c>
      <c r="E679" s="9" t="s">
        <v>873</v>
      </c>
      <c r="F679" s="8" t="str">
        <f>IFERROR(__xludf.DUMMYFUNCTION("GOOGLETRANSLATE(D679,""zh-CN"",""vi"")"),"Bộ quà tặng những điểm mạnh nhất")</f>
        <v>Bộ quà tặng những điểm mạnh nhất</v>
      </c>
      <c r="G679" s="8" t="str">
        <f>IFERROR(__xludf.DUMMYFUNCTION("GOOGLETRANSLATE(E679,""zh-CN"",""vi"")"),"Nhấp đúp chuột sẽ mang lại nhiều phần thưởng khác nhau với một xác suất nhất định.")</f>
        <v>Nhấp đúp chuột sẽ mang lại nhiều phần thưởng khác nhau với một xác suất nhất định.</v>
      </c>
      <c r="H679" s="8"/>
      <c r="I679" s="8"/>
      <c r="J679" s="8"/>
    </row>
    <row r="680" ht="21.0" customHeight="1">
      <c r="A680" s="5">
        <v>5.0</v>
      </c>
      <c r="B680" s="6">
        <v>529.0</v>
      </c>
      <c r="C680" s="6">
        <v>1.0</v>
      </c>
      <c r="D680" s="16" t="s">
        <v>872</v>
      </c>
      <c r="E680" s="9" t="s">
        <v>873</v>
      </c>
      <c r="F680" s="8" t="str">
        <f>IFERROR(__xludf.DUMMYFUNCTION("GOOGLETRANSLATE(D680,""zh-CN"",""vi"")"),"Gói quà tặng điểm Đồng")</f>
        <v>Gói quà tặng điểm Đồng</v>
      </c>
      <c r="G680" s="8" t="str">
        <f>IFERROR(__xludf.DUMMYFUNCTION("GOOGLETRANSLATE(E680,""zh-CN"",""vi"")"),"Nhấp đúp chuột sẽ mang lại nhiều phần thưởng khác nhau với một xác suất nhất định.")</f>
        <v>Nhấp đúp chuột sẽ mang lại nhiều phần thưởng khác nhau với một xác suất nhất định.</v>
      </c>
      <c r="H680" s="8"/>
      <c r="I680" s="8"/>
      <c r="J680" s="8"/>
    </row>
    <row r="681" ht="21.0" customHeight="1">
      <c r="A681" s="5">
        <v>5.0</v>
      </c>
      <c r="B681" s="6">
        <v>529.0</v>
      </c>
      <c r="C681" s="6">
        <v>1.0</v>
      </c>
      <c r="D681" s="16" t="s">
        <v>874</v>
      </c>
      <c r="E681" s="9" t="s">
        <v>873</v>
      </c>
      <c r="F681" s="8" t="str">
        <f>IFERROR(__xludf.DUMMYFUNCTION("GOOGLETRANSLATE(D681,""zh-CN"",""vi"")"),"Bộ quà tặng điểm bạc")</f>
        <v>Bộ quà tặng điểm bạc</v>
      </c>
      <c r="G681" s="8" t="str">
        <f>IFERROR(__xludf.DUMMYFUNCTION("GOOGLETRANSLATE(E681,""zh-CN"",""vi"")"),"Nhấp đúp chuột sẽ mang lại nhiều phần thưởng khác nhau với một xác suất nhất định.")</f>
        <v>Nhấp đúp chuột sẽ mang lại nhiều phần thưởng khác nhau với một xác suất nhất định.</v>
      </c>
      <c r="H681" s="8"/>
      <c r="I681" s="8"/>
      <c r="J681" s="8"/>
    </row>
    <row r="682" ht="21.0" customHeight="1">
      <c r="A682" s="5">
        <v>5.0</v>
      </c>
      <c r="B682" s="6">
        <v>529.0</v>
      </c>
      <c r="C682" s="6">
        <v>1.0</v>
      </c>
      <c r="D682" s="16" t="s">
        <v>875</v>
      </c>
      <c r="E682" s="9" t="s">
        <v>873</v>
      </c>
      <c r="F682" s="8" t="str">
        <f>IFERROR(__xludf.DUMMYFUNCTION("GOOGLETRANSLATE(D682,""zh-CN"",""vi"")"),"Gói quà tặng điểm vàng")</f>
        <v>Gói quà tặng điểm vàng</v>
      </c>
      <c r="G682" s="8" t="str">
        <f>IFERROR(__xludf.DUMMYFUNCTION("GOOGLETRANSLATE(E682,""zh-CN"",""vi"")"),"Nhấp đúp chuột sẽ mang lại nhiều phần thưởng khác nhau với một xác suất nhất định.")</f>
        <v>Nhấp đúp chuột sẽ mang lại nhiều phần thưởng khác nhau với một xác suất nhất định.</v>
      </c>
      <c r="H682" s="8"/>
      <c r="I682" s="8"/>
      <c r="J682" s="8"/>
    </row>
    <row r="683" ht="21.0" customHeight="1">
      <c r="A683" s="5">
        <v>5.0</v>
      </c>
      <c r="B683" s="6">
        <v>529.0</v>
      </c>
      <c r="C683" s="6">
        <v>1.0</v>
      </c>
      <c r="D683" s="16" t="s">
        <v>876</v>
      </c>
      <c r="E683" s="9" t="s">
        <v>873</v>
      </c>
      <c r="F683" s="8" t="str">
        <f>IFERROR(__xludf.DUMMYFUNCTION("GOOGLETRANSLATE(D683,""zh-CN"",""vi"")"),"Gói quà tặng điểm Platinum")</f>
        <v>Gói quà tặng điểm Platinum</v>
      </c>
      <c r="G683" s="8" t="str">
        <f>IFERROR(__xludf.DUMMYFUNCTION("GOOGLETRANSLATE(E683,""zh-CN"",""vi"")"),"Nhấp đúp chuột sẽ mang lại nhiều phần thưởng khác nhau với một xác suất nhất định.")</f>
        <v>Nhấp đúp chuột sẽ mang lại nhiều phần thưởng khác nhau với một xác suất nhất định.</v>
      </c>
      <c r="H683" s="8"/>
      <c r="I683" s="8"/>
      <c r="J683" s="8"/>
    </row>
    <row r="684" ht="21.0" customHeight="1">
      <c r="A684" s="5">
        <v>5.0</v>
      </c>
      <c r="B684" s="6">
        <v>529.0</v>
      </c>
      <c r="C684" s="6">
        <v>1.0</v>
      </c>
      <c r="D684" s="16" t="s">
        <v>877</v>
      </c>
      <c r="E684" s="9" t="s">
        <v>873</v>
      </c>
      <c r="F684" s="8" t="str">
        <f>IFERROR(__xludf.DUMMYFUNCTION("GOOGLETRANSLATE(D684,""zh-CN"",""vi"")"),"Bộ quà tặng điểm kim cương")</f>
        <v>Bộ quà tặng điểm kim cương</v>
      </c>
      <c r="G684" s="8" t="str">
        <f>IFERROR(__xludf.DUMMYFUNCTION("GOOGLETRANSLATE(E684,""zh-CN"",""vi"")"),"Nhấp đúp chuột sẽ mang lại nhiều phần thưởng khác nhau với một xác suất nhất định.")</f>
        <v>Nhấp đúp chuột sẽ mang lại nhiều phần thưởng khác nhau với một xác suất nhất định.</v>
      </c>
      <c r="H684" s="8"/>
      <c r="I684" s="8"/>
      <c r="J684" s="8"/>
    </row>
    <row r="685" ht="21.0" customHeight="1">
      <c r="A685" s="5">
        <v>5.0</v>
      </c>
      <c r="B685" s="6">
        <v>529.0</v>
      </c>
      <c r="C685" s="6">
        <v>1.0</v>
      </c>
      <c r="D685" s="16" t="s">
        <v>878</v>
      </c>
      <c r="E685" s="9" t="s">
        <v>873</v>
      </c>
      <c r="F685" s="8" t="str">
        <f>IFERROR(__xludf.DUMMYFUNCTION("GOOGLETRANSLATE(D685,""zh-CN"",""vi"")"),"Bộ quà tặng điểm thưởng Star Points")</f>
        <v>Bộ quà tặng điểm thưởng Star Points</v>
      </c>
      <c r="G685" s="8" t="str">
        <f>IFERROR(__xludf.DUMMYFUNCTION("GOOGLETRANSLATE(E685,""zh-CN"",""vi"")"),"Nhấp đúp chuột sẽ mang lại nhiều phần thưởng khác nhau với một xác suất nhất định.")</f>
        <v>Nhấp đúp chuột sẽ mang lại nhiều phần thưởng khác nhau với một xác suất nhất định.</v>
      </c>
      <c r="H685" s="8"/>
      <c r="I685" s="8"/>
      <c r="J685" s="8"/>
    </row>
    <row r="686" ht="21.0" customHeight="1">
      <c r="A686" s="5">
        <v>5.0</v>
      </c>
      <c r="B686" s="6">
        <v>529.0</v>
      </c>
      <c r="C686" s="6">
        <v>1.0</v>
      </c>
      <c r="D686" s="16" t="s">
        <v>879</v>
      </c>
      <c r="E686" s="9" t="s">
        <v>873</v>
      </c>
      <c r="F686" s="8" t="str">
        <f>IFERROR(__xludf.DUMMYFUNCTION("GOOGLETRANSLATE(D686,""zh-CN"",""vi"")"),"Bộ quà tặng King's Points")</f>
        <v>Bộ quà tặng King's Points</v>
      </c>
      <c r="G686" s="8" t="str">
        <f>IFERROR(__xludf.DUMMYFUNCTION("GOOGLETRANSLATE(E686,""zh-CN"",""vi"")"),"Nhấp đúp chuột sẽ mang lại nhiều phần thưởng khác nhau với một xác suất nhất định.")</f>
        <v>Nhấp đúp chuột sẽ mang lại nhiều phần thưởng khác nhau với một xác suất nhất định.</v>
      </c>
      <c r="H686" s="8"/>
      <c r="I686" s="8"/>
      <c r="J686" s="8"/>
    </row>
    <row r="687" ht="21.0" customHeight="1">
      <c r="A687" s="5">
        <v>5.0</v>
      </c>
      <c r="B687" s="6">
        <v>529.0</v>
      </c>
      <c r="C687" s="6">
        <v>1.0</v>
      </c>
      <c r="D687" s="16" t="s">
        <v>880</v>
      </c>
      <c r="E687" s="9" t="s">
        <v>873</v>
      </c>
      <c r="F687" s="8" t="str">
        <f>IFERROR(__xludf.DUMMYFUNCTION("GOOGLETRANSLATE(D687,""zh-CN"",""vi"")"),"Bộ quà tặng những điểm mạnh nhất")</f>
        <v>Bộ quà tặng những điểm mạnh nhất</v>
      </c>
      <c r="G687" s="8" t="str">
        <f>IFERROR(__xludf.DUMMYFUNCTION("GOOGLETRANSLATE(E687,""zh-CN"",""vi"")"),"Nhấp đúp chuột sẽ mang lại nhiều phần thưởng khác nhau với một xác suất nhất định.")</f>
        <v>Nhấp đúp chuột sẽ mang lại nhiều phần thưởng khác nhau với một xác suất nhất định.</v>
      </c>
      <c r="H687" s="8"/>
      <c r="I687" s="8"/>
      <c r="J687" s="8"/>
    </row>
    <row r="688" ht="21.0" customHeight="1">
      <c r="A688" s="5">
        <v>5.0</v>
      </c>
      <c r="B688" s="6">
        <v>534.0</v>
      </c>
      <c r="C688" s="6">
        <v>1.0</v>
      </c>
      <c r="D688" s="16" t="s">
        <v>872</v>
      </c>
      <c r="E688" s="9" t="s">
        <v>873</v>
      </c>
      <c r="F688" s="8" t="str">
        <f>IFERROR(__xludf.DUMMYFUNCTION("GOOGLETRANSLATE(D688,""zh-CN"",""vi"")"),"Gói quà tặng điểm Đồng")</f>
        <v>Gói quà tặng điểm Đồng</v>
      </c>
      <c r="G688" s="8" t="str">
        <f>IFERROR(__xludf.DUMMYFUNCTION("GOOGLETRANSLATE(E688,""zh-CN"",""vi"")"),"Nhấp đúp chuột sẽ mang lại nhiều phần thưởng khác nhau với một xác suất nhất định.")</f>
        <v>Nhấp đúp chuột sẽ mang lại nhiều phần thưởng khác nhau với một xác suất nhất định.</v>
      </c>
      <c r="H688" s="8"/>
      <c r="I688" s="8"/>
      <c r="J688" s="8"/>
    </row>
    <row r="689" ht="21.0" customHeight="1">
      <c r="A689" s="5">
        <v>5.0</v>
      </c>
      <c r="B689" s="6">
        <v>534.0</v>
      </c>
      <c r="C689" s="6">
        <v>1.0</v>
      </c>
      <c r="D689" s="16" t="s">
        <v>874</v>
      </c>
      <c r="E689" s="9" t="s">
        <v>873</v>
      </c>
      <c r="F689" s="8" t="str">
        <f>IFERROR(__xludf.DUMMYFUNCTION("GOOGLETRANSLATE(D689,""zh-CN"",""vi"")"),"Bộ quà tặng điểm bạc")</f>
        <v>Bộ quà tặng điểm bạc</v>
      </c>
      <c r="G689" s="8" t="str">
        <f>IFERROR(__xludf.DUMMYFUNCTION("GOOGLETRANSLATE(E689,""zh-CN"",""vi"")"),"Nhấp đúp chuột sẽ mang lại nhiều phần thưởng khác nhau với một xác suất nhất định.")</f>
        <v>Nhấp đúp chuột sẽ mang lại nhiều phần thưởng khác nhau với một xác suất nhất định.</v>
      </c>
      <c r="H689" s="8"/>
      <c r="I689" s="8"/>
      <c r="J689" s="8"/>
    </row>
    <row r="690" ht="21.0" customHeight="1">
      <c r="A690" s="5">
        <v>5.0</v>
      </c>
      <c r="B690" s="6">
        <v>534.0</v>
      </c>
      <c r="C690" s="6">
        <v>1.0</v>
      </c>
      <c r="D690" s="16" t="s">
        <v>875</v>
      </c>
      <c r="E690" s="9" t="s">
        <v>873</v>
      </c>
      <c r="F690" s="8" t="str">
        <f>IFERROR(__xludf.DUMMYFUNCTION("GOOGLETRANSLATE(D690,""zh-CN"",""vi"")"),"Gói quà tặng điểm vàng")</f>
        <v>Gói quà tặng điểm vàng</v>
      </c>
      <c r="G690" s="8" t="str">
        <f>IFERROR(__xludf.DUMMYFUNCTION("GOOGLETRANSLATE(E690,""zh-CN"",""vi"")"),"Nhấp đúp chuột sẽ mang lại nhiều phần thưởng khác nhau với một xác suất nhất định.")</f>
        <v>Nhấp đúp chuột sẽ mang lại nhiều phần thưởng khác nhau với một xác suất nhất định.</v>
      </c>
      <c r="H690" s="8"/>
      <c r="I690" s="8"/>
      <c r="J690" s="8"/>
    </row>
    <row r="691" ht="21.0" customHeight="1">
      <c r="A691" s="5">
        <v>5.0</v>
      </c>
      <c r="B691" s="6">
        <v>534.0</v>
      </c>
      <c r="C691" s="6">
        <v>1.0</v>
      </c>
      <c r="D691" s="16" t="s">
        <v>876</v>
      </c>
      <c r="E691" s="9" t="s">
        <v>873</v>
      </c>
      <c r="F691" s="8" t="str">
        <f>IFERROR(__xludf.DUMMYFUNCTION("GOOGLETRANSLATE(D691,""zh-CN"",""vi"")"),"Gói quà tặng điểm Platinum")</f>
        <v>Gói quà tặng điểm Platinum</v>
      </c>
      <c r="G691" s="8" t="str">
        <f>IFERROR(__xludf.DUMMYFUNCTION("GOOGLETRANSLATE(E691,""zh-CN"",""vi"")"),"Nhấp đúp chuột sẽ mang lại nhiều phần thưởng khác nhau với một xác suất nhất định.")</f>
        <v>Nhấp đúp chuột sẽ mang lại nhiều phần thưởng khác nhau với một xác suất nhất định.</v>
      </c>
      <c r="H691" s="8"/>
      <c r="I691" s="8"/>
      <c r="J691" s="8"/>
    </row>
    <row r="692" ht="21.0" customHeight="1">
      <c r="A692" s="5">
        <v>5.0</v>
      </c>
      <c r="B692" s="6">
        <v>534.0</v>
      </c>
      <c r="C692" s="6">
        <v>1.0</v>
      </c>
      <c r="D692" s="16" t="s">
        <v>877</v>
      </c>
      <c r="E692" s="9" t="s">
        <v>873</v>
      </c>
      <c r="F692" s="8" t="str">
        <f>IFERROR(__xludf.DUMMYFUNCTION("GOOGLETRANSLATE(D692,""zh-CN"",""vi"")"),"Bộ quà tặng điểm kim cương")</f>
        <v>Bộ quà tặng điểm kim cương</v>
      </c>
      <c r="G692" s="8" t="str">
        <f>IFERROR(__xludf.DUMMYFUNCTION("GOOGLETRANSLATE(E692,""zh-CN"",""vi"")"),"Nhấp đúp chuột sẽ mang lại nhiều phần thưởng khác nhau với một xác suất nhất định.")</f>
        <v>Nhấp đúp chuột sẽ mang lại nhiều phần thưởng khác nhau với một xác suất nhất định.</v>
      </c>
      <c r="H692" s="8"/>
      <c r="I692" s="8"/>
      <c r="J692" s="8"/>
    </row>
    <row r="693" ht="21.0" customHeight="1">
      <c r="A693" s="5">
        <v>5.0</v>
      </c>
      <c r="B693" s="6">
        <v>534.0</v>
      </c>
      <c r="C693" s="6">
        <v>1.0</v>
      </c>
      <c r="D693" s="16" t="s">
        <v>878</v>
      </c>
      <c r="E693" s="9" t="s">
        <v>873</v>
      </c>
      <c r="F693" s="8" t="str">
        <f>IFERROR(__xludf.DUMMYFUNCTION("GOOGLETRANSLATE(D693,""zh-CN"",""vi"")"),"Bộ quà tặng điểm thưởng Star Points")</f>
        <v>Bộ quà tặng điểm thưởng Star Points</v>
      </c>
      <c r="G693" s="8" t="str">
        <f>IFERROR(__xludf.DUMMYFUNCTION("GOOGLETRANSLATE(E693,""zh-CN"",""vi"")"),"Nhấp đúp chuột sẽ mang lại nhiều phần thưởng khác nhau với một xác suất nhất định.")</f>
        <v>Nhấp đúp chuột sẽ mang lại nhiều phần thưởng khác nhau với một xác suất nhất định.</v>
      </c>
      <c r="H693" s="8"/>
      <c r="I693" s="8"/>
      <c r="J693" s="8"/>
    </row>
    <row r="694" ht="21.0" customHeight="1">
      <c r="A694" s="5">
        <v>5.0</v>
      </c>
      <c r="B694" s="6">
        <v>534.0</v>
      </c>
      <c r="C694" s="6">
        <v>1.0</v>
      </c>
      <c r="D694" s="16" t="s">
        <v>879</v>
      </c>
      <c r="E694" s="9" t="s">
        <v>873</v>
      </c>
      <c r="F694" s="8" t="str">
        <f>IFERROR(__xludf.DUMMYFUNCTION("GOOGLETRANSLATE(D694,""zh-CN"",""vi"")"),"Bộ quà tặng King's Points")</f>
        <v>Bộ quà tặng King's Points</v>
      </c>
      <c r="G694" s="8" t="str">
        <f>IFERROR(__xludf.DUMMYFUNCTION("GOOGLETRANSLATE(E694,""zh-CN"",""vi"")"),"Nhấp đúp chuột sẽ mang lại nhiều phần thưởng khác nhau với một xác suất nhất định.")</f>
        <v>Nhấp đúp chuột sẽ mang lại nhiều phần thưởng khác nhau với một xác suất nhất định.</v>
      </c>
      <c r="H694" s="8"/>
      <c r="I694" s="8"/>
      <c r="J694" s="8"/>
    </row>
    <row r="695" ht="21.0" customHeight="1">
      <c r="A695" s="5">
        <v>5.0</v>
      </c>
      <c r="B695" s="6">
        <v>534.0</v>
      </c>
      <c r="C695" s="6">
        <v>1.0</v>
      </c>
      <c r="D695" s="16" t="s">
        <v>880</v>
      </c>
      <c r="E695" s="9" t="s">
        <v>873</v>
      </c>
      <c r="F695" s="8" t="str">
        <f>IFERROR(__xludf.DUMMYFUNCTION("GOOGLETRANSLATE(D695,""zh-CN"",""vi"")"),"Bộ quà tặng những điểm mạnh nhất")</f>
        <v>Bộ quà tặng những điểm mạnh nhất</v>
      </c>
      <c r="G695" s="8" t="str">
        <f>IFERROR(__xludf.DUMMYFUNCTION("GOOGLETRANSLATE(E695,""zh-CN"",""vi"")"),"Nhấp đúp chuột sẽ mang lại nhiều phần thưởng khác nhau với một xác suất nhất định.")</f>
        <v>Nhấp đúp chuột sẽ mang lại nhiều phần thưởng khác nhau với một xác suất nhất định.</v>
      </c>
      <c r="H695" s="8"/>
      <c r="I695" s="8"/>
      <c r="J695" s="8"/>
    </row>
    <row r="696" ht="21.0" customHeight="1">
      <c r="A696" s="5">
        <v>5.0</v>
      </c>
      <c r="B696" s="6">
        <v>535.0</v>
      </c>
      <c r="C696" s="6">
        <v>1.0</v>
      </c>
      <c r="D696" s="16" t="s">
        <v>872</v>
      </c>
      <c r="E696" s="9" t="s">
        <v>873</v>
      </c>
      <c r="F696" s="8" t="str">
        <f>IFERROR(__xludf.DUMMYFUNCTION("GOOGLETRANSLATE(D696,""zh-CN"",""vi"")"),"Gói quà tặng điểm Đồng")</f>
        <v>Gói quà tặng điểm Đồng</v>
      </c>
      <c r="G696" s="8" t="str">
        <f>IFERROR(__xludf.DUMMYFUNCTION("GOOGLETRANSLATE(E696,""zh-CN"",""vi"")"),"Nhấp đúp chuột sẽ mang lại nhiều phần thưởng khác nhau với một xác suất nhất định.")</f>
        <v>Nhấp đúp chuột sẽ mang lại nhiều phần thưởng khác nhau với một xác suất nhất định.</v>
      </c>
      <c r="H696" s="8"/>
      <c r="I696" s="8"/>
      <c r="J696" s="8"/>
    </row>
    <row r="697" ht="21.0" customHeight="1">
      <c r="A697" s="5">
        <v>5.0</v>
      </c>
      <c r="B697" s="6">
        <v>535.0</v>
      </c>
      <c r="C697" s="6">
        <v>1.0</v>
      </c>
      <c r="D697" s="16" t="s">
        <v>874</v>
      </c>
      <c r="E697" s="9" t="s">
        <v>873</v>
      </c>
      <c r="F697" s="8" t="str">
        <f>IFERROR(__xludf.DUMMYFUNCTION("GOOGLETRANSLATE(D697,""zh-CN"",""vi"")"),"Bộ quà tặng điểm bạc")</f>
        <v>Bộ quà tặng điểm bạc</v>
      </c>
      <c r="G697" s="8" t="str">
        <f>IFERROR(__xludf.DUMMYFUNCTION("GOOGLETRANSLATE(E697,""zh-CN"",""vi"")"),"Nhấp đúp chuột sẽ mang lại nhiều phần thưởng khác nhau với một xác suất nhất định.")</f>
        <v>Nhấp đúp chuột sẽ mang lại nhiều phần thưởng khác nhau với một xác suất nhất định.</v>
      </c>
      <c r="H697" s="8"/>
      <c r="I697" s="8"/>
      <c r="J697" s="8"/>
    </row>
    <row r="698" ht="21.0" customHeight="1">
      <c r="A698" s="5">
        <v>5.0</v>
      </c>
      <c r="B698" s="6">
        <v>535.0</v>
      </c>
      <c r="C698" s="6">
        <v>1.0</v>
      </c>
      <c r="D698" s="16" t="s">
        <v>875</v>
      </c>
      <c r="E698" s="9" t="s">
        <v>873</v>
      </c>
      <c r="F698" s="8" t="str">
        <f>IFERROR(__xludf.DUMMYFUNCTION("GOOGLETRANSLATE(D698,""zh-CN"",""vi"")"),"Gói quà tặng điểm vàng")</f>
        <v>Gói quà tặng điểm vàng</v>
      </c>
      <c r="G698" s="8" t="str">
        <f>IFERROR(__xludf.DUMMYFUNCTION("GOOGLETRANSLATE(E698,""zh-CN"",""vi"")"),"Nhấp đúp chuột sẽ mang lại nhiều phần thưởng khác nhau với một xác suất nhất định.")</f>
        <v>Nhấp đúp chuột sẽ mang lại nhiều phần thưởng khác nhau với một xác suất nhất định.</v>
      </c>
      <c r="H698" s="8"/>
      <c r="I698" s="8"/>
      <c r="J698" s="8"/>
    </row>
    <row r="699" ht="21.0" customHeight="1">
      <c r="A699" s="5">
        <v>5.0</v>
      </c>
      <c r="B699" s="6">
        <v>535.0</v>
      </c>
      <c r="C699" s="6">
        <v>1.0</v>
      </c>
      <c r="D699" s="16" t="s">
        <v>876</v>
      </c>
      <c r="E699" s="9" t="s">
        <v>873</v>
      </c>
      <c r="F699" s="8" t="str">
        <f>IFERROR(__xludf.DUMMYFUNCTION("GOOGLETRANSLATE(D699,""zh-CN"",""vi"")"),"Gói quà tặng điểm Platinum")</f>
        <v>Gói quà tặng điểm Platinum</v>
      </c>
      <c r="G699" s="8" t="str">
        <f>IFERROR(__xludf.DUMMYFUNCTION("GOOGLETRANSLATE(E699,""zh-CN"",""vi"")"),"Nhấp đúp chuột sẽ mang lại nhiều phần thưởng khác nhau với một xác suất nhất định.")</f>
        <v>Nhấp đúp chuột sẽ mang lại nhiều phần thưởng khác nhau với một xác suất nhất định.</v>
      </c>
      <c r="H699" s="8"/>
      <c r="I699" s="8"/>
      <c r="J699" s="8"/>
    </row>
    <row r="700" ht="21.0" customHeight="1">
      <c r="A700" s="5">
        <v>5.0</v>
      </c>
      <c r="B700" s="6">
        <v>535.0</v>
      </c>
      <c r="C700" s="6">
        <v>1.0</v>
      </c>
      <c r="D700" s="16" t="s">
        <v>877</v>
      </c>
      <c r="E700" s="9" t="s">
        <v>873</v>
      </c>
      <c r="F700" s="8" t="str">
        <f>IFERROR(__xludf.DUMMYFUNCTION("GOOGLETRANSLATE(D700,""zh-CN"",""vi"")"),"Bộ quà tặng điểm kim cương")</f>
        <v>Bộ quà tặng điểm kim cương</v>
      </c>
      <c r="G700" s="8" t="str">
        <f>IFERROR(__xludf.DUMMYFUNCTION("GOOGLETRANSLATE(E700,""zh-CN"",""vi"")"),"Nhấp đúp chuột sẽ mang lại nhiều phần thưởng khác nhau với một xác suất nhất định.")</f>
        <v>Nhấp đúp chuột sẽ mang lại nhiều phần thưởng khác nhau với một xác suất nhất định.</v>
      </c>
      <c r="H700" s="8"/>
      <c r="I700" s="8"/>
      <c r="J700" s="8"/>
    </row>
    <row r="701" ht="21.0" customHeight="1">
      <c r="A701" s="5">
        <v>5.0</v>
      </c>
      <c r="B701" s="6">
        <v>535.0</v>
      </c>
      <c r="C701" s="6">
        <v>1.0</v>
      </c>
      <c r="D701" s="16" t="s">
        <v>878</v>
      </c>
      <c r="E701" s="9" t="s">
        <v>873</v>
      </c>
      <c r="F701" s="8" t="str">
        <f>IFERROR(__xludf.DUMMYFUNCTION("GOOGLETRANSLATE(D701,""zh-CN"",""vi"")"),"Bộ quà tặng điểm thưởng Star Points")</f>
        <v>Bộ quà tặng điểm thưởng Star Points</v>
      </c>
      <c r="G701" s="8" t="str">
        <f>IFERROR(__xludf.DUMMYFUNCTION("GOOGLETRANSLATE(E701,""zh-CN"",""vi"")"),"Nhấp đúp chuột sẽ mang lại nhiều phần thưởng khác nhau với một xác suất nhất định.")</f>
        <v>Nhấp đúp chuột sẽ mang lại nhiều phần thưởng khác nhau với một xác suất nhất định.</v>
      </c>
      <c r="H701" s="8"/>
      <c r="I701" s="8"/>
      <c r="J701" s="8"/>
    </row>
    <row r="702" ht="21.0" customHeight="1">
      <c r="A702" s="5">
        <v>5.0</v>
      </c>
      <c r="B702" s="6">
        <v>535.0</v>
      </c>
      <c r="C702" s="6">
        <v>1.0</v>
      </c>
      <c r="D702" s="16" t="s">
        <v>879</v>
      </c>
      <c r="E702" s="9" t="s">
        <v>873</v>
      </c>
      <c r="F702" s="8" t="str">
        <f>IFERROR(__xludf.DUMMYFUNCTION("GOOGLETRANSLATE(D702,""zh-CN"",""vi"")"),"Bộ quà tặng King's Points")</f>
        <v>Bộ quà tặng King's Points</v>
      </c>
      <c r="G702" s="8" t="str">
        <f>IFERROR(__xludf.DUMMYFUNCTION("GOOGLETRANSLATE(E702,""zh-CN"",""vi"")"),"Nhấp đúp chuột sẽ mang lại nhiều phần thưởng khác nhau với một xác suất nhất định.")</f>
        <v>Nhấp đúp chuột sẽ mang lại nhiều phần thưởng khác nhau với một xác suất nhất định.</v>
      </c>
      <c r="H702" s="8"/>
      <c r="I702" s="8"/>
      <c r="J702" s="8"/>
    </row>
    <row r="703" ht="21.0" customHeight="1">
      <c r="A703" s="5">
        <v>5.0</v>
      </c>
      <c r="B703" s="6">
        <v>535.0</v>
      </c>
      <c r="C703" s="6">
        <v>1.0</v>
      </c>
      <c r="D703" s="16" t="s">
        <v>880</v>
      </c>
      <c r="E703" s="9" t="s">
        <v>873</v>
      </c>
      <c r="F703" s="8" t="str">
        <f>IFERROR(__xludf.DUMMYFUNCTION("GOOGLETRANSLATE(D703,""zh-CN"",""vi"")"),"Bộ quà tặng những điểm mạnh nhất")</f>
        <v>Bộ quà tặng những điểm mạnh nhất</v>
      </c>
      <c r="G703" s="8" t="str">
        <f>IFERROR(__xludf.DUMMYFUNCTION("GOOGLETRANSLATE(E703,""zh-CN"",""vi"")"),"Nhấp đúp chuột sẽ mang lại nhiều phần thưởng khác nhau với một xác suất nhất định.")</f>
        <v>Nhấp đúp chuột sẽ mang lại nhiều phần thưởng khác nhau với một xác suất nhất định.</v>
      </c>
      <c r="H703" s="8"/>
      <c r="I703" s="8"/>
      <c r="J703" s="8"/>
    </row>
    <row r="704" ht="21.0" customHeight="1">
      <c r="A704" s="5">
        <v>5.0</v>
      </c>
      <c r="B704" s="6">
        <v>536.0</v>
      </c>
      <c r="C704" s="6">
        <v>1.0</v>
      </c>
      <c r="D704" s="16" t="s">
        <v>872</v>
      </c>
      <c r="E704" s="9" t="s">
        <v>873</v>
      </c>
      <c r="F704" s="8" t="str">
        <f>IFERROR(__xludf.DUMMYFUNCTION("GOOGLETRANSLATE(D704,""zh-CN"",""vi"")"),"Gói quà tặng điểm Đồng")</f>
        <v>Gói quà tặng điểm Đồng</v>
      </c>
      <c r="G704" s="8" t="str">
        <f>IFERROR(__xludf.DUMMYFUNCTION("GOOGLETRANSLATE(E704,""zh-CN"",""vi"")"),"Nhấp đúp chuột sẽ mang lại nhiều phần thưởng khác nhau với một xác suất nhất định.")</f>
        <v>Nhấp đúp chuột sẽ mang lại nhiều phần thưởng khác nhau với một xác suất nhất định.</v>
      </c>
      <c r="H704" s="8"/>
      <c r="I704" s="8"/>
      <c r="J704" s="8"/>
    </row>
    <row r="705" ht="21.0" customHeight="1">
      <c r="A705" s="5">
        <v>5.0</v>
      </c>
      <c r="B705" s="6">
        <v>536.0</v>
      </c>
      <c r="C705" s="6">
        <v>1.0</v>
      </c>
      <c r="D705" s="16" t="s">
        <v>874</v>
      </c>
      <c r="E705" s="9" t="s">
        <v>873</v>
      </c>
      <c r="F705" s="8" t="str">
        <f>IFERROR(__xludf.DUMMYFUNCTION("GOOGLETRANSLATE(D705,""zh-CN"",""vi"")"),"Bộ quà tặng điểm bạc")</f>
        <v>Bộ quà tặng điểm bạc</v>
      </c>
      <c r="G705" s="8" t="str">
        <f>IFERROR(__xludf.DUMMYFUNCTION("GOOGLETRANSLATE(E705,""zh-CN"",""vi"")"),"Nhấp đúp chuột sẽ mang lại nhiều phần thưởng khác nhau với một xác suất nhất định.")</f>
        <v>Nhấp đúp chuột sẽ mang lại nhiều phần thưởng khác nhau với một xác suất nhất định.</v>
      </c>
      <c r="H705" s="8"/>
      <c r="I705" s="8"/>
      <c r="J705" s="8"/>
    </row>
    <row r="706" ht="21.0" customHeight="1">
      <c r="A706" s="5">
        <v>5.0</v>
      </c>
      <c r="B706" s="6">
        <v>536.0</v>
      </c>
      <c r="C706" s="6">
        <v>1.0</v>
      </c>
      <c r="D706" s="16" t="s">
        <v>875</v>
      </c>
      <c r="E706" s="9" t="s">
        <v>873</v>
      </c>
      <c r="F706" s="8" t="str">
        <f>IFERROR(__xludf.DUMMYFUNCTION("GOOGLETRANSLATE(D706,""zh-CN"",""vi"")"),"Gói quà tặng điểm vàng")</f>
        <v>Gói quà tặng điểm vàng</v>
      </c>
      <c r="G706" s="8" t="str">
        <f>IFERROR(__xludf.DUMMYFUNCTION("GOOGLETRANSLATE(E706,""zh-CN"",""vi"")"),"Nhấp đúp chuột sẽ mang lại nhiều phần thưởng khác nhau với một xác suất nhất định.")</f>
        <v>Nhấp đúp chuột sẽ mang lại nhiều phần thưởng khác nhau với một xác suất nhất định.</v>
      </c>
      <c r="H706" s="8"/>
      <c r="I706" s="8"/>
      <c r="J706" s="8"/>
    </row>
    <row r="707" ht="21.0" customHeight="1">
      <c r="A707" s="5">
        <v>5.0</v>
      </c>
      <c r="B707" s="6">
        <v>536.0</v>
      </c>
      <c r="C707" s="6">
        <v>1.0</v>
      </c>
      <c r="D707" s="16" t="s">
        <v>876</v>
      </c>
      <c r="E707" s="9" t="s">
        <v>873</v>
      </c>
      <c r="F707" s="8" t="str">
        <f>IFERROR(__xludf.DUMMYFUNCTION("GOOGLETRANSLATE(D707,""zh-CN"",""vi"")"),"Gói quà tặng điểm Platinum")</f>
        <v>Gói quà tặng điểm Platinum</v>
      </c>
      <c r="G707" s="8" t="str">
        <f>IFERROR(__xludf.DUMMYFUNCTION("GOOGLETRANSLATE(E707,""zh-CN"",""vi"")"),"Nhấp đúp chuột sẽ mang lại nhiều phần thưởng khác nhau với một xác suất nhất định.")</f>
        <v>Nhấp đúp chuột sẽ mang lại nhiều phần thưởng khác nhau với một xác suất nhất định.</v>
      </c>
      <c r="H707" s="8"/>
      <c r="I707" s="8"/>
      <c r="J707" s="8"/>
    </row>
    <row r="708" ht="21.0" customHeight="1">
      <c r="A708" s="5">
        <v>5.0</v>
      </c>
      <c r="B708" s="6">
        <v>536.0</v>
      </c>
      <c r="C708" s="6">
        <v>1.0</v>
      </c>
      <c r="D708" s="16" t="s">
        <v>877</v>
      </c>
      <c r="E708" s="9" t="s">
        <v>873</v>
      </c>
      <c r="F708" s="8" t="str">
        <f>IFERROR(__xludf.DUMMYFUNCTION("GOOGLETRANSLATE(D708,""zh-CN"",""vi"")"),"Bộ quà tặng điểm kim cương")</f>
        <v>Bộ quà tặng điểm kim cương</v>
      </c>
      <c r="G708" s="8" t="str">
        <f>IFERROR(__xludf.DUMMYFUNCTION("GOOGLETRANSLATE(E708,""zh-CN"",""vi"")"),"Nhấp đúp chuột sẽ mang lại nhiều phần thưởng khác nhau với một xác suất nhất định.")</f>
        <v>Nhấp đúp chuột sẽ mang lại nhiều phần thưởng khác nhau với một xác suất nhất định.</v>
      </c>
      <c r="H708" s="8"/>
      <c r="I708" s="8"/>
      <c r="J708" s="8"/>
    </row>
    <row r="709" ht="21.0" customHeight="1">
      <c r="A709" s="5">
        <v>5.0</v>
      </c>
      <c r="B709" s="6">
        <v>536.0</v>
      </c>
      <c r="C709" s="6">
        <v>1.0</v>
      </c>
      <c r="D709" s="16" t="s">
        <v>878</v>
      </c>
      <c r="E709" s="9" t="s">
        <v>873</v>
      </c>
      <c r="F709" s="8" t="str">
        <f>IFERROR(__xludf.DUMMYFUNCTION("GOOGLETRANSLATE(D709,""zh-CN"",""vi"")"),"Bộ quà tặng điểm thưởng Star Points")</f>
        <v>Bộ quà tặng điểm thưởng Star Points</v>
      </c>
      <c r="G709" s="8" t="str">
        <f>IFERROR(__xludf.DUMMYFUNCTION("GOOGLETRANSLATE(E709,""zh-CN"",""vi"")"),"Nhấp đúp chuột sẽ mang lại nhiều phần thưởng khác nhau với một xác suất nhất định.")</f>
        <v>Nhấp đúp chuột sẽ mang lại nhiều phần thưởng khác nhau với một xác suất nhất định.</v>
      </c>
      <c r="H709" s="8"/>
      <c r="I709" s="8"/>
      <c r="J709" s="8"/>
    </row>
    <row r="710" ht="21.0" customHeight="1">
      <c r="A710" s="5">
        <v>5.0</v>
      </c>
      <c r="B710" s="6">
        <v>536.0</v>
      </c>
      <c r="C710" s="6">
        <v>1.0</v>
      </c>
      <c r="D710" s="16" t="s">
        <v>879</v>
      </c>
      <c r="E710" s="9" t="s">
        <v>873</v>
      </c>
      <c r="F710" s="8" t="str">
        <f>IFERROR(__xludf.DUMMYFUNCTION("GOOGLETRANSLATE(D710,""zh-CN"",""vi"")"),"Bộ quà tặng King's Points")</f>
        <v>Bộ quà tặng King's Points</v>
      </c>
      <c r="G710" s="8" t="str">
        <f>IFERROR(__xludf.DUMMYFUNCTION("GOOGLETRANSLATE(E710,""zh-CN"",""vi"")"),"Nhấp đúp chuột sẽ mang lại nhiều phần thưởng khác nhau với một xác suất nhất định.")</f>
        <v>Nhấp đúp chuột sẽ mang lại nhiều phần thưởng khác nhau với một xác suất nhất định.</v>
      </c>
      <c r="H710" s="8"/>
      <c r="I710" s="8"/>
      <c r="J710" s="8"/>
    </row>
    <row r="711" ht="21.0" customHeight="1">
      <c r="A711" s="5">
        <v>5.0</v>
      </c>
      <c r="B711" s="6">
        <v>536.0</v>
      </c>
      <c r="C711" s="6">
        <v>1.0</v>
      </c>
      <c r="D711" s="16" t="s">
        <v>880</v>
      </c>
      <c r="E711" s="9" t="s">
        <v>873</v>
      </c>
      <c r="F711" s="8" t="str">
        <f>IFERROR(__xludf.DUMMYFUNCTION("GOOGLETRANSLATE(D711,""zh-CN"",""vi"")"),"Bộ quà tặng những điểm mạnh nhất")</f>
        <v>Bộ quà tặng những điểm mạnh nhất</v>
      </c>
      <c r="G711" s="8" t="str">
        <f>IFERROR(__xludf.DUMMYFUNCTION("GOOGLETRANSLATE(E711,""zh-CN"",""vi"")"),"Nhấp đúp chuột sẽ mang lại nhiều phần thưởng khác nhau với một xác suất nhất định.")</f>
        <v>Nhấp đúp chuột sẽ mang lại nhiều phần thưởng khác nhau với một xác suất nhất định.</v>
      </c>
      <c r="H711" s="8"/>
      <c r="I711" s="8"/>
      <c r="J711" s="8"/>
    </row>
    <row r="712" ht="21.0" customHeight="1">
      <c r="A712" s="5">
        <v>5.0</v>
      </c>
      <c r="B712" s="6">
        <v>533.0</v>
      </c>
      <c r="C712" s="6">
        <v>1.0</v>
      </c>
      <c r="D712" s="16" t="s">
        <v>872</v>
      </c>
      <c r="E712" s="9" t="s">
        <v>873</v>
      </c>
      <c r="F712" s="8" t="str">
        <f>IFERROR(__xludf.DUMMYFUNCTION("GOOGLETRANSLATE(D712,""zh-CN"",""vi"")"),"Gói quà tặng điểm Đồng")</f>
        <v>Gói quà tặng điểm Đồng</v>
      </c>
      <c r="G712" s="8" t="str">
        <f>IFERROR(__xludf.DUMMYFUNCTION("GOOGLETRANSLATE(E712,""zh-CN"",""vi"")"),"Nhấp đúp chuột sẽ mang lại nhiều phần thưởng khác nhau với một xác suất nhất định.")</f>
        <v>Nhấp đúp chuột sẽ mang lại nhiều phần thưởng khác nhau với một xác suất nhất định.</v>
      </c>
      <c r="H712" s="8"/>
      <c r="I712" s="8"/>
      <c r="J712" s="8"/>
    </row>
    <row r="713" ht="21.0" customHeight="1">
      <c r="A713" s="5">
        <v>5.0</v>
      </c>
      <c r="B713" s="6">
        <v>533.0</v>
      </c>
      <c r="C713" s="6">
        <v>1.0</v>
      </c>
      <c r="D713" s="16" t="s">
        <v>874</v>
      </c>
      <c r="E713" s="9" t="s">
        <v>873</v>
      </c>
      <c r="F713" s="8" t="str">
        <f>IFERROR(__xludf.DUMMYFUNCTION("GOOGLETRANSLATE(D713,""zh-CN"",""vi"")"),"Bộ quà tặng điểm bạc")</f>
        <v>Bộ quà tặng điểm bạc</v>
      </c>
      <c r="G713" s="8" t="str">
        <f>IFERROR(__xludf.DUMMYFUNCTION("GOOGLETRANSLATE(E713,""zh-CN"",""vi"")"),"Nhấp đúp chuột sẽ mang lại nhiều phần thưởng khác nhau với một xác suất nhất định.")</f>
        <v>Nhấp đúp chuột sẽ mang lại nhiều phần thưởng khác nhau với một xác suất nhất định.</v>
      </c>
      <c r="H713" s="8"/>
      <c r="I713" s="8"/>
      <c r="J713" s="8"/>
    </row>
    <row r="714" ht="21.0" customHeight="1">
      <c r="A714" s="5">
        <v>5.0</v>
      </c>
      <c r="B714" s="6">
        <v>533.0</v>
      </c>
      <c r="C714" s="6">
        <v>1.0</v>
      </c>
      <c r="D714" s="16" t="s">
        <v>875</v>
      </c>
      <c r="E714" s="9" t="s">
        <v>873</v>
      </c>
      <c r="F714" s="8" t="str">
        <f>IFERROR(__xludf.DUMMYFUNCTION("GOOGLETRANSLATE(D714,""zh-CN"",""vi"")"),"Gói quà tặng điểm vàng")</f>
        <v>Gói quà tặng điểm vàng</v>
      </c>
      <c r="G714" s="8" t="str">
        <f>IFERROR(__xludf.DUMMYFUNCTION("GOOGLETRANSLATE(E714,""zh-CN"",""vi"")"),"Nhấp đúp chuột sẽ mang lại nhiều phần thưởng khác nhau với một xác suất nhất định.")</f>
        <v>Nhấp đúp chuột sẽ mang lại nhiều phần thưởng khác nhau với một xác suất nhất định.</v>
      </c>
      <c r="H714" s="8"/>
      <c r="I714" s="8"/>
      <c r="J714" s="8"/>
    </row>
    <row r="715" ht="21.0" customHeight="1">
      <c r="A715" s="5">
        <v>5.0</v>
      </c>
      <c r="B715" s="6">
        <v>533.0</v>
      </c>
      <c r="C715" s="6">
        <v>1.0</v>
      </c>
      <c r="D715" s="16" t="s">
        <v>876</v>
      </c>
      <c r="E715" s="9" t="s">
        <v>873</v>
      </c>
      <c r="F715" s="8" t="str">
        <f>IFERROR(__xludf.DUMMYFUNCTION("GOOGLETRANSLATE(D715,""zh-CN"",""vi"")"),"Gói quà tặng điểm Platinum")</f>
        <v>Gói quà tặng điểm Platinum</v>
      </c>
      <c r="G715" s="8" t="str">
        <f>IFERROR(__xludf.DUMMYFUNCTION("GOOGLETRANSLATE(E715,""zh-CN"",""vi"")"),"Nhấp đúp chuột sẽ mang lại nhiều phần thưởng khác nhau với một xác suất nhất định.")</f>
        <v>Nhấp đúp chuột sẽ mang lại nhiều phần thưởng khác nhau với một xác suất nhất định.</v>
      </c>
      <c r="H715" s="8"/>
      <c r="I715" s="8"/>
      <c r="J715" s="8"/>
    </row>
    <row r="716" ht="21.0" customHeight="1">
      <c r="A716" s="5">
        <v>5.0</v>
      </c>
      <c r="B716" s="6">
        <v>533.0</v>
      </c>
      <c r="C716" s="6">
        <v>1.0</v>
      </c>
      <c r="D716" s="16" t="s">
        <v>877</v>
      </c>
      <c r="E716" s="9" t="s">
        <v>873</v>
      </c>
      <c r="F716" s="8" t="str">
        <f>IFERROR(__xludf.DUMMYFUNCTION("GOOGLETRANSLATE(D716,""zh-CN"",""vi"")"),"Bộ quà tặng điểm kim cương")</f>
        <v>Bộ quà tặng điểm kim cương</v>
      </c>
      <c r="G716" s="8" t="str">
        <f>IFERROR(__xludf.DUMMYFUNCTION("GOOGLETRANSLATE(E716,""zh-CN"",""vi"")"),"Nhấp đúp chuột sẽ mang lại nhiều phần thưởng khác nhau với một xác suất nhất định.")</f>
        <v>Nhấp đúp chuột sẽ mang lại nhiều phần thưởng khác nhau với một xác suất nhất định.</v>
      </c>
      <c r="H716" s="8"/>
      <c r="I716" s="8"/>
      <c r="J716" s="8"/>
    </row>
    <row r="717" ht="21.0" customHeight="1">
      <c r="A717" s="5">
        <v>5.0</v>
      </c>
      <c r="B717" s="6">
        <v>533.0</v>
      </c>
      <c r="C717" s="6">
        <v>1.0</v>
      </c>
      <c r="D717" s="16" t="s">
        <v>878</v>
      </c>
      <c r="E717" s="9" t="s">
        <v>873</v>
      </c>
      <c r="F717" s="8" t="str">
        <f>IFERROR(__xludf.DUMMYFUNCTION("GOOGLETRANSLATE(D717,""zh-CN"",""vi"")"),"Bộ quà tặng điểm thưởng Star Points")</f>
        <v>Bộ quà tặng điểm thưởng Star Points</v>
      </c>
      <c r="G717" s="8" t="str">
        <f>IFERROR(__xludf.DUMMYFUNCTION("GOOGLETRANSLATE(E717,""zh-CN"",""vi"")"),"Nhấp đúp chuột sẽ mang lại nhiều phần thưởng khác nhau với một xác suất nhất định.")</f>
        <v>Nhấp đúp chuột sẽ mang lại nhiều phần thưởng khác nhau với một xác suất nhất định.</v>
      </c>
      <c r="H717" s="8"/>
      <c r="I717" s="8"/>
      <c r="J717" s="8"/>
    </row>
    <row r="718" ht="21.0" customHeight="1">
      <c r="A718" s="5">
        <v>5.0</v>
      </c>
      <c r="B718" s="6">
        <v>533.0</v>
      </c>
      <c r="C718" s="6">
        <v>1.0</v>
      </c>
      <c r="D718" s="16" t="s">
        <v>879</v>
      </c>
      <c r="E718" s="9" t="s">
        <v>873</v>
      </c>
      <c r="F718" s="8" t="str">
        <f>IFERROR(__xludf.DUMMYFUNCTION("GOOGLETRANSLATE(D718,""zh-CN"",""vi"")"),"Bộ quà tặng King's Points")</f>
        <v>Bộ quà tặng King's Points</v>
      </c>
      <c r="G718" s="8" t="str">
        <f>IFERROR(__xludf.DUMMYFUNCTION("GOOGLETRANSLATE(E718,""zh-CN"",""vi"")"),"Nhấp đúp chuột sẽ mang lại nhiều phần thưởng khác nhau với một xác suất nhất định.")</f>
        <v>Nhấp đúp chuột sẽ mang lại nhiều phần thưởng khác nhau với một xác suất nhất định.</v>
      </c>
      <c r="H718" s="8"/>
      <c r="I718" s="8"/>
      <c r="J718" s="8"/>
    </row>
    <row r="719" ht="21.0" customHeight="1">
      <c r="A719" s="5">
        <v>5.0</v>
      </c>
      <c r="B719" s="6">
        <v>533.0</v>
      </c>
      <c r="C719" s="6">
        <v>1.0</v>
      </c>
      <c r="D719" s="16" t="s">
        <v>880</v>
      </c>
      <c r="E719" s="9" t="s">
        <v>873</v>
      </c>
      <c r="F719" s="8" t="str">
        <f>IFERROR(__xludf.DUMMYFUNCTION("GOOGLETRANSLATE(D719,""zh-CN"",""vi"")"),"Bộ quà tặng những điểm mạnh nhất")</f>
        <v>Bộ quà tặng những điểm mạnh nhất</v>
      </c>
      <c r="G719" s="8" t="str">
        <f>IFERROR(__xludf.DUMMYFUNCTION("GOOGLETRANSLATE(E719,""zh-CN"",""vi"")"),"Nhấp đúp chuột sẽ mang lại nhiều phần thưởng khác nhau với một xác suất nhất định.")</f>
        <v>Nhấp đúp chuột sẽ mang lại nhiều phần thưởng khác nhau với một xác suất nhất định.</v>
      </c>
      <c r="H719" s="8"/>
      <c r="I719" s="8"/>
      <c r="J719" s="8"/>
    </row>
    <row r="720" ht="21.0" customHeight="1">
      <c r="A720" s="5">
        <v>5.0</v>
      </c>
      <c r="B720" s="6">
        <v>537.0</v>
      </c>
      <c r="C720" s="6">
        <v>1.0</v>
      </c>
      <c r="D720" s="16" t="s">
        <v>872</v>
      </c>
      <c r="E720" s="9" t="s">
        <v>873</v>
      </c>
      <c r="F720" s="8" t="str">
        <f>IFERROR(__xludf.DUMMYFUNCTION("GOOGLETRANSLATE(D720,""zh-CN"",""vi"")"),"Gói quà tặng điểm Đồng")</f>
        <v>Gói quà tặng điểm Đồng</v>
      </c>
      <c r="G720" s="8" t="str">
        <f>IFERROR(__xludf.DUMMYFUNCTION("GOOGLETRANSLATE(E720,""zh-CN"",""vi"")"),"Nhấp đúp chuột sẽ mang lại nhiều phần thưởng khác nhau với một xác suất nhất định.")</f>
        <v>Nhấp đúp chuột sẽ mang lại nhiều phần thưởng khác nhau với một xác suất nhất định.</v>
      </c>
      <c r="H720" s="8"/>
      <c r="I720" s="8"/>
      <c r="J720" s="8"/>
    </row>
    <row r="721" ht="21.0" customHeight="1">
      <c r="A721" s="5">
        <v>5.0</v>
      </c>
      <c r="B721" s="6">
        <v>537.0</v>
      </c>
      <c r="C721" s="6">
        <v>1.0</v>
      </c>
      <c r="D721" s="16" t="s">
        <v>874</v>
      </c>
      <c r="E721" s="9" t="s">
        <v>873</v>
      </c>
      <c r="F721" s="8" t="str">
        <f>IFERROR(__xludf.DUMMYFUNCTION("GOOGLETRANSLATE(D721,""zh-CN"",""vi"")"),"Bộ quà tặng điểm bạc")</f>
        <v>Bộ quà tặng điểm bạc</v>
      </c>
      <c r="G721" s="8" t="str">
        <f>IFERROR(__xludf.DUMMYFUNCTION("GOOGLETRANSLATE(E721,""zh-CN"",""vi"")"),"Nhấp đúp chuột sẽ mang lại nhiều phần thưởng khác nhau với một xác suất nhất định.")</f>
        <v>Nhấp đúp chuột sẽ mang lại nhiều phần thưởng khác nhau với một xác suất nhất định.</v>
      </c>
      <c r="H721" s="8"/>
      <c r="I721" s="8"/>
      <c r="J721" s="8"/>
    </row>
    <row r="722" ht="21.0" customHeight="1">
      <c r="A722" s="5">
        <v>5.0</v>
      </c>
      <c r="B722" s="6">
        <v>537.0</v>
      </c>
      <c r="C722" s="6">
        <v>1.0</v>
      </c>
      <c r="D722" s="16" t="s">
        <v>875</v>
      </c>
      <c r="E722" s="9" t="s">
        <v>873</v>
      </c>
      <c r="F722" s="8" t="str">
        <f>IFERROR(__xludf.DUMMYFUNCTION("GOOGLETRANSLATE(D722,""zh-CN"",""vi"")"),"Gói quà tặng điểm vàng")</f>
        <v>Gói quà tặng điểm vàng</v>
      </c>
      <c r="G722" s="8" t="str">
        <f>IFERROR(__xludf.DUMMYFUNCTION("GOOGLETRANSLATE(E722,""zh-CN"",""vi"")"),"Nhấp đúp chuột sẽ mang lại nhiều phần thưởng khác nhau với một xác suất nhất định.")</f>
        <v>Nhấp đúp chuột sẽ mang lại nhiều phần thưởng khác nhau với một xác suất nhất định.</v>
      </c>
      <c r="H722" s="8"/>
      <c r="I722" s="8"/>
      <c r="J722" s="8"/>
    </row>
    <row r="723" ht="21.0" customHeight="1">
      <c r="A723" s="5">
        <v>5.0</v>
      </c>
      <c r="B723" s="6">
        <v>537.0</v>
      </c>
      <c r="C723" s="6">
        <v>1.0</v>
      </c>
      <c r="D723" s="16" t="s">
        <v>876</v>
      </c>
      <c r="E723" s="9" t="s">
        <v>873</v>
      </c>
      <c r="F723" s="8" t="str">
        <f>IFERROR(__xludf.DUMMYFUNCTION("GOOGLETRANSLATE(D723,""zh-CN"",""vi"")"),"Gói quà tặng điểm Platinum")</f>
        <v>Gói quà tặng điểm Platinum</v>
      </c>
      <c r="G723" s="8" t="str">
        <f>IFERROR(__xludf.DUMMYFUNCTION("GOOGLETRANSLATE(E723,""zh-CN"",""vi"")"),"Nhấp đúp chuột sẽ mang lại nhiều phần thưởng khác nhau với một xác suất nhất định.")</f>
        <v>Nhấp đúp chuột sẽ mang lại nhiều phần thưởng khác nhau với một xác suất nhất định.</v>
      </c>
      <c r="H723" s="8"/>
      <c r="I723" s="8"/>
      <c r="J723" s="8"/>
    </row>
    <row r="724" ht="21.0" customHeight="1">
      <c r="A724" s="5">
        <v>5.0</v>
      </c>
      <c r="B724" s="6">
        <v>537.0</v>
      </c>
      <c r="C724" s="6">
        <v>1.0</v>
      </c>
      <c r="D724" s="16" t="s">
        <v>877</v>
      </c>
      <c r="E724" s="9" t="s">
        <v>873</v>
      </c>
      <c r="F724" s="8" t="str">
        <f>IFERROR(__xludf.DUMMYFUNCTION("GOOGLETRANSLATE(D724,""zh-CN"",""vi"")"),"Bộ quà tặng điểm kim cương")</f>
        <v>Bộ quà tặng điểm kim cương</v>
      </c>
      <c r="G724" s="8" t="str">
        <f>IFERROR(__xludf.DUMMYFUNCTION("GOOGLETRANSLATE(E724,""zh-CN"",""vi"")"),"Nhấp đúp chuột sẽ mang lại nhiều phần thưởng khác nhau với một xác suất nhất định.")</f>
        <v>Nhấp đúp chuột sẽ mang lại nhiều phần thưởng khác nhau với một xác suất nhất định.</v>
      </c>
      <c r="H724" s="8"/>
      <c r="I724" s="8"/>
      <c r="J724" s="8"/>
    </row>
    <row r="725" ht="21.0" customHeight="1">
      <c r="A725" s="5">
        <v>5.0</v>
      </c>
      <c r="B725" s="6">
        <v>537.0</v>
      </c>
      <c r="C725" s="6">
        <v>1.0</v>
      </c>
      <c r="D725" s="16" t="s">
        <v>878</v>
      </c>
      <c r="E725" s="9" t="s">
        <v>873</v>
      </c>
      <c r="F725" s="8" t="str">
        <f>IFERROR(__xludf.DUMMYFUNCTION("GOOGLETRANSLATE(D725,""zh-CN"",""vi"")"),"Bộ quà tặng điểm thưởng Star Points")</f>
        <v>Bộ quà tặng điểm thưởng Star Points</v>
      </c>
      <c r="G725" s="8" t="str">
        <f>IFERROR(__xludf.DUMMYFUNCTION("GOOGLETRANSLATE(E725,""zh-CN"",""vi"")"),"Nhấp đúp chuột sẽ mang lại nhiều phần thưởng khác nhau với một xác suất nhất định.")</f>
        <v>Nhấp đúp chuột sẽ mang lại nhiều phần thưởng khác nhau với một xác suất nhất định.</v>
      </c>
      <c r="H725" s="8"/>
      <c r="I725" s="8"/>
      <c r="J725" s="8"/>
    </row>
    <row r="726" ht="21.0" customHeight="1">
      <c r="A726" s="5">
        <v>5.0</v>
      </c>
      <c r="B726" s="6">
        <v>537.0</v>
      </c>
      <c r="C726" s="6">
        <v>1.0</v>
      </c>
      <c r="D726" s="16" t="s">
        <v>879</v>
      </c>
      <c r="E726" s="9" t="s">
        <v>873</v>
      </c>
      <c r="F726" s="8" t="str">
        <f>IFERROR(__xludf.DUMMYFUNCTION("GOOGLETRANSLATE(D726,""zh-CN"",""vi"")"),"Bộ quà tặng King's Points")</f>
        <v>Bộ quà tặng King's Points</v>
      </c>
      <c r="G726" s="8" t="str">
        <f>IFERROR(__xludf.DUMMYFUNCTION("GOOGLETRANSLATE(E726,""zh-CN"",""vi"")"),"Nhấp đúp chuột sẽ mang lại nhiều phần thưởng khác nhau với một xác suất nhất định.")</f>
        <v>Nhấp đúp chuột sẽ mang lại nhiều phần thưởng khác nhau với một xác suất nhất định.</v>
      </c>
      <c r="H726" s="8"/>
      <c r="I726" s="8"/>
      <c r="J726" s="8"/>
    </row>
    <row r="727" ht="21.0" customHeight="1">
      <c r="A727" s="5">
        <v>5.0</v>
      </c>
      <c r="B727" s="6">
        <v>537.0</v>
      </c>
      <c r="C727" s="6">
        <v>1.0</v>
      </c>
      <c r="D727" s="16" t="s">
        <v>880</v>
      </c>
      <c r="E727" s="9" t="s">
        <v>873</v>
      </c>
      <c r="F727" s="8" t="str">
        <f>IFERROR(__xludf.DUMMYFUNCTION("GOOGLETRANSLATE(D727,""zh-CN"",""vi"")"),"Bộ quà tặng những điểm mạnh nhất")</f>
        <v>Bộ quà tặng những điểm mạnh nhất</v>
      </c>
      <c r="G727" s="8" t="str">
        <f>IFERROR(__xludf.DUMMYFUNCTION("GOOGLETRANSLATE(E727,""zh-CN"",""vi"")"),"Nhấp đúp chuột sẽ mang lại nhiều phần thưởng khác nhau với một xác suất nhất định.")</f>
        <v>Nhấp đúp chuột sẽ mang lại nhiều phần thưởng khác nhau với một xác suất nhất định.</v>
      </c>
      <c r="H727" s="8"/>
      <c r="I727" s="8"/>
      <c r="J727" s="8"/>
    </row>
    <row r="728" ht="21.0" customHeight="1">
      <c r="A728" s="5">
        <v>5.0</v>
      </c>
      <c r="B728" s="6">
        <v>538.0</v>
      </c>
      <c r="C728" s="6">
        <v>1.0</v>
      </c>
      <c r="D728" s="16" t="s">
        <v>872</v>
      </c>
      <c r="E728" s="9" t="s">
        <v>873</v>
      </c>
      <c r="F728" s="8" t="str">
        <f>IFERROR(__xludf.DUMMYFUNCTION("GOOGLETRANSLATE(D728,""zh-CN"",""vi"")"),"Gói quà tặng điểm Đồng")</f>
        <v>Gói quà tặng điểm Đồng</v>
      </c>
      <c r="G728" s="8" t="str">
        <f>IFERROR(__xludf.DUMMYFUNCTION("GOOGLETRANSLATE(E728,""zh-CN"",""vi"")"),"Nhấp đúp chuột sẽ mang lại nhiều phần thưởng khác nhau với một xác suất nhất định.")</f>
        <v>Nhấp đúp chuột sẽ mang lại nhiều phần thưởng khác nhau với một xác suất nhất định.</v>
      </c>
      <c r="H728" s="8"/>
      <c r="I728" s="8"/>
      <c r="J728" s="8"/>
    </row>
    <row r="729" ht="21.0" customHeight="1">
      <c r="A729" s="5">
        <v>5.0</v>
      </c>
      <c r="B729" s="6">
        <v>538.0</v>
      </c>
      <c r="C729" s="6">
        <v>1.0</v>
      </c>
      <c r="D729" s="16" t="s">
        <v>874</v>
      </c>
      <c r="E729" s="9" t="s">
        <v>873</v>
      </c>
      <c r="F729" s="8" t="str">
        <f>IFERROR(__xludf.DUMMYFUNCTION("GOOGLETRANSLATE(D729,""zh-CN"",""vi"")"),"Bộ quà tặng điểm bạc")</f>
        <v>Bộ quà tặng điểm bạc</v>
      </c>
      <c r="G729" s="8" t="str">
        <f>IFERROR(__xludf.DUMMYFUNCTION("GOOGLETRANSLATE(E729,""zh-CN"",""vi"")"),"Nhấp đúp chuột sẽ mang lại nhiều phần thưởng khác nhau với một xác suất nhất định.")</f>
        <v>Nhấp đúp chuột sẽ mang lại nhiều phần thưởng khác nhau với một xác suất nhất định.</v>
      </c>
      <c r="H729" s="8"/>
      <c r="I729" s="8"/>
      <c r="J729" s="8"/>
    </row>
    <row r="730" ht="21.0" customHeight="1">
      <c r="A730" s="5">
        <v>5.0</v>
      </c>
      <c r="B730" s="6">
        <v>538.0</v>
      </c>
      <c r="C730" s="6">
        <v>1.0</v>
      </c>
      <c r="D730" s="16" t="s">
        <v>875</v>
      </c>
      <c r="E730" s="9" t="s">
        <v>873</v>
      </c>
      <c r="F730" s="8" t="str">
        <f>IFERROR(__xludf.DUMMYFUNCTION("GOOGLETRANSLATE(D730,""zh-CN"",""vi"")"),"Gói quà tặng điểm vàng")</f>
        <v>Gói quà tặng điểm vàng</v>
      </c>
      <c r="G730" s="8" t="str">
        <f>IFERROR(__xludf.DUMMYFUNCTION("GOOGLETRANSLATE(E730,""zh-CN"",""vi"")"),"Nhấp đúp chuột sẽ mang lại nhiều phần thưởng khác nhau với một xác suất nhất định.")</f>
        <v>Nhấp đúp chuột sẽ mang lại nhiều phần thưởng khác nhau với một xác suất nhất định.</v>
      </c>
      <c r="H730" s="8"/>
      <c r="I730" s="8"/>
      <c r="J730" s="8"/>
    </row>
    <row r="731" ht="21.0" customHeight="1">
      <c r="A731" s="5">
        <v>5.0</v>
      </c>
      <c r="B731" s="6">
        <v>538.0</v>
      </c>
      <c r="C731" s="6">
        <v>1.0</v>
      </c>
      <c r="D731" s="16" t="s">
        <v>876</v>
      </c>
      <c r="E731" s="9" t="s">
        <v>873</v>
      </c>
      <c r="F731" s="8" t="str">
        <f>IFERROR(__xludf.DUMMYFUNCTION("GOOGLETRANSLATE(D731,""zh-CN"",""vi"")"),"Gói quà tặng điểm Platinum")</f>
        <v>Gói quà tặng điểm Platinum</v>
      </c>
      <c r="G731" s="8" t="str">
        <f>IFERROR(__xludf.DUMMYFUNCTION("GOOGLETRANSLATE(E731,""zh-CN"",""vi"")"),"Nhấp đúp chuột sẽ mang lại nhiều phần thưởng khác nhau với một xác suất nhất định.")</f>
        <v>Nhấp đúp chuột sẽ mang lại nhiều phần thưởng khác nhau với một xác suất nhất định.</v>
      </c>
      <c r="H731" s="8"/>
      <c r="I731" s="8"/>
      <c r="J731" s="8"/>
    </row>
    <row r="732" ht="21.0" customHeight="1">
      <c r="A732" s="5">
        <v>5.0</v>
      </c>
      <c r="B732" s="6">
        <v>538.0</v>
      </c>
      <c r="C732" s="6">
        <v>1.0</v>
      </c>
      <c r="D732" s="16" t="s">
        <v>877</v>
      </c>
      <c r="E732" s="9" t="s">
        <v>873</v>
      </c>
      <c r="F732" s="8" t="str">
        <f>IFERROR(__xludf.DUMMYFUNCTION("GOOGLETRANSLATE(D732,""zh-CN"",""vi"")"),"Bộ quà tặng điểm kim cương")</f>
        <v>Bộ quà tặng điểm kim cương</v>
      </c>
      <c r="G732" s="8" t="str">
        <f>IFERROR(__xludf.DUMMYFUNCTION("GOOGLETRANSLATE(E732,""zh-CN"",""vi"")"),"Nhấp đúp chuột sẽ mang lại nhiều phần thưởng khác nhau với một xác suất nhất định.")</f>
        <v>Nhấp đúp chuột sẽ mang lại nhiều phần thưởng khác nhau với một xác suất nhất định.</v>
      </c>
      <c r="H732" s="8"/>
      <c r="I732" s="8"/>
      <c r="J732" s="8"/>
    </row>
    <row r="733" ht="21.0" customHeight="1">
      <c r="A733" s="5">
        <v>5.0</v>
      </c>
      <c r="B733" s="6">
        <v>538.0</v>
      </c>
      <c r="C733" s="6">
        <v>1.0</v>
      </c>
      <c r="D733" s="16" t="s">
        <v>878</v>
      </c>
      <c r="E733" s="9" t="s">
        <v>873</v>
      </c>
      <c r="F733" s="8" t="str">
        <f>IFERROR(__xludf.DUMMYFUNCTION("GOOGLETRANSLATE(D733,""zh-CN"",""vi"")"),"Bộ quà tặng điểm thưởng Star Points")</f>
        <v>Bộ quà tặng điểm thưởng Star Points</v>
      </c>
      <c r="G733" s="8" t="str">
        <f>IFERROR(__xludf.DUMMYFUNCTION("GOOGLETRANSLATE(E733,""zh-CN"",""vi"")"),"Nhấp đúp chuột sẽ mang lại nhiều phần thưởng khác nhau với một xác suất nhất định.")</f>
        <v>Nhấp đúp chuột sẽ mang lại nhiều phần thưởng khác nhau với một xác suất nhất định.</v>
      </c>
      <c r="H733" s="8"/>
      <c r="I733" s="8"/>
      <c r="J733" s="8"/>
    </row>
    <row r="734" ht="21.0" customHeight="1">
      <c r="A734" s="5">
        <v>5.0</v>
      </c>
      <c r="B734" s="6">
        <v>538.0</v>
      </c>
      <c r="C734" s="6">
        <v>1.0</v>
      </c>
      <c r="D734" s="16" t="s">
        <v>879</v>
      </c>
      <c r="E734" s="9" t="s">
        <v>873</v>
      </c>
      <c r="F734" s="8" t="str">
        <f>IFERROR(__xludf.DUMMYFUNCTION("GOOGLETRANSLATE(D734,""zh-CN"",""vi"")"),"Bộ quà tặng King's Points")</f>
        <v>Bộ quà tặng King's Points</v>
      </c>
      <c r="G734" s="8" t="str">
        <f>IFERROR(__xludf.DUMMYFUNCTION("GOOGLETRANSLATE(E734,""zh-CN"",""vi"")"),"Nhấp đúp chuột sẽ mang lại nhiều phần thưởng khác nhau với một xác suất nhất định.")</f>
        <v>Nhấp đúp chuột sẽ mang lại nhiều phần thưởng khác nhau với một xác suất nhất định.</v>
      </c>
      <c r="H734" s="8"/>
      <c r="I734" s="8"/>
      <c r="J734" s="8"/>
    </row>
    <row r="735" ht="21.0" customHeight="1">
      <c r="A735" s="5">
        <v>5.0</v>
      </c>
      <c r="B735" s="6">
        <v>538.0</v>
      </c>
      <c r="C735" s="6">
        <v>1.0</v>
      </c>
      <c r="D735" s="16" t="s">
        <v>880</v>
      </c>
      <c r="E735" s="9" t="s">
        <v>873</v>
      </c>
      <c r="F735" s="8" t="str">
        <f>IFERROR(__xludf.DUMMYFUNCTION("GOOGLETRANSLATE(D735,""zh-CN"",""vi"")"),"Bộ quà tặng những điểm mạnh nhất")</f>
        <v>Bộ quà tặng những điểm mạnh nhất</v>
      </c>
      <c r="G735" s="8" t="str">
        <f>IFERROR(__xludf.DUMMYFUNCTION("GOOGLETRANSLATE(E735,""zh-CN"",""vi"")"),"Nhấp đúp chuột sẽ mang lại nhiều phần thưởng khác nhau với một xác suất nhất định.")</f>
        <v>Nhấp đúp chuột sẽ mang lại nhiều phần thưởng khác nhau với một xác suất nhất định.</v>
      </c>
      <c r="H735" s="8"/>
      <c r="I735" s="8"/>
      <c r="J735" s="8"/>
    </row>
    <row r="736" ht="21.0" customHeight="1">
      <c r="A736" s="5">
        <v>5.0</v>
      </c>
      <c r="B736" s="6">
        <v>539.0</v>
      </c>
      <c r="C736" s="6">
        <v>1.0</v>
      </c>
      <c r="D736" s="16" t="s">
        <v>872</v>
      </c>
      <c r="E736" s="9" t="s">
        <v>873</v>
      </c>
      <c r="F736" s="8" t="str">
        <f>IFERROR(__xludf.DUMMYFUNCTION("GOOGLETRANSLATE(D736,""zh-CN"",""vi"")"),"Gói quà tặng điểm Đồng")</f>
        <v>Gói quà tặng điểm Đồng</v>
      </c>
      <c r="G736" s="8" t="str">
        <f>IFERROR(__xludf.DUMMYFUNCTION("GOOGLETRANSLATE(E736,""zh-CN"",""vi"")"),"Nhấp đúp chuột sẽ mang lại nhiều phần thưởng khác nhau với một xác suất nhất định.")</f>
        <v>Nhấp đúp chuột sẽ mang lại nhiều phần thưởng khác nhau với một xác suất nhất định.</v>
      </c>
      <c r="H736" s="8"/>
      <c r="I736" s="8"/>
      <c r="J736" s="8"/>
    </row>
    <row r="737" ht="21.0" customHeight="1">
      <c r="A737" s="5">
        <v>5.0</v>
      </c>
      <c r="B737" s="6">
        <v>539.0</v>
      </c>
      <c r="C737" s="6">
        <v>1.0</v>
      </c>
      <c r="D737" s="16" t="s">
        <v>874</v>
      </c>
      <c r="E737" s="9" t="s">
        <v>873</v>
      </c>
      <c r="F737" s="8" t="str">
        <f>IFERROR(__xludf.DUMMYFUNCTION("GOOGLETRANSLATE(D737,""zh-CN"",""vi"")"),"Bộ quà tặng điểm bạc")</f>
        <v>Bộ quà tặng điểm bạc</v>
      </c>
      <c r="G737" s="8" t="str">
        <f>IFERROR(__xludf.DUMMYFUNCTION("GOOGLETRANSLATE(E737,""zh-CN"",""vi"")"),"Nhấp đúp chuột sẽ mang lại nhiều phần thưởng khác nhau với một xác suất nhất định.")</f>
        <v>Nhấp đúp chuột sẽ mang lại nhiều phần thưởng khác nhau với một xác suất nhất định.</v>
      </c>
      <c r="H737" s="8"/>
      <c r="I737" s="8"/>
      <c r="J737" s="8"/>
    </row>
    <row r="738" ht="21.0" customHeight="1">
      <c r="A738" s="5">
        <v>5.0</v>
      </c>
      <c r="B738" s="6">
        <v>539.0</v>
      </c>
      <c r="C738" s="6">
        <v>1.0</v>
      </c>
      <c r="D738" s="16" t="s">
        <v>875</v>
      </c>
      <c r="E738" s="9" t="s">
        <v>873</v>
      </c>
      <c r="F738" s="8" t="str">
        <f>IFERROR(__xludf.DUMMYFUNCTION("GOOGLETRANSLATE(D738,""zh-CN"",""vi"")"),"Gói quà tặng điểm vàng")</f>
        <v>Gói quà tặng điểm vàng</v>
      </c>
      <c r="G738" s="8" t="str">
        <f>IFERROR(__xludf.DUMMYFUNCTION("GOOGLETRANSLATE(E738,""zh-CN"",""vi"")"),"Nhấp đúp chuột sẽ mang lại nhiều phần thưởng khác nhau với một xác suất nhất định.")</f>
        <v>Nhấp đúp chuột sẽ mang lại nhiều phần thưởng khác nhau với một xác suất nhất định.</v>
      </c>
      <c r="H738" s="8"/>
      <c r="I738" s="8"/>
      <c r="J738" s="8"/>
    </row>
    <row r="739" ht="21.0" customHeight="1">
      <c r="A739" s="5">
        <v>5.0</v>
      </c>
      <c r="B739" s="6">
        <v>539.0</v>
      </c>
      <c r="C739" s="6">
        <v>1.0</v>
      </c>
      <c r="D739" s="16" t="s">
        <v>876</v>
      </c>
      <c r="E739" s="9" t="s">
        <v>873</v>
      </c>
      <c r="F739" s="8" t="str">
        <f>IFERROR(__xludf.DUMMYFUNCTION("GOOGLETRANSLATE(D739,""zh-CN"",""vi"")"),"Gói quà tặng điểm Platinum")</f>
        <v>Gói quà tặng điểm Platinum</v>
      </c>
      <c r="G739" s="8" t="str">
        <f>IFERROR(__xludf.DUMMYFUNCTION("GOOGLETRANSLATE(E739,""zh-CN"",""vi"")"),"Nhấp đúp chuột sẽ mang lại nhiều phần thưởng khác nhau với một xác suất nhất định.")</f>
        <v>Nhấp đúp chuột sẽ mang lại nhiều phần thưởng khác nhau với một xác suất nhất định.</v>
      </c>
      <c r="H739" s="8"/>
      <c r="I739" s="8"/>
      <c r="J739" s="8"/>
    </row>
    <row r="740" ht="21.0" customHeight="1">
      <c r="A740" s="5">
        <v>5.0</v>
      </c>
      <c r="B740" s="6">
        <v>539.0</v>
      </c>
      <c r="C740" s="6">
        <v>1.0</v>
      </c>
      <c r="D740" s="16" t="s">
        <v>877</v>
      </c>
      <c r="E740" s="9" t="s">
        <v>873</v>
      </c>
      <c r="F740" s="8" t="str">
        <f>IFERROR(__xludf.DUMMYFUNCTION("GOOGLETRANSLATE(D740,""zh-CN"",""vi"")"),"Bộ quà tặng điểm kim cương")</f>
        <v>Bộ quà tặng điểm kim cương</v>
      </c>
      <c r="G740" s="8" t="str">
        <f>IFERROR(__xludf.DUMMYFUNCTION("GOOGLETRANSLATE(E740,""zh-CN"",""vi"")"),"Nhấp đúp chuột sẽ mang lại nhiều phần thưởng khác nhau với một xác suất nhất định.")</f>
        <v>Nhấp đúp chuột sẽ mang lại nhiều phần thưởng khác nhau với một xác suất nhất định.</v>
      </c>
      <c r="H740" s="8"/>
      <c r="I740" s="8"/>
      <c r="J740" s="8"/>
    </row>
    <row r="741" ht="21.0" customHeight="1">
      <c r="A741" s="5">
        <v>5.0</v>
      </c>
      <c r="B741" s="6">
        <v>539.0</v>
      </c>
      <c r="C741" s="6">
        <v>1.0</v>
      </c>
      <c r="D741" s="16" t="s">
        <v>878</v>
      </c>
      <c r="E741" s="9" t="s">
        <v>873</v>
      </c>
      <c r="F741" s="8" t="str">
        <f>IFERROR(__xludf.DUMMYFUNCTION("GOOGLETRANSLATE(D741,""zh-CN"",""vi"")"),"Bộ quà tặng điểm thưởng Star Points")</f>
        <v>Bộ quà tặng điểm thưởng Star Points</v>
      </c>
      <c r="G741" s="8" t="str">
        <f>IFERROR(__xludf.DUMMYFUNCTION("GOOGLETRANSLATE(E741,""zh-CN"",""vi"")"),"Nhấp đúp chuột sẽ mang lại nhiều phần thưởng khác nhau với một xác suất nhất định.")</f>
        <v>Nhấp đúp chuột sẽ mang lại nhiều phần thưởng khác nhau với một xác suất nhất định.</v>
      </c>
      <c r="H741" s="8"/>
      <c r="I741" s="8"/>
      <c r="J741" s="8"/>
    </row>
    <row r="742" ht="21.0" customHeight="1">
      <c r="A742" s="5">
        <v>5.0</v>
      </c>
      <c r="B742" s="6">
        <v>539.0</v>
      </c>
      <c r="C742" s="6">
        <v>1.0</v>
      </c>
      <c r="D742" s="16" t="s">
        <v>879</v>
      </c>
      <c r="E742" s="9" t="s">
        <v>873</v>
      </c>
      <c r="F742" s="8" t="str">
        <f>IFERROR(__xludf.DUMMYFUNCTION("GOOGLETRANSLATE(D742,""zh-CN"",""vi"")"),"Bộ quà tặng King's Points")</f>
        <v>Bộ quà tặng King's Points</v>
      </c>
      <c r="G742" s="8" t="str">
        <f>IFERROR(__xludf.DUMMYFUNCTION("GOOGLETRANSLATE(E742,""zh-CN"",""vi"")"),"Nhấp đúp chuột sẽ mang lại nhiều phần thưởng khác nhau với một xác suất nhất định.")</f>
        <v>Nhấp đúp chuột sẽ mang lại nhiều phần thưởng khác nhau với một xác suất nhất định.</v>
      </c>
      <c r="H742" s="8"/>
      <c r="I742" s="8"/>
      <c r="J742" s="8"/>
    </row>
    <row r="743" ht="21.0" customHeight="1">
      <c r="A743" s="5">
        <v>5.0</v>
      </c>
      <c r="B743" s="6">
        <v>539.0</v>
      </c>
      <c r="C743" s="6">
        <v>1.0</v>
      </c>
      <c r="D743" s="16" t="s">
        <v>880</v>
      </c>
      <c r="E743" s="9" t="s">
        <v>873</v>
      </c>
      <c r="F743" s="8" t="str">
        <f>IFERROR(__xludf.DUMMYFUNCTION("GOOGLETRANSLATE(D743,""zh-CN"",""vi"")"),"Bộ quà tặng những điểm mạnh nhất")</f>
        <v>Bộ quà tặng những điểm mạnh nhất</v>
      </c>
      <c r="G743" s="8" t="str">
        <f>IFERROR(__xludf.DUMMYFUNCTION("GOOGLETRANSLATE(E743,""zh-CN"",""vi"")"),"Nhấp đúp chuột sẽ mang lại nhiều phần thưởng khác nhau với một xác suất nhất định.")</f>
        <v>Nhấp đúp chuột sẽ mang lại nhiều phần thưởng khác nhau với một xác suất nhất định.</v>
      </c>
      <c r="H743" s="8"/>
      <c r="I743" s="8"/>
      <c r="J743" s="8"/>
    </row>
    <row r="744" ht="21.0" customHeight="1">
      <c r="A744" s="5">
        <v>5.0</v>
      </c>
      <c r="B744" s="6">
        <v>540.0</v>
      </c>
      <c r="C744" s="6">
        <v>1.0</v>
      </c>
      <c r="D744" s="16" t="s">
        <v>872</v>
      </c>
      <c r="E744" s="9" t="s">
        <v>873</v>
      </c>
      <c r="F744" s="8" t="str">
        <f>IFERROR(__xludf.DUMMYFUNCTION("GOOGLETRANSLATE(D744,""zh-CN"",""vi"")"),"Gói quà tặng điểm Đồng")</f>
        <v>Gói quà tặng điểm Đồng</v>
      </c>
      <c r="G744" s="8" t="str">
        <f>IFERROR(__xludf.DUMMYFUNCTION("GOOGLETRANSLATE(E744,""zh-CN"",""vi"")"),"Nhấp đúp chuột sẽ mang lại nhiều phần thưởng khác nhau với một xác suất nhất định.")</f>
        <v>Nhấp đúp chuột sẽ mang lại nhiều phần thưởng khác nhau với một xác suất nhất định.</v>
      </c>
      <c r="H744" s="8"/>
      <c r="I744" s="8"/>
      <c r="J744" s="8"/>
    </row>
    <row r="745" ht="21.0" customHeight="1">
      <c r="A745" s="5">
        <v>5.0</v>
      </c>
      <c r="B745" s="6">
        <v>540.0</v>
      </c>
      <c r="C745" s="6">
        <v>1.0</v>
      </c>
      <c r="D745" s="16" t="s">
        <v>874</v>
      </c>
      <c r="E745" s="9" t="s">
        <v>873</v>
      </c>
      <c r="F745" s="8" t="str">
        <f>IFERROR(__xludf.DUMMYFUNCTION("GOOGLETRANSLATE(D745,""zh-CN"",""vi"")"),"Bộ quà tặng điểm bạc")</f>
        <v>Bộ quà tặng điểm bạc</v>
      </c>
      <c r="G745" s="8" t="str">
        <f>IFERROR(__xludf.DUMMYFUNCTION("GOOGLETRANSLATE(E745,""zh-CN"",""vi"")"),"Nhấp đúp chuột sẽ mang lại nhiều phần thưởng khác nhau với một xác suất nhất định.")</f>
        <v>Nhấp đúp chuột sẽ mang lại nhiều phần thưởng khác nhau với một xác suất nhất định.</v>
      </c>
      <c r="H745" s="8"/>
      <c r="I745" s="8"/>
      <c r="J745" s="8"/>
    </row>
    <row r="746" ht="21.0" customHeight="1">
      <c r="A746" s="5">
        <v>5.0</v>
      </c>
      <c r="B746" s="6">
        <v>540.0</v>
      </c>
      <c r="C746" s="6">
        <v>1.0</v>
      </c>
      <c r="D746" s="16" t="s">
        <v>875</v>
      </c>
      <c r="E746" s="9" t="s">
        <v>873</v>
      </c>
      <c r="F746" s="8" t="str">
        <f>IFERROR(__xludf.DUMMYFUNCTION("GOOGLETRANSLATE(D746,""zh-CN"",""vi"")"),"Gói quà tặng điểm vàng")</f>
        <v>Gói quà tặng điểm vàng</v>
      </c>
      <c r="G746" s="8" t="str">
        <f>IFERROR(__xludf.DUMMYFUNCTION("GOOGLETRANSLATE(E746,""zh-CN"",""vi"")"),"Nhấp đúp chuột sẽ mang lại nhiều phần thưởng khác nhau với một xác suất nhất định.")</f>
        <v>Nhấp đúp chuột sẽ mang lại nhiều phần thưởng khác nhau với một xác suất nhất định.</v>
      </c>
      <c r="H746" s="8"/>
      <c r="I746" s="8"/>
      <c r="J746" s="8"/>
    </row>
    <row r="747" ht="21.0" customHeight="1">
      <c r="A747" s="5">
        <v>5.0</v>
      </c>
      <c r="B747" s="6">
        <v>540.0</v>
      </c>
      <c r="C747" s="6">
        <v>1.0</v>
      </c>
      <c r="D747" s="16" t="s">
        <v>876</v>
      </c>
      <c r="E747" s="9" t="s">
        <v>873</v>
      </c>
      <c r="F747" s="8" t="str">
        <f>IFERROR(__xludf.DUMMYFUNCTION("GOOGLETRANSLATE(D747,""zh-CN"",""vi"")"),"Gói quà tặng điểm Platinum")</f>
        <v>Gói quà tặng điểm Platinum</v>
      </c>
      <c r="G747" s="8" t="str">
        <f>IFERROR(__xludf.DUMMYFUNCTION("GOOGLETRANSLATE(E747,""zh-CN"",""vi"")"),"Nhấp đúp chuột sẽ mang lại nhiều phần thưởng khác nhau với một xác suất nhất định.")</f>
        <v>Nhấp đúp chuột sẽ mang lại nhiều phần thưởng khác nhau với một xác suất nhất định.</v>
      </c>
      <c r="H747" s="8"/>
      <c r="I747" s="8"/>
      <c r="J747" s="8"/>
    </row>
    <row r="748" ht="21.0" customHeight="1">
      <c r="A748" s="5">
        <v>5.0</v>
      </c>
      <c r="B748" s="6">
        <v>540.0</v>
      </c>
      <c r="C748" s="6">
        <v>1.0</v>
      </c>
      <c r="D748" s="16" t="s">
        <v>877</v>
      </c>
      <c r="E748" s="9" t="s">
        <v>873</v>
      </c>
      <c r="F748" s="8" t="str">
        <f>IFERROR(__xludf.DUMMYFUNCTION("GOOGLETRANSLATE(D748,""zh-CN"",""vi"")"),"Bộ quà tặng điểm kim cương")</f>
        <v>Bộ quà tặng điểm kim cương</v>
      </c>
      <c r="G748" s="8" t="str">
        <f>IFERROR(__xludf.DUMMYFUNCTION("GOOGLETRANSLATE(E748,""zh-CN"",""vi"")"),"Nhấp đúp chuột sẽ mang lại nhiều phần thưởng khác nhau với một xác suất nhất định.")</f>
        <v>Nhấp đúp chuột sẽ mang lại nhiều phần thưởng khác nhau với một xác suất nhất định.</v>
      </c>
      <c r="H748" s="8"/>
      <c r="I748" s="8"/>
      <c r="J748" s="8"/>
    </row>
    <row r="749" ht="21.0" customHeight="1">
      <c r="A749" s="5">
        <v>5.0</v>
      </c>
      <c r="B749" s="6">
        <v>540.0</v>
      </c>
      <c r="C749" s="6">
        <v>1.0</v>
      </c>
      <c r="D749" s="16" t="s">
        <v>878</v>
      </c>
      <c r="E749" s="9" t="s">
        <v>873</v>
      </c>
      <c r="F749" s="8" t="str">
        <f>IFERROR(__xludf.DUMMYFUNCTION("GOOGLETRANSLATE(D749,""zh-CN"",""vi"")"),"Bộ quà tặng điểm thưởng Star Points")</f>
        <v>Bộ quà tặng điểm thưởng Star Points</v>
      </c>
      <c r="G749" s="8" t="str">
        <f>IFERROR(__xludf.DUMMYFUNCTION("GOOGLETRANSLATE(E749,""zh-CN"",""vi"")"),"Nhấp đúp chuột sẽ mang lại nhiều phần thưởng khác nhau với một xác suất nhất định.")</f>
        <v>Nhấp đúp chuột sẽ mang lại nhiều phần thưởng khác nhau với một xác suất nhất định.</v>
      </c>
      <c r="H749" s="8"/>
      <c r="I749" s="8"/>
      <c r="J749" s="8"/>
    </row>
    <row r="750" ht="21.0" customHeight="1">
      <c r="A750" s="5">
        <v>5.0</v>
      </c>
      <c r="B750" s="6">
        <v>540.0</v>
      </c>
      <c r="C750" s="6">
        <v>1.0</v>
      </c>
      <c r="D750" s="16" t="s">
        <v>879</v>
      </c>
      <c r="E750" s="9" t="s">
        <v>873</v>
      </c>
      <c r="F750" s="8" t="str">
        <f>IFERROR(__xludf.DUMMYFUNCTION("GOOGLETRANSLATE(D750,""zh-CN"",""vi"")"),"Bộ quà tặng King's Points")</f>
        <v>Bộ quà tặng King's Points</v>
      </c>
      <c r="G750" s="8" t="str">
        <f>IFERROR(__xludf.DUMMYFUNCTION("GOOGLETRANSLATE(E750,""zh-CN"",""vi"")"),"Nhấp đúp chuột sẽ mang lại nhiều phần thưởng khác nhau với một xác suất nhất định.")</f>
        <v>Nhấp đúp chuột sẽ mang lại nhiều phần thưởng khác nhau với một xác suất nhất định.</v>
      </c>
      <c r="H750" s="8"/>
      <c r="I750" s="8"/>
      <c r="J750" s="8"/>
    </row>
    <row r="751" ht="21.0" customHeight="1">
      <c r="A751" s="5">
        <v>5.0</v>
      </c>
      <c r="B751" s="6">
        <v>540.0</v>
      </c>
      <c r="C751" s="6">
        <v>1.0</v>
      </c>
      <c r="D751" s="16" t="s">
        <v>880</v>
      </c>
      <c r="E751" s="9" t="s">
        <v>873</v>
      </c>
      <c r="F751" s="8" t="str">
        <f>IFERROR(__xludf.DUMMYFUNCTION("GOOGLETRANSLATE(D751,""zh-CN"",""vi"")"),"Bộ quà tặng những điểm mạnh nhất")</f>
        <v>Bộ quà tặng những điểm mạnh nhất</v>
      </c>
      <c r="G751" s="8" t="str">
        <f>IFERROR(__xludf.DUMMYFUNCTION("GOOGLETRANSLATE(E751,""zh-CN"",""vi"")"),"Nhấp đúp chuột sẽ mang lại nhiều phần thưởng khác nhau với một xác suất nhất định.")</f>
        <v>Nhấp đúp chuột sẽ mang lại nhiều phần thưởng khác nhau với một xác suất nhất định.</v>
      </c>
      <c r="H751" s="8"/>
      <c r="I751" s="8"/>
      <c r="J751" s="8"/>
    </row>
    <row r="752" ht="21.0" customHeight="1">
      <c r="A752" s="5">
        <v>5.0</v>
      </c>
      <c r="B752" s="6">
        <v>541.0</v>
      </c>
      <c r="C752" s="6">
        <v>1.0</v>
      </c>
      <c r="D752" s="16" t="s">
        <v>872</v>
      </c>
      <c r="E752" s="9" t="s">
        <v>873</v>
      </c>
      <c r="F752" s="8" t="str">
        <f>IFERROR(__xludf.DUMMYFUNCTION("GOOGLETRANSLATE(D752,""zh-CN"",""vi"")"),"Gói quà tặng điểm Đồng")</f>
        <v>Gói quà tặng điểm Đồng</v>
      </c>
      <c r="G752" s="8" t="str">
        <f>IFERROR(__xludf.DUMMYFUNCTION("GOOGLETRANSLATE(E752,""zh-CN"",""vi"")"),"Nhấp đúp chuột sẽ mang lại nhiều phần thưởng khác nhau với một xác suất nhất định.")</f>
        <v>Nhấp đúp chuột sẽ mang lại nhiều phần thưởng khác nhau với một xác suất nhất định.</v>
      </c>
      <c r="H752" s="8"/>
      <c r="I752" s="8"/>
      <c r="J752" s="8"/>
    </row>
    <row r="753" ht="21.0" customHeight="1">
      <c r="A753" s="5">
        <v>5.0</v>
      </c>
      <c r="B753" s="6">
        <v>541.0</v>
      </c>
      <c r="C753" s="6">
        <v>1.0</v>
      </c>
      <c r="D753" s="16" t="s">
        <v>874</v>
      </c>
      <c r="E753" s="9" t="s">
        <v>873</v>
      </c>
      <c r="F753" s="8" t="str">
        <f>IFERROR(__xludf.DUMMYFUNCTION("GOOGLETRANSLATE(D753,""zh-CN"",""vi"")"),"Bộ quà tặng điểm bạc")</f>
        <v>Bộ quà tặng điểm bạc</v>
      </c>
      <c r="G753" s="8" t="str">
        <f>IFERROR(__xludf.DUMMYFUNCTION("GOOGLETRANSLATE(E753,""zh-CN"",""vi"")"),"Nhấp đúp chuột sẽ mang lại nhiều phần thưởng khác nhau với một xác suất nhất định.")</f>
        <v>Nhấp đúp chuột sẽ mang lại nhiều phần thưởng khác nhau với một xác suất nhất định.</v>
      </c>
      <c r="H753" s="8"/>
      <c r="I753" s="8"/>
      <c r="J753" s="8"/>
    </row>
    <row r="754" ht="21.0" customHeight="1">
      <c r="A754" s="5">
        <v>5.0</v>
      </c>
      <c r="B754" s="6">
        <v>541.0</v>
      </c>
      <c r="C754" s="6">
        <v>1.0</v>
      </c>
      <c r="D754" s="16" t="s">
        <v>875</v>
      </c>
      <c r="E754" s="9" t="s">
        <v>873</v>
      </c>
      <c r="F754" s="8" t="str">
        <f>IFERROR(__xludf.DUMMYFUNCTION("GOOGLETRANSLATE(D754,""zh-CN"",""vi"")"),"Gói quà tặng điểm vàng")</f>
        <v>Gói quà tặng điểm vàng</v>
      </c>
      <c r="G754" s="8" t="str">
        <f>IFERROR(__xludf.DUMMYFUNCTION("GOOGLETRANSLATE(E754,""zh-CN"",""vi"")"),"Nhấp đúp chuột sẽ mang lại nhiều phần thưởng khác nhau với một xác suất nhất định.")</f>
        <v>Nhấp đúp chuột sẽ mang lại nhiều phần thưởng khác nhau với một xác suất nhất định.</v>
      </c>
      <c r="H754" s="8"/>
      <c r="I754" s="8"/>
      <c r="J754" s="8"/>
    </row>
    <row r="755" ht="21.0" customHeight="1">
      <c r="A755" s="5">
        <v>5.0</v>
      </c>
      <c r="B755" s="6">
        <v>541.0</v>
      </c>
      <c r="C755" s="6">
        <v>1.0</v>
      </c>
      <c r="D755" s="16" t="s">
        <v>876</v>
      </c>
      <c r="E755" s="9" t="s">
        <v>873</v>
      </c>
      <c r="F755" s="8" t="str">
        <f>IFERROR(__xludf.DUMMYFUNCTION("GOOGLETRANSLATE(D755,""zh-CN"",""vi"")"),"Gói quà tặng điểm Platinum")</f>
        <v>Gói quà tặng điểm Platinum</v>
      </c>
      <c r="G755" s="8" t="str">
        <f>IFERROR(__xludf.DUMMYFUNCTION("GOOGLETRANSLATE(E755,""zh-CN"",""vi"")"),"Nhấp đúp chuột sẽ mang lại nhiều phần thưởng khác nhau với một xác suất nhất định.")</f>
        <v>Nhấp đúp chuột sẽ mang lại nhiều phần thưởng khác nhau với một xác suất nhất định.</v>
      </c>
      <c r="H755" s="8"/>
      <c r="I755" s="8"/>
      <c r="J755" s="8"/>
    </row>
    <row r="756" ht="21.0" customHeight="1">
      <c r="A756" s="5">
        <v>5.0</v>
      </c>
      <c r="B756" s="6">
        <v>541.0</v>
      </c>
      <c r="C756" s="6">
        <v>1.0</v>
      </c>
      <c r="D756" s="16" t="s">
        <v>877</v>
      </c>
      <c r="E756" s="9" t="s">
        <v>873</v>
      </c>
      <c r="F756" s="8" t="str">
        <f>IFERROR(__xludf.DUMMYFUNCTION("GOOGLETRANSLATE(D756,""zh-CN"",""vi"")"),"Bộ quà tặng điểm kim cương")</f>
        <v>Bộ quà tặng điểm kim cương</v>
      </c>
      <c r="G756" s="8" t="str">
        <f>IFERROR(__xludf.DUMMYFUNCTION("GOOGLETRANSLATE(E756,""zh-CN"",""vi"")"),"Nhấp đúp chuột sẽ mang lại nhiều phần thưởng khác nhau với một xác suất nhất định.")</f>
        <v>Nhấp đúp chuột sẽ mang lại nhiều phần thưởng khác nhau với một xác suất nhất định.</v>
      </c>
      <c r="H756" s="8"/>
      <c r="I756" s="8"/>
      <c r="J756" s="8"/>
    </row>
    <row r="757" ht="21.0" customHeight="1">
      <c r="A757" s="5">
        <v>5.0</v>
      </c>
      <c r="B757" s="6">
        <v>541.0</v>
      </c>
      <c r="C757" s="6">
        <v>1.0</v>
      </c>
      <c r="D757" s="16" t="s">
        <v>878</v>
      </c>
      <c r="E757" s="9" t="s">
        <v>873</v>
      </c>
      <c r="F757" s="8" t="str">
        <f>IFERROR(__xludf.DUMMYFUNCTION("GOOGLETRANSLATE(D757,""zh-CN"",""vi"")"),"Bộ quà tặng điểm thưởng Star Points")</f>
        <v>Bộ quà tặng điểm thưởng Star Points</v>
      </c>
      <c r="G757" s="8" t="str">
        <f>IFERROR(__xludf.DUMMYFUNCTION("GOOGLETRANSLATE(E757,""zh-CN"",""vi"")"),"Nhấp đúp chuột sẽ mang lại nhiều phần thưởng khác nhau với một xác suất nhất định.")</f>
        <v>Nhấp đúp chuột sẽ mang lại nhiều phần thưởng khác nhau với một xác suất nhất định.</v>
      </c>
      <c r="H757" s="8"/>
      <c r="I757" s="8"/>
      <c r="J757" s="8"/>
    </row>
    <row r="758" ht="21.0" customHeight="1">
      <c r="A758" s="5">
        <v>5.0</v>
      </c>
      <c r="B758" s="6">
        <v>541.0</v>
      </c>
      <c r="C758" s="6">
        <v>1.0</v>
      </c>
      <c r="D758" s="16" t="s">
        <v>879</v>
      </c>
      <c r="E758" s="9" t="s">
        <v>873</v>
      </c>
      <c r="F758" s="8" t="str">
        <f>IFERROR(__xludf.DUMMYFUNCTION("GOOGLETRANSLATE(D758,""zh-CN"",""vi"")"),"Bộ quà tặng King's Points")</f>
        <v>Bộ quà tặng King's Points</v>
      </c>
      <c r="G758" s="8" t="str">
        <f>IFERROR(__xludf.DUMMYFUNCTION("GOOGLETRANSLATE(E758,""zh-CN"",""vi"")"),"Nhấp đúp chuột sẽ mang lại nhiều phần thưởng khác nhau với một xác suất nhất định.")</f>
        <v>Nhấp đúp chuột sẽ mang lại nhiều phần thưởng khác nhau với một xác suất nhất định.</v>
      </c>
      <c r="H758" s="8"/>
      <c r="I758" s="8"/>
      <c r="J758" s="8"/>
    </row>
    <row r="759" ht="21.0" customHeight="1">
      <c r="A759" s="5">
        <v>5.0</v>
      </c>
      <c r="B759" s="6">
        <v>541.0</v>
      </c>
      <c r="C759" s="6">
        <v>1.0</v>
      </c>
      <c r="D759" s="16" t="s">
        <v>880</v>
      </c>
      <c r="E759" s="9" t="s">
        <v>873</v>
      </c>
      <c r="F759" s="8" t="str">
        <f>IFERROR(__xludf.DUMMYFUNCTION("GOOGLETRANSLATE(D759,""zh-CN"",""vi"")"),"Bộ quà tặng những điểm mạnh nhất")</f>
        <v>Bộ quà tặng những điểm mạnh nhất</v>
      </c>
      <c r="G759" s="8" t="str">
        <f>IFERROR(__xludf.DUMMYFUNCTION("GOOGLETRANSLATE(E759,""zh-CN"",""vi"")"),"Nhấp đúp chuột sẽ mang lại nhiều phần thưởng khác nhau với một xác suất nhất định.")</f>
        <v>Nhấp đúp chuột sẽ mang lại nhiều phần thưởng khác nhau với một xác suất nhất định.</v>
      </c>
      <c r="H759" s="8"/>
      <c r="I759" s="8"/>
      <c r="J759" s="8"/>
    </row>
    <row r="760" ht="21.0" customHeight="1">
      <c r="A760" s="5">
        <v>5.0</v>
      </c>
      <c r="B760" s="6">
        <v>527.0</v>
      </c>
      <c r="C760" s="6">
        <v>1.0</v>
      </c>
      <c r="D760" s="16" t="s">
        <v>872</v>
      </c>
      <c r="E760" s="9" t="s">
        <v>873</v>
      </c>
      <c r="F760" s="8" t="str">
        <f>IFERROR(__xludf.DUMMYFUNCTION("GOOGLETRANSLATE(D760,""zh-CN"",""vi"")"),"Gói quà tặng điểm Đồng")</f>
        <v>Gói quà tặng điểm Đồng</v>
      </c>
      <c r="G760" s="8" t="str">
        <f>IFERROR(__xludf.DUMMYFUNCTION("GOOGLETRANSLATE(E760,""zh-CN"",""vi"")"),"Nhấp đúp chuột sẽ mang lại nhiều phần thưởng khác nhau với một xác suất nhất định.")</f>
        <v>Nhấp đúp chuột sẽ mang lại nhiều phần thưởng khác nhau với một xác suất nhất định.</v>
      </c>
      <c r="H760" s="8"/>
      <c r="I760" s="8"/>
      <c r="J760" s="8"/>
    </row>
    <row r="761" ht="21.0" customHeight="1">
      <c r="A761" s="5">
        <v>5.0</v>
      </c>
      <c r="B761" s="6">
        <v>527.0</v>
      </c>
      <c r="C761" s="6">
        <v>1.0</v>
      </c>
      <c r="D761" s="16" t="s">
        <v>874</v>
      </c>
      <c r="E761" s="9" t="s">
        <v>873</v>
      </c>
      <c r="F761" s="8" t="str">
        <f>IFERROR(__xludf.DUMMYFUNCTION("GOOGLETRANSLATE(D761,""zh-CN"",""vi"")"),"Bộ quà tặng điểm bạc")</f>
        <v>Bộ quà tặng điểm bạc</v>
      </c>
      <c r="G761" s="8" t="str">
        <f>IFERROR(__xludf.DUMMYFUNCTION("GOOGLETRANSLATE(E761,""zh-CN"",""vi"")"),"Nhấp đúp chuột sẽ mang lại nhiều phần thưởng khác nhau với một xác suất nhất định.")</f>
        <v>Nhấp đúp chuột sẽ mang lại nhiều phần thưởng khác nhau với một xác suất nhất định.</v>
      </c>
      <c r="H761" s="8"/>
      <c r="I761" s="8"/>
      <c r="J761" s="8"/>
    </row>
    <row r="762" ht="21.0" customHeight="1">
      <c r="A762" s="5">
        <v>5.0</v>
      </c>
      <c r="B762" s="6">
        <v>527.0</v>
      </c>
      <c r="C762" s="6">
        <v>1.0</v>
      </c>
      <c r="D762" s="16" t="s">
        <v>875</v>
      </c>
      <c r="E762" s="9" t="s">
        <v>873</v>
      </c>
      <c r="F762" s="8" t="str">
        <f>IFERROR(__xludf.DUMMYFUNCTION("GOOGLETRANSLATE(D762,""zh-CN"",""vi"")"),"Gói quà tặng điểm vàng")</f>
        <v>Gói quà tặng điểm vàng</v>
      </c>
      <c r="G762" s="8" t="str">
        <f>IFERROR(__xludf.DUMMYFUNCTION("GOOGLETRANSLATE(E762,""zh-CN"",""vi"")"),"Nhấp đúp chuột sẽ mang lại nhiều phần thưởng khác nhau với một xác suất nhất định.")</f>
        <v>Nhấp đúp chuột sẽ mang lại nhiều phần thưởng khác nhau với một xác suất nhất định.</v>
      </c>
      <c r="H762" s="8"/>
      <c r="I762" s="8"/>
      <c r="J762" s="8"/>
    </row>
    <row r="763" ht="21.0" customHeight="1">
      <c r="A763" s="5">
        <v>5.0</v>
      </c>
      <c r="B763" s="6">
        <v>527.0</v>
      </c>
      <c r="C763" s="6">
        <v>1.0</v>
      </c>
      <c r="D763" s="16" t="s">
        <v>876</v>
      </c>
      <c r="E763" s="9" t="s">
        <v>873</v>
      </c>
      <c r="F763" s="8" t="str">
        <f>IFERROR(__xludf.DUMMYFUNCTION("GOOGLETRANSLATE(D763,""zh-CN"",""vi"")"),"Gói quà tặng điểm Platinum")</f>
        <v>Gói quà tặng điểm Platinum</v>
      </c>
      <c r="G763" s="8" t="str">
        <f>IFERROR(__xludf.DUMMYFUNCTION("GOOGLETRANSLATE(E763,""zh-CN"",""vi"")"),"Nhấp đúp chuột sẽ mang lại nhiều phần thưởng khác nhau với một xác suất nhất định.")</f>
        <v>Nhấp đúp chuột sẽ mang lại nhiều phần thưởng khác nhau với một xác suất nhất định.</v>
      </c>
      <c r="H763" s="8"/>
      <c r="I763" s="8"/>
      <c r="J763" s="8"/>
    </row>
    <row r="764" ht="21.0" customHeight="1">
      <c r="A764" s="5">
        <v>5.0</v>
      </c>
      <c r="B764" s="6">
        <v>527.0</v>
      </c>
      <c r="C764" s="6">
        <v>1.0</v>
      </c>
      <c r="D764" s="16" t="s">
        <v>877</v>
      </c>
      <c r="E764" s="9" t="s">
        <v>873</v>
      </c>
      <c r="F764" s="8" t="str">
        <f>IFERROR(__xludf.DUMMYFUNCTION("GOOGLETRANSLATE(D764,""zh-CN"",""vi"")"),"Bộ quà tặng điểm kim cương")</f>
        <v>Bộ quà tặng điểm kim cương</v>
      </c>
      <c r="G764" s="8" t="str">
        <f>IFERROR(__xludf.DUMMYFUNCTION("GOOGLETRANSLATE(E764,""zh-CN"",""vi"")"),"Nhấp đúp chuột sẽ mang lại nhiều phần thưởng khác nhau với một xác suất nhất định.")</f>
        <v>Nhấp đúp chuột sẽ mang lại nhiều phần thưởng khác nhau với một xác suất nhất định.</v>
      </c>
      <c r="H764" s="8"/>
      <c r="I764" s="8"/>
      <c r="J764" s="8"/>
    </row>
    <row r="765" ht="21.0" customHeight="1">
      <c r="A765" s="5">
        <v>5.0</v>
      </c>
      <c r="B765" s="6">
        <v>527.0</v>
      </c>
      <c r="C765" s="6">
        <v>1.0</v>
      </c>
      <c r="D765" s="16" t="s">
        <v>878</v>
      </c>
      <c r="E765" s="9" t="s">
        <v>873</v>
      </c>
      <c r="F765" s="8" t="str">
        <f>IFERROR(__xludf.DUMMYFUNCTION("GOOGLETRANSLATE(D765,""zh-CN"",""vi"")"),"Bộ quà tặng điểm thưởng Star Points")</f>
        <v>Bộ quà tặng điểm thưởng Star Points</v>
      </c>
      <c r="G765" s="8" t="str">
        <f>IFERROR(__xludf.DUMMYFUNCTION("GOOGLETRANSLATE(E765,""zh-CN"",""vi"")"),"Nhấp đúp chuột sẽ mang lại nhiều phần thưởng khác nhau với một xác suất nhất định.")</f>
        <v>Nhấp đúp chuột sẽ mang lại nhiều phần thưởng khác nhau với một xác suất nhất định.</v>
      </c>
      <c r="H765" s="8"/>
      <c r="I765" s="8"/>
      <c r="J765" s="8"/>
    </row>
    <row r="766" ht="21.0" customHeight="1">
      <c r="A766" s="5">
        <v>5.0</v>
      </c>
      <c r="B766" s="6">
        <v>527.0</v>
      </c>
      <c r="C766" s="6">
        <v>1.0</v>
      </c>
      <c r="D766" s="16" t="s">
        <v>879</v>
      </c>
      <c r="E766" s="9" t="s">
        <v>873</v>
      </c>
      <c r="F766" s="8" t="str">
        <f>IFERROR(__xludf.DUMMYFUNCTION("GOOGLETRANSLATE(D766,""zh-CN"",""vi"")"),"Bộ quà tặng King's Points")</f>
        <v>Bộ quà tặng King's Points</v>
      </c>
      <c r="G766" s="8" t="str">
        <f>IFERROR(__xludf.DUMMYFUNCTION("GOOGLETRANSLATE(E766,""zh-CN"",""vi"")"),"Nhấp đúp chuột sẽ mang lại nhiều phần thưởng khác nhau với một xác suất nhất định.")</f>
        <v>Nhấp đúp chuột sẽ mang lại nhiều phần thưởng khác nhau với một xác suất nhất định.</v>
      </c>
      <c r="H766" s="8"/>
      <c r="I766" s="8"/>
      <c r="J766" s="8"/>
    </row>
    <row r="767" ht="21.0" customHeight="1">
      <c r="A767" s="5">
        <v>5.0</v>
      </c>
      <c r="B767" s="6">
        <v>527.0</v>
      </c>
      <c r="C767" s="6">
        <v>1.0</v>
      </c>
      <c r="D767" s="16" t="s">
        <v>880</v>
      </c>
      <c r="E767" s="9" t="s">
        <v>873</v>
      </c>
      <c r="F767" s="8" t="str">
        <f>IFERROR(__xludf.DUMMYFUNCTION("GOOGLETRANSLATE(D767,""zh-CN"",""vi"")"),"Bộ quà tặng những điểm mạnh nhất")</f>
        <v>Bộ quà tặng những điểm mạnh nhất</v>
      </c>
      <c r="G767" s="8" t="str">
        <f>IFERROR(__xludf.DUMMYFUNCTION("GOOGLETRANSLATE(E767,""zh-CN"",""vi"")"),"Nhấp đúp chuột sẽ mang lại nhiều phần thưởng khác nhau với một xác suất nhất định.")</f>
        <v>Nhấp đúp chuột sẽ mang lại nhiều phần thưởng khác nhau với một xác suất nhất định.</v>
      </c>
      <c r="H767" s="8"/>
      <c r="I767" s="8"/>
      <c r="J767" s="8"/>
    </row>
    <row r="768" ht="21.0" customHeight="1">
      <c r="A768" s="5">
        <v>5.0</v>
      </c>
      <c r="B768" s="6">
        <v>524.0</v>
      </c>
      <c r="C768" s="6">
        <v>1.0</v>
      </c>
      <c r="D768" s="16" t="s">
        <v>872</v>
      </c>
      <c r="E768" s="9" t="s">
        <v>873</v>
      </c>
      <c r="F768" s="8" t="str">
        <f>IFERROR(__xludf.DUMMYFUNCTION("GOOGLETRANSLATE(D768,""zh-CN"",""vi"")"),"Gói quà tặng điểm Đồng")</f>
        <v>Gói quà tặng điểm Đồng</v>
      </c>
      <c r="G768" s="8" t="str">
        <f>IFERROR(__xludf.DUMMYFUNCTION("GOOGLETRANSLATE(E768,""zh-CN"",""vi"")"),"Nhấp đúp chuột sẽ mang lại nhiều phần thưởng khác nhau với một xác suất nhất định.")</f>
        <v>Nhấp đúp chuột sẽ mang lại nhiều phần thưởng khác nhau với một xác suất nhất định.</v>
      </c>
      <c r="H768" s="8"/>
      <c r="I768" s="8"/>
      <c r="J768" s="8"/>
    </row>
    <row r="769" ht="21.0" customHeight="1">
      <c r="A769" s="5">
        <v>5.0</v>
      </c>
      <c r="B769" s="6">
        <v>524.0</v>
      </c>
      <c r="C769" s="6">
        <v>1.0</v>
      </c>
      <c r="D769" s="16" t="s">
        <v>874</v>
      </c>
      <c r="E769" s="9" t="s">
        <v>873</v>
      </c>
      <c r="F769" s="8" t="str">
        <f>IFERROR(__xludf.DUMMYFUNCTION("GOOGLETRANSLATE(D769,""zh-CN"",""vi"")"),"Bộ quà tặng điểm bạc")</f>
        <v>Bộ quà tặng điểm bạc</v>
      </c>
      <c r="G769" s="8" t="str">
        <f>IFERROR(__xludf.DUMMYFUNCTION("GOOGLETRANSLATE(E769,""zh-CN"",""vi"")"),"Nhấp đúp chuột sẽ mang lại nhiều phần thưởng khác nhau với một xác suất nhất định.")</f>
        <v>Nhấp đúp chuột sẽ mang lại nhiều phần thưởng khác nhau với một xác suất nhất định.</v>
      </c>
      <c r="H769" s="8"/>
      <c r="I769" s="8"/>
      <c r="J769" s="8"/>
    </row>
    <row r="770" ht="21.0" customHeight="1">
      <c r="A770" s="5">
        <v>5.0</v>
      </c>
      <c r="B770" s="6">
        <v>524.0</v>
      </c>
      <c r="C770" s="6">
        <v>1.0</v>
      </c>
      <c r="D770" s="16" t="s">
        <v>875</v>
      </c>
      <c r="E770" s="9" t="s">
        <v>873</v>
      </c>
      <c r="F770" s="8" t="str">
        <f>IFERROR(__xludf.DUMMYFUNCTION("GOOGLETRANSLATE(D770,""zh-CN"",""vi"")"),"Gói quà tặng điểm vàng")</f>
        <v>Gói quà tặng điểm vàng</v>
      </c>
      <c r="G770" s="8" t="str">
        <f>IFERROR(__xludf.DUMMYFUNCTION("GOOGLETRANSLATE(E770,""zh-CN"",""vi"")"),"Nhấp đúp chuột sẽ mang lại nhiều phần thưởng khác nhau với một xác suất nhất định.")</f>
        <v>Nhấp đúp chuột sẽ mang lại nhiều phần thưởng khác nhau với một xác suất nhất định.</v>
      </c>
      <c r="H770" s="8"/>
      <c r="I770" s="8"/>
      <c r="J770" s="8"/>
    </row>
    <row r="771" ht="21.0" customHeight="1">
      <c r="A771" s="5">
        <v>5.0</v>
      </c>
      <c r="B771" s="6">
        <v>524.0</v>
      </c>
      <c r="C771" s="6">
        <v>1.0</v>
      </c>
      <c r="D771" s="16" t="s">
        <v>876</v>
      </c>
      <c r="E771" s="9" t="s">
        <v>873</v>
      </c>
      <c r="F771" s="8" t="str">
        <f>IFERROR(__xludf.DUMMYFUNCTION("GOOGLETRANSLATE(D771,""zh-CN"",""vi"")"),"Gói quà tặng điểm Platinum")</f>
        <v>Gói quà tặng điểm Platinum</v>
      </c>
      <c r="G771" s="8" t="str">
        <f>IFERROR(__xludf.DUMMYFUNCTION("GOOGLETRANSLATE(E771,""zh-CN"",""vi"")"),"Nhấp đúp chuột sẽ mang lại nhiều phần thưởng khác nhau với một xác suất nhất định.")</f>
        <v>Nhấp đúp chuột sẽ mang lại nhiều phần thưởng khác nhau với một xác suất nhất định.</v>
      </c>
      <c r="H771" s="8"/>
      <c r="I771" s="8"/>
      <c r="J771" s="8"/>
    </row>
    <row r="772" ht="21.0" customHeight="1">
      <c r="A772" s="5">
        <v>5.0</v>
      </c>
      <c r="B772" s="6">
        <v>524.0</v>
      </c>
      <c r="C772" s="6">
        <v>1.0</v>
      </c>
      <c r="D772" s="16" t="s">
        <v>877</v>
      </c>
      <c r="E772" s="9" t="s">
        <v>873</v>
      </c>
      <c r="F772" s="8" t="str">
        <f>IFERROR(__xludf.DUMMYFUNCTION("GOOGLETRANSLATE(D772,""zh-CN"",""vi"")"),"Bộ quà tặng điểm kim cương")</f>
        <v>Bộ quà tặng điểm kim cương</v>
      </c>
      <c r="G772" s="8" t="str">
        <f>IFERROR(__xludf.DUMMYFUNCTION("GOOGLETRANSLATE(E772,""zh-CN"",""vi"")"),"Nhấp đúp chuột sẽ mang lại nhiều phần thưởng khác nhau với một xác suất nhất định.")</f>
        <v>Nhấp đúp chuột sẽ mang lại nhiều phần thưởng khác nhau với một xác suất nhất định.</v>
      </c>
      <c r="H772" s="8"/>
      <c r="I772" s="8"/>
      <c r="J772" s="8"/>
    </row>
    <row r="773" ht="21.0" customHeight="1">
      <c r="A773" s="5">
        <v>5.0</v>
      </c>
      <c r="B773" s="6">
        <v>524.0</v>
      </c>
      <c r="C773" s="6">
        <v>1.0</v>
      </c>
      <c r="D773" s="16" t="s">
        <v>878</v>
      </c>
      <c r="E773" s="9" t="s">
        <v>873</v>
      </c>
      <c r="F773" s="8" t="str">
        <f>IFERROR(__xludf.DUMMYFUNCTION("GOOGLETRANSLATE(D773,""zh-CN"",""vi"")"),"Bộ quà tặng điểm thưởng Star Points")</f>
        <v>Bộ quà tặng điểm thưởng Star Points</v>
      </c>
      <c r="G773" s="8" t="str">
        <f>IFERROR(__xludf.DUMMYFUNCTION("GOOGLETRANSLATE(E773,""zh-CN"",""vi"")"),"Nhấp đúp chuột sẽ mang lại nhiều phần thưởng khác nhau với một xác suất nhất định.")</f>
        <v>Nhấp đúp chuột sẽ mang lại nhiều phần thưởng khác nhau với một xác suất nhất định.</v>
      </c>
      <c r="H773" s="8"/>
      <c r="I773" s="8"/>
      <c r="J773" s="8"/>
    </row>
    <row r="774" ht="21.0" customHeight="1">
      <c r="A774" s="5">
        <v>5.0</v>
      </c>
      <c r="B774" s="6">
        <v>524.0</v>
      </c>
      <c r="C774" s="6">
        <v>1.0</v>
      </c>
      <c r="D774" s="16" t="s">
        <v>879</v>
      </c>
      <c r="E774" s="9" t="s">
        <v>873</v>
      </c>
      <c r="F774" s="8" t="str">
        <f>IFERROR(__xludf.DUMMYFUNCTION("GOOGLETRANSLATE(D774,""zh-CN"",""vi"")"),"Bộ quà tặng King's Points")</f>
        <v>Bộ quà tặng King's Points</v>
      </c>
      <c r="G774" s="8" t="str">
        <f>IFERROR(__xludf.DUMMYFUNCTION("GOOGLETRANSLATE(E774,""zh-CN"",""vi"")"),"Nhấp đúp chuột sẽ mang lại nhiều phần thưởng khác nhau với một xác suất nhất định.")</f>
        <v>Nhấp đúp chuột sẽ mang lại nhiều phần thưởng khác nhau với một xác suất nhất định.</v>
      </c>
      <c r="H774" s="8"/>
      <c r="I774" s="8"/>
      <c r="J774" s="8"/>
    </row>
    <row r="775" ht="21.0" customHeight="1">
      <c r="A775" s="5">
        <v>5.0</v>
      </c>
      <c r="B775" s="6">
        <v>524.0</v>
      </c>
      <c r="C775" s="6">
        <v>1.0</v>
      </c>
      <c r="D775" s="16" t="s">
        <v>880</v>
      </c>
      <c r="E775" s="9" t="s">
        <v>873</v>
      </c>
      <c r="F775" s="8" t="str">
        <f>IFERROR(__xludf.DUMMYFUNCTION("GOOGLETRANSLATE(D775,""zh-CN"",""vi"")"),"Bộ quà tặng những điểm mạnh nhất")</f>
        <v>Bộ quà tặng những điểm mạnh nhất</v>
      </c>
      <c r="G775" s="8" t="str">
        <f>IFERROR(__xludf.DUMMYFUNCTION("GOOGLETRANSLATE(E775,""zh-CN"",""vi"")"),"Nhấp đúp chuột sẽ mang lại nhiều phần thưởng khác nhau với một xác suất nhất định.")</f>
        <v>Nhấp đúp chuột sẽ mang lại nhiều phần thưởng khác nhau với một xác suất nhất định.</v>
      </c>
      <c r="H775" s="8"/>
      <c r="I775" s="8"/>
      <c r="J775" s="8"/>
    </row>
    <row r="776" ht="21.0" customHeight="1">
      <c r="A776" s="5">
        <v>5.0</v>
      </c>
      <c r="B776" s="6">
        <v>538.0</v>
      </c>
      <c r="C776" s="6">
        <v>1.0</v>
      </c>
      <c r="D776" s="16" t="s">
        <v>872</v>
      </c>
      <c r="E776" s="9" t="s">
        <v>873</v>
      </c>
      <c r="F776" s="8" t="str">
        <f>IFERROR(__xludf.DUMMYFUNCTION("GOOGLETRANSLATE(D776,""zh-CN"",""vi"")"),"Gói quà tặng điểm Đồng")</f>
        <v>Gói quà tặng điểm Đồng</v>
      </c>
      <c r="G776" s="8" t="str">
        <f>IFERROR(__xludf.DUMMYFUNCTION("GOOGLETRANSLATE(E776,""zh-CN"",""vi"")"),"Nhấp đúp chuột sẽ mang lại nhiều phần thưởng khác nhau với một xác suất nhất định.")</f>
        <v>Nhấp đúp chuột sẽ mang lại nhiều phần thưởng khác nhau với một xác suất nhất định.</v>
      </c>
      <c r="H776" s="8"/>
      <c r="I776" s="8"/>
      <c r="J776" s="8"/>
    </row>
    <row r="777" ht="21.0" customHeight="1">
      <c r="A777" s="5">
        <v>5.0</v>
      </c>
      <c r="B777" s="6">
        <v>538.0</v>
      </c>
      <c r="C777" s="6">
        <v>1.0</v>
      </c>
      <c r="D777" s="16" t="s">
        <v>874</v>
      </c>
      <c r="E777" s="9" t="s">
        <v>873</v>
      </c>
      <c r="F777" s="8" t="str">
        <f>IFERROR(__xludf.DUMMYFUNCTION("GOOGLETRANSLATE(D777,""zh-CN"",""vi"")"),"Bộ quà tặng điểm bạc")</f>
        <v>Bộ quà tặng điểm bạc</v>
      </c>
      <c r="G777" s="8" t="str">
        <f>IFERROR(__xludf.DUMMYFUNCTION("GOOGLETRANSLATE(E777,""zh-CN"",""vi"")"),"Nhấp đúp chuột sẽ mang lại nhiều phần thưởng khác nhau với một xác suất nhất định.")</f>
        <v>Nhấp đúp chuột sẽ mang lại nhiều phần thưởng khác nhau với một xác suất nhất định.</v>
      </c>
      <c r="H777" s="8"/>
      <c r="I777" s="8"/>
      <c r="J777" s="8"/>
    </row>
    <row r="778" ht="21.0" customHeight="1">
      <c r="A778" s="5">
        <v>5.0</v>
      </c>
      <c r="B778" s="6">
        <v>538.0</v>
      </c>
      <c r="C778" s="6">
        <v>1.0</v>
      </c>
      <c r="D778" s="16" t="s">
        <v>875</v>
      </c>
      <c r="E778" s="9" t="s">
        <v>873</v>
      </c>
      <c r="F778" s="8" t="str">
        <f>IFERROR(__xludf.DUMMYFUNCTION("GOOGLETRANSLATE(D778,""zh-CN"",""vi"")"),"Gói quà tặng điểm vàng")</f>
        <v>Gói quà tặng điểm vàng</v>
      </c>
      <c r="G778" s="8" t="str">
        <f>IFERROR(__xludf.DUMMYFUNCTION("GOOGLETRANSLATE(E778,""zh-CN"",""vi"")"),"Nhấp đúp chuột sẽ mang lại nhiều phần thưởng khác nhau với một xác suất nhất định.")</f>
        <v>Nhấp đúp chuột sẽ mang lại nhiều phần thưởng khác nhau với một xác suất nhất định.</v>
      </c>
      <c r="H778" s="8"/>
      <c r="I778" s="8"/>
      <c r="J778" s="8"/>
    </row>
    <row r="779" ht="21.0" customHeight="1">
      <c r="A779" s="5">
        <v>5.0</v>
      </c>
      <c r="B779" s="6">
        <v>538.0</v>
      </c>
      <c r="C779" s="6">
        <v>1.0</v>
      </c>
      <c r="D779" s="16" t="s">
        <v>876</v>
      </c>
      <c r="E779" s="9" t="s">
        <v>873</v>
      </c>
      <c r="F779" s="8" t="str">
        <f>IFERROR(__xludf.DUMMYFUNCTION("GOOGLETRANSLATE(D779,""zh-CN"",""vi"")"),"Gói quà tặng điểm Platinum")</f>
        <v>Gói quà tặng điểm Platinum</v>
      </c>
      <c r="G779" s="8" t="str">
        <f>IFERROR(__xludf.DUMMYFUNCTION("GOOGLETRANSLATE(E779,""zh-CN"",""vi"")"),"Nhấp đúp chuột sẽ mang lại nhiều phần thưởng khác nhau với một xác suất nhất định.")</f>
        <v>Nhấp đúp chuột sẽ mang lại nhiều phần thưởng khác nhau với một xác suất nhất định.</v>
      </c>
      <c r="H779" s="8"/>
      <c r="I779" s="8"/>
      <c r="J779" s="8"/>
    </row>
    <row r="780" ht="21.0" customHeight="1">
      <c r="A780" s="5">
        <v>5.0</v>
      </c>
      <c r="B780" s="6">
        <v>538.0</v>
      </c>
      <c r="C780" s="6">
        <v>1.0</v>
      </c>
      <c r="D780" s="16" t="s">
        <v>877</v>
      </c>
      <c r="E780" s="9" t="s">
        <v>873</v>
      </c>
      <c r="F780" s="8" t="str">
        <f>IFERROR(__xludf.DUMMYFUNCTION("GOOGLETRANSLATE(D780,""zh-CN"",""vi"")"),"Bộ quà tặng điểm kim cương")</f>
        <v>Bộ quà tặng điểm kim cương</v>
      </c>
      <c r="G780" s="8" t="str">
        <f>IFERROR(__xludf.DUMMYFUNCTION("GOOGLETRANSLATE(E780,""zh-CN"",""vi"")"),"Nhấp đúp chuột sẽ mang lại nhiều phần thưởng khác nhau với một xác suất nhất định.")</f>
        <v>Nhấp đúp chuột sẽ mang lại nhiều phần thưởng khác nhau với một xác suất nhất định.</v>
      </c>
      <c r="H780" s="8"/>
      <c r="I780" s="8"/>
      <c r="J780" s="8"/>
    </row>
    <row r="781" ht="21.0" customHeight="1">
      <c r="A781" s="5">
        <v>5.0</v>
      </c>
      <c r="B781" s="6">
        <v>538.0</v>
      </c>
      <c r="C781" s="6">
        <v>1.0</v>
      </c>
      <c r="D781" s="16" t="s">
        <v>878</v>
      </c>
      <c r="E781" s="9" t="s">
        <v>873</v>
      </c>
      <c r="F781" s="8" t="str">
        <f>IFERROR(__xludf.DUMMYFUNCTION("GOOGLETRANSLATE(D781,""zh-CN"",""vi"")"),"Bộ quà tặng điểm thưởng Star Points")</f>
        <v>Bộ quà tặng điểm thưởng Star Points</v>
      </c>
      <c r="G781" s="8" t="str">
        <f>IFERROR(__xludf.DUMMYFUNCTION("GOOGLETRANSLATE(E781,""zh-CN"",""vi"")"),"Nhấp đúp chuột sẽ mang lại nhiều phần thưởng khác nhau với một xác suất nhất định.")</f>
        <v>Nhấp đúp chuột sẽ mang lại nhiều phần thưởng khác nhau với một xác suất nhất định.</v>
      </c>
      <c r="H781" s="8"/>
      <c r="I781" s="8"/>
      <c r="J781" s="8"/>
    </row>
    <row r="782" ht="21.0" customHeight="1">
      <c r="A782" s="5">
        <v>5.0</v>
      </c>
      <c r="B782" s="6">
        <v>538.0</v>
      </c>
      <c r="C782" s="6">
        <v>1.0</v>
      </c>
      <c r="D782" s="16" t="s">
        <v>879</v>
      </c>
      <c r="E782" s="9" t="s">
        <v>873</v>
      </c>
      <c r="F782" s="8" t="str">
        <f>IFERROR(__xludf.DUMMYFUNCTION("GOOGLETRANSLATE(D782,""zh-CN"",""vi"")"),"Bộ quà tặng King's Points")</f>
        <v>Bộ quà tặng King's Points</v>
      </c>
      <c r="G782" s="8" t="str">
        <f>IFERROR(__xludf.DUMMYFUNCTION("GOOGLETRANSLATE(E782,""zh-CN"",""vi"")"),"Nhấp đúp chuột sẽ mang lại nhiều phần thưởng khác nhau với một xác suất nhất định.")</f>
        <v>Nhấp đúp chuột sẽ mang lại nhiều phần thưởng khác nhau với một xác suất nhất định.</v>
      </c>
      <c r="H782" s="8"/>
      <c r="I782" s="8"/>
      <c r="J782" s="8"/>
    </row>
    <row r="783" ht="21.0" customHeight="1">
      <c r="A783" s="5">
        <v>5.0</v>
      </c>
      <c r="B783" s="6">
        <v>538.0</v>
      </c>
      <c r="C783" s="6">
        <v>1.0</v>
      </c>
      <c r="D783" s="16" t="s">
        <v>880</v>
      </c>
      <c r="E783" s="9" t="s">
        <v>873</v>
      </c>
      <c r="F783" s="8" t="str">
        <f>IFERROR(__xludf.DUMMYFUNCTION("GOOGLETRANSLATE(D783,""zh-CN"",""vi"")"),"Bộ quà tặng những điểm mạnh nhất")</f>
        <v>Bộ quà tặng những điểm mạnh nhất</v>
      </c>
      <c r="G783" s="8" t="str">
        <f>IFERROR(__xludf.DUMMYFUNCTION("GOOGLETRANSLATE(E783,""zh-CN"",""vi"")"),"Nhấp đúp chuột sẽ mang lại nhiều phần thưởng khác nhau với một xác suất nhất định.")</f>
        <v>Nhấp đúp chuột sẽ mang lại nhiều phần thưởng khác nhau với một xác suất nhất định.</v>
      </c>
      <c r="H783" s="8"/>
      <c r="I783" s="8"/>
      <c r="J783" s="8"/>
    </row>
    <row r="784" ht="21.0" customHeight="1">
      <c r="A784" s="5">
        <v>5.0</v>
      </c>
      <c r="B784" s="6">
        <v>538.0</v>
      </c>
      <c r="C784" s="6">
        <v>1.0</v>
      </c>
      <c r="D784" s="16" t="s">
        <v>872</v>
      </c>
      <c r="E784" s="9" t="s">
        <v>873</v>
      </c>
      <c r="F784" s="8" t="str">
        <f>IFERROR(__xludf.DUMMYFUNCTION("GOOGLETRANSLATE(D784,""zh-CN"",""vi"")"),"Gói quà tặng điểm Đồng")</f>
        <v>Gói quà tặng điểm Đồng</v>
      </c>
      <c r="G784" s="8" t="str">
        <f>IFERROR(__xludf.DUMMYFUNCTION("GOOGLETRANSLATE(E784,""zh-CN"",""vi"")"),"Nhấp đúp chuột sẽ mang lại nhiều phần thưởng khác nhau với một xác suất nhất định.")</f>
        <v>Nhấp đúp chuột sẽ mang lại nhiều phần thưởng khác nhau với một xác suất nhất định.</v>
      </c>
      <c r="H784" s="8"/>
      <c r="I784" s="8"/>
      <c r="J784" s="8"/>
    </row>
    <row r="785" ht="21.0" customHeight="1">
      <c r="A785" s="5">
        <v>5.0</v>
      </c>
      <c r="B785" s="6">
        <v>538.0</v>
      </c>
      <c r="C785" s="6">
        <v>1.0</v>
      </c>
      <c r="D785" s="16" t="s">
        <v>874</v>
      </c>
      <c r="E785" s="9" t="s">
        <v>873</v>
      </c>
      <c r="F785" s="8" t="str">
        <f>IFERROR(__xludf.DUMMYFUNCTION("GOOGLETRANSLATE(D785,""zh-CN"",""vi"")"),"Bộ quà tặng điểm bạc")</f>
        <v>Bộ quà tặng điểm bạc</v>
      </c>
      <c r="G785" s="8" t="str">
        <f>IFERROR(__xludf.DUMMYFUNCTION("GOOGLETRANSLATE(E785,""zh-CN"",""vi"")"),"Nhấp đúp chuột sẽ mang lại nhiều phần thưởng khác nhau với một xác suất nhất định.")</f>
        <v>Nhấp đúp chuột sẽ mang lại nhiều phần thưởng khác nhau với một xác suất nhất định.</v>
      </c>
      <c r="H785" s="8"/>
      <c r="I785" s="8"/>
      <c r="J785" s="8"/>
    </row>
    <row r="786" ht="21.0" customHeight="1">
      <c r="A786" s="5">
        <v>5.0</v>
      </c>
      <c r="B786" s="6">
        <v>538.0</v>
      </c>
      <c r="C786" s="6">
        <v>1.0</v>
      </c>
      <c r="D786" s="16" t="s">
        <v>875</v>
      </c>
      <c r="E786" s="9" t="s">
        <v>873</v>
      </c>
      <c r="F786" s="8" t="str">
        <f>IFERROR(__xludf.DUMMYFUNCTION("GOOGLETRANSLATE(D786,""zh-CN"",""vi"")"),"Gói quà tặng điểm vàng")</f>
        <v>Gói quà tặng điểm vàng</v>
      </c>
      <c r="G786" s="8" t="str">
        <f>IFERROR(__xludf.DUMMYFUNCTION("GOOGLETRANSLATE(E786,""zh-CN"",""vi"")"),"Nhấp đúp chuột sẽ mang lại nhiều phần thưởng khác nhau với một xác suất nhất định.")</f>
        <v>Nhấp đúp chuột sẽ mang lại nhiều phần thưởng khác nhau với một xác suất nhất định.</v>
      </c>
      <c r="H786" s="8"/>
      <c r="I786" s="8"/>
      <c r="J786" s="8"/>
    </row>
    <row r="787" ht="21.0" customHeight="1">
      <c r="A787" s="5">
        <v>5.0</v>
      </c>
      <c r="B787" s="6">
        <v>538.0</v>
      </c>
      <c r="C787" s="6">
        <v>1.0</v>
      </c>
      <c r="D787" s="16" t="s">
        <v>876</v>
      </c>
      <c r="E787" s="9" t="s">
        <v>873</v>
      </c>
      <c r="F787" s="8" t="str">
        <f>IFERROR(__xludf.DUMMYFUNCTION("GOOGLETRANSLATE(D787,""zh-CN"",""vi"")"),"Gói quà tặng điểm Platinum")</f>
        <v>Gói quà tặng điểm Platinum</v>
      </c>
      <c r="G787" s="8" t="str">
        <f>IFERROR(__xludf.DUMMYFUNCTION("GOOGLETRANSLATE(E787,""zh-CN"",""vi"")"),"Nhấp đúp chuột sẽ mang lại nhiều phần thưởng khác nhau với một xác suất nhất định.")</f>
        <v>Nhấp đúp chuột sẽ mang lại nhiều phần thưởng khác nhau với một xác suất nhất định.</v>
      </c>
      <c r="H787" s="8"/>
      <c r="I787" s="8"/>
      <c r="J787" s="8"/>
    </row>
    <row r="788" ht="21.0" customHeight="1">
      <c r="A788" s="5">
        <v>5.0</v>
      </c>
      <c r="B788" s="6">
        <v>538.0</v>
      </c>
      <c r="C788" s="6">
        <v>1.0</v>
      </c>
      <c r="D788" s="16" t="s">
        <v>877</v>
      </c>
      <c r="E788" s="9" t="s">
        <v>873</v>
      </c>
      <c r="F788" s="8" t="str">
        <f>IFERROR(__xludf.DUMMYFUNCTION("GOOGLETRANSLATE(D788,""zh-CN"",""vi"")"),"Bộ quà tặng điểm kim cương")</f>
        <v>Bộ quà tặng điểm kim cương</v>
      </c>
      <c r="G788" s="8" t="str">
        <f>IFERROR(__xludf.DUMMYFUNCTION("GOOGLETRANSLATE(E788,""zh-CN"",""vi"")"),"Nhấp đúp chuột sẽ mang lại nhiều phần thưởng khác nhau với một xác suất nhất định.")</f>
        <v>Nhấp đúp chuột sẽ mang lại nhiều phần thưởng khác nhau với một xác suất nhất định.</v>
      </c>
      <c r="H788" s="8"/>
      <c r="I788" s="8"/>
      <c r="J788" s="8"/>
    </row>
    <row r="789" ht="21.0" customHeight="1">
      <c r="A789" s="5">
        <v>5.0</v>
      </c>
      <c r="B789" s="6">
        <v>538.0</v>
      </c>
      <c r="C789" s="6">
        <v>1.0</v>
      </c>
      <c r="D789" s="16" t="s">
        <v>878</v>
      </c>
      <c r="E789" s="9" t="s">
        <v>873</v>
      </c>
      <c r="F789" s="8" t="str">
        <f>IFERROR(__xludf.DUMMYFUNCTION("GOOGLETRANSLATE(D789,""zh-CN"",""vi"")"),"Bộ quà tặng điểm thưởng Star Points")</f>
        <v>Bộ quà tặng điểm thưởng Star Points</v>
      </c>
      <c r="G789" s="8" t="str">
        <f>IFERROR(__xludf.DUMMYFUNCTION("GOOGLETRANSLATE(E789,""zh-CN"",""vi"")"),"Nhấp đúp chuột sẽ mang lại nhiều phần thưởng khác nhau với một xác suất nhất định.")</f>
        <v>Nhấp đúp chuột sẽ mang lại nhiều phần thưởng khác nhau với một xác suất nhất định.</v>
      </c>
      <c r="H789" s="8"/>
      <c r="I789" s="8"/>
      <c r="J789" s="8"/>
    </row>
    <row r="790" ht="21.0" customHeight="1">
      <c r="A790" s="5">
        <v>5.0</v>
      </c>
      <c r="B790" s="6">
        <v>538.0</v>
      </c>
      <c r="C790" s="6">
        <v>1.0</v>
      </c>
      <c r="D790" s="16" t="s">
        <v>879</v>
      </c>
      <c r="E790" s="9" t="s">
        <v>873</v>
      </c>
      <c r="F790" s="8" t="str">
        <f>IFERROR(__xludf.DUMMYFUNCTION("GOOGLETRANSLATE(D790,""zh-CN"",""vi"")"),"Bộ quà tặng King's Points")</f>
        <v>Bộ quà tặng King's Points</v>
      </c>
      <c r="G790" s="8" t="str">
        <f>IFERROR(__xludf.DUMMYFUNCTION("GOOGLETRANSLATE(E790,""zh-CN"",""vi"")"),"Nhấp đúp chuột sẽ mang lại nhiều phần thưởng khác nhau với một xác suất nhất định.")</f>
        <v>Nhấp đúp chuột sẽ mang lại nhiều phần thưởng khác nhau với một xác suất nhất định.</v>
      </c>
      <c r="H790" s="8"/>
      <c r="I790" s="8"/>
      <c r="J790" s="8"/>
    </row>
    <row r="791" ht="21.0" customHeight="1">
      <c r="A791" s="5">
        <v>5.0</v>
      </c>
      <c r="B791" s="6">
        <v>538.0</v>
      </c>
      <c r="C791" s="6">
        <v>1.0</v>
      </c>
      <c r="D791" s="16" t="s">
        <v>880</v>
      </c>
      <c r="E791" s="9" t="s">
        <v>873</v>
      </c>
      <c r="F791" s="8" t="str">
        <f>IFERROR(__xludf.DUMMYFUNCTION("GOOGLETRANSLATE(D791,""zh-CN"",""vi"")"),"Bộ quà tặng những điểm mạnh nhất")</f>
        <v>Bộ quà tặng những điểm mạnh nhất</v>
      </c>
      <c r="G791" s="8" t="str">
        <f>IFERROR(__xludf.DUMMYFUNCTION("GOOGLETRANSLATE(E791,""zh-CN"",""vi"")"),"Nhấp đúp chuột sẽ mang lại nhiều phần thưởng khác nhau với một xác suất nhất định.")</f>
        <v>Nhấp đúp chuột sẽ mang lại nhiều phần thưởng khác nhau với một xác suất nhất định.</v>
      </c>
      <c r="H791" s="8"/>
      <c r="I791" s="8"/>
      <c r="J791" s="8"/>
    </row>
    <row r="792" ht="21.0" customHeight="1">
      <c r="A792" s="5">
        <v>5.0</v>
      </c>
      <c r="B792" s="6">
        <v>544.0</v>
      </c>
      <c r="C792" s="6">
        <v>1.0</v>
      </c>
      <c r="D792" s="16" t="s">
        <v>872</v>
      </c>
      <c r="E792" s="9" t="s">
        <v>873</v>
      </c>
      <c r="F792" s="8" t="str">
        <f>IFERROR(__xludf.DUMMYFUNCTION("GOOGLETRANSLATE(D792,""zh-CN"",""vi"")"),"Gói quà tặng điểm Đồng")</f>
        <v>Gói quà tặng điểm Đồng</v>
      </c>
      <c r="G792" s="8" t="str">
        <f>IFERROR(__xludf.DUMMYFUNCTION("GOOGLETRANSLATE(E792,""zh-CN"",""vi"")"),"Nhấp đúp chuột sẽ mang lại nhiều phần thưởng khác nhau với một xác suất nhất định.")</f>
        <v>Nhấp đúp chuột sẽ mang lại nhiều phần thưởng khác nhau với một xác suất nhất định.</v>
      </c>
      <c r="H792" s="8"/>
      <c r="I792" s="8"/>
      <c r="J792" s="8"/>
    </row>
    <row r="793" ht="21.0" customHeight="1">
      <c r="A793" s="5">
        <v>5.0</v>
      </c>
      <c r="B793" s="6">
        <v>544.0</v>
      </c>
      <c r="C793" s="6">
        <v>1.0</v>
      </c>
      <c r="D793" s="16" t="s">
        <v>874</v>
      </c>
      <c r="E793" s="9" t="s">
        <v>873</v>
      </c>
      <c r="F793" s="8" t="str">
        <f>IFERROR(__xludf.DUMMYFUNCTION("GOOGLETRANSLATE(D793,""zh-CN"",""vi"")"),"Bộ quà tặng điểm bạc")</f>
        <v>Bộ quà tặng điểm bạc</v>
      </c>
      <c r="G793" s="8" t="str">
        <f>IFERROR(__xludf.DUMMYFUNCTION("GOOGLETRANSLATE(E793,""zh-CN"",""vi"")"),"Nhấp đúp chuột sẽ mang lại nhiều phần thưởng khác nhau với một xác suất nhất định.")</f>
        <v>Nhấp đúp chuột sẽ mang lại nhiều phần thưởng khác nhau với một xác suất nhất định.</v>
      </c>
      <c r="H793" s="8"/>
      <c r="I793" s="8"/>
      <c r="J793" s="8"/>
    </row>
    <row r="794" ht="21.0" customHeight="1">
      <c r="A794" s="5">
        <v>5.0</v>
      </c>
      <c r="B794" s="6">
        <v>544.0</v>
      </c>
      <c r="C794" s="6">
        <v>1.0</v>
      </c>
      <c r="D794" s="16" t="s">
        <v>875</v>
      </c>
      <c r="E794" s="9" t="s">
        <v>873</v>
      </c>
      <c r="F794" s="8" t="str">
        <f>IFERROR(__xludf.DUMMYFUNCTION("GOOGLETRANSLATE(D794,""zh-CN"",""vi"")"),"Gói quà tặng điểm vàng")</f>
        <v>Gói quà tặng điểm vàng</v>
      </c>
      <c r="G794" s="8" t="str">
        <f>IFERROR(__xludf.DUMMYFUNCTION("GOOGLETRANSLATE(E794,""zh-CN"",""vi"")"),"Nhấp đúp chuột sẽ mang lại nhiều phần thưởng khác nhau với một xác suất nhất định.")</f>
        <v>Nhấp đúp chuột sẽ mang lại nhiều phần thưởng khác nhau với một xác suất nhất định.</v>
      </c>
      <c r="H794" s="8"/>
      <c r="I794" s="8"/>
      <c r="J794" s="8"/>
    </row>
    <row r="795" ht="21.0" customHeight="1">
      <c r="A795" s="5">
        <v>5.0</v>
      </c>
      <c r="B795" s="6">
        <v>544.0</v>
      </c>
      <c r="C795" s="6">
        <v>1.0</v>
      </c>
      <c r="D795" s="16" t="s">
        <v>876</v>
      </c>
      <c r="E795" s="9" t="s">
        <v>873</v>
      </c>
      <c r="F795" s="8" t="str">
        <f>IFERROR(__xludf.DUMMYFUNCTION("GOOGLETRANSLATE(D795,""zh-CN"",""vi"")"),"Gói quà tặng điểm Platinum")</f>
        <v>Gói quà tặng điểm Platinum</v>
      </c>
      <c r="G795" s="8" t="str">
        <f>IFERROR(__xludf.DUMMYFUNCTION("GOOGLETRANSLATE(E795,""zh-CN"",""vi"")"),"Nhấp đúp chuột sẽ mang lại nhiều phần thưởng khác nhau với một xác suất nhất định.")</f>
        <v>Nhấp đúp chuột sẽ mang lại nhiều phần thưởng khác nhau với một xác suất nhất định.</v>
      </c>
      <c r="H795" s="8"/>
      <c r="I795" s="8"/>
      <c r="J795" s="8"/>
    </row>
    <row r="796" ht="21.0" customHeight="1">
      <c r="A796" s="5">
        <v>5.0</v>
      </c>
      <c r="B796" s="6">
        <v>544.0</v>
      </c>
      <c r="C796" s="6">
        <v>1.0</v>
      </c>
      <c r="D796" s="16" t="s">
        <v>877</v>
      </c>
      <c r="E796" s="9" t="s">
        <v>873</v>
      </c>
      <c r="F796" s="8" t="str">
        <f>IFERROR(__xludf.DUMMYFUNCTION("GOOGLETRANSLATE(D796,""zh-CN"",""vi"")"),"Bộ quà tặng điểm kim cương")</f>
        <v>Bộ quà tặng điểm kim cương</v>
      </c>
      <c r="G796" s="8" t="str">
        <f>IFERROR(__xludf.DUMMYFUNCTION("GOOGLETRANSLATE(E796,""zh-CN"",""vi"")"),"Nhấp đúp chuột sẽ mang lại nhiều phần thưởng khác nhau với một xác suất nhất định.")</f>
        <v>Nhấp đúp chuột sẽ mang lại nhiều phần thưởng khác nhau với một xác suất nhất định.</v>
      </c>
      <c r="H796" s="8"/>
      <c r="I796" s="8"/>
      <c r="J796" s="8"/>
    </row>
    <row r="797" ht="21.0" customHeight="1">
      <c r="A797" s="5">
        <v>5.0</v>
      </c>
      <c r="B797" s="6">
        <v>544.0</v>
      </c>
      <c r="C797" s="6">
        <v>1.0</v>
      </c>
      <c r="D797" s="16" t="s">
        <v>878</v>
      </c>
      <c r="E797" s="9" t="s">
        <v>873</v>
      </c>
      <c r="F797" s="8" t="str">
        <f>IFERROR(__xludf.DUMMYFUNCTION("GOOGLETRANSLATE(D797,""zh-CN"",""vi"")"),"Bộ quà tặng điểm thưởng Star Points")</f>
        <v>Bộ quà tặng điểm thưởng Star Points</v>
      </c>
      <c r="G797" s="8" t="str">
        <f>IFERROR(__xludf.DUMMYFUNCTION("GOOGLETRANSLATE(E797,""zh-CN"",""vi"")"),"Nhấp đúp chuột sẽ mang lại nhiều phần thưởng khác nhau với một xác suất nhất định.")</f>
        <v>Nhấp đúp chuột sẽ mang lại nhiều phần thưởng khác nhau với một xác suất nhất định.</v>
      </c>
      <c r="H797" s="8"/>
      <c r="I797" s="8"/>
      <c r="J797" s="8"/>
    </row>
    <row r="798" ht="21.0" customHeight="1">
      <c r="A798" s="5">
        <v>5.0</v>
      </c>
      <c r="B798" s="6">
        <v>544.0</v>
      </c>
      <c r="C798" s="6">
        <v>1.0</v>
      </c>
      <c r="D798" s="16" t="s">
        <v>879</v>
      </c>
      <c r="E798" s="9" t="s">
        <v>873</v>
      </c>
      <c r="F798" s="8" t="str">
        <f>IFERROR(__xludf.DUMMYFUNCTION("GOOGLETRANSLATE(D798,""zh-CN"",""vi"")"),"Bộ quà tặng King's Points")</f>
        <v>Bộ quà tặng King's Points</v>
      </c>
      <c r="G798" s="8" t="str">
        <f>IFERROR(__xludf.DUMMYFUNCTION("GOOGLETRANSLATE(E798,""zh-CN"",""vi"")"),"Nhấp đúp chuột sẽ mang lại nhiều phần thưởng khác nhau với một xác suất nhất định.")</f>
        <v>Nhấp đúp chuột sẽ mang lại nhiều phần thưởng khác nhau với một xác suất nhất định.</v>
      </c>
      <c r="H798" s="8"/>
      <c r="I798" s="8"/>
      <c r="J798" s="8"/>
    </row>
    <row r="799" ht="21.0" customHeight="1">
      <c r="A799" s="5">
        <v>5.0</v>
      </c>
      <c r="B799" s="6">
        <v>544.0</v>
      </c>
      <c r="C799" s="6">
        <v>1.0</v>
      </c>
      <c r="D799" s="16" t="s">
        <v>880</v>
      </c>
      <c r="E799" s="9" t="s">
        <v>873</v>
      </c>
      <c r="F799" s="8" t="str">
        <f>IFERROR(__xludf.DUMMYFUNCTION("GOOGLETRANSLATE(D799,""zh-CN"",""vi"")"),"Bộ quà tặng những điểm mạnh nhất")</f>
        <v>Bộ quà tặng những điểm mạnh nhất</v>
      </c>
      <c r="G799" s="8" t="str">
        <f>IFERROR(__xludf.DUMMYFUNCTION("GOOGLETRANSLATE(E799,""zh-CN"",""vi"")"),"Nhấp đúp chuột sẽ mang lại nhiều phần thưởng khác nhau với một xác suất nhất định.")</f>
        <v>Nhấp đúp chuột sẽ mang lại nhiều phần thưởng khác nhau với một xác suất nhất định.</v>
      </c>
      <c r="H799" s="8"/>
      <c r="I799" s="8"/>
      <c r="J799" s="8"/>
    </row>
    <row r="800" ht="21.0" customHeight="1">
      <c r="A800" s="5">
        <v>5.0</v>
      </c>
      <c r="B800" s="6">
        <v>545.0</v>
      </c>
      <c r="C800" s="6">
        <v>1.0</v>
      </c>
      <c r="D800" s="16" t="s">
        <v>872</v>
      </c>
      <c r="E800" s="9" t="s">
        <v>873</v>
      </c>
      <c r="F800" s="8" t="str">
        <f>IFERROR(__xludf.DUMMYFUNCTION("GOOGLETRANSLATE(D800,""zh-CN"",""vi"")"),"Gói quà tặng điểm Đồng")</f>
        <v>Gói quà tặng điểm Đồng</v>
      </c>
      <c r="G800" s="8" t="str">
        <f>IFERROR(__xludf.DUMMYFUNCTION("GOOGLETRANSLATE(E800,""zh-CN"",""vi"")"),"Nhấp đúp chuột sẽ mang lại nhiều phần thưởng khác nhau với một xác suất nhất định.")</f>
        <v>Nhấp đúp chuột sẽ mang lại nhiều phần thưởng khác nhau với một xác suất nhất định.</v>
      </c>
      <c r="H800" s="8"/>
      <c r="I800" s="8"/>
      <c r="J800" s="8"/>
    </row>
    <row r="801" ht="21.0" customHeight="1">
      <c r="A801" s="5">
        <v>5.0</v>
      </c>
      <c r="B801" s="6">
        <v>545.0</v>
      </c>
      <c r="C801" s="6">
        <v>1.0</v>
      </c>
      <c r="D801" s="16" t="s">
        <v>874</v>
      </c>
      <c r="E801" s="9" t="s">
        <v>873</v>
      </c>
      <c r="F801" s="8" t="str">
        <f>IFERROR(__xludf.DUMMYFUNCTION("GOOGLETRANSLATE(D801,""zh-CN"",""vi"")"),"Bộ quà tặng điểm bạc")</f>
        <v>Bộ quà tặng điểm bạc</v>
      </c>
      <c r="G801" s="8" t="str">
        <f>IFERROR(__xludf.DUMMYFUNCTION("GOOGLETRANSLATE(E801,""zh-CN"",""vi"")"),"Nhấp đúp chuột sẽ mang lại nhiều phần thưởng khác nhau với một xác suất nhất định.")</f>
        <v>Nhấp đúp chuột sẽ mang lại nhiều phần thưởng khác nhau với một xác suất nhất định.</v>
      </c>
      <c r="H801" s="8"/>
      <c r="I801" s="8"/>
      <c r="J801" s="8"/>
    </row>
    <row r="802" ht="21.0" customHeight="1">
      <c r="A802" s="5">
        <v>5.0</v>
      </c>
      <c r="B802" s="6">
        <v>545.0</v>
      </c>
      <c r="C802" s="6">
        <v>1.0</v>
      </c>
      <c r="D802" s="16" t="s">
        <v>875</v>
      </c>
      <c r="E802" s="9" t="s">
        <v>873</v>
      </c>
      <c r="F802" s="8" t="str">
        <f>IFERROR(__xludf.DUMMYFUNCTION("GOOGLETRANSLATE(D802,""zh-CN"",""vi"")"),"Gói quà tặng điểm vàng")</f>
        <v>Gói quà tặng điểm vàng</v>
      </c>
      <c r="G802" s="8" t="str">
        <f>IFERROR(__xludf.DUMMYFUNCTION("GOOGLETRANSLATE(E802,""zh-CN"",""vi"")"),"Nhấp đúp chuột sẽ mang lại nhiều phần thưởng khác nhau với một xác suất nhất định.")</f>
        <v>Nhấp đúp chuột sẽ mang lại nhiều phần thưởng khác nhau với một xác suất nhất định.</v>
      </c>
      <c r="H802" s="8"/>
      <c r="I802" s="8"/>
      <c r="J802" s="8"/>
    </row>
    <row r="803" ht="21.0" customHeight="1">
      <c r="A803" s="5">
        <v>5.0</v>
      </c>
      <c r="B803" s="6">
        <v>545.0</v>
      </c>
      <c r="C803" s="6">
        <v>1.0</v>
      </c>
      <c r="D803" s="16" t="s">
        <v>876</v>
      </c>
      <c r="E803" s="9" t="s">
        <v>873</v>
      </c>
      <c r="F803" s="8" t="str">
        <f>IFERROR(__xludf.DUMMYFUNCTION("GOOGLETRANSLATE(D803,""zh-CN"",""vi"")"),"Gói quà tặng điểm Platinum")</f>
        <v>Gói quà tặng điểm Platinum</v>
      </c>
      <c r="G803" s="8" t="str">
        <f>IFERROR(__xludf.DUMMYFUNCTION("GOOGLETRANSLATE(E803,""zh-CN"",""vi"")"),"Nhấp đúp chuột sẽ mang lại nhiều phần thưởng khác nhau với một xác suất nhất định.")</f>
        <v>Nhấp đúp chuột sẽ mang lại nhiều phần thưởng khác nhau với một xác suất nhất định.</v>
      </c>
      <c r="H803" s="8"/>
      <c r="I803" s="8"/>
      <c r="J803" s="8"/>
    </row>
    <row r="804" ht="21.0" customHeight="1">
      <c r="A804" s="5">
        <v>5.0</v>
      </c>
      <c r="B804" s="6">
        <v>545.0</v>
      </c>
      <c r="C804" s="6">
        <v>1.0</v>
      </c>
      <c r="D804" s="16" t="s">
        <v>877</v>
      </c>
      <c r="E804" s="9" t="s">
        <v>873</v>
      </c>
      <c r="F804" s="8" t="str">
        <f>IFERROR(__xludf.DUMMYFUNCTION("GOOGLETRANSLATE(D804,""zh-CN"",""vi"")"),"Bộ quà tặng điểm kim cương")</f>
        <v>Bộ quà tặng điểm kim cương</v>
      </c>
      <c r="G804" s="8" t="str">
        <f>IFERROR(__xludf.DUMMYFUNCTION("GOOGLETRANSLATE(E804,""zh-CN"",""vi"")"),"Nhấp đúp chuột sẽ mang lại nhiều phần thưởng khác nhau với một xác suất nhất định.")</f>
        <v>Nhấp đúp chuột sẽ mang lại nhiều phần thưởng khác nhau với một xác suất nhất định.</v>
      </c>
      <c r="H804" s="8"/>
      <c r="I804" s="8"/>
      <c r="J804" s="8"/>
    </row>
    <row r="805" ht="21.0" customHeight="1">
      <c r="A805" s="5">
        <v>5.0</v>
      </c>
      <c r="B805" s="6">
        <v>545.0</v>
      </c>
      <c r="C805" s="6">
        <v>1.0</v>
      </c>
      <c r="D805" s="16" t="s">
        <v>878</v>
      </c>
      <c r="E805" s="9" t="s">
        <v>873</v>
      </c>
      <c r="F805" s="8" t="str">
        <f>IFERROR(__xludf.DUMMYFUNCTION("GOOGLETRANSLATE(D805,""zh-CN"",""vi"")"),"Bộ quà tặng điểm thưởng Star Points")</f>
        <v>Bộ quà tặng điểm thưởng Star Points</v>
      </c>
      <c r="G805" s="8" t="str">
        <f>IFERROR(__xludf.DUMMYFUNCTION("GOOGLETRANSLATE(E805,""zh-CN"",""vi"")"),"Nhấp đúp chuột sẽ mang lại nhiều phần thưởng khác nhau với một xác suất nhất định.")</f>
        <v>Nhấp đúp chuột sẽ mang lại nhiều phần thưởng khác nhau với một xác suất nhất định.</v>
      </c>
      <c r="H805" s="8"/>
      <c r="I805" s="8"/>
      <c r="J805" s="8"/>
    </row>
    <row r="806" ht="21.0" customHeight="1">
      <c r="A806" s="5">
        <v>5.0</v>
      </c>
      <c r="B806" s="6">
        <v>545.0</v>
      </c>
      <c r="C806" s="6">
        <v>1.0</v>
      </c>
      <c r="D806" s="16" t="s">
        <v>879</v>
      </c>
      <c r="E806" s="9" t="s">
        <v>873</v>
      </c>
      <c r="F806" s="8" t="str">
        <f>IFERROR(__xludf.DUMMYFUNCTION("GOOGLETRANSLATE(D806,""zh-CN"",""vi"")"),"Bộ quà tặng King's Points")</f>
        <v>Bộ quà tặng King's Points</v>
      </c>
      <c r="G806" s="8" t="str">
        <f>IFERROR(__xludf.DUMMYFUNCTION("GOOGLETRANSLATE(E806,""zh-CN"",""vi"")"),"Nhấp đúp chuột sẽ mang lại nhiều phần thưởng khác nhau với một xác suất nhất định.")</f>
        <v>Nhấp đúp chuột sẽ mang lại nhiều phần thưởng khác nhau với một xác suất nhất định.</v>
      </c>
      <c r="H806" s="8"/>
      <c r="I806" s="8"/>
      <c r="J806" s="8"/>
    </row>
    <row r="807" ht="21.0" customHeight="1">
      <c r="A807" s="5">
        <v>5.0</v>
      </c>
      <c r="B807" s="6">
        <v>545.0</v>
      </c>
      <c r="C807" s="6">
        <v>1.0</v>
      </c>
      <c r="D807" s="16" t="s">
        <v>880</v>
      </c>
      <c r="E807" s="9" t="s">
        <v>873</v>
      </c>
      <c r="F807" s="8" t="str">
        <f>IFERROR(__xludf.DUMMYFUNCTION("GOOGLETRANSLATE(D807,""zh-CN"",""vi"")"),"Bộ quà tặng những điểm mạnh nhất")</f>
        <v>Bộ quà tặng những điểm mạnh nhất</v>
      </c>
      <c r="G807" s="8" t="str">
        <f>IFERROR(__xludf.DUMMYFUNCTION("GOOGLETRANSLATE(E807,""zh-CN"",""vi"")"),"Nhấp đúp chuột sẽ mang lại nhiều phần thưởng khác nhau với một xác suất nhất định.")</f>
        <v>Nhấp đúp chuột sẽ mang lại nhiều phần thưởng khác nhau với một xác suất nhất định.</v>
      </c>
      <c r="H807" s="8"/>
      <c r="I807" s="8"/>
      <c r="J807" s="8"/>
    </row>
    <row r="808" ht="21.0" customHeight="1">
      <c r="A808" s="5">
        <v>5.0</v>
      </c>
      <c r="B808" s="6">
        <v>546.0</v>
      </c>
      <c r="C808" s="6">
        <v>1.0</v>
      </c>
      <c r="D808" s="16" t="s">
        <v>872</v>
      </c>
      <c r="E808" s="9" t="s">
        <v>873</v>
      </c>
      <c r="F808" s="8" t="str">
        <f>IFERROR(__xludf.DUMMYFUNCTION("GOOGLETRANSLATE(D808,""zh-CN"",""vi"")"),"Gói quà tặng điểm Đồng")</f>
        <v>Gói quà tặng điểm Đồng</v>
      </c>
      <c r="G808" s="8" t="str">
        <f>IFERROR(__xludf.DUMMYFUNCTION("GOOGLETRANSLATE(E808,""zh-CN"",""vi"")"),"Nhấp đúp chuột sẽ mang lại nhiều phần thưởng khác nhau với một xác suất nhất định.")</f>
        <v>Nhấp đúp chuột sẽ mang lại nhiều phần thưởng khác nhau với một xác suất nhất định.</v>
      </c>
      <c r="H808" s="8"/>
      <c r="I808" s="8"/>
      <c r="J808" s="8"/>
    </row>
    <row r="809" ht="21.0" customHeight="1">
      <c r="A809" s="5">
        <v>5.0</v>
      </c>
      <c r="B809" s="6">
        <v>546.0</v>
      </c>
      <c r="C809" s="6">
        <v>1.0</v>
      </c>
      <c r="D809" s="16" t="s">
        <v>874</v>
      </c>
      <c r="E809" s="9" t="s">
        <v>873</v>
      </c>
      <c r="F809" s="8" t="str">
        <f>IFERROR(__xludf.DUMMYFUNCTION("GOOGLETRANSLATE(D809,""zh-CN"",""vi"")"),"Bộ quà tặng điểm bạc")</f>
        <v>Bộ quà tặng điểm bạc</v>
      </c>
      <c r="G809" s="8" t="str">
        <f>IFERROR(__xludf.DUMMYFUNCTION("GOOGLETRANSLATE(E809,""zh-CN"",""vi"")"),"Nhấp đúp chuột sẽ mang lại nhiều phần thưởng khác nhau với một xác suất nhất định.")</f>
        <v>Nhấp đúp chuột sẽ mang lại nhiều phần thưởng khác nhau với một xác suất nhất định.</v>
      </c>
      <c r="H809" s="8"/>
      <c r="I809" s="8"/>
      <c r="J809" s="8"/>
    </row>
    <row r="810" ht="21.0" customHeight="1">
      <c r="A810" s="5">
        <v>5.0</v>
      </c>
      <c r="B810" s="6">
        <v>546.0</v>
      </c>
      <c r="C810" s="6">
        <v>1.0</v>
      </c>
      <c r="D810" s="16" t="s">
        <v>875</v>
      </c>
      <c r="E810" s="9" t="s">
        <v>873</v>
      </c>
      <c r="F810" s="8" t="str">
        <f>IFERROR(__xludf.DUMMYFUNCTION("GOOGLETRANSLATE(D810,""zh-CN"",""vi"")"),"Gói quà tặng điểm vàng")</f>
        <v>Gói quà tặng điểm vàng</v>
      </c>
      <c r="G810" s="8" t="str">
        <f>IFERROR(__xludf.DUMMYFUNCTION("GOOGLETRANSLATE(E810,""zh-CN"",""vi"")"),"Nhấp đúp chuột sẽ mang lại nhiều phần thưởng khác nhau với một xác suất nhất định.")</f>
        <v>Nhấp đúp chuột sẽ mang lại nhiều phần thưởng khác nhau với một xác suất nhất định.</v>
      </c>
      <c r="H810" s="8"/>
      <c r="I810" s="8"/>
      <c r="J810" s="8"/>
    </row>
    <row r="811" ht="21.0" customHeight="1">
      <c r="A811" s="5">
        <v>5.0</v>
      </c>
      <c r="B811" s="6">
        <v>546.0</v>
      </c>
      <c r="C811" s="6">
        <v>1.0</v>
      </c>
      <c r="D811" s="16" t="s">
        <v>876</v>
      </c>
      <c r="E811" s="9" t="s">
        <v>873</v>
      </c>
      <c r="F811" s="8" t="str">
        <f>IFERROR(__xludf.DUMMYFUNCTION("GOOGLETRANSLATE(D811,""zh-CN"",""vi"")"),"Gói quà tặng điểm Platinum")</f>
        <v>Gói quà tặng điểm Platinum</v>
      </c>
      <c r="G811" s="8" t="str">
        <f>IFERROR(__xludf.DUMMYFUNCTION("GOOGLETRANSLATE(E811,""zh-CN"",""vi"")"),"Nhấp đúp chuột sẽ mang lại nhiều phần thưởng khác nhau với một xác suất nhất định.")</f>
        <v>Nhấp đúp chuột sẽ mang lại nhiều phần thưởng khác nhau với một xác suất nhất định.</v>
      </c>
      <c r="H811" s="8"/>
      <c r="I811" s="8"/>
      <c r="J811" s="8"/>
    </row>
    <row r="812" ht="21.0" customHeight="1">
      <c r="A812" s="5">
        <v>5.0</v>
      </c>
      <c r="B812" s="6">
        <v>546.0</v>
      </c>
      <c r="C812" s="6">
        <v>1.0</v>
      </c>
      <c r="D812" s="16" t="s">
        <v>877</v>
      </c>
      <c r="E812" s="9" t="s">
        <v>873</v>
      </c>
      <c r="F812" s="8" t="str">
        <f>IFERROR(__xludf.DUMMYFUNCTION("GOOGLETRANSLATE(D812,""zh-CN"",""vi"")"),"Bộ quà tặng điểm kim cương")</f>
        <v>Bộ quà tặng điểm kim cương</v>
      </c>
      <c r="G812" s="8" t="str">
        <f>IFERROR(__xludf.DUMMYFUNCTION("GOOGLETRANSLATE(E812,""zh-CN"",""vi"")"),"Nhấp đúp chuột sẽ mang lại nhiều phần thưởng khác nhau với một xác suất nhất định.")</f>
        <v>Nhấp đúp chuột sẽ mang lại nhiều phần thưởng khác nhau với một xác suất nhất định.</v>
      </c>
      <c r="H812" s="8"/>
      <c r="I812" s="8"/>
      <c r="J812" s="8"/>
    </row>
    <row r="813" ht="21.0" customHeight="1">
      <c r="A813" s="5">
        <v>5.0</v>
      </c>
      <c r="B813" s="6">
        <v>546.0</v>
      </c>
      <c r="C813" s="6">
        <v>1.0</v>
      </c>
      <c r="D813" s="16" t="s">
        <v>878</v>
      </c>
      <c r="E813" s="9" t="s">
        <v>873</v>
      </c>
      <c r="F813" s="8" t="str">
        <f>IFERROR(__xludf.DUMMYFUNCTION("GOOGLETRANSLATE(D813,""zh-CN"",""vi"")"),"Bộ quà tặng điểm thưởng Star Points")</f>
        <v>Bộ quà tặng điểm thưởng Star Points</v>
      </c>
      <c r="G813" s="8" t="str">
        <f>IFERROR(__xludf.DUMMYFUNCTION("GOOGLETRANSLATE(E813,""zh-CN"",""vi"")"),"Nhấp đúp chuột sẽ mang lại nhiều phần thưởng khác nhau với một xác suất nhất định.")</f>
        <v>Nhấp đúp chuột sẽ mang lại nhiều phần thưởng khác nhau với một xác suất nhất định.</v>
      </c>
      <c r="H813" s="8"/>
      <c r="I813" s="8"/>
      <c r="J813" s="8"/>
    </row>
    <row r="814" ht="21.0" customHeight="1">
      <c r="A814" s="5">
        <v>5.0</v>
      </c>
      <c r="B814" s="6">
        <v>546.0</v>
      </c>
      <c r="C814" s="6">
        <v>1.0</v>
      </c>
      <c r="D814" s="16" t="s">
        <v>879</v>
      </c>
      <c r="E814" s="9" t="s">
        <v>873</v>
      </c>
      <c r="F814" s="8" t="str">
        <f>IFERROR(__xludf.DUMMYFUNCTION("GOOGLETRANSLATE(D814,""zh-CN"",""vi"")"),"Bộ quà tặng King's Points")</f>
        <v>Bộ quà tặng King's Points</v>
      </c>
      <c r="G814" s="8" t="str">
        <f>IFERROR(__xludf.DUMMYFUNCTION("GOOGLETRANSLATE(E814,""zh-CN"",""vi"")"),"Nhấp đúp chuột sẽ mang lại nhiều phần thưởng khác nhau với một xác suất nhất định.")</f>
        <v>Nhấp đúp chuột sẽ mang lại nhiều phần thưởng khác nhau với một xác suất nhất định.</v>
      </c>
      <c r="H814" s="8"/>
      <c r="I814" s="8"/>
      <c r="J814" s="8"/>
    </row>
    <row r="815" ht="21.0" customHeight="1">
      <c r="A815" s="5">
        <v>5.0</v>
      </c>
      <c r="B815" s="6">
        <v>546.0</v>
      </c>
      <c r="C815" s="6">
        <v>1.0</v>
      </c>
      <c r="D815" s="16" t="s">
        <v>880</v>
      </c>
      <c r="E815" s="9" t="s">
        <v>873</v>
      </c>
      <c r="F815" s="8" t="str">
        <f>IFERROR(__xludf.DUMMYFUNCTION("GOOGLETRANSLATE(D815,""zh-CN"",""vi"")"),"Bộ quà tặng những điểm mạnh nhất")</f>
        <v>Bộ quà tặng những điểm mạnh nhất</v>
      </c>
      <c r="G815" s="8" t="str">
        <f>IFERROR(__xludf.DUMMYFUNCTION("GOOGLETRANSLATE(E815,""zh-CN"",""vi"")"),"Nhấp đúp chuột sẽ mang lại nhiều phần thưởng khác nhau với một xác suất nhất định.")</f>
        <v>Nhấp đúp chuột sẽ mang lại nhiều phần thưởng khác nhau với một xác suất nhất định.</v>
      </c>
      <c r="H815" s="8"/>
      <c r="I815" s="8"/>
      <c r="J815" s="8"/>
    </row>
    <row r="816" ht="21.0" customHeight="1">
      <c r="A816" s="5">
        <v>5.0</v>
      </c>
      <c r="B816" s="6">
        <v>547.0</v>
      </c>
      <c r="C816" s="6">
        <v>1.0</v>
      </c>
      <c r="D816" s="16" t="s">
        <v>872</v>
      </c>
      <c r="E816" s="9" t="s">
        <v>873</v>
      </c>
      <c r="F816" s="8" t="str">
        <f>IFERROR(__xludf.DUMMYFUNCTION("GOOGLETRANSLATE(D816,""zh-CN"",""vi"")"),"Gói quà tặng điểm Đồng")</f>
        <v>Gói quà tặng điểm Đồng</v>
      </c>
      <c r="G816" s="8" t="str">
        <f>IFERROR(__xludf.DUMMYFUNCTION("GOOGLETRANSLATE(E816,""zh-CN"",""vi"")"),"Nhấp đúp chuột sẽ mang lại nhiều phần thưởng khác nhau với một xác suất nhất định.")</f>
        <v>Nhấp đúp chuột sẽ mang lại nhiều phần thưởng khác nhau với một xác suất nhất định.</v>
      </c>
      <c r="H816" s="8"/>
      <c r="I816" s="8"/>
      <c r="J816" s="8"/>
    </row>
    <row r="817" ht="21.0" customHeight="1">
      <c r="A817" s="5">
        <v>5.0</v>
      </c>
      <c r="B817" s="6">
        <v>547.0</v>
      </c>
      <c r="C817" s="6">
        <v>1.0</v>
      </c>
      <c r="D817" s="16" t="s">
        <v>874</v>
      </c>
      <c r="E817" s="9" t="s">
        <v>873</v>
      </c>
      <c r="F817" s="8" t="str">
        <f>IFERROR(__xludf.DUMMYFUNCTION("GOOGLETRANSLATE(D817,""zh-CN"",""vi"")"),"Bộ quà tặng điểm bạc")</f>
        <v>Bộ quà tặng điểm bạc</v>
      </c>
      <c r="G817" s="8" t="str">
        <f>IFERROR(__xludf.DUMMYFUNCTION("GOOGLETRANSLATE(E817,""zh-CN"",""vi"")"),"Nhấp đúp chuột sẽ mang lại nhiều phần thưởng khác nhau với một xác suất nhất định.")</f>
        <v>Nhấp đúp chuột sẽ mang lại nhiều phần thưởng khác nhau với một xác suất nhất định.</v>
      </c>
      <c r="H817" s="8"/>
      <c r="I817" s="8"/>
      <c r="J817" s="8"/>
    </row>
    <row r="818" ht="21.0" customHeight="1">
      <c r="A818" s="5">
        <v>5.0</v>
      </c>
      <c r="B818" s="6">
        <v>547.0</v>
      </c>
      <c r="C818" s="6">
        <v>1.0</v>
      </c>
      <c r="D818" s="16" t="s">
        <v>875</v>
      </c>
      <c r="E818" s="9" t="s">
        <v>873</v>
      </c>
      <c r="F818" s="8" t="str">
        <f>IFERROR(__xludf.DUMMYFUNCTION("GOOGLETRANSLATE(D818,""zh-CN"",""vi"")"),"Gói quà tặng điểm vàng")</f>
        <v>Gói quà tặng điểm vàng</v>
      </c>
      <c r="G818" s="8" t="str">
        <f>IFERROR(__xludf.DUMMYFUNCTION("GOOGLETRANSLATE(E818,""zh-CN"",""vi"")"),"Nhấp đúp chuột sẽ mang lại nhiều phần thưởng khác nhau với một xác suất nhất định.")</f>
        <v>Nhấp đúp chuột sẽ mang lại nhiều phần thưởng khác nhau với một xác suất nhất định.</v>
      </c>
      <c r="H818" s="8"/>
      <c r="I818" s="8"/>
      <c r="J818" s="8"/>
    </row>
    <row r="819" ht="21.0" customHeight="1">
      <c r="A819" s="5">
        <v>5.0</v>
      </c>
      <c r="B819" s="6">
        <v>547.0</v>
      </c>
      <c r="C819" s="6">
        <v>1.0</v>
      </c>
      <c r="D819" s="16" t="s">
        <v>876</v>
      </c>
      <c r="E819" s="9" t="s">
        <v>873</v>
      </c>
      <c r="F819" s="8" t="str">
        <f>IFERROR(__xludf.DUMMYFUNCTION("GOOGLETRANSLATE(D819,""zh-CN"",""vi"")"),"Gói quà tặng điểm Platinum")</f>
        <v>Gói quà tặng điểm Platinum</v>
      </c>
      <c r="G819" s="8" t="str">
        <f>IFERROR(__xludf.DUMMYFUNCTION("GOOGLETRANSLATE(E819,""zh-CN"",""vi"")"),"Nhấp đúp chuột sẽ mang lại nhiều phần thưởng khác nhau với một xác suất nhất định.")</f>
        <v>Nhấp đúp chuột sẽ mang lại nhiều phần thưởng khác nhau với một xác suất nhất định.</v>
      </c>
      <c r="H819" s="8"/>
      <c r="I819" s="8"/>
      <c r="J819" s="8"/>
    </row>
    <row r="820" ht="21.0" customHeight="1">
      <c r="A820" s="5">
        <v>5.0</v>
      </c>
      <c r="B820" s="6">
        <v>547.0</v>
      </c>
      <c r="C820" s="6">
        <v>1.0</v>
      </c>
      <c r="D820" s="16" t="s">
        <v>877</v>
      </c>
      <c r="E820" s="9" t="s">
        <v>873</v>
      </c>
      <c r="F820" s="8" t="str">
        <f>IFERROR(__xludf.DUMMYFUNCTION("GOOGLETRANSLATE(D820,""zh-CN"",""vi"")"),"Bộ quà tặng điểm kim cương")</f>
        <v>Bộ quà tặng điểm kim cương</v>
      </c>
      <c r="G820" s="8" t="str">
        <f>IFERROR(__xludf.DUMMYFUNCTION("GOOGLETRANSLATE(E820,""zh-CN"",""vi"")"),"Nhấp đúp chuột sẽ mang lại nhiều phần thưởng khác nhau với một xác suất nhất định.")</f>
        <v>Nhấp đúp chuột sẽ mang lại nhiều phần thưởng khác nhau với một xác suất nhất định.</v>
      </c>
      <c r="H820" s="8"/>
      <c r="I820" s="8"/>
      <c r="J820" s="8"/>
    </row>
    <row r="821" ht="21.0" customHeight="1">
      <c r="A821" s="5">
        <v>5.0</v>
      </c>
      <c r="B821" s="6">
        <v>547.0</v>
      </c>
      <c r="C821" s="6">
        <v>1.0</v>
      </c>
      <c r="D821" s="16" t="s">
        <v>878</v>
      </c>
      <c r="E821" s="9" t="s">
        <v>873</v>
      </c>
      <c r="F821" s="8" t="str">
        <f>IFERROR(__xludf.DUMMYFUNCTION("GOOGLETRANSLATE(D821,""zh-CN"",""vi"")"),"Bộ quà tặng điểm thưởng Star Points")</f>
        <v>Bộ quà tặng điểm thưởng Star Points</v>
      </c>
      <c r="G821" s="8" t="str">
        <f>IFERROR(__xludf.DUMMYFUNCTION("GOOGLETRANSLATE(E821,""zh-CN"",""vi"")"),"Nhấp đúp chuột sẽ mang lại nhiều phần thưởng khác nhau với một xác suất nhất định.")</f>
        <v>Nhấp đúp chuột sẽ mang lại nhiều phần thưởng khác nhau với một xác suất nhất định.</v>
      </c>
      <c r="H821" s="8"/>
      <c r="I821" s="8"/>
      <c r="J821" s="8"/>
    </row>
    <row r="822" ht="21.0" customHeight="1">
      <c r="A822" s="5">
        <v>5.0</v>
      </c>
      <c r="B822" s="6">
        <v>547.0</v>
      </c>
      <c r="C822" s="6">
        <v>1.0</v>
      </c>
      <c r="D822" s="16" t="s">
        <v>879</v>
      </c>
      <c r="E822" s="9" t="s">
        <v>873</v>
      </c>
      <c r="F822" s="8" t="str">
        <f>IFERROR(__xludf.DUMMYFUNCTION("GOOGLETRANSLATE(D822,""zh-CN"",""vi"")"),"Bộ quà tặng King's Points")</f>
        <v>Bộ quà tặng King's Points</v>
      </c>
      <c r="G822" s="8" t="str">
        <f>IFERROR(__xludf.DUMMYFUNCTION("GOOGLETRANSLATE(E822,""zh-CN"",""vi"")"),"Nhấp đúp chuột sẽ mang lại nhiều phần thưởng khác nhau với một xác suất nhất định.")</f>
        <v>Nhấp đúp chuột sẽ mang lại nhiều phần thưởng khác nhau với một xác suất nhất định.</v>
      </c>
      <c r="H822" s="8"/>
      <c r="I822" s="8"/>
      <c r="J822" s="8"/>
    </row>
    <row r="823" ht="21.0" customHeight="1">
      <c r="A823" s="5">
        <v>5.0</v>
      </c>
      <c r="B823" s="6">
        <v>547.0</v>
      </c>
      <c r="C823" s="6">
        <v>1.0</v>
      </c>
      <c r="D823" s="16" t="s">
        <v>880</v>
      </c>
      <c r="E823" s="9" t="s">
        <v>873</v>
      </c>
      <c r="F823" s="8" t="str">
        <f>IFERROR(__xludf.DUMMYFUNCTION("GOOGLETRANSLATE(D823,""zh-CN"",""vi"")"),"Bộ quà tặng những điểm mạnh nhất")</f>
        <v>Bộ quà tặng những điểm mạnh nhất</v>
      </c>
      <c r="G823" s="8" t="str">
        <f>IFERROR(__xludf.DUMMYFUNCTION("GOOGLETRANSLATE(E823,""zh-CN"",""vi"")"),"Nhấp đúp chuột sẽ mang lại nhiều phần thưởng khác nhau với một xác suất nhất định.")</f>
        <v>Nhấp đúp chuột sẽ mang lại nhiều phần thưởng khác nhau với một xác suất nhất định.</v>
      </c>
      <c r="H823" s="8"/>
      <c r="I823" s="8"/>
      <c r="J823" s="8"/>
    </row>
    <row r="824" ht="21.0" customHeight="1">
      <c r="A824" s="5">
        <v>5.0</v>
      </c>
      <c r="B824" s="6">
        <v>548.0</v>
      </c>
      <c r="C824" s="6">
        <v>1.0</v>
      </c>
      <c r="D824" s="16" t="s">
        <v>872</v>
      </c>
      <c r="E824" s="9" t="s">
        <v>873</v>
      </c>
      <c r="F824" s="8" t="str">
        <f>IFERROR(__xludf.DUMMYFUNCTION("GOOGLETRANSLATE(D824,""zh-CN"",""vi"")"),"Gói quà tặng điểm Đồng")</f>
        <v>Gói quà tặng điểm Đồng</v>
      </c>
      <c r="G824" s="8" t="str">
        <f>IFERROR(__xludf.DUMMYFUNCTION("GOOGLETRANSLATE(E824,""zh-CN"",""vi"")"),"Nhấp đúp chuột sẽ mang lại nhiều phần thưởng khác nhau với một xác suất nhất định.")</f>
        <v>Nhấp đúp chuột sẽ mang lại nhiều phần thưởng khác nhau với một xác suất nhất định.</v>
      </c>
      <c r="H824" s="8"/>
      <c r="I824" s="8"/>
      <c r="J824" s="8"/>
    </row>
    <row r="825" ht="21.0" customHeight="1">
      <c r="A825" s="5">
        <v>5.0</v>
      </c>
      <c r="B825" s="6">
        <v>548.0</v>
      </c>
      <c r="C825" s="6">
        <v>1.0</v>
      </c>
      <c r="D825" s="16" t="s">
        <v>874</v>
      </c>
      <c r="E825" s="9" t="s">
        <v>873</v>
      </c>
      <c r="F825" s="8" t="str">
        <f>IFERROR(__xludf.DUMMYFUNCTION("GOOGLETRANSLATE(D825,""zh-CN"",""vi"")"),"Bộ quà tặng điểm bạc")</f>
        <v>Bộ quà tặng điểm bạc</v>
      </c>
      <c r="G825" s="8" t="str">
        <f>IFERROR(__xludf.DUMMYFUNCTION("GOOGLETRANSLATE(E825,""zh-CN"",""vi"")"),"Nhấp đúp chuột sẽ mang lại nhiều phần thưởng khác nhau với một xác suất nhất định.")</f>
        <v>Nhấp đúp chuột sẽ mang lại nhiều phần thưởng khác nhau với một xác suất nhất định.</v>
      </c>
      <c r="H825" s="8"/>
      <c r="I825" s="8"/>
      <c r="J825" s="8"/>
    </row>
    <row r="826" ht="21.0" customHeight="1">
      <c r="A826" s="5">
        <v>5.0</v>
      </c>
      <c r="B826" s="6">
        <v>548.0</v>
      </c>
      <c r="C826" s="6">
        <v>1.0</v>
      </c>
      <c r="D826" s="16" t="s">
        <v>875</v>
      </c>
      <c r="E826" s="9" t="s">
        <v>873</v>
      </c>
      <c r="F826" s="8" t="str">
        <f>IFERROR(__xludf.DUMMYFUNCTION("GOOGLETRANSLATE(D826,""zh-CN"",""vi"")"),"Gói quà tặng điểm vàng")</f>
        <v>Gói quà tặng điểm vàng</v>
      </c>
      <c r="G826" s="8" t="str">
        <f>IFERROR(__xludf.DUMMYFUNCTION("GOOGLETRANSLATE(E826,""zh-CN"",""vi"")"),"Nhấp đúp chuột sẽ mang lại nhiều phần thưởng khác nhau với một xác suất nhất định.")</f>
        <v>Nhấp đúp chuột sẽ mang lại nhiều phần thưởng khác nhau với một xác suất nhất định.</v>
      </c>
      <c r="H826" s="8"/>
      <c r="I826" s="8"/>
      <c r="J826" s="8"/>
    </row>
    <row r="827" ht="21.0" customHeight="1">
      <c r="A827" s="5">
        <v>5.0</v>
      </c>
      <c r="B827" s="6">
        <v>548.0</v>
      </c>
      <c r="C827" s="6">
        <v>1.0</v>
      </c>
      <c r="D827" s="16" t="s">
        <v>876</v>
      </c>
      <c r="E827" s="9" t="s">
        <v>873</v>
      </c>
      <c r="F827" s="8" t="str">
        <f>IFERROR(__xludf.DUMMYFUNCTION("GOOGLETRANSLATE(D827,""zh-CN"",""vi"")"),"Gói quà tặng điểm Platinum")</f>
        <v>Gói quà tặng điểm Platinum</v>
      </c>
      <c r="G827" s="8" t="str">
        <f>IFERROR(__xludf.DUMMYFUNCTION("GOOGLETRANSLATE(E827,""zh-CN"",""vi"")"),"Nhấp đúp chuột sẽ mang lại nhiều phần thưởng khác nhau với một xác suất nhất định.")</f>
        <v>Nhấp đúp chuột sẽ mang lại nhiều phần thưởng khác nhau với một xác suất nhất định.</v>
      </c>
      <c r="H827" s="8"/>
      <c r="I827" s="8"/>
      <c r="J827" s="8"/>
    </row>
    <row r="828" ht="21.0" customHeight="1">
      <c r="A828" s="5">
        <v>5.0</v>
      </c>
      <c r="B828" s="6">
        <v>548.0</v>
      </c>
      <c r="C828" s="6">
        <v>1.0</v>
      </c>
      <c r="D828" s="16" t="s">
        <v>877</v>
      </c>
      <c r="E828" s="9" t="s">
        <v>873</v>
      </c>
      <c r="F828" s="8" t="str">
        <f>IFERROR(__xludf.DUMMYFUNCTION("GOOGLETRANSLATE(D828,""zh-CN"",""vi"")"),"Bộ quà tặng điểm kim cương")</f>
        <v>Bộ quà tặng điểm kim cương</v>
      </c>
      <c r="G828" s="8" t="str">
        <f>IFERROR(__xludf.DUMMYFUNCTION("GOOGLETRANSLATE(E828,""zh-CN"",""vi"")"),"Nhấp đúp chuột sẽ mang lại nhiều phần thưởng khác nhau với một xác suất nhất định.")</f>
        <v>Nhấp đúp chuột sẽ mang lại nhiều phần thưởng khác nhau với một xác suất nhất định.</v>
      </c>
      <c r="H828" s="8"/>
      <c r="I828" s="8"/>
      <c r="J828" s="8"/>
    </row>
    <row r="829" ht="21.0" customHeight="1">
      <c r="A829" s="5">
        <v>5.0</v>
      </c>
      <c r="B829" s="6">
        <v>548.0</v>
      </c>
      <c r="C829" s="6">
        <v>1.0</v>
      </c>
      <c r="D829" s="16" t="s">
        <v>878</v>
      </c>
      <c r="E829" s="9" t="s">
        <v>873</v>
      </c>
      <c r="F829" s="8" t="str">
        <f>IFERROR(__xludf.DUMMYFUNCTION("GOOGLETRANSLATE(D829,""zh-CN"",""vi"")"),"Bộ quà tặng điểm thưởng Star Points")</f>
        <v>Bộ quà tặng điểm thưởng Star Points</v>
      </c>
      <c r="G829" s="8" t="str">
        <f>IFERROR(__xludf.DUMMYFUNCTION("GOOGLETRANSLATE(E829,""zh-CN"",""vi"")"),"Nhấp đúp chuột sẽ mang lại nhiều phần thưởng khác nhau với một xác suất nhất định.")</f>
        <v>Nhấp đúp chuột sẽ mang lại nhiều phần thưởng khác nhau với một xác suất nhất định.</v>
      </c>
      <c r="H829" s="8"/>
      <c r="I829" s="8"/>
      <c r="J829" s="8"/>
    </row>
    <row r="830" ht="21.0" customHeight="1">
      <c r="A830" s="5">
        <v>5.0</v>
      </c>
      <c r="B830" s="6">
        <v>548.0</v>
      </c>
      <c r="C830" s="6">
        <v>1.0</v>
      </c>
      <c r="D830" s="16" t="s">
        <v>879</v>
      </c>
      <c r="E830" s="9" t="s">
        <v>873</v>
      </c>
      <c r="F830" s="8" t="str">
        <f>IFERROR(__xludf.DUMMYFUNCTION("GOOGLETRANSLATE(D830,""zh-CN"",""vi"")"),"Bộ quà tặng King's Points")</f>
        <v>Bộ quà tặng King's Points</v>
      </c>
      <c r="G830" s="8" t="str">
        <f>IFERROR(__xludf.DUMMYFUNCTION("GOOGLETRANSLATE(E830,""zh-CN"",""vi"")"),"Nhấp đúp chuột sẽ mang lại nhiều phần thưởng khác nhau với một xác suất nhất định.")</f>
        <v>Nhấp đúp chuột sẽ mang lại nhiều phần thưởng khác nhau với một xác suất nhất định.</v>
      </c>
      <c r="H830" s="8"/>
      <c r="I830" s="8"/>
      <c r="J830" s="8"/>
    </row>
    <row r="831" ht="21.0" customHeight="1">
      <c r="A831" s="5">
        <v>5.0</v>
      </c>
      <c r="B831" s="6">
        <v>548.0</v>
      </c>
      <c r="C831" s="6">
        <v>1.0</v>
      </c>
      <c r="D831" s="16" t="s">
        <v>880</v>
      </c>
      <c r="E831" s="9" t="s">
        <v>873</v>
      </c>
      <c r="F831" s="8" t="str">
        <f>IFERROR(__xludf.DUMMYFUNCTION("GOOGLETRANSLATE(D831,""zh-CN"",""vi"")"),"Bộ quà tặng những điểm mạnh nhất")</f>
        <v>Bộ quà tặng những điểm mạnh nhất</v>
      </c>
      <c r="G831" s="8" t="str">
        <f>IFERROR(__xludf.DUMMYFUNCTION("GOOGLETRANSLATE(E831,""zh-CN"",""vi"")"),"Nhấp đúp chuột sẽ mang lại nhiều phần thưởng khác nhau với một xác suất nhất định.")</f>
        <v>Nhấp đúp chuột sẽ mang lại nhiều phần thưởng khác nhau với một xác suất nhất định.</v>
      </c>
      <c r="H831" s="8"/>
      <c r="I831" s="8"/>
      <c r="J831" s="8"/>
    </row>
    <row r="832" ht="21.0" customHeight="1">
      <c r="A832" s="5">
        <v>5.0</v>
      </c>
      <c r="B832" s="6">
        <v>549.0</v>
      </c>
      <c r="C832" s="6">
        <v>1.0</v>
      </c>
      <c r="D832" s="16" t="s">
        <v>872</v>
      </c>
      <c r="E832" s="9" t="s">
        <v>873</v>
      </c>
      <c r="F832" s="8" t="str">
        <f>IFERROR(__xludf.DUMMYFUNCTION("GOOGLETRANSLATE(D832,""zh-CN"",""vi"")"),"Gói quà tặng điểm Đồng")</f>
        <v>Gói quà tặng điểm Đồng</v>
      </c>
      <c r="G832" s="8" t="str">
        <f>IFERROR(__xludf.DUMMYFUNCTION("GOOGLETRANSLATE(E832,""zh-CN"",""vi"")"),"Nhấp đúp chuột sẽ mang lại nhiều phần thưởng khác nhau với một xác suất nhất định.")</f>
        <v>Nhấp đúp chuột sẽ mang lại nhiều phần thưởng khác nhau với một xác suất nhất định.</v>
      </c>
      <c r="H832" s="8"/>
      <c r="I832" s="8"/>
      <c r="J832" s="8"/>
    </row>
    <row r="833" ht="21.0" customHeight="1">
      <c r="A833" s="5">
        <v>5.0</v>
      </c>
      <c r="B833" s="6">
        <v>549.0</v>
      </c>
      <c r="C833" s="6">
        <v>1.0</v>
      </c>
      <c r="D833" s="16" t="s">
        <v>874</v>
      </c>
      <c r="E833" s="9" t="s">
        <v>873</v>
      </c>
      <c r="F833" s="8" t="str">
        <f>IFERROR(__xludf.DUMMYFUNCTION("GOOGLETRANSLATE(D833,""zh-CN"",""vi"")"),"Bộ quà tặng điểm bạc")</f>
        <v>Bộ quà tặng điểm bạc</v>
      </c>
      <c r="G833" s="8" t="str">
        <f>IFERROR(__xludf.DUMMYFUNCTION("GOOGLETRANSLATE(E833,""zh-CN"",""vi"")"),"Nhấp đúp chuột sẽ mang lại nhiều phần thưởng khác nhau với một xác suất nhất định.")</f>
        <v>Nhấp đúp chuột sẽ mang lại nhiều phần thưởng khác nhau với một xác suất nhất định.</v>
      </c>
      <c r="H833" s="8"/>
      <c r="I833" s="8"/>
      <c r="J833" s="8"/>
    </row>
    <row r="834" ht="21.0" customHeight="1">
      <c r="A834" s="5">
        <v>5.0</v>
      </c>
      <c r="B834" s="6">
        <v>549.0</v>
      </c>
      <c r="C834" s="6">
        <v>1.0</v>
      </c>
      <c r="D834" s="16" t="s">
        <v>875</v>
      </c>
      <c r="E834" s="9" t="s">
        <v>873</v>
      </c>
      <c r="F834" s="8" t="str">
        <f>IFERROR(__xludf.DUMMYFUNCTION("GOOGLETRANSLATE(D834,""zh-CN"",""vi"")"),"Gói quà tặng điểm vàng")</f>
        <v>Gói quà tặng điểm vàng</v>
      </c>
      <c r="G834" s="8" t="str">
        <f>IFERROR(__xludf.DUMMYFUNCTION("GOOGLETRANSLATE(E834,""zh-CN"",""vi"")"),"Nhấp đúp chuột sẽ mang lại nhiều phần thưởng khác nhau với một xác suất nhất định.")</f>
        <v>Nhấp đúp chuột sẽ mang lại nhiều phần thưởng khác nhau với một xác suất nhất định.</v>
      </c>
      <c r="H834" s="8"/>
      <c r="I834" s="8"/>
      <c r="J834" s="8"/>
    </row>
    <row r="835" ht="21.0" customHeight="1">
      <c r="A835" s="5">
        <v>5.0</v>
      </c>
      <c r="B835" s="6">
        <v>549.0</v>
      </c>
      <c r="C835" s="6">
        <v>1.0</v>
      </c>
      <c r="D835" s="16" t="s">
        <v>876</v>
      </c>
      <c r="E835" s="9" t="s">
        <v>873</v>
      </c>
      <c r="F835" s="8" t="str">
        <f>IFERROR(__xludf.DUMMYFUNCTION("GOOGLETRANSLATE(D835,""zh-CN"",""vi"")"),"Gói quà tặng điểm Platinum")</f>
        <v>Gói quà tặng điểm Platinum</v>
      </c>
      <c r="G835" s="8" t="str">
        <f>IFERROR(__xludf.DUMMYFUNCTION("GOOGLETRANSLATE(E835,""zh-CN"",""vi"")"),"Nhấp đúp chuột sẽ mang lại nhiều phần thưởng khác nhau với một xác suất nhất định.")</f>
        <v>Nhấp đúp chuột sẽ mang lại nhiều phần thưởng khác nhau với một xác suất nhất định.</v>
      </c>
      <c r="H835" s="8"/>
      <c r="I835" s="8"/>
      <c r="J835" s="8"/>
    </row>
    <row r="836" ht="21.0" customHeight="1">
      <c r="A836" s="5">
        <v>5.0</v>
      </c>
      <c r="B836" s="6">
        <v>549.0</v>
      </c>
      <c r="C836" s="6">
        <v>1.0</v>
      </c>
      <c r="D836" s="16" t="s">
        <v>877</v>
      </c>
      <c r="E836" s="9" t="s">
        <v>873</v>
      </c>
      <c r="F836" s="8" t="str">
        <f>IFERROR(__xludf.DUMMYFUNCTION("GOOGLETRANSLATE(D836,""zh-CN"",""vi"")"),"Bộ quà tặng điểm kim cương")</f>
        <v>Bộ quà tặng điểm kim cương</v>
      </c>
      <c r="G836" s="8" t="str">
        <f>IFERROR(__xludf.DUMMYFUNCTION("GOOGLETRANSLATE(E836,""zh-CN"",""vi"")"),"Nhấp đúp chuột sẽ mang lại nhiều phần thưởng khác nhau với một xác suất nhất định.")</f>
        <v>Nhấp đúp chuột sẽ mang lại nhiều phần thưởng khác nhau với một xác suất nhất định.</v>
      </c>
      <c r="H836" s="8"/>
      <c r="I836" s="8"/>
      <c r="J836" s="8"/>
    </row>
    <row r="837" ht="21.0" customHeight="1">
      <c r="A837" s="5">
        <v>5.0</v>
      </c>
      <c r="B837" s="6">
        <v>549.0</v>
      </c>
      <c r="C837" s="6">
        <v>1.0</v>
      </c>
      <c r="D837" s="16" t="s">
        <v>878</v>
      </c>
      <c r="E837" s="9" t="s">
        <v>873</v>
      </c>
      <c r="F837" s="8" t="str">
        <f>IFERROR(__xludf.DUMMYFUNCTION("GOOGLETRANSLATE(D837,""zh-CN"",""vi"")"),"Bộ quà tặng điểm thưởng Star Points")</f>
        <v>Bộ quà tặng điểm thưởng Star Points</v>
      </c>
      <c r="G837" s="8" t="str">
        <f>IFERROR(__xludf.DUMMYFUNCTION("GOOGLETRANSLATE(E837,""zh-CN"",""vi"")"),"Nhấp đúp chuột sẽ mang lại nhiều phần thưởng khác nhau với một xác suất nhất định.")</f>
        <v>Nhấp đúp chuột sẽ mang lại nhiều phần thưởng khác nhau với một xác suất nhất định.</v>
      </c>
      <c r="H837" s="8"/>
      <c r="I837" s="8"/>
      <c r="J837" s="8"/>
    </row>
    <row r="838" ht="21.0" customHeight="1">
      <c r="A838" s="5">
        <v>5.0</v>
      </c>
      <c r="B838" s="6">
        <v>549.0</v>
      </c>
      <c r="C838" s="6">
        <v>1.0</v>
      </c>
      <c r="D838" s="16" t="s">
        <v>879</v>
      </c>
      <c r="E838" s="9" t="s">
        <v>873</v>
      </c>
      <c r="F838" s="8" t="str">
        <f>IFERROR(__xludf.DUMMYFUNCTION("GOOGLETRANSLATE(D838,""zh-CN"",""vi"")"),"Bộ quà tặng King's Points")</f>
        <v>Bộ quà tặng King's Points</v>
      </c>
      <c r="G838" s="8" t="str">
        <f>IFERROR(__xludf.DUMMYFUNCTION("GOOGLETRANSLATE(E838,""zh-CN"",""vi"")"),"Nhấp đúp chuột sẽ mang lại nhiều phần thưởng khác nhau với một xác suất nhất định.")</f>
        <v>Nhấp đúp chuột sẽ mang lại nhiều phần thưởng khác nhau với một xác suất nhất định.</v>
      </c>
      <c r="H838" s="8"/>
      <c r="I838" s="8"/>
      <c r="J838" s="8"/>
    </row>
    <row r="839" ht="21.0" customHeight="1">
      <c r="A839" s="5">
        <v>5.0</v>
      </c>
      <c r="B839" s="6">
        <v>549.0</v>
      </c>
      <c r="C839" s="6">
        <v>1.0</v>
      </c>
      <c r="D839" s="16" t="s">
        <v>880</v>
      </c>
      <c r="E839" s="9" t="s">
        <v>873</v>
      </c>
      <c r="F839" s="8" t="str">
        <f>IFERROR(__xludf.DUMMYFUNCTION("GOOGLETRANSLATE(D839,""zh-CN"",""vi"")"),"Bộ quà tặng những điểm mạnh nhất")</f>
        <v>Bộ quà tặng những điểm mạnh nhất</v>
      </c>
      <c r="G839" s="8" t="str">
        <f>IFERROR(__xludf.DUMMYFUNCTION("GOOGLETRANSLATE(E839,""zh-CN"",""vi"")"),"Nhấp đúp chuột sẽ mang lại nhiều phần thưởng khác nhau với một xác suất nhất định.")</f>
        <v>Nhấp đúp chuột sẽ mang lại nhiều phần thưởng khác nhau với một xác suất nhất định.</v>
      </c>
      <c r="H839" s="8"/>
      <c r="I839" s="8"/>
      <c r="J839" s="8"/>
    </row>
    <row r="840" ht="21.0" customHeight="1">
      <c r="A840" s="5">
        <v>5.0</v>
      </c>
      <c r="B840" s="6">
        <v>550.0</v>
      </c>
      <c r="C840" s="6">
        <v>1.0</v>
      </c>
      <c r="D840" s="16" t="s">
        <v>872</v>
      </c>
      <c r="E840" s="9" t="s">
        <v>873</v>
      </c>
      <c r="F840" s="8" t="str">
        <f>IFERROR(__xludf.DUMMYFUNCTION("GOOGLETRANSLATE(D840,""zh-CN"",""vi"")"),"Gói quà tặng điểm Đồng")</f>
        <v>Gói quà tặng điểm Đồng</v>
      </c>
      <c r="G840" s="8" t="str">
        <f>IFERROR(__xludf.DUMMYFUNCTION("GOOGLETRANSLATE(E840,""zh-CN"",""vi"")"),"Nhấp đúp chuột sẽ mang lại nhiều phần thưởng khác nhau với một xác suất nhất định.")</f>
        <v>Nhấp đúp chuột sẽ mang lại nhiều phần thưởng khác nhau với một xác suất nhất định.</v>
      </c>
      <c r="H840" s="8"/>
      <c r="I840" s="8"/>
      <c r="J840" s="8"/>
    </row>
    <row r="841" ht="21.0" customHeight="1">
      <c r="A841" s="5">
        <v>5.0</v>
      </c>
      <c r="B841" s="6">
        <v>550.0</v>
      </c>
      <c r="C841" s="6">
        <v>1.0</v>
      </c>
      <c r="D841" s="16" t="s">
        <v>874</v>
      </c>
      <c r="E841" s="9" t="s">
        <v>873</v>
      </c>
      <c r="F841" s="8" t="str">
        <f>IFERROR(__xludf.DUMMYFUNCTION("GOOGLETRANSLATE(D841,""zh-CN"",""vi"")"),"Bộ quà tặng điểm bạc")</f>
        <v>Bộ quà tặng điểm bạc</v>
      </c>
      <c r="G841" s="8" t="str">
        <f>IFERROR(__xludf.DUMMYFUNCTION("GOOGLETRANSLATE(E841,""zh-CN"",""vi"")"),"Nhấp đúp chuột sẽ mang lại nhiều phần thưởng khác nhau với một xác suất nhất định.")</f>
        <v>Nhấp đúp chuột sẽ mang lại nhiều phần thưởng khác nhau với một xác suất nhất định.</v>
      </c>
      <c r="H841" s="8"/>
      <c r="I841" s="8"/>
      <c r="J841" s="8"/>
    </row>
    <row r="842" ht="21.0" customHeight="1">
      <c r="A842" s="5">
        <v>5.0</v>
      </c>
      <c r="B842" s="6">
        <v>550.0</v>
      </c>
      <c r="C842" s="6">
        <v>1.0</v>
      </c>
      <c r="D842" s="16" t="s">
        <v>875</v>
      </c>
      <c r="E842" s="9" t="s">
        <v>873</v>
      </c>
      <c r="F842" s="8" t="str">
        <f>IFERROR(__xludf.DUMMYFUNCTION("GOOGLETRANSLATE(D842,""zh-CN"",""vi"")"),"Gói quà tặng điểm vàng")</f>
        <v>Gói quà tặng điểm vàng</v>
      </c>
      <c r="G842" s="8" t="str">
        <f>IFERROR(__xludf.DUMMYFUNCTION("GOOGLETRANSLATE(E842,""zh-CN"",""vi"")"),"Nhấp đúp chuột sẽ mang lại nhiều phần thưởng khác nhau với một xác suất nhất định.")</f>
        <v>Nhấp đúp chuột sẽ mang lại nhiều phần thưởng khác nhau với một xác suất nhất định.</v>
      </c>
      <c r="H842" s="8"/>
      <c r="I842" s="8"/>
      <c r="J842" s="8"/>
    </row>
    <row r="843" ht="21.0" customHeight="1">
      <c r="A843" s="5">
        <v>5.0</v>
      </c>
      <c r="B843" s="6">
        <v>550.0</v>
      </c>
      <c r="C843" s="6">
        <v>1.0</v>
      </c>
      <c r="D843" s="16" t="s">
        <v>876</v>
      </c>
      <c r="E843" s="9" t="s">
        <v>873</v>
      </c>
      <c r="F843" s="8" t="str">
        <f>IFERROR(__xludf.DUMMYFUNCTION("GOOGLETRANSLATE(D843,""zh-CN"",""vi"")"),"Gói quà tặng điểm Platinum")</f>
        <v>Gói quà tặng điểm Platinum</v>
      </c>
      <c r="G843" s="8" t="str">
        <f>IFERROR(__xludf.DUMMYFUNCTION("GOOGLETRANSLATE(E843,""zh-CN"",""vi"")"),"Nhấp đúp chuột sẽ mang lại nhiều phần thưởng khác nhau với một xác suất nhất định.")</f>
        <v>Nhấp đúp chuột sẽ mang lại nhiều phần thưởng khác nhau với một xác suất nhất định.</v>
      </c>
      <c r="H843" s="8"/>
      <c r="I843" s="8"/>
      <c r="J843" s="8"/>
    </row>
    <row r="844" ht="21.0" customHeight="1">
      <c r="A844" s="5">
        <v>5.0</v>
      </c>
      <c r="B844" s="6">
        <v>550.0</v>
      </c>
      <c r="C844" s="6">
        <v>1.0</v>
      </c>
      <c r="D844" s="16" t="s">
        <v>877</v>
      </c>
      <c r="E844" s="9" t="s">
        <v>873</v>
      </c>
      <c r="F844" s="8" t="str">
        <f>IFERROR(__xludf.DUMMYFUNCTION("GOOGLETRANSLATE(D844,""zh-CN"",""vi"")"),"Bộ quà tặng điểm kim cương")</f>
        <v>Bộ quà tặng điểm kim cương</v>
      </c>
      <c r="G844" s="8" t="str">
        <f>IFERROR(__xludf.DUMMYFUNCTION("GOOGLETRANSLATE(E844,""zh-CN"",""vi"")"),"Nhấp đúp chuột sẽ mang lại nhiều phần thưởng khác nhau với một xác suất nhất định.")</f>
        <v>Nhấp đúp chuột sẽ mang lại nhiều phần thưởng khác nhau với một xác suất nhất định.</v>
      </c>
      <c r="H844" s="8"/>
      <c r="I844" s="8"/>
      <c r="J844" s="8"/>
    </row>
    <row r="845" ht="21.0" customHeight="1">
      <c r="A845" s="5">
        <v>5.0</v>
      </c>
      <c r="B845" s="6">
        <v>550.0</v>
      </c>
      <c r="C845" s="6">
        <v>1.0</v>
      </c>
      <c r="D845" s="16" t="s">
        <v>878</v>
      </c>
      <c r="E845" s="9" t="s">
        <v>873</v>
      </c>
      <c r="F845" s="8" t="str">
        <f>IFERROR(__xludf.DUMMYFUNCTION("GOOGLETRANSLATE(D845,""zh-CN"",""vi"")"),"Bộ quà tặng điểm thưởng Star Points")</f>
        <v>Bộ quà tặng điểm thưởng Star Points</v>
      </c>
      <c r="G845" s="8" t="str">
        <f>IFERROR(__xludf.DUMMYFUNCTION("GOOGLETRANSLATE(E845,""zh-CN"",""vi"")"),"Nhấp đúp chuột sẽ mang lại nhiều phần thưởng khác nhau với một xác suất nhất định.")</f>
        <v>Nhấp đúp chuột sẽ mang lại nhiều phần thưởng khác nhau với một xác suất nhất định.</v>
      </c>
      <c r="H845" s="8"/>
      <c r="I845" s="8"/>
      <c r="J845" s="8"/>
    </row>
    <row r="846" ht="21.0" customHeight="1">
      <c r="A846" s="5">
        <v>5.0</v>
      </c>
      <c r="B846" s="6">
        <v>550.0</v>
      </c>
      <c r="C846" s="6">
        <v>1.0</v>
      </c>
      <c r="D846" s="16" t="s">
        <v>879</v>
      </c>
      <c r="E846" s="9" t="s">
        <v>873</v>
      </c>
      <c r="F846" s="8" t="str">
        <f>IFERROR(__xludf.DUMMYFUNCTION("GOOGLETRANSLATE(D846,""zh-CN"",""vi"")"),"Bộ quà tặng King's Points")</f>
        <v>Bộ quà tặng King's Points</v>
      </c>
      <c r="G846" s="8" t="str">
        <f>IFERROR(__xludf.DUMMYFUNCTION("GOOGLETRANSLATE(E846,""zh-CN"",""vi"")"),"Nhấp đúp chuột sẽ mang lại nhiều phần thưởng khác nhau với một xác suất nhất định.")</f>
        <v>Nhấp đúp chuột sẽ mang lại nhiều phần thưởng khác nhau với một xác suất nhất định.</v>
      </c>
      <c r="H846" s="8"/>
      <c r="I846" s="8"/>
      <c r="J846" s="8"/>
    </row>
    <row r="847" ht="21.0" customHeight="1">
      <c r="A847" s="5">
        <v>5.0</v>
      </c>
      <c r="B847" s="6">
        <v>550.0</v>
      </c>
      <c r="C847" s="6">
        <v>1.0</v>
      </c>
      <c r="D847" s="16" t="s">
        <v>880</v>
      </c>
      <c r="E847" s="9" t="s">
        <v>873</v>
      </c>
      <c r="F847" s="8" t="str">
        <f>IFERROR(__xludf.DUMMYFUNCTION("GOOGLETRANSLATE(D847,""zh-CN"",""vi"")"),"Bộ quà tặng những điểm mạnh nhất")</f>
        <v>Bộ quà tặng những điểm mạnh nhất</v>
      </c>
      <c r="G847" s="8" t="str">
        <f>IFERROR(__xludf.DUMMYFUNCTION("GOOGLETRANSLATE(E847,""zh-CN"",""vi"")"),"Nhấp đúp chuột sẽ mang lại nhiều phần thưởng khác nhau với một xác suất nhất định.")</f>
        <v>Nhấp đúp chuột sẽ mang lại nhiều phần thưởng khác nhau với một xác suất nhất định.</v>
      </c>
      <c r="H847" s="8"/>
      <c r="I847" s="8"/>
      <c r="J847" s="8"/>
    </row>
    <row r="848" ht="21.0" customHeight="1">
      <c r="A848" s="5">
        <v>5.0</v>
      </c>
      <c r="B848" s="6">
        <v>551.0</v>
      </c>
      <c r="C848" s="6">
        <v>1.0</v>
      </c>
      <c r="D848" s="16" t="s">
        <v>872</v>
      </c>
      <c r="E848" s="9" t="s">
        <v>873</v>
      </c>
      <c r="F848" s="8" t="str">
        <f>IFERROR(__xludf.DUMMYFUNCTION("GOOGLETRANSLATE(D848,""zh-CN"",""vi"")"),"Gói quà tặng điểm Đồng")</f>
        <v>Gói quà tặng điểm Đồng</v>
      </c>
      <c r="G848" s="8" t="str">
        <f>IFERROR(__xludf.DUMMYFUNCTION("GOOGLETRANSLATE(E848,""zh-CN"",""vi"")"),"Nhấp đúp chuột sẽ mang lại nhiều phần thưởng khác nhau với một xác suất nhất định.")</f>
        <v>Nhấp đúp chuột sẽ mang lại nhiều phần thưởng khác nhau với một xác suất nhất định.</v>
      </c>
      <c r="H848" s="8"/>
      <c r="I848" s="8"/>
      <c r="J848" s="8"/>
    </row>
    <row r="849" ht="21.0" customHeight="1">
      <c r="A849" s="5">
        <v>5.0</v>
      </c>
      <c r="B849" s="6">
        <v>551.0</v>
      </c>
      <c r="C849" s="6">
        <v>1.0</v>
      </c>
      <c r="D849" s="16" t="s">
        <v>874</v>
      </c>
      <c r="E849" s="9" t="s">
        <v>873</v>
      </c>
      <c r="F849" s="8" t="str">
        <f>IFERROR(__xludf.DUMMYFUNCTION("GOOGLETRANSLATE(D849,""zh-CN"",""vi"")"),"Bộ quà tặng điểm bạc")</f>
        <v>Bộ quà tặng điểm bạc</v>
      </c>
      <c r="G849" s="8" t="str">
        <f>IFERROR(__xludf.DUMMYFUNCTION("GOOGLETRANSLATE(E849,""zh-CN"",""vi"")"),"Nhấp đúp chuột sẽ mang lại nhiều phần thưởng khác nhau với một xác suất nhất định.")</f>
        <v>Nhấp đúp chuột sẽ mang lại nhiều phần thưởng khác nhau với một xác suất nhất định.</v>
      </c>
      <c r="H849" s="8"/>
      <c r="I849" s="8"/>
      <c r="J849" s="8"/>
    </row>
    <row r="850" ht="21.0" customHeight="1">
      <c r="A850" s="5">
        <v>5.0</v>
      </c>
      <c r="B850" s="6">
        <v>551.0</v>
      </c>
      <c r="C850" s="6">
        <v>1.0</v>
      </c>
      <c r="D850" s="16" t="s">
        <v>875</v>
      </c>
      <c r="E850" s="9" t="s">
        <v>873</v>
      </c>
      <c r="F850" s="8" t="str">
        <f>IFERROR(__xludf.DUMMYFUNCTION("GOOGLETRANSLATE(D850,""zh-CN"",""vi"")"),"Gói quà tặng điểm vàng")</f>
        <v>Gói quà tặng điểm vàng</v>
      </c>
      <c r="G850" s="8" t="str">
        <f>IFERROR(__xludf.DUMMYFUNCTION("GOOGLETRANSLATE(E850,""zh-CN"",""vi"")"),"Nhấp đúp chuột sẽ mang lại nhiều phần thưởng khác nhau với một xác suất nhất định.")</f>
        <v>Nhấp đúp chuột sẽ mang lại nhiều phần thưởng khác nhau với một xác suất nhất định.</v>
      </c>
      <c r="H850" s="8"/>
      <c r="I850" s="8"/>
      <c r="J850" s="8"/>
    </row>
    <row r="851" ht="21.0" customHeight="1">
      <c r="A851" s="5">
        <v>5.0</v>
      </c>
      <c r="B851" s="6">
        <v>551.0</v>
      </c>
      <c r="C851" s="6">
        <v>1.0</v>
      </c>
      <c r="D851" s="16" t="s">
        <v>876</v>
      </c>
      <c r="E851" s="9" t="s">
        <v>873</v>
      </c>
      <c r="F851" s="8" t="str">
        <f>IFERROR(__xludf.DUMMYFUNCTION("GOOGLETRANSLATE(D851,""zh-CN"",""vi"")"),"Gói quà tặng điểm Platinum")</f>
        <v>Gói quà tặng điểm Platinum</v>
      </c>
      <c r="G851" s="8" t="str">
        <f>IFERROR(__xludf.DUMMYFUNCTION("GOOGLETRANSLATE(E851,""zh-CN"",""vi"")"),"Nhấp đúp chuột sẽ mang lại nhiều phần thưởng khác nhau với một xác suất nhất định.")</f>
        <v>Nhấp đúp chuột sẽ mang lại nhiều phần thưởng khác nhau với một xác suất nhất định.</v>
      </c>
      <c r="H851" s="8"/>
      <c r="I851" s="8"/>
      <c r="J851" s="8"/>
    </row>
    <row r="852" ht="21.0" customHeight="1">
      <c r="A852" s="5">
        <v>5.0</v>
      </c>
      <c r="B852" s="6">
        <v>551.0</v>
      </c>
      <c r="C852" s="6">
        <v>1.0</v>
      </c>
      <c r="D852" s="16" t="s">
        <v>877</v>
      </c>
      <c r="E852" s="9" t="s">
        <v>873</v>
      </c>
      <c r="F852" s="8" t="str">
        <f>IFERROR(__xludf.DUMMYFUNCTION("GOOGLETRANSLATE(D852,""zh-CN"",""vi"")"),"Bộ quà tặng điểm kim cương")</f>
        <v>Bộ quà tặng điểm kim cương</v>
      </c>
      <c r="G852" s="8" t="str">
        <f>IFERROR(__xludf.DUMMYFUNCTION("GOOGLETRANSLATE(E852,""zh-CN"",""vi"")"),"Nhấp đúp chuột sẽ mang lại nhiều phần thưởng khác nhau với một xác suất nhất định.")</f>
        <v>Nhấp đúp chuột sẽ mang lại nhiều phần thưởng khác nhau với một xác suất nhất định.</v>
      </c>
      <c r="H852" s="8"/>
      <c r="I852" s="8"/>
      <c r="J852" s="8"/>
    </row>
    <row r="853" ht="21.0" customHeight="1">
      <c r="A853" s="5">
        <v>5.0</v>
      </c>
      <c r="B853" s="6">
        <v>551.0</v>
      </c>
      <c r="C853" s="6">
        <v>1.0</v>
      </c>
      <c r="D853" s="16" t="s">
        <v>878</v>
      </c>
      <c r="E853" s="9" t="s">
        <v>873</v>
      </c>
      <c r="F853" s="8" t="str">
        <f>IFERROR(__xludf.DUMMYFUNCTION("GOOGLETRANSLATE(D853,""zh-CN"",""vi"")"),"Bộ quà tặng điểm thưởng Star Points")</f>
        <v>Bộ quà tặng điểm thưởng Star Points</v>
      </c>
      <c r="G853" s="8" t="str">
        <f>IFERROR(__xludf.DUMMYFUNCTION("GOOGLETRANSLATE(E853,""zh-CN"",""vi"")"),"Nhấp đúp chuột sẽ mang lại nhiều phần thưởng khác nhau với một xác suất nhất định.")</f>
        <v>Nhấp đúp chuột sẽ mang lại nhiều phần thưởng khác nhau với một xác suất nhất định.</v>
      </c>
      <c r="H853" s="8"/>
      <c r="I853" s="8"/>
      <c r="J853" s="8"/>
    </row>
    <row r="854" ht="21.0" customHeight="1">
      <c r="A854" s="5">
        <v>5.0</v>
      </c>
      <c r="B854" s="6">
        <v>551.0</v>
      </c>
      <c r="C854" s="6">
        <v>1.0</v>
      </c>
      <c r="D854" s="16" t="s">
        <v>879</v>
      </c>
      <c r="E854" s="9" t="s">
        <v>873</v>
      </c>
      <c r="F854" s="8" t="str">
        <f>IFERROR(__xludf.DUMMYFUNCTION("GOOGLETRANSLATE(D854,""zh-CN"",""vi"")"),"Bộ quà tặng King's Points")</f>
        <v>Bộ quà tặng King's Points</v>
      </c>
      <c r="G854" s="8" t="str">
        <f>IFERROR(__xludf.DUMMYFUNCTION("GOOGLETRANSLATE(E854,""zh-CN"",""vi"")"),"Nhấp đúp chuột sẽ mang lại nhiều phần thưởng khác nhau với một xác suất nhất định.")</f>
        <v>Nhấp đúp chuột sẽ mang lại nhiều phần thưởng khác nhau với một xác suất nhất định.</v>
      </c>
      <c r="H854" s="8"/>
      <c r="I854" s="8"/>
      <c r="J854" s="8"/>
    </row>
    <row r="855" ht="21.0" customHeight="1">
      <c r="A855" s="5">
        <v>5.0</v>
      </c>
      <c r="B855" s="6">
        <v>551.0</v>
      </c>
      <c r="C855" s="6">
        <v>1.0</v>
      </c>
      <c r="D855" s="16" t="s">
        <v>880</v>
      </c>
      <c r="E855" s="9" t="s">
        <v>873</v>
      </c>
      <c r="F855" s="8" t="str">
        <f>IFERROR(__xludf.DUMMYFUNCTION("GOOGLETRANSLATE(D855,""zh-CN"",""vi"")"),"Bộ quà tặng những điểm mạnh nhất")</f>
        <v>Bộ quà tặng những điểm mạnh nhất</v>
      </c>
      <c r="G855" s="8" t="str">
        <f>IFERROR(__xludf.DUMMYFUNCTION("GOOGLETRANSLATE(E855,""zh-CN"",""vi"")"),"Nhấp đúp chuột sẽ mang lại nhiều phần thưởng khác nhau với một xác suất nhất định.")</f>
        <v>Nhấp đúp chuột sẽ mang lại nhiều phần thưởng khác nhau với một xác suất nhất định.</v>
      </c>
      <c r="H855" s="8"/>
      <c r="I855" s="8"/>
      <c r="J855" s="8"/>
    </row>
    <row r="856" ht="21.0" customHeight="1">
      <c r="A856" s="5">
        <v>5.0</v>
      </c>
      <c r="B856" s="6">
        <v>552.0</v>
      </c>
      <c r="C856" s="6">
        <v>1.0</v>
      </c>
      <c r="D856" s="16" t="s">
        <v>872</v>
      </c>
      <c r="E856" s="9" t="s">
        <v>873</v>
      </c>
      <c r="F856" s="8" t="str">
        <f>IFERROR(__xludf.DUMMYFUNCTION("GOOGLETRANSLATE(D856,""zh-CN"",""vi"")"),"Gói quà tặng điểm Đồng")</f>
        <v>Gói quà tặng điểm Đồng</v>
      </c>
      <c r="G856" s="8" t="str">
        <f>IFERROR(__xludf.DUMMYFUNCTION("GOOGLETRANSLATE(E856,""zh-CN"",""vi"")"),"Nhấp đúp chuột sẽ mang lại nhiều phần thưởng khác nhau với một xác suất nhất định.")</f>
        <v>Nhấp đúp chuột sẽ mang lại nhiều phần thưởng khác nhau với một xác suất nhất định.</v>
      </c>
      <c r="H856" s="8"/>
      <c r="I856" s="8"/>
      <c r="J856" s="8"/>
    </row>
    <row r="857" ht="21.0" customHeight="1">
      <c r="A857" s="5">
        <v>5.0</v>
      </c>
      <c r="B857" s="6">
        <v>552.0</v>
      </c>
      <c r="C857" s="6">
        <v>1.0</v>
      </c>
      <c r="D857" s="16" t="s">
        <v>874</v>
      </c>
      <c r="E857" s="9" t="s">
        <v>873</v>
      </c>
      <c r="F857" s="8" t="str">
        <f>IFERROR(__xludf.DUMMYFUNCTION("GOOGLETRANSLATE(D857,""zh-CN"",""vi"")"),"Bộ quà tặng điểm bạc")</f>
        <v>Bộ quà tặng điểm bạc</v>
      </c>
      <c r="G857" s="8" t="str">
        <f>IFERROR(__xludf.DUMMYFUNCTION("GOOGLETRANSLATE(E857,""zh-CN"",""vi"")"),"Nhấp đúp chuột sẽ mang lại nhiều phần thưởng khác nhau với một xác suất nhất định.")</f>
        <v>Nhấp đúp chuột sẽ mang lại nhiều phần thưởng khác nhau với một xác suất nhất định.</v>
      </c>
      <c r="H857" s="8"/>
      <c r="I857" s="8"/>
      <c r="J857" s="8"/>
    </row>
    <row r="858" ht="21.0" customHeight="1">
      <c r="A858" s="5">
        <v>5.0</v>
      </c>
      <c r="B858" s="6">
        <v>552.0</v>
      </c>
      <c r="C858" s="6">
        <v>1.0</v>
      </c>
      <c r="D858" s="16" t="s">
        <v>875</v>
      </c>
      <c r="E858" s="9" t="s">
        <v>873</v>
      </c>
      <c r="F858" s="8" t="str">
        <f>IFERROR(__xludf.DUMMYFUNCTION("GOOGLETRANSLATE(D858,""zh-CN"",""vi"")"),"Gói quà tặng điểm vàng")</f>
        <v>Gói quà tặng điểm vàng</v>
      </c>
      <c r="G858" s="8" t="str">
        <f>IFERROR(__xludf.DUMMYFUNCTION("GOOGLETRANSLATE(E858,""zh-CN"",""vi"")"),"Nhấp đúp chuột sẽ mang lại nhiều phần thưởng khác nhau với một xác suất nhất định.")</f>
        <v>Nhấp đúp chuột sẽ mang lại nhiều phần thưởng khác nhau với một xác suất nhất định.</v>
      </c>
      <c r="H858" s="8"/>
      <c r="I858" s="8"/>
      <c r="J858" s="8"/>
    </row>
    <row r="859" ht="21.0" customHeight="1">
      <c r="A859" s="5">
        <v>5.0</v>
      </c>
      <c r="B859" s="6">
        <v>552.0</v>
      </c>
      <c r="C859" s="6">
        <v>1.0</v>
      </c>
      <c r="D859" s="16" t="s">
        <v>876</v>
      </c>
      <c r="E859" s="9" t="s">
        <v>873</v>
      </c>
      <c r="F859" s="8" t="str">
        <f>IFERROR(__xludf.DUMMYFUNCTION("GOOGLETRANSLATE(D859,""zh-CN"",""vi"")"),"Gói quà tặng điểm Platinum")</f>
        <v>Gói quà tặng điểm Platinum</v>
      </c>
      <c r="G859" s="8" t="str">
        <f>IFERROR(__xludf.DUMMYFUNCTION("GOOGLETRANSLATE(E859,""zh-CN"",""vi"")"),"Nhấp đúp chuột sẽ mang lại nhiều phần thưởng khác nhau với một xác suất nhất định.")</f>
        <v>Nhấp đúp chuột sẽ mang lại nhiều phần thưởng khác nhau với một xác suất nhất định.</v>
      </c>
      <c r="H859" s="8"/>
      <c r="I859" s="8"/>
      <c r="J859" s="8"/>
    </row>
    <row r="860" ht="21.0" customHeight="1">
      <c r="A860" s="5">
        <v>5.0</v>
      </c>
      <c r="B860" s="6">
        <v>552.0</v>
      </c>
      <c r="C860" s="6">
        <v>1.0</v>
      </c>
      <c r="D860" s="16" t="s">
        <v>877</v>
      </c>
      <c r="E860" s="9" t="s">
        <v>873</v>
      </c>
      <c r="F860" s="8" t="str">
        <f>IFERROR(__xludf.DUMMYFUNCTION("GOOGLETRANSLATE(D860,""zh-CN"",""vi"")"),"Bộ quà tặng điểm kim cương")</f>
        <v>Bộ quà tặng điểm kim cương</v>
      </c>
      <c r="G860" s="8" t="str">
        <f>IFERROR(__xludf.DUMMYFUNCTION("GOOGLETRANSLATE(E860,""zh-CN"",""vi"")"),"Nhấp đúp chuột sẽ mang lại nhiều phần thưởng khác nhau với một xác suất nhất định.")</f>
        <v>Nhấp đúp chuột sẽ mang lại nhiều phần thưởng khác nhau với một xác suất nhất định.</v>
      </c>
      <c r="H860" s="8"/>
      <c r="I860" s="8"/>
      <c r="J860" s="8"/>
    </row>
    <row r="861" ht="21.0" customHeight="1">
      <c r="A861" s="5">
        <v>5.0</v>
      </c>
      <c r="B861" s="6">
        <v>552.0</v>
      </c>
      <c r="C861" s="6">
        <v>1.0</v>
      </c>
      <c r="D861" s="16" t="s">
        <v>878</v>
      </c>
      <c r="E861" s="9" t="s">
        <v>873</v>
      </c>
      <c r="F861" s="8" t="str">
        <f>IFERROR(__xludf.DUMMYFUNCTION("GOOGLETRANSLATE(D861,""zh-CN"",""vi"")"),"Bộ quà tặng điểm thưởng Star Points")</f>
        <v>Bộ quà tặng điểm thưởng Star Points</v>
      </c>
      <c r="G861" s="8" t="str">
        <f>IFERROR(__xludf.DUMMYFUNCTION("GOOGLETRANSLATE(E861,""zh-CN"",""vi"")"),"Nhấp đúp chuột sẽ mang lại nhiều phần thưởng khác nhau với một xác suất nhất định.")</f>
        <v>Nhấp đúp chuột sẽ mang lại nhiều phần thưởng khác nhau với một xác suất nhất định.</v>
      </c>
      <c r="H861" s="8"/>
      <c r="I861" s="8"/>
      <c r="J861" s="8"/>
    </row>
    <row r="862" ht="21.0" customHeight="1">
      <c r="A862" s="5">
        <v>5.0</v>
      </c>
      <c r="B862" s="6">
        <v>552.0</v>
      </c>
      <c r="C862" s="6">
        <v>1.0</v>
      </c>
      <c r="D862" s="16" t="s">
        <v>879</v>
      </c>
      <c r="E862" s="9" t="s">
        <v>873</v>
      </c>
      <c r="F862" s="8" t="str">
        <f>IFERROR(__xludf.DUMMYFUNCTION("GOOGLETRANSLATE(D862,""zh-CN"",""vi"")"),"Bộ quà tặng King's Points")</f>
        <v>Bộ quà tặng King's Points</v>
      </c>
      <c r="G862" s="8" t="str">
        <f>IFERROR(__xludf.DUMMYFUNCTION("GOOGLETRANSLATE(E862,""zh-CN"",""vi"")"),"Nhấp đúp chuột sẽ mang lại nhiều phần thưởng khác nhau với một xác suất nhất định.")</f>
        <v>Nhấp đúp chuột sẽ mang lại nhiều phần thưởng khác nhau với một xác suất nhất định.</v>
      </c>
      <c r="H862" s="8"/>
      <c r="I862" s="8"/>
      <c r="J862" s="8"/>
    </row>
    <row r="863" ht="21.0" customHeight="1">
      <c r="A863" s="5">
        <v>5.0</v>
      </c>
      <c r="B863" s="6">
        <v>552.0</v>
      </c>
      <c r="C863" s="6">
        <v>1.0</v>
      </c>
      <c r="D863" s="16" t="s">
        <v>880</v>
      </c>
      <c r="E863" s="9" t="s">
        <v>873</v>
      </c>
      <c r="F863" s="8" t="str">
        <f>IFERROR(__xludf.DUMMYFUNCTION("GOOGLETRANSLATE(D863,""zh-CN"",""vi"")"),"Bộ quà tặng những điểm mạnh nhất")</f>
        <v>Bộ quà tặng những điểm mạnh nhất</v>
      </c>
      <c r="G863" s="8" t="str">
        <f>IFERROR(__xludf.DUMMYFUNCTION("GOOGLETRANSLATE(E863,""zh-CN"",""vi"")"),"Nhấp đúp chuột sẽ mang lại nhiều phần thưởng khác nhau với một xác suất nhất định.")</f>
        <v>Nhấp đúp chuột sẽ mang lại nhiều phần thưởng khác nhau với một xác suất nhất định.</v>
      </c>
      <c r="H863" s="8"/>
      <c r="I863" s="8"/>
      <c r="J863" s="8"/>
    </row>
    <row r="864" ht="21.0" customHeight="1">
      <c r="A864" s="5">
        <v>5.0</v>
      </c>
      <c r="B864" s="6">
        <v>553.0</v>
      </c>
      <c r="C864" s="6">
        <v>1.0</v>
      </c>
      <c r="D864" s="16" t="s">
        <v>872</v>
      </c>
      <c r="E864" s="9" t="s">
        <v>873</v>
      </c>
      <c r="F864" s="8" t="str">
        <f>IFERROR(__xludf.DUMMYFUNCTION("GOOGLETRANSLATE(D864,""zh-CN"",""vi"")"),"Gói quà tặng điểm Đồng")</f>
        <v>Gói quà tặng điểm Đồng</v>
      </c>
      <c r="G864" s="8" t="str">
        <f>IFERROR(__xludf.DUMMYFUNCTION("GOOGLETRANSLATE(E864,""zh-CN"",""vi"")"),"Nhấp đúp chuột sẽ mang lại nhiều phần thưởng khác nhau với một xác suất nhất định.")</f>
        <v>Nhấp đúp chuột sẽ mang lại nhiều phần thưởng khác nhau với một xác suất nhất định.</v>
      </c>
      <c r="H864" s="8"/>
      <c r="I864" s="8"/>
      <c r="J864" s="8"/>
    </row>
    <row r="865" ht="21.0" customHeight="1">
      <c r="A865" s="5">
        <v>5.0</v>
      </c>
      <c r="B865" s="6">
        <v>553.0</v>
      </c>
      <c r="C865" s="6">
        <v>1.0</v>
      </c>
      <c r="D865" s="16" t="s">
        <v>874</v>
      </c>
      <c r="E865" s="9" t="s">
        <v>873</v>
      </c>
      <c r="F865" s="8" t="str">
        <f>IFERROR(__xludf.DUMMYFUNCTION("GOOGLETRANSLATE(D865,""zh-CN"",""vi"")"),"Bộ quà tặng điểm bạc")</f>
        <v>Bộ quà tặng điểm bạc</v>
      </c>
      <c r="G865" s="8" t="str">
        <f>IFERROR(__xludf.DUMMYFUNCTION("GOOGLETRANSLATE(E865,""zh-CN"",""vi"")"),"Nhấp đúp chuột sẽ mang lại nhiều phần thưởng khác nhau với một xác suất nhất định.")</f>
        <v>Nhấp đúp chuột sẽ mang lại nhiều phần thưởng khác nhau với một xác suất nhất định.</v>
      </c>
      <c r="H865" s="8"/>
      <c r="I865" s="8"/>
      <c r="J865" s="8"/>
    </row>
    <row r="866" ht="21.0" customHeight="1">
      <c r="A866" s="5">
        <v>5.0</v>
      </c>
      <c r="B866" s="6">
        <v>553.0</v>
      </c>
      <c r="C866" s="6">
        <v>1.0</v>
      </c>
      <c r="D866" s="16" t="s">
        <v>875</v>
      </c>
      <c r="E866" s="9" t="s">
        <v>873</v>
      </c>
      <c r="F866" s="8" t="str">
        <f>IFERROR(__xludf.DUMMYFUNCTION("GOOGLETRANSLATE(D866,""zh-CN"",""vi"")"),"Gói quà tặng điểm vàng")</f>
        <v>Gói quà tặng điểm vàng</v>
      </c>
      <c r="G866" s="8" t="str">
        <f>IFERROR(__xludf.DUMMYFUNCTION("GOOGLETRANSLATE(E866,""zh-CN"",""vi"")"),"Nhấp đúp chuột sẽ mang lại nhiều phần thưởng khác nhau với một xác suất nhất định.")</f>
        <v>Nhấp đúp chuột sẽ mang lại nhiều phần thưởng khác nhau với một xác suất nhất định.</v>
      </c>
      <c r="H866" s="8"/>
      <c r="I866" s="8"/>
      <c r="J866" s="8"/>
    </row>
    <row r="867" ht="21.0" customHeight="1">
      <c r="A867" s="5">
        <v>5.0</v>
      </c>
      <c r="B867" s="6">
        <v>553.0</v>
      </c>
      <c r="C867" s="6">
        <v>1.0</v>
      </c>
      <c r="D867" s="16" t="s">
        <v>876</v>
      </c>
      <c r="E867" s="9" t="s">
        <v>873</v>
      </c>
      <c r="F867" s="8" t="str">
        <f>IFERROR(__xludf.DUMMYFUNCTION("GOOGLETRANSLATE(D867,""zh-CN"",""vi"")"),"Gói quà tặng điểm Platinum")</f>
        <v>Gói quà tặng điểm Platinum</v>
      </c>
      <c r="G867" s="8" t="str">
        <f>IFERROR(__xludf.DUMMYFUNCTION("GOOGLETRANSLATE(E867,""zh-CN"",""vi"")"),"Nhấp đúp chuột sẽ mang lại nhiều phần thưởng khác nhau với một xác suất nhất định.")</f>
        <v>Nhấp đúp chuột sẽ mang lại nhiều phần thưởng khác nhau với một xác suất nhất định.</v>
      </c>
      <c r="H867" s="8"/>
      <c r="I867" s="8"/>
      <c r="J867" s="8"/>
    </row>
    <row r="868" ht="21.0" customHeight="1">
      <c r="A868" s="5">
        <v>5.0</v>
      </c>
      <c r="B868" s="6">
        <v>553.0</v>
      </c>
      <c r="C868" s="6">
        <v>1.0</v>
      </c>
      <c r="D868" s="16" t="s">
        <v>877</v>
      </c>
      <c r="E868" s="9" t="s">
        <v>873</v>
      </c>
      <c r="F868" s="8" t="str">
        <f>IFERROR(__xludf.DUMMYFUNCTION("GOOGLETRANSLATE(D868,""zh-CN"",""vi"")"),"Bộ quà tặng điểm kim cương")</f>
        <v>Bộ quà tặng điểm kim cương</v>
      </c>
      <c r="G868" s="8" t="str">
        <f>IFERROR(__xludf.DUMMYFUNCTION("GOOGLETRANSLATE(E868,""zh-CN"",""vi"")"),"Nhấp đúp chuột sẽ mang lại nhiều phần thưởng khác nhau với một xác suất nhất định.")</f>
        <v>Nhấp đúp chuột sẽ mang lại nhiều phần thưởng khác nhau với một xác suất nhất định.</v>
      </c>
      <c r="H868" s="8"/>
      <c r="I868" s="8"/>
      <c r="J868" s="8"/>
    </row>
    <row r="869" ht="21.0" customHeight="1">
      <c r="A869" s="5">
        <v>5.0</v>
      </c>
      <c r="B869" s="6">
        <v>553.0</v>
      </c>
      <c r="C869" s="6">
        <v>1.0</v>
      </c>
      <c r="D869" s="16" t="s">
        <v>878</v>
      </c>
      <c r="E869" s="9" t="s">
        <v>873</v>
      </c>
      <c r="F869" s="8" t="str">
        <f>IFERROR(__xludf.DUMMYFUNCTION("GOOGLETRANSLATE(D869,""zh-CN"",""vi"")"),"Bộ quà tặng điểm thưởng Star Points")</f>
        <v>Bộ quà tặng điểm thưởng Star Points</v>
      </c>
      <c r="G869" s="8" t="str">
        <f>IFERROR(__xludf.DUMMYFUNCTION("GOOGLETRANSLATE(E869,""zh-CN"",""vi"")"),"Nhấp đúp chuột sẽ mang lại nhiều phần thưởng khác nhau với một xác suất nhất định.")</f>
        <v>Nhấp đúp chuột sẽ mang lại nhiều phần thưởng khác nhau với một xác suất nhất định.</v>
      </c>
      <c r="H869" s="8"/>
      <c r="I869" s="8"/>
      <c r="J869" s="8"/>
    </row>
    <row r="870" ht="21.0" customHeight="1">
      <c r="A870" s="5">
        <v>5.0</v>
      </c>
      <c r="B870" s="6">
        <v>553.0</v>
      </c>
      <c r="C870" s="6">
        <v>1.0</v>
      </c>
      <c r="D870" s="16" t="s">
        <v>879</v>
      </c>
      <c r="E870" s="9" t="s">
        <v>873</v>
      </c>
      <c r="F870" s="8" t="str">
        <f>IFERROR(__xludf.DUMMYFUNCTION("GOOGLETRANSLATE(D870,""zh-CN"",""vi"")"),"Bộ quà tặng King's Points")</f>
        <v>Bộ quà tặng King's Points</v>
      </c>
      <c r="G870" s="8" t="str">
        <f>IFERROR(__xludf.DUMMYFUNCTION("GOOGLETRANSLATE(E870,""zh-CN"",""vi"")"),"Nhấp đúp chuột sẽ mang lại nhiều phần thưởng khác nhau với một xác suất nhất định.")</f>
        <v>Nhấp đúp chuột sẽ mang lại nhiều phần thưởng khác nhau với một xác suất nhất định.</v>
      </c>
      <c r="H870" s="8"/>
      <c r="I870" s="8"/>
      <c r="J870" s="8"/>
    </row>
    <row r="871" ht="21.0" customHeight="1">
      <c r="A871" s="5">
        <v>5.0</v>
      </c>
      <c r="B871" s="6">
        <v>553.0</v>
      </c>
      <c r="C871" s="6">
        <v>1.0</v>
      </c>
      <c r="D871" s="16" t="s">
        <v>880</v>
      </c>
      <c r="E871" s="9" t="s">
        <v>873</v>
      </c>
      <c r="F871" s="8" t="str">
        <f>IFERROR(__xludf.DUMMYFUNCTION("GOOGLETRANSLATE(D871,""zh-CN"",""vi"")"),"Bộ quà tặng những điểm mạnh nhất")</f>
        <v>Bộ quà tặng những điểm mạnh nhất</v>
      </c>
      <c r="G871" s="8" t="str">
        <f>IFERROR(__xludf.DUMMYFUNCTION("GOOGLETRANSLATE(E871,""zh-CN"",""vi"")"),"Nhấp đúp chuột sẽ mang lại nhiều phần thưởng khác nhau với một xác suất nhất định.")</f>
        <v>Nhấp đúp chuột sẽ mang lại nhiều phần thưởng khác nhau với một xác suất nhất định.</v>
      </c>
      <c r="H871" s="8"/>
      <c r="I871" s="8"/>
      <c r="J871" s="8"/>
    </row>
    <row r="872" ht="21.0" customHeight="1">
      <c r="A872" s="5">
        <v>5.0</v>
      </c>
      <c r="B872" s="6">
        <v>554.0</v>
      </c>
      <c r="C872" s="6">
        <v>1.0</v>
      </c>
      <c r="D872" s="16" t="s">
        <v>872</v>
      </c>
      <c r="E872" s="9" t="s">
        <v>873</v>
      </c>
      <c r="F872" s="8" t="str">
        <f>IFERROR(__xludf.DUMMYFUNCTION("GOOGLETRANSLATE(D872,""zh-CN"",""vi"")"),"Gói quà tặng điểm Đồng")</f>
        <v>Gói quà tặng điểm Đồng</v>
      </c>
      <c r="G872" s="8" t="str">
        <f>IFERROR(__xludf.DUMMYFUNCTION("GOOGLETRANSLATE(E872,""zh-CN"",""vi"")"),"Nhấp đúp chuột sẽ mang lại nhiều phần thưởng khác nhau với một xác suất nhất định.")</f>
        <v>Nhấp đúp chuột sẽ mang lại nhiều phần thưởng khác nhau với một xác suất nhất định.</v>
      </c>
      <c r="H872" s="8"/>
      <c r="I872" s="8"/>
      <c r="J872" s="8"/>
    </row>
    <row r="873" ht="21.0" customHeight="1">
      <c r="A873" s="5">
        <v>5.0</v>
      </c>
      <c r="B873" s="6">
        <v>554.0</v>
      </c>
      <c r="C873" s="6">
        <v>1.0</v>
      </c>
      <c r="D873" s="16" t="s">
        <v>874</v>
      </c>
      <c r="E873" s="9" t="s">
        <v>873</v>
      </c>
      <c r="F873" s="8" t="str">
        <f>IFERROR(__xludf.DUMMYFUNCTION("GOOGLETRANSLATE(D873,""zh-CN"",""vi"")"),"Bộ quà tặng điểm bạc")</f>
        <v>Bộ quà tặng điểm bạc</v>
      </c>
      <c r="G873" s="8" t="str">
        <f>IFERROR(__xludf.DUMMYFUNCTION("GOOGLETRANSLATE(E873,""zh-CN"",""vi"")"),"Nhấp đúp chuột sẽ mang lại nhiều phần thưởng khác nhau với một xác suất nhất định.")</f>
        <v>Nhấp đúp chuột sẽ mang lại nhiều phần thưởng khác nhau với một xác suất nhất định.</v>
      </c>
      <c r="H873" s="8"/>
      <c r="I873" s="8"/>
      <c r="J873" s="8"/>
    </row>
    <row r="874" ht="21.0" customHeight="1">
      <c r="A874" s="5">
        <v>5.0</v>
      </c>
      <c r="B874" s="6">
        <v>554.0</v>
      </c>
      <c r="C874" s="6">
        <v>1.0</v>
      </c>
      <c r="D874" s="16" t="s">
        <v>875</v>
      </c>
      <c r="E874" s="9" t="s">
        <v>873</v>
      </c>
      <c r="F874" s="8" t="str">
        <f>IFERROR(__xludf.DUMMYFUNCTION("GOOGLETRANSLATE(D874,""zh-CN"",""vi"")"),"Gói quà tặng điểm vàng")</f>
        <v>Gói quà tặng điểm vàng</v>
      </c>
      <c r="G874" s="8" t="str">
        <f>IFERROR(__xludf.DUMMYFUNCTION("GOOGLETRANSLATE(E874,""zh-CN"",""vi"")"),"Nhấp đúp chuột sẽ mang lại nhiều phần thưởng khác nhau với một xác suất nhất định.")</f>
        <v>Nhấp đúp chuột sẽ mang lại nhiều phần thưởng khác nhau với một xác suất nhất định.</v>
      </c>
      <c r="H874" s="8"/>
      <c r="I874" s="8"/>
      <c r="J874" s="8"/>
    </row>
    <row r="875" ht="21.0" customHeight="1">
      <c r="A875" s="5">
        <v>5.0</v>
      </c>
      <c r="B875" s="6">
        <v>554.0</v>
      </c>
      <c r="C875" s="6">
        <v>1.0</v>
      </c>
      <c r="D875" s="16" t="s">
        <v>876</v>
      </c>
      <c r="E875" s="9" t="s">
        <v>873</v>
      </c>
      <c r="F875" s="8" t="str">
        <f>IFERROR(__xludf.DUMMYFUNCTION("GOOGLETRANSLATE(D875,""zh-CN"",""vi"")"),"Gói quà tặng điểm Platinum")</f>
        <v>Gói quà tặng điểm Platinum</v>
      </c>
      <c r="G875" s="8" t="str">
        <f>IFERROR(__xludf.DUMMYFUNCTION("GOOGLETRANSLATE(E875,""zh-CN"",""vi"")"),"Nhấp đúp chuột sẽ mang lại nhiều phần thưởng khác nhau với một xác suất nhất định.")</f>
        <v>Nhấp đúp chuột sẽ mang lại nhiều phần thưởng khác nhau với một xác suất nhất định.</v>
      </c>
      <c r="H875" s="8"/>
      <c r="I875" s="8"/>
      <c r="J875" s="8"/>
    </row>
    <row r="876" ht="21.0" customHeight="1">
      <c r="A876" s="5">
        <v>5.0</v>
      </c>
      <c r="B876" s="6">
        <v>554.0</v>
      </c>
      <c r="C876" s="6">
        <v>1.0</v>
      </c>
      <c r="D876" s="16" t="s">
        <v>877</v>
      </c>
      <c r="E876" s="9" t="s">
        <v>873</v>
      </c>
      <c r="F876" s="8" t="str">
        <f>IFERROR(__xludf.DUMMYFUNCTION("GOOGLETRANSLATE(D876,""zh-CN"",""vi"")"),"Bộ quà tặng điểm kim cương")</f>
        <v>Bộ quà tặng điểm kim cương</v>
      </c>
      <c r="G876" s="8" t="str">
        <f>IFERROR(__xludf.DUMMYFUNCTION("GOOGLETRANSLATE(E876,""zh-CN"",""vi"")"),"Nhấp đúp chuột sẽ mang lại nhiều phần thưởng khác nhau với một xác suất nhất định.")</f>
        <v>Nhấp đúp chuột sẽ mang lại nhiều phần thưởng khác nhau với một xác suất nhất định.</v>
      </c>
      <c r="H876" s="8"/>
      <c r="I876" s="8"/>
      <c r="J876" s="8"/>
    </row>
    <row r="877" ht="21.0" customHeight="1">
      <c r="A877" s="5">
        <v>5.0</v>
      </c>
      <c r="B877" s="6">
        <v>554.0</v>
      </c>
      <c r="C877" s="6">
        <v>1.0</v>
      </c>
      <c r="D877" s="16" t="s">
        <v>878</v>
      </c>
      <c r="E877" s="9" t="s">
        <v>873</v>
      </c>
      <c r="F877" s="8" t="str">
        <f>IFERROR(__xludf.DUMMYFUNCTION("GOOGLETRANSLATE(D877,""zh-CN"",""vi"")"),"Bộ quà tặng điểm thưởng Star Points")</f>
        <v>Bộ quà tặng điểm thưởng Star Points</v>
      </c>
      <c r="G877" s="8" t="str">
        <f>IFERROR(__xludf.DUMMYFUNCTION("GOOGLETRANSLATE(E877,""zh-CN"",""vi"")"),"Nhấp đúp chuột sẽ mang lại nhiều phần thưởng khác nhau với một xác suất nhất định.")</f>
        <v>Nhấp đúp chuột sẽ mang lại nhiều phần thưởng khác nhau với một xác suất nhất định.</v>
      </c>
      <c r="H877" s="8"/>
      <c r="I877" s="8"/>
      <c r="J877" s="8"/>
    </row>
    <row r="878" ht="21.0" customHeight="1">
      <c r="A878" s="5">
        <v>5.0</v>
      </c>
      <c r="B878" s="6">
        <v>554.0</v>
      </c>
      <c r="C878" s="6">
        <v>1.0</v>
      </c>
      <c r="D878" s="16" t="s">
        <v>879</v>
      </c>
      <c r="E878" s="9" t="s">
        <v>873</v>
      </c>
      <c r="F878" s="8" t="str">
        <f>IFERROR(__xludf.DUMMYFUNCTION("GOOGLETRANSLATE(D878,""zh-CN"",""vi"")"),"Bộ quà tặng King's Points")</f>
        <v>Bộ quà tặng King's Points</v>
      </c>
      <c r="G878" s="8" t="str">
        <f>IFERROR(__xludf.DUMMYFUNCTION("GOOGLETRANSLATE(E878,""zh-CN"",""vi"")"),"Nhấp đúp chuột sẽ mang lại nhiều phần thưởng khác nhau với một xác suất nhất định.")</f>
        <v>Nhấp đúp chuột sẽ mang lại nhiều phần thưởng khác nhau với một xác suất nhất định.</v>
      </c>
      <c r="H878" s="8"/>
      <c r="I878" s="8"/>
      <c r="J878" s="8"/>
    </row>
    <row r="879" ht="21.0" customHeight="1">
      <c r="A879" s="5">
        <v>5.0</v>
      </c>
      <c r="B879" s="6">
        <v>554.0</v>
      </c>
      <c r="C879" s="6">
        <v>1.0</v>
      </c>
      <c r="D879" s="16" t="s">
        <v>880</v>
      </c>
      <c r="E879" s="9" t="s">
        <v>873</v>
      </c>
      <c r="F879" s="8" t="str">
        <f>IFERROR(__xludf.DUMMYFUNCTION("GOOGLETRANSLATE(D879,""zh-CN"",""vi"")"),"Bộ quà tặng những điểm mạnh nhất")</f>
        <v>Bộ quà tặng những điểm mạnh nhất</v>
      </c>
      <c r="G879" s="8" t="str">
        <f>IFERROR(__xludf.DUMMYFUNCTION("GOOGLETRANSLATE(E879,""zh-CN"",""vi"")"),"Nhấp đúp chuột sẽ mang lại nhiều phần thưởng khác nhau với một xác suất nhất định.")</f>
        <v>Nhấp đúp chuột sẽ mang lại nhiều phần thưởng khác nhau với một xác suất nhất định.</v>
      </c>
      <c r="H879" s="8"/>
      <c r="I879" s="8"/>
      <c r="J879" s="8"/>
    </row>
    <row r="880" ht="21.0" customHeight="1">
      <c r="A880" s="5">
        <v>5.0</v>
      </c>
      <c r="B880" s="6">
        <v>555.0</v>
      </c>
      <c r="C880" s="6">
        <v>1.0</v>
      </c>
      <c r="D880" s="16" t="s">
        <v>872</v>
      </c>
      <c r="E880" s="9" t="s">
        <v>873</v>
      </c>
      <c r="F880" s="8" t="str">
        <f>IFERROR(__xludf.DUMMYFUNCTION("GOOGLETRANSLATE(D880,""zh-CN"",""vi"")"),"Gói quà tặng điểm Đồng")</f>
        <v>Gói quà tặng điểm Đồng</v>
      </c>
      <c r="G880" s="8" t="str">
        <f>IFERROR(__xludf.DUMMYFUNCTION("GOOGLETRANSLATE(E880,""zh-CN"",""vi"")"),"Nhấp đúp chuột sẽ mang lại nhiều phần thưởng khác nhau với một xác suất nhất định.")</f>
        <v>Nhấp đúp chuột sẽ mang lại nhiều phần thưởng khác nhau với một xác suất nhất định.</v>
      </c>
      <c r="H880" s="8"/>
      <c r="I880" s="8"/>
      <c r="J880" s="8"/>
    </row>
    <row r="881" ht="21.0" customHeight="1">
      <c r="A881" s="5">
        <v>5.0</v>
      </c>
      <c r="B881" s="6">
        <v>555.0</v>
      </c>
      <c r="C881" s="6">
        <v>1.0</v>
      </c>
      <c r="D881" s="16" t="s">
        <v>874</v>
      </c>
      <c r="E881" s="9" t="s">
        <v>873</v>
      </c>
      <c r="F881" s="8" t="str">
        <f>IFERROR(__xludf.DUMMYFUNCTION("GOOGLETRANSLATE(D881,""zh-CN"",""vi"")"),"Bộ quà tặng điểm bạc")</f>
        <v>Bộ quà tặng điểm bạc</v>
      </c>
      <c r="G881" s="8" t="str">
        <f>IFERROR(__xludf.DUMMYFUNCTION("GOOGLETRANSLATE(E881,""zh-CN"",""vi"")"),"Nhấp đúp chuột sẽ mang lại nhiều phần thưởng khác nhau với một xác suất nhất định.")</f>
        <v>Nhấp đúp chuột sẽ mang lại nhiều phần thưởng khác nhau với một xác suất nhất định.</v>
      </c>
      <c r="H881" s="8"/>
      <c r="I881" s="8"/>
      <c r="J881" s="8"/>
    </row>
    <row r="882" ht="21.0" customHeight="1">
      <c r="A882" s="5">
        <v>5.0</v>
      </c>
      <c r="B882" s="6">
        <v>555.0</v>
      </c>
      <c r="C882" s="6">
        <v>1.0</v>
      </c>
      <c r="D882" s="16" t="s">
        <v>875</v>
      </c>
      <c r="E882" s="9" t="s">
        <v>873</v>
      </c>
      <c r="F882" s="8" t="str">
        <f>IFERROR(__xludf.DUMMYFUNCTION("GOOGLETRANSLATE(D882,""zh-CN"",""vi"")"),"Gói quà tặng điểm vàng")</f>
        <v>Gói quà tặng điểm vàng</v>
      </c>
      <c r="G882" s="8" t="str">
        <f>IFERROR(__xludf.DUMMYFUNCTION("GOOGLETRANSLATE(E882,""zh-CN"",""vi"")"),"Nhấp đúp chuột sẽ mang lại nhiều phần thưởng khác nhau với một xác suất nhất định.")</f>
        <v>Nhấp đúp chuột sẽ mang lại nhiều phần thưởng khác nhau với một xác suất nhất định.</v>
      </c>
      <c r="H882" s="8"/>
      <c r="I882" s="8"/>
      <c r="J882" s="8"/>
    </row>
    <row r="883" ht="21.0" customHeight="1">
      <c r="A883" s="5">
        <v>5.0</v>
      </c>
      <c r="B883" s="6">
        <v>555.0</v>
      </c>
      <c r="C883" s="6">
        <v>1.0</v>
      </c>
      <c r="D883" s="16" t="s">
        <v>876</v>
      </c>
      <c r="E883" s="9" t="s">
        <v>873</v>
      </c>
      <c r="F883" s="8" t="str">
        <f>IFERROR(__xludf.DUMMYFUNCTION("GOOGLETRANSLATE(D883,""zh-CN"",""vi"")"),"Gói quà tặng điểm Platinum")</f>
        <v>Gói quà tặng điểm Platinum</v>
      </c>
      <c r="G883" s="8" t="str">
        <f>IFERROR(__xludf.DUMMYFUNCTION("GOOGLETRANSLATE(E883,""zh-CN"",""vi"")"),"Nhấp đúp chuột sẽ mang lại nhiều phần thưởng khác nhau với một xác suất nhất định.")</f>
        <v>Nhấp đúp chuột sẽ mang lại nhiều phần thưởng khác nhau với một xác suất nhất định.</v>
      </c>
      <c r="H883" s="8"/>
      <c r="I883" s="8"/>
      <c r="J883" s="8"/>
    </row>
    <row r="884" ht="21.0" customHeight="1">
      <c r="A884" s="5">
        <v>5.0</v>
      </c>
      <c r="B884" s="6">
        <v>555.0</v>
      </c>
      <c r="C884" s="6">
        <v>1.0</v>
      </c>
      <c r="D884" s="16" t="s">
        <v>877</v>
      </c>
      <c r="E884" s="9" t="s">
        <v>873</v>
      </c>
      <c r="F884" s="8" t="str">
        <f>IFERROR(__xludf.DUMMYFUNCTION("GOOGLETRANSLATE(D884,""zh-CN"",""vi"")"),"Bộ quà tặng điểm kim cương")</f>
        <v>Bộ quà tặng điểm kim cương</v>
      </c>
      <c r="G884" s="8" t="str">
        <f>IFERROR(__xludf.DUMMYFUNCTION("GOOGLETRANSLATE(E884,""zh-CN"",""vi"")"),"Nhấp đúp chuột sẽ mang lại nhiều phần thưởng khác nhau với một xác suất nhất định.")</f>
        <v>Nhấp đúp chuột sẽ mang lại nhiều phần thưởng khác nhau với một xác suất nhất định.</v>
      </c>
      <c r="H884" s="8"/>
      <c r="I884" s="8"/>
      <c r="J884" s="8"/>
    </row>
    <row r="885" ht="21.0" customHeight="1">
      <c r="A885" s="5">
        <v>5.0</v>
      </c>
      <c r="B885" s="6">
        <v>555.0</v>
      </c>
      <c r="C885" s="6">
        <v>1.0</v>
      </c>
      <c r="D885" s="16" t="s">
        <v>878</v>
      </c>
      <c r="E885" s="9" t="s">
        <v>873</v>
      </c>
      <c r="F885" s="8" t="str">
        <f>IFERROR(__xludf.DUMMYFUNCTION("GOOGLETRANSLATE(D885,""zh-CN"",""vi"")"),"Bộ quà tặng điểm thưởng Star Points")</f>
        <v>Bộ quà tặng điểm thưởng Star Points</v>
      </c>
      <c r="G885" s="8" t="str">
        <f>IFERROR(__xludf.DUMMYFUNCTION("GOOGLETRANSLATE(E885,""zh-CN"",""vi"")"),"Nhấp đúp chuột sẽ mang lại nhiều phần thưởng khác nhau với một xác suất nhất định.")</f>
        <v>Nhấp đúp chuột sẽ mang lại nhiều phần thưởng khác nhau với một xác suất nhất định.</v>
      </c>
      <c r="H885" s="8"/>
      <c r="I885" s="8"/>
      <c r="J885" s="8"/>
    </row>
    <row r="886" ht="21.0" customHeight="1">
      <c r="A886" s="5">
        <v>5.0</v>
      </c>
      <c r="B886" s="6">
        <v>555.0</v>
      </c>
      <c r="C886" s="6">
        <v>1.0</v>
      </c>
      <c r="D886" s="16" t="s">
        <v>879</v>
      </c>
      <c r="E886" s="9" t="s">
        <v>873</v>
      </c>
      <c r="F886" s="8" t="str">
        <f>IFERROR(__xludf.DUMMYFUNCTION("GOOGLETRANSLATE(D886,""zh-CN"",""vi"")"),"Bộ quà tặng King's Points")</f>
        <v>Bộ quà tặng King's Points</v>
      </c>
      <c r="G886" s="8" t="str">
        <f>IFERROR(__xludf.DUMMYFUNCTION("GOOGLETRANSLATE(E886,""zh-CN"",""vi"")"),"Nhấp đúp chuột sẽ mang lại nhiều phần thưởng khác nhau với một xác suất nhất định.")</f>
        <v>Nhấp đúp chuột sẽ mang lại nhiều phần thưởng khác nhau với một xác suất nhất định.</v>
      </c>
      <c r="H886" s="8"/>
      <c r="I886" s="8"/>
      <c r="J886" s="8"/>
    </row>
    <row r="887" ht="21.0" customHeight="1">
      <c r="A887" s="5">
        <v>5.0</v>
      </c>
      <c r="B887" s="6">
        <v>555.0</v>
      </c>
      <c r="C887" s="6">
        <v>1.0</v>
      </c>
      <c r="D887" s="16" t="s">
        <v>880</v>
      </c>
      <c r="E887" s="9" t="s">
        <v>873</v>
      </c>
      <c r="F887" s="8" t="str">
        <f>IFERROR(__xludf.DUMMYFUNCTION("GOOGLETRANSLATE(D887,""zh-CN"",""vi"")"),"Bộ quà tặng những điểm mạnh nhất")</f>
        <v>Bộ quà tặng những điểm mạnh nhất</v>
      </c>
      <c r="G887" s="8" t="str">
        <f>IFERROR(__xludf.DUMMYFUNCTION("GOOGLETRANSLATE(E887,""zh-CN"",""vi"")"),"Nhấp đúp chuột sẽ mang lại nhiều phần thưởng khác nhau với một xác suất nhất định.")</f>
        <v>Nhấp đúp chuột sẽ mang lại nhiều phần thưởng khác nhau với một xác suất nhất định.</v>
      </c>
      <c r="H887" s="8"/>
      <c r="I887" s="8"/>
      <c r="J887" s="8"/>
    </row>
    <row r="888" ht="21.0" customHeight="1">
      <c r="A888" s="5">
        <v>5.0</v>
      </c>
      <c r="B888" s="6">
        <v>556.0</v>
      </c>
      <c r="C888" s="6">
        <v>1.0</v>
      </c>
      <c r="D888" s="16" t="s">
        <v>872</v>
      </c>
      <c r="E888" s="9" t="s">
        <v>873</v>
      </c>
      <c r="F888" s="8" t="str">
        <f>IFERROR(__xludf.DUMMYFUNCTION("GOOGLETRANSLATE(D888,""zh-CN"",""vi"")"),"Gói quà tặng điểm Đồng")</f>
        <v>Gói quà tặng điểm Đồng</v>
      </c>
      <c r="G888" s="8" t="str">
        <f>IFERROR(__xludf.DUMMYFUNCTION("GOOGLETRANSLATE(E888,""zh-CN"",""vi"")"),"Nhấp đúp chuột sẽ mang lại nhiều phần thưởng khác nhau với một xác suất nhất định.")</f>
        <v>Nhấp đúp chuột sẽ mang lại nhiều phần thưởng khác nhau với một xác suất nhất định.</v>
      </c>
      <c r="H888" s="8"/>
      <c r="I888" s="8"/>
      <c r="J888" s="8"/>
    </row>
    <row r="889" ht="21.0" customHeight="1">
      <c r="A889" s="5">
        <v>5.0</v>
      </c>
      <c r="B889" s="6">
        <v>556.0</v>
      </c>
      <c r="C889" s="6">
        <v>1.0</v>
      </c>
      <c r="D889" s="16" t="s">
        <v>874</v>
      </c>
      <c r="E889" s="9" t="s">
        <v>873</v>
      </c>
      <c r="F889" s="8" t="str">
        <f>IFERROR(__xludf.DUMMYFUNCTION("GOOGLETRANSLATE(D889,""zh-CN"",""vi"")"),"Bộ quà tặng điểm bạc")</f>
        <v>Bộ quà tặng điểm bạc</v>
      </c>
      <c r="G889" s="8" t="str">
        <f>IFERROR(__xludf.DUMMYFUNCTION("GOOGLETRANSLATE(E889,""zh-CN"",""vi"")"),"Nhấp đúp chuột sẽ mang lại nhiều phần thưởng khác nhau với một xác suất nhất định.")</f>
        <v>Nhấp đúp chuột sẽ mang lại nhiều phần thưởng khác nhau với một xác suất nhất định.</v>
      </c>
      <c r="H889" s="8"/>
      <c r="I889" s="8"/>
      <c r="J889" s="8"/>
    </row>
    <row r="890" ht="21.0" customHeight="1">
      <c r="A890" s="5">
        <v>5.0</v>
      </c>
      <c r="B890" s="6">
        <v>556.0</v>
      </c>
      <c r="C890" s="6">
        <v>1.0</v>
      </c>
      <c r="D890" s="16" t="s">
        <v>875</v>
      </c>
      <c r="E890" s="9" t="s">
        <v>873</v>
      </c>
      <c r="F890" s="8" t="str">
        <f>IFERROR(__xludf.DUMMYFUNCTION("GOOGLETRANSLATE(D890,""zh-CN"",""vi"")"),"Gói quà tặng điểm vàng")</f>
        <v>Gói quà tặng điểm vàng</v>
      </c>
      <c r="G890" s="8" t="str">
        <f>IFERROR(__xludf.DUMMYFUNCTION("GOOGLETRANSLATE(E890,""zh-CN"",""vi"")"),"Nhấp đúp chuột sẽ mang lại nhiều phần thưởng khác nhau với một xác suất nhất định.")</f>
        <v>Nhấp đúp chuột sẽ mang lại nhiều phần thưởng khác nhau với một xác suất nhất định.</v>
      </c>
      <c r="H890" s="8"/>
      <c r="I890" s="8"/>
      <c r="J890" s="8"/>
    </row>
    <row r="891" ht="21.0" customHeight="1">
      <c r="A891" s="5">
        <v>5.0</v>
      </c>
      <c r="B891" s="6">
        <v>556.0</v>
      </c>
      <c r="C891" s="6">
        <v>1.0</v>
      </c>
      <c r="D891" s="16" t="s">
        <v>876</v>
      </c>
      <c r="E891" s="9" t="s">
        <v>873</v>
      </c>
      <c r="F891" s="8" t="str">
        <f>IFERROR(__xludf.DUMMYFUNCTION("GOOGLETRANSLATE(D891,""zh-CN"",""vi"")"),"Gói quà tặng điểm Platinum")</f>
        <v>Gói quà tặng điểm Platinum</v>
      </c>
      <c r="G891" s="8" t="str">
        <f>IFERROR(__xludf.DUMMYFUNCTION("GOOGLETRANSLATE(E891,""zh-CN"",""vi"")"),"Nhấp đúp chuột sẽ mang lại nhiều phần thưởng khác nhau với một xác suất nhất định.")</f>
        <v>Nhấp đúp chuột sẽ mang lại nhiều phần thưởng khác nhau với một xác suất nhất định.</v>
      </c>
      <c r="H891" s="8"/>
      <c r="I891" s="8"/>
      <c r="J891" s="8"/>
    </row>
    <row r="892" ht="21.0" customHeight="1">
      <c r="A892" s="5">
        <v>5.0</v>
      </c>
      <c r="B892" s="6">
        <v>556.0</v>
      </c>
      <c r="C892" s="6">
        <v>1.0</v>
      </c>
      <c r="D892" s="16" t="s">
        <v>877</v>
      </c>
      <c r="E892" s="9" t="s">
        <v>873</v>
      </c>
      <c r="F892" s="8" t="str">
        <f>IFERROR(__xludf.DUMMYFUNCTION("GOOGLETRANSLATE(D892,""zh-CN"",""vi"")"),"Bộ quà tặng điểm kim cương")</f>
        <v>Bộ quà tặng điểm kim cương</v>
      </c>
      <c r="G892" s="8" t="str">
        <f>IFERROR(__xludf.DUMMYFUNCTION("GOOGLETRANSLATE(E892,""zh-CN"",""vi"")"),"Nhấp đúp chuột sẽ mang lại nhiều phần thưởng khác nhau với một xác suất nhất định.")</f>
        <v>Nhấp đúp chuột sẽ mang lại nhiều phần thưởng khác nhau với một xác suất nhất định.</v>
      </c>
      <c r="H892" s="8"/>
      <c r="I892" s="8"/>
      <c r="J892" s="8"/>
    </row>
    <row r="893" ht="21.0" customHeight="1">
      <c r="A893" s="5">
        <v>5.0</v>
      </c>
      <c r="B893" s="6">
        <v>556.0</v>
      </c>
      <c r="C893" s="6">
        <v>1.0</v>
      </c>
      <c r="D893" s="16" t="s">
        <v>878</v>
      </c>
      <c r="E893" s="9" t="s">
        <v>873</v>
      </c>
      <c r="F893" s="8" t="str">
        <f>IFERROR(__xludf.DUMMYFUNCTION("GOOGLETRANSLATE(D893,""zh-CN"",""vi"")"),"Bộ quà tặng điểm thưởng Star Points")</f>
        <v>Bộ quà tặng điểm thưởng Star Points</v>
      </c>
      <c r="G893" s="8" t="str">
        <f>IFERROR(__xludf.DUMMYFUNCTION("GOOGLETRANSLATE(E893,""zh-CN"",""vi"")"),"Nhấp đúp chuột sẽ mang lại nhiều phần thưởng khác nhau với một xác suất nhất định.")</f>
        <v>Nhấp đúp chuột sẽ mang lại nhiều phần thưởng khác nhau với một xác suất nhất định.</v>
      </c>
      <c r="H893" s="8"/>
      <c r="I893" s="8"/>
      <c r="J893" s="8"/>
    </row>
    <row r="894" ht="21.0" customHeight="1">
      <c r="A894" s="5">
        <v>5.0</v>
      </c>
      <c r="B894" s="6">
        <v>556.0</v>
      </c>
      <c r="C894" s="6">
        <v>1.0</v>
      </c>
      <c r="D894" s="16" t="s">
        <v>879</v>
      </c>
      <c r="E894" s="9" t="s">
        <v>873</v>
      </c>
      <c r="F894" s="8" t="str">
        <f>IFERROR(__xludf.DUMMYFUNCTION("GOOGLETRANSLATE(D894,""zh-CN"",""vi"")"),"Bộ quà tặng King's Points")</f>
        <v>Bộ quà tặng King's Points</v>
      </c>
      <c r="G894" s="8" t="str">
        <f>IFERROR(__xludf.DUMMYFUNCTION("GOOGLETRANSLATE(E894,""zh-CN"",""vi"")"),"Nhấp đúp chuột sẽ mang lại nhiều phần thưởng khác nhau với một xác suất nhất định.")</f>
        <v>Nhấp đúp chuột sẽ mang lại nhiều phần thưởng khác nhau với một xác suất nhất định.</v>
      </c>
      <c r="H894" s="8"/>
      <c r="I894" s="8"/>
      <c r="J894" s="8"/>
    </row>
    <row r="895" ht="21.0" customHeight="1">
      <c r="A895" s="5">
        <v>5.0</v>
      </c>
      <c r="B895" s="6">
        <v>556.0</v>
      </c>
      <c r="C895" s="6">
        <v>1.0</v>
      </c>
      <c r="D895" s="16" t="s">
        <v>880</v>
      </c>
      <c r="E895" s="9" t="s">
        <v>873</v>
      </c>
      <c r="F895" s="8" t="str">
        <f>IFERROR(__xludf.DUMMYFUNCTION("GOOGLETRANSLATE(D895,""zh-CN"",""vi"")"),"Bộ quà tặng những điểm mạnh nhất")</f>
        <v>Bộ quà tặng những điểm mạnh nhất</v>
      </c>
      <c r="G895" s="8" t="str">
        <f>IFERROR(__xludf.DUMMYFUNCTION("GOOGLETRANSLATE(E895,""zh-CN"",""vi"")"),"Nhấp đúp chuột sẽ mang lại nhiều phần thưởng khác nhau với một xác suất nhất định.")</f>
        <v>Nhấp đúp chuột sẽ mang lại nhiều phần thưởng khác nhau với một xác suất nhất định.</v>
      </c>
      <c r="H895" s="8"/>
      <c r="I895" s="8"/>
      <c r="J895" s="8"/>
    </row>
    <row r="896" ht="21.0" customHeight="1">
      <c r="A896" s="5">
        <v>5.0</v>
      </c>
      <c r="B896" s="6">
        <v>1.0</v>
      </c>
      <c r="C896" s="6">
        <v>1.0</v>
      </c>
      <c r="D896" s="16" t="s">
        <v>872</v>
      </c>
      <c r="E896" s="9" t="s">
        <v>873</v>
      </c>
      <c r="F896" s="8" t="str">
        <f>IFERROR(__xludf.DUMMYFUNCTION("GOOGLETRANSLATE(D896,""zh-CN"",""vi"")"),"Gói quà tặng điểm Đồng")</f>
        <v>Gói quà tặng điểm Đồng</v>
      </c>
      <c r="G896" s="8" t="str">
        <f>IFERROR(__xludf.DUMMYFUNCTION("GOOGLETRANSLATE(E896,""zh-CN"",""vi"")"),"Nhấp đúp chuột sẽ mang lại nhiều phần thưởng khác nhau với một xác suất nhất định.")</f>
        <v>Nhấp đúp chuột sẽ mang lại nhiều phần thưởng khác nhau với một xác suất nhất định.</v>
      </c>
      <c r="H896" s="8"/>
      <c r="I896" s="8"/>
      <c r="J896" s="8"/>
    </row>
    <row r="897" ht="21.0" customHeight="1">
      <c r="A897" s="5">
        <v>5.0</v>
      </c>
      <c r="B897" s="6">
        <v>1.0</v>
      </c>
      <c r="C897" s="6">
        <v>1.0</v>
      </c>
      <c r="D897" s="16" t="s">
        <v>874</v>
      </c>
      <c r="E897" s="9" t="s">
        <v>873</v>
      </c>
      <c r="F897" s="8" t="str">
        <f>IFERROR(__xludf.DUMMYFUNCTION("GOOGLETRANSLATE(D897,""zh-CN"",""vi"")"),"Bộ quà tặng điểm bạc")</f>
        <v>Bộ quà tặng điểm bạc</v>
      </c>
      <c r="G897" s="8" t="str">
        <f>IFERROR(__xludf.DUMMYFUNCTION("GOOGLETRANSLATE(E897,""zh-CN"",""vi"")"),"Nhấp đúp chuột sẽ mang lại nhiều phần thưởng khác nhau với một xác suất nhất định.")</f>
        <v>Nhấp đúp chuột sẽ mang lại nhiều phần thưởng khác nhau với một xác suất nhất định.</v>
      </c>
      <c r="H897" s="8"/>
      <c r="I897" s="8"/>
      <c r="J897" s="8"/>
    </row>
    <row r="898" ht="21.0" customHeight="1">
      <c r="A898" s="5">
        <v>5.0</v>
      </c>
      <c r="B898" s="6">
        <v>1.0</v>
      </c>
      <c r="C898" s="6">
        <v>1.0</v>
      </c>
      <c r="D898" s="16" t="s">
        <v>875</v>
      </c>
      <c r="E898" s="9" t="s">
        <v>873</v>
      </c>
      <c r="F898" s="8" t="str">
        <f>IFERROR(__xludf.DUMMYFUNCTION("GOOGLETRANSLATE(D898,""zh-CN"",""vi"")"),"Gói quà tặng điểm vàng")</f>
        <v>Gói quà tặng điểm vàng</v>
      </c>
      <c r="G898" s="8" t="str">
        <f>IFERROR(__xludf.DUMMYFUNCTION("GOOGLETRANSLATE(E898,""zh-CN"",""vi"")"),"Nhấp đúp chuột sẽ mang lại nhiều phần thưởng khác nhau với một xác suất nhất định.")</f>
        <v>Nhấp đúp chuột sẽ mang lại nhiều phần thưởng khác nhau với một xác suất nhất định.</v>
      </c>
      <c r="H898" s="8"/>
      <c r="I898" s="8"/>
      <c r="J898" s="8"/>
    </row>
    <row r="899" ht="21.0" customHeight="1">
      <c r="A899" s="5">
        <v>5.0</v>
      </c>
      <c r="B899" s="6">
        <v>1.0</v>
      </c>
      <c r="C899" s="6">
        <v>1.0</v>
      </c>
      <c r="D899" s="16" t="s">
        <v>876</v>
      </c>
      <c r="E899" s="9" t="s">
        <v>873</v>
      </c>
      <c r="F899" s="8" t="str">
        <f>IFERROR(__xludf.DUMMYFUNCTION("GOOGLETRANSLATE(D899,""zh-CN"",""vi"")"),"Gói quà tặng điểm Platinum")</f>
        <v>Gói quà tặng điểm Platinum</v>
      </c>
      <c r="G899" s="8" t="str">
        <f>IFERROR(__xludf.DUMMYFUNCTION("GOOGLETRANSLATE(E899,""zh-CN"",""vi"")"),"Nhấp đúp chuột sẽ mang lại nhiều phần thưởng khác nhau với một xác suất nhất định.")</f>
        <v>Nhấp đúp chuột sẽ mang lại nhiều phần thưởng khác nhau với một xác suất nhất định.</v>
      </c>
      <c r="H899" s="8"/>
      <c r="I899" s="8"/>
      <c r="J899" s="8"/>
    </row>
    <row r="900" ht="21.0" customHeight="1">
      <c r="A900" s="5">
        <v>5.0</v>
      </c>
      <c r="B900" s="6">
        <v>1.0</v>
      </c>
      <c r="C900" s="6">
        <v>1.0</v>
      </c>
      <c r="D900" s="16" t="s">
        <v>877</v>
      </c>
      <c r="E900" s="9" t="s">
        <v>873</v>
      </c>
      <c r="F900" s="8" t="str">
        <f>IFERROR(__xludf.DUMMYFUNCTION("GOOGLETRANSLATE(D900,""zh-CN"",""vi"")"),"Bộ quà tặng điểm kim cương")</f>
        <v>Bộ quà tặng điểm kim cương</v>
      </c>
      <c r="G900" s="8" t="str">
        <f>IFERROR(__xludf.DUMMYFUNCTION("GOOGLETRANSLATE(E900,""zh-CN"",""vi"")"),"Nhấp đúp chuột sẽ mang lại nhiều phần thưởng khác nhau với một xác suất nhất định.")</f>
        <v>Nhấp đúp chuột sẽ mang lại nhiều phần thưởng khác nhau với một xác suất nhất định.</v>
      </c>
      <c r="H900" s="8"/>
      <c r="I900" s="8"/>
      <c r="J900" s="8"/>
    </row>
    <row r="901" ht="21.0" customHeight="1">
      <c r="A901" s="5">
        <v>5.0</v>
      </c>
      <c r="B901" s="6">
        <v>1.0</v>
      </c>
      <c r="C901" s="6">
        <v>1.0</v>
      </c>
      <c r="D901" s="16" t="s">
        <v>878</v>
      </c>
      <c r="E901" s="9" t="s">
        <v>873</v>
      </c>
      <c r="F901" s="8" t="str">
        <f>IFERROR(__xludf.DUMMYFUNCTION("GOOGLETRANSLATE(D901,""zh-CN"",""vi"")"),"Bộ quà tặng điểm thưởng Star Points")</f>
        <v>Bộ quà tặng điểm thưởng Star Points</v>
      </c>
      <c r="G901" s="8" t="str">
        <f>IFERROR(__xludf.DUMMYFUNCTION("GOOGLETRANSLATE(E901,""zh-CN"",""vi"")"),"Nhấp đúp chuột sẽ mang lại nhiều phần thưởng khác nhau với một xác suất nhất định.")</f>
        <v>Nhấp đúp chuột sẽ mang lại nhiều phần thưởng khác nhau với một xác suất nhất định.</v>
      </c>
      <c r="H901" s="8"/>
      <c r="I901" s="8"/>
      <c r="J901" s="8"/>
    </row>
    <row r="902" ht="21.0" customHeight="1">
      <c r="A902" s="5">
        <v>5.0</v>
      </c>
      <c r="B902" s="6">
        <v>1.0</v>
      </c>
      <c r="C902" s="6">
        <v>1.0</v>
      </c>
      <c r="D902" s="16" t="s">
        <v>879</v>
      </c>
      <c r="E902" s="9" t="s">
        <v>873</v>
      </c>
      <c r="F902" s="8" t="str">
        <f>IFERROR(__xludf.DUMMYFUNCTION("GOOGLETRANSLATE(D902,""zh-CN"",""vi"")"),"Bộ quà tặng King's Points")</f>
        <v>Bộ quà tặng King's Points</v>
      </c>
      <c r="G902" s="8" t="str">
        <f>IFERROR(__xludf.DUMMYFUNCTION("GOOGLETRANSLATE(E902,""zh-CN"",""vi"")"),"Nhấp đúp chuột sẽ mang lại nhiều phần thưởng khác nhau với một xác suất nhất định.")</f>
        <v>Nhấp đúp chuột sẽ mang lại nhiều phần thưởng khác nhau với một xác suất nhất định.</v>
      </c>
      <c r="H902" s="8"/>
      <c r="I902" s="8"/>
      <c r="J902" s="8"/>
    </row>
    <row r="903" ht="21.0" customHeight="1">
      <c r="A903" s="5">
        <v>5.0</v>
      </c>
      <c r="B903" s="6">
        <v>1.0</v>
      </c>
      <c r="C903" s="6">
        <v>1.0</v>
      </c>
      <c r="D903" s="16" t="s">
        <v>880</v>
      </c>
      <c r="E903" s="9" t="s">
        <v>873</v>
      </c>
      <c r="F903" s="8" t="str">
        <f>IFERROR(__xludf.DUMMYFUNCTION("GOOGLETRANSLATE(D903,""zh-CN"",""vi"")"),"Bộ quà tặng những điểm mạnh nhất")</f>
        <v>Bộ quà tặng những điểm mạnh nhất</v>
      </c>
      <c r="G903" s="8" t="str">
        <f>IFERROR(__xludf.DUMMYFUNCTION("GOOGLETRANSLATE(E903,""zh-CN"",""vi"")"),"Nhấp đúp chuột sẽ mang lại nhiều phần thưởng khác nhau với một xác suất nhất định.")</f>
        <v>Nhấp đúp chuột sẽ mang lại nhiều phần thưởng khác nhau với một xác suất nhất định.</v>
      </c>
      <c r="H903" s="8"/>
      <c r="I903" s="8"/>
      <c r="J903" s="8"/>
    </row>
    <row r="904" ht="21.0" customHeight="1">
      <c r="A904" s="5">
        <v>5.0</v>
      </c>
      <c r="B904" s="6">
        <v>1.0</v>
      </c>
      <c r="C904" s="6">
        <v>1.0</v>
      </c>
      <c r="D904" s="16" t="s">
        <v>872</v>
      </c>
      <c r="E904" s="9" t="s">
        <v>873</v>
      </c>
      <c r="F904" s="8" t="str">
        <f>IFERROR(__xludf.DUMMYFUNCTION("GOOGLETRANSLATE(D904,""zh-CN"",""vi"")"),"Gói quà tặng điểm Đồng")</f>
        <v>Gói quà tặng điểm Đồng</v>
      </c>
      <c r="G904" s="8" t="str">
        <f>IFERROR(__xludf.DUMMYFUNCTION("GOOGLETRANSLATE(E904,""zh-CN"",""vi"")"),"Nhấp đúp chuột sẽ mang lại nhiều phần thưởng khác nhau với một xác suất nhất định.")</f>
        <v>Nhấp đúp chuột sẽ mang lại nhiều phần thưởng khác nhau với một xác suất nhất định.</v>
      </c>
      <c r="H904" s="8"/>
      <c r="I904" s="8"/>
      <c r="J904" s="8"/>
    </row>
    <row r="905" ht="21.0" customHeight="1">
      <c r="A905" s="5">
        <v>5.0</v>
      </c>
      <c r="B905" s="6">
        <v>1.0</v>
      </c>
      <c r="C905" s="6">
        <v>1.0</v>
      </c>
      <c r="D905" s="16" t="s">
        <v>874</v>
      </c>
      <c r="E905" s="9" t="s">
        <v>873</v>
      </c>
      <c r="F905" s="8" t="str">
        <f>IFERROR(__xludf.DUMMYFUNCTION("GOOGLETRANSLATE(D905,""zh-CN"",""vi"")"),"Bộ quà tặng điểm bạc")</f>
        <v>Bộ quà tặng điểm bạc</v>
      </c>
      <c r="G905" s="8" t="str">
        <f>IFERROR(__xludf.DUMMYFUNCTION("GOOGLETRANSLATE(E905,""zh-CN"",""vi"")"),"Nhấp đúp chuột sẽ mang lại nhiều phần thưởng khác nhau với một xác suất nhất định.")</f>
        <v>Nhấp đúp chuột sẽ mang lại nhiều phần thưởng khác nhau với một xác suất nhất định.</v>
      </c>
      <c r="H905" s="8"/>
      <c r="I905" s="8"/>
      <c r="J905" s="8"/>
    </row>
    <row r="906" ht="21.0" customHeight="1">
      <c r="A906" s="5">
        <v>5.0</v>
      </c>
      <c r="B906" s="6">
        <v>1.0</v>
      </c>
      <c r="C906" s="6">
        <v>1.0</v>
      </c>
      <c r="D906" s="16" t="s">
        <v>875</v>
      </c>
      <c r="E906" s="9" t="s">
        <v>873</v>
      </c>
      <c r="F906" s="8" t="str">
        <f>IFERROR(__xludf.DUMMYFUNCTION("GOOGLETRANSLATE(D906,""zh-CN"",""vi"")"),"Gói quà tặng điểm vàng")</f>
        <v>Gói quà tặng điểm vàng</v>
      </c>
      <c r="G906" s="8" t="str">
        <f>IFERROR(__xludf.DUMMYFUNCTION("GOOGLETRANSLATE(E906,""zh-CN"",""vi"")"),"Nhấp đúp chuột sẽ mang lại nhiều phần thưởng khác nhau với một xác suất nhất định.")</f>
        <v>Nhấp đúp chuột sẽ mang lại nhiều phần thưởng khác nhau với một xác suất nhất định.</v>
      </c>
      <c r="H906" s="8"/>
      <c r="I906" s="8"/>
      <c r="J906" s="8"/>
    </row>
    <row r="907" ht="21.0" customHeight="1">
      <c r="A907" s="5">
        <v>5.0</v>
      </c>
      <c r="B907" s="6">
        <v>1.0</v>
      </c>
      <c r="C907" s="6">
        <v>1.0</v>
      </c>
      <c r="D907" s="16" t="s">
        <v>876</v>
      </c>
      <c r="E907" s="9" t="s">
        <v>873</v>
      </c>
      <c r="F907" s="8" t="str">
        <f>IFERROR(__xludf.DUMMYFUNCTION("GOOGLETRANSLATE(D907,""zh-CN"",""vi"")"),"Gói quà tặng điểm Platinum")</f>
        <v>Gói quà tặng điểm Platinum</v>
      </c>
      <c r="G907" s="8" t="str">
        <f>IFERROR(__xludf.DUMMYFUNCTION("GOOGLETRANSLATE(E907,""zh-CN"",""vi"")"),"Nhấp đúp chuột sẽ mang lại nhiều phần thưởng khác nhau với một xác suất nhất định.")</f>
        <v>Nhấp đúp chuột sẽ mang lại nhiều phần thưởng khác nhau với một xác suất nhất định.</v>
      </c>
      <c r="H907" s="8"/>
      <c r="I907" s="8"/>
      <c r="J907" s="8"/>
    </row>
    <row r="908" ht="21.0" customHeight="1">
      <c r="A908" s="5">
        <v>5.0</v>
      </c>
      <c r="B908" s="6">
        <v>1.0</v>
      </c>
      <c r="C908" s="6">
        <v>1.0</v>
      </c>
      <c r="D908" s="16" t="s">
        <v>877</v>
      </c>
      <c r="E908" s="9" t="s">
        <v>873</v>
      </c>
      <c r="F908" s="8" t="str">
        <f>IFERROR(__xludf.DUMMYFUNCTION("GOOGLETRANSLATE(D908,""zh-CN"",""vi"")"),"Bộ quà tặng điểm kim cương")</f>
        <v>Bộ quà tặng điểm kim cương</v>
      </c>
      <c r="G908" s="8" t="str">
        <f>IFERROR(__xludf.DUMMYFUNCTION("GOOGLETRANSLATE(E908,""zh-CN"",""vi"")"),"Nhấp đúp chuột sẽ mang lại nhiều phần thưởng khác nhau với một xác suất nhất định.")</f>
        <v>Nhấp đúp chuột sẽ mang lại nhiều phần thưởng khác nhau với một xác suất nhất định.</v>
      </c>
      <c r="H908" s="8"/>
      <c r="I908" s="8"/>
      <c r="J908" s="8"/>
    </row>
    <row r="909" ht="21.0" customHeight="1">
      <c r="A909" s="5">
        <v>5.0</v>
      </c>
      <c r="B909" s="6">
        <v>1.0</v>
      </c>
      <c r="C909" s="6">
        <v>1.0</v>
      </c>
      <c r="D909" s="16" t="s">
        <v>878</v>
      </c>
      <c r="E909" s="9" t="s">
        <v>873</v>
      </c>
      <c r="F909" s="8" t="str">
        <f>IFERROR(__xludf.DUMMYFUNCTION("GOOGLETRANSLATE(D909,""zh-CN"",""vi"")"),"Bộ quà tặng điểm thưởng Star Points")</f>
        <v>Bộ quà tặng điểm thưởng Star Points</v>
      </c>
      <c r="G909" s="8" t="str">
        <f>IFERROR(__xludf.DUMMYFUNCTION("GOOGLETRANSLATE(E909,""zh-CN"",""vi"")"),"Nhấp đúp chuột sẽ mang lại nhiều phần thưởng khác nhau với một xác suất nhất định.")</f>
        <v>Nhấp đúp chuột sẽ mang lại nhiều phần thưởng khác nhau với một xác suất nhất định.</v>
      </c>
      <c r="H909" s="8"/>
      <c r="I909" s="8"/>
      <c r="J909" s="8"/>
    </row>
    <row r="910" ht="21.0" customHeight="1">
      <c r="A910" s="5">
        <v>5.0</v>
      </c>
      <c r="B910" s="6">
        <v>1.0</v>
      </c>
      <c r="C910" s="6">
        <v>1.0</v>
      </c>
      <c r="D910" s="16" t="s">
        <v>879</v>
      </c>
      <c r="E910" s="9" t="s">
        <v>873</v>
      </c>
      <c r="F910" s="8" t="str">
        <f>IFERROR(__xludf.DUMMYFUNCTION("GOOGLETRANSLATE(D910,""zh-CN"",""vi"")"),"Bộ quà tặng King's Points")</f>
        <v>Bộ quà tặng King's Points</v>
      </c>
      <c r="G910" s="8" t="str">
        <f>IFERROR(__xludf.DUMMYFUNCTION("GOOGLETRANSLATE(E910,""zh-CN"",""vi"")"),"Nhấp đúp chuột sẽ mang lại nhiều phần thưởng khác nhau với một xác suất nhất định.")</f>
        <v>Nhấp đúp chuột sẽ mang lại nhiều phần thưởng khác nhau với một xác suất nhất định.</v>
      </c>
      <c r="H910" s="8"/>
      <c r="I910" s="8"/>
      <c r="J910" s="8"/>
    </row>
    <row r="911" ht="21.0" customHeight="1">
      <c r="A911" s="5">
        <v>5.0</v>
      </c>
      <c r="B911" s="6">
        <v>1.0</v>
      </c>
      <c r="C911" s="6">
        <v>1.0</v>
      </c>
      <c r="D911" s="16" t="s">
        <v>880</v>
      </c>
      <c r="E911" s="9" t="s">
        <v>873</v>
      </c>
      <c r="F911" s="8" t="str">
        <f>IFERROR(__xludf.DUMMYFUNCTION("GOOGLETRANSLATE(D911,""zh-CN"",""vi"")"),"Bộ quà tặng những điểm mạnh nhất")</f>
        <v>Bộ quà tặng những điểm mạnh nhất</v>
      </c>
      <c r="G911" s="8" t="str">
        <f>IFERROR(__xludf.DUMMYFUNCTION("GOOGLETRANSLATE(E911,""zh-CN"",""vi"")"),"Nhấp đúp chuột sẽ mang lại nhiều phần thưởng khác nhau với một xác suất nhất định.")</f>
        <v>Nhấp đúp chuột sẽ mang lại nhiều phần thưởng khác nhau với một xác suất nhất định.</v>
      </c>
      <c r="H911" s="8"/>
      <c r="I911" s="8"/>
      <c r="J911" s="8"/>
    </row>
    <row r="912" ht="21.0" customHeight="1">
      <c r="A912" s="5">
        <v>17.0</v>
      </c>
      <c r="B912" s="6">
        <v>516.0</v>
      </c>
      <c r="C912" s="6">
        <v>1.0</v>
      </c>
      <c r="D912" s="16" t="s">
        <v>881</v>
      </c>
      <c r="E912" s="9" t="s">
        <v>671</v>
      </c>
      <c r="F912" s="8" t="str">
        <f>IFERROR(__xludf.DUMMYFUNCTION("GOOGLETRANSLATE(D912,""zh-CN"",""vi"")"),"Gói lựa chọn da")</f>
        <v>Gói lựa chọn da</v>
      </c>
      <c r="G912" s="8" t="str">
        <f>IFERROR(__xludf.DUMMYFUNCTION("GOOGLETRANSLATE(E912,""zh-CN"",""vi"")"),"Nhấp đúp chuột để chọn phần thưởng, sau đó nhấp vào ""Phần thưởng"", nơi bạn có thể chọn một mảnh ghép.")</f>
        <v>Nhấp đúp chuột để chọn phần thưởng, sau đó nhấp vào "Phần thưởng", nơi bạn có thể chọn một mảnh ghép.</v>
      </c>
      <c r="H912" s="8"/>
      <c r="I912" s="8"/>
      <c r="J912" s="8"/>
    </row>
    <row r="913" ht="21.0" customHeight="1">
      <c r="A913" s="5">
        <v>17.0</v>
      </c>
      <c r="B913" s="6">
        <v>516.0</v>
      </c>
      <c r="C913" s="6">
        <v>1.0</v>
      </c>
      <c r="D913" s="16" t="s">
        <v>881</v>
      </c>
      <c r="E913" s="9" t="s">
        <v>671</v>
      </c>
      <c r="F913" s="8" t="str">
        <f>IFERROR(__xludf.DUMMYFUNCTION("GOOGLETRANSLATE(D913,""zh-CN"",""vi"")"),"Gói lựa chọn da")</f>
        <v>Gói lựa chọn da</v>
      </c>
      <c r="G913" s="8" t="str">
        <f>IFERROR(__xludf.DUMMYFUNCTION("GOOGLETRANSLATE(E913,""zh-CN"",""vi"")"),"Nhấp đúp chuột để chọn phần thưởng, sau đó nhấp vào ""Phần thưởng"", nơi bạn có thể chọn một mảnh ghép.")</f>
        <v>Nhấp đúp chuột để chọn phần thưởng, sau đó nhấp vào "Phần thưởng", nơi bạn có thể chọn một mảnh ghép.</v>
      </c>
      <c r="H913" s="8"/>
      <c r="I913" s="8"/>
      <c r="J913" s="8"/>
    </row>
    <row r="914" ht="21.0" customHeight="1">
      <c r="A914" s="5">
        <v>20.0</v>
      </c>
      <c r="B914" s="6">
        <v>515.0</v>
      </c>
      <c r="C914" s="6">
        <v>1.0</v>
      </c>
      <c r="D914" s="16" t="s">
        <v>882</v>
      </c>
      <c r="E914" s="9" t="s">
        <v>883</v>
      </c>
      <c r="F914" s="8" t="str">
        <f>IFERROR(__xludf.DUMMYFUNCTION("GOOGLETRANSLATE(D914,""zh-CN"",""vi"")"),"rương kho báu thử nghiệm tự chọn có thể lặp lại")</f>
        <v>rương kho báu thử nghiệm tự chọn có thể lặp lại</v>
      </c>
      <c r="G914" s="8" t="str">
        <f>IFERROR(__xludf.DUMMYFUNCTION("GOOGLETRANSLATE(E914,""zh-CN"",""vi"")"),"Sau khi nhấp chuột, giao diện chọn phần thưởng sẽ hiện ra.")</f>
        <v>Sau khi nhấp chuột, giao diện chọn phần thưởng sẽ hiện ra.</v>
      </c>
      <c r="H914" s="8"/>
      <c r="I914" s="8"/>
      <c r="J914" s="8"/>
    </row>
    <row r="915" ht="21.0" customHeight="1">
      <c r="A915" s="5">
        <v>20.0</v>
      </c>
      <c r="B915" s="6">
        <v>530.0</v>
      </c>
      <c r="C915" s="6">
        <v>1.0</v>
      </c>
      <c r="D915" s="16" t="s">
        <v>844</v>
      </c>
      <c r="E915" s="9" t="s">
        <v>325</v>
      </c>
      <c r="F915" s="8" t="str">
        <f>IFERROR(__xludf.DUMMYFUNCTION("GOOGLETRANSLATE(D915,""zh-CN"",""vi"")"),"Bộ quà tặng Mother's Choice số 1")</f>
        <v>Bộ quà tặng Mother's Choice số 1</v>
      </c>
      <c r="G915" s="8" t="str">
        <f>IFERROR(__xludf.DUMMYFUNCTION("GOOGLETRANSLATE(E915,""zh-CN"",""vi"")"),"Nhấp đúp chuột để mở, chọn phần thưởng, sau đó nhấp vào ô để tạo phần thưởng đã chọn.")</f>
        <v>Nhấp đúp chuột để mở, chọn phần thưởng, sau đó nhấp vào ô để tạo phần thưởng đã chọn.</v>
      </c>
      <c r="H915" s="8"/>
      <c r="I915" s="8"/>
      <c r="J915" s="8"/>
    </row>
    <row r="916" ht="21.0" customHeight="1">
      <c r="A916" s="5">
        <v>20.0</v>
      </c>
      <c r="B916" s="6">
        <v>530.0</v>
      </c>
      <c r="C916" s="6">
        <v>1.0</v>
      </c>
      <c r="D916" s="16" t="s">
        <v>845</v>
      </c>
      <c r="E916" s="9" t="s">
        <v>325</v>
      </c>
      <c r="F916" s="8" t="str">
        <f>IFERROR(__xludf.DUMMYFUNCTION("GOOGLETRANSLATE(D916,""zh-CN"",""vi"")"),"Bộ quà tặng Mother's Choice số 2")</f>
        <v>Bộ quà tặng Mother's Choice số 2</v>
      </c>
      <c r="G916" s="8" t="str">
        <f>IFERROR(__xludf.DUMMYFUNCTION("GOOGLETRANSLATE(E916,""zh-CN"",""vi"")"),"Nhấp đúp chuột để mở, chọn phần thưởng, sau đó nhấp vào ô để tạo phần thưởng đã chọn.")</f>
        <v>Nhấp đúp chuột để mở, chọn phần thưởng, sau đó nhấp vào ô để tạo phần thưởng đã chọn.</v>
      </c>
      <c r="H916" s="8"/>
      <c r="I916" s="8"/>
      <c r="J916" s="8"/>
    </row>
    <row r="917" ht="21.0" customHeight="1">
      <c r="A917" s="5">
        <v>20.0</v>
      </c>
      <c r="B917" s="6">
        <v>530.0</v>
      </c>
      <c r="C917" s="6">
        <v>1.0</v>
      </c>
      <c r="D917" s="16" t="s">
        <v>846</v>
      </c>
      <c r="E917" s="9" t="s">
        <v>325</v>
      </c>
      <c r="F917" s="8" t="str">
        <f>IFERROR(__xludf.DUMMYFUNCTION("GOOGLETRANSLATE(D917,""zh-CN"",""vi"")"),"Bộ quà tặng Mother's Choice số 3")</f>
        <v>Bộ quà tặng Mother's Choice số 3</v>
      </c>
      <c r="G917" s="8" t="str">
        <f>IFERROR(__xludf.DUMMYFUNCTION("GOOGLETRANSLATE(E917,""zh-CN"",""vi"")"),"Nhấp đúp chuột để mở, chọn phần thưởng, sau đó nhấp vào ô để tạo phần thưởng đã chọn.")</f>
        <v>Nhấp đúp chuột để mở, chọn phần thưởng, sau đó nhấp vào ô để tạo phần thưởng đã chọn.</v>
      </c>
      <c r="H917" s="8"/>
      <c r="I917" s="8"/>
      <c r="J917" s="8"/>
    </row>
    <row r="918" ht="21.0" customHeight="1">
      <c r="A918" s="5">
        <v>20.0</v>
      </c>
      <c r="B918" s="6">
        <v>530.0</v>
      </c>
      <c r="C918" s="6">
        <v>1.0</v>
      </c>
      <c r="D918" s="16" t="s">
        <v>884</v>
      </c>
      <c r="E918" s="9" t="s">
        <v>325</v>
      </c>
      <c r="F918" s="8" t="str">
        <f>IFERROR(__xludf.DUMMYFUNCTION("GOOGLETRANSLATE(D918,""zh-CN"",""vi"")"),"Bộ quà tặng Mother's Choice số 4")</f>
        <v>Bộ quà tặng Mother's Choice số 4</v>
      </c>
      <c r="G918" s="8" t="str">
        <f>IFERROR(__xludf.DUMMYFUNCTION("GOOGLETRANSLATE(E918,""zh-CN"",""vi"")"),"Nhấp đúp chuột để mở, chọn phần thưởng, sau đó nhấp vào ô để tạo phần thưởng đã chọn.")</f>
        <v>Nhấp đúp chuột để mở, chọn phần thưởng, sau đó nhấp vào ô để tạo phần thưởng đã chọn.</v>
      </c>
      <c r="H918" s="8"/>
      <c r="I918" s="8"/>
      <c r="J918" s="8"/>
    </row>
    <row r="919" ht="21.0" customHeight="1">
      <c r="A919" s="5">
        <v>20.0</v>
      </c>
      <c r="B919" s="6">
        <v>530.0</v>
      </c>
      <c r="C919" s="6">
        <v>1.0</v>
      </c>
      <c r="D919" s="16" t="s">
        <v>885</v>
      </c>
      <c r="E919" s="9" t="s">
        <v>325</v>
      </c>
      <c r="F919" s="8" t="str">
        <f>IFERROR(__xludf.DUMMYFUNCTION("GOOGLETRANSLATE(D919,""zh-CN"",""vi"")"),"Gói lựa chọn mảnh ghép yêu tinh 1")</f>
        <v>Gói lựa chọn mảnh ghép yêu tinh 1</v>
      </c>
      <c r="G919" s="8" t="str">
        <f>IFERROR(__xludf.DUMMYFUNCTION("GOOGLETRANSLATE(E919,""zh-CN"",""vi"")"),"Nhấp đúp chuột để mở, chọn phần thưởng, sau đó nhấp vào ô để tạo phần thưởng đã chọn.")</f>
        <v>Nhấp đúp chuột để mở, chọn phần thưởng, sau đó nhấp vào ô để tạo phần thưởng đã chọn.</v>
      </c>
      <c r="H919" s="8"/>
      <c r="I919" s="8"/>
      <c r="J919" s="8"/>
    </row>
    <row r="920" ht="21.0" customHeight="1">
      <c r="A920" s="5">
        <v>20.0</v>
      </c>
      <c r="B920" s="6">
        <v>530.0</v>
      </c>
      <c r="C920" s="6">
        <v>1.0</v>
      </c>
      <c r="D920" s="16" t="s">
        <v>886</v>
      </c>
      <c r="E920" s="9" t="s">
        <v>325</v>
      </c>
      <c r="F920" s="8" t="str">
        <f>IFERROR(__xludf.DUMMYFUNCTION("GOOGLETRANSLATE(D920,""zh-CN"",""vi"")"),"Gói lựa chọn mảnh ghép Elf 2")</f>
        <v>Gói lựa chọn mảnh ghép Elf 2</v>
      </c>
      <c r="G920" s="8" t="str">
        <f>IFERROR(__xludf.DUMMYFUNCTION("GOOGLETRANSLATE(E920,""zh-CN"",""vi"")"),"Nhấp đúp chuột để mở, chọn phần thưởng, sau đó nhấp vào ô để tạo phần thưởng đã chọn.")</f>
        <v>Nhấp đúp chuột để mở, chọn phần thưởng, sau đó nhấp vào ô để tạo phần thưởng đã chọn.</v>
      </c>
      <c r="H920" s="8"/>
      <c r="I920" s="8"/>
      <c r="J920" s="8"/>
    </row>
    <row r="921" ht="21.0" customHeight="1">
      <c r="A921" s="5">
        <v>20.0</v>
      </c>
      <c r="B921" s="6">
        <v>530.0</v>
      </c>
      <c r="C921" s="6">
        <v>1.0</v>
      </c>
      <c r="D921" s="16" t="s">
        <v>887</v>
      </c>
      <c r="E921" s="9" t="s">
        <v>325</v>
      </c>
      <c r="F921" s="8" t="str">
        <f>IFERROR(__xludf.DUMMYFUNCTION("GOOGLETRANSLATE(D921,""zh-CN"",""vi"")"),"Gói lựa chọn mảnh ghép yêu tinh 3")</f>
        <v>Gói lựa chọn mảnh ghép yêu tinh 3</v>
      </c>
      <c r="G921" s="8" t="str">
        <f>IFERROR(__xludf.DUMMYFUNCTION("GOOGLETRANSLATE(E921,""zh-CN"",""vi"")"),"Nhấp đúp chuột để mở, chọn phần thưởng, sau đó nhấp vào ô để tạo phần thưởng đã chọn.")</f>
        <v>Nhấp đúp chuột để mở, chọn phần thưởng, sau đó nhấp vào ô để tạo phần thưởng đã chọn.</v>
      </c>
      <c r="H921" s="8"/>
      <c r="I921" s="8"/>
      <c r="J921" s="8"/>
    </row>
    <row r="922" ht="21.0" customHeight="1">
      <c r="A922" s="5">
        <v>20.0</v>
      </c>
      <c r="B922" s="6">
        <v>530.0</v>
      </c>
      <c r="C922" s="6">
        <v>1.0</v>
      </c>
      <c r="D922" s="16" t="s">
        <v>888</v>
      </c>
      <c r="E922" s="9" t="s">
        <v>325</v>
      </c>
      <c r="F922" s="8" t="str">
        <f>IFERROR(__xludf.DUMMYFUNCTION("GOOGLETRANSLATE(D922,""zh-CN"",""vi"")"),"Gói lựa chọn mảnh ghép yêu tinh 4")</f>
        <v>Gói lựa chọn mảnh ghép yêu tinh 4</v>
      </c>
      <c r="G922" s="8" t="str">
        <f>IFERROR(__xludf.DUMMYFUNCTION("GOOGLETRANSLATE(E922,""zh-CN"",""vi"")"),"Nhấp đúp chuột để mở, chọn phần thưởng, sau đó nhấp vào ô để tạo phần thưởng đã chọn.")</f>
        <v>Nhấp đúp chuột để mở, chọn phần thưởng, sau đó nhấp vào ô để tạo phần thưởng đã chọn.</v>
      </c>
      <c r="H922" s="8"/>
      <c r="I922" s="8"/>
      <c r="J922" s="8"/>
    </row>
    <row r="923" ht="21.0" customHeight="1">
      <c r="A923" s="30">
        <v>20.0</v>
      </c>
      <c r="B923" s="31">
        <v>530.0</v>
      </c>
      <c r="C923" s="31">
        <v>1.0</v>
      </c>
      <c r="D923" s="34" t="s">
        <v>889</v>
      </c>
      <c r="E923" s="33" t="s">
        <v>325</v>
      </c>
      <c r="F923" s="8" t="str">
        <f>IFERROR(__xludf.DUMMYFUNCTION("GOOGLETRANSLATE(D923,""zh-CN"",""vi"")"),"Bộ quà tặng Mother's Choice số 5")</f>
        <v>Bộ quà tặng Mother's Choice số 5</v>
      </c>
      <c r="G923" s="8" t="str">
        <f>IFERROR(__xludf.DUMMYFUNCTION("GOOGLETRANSLATE(E923,""zh-CN"",""vi"")"),"Nhấp đúp chuột để mở, chọn phần thưởng, sau đó nhấp vào ô để tạo phần thưởng đã chọn.")</f>
        <v>Nhấp đúp chuột để mở, chọn phần thưởng, sau đó nhấp vào ô để tạo phần thưởng đã chọn.</v>
      </c>
      <c r="H923" s="27"/>
      <c r="I923" s="27"/>
      <c r="J923" s="27"/>
    </row>
    <row r="924" ht="21.0" customHeight="1">
      <c r="A924" s="30">
        <v>20.0</v>
      </c>
      <c r="B924" s="31">
        <v>530.0</v>
      </c>
      <c r="C924" s="31">
        <v>1.0</v>
      </c>
      <c r="D924" s="34" t="s">
        <v>890</v>
      </c>
      <c r="E924" s="33" t="s">
        <v>325</v>
      </c>
      <c r="F924" s="8" t="str">
        <f>IFERROR(__xludf.DUMMYFUNCTION("GOOGLETRANSLATE(D924,""zh-CN"",""vi"")"),"Bộ quà tặng Mother's Choice số 6")</f>
        <v>Bộ quà tặng Mother's Choice số 6</v>
      </c>
      <c r="G924" s="8" t="str">
        <f>IFERROR(__xludf.DUMMYFUNCTION("GOOGLETRANSLATE(E924,""zh-CN"",""vi"")"),"Nhấp đúp chuột để mở, chọn phần thưởng, sau đó nhấp vào ô để tạo phần thưởng đã chọn.")</f>
        <v>Nhấp đúp chuột để mở, chọn phần thưởng, sau đó nhấp vào ô để tạo phần thưởng đã chọn.</v>
      </c>
      <c r="H924" s="27"/>
      <c r="I924" s="27"/>
      <c r="J924" s="27"/>
    </row>
    <row r="925" ht="21.0" customHeight="1">
      <c r="A925" s="30">
        <v>20.0</v>
      </c>
      <c r="B925" s="31">
        <v>530.0</v>
      </c>
      <c r="C925" s="31">
        <v>1.0</v>
      </c>
      <c r="D925" s="34" t="s">
        <v>891</v>
      </c>
      <c r="E925" s="33" t="s">
        <v>325</v>
      </c>
      <c r="F925" s="8" t="str">
        <f>IFERROR(__xludf.DUMMYFUNCTION("GOOGLETRANSLATE(D925,""zh-CN"",""vi"")"),"Bộ quà tặng Mother's Choice số 7")</f>
        <v>Bộ quà tặng Mother's Choice số 7</v>
      </c>
      <c r="G925" s="8" t="str">
        <f>IFERROR(__xludf.DUMMYFUNCTION("GOOGLETRANSLATE(E925,""zh-CN"",""vi"")"),"Nhấp đúp chuột để mở, chọn phần thưởng, sau đó nhấp vào ô để tạo phần thưởng đã chọn.")</f>
        <v>Nhấp đúp chuột để mở, chọn phần thưởng, sau đó nhấp vào ô để tạo phần thưởng đã chọn.</v>
      </c>
      <c r="H925" s="27"/>
      <c r="I925" s="27"/>
      <c r="J925" s="27"/>
    </row>
    <row r="926" ht="21.0" customHeight="1">
      <c r="A926" s="30">
        <v>20.0</v>
      </c>
      <c r="B926" s="31">
        <v>530.0</v>
      </c>
      <c r="C926" s="31">
        <v>1.0</v>
      </c>
      <c r="D926" s="34" t="s">
        <v>892</v>
      </c>
      <c r="E926" s="33" t="s">
        <v>325</v>
      </c>
      <c r="F926" s="8" t="str">
        <f>IFERROR(__xludf.DUMMYFUNCTION("GOOGLETRANSLATE(D926,""zh-CN"",""vi"")"),"Bộ quà tặng Mother's Choice số 8")</f>
        <v>Bộ quà tặng Mother's Choice số 8</v>
      </c>
      <c r="G926" s="8" t="str">
        <f>IFERROR(__xludf.DUMMYFUNCTION("GOOGLETRANSLATE(E926,""zh-CN"",""vi"")"),"Nhấp đúp chuột để mở, chọn phần thưởng, sau đó nhấp vào ô để tạo phần thưởng đã chọn.")</f>
        <v>Nhấp đúp chuột để mở, chọn phần thưởng, sau đó nhấp vào ô để tạo phần thưởng đã chọn.</v>
      </c>
      <c r="H926" s="27"/>
      <c r="I926" s="27"/>
      <c r="J926" s="27"/>
    </row>
    <row r="927" ht="21.0" customHeight="1">
      <c r="A927" s="30">
        <v>20.0</v>
      </c>
      <c r="B927" s="31">
        <v>530.0</v>
      </c>
      <c r="C927" s="31">
        <v>1.0</v>
      </c>
      <c r="D927" s="34" t="s">
        <v>893</v>
      </c>
      <c r="E927" s="33" t="s">
        <v>325</v>
      </c>
      <c r="F927" s="8" t="str">
        <f>IFERROR(__xludf.DUMMYFUNCTION("GOOGLETRANSLATE(D927,""zh-CN"",""vi"")"),"Bộ quà tặng Mother's Choice số 9")</f>
        <v>Bộ quà tặng Mother's Choice số 9</v>
      </c>
      <c r="G927" s="8" t="str">
        <f>IFERROR(__xludf.DUMMYFUNCTION("GOOGLETRANSLATE(E927,""zh-CN"",""vi"")"),"Nhấp đúp chuột để mở, chọn phần thưởng, sau đó nhấp vào ô để tạo phần thưởng đã chọn.")</f>
        <v>Nhấp đúp chuột để mở, chọn phần thưởng, sau đó nhấp vào ô để tạo phần thưởng đã chọn.</v>
      </c>
      <c r="H927" s="27"/>
      <c r="I927" s="27"/>
      <c r="J927" s="27"/>
    </row>
    <row r="928" ht="21.0" customHeight="1">
      <c r="A928" s="30">
        <v>20.0</v>
      </c>
      <c r="B928" s="31">
        <v>530.0</v>
      </c>
      <c r="C928" s="31">
        <v>1.0</v>
      </c>
      <c r="D928" s="34" t="s">
        <v>894</v>
      </c>
      <c r="E928" s="33" t="s">
        <v>325</v>
      </c>
      <c r="F928" s="8" t="str">
        <f>IFERROR(__xludf.DUMMYFUNCTION("GOOGLETRANSLATE(D928,""zh-CN"",""vi"")"),"Bộ quà tặng 59 món")</f>
        <v>Bộ quà tặng 59 món</v>
      </c>
      <c r="G928" s="8" t="str">
        <f>IFERROR(__xludf.DUMMYFUNCTION("GOOGLETRANSLATE(E928,""zh-CN"",""vi"")"),"Nhấp đúp chuột để mở, chọn phần thưởng, sau đó nhấp vào ô để tạo phần thưởng đã chọn.")</f>
        <v>Nhấp đúp chuột để mở, chọn phần thưởng, sau đó nhấp vào ô để tạo phần thưởng đã chọn.</v>
      </c>
      <c r="H928" s="27"/>
      <c r="I928" s="27"/>
      <c r="J928" s="27"/>
    </row>
    <row r="929" ht="21.0" customHeight="1">
      <c r="A929" s="30">
        <v>20.0</v>
      </c>
      <c r="B929" s="31">
        <v>530.0</v>
      </c>
      <c r="C929" s="31">
        <v>1.0</v>
      </c>
      <c r="D929" s="34" t="s">
        <v>895</v>
      </c>
      <c r="E929" s="33" t="s">
        <v>325</v>
      </c>
      <c r="F929" s="8" t="str">
        <f>IFERROR(__xludf.DUMMYFUNCTION("GOOGLETRANSLATE(D929,""zh-CN"",""vi"")"),"Gói quà tặng 99")</f>
        <v>Gói quà tặng 99</v>
      </c>
      <c r="G929" s="8" t="str">
        <f>IFERROR(__xludf.DUMMYFUNCTION("GOOGLETRANSLATE(E929,""zh-CN"",""vi"")"),"Nhấp đúp chuột để mở, chọn phần thưởng, sau đó nhấp vào ô để tạo phần thưởng đã chọn.")</f>
        <v>Nhấp đúp chuột để mở, chọn phần thưởng, sau đó nhấp vào ô để tạo phần thưởng đã chọn.</v>
      </c>
      <c r="H929" s="27"/>
      <c r="I929" s="27"/>
      <c r="J929" s="27"/>
    </row>
    <row r="930" ht="21.0" customHeight="1">
      <c r="A930" s="30">
        <v>20.0</v>
      </c>
      <c r="B930" s="31">
        <v>530.0</v>
      </c>
      <c r="C930" s="31">
        <v>1.0</v>
      </c>
      <c r="D930" s="34" t="s">
        <v>896</v>
      </c>
      <c r="E930" s="33" t="s">
        <v>325</v>
      </c>
      <c r="F930" s="8" t="str">
        <f>IFERROR(__xludf.DUMMYFUNCTION("GOOGLETRANSLATE(D930,""zh-CN"",""vi"")"),"Gói quà tặng sang trọng 189")</f>
        <v>Gói quà tặng sang trọng 189</v>
      </c>
      <c r="G930" s="8" t="str">
        <f>IFERROR(__xludf.DUMMYFUNCTION("GOOGLETRANSLATE(E930,""zh-CN"",""vi"")"),"Nhấp đúp chuột để mở, chọn phần thưởng, sau đó nhấp vào ô để tạo phần thưởng đã chọn.")</f>
        <v>Nhấp đúp chuột để mở, chọn phần thưởng, sau đó nhấp vào ô để tạo phần thưởng đã chọn.</v>
      </c>
      <c r="H930" s="27"/>
      <c r="I930" s="27"/>
      <c r="J930" s="27"/>
    </row>
    <row r="931" ht="21.0" customHeight="1">
      <c r="A931" s="30">
        <v>20.0</v>
      </c>
      <c r="B931" s="31">
        <v>530.0</v>
      </c>
      <c r="C931" s="31">
        <v>1.0</v>
      </c>
      <c r="D931" s="34" t="s">
        <v>897</v>
      </c>
      <c r="E931" s="33" t="s">
        <v>325</v>
      </c>
      <c r="F931" s="8" t="str">
        <f>IFERROR(__xludf.DUMMYFUNCTION("GOOGLETRANSLATE(D931,""zh-CN"",""vi"")"),"Gói quà tặng cao cấp 289")</f>
        <v>Gói quà tặng cao cấp 289</v>
      </c>
      <c r="G931" s="8" t="str">
        <f>IFERROR(__xludf.DUMMYFUNCTION("GOOGLETRANSLATE(E931,""zh-CN"",""vi"")"),"Nhấp đúp chuột để mở, chọn phần thưởng, sau đó nhấp vào ô để tạo phần thưởng đã chọn.")</f>
        <v>Nhấp đúp chuột để mở, chọn phần thưởng, sau đó nhấp vào ô để tạo phần thưởng đã chọn.</v>
      </c>
      <c r="H931" s="27"/>
      <c r="I931" s="27"/>
      <c r="J931" s="27"/>
    </row>
    <row r="932" ht="21.0" customHeight="1">
      <c r="A932" s="30">
        <v>20.0</v>
      </c>
      <c r="B932" s="31">
        <v>530.0</v>
      </c>
      <c r="C932" s="31">
        <v>1.0</v>
      </c>
      <c r="D932" s="34" t="s">
        <v>898</v>
      </c>
      <c r="E932" s="33" t="s">
        <v>325</v>
      </c>
      <c r="F932" s="8" t="str">
        <f>IFERROR(__xludf.DUMMYFUNCTION("GOOGLETRANSLATE(D932,""zh-CN"",""vi"")"),"Bộ quà tặng tối thượng 529 Ultimate Supreme")</f>
        <v>Bộ quà tặng tối thượng 529 Ultimate Supreme</v>
      </c>
      <c r="G932" s="8" t="str">
        <f>IFERROR(__xludf.DUMMYFUNCTION("GOOGLETRANSLATE(E932,""zh-CN"",""vi"")"),"Nhấp đúp chuột để mở, chọn phần thưởng, sau đó nhấp vào ô để tạo phần thưởng đã chọn.")</f>
        <v>Nhấp đúp chuột để mở, chọn phần thưởng, sau đó nhấp vào ô để tạo phần thưởng đã chọn.</v>
      </c>
      <c r="H932" s="27"/>
      <c r="I932" s="27"/>
      <c r="J932" s="27"/>
    </row>
    <row r="933" ht="21.0" customHeight="1">
      <c r="A933" s="30">
        <v>20.0</v>
      </c>
      <c r="B933" s="31">
        <v>530.0</v>
      </c>
      <c r="C933" s="31">
        <v>1.0</v>
      </c>
      <c r="D933" s="34" t="s">
        <v>894</v>
      </c>
      <c r="E933" s="33" t="s">
        <v>325</v>
      </c>
      <c r="F933" s="8" t="str">
        <f>IFERROR(__xludf.DUMMYFUNCTION("GOOGLETRANSLATE(D933,""zh-CN"",""vi"")"),"Bộ quà tặng 59 món")</f>
        <v>Bộ quà tặng 59 món</v>
      </c>
      <c r="G933" s="8" t="str">
        <f>IFERROR(__xludf.DUMMYFUNCTION("GOOGLETRANSLATE(E933,""zh-CN"",""vi"")"),"Nhấp đúp chuột để mở, chọn phần thưởng, sau đó nhấp vào ô để tạo phần thưởng đã chọn.")</f>
        <v>Nhấp đúp chuột để mở, chọn phần thưởng, sau đó nhấp vào ô để tạo phần thưởng đã chọn.</v>
      </c>
      <c r="H933" s="27"/>
      <c r="I933" s="27"/>
      <c r="J933" s="27"/>
    </row>
    <row r="934" ht="21.0" customHeight="1">
      <c r="A934" s="30">
        <v>20.0</v>
      </c>
      <c r="B934" s="31">
        <v>530.0</v>
      </c>
      <c r="C934" s="31">
        <v>1.0</v>
      </c>
      <c r="D934" s="34" t="s">
        <v>895</v>
      </c>
      <c r="E934" s="33" t="s">
        <v>325</v>
      </c>
      <c r="F934" s="8" t="str">
        <f>IFERROR(__xludf.DUMMYFUNCTION("GOOGLETRANSLATE(D934,""zh-CN"",""vi"")"),"Gói quà tặng 99")</f>
        <v>Gói quà tặng 99</v>
      </c>
      <c r="G934" s="8" t="str">
        <f>IFERROR(__xludf.DUMMYFUNCTION("GOOGLETRANSLATE(E934,""zh-CN"",""vi"")"),"Nhấp đúp chuột để mở, chọn phần thưởng, sau đó nhấp vào ô để tạo phần thưởng đã chọn.")</f>
        <v>Nhấp đúp chuột để mở, chọn phần thưởng, sau đó nhấp vào ô để tạo phần thưởng đã chọn.</v>
      </c>
      <c r="H934" s="27"/>
      <c r="I934" s="27"/>
      <c r="J934" s="27"/>
    </row>
    <row r="935" ht="21.0" customHeight="1">
      <c r="A935" s="30">
        <v>20.0</v>
      </c>
      <c r="B935" s="31">
        <v>530.0</v>
      </c>
      <c r="C935" s="31">
        <v>1.0</v>
      </c>
      <c r="D935" s="34" t="s">
        <v>896</v>
      </c>
      <c r="E935" s="33" t="s">
        <v>325</v>
      </c>
      <c r="F935" s="8" t="str">
        <f>IFERROR(__xludf.DUMMYFUNCTION("GOOGLETRANSLATE(D935,""zh-CN"",""vi"")"),"Gói quà tặng sang trọng 189")</f>
        <v>Gói quà tặng sang trọng 189</v>
      </c>
      <c r="G935" s="8" t="str">
        <f>IFERROR(__xludf.DUMMYFUNCTION("GOOGLETRANSLATE(E935,""zh-CN"",""vi"")"),"Nhấp đúp chuột để mở, chọn phần thưởng, sau đó nhấp vào ô để tạo phần thưởng đã chọn.")</f>
        <v>Nhấp đúp chuột để mở, chọn phần thưởng, sau đó nhấp vào ô để tạo phần thưởng đã chọn.</v>
      </c>
      <c r="H935" s="27"/>
      <c r="I935" s="27"/>
      <c r="J935" s="27"/>
    </row>
    <row r="936" ht="21.0" customHeight="1">
      <c r="A936" s="30">
        <v>20.0</v>
      </c>
      <c r="B936" s="31">
        <v>530.0</v>
      </c>
      <c r="C936" s="31">
        <v>1.0</v>
      </c>
      <c r="D936" s="34" t="s">
        <v>897</v>
      </c>
      <c r="E936" s="33" t="s">
        <v>325</v>
      </c>
      <c r="F936" s="8" t="str">
        <f>IFERROR(__xludf.DUMMYFUNCTION("GOOGLETRANSLATE(D936,""zh-CN"",""vi"")"),"Gói quà tặng cao cấp 289")</f>
        <v>Gói quà tặng cao cấp 289</v>
      </c>
      <c r="G936" s="8" t="str">
        <f>IFERROR(__xludf.DUMMYFUNCTION("GOOGLETRANSLATE(E936,""zh-CN"",""vi"")"),"Nhấp đúp chuột để mở, chọn phần thưởng, sau đó nhấp vào ô để tạo phần thưởng đã chọn.")</f>
        <v>Nhấp đúp chuột để mở, chọn phần thưởng, sau đó nhấp vào ô để tạo phần thưởng đã chọn.</v>
      </c>
      <c r="H936" s="27"/>
      <c r="I936" s="27"/>
      <c r="J936" s="27"/>
    </row>
    <row r="937" ht="21.0" customHeight="1">
      <c r="A937" s="30">
        <v>20.0</v>
      </c>
      <c r="B937" s="31">
        <v>530.0</v>
      </c>
      <c r="C937" s="31">
        <v>1.0</v>
      </c>
      <c r="D937" s="34" t="s">
        <v>898</v>
      </c>
      <c r="E937" s="33" t="s">
        <v>325</v>
      </c>
      <c r="F937" s="8" t="str">
        <f>IFERROR(__xludf.DUMMYFUNCTION("GOOGLETRANSLATE(D937,""zh-CN"",""vi"")"),"Bộ quà tặng tối thượng 529 Ultimate Supreme")</f>
        <v>Bộ quà tặng tối thượng 529 Ultimate Supreme</v>
      </c>
      <c r="G937" s="8" t="str">
        <f>IFERROR(__xludf.DUMMYFUNCTION("GOOGLETRANSLATE(E937,""zh-CN"",""vi"")"),"Nhấp đúp chuột để mở, chọn phần thưởng, sau đó nhấp vào ô để tạo phần thưởng đã chọn.")</f>
        <v>Nhấp đúp chuột để mở, chọn phần thưởng, sau đó nhấp vào ô để tạo phần thưởng đã chọn.</v>
      </c>
      <c r="H937" s="27"/>
      <c r="I937" s="27"/>
      <c r="J937" s="27"/>
    </row>
    <row r="938" ht="21.0" customHeight="1">
      <c r="A938" s="30">
        <v>20.0</v>
      </c>
      <c r="B938" s="31">
        <v>530.0</v>
      </c>
      <c r="C938" s="31">
        <v>1.0</v>
      </c>
      <c r="D938" s="34" t="s">
        <v>894</v>
      </c>
      <c r="E938" s="33" t="s">
        <v>325</v>
      </c>
      <c r="F938" s="8" t="str">
        <f>IFERROR(__xludf.DUMMYFUNCTION("GOOGLETRANSLATE(D938,""zh-CN"",""vi"")"),"Bộ quà tặng 59 món")</f>
        <v>Bộ quà tặng 59 món</v>
      </c>
      <c r="G938" s="8" t="str">
        <f>IFERROR(__xludf.DUMMYFUNCTION("GOOGLETRANSLATE(E938,""zh-CN"",""vi"")"),"Nhấp đúp chuột để mở, chọn phần thưởng, sau đó nhấp vào ô để tạo phần thưởng đã chọn.")</f>
        <v>Nhấp đúp chuột để mở, chọn phần thưởng, sau đó nhấp vào ô để tạo phần thưởng đã chọn.</v>
      </c>
      <c r="H938" s="27"/>
      <c r="I938" s="27"/>
      <c r="J938" s="27"/>
    </row>
    <row r="939" ht="21.0" customHeight="1">
      <c r="A939" s="30">
        <v>20.0</v>
      </c>
      <c r="B939" s="31">
        <v>530.0</v>
      </c>
      <c r="C939" s="31">
        <v>1.0</v>
      </c>
      <c r="D939" s="34" t="s">
        <v>895</v>
      </c>
      <c r="E939" s="33" t="s">
        <v>325</v>
      </c>
      <c r="F939" s="8" t="str">
        <f>IFERROR(__xludf.DUMMYFUNCTION("GOOGLETRANSLATE(D939,""zh-CN"",""vi"")"),"Gói quà tặng 99")</f>
        <v>Gói quà tặng 99</v>
      </c>
      <c r="G939" s="8" t="str">
        <f>IFERROR(__xludf.DUMMYFUNCTION("GOOGLETRANSLATE(E939,""zh-CN"",""vi"")"),"Nhấp đúp chuột để mở, chọn phần thưởng, sau đó nhấp vào ô để tạo phần thưởng đã chọn.")</f>
        <v>Nhấp đúp chuột để mở, chọn phần thưởng, sau đó nhấp vào ô để tạo phần thưởng đã chọn.</v>
      </c>
      <c r="H939" s="27"/>
      <c r="I939" s="27"/>
      <c r="J939" s="27"/>
    </row>
    <row r="940" ht="21.0" customHeight="1">
      <c r="A940" s="30">
        <v>20.0</v>
      </c>
      <c r="B940" s="31">
        <v>530.0</v>
      </c>
      <c r="C940" s="31">
        <v>1.0</v>
      </c>
      <c r="D940" s="34" t="s">
        <v>896</v>
      </c>
      <c r="E940" s="33" t="s">
        <v>325</v>
      </c>
      <c r="F940" s="8" t="str">
        <f>IFERROR(__xludf.DUMMYFUNCTION("GOOGLETRANSLATE(D940,""zh-CN"",""vi"")"),"Gói quà tặng sang trọng 189")</f>
        <v>Gói quà tặng sang trọng 189</v>
      </c>
      <c r="G940" s="8" t="str">
        <f>IFERROR(__xludf.DUMMYFUNCTION("GOOGLETRANSLATE(E940,""zh-CN"",""vi"")"),"Nhấp đúp chuột để mở, chọn phần thưởng, sau đó nhấp vào ô để tạo phần thưởng đã chọn.")</f>
        <v>Nhấp đúp chuột để mở, chọn phần thưởng, sau đó nhấp vào ô để tạo phần thưởng đã chọn.</v>
      </c>
      <c r="H940" s="27"/>
      <c r="I940" s="27"/>
      <c r="J940" s="27"/>
    </row>
    <row r="941" ht="21.0" customHeight="1">
      <c r="A941" s="30">
        <v>20.0</v>
      </c>
      <c r="B941" s="31">
        <v>530.0</v>
      </c>
      <c r="C941" s="31">
        <v>1.0</v>
      </c>
      <c r="D941" s="34" t="s">
        <v>897</v>
      </c>
      <c r="E941" s="33" t="s">
        <v>325</v>
      </c>
      <c r="F941" s="8" t="str">
        <f>IFERROR(__xludf.DUMMYFUNCTION("GOOGLETRANSLATE(D941,""zh-CN"",""vi"")"),"Gói quà tặng cao cấp 289")</f>
        <v>Gói quà tặng cao cấp 289</v>
      </c>
      <c r="G941" s="8" t="str">
        <f>IFERROR(__xludf.DUMMYFUNCTION("GOOGLETRANSLATE(E941,""zh-CN"",""vi"")"),"Nhấp đúp chuột để mở, chọn phần thưởng, sau đó nhấp vào ô để tạo phần thưởng đã chọn.")</f>
        <v>Nhấp đúp chuột để mở, chọn phần thưởng, sau đó nhấp vào ô để tạo phần thưởng đã chọn.</v>
      </c>
      <c r="H941" s="27"/>
      <c r="I941" s="27"/>
      <c r="J941" s="27"/>
    </row>
    <row r="942" ht="21.0" customHeight="1">
      <c r="A942" s="30">
        <v>20.0</v>
      </c>
      <c r="B942" s="31">
        <v>530.0</v>
      </c>
      <c r="C942" s="31">
        <v>1.0</v>
      </c>
      <c r="D942" s="34" t="s">
        <v>898</v>
      </c>
      <c r="E942" s="33" t="s">
        <v>325</v>
      </c>
      <c r="F942" s="8" t="str">
        <f>IFERROR(__xludf.DUMMYFUNCTION("GOOGLETRANSLATE(D942,""zh-CN"",""vi"")"),"Bộ quà tặng tối thượng 529 Ultimate Supreme")</f>
        <v>Bộ quà tặng tối thượng 529 Ultimate Supreme</v>
      </c>
      <c r="G942" s="8" t="str">
        <f>IFERROR(__xludf.DUMMYFUNCTION("GOOGLETRANSLATE(E942,""zh-CN"",""vi"")"),"Nhấp đúp chuột để mở, chọn phần thưởng, sau đó nhấp vào ô để tạo phần thưởng đã chọn.")</f>
        <v>Nhấp đúp chuột để mở, chọn phần thưởng, sau đó nhấp vào ô để tạo phần thưởng đã chọn.</v>
      </c>
      <c r="H942" s="27"/>
      <c r="I942" s="27"/>
      <c r="J942" s="27"/>
    </row>
    <row r="943" ht="21.0" customHeight="1">
      <c r="A943" s="30">
        <v>14.0</v>
      </c>
      <c r="B943" s="31">
        <v>530.0</v>
      </c>
      <c r="C943" s="31">
        <v>1.0</v>
      </c>
      <c r="D943" s="34" t="s">
        <v>899</v>
      </c>
      <c r="E943" s="33" t="s">
        <v>641</v>
      </c>
      <c r="F943" s="8" t="str">
        <f>IFERROR(__xludf.DUMMYFUNCTION("GOOGLETRANSLATE(D943,""zh-CN"",""vi"")"),"Gói quà tặng VIP1 của cửa hàng Xiaomei")</f>
        <v>Gói quà tặng VIP1 của cửa hàng Xiaomei</v>
      </c>
      <c r="G943" s="8" t="str">
        <f>IFERROR(__xludf.DUMMYFUNCTION("GOOGLETRANSLATE(E943,""zh-CN"",""vi"")"),"Nhấp đúp chuột để nhận phần thưởng")</f>
        <v>Nhấp đúp chuột để nhận phần thưởng</v>
      </c>
      <c r="H943" s="27"/>
      <c r="I943" s="27"/>
      <c r="J943" s="27"/>
    </row>
    <row r="944" ht="21.0" customHeight="1">
      <c r="A944" s="30">
        <v>14.0</v>
      </c>
      <c r="B944" s="31">
        <v>530.0</v>
      </c>
      <c r="C944" s="31">
        <v>1.0</v>
      </c>
      <c r="D944" s="34" t="s">
        <v>900</v>
      </c>
      <c r="E944" s="33" t="s">
        <v>641</v>
      </c>
      <c r="F944" s="8" t="str">
        <f>IFERROR(__xludf.DUMMYFUNCTION("GOOGLETRANSLATE(D944,""zh-CN"",""vi"")"),"Gói quà tặng VIP2 của cửa hàng Xiaomei")</f>
        <v>Gói quà tặng VIP2 của cửa hàng Xiaomei</v>
      </c>
      <c r="G944" s="8" t="str">
        <f>IFERROR(__xludf.DUMMYFUNCTION("GOOGLETRANSLATE(E944,""zh-CN"",""vi"")"),"Nhấp đúp chuột để nhận phần thưởng")</f>
        <v>Nhấp đúp chuột để nhận phần thưởng</v>
      </c>
      <c r="H944" s="27"/>
      <c r="I944" s="27"/>
      <c r="J944" s="27"/>
    </row>
    <row r="945" ht="21.0" customHeight="1">
      <c r="A945" s="30">
        <v>14.0</v>
      </c>
      <c r="B945" s="31">
        <v>530.0</v>
      </c>
      <c r="C945" s="31">
        <v>1.0</v>
      </c>
      <c r="D945" s="34" t="s">
        <v>901</v>
      </c>
      <c r="E945" s="33" t="s">
        <v>641</v>
      </c>
      <c r="F945" s="8" t="str">
        <f>IFERROR(__xludf.DUMMYFUNCTION("GOOGLETRANSLATE(D945,""zh-CN"",""vi"")"),"Gói quà tặng VIP3 của cửa hàng Xiaomei")</f>
        <v>Gói quà tặng VIP3 của cửa hàng Xiaomei</v>
      </c>
      <c r="G945" s="8" t="str">
        <f>IFERROR(__xludf.DUMMYFUNCTION("GOOGLETRANSLATE(E945,""zh-CN"",""vi"")"),"Nhấp đúp chuột để nhận phần thưởng")</f>
        <v>Nhấp đúp chuột để nhận phần thưởng</v>
      </c>
      <c r="H945" s="27"/>
      <c r="I945" s="27"/>
      <c r="J945" s="27"/>
    </row>
    <row r="946" ht="21.0" customHeight="1">
      <c r="A946" s="30">
        <v>14.0</v>
      </c>
      <c r="B946" s="31">
        <v>530.0</v>
      </c>
      <c r="C946" s="31">
        <v>1.0</v>
      </c>
      <c r="D946" s="34" t="s">
        <v>902</v>
      </c>
      <c r="E946" s="33" t="s">
        <v>641</v>
      </c>
      <c r="F946" s="8" t="str">
        <f>IFERROR(__xludf.DUMMYFUNCTION("GOOGLETRANSLATE(D946,""zh-CN"",""vi"")"),"Gói quà tặng VIP4 của cửa hàng Xiaomei")</f>
        <v>Gói quà tặng VIP4 của cửa hàng Xiaomei</v>
      </c>
      <c r="G946" s="8" t="str">
        <f>IFERROR(__xludf.DUMMYFUNCTION("GOOGLETRANSLATE(E946,""zh-CN"",""vi"")"),"Nhấp đúp chuột để nhận phần thưởng")</f>
        <v>Nhấp đúp chuột để nhận phần thưởng</v>
      </c>
      <c r="H946" s="27"/>
      <c r="I946" s="27"/>
      <c r="J946" s="27"/>
    </row>
    <row r="947" ht="21.0" customHeight="1">
      <c r="A947" s="30">
        <v>20.0</v>
      </c>
      <c r="B947" s="31">
        <v>530.0</v>
      </c>
      <c r="C947" s="31">
        <v>1.0</v>
      </c>
      <c r="D947" s="34" t="s">
        <v>903</v>
      </c>
      <c r="E947" s="33" t="s">
        <v>325</v>
      </c>
      <c r="F947" s="8" t="str">
        <f>IFERROR(__xludf.DUMMYFUNCTION("GOOGLETRANSLATE(D947,""zh-CN"",""vi"")"),"Bộ quà tặng đạo cụ công viên giải trí")</f>
        <v>Bộ quà tặng đạo cụ công viên giải trí</v>
      </c>
      <c r="G947" s="8" t="str">
        <f>IFERROR(__xludf.DUMMYFUNCTION("GOOGLETRANSLATE(E947,""zh-CN"",""vi"")"),"Nhấp đúp chuột để mở, chọn phần thưởng, sau đó nhấp vào ô để tạo phần thưởng đã chọn.")</f>
        <v>Nhấp đúp chuột để mở, chọn phần thưởng, sau đó nhấp vào ô để tạo phần thưởng đã chọn.</v>
      </c>
      <c r="H947" s="27"/>
      <c r="I947" s="27"/>
      <c r="J947" s="27"/>
    </row>
    <row r="948" ht="21.0" customHeight="1">
      <c r="A948" s="30">
        <v>20.0</v>
      </c>
      <c r="B948" s="31">
        <v>530.0</v>
      </c>
      <c r="C948" s="31">
        <v>1.0</v>
      </c>
      <c r="D948" s="34" t="s">
        <v>894</v>
      </c>
      <c r="E948" s="33" t="s">
        <v>325</v>
      </c>
      <c r="F948" s="8" t="str">
        <f>IFERROR(__xludf.DUMMYFUNCTION("GOOGLETRANSLATE(D948,""zh-CN"",""vi"")"),"Bộ quà tặng 59 món")</f>
        <v>Bộ quà tặng 59 món</v>
      </c>
      <c r="G948" s="8" t="str">
        <f>IFERROR(__xludf.DUMMYFUNCTION("GOOGLETRANSLATE(E948,""zh-CN"",""vi"")"),"Nhấp đúp chuột để mở, chọn phần thưởng, sau đó nhấp vào ô để tạo phần thưởng đã chọn.")</f>
        <v>Nhấp đúp chuột để mở, chọn phần thưởng, sau đó nhấp vào ô để tạo phần thưởng đã chọn.</v>
      </c>
      <c r="H948" s="27"/>
      <c r="I948" s="27"/>
      <c r="J948" s="27"/>
    </row>
    <row r="949" ht="21.0" customHeight="1">
      <c r="A949" s="30">
        <v>20.0</v>
      </c>
      <c r="B949" s="31">
        <v>530.0</v>
      </c>
      <c r="C949" s="31">
        <v>1.0</v>
      </c>
      <c r="D949" s="34" t="s">
        <v>895</v>
      </c>
      <c r="E949" s="33" t="s">
        <v>325</v>
      </c>
      <c r="F949" s="8" t="str">
        <f>IFERROR(__xludf.DUMMYFUNCTION("GOOGLETRANSLATE(D949,""zh-CN"",""vi"")"),"Gói quà tặng 99")</f>
        <v>Gói quà tặng 99</v>
      </c>
      <c r="G949" s="8" t="str">
        <f>IFERROR(__xludf.DUMMYFUNCTION("GOOGLETRANSLATE(E949,""zh-CN"",""vi"")"),"Nhấp đúp chuột để mở, chọn phần thưởng, sau đó nhấp vào ô để tạo phần thưởng đã chọn.")</f>
        <v>Nhấp đúp chuột để mở, chọn phần thưởng, sau đó nhấp vào ô để tạo phần thưởng đã chọn.</v>
      </c>
      <c r="H949" s="27"/>
      <c r="I949" s="27"/>
      <c r="J949" s="27"/>
    </row>
    <row r="950" ht="21.0" customHeight="1">
      <c r="A950" s="30">
        <v>20.0</v>
      </c>
      <c r="B950" s="31">
        <v>530.0</v>
      </c>
      <c r="C950" s="31">
        <v>1.0</v>
      </c>
      <c r="D950" s="34" t="s">
        <v>896</v>
      </c>
      <c r="E950" s="33" t="s">
        <v>325</v>
      </c>
      <c r="F950" s="8" t="str">
        <f>IFERROR(__xludf.DUMMYFUNCTION("GOOGLETRANSLATE(D950,""zh-CN"",""vi"")"),"Gói quà tặng sang trọng 189")</f>
        <v>Gói quà tặng sang trọng 189</v>
      </c>
      <c r="G950" s="8" t="str">
        <f>IFERROR(__xludf.DUMMYFUNCTION("GOOGLETRANSLATE(E950,""zh-CN"",""vi"")"),"Nhấp đúp chuột để mở, chọn phần thưởng, sau đó nhấp vào ô để tạo phần thưởng đã chọn.")</f>
        <v>Nhấp đúp chuột để mở, chọn phần thưởng, sau đó nhấp vào ô để tạo phần thưởng đã chọn.</v>
      </c>
      <c r="H950" s="27"/>
      <c r="I950" s="27"/>
      <c r="J950" s="27"/>
    </row>
    <row r="951" ht="21.0" customHeight="1">
      <c r="A951" s="30">
        <v>20.0</v>
      </c>
      <c r="B951" s="31">
        <v>530.0</v>
      </c>
      <c r="C951" s="31">
        <v>1.0</v>
      </c>
      <c r="D951" s="34" t="s">
        <v>897</v>
      </c>
      <c r="E951" s="33" t="s">
        <v>325</v>
      </c>
      <c r="F951" s="8" t="str">
        <f>IFERROR(__xludf.DUMMYFUNCTION("GOOGLETRANSLATE(D951,""zh-CN"",""vi"")"),"Gói quà tặng cao cấp 289")</f>
        <v>Gói quà tặng cao cấp 289</v>
      </c>
      <c r="G951" s="8" t="str">
        <f>IFERROR(__xludf.DUMMYFUNCTION("GOOGLETRANSLATE(E951,""zh-CN"",""vi"")"),"Nhấp đúp chuột để mở, chọn phần thưởng, sau đó nhấp vào ô để tạo phần thưởng đã chọn.")</f>
        <v>Nhấp đúp chuột để mở, chọn phần thưởng, sau đó nhấp vào ô để tạo phần thưởng đã chọn.</v>
      </c>
      <c r="H951" s="27"/>
      <c r="I951" s="27"/>
      <c r="J951" s="27"/>
    </row>
    <row r="952" ht="21.0" customHeight="1">
      <c r="A952" s="30">
        <v>20.0</v>
      </c>
      <c r="B952" s="31">
        <v>530.0</v>
      </c>
      <c r="C952" s="31">
        <v>1.0</v>
      </c>
      <c r="D952" s="34" t="s">
        <v>898</v>
      </c>
      <c r="E952" s="33" t="s">
        <v>325</v>
      </c>
      <c r="F952" s="8" t="str">
        <f>IFERROR(__xludf.DUMMYFUNCTION("GOOGLETRANSLATE(D952,""zh-CN"",""vi"")"),"Bộ quà tặng tối thượng 529 Ultimate Supreme")</f>
        <v>Bộ quà tặng tối thượng 529 Ultimate Supreme</v>
      </c>
      <c r="G952" s="8" t="str">
        <f>IFERROR(__xludf.DUMMYFUNCTION("GOOGLETRANSLATE(E952,""zh-CN"",""vi"")"),"Nhấp đúp chuột để mở, chọn phần thưởng, sau đó nhấp vào ô để tạo phần thưởng đã chọn.")</f>
        <v>Nhấp đúp chuột để mở, chọn phần thưởng, sau đó nhấp vào ô để tạo phần thưởng đã chọn.</v>
      </c>
      <c r="H952" s="27"/>
      <c r="I952" s="27"/>
      <c r="J952" s="27"/>
    </row>
    <row r="953" ht="21.0" customHeight="1">
      <c r="A953" s="30">
        <v>20.0</v>
      </c>
      <c r="B953" s="31">
        <v>530.0</v>
      </c>
      <c r="C953" s="31">
        <v>1.0</v>
      </c>
      <c r="D953" s="34" t="s">
        <v>894</v>
      </c>
      <c r="E953" s="33" t="s">
        <v>325</v>
      </c>
      <c r="F953" s="8" t="str">
        <f>IFERROR(__xludf.DUMMYFUNCTION("GOOGLETRANSLATE(D953,""zh-CN"",""vi"")"),"Bộ quà tặng 59 món")</f>
        <v>Bộ quà tặng 59 món</v>
      </c>
      <c r="G953" s="8" t="str">
        <f>IFERROR(__xludf.DUMMYFUNCTION("GOOGLETRANSLATE(E953,""zh-CN"",""vi"")"),"Nhấp đúp chuột để mở, chọn phần thưởng, sau đó nhấp vào ô để tạo phần thưởng đã chọn.")</f>
        <v>Nhấp đúp chuột để mở, chọn phần thưởng, sau đó nhấp vào ô để tạo phần thưởng đã chọn.</v>
      </c>
      <c r="H953" s="27"/>
      <c r="I953" s="27"/>
      <c r="J953" s="27"/>
    </row>
    <row r="954" ht="21.0" customHeight="1">
      <c r="A954" s="30">
        <v>20.0</v>
      </c>
      <c r="B954" s="31">
        <v>530.0</v>
      </c>
      <c r="C954" s="31">
        <v>1.0</v>
      </c>
      <c r="D954" s="34" t="s">
        <v>895</v>
      </c>
      <c r="E954" s="33" t="s">
        <v>325</v>
      </c>
      <c r="F954" s="8" t="str">
        <f>IFERROR(__xludf.DUMMYFUNCTION("GOOGLETRANSLATE(D954,""zh-CN"",""vi"")"),"Gói quà tặng 99")</f>
        <v>Gói quà tặng 99</v>
      </c>
      <c r="G954" s="8" t="str">
        <f>IFERROR(__xludf.DUMMYFUNCTION("GOOGLETRANSLATE(E954,""zh-CN"",""vi"")"),"Nhấp đúp chuột để mở, chọn phần thưởng, sau đó nhấp vào ô để tạo phần thưởng đã chọn.")</f>
        <v>Nhấp đúp chuột để mở, chọn phần thưởng, sau đó nhấp vào ô để tạo phần thưởng đã chọn.</v>
      </c>
      <c r="H954" s="27"/>
      <c r="I954" s="27"/>
      <c r="J954" s="27"/>
    </row>
    <row r="955" ht="21.0" customHeight="1">
      <c r="A955" s="30">
        <v>20.0</v>
      </c>
      <c r="B955" s="31">
        <v>530.0</v>
      </c>
      <c r="C955" s="31">
        <v>1.0</v>
      </c>
      <c r="D955" s="34" t="s">
        <v>896</v>
      </c>
      <c r="E955" s="33" t="s">
        <v>325</v>
      </c>
      <c r="F955" s="8" t="str">
        <f>IFERROR(__xludf.DUMMYFUNCTION("GOOGLETRANSLATE(D955,""zh-CN"",""vi"")"),"Gói quà tặng sang trọng 189")</f>
        <v>Gói quà tặng sang trọng 189</v>
      </c>
      <c r="G955" s="8" t="str">
        <f>IFERROR(__xludf.DUMMYFUNCTION("GOOGLETRANSLATE(E955,""zh-CN"",""vi"")"),"Nhấp đúp chuột để mở, chọn phần thưởng, sau đó nhấp vào ô để tạo phần thưởng đã chọn.")</f>
        <v>Nhấp đúp chuột để mở, chọn phần thưởng, sau đó nhấp vào ô để tạo phần thưởng đã chọn.</v>
      </c>
      <c r="H955" s="27"/>
      <c r="I955" s="27"/>
      <c r="J955" s="27"/>
    </row>
    <row r="956" ht="21.0" customHeight="1">
      <c r="A956" s="30">
        <v>20.0</v>
      </c>
      <c r="B956" s="31">
        <v>530.0</v>
      </c>
      <c r="C956" s="31">
        <v>1.0</v>
      </c>
      <c r="D956" s="34" t="s">
        <v>897</v>
      </c>
      <c r="E956" s="33" t="s">
        <v>325</v>
      </c>
      <c r="F956" s="8" t="str">
        <f>IFERROR(__xludf.DUMMYFUNCTION("GOOGLETRANSLATE(D956,""zh-CN"",""vi"")"),"Gói quà tặng cao cấp 289")</f>
        <v>Gói quà tặng cao cấp 289</v>
      </c>
      <c r="G956" s="8" t="str">
        <f>IFERROR(__xludf.DUMMYFUNCTION("GOOGLETRANSLATE(E956,""zh-CN"",""vi"")"),"Nhấp đúp chuột để mở, chọn phần thưởng, sau đó nhấp vào ô để tạo phần thưởng đã chọn.")</f>
        <v>Nhấp đúp chuột để mở, chọn phần thưởng, sau đó nhấp vào ô để tạo phần thưởng đã chọn.</v>
      </c>
      <c r="H956" s="27"/>
      <c r="I956" s="27"/>
      <c r="J956" s="27"/>
    </row>
    <row r="957" ht="21.0" customHeight="1">
      <c r="A957" s="30">
        <v>20.0</v>
      </c>
      <c r="B957" s="31">
        <v>530.0</v>
      </c>
      <c r="C957" s="31">
        <v>1.0</v>
      </c>
      <c r="D957" s="34" t="s">
        <v>898</v>
      </c>
      <c r="E957" s="33" t="s">
        <v>325</v>
      </c>
      <c r="F957" s="8" t="str">
        <f>IFERROR(__xludf.DUMMYFUNCTION("GOOGLETRANSLATE(D957,""zh-CN"",""vi"")"),"Bộ quà tặng tối thượng 529 Ultimate Supreme")</f>
        <v>Bộ quà tặng tối thượng 529 Ultimate Supreme</v>
      </c>
      <c r="G957" s="8" t="str">
        <f>IFERROR(__xludf.DUMMYFUNCTION("GOOGLETRANSLATE(E957,""zh-CN"",""vi"")"),"Nhấp đúp chuột để mở, chọn phần thưởng, sau đó nhấp vào ô để tạo phần thưởng đã chọn.")</f>
        <v>Nhấp đúp chuột để mở, chọn phần thưởng, sau đó nhấp vào ô để tạo phần thưởng đã chọn.</v>
      </c>
      <c r="H957" s="27"/>
      <c r="I957" s="27"/>
      <c r="J957" s="27"/>
    </row>
    <row r="958" ht="21.0" customHeight="1">
      <c r="A958" s="48">
        <v>20.0</v>
      </c>
      <c r="B958" s="49">
        <v>530.0</v>
      </c>
      <c r="C958" s="49">
        <v>1.0</v>
      </c>
      <c r="D958" s="50" t="s">
        <v>894</v>
      </c>
      <c r="E958" s="51" t="s">
        <v>325</v>
      </c>
      <c r="F958" s="8" t="str">
        <f>IFERROR(__xludf.DUMMYFUNCTION("GOOGLETRANSLATE(D958,""zh-CN"",""vi"")"),"Bộ quà tặng 59 món")</f>
        <v>Bộ quà tặng 59 món</v>
      </c>
      <c r="G958" s="8" t="str">
        <f>IFERROR(__xludf.DUMMYFUNCTION("GOOGLETRANSLATE(E958,""zh-CN"",""vi"")"),"Nhấp đúp chuột để mở, chọn phần thưởng, sau đó nhấp vào ô để tạo phần thưởng đã chọn.")</f>
        <v>Nhấp đúp chuột để mở, chọn phần thưởng, sau đó nhấp vào ô để tạo phần thưởng đã chọn.</v>
      </c>
      <c r="H958" s="52"/>
      <c r="I958" s="52"/>
      <c r="J958" s="52"/>
    </row>
    <row r="959" ht="21.0" customHeight="1">
      <c r="A959" s="48">
        <v>20.0</v>
      </c>
      <c r="B959" s="49">
        <v>530.0</v>
      </c>
      <c r="C959" s="49">
        <v>1.0</v>
      </c>
      <c r="D959" s="50" t="s">
        <v>895</v>
      </c>
      <c r="E959" s="51" t="s">
        <v>325</v>
      </c>
      <c r="F959" s="8" t="str">
        <f>IFERROR(__xludf.DUMMYFUNCTION("GOOGLETRANSLATE(D959,""zh-CN"",""vi"")"),"Gói quà tặng 99")</f>
        <v>Gói quà tặng 99</v>
      </c>
      <c r="G959" s="8" t="str">
        <f>IFERROR(__xludf.DUMMYFUNCTION("GOOGLETRANSLATE(E959,""zh-CN"",""vi"")"),"Nhấp đúp chuột để mở, chọn phần thưởng, sau đó nhấp vào ô để tạo phần thưởng đã chọn.")</f>
        <v>Nhấp đúp chuột để mở, chọn phần thưởng, sau đó nhấp vào ô để tạo phần thưởng đã chọn.</v>
      </c>
      <c r="H959" s="52"/>
      <c r="I959" s="52"/>
      <c r="J959" s="52"/>
    </row>
    <row r="960" ht="21.0" customHeight="1">
      <c r="A960" s="48">
        <v>20.0</v>
      </c>
      <c r="B960" s="49">
        <v>530.0</v>
      </c>
      <c r="C960" s="49">
        <v>1.0</v>
      </c>
      <c r="D960" s="50" t="s">
        <v>896</v>
      </c>
      <c r="E960" s="51" t="s">
        <v>325</v>
      </c>
      <c r="F960" s="8" t="str">
        <f>IFERROR(__xludf.DUMMYFUNCTION("GOOGLETRANSLATE(D960,""zh-CN"",""vi"")"),"Gói quà tặng sang trọng 189")</f>
        <v>Gói quà tặng sang trọng 189</v>
      </c>
      <c r="G960" s="8" t="str">
        <f>IFERROR(__xludf.DUMMYFUNCTION("GOOGLETRANSLATE(E960,""zh-CN"",""vi"")"),"Nhấp đúp chuột để mở, chọn phần thưởng, sau đó nhấp vào ô để tạo phần thưởng đã chọn.")</f>
        <v>Nhấp đúp chuột để mở, chọn phần thưởng, sau đó nhấp vào ô để tạo phần thưởng đã chọn.</v>
      </c>
      <c r="H960" s="52"/>
      <c r="I960" s="52"/>
      <c r="J960" s="52"/>
    </row>
    <row r="961" ht="21.0" customHeight="1">
      <c r="A961" s="48">
        <v>20.0</v>
      </c>
      <c r="B961" s="49">
        <v>530.0</v>
      </c>
      <c r="C961" s="49">
        <v>1.0</v>
      </c>
      <c r="D961" s="50" t="s">
        <v>897</v>
      </c>
      <c r="E961" s="51" t="s">
        <v>325</v>
      </c>
      <c r="F961" s="8" t="str">
        <f>IFERROR(__xludf.DUMMYFUNCTION("GOOGLETRANSLATE(D961,""zh-CN"",""vi"")"),"Gói quà tặng cao cấp 289")</f>
        <v>Gói quà tặng cao cấp 289</v>
      </c>
      <c r="G961" s="8" t="str">
        <f>IFERROR(__xludf.DUMMYFUNCTION("GOOGLETRANSLATE(E961,""zh-CN"",""vi"")"),"Nhấp đúp chuột để mở, chọn phần thưởng, sau đó nhấp vào ô để tạo phần thưởng đã chọn.")</f>
        <v>Nhấp đúp chuột để mở, chọn phần thưởng, sau đó nhấp vào ô để tạo phần thưởng đã chọn.</v>
      </c>
      <c r="H961" s="52"/>
      <c r="I961" s="52"/>
      <c r="J961" s="52"/>
    </row>
    <row r="962" ht="21.0" customHeight="1">
      <c r="A962" s="48">
        <v>20.0</v>
      </c>
      <c r="B962" s="49">
        <v>530.0</v>
      </c>
      <c r="C962" s="49">
        <v>1.0</v>
      </c>
      <c r="D962" s="50" t="s">
        <v>898</v>
      </c>
      <c r="E962" s="51" t="s">
        <v>325</v>
      </c>
      <c r="F962" s="8" t="str">
        <f>IFERROR(__xludf.DUMMYFUNCTION("GOOGLETRANSLATE(D962,""zh-CN"",""vi"")"),"Bộ quà tặng tối thượng 529 Ultimate Supreme")</f>
        <v>Bộ quà tặng tối thượng 529 Ultimate Supreme</v>
      </c>
      <c r="G962" s="8" t="str">
        <f>IFERROR(__xludf.DUMMYFUNCTION("GOOGLETRANSLATE(E962,""zh-CN"",""vi"")"),"Nhấp đúp chuột để mở, chọn phần thưởng, sau đó nhấp vào ô để tạo phần thưởng đã chọn.")</f>
        <v>Nhấp đúp chuột để mở, chọn phần thưởng, sau đó nhấp vào ô để tạo phần thưởng đã chọn.</v>
      </c>
      <c r="H962" s="52"/>
      <c r="I962" s="52"/>
      <c r="J962" s="52"/>
    </row>
    <row r="963" ht="21.0" customHeight="1">
      <c r="A963" s="30">
        <v>20.0</v>
      </c>
      <c r="B963" s="31">
        <v>530.0</v>
      </c>
      <c r="C963" s="31">
        <v>1.0</v>
      </c>
      <c r="D963" s="34" t="s">
        <v>904</v>
      </c>
      <c r="E963" s="33" t="s">
        <v>325</v>
      </c>
      <c r="F963" s="8" t="str">
        <f>IFERROR(__xludf.DUMMYFUNCTION("GOOGLETRANSLATE(D963,""zh-CN"",""vi"")"),"Gói quà tặng không giới hạn")</f>
        <v>Gói quà tặng không giới hạn</v>
      </c>
      <c r="G963" s="8" t="str">
        <f>IFERROR(__xludf.DUMMYFUNCTION("GOOGLETRANSLATE(E963,""zh-CN"",""vi"")"),"Nhấp đúp chuột để mở, chọn phần thưởng, sau đó nhấp vào ô để tạo phần thưởng đã chọn.")</f>
        <v>Nhấp đúp chuột để mở, chọn phần thưởng, sau đó nhấp vào ô để tạo phần thưởng đã chọn.</v>
      </c>
      <c r="H963" s="27"/>
      <c r="I963" s="27"/>
      <c r="J963" s="27"/>
    </row>
    <row r="964" ht="21.0" customHeight="1">
      <c r="A964" s="30">
        <v>20.0</v>
      </c>
      <c r="B964" s="31">
        <v>530.0</v>
      </c>
      <c r="C964" s="31">
        <v>1.0</v>
      </c>
      <c r="D964" s="34" t="s">
        <v>905</v>
      </c>
      <c r="E964" s="33" t="s">
        <v>325</v>
      </c>
      <c r="F964" s="8" t="str">
        <f>IFERROR(__xludf.DUMMYFUNCTION("GOOGLETRANSLATE(D964,""zh-CN"",""vi"")"),"Gói quà tặng 119")</f>
        <v>Gói quà tặng 119</v>
      </c>
      <c r="G964" s="8" t="str">
        <f>IFERROR(__xludf.DUMMYFUNCTION("GOOGLETRANSLATE(E964,""zh-CN"",""vi"")"),"Nhấp đúp chuột để mở, chọn phần thưởng, sau đó nhấp vào ô để tạo phần thưởng đã chọn.")</f>
        <v>Nhấp đúp chuột để mở, chọn phần thưởng, sau đó nhấp vào ô để tạo phần thưởng đã chọn.</v>
      </c>
      <c r="H964" s="27"/>
      <c r="I964" s="27"/>
      <c r="J964" s="27"/>
    </row>
    <row r="965" ht="21.0" customHeight="1">
      <c r="A965" s="30">
        <v>20.0</v>
      </c>
      <c r="B965" s="31">
        <v>530.0</v>
      </c>
      <c r="C965" s="31">
        <v>1.0</v>
      </c>
      <c r="D965" s="34" t="s">
        <v>906</v>
      </c>
      <c r="E965" s="33" t="s">
        <v>325</v>
      </c>
      <c r="F965" s="8" t="str">
        <f>IFERROR(__xludf.DUMMYFUNCTION("GOOGLETRANSLATE(D965,""zh-CN"",""vi"")"),"Gói quà tặng cao cấp 169")</f>
        <v>Gói quà tặng cao cấp 169</v>
      </c>
      <c r="G965" s="8" t="str">
        <f>IFERROR(__xludf.DUMMYFUNCTION("GOOGLETRANSLATE(E965,""zh-CN"",""vi"")"),"Nhấp đúp chuột để mở, chọn phần thưởng, sau đó nhấp vào ô để tạo phần thưởng đã chọn.")</f>
        <v>Nhấp đúp chuột để mở, chọn phần thưởng, sau đó nhấp vào ô để tạo phần thưởng đã chọn.</v>
      </c>
      <c r="H965" s="27"/>
      <c r="I965" s="27"/>
      <c r="J965" s="27"/>
    </row>
    <row r="966" ht="21.0" customHeight="1">
      <c r="A966" s="30">
        <v>20.0</v>
      </c>
      <c r="B966" s="31">
        <v>530.0</v>
      </c>
      <c r="C966" s="31">
        <v>1.0</v>
      </c>
      <c r="D966" s="34" t="s">
        <v>907</v>
      </c>
      <c r="E966" s="33" t="s">
        <v>325</v>
      </c>
      <c r="F966" s="8" t="str">
        <f>IFERROR(__xludf.DUMMYFUNCTION("GOOGLETRANSLATE(D966,""zh-CN"",""vi"")"),"Gói quà tặng cao cấp 269")</f>
        <v>Gói quà tặng cao cấp 269</v>
      </c>
      <c r="G966" s="8" t="str">
        <f>IFERROR(__xludf.DUMMYFUNCTION("GOOGLETRANSLATE(E966,""zh-CN"",""vi"")"),"Nhấp đúp chuột để mở, chọn phần thưởng, sau đó nhấp vào ô để tạo phần thưởng đã chọn.")</f>
        <v>Nhấp đúp chuột để mở, chọn phần thưởng, sau đó nhấp vào ô để tạo phần thưởng đã chọn.</v>
      </c>
      <c r="H966" s="27"/>
      <c r="I966" s="27"/>
      <c r="J966" s="27"/>
    </row>
    <row r="967" ht="21.0" customHeight="1">
      <c r="A967" s="30">
        <v>20.0</v>
      </c>
      <c r="B967" s="31">
        <v>530.0</v>
      </c>
      <c r="C967" s="31">
        <v>1.0</v>
      </c>
      <c r="D967" s="34" t="s">
        <v>894</v>
      </c>
      <c r="E967" s="33" t="s">
        <v>325</v>
      </c>
      <c r="F967" s="8" t="str">
        <f>IFERROR(__xludf.DUMMYFUNCTION("GOOGLETRANSLATE(D967,""zh-CN"",""vi"")"),"Bộ quà tặng 59 món")</f>
        <v>Bộ quà tặng 59 món</v>
      </c>
      <c r="G967" s="8" t="str">
        <f>IFERROR(__xludf.DUMMYFUNCTION("GOOGLETRANSLATE(E967,""zh-CN"",""vi"")"),"Nhấp đúp chuột để mở, chọn phần thưởng, sau đó nhấp vào ô để tạo phần thưởng đã chọn.")</f>
        <v>Nhấp đúp chuột để mở, chọn phần thưởng, sau đó nhấp vào ô để tạo phần thưởng đã chọn.</v>
      </c>
      <c r="H967" s="27"/>
      <c r="I967" s="27"/>
      <c r="J967" s="27"/>
    </row>
    <row r="968" ht="21.0" customHeight="1">
      <c r="A968" s="30">
        <v>20.0</v>
      </c>
      <c r="B968" s="31">
        <v>530.0</v>
      </c>
      <c r="C968" s="31">
        <v>1.0</v>
      </c>
      <c r="D968" s="34" t="s">
        <v>907</v>
      </c>
      <c r="E968" s="33" t="s">
        <v>325</v>
      </c>
      <c r="F968" s="8" t="str">
        <f>IFERROR(__xludf.DUMMYFUNCTION("GOOGLETRANSLATE(D968,""zh-CN"",""vi"")"),"Gói quà tặng cao cấp 269")</f>
        <v>Gói quà tặng cao cấp 269</v>
      </c>
      <c r="G968" s="8" t="str">
        <f>IFERROR(__xludf.DUMMYFUNCTION("GOOGLETRANSLATE(E968,""zh-CN"",""vi"")"),"Nhấp đúp chuột để mở, chọn phần thưởng, sau đó nhấp vào ô để tạo phần thưởng đã chọn.")</f>
        <v>Nhấp đúp chuột để mở, chọn phần thưởng, sau đó nhấp vào ô để tạo phần thưởng đã chọn.</v>
      </c>
      <c r="H968" s="27"/>
      <c r="I968" s="27"/>
      <c r="J968" s="27"/>
    </row>
    <row r="969" ht="21.0" customHeight="1">
      <c r="A969" s="30">
        <v>20.0</v>
      </c>
      <c r="B969" s="31">
        <v>530.0</v>
      </c>
      <c r="C969" s="31">
        <v>1.0</v>
      </c>
      <c r="D969" s="34" t="s">
        <v>898</v>
      </c>
      <c r="E969" s="33" t="s">
        <v>325</v>
      </c>
      <c r="F969" s="8" t="str">
        <f>IFERROR(__xludf.DUMMYFUNCTION("GOOGLETRANSLATE(D969,""zh-CN"",""vi"")"),"Bộ quà tặng tối thượng 529 Ultimate Supreme")</f>
        <v>Bộ quà tặng tối thượng 529 Ultimate Supreme</v>
      </c>
      <c r="G969" s="8" t="str">
        <f>IFERROR(__xludf.DUMMYFUNCTION("GOOGLETRANSLATE(E969,""zh-CN"",""vi"")"),"Nhấp đúp chuột để mở, chọn phần thưởng, sau đó nhấp vào ô để tạo phần thưởng đã chọn.")</f>
        <v>Nhấp đúp chuột để mở, chọn phần thưởng, sau đó nhấp vào ô để tạo phần thưởng đã chọn.</v>
      </c>
      <c r="H969" s="27"/>
      <c r="I969" s="27"/>
      <c r="J969" s="27"/>
    </row>
    <row r="970" ht="21.0" customHeight="1">
      <c r="A970" s="30">
        <v>20.0</v>
      </c>
      <c r="B970" s="31">
        <v>530.0</v>
      </c>
      <c r="C970" s="31">
        <v>1.0</v>
      </c>
      <c r="D970" s="34" t="s">
        <v>894</v>
      </c>
      <c r="E970" s="33" t="s">
        <v>325</v>
      </c>
      <c r="F970" s="8" t="str">
        <f>IFERROR(__xludf.DUMMYFUNCTION("GOOGLETRANSLATE(D970,""zh-CN"",""vi"")"),"Bộ quà tặng 59 món")</f>
        <v>Bộ quà tặng 59 món</v>
      </c>
      <c r="G970" s="8" t="str">
        <f>IFERROR(__xludf.DUMMYFUNCTION("GOOGLETRANSLATE(E970,""zh-CN"",""vi"")"),"Nhấp đúp chuột để mở, chọn phần thưởng, sau đó nhấp vào ô để tạo phần thưởng đã chọn.")</f>
        <v>Nhấp đúp chuột để mở, chọn phần thưởng, sau đó nhấp vào ô để tạo phần thưởng đã chọn.</v>
      </c>
      <c r="H970" s="27"/>
      <c r="I970" s="27"/>
      <c r="J970" s="27"/>
    </row>
    <row r="971" ht="21.0" customHeight="1">
      <c r="A971" s="30">
        <v>20.0</v>
      </c>
      <c r="B971" s="31">
        <v>530.0</v>
      </c>
      <c r="C971" s="31">
        <v>1.0</v>
      </c>
      <c r="D971" s="34" t="s">
        <v>907</v>
      </c>
      <c r="E971" s="33" t="s">
        <v>325</v>
      </c>
      <c r="F971" s="8" t="str">
        <f>IFERROR(__xludf.DUMMYFUNCTION("GOOGLETRANSLATE(D971,""zh-CN"",""vi"")"),"Gói quà tặng cao cấp 269")</f>
        <v>Gói quà tặng cao cấp 269</v>
      </c>
      <c r="G971" s="8" t="str">
        <f>IFERROR(__xludf.DUMMYFUNCTION("GOOGLETRANSLATE(E971,""zh-CN"",""vi"")"),"Nhấp đúp chuột để mở, chọn phần thưởng, sau đó nhấp vào ô để tạo phần thưởng đã chọn.")</f>
        <v>Nhấp đúp chuột để mở, chọn phần thưởng, sau đó nhấp vào ô để tạo phần thưởng đã chọn.</v>
      </c>
      <c r="H971" s="27"/>
      <c r="I971" s="27"/>
      <c r="J971" s="27"/>
    </row>
    <row r="972" ht="21.0" customHeight="1">
      <c r="A972" s="30">
        <v>20.0</v>
      </c>
      <c r="B972" s="31">
        <v>530.0</v>
      </c>
      <c r="C972" s="31">
        <v>1.0</v>
      </c>
      <c r="D972" s="34" t="s">
        <v>898</v>
      </c>
      <c r="E972" s="33" t="s">
        <v>325</v>
      </c>
      <c r="F972" s="8" t="str">
        <f>IFERROR(__xludf.DUMMYFUNCTION("GOOGLETRANSLATE(D972,""zh-CN"",""vi"")"),"Bộ quà tặng tối thượng 529 Ultimate Supreme")</f>
        <v>Bộ quà tặng tối thượng 529 Ultimate Supreme</v>
      </c>
      <c r="G972" s="8" t="str">
        <f>IFERROR(__xludf.DUMMYFUNCTION("GOOGLETRANSLATE(E972,""zh-CN"",""vi"")"),"Nhấp đúp chuột để mở, chọn phần thưởng, sau đó nhấp vào ô để tạo phần thưởng đã chọn.")</f>
        <v>Nhấp đúp chuột để mở, chọn phần thưởng, sau đó nhấp vào ô để tạo phần thưởng đã chọn.</v>
      </c>
      <c r="H972" s="27"/>
      <c r="I972" s="27"/>
      <c r="J972" s="27"/>
    </row>
    <row r="973" ht="21.0" customHeight="1">
      <c r="A973" s="24">
        <v>20.0</v>
      </c>
      <c r="B973" s="25">
        <v>530.0</v>
      </c>
      <c r="C973" s="25">
        <v>1.0</v>
      </c>
      <c r="D973" s="26" t="s">
        <v>894</v>
      </c>
      <c r="E973" s="11" t="s">
        <v>325</v>
      </c>
      <c r="F973" s="8" t="str">
        <f>IFERROR(__xludf.DUMMYFUNCTION("GOOGLETRANSLATE(D973,""zh-CN"",""vi"")"),"Bộ quà tặng 59 món")</f>
        <v>Bộ quà tặng 59 món</v>
      </c>
      <c r="G973" s="8" t="str">
        <f>IFERROR(__xludf.DUMMYFUNCTION("GOOGLETRANSLATE(E973,""zh-CN"",""vi"")"),"Nhấp đúp chuột để mở, chọn phần thưởng, sau đó nhấp vào ô để tạo phần thưởng đã chọn.")</f>
        <v>Nhấp đúp chuột để mở, chọn phần thưởng, sau đó nhấp vào ô để tạo phần thưởng đã chọn.</v>
      </c>
      <c r="H973" s="14"/>
      <c r="I973" s="14"/>
      <c r="J973" s="14"/>
    </row>
    <row r="974" ht="21.0" customHeight="1">
      <c r="A974" s="24">
        <v>20.0</v>
      </c>
      <c r="B974" s="25">
        <v>530.0</v>
      </c>
      <c r="C974" s="25">
        <v>1.0</v>
      </c>
      <c r="D974" s="26" t="s">
        <v>907</v>
      </c>
      <c r="E974" s="11" t="s">
        <v>325</v>
      </c>
      <c r="F974" s="8" t="str">
        <f>IFERROR(__xludf.DUMMYFUNCTION("GOOGLETRANSLATE(D974,""zh-CN"",""vi"")"),"Gói quà tặng cao cấp 269")</f>
        <v>Gói quà tặng cao cấp 269</v>
      </c>
      <c r="G974" s="8" t="str">
        <f>IFERROR(__xludf.DUMMYFUNCTION("GOOGLETRANSLATE(E974,""zh-CN"",""vi"")"),"Nhấp đúp chuột để mở, chọn phần thưởng, sau đó nhấp vào ô để tạo phần thưởng đã chọn.")</f>
        <v>Nhấp đúp chuột để mở, chọn phần thưởng, sau đó nhấp vào ô để tạo phần thưởng đã chọn.</v>
      </c>
      <c r="H974" s="14"/>
      <c r="I974" s="14"/>
      <c r="J974" s="14"/>
    </row>
    <row r="975" ht="21.0" customHeight="1">
      <c r="A975" s="24">
        <v>20.0</v>
      </c>
      <c r="B975" s="25">
        <v>530.0</v>
      </c>
      <c r="C975" s="25">
        <v>1.0</v>
      </c>
      <c r="D975" s="26" t="s">
        <v>898</v>
      </c>
      <c r="E975" s="11" t="s">
        <v>325</v>
      </c>
      <c r="F975" s="8" t="str">
        <f>IFERROR(__xludf.DUMMYFUNCTION("GOOGLETRANSLATE(D975,""zh-CN"",""vi"")"),"Bộ quà tặng tối thượng 529 Ultimate Supreme")</f>
        <v>Bộ quà tặng tối thượng 529 Ultimate Supreme</v>
      </c>
      <c r="G975" s="8" t="str">
        <f>IFERROR(__xludf.DUMMYFUNCTION("GOOGLETRANSLATE(E975,""zh-CN"",""vi"")"),"Nhấp đúp chuột để mở, chọn phần thưởng, sau đó nhấp vào ô để tạo phần thưởng đã chọn.")</f>
        <v>Nhấp đúp chuột để mở, chọn phần thưởng, sau đó nhấp vào ô để tạo phần thưởng đã chọn.</v>
      </c>
      <c r="H975" s="14"/>
      <c r="I975" s="14"/>
      <c r="J975" s="14"/>
    </row>
    <row r="976" ht="21.0" customHeight="1">
      <c r="A976" s="24">
        <v>20.0</v>
      </c>
      <c r="B976" s="25">
        <v>530.0</v>
      </c>
      <c r="C976" s="25">
        <v>1.0</v>
      </c>
      <c r="D976" s="26" t="s">
        <v>908</v>
      </c>
      <c r="E976" s="11" t="s">
        <v>325</v>
      </c>
      <c r="F976" s="8" t="str">
        <f>IFERROR(__xludf.DUMMYFUNCTION("GOOGLETRANSLATE(D976,""zh-CN"",""vi"")"),"Bộ quà tặng 59 món [V]")</f>
        <v>Bộ quà tặng 59 món [V]</v>
      </c>
      <c r="G976" s="8" t="str">
        <f>IFERROR(__xludf.DUMMYFUNCTION("GOOGLETRANSLATE(E976,""zh-CN"",""vi"")"),"Nhấp đúp chuột để mở, chọn phần thưởng, sau đó nhấp vào ô để tạo phần thưởng đã chọn.")</f>
        <v>Nhấp đúp chuột để mở, chọn phần thưởng, sau đó nhấp vào ô để tạo phần thưởng đã chọn.</v>
      </c>
      <c r="H976" s="14"/>
      <c r="I976" s="14"/>
      <c r="J976" s="14"/>
    </row>
    <row r="977" ht="21.0" customHeight="1">
      <c r="A977" s="24">
        <v>20.0</v>
      </c>
      <c r="B977" s="25">
        <v>530.0</v>
      </c>
      <c r="C977" s="25">
        <v>1.0</v>
      </c>
      <c r="D977" s="26" t="s">
        <v>909</v>
      </c>
      <c r="E977" s="11" t="s">
        <v>325</v>
      </c>
      <c r="F977" s="8" t="str">
        <f>IFERROR(__xludf.DUMMYFUNCTION("GOOGLETRANSLATE(D977,""zh-CN"",""vi"")"),"Gói quà tặng cao cấp 269 [V]")</f>
        <v>Gói quà tặng cao cấp 269 [V]</v>
      </c>
      <c r="G977" s="8" t="str">
        <f>IFERROR(__xludf.DUMMYFUNCTION("GOOGLETRANSLATE(E977,""zh-CN"",""vi"")"),"Nhấp đúp chuột để mở, chọn phần thưởng, sau đó nhấp vào ô để tạo phần thưởng đã chọn.")</f>
        <v>Nhấp đúp chuột để mở, chọn phần thưởng, sau đó nhấp vào ô để tạo phần thưởng đã chọn.</v>
      </c>
      <c r="H977" s="14"/>
      <c r="I977" s="14"/>
      <c r="J977" s="14"/>
    </row>
    <row r="978" ht="21.0" customHeight="1">
      <c r="A978" s="24">
        <v>20.0</v>
      </c>
      <c r="B978" s="25">
        <v>530.0</v>
      </c>
      <c r="C978" s="25">
        <v>1.0</v>
      </c>
      <c r="D978" s="26" t="s">
        <v>910</v>
      </c>
      <c r="E978" s="11" t="s">
        <v>325</v>
      </c>
      <c r="F978" s="8" t="str">
        <f>IFERROR(__xludf.DUMMYFUNCTION("GOOGLETRANSLATE(D978,""zh-CN"",""vi"")"),"Bộ quà tặng cao cấp 529 Ultimate [V]")</f>
        <v>Bộ quà tặng cao cấp 529 Ultimate [V]</v>
      </c>
      <c r="G978" s="8" t="str">
        <f>IFERROR(__xludf.DUMMYFUNCTION("GOOGLETRANSLATE(E978,""zh-CN"",""vi"")"),"Nhấp đúp chuột để mở, chọn phần thưởng, sau đó nhấp vào ô để tạo phần thưởng đã chọn.")</f>
        <v>Nhấp đúp chuột để mở, chọn phần thưởng, sau đó nhấp vào ô để tạo phần thưởng đã chọn.</v>
      </c>
      <c r="H978" s="14"/>
      <c r="I978" s="14"/>
      <c r="J978" s="14"/>
    </row>
    <row r="979" ht="21.0" customHeight="1">
      <c r="A979" s="24">
        <v>20.0</v>
      </c>
      <c r="B979" s="25">
        <v>530.0</v>
      </c>
      <c r="C979" s="25">
        <v>1.0</v>
      </c>
      <c r="D979" s="26" t="s">
        <v>894</v>
      </c>
      <c r="E979" s="11" t="s">
        <v>325</v>
      </c>
      <c r="F979" s="8" t="str">
        <f>IFERROR(__xludf.DUMMYFUNCTION("GOOGLETRANSLATE(D979,""zh-CN"",""vi"")"),"Bộ quà tặng 59 món")</f>
        <v>Bộ quà tặng 59 món</v>
      </c>
      <c r="G979" s="8" t="str">
        <f>IFERROR(__xludf.DUMMYFUNCTION("GOOGLETRANSLATE(E979,""zh-CN"",""vi"")"),"Nhấp đúp chuột để mở, chọn phần thưởng, sau đó nhấp vào ô để tạo phần thưởng đã chọn.")</f>
        <v>Nhấp đúp chuột để mở, chọn phần thưởng, sau đó nhấp vào ô để tạo phần thưởng đã chọn.</v>
      </c>
      <c r="H979" s="27"/>
      <c r="I979" s="27"/>
      <c r="J979" s="27"/>
    </row>
    <row r="980" ht="21.0" customHeight="1">
      <c r="A980" s="24">
        <v>20.0</v>
      </c>
      <c r="B980" s="25">
        <v>530.0</v>
      </c>
      <c r="C980" s="25">
        <v>1.0</v>
      </c>
      <c r="D980" s="26" t="s">
        <v>907</v>
      </c>
      <c r="E980" s="11" t="s">
        <v>325</v>
      </c>
      <c r="F980" s="8" t="str">
        <f>IFERROR(__xludf.DUMMYFUNCTION("GOOGLETRANSLATE(D980,""zh-CN"",""vi"")"),"Gói quà tặng cao cấp 269")</f>
        <v>Gói quà tặng cao cấp 269</v>
      </c>
      <c r="G980" s="8" t="str">
        <f>IFERROR(__xludf.DUMMYFUNCTION("GOOGLETRANSLATE(E980,""zh-CN"",""vi"")"),"Nhấp đúp chuột để mở, chọn phần thưởng, sau đó nhấp vào ô để tạo phần thưởng đã chọn.")</f>
        <v>Nhấp đúp chuột để mở, chọn phần thưởng, sau đó nhấp vào ô để tạo phần thưởng đã chọn.</v>
      </c>
      <c r="H980" s="27"/>
      <c r="I980" s="27"/>
      <c r="J980" s="27"/>
    </row>
    <row r="981" ht="21.0" customHeight="1">
      <c r="A981" s="24">
        <v>20.0</v>
      </c>
      <c r="B981" s="25">
        <v>530.0</v>
      </c>
      <c r="C981" s="25">
        <v>1.0</v>
      </c>
      <c r="D981" s="26" t="s">
        <v>898</v>
      </c>
      <c r="E981" s="11" t="s">
        <v>325</v>
      </c>
      <c r="F981" s="8" t="str">
        <f>IFERROR(__xludf.DUMMYFUNCTION("GOOGLETRANSLATE(D981,""zh-CN"",""vi"")"),"Bộ quà tặng tối thượng 529 Ultimate Supreme")</f>
        <v>Bộ quà tặng tối thượng 529 Ultimate Supreme</v>
      </c>
      <c r="G981" s="8" t="str">
        <f>IFERROR(__xludf.DUMMYFUNCTION("GOOGLETRANSLATE(E981,""zh-CN"",""vi"")"),"Nhấp đúp chuột để mở, chọn phần thưởng, sau đó nhấp vào ô để tạo phần thưởng đã chọn.")</f>
        <v>Nhấp đúp chuột để mở, chọn phần thưởng, sau đó nhấp vào ô để tạo phần thưởng đã chọn.</v>
      </c>
      <c r="H981" s="27"/>
      <c r="I981" s="27"/>
      <c r="J981" s="27"/>
    </row>
    <row r="982" ht="21.0" customHeight="1">
      <c r="A982" s="24">
        <v>20.0</v>
      </c>
      <c r="B982" s="25">
        <v>530.0</v>
      </c>
      <c r="C982" s="25">
        <v>1.0</v>
      </c>
      <c r="D982" s="26" t="s">
        <v>908</v>
      </c>
      <c r="E982" s="11" t="s">
        <v>325</v>
      </c>
      <c r="F982" s="8" t="str">
        <f>IFERROR(__xludf.DUMMYFUNCTION("GOOGLETRANSLATE(D982,""zh-CN"",""vi"")"),"Bộ quà tặng 59 món [V]")</f>
        <v>Bộ quà tặng 59 món [V]</v>
      </c>
      <c r="G982" s="8" t="str">
        <f>IFERROR(__xludf.DUMMYFUNCTION("GOOGLETRANSLATE(E982,""zh-CN"",""vi"")"),"Nhấp đúp chuột để mở, chọn phần thưởng, sau đó nhấp vào ô để tạo phần thưởng đã chọn.")</f>
        <v>Nhấp đúp chuột để mở, chọn phần thưởng, sau đó nhấp vào ô để tạo phần thưởng đã chọn.</v>
      </c>
      <c r="H982" s="27"/>
      <c r="I982" s="27"/>
      <c r="J982" s="27"/>
    </row>
    <row r="983" ht="21.0" customHeight="1">
      <c r="A983" s="24">
        <v>20.0</v>
      </c>
      <c r="B983" s="25">
        <v>530.0</v>
      </c>
      <c r="C983" s="25">
        <v>1.0</v>
      </c>
      <c r="D983" s="26" t="s">
        <v>909</v>
      </c>
      <c r="E983" s="11" t="s">
        <v>325</v>
      </c>
      <c r="F983" s="8" t="str">
        <f>IFERROR(__xludf.DUMMYFUNCTION("GOOGLETRANSLATE(D983,""zh-CN"",""vi"")"),"Gói quà tặng cao cấp 269 [V]")</f>
        <v>Gói quà tặng cao cấp 269 [V]</v>
      </c>
      <c r="G983" s="8" t="str">
        <f>IFERROR(__xludf.DUMMYFUNCTION("GOOGLETRANSLATE(E983,""zh-CN"",""vi"")"),"Nhấp đúp chuột để mở, chọn phần thưởng, sau đó nhấp vào ô để tạo phần thưởng đã chọn.")</f>
        <v>Nhấp đúp chuột để mở, chọn phần thưởng, sau đó nhấp vào ô để tạo phần thưởng đã chọn.</v>
      </c>
      <c r="H983" s="27"/>
      <c r="I983" s="27"/>
      <c r="J983" s="27"/>
    </row>
    <row r="984" ht="21.0" customHeight="1">
      <c r="A984" s="24">
        <v>20.0</v>
      </c>
      <c r="B984" s="25">
        <v>530.0</v>
      </c>
      <c r="C984" s="25">
        <v>1.0</v>
      </c>
      <c r="D984" s="26" t="s">
        <v>910</v>
      </c>
      <c r="E984" s="11" t="s">
        <v>325</v>
      </c>
      <c r="F984" s="8" t="str">
        <f>IFERROR(__xludf.DUMMYFUNCTION("GOOGLETRANSLATE(D984,""zh-CN"",""vi"")"),"Bộ quà tặng cao cấp 529 Ultimate [V]")</f>
        <v>Bộ quà tặng cao cấp 529 Ultimate [V]</v>
      </c>
      <c r="G984" s="8" t="str">
        <f>IFERROR(__xludf.DUMMYFUNCTION("GOOGLETRANSLATE(E984,""zh-CN"",""vi"")"),"Nhấp đúp chuột để mở, chọn phần thưởng, sau đó nhấp vào ô để tạo phần thưởng đã chọn.")</f>
        <v>Nhấp đúp chuột để mở, chọn phần thưởng, sau đó nhấp vào ô để tạo phần thưởng đã chọn.</v>
      </c>
      <c r="H984" s="27"/>
      <c r="I984" s="27"/>
      <c r="J984" s="27"/>
    </row>
    <row r="985" ht="21.0" customHeight="1">
      <c r="A985" s="24">
        <v>20.0</v>
      </c>
      <c r="B985" s="25">
        <v>530.0</v>
      </c>
      <c r="C985" s="31">
        <v>1.0</v>
      </c>
      <c r="D985" s="34" t="s">
        <v>911</v>
      </c>
      <c r="E985" s="11" t="s">
        <v>325</v>
      </c>
      <c r="F985" s="8" t="str">
        <f>IFERROR(__xludf.DUMMYFUNCTION("GOOGLETRANSLATE(D985,""zh-CN"",""vi"")"),"Gói trang phục không giới hạn")</f>
        <v>Gói trang phục không giới hạn</v>
      </c>
      <c r="G985" s="8" t="str">
        <f>IFERROR(__xludf.DUMMYFUNCTION("GOOGLETRANSLATE(E985,""zh-CN"",""vi"")"),"Nhấp đúp chuột để mở, chọn phần thưởng, sau đó nhấp vào ô để tạo phần thưởng đã chọn.")</f>
        <v>Nhấp đúp chuột để mở, chọn phần thưởng, sau đó nhấp vào ô để tạo phần thưởng đã chọn.</v>
      </c>
      <c r="H985" s="27"/>
      <c r="I985" s="27"/>
      <c r="J985" s="27"/>
    </row>
    <row r="986" ht="21.0" customHeight="1">
      <c r="A986" s="24">
        <v>20.0</v>
      </c>
      <c r="B986" s="25">
        <v>530.0</v>
      </c>
      <c r="C986" s="31">
        <v>1.0</v>
      </c>
      <c r="D986" s="34" t="s">
        <v>912</v>
      </c>
      <c r="E986" s="11" t="s">
        <v>325</v>
      </c>
      <c r="F986" s="8" t="str">
        <f>IFERROR(__xludf.DUMMYFUNCTION("GOOGLETRANSLATE(D986,""zh-CN"",""vi"")"),"Gói chăm sóc da cao cấp 99")</f>
        <v>Gói chăm sóc da cao cấp 99</v>
      </c>
      <c r="G986" s="8" t="str">
        <f>IFERROR(__xludf.DUMMYFUNCTION("GOOGLETRANSLATE(E986,""zh-CN"",""vi"")"),"Nhấp đúp chuột để mở, chọn phần thưởng, sau đó nhấp vào ô để tạo phần thưởng đã chọn.")</f>
        <v>Nhấp đúp chuột để mở, chọn phần thưởng, sau đó nhấp vào ô để tạo phần thưởng đã chọn.</v>
      </c>
      <c r="H986" s="27"/>
      <c r="I986" s="27"/>
      <c r="J986" s="27"/>
    </row>
    <row r="987" ht="21.0" customHeight="1">
      <c r="A987" s="24">
        <v>20.0</v>
      </c>
      <c r="B987" s="25">
        <v>530.0</v>
      </c>
      <c r="C987" s="31">
        <v>1.0</v>
      </c>
      <c r="D987" s="34" t="s">
        <v>913</v>
      </c>
      <c r="E987" s="11" t="s">
        <v>325</v>
      </c>
      <c r="F987" s="8" t="str">
        <f>IFERROR(__xludf.DUMMYFUNCTION("GOOGLETRANSLATE(D987,""zh-CN"",""vi"")"),"Gói chăm sóc da cao cấp 119")</f>
        <v>Gói chăm sóc da cao cấp 119</v>
      </c>
      <c r="G987" s="8" t="str">
        <f>IFERROR(__xludf.DUMMYFUNCTION("GOOGLETRANSLATE(E987,""zh-CN"",""vi"")"),"Nhấp đúp chuột để mở, chọn phần thưởng, sau đó nhấp vào ô để tạo phần thưởng đã chọn.")</f>
        <v>Nhấp đúp chuột để mở, chọn phần thưởng, sau đó nhấp vào ô để tạo phần thưởng đã chọn.</v>
      </c>
      <c r="H987" s="27"/>
      <c r="I987" s="27"/>
      <c r="J987" s="27"/>
    </row>
    <row r="988" ht="21.0" customHeight="1">
      <c r="A988" s="24">
        <v>20.0</v>
      </c>
      <c r="B988" s="25">
        <v>530.0</v>
      </c>
      <c r="C988" s="31">
        <v>1.0</v>
      </c>
      <c r="D988" s="34" t="s">
        <v>914</v>
      </c>
      <c r="E988" s="11" t="s">
        <v>325</v>
      </c>
      <c r="F988" s="8" t="str">
        <f>IFERROR(__xludf.DUMMYFUNCTION("GOOGLETRANSLATE(D988,""zh-CN"",""vi"")"),"Gói trang phục tối thượng 169")</f>
        <v>Gói trang phục tối thượng 169</v>
      </c>
      <c r="G988" s="8" t="str">
        <f>IFERROR(__xludf.DUMMYFUNCTION("GOOGLETRANSLATE(E988,""zh-CN"",""vi"")"),"Nhấp đúp chuột để mở, chọn phần thưởng, sau đó nhấp vào ô để tạo phần thưởng đã chọn.")</f>
        <v>Nhấp đúp chuột để mở, chọn phần thưởng, sau đó nhấp vào ô để tạo phần thưởng đã chọn.</v>
      </c>
      <c r="H988" s="27"/>
      <c r="I988" s="27"/>
      <c r="J988" s="27"/>
    </row>
    <row r="989" ht="21.0" customHeight="1">
      <c r="A989" s="24">
        <v>20.0</v>
      </c>
      <c r="B989" s="31">
        <v>530.0</v>
      </c>
      <c r="C989" s="31">
        <v>1.0</v>
      </c>
      <c r="D989" s="34" t="s">
        <v>895</v>
      </c>
      <c r="E989" s="11" t="s">
        <v>325</v>
      </c>
      <c r="F989" s="8" t="str">
        <f>IFERROR(__xludf.DUMMYFUNCTION("GOOGLETRANSLATE(D989,""zh-CN"",""vi"")"),"Gói quà tặng 99")</f>
        <v>Gói quà tặng 99</v>
      </c>
      <c r="G989" s="8" t="str">
        <f>IFERROR(__xludf.DUMMYFUNCTION("GOOGLETRANSLATE(E989,""zh-CN"",""vi"")"),"Nhấp đúp chuột để mở, chọn phần thưởng, sau đó nhấp vào ô để tạo phần thưởng đã chọn.")</f>
        <v>Nhấp đúp chuột để mở, chọn phần thưởng, sau đó nhấp vào ô để tạo phần thưởng đã chọn.</v>
      </c>
      <c r="H989" s="27"/>
      <c r="I989" s="27"/>
      <c r="J989" s="27"/>
    </row>
    <row r="990" ht="21.0" customHeight="1">
      <c r="A990" s="24">
        <v>20.0</v>
      </c>
      <c r="B990" s="25">
        <v>530.0</v>
      </c>
      <c r="C990" s="31">
        <v>1.0</v>
      </c>
      <c r="D990" s="26" t="s">
        <v>915</v>
      </c>
      <c r="E990" s="11" t="s">
        <v>325</v>
      </c>
      <c r="F990" s="8" t="str">
        <f>IFERROR(__xludf.DUMMYFUNCTION("GOOGLETRANSLATE(D990,""zh-CN"",""vi"")"),"Gói quà tặng cao cấp 169")</f>
        <v>Gói quà tặng cao cấp 169</v>
      </c>
      <c r="G990" s="8" t="str">
        <f>IFERROR(__xludf.DUMMYFUNCTION("GOOGLETRANSLATE(E990,""zh-CN"",""vi"")"),"Nhấp đúp chuột để mở, chọn phần thưởng, sau đó nhấp vào ô để tạo phần thưởng đã chọn.")</f>
        <v>Nhấp đúp chuột để mở, chọn phần thưởng, sau đó nhấp vào ô để tạo phần thưởng đã chọn.</v>
      </c>
      <c r="H990" s="27"/>
      <c r="I990" s="27"/>
      <c r="J990" s="27"/>
    </row>
    <row r="991" ht="21.0" customHeight="1">
      <c r="A991" s="24">
        <v>20.0</v>
      </c>
      <c r="B991" s="25">
        <v>530.0</v>
      </c>
      <c r="C991" s="31">
        <v>1.0</v>
      </c>
      <c r="D991" s="34" t="s">
        <v>916</v>
      </c>
      <c r="E991" s="11" t="s">
        <v>325</v>
      </c>
      <c r="F991" s="8" t="str">
        <f>IFERROR(__xludf.DUMMYFUNCTION("GOOGLETRANSLATE(D991,""zh-CN"",""vi"")"),"Gói quà tặng lớn 99 món [V]")</f>
        <v>Gói quà tặng lớn 99 món [V]</v>
      </c>
      <c r="G991" s="8" t="str">
        <f>IFERROR(__xludf.DUMMYFUNCTION("GOOGLETRANSLATE(E991,""zh-CN"",""vi"")"),"Nhấp đúp chuột để mở, chọn phần thưởng, sau đó nhấp vào ô để tạo phần thưởng đã chọn.")</f>
        <v>Nhấp đúp chuột để mở, chọn phần thưởng, sau đó nhấp vào ô để tạo phần thưởng đã chọn.</v>
      </c>
      <c r="H991" s="27"/>
      <c r="I991" s="27"/>
      <c r="J991" s="27"/>
    </row>
    <row r="992" ht="21.0" customHeight="1">
      <c r="A992" s="24">
        <v>20.0</v>
      </c>
      <c r="B992" s="31">
        <v>530.0</v>
      </c>
      <c r="C992" s="31">
        <v>1.0</v>
      </c>
      <c r="D992" s="26" t="s">
        <v>917</v>
      </c>
      <c r="E992" s="11" t="s">
        <v>325</v>
      </c>
      <c r="F992" s="8" t="str">
        <f>IFERROR(__xludf.DUMMYFUNCTION("GOOGLETRANSLATE(D992,""zh-CN"",""vi"")"),"Gói quà tặng cao cấp 169 [V]")</f>
        <v>Gói quà tặng cao cấp 169 [V]</v>
      </c>
      <c r="G992" s="8" t="str">
        <f>IFERROR(__xludf.DUMMYFUNCTION("GOOGLETRANSLATE(E992,""zh-CN"",""vi"")"),"Nhấp đúp chuột để mở, chọn phần thưởng, sau đó nhấp vào ô để tạo phần thưởng đã chọn.")</f>
        <v>Nhấp đúp chuột để mở, chọn phần thưởng, sau đó nhấp vào ô để tạo phần thưởng đã chọn.</v>
      </c>
      <c r="H992" s="27"/>
      <c r="I992" s="27"/>
      <c r="J992" s="27"/>
    </row>
    <row r="993" ht="21.0" customHeight="1">
      <c r="A993" s="24">
        <v>20.0</v>
      </c>
      <c r="B993" s="25">
        <v>530.0</v>
      </c>
      <c r="C993" s="31">
        <v>1.0</v>
      </c>
      <c r="D993" s="34" t="s">
        <v>895</v>
      </c>
      <c r="E993" s="11" t="s">
        <v>325</v>
      </c>
      <c r="F993" s="8" t="str">
        <f>IFERROR(__xludf.DUMMYFUNCTION("GOOGLETRANSLATE(D993,""zh-CN"",""vi"")"),"Gói quà tặng 99")</f>
        <v>Gói quà tặng 99</v>
      </c>
      <c r="G993" s="8" t="str">
        <f>IFERROR(__xludf.DUMMYFUNCTION("GOOGLETRANSLATE(E993,""zh-CN"",""vi"")"),"Nhấp đúp chuột để mở, chọn phần thưởng, sau đó nhấp vào ô để tạo phần thưởng đã chọn.")</f>
        <v>Nhấp đúp chuột để mở, chọn phần thưởng, sau đó nhấp vào ô để tạo phần thưởng đã chọn.</v>
      </c>
      <c r="H993" s="27"/>
      <c r="I993" s="27"/>
      <c r="J993" s="27"/>
    </row>
    <row r="994" ht="21.0" customHeight="1">
      <c r="A994" s="24">
        <v>20.0</v>
      </c>
      <c r="B994" s="25">
        <v>530.0</v>
      </c>
      <c r="C994" s="31">
        <v>1.0</v>
      </c>
      <c r="D994" s="26" t="s">
        <v>915</v>
      </c>
      <c r="E994" s="11" t="s">
        <v>325</v>
      </c>
      <c r="F994" s="8" t="str">
        <f>IFERROR(__xludf.DUMMYFUNCTION("GOOGLETRANSLATE(D994,""zh-CN"",""vi"")"),"Gói quà tặng cao cấp 169")</f>
        <v>Gói quà tặng cao cấp 169</v>
      </c>
      <c r="G994" s="8" t="str">
        <f>IFERROR(__xludf.DUMMYFUNCTION("GOOGLETRANSLATE(E994,""zh-CN"",""vi"")"),"Nhấp đúp chuột để mở, chọn phần thưởng, sau đó nhấp vào ô để tạo phần thưởng đã chọn.")</f>
        <v>Nhấp đúp chuột để mở, chọn phần thưởng, sau đó nhấp vào ô để tạo phần thưởng đã chọn.</v>
      </c>
      <c r="H994" s="27"/>
      <c r="I994" s="27"/>
      <c r="J994" s="27"/>
    </row>
    <row r="995" ht="21.0" customHeight="1">
      <c r="A995" s="24">
        <v>20.0</v>
      </c>
      <c r="B995" s="31">
        <v>530.0</v>
      </c>
      <c r="C995" s="31">
        <v>1.0</v>
      </c>
      <c r="D995" s="34" t="s">
        <v>916</v>
      </c>
      <c r="E995" s="11" t="s">
        <v>325</v>
      </c>
      <c r="F995" s="8" t="str">
        <f>IFERROR(__xludf.DUMMYFUNCTION("GOOGLETRANSLATE(D995,""zh-CN"",""vi"")"),"Gói quà tặng lớn 99 món [V]")</f>
        <v>Gói quà tặng lớn 99 món [V]</v>
      </c>
      <c r="G995" s="8" t="str">
        <f>IFERROR(__xludf.DUMMYFUNCTION("GOOGLETRANSLATE(E995,""zh-CN"",""vi"")"),"Nhấp đúp chuột để mở, chọn phần thưởng, sau đó nhấp vào ô để tạo phần thưởng đã chọn.")</f>
        <v>Nhấp đúp chuột để mở, chọn phần thưởng, sau đó nhấp vào ô để tạo phần thưởng đã chọn.</v>
      </c>
      <c r="H995" s="27"/>
      <c r="I995" s="27"/>
      <c r="J995" s="27"/>
    </row>
    <row r="996" ht="21.0" customHeight="1">
      <c r="A996" s="24">
        <v>20.0</v>
      </c>
      <c r="B996" s="25">
        <v>530.0</v>
      </c>
      <c r="C996" s="31">
        <v>1.0</v>
      </c>
      <c r="D996" s="26" t="s">
        <v>917</v>
      </c>
      <c r="E996" s="11" t="s">
        <v>325</v>
      </c>
      <c r="F996" s="8" t="str">
        <f>IFERROR(__xludf.DUMMYFUNCTION("GOOGLETRANSLATE(D996,""zh-CN"",""vi"")"),"Gói quà tặng cao cấp 169 [V]")</f>
        <v>Gói quà tặng cao cấp 169 [V]</v>
      </c>
      <c r="G996" s="8" t="str">
        <f>IFERROR(__xludf.DUMMYFUNCTION("GOOGLETRANSLATE(E996,""zh-CN"",""vi"")"),"Nhấp đúp chuột để mở, chọn phần thưởng, sau đó nhấp vào ô để tạo phần thưởng đã chọn.")</f>
        <v>Nhấp đúp chuột để mở, chọn phần thưởng, sau đó nhấp vào ô để tạo phần thưởng đã chọn.</v>
      </c>
      <c r="H996" s="27"/>
      <c r="I996" s="27"/>
      <c r="J996" s="27"/>
    </row>
    <row r="997" ht="21.0" customHeight="1">
      <c r="A997" s="24">
        <v>20.0</v>
      </c>
      <c r="B997" s="25">
        <v>530.0</v>
      </c>
      <c r="C997" s="31">
        <v>1.0</v>
      </c>
      <c r="D997" s="26" t="s">
        <v>914</v>
      </c>
      <c r="E997" s="11" t="s">
        <v>325</v>
      </c>
      <c r="F997" s="8" t="str">
        <f>IFERROR(__xludf.DUMMYFUNCTION("GOOGLETRANSLATE(D997,""zh-CN"",""vi"")"),"Gói trang phục tối thượng 169")</f>
        <v>Gói trang phục tối thượng 169</v>
      </c>
      <c r="G997" s="8" t="str">
        <f>IFERROR(__xludf.DUMMYFUNCTION("GOOGLETRANSLATE(E997,""zh-CN"",""vi"")"),"Nhấp đúp chuột để mở, chọn phần thưởng, sau đó nhấp vào ô để tạo phần thưởng đã chọn.")</f>
        <v>Nhấp đúp chuột để mở, chọn phần thưởng, sau đó nhấp vào ô để tạo phần thưởng đã chọn.</v>
      </c>
      <c r="H997" s="27"/>
      <c r="I997" s="27"/>
      <c r="J997" s="27"/>
    </row>
    <row r="998" ht="21.0" customHeight="1">
      <c r="A998" s="24">
        <v>20.0</v>
      </c>
      <c r="B998" s="25">
        <v>530.0</v>
      </c>
      <c r="C998" s="31">
        <v>1.0</v>
      </c>
      <c r="D998" s="34" t="s">
        <v>913</v>
      </c>
      <c r="E998" s="11" t="s">
        <v>325</v>
      </c>
      <c r="F998" s="8" t="str">
        <f>IFERROR(__xludf.DUMMYFUNCTION("GOOGLETRANSLATE(D998,""zh-CN"",""vi"")"),"Gói chăm sóc da cao cấp 119")</f>
        <v>Gói chăm sóc da cao cấp 119</v>
      </c>
      <c r="G998" s="8" t="str">
        <f>IFERROR(__xludf.DUMMYFUNCTION("GOOGLETRANSLATE(E998,""zh-CN"",""vi"")"),"Nhấp đúp chuột để mở, chọn phần thưởng, sau đó nhấp vào ô để tạo phần thưởng đã chọn.")</f>
        <v>Nhấp đúp chuột để mở, chọn phần thưởng, sau đó nhấp vào ô để tạo phần thưởng đã chọn.</v>
      </c>
      <c r="H998" s="27"/>
      <c r="I998" s="27"/>
      <c r="J998" s="27"/>
    </row>
    <row r="999" ht="21.0" customHeight="1">
      <c r="A999" s="24">
        <v>20.0</v>
      </c>
      <c r="B999" s="25">
        <v>530.0</v>
      </c>
      <c r="C999" s="25">
        <v>1.0</v>
      </c>
      <c r="D999" s="26" t="s">
        <v>894</v>
      </c>
      <c r="E999" s="11" t="s">
        <v>325</v>
      </c>
      <c r="F999" s="8" t="str">
        <f>IFERROR(__xludf.DUMMYFUNCTION("GOOGLETRANSLATE(D999,""zh-CN"",""vi"")"),"Bộ quà tặng 59 món")</f>
        <v>Bộ quà tặng 59 món</v>
      </c>
      <c r="G999" s="8" t="str">
        <f>IFERROR(__xludf.DUMMYFUNCTION("GOOGLETRANSLATE(E999,""zh-CN"",""vi"")"),"Nhấp đúp chuột để mở, chọn phần thưởng, sau đó nhấp vào ô để tạo phần thưởng đã chọn.")</f>
        <v>Nhấp đúp chuột để mở, chọn phần thưởng, sau đó nhấp vào ô để tạo phần thưởng đã chọn.</v>
      </c>
      <c r="H999" s="27"/>
      <c r="I999" s="27"/>
      <c r="J999" s="27"/>
    </row>
    <row r="1000" ht="21.0" customHeight="1">
      <c r="A1000" s="24">
        <v>20.0</v>
      </c>
      <c r="B1000" s="25">
        <v>530.0</v>
      </c>
      <c r="C1000" s="25">
        <v>1.0</v>
      </c>
      <c r="D1000" s="26" t="s">
        <v>895</v>
      </c>
      <c r="E1000" s="11" t="s">
        <v>325</v>
      </c>
      <c r="F1000" s="8" t="str">
        <f>IFERROR(__xludf.DUMMYFUNCTION("GOOGLETRANSLATE(D1000,""zh-CN"",""vi"")"),"Gói quà tặng 99")</f>
        <v>Gói quà tặng 99</v>
      </c>
      <c r="G1000" s="8" t="str">
        <f>IFERROR(__xludf.DUMMYFUNCTION("GOOGLETRANSLATE(E1000,""zh-CN"",""vi"")"),"Nhấp đúp chuột để mở, chọn phần thưởng, sau đó nhấp vào ô để tạo phần thưởng đã chọn.")</f>
        <v>Nhấp đúp chuột để mở, chọn phần thưởng, sau đó nhấp vào ô để tạo phần thưởng đã chọn.</v>
      </c>
      <c r="H1000" s="27"/>
      <c r="I1000" s="27"/>
      <c r="J1000" s="27"/>
    </row>
    <row r="1001" ht="21.0" customHeight="1">
      <c r="A1001" s="24">
        <v>20.0</v>
      </c>
      <c r="B1001" s="25">
        <v>530.0</v>
      </c>
      <c r="C1001" s="31">
        <v>1.0</v>
      </c>
      <c r="D1001" s="26" t="s">
        <v>915</v>
      </c>
      <c r="E1001" s="11" t="s">
        <v>325</v>
      </c>
      <c r="F1001" s="8" t="str">
        <f>IFERROR(__xludf.DUMMYFUNCTION("GOOGLETRANSLATE(D1001,""zh-CN"",""vi"")"),"Gói quà tặng cao cấp 169")</f>
        <v>Gói quà tặng cao cấp 169</v>
      </c>
      <c r="G1001" s="8" t="str">
        <f>IFERROR(__xludf.DUMMYFUNCTION("GOOGLETRANSLATE(E1001,""zh-CN"",""vi"")"),"Nhấp đúp chuột để mở, chọn phần thưởng, sau đó nhấp vào ô để tạo phần thưởng đã chọn.")</f>
        <v>Nhấp đúp chuột để mở, chọn phần thưởng, sau đó nhấp vào ô để tạo phần thưởng đã chọn.</v>
      </c>
      <c r="H1001" s="27"/>
      <c r="I1001" s="27"/>
      <c r="J1001" s="27"/>
    </row>
    <row r="1002" ht="21.0" customHeight="1">
      <c r="A1002" s="24">
        <v>20.0</v>
      </c>
      <c r="B1002" s="25">
        <v>530.0</v>
      </c>
      <c r="C1002" s="31">
        <v>1.0</v>
      </c>
      <c r="D1002" s="26" t="s">
        <v>918</v>
      </c>
      <c r="E1002" s="11" t="s">
        <v>325</v>
      </c>
      <c r="F1002" s="8" t="str">
        <f>IFERROR(__xludf.DUMMYFUNCTION("GOOGLETRANSLATE(D1002,""zh-CN"",""vi"")"),"Bộ quà tặng Supreme 269")</f>
        <v>Bộ quà tặng Supreme 269</v>
      </c>
      <c r="G1002" s="8" t="str">
        <f>IFERROR(__xludf.DUMMYFUNCTION("GOOGLETRANSLATE(E1002,""zh-CN"",""vi"")"),"Nhấp đúp chuột để mở, chọn phần thưởng, sau đó nhấp vào ô để tạo phần thưởng đã chọn.")</f>
        <v>Nhấp đúp chuột để mở, chọn phần thưởng, sau đó nhấp vào ô để tạo phần thưởng đã chọn.</v>
      </c>
      <c r="H1002" s="27"/>
      <c r="I1002" s="27"/>
      <c r="J1002" s="27"/>
    </row>
    <row r="1003" ht="21.0" customHeight="1">
      <c r="A1003" s="24">
        <v>20.0</v>
      </c>
      <c r="B1003" s="25">
        <v>530.0</v>
      </c>
      <c r="C1003" s="31">
        <v>1.0</v>
      </c>
      <c r="D1003" s="26" t="s">
        <v>898</v>
      </c>
      <c r="E1003" s="11" t="s">
        <v>325</v>
      </c>
      <c r="F1003" s="8" t="str">
        <f>IFERROR(__xludf.DUMMYFUNCTION("GOOGLETRANSLATE(D1003,""zh-CN"",""vi"")"),"Bộ quà tặng tối thượng 529 Ultimate Supreme")</f>
        <v>Bộ quà tặng tối thượng 529 Ultimate Supreme</v>
      </c>
      <c r="G1003" s="8" t="str">
        <f>IFERROR(__xludf.DUMMYFUNCTION("GOOGLETRANSLATE(E1003,""zh-CN"",""vi"")"),"Nhấp đúp chuột để mở, chọn phần thưởng, sau đó nhấp vào ô để tạo phần thưởng đã chọn.")</f>
        <v>Nhấp đúp chuột để mở, chọn phần thưởng, sau đó nhấp vào ô để tạo phần thưởng đã chọn.</v>
      </c>
      <c r="H1003" s="27"/>
      <c r="I1003" s="27"/>
      <c r="J1003" s="27"/>
    </row>
    <row r="1004" ht="21.0" customHeight="1">
      <c r="A1004" s="24">
        <v>20.0</v>
      </c>
      <c r="B1004" s="25">
        <v>530.0</v>
      </c>
      <c r="C1004" s="31">
        <v>1.0</v>
      </c>
      <c r="D1004" s="26" t="s">
        <v>919</v>
      </c>
      <c r="E1004" s="11" t="s">
        <v>325</v>
      </c>
      <c r="F1004" s="8" t="str">
        <f>IFERROR(__xludf.DUMMYFUNCTION("GOOGLETRANSLATE(D1004,""zh-CN"",""vi"")"),"Hoạt động dành cho người mới Rương kho báu của mẹ")</f>
        <v>Hoạt động dành cho người mới Rương kho báu của mẹ</v>
      </c>
      <c r="G1004" s="8" t="str">
        <f>IFERROR(__xludf.DUMMYFUNCTION("GOOGLETRANSLATE(E1004,""zh-CN"",""vi"")"),"Nhấp đúp chuột để mở, chọn phần thưởng, sau đó nhấp vào ô để tạo phần thưởng đã chọn.")</f>
        <v>Nhấp đúp chuột để mở, chọn phần thưởng, sau đó nhấp vào ô để tạo phần thưởng đã chọn.</v>
      </c>
      <c r="H1004" s="27"/>
      <c r="I1004" s="27"/>
      <c r="J1004" s="27"/>
    </row>
    <row r="1005" ht="21.0" customHeight="1">
      <c r="A1005" s="53">
        <v>14.0</v>
      </c>
      <c r="B1005" s="25">
        <v>530.0</v>
      </c>
      <c r="C1005" s="31">
        <v>1.0</v>
      </c>
      <c r="D1005" s="26" t="s">
        <v>920</v>
      </c>
      <c r="E1005" s="11" t="s">
        <v>325</v>
      </c>
      <c r="F1005" s="8" t="str">
        <f>IFERROR(__xludf.DUMMYFUNCTION("GOOGLETRANSLATE(D1005,""zh-CN"",""vi"")"),"Rương vật phẩm hoạt động dành cho người mới")</f>
        <v>Rương vật phẩm hoạt động dành cho người mới</v>
      </c>
      <c r="G1005" s="8" t="str">
        <f>IFERROR(__xludf.DUMMYFUNCTION("GOOGLETRANSLATE(E1005,""zh-CN"",""vi"")"),"Nhấp đúp chuột để mở, chọn phần thưởng, sau đó nhấp vào ô để tạo phần thưởng đã chọn.")</f>
        <v>Nhấp đúp chuột để mở, chọn phần thưởng, sau đó nhấp vào ô để tạo phần thưởng đã chọn.</v>
      </c>
      <c r="H1005" s="27"/>
      <c r="I1005" s="27"/>
      <c r="J1005" s="27"/>
    </row>
    <row r="1006" ht="21.0" customHeight="1">
      <c r="A1006" s="24">
        <v>20.0</v>
      </c>
      <c r="B1006" s="25">
        <v>530.0</v>
      </c>
      <c r="C1006" s="31">
        <v>1.0</v>
      </c>
      <c r="D1006" s="26" t="s">
        <v>921</v>
      </c>
      <c r="E1006" s="11" t="s">
        <v>325</v>
      </c>
      <c r="F1006" s="8" t="str">
        <f>IFERROR(__xludf.DUMMYFUNCTION("GOOGLETRANSLATE(D1006,""zh-CN"",""vi"")"),"rương kho báu riêng")</f>
        <v>rương kho báu riêng</v>
      </c>
      <c r="G1006" s="8" t="str">
        <f>IFERROR(__xludf.DUMMYFUNCTION("GOOGLETRANSLATE(E1006,""zh-CN"",""vi"")"),"Nhấp đúp chuột để mở, chọn phần thưởng, sau đó nhấp vào ô để tạo phần thưởng đã chọn.")</f>
        <v>Nhấp đúp chuột để mở, chọn phần thưởng, sau đó nhấp vào ô để tạo phần thưởng đã chọn.</v>
      </c>
      <c r="H1006" s="27"/>
      <c r="I1006" s="27"/>
      <c r="J1006" s="27"/>
    </row>
    <row r="1007" ht="21.0" customHeight="1">
      <c r="A1007" s="24">
        <v>20.0</v>
      </c>
      <c r="B1007" s="25">
        <v>530.0</v>
      </c>
      <c r="C1007" s="25">
        <v>1.0</v>
      </c>
      <c r="D1007" s="26" t="s">
        <v>908</v>
      </c>
      <c r="E1007" s="11" t="s">
        <v>325</v>
      </c>
      <c r="F1007" s="8" t="str">
        <f>IFERROR(__xludf.DUMMYFUNCTION("GOOGLETRANSLATE(D1007,""zh-CN"",""vi"")"),"Bộ quà tặng 59 món [V]")</f>
        <v>Bộ quà tặng 59 món [V]</v>
      </c>
      <c r="G1007" s="8" t="str">
        <f>IFERROR(__xludf.DUMMYFUNCTION("GOOGLETRANSLATE(E1007,""zh-CN"",""vi"")"),"Nhấp đúp chuột để mở, chọn phần thưởng, sau đó nhấp vào ô để tạo phần thưởng đã chọn.")</f>
        <v>Nhấp đúp chuột để mở, chọn phần thưởng, sau đó nhấp vào ô để tạo phần thưởng đã chọn.</v>
      </c>
      <c r="H1007" s="27"/>
      <c r="I1007" s="27"/>
      <c r="J1007" s="27"/>
    </row>
    <row r="1008" ht="21.0" customHeight="1">
      <c r="A1008" s="24">
        <v>20.0</v>
      </c>
      <c r="B1008" s="25">
        <v>530.0</v>
      </c>
      <c r="C1008" s="25">
        <v>1.0</v>
      </c>
      <c r="D1008" s="26" t="s">
        <v>916</v>
      </c>
      <c r="E1008" s="11" t="s">
        <v>325</v>
      </c>
      <c r="F1008" s="8" t="str">
        <f>IFERROR(__xludf.DUMMYFUNCTION("GOOGLETRANSLATE(D1008,""zh-CN"",""vi"")"),"Gói quà tặng lớn 99 món [V]")</f>
        <v>Gói quà tặng lớn 99 món [V]</v>
      </c>
      <c r="G1008" s="8" t="str">
        <f>IFERROR(__xludf.DUMMYFUNCTION("GOOGLETRANSLATE(E1008,""zh-CN"",""vi"")"),"Nhấp đúp chuột để mở, chọn phần thưởng, sau đó nhấp vào ô để tạo phần thưởng đã chọn.")</f>
        <v>Nhấp đúp chuột để mở, chọn phần thưởng, sau đó nhấp vào ô để tạo phần thưởng đã chọn.</v>
      </c>
      <c r="H1008" s="27"/>
      <c r="I1008" s="27"/>
      <c r="J1008" s="27"/>
    </row>
    <row r="1009" ht="21.0" customHeight="1">
      <c r="A1009" s="24">
        <v>20.0</v>
      </c>
      <c r="B1009" s="25">
        <v>530.0</v>
      </c>
      <c r="C1009" s="25">
        <v>1.0</v>
      </c>
      <c r="D1009" s="26" t="s">
        <v>917</v>
      </c>
      <c r="E1009" s="11" t="s">
        <v>325</v>
      </c>
      <c r="F1009" s="8" t="str">
        <f>IFERROR(__xludf.DUMMYFUNCTION("GOOGLETRANSLATE(D1009,""zh-CN"",""vi"")"),"Gói quà tặng cao cấp 169 [V]")</f>
        <v>Gói quà tặng cao cấp 169 [V]</v>
      </c>
      <c r="G1009" s="8" t="str">
        <f>IFERROR(__xludf.DUMMYFUNCTION("GOOGLETRANSLATE(E1009,""zh-CN"",""vi"")"),"Nhấp đúp chuột để mở, chọn phần thưởng, sau đó nhấp vào ô để tạo phần thưởng đã chọn.")</f>
        <v>Nhấp đúp chuột để mở, chọn phần thưởng, sau đó nhấp vào ô để tạo phần thưởng đã chọn.</v>
      </c>
      <c r="H1009" s="27"/>
      <c r="I1009" s="27"/>
      <c r="J1009" s="27"/>
    </row>
    <row r="1010" ht="21.0" customHeight="1">
      <c r="A1010" s="24">
        <v>20.0</v>
      </c>
      <c r="B1010" s="25">
        <v>530.0</v>
      </c>
      <c r="C1010" s="25">
        <v>1.0</v>
      </c>
      <c r="D1010" s="26" t="s">
        <v>922</v>
      </c>
      <c r="E1010" s="11" t="s">
        <v>325</v>
      </c>
      <c r="F1010" s="8" t="str">
        <f>IFERROR(__xludf.DUMMYFUNCTION("GOOGLETRANSLATE(D1010,""zh-CN"",""vi"")"),"Gói quà tặng Supreme 269 [V]")</f>
        <v>Gói quà tặng Supreme 269 [V]</v>
      </c>
      <c r="G1010" s="8" t="str">
        <f>IFERROR(__xludf.DUMMYFUNCTION("GOOGLETRANSLATE(E1010,""zh-CN"",""vi"")"),"Nhấp đúp chuột để mở, chọn phần thưởng, sau đó nhấp vào ô để tạo phần thưởng đã chọn.")</f>
        <v>Nhấp đúp chuột để mở, chọn phần thưởng, sau đó nhấp vào ô để tạo phần thưởng đã chọn.</v>
      </c>
      <c r="H1010" s="27"/>
      <c r="I1010" s="27"/>
      <c r="J1010" s="27"/>
    </row>
    <row r="1011" ht="21.0" customHeight="1">
      <c r="A1011" s="24">
        <v>20.0</v>
      </c>
      <c r="B1011" s="25">
        <v>530.0</v>
      </c>
      <c r="C1011" s="25">
        <v>1.0</v>
      </c>
      <c r="D1011" s="26" t="s">
        <v>910</v>
      </c>
      <c r="E1011" s="11" t="s">
        <v>325</v>
      </c>
      <c r="F1011" s="8" t="str">
        <f>IFERROR(__xludf.DUMMYFUNCTION("GOOGLETRANSLATE(D1011,""zh-CN"",""vi"")"),"Bộ quà tặng cao cấp 529 Ultimate [V]")</f>
        <v>Bộ quà tặng cao cấp 529 Ultimate [V]</v>
      </c>
      <c r="G1011" s="8" t="str">
        <f>IFERROR(__xludf.DUMMYFUNCTION("GOOGLETRANSLATE(E1011,""zh-CN"",""vi"")"),"Nhấp đúp chuột để mở, chọn phần thưởng, sau đó nhấp vào ô để tạo phần thưởng đã chọn.")</f>
        <v>Nhấp đúp chuột để mở, chọn phần thưởng, sau đó nhấp vào ô để tạo phần thưởng đã chọn.</v>
      </c>
      <c r="H1011" s="27"/>
      <c r="I1011" s="27"/>
      <c r="J1011" s="27"/>
    </row>
    <row r="1012" ht="21.0" customHeight="1">
      <c r="A1012" s="24">
        <v>20.0</v>
      </c>
      <c r="B1012" s="25">
        <v>530.0</v>
      </c>
      <c r="C1012" s="25">
        <v>1.0</v>
      </c>
      <c r="D1012" s="26" t="s">
        <v>917</v>
      </c>
      <c r="E1012" s="11" t="s">
        <v>325</v>
      </c>
      <c r="F1012" s="8" t="str">
        <f>IFERROR(__xludf.DUMMYFUNCTION("GOOGLETRANSLATE(D1012,""zh-CN"",""vi"")"),"Gói quà tặng cao cấp 169 [V]")</f>
        <v>Gói quà tặng cao cấp 169 [V]</v>
      </c>
      <c r="G1012" s="8" t="str">
        <f>IFERROR(__xludf.DUMMYFUNCTION("GOOGLETRANSLATE(E1012,""zh-CN"",""vi"")"),"Nhấp đúp chuột để mở, chọn phần thưởng, sau đó nhấp vào ô để tạo phần thưởng đã chọn.")</f>
        <v>Nhấp đúp chuột để mở, chọn phần thưởng, sau đó nhấp vào ô để tạo phần thưởng đã chọn.</v>
      </c>
      <c r="H1012" s="27"/>
      <c r="I1012" s="27"/>
      <c r="J1012" s="27"/>
    </row>
    <row r="1013" ht="21.0" customHeight="1">
      <c r="A1013" s="24">
        <v>20.0</v>
      </c>
      <c r="B1013" s="25">
        <v>530.0</v>
      </c>
      <c r="C1013" s="25">
        <v>1.0</v>
      </c>
      <c r="D1013" s="26" t="s">
        <v>917</v>
      </c>
      <c r="E1013" s="11" t="s">
        <v>325</v>
      </c>
      <c r="F1013" s="8" t="str">
        <f>IFERROR(__xludf.DUMMYFUNCTION("GOOGLETRANSLATE(D1013,""zh-CN"",""vi"")"),"Gói quà tặng cao cấp 169 [V]")</f>
        <v>Gói quà tặng cao cấp 169 [V]</v>
      </c>
      <c r="G1013" s="8" t="str">
        <f>IFERROR(__xludf.DUMMYFUNCTION("GOOGLETRANSLATE(E1013,""zh-CN"",""vi"")"),"Nhấp đúp chuột để mở, chọn phần thưởng, sau đó nhấp vào ô để tạo phần thưởng đã chọn.")</f>
        <v>Nhấp đúp chuột để mở, chọn phần thưởng, sau đó nhấp vào ô để tạo phần thưởng đã chọn.</v>
      </c>
      <c r="H1013" s="27"/>
      <c r="I1013" s="27"/>
      <c r="J1013" s="27"/>
    </row>
    <row r="1014" ht="21.0" customHeight="1">
      <c r="A1014" s="54">
        <v>14.0</v>
      </c>
      <c r="B1014" s="55">
        <v>530.0</v>
      </c>
      <c r="C1014" s="55">
        <v>1.0</v>
      </c>
      <c r="D1014" s="56" t="s">
        <v>923</v>
      </c>
      <c r="E1014" s="33" t="s">
        <v>641</v>
      </c>
      <c r="F1014" s="8" t="str">
        <f>IFERROR(__xludf.DUMMYFUNCTION("GOOGLETRANSLATE(D1014,""zh-CN"",""vi"")"),"Cửa hàng Rương Kho báu 1")</f>
        <v>Cửa hàng Rương Kho báu 1</v>
      </c>
      <c r="G1014" s="8" t="str">
        <f>IFERROR(__xludf.DUMMYFUNCTION("GOOGLETRANSLATE(E1014,""zh-CN"",""vi"")"),"Nhấp đúp chuột để nhận phần thưởng")</f>
        <v>Nhấp đúp chuột để nhận phần thưởng</v>
      </c>
      <c r="H1014" s="20"/>
      <c r="I1014" s="20"/>
      <c r="J1014" s="20"/>
    </row>
    <row r="1015" ht="21.0" customHeight="1">
      <c r="A1015" s="54">
        <v>14.0</v>
      </c>
      <c r="B1015" s="55">
        <v>530.0</v>
      </c>
      <c r="C1015" s="55">
        <v>1.0</v>
      </c>
      <c r="D1015" s="56" t="s">
        <v>924</v>
      </c>
      <c r="E1015" s="33" t="s">
        <v>641</v>
      </c>
      <c r="F1015" s="8" t="str">
        <f>IFERROR(__xludf.DUMMYFUNCTION("GOOGLETRANSLATE(D1015,""zh-CN"",""vi"")"),"Cửa hàng Rương Kho báu 2")</f>
        <v>Cửa hàng Rương Kho báu 2</v>
      </c>
      <c r="G1015" s="8" t="str">
        <f>IFERROR(__xludf.DUMMYFUNCTION("GOOGLETRANSLATE(E1015,""zh-CN"",""vi"")"),"Nhấp đúp chuột để nhận phần thưởng")</f>
        <v>Nhấp đúp chuột để nhận phần thưởng</v>
      </c>
      <c r="H1015" s="20"/>
      <c r="I1015" s="20"/>
      <c r="J1015" s="20"/>
    </row>
    <row r="1016" ht="21.0" customHeight="1">
      <c r="A1016" s="24">
        <v>20.0</v>
      </c>
      <c r="B1016" s="25">
        <v>530.0</v>
      </c>
      <c r="C1016" s="25">
        <v>1.0</v>
      </c>
      <c r="D1016" s="26" t="s">
        <v>670</v>
      </c>
      <c r="E1016" s="11" t="s">
        <v>325</v>
      </c>
      <c r="F1016" s="8" t="str">
        <f>IFERROR(__xludf.DUMMYFUNCTION("GOOGLETRANSLATE(D1016,""zh-CN"",""vi"")"),"Lựa chọn da ngực")</f>
        <v>Lựa chọn da ngực</v>
      </c>
      <c r="G1016" s="8" t="str">
        <f>IFERROR(__xludf.DUMMYFUNCTION("GOOGLETRANSLATE(E1016,""zh-CN"",""vi"")"),"Nhấp đúp chuột để mở, chọn phần thưởng, sau đó nhấp vào ô để tạo phần thưởng đã chọn.")</f>
        <v>Nhấp đúp chuột để mở, chọn phần thưởng, sau đó nhấp vào ô để tạo phần thưởng đã chọn.</v>
      </c>
      <c r="H1016" s="27"/>
      <c r="I1016" s="27"/>
      <c r="J1016" s="27"/>
    </row>
    <row r="1017" ht="21.0" customHeight="1">
      <c r="A1017" s="24">
        <v>20.0</v>
      </c>
      <c r="B1017" s="25">
        <v>530.0</v>
      </c>
      <c r="C1017" s="25">
        <v>1.0</v>
      </c>
      <c r="D1017" s="26" t="s">
        <v>925</v>
      </c>
      <c r="E1017" s="11" t="s">
        <v>325</v>
      </c>
      <c r="F1017" s="8" t="str">
        <f>IFERROR(__xludf.DUMMYFUNCTION("GOOGLETRANSLATE(D1017,""zh-CN"",""vi"")"),"Rương lựa chọn trang phục Elf")</f>
        <v>Rương lựa chọn trang phục Elf</v>
      </c>
      <c r="G1017" s="8" t="str">
        <f>IFERROR(__xludf.DUMMYFUNCTION("GOOGLETRANSLATE(E1017,""zh-CN"",""vi"")"),"Nhấp đúp chuột để mở, chọn phần thưởng, sau đó nhấp vào ô để tạo phần thưởng đã chọn.")</f>
        <v>Nhấp đúp chuột để mở, chọn phần thưởng, sau đó nhấp vào ô để tạo phần thưởng đã chọn.</v>
      </c>
      <c r="H1017" s="27"/>
      <c r="I1017" s="27"/>
      <c r="J1017" s="27"/>
    </row>
    <row r="1018" ht="21.0" customHeight="1">
      <c r="A1018" s="24">
        <v>20.0</v>
      </c>
      <c r="B1018" s="25">
        <v>530.0</v>
      </c>
      <c r="C1018" s="25">
        <v>1.0</v>
      </c>
      <c r="D1018" s="26" t="s">
        <v>926</v>
      </c>
      <c r="E1018" s="11" t="s">
        <v>325</v>
      </c>
      <c r="F1018" s="8" t="str">
        <f>IFERROR(__xludf.DUMMYFUNCTION("GOOGLETRANSLATE(D1018,""zh-CN"",""vi"")"),"Rương lựa chọn trang phục sân trong")</f>
        <v>Rương lựa chọn trang phục sân trong</v>
      </c>
      <c r="G1018" s="8" t="str">
        <f>IFERROR(__xludf.DUMMYFUNCTION("GOOGLETRANSLATE(E1018,""zh-CN"",""vi"")"),"Nhấp đúp chuột để mở, chọn phần thưởng, sau đó nhấp vào ô để tạo phần thưởng đã chọn.")</f>
        <v>Nhấp đúp chuột để mở, chọn phần thưởng, sau đó nhấp vào ô để tạo phần thưởng đã chọn.</v>
      </c>
      <c r="H1018" s="27"/>
      <c r="I1018" s="27"/>
      <c r="J1018" s="27"/>
    </row>
    <row r="1019" ht="21.0" customHeight="1">
      <c r="A1019" s="24">
        <v>20.0</v>
      </c>
      <c r="B1019" s="25">
        <v>530.0</v>
      </c>
      <c r="C1019" s="25">
        <v>1.0</v>
      </c>
      <c r="D1019" s="26" t="s">
        <v>926</v>
      </c>
      <c r="E1019" s="11" t="s">
        <v>325</v>
      </c>
      <c r="F1019" s="8" t="str">
        <f>IFERROR(__xludf.DUMMYFUNCTION("GOOGLETRANSLATE(D1019,""zh-CN"",""vi"")"),"Rương lựa chọn trang phục sân trong")</f>
        <v>Rương lựa chọn trang phục sân trong</v>
      </c>
      <c r="G1019" s="8" t="str">
        <f>IFERROR(__xludf.DUMMYFUNCTION("GOOGLETRANSLATE(E1019,""zh-CN"",""vi"")"),"Nhấp đúp chuột để mở, chọn phần thưởng, sau đó nhấp vào ô để tạo phần thưởng đã chọn.")</f>
        <v>Nhấp đúp chuột để mở, chọn phần thưởng, sau đó nhấp vào ô để tạo phần thưởng đã chọn.</v>
      </c>
      <c r="H1019" s="27"/>
      <c r="I1019" s="27"/>
      <c r="J1019" s="27"/>
    </row>
    <row r="1020" ht="21.0" customHeight="1">
      <c r="A1020" s="24">
        <v>20.0</v>
      </c>
      <c r="B1020" s="25">
        <v>530.0</v>
      </c>
      <c r="C1020" s="25">
        <v>1.0</v>
      </c>
      <c r="D1020" s="26" t="s">
        <v>926</v>
      </c>
      <c r="E1020" s="11" t="s">
        <v>325</v>
      </c>
      <c r="F1020" s="8" t="str">
        <f>IFERROR(__xludf.DUMMYFUNCTION("GOOGLETRANSLATE(D1020,""zh-CN"",""vi"")"),"Rương lựa chọn trang phục sân trong")</f>
        <v>Rương lựa chọn trang phục sân trong</v>
      </c>
      <c r="G1020" s="8" t="str">
        <f>IFERROR(__xludf.DUMMYFUNCTION("GOOGLETRANSLATE(E1020,""zh-CN"",""vi"")"),"Nhấp đúp chuột để mở, chọn phần thưởng, sau đó nhấp vào ô để tạo phần thưởng đã chọn.")</f>
        <v>Nhấp đúp chuột để mở, chọn phần thưởng, sau đó nhấp vào ô để tạo phần thưởng đã chọn.</v>
      </c>
      <c r="H1020" s="27"/>
      <c r="I1020" s="27"/>
      <c r="J1020" s="27"/>
    </row>
    <row r="1021" ht="21.0" customHeight="1">
      <c r="A1021" s="57">
        <v>4.0</v>
      </c>
      <c r="B1021" s="58">
        <v>542.0</v>
      </c>
      <c r="C1021" s="58">
        <v>1.0</v>
      </c>
      <c r="D1021" s="59" t="s">
        <v>927</v>
      </c>
      <c r="E1021" s="60" t="s">
        <v>928</v>
      </c>
      <c r="F1021" s="8" t="str">
        <f>IFERROR(__xludf.DUMMYFUNCTION("GOOGLETRANSLATE(D1021,""zh-CN"",""vi"")"),"Gói quà may mắn hàng ngày")</f>
        <v>Gói quà may mắn hàng ngày</v>
      </c>
      <c r="G1021" s="8" t="str">
        <f>IFERROR(__xludf.DUMMYFUNCTION("GOOGLETRANSLATE(E1021,""zh-CN"",""vi"")"),"Gói Quà May Mắn! Nhấp đúp chuột để nhận phần thưởng ngẫu nhiên.")</f>
        <v>Gói Quà May Mắn! Nhấp đúp chuột để nhận phần thưởng ngẫu nhiên.</v>
      </c>
      <c r="H1021" s="61"/>
      <c r="I1021" s="61"/>
      <c r="J1021" s="61"/>
    </row>
    <row r="1022" ht="21.0" customHeight="1">
      <c r="A1022" s="57">
        <v>14.0</v>
      </c>
      <c r="B1022" s="58">
        <v>542.0</v>
      </c>
      <c r="C1022" s="58">
        <v>1.0</v>
      </c>
      <c r="D1022" s="59" t="s">
        <v>929</v>
      </c>
      <c r="E1022" s="60" t="s">
        <v>930</v>
      </c>
      <c r="F1022" s="8" t="str">
        <f>IFERROR(__xludf.DUMMYFUNCTION("GOOGLETRANSLATE(D1022,""zh-CN"",""vi"")"),"Bộ quà tặng công viên giải trí")</f>
        <v>Bộ quà tặng công viên giải trí</v>
      </c>
      <c r="G1022" s="8" t="str">
        <f>IFERROR(__xludf.DUMMYFUNCTION("GOOGLETRANSLATE(E1022,""zh-CN"",""vi"")"),"Nhấp đúp chuột sẽ nhận được phần thưởng, bao gồm tổng cộng 2 Phiếu quà tặng màu xanh dương và 1 Phiếu quà tặng màu tím.")</f>
        <v>Nhấp đúp chuột sẽ nhận được phần thưởng, bao gồm tổng cộng 2 Phiếu quà tặng màu xanh dương và 1 Phiếu quà tặng màu tím.</v>
      </c>
      <c r="H1022" s="61"/>
      <c r="I1022" s="61"/>
      <c r="J1022" s="61"/>
    </row>
    <row r="1023" ht="21.0" customHeight="1">
      <c r="A1023" s="57">
        <v>14.0</v>
      </c>
      <c r="B1023" s="58">
        <v>542.0</v>
      </c>
      <c r="C1023" s="58">
        <v>1.0</v>
      </c>
      <c r="D1023" s="59" t="s">
        <v>931</v>
      </c>
      <c r="E1023" s="60" t="s">
        <v>932</v>
      </c>
      <c r="F1023" s="8" t="str">
        <f>IFERROR(__xludf.DUMMYFUNCTION("GOOGLETRANSLATE(D1023,""zh-CN"",""vi"")"),"Bộ quà tặng tăng cường sức sống Xiao Mei")</f>
        <v>Bộ quà tặng tăng cường sức sống Xiao Mei</v>
      </c>
      <c r="G1023" s="8" t="str">
        <f>IFERROR(__xludf.DUMMYFUNCTION("GOOGLETRANSLATE(E1023,""zh-CN"",""vi"")"),"Nhấp đúp chuột sẽ nhận được phần thưởng, bao gồm tổng cộng 400 đồng vàng và 200 điểm thể lực.")</f>
        <v>Nhấp đúp chuột sẽ nhận được phần thưởng, bao gồm tổng cộng 400 đồng vàng và 200 điểm thể lực.</v>
      </c>
      <c r="H1023" s="61"/>
      <c r="I1023" s="61"/>
      <c r="J1023" s="61"/>
    </row>
    <row r="1024" ht="21.0" customHeight="1">
      <c r="A1024" s="57">
        <v>14.0</v>
      </c>
      <c r="B1024" s="58">
        <v>542.0</v>
      </c>
      <c r="C1024" s="58">
        <v>1.0</v>
      </c>
      <c r="D1024" s="59" t="s">
        <v>933</v>
      </c>
      <c r="E1024" s="60" t="s">
        <v>934</v>
      </c>
      <c r="F1024" s="8" t="str">
        <f>IFERROR(__xludf.DUMMYFUNCTION("GOOGLETRANSLATE(D1024,""zh-CN"",""vi"")"),"Bộ quà tặng tăng cường sức sống của Xiao Mei")</f>
        <v>Bộ quà tặng tăng cường sức sống của Xiao Mei</v>
      </c>
      <c r="G1024" s="8" t="str">
        <f>IFERROR(__xludf.DUMMYFUNCTION("GOOGLETRANSLATE(E1024,""zh-CN"",""vi"")"),"Nhấp đúp chuột sẽ nhận được phần thưởng, bao gồm tổng cộng 2200 đồng vàng và 1200 điểm thể lực.")</f>
        <v>Nhấp đúp chuột sẽ nhận được phần thưởng, bao gồm tổng cộng 2200 đồng vàng và 1200 điểm thể lực.</v>
      </c>
      <c r="H1024" s="61"/>
      <c r="I1024" s="61"/>
      <c r="J1024" s="61"/>
    </row>
    <row r="1025" ht="21.0" customHeight="1">
      <c r="A1025" s="57">
        <v>14.0</v>
      </c>
      <c r="B1025" s="58">
        <v>542.0</v>
      </c>
      <c r="C1025" s="58">
        <v>1.0</v>
      </c>
      <c r="D1025" s="59" t="s">
        <v>935</v>
      </c>
      <c r="E1025" s="60" t="s">
        <v>936</v>
      </c>
      <c r="F1025" s="8" t="str">
        <f>IFERROR(__xludf.DUMMYFUNCTION("GOOGLETRANSLATE(D1025,""zh-CN"",""vi"")"),"Bộ quà tặng thiệp dành cho mẹ")</f>
        <v>Bộ quà tặng thiệp dành cho mẹ</v>
      </c>
      <c r="G1025" s="8" t="str">
        <f>IFERROR(__xludf.DUMMYFUNCTION("GOOGLETRANSLATE(E1025,""zh-CN"",""vi"")"),"Nhấp đúp chuột sẽ nhận được phần thưởng, bao gồm 16 thẻ đổi thông thường, 1 thẻ tăng tốc 10 phút, 2 thẻ tăng thêm 30 đơn vị dung lượng và 3 thẻ chia.")</f>
        <v>Nhấp đúp chuột sẽ nhận được phần thưởng, bao gồm 16 thẻ đổi thông thường, 1 thẻ tăng tốc 10 phút, 2 thẻ tăng thêm 30 đơn vị dung lượng và 3 thẻ chia.</v>
      </c>
      <c r="H1025" s="61"/>
      <c r="I1025" s="61"/>
      <c r="J1025" s="61"/>
    </row>
    <row r="1026" ht="21.0" customHeight="1">
      <c r="A1026" s="57">
        <v>14.0</v>
      </c>
      <c r="B1026" s="58">
        <v>542.0</v>
      </c>
      <c r="C1026" s="58">
        <v>1.0</v>
      </c>
      <c r="D1026" s="59" t="s">
        <v>937</v>
      </c>
      <c r="E1026" s="60" t="s">
        <v>938</v>
      </c>
      <c r="F1026" s="8" t="str">
        <f>IFERROR(__xludf.DUMMYFUNCTION("GOOGLETRANSLATE(D1026,""zh-CN"",""vi"")"),"Bộ quà tặng thiệp dành cho mẹ")</f>
        <v>Bộ quà tặng thiệp dành cho mẹ</v>
      </c>
      <c r="G1026" s="8" t="str">
        <f>IFERROR(__xludf.DUMMYFUNCTION("GOOGLETRANSLATE(E1026,""zh-CN"",""vi"")"),"Nhấp đúp chuột sẽ nhận được phần thưởng, bao gồm 64 Thẻ Trao Đổi Thông Thường, 5 Vật Phẩm Chức Năng Cơ Bản Có Thể Chọn và 300 Thể Lực.")</f>
        <v>Nhấp đúp chuột sẽ nhận được phần thưởng, bao gồm 64 Thẻ Trao Đổi Thông Thường, 5 Vật Phẩm Chức Năng Cơ Bản Có Thể Chọn và 300 Thể Lực.</v>
      </c>
      <c r="H1026" s="61"/>
      <c r="I1026" s="61"/>
      <c r="J1026" s="61"/>
    </row>
    <row r="1027" ht="21.0" customHeight="1">
      <c r="A1027" s="57">
        <v>14.0</v>
      </c>
      <c r="B1027" s="58">
        <v>542.0</v>
      </c>
      <c r="C1027" s="58">
        <v>1.0</v>
      </c>
      <c r="D1027" s="59" t="s">
        <v>939</v>
      </c>
      <c r="E1027" s="60" t="s">
        <v>940</v>
      </c>
      <c r="F1027" s="8" t="str">
        <f>IFERROR(__xludf.DUMMYFUNCTION("GOOGLETRANSLATE(D1027,""zh-CN"",""vi"")"),"Bộ quà tặng thẻ VIP dành cho mẹ")</f>
        <v>Bộ quà tặng thẻ VIP dành cho mẹ</v>
      </c>
      <c r="G1027" s="8" t="str">
        <f>IFERROR(__xludf.DUMMYFUNCTION("GOOGLETRANSLATE(E1027,""zh-CN"",""vi"")"),"Nhấp đúp chuột sẽ nhận được phần thưởng, bao gồm 16 thẻ đổi VIP và 2 vật phẩm chức năng cơ bản có thể lựa chọn.")</f>
        <v>Nhấp đúp chuột sẽ nhận được phần thưởng, bao gồm 16 thẻ đổi VIP và 2 vật phẩm chức năng cơ bản có thể lựa chọn.</v>
      </c>
      <c r="H1027" s="61"/>
      <c r="I1027" s="61"/>
      <c r="J1027" s="61"/>
    </row>
    <row r="1028" ht="21.0" customHeight="1">
      <c r="A1028" s="57">
        <v>14.0</v>
      </c>
      <c r="B1028" s="58">
        <v>542.0</v>
      </c>
      <c r="C1028" s="58">
        <v>1.0</v>
      </c>
      <c r="D1028" s="59" t="s">
        <v>941</v>
      </c>
      <c r="E1028" s="60" t="s">
        <v>942</v>
      </c>
      <c r="F1028" s="8" t="str">
        <f>IFERROR(__xludf.DUMMYFUNCTION("GOOGLETRANSLATE(D1028,""zh-CN"",""vi"")"),"Gói quà tặng thẻ VIP dành cho mẹ")</f>
        <v>Gói quà tặng thẻ VIP dành cho mẹ</v>
      </c>
      <c r="G1028" s="8" t="str">
        <f>IFERROR(__xludf.DUMMYFUNCTION("GOOGLETRANSLATE(E1028,""zh-CN"",""vi"")"),"Nhấp đúp chuột sẽ nhận được phần thưởng, bao gồm 64 thẻ đổi VIP, 5 vật phẩm chức năng trung cấp tự chọn và 300 điểm thể lực.")</f>
        <v>Nhấp đúp chuột sẽ nhận được phần thưởng, bao gồm 64 thẻ đổi VIP, 5 vật phẩm chức năng trung cấp tự chọn và 300 điểm thể lực.</v>
      </c>
      <c r="H1028" s="61"/>
      <c r="I1028" s="61"/>
      <c r="J1028" s="61"/>
    </row>
    <row r="1029" ht="21.0" customHeight="1">
      <c r="A1029" s="57">
        <v>14.0</v>
      </c>
      <c r="B1029" s="58">
        <v>542.0</v>
      </c>
      <c r="C1029" s="58">
        <v>1.0</v>
      </c>
      <c r="D1029" s="59" t="s">
        <v>943</v>
      </c>
      <c r="E1029" s="60" t="s">
        <v>944</v>
      </c>
      <c r="F1029" s="8" t="str">
        <f>IFERROR(__xludf.DUMMYFUNCTION("GOOGLETRANSLATE(D1029,""zh-CN"",""vi"")"),"Bộ quà tặng vật dụng chức năng")</f>
        <v>Bộ quà tặng vật dụng chức năng</v>
      </c>
      <c r="G1029" s="8" t="str">
        <f>IFERROR(__xludf.DUMMYFUNCTION("GOOGLETRANSLATE(E1029,""zh-CN"",""vi"")"),"Nhấp đúp chuột sẽ nhận được phần thưởng, bao gồm 1 Viên Đá Ma Thuật, 5 vật phẩm chức năng cơ bản có thể lựa chọn và 2 vật phẩm chức năng trung cấp có thể lựa chọn.")</f>
        <v>Nhấp đúp chuột sẽ nhận được phần thưởng, bao gồm 1 Viên Đá Ma Thuật, 5 vật phẩm chức năng cơ bản có thể lựa chọn và 2 vật phẩm chức năng trung cấp có thể lựa chọn.</v>
      </c>
      <c r="H1029" s="61"/>
      <c r="I1029" s="61"/>
      <c r="J1029" s="61"/>
    </row>
    <row r="1030" ht="21.0" customHeight="1">
      <c r="A1030" s="57">
        <v>14.0</v>
      </c>
      <c r="B1030" s="58">
        <v>542.0</v>
      </c>
      <c r="C1030" s="58">
        <v>1.0</v>
      </c>
      <c r="D1030" s="59" t="s">
        <v>945</v>
      </c>
      <c r="E1030" s="60" t="s">
        <v>946</v>
      </c>
      <c r="F1030" s="8" t="str">
        <f>IFERROR(__xludf.DUMMYFUNCTION("GOOGLETRANSLATE(D1030,""zh-CN"",""vi"")"),"Bộ quà tặng vật dụng chức năng")</f>
        <v>Bộ quà tặng vật dụng chức năng</v>
      </c>
      <c r="G1030" s="8" t="str">
        <f>IFERROR(__xludf.DUMMYFUNCTION("GOOGLETRANSLATE(E1030,""zh-CN"",""vi"")"),"Nhấp đúp chuột sẽ nhận được phần thưởng, bao gồm 5 Viên Đá Ma Thuật, 4 vật phẩm chức năng nâng cao có thể lựa chọn, 300 Thể Lực và 700 Vàng.")</f>
        <v>Nhấp đúp chuột sẽ nhận được phần thưởng, bao gồm 5 Viên Đá Ma Thuật, 4 vật phẩm chức năng nâng cao có thể lựa chọn, 300 Thể Lực và 700 Vàng.</v>
      </c>
      <c r="H1030" s="61"/>
      <c r="I1030" s="61"/>
      <c r="J1030" s="61"/>
    </row>
    <row r="1031" ht="21.0" customHeight="1">
      <c r="A1031" s="24">
        <v>4.0</v>
      </c>
      <c r="B1031" s="25">
        <v>543.0</v>
      </c>
      <c r="C1031" s="25">
        <v>1.0</v>
      </c>
      <c r="D1031" s="26" t="s">
        <v>947</v>
      </c>
      <c r="E1031" s="11" t="s">
        <v>928</v>
      </c>
      <c r="F1031" s="8" t="str">
        <f>IFERROR(__xludf.DUMMYFUNCTION("GOOGLETRANSLATE(D1031,""zh-CN"",""vi"")"),"Bộ quà tặng thử nghiệm 1")</f>
        <v>Bộ quà tặng thử nghiệm 1</v>
      </c>
      <c r="G1031" s="8" t="str">
        <f>IFERROR(__xludf.DUMMYFUNCTION("GOOGLETRANSLATE(E1031,""zh-CN"",""vi"")"),"Gói Quà May Mắn! Nhấp đúp chuột để nhận phần thưởng ngẫu nhiên.")</f>
        <v>Gói Quà May Mắn! Nhấp đúp chuột để nhận phần thưởng ngẫu nhiên.</v>
      </c>
      <c r="H1031" s="14"/>
      <c r="I1031" s="14"/>
      <c r="J1031" s="14"/>
    </row>
    <row r="1032" ht="21.0" customHeight="1">
      <c r="A1032" s="24">
        <v>5.0</v>
      </c>
      <c r="B1032" s="25">
        <v>543.0</v>
      </c>
      <c r="C1032" s="25">
        <v>1.0</v>
      </c>
      <c r="D1032" s="26" t="s">
        <v>948</v>
      </c>
      <c r="E1032" s="11" t="s">
        <v>928</v>
      </c>
      <c r="F1032" s="8" t="str">
        <f>IFERROR(__xludf.DUMMYFUNCTION("GOOGLETRANSLATE(D1032,""zh-CN"",""vi"")"),"Bộ quà tặng thử nghiệm 2")</f>
        <v>Bộ quà tặng thử nghiệm 2</v>
      </c>
      <c r="G1032" s="8" t="str">
        <f>IFERROR(__xludf.DUMMYFUNCTION("GOOGLETRANSLATE(E1032,""zh-CN"",""vi"")"),"Gói Quà May Mắn! Nhấp đúp chuột để nhận phần thưởng ngẫu nhiên.")</f>
        <v>Gói Quà May Mắn! Nhấp đúp chuột để nhận phần thưởng ngẫu nhiên.</v>
      </c>
      <c r="H1032" s="14"/>
      <c r="I1032" s="14"/>
      <c r="J1032" s="14"/>
    </row>
    <row r="1033" ht="21.0" customHeight="1">
      <c r="A1033" s="24">
        <v>20.0</v>
      </c>
      <c r="B1033" s="25">
        <v>543.0</v>
      </c>
      <c r="C1033" s="25">
        <v>1.0</v>
      </c>
      <c r="D1033" s="26" t="s">
        <v>949</v>
      </c>
      <c r="E1033" s="11" t="s">
        <v>325</v>
      </c>
      <c r="F1033" s="8" t="str">
        <f>IFERROR(__xludf.DUMMYFUNCTION("GOOGLETRANSLATE(D1033,""zh-CN"",""vi"")"),"Bộ quà tặng thử nghiệm 3")</f>
        <v>Bộ quà tặng thử nghiệm 3</v>
      </c>
      <c r="G1033" s="8" t="str">
        <f>IFERROR(__xludf.DUMMYFUNCTION("GOOGLETRANSLATE(E1033,""zh-CN"",""vi"")"),"Nhấp đúp chuột để mở, chọn phần thưởng, sau đó nhấp vào ô để tạo phần thưởng đã chọn.")</f>
        <v>Nhấp đúp chuột để mở, chọn phần thưởng, sau đó nhấp vào ô để tạo phần thưởng đã chọn.</v>
      </c>
      <c r="H1033" s="14"/>
      <c r="I1033" s="14"/>
      <c r="J1033" s="14"/>
    </row>
    <row r="1034" ht="21.0" customHeight="1">
      <c r="A1034" s="24">
        <v>14.0</v>
      </c>
      <c r="B1034" s="25">
        <v>543.0</v>
      </c>
      <c r="C1034" s="25">
        <v>1.0</v>
      </c>
      <c r="D1034" s="26" t="s">
        <v>950</v>
      </c>
      <c r="E1034" s="11" t="s">
        <v>951</v>
      </c>
      <c r="F1034" s="8" t="str">
        <f>IFERROR(__xludf.DUMMYFUNCTION("GOOGLETRANSLATE(D1034,""zh-CN"",""vi"")"),"Bộ quà tặng thử nghiệm số 4")</f>
        <v>Bộ quà tặng thử nghiệm số 4</v>
      </c>
      <c r="G1034" s="8" t="str">
        <f>IFERROR(__xludf.DUMMYFUNCTION("GOOGLETRANSLATE(E1034,""zh-CN"",""vi"")"),"Nhấp đúp chuột sẽ nhận được các phần thưởng sau: 5 Viên Đá Ma Thuật, 4 vật phẩm chức năng nâng cao có thể lựa chọn, 300 Thể Lực và 700 Vàng.")</f>
        <v>Nhấp đúp chuột sẽ nhận được các phần thưởng sau: 5 Viên Đá Ma Thuật, 4 vật phẩm chức năng nâng cao có thể lựa chọn, 300 Thể Lực và 700 Vàng.</v>
      </c>
      <c r="H1034" s="14"/>
      <c r="I1034" s="14"/>
      <c r="J1034" s="14"/>
    </row>
    <row r="1035" ht="21.0" customHeight="1">
      <c r="A1035" s="24">
        <v>14.0</v>
      </c>
      <c r="B1035" s="25">
        <v>543.0</v>
      </c>
      <c r="C1035" s="25">
        <v>1.0</v>
      </c>
      <c r="D1035" s="26" t="s">
        <v>952</v>
      </c>
      <c r="E1035" s="11" t="s">
        <v>951</v>
      </c>
      <c r="F1035" s="8" t="str">
        <f>IFERROR(__xludf.DUMMYFUNCTION("GOOGLETRANSLATE(D1035,""zh-CN"",""vi"")"),"Bộ quà tặng thử nghiệm số 5")</f>
        <v>Bộ quà tặng thử nghiệm số 5</v>
      </c>
      <c r="G1035" s="8" t="str">
        <f>IFERROR(__xludf.DUMMYFUNCTION("GOOGLETRANSLATE(E1035,""zh-CN"",""vi"")"),"Nhấp đúp chuột sẽ nhận được các phần thưởng sau: 5 Viên Đá Ma Thuật, 4 vật phẩm chức năng nâng cao có thể lựa chọn, 300 Thể Lực và 700 Vàng.")</f>
        <v>Nhấp đúp chuột sẽ nhận được các phần thưởng sau: 5 Viên Đá Ma Thuật, 4 vật phẩm chức năng nâng cao có thể lựa chọn, 300 Thể Lực và 700 Vàng.</v>
      </c>
      <c r="H1035" s="14"/>
      <c r="I1035" s="14"/>
      <c r="J1035" s="14"/>
    </row>
    <row r="1036" ht="21.0" customHeight="1">
      <c r="A1036" s="24">
        <v>14.0</v>
      </c>
      <c r="B1036" s="25">
        <v>543.0</v>
      </c>
      <c r="C1036" s="25">
        <v>1.0</v>
      </c>
      <c r="D1036" s="26" t="s">
        <v>953</v>
      </c>
      <c r="E1036" s="11" t="s">
        <v>951</v>
      </c>
      <c r="F1036" s="8" t="str">
        <f>IFERROR(__xludf.DUMMYFUNCTION("GOOGLETRANSLATE(D1036,""zh-CN"",""vi"")"),"Bộ quà tặng thử nghiệm số 6")</f>
        <v>Bộ quà tặng thử nghiệm số 6</v>
      </c>
      <c r="G1036" s="8" t="str">
        <f>IFERROR(__xludf.DUMMYFUNCTION("GOOGLETRANSLATE(E1036,""zh-CN"",""vi"")"),"Nhấp đúp chuột sẽ nhận được các phần thưởng sau: 5 Viên Đá Ma Thuật, 4 vật phẩm chức năng nâng cao có thể lựa chọn, 300 Thể Lực và 700 Vàng.")</f>
        <v>Nhấp đúp chuột sẽ nhận được các phần thưởng sau: 5 Viên Đá Ma Thuật, 4 vật phẩm chức năng nâng cao có thể lựa chọn, 300 Thể Lực và 700 Vàng.</v>
      </c>
      <c r="H1036" s="14"/>
      <c r="I1036" s="14"/>
      <c r="J1036" s="14"/>
    </row>
    <row r="1037" ht="21.0" customHeight="1">
      <c r="A1037" s="24">
        <v>17.0</v>
      </c>
      <c r="B1037" s="25">
        <v>543.0</v>
      </c>
      <c r="C1037" s="25">
        <v>1.0</v>
      </c>
      <c r="D1037" s="26" t="s">
        <v>954</v>
      </c>
      <c r="E1037" s="11" t="s">
        <v>325</v>
      </c>
      <c r="F1037" s="8" t="str">
        <f>IFERROR(__xludf.DUMMYFUNCTION("GOOGLETRANSLATE(D1037,""zh-CN"",""vi"")"),"Bộ quà tặng thử nghiệm số 7")</f>
        <v>Bộ quà tặng thử nghiệm số 7</v>
      </c>
      <c r="G1037" s="8" t="str">
        <f>IFERROR(__xludf.DUMMYFUNCTION("GOOGLETRANSLATE(E1037,""zh-CN"",""vi"")"),"Nhấp đúp chuột để mở, chọn phần thưởng, sau đó nhấp vào ô để tạo phần thưởng đã chọn.")</f>
        <v>Nhấp đúp chuột để mở, chọn phần thưởng, sau đó nhấp vào ô để tạo phần thưởng đã chọn.</v>
      </c>
      <c r="H1037" s="14"/>
      <c r="I1037" s="14"/>
      <c r="J1037" s="14"/>
    </row>
    <row r="1038" ht="21.0" customHeight="1">
      <c r="A1038" s="57">
        <v>17.0</v>
      </c>
      <c r="B1038" s="58">
        <v>543.0</v>
      </c>
      <c r="C1038" s="58">
        <v>1.0</v>
      </c>
      <c r="D1038" s="59" t="s">
        <v>955</v>
      </c>
      <c r="E1038" s="60" t="s">
        <v>956</v>
      </c>
      <c r="F1038" s="8" t="str">
        <f>IFERROR(__xludf.DUMMYFUNCTION("GOOGLETRANSLATE(D1038,""zh-CN"",""vi"")"),"Bộ quà tặng khởi nghiệp")</f>
        <v>Bộ quà tặng khởi nghiệp</v>
      </c>
      <c r="G1038" s="8" t="str">
        <f>IFERROR(__xludf.DUMMYFUNCTION("GOOGLETRANSLATE(E1038,""zh-CN"",""vi"")"),"Nhấp đúp chuột để mở, chọn Phần thưởng, và phần thưởng sẽ được thêm trực tiếp vào Hộp nguyên liệu Linh hồn Bóng ma sau khi hoàn thành.")</f>
        <v>Nhấp đúp chuột để mở, chọn Phần thưởng, và phần thưởng sẽ được thêm trực tiếp vào Hộp nguyên liệu Linh hồn Bóng ma sau khi hoàn thành.</v>
      </c>
      <c r="H1038" s="61"/>
      <c r="I1038" s="61"/>
      <c r="J1038" s="61"/>
    </row>
    <row r="1039" ht="21.0" customHeight="1">
      <c r="A1039" s="5">
        <v>17.0</v>
      </c>
      <c r="B1039" s="6">
        <v>543.0</v>
      </c>
      <c r="C1039" s="6">
        <v>1.0</v>
      </c>
      <c r="D1039" s="16" t="s">
        <v>957</v>
      </c>
      <c r="E1039" s="9" t="s">
        <v>958</v>
      </c>
      <c r="F1039" s="8" t="str">
        <f>IFERROR(__xludf.DUMMYFUNCTION("GOOGLETRANSLATE(D1039,""zh-CN"",""vi"")"),"Rương lựa chọn tinh thể ma thuật 1")</f>
        <v>Rương lựa chọn tinh thể ma thuật 1</v>
      </c>
      <c r="G1039" s="8" t="str">
        <f>IFERROR(__xludf.DUMMYFUNCTION("GOOGLETRANSLATE(E1039,""zh-CN"",""vi"")"),"Nhấp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39" s="8"/>
      <c r="I1039" s="8"/>
      <c r="J1039" s="8"/>
    </row>
    <row r="1040" ht="21.0" customHeight="1">
      <c r="A1040" s="5">
        <v>17.0</v>
      </c>
      <c r="B1040" s="6">
        <v>543.0</v>
      </c>
      <c r="C1040" s="6">
        <v>1.0</v>
      </c>
      <c r="D1040" s="16" t="s">
        <v>959</v>
      </c>
      <c r="E1040" s="9" t="s">
        <v>958</v>
      </c>
      <c r="F1040" s="8" t="str">
        <f>IFERROR(__xludf.DUMMYFUNCTION("GOOGLETRANSLATE(D1040,""zh-CN"",""vi"")"),"Rương lựa chọn tinh thể ma thuật 2")</f>
        <v>Rương lựa chọn tinh thể ma thuật 2</v>
      </c>
      <c r="G1040" s="8" t="str">
        <f>IFERROR(__xludf.DUMMYFUNCTION("GOOGLETRANSLATE(E1040,""zh-CN"",""vi"")"),"Nhấp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40" s="8"/>
      <c r="I1040" s="8"/>
      <c r="J1040" s="8"/>
    </row>
    <row r="1041" ht="21.0" customHeight="1">
      <c r="A1041" s="30">
        <v>5.0</v>
      </c>
      <c r="B1041" s="31">
        <v>417.0</v>
      </c>
      <c r="C1041" s="31">
        <v>1.0</v>
      </c>
      <c r="D1041" s="34" t="s">
        <v>960</v>
      </c>
      <c r="E1041" s="33" t="s">
        <v>961</v>
      </c>
      <c r="F1041" s="8" t="str">
        <f>IFERROR(__xludf.DUMMYFUNCTION("GOOGLETRANSLATE(D1041,""zh-CN"",""vi"")"),"Bộ quà tặng vật phẩm may mắn")</f>
        <v>Bộ quà tặng vật phẩm may mắn</v>
      </c>
      <c r="G1041" s="8" t="str">
        <f>IFERROR(__xludf.DUMMYFUNCTION("GOOGLETRANSLATE(E1041,""zh-CN"",""vi"")"),"Nhấp đúp chuột sẽ tạo ra các nguyên liệu may mắn ngẫu nhiên, và phần thưởng sẽ được thêm trực tiếp vào Hộp Nguyên liệu Linh hồn Ma.")</f>
        <v>Nhấp đúp chuột sẽ tạo ra các nguyên liệu may mắn ngẫu nhiên, và phần thưởng sẽ được thêm trực tiếp vào Hộp Nguyên liệu Linh hồn Ma.</v>
      </c>
      <c r="H1041" s="27"/>
      <c r="I1041" s="27"/>
      <c r="J1041" s="27"/>
    </row>
    <row r="1042" ht="21.0" customHeight="1">
      <c r="A1042" s="30">
        <v>5.0</v>
      </c>
      <c r="B1042" s="31">
        <v>417.0</v>
      </c>
      <c r="C1042" s="31">
        <v>1.0</v>
      </c>
      <c r="D1042" s="34" t="s">
        <v>962</v>
      </c>
      <c r="E1042" s="33" t="s">
        <v>963</v>
      </c>
      <c r="F1042" s="8" t="str">
        <f>IFERROR(__xludf.DUMMYFUNCTION("GOOGLETRANSLATE(D1042,""zh-CN"",""vi"")"),"Rương kho báu ngẫu nhiên của mẹ 1")</f>
        <v>Rương kho báu ngẫu nhiên của mẹ 1</v>
      </c>
      <c r="G1042" s="8" t="str">
        <f>IFERROR(__xludf.DUMMYFUNCTION("GOOGLETRANSLATE(E1042,""zh-CN"",""vi"")"),"Nhấp đúp chuột sẽ tạo ra ngẫu nhiên một thân mẹ độc quyền cấp độ 1 (nồi súp).")</f>
        <v>Nhấp đúp chuột sẽ tạo ra ngẫu nhiên một thân mẹ độc quyền cấp độ 1 (nồi súp).</v>
      </c>
      <c r="H1042" s="27"/>
      <c r="I1042" s="27"/>
      <c r="J1042" s="27"/>
    </row>
    <row r="1043" ht="21.0" customHeight="1">
      <c r="A1043" s="30">
        <v>5.0</v>
      </c>
      <c r="B1043" s="31">
        <v>417.0</v>
      </c>
      <c r="C1043" s="31">
        <v>1.0</v>
      </c>
      <c r="D1043" s="34" t="s">
        <v>964</v>
      </c>
      <c r="E1043" s="33" t="s">
        <v>965</v>
      </c>
      <c r="F1043" s="8" t="str">
        <f>IFERROR(__xludf.DUMMYFUNCTION("GOOGLETRANSLATE(D1043,""zh-CN"",""vi"")"),"Rương Kho Báu Ngẫu Nhiên của Mẹ 2")</f>
        <v>Rương Kho Báu Ngẫu Nhiên của Mẹ 2</v>
      </c>
      <c r="G1043" s="8" t="str">
        <f>IFERROR(__xludf.DUMMYFUNCTION("GOOGLETRANSLATE(E1043,""zh-CN"",""vi"")"),"Nhấp đúp chuột sẽ tạo ra ngẫu nhiên một thân chính độc quyền của nồi súp cấp 2.")</f>
        <v>Nhấp đúp chuột sẽ tạo ra ngẫu nhiên một thân chính độc quyền của nồi súp cấp 2.</v>
      </c>
      <c r="H1043" s="27"/>
      <c r="I1043" s="27"/>
      <c r="J1043" s="27"/>
    </row>
    <row r="1044" ht="21.0" customHeight="1">
      <c r="A1044" s="5">
        <v>17.0</v>
      </c>
      <c r="B1044" s="6">
        <v>543.0</v>
      </c>
      <c r="C1044" s="6">
        <v>1.0</v>
      </c>
      <c r="D1044" s="16" t="s">
        <v>966</v>
      </c>
      <c r="E1044" s="9" t="s">
        <v>958</v>
      </c>
      <c r="F1044" s="8" t="str">
        <f>IFERROR(__xludf.DUMMYFUNCTION("GOOGLETRANSLATE(D1044,""zh-CN"",""vi"")"),"Rương lựa chọn tinh thể ma thuật 3")</f>
        <v>Rương lựa chọn tinh thể ma thuật 3</v>
      </c>
      <c r="G1044" s="8" t="str">
        <f>IFERROR(__xludf.DUMMYFUNCTION("GOOGLETRANSLATE(E1044,""zh-CN"",""vi"")"),"Nhấp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44" s="8"/>
      <c r="I1044" s="8"/>
      <c r="J1044" s="8"/>
    </row>
    <row r="1045" ht="21.0" customHeight="1">
      <c r="A1045" s="5">
        <v>17.0</v>
      </c>
      <c r="B1045" s="6">
        <v>543.0</v>
      </c>
      <c r="C1045" s="6">
        <v>1.0</v>
      </c>
      <c r="D1045" s="16" t="s">
        <v>967</v>
      </c>
      <c r="E1045" s="9" t="s">
        <v>958</v>
      </c>
      <c r="F1045" s="8" t="str">
        <f>IFERROR(__xludf.DUMMYFUNCTION("GOOGLETRANSLATE(D1045,""zh-CN"",""vi"")"),"Rương lựa chọn tinh thể ma thuật 4")</f>
        <v>Rương lựa chọn tinh thể ma thuật 4</v>
      </c>
      <c r="G1045" s="8" t="str">
        <f>IFERROR(__xludf.DUMMYFUNCTION("GOOGLETRANSLATE(E1045,""zh-CN"",""vi"")"),"Nhấp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45" s="8"/>
      <c r="I1045" s="8"/>
      <c r="J1045" s="8"/>
    </row>
    <row r="1046" ht="21.0" customHeight="1">
      <c r="A1046" s="57">
        <v>14.0</v>
      </c>
      <c r="B1046" s="58">
        <v>542.0</v>
      </c>
      <c r="C1046" s="58">
        <v>1.0</v>
      </c>
      <c r="D1046" s="59" t="s">
        <v>968</v>
      </c>
      <c r="E1046" s="60" t="s">
        <v>969</v>
      </c>
      <c r="F1046" s="8" t="str">
        <f>IFERROR(__xludf.DUMMYFUNCTION("GOOGLETRANSLATE(D1046,""zh-CN"",""vi"")"),"Bộ quà tặng thẻ đa dạng 3 sao")</f>
        <v>Bộ quà tặng thẻ đa dạng 3 sao</v>
      </c>
      <c r="G1046" s="8" t="str">
        <f>IFERROR(__xludf.DUMMYFUNCTION("GOOGLETRANSLATE(E1046,""zh-CN"",""vi"")"),"Nhấp đúp chuột sẽ nhận được phần thưởng, bao gồm 1 Thẻ Biến Hình 3 sao.")</f>
        <v>Nhấp đúp chuột sẽ nhận được phần thưởng, bao gồm 1 Thẻ Biến Hình 3 sao.</v>
      </c>
      <c r="H1046" s="61"/>
      <c r="I1046" s="61"/>
      <c r="J1046" s="61"/>
    </row>
    <row r="1047" ht="21.0" customHeight="1">
      <c r="A1047" s="5">
        <v>17.0</v>
      </c>
      <c r="B1047" s="6">
        <v>543.0</v>
      </c>
      <c r="C1047" s="6">
        <v>1.0</v>
      </c>
      <c r="D1047" s="16" t="s">
        <v>970</v>
      </c>
      <c r="E1047" s="9" t="s">
        <v>958</v>
      </c>
      <c r="F1047" s="8" t="str">
        <f>IFERROR(__xludf.DUMMYFUNCTION("GOOGLETRANSLATE(D1047,""zh-CN"",""vi"")"),"Rương lựa chọn tinh thể ma thuật 5")</f>
        <v>Rương lựa chọn tinh thể ma thuật 5</v>
      </c>
      <c r="G1047" s="8" t="str">
        <f>IFERROR(__xludf.DUMMYFUNCTION("GOOGLETRANSLATE(E1047,""zh-CN"",""vi"")"),"Nhấp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47" s="8"/>
      <c r="I1047" s="8"/>
      <c r="J1047" s="8"/>
    </row>
    <row r="1048" ht="21.0" customHeight="1">
      <c r="A1048" s="5">
        <v>17.0</v>
      </c>
      <c r="B1048" s="6">
        <v>543.0</v>
      </c>
      <c r="C1048" s="6">
        <v>1.0</v>
      </c>
      <c r="D1048" s="16" t="s">
        <v>971</v>
      </c>
      <c r="E1048" s="9" t="s">
        <v>958</v>
      </c>
      <c r="F1048" s="8" t="str">
        <f>IFERROR(__xludf.DUMMYFUNCTION("GOOGLETRANSLATE(D1048,""zh-CN"",""vi"")"),"Rương lựa chọn tinh thể ma thuật 6")</f>
        <v>Rương lựa chọn tinh thể ma thuật 6</v>
      </c>
      <c r="G1048" s="8" t="str">
        <f>IFERROR(__xludf.DUMMYFUNCTION("GOOGLETRANSLATE(E1048,""zh-CN"",""vi"")"),"Nhấp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48" s="8"/>
      <c r="I1048" s="8"/>
      <c r="J1048" s="8"/>
    </row>
    <row r="1049" ht="21.0" customHeight="1">
      <c r="A1049" s="57">
        <v>14.0</v>
      </c>
      <c r="B1049" s="58">
        <v>1.0</v>
      </c>
      <c r="C1049" s="58">
        <v>1.0</v>
      </c>
      <c r="D1049" s="59" t="s">
        <v>935</v>
      </c>
      <c r="E1049" s="60" t="s">
        <v>972</v>
      </c>
      <c r="F1049" s="8" t="str">
        <f>IFERROR(__xludf.DUMMYFUNCTION("GOOGLETRANSLATE(D1049,""zh-CN"",""vi"")"),"Bộ quà tặng thiệp dành cho mẹ")</f>
        <v>Bộ quà tặng thiệp dành cho mẹ</v>
      </c>
      <c r="G1049" s="8" t="str">
        <f>IFERROR(__xludf.DUMMYFUNCTION("GOOGLETRANSLATE(E1049,""zh-CN"",""vi"")"),"Nhấp đúp chuột sẽ tạo ra phần thưởng; bạn có thể nhận được tổng cộng 16 thẻ đổi thưởng thông thường.")</f>
        <v>Nhấp đúp chuột sẽ tạo ra phần thưởng; bạn có thể nhận được tổng cộng 16 thẻ đổi thưởng thông thường.</v>
      </c>
      <c r="H1049" s="61"/>
      <c r="I1049" s="61"/>
      <c r="J1049" s="61"/>
    </row>
    <row r="1050" ht="21.0" customHeight="1">
      <c r="A1050" s="57">
        <v>14.0</v>
      </c>
      <c r="B1050" s="58">
        <v>1.0</v>
      </c>
      <c r="C1050" s="58">
        <v>1.0</v>
      </c>
      <c r="D1050" s="59" t="s">
        <v>937</v>
      </c>
      <c r="E1050" s="60" t="s">
        <v>973</v>
      </c>
      <c r="F1050" s="8" t="str">
        <f>IFERROR(__xludf.DUMMYFUNCTION("GOOGLETRANSLATE(D1050,""zh-CN"",""vi"")"),"Bộ quà tặng thiệp dành cho mẹ")</f>
        <v>Bộ quà tặng thiệp dành cho mẹ</v>
      </c>
      <c r="G1050" s="8" t="str">
        <f>IFERROR(__xludf.DUMMYFUNCTION("GOOGLETRANSLATE(E1050,""zh-CN"",""vi"")"),"Nhấp đúp chuột sẽ nhận được phần thưởng; tổng cộng có thể nhận được 64 thẻ đổi thưởng thông thường.")</f>
        <v>Nhấp đúp chuột sẽ nhận được phần thưởng; tổng cộng có thể nhận được 64 thẻ đổi thưởng thông thường.</v>
      </c>
      <c r="H1050" s="61"/>
      <c r="I1050" s="61"/>
      <c r="J1050" s="61"/>
    </row>
    <row r="1051" ht="21.0" customHeight="1">
      <c r="A1051" s="57">
        <v>14.0</v>
      </c>
      <c r="B1051" s="58">
        <v>1.0</v>
      </c>
      <c r="C1051" s="58">
        <v>1.0</v>
      </c>
      <c r="D1051" s="59" t="s">
        <v>939</v>
      </c>
      <c r="E1051" s="60" t="s">
        <v>974</v>
      </c>
      <c r="F1051" s="8" t="str">
        <f>IFERROR(__xludf.DUMMYFUNCTION("GOOGLETRANSLATE(D1051,""zh-CN"",""vi"")"),"Bộ quà tặng thẻ VIP dành cho mẹ")</f>
        <v>Bộ quà tặng thẻ VIP dành cho mẹ</v>
      </c>
      <c r="G1051" s="8" t="str">
        <f>IFERROR(__xludf.DUMMYFUNCTION("GOOGLETRANSLATE(E1051,""zh-CN"",""vi"")"),"Nhấp đúp chuột sẽ nhận được phần thưởng; tổng cộng có thể nhận được 16 thẻ đổi thưởng VIP.")</f>
        <v>Nhấp đúp chuột sẽ nhận được phần thưởng; tổng cộng có thể nhận được 16 thẻ đổi thưởng VIP.</v>
      </c>
      <c r="H1051" s="61"/>
      <c r="I1051" s="61"/>
      <c r="J1051" s="61"/>
    </row>
    <row r="1052" ht="21.0" customHeight="1">
      <c r="A1052" s="57">
        <v>14.0</v>
      </c>
      <c r="B1052" s="58">
        <v>1.0</v>
      </c>
      <c r="C1052" s="58">
        <v>1.0</v>
      </c>
      <c r="D1052" s="59" t="s">
        <v>941</v>
      </c>
      <c r="E1052" s="60" t="s">
        <v>975</v>
      </c>
      <c r="F1052" s="8" t="str">
        <f>IFERROR(__xludf.DUMMYFUNCTION("GOOGLETRANSLATE(D1052,""zh-CN"",""vi"")"),"Gói quà tặng thẻ VIP dành cho mẹ")</f>
        <v>Gói quà tặng thẻ VIP dành cho mẹ</v>
      </c>
      <c r="G1052" s="8" t="str">
        <f>IFERROR(__xludf.DUMMYFUNCTION("GOOGLETRANSLATE(E1052,""zh-CN"",""vi"")"),"Nhấp đúp chuột sẽ nhận được phần thưởng; tổng cộng có thể nhận được 64 thẻ đổi thưởng VIP.")</f>
        <v>Nhấp đúp chuột sẽ nhận được phần thưởng; tổng cộng có thể nhận được 64 thẻ đổi thưởng VIP.</v>
      </c>
      <c r="H1052" s="61"/>
      <c r="I1052" s="61"/>
      <c r="J1052" s="61"/>
    </row>
    <row r="1053" ht="21.0" customHeight="1">
      <c r="A1053" s="24">
        <v>20.0</v>
      </c>
      <c r="B1053" s="6">
        <v>1.0</v>
      </c>
      <c r="C1053" s="6">
        <v>1.0</v>
      </c>
      <c r="D1053" s="16" t="s">
        <v>976</v>
      </c>
      <c r="E1053" s="11" t="s">
        <v>325</v>
      </c>
      <c r="F1053" s="8" t="str">
        <f>IFERROR(__xludf.DUMMYFUNCTION("GOOGLETRANSLATE(D1053,""zh-CN"",""vi"")"),"Rương lựa chọn mảnh ghép Elf")</f>
        <v>Rương lựa chọn mảnh ghép Elf</v>
      </c>
      <c r="G1053" s="8" t="str">
        <f>IFERROR(__xludf.DUMMYFUNCTION("GOOGLETRANSLATE(E1053,""zh-CN"",""vi"")"),"Nhấp đúp chuột để mở, chọn phần thưởng, sau đó nhấp vào ô để tạo phần thưởng đã chọn.")</f>
        <v>Nhấp đúp chuột để mở, chọn phần thưởng, sau đó nhấp vào ô để tạo phần thưởng đã chọn.</v>
      </c>
      <c r="H1053" s="8"/>
      <c r="I1053" s="8"/>
      <c r="J1053" s="8"/>
    </row>
    <row r="1054" ht="21.0" customHeight="1">
      <c r="A1054" s="24">
        <v>20.0</v>
      </c>
      <c r="B1054" s="6">
        <v>1.0</v>
      </c>
      <c r="C1054" s="6">
        <v>1.0</v>
      </c>
      <c r="D1054" s="16" t="s">
        <v>977</v>
      </c>
      <c r="E1054" s="11" t="s">
        <v>325</v>
      </c>
      <c r="F1054" s="8" t="str">
        <f>IFERROR(__xludf.DUMMYFUNCTION("GOOGLETRANSLATE(D1054,""zh-CN"",""vi"")"),"Bộ quà tặng sản phẩm chức năng cơ bản")</f>
        <v>Bộ quà tặng sản phẩm chức năng cơ bản</v>
      </c>
      <c r="G1054" s="8" t="str">
        <f>IFERROR(__xludf.DUMMYFUNCTION("GOOGLETRANSLATE(E1054,""zh-CN"",""vi"")"),"Nhấp đúp chuột để mở, chọn phần thưởng, sau đó nhấp vào ô để tạo phần thưởng đã chọn.")</f>
        <v>Nhấp đúp chuột để mở, chọn phần thưởng, sau đó nhấp vào ô để tạo phần thưởng đã chọn.</v>
      </c>
      <c r="H1054" s="8"/>
      <c r="I1054" s="8"/>
      <c r="J1054" s="8"/>
    </row>
    <row r="1055" ht="21.0" customHeight="1">
      <c r="A1055" s="24">
        <v>20.0</v>
      </c>
      <c r="B1055" s="6">
        <v>1.0</v>
      </c>
      <c r="C1055" s="6">
        <v>1.0</v>
      </c>
      <c r="D1055" s="16" t="s">
        <v>978</v>
      </c>
      <c r="E1055" s="11" t="s">
        <v>325</v>
      </c>
      <c r="F1055" s="8" t="str">
        <f>IFERROR(__xludf.DUMMYFUNCTION("GOOGLETRANSLATE(D1055,""zh-CN"",""vi"")"),"Bộ quà tặng sản phẩm chức năng cơ bản")</f>
        <v>Bộ quà tặng sản phẩm chức năng cơ bản</v>
      </c>
      <c r="G1055" s="8" t="str">
        <f>IFERROR(__xludf.DUMMYFUNCTION("GOOGLETRANSLATE(E1055,""zh-CN"",""vi"")"),"Nhấp đúp chuột để mở, chọn phần thưởng, sau đó nhấp vào ô để tạo phần thưởng đã chọn.")</f>
        <v>Nhấp đúp chuột để mở, chọn phần thưởng, sau đó nhấp vào ô để tạo phần thưởng đã chọn.</v>
      </c>
      <c r="H1055" s="8"/>
      <c r="I1055" s="8"/>
      <c r="J1055" s="8"/>
    </row>
    <row r="1056" ht="21.0" customHeight="1">
      <c r="A1056" s="5">
        <v>17.0</v>
      </c>
      <c r="B1056" s="6">
        <v>543.0</v>
      </c>
      <c r="C1056" s="6">
        <v>1.0</v>
      </c>
      <c r="D1056" s="16" t="s">
        <v>979</v>
      </c>
      <c r="E1056" s="9" t="s">
        <v>958</v>
      </c>
      <c r="F1056" s="8" t="str">
        <f>IFERROR(__xludf.DUMMYFUNCTION("GOOGLETRANSLATE(D1056,""zh-CN"",""vi"")"),"Rương lựa chọn tinh thể ma thuật 7")</f>
        <v>Rương lựa chọn tinh thể ma thuật 7</v>
      </c>
      <c r="G1056" s="8" t="str">
        <f>IFERROR(__xludf.DUMMYFUNCTION("GOOGLETRANSLATE(E1056,""zh-CN"",""vi"")"),"Nhấp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56" s="8"/>
      <c r="I1056" s="8"/>
      <c r="J1056" s="8"/>
    </row>
    <row r="1057" ht="21.0" customHeight="1">
      <c r="A1057" s="5">
        <v>17.0</v>
      </c>
      <c r="B1057" s="6">
        <v>543.0</v>
      </c>
      <c r="C1057" s="6">
        <v>1.0</v>
      </c>
      <c r="D1057" s="16" t="s">
        <v>980</v>
      </c>
      <c r="E1057" s="9" t="s">
        <v>958</v>
      </c>
      <c r="F1057" s="8" t="str">
        <f>IFERROR(__xludf.DUMMYFUNCTION("GOOGLETRANSLATE(D1057,""zh-CN"",""vi"")"),"Rương lựa chọn tinh thể ma thuật số 8")</f>
        <v>Rương lựa chọn tinh thể ma thuật số 8</v>
      </c>
      <c r="G1057" s="8" t="str">
        <f>IFERROR(__xludf.DUMMYFUNCTION("GOOGLETRANSLATE(E1057,""zh-CN"",""vi"")"),"Nhấp đúp chuột để chọn phần thưởng; sau khi nhấp chuột, các nguyên liệu sẽ được thêm trực tiếp vào Rương Nguyên Liệu Ảo.")</f>
        <v>Nhấp đúp chuột để chọn phần thưởng; sau khi nhấp chuột, các nguyên liệu sẽ được thêm trực tiếp vào Rương Nguyên Liệu Ảo.</v>
      </c>
      <c r="H1057" s="8"/>
      <c r="I1057" s="8"/>
      <c r="J1057" s="8"/>
    </row>
    <row r="1058" ht="21.0" customHeight="1">
      <c r="A1058" s="30">
        <v>20.0</v>
      </c>
      <c r="B1058" s="31">
        <v>620.0</v>
      </c>
      <c r="C1058" s="31">
        <v>1.0</v>
      </c>
      <c r="D1058" s="34" t="s">
        <v>981</v>
      </c>
      <c r="E1058" s="33" t="s">
        <v>325</v>
      </c>
      <c r="F1058" s="8" t="str">
        <f>IFERROR(__xludf.DUMMYFUNCTION("GOOGLETRANSLATE(D1058,""zh-CN"",""vi"")"),"Bộ quà tặng xây dựng Paradise số 59")</f>
        <v>Bộ quà tặng xây dựng Paradise số 59</v>
      </c>
      <c r="G1058" s="8" t="str">
        <f>IFERROR(__xludf.DUMMYFUNCTION("GOOGLETRANSLATE(E1058,""zh-CN"",""vi"")"),"Nhấp đúp chuột để mở, chọn phần thưởng, sau đó nhấp vào ô để tạo phần thưởng đã chọn.")</f>
        <v>Nhấp đúp chuột để mở, chọn phần thưởng, sau đó nhấp vào ô để tạo phần thưởng đã chọn.</v>
      </c>
      <c r="H1058" s="27"/>
      <c r="I1058" s="27"/>
      <c r="J1058" s="27"/>
    </row>
    <row r="1059" ht="21.0" customHeight="1">
      <c r="A1059" s="30">
        <v>20.0</v>
      </c>
      <c r="B1059" s="31">
        <v>620.0</v>
      </c>
      <c r="C1059" s="31">
        <v>1.0</v>
      </c>
      <c r="D1059" s="34" t="s">
        <v>982</v>
      </c>
      <c r="E1059" s="33" t="s">
        <v>325</v>
      </c>
      <c r="F1059" s="8" t="str">
        <f>IFERROR(__xludf.DUMMYFUNCTION("GOOGLETRANSLATE(D1059,""zh-CN"",""vi"")"),"Bộ quà tặng 109 mô hình công viên giải trí")</f>
        <v>Bộ quà tặng 109 mô hình công viên giải trí</v>
      </c>
      <c r="G1059" s="8" t="str">
        <f>IFERROR(__xludf.DUMMYFUNCTION("GOOGLETRANSLATE(E1059,""zh-CN"",""vi"")"),"Nhấp đúp chuột để mở, chọn phần thưởng, sau đó nhấp vào ô để tạo phần thưởng đã chọn.")</f>
        <v>Nhấp đúp chuột để mở, chọn phần thưởng, sau đó nhấp vào ô để tạo phần thưởng đã chọn.</v>
      </c>
      <c r="H1059" s="27"/>
      <c r="I1059" s="27"/>
      <c r="J1059" s="27"/>
    </row>
    <row r="1060" ht="21.0" customHeight="1">
      <c r="A1060" s="30">
        <v>20.0</v>
      </c>
      <c r="B1060" s="31">
        <v>620.0</v>
      </c>
      <c r="C1060" s="31">
        <v>1.0</v>
      </c>
      <c r="D1060" s="34" t="s">
        <v>983</v>
      </c>
      <c r="E1060" s="33" t="s">
        <v>325</v>
      </c>
      <c r="F1060" s="8" t="str">
        <f>IFERROR(__xludf.DUMMYFUNCTION("GOOGLETRANSLATE(D1060,""zh-CN"",""vi"")"),"Bộ quà tặng xây dựng công viên giải trí 219")</f>
        <v>Bộ quà tặng xây dựng công viên giải trí 219</v>
      </c>
      <c r="G1060" s="8" t="str">
        <f>IFERROR(__xludf.DUMMYFUNCTION("GOOGLETRANSLATE(E1060,""zh-CN"",""vi"")"),"Nhấp đúp chuột để mở, chọn phần thưởng, sau đó nhấp vào ô để tạo phần thưởng đã chọn.")</f>
        <v>Nhấp đúp chuột để mở, chọn phần thưởng, sau đó nhấp vào ô để tạo phần thưởng đã chọn.</v>
      </c>
      <c r="H1060" s="27"/>
      <c r="I1060" s="27"/>
      <c r="J1060" s="27"/>
    </row>
    <row r="1061" ht="21.0" customHeight="1">
      <c r="A1061" s="30">
        <v>20.0</v>
      </c>
      <c r="B1061" s="31">
        <v>620.0</v>
      </c>
      <c r="C1061" s="31">
        <v>1.0</v>
      </c>
      <c r="D1061" s="34" t="s">
        <v>984</v>
      </c>
      <c r="E1061" s="33" t="s">
        <v>325</v>
      </c>
      <c r="F1061" s="8" t="str">
        <f>IFERROR(__xludf.DUMMYFUNCTION("GOOGLETRANSLATE(D1061,""zh-CN"",""vi"")"),"Bộ quà tặng xây dựng công viên giải trí 329")</f>
        <v>Bộ quà tặng xây dựng công viên giải trí 329</v>
      </c>
      <c r="G1061" s="8" t="str">
        <f>IFERROR(__xludf.DUMMYFUNCTION("GOOGLETRANSLATE(E1061,""zh-CN"",""vi"")"),"Nhấp đúp chuột để mở, chọn phần thưởng, sau đó nhấp vào ô để tạo phần thưởng đã chọn.")</f>
        <v>Nhấp đúp chuột để mở, chọn phần thưởng, sau đó nhấp vào ô để tạo phần thưởng đã chọn.</v>
      </c>
      <c r="H1061" s="27"/>
      <c r="I1061" s="27"/>
      <c r="J1061" s="27"/>
    </row>
    <row r="1062" ht="21.0" customHeight="1">
      <c r="A1062" s="30">
        <v>20.0</v>
      </c>
      <c r="B1062" s="31">
        <v>620.0</v>
      </c>
      <c r="C1062" s="31">
        <v>1.0</v>
      </c>
      <c r="D1062" s="34" t="s">
        <v>985</v>
      </c>
      <c r="E1062" s="33" t="s">
        <v>325</v>
      </c>
      <c r="F1062" s="8" t="str">
        <f>IFERROR(__xludf.DUMMYFUNCTION("GOOGLETRANSLATE(D1062,""zh-CN"",""vi"")"),"Bộ quà tặng xây dựng công viên giải trí 509")</f>
        <v>Bộ quà tặng xây dựng công viên giải trí 509</v>
      </c>
      <c r="G1062" s="8" t="str">
        <f>IFERROR(__xludf.DUMMYFUNCTION("GOOGLETRANSLATE(E1062,""zh-CN"",""vi"")"),"Nhấp đúp chuột để mở, chọn phần thưởng, sau đó nhấp vào ô để tạo phần thưởng đã chọn.")</f>
        <v>Nhấp đúp chuột để mở, chọn phần thưởng, sau đó nhấp vào ô để tạo phần thưởng đã chọn.</v>
      </c>
      <c r="H1062" s="27"/>
      <c r="I1062" s="27"/>
      <c r="J1062" s="27"/>
    </row>
    <row r="1063" ht="21.0" customHeight="1">
      <c r="A1063" s="54">
        <v>20.0</v>
      </c>
      <c r="B1063" s="55">
        <v>620.0</v>
      </c>
      <c r="C1063" s="55">
        <v>1.0</v>
      </c>
      <c r="D1063" s="56" t="s">
        <v>986</v>
      </c>
      <c r="E1063" s="19" t="s">
        <v>325</v>
      </c>
      <c r="F1063" s="8" t="str">
        <f>IFERROR(__xludf.DUMMYFUNCTION("GOOGLETRANSLATE(D1063,""zh-CN"",""vi"")"),"Bộ quà tặng 39 mô hình công viên giải trí")</f>
        <v>Bộ quà tặng 39 mô hình công viên giải trí</v>
      </c>
      <c r="G1063" s="8" t="str">
        <f>IFERROR(__xludf.DUMMYFUNCTION("GOOGLETRANSLATE(E1063,""zh-CN"",""vi"")"),"Nhấp đúp chuột để mở, chọn phần thưởng, sau đó nhấp vào ô để tạo phần thưởng đã chọn.")</f>
        <v>Nhấp đúp chuột để mở, chọn phần thưởng, sau đó nhấp vào ô để tạo phần thưởng đã chọn.</v>
      </c>
      <c r="H1063" s="20"/>
      <c r="I1063" s="20"/>
      <c r="J1063" s="20"/>
    </row>
    <row r="1064" ht="21.0" customHeight="1">
      <c r="A1064" s="54">
        <v>20.0</v>
      </c>
      <c r="B1064" s="55">
        <v>620.0</v>
      </c>
      <c r="C1064" s="55">
        <v>1.0</v>
      </c>
      <c r="D1064" s="56" t="s">
        <v>987</v>
      </c>
      <c r="E1064" s="19" t="s">
        <v>325</v>
      </c>
      <c r="F1064" s="8" t="str">
        <f>IFERROR(__xludf.DUMMYFUNCTION("GOOGLETRANSLATE(D1064,""zh-CN"",""vi"")"),"Bộ quà tặng xây dựng Paradise số 99")</f>
        <v>Bộ quà tặng xây dựng Paradise số 99</v>
      </c>
      <c r="G1064" s="8" t="str">
        <f>IFERROR(__xludf.DUMMYFUNCTION("GOOGLETRANSLATE(E1064,""zh-CN"",""vi"")"),"Nhấp đúp chuột để mở, chọn phần thưởng, sau đó nhấp vào ô để tạo phần thưởng đã chọn.")</f>
        <v>Nhấp đúp chuột để mở, chọn phần thưởng, sau đó nhấp vào ô để tạo phần thưởng đã chọn.</v>
      </c>
      <c r="H1064" s="20"/>
      <c r="I1064" s="20"/>
      <c r="J1064" s="20"/>
    </row>
    <row r="1065" ht="21.0" customHeight="1">
      <c r="A1065" s="54">
        <v>20.0</v>
      </c>
      <c r="B1065" s="55">
        <v>620.0</v>
      </c>
      <c r="C1065" s="55">
        <v>1.0</v>
      </c>
      <c r="D1065" s="56" t="s">
        <v>988</v>
      </c>
      <c r="E1065" s="19" t="s">
        <v>325</v>
      </c>
      <c r="F1065" s="8" t="str">
        <f>IFERROR(__xludf.DUMMYFUNCTION("GOOGLETRANSLATE(D1065,""zh-CN"",""vi"")"),"Bộ quà tặng xây dựng công viên giải trí 269 món")</f>
        <v>Bộ quà tặng xây dựng công viên giải trí 269 món</v>
      </c>
      <c r="G1065" s="8" t="str">
        <f>IFERROR(__xludf.DUMMYFUNCTION("GOOGLETRANSLATE(E1065,""zh-CN"",""vi"")"),"Nhấp đúp chuột để mở, chọn phần thưởng, sau đó nhấp vào ô để tạo phần thưởng đã chọn.")</f>
        <v>Nhấp đúp chuột để mở, chọn phần thưởng, sau đó nhấp vào ô để tạo phần thưởng đã chọn.</v>
      </c>
      <c r="H1065" s="20"/>
      <c r="I1065" s="20"/>
      <c r="J1065" s="20"/>
    </row>
    <row r="1066" ht="21.0" customHeight="1">
      <c r="A1066" s="54">
        <v>20.0</v>
      </c>
      <c r="B1066" s="55">
        <v>620.0</v>
      </c>
      <c r="C1066" s="55">
        <v>1.0</v>
      </c>
      <c r="D1066" s="56" t="s">
        <v>989</v>
      </c>
      <c r="E1066" s="19" t="s">
        <v>325</v>
      </c>
      <c r="F1066" s="8" t="str">
        <f>IFERROR(__xludf.DUMMYFUNCTION("GOOGLETRANSLATE(D1066,""zh-CN"",""vi"")"),"Bộ quà tặng xây dựng công viên giải trí 529")</f>
        <v>Bộ quà tặng xây dựng công viên giải trí 529</v>
      </c>
      <c r="G1066" s="8" t="str">
        <f>IFERROR(__xludf.DUMMYFUNCTION("GOOGLETRANSLATE(E1066,""zh-CN"",""vi"")"),"Nhấp đúp chuột để mở, chọn phần thưởng, sau đó nhấp vào ô để tạo phần thưởng đã chọn.")</f>
        <v>Nhấp đúp chuột để mở, chọn phần thưởng, sau đó nhấp vào ô để tạo phần thưởng đã chọn.</v>
      </c>
      <c r="H1066" s="20"/>
      <c r="I1066" s="20"/>
      <c r="J1066" s="20"/>
    </row>
    <row r="1067" ht="21.0" customHeight="1">
      <c r="A1067" s="5">
        <v>7.0</v>
      </c>
      <c r="B1067" s="6">
        <v>701.0</v>
      </c>
      <c r="C1067" s="6">
        <v>1.0</v>
      </c>
      <c r="D1067" s="16" t="s">
        <v>990</v>
      </c>
      <c r="E1067" s="9" t="s">
        <v>991</v>
      </c>
      <c r="F1067" s="8" t="str">
        <f>IFERROR(__xludf.DUMMYFUNCTION("GOOGLETRANSLATE(D1067,""zh-CN"",""vi"")"),"Tăng tốc thêm 5 phút")</f>
        <v>Tăng tốc thêm 5 phút</v>
      </c>
      <c r="G1067" s="8" t="str">
        <f>IFERROR(__xludf.DUMMYFUNCTION("GOOGLETRANSLATE(E1067,""zh-CN"",""vi"")"),"Kéo nó về phía cây trồng chính sẽ ngay lập tức tăng tốc độ trong 5 phút.")</f>
        <v>Kéo nó về phía cây trồng chính sẽ ngay lập tức tăng tốc độ trong 5 phút.</v>
      </c>
      <c r="H1067" s="8"/>
      <c r="I1067" s="8"/>
      <c r="J1067" s="8"/>
    </row>
    <row r="1068" ht="21.0" customHeight="1">
      <c r="A1068" s="5">
        <v>7.0</v>
      </c>
      <c r="B1068" s="6">
        <v>702.0</v>
      </c>
      <c r="C1068" s="6">
        <v>1.0</v>
      </c>
      <c r="D1068" s="16" t="s">
        <v>992</v>
      </c>
      <c r="E1068" s="9" t="s">
        <v>993</v>
      </c>
      <c r="F1068" s="8" t="str">
        <f>IFERROR(__xludf.DUMMYFUNCTION("GOOGLETRANSLATE(D1068,""zh-CN"",""vi"")"),"Tăng tốc thêm 10 phút")</f>
        <v>Tăng tốc thêm 10 phút</v>
      </c>
      <c r="G1068" s="8" t="str">
        <f>IFERROR(__xludf.DUMMYFUNCTION("GOOGLETRANSLATE(E1068,""zh-CN"",""vi"")"),"Kéo nó về phía cây mẹ sẽ ngay lập tức tăng tốc độ trong 10 phút.")</f>
        <v>Kéo nó về phía cây mẹ sẽ ngay lập tức tăng tốc độ trong 10 phút.</v>
      </c>
      <c r="H1068" s="8"/>
      <c r="I1068" s="8"/>
      <c r="J1068" s="8"/>
    </row>
    <row r="1069" ht="21.0" customHeight="1">
      <c r="A1069" s="5">
        <v>7.0</v>
      </c>
      <c r="B1069" s="6">
        <v>703.0</v>
      </c>
      <c r="C1069" s="6">
        <v>1.0</v>
      </c>
      <c r="D1069" s="16" t="s">
        <v>994</v>
      </c>
      <c r="E1069" s="9" t="s">
        <v>995</v>
      </c>
      <c r="F1069" s="8" t="str">
        <f>IFERROR(__xludf.DUMMYFUNCTION("GOOGLETRANSLATE(D1069,""zh-CN"",""vi"")"),"Tăng tốc thêm 2 phút")</f>
        <v>Tăng tốc thêm 2 phút</v>
      </c>
      <c r="G1069" s="8" t="str">
        <f>IFERROR(__xludf.DUMMYFUNCTION("GOOGLETRANSLATE(E1069,""zh-CN"",""vi"")"),"Kéo nó về phía cây trồng chính sẽ ngay lập tức tăng tốc độ cho nó thêm 2 phút.")</f>
        <v>Kéo nó về phía cây trồng chính sẽ ngay lập tức tăng tốc độ cho nó thêm 2 phút.</v>
      </c>
      <c r="H1069" s="8"/>
      <c r="I1069" s="8"/>
      <c r="J1069" s="8"/>
    </row>
    <row r="1070" ht="21.0" customHeight="1">
      <c r="A1070" s="5">
        <v>7.0</v>
      </c>
      <c r="B1070" s="6">
        <v>704.0</v>
      </c>
      <c r="C1070" s="6">
        <v>1.0</v>
      </c>
      <c r="D1070" s="16" t="s">
        <v>996</v>
      </c>
      <c r="E1070" s="9" t="s">
        <v>997</v>
      </c>
      <c r="F1070" s="8" t="str">
        <f>IFERROR(__xludf.DUMMYFUNCTION("GOOGLETRANSLATE(D1070,""zh-CN"",""vi"")"),"Tăng tốc thêm 3 phút")</f>
        <v>Tăng tốc thêm 3 phút</v>
      </c>
      <c r="G1070" s="8" t="str">
        <f>IFERROR(__xludf.DUMMYFUNCTION("GOOGLETRANSLATE(E1070,""zh-CN"",""vi"")"),"Kéo nó về phía cây trồng chính sẽ ngay lập tức tăng tốc độ cho nó thêm 3 phút.")</f>
        <v>Kéo nó về phía cây trồng chính sẽ ngay lập tức tăng tốc độ cho nó thêm 3 phút.</v>
      </c>
      <c r="H1070" s="8"/>
      <c r="I1070" s="8"/>
      <c r="J1070" s="8"/>
    </row>
    <row r="1071" ht="21.0" customHeight="1">
      <c r="A1071" s="17">
        <v>22.0</v>
      </c>
      <c r="B1071" s="18">
        <v>705.0</v>
      </c>
      <c r="C1071" s="18">
        <v>1.0</v>
      </c>
      <c r="D1071" s="56" t="s">
        <v>998</v>
      </c>
      <c r="E1071" s="19" t="s">
        <v>999</v>
      </c>
      <c r="F1071" s="8" t="str">
        <f>IFERROR(__xludf.DUMMYFUNCTION("GOOGLETRANSLATE(D1071,""zh-CN"",""vi"")"),"Máy gia tốc chính")</f>
        <v>Máy gia tốc chính</v>
      </c>
      <c r="G1071" s="8" t="str">
        <f>IFERROR(__xludf.DUMMYFUNCTION("GOOGLETRANSLATE(E1071,""zh-CN"",""vi"")"),"Kéo về phía tàu mẹ để tăng tốc, kéo về phía bộ tăng tốc khác để hợp nhất, và bạn có thể cung cấp cho nó các vật phẩm tăng tốc.")</f>
        <v>Kéo về phía tàu mẹ để tăng tốc, kéo về phía bộ tăng tốc khác để hợp nhất, và bạn có thể cung cấp cho nó các vật phẩm tăng tốc.</v>
      </c>
      <c r="H1071" s="20"/>
      <c r="I1071" s="20"/>
      <c r="J1071" s="20"/>
    </row>
    <row r="1072" ht="21.0" customHeight="1">
      <c r="A1072" s="17">
        <v>22.0</v>
      </c>
      <c r="B1072" s="18">
        <v>705.0</v>
      </c>
      <c r="C1072" s="18">
        <v>2.0</v>
      </c>
      <c r="D1072" s="56" t="s">
        <v>1000</v>
      </c>
      <c r="E1072" s="19" t="s">
        <v>999</v>
      </c>
      <c r="F1072" s="8" t="str">
        <f>IFERROR(__xludf.DUMMYFUNCTION("GOOGLETRANSLATE(D1072,""zh-CN"",""vi"")"),"máy gia tốc trung gian")</f>
        <v>máy gia tốc trung gian</v>
      </c>
      <c r="G1072" s="8" t="str">
        <f>IFERROR(__xludf.DUMMYFUNCTION("GOOGLETRANSLATE(E1072,""zh-CN"",""vi"")"),"Kéo về phía tàu mẹ để tăng tốc, kéo về phía bộ tăng tốc khác để hợp nhất, và bạn có thể cung cấp cho nó các vật phẩm tăng tốc.")</f>
        <v>Kéo về phía tàu mẹ để tăng tốc, kéo về phía bộ tăng tốc khác để hợp nhất, và bạn có thể cung cấp cho nó các vật phẩm tăng tốc.</v>
      </c>
      <c r="H1072" s="20"/>
      <c r="I1072" s="20"/>
      <c r="J1072" s="20"/>
    </row>
    <row r="1073" ht="21.0" customHeight="1">
      <c r="A1073" s="17">
        <v>22.0</v>
      </c>
      <c r="B1073" s="18">
        <v>705.0</v>
      </c>
      <c r="C1073" s="18">
        <v>3.0</v>
      </c>
      <c r="D1073" s="56" t="s">
        <v>1001</v>
      </c>
      <c r="E1073" s="19" t="s">
        <v>999</v>
      </c>
      <c r="F1073" s="8" t="str">
        <f>IFERROR(__xludf.DUMMYFUNCTION("GOOGLETRANSLATE(D1073,""zh-CN"",""vi"")"),"Bộ tăng tốc tiên tiến")</f>
        <v>Bộ tăng tốc tiên tiến</v>
      </c>
      <c r="G1073" s="8" t="str">
        <f>IFERROR(__xludf.DUMMYFUNCTION("GOOGLETRANSLATE(E1073,""zh-CN"",""vi"")"),"Kéo về phía tàu mẹ để tăng tốc, kéo về phía bộ tăng tốc khác để hợp nhất, và bạn có thể cung cấp cho nó các vật phẩm tăng tốc.")</f>
        <v>Kéo về phía tàu mẹ để tăng tốc, kéo về phía bộ tăng tốc khác để hợp nhất, và bạn có thể cung cấp cho nó các vật phẩm tăng tốc.</v>
      </c>
      <c r="H1073" s="20"/>
      <c r="I1073" s="20"/>
      <c r="J1073" s="20"/>
    </row>
    <row r="1074" ht="21.0" customHeight="1">
      <c r="A1074" s="17">
        <v>20.0</v>
      </c>
      <c r="B1074" s="18">
        <v>706.0</v>
      </c>
      <c r="C1074" s="18">
        <v>1.0</v>
      </c>
      <c r="D1074" s="56" t="s">
        <v>1002</v>
      </c>
      <c r="E1074" s="19" t="s">
        <v>325</v>
      </c>
      <c r="F1074" s="8" t="str">
        <f>IFERROR(__xludf.DUMMYFUNCTION("GOOGLETRANSLATE(D1074,""zh-CN"",""vi"")"),"Gói chức năng cơ bản")</f>
        <v>Gói chức năng cơ bản</v>
      </c>
      <c r="G1074" s="8" t="str">
        <f>IFERROR(__xludf.DUMMYFUNCTION("GOOGLETRANSLATE(E1074,""zh-CN"",""vi"")"),"Nhấp đúp chuột để mở, chọn phần thưởng, sau đó nhấp vào ô để tạo phần thưởng đã chọn.")</f>
        <v>Nhấp đúp chuột để mở, chọn phần thưởng, sau đó nhấp vào ô để tạo phần thưởng đã chọn.</v>
      </c>
      <c r="H1074" s="20"/>
      <c r="I1074" s="20"/>
      <c r="J1074" s="20"/>
    </row>
    <row r="1075" ht="21.0" customHeight="1">
      <c r="A1075" s="17">
        <v>20.0</v>
      </c>
      <c r="B1075" s="18">
        <v>706.0</v>
      </c>
      <c r="C1075" s="18">
        <v>1.0</v>
      </c>
      <c r="D1075" s="56" t="s">
        <v>1003</v>
      </c>
      <c r="E1075" s="19" t="s">
        <v>325</v>
      </c>
      <c r="F1075" s="8" t="str">
        <f>IFERROR(__xludf.DUMMYFUNCTION("GOOGLETRANSLATE(D1075,""zh-CN"",""vi"")"),"Gói chức năng trung cấp")</f>
        <v>Gói chức năng trung cấp</v>
      </c>
      <c r="G1075" s="8" t="str">
        <f>IFERROR(__xludf.DUMMYFUNCTION("GOOGLETRANSLATE(E1075,""zh-CN"",""vi"")"),"Nhấp đúp chuột để mở, chọn phần thưởng, sau đó nhấp vào ô để tạo phần thưởng đã chọn.")</f>
        <v>Nhấp đúp chuột để mở, chọn phần thưởng, sau đó nhấp vào ô để tạo phần thưởng đã chọn.</v>
      </c>
      <c r="H1075" s="20"/>
      <c r="I1075" s="20"/>
      <c r="J1075" s="20"/>
    </row>
    <row r="1076" ht="21.0" customHeight="1">
      <c r="A1076" s="17">
        <v>20.0</v>
      </c>
      <c r="B1076" s="18">
        <v>706.0</v>
      </c>
      <c r="C1076" s="18">
        <v>1.0</v>
      </c>
      <c r="D1076" s="56" t="s">
        <v>1004</v>
      </c>
      <c r="E1076" s="19" t="s">
        <v>325</v>
      </c>
      <c r="F1076" s="8" t="str">
        <f>IFERROR(__xludf.DUMMYFUNCTION("GOOGLETRANSLATE(D1076,""zh-CN"",""vi"")"),"Gói tính năng cao cấp")</f>
        <v>Gói tính năng cao cấp</v>
      </c>
      <c r="G1076" s="8" t="str">
        <f>IFERROR(__xludf.DUMMYFUNCTION("GOOGLETRANSLATE(E1076,""zh-CN"",""vi"")"),"Nhấp đúp chuột để mở, chọn phần thưởng, sau đó nhấp vào ô để tạo phần thưởng đã chọn.")</f>
        <v>Nhấp đúp chuột để mở, chọn phần thưởng, sau đó nhấp vào ô để tạo phần thưởng đã chọn.</v>
      </c>
      <c r="H1076" s="20"/>
      <c r="I1076" s="20"/>
      <c r="J1076" s="20"/>
    </row>
    <row r="1077" ht="21.0" customHeight="1">
      <c r="A1077" s="5">
        <v>44.0</v>
      </c>
      <c r="B1077" s="6">
        <v>705.0</v>
      </c>
      <c r="C1077" s="6">
        <v>4.0</v>
      </c>
      <c r="D1077" s="16" t="s">
        <v>1005</v>
      </c>
      <c r="E1077" s="9" t="s">
        <v>1006</v>
      </c>
      <c r="F1077" s="8" t="str">
        <f>IFERROR(__xludf.DUMMYFUNCTION("GOOGLETRANSLATE(D1077,""zh-CN"",""vi"")"),"Siêu tăng tốc")</f>
        <v>Siêu tăng tốc</v>
      </c>
      <c r="G1077" s="8" t="str">
        <f>IFERROR(__xludf.DUMMYFUNCTION("GOOGLETRANSLATE(E1077,""zh-CN"",""vi"")"),"Kéo nó về phía thân chính để tăng tốc; bạn có thể cho nó ăn các vật phẩm tăng tốc và nâng cấp nó.")</f>
        <v>Kéo nó về phía thân chính để tăng tốc; bạn có thể cho nó ăn các vật phẩm tăng tốc và nâng cấp nó.</v>
      </c>
      <c r="H1077" s="8"/>
      <c r="I1077" s="8"/>
      <c r="J1077" s="8"/>
    </row>
    <row r="1078" ht="21.0" customHeight="1">
      <c r="A1078" s="5">
        <v>8.0</v>
      </c>
      <c r="B1078" s="6">
        <v>801.0</v>
      </c>
      <c r="C1078" s="6">
        <v>1.0</v>
      </c>
      <c r="D1078" s="16" t="s">
        <v>1007</v>
      </c>
      <c r="E1078" s="9" t="s">
        <v>1008</v>
      </c>
      <c r="F1078" s="8" t="str">
        <f>IFERROR(__xludf.DUMMYFUNCTION("GOOGLETRANSLATE(D1078,""zh-CN"",""vi"")"),"Tăng thêm 5")</f>
        <v>Tăng thêm 5</v>
      </c>
      <c r="G1078" s="8" t="str">
        <f>IFERROR(__xludf.DUMMYFUNCTION("GOOGLETRANSLATE(E1078,""zh-CN"",""vi"")"),"Kéo nó đến cây trồng chính sẽ ngay lập tức tăng sản lượng lên 5.")</f>
        <v>Kéo nó đến cây trồng chính sẽ ngay lập tức tăng sản lượng lên 5.</v>
      </c>
      <c r="H1078" s="8"/>
      <c r="I1078" s="8"/>
      <c r="J1078" s="8"/>
    </row>
    <row r="1079" ht="21.0" customHeight="1">
      <c r="A1079" s="5">
        <v>8.0</v>
      </c>
      <c r="B1079" s="6">
        <v>802.0</v>
      </c>
      <c r="C1079" s="6">
        <v>1.0</v>
      </c>
      <c r="D1079" s="16" t="s">
        <v>1009</v>
      </c>
      <c r="E1079" s="9" t="s">
        <v>1010</v>
      </c>
      <c r="F1079" s="8" t="str">
        <f>IFERROR(__xludf.DUMMYFUNCTION("GOOGLETRANSLATE(D1079,""zh-CN"",""vi"")"),"Tăng thêm 10")</f>
        <v>Tăng thêm 10</v>
      </c>
      <c r="G1079" s="8" t="str">
        <f>IFERROR(__xludf.DUMMYFUNCTION("GOOGLETRANSLATE(E1079,""zh-CN"",""vi"")"),"Kéo nó đến cây trồng chính sẽ ngay lập tức tăng sản lượng lên 10.")</f>
        <v>Kéo nó đến cây trồng chính sẽ ngay lập tức tăng sản lượng lên 10.</v>
      </c>
      <c r="H1079" s="8"/>
      <c r="I1079" s="8"/>
      <c r="J1079" s="8"/>
    </row>
    <row r="1080" ht="21.0" customHeight="1">
      <c r="A1080" s="5">
        <v>8.0</v>
      </c>
      <c r="B1080" s="6">
        <v>803.0</v>
      </c>
      <c r="C1080" s="6">
        <v>1.0</v>
      </c>
      <c r="D1080" s="16" t="s">
        <v>1011</v>
      </c>
      <c r="E1080" s="9" t="s">
        <v>1012</v>
      </c>
      <c r="F1080" s="8" t="str">
        <f>IFERROR(__xludf.DUMMYFUNCTION("GOOGLETRANSLATE(D1080,""zh-CN"",""vi"")"),"Tăng thêm 20")</f>
        <v>Tăng thêm 20</v>
      </c>
      <c r="G1080" s="8" t="str">
        <f>IFERROR(__xludf.DUMMYFUNCTION("GOOGLETRANSLATE(E1080,""zh-CN"",""vi"")"),"Kéo nó đến cây trồng chính sẽ ngay lập tức tăng sản lượng lên 20.")</f>
        <v>Kéo nó đến cây trồng chính sẽ ngay lập tức tăng sản lượng lên 20.</v>
      </c>
      <c r="H1080" s="8"/>
      <c r="I1080" s="8"/>
      <c r="J1080" s="8"/>
    </row>
    <row r="1081" ht="21.0" customHeight="1">
      <c r="A1081" s="5">
        <v>8.0</v>
      </c>
      <c r="B1081" s="6">
        <v>804.0</v>
      </c>
      <c r="C1081" s="6">
        <v>1.0</v>
      </c>
      <c r="D1081" s="16" t="s">
        <v>1013</v>
      </c>
      <c r="E1081" s="9" t="s">
        <v>1014</v>
      </c>
      <c r="F1081" s="8" t="str">
        <f>IFERROR(__xludf.DUMMYFUNCTION("GOOGLETRANSLATE(D1081,""zh-CN"",""vi"")"),"Tăng thêm 30")</f>
        <v>Tăng thêm 30</v>
      </c>
      <c r="G1081" s="8" t="str">
        <f>IFERROR(__xludf.DUMMYFUNCTION("GOOGLETRANSLATE(E1081,""zh-CN"",""vi"")"),"Kéo nó đến cây trồng chính sẽ ngay lập tức tăng sản lượng lên 30.")</f>
        <v>Kéo nó đến cây trồng chính sẽ ngay lập tức tăng sản lượng lên 30.</v>
      </c>
      <c r="H1081" s="8"/>
      <c r="I1081" s="8"/>
      <c r="J1081" s="8"/>
    </row>
    <row r="1082" ht="21.0" customHeight="1">
      <c r="A1082" s="17">
        <v>23.0</v>
      </c>
      <c r="B1082" s="18">
        <v>805.0</v>
      </c>
      <c r="C1082" s="18">
        <v>1.0</v>
      </c>
      <c r="D1082" s="56" t="s">
        <v>1015</v>
      </c>
      <c r="E1082" s="19" t="s">
        <v>1016</v>
      </c>
      <c r="F1082" s="8" t="str">
        <f>IFERROR(__xludf.DUMMYFUNCTION("GOOGLETRANSLATE(D1082,""zh-CN"",""vi"")"),"Bộ cấp liệu chính")</f>
        <v>Bộ cấp liệu chính</v>
      </c>
      <c r="G1082" s="8" t="str">
        <f>IFERROR(__xludf.DUMMYFUNCTION("GOOGLETRANSLATE(E1082,""zh-CN"",""vi"")"),"Kéo nó về phía mẹ để tăng dung lượng lưu trữ thêm 20, kéo nó về phía máng ăn giống nhau để hợp nhất, và bạn có thể cho nó ăn thức ăn trong máng.")</f>
        <v>Kéo nó về phía mẹ để tăng dung lượng lưu trữ thêm 20, kéo nó về phía máng ăn giống nhau để hợp nhất, và bạn có thể cho nó ăn thức ăn trong máng.</v>
      </c>
      <c r="H1082" s="20"/>
      <c r="I1082" s="20"/>
      <c r="J1082" s="20"/>
    </row>
    <row r="1083" ht="21.0" customHeight="1">
      <c r="A1083" s="17">
        <v>23.0</v>
      </c>
      <c r="B1083" s="18">
        <v>805.0</v>
      </c>
      <c r="C1083" s="18">
        <v>2.0</v>
      </c>
      <c r="D1083" s="56" t="s">
        <v>1017</v>
      </c>
      <c r="E1083" s="19" t="s">
        <v>1016</v>
      </c>
      <c r="F1083" s="8" t="str">
        <f>IFERROR(__xludf.DUMMYFUNCTION("GOOGLETRANSLATE(D1083,""zh-CN"",""vi"")"),"Thiết bị đo trung gian")</f>
        <v>Thiết bị đo trung gian</v>
      </c>
      <c r="G1083" s="8" t="str">
        <f>IFERROR(__xludf.DUMMYFUNCTION("GOOGLETRANSLATE(E1083,""zh-CN"",""vi"")"),"Kéo nó về phía mẹ để tăng dung lượng lưu trữ thêm 20, kéo nó về phía máng ăn giống nhau để hợp nhất, và bạn có thể cho nó ăn thức ăn trong máng.")</f>
        <v>Kéo nó về phía mẹ để tăng dung lượng lưu trữ thêm 20, kéo nó về phía máng ăn giống nhau để hợp nhất, và bạn có thể cho nó ăn thức ăn trong máng.</v>
      </c>
      <c r="H1083" s="20"/>
      <c r="I1083" s="20"/>
      <c r="J1083" s="20"/>
    </row>
    <row r="1084" ht="21.0" customHeight="1">
      <c r="A1084" s="17">
        <v>23.0</v>
      </c>
      <c r="B1084" s="18">
        <v>805.0</v>
      </c>
      <c r="C1084" s="18">
        <v>3.0</v>
      </c>
      <c r="D1084" s="56" t="s">
        <v>1018</v>
      </c>
      <c r="E1084" s="19" t="s">
        <v>1016</v>
      </c>
      <c r="F1084" s="8" t="str">
        <f>IFERROR(__xludf.DUMMYFUNCTION("GOOGLETRANSLATE(D1084,""zh-CN"",""vi"")"),"Bộ cấp liệu thể tích tiên tiến")</f>
        <v>Bộ cấp liệu thể tích tiên tiến</v>
      </c>
      <c r="G1084" s="8" t="str">
        <f>IFERROR(__xludf.DUMMYFUNCTION("GOOGLETRANSLATE(E1084,""zh-CN"",""vi"")"),"Kéo nó về phía mẹ để tăng dung lượng lưu trữ thêm 20, kéo nó về phía máng ăn giống nhau để hợp nhất, và bạn có thể cho nó ăn thức ăn trong máng.")</f>
        <v>Kéo nó về phía mẹ để tăng dung lượng lưu trữ thêm 20, kéo nó về phía máng ăn giống nhau để hợp nhất, và bạn có thể cho nó ăn thức ăn trong máng.</v>
      </c>
      <c r="H1084" s="20"/>
      <c r="I1084" s="20"/>
      <c r="J1084" s="20"/>
    </row>
    <row r="1085" ht="21.0" customHeight="1">
      <c r="A1085" s="5">
        <v>45.0</v>
      </c>
      <c r="B1085" s="6">
        <v>805.0</v>
      </c>
      <c r="C1085" s="6">
        <v>4.0</v>
      </c>
      <c r="D1085" s="16" t="s">
        <v>1019</v>
      </c>
      <c r="E1085" s="9" t="s">
        <v>1020</v>
      </c>
      <c r="F1085" s="8" t="str">
        <f>IFERROR(__xludf.DUMMYFUNCTION("GOOGLETRANSLATE(D1085,""zh-CN"",""vi"")"),"Tăng âm lượng cực mạnh")</f>
        <v>Tăng âm lượng cực mạnh</v>
      </c>
      <c r="G1085" s="8" t="str">
        <f>IFERROR(__xludf.DUMMYFUNCTION("GOOGLETRANSLATE(E1085,""zh-CN"",""vi"")"),"Kéo nó về phía mẹ để tăng dung lượng lưu trữ thêm 20, có thể dùng để cho mẹ ăn các vật phẩm tăng cường và có thể nâng cấp.")</f>
        <v>Kéo nó về phía mẹ để tăng dung lượng lưu trữ thêm 20, có thể dùng để cho mẹ ăn các vật phẩm tăng cường và có thể nâng cấp.</v>
      </c>
      <c r="H1085" s="8"/>
      <c r="I1085" s="8"/>
      <c r="J1085" s="8"/>
    </row>
    <row r="1086" ht="21.0" customHeight="1">
      <c r="A1086" s="5">
        <v>9.0</v>
      </c>
      <c r="B1086" s="6">
        <v>901.0</v>
      </c>
      <c r="C1086" s="6">
        <v>1.0</v>
      </c>
      <c r="D1086" s="16" t="s">
        <v>1021</v>
      </c>
      <c r="E1086" s="9" t="s">
        <v>1022</v>
      </c>
      <c r="F1086" s="8" t="str">
        <f>IFERROR(__xludf.DUMMYFUNCTION("GOOGLETRANSLATE(D1086,""zh-CN"",""vi"")"),"Tách ra")</f>
        <v>Tách ra</v>
      </c>
      <c r="G1086" s="8" t="str">
        <f>IFERROR(__xludf.DUMMYFUNCTION("GOOGLETRANSLATE(E1086,""zh-CN"",""vi"")"),"Kéo một cây trồng sẽ ngay lập tức chia nó thành hai cây trồng cấp thấp hơn.")</f>
        <v>Kéo một cây trồng sẽ ngay lập tức chia nó thành hai cây trồng cấp thấp hơn.</v>
      </c>
      <c r="H1086" s="8"/>
      <c r="I1086" s="8"/>
      <c r="J1086" s="8"/>
    </row>
    <row r="1087" ht="21.0" customHeight="1">
      <c r="A1087" s="17">
        <v>21.0</v>
      </c>
      <c r="B1087" s="18">
        <v>902.0</v>
      </c>
      <c r="C1087" s="18">
        <v>1.0</v>
      </c>
      <c r="D1087" s="56" t="s">
        <v>1023</v>
      </c>
      <c r="E1087" s="19" t="s">
        <v>1024</v>
      </c>
      <c r="F1087" s="8" t="str">
        <f>IFERROR(__xludf.DUMMYFUNCTION("GOOGLETRANSLATE(D1087,""zh-CN"",""vi"")"),"Bộ chia chính")</f>
        <v>Bộ chia chính</v>
      </c>
      <c r="G1087" s="8" t="str">
        <f>IFERROR(__xludf.DUMMYFUNCTION("GOOGLETRANSLATE(E1087,""zh-CN"",""vi"")"),"Kéo chuột để tách cây trồng, kéo chuột để hợp nhất với các bộ phận tách khác, và bạn có thể cho chúng ăn các vật phẩm cần tách.")</f>
        <v>Kéo chuột để tách cây trồng, kéo chuột để hợp nhất với các bộ phận tách khác, và bạn có thể cho chúng ăn các vật phẩm cần tách.</v>
      </c>
      <c r="H1087" s="20"/>
      <c r="I1087" s="20"/>
      <c r="J1087" s="20"/>
    </row>
    <row r="1088" ht="21.0" customHeight="1">
      <c r="A1088" s="17">
        <v>21.0</v>
      </c>
      <c r="B1088" s="18">
        <v>902.0</v>
      </c>
      <c r="C1088" s="18">
        <v>2.0</v>
      </c>
      <c r="D1088" s="56" t="s">
        <v>1025</v>
      </c>
      <c r="E1088" s="19" t="s">
        <v>1024</v>
      </c>
      <c r="F1088" s="8" t="str">
        <f>IFERROR(__xludf.DUMMYFUNCTION("GOOGLETRANSLATE(D1088,""zh-CN"",""vi"")"),"Bộ chia trung gian")</f>
        <v>Bộ chia trung gian</v>
      </c>
      <c r="G1088" s="8" t="str">
        <f>IFERROR(__xludf.DUMMYFUNCTION("GOOGLETRANSLATE(E1088,""zh-CN"",""vi"")"),"Kéo chuột để tách cây trồng, kéo chuột để hợp nhất với các bộ phận tách khác, và bạn có thể cho chúng ăn các vật phẩm cần tách.")</f>
        <v>Kéo chuột để tách cây trồng, kéo chuột để hợp nhất với các bộ phận tách khác, và bạn có thể cho chúng ăn các vật phẩm cần tách.</v>
      </c>
      <c r="H1088" s="20"/>
      <c r="I1088" s="20"/>
      <c r="J1088" s="20"/>
    </row>
    <row r="1089" ht="21.0" customHeight="1">
      <c r="A1089" s="17">
        <v>21.0</v>
      </c>
      <c r="B1089" s="18">
        <v>902.0</v>
      </c>
      <c r="C1089" s="18">
        <v>3.0</v>
      </c>
      <c r="D1089" s="56" t="s">
        <v>1026</v>
      </c>
      <c r="E1089" s="19" t="s">
        <v>1024</v>
      </c>
      <c r="F1089" s="8" t="str">
        <f>IFERROR(__xludf.DUMMYFUNCTION("GOOGLETRANSLATE(D1089,""zh-CN"",""vi"")"),"Bộ chia nâng cao")</f>
        <v>Bộ chia nâng cao</v>
      </c>
      <c r="G1089" s="8" t="str">
        <f>IFERROR(__xludf.DUMMYFUNCTION("GOOGLETRANSLATE(E1089,""zh-CN"",""vi"")"),"Kéo chuột để tách cây trồng, kéo chuột để hợp nhất với các bộ phận tách khác, và bạn có thể cho chúng ăn các vật phẩm cần tách.")</f>
        <v>Kéo chuột để tách cây trồng, kéo chuột để hợp nhất với các bộ phận tách khác, và bạn có thể cho chúng ăn các vật phẩm cần tách.</v>
      </c>
      <c r="H1089" s="20"/>
      <c r="I1089" s="20"/>
      <c r="J1089" s="20"/>
    </row>
    <row r="1090" ht="21.0" customHeight="1">
      <c r="A1090" s="5">
        <v>46.0</v>
      </c>
      <c r="B1090" s="6">
        <v>902.0</v>
      </c>
      <c r="C1090" s="6">
        <v>4.0</v>
      </c>
      <c r="D1090" s="16" t="s">
        <v>1027</v>
      </c>
      <c r="E1090" s="9" t="s">
        <v>1028</v>
      </c>
      <c r="F1090" s="8" t="str">
        <f>IFERROR(__xludf.DUMMYFUNCTION("GOOGLETRANSLATE(D1090,""zh-CN"",""vi"")"),"Siêu chia")</f>
        <v>Siêu chia</v>
      </c>
      <c r="G1090" s="8" t="str">
        <f>IFERROR(__xludf.DUMMYFUNCTION("GOOGLETRANSLATE(E1090,""zh-CN"",""vi"")"),"Kéo cây trồng để chia nhỏ; bạn có thể cho nó ăn các vật phẩm chia nhỏ và nâng cấp nó.")</f>
        <v>Kéo cây trồng để chia nhỏ; bạn có thể cho nó ăn các vật phẩm chia nhỏ và nâng cấp nó.</v>
      </c>
      <c r="H1090" s="8"/>
      <c r="I1090" s="8"/>
      <c r="J1090" s="8"/>
    </row>
    <row r="1091" ht="21.0" customHeight="1">
      <c r="A1091" s="5">
        <v>6.0</v>
      </c>
      <c r="B1091" s="6">
        <v>600.0</v>
      </c>
      <c r="C1091" s="6">
        <v>1.0</v>
      </c>
      <c r="D1091" s="16" t="s">
        <v>603</v>
      </c>
      <c r="E1091" s="9" t="s">
        <v>604</v>
      </c>
      <c r="F1091" s="8" t="str">
        <f>IFERROR(__xludf.DUMMYFUNCTION("GOOGLETRANSLATE(D1091,""zh-CN"",""vi"")"),"Hộp bìa cứng bị rách")</f>
        <v>Hộp bìa cứng bị rách</v>
      </c>
      <c r="G1091" s="8" t="str">
        <f>IFERROR(__xludf.DUMMYFUNCTION("GOOGLETRANSLATE(E1091,""zh-CN"",""vi"")"),"Thùng carton rỗng chỉ có thể được bán để lấy tiền.")</f>
        <v>Thùng carton rỗng chỉ có thể được bán để lấy tiền.</v>
      </c>
      <c r="H1091" s="8"/>
      <c r="I1091" s="8"/>
      <c r="J1091" s="8"/>
    </row>
    <row r="1092" ht="21.0" customHeight="1">
      <c r="A1092" s="5">
        <v>6.0</v>
      </c>
      <c r="B1092" s="6">
        <v>601.0</v>
      </c>
      <c r="C1092" s="6">
        <v>1.0</v>
      </c>
      <c r="D1092" s="16" t="s">
        <v>603</v>
      </c>
      <c r="E1092" s="9" t="s">
        <v>604</v>
      </c>
      <c r="F1092" s="8" t="str">
        <f>IFERROR(__xludf.DUMMYFUNCTION("GOOGLETRANSLATE(D1092,""zh-CN"",""vi"")"),"Hộp bìa cứng bị rách")</f>
        <v>Hộp bìa cứng bị rách</v>
      </c>
      <c r="G1092" s="8" t="str">
        <f>IFERROR(__xludf.DUMMYFUNCTION("GOOGLETRANSLATE(E1092,""zh-CN"",""vi"")"),"Thùng carton rỗng chỉ có thể được bán để lấy tiền.")</f>
        <v>Thùng carton rỗng chỉ có thể được bán để lấy tiền.</v>
      </c>
      <c r="H1092" s="8"/>
      <c r="I1092" s="8"/>
      <c r="J1092" s="8"/>
    </row>
    <row r="1093" ht="21.0" customHeight="1">
      <c r="A1093" s="5">
        <v>6.0</v>
      </c>
      <c r="B1093" s="6">
        <v>602.0</v>
      </c>
      <c r="C1093" s="6">
        <v>1.0</v>
      </c>
      <c r="D1093" s="23" t="s">
        <v>603</v>
      </c>
      <c r="E1093" s="9" t="s">
        <v>604</v>
      </c>
      <c r="F1093" s="8" t="str">
        <f>IFERROR(__xludf.DUMMYFUNCTION("GOOGLETRANSLATE(D1093,""zh-CN"",""vi"")"),"Hộp bìa cứng bị rách")</f>
        <v>Hộp bìa cứng bị rách</v>
      </c>
      <c r="G1093" s="8" t="str">
        <f>IFERROR(__xludf.DUMMYFUNCTION("GOOGLETRANSLATE(E1093,""zh-CN"",""vi"")"),"Thùng carton rỗng chỉ có thể được bán để lấy tiền.")</f>
        <v>Thùng carton rỗng chỉ có thể được bán để lấy tiền.</v>
      </c>
      <c r="H1093" s="8"/>
      <c r="I1093" s="8"/>
      <c r="J1093" s="8"/>
    </row>
    <row r="1094" ht="21.0" customHeight="1">
      <c r="A1094" s="5">
        <v>25.0</v>
      </c>
      <c r="B1094" s="6">
        <v>605.0</v>
      </c>
      <c r="C1094" s="6">
        <v>1.0</v>
      </c>
      <c r="D1094" s="16" t="s">
        <v>1029</v>
      </c>
      <c r="E1094" s="9" t="s">
        <v>1030</v>
      </c>
      <c r="F1094" s="8" t="str">
        <f>IFERROR(__xludf.DUMMYFUNCTION("GOOGLETRANSLATE(D1094,""zh-CN"",""vi"")"),"Thẻ nâng cấp cố định cấp thấp")</f>
        <v>Thẻ nâng cấp cố định cấp thấp</v>
      </c>
      <c r="G1094" s="8" t="str">
        <f>IFERROR(__xludf.DUMMYFUNCTION("GOOGLETRANSLATE(E1094,""zh-CN"",""vi"")"),"Kéo cây trồng con ở cấp độ 1-5 sẽ nâng cấp cây trồng đó lên 3 cấp độ.")</f>
        <v>Kéo cây trồng con ở cấp độ 1-5 sẽ nâng cấp cây trồng đó lên 3 cấp độ.</v>
      </c>
      <c r="H1094" s="8"/>
      <c r="I1094" s="8"/>
      <c r="J1094" s="8"/>
    </row>
    <row r="1095" ht="21.0" customHeight="1">
      <c r="A1095" s="5">
        <v>26.0</v>
      </c>
      <c r="B1095" s="6">
        <v>606.0</v>
      </c>
      <c r="C1095" s="6">
        <v>1.0</v>
      </c>
      <c r="D1095" s="16" t="s">
        <v>1031</v>
      </c>
      <c r="E1095" s="9" t="s">
        <v>1032</v>
      </c>
      <c r="F1095" s="8" t="str">
        <f>IFERROR(__xludf.DUMMYFUNCTION("GOOGLETRANSLATE(D1095,""zh-CN"",""vi"")"),"Thẻ nâng cấp ngẫu nhiên cấp thấp")</f>
        <v>Thẻ nâng cấp ngẫu nhiên cấp thấp</v>
      </c>
      <c r="G1095" s="8" t="str">
        <f>IFERROR(__xludf.DUMMYFUNCTION("GOOGLETRANSLATE(E1095,""zh-CN"",""vi"")"),"Việc kéo một cây trồng con cấp độ 1-5 sẽ ngẫu nhiên tăng cấp độ của cây trồng đó lên 1-3.")</f>
        <v>Việc kéo một cây trồng con cấp độ 1-5 sẽ ngẫu nhiên tăng cấp độ của cây trồng đó lên 1-3.</v>
      </c>
      <c r="H1095" s="8"/>
      <c r="I1095" s="8"/>
      <c r="J1095" s="8"/>
    </row>
    <row r="1096" ht="21.0" customHeight="1">
      <c r="A1096" s="5">
        <v>24.0</v>
      </c>
      <c r="B1096" s="6">
        <v>604.0</v>
      </c>
      <c r="C1096" s="6">
        <v>1.0</v>
      </c>
      <c r="D1096" s="16" t="s">
        <v>1033</v>
      </c>
      <c r="E1096" s="9" t="s">
        <v>1034</v>
      </c>
      <c r="F1096" s="8" t="str">
        <f>IFERROR(__xludf.DUMMYFUNCTION("GOOGLETRANSLATE(D1096,""zh-CN"",""vi"")"),"kính vạn hoa")</f>
        <v>kính vạn hoa</v>
      </c>
      <c r="G1096" s="8" t="str">
        <f>IFERROR(__xludf.DUMMYFUNCTION("GOOGLETRANSLATE(E1096,""zh-CN"",""vi"")"),"Kéo một cây trồng con chưa đạt cấp độ tối đa sẽ nâng cấp cây trồng đó lên 1 cấp.")</f>
        <v>Kéo một cây trồng con chưa đạt cấp độ tối đa sẽ nâng cấp cây trồng đó lên 1 cấp.</v>
      </c>
      <c r="H1096" s="8"/>
      <c r="I1096" s="8"/>
      <c r="J1096" s="8"/>
    </row>
    <row r="1097" ht="21.0" customHeight="1">
      <c r="A1097" s="5">
        <v>25.0</v>
      </c>
      <c r="B1097" s="6">
        <v>609.0</v>
      </c>
      <c r="C1097" s="6">
        <v>1.0</v>
      </c>
      <c r="D1097" s="16" t="s">
        <v>1035</v>
      </c>
      <c r="E1097" s="9" t="s">
        <v>1036</v>
      </c>
      <c r="F1097" s="8" t="str">
        <f>IFERROR(__xludf.DUMMYFUNCTION("GOOGLETRANSLATE(D1097,""zh-CN"",""vi"")"),"Thẻ nâng cấp cố định trung cấp")</f>
        <v>Thẻ nâng cấp cố định trung cấp</v>
      </c>
      <c r="G1097" s="8" t="str">
        <f>IFERROR(__xludf.DUMMYFUNCTION("GOOGLETRANSLATE(E1097,""zh-CN"",""vi"")"),"Kéo cây trồng con ở cấp độ 1-8 sẽ nâng cấp cây trồng đó lên 2 cấp độ.")</f>
        <v>Kéo cây trồng con ở cấp độ 1-8 sẽ nâng cấp cây trồng đó lên 2 cấp độ.</v>
      </c>
      <c r="H1097" s="8"/>
      <c r="I1097" s="8"/>
      <c r="J1097" s="8"/>
    </row>
    <row r="1098" ht="21.0" customHeight="1">
      <c r="A1098" s="5">
        <v>26.0</v>
      </c>
      <c r="B1098" s="6">
        <v>610.0</v>
      </c>
      <c r="C1098" s="6">
        <v>1.0</v>
      </c>
      <c r="D1098" s="16" t="s">
        <v>1037</v>
      </c>
      <c r="E1098" s="9" t="s">
        <v>1038</v>
      </c>
      <c r="F1098" s="8" t="str">
        <f>IFERROR(__xludf.DUMMYFUNCTION("GOOGLETRANSLATE(D1098,""zh-CN"",""vi"")"),"Thẻ nâng cấp ngẫu nhiên trung cấp")</f>
        <v>Thẻ nâng cấp ngẫu nhiên trung cấp</v>
      </c>
      <c r="G1098" s="8" t="str">
        <f>IFERROR(__xludf.DUMMYFUNCTION("GOOGLETRANSLATE(E1098,""zh-CN"",""vi"")"),"Việc kéo một cây trồng con có cấp độ từ 1 đến 8 sẽ ngẫu nhiên tăng cấp độ của cây trồng đó lên 1-2.")</f>
        <v>Việc kéo một cây trồng con có cấp độ từ 1 đến 8 sẽ ngẫu nhiên tăng cấp độ của cây trồng đó lên 1-2.</v>
      </c>
      <c r="H1098" s="8"/>
      <c r="I1098" s="8"/>
      <c r="J1098" s="8"/>
    </row>
    <row r="1099" ht="21.0" customHeight="1">
      <c r="A1099" s="5">
        <v>11.0</v>
      </c>
      <c r="B1099" s="6">
        <v>1001.0</v>
      </c>
      <c r="C1099" s="6">
        <v>1.0</v>
      </c>
      <c r="D1099" s="9" t="s">
        <v>1039</v>
      </c>
      <c r="E1099" s="9" t="s">
        <v>1040</v>
      </c>
      <c r="F1099" s="8" t="str">
        <f>IFERROR(__xludf.DUMMYFUNCTION("GOOGLETRANSLATE(D1099,""zh-CN"",""vi"")"),"Luống hoa đầu tiên")</f>
        <v>Luống hoa đầu tiên</v>
      </c>
      <c r="G1099" s="8" t="str">
        <f>IFERROR(__xludf.DUMMYFUNCTION("GOOGLETRANSLATE(E1099,""zh-CN"",""vi"")"),"Ban đầu nó có thể chỉ là một viên gạch. Nâng cấp nó lên cấp độ 5 sẽ cho ra sản phẩm cuối cùng.")</f>
        <v>Ban đầu nó có thể chỉ là một viên gạch. Nâng cấp nó lên cấp độ 5 sẽ cho ra sản phẩm cuối cùng.</v>
      </c>
      <c r="H1099" s="8"/>
      <c r="I1099" s="8"/>
      <c r="J1099" s="8"/>
    </row>
    <row r="1100" ht="21.0" customHeight="1">
      <c r="A1100" s="5">
        <v>11.0</v>
      </c>
      <c r="B1100" s="6">
        <v>1001.0</v>
      </c>
      <c r="C1100" s="6">
        <v>2.0</v>
      </c>
      <c r="D1100" s="9" t="s">
        <v>1041</v>
      </c>
      <c r="E1100" s="9" t="s">
        <v>1042</v>
      </c>
      <c r="F1100" s="8" t="str">
        <f>IFERROR(__xludf.DUMMYFUNCTION("GOOGLETRANSLATE(D1100,""zh-CN"",""vi"")"),"Luống hoa bị nứt")</f>
        <v>Luống hoa bị nứt</v>
      </c>
      <c r="G1100" s="8" t="str">
        <f>IFERROR(__xludf.DUMMYFUNCTION("GOOGLETRANSLATE(E1100,""zh-CN"",""vi"")"),"Luống hoa bị hỏng cần được sửa chữa. Tổng hợp nó lên cấp độ 5 sẽ thu được cây trồng chính.")</f>
        <v>Luống hoa bị hỏng cần được sửa chữa. Tổng hợp nó lên cấp độ 5 sẽ thu được cây trồng chính.</v>
      </c>
      <c r="H1100" s="8"/>
      <c r="I1100" s="8"/>
      <c r="J1100" s="8"/>
    </row>
    <row r="1101" ht="21.0" customHeight="1">
      <c r="A1101" s="5">
        <v>11.0</v>
      </c>
      <c r="B1101" s="6">
        <v>1001.0</v>
      </c>
      <c r="C1101" s="6">
        <v>3.0</v>
      </c>
      <c r="D1101" s="9" t="s">
        <v>1043</v>
      </c>
      <c r="E1101" s="9" t="s">
        <v>1044</v>
      </c>
      <c r="F1101" s="8" t="str">
        <f>IFERROR(__xludf.DUMMYFUNCTION("GOOGLETRANSLATE(D1101,""zh-CN"",""vi"")"),"Hoàn thiện luống hoa")</f>
        <v>Hoàn thiện luống hoa</v>
      </c>
      <c r="G1101" s="8" t="str">
        <f>IFERROR(__xludf.DUMMYFUNCTION("GOOGLETRANSLATE(E1101,""zh-CN"",""vi"")"),"Một luống hoa đã được sửa chữa và tô màu lại. Tổng hợp nó lên cấp độ 5 sẽ cho ra cây trồng gốc.")</f>
        <v>Một luống hoa đã được sửa chữa và tô màu lại. Tổng hợp nó lên cấp độ 5 sẽ cho ra cây trồng gốc.</v>
      </c>
      <c r="H1101" s="8"/>
      <c r="I1101" s="8"/>
      <c r="J1101" s="8"/>
    </row>
    <row r="1102" ht="21.0" customHeight="1">
      <c r="A1102" s="5">
        <v>11.0</v>
      </c>
      <c r="B1102" s="6">
        <v>1001.0</v>
      </c>
      <c r="C1102" s="6">
        <v>4.0</v>
      </c>
      <c r="D1102" s="9" t="s">
        <v>1045</v>
      </c>
      <c r="E1102" s="9" t="s">
        <v>1046</v>
      </c>
      <c r="F1102" s="8" t="str">
        <f>IFERROR(__xludf.DUMMYFUNCTION("GOOGLETRANSLATE(D1102,""zh-CN"",""vi"")"),"Những chồi non mới nở trong luống hoa")</f>
        <v>Những chồi non mới nở trong luống hoa</v>
      </c>
      <c r="G1102" s="8" t="str">
        <f>IFERROR(__xludf.DUMMYFUNCTION("GOOGLETRANSLATE(E1102,""zh-CN"",""vi"")"),"Một chồi non lặng lẽ nhú lên từ luống hoa. Tổng hợp nó lên cấp độ 5 sẽ cho ra cây mẹ.")</f>
        <v>Một chồi non lặng lẽ nhú lên từ luống hoa. Tổng hợp nó lên cấp độ 5 sẽ cho ra cây mẹ.</v>
      </c>
      <c r="H1102" s="8"/>
      <c r="I1102" s="8"/>
      <c r="J1102" s="8"/>
    </row>
    <row r="1103" ht="21.0" customHeight="1">
      <c r="A1103" s="5">
        <v>10.0</v>
      </c>
      <c r="B1103" s="6">
        <v>1001.0</v>
      </c>
      <c r="C1103" s="6">
        <v>5.0</v>
      </c>
      <c r="D1103" s="9" t="s">
        <v>1047</v>
      </c>
      <c r="E1103" s="9" t="s">
        <v>1048</v>
      </c>
      <c r="F1103" s="8" t="str">
        <f>IFERROR(__xludf.DUMMYFUNCTION("GOOGLETRANSLATE(D1103,""zh-CN"",""vi"")"),"Luống hoa")</f>
        <v>Luống hoa</v>
      </c>
      <c r="G1103" s="8" t="str">
        <f>IFERROR(__xludf.DUMMYFUNCTION("GOOGLETRANSLATE(E1103,""zh-CN"",""vi"")"),"Một luống hoa đã được chăm sóc và hiện đang nở rộ. Có thể tạo ra một luống hoa tươi tốt bằng cách kết hợp nhiều loại hoa khác nhau.")</f>
        <v>Một luống hoa đã được chăm sóc và hiện đang nở rộ. Có thể tạo ra một luống hoa tươi tốt bằng cách kết hợp nhiều loại hoa khác nhau.</v>
      </c>
      <c r="H1103" s="8"/>
      <c r="I1103" s="8"/>
      <c r="J1103" s="8"/>
    </row>
    <row r="1104" ht="21.0" customHeight="1">
      <c r="A1104" s="5">
        <v>10.0</v>
      </c>
      <c r="B1104" s="6">
        <v>1001.0</v>
      </c>
      <c r="C1104" s="6">
        <v>6.0</v>
      </c>
      <c r="D1104" s="9" t="s">
        <v>1049</v>
      </c>
      <c r="E1104" s="9" t="s">
        <v>1050</v>
      </c>
      <c r="F1104" s="8" t="str">
        <f>IFERROR(__xludf.DUMMYFUNCTION("GOOGLETRANSLATE(D1104,""zh-CN"",""vi"")"),"Những luống hoa tươi tốt")</f>
        <v>Những luống hoa tươi tốt</v>
      </c>
      <c r="G1104" s="8" t="str">
        <f>IFERROR(__xludf.DUMMYFUNCTION("GOOGLETRANSLATE(E1104,""zh-CN"",""vi"")"),"Luống hoa và hoa, cái nào gắn bó với nhau hơn? Kết hợp cả hai sẽ tạo thành một luống hoa lớn.")</f>
        <v>Luống hoa và hoa, cái nào gắn bó với nhau hơn? Kết hợp cả hai sẽ tạo thành một luống hoa lớn.</v>
      </c>
      <c r="H1104" s="8"/>
      <c r="I1104" s="8"/>
      <c r="J1104" s="8"/>
    </row>
    <row r="1105" ht="21.0" customHeight="1">
      <c r="A1105" s="5">
        <v>10.0</v>
      </c>
      <c r="B1105" s="6">
        <v>1001.0</v>
      </c>
      <c r="C1105" s="6">
        <v>7.0</v>
      </c>
      <c r="D1105" s="9" t="s">
        <v>1051</v>
      </c>
      <c r="E1105" s="9" t="s">
        <v>1052</v>
      </c>
      <c r="F1105" s="8" t="str">
        <f>IFERROR(__xludf.DUMMYFUNCTION("GOOGLETRANSLATE(D1105,""zh-CN"",""vi"")"),"Luống hoa lớn")</f>
        <v>Luống hoa lớn</v>
      </c>
      <c r="G1105" s="8" t="str">
        <f>IFERROR(__xludf.DUMMYFUNCTION("GOOGLETRANSLATE(E1105,""zh-CN"",""vi"")"),"Một luống hoa khổng lồ, món đồ yêu thích của Xiaomei. Việc chế tác nó sẽ tạo ra một luống hoa hình tròn.")</f>
        <v>Một luống hoa khổng lồ, món đồ yêu thích của Xiaomei. Việc chế tác nó sẽ tạo ra một luống hoa hình tròn.</v>
      </c>
      <c r="H1105" s="8"/>
      <c r="I1105" s="8"/>
      <c r="J1105" s="8"/>
    </row>
    <row r="1106" ht="21.0" customHeight="1">
      <c r="A1106" s="5">
        <v>10.0</v>
      </c>
      <c r="B1106" s="6">
        <v>1001.0</v>
      </c>
      <c r="C1106" s="6">
        <v>8.0</v>
      </c>
      <c r="D1106" s="9" t="s">
        <v>1053</v>
      </c>
      <c r="E1106" s="9" t="s">
        <v>1054</v>
      </c>
      <c r="F1106" s="8" t="str">
        <f>IFERROR(__xludf.DUMMYFUNCTION("GOOGLETRANSLATE(D1106,""zh-CN"",""vi"")"),"Luống hoa hình tròn")</f>
        <v>Luống hoa hình tròn</v>
      </c>
      <c r="G1106" s="8" t="str">
        <f>IFERROR(__xludf.DUMMYFUNCTION("GOOGLETRANSLATE(E1106,""zh-CN"",""vi"")"),"Vườn hoa của một gia đình giàu có. Nó đã được nâng cấp lên mức độ cao nhất.")</f>
        <v>Vườn hoa của một gia đình giàu có. Nó đã được nâng cấp lên mức độ cao nhất.</v>
      </c>
      <c r="H1106" s="8"/>
      <c r="I1106" s="8"/>
      <c r="J1106" s="8"/>
    </row>
    <row r="1107" ht="21.0" customHeight="1">
      <c r="A1107" s="5">
        <v>11.0</v>
      </c>
      <c r="B1107" s="6">
        <v>1002.0</v>
      </c>
      <c r="C1107" s="6">
        <v>1.0</v>
      </c>
      <c r="D1107" s="9" t="s">
        <v>1055</v>
      </c>
      <c r="E1107" s="9" t="s">
        <v>1056</v>
      </c>
      <c r="F1107" s="8" t="str">
        <f>IFERROR(__xludf.DUMMYFUNCTION("GOOGLETRANSLATE(D1107,""zh-CN"",""vi"")"),"túi tote")</f>
        <v>túi tote</v>
      </c>
      <c r="G1107" s="8" t="str">
        <f>IFERROR(__xludf.DUMMYFUNCTION("GOOGLETRANSLATE(E1107,""zh-CN"",""vi"")"),"Một chiếc túi tote màu hồng thông thường. Chế tạo nó đến cấp độ 4 sẽ thu được sản phẩm chính.")</f>
        <v>Một chiếc túi tote màu hồng thông thường. Chế tạo nó đến cấp độ 4 sẽ thu được sản phẩm chính.</v>
      </c>
      <c r="H1107" s="8"/>
      <c r="I1107" s="8"/>
      <c r="J1107" s="8"/>
    </row>
    <row r="1108" ht="21.0" customHeight="1">
      <c r="A1108" s="5">
        <v>11.0</v>
      </c>
      <c r="B1108" s="6">
        <v>1002.0</v>
      </c>
      <c r="C1108" s="6">
        <v>2.0</v>
      </c>
      <c r="D1108" s="9" t="s">
        <v>1057</v>
      </c>
      <c r="E1108" s="9" t="s">
        <v>1058</v>
      </c>
      <c r="F1108" s="8" t="str">
        <f>IFERROR(__xludf.DUMMYFUNCTION("GOOGLETRANSLATE(D1108,""zh-CN"",""vi"")"),"túi giấy")</f>
        <v>túi giấy</v>
      </c>
      <c r="G1108" s="8" t="str">
        <f>IFERROR(__xludf.DUMMYFUNCTION("GOOGLETRANSLATE(E1108,""zh-CN"",""vi"")"),"Túi tote giấy. Chế tạo đến cấp độ 4 sẽ thu được sản phẩm chính.")</f>
        <v>Túi tote giấy. Chế tạo đến cấp độ 4 sẽ thu được sản phẩm chính.</v>
      </c>
      <c r="H1108" s="8"/>
      <c r="I1108" s="8"/>
      <c r="J1108" s="8"/>
    </row>
    <row r="1109" ht="21.0" customHeight="1">
      <c r="A1109" s="5">
        <v>11.0</v>
      </c>
      <c r="B1109" s="6">
        <v>1002.0</v>
      </c>
      <c r="C1109" s="6">
        <v>3.0</v>
      </c>
      <c r="D1109" s="9" t="s">
        <v>1059</v>
      </c>
      <c r="E1109" s="9" t="s">
        <v>1060</v>
      </c>
      <c r="F1109" s="8" t="str">
        <f>IFERROR(__xludf.DUMMYFUNCTION("GOOGLETRANSLATE(D1109,""zh-CN"",""vi"")"),"Túi xách cao cấp")</f>
        <v>Túi xách cao cấp</v>
      </c>
      <c r="G1109" s="8" t="str">
        <f>IFERROR(__xludf.DUMMYFUNCTION("GOOGLETRANSLATE(E1109,""zh-CN"",""vi"")"),"Trên bao bì có hình một chú thỏ nhỏ. Tổng hợp nó lên cấp độ 4 sẽ cho ra cây trồng chính.")</f>
        <v>Trên bao bì có hình một chú thỏ nhỏ. Tổng hợp nó lên cấp độ 4 sẽ cho ra cây trồng chính.</v>
      </c>
      <c r="H1109" s="8"/>
      <c r="I1109" s="8"/>
      <c r="J1109" s="8"/>
    </row>
    <row r="1110" ht="21.0" customHeight="1">
      <c r="A1110" s="5">
        <v>10.0</v>
      </c>
      <c r="B1110" s="6">
        <v>1002.0</v>
      </c>
      <c r="C1110" s="6">
        <v>4.0</v>
      </c>
      <c r="D1110" s="9" t="s">
        <v>1061</v>
      </c>
      <c r="E1110" s="9" t="s">
        <v>1062</v>
      </c>
      <c r="F1110" s="8" t="str">
        <f>IFERROR(__xludf.DUMMYFUNCTION("GOOGLETRANSLATE(D1110,""zh-CN"",""vi"")"),"Túi tote hình gấu")</f>
        <v>Túi tote hình gấu</v>
      </c>
      <c r="G1110" s="8" t="str">
        <f>IFERROR(__xludf.DUMMYFUNCTION("GOOGLETRANSLATE(E1110,""zh-CN"",""vi"")"),"Chiếc túi tote có chứa gấu bông của Xiaomei. Kết hợp chúng lại để tạo thành một chiếc túi đeo vai.")</f>
        <v>Chiếc túi tote có chứa gấu bông của Xiaomei. Kết hợp chúng lại để tạo thành một chiếc túi đeo vai.</v>
      </c>
      <c r="H1110" s="8"/>
      <c r="I1110" s="8"/>
      <c r="J1110" s="8"/>
    </row>
    <row r="1111" ht="21.0" customHeight="1">
      <c r="A1111" s="5">
        <v>10.0</v>
      </c>
      <c r="B1111" s="6">
        <v>1002.0</v>
      </c>
      <c r="C1111" s="6">
        <v>5.0</v>
      </c>
      <c r="D1111" s="9" t="s">
        <v>1063</v>
      </c>
      <c r="E1111" s="9" t="s">
        <v>1064</v>
      </c>
      <c r="F1111" s="8" t="str">
        <f>IFERROR(__xludf.DUMMYFUNCTION("GOOGLETRANSLATE(D1111,""zh-CN"",""vi"")"),"túi đeo chéo")</f>
        <v>túi đeo chéo</v>
      </c>
      <c r="G1111" s="8" t="str">
        <f>IFERROR(__xludf.DUMMYFUNCTION("GOOGLETRANSLATE(E1111,""zh-CN"",""vi"")"),"Một cái đầu thỏ nhỏ ló ra. Kết hợp chúng lại để tạo thành một chiếc túi xách tinh tế.")</f>
        <v>Một cái đầu thỏ nhỏ ló ra. Kết hợp chúng lại để tạo thành một chiếc túi xách tinh tế.</v>
      </c>
      <c r="H1111" s="8"/>
      <c r="I1111" s="8"/>
      <c r="J1111" s="8"/>
    </row>
    <row r="1112" ht="21.0" customHeight="1">
      <c r="A1112" s="5">
        <v>10.0</v>
      </c>
      <c r="B1112" s="6">
        <v>1002.0</v>
      </c>
      <c r="C1112" s="6">
        <v>6.0</v>
      </c>
      <c r="D1112" s="9" t="s">
        <v>1065</v>
      </c>
      <c r="E1112" s="9" t="s">
        <v>1066</v>
      </c>
      <c r="F1112" s="8" t="str">
        <f>IFERROR(__xludf.DUMMYFUNCTION("GOOGLETRANSLATE(D1112,""zh-CN"",""vi"")"),"Túi đeo chéo tinh tế")</f>
        <v>Túi đeo chéo tinh tế</v>
      </c>
      <c r="G1112" s="8" t="str">
        <f>IFERROR(__xludf.DUMMYFUNCTION("GOOGLETRANSLATE(E1112,""zh-CN"",""vi"")"),"Một chiếc túi xách nhỏ nhắn với quai xách thoải mái. Hãy chế tác nó để có được một chiếc xe đẩy mua sắm.")</f>
        <v>Một chiếc túi xách nhỏ nhắn với quai xách thoải mái. Hãy chế tác nó để có được một chiếc xe đẩy mua sắm.</v>
      </c>
      <c r="H1112" s="8"/>
      <c r="I1112" s="8"/>
      <c r="J1112" s="8"/>
    </row>
    <row r="1113" ht="21.0" customHeight="1">
      <c r="A1113" s="6">
        <v>10.0</v>
      </c>
      <c r="B1113" s="6">
        <v>1002.0</v>
      </c>
      <c r="C1113" s="6">
        <v>7.0</v>
      </c>
      <c r="D1113" s="9" t="s">
        <v>1067</v>
      </c>
      <c r="E1113" s="9" t="s">
        <v>1068</v>
      </c>
      <c r="F1113" s="8" t="str">
        <f>IFERROR(__xludf.DUMMYFUNCTION("GOOGLETRANSLATE(D1113,""zh-CN"",""vi"")"),"Giỏ hàng")</f>
        <v>Giỏ hàng</v>
      </c>
      <c r="G1113" s="8" t="str">
        <f>IFERROR(__xludf.DUMMYFUNCTION("GOOGLETRANSLATE(E1113,""zh-CN"",""vi"")"),"Một chiếc xe đẩy mua sắm nhỏ nhắn và tinh tế được thiết kế đặc biệt dành cho Xiaomei. Kết hợp chúng lại để tạo thành một chiếc xe đẩy mua sắm.")</f>
        <v>Một chiếc xe đẩy mua sắm nhỏ nhắn và tinh tế được thiết kế đặc biệt dành cho Xiaomei. Kết hợp chúng lại để tạo thành một chiếc xe đẩy mua sắm.</v>
      </c>
      <c r="H1113" s="8"/>
      <c r="I1113" s="8"/>
      <c r="J1113" s="8"/>
    </row>
    <row r="1114" ht="21.0" customHeight="1">
      <c r="A1114" s="6">
        <v>10.0</v>
      </c>
      <c r="B1114" s="6">
        <v>1002.0</v>
      </c>
      <c r="C1114" s="6">
        <v>8.0</v>
      </c>
      <c r="D1114" s="9" t="s">
        <v>1069</v>
      </c>
      <c r="E1114" s="9" t="s">
        <v>1070</v>
      </c>
      <c r="F1114" s="8" t="str">
        <f>IFERROR(__xludf.DUMMYFUNCTION("GOOGLETRANSLATE(D1114,""zh-CN"",""vi"")"),"giỏ hàng")</f>
        <v>giỏ hàng</v>
      </c>
      <c r="G1114" s="8" t="str">
        <f>IFERROR(__xludf.DUMMYFUNCTION("GOOGLETRANSLATE(E1114,""zh-CN"",""vi"")"),"Một chiếc xe đẩy mua sắm thường thấy ở các siêu thị gần đó. Chế tạo nó sẽ tạo ra một chiếc xe đẩy đồ chơi.")</f>
        <v>Một chiếc xe đẩy mua sắm thường thấy ở các siêu thị gần đó. Chế tạo nó sẽ tạo ra một chiếc xe đẩy đồ chơi.</v>
      </c>
      <c r="H1114" s="8"/>
      <c r="I1114" s="8"/>
      <c r="J1114" s="8"/>
    </row>
    <row r="1115" ht="21.0" customHeight="1">
      <c r="A1115" s="6">
        <v>10.0</v>
      </c>
      <c r="B1115" s="6">
        <v>1002.0</v>
      </c>
      <c r="C1115" s="6">
        <v>9.0</v>
      </c>
      <c r="D1115" s="9" t="s">
        <v>1071</v>
      </c>
      <c r="E1115" s="9" t="s">
        <v>1072</v>
      </c>
      <c r="F1115" s="8" t="str">
        <f>IFERROR(__xludf.DUMMYFUNCTION("GOOGLETRANSLATE(D1115,""zh-CN"",""vi"")"),"xe đẩy đồ chơi")</f>
        <v>xe đẩy đồ chơi</v>
      </c>
      <c r="G1115" s="8" t="str">
        <f>IFERROR(__xludf.DUMMYFUNCTION("GOOGLETRANSLATE(E1115,""zh-CN"",""vi"")"),"Một chiếc xe đẩy nhỏ chất đầy đồ chơi. Nó đã được nâng cấp lên cấp độ cao nhất.")</f>
        <v>Một chiếc xe đẩy nhỏ chất đầy đồ chơi. Nó đã được nâng cấp lên cấp độ cao nhất.</v>
      </c>
      <c r="H1115" s="8"/>
      <c r="I1115" s="8"/>
      <c r="J1115" s="8"/>
    </row>
    <row r="1116" ht="21.0" customHeight="1">
      <c r="A1116" s="6">
        <v>11.0</v>
      </c>
      <c r="B1116" s="6">
        <v>1003.0</v>
      </c>
      <c r="C1116" s="6">
        <v>1.0</v>
      </c>
      <c r="D1116" s="9" t="s">
        <v>1073</v>
      </c>
      <c r="E1116" s="9" t="s">
        <v>1074</v>
      </c>
      <c r="F1116" s="8" t="str">
        <f>IFERROR(__xludf.DUMMYFUNCTION("GOOGLETRANSLATE(D1116,""zh-CN"",""vi"")"),"Khăn lau")</f>
        <v>Khăn lau</v>
      </c>
      <c r="G1116" s="8" t="str">
        <f>IFERROR(__xludf.DUMMYFUNCTION("GOOGLETRANSLATE(E1116,""zh-CN"",""vi"")"),"Một chiếc khăn lau đơn giản. Hãy chế tạo nó đến cấp độ 5 để có được cây trồng mẹ.")</f>
        <v>Một chiếc khăn lau đơn giản. Hãy chế tạo nó đến cấp độ 5 để có được cây trồng mẹ.</v>
      </c>
      <c r="H1116" s="8"/>
      <c r="I1116" s="8"/>
      <c r="J1116" s="8"/>
    </row>
    <row r="1117" ht="21.0" customHeight="1">
      <c r="A1117" s="6">
        <v>11.0</v>
      </c>
      <c r="B1117" s="6">
        <v>1003.0</v>
      </c>
      <c r="C1117" s="6">
        <v>2.0</v>
      </c>
      <c r="D1117" s="9" t="s">
        <v>1075</v>
      </c>
      <c r="E1117" s="9" t="s">
        <v>1076</v>
      </c>
      <c r="F1117" s="8" t="str">
        <f>IFERROR(__xludf.DUMMYFUNCTION("GOOGLETRANSLATE(D1117,""zh-CN"",""vi"")"),"xô lau chùi")</f>
        <v>xô lau chùi</v>
      </c>
      <c r="G1117" s="8" t="str">
        <f>IFERROR(__xludf.DUMMYFUNCTION("GOOGLETRANSLATE(E1117,""zh-CN"",""vi"")"),"Một cái xô chứa đầy nước trong. Tổng hợp đến cấp độ 5 để thu được cây trồng gốc.")</f>
        <v>Một cái xô chứa đầy nước trong. Tổng hợp đến cấp độ 5 để thu được cây trồng gốc.</v>
      </c>
      <c r="H1117" s="8"/>
      <c r="I1117" s="8"/>
      <c r="J1117" s="8"/>
    </row>
    <row r="1118" ht="21.0" customHeight="1">
      <c r="A1118" s="6">
        <v>11.0</v>
      </c>
      <c r="B1118" s="6">
        <v>1003.0</v>
      </c>
      <c r="C1118" s="6">
        <v>3.0</v>
      </c>
      <c r="D1118" s="9" t="s">
        <v>1077</v>
      </c>
      <c r="E1118" s="9" t="s">
        <v>1078</v>
      </c>
      <c r="F1118" s="8" t="str">
        <f>IFERROR(__xludf.DUMMYFUNCTION("GOOGLETRANSLATE(D1118,""zh-CN"",""vi"")"),"hốt rác")</f>
        <v>hốt rác</v>
      </c>
      <c r="G1118" s="8" t="str">
        <f>IFERROR(__xludf.DUMMYFUNCTION("GOOGLETRANSLATE(E1118,""zh-CN"",""vi"")"),"Một cái xẻng hốt rác. Chế tạo nó đến cấp độ 5 sẽ tạo ra một cây trồng chính.")</f>
        <v>Một cái xẻng hốt rác. Chế tạo nó đến cấp độ 5 sẽ tạo ra một cây trồng chính.</v>
      </c>
      <c r="H1118" s="8"/>
      <c r="I1118" s="8"/>
      <c r="J1118" s="8"/>
    </row>
    <row r="1119" ht="21.0" customHeight="1">
      <c r="A1119" s="6">
        <v>11.0</v>
      </c>
      <c r="B1119" s="6">
        <v>1003.0</v>
      </c>
      <c r="C1119" s="6">
        <v>4.0</v>
      </c>
      <c r="D1119" s="9" t="s">
        <v>1079</v>
      </c>
      <c r="E1119" s="9" t="s">
        <v>1080</v>
      </c>
      <c r="F1119" s="8" t="str">
        <f>IFERROR(__xludf.DUMMYFUNCTION("GOOGLETRANSLATE(D1119,""zh-CN"",""vi"")"),"cây lau nhà")</f>
        <v>cây lau nhà</v>
      </c>
      <c r="G1119" s="8" t="str">
        <f>IFERROR(__xludf.DUMMYFUNCTION("GOOGLETRANSLATE(E1119,""zh-CN"",""vi"")"),"Chổi lau nhà và xô nước, những trợ thủ đắc lực trong gia đình. Tổng hợp lên cấp 5 để thu được cây trồng chính.")</f>
        <v>Chổi lau nhà và xô nước, những trợ thủ đắc lực trong gia đình. Tổng hợp lên cấp 5 để thu được cây trồng chính.</v>
      </c>
      <c r="H1119" s="8"/>
      <c r="I1119" s="8"/>
      <c r="J1119" s="8"/>
    </row>
    <row r="1120" ht="21.0" customHeight="1">
      <c r="A1120" s="6">
        <v>10.0</v>
      </c>
      <c r="B1120" s="6">
        <v>1003.0</v>
      </c>
      <c r="C1120" s="6">
        <v>5.0</v>
      </c>
      <c r="D1120" s="9" t="s">
        <v>1081</v>
      </c>
      <c r="E1120" s="9" t="s">
        <v>1082</v>
      </c>
      <c r="F1120" s="8" t="str">
        <f>IFERROR(__xludf.DUMMYFUNCTION("GOOGLETRANSLATE(D1120,""zh-CN"",""vi"")"),"xe tải vệ sinh")</f>
        <v>xe tải vệ sinh</v>
      </c>
      <c r="G1120" s="8" t="str">
        <f>IFERROR(__xludf.DUMMYFUNCTION("GOOGLETRANSLATE(E1120,""zh-CN"",""vi"")"),"Một chiếc xe đẩy dùng để đựng đồ dùng vệ sinh. Chế tạo nó sẽ tạo ra một chiếc Xe Đẩy Vệ Sinh Tinh Tế.")</f>
        <v>Một chiếc xe đẩy dùng để đựng đồ dùng vệ sinh. Chế tạo nó sẽ tạo ra một chiếc Xe Đẩy Vệ Sinh Tinh Tế.</v>
      </c>
      <c r="H1120" s="8"/>
      <c r="I1120" s="8"/>
      <c r="J1120" s="8"/>
    </row>
    <row r="1121" ht="21.0" customHeight="1">
      <c r="A1121" s="6">
        <v>10.0</v>
      </c>
      <c r="B1121" s="6">
        <v>1003.0</v>
      </c>
      <c r="C1121" s="6">
        <v>6.0</v>
      </c>
      <c r="D1121" s="9" t="s">
        <v>1083</v>
      </c>
      <c r="E1121" s="9" t="s">
        <v>1084</v>
      </c>
      <c r="F1121" s="8" t="str">
        <f>IFERROR(__xludf.DUMMYFUNCTION("GOOGLETRANSLATE(D1121,""zh-CN"",""vi"")"),"Xe vệ sinh cao cấp")</f>
        <v>Xe vệ sinh cao cấp</v>
      </c>
      <c r="G1121" s="8" t="str">
        <f>IFERROR(__xludf.DUMMYFUNCTION("GOOGLETRANSLATE(E1121,""zh-CN"",""vi"")"),"Một chiếc xe đẩy đựng dụng cụ vệ sinh được thiết kế tốt. Được chế tạo tỉ mỉ, nó có thể được nâng cấp thành một chiếc xe đẩy vệ sinh cao cấp hơn.")</f>
        <v>Một chiếc xe đẩy đựng dụng cụ vệ sinh được thiết kế tốt. Được chế tạo tỉ mỉ, nó có thể được nâng cấp thành một chiếc xe đẩy vệ sinh cao cấp hơn.</v>
      </c>
      <c r="H1121" s="8"/>
      <c r="I1121" s="8"/>
      <c r="J1121" s="8"/>
    </row>
    <row r="1122" ht="21.0" customHeight="1">
      <c r="A1122" s="6">
        <v>10.0</v>
      </c>
      <c r="B1122" s="6">
        <v>1003.0</v>
      </c>
      <c r="C1122" s="6">
        <v>7.0</v>
      </c>
      <c r="D1122" s="9" t="s">
        <v>1085</v>
      </c>
      <c r="E1122" s="9" t="s">
        <v>1086</v>
      </c>
      <c r="F1122" s="8" t="str">
        <f>IFERROR(__xludf.DUMMYFUNCTION("GOOGLETRANSLATE(D1122,""zh-CN"",""vi"")"),"Xe vệ sinh cao cấp")</f>
        <v>Xe vệ sinh cao cấp</v>
      </c>
      <c r="G1122" s="8" t="str">
        <f>IFERROR(__xludf.DUMMYFUNCTION("GOOGLETRANSLATE(E1122,""zh-CN"",""vi"")"),"Xe vệ sinh tiên tiến, được trang bị thùng rác. Có thể chế tạo thành xe vệ sinh kiêm kho chứa đồ.")</f>
        <v>Xe vệ sinh tiên tiến, được trang bị thùng rác. Có thể chế tạo thành xe vệ sinh kiêm kho chứa đồ.</v>
      </c>
      <c r="H1122" s="8"/>
      <c r="I1122" s="8"/>
      <c r="J1122" s="8"/>
    </row>
    <row r="1123" ht="21.0" customHeight="1">
      <c r="A1123" s="6">
        <v>10.0</v>
      </c>
      <c r="B1123" s="6">
        <v>1003.0</v>
      </c>
      <c r="C1123" s="6">
        <v>8.0</v>
      </c>
      <c r="D1123" s="9" t="s">
        <v>1087</v>
      </c>
      <c r="E1123" s="9" t="s">
        <v>1088</v>
      </c>
      <c r="F1123" s="8" t="str">
        <f>IFERROR(__xludf.DUMMYFUNCTION("GOOGLETRANSLATE(D1123,""zh-CN"",""vi"")"),"Xe đẩy vệ sinh và lưu trữ")</f>
        <v>Xe đẩy vệ sinh và lưu trữ</v>
      </c>
      <c r="G1123" s="8" t="str">
        <f>IFERROR(__xludf.DUMMYFUNCTION("GOOGLETRANSLATE(E1123,""zh-CN"",""vi"")"),"Xe đẩy vệ sinh, có hộp đựng dụng cụ vệ sinh. Khi chế tạo sẽ tạo ra một xe đẩy vệ sinh hai tầng.")</f>
        <v>Xe đẩy vệ sinh, có hộp đựng dụng cụ vệ sinh. Khi chế tạo sẽ tạo ra một xe đẩy vệ sinh hai tầng.</v>
      </c>
      <c r="H1123" s="8"/>
      <c r="I1123" s="8"/>
      <c r="J1123" s="8"/>
    </row>
    <row r="1124" ht="21.0" customHeight="1">
      <c r="A1124" s="6">
        <v>10.0</v>
      </c>
      <c r="B1124" s="6">
        <v>1003.0</v>
      </c>
      <c r="C1124" s="6">
        <v>9.0</v>
      </c>
      <c r="D1124" s="9" t="s">
        <v>1089</v>
      </c>
      <c r="E1124" s="9" t="s">
        <v>1090</v>
      </c>
      <c r="F1124" s="8" t="str">
        <f>IFERROR(__xludf.DUMMYFUNCTION("GOOGLETRANSLATE(D1124,""zh-CN"",""vi"")"),"Xe vệ sinh hai lớp")</f>
        <v>Xe vệ sinh hai lớp</v>
      </c>
      <c r="G1124" s="8" t="str">
        <f>IFERROR(__xludf.DUMMYFUNCTION("GOOGLETRANSLATE(E1124,""zh-CN"",""vi"")"),"Xe vệ sinh loại hai tầng. Có thể chế tạo một chiếc xe vệ sinh cao cấp từ nó.")</f>
        <v>Xe vệ sinh loại hai tầng. Có thể chế tạo một chiếc xe vệ sinh cao cấp từ nó.</v>
      </c>
      <c r="H1124" s="8"/>
      <c r="I1124" s="8"/>
      <c r="J1124" s="8"/>
    </row>
    <row r="1125" ht="21.0" customHeight="1">
      <c r="A1125" s="6">
        <v>10.0</v>
      </c>
      <c r="B1125" s="6">
        <v>1003.0</v>
      </c>
      <c r="C1125" s="6">
        <v>10.0</v>
      </c>
      <c r="D1125" s="9" t="s">
        <v>1091</v>
      </c>
      <c r="E1125" s="9" t="s">
        <v>1092</v>
      </c>
      <c r="F1125" s="8" t="str">
        <f>IFERROR(__xludf.DUMMYFUNCTION("GOOGLETRANSLATE(D1125,""zh-CN"",""vi"")"),"Xe dọn dẹp cao cấp")</f>
        <v>Xe dọn dẹp cao cấp</v>
      </c>
      <c r="G1125" s="8" t="str">
        <f>IFERROR(__xludf.DUMMYFUNCTION("GOOGLETRANSLATE(E1125,""zh-CN"",""vi"")"),"Xe đẩy vệ sinh có tích hợp ngăn chứa đồ. Sản phẩm đã được nâng cấp lên mức cao nhất.")</f>
        <v>Xe đẩy vệ sinh có tích hợp ngăn chứa đồ. Sản phẩm đã được nâng cấp lên mức cao nhất.</v>
      </c>
      <c r="H1125" s="8"/>
      <c r="I1125" s="8"/>
      <c r="J1125" s="8"/>
    </row>
    <row r="1126" ht="21.0" customHeight="1">
      <c r="A1126" s="6">
        <v>11.0</v>
      </c>
      <c r="B1126" s="6">
        <v>1004.0</v>
      </c>
      <c r="C1126" s="6">
        <v>1.0</v>
      </c>
      <c r="D1126" s="9" t="s">
        <v>1093</v>
      </c>
      <c r="E1126" s="9" t="s">
        <v>1094</v>
      </c>
      <c r="F1126" s="8" t="str">
        <f>IFERROR(__xludf.DUMMYFUNCTION("GOOGLETRANSLATE(D1126,""zh-CN"",""vi"")"),"cọc giàn dưa")</f>
        <v>cọc giàn dưa</v>
      </c>
      <c r="G1126" s="8" t="str">
        <f>IFERROR(__xludf.DUMMYFUNCTION("GOOGLETRANSLATE(E1126,""zh-CN"",""vi"")"),"Cọc gỗ dùng để làm giàn leo cho dưa. Chế tạo chúng đến cấp độ 5 sẽ cho ra cây dưa mẹ.")</f>
        <v>Cọc gỗ dùng để làm giàn leo cho dưa. Chế tạo chúng đến cấp độ 5 sẽ cho ra cây dưa mẹ.</v>
      </c>
      <c r="H1126" s="8"/>
      <c r="I1126" s="8"/>
      <c r="J1126" s="8"/>
    </row>
    <row r="1127" ht="21.0" customHeight="1">
      <c r="A1127" s="6">
        <v>11.0</v>
      </c>
      <c r="B1127" s="6">
        <v>1004.0</v>
      </c>
      <c r="C1127" s="6">
        <v>2.0</v>
      </c>
      <c r="D1127" s="9" t="s">
        <v>1095</v>
      </c>
      <c r="E1127" s="9" t="s">
        <v>1096</v>
      </c>
      <c r="F1127" s="8" t="str">
        <f>IFERROR(__xludf.DUMMYFUNCTION("GOOGLETRANSLATE(D1127,""zh-CN"",""vi"")"),"Hai cọc gỗ tròn")</f>
        <v>Hai cọc gỗ tròn</v>
      </c>
      <c r="G1127" s="8" t="str">
        <f>IFERROR(__xludf.DUMMYFUNCTION("GOOGLETRANSLATE(E1127,""zh-CN"",""vi"")"),"Hai cọc gỗ buộc lại với nhau. Kết hợp chúng thành cấp độ 5 để thu được cây trồng chính.")</f>
        <v>Hai cọc gỗ buộc lại với nhau. Kết hợp chúng thành cấp độ 5 để thu được cây trồng chính.</v>
      </c>
      <c r="H1127" s="8"/>
      <c r="I1127" s="8"/>
      <c r="J1127" s="8"/>
    </row>
    <row r="1128" ht="21.0" customHeight="1">
      <c r="A1128" s="6">
        <v>11.0</v>
      </c>
      <c r="B1128" s="6">
        <v>1004.0</v>
      </c>
      <c r="C1128" s="6">
        <v>3.0</v>
      </c>
      <c r="D1128" s="9" t="s">
        <v>1097</v>
      </c>
      <c r="E1128" s="9" t="s">
        <v>1098</v>
      </c>
      <c r="F1128" s="8" t="str">
        <f>IFERROR(__xludf.DUMMYFUNCTION("GOOGLETRANSLATE(D1128,""zh-CN"",""vi"")"),"Một đống khúc gỗ")</f>
        <v>Một đống khúc gỗ</v>
      </c>
      <c r="G1128" s="8" t="str">
        <f>IFERROR(__xludf.DUMMYFUNCTION("GOOGLETRANSLATE(E1128,""zh-CN"",""vi"")"),"Một đống khúc gỗ. Kết hợp chúng lại thành cấp độ 5 để thu được cây trồng chính.")</f>
        <v>Một đống khúc gỗ. Kết hợp chúng lại thành cấp độ 5 để thu được cây trồng chính.</v>
      </c>
      <c r="H1128" s="8"/>
      <c r="I1128" s="8"/>
      <c r="J1128" s="8"/>
    </row>
    <row r="1129" ht="19.5" customHeight="1">
      <c r="A1129" s="6">
        <v>11.0</v>
      </c>
      <c r="B1129" s="6">
        <v>1004.0</v>
      </c>
      <c r="C1129" s="6">
        <v>4.0</v>
      </c>
      <c r="D1129" s="9" t="s">
        <v>1099</v>
      </c>
      <c r="E1129" s="9" t="s">
        <v>1100</v>
      </c>
      <c r="F1129" s="8" t="str">
        <f>IFERROR(__xludf.DUMMYFUNCTION("GOOGLETRANSLATE(D1129,""zh-CN"",""vi"")"),"Tấm bảng tên giàn dưa")</f>
        <v>Tấm bảng tên giàn dưa</v>
      </c>
      <c r="G1129" s="8" t="str">
        <f>IFERROR(__xludf.DUMMYFUNCTION("GOOGLETRANSLATE(E1129,""zh-CN"",""vi"")"),"Giàn leo dưa có bảng tên. Tổng hợp nó lên cấp 5 sẽ thu được cây trồng chính.")</f>
        <v>Giàn leo dưa có bảng tên. Tổng hợp nó lên cấp 5 sẽ thu được cây trồng chính.</v>
      </c>
      <c r="H1129" s="8"/>
      <c r="I1129" s="8"/>
      <c r="J1129" s="8"/>
    </row>
    <row r="1130" ht="21.0" customHeight="1">
      <c r="A1130" s="6">
        <v>10.0</v>
      </c>
      <c r="B1130" s="6">
        <v>1004.0</v>
      </c>
      <c r="C1130" s="6">
        <v>5.0</v>
      </c>
      <c r="D1130" s="9" t="s">
        <v>1101</v>
      </c>
      <c r="E1130" s="9" t="s">
        <v>1102</v>
      </c>
      <c r="F1130" s="8" t="str">
        <f>IFERROR(__xludf.DUMMYFUNCTION("GOOGLETRANSLATE(D1130,""zh-CN"",""vi"")"),"Với giàn leo dưa lá")</f>
        <v>Với giàn leo dưa lá</v>
      </c>
      <c r="G1130" s="8" t="str">
        <f>IFERROR(__xludf.DUMMYFUNCTION("GOOGLETRANSLATE(E1130,""zh-CN"",""vi"")"),"Những cụm lá xanh mọc trên giàn dưa. Có thể tạo ra một giàn dưa xanh tươi tốt bằng cách kết hợp chúng.")</f>
        <v>Những cụm lá xanh mọc trên giàn dưa. Có thể tạo ra một giàn dưa xanh tươi tốt bằng cách kết hợp chúng.</v>
      </c>
      <c r="H1130" s="8"/>
      <c r="I1130" s="8"/>
      <c r="J1130" s="8"/>
    </row>
    <row r="1131" ht="21.0" customHeight="1">
      <c r="A1131" s="6">
        <v>10.0</v>
      </c>
      <c r="B1131" s="6">
        <v>1004.0</v>
      </c>
      <c r="C1131" s="6">
        <v>6.0</v>
      </c>
      <c r="D1131" s="9" t="s">
        <v>1103</v>
      </c>
      <c r="E1131" s="9" t="s">
        <v>1104</v>
      </c>
      <c r="F1131" s="8" t="str">
        <f>IFERROR(__xludf.DUMMYFUNCTION("GOOGLETRANSLATE(D1131,""zh-CN"",""vi"")"),"Giàn leo dưa tươi tốt")</f>
        <v>Giàn leo dưa tươi tốt</v>
      </c>
      <c r="G1131" s="8" t="str">
        <f>IFERROR(__xludf.DUMMYFUNCTION("GOOGLETRANSLATE(E1131,""zh-CN"",""vi"")"),"Giàn leo dưa hấu rất rậm rạp, và lá dưa hấu thì xanh tốt. Kết hợp cả hai sẽ tạo nên một giàn leo dưa hấu bội thu.")</f>
        <v>Giàn leo dưa hấu rất rậm rạp, và lá dưa hấu thì xanh tốt. Kết hợp cả hai sẽ tạo nên một giàn leo dưa hấu bội thu.</v>
      </c>
      <c r="H1131" s="8"/>
      <c r="I1131" s="8"/>
      <c r="J1131" s="8"/>
    </row>
    <row r="1132" ht="21.0" customHeight="1">
      <c r="A1132" s="6">
        <v>10.0</v>
      </c>
      <c r="B1132" s="6">
        <v>1004.0</v>
      </c>
      <c r="C1132" s="6">
        <v>7.0</v>
      </c>
      <c r="D1132" s="9" t="s">
        <v>1105</v>
      </c>
      <c r="E1132" s="9" t="s">
        <v>1106</v>
      </c>
      <c r="F1132" s="8" t="str">
        <f>IFERROR(__xludf.DUMMYFUNCTION("GOOGLETRANSLATE(D1132,""zh-CN"",""vi"")"),"Giàn leo dưa hấu thu hoạch")</f>
        <v>Giàn leo dưa hấu thu hoạch</v>
      </c>
      <c r="G1132" s="8" t="str">
        <f>IFERROR(__xludf.DUMMYFUNCTION("GOOGLETRANSLATE(E1132,""zh-CN"",""vi"")"),"Giàn dưa hấu tràn ngập hoa. Nó đã được nâng cấp lên cấp độ cao nhất.")</f>
        <v>Giàn dưa hấu tràn ngập hoa. Nó đã được nâng cấp lên cấp độ cao nhất.</v>
      </c>
      <c r="H1132" s="8"/>
      <c r="I1132" s="8"/>
      <c r="J1132" s="8"/>
    </row>
    <row r="1133" ht="21.0" customHeight="1">
      <c r="A1133" s="6">
        <v>1.0</v>
      </c>
      <c r="B1133" s="6">
        <v>128.0</v>
      </c>
      <c r="C1133" s="6">
        <v>1.0</v>
      </c>
      <c r="D1133" s="9" t="s">
        <v>1107</v>
      </c>
      <c r="E1133" s="9" t="s">
        <v>1108</v>
      </c>
      <c r="F1133" s="8" t="str">
        <f>IFERROR(__xludf.DUMMYFUNCTION("GOOGLETRANSLATE(D1133,""zh-CN"",""vi"")"),"giá đỗ dưa chuột")</f>
        <v>giá đỗ dưa chuột</v>
      </c>
      <c r="G1133" s="8" t="str">
        <f>IFERROR(__xludf.DUMMYFUNCTION("GOOGLETRANSLATE(E1133,""zh-CN"",""vi"")"),"Những dây dưa chuột ngoài đồng đã mọc ra những chồi non. Có thể thu được dây dưa chuột bằng cách chế tạo.")</f>
        <v>Những dây dưa chuột ngoài đồng đã mọc ra những chồi non. Có thể thu được dây dưa chuột bằng cách chế tạo.</v>
      </c>
      <c r="H1133" s="8"/>
      <c r="I1133" s="8"/>
      <c r="J1133" s="8"/>
    </row>
    <row r="1134" ht="21.0" customHeight="1">
      <c r="A1134" s="6">
        <v>1.0</v>
      </c>
      <c r="B1134" s="6">
        <v>128.0</v>
      </c>
      <c r="C1134" s="6">
        <v>2.0</v>
      </c>
      <c r="D1134" s="9" t="s">
        <v>1109</v>
      </c>
      <c r="E1134" s="9" t="s">
        <v>1110</v>
      </c>
      <c r="F1134" s="8" t="str">
        <f>IFERROR(__xludf.DUMMYFUNCTION("GOOGLETRANSLATE(D1134,""zh-CN"",""vi"")"),"dây leo dưa chuột")</f>
        <v>dây leo dưa chuột</v>
      </c>
      <c r="G1134" s="8" t="str">
        <f>IFERROR(__xludf.DUMMYFUNCTION("GOOGLETRANSLATE(E1134,""zh-CN"",""vi"")"),"Dây dưa chuột đang phát triển rất tươi tốt! Có thể tạo hình chúng để cho ra hoa dưa chuột.")</f>
        <v>Dây dưa chuột đang phát triển rất tươi tốt! Có thể tạo hình chúng để cho ra hoa dưa chuột.</v>
      </c>
      <c r="H1134" s="8"/>
      <c r="I1134" s="8"/>
      <c r="J1134" s="8"/>
    </row>
    <row r="1135" ht="21.0" customHeight="1">
      <c r="A1135" s="6">
        <v>1.0</v>
      </c>
      <c r="B1135" s="6">
        <v>128.0</v>
      </c>
      <c r="C1135" s="6">
        <v>3.0</v>
      </c>
      <c r="D1135" s="9" t="s">
        <v>1111</v>
      </c>
      <c r="E1135" s="9" t="s">
        <v>1112</v>
      </c>
      <c r="F1135" s="8" t="str">
        <f>IFERROR(__xludf.DUMMYFUNCTION("GOOGLETRANSLATE(D1135,""zh-CN"",""vi"")"),"hoa dưa chuột")</f>
        <v>hoa dưa chuột</v>
      </c>
      <c r="G1135" s="8" t="str">
        <f>IFERROR(__xludf.DUMMYFUNCTION("GOOGLETRANSLATE(E1135,""zh-CN"",""vi"")"),"Hoa dưa chuột có màu vàng tự nhiên. Thu hoạch chúng sẽ tạo ra một quả dưa chuột.")</f>
        <v>Hoa dưa chuột có màu vàng tự nhiên. Thu hoạch chúng sẽ tạo ra một quả dưa chuột.</v>
      </c>
      <c r="H1135" s="8"/>
      <c r="I1135" s="8"/>
      <c r="J1135" s="8"/>
    </row>
    <row r="1136" ht="21.0" customHeight="1">
      <c r="A1136" s="6">
        <v>1.0</v>
      </c>
      <c r="B1136" s="6">
        <v>128.0</v>
      </c>
      <c r="C1136" s="6">
        <v>4.0</v>
      </c>
      <c r="D1136" s="23" t="s">
        <v>1113</v>
      </c>
      <c r="E1136" s="9" t="s">
        <v>1114</v>
      </c>
      <c r="F1136" s="8" t="str">
        <f>IFERROR(__xludf.DUMMYFUNCTION("GOOGLETRANSLATE(D1136,""zh-CN"",""vi"")"),"Một quả dưa chuột")</f>
        <v>Một quả dưa chuột</v>
      </c>
      <c r="G1136" s="8" t="str">
        <f>IFERROR(__xludf.DUMMYFUNCTION("GOOGLETRANSLATE(E1136,""zh-CN"",""vi"")"),"Hoàn toàn tự nhiên và không ô nhiễm. Dưa chuột và dưa thái lát được chế biến bằng công nghệ tổng hợp.")</f>
        <v>Hoàn toàn tự nhiên và không ô nhiễm. Dưa chuột và dưa thái lát được chế biến bằng công nghệ tổng hợp.</v>
      </c>
      <c r="H1136" s="8"/>
      <c r="I1136" s="8"/>
      <c r="J1136" s="8"/>
    </row>
    <row r="1137" ht="21.0" customHeight="1">
      <c r="A1137" s="6">
        <v>1.0</v>
      </c>
      <c r="B1137" s="6">
        <v>128.0</v>
      </c>
      <c r="C1137" s="6">
        <v>5.0</v>
      </c>
      <c r="D1137" s="9" t="s">
        <v>1115</v>
      </c>
      <c r="E1137" s="9" t="s">
        <v>1116</v>
      </c>
      <c r="F1137" s="8" t="str">
        <f>IFERROR(__xludf.DUMMYFUNCTION("GOOGLETRANSLATE(D1137,""zh-CN"",""vi"")"),"dưa chuột và lát")</f>
        <v>dưa chuột và lát</v>
      </c>
      <c r="G1137" s="8" t="str">
        <f>IFERROR(__xludf.DUMMYFUNCTION("GOOGLETRANSLATE(E1137,""zh-CN"",""vi"")"),"Trông ngon quá. Bạn có thể làm hai quả dưa chuột.")</f>
        <v>Trông ngon quá. Bạn có thể làm hai quả dưa chuột.</v>
      </c>
      <c r="H1137" s="8"/>
      <c r="I1137" s="8"/>
      <c r="J1137" s="8"/>
    </row>
    <row r="1138" ht="21.0" customHeight="1">
      <c r="A1138" s="6">
        <v>1.0</v>
      </c>
      <c r="B1138" s="6">
        <v>128.0</v>
      </c>
      <c r="C1138" s="6">
        <v>6.0</v>
      </c>
      <c r="D1138" s="9" t="s">
        <v>1117</v>
      </c>
      <c r="E1138" s="9" t="s">
        <v>1118</v>
      </c>
      <c r="F1138" s="8" t="str">
        <f>IFERROR(__xludf.DUMMYFUNCTION("GOOGLETRANSLATE(D1138,""zh-CN"",""vi"")"),"Hai quả dưa chuột")</f>
        <v>Hai quả dưa chuột</v>
      </c>
      <c r="G1138" s="8" t="str">
        <f>IFERROR(__xludf.DUMMYFUNCTION("GOOGLETRANSLATE(E1138,""zh-CN"",""vi"")"),"Hai quả dưa chuột là đủ cho Xiaomei ăn một mình. Chúng có thể được kết hợp để tạo thành dưa chuột hoa.")</f>
        <v>Hai quả dưa chuột là đủ cho Xiaomei ăn một mình. Chúng có thể được kết hợp để tạo thành dưa chuột hoa.</v>
      </c>
      <c r="H1138" s="8"/>
      <c r="I1138" s="8"/>
      <c r="J1138" s="8"/>
    </row>
    <row r="1139" ht="21.0" customHeight="1">
      <c r="A1139" s="6">
        <v>1.0</v>
      </c>
      <c r="B1139" s="6">
        <v>128.0</v>
      </c>
      <c r="C1139" s="6">
        <v>7.0</v>
      </c>
      <c r="D1139" s="9" t="s">
        <v>1119</v>
      </c>
      <c r="E1139" s="9" t="s">
        <v>1120</v>
      </c>
      <c r="F1139" s="8" t="str">
        <f>IFERROR(__xludf.DUMMYFUNCTION("GOOGLETRANSLATE(D1139,""zh-CN"",""vi"")"),"Dưa chuột ra hoa")</f>
        <v>Dưa chuột ra hoa</v>
      </c>
      <c r="G1139" s="8" t="str">
        <f>IFERROR(__xludf.DUMMYFUNCTION("GOOGLETRANSLATE(E1139,""zh-CN"",""vi"")"),"Sự kết hợp giữa màu vàng và màu xanh lá cây rất đẹp. Hãy kết hợp chúng để tạo nên một đĩa dưa chuột.")</f>
        <v>Sự kết hợp giữa màu vàng và màu xanh lá cây rất đẹp. Hãy kết hợp chúng để tạo nên một đĩa dưa chuột.</v>
      </c>
      <c r="H1139" s="8"/>
      <c r="I1139" s="8"/>
      <c r="J1139" s="8"/>
    </row>
    <row r="1140" ht="21.0" customHeight="1">
      <c r="A1140" s="6">
        <v>1.0</v>
      </c>
      <c r="B1140" s="6">
        <v>128.0</v>
      </c>
      <c r="C1140" s="6">
        <v>8.0</v>
      </c>
      <c r="D1140" s="23" t="s">
        <v>1121</v>
      </c>
      <c r="E1140" s="9" t="s">
        <v>1122</v>
      </c>
      <c r="F1140" s="8" t="str">
        <f>IFERROR(__xludf.DUMMYFUNCTION("GOOGLETRANSLATE(D1140,""zh-CN"",""vi"")"),"Trang trí dưa chuột")</f>
        <v>Trang trí dưa chuột</v>
      </c>
      <c r="G1140" s="8" t="str">
        <f>IFERROR(__xludf.DUMMYFUNCTION("GOOGLETRANSLATE(E1140,""zh-CN"",""vi"")"),"Nó tốt cho sắc đẹp và sức khỏe làn da. Bạn có thể kết hợp chúng để tạo thành một đĩa dưa chuột.")</f>
        <v>Nó tốt cho sắc đẹp và sức khỏe làn da. Bạn có thể kết hợp chúng để tạo thành một đĩa dưa chuột.</v>
      </c>
      <c r="H1140" s="8"/>
      <c r="I1140" s="8"/>
      <c r="J1140" s="8"/>
    </row>
    <row r="1141" ht="21.0" customHeight="1">
      <c r="A1141" s="6">
        <v>1.0</v>
      </c>
      <c r="B1141" s="6">
        <v>128.0</v>
      </c>
      <c r="C1141" s="6">
        <v>9.0</v>
      </c>
      <c r="D1141" s="9" t="s">
        <v>1123</v>
      </c>
      <c r="E1141" s="9" t="s">
        <v>1124</v>
      </c>
      <c r="F1141" s="8" t="str">
        <f>IFERROR(__xludf.DUMMYFUNCTION("GOOGLETRANSLATE(D1141,""zh-CN"",""vi"")"),"Đĩa dưa chuột")</f>
        <v>Đĩa dưa chuột</v>
      </c>
      <c r="G1141" s="8" t="str">
        <f>IFERROR(__xludf.DUMMYFUNCTION("GOOGLETRANSLATE(E1141,""zh-CN"",""vi"")"),"Khi thêm các loại nước sốt khác nhau, món ăn trông càng ngon miệng hơn. Quá trình chế biến sẽ cho ra dưa chuột đóng hộp.")</f>
        <v>Khi thêm các loại nước sốt khác nhau, món ăn trông càng ngon miệng hơn. Quá trình chế biến sẽ cho ra dưa chuột đóng hộp.</v>
      </c>
      <c r="H1141" s="8"/>
      <c r="I1141" s="8"/>
      <c r="J1141" s="8"/>
    </row>
    <row r="1142" ht="21.0" customHeight="1">
      <c r="A1142" s="6">
        <v>1.0</v>
      </c>
      <c r="B1142" s="6">
        <v>128.0</v>
      </c>
      <c r="C1142" s="6">
        <v>10.0</v>
      </c>
      <c r="D1142" s="9" t="s">
        <v>1125</v>
      </c>
      <c r="E1142" s="9" t="s">
        <v>1126</v>
      </c>
      <c r="F1142" s="8" t="str">
        <f>IFERROR(__xludf.DUMMYFUNCTION("GOOGLETRANSLATE(D1142,""zh-CN"",""vi"")"),"Dưa chuột đóng hộp")</f>
        <v>Dưa chuột đóng hộp</v>
      </c>
      <c r="G1142" s="8" t="str">
        <f>IFERROR(__xludf.DUMMYFUNCTION("GOOGLETRANSLATE(E1142,""zh-CN"",""vi"")"),"Thực phẩm đóng hộp, thưởng thức mọi lúc, mọi nơi! Được nâng cấp lên chất lượng cao nhất.")</f>
        <v>Thực phẩm đóng hộp, thưởng thức mọi lúc, mọi nơi! Được nâng cấp lên chất lượng cao nhất.</v>
      </c>
      <c r="H1142" s="8"/>
      <c r="I1142" s="8"/>
      <c r="J1142" s="8"/>
    </row>
    <row r="1143" ht="21.0" customHeight="1">
      <c r="A1143" s="6">
        <v>11.0</v>
      </c>
      <c r="B1143" s="6">
        <v>1005.0</v>
      </c>
      <c r="C1143" s="6">
        <v>1.0</v>
      </c>
      <c r="D1143" s="9" t="s">
        <v>1127</v>
      </c>
      <c r="E1143" s="9" t="s">
        <v>1128</v>
      </c>
      <c r="F1143" s="8" t="str">
        <f>IFERROR(__xludf.DUMMYFUNCTION("GOOGLETRANSLATE(D1143,""zh-CN"",""vi"")"),"phong bì")</f>
        <v>phong bì</v>
      </c>
      <c r="G1143" s="8" t="str">
        <f>IFERROR(__xludf.DUMMYFUNCTION("GOOGLETRANSLATE(E1143,""zh-CN"",""vi"")"),"Một chiếc phong bì kiểu cũ. Hãy tổng hợp nó lên cấp độ 5 để thu được cây trồng gốc.")</f>
        <v>Một chiếc phong bì kiểu cũ. Hãy tổng hợp nó lên cấp độ 5 để thu được cây trồng gốc.</v>
      </c>
      <c r="H1143" s="8"/>
      <c r="I1143" s="8"/>
      <c r="J1143" s="8"/>
    </row>
    <row r="1144" ht="21.0" customHeight="1">
      <c r="A1144" s="6">
        <v>11.0</v>
      </c>
      <c r="B1144" s="6">
        <v>1005.0</v>
      </c>
      <c r="C1144" s="6">
        <v>2.0</v>
      </c>
      <c r="D1144" s="9" t="s">
        <v>1129</v>
      </c>
      <c r="E1144" s="9" t="s">
        <v>1130</v>
      </c>
      <c r="F1144" s="8" t="str">
        <f>IFERROR(__xludf.DUMMYFUNCTION("GOOGLETRANSLATE(D1144,""zh-CN"",""vi"")"),"Túi giấy Kraft")</f>
        <v>Túi giấy Kraft</v>
      </c>
      <c r="G1144" s="8" t="str">
        <f>IFERROR(__xludf.DUMMYFUNCTION("GOOGLETRANSLATE(E1144,""zh-CN"",""vi"")"),"Bên trong có gì? Tổng hợp nó lên cấp độ 5 sẽ thu được cây trồng chính.")</f>
        <v>Bên trong có gì? Tổng hợp nó lên cấp độ 5 sẽ thu được cây trồng chính.</v>
      </c>
      <c r="H1144" s="8"/>
      <c r="I1144" s="8"/>
      <c r="J1144" s="8"/>
    </row>
    <row r="1145" ht="21.0" customHeight="1">
      <c r="A1145" s="6">
        <v>11.0</v>
      </c>
      <c r="B1145" s="6">
        <v>1005.0</v>
      </c>
      <c r="C1145" s="6">
        <v>3.0</v>
      </c>
      <c r="D1145" s="9" t="s">
        <v>1131</v>
      </c>
      <c r="E1145" s="9" t="s">
        <v>1132</v>
      </c>
      <c r="F1145" s="8" t="str">
        <f>IFERROR(__xludf.DUMMYFUNCTION("GOOGLETRANSLATE(D1145,""zh-CN"",""vi"")"),"Phong bì vận chuyển miễn phí")</f>
        <v>Phong bì vận chuyển miễn phí</v>
      </c>
      <c r="G1145" s="8" t="str">
        <f>IFERROR(__xludf.DUMMYFUNCTION("GOOGLETRANSLATE(E1145,""zh-CN"",""vi"")"),"Miễn phí vận chuyển, đảm bảo giao hàng. Tổng hợp lên cấp 5 để thu được cây trồng gốc.")</f>
        <v>Miễn phí vận chuyển, đảm bảo giao hàng. Tổng hợp lên cấp 5 để thu được cây trồng gốc.</v>
      </c>
      <c r="H1145" s="8"/>
      <c r="I1145" s="8"/>
      <c r="J1145" s="8"/>
    </row>
    <row r="1146" ht="21.0" customHeight="1">
      <c r="A1146" s="6">
        <v>11.0</v>
      </c>
      <c r="B1146" s="6">
        <v>1005.0</v>
      </c>
      <c r="C1146" s="6">
        <v>4.0</v>
      </c>
      <c r="D1146" s="9" t="s">
        <v>1133</v>
      </c>
      <c r="E1146" s="9" t="s">
        <v>1134</v>
      </c>
      <c r="F1146" s="8" t="str">
        <f>IFERROR(__xludf.DUMMYFUNCTION("GOOGLETRANSLATE(D1146,""zh-CN"",""vi"")"),"bao bì bìa cứng")</f>
        <v>bao bì bìa cứng</v>
      </c>
      <c r="G1146" s="8" t="str">
        <f>IFERROR(__xludf.DUMMYFUNCTION("GOOGLETRANSLATE(E1146,""zh-CN"",""vi"")"),"Giấy bìa cứng được sử dụng để đóng gói hàng giao nhanh. Chế tạo nó đến cấp độ 5 sẽ thu được cây trồng mẹ.")</f>
        <v>Giấy bìa cứng được sử dụng để đóng gói hàng giao nhanh. Chế tạo nó đến cấp độ 5 sẽ thu được cây trồng mẹ.</v>
      </c>
      <c r="H1146" s="8"/>
      <c r="I1146" s="8"/>
      <c r="J1146" s="8"/>
    </row>
    <row r="1147" ht="21.0" customHeight="1">
      <c r="A1147" s="6">
        <v>10.0</v>
      </c>
      <c r="B1147" s="6">
        <v>1005.0</v>
      </c>
      <c r="C1147" s="6">
        <v>5.0</v>
      </c>
      <c r="D1147" s="9" t="s">
        <v>1135</v>
      </c>
      <c r="E1147" s="9" t="s">
        <v>1136</v>
      </c>
      <c r="F1147" s="8" t="str">
        <f>IFERROR(__xludf.DUMMYFUNCTION("GOOGLETRANSLATE(D1147,""zh-CN"",""vi"")"),"Thùng carton dùng cho giao hàng nhanh")</f>
        <v>Thùng carton dùng cho giao hàng nhanh</v>
      </c>
      <c r="G1147" s="8" t="str">
        <f>IFERROR(__xludf.DUMMYFUNCTION("GOOGLETRANSLATE(E1147,""zh-CN"",""vi"")"),"Bí mật của Tiểu Mai được giấu bên trong. Có thể thu được một chiếc hộp các tông niêm phong bằng cách kết hợp chúng.")</f>
        <v>Bí mật của Tiểu Mai được giấu bên trong. Có thể thu được một chiếc hộp các tông niêm phong bằng cách kết hợp chúng.</v>
      </c>
      <c r="H1147" s="8"/>
      <c r="I1147" s="8"/>
      <c r="J1147" s="8"/>
    </row>
    <row r="1148" ht="21.0" customHeight="1">
      <c r="A1148" s="6">
        <v>10.0</v>
      </c>
      <c r="B1148" s="6">
        <v>1005.0</v>
      </c>
      <c r="C1148" s="6">
        <v>6.0</v>
      </c>
      <c r="D1148" s="9" t="s">
        <v>1137</v>
      </c>
      <c r="E1148" s="9" t="s">
        <v>1138</v>
      </c>
      <c r="F1148" s="8" t="str">
        <f>IFERROR(__xludf.DUMMYFUNCTION("GOOGLETRANSLATE(D1148,""zh-CN"",""vi"")"),"Thùng carton kín")</f>
        <v>Thùng carton kín</v>
      </c>
      <c r="G1148" s="8" t="str">
        <f>IFERROR(__xludf.DUMMYFUNCTION("GOOGLETRANSLATE(E1148,""zh-CN"",""vi"")"),"Với khả năng bảo vệ ở cả bốn góc, hàng hóa được vận chuyển an toàn. Việc chế tạo các bộ phận này sẽ tạo ra một thùng gỗ đựng hàng.")</f>
        <v>Với khả năng bảo vệ ở cả bốn góc, hàng hóa được vận chuyển an toàn. Việc chế tạo các bộ phận này sẽ tạo ra một thùng gỗ đựng hàng.</v>
      </c>
      <c r="H1148" s="8"/>
      <c r="I1148" s="8"/>
      <c r="J1148" s="8"/>
    </row>
    <row r="1149" ht="21.0" customHeight="1">
      <c r="A1149" s="6">
        <v>10.0</v>
      </c>
      <c r="B1149" s="6">
        <v>1005.0</v>
      </c>
      <c r="C1149" s="6">
        <v>7.0</v>
      </c>
      <c r="D1149" s="9" t="s">
        <v>1139</v>
      </c>
      <c r="E1149" s="9" t="s">
        <v>1140</v>
      </c>
      <c r="F1149" s="8" t="str">
        <f>IFERROR(__xludf.DUMMYFUNCTION("GOOGLETRANSLATE(D1149,""zh-CN"",""vi"")"),"thùng gỗ để giao hàng nhanh")</f>
        <v>thùng gỗ để giao hàng nhanh</v>
      </c>
      <c r="G1149" s="8" t="str">
        <f>IFERROR(__xludf.DUMMYFUNCTION("GOOGLETRANSLATE(E1149,""zh-CN"",""vi"")"),"Một thùng gỗ kín dùng để vận chuyển đồ vật có giá trị. Chế tạo thùng này sẽ tạo ra một tủ đựng bưu kiện bằng kim loại.")</f>
        <v>Một thùng gỗ kín dùng để vận chuyển đồ vật có giá trị. Chế tạo thùng này sẽ tạo ra một tủ đựng bưu kiện bằng kim loại.</v>
      </c>
      <c r="H1149" s="8"/>
      <c r="I1149" s="8"/>
      <c r="J1149" s="8"/>
    </row>
    <row r="1150" ht="21.0" customHeight="1">
      <c r="A1150" s="6">
        <v>10.0</v>
      </c>
      <c r="B1150" s="6">
        <v>1005.0</v>
      </c>
      <c r="C1150" s="6">
        <v>8.0</v>
      </c>
      <c r="D1150" s="9" t="s">
        <v>1141</v>
      </c>
      <c r="E1150" s="9" t="s">
        <v>1142</v>
      </c>
      <c r="F1150" s="8" t="str">
        <f>IFERROR(__xludf.DUMMYFUNCTION("GOOGLETRANSLATE(D1150,""zh-CN"",""vi"")"),"Tủ đựng bưu kiện bằng kim loại")</f>
        <v>Tủ đựng bưu kiện bằng kim loại</v>
      </c>
      <c r="G1150" s="8" t="str">
        <f>IFERROR(__xludf.DUMMYFUNCTION("GOOGLETRANSLATE(E1150,""zh-CN"",""vi"")"),"Chiếc hộp đặc biệt của bà Xiaomei. Nó đã được nâng cấp lên cấp độ cao nhất.")</f>
        <v>Chiếc hộp đặc biệt của bà Xiaomei. Nó đã được nâng cấp lên cấp độ cao nhất.</v>
      </c>
      <c r="H1150" s="8"/>
      <c r="I1150" s="8"/>
      <c r="J1150" s="8"/>
    </row>
    <row r="1151" ht="21.0" customHeight="1">
      <c r="A1151" s="6">
        <v>1.0</v>
      </c>
      <c r="B1151" s="6">
        <v>108.0</v>
      </c>
      <c r="C1151" s="6">
        <v>1.0</v>
      </c>
      <c r="D1151" s="9" t="s">
        <v>1143</v>
      </c>
      <c r="E1151" s="9" t="s">
        <v>1144</v>
      </c>
      <c r="F1151" s="8" t="str">
        <f>IFERROR(__xludf.DUMMYFUNCTION("GOOGLETRANSLATE(D1151,""zh-CN"",""vi"")"),"ổ cắm điện")</f>
        <v>ổ cắm điện</v>
      </c>
      <c r="G1151" s="8" t="str">
        <f>IFERROR(__xludf.DUMMYFUNCTION("GOOGLETRANSLATE(E1151,""zh-CN"",""vi"")"),"Một ổ cắm điện kỳ ​​lạ với bốn lỗ? Có thể chế tạo nó để tạo ra một chiếc đèn pin.")</f>
        <v>Một ổ cắm điện kỳ ​​lạ với bốn lỗ? Có thể chế tạo nó để tạo ra một chiếc đèn pin.</v>
      </c>
      <c r="H1151" s="8"/>
      <c r="I1151" s="8"/>
      <c r="J1151" s="8"/>
    </row>
    <row r="1152" ht="21.0" customHeight="1">
      <c r="A1152" s="6">
        <v>1.0</v>
      </c>
      <c r="B1152" s="6">
        <v>108.0</v>
      </c>
      <c r="C1152" s="6">
        <v>2.0</v>
      </c>
      <c r="D1152" s="9" t="s">
        <v>1145</v>
      </c>
      <c r="E1152" s="9" t="s">
        <v>1146</v>
      </c>
      <c r="F1152" s="8" t="str">
        <f>IFERROR(__xludf.DUMMYFUNCTION("GOOGLETRANSLATE(D1152,""zh-CN"",""vi"")"),"đèn pin")</f>
        <v>đèn pin</v>
      </c>
      <c r="G1152" s="8" t="str">
        <f>IFERROR(__xludf.DUMMYFUNCTION("GOOGLETRANSLATE(E1152,""zh-CN"",""vi"")"),"Nó rất cần thiết vào những đêm mất điện ở sân. Có thể chế tạo nó để có được một ổ cắm điện.")</f>
        <v>Nó rất cần thiết vào những đêm mất điện ở sân. Có thể chế tạo nó để có được một ổ cắm điện.</v>
      </c>
      <c r="H1152" s="8"/>
      <c r="I1152" s="8"/>
      <c r="J1152" s="8"/>
    </row>
    <row r="1153" ht="21.0" customHeight="1">
      <c r="A1153" s="6">
        <v>1.0</v>
      </c>
      <c r="B1153" s="6">
        <v>108.0</v>
      </c>
      <c r="C1153" s="6">
        <v>3.0</v>
      </c>
      <c r="D1153" s="9" t="s">
        <v>1147</v>
      </c>
      <c r="E1153" s="9" t="s">
        <v>1148</v>
      </c>
      <c r="F1153" s="8" t="str">
        <f>IFERROR(__xludf.DUMMYFUNCTION("GOOGLETRANSLATE(D1153,""zh-CN"",""vi"")"),"dây nối dài")</f>
        <v>dây nối dài</v>
      </c>
      <c r="G1153" s="8" t="str">
        <f>IFERROR(__xludf.DUMMYFUNCTION("GOOGLETRANSLATE(E1153,""zh-CN"",""vi"")"),"Một ổ cắm điện đa năng tiên tiến với hai lỗ hình tam giác. Được chế tạo để cắm quạt điện.")</f>
        <v>Một ổ cắm điện đa năng tiên tiến với hai lỗ hình tam giác. Được chế tạo để cắm quạt điện.</v>
      </c>
      <c r="H1153" s="8"/>
      <c r="I1153" s="8"/>
      <c r="J1153" s="8"/>
    </row>
    <row r="1154" ht="21.0" customHeight="1">
      <c r="A1154" s="6">
        <v>1.0</v>
      </c>
      <c r="B1154" s="6">
        <v>108.0</v>
      </c>
      <c r="C1154" s="6">
        <v>4.0</v>
      </c>
      <c r="D1154" s="9" t="s">
        <v>1149</v>
      </c>
      <c r="E1154" s="9" t="s">
        <v>1150</v>
      </c>
      <c r="F1154" s="8" t="str">
        <f>IFERROR(__xludf.DUMMYFUNCTION("GOOGLETRANSLATE(D1154,""zh-CN"",""vi"")"),"quạt điện")</f>
        <v>quạt điện</v>
      </c>
      <c r="G1154" s="8" t="str">
        <f>IFERROR(__xludf.DUMMYFUNCTION("GOOGLETRANSLATE(E1154,""zh-CN"",""vi"")"),"Tiểu Miêu đã sử dụng một chiếc quạt điện kiểu cũ từ lâu. Nó có thể được kết hợp lại để tạo thành một chiếc đèn bàn.")</f>
        <v>Tiểu Miêu đã sử dụng một chiếc quạt điện kiểu cũ từ lâu. Nó có thể được kết hợp lại để tạo thành một chiếc đèn bàn.</v>
      </c>
      <c r="H1154" s="8"/>
      <c r="I1154" s="8"/>
      <c r="J1154" s="8"/>
    </row>
    <row r="1155" ht="21.0" customHeight="1">
      <c r="A1155" s="6">
        <v>1.0</v>
      </c>
      <c r="B1155" s="6">
        <v>108.0</v>
      </c>
      <c r="C1155" s="6">
        <v>5.0</v>
      </c>
      <c r="D1155" s="9" t="s">
        <v>1151</v>
      </c>
      <c r="E1155" s="9" t="s">
        <v>1152</v>
      </c>
      <c r="F1155" s="8" t="str">
        <f>IFERROR(__xludf.DUMMYFUNCTION("GOOGLETRANSLATE(D1155,""zh-CN"",""vi"")"),"đèn bàn")</f>
        <v>đèn bàn</v>
      </c>
      <c r="G1155" s="8" t="str">
        <f>IFERROR(__xludf.DUMMYFUNCTION("GOOGLETRANSLATE(E1155,""zh-CN"",""vi"")"),"Vào một đêm đầy sao, tôi đọc sách dưới ánh đèn. Có thể chế tạo ấm đun nước.")</f>
        <v>Vào một đêm đầy sao, tôi đọc sách dưới ánh đèn. Có thể chế tạo ấm đun nước.</v>
      </c>
      <c r="H1155" s="8"/>
      <c r="I1155" s="8"/>
      <c r="J1155" s="8"/>
    </row>
    <row r="1156" ht="21.0" customHeight="1">
      <c r="A1156" s="6">
        <v>1.0</v>
      </c>
      <c r="B1156" s="6">
        <v>108.0</v>
      </c>
      <c r="C1156" s="6">
        <v>6.0</v>
      </c>
      <c r="D1156" s="9" t="s">
        <v>1153</v>
      </c>
      <c r="E1156" s="9" t="s">
        <v>1154</v>
      </c>
      <c r="F1156" s="8" t="str">
        <f>IFERROR(__xludf.DUMMYFUNCTION("GOOGLETRANSLATE(D1156,""zh-CN"",""vi"")"),"ấm đun nước")</f>
        <v>ấm đun nước</v>
      </c>
      <c r="G1156" s="8" t="str">
        <f>IFERROR(__xludf.DUMMYFUNCTION("GOOGLETRANSLATE(E1156,""zh-CN"",""vi"")"),"Câu mà Xiaomei ghét nhất là, ""Uống thêm nước nóng đi!"" Bạn có thể nhận được một chiếc máy làm bánh mì bằng cách kết hợp những câu này.")</f>
        <v>Câu mà Xiaomei ghét nhất là, "Uống thêm nước nóng đi!" Bạn có thể nhận được một chiếc máy làm bánh mì bằng cách kết hợp những câu này.</v>
      </c>
      <c r="H1156" s="8"/>
      <c r="I1156" s="8"/>
      <c r="J1156" s="8"/>
    </row>
    <row r="1157" ht="21.0" customHeight="1">
      <c r="A1157" s="6">
        <v>1.0</v>
      </c>
      <c r="B1157" s="6">
        <v>108.0</v>
      </c>
      <c r="C1157" s="6">
        <v>7.0</v>
      </c>
      <c r="D1157" s="9" t="s">
        <v>1155</v>
      </c>
      <c r="E1157" s="9" t="s">
        <v>1156</v>
      </c>
      <c r="F1157" s="8" t="str">
        <f>IFERROR(__xludf.DUMMYFUNCTION("GOOGLETRANSLATE(D1157,""zh-CN"",""vi"")"),"máy làm bánh mì")</f>
        <v>máy làm bánh mì</v>
      </c>
      <c r="G1157" s="8" t="str">
        <f>IFERROR(__xludf.DUMMYFUNCTION("GOOGLETRANSLATE(E1157,""zh-CN"",""vi"")"),"Khoảnh khắc bánh mì bật ra khá thú vị. Bạn có thể chế tạo một cái bàn ủi từ nó.")</f>
        <v>Khoảnh khắc bánh mì bật ra khá thú vị. Bạn có thể chế tạo một cái bàn ủi từ nó.</v>
      </c>
      <c r="H1157" s="8"/>
      <c r="I1157" s="8"/>
      <c r="J1157" s="8"/>
    </row>
    <row r="1158" ht="21.0" customHeight="1">
      <c r="A1158" s="6">
        <v>1.0</v>
      </c>
      <c r="B1158" s="6">
        <v>108.0</v>
      </c>
      <c r="C1158" s="6">
        <v>8.0</v>
      </c>
      <c r="D1158" s="9" t="s">
        <v>1157</v>
      </c>
      <c r="E1158" s="9" t="s">
        <v>1158</v>
      </c>
      <c r="F1158" s="8" t="str">
        <f>IFERROR(__xludf.DUMMYFUNCTION("GOOGLETRANSLATE(D1158,""zh-CN"",""vi"")"),"sắt")</f>
        <v>sắt</v>
      </c>
      <c r="G1158" s="8" t="str">
        <f>IFERROR(__xludf.DUMMYFUNCTION("GOOGLETRANSLATE(E1158,""zh-CN"",""vi"")"),"Bà đã quen dùng nó rồi. Có thể tạo ra máy hút bụi robot bằng cách kết hợp các linh kiện.")</f>
        <v>Bà đã quen dùng nó rồi. Có thể tạo ra máy hút bụi robot bằng cách kết hợp các linh kiện.</v>
      </c>
      <c r="H1158" s="8"/>
      <c r="I1158" s="8"/>
      <c r="J1158" s="8"/>
    </row>
    <row r="1159" ht="21.0" customHeight="1">
      <c r="A1159" s="6">
        <v>1.0</v>
      </c>
      <c r="B1159" s="6">
        <v>108.0</v>
      </c>
      <c r="C1159" s="6">
        <v>9.0</v>
      </c>
      <c r="D1159" s="9" t="s">
        <v>1159</v>
      </c>
      <c r="E1159" s="9" t="s">
        <v>1160</v>
      </c>
      <c r="F1159" s="8" t="str">
        <f>IFERROR(__xludf.DUMMYFUNCTION("GOOGLETRANSLATE(D1159,""zh-CN"",""vi"")"),"robot hút bụi")</f>
        <v>robot hút bụi</v>
      </c>
      <c r="G1159" s="8" t="str">
        <f>IFERROR(__xludf.DUMMYFUNCTION("GOOGLETRANSLATE(E1159,""zh-CN"",""vi"")"),"Sẽ thật tuyệt nếu nó có thể nói chuyện. Có thể tạo ra một nồi cơm điện bằng cách kết hợp chúng lại với nhau.")</f>
        <v>Sẽ thật tuyệt nếu nó có thể nói chuyện. Có thể tạo ra một nồi cơm điện bằng cách kết hợp chúng lại với nhau.</v>
      </c>
      <c r="H1159" s="8"/>
      <c r="I1159" s="8"/>
      <c r="J1159" s="8"/>
    </row>
    <row r="1160" ht="21.0" customHeight="1">
      <c r="A1160" s="6">
        <v>1.0</v>
      </c>
      <c r="B1160" s="6">
        <v>108.0</v>
      </c>
      <c r="C1160" s="6">
        <v>10.0</v>
      </c>
      <c r="D1160" s="9" t="s">
        <v>1161</v>
      </c>
      <c r="E1160" s="9" t="s">
        <v>1162</v>
      </c>
      <c r="F1160" s="8" t="str">
        <f>IFERROR(__xludf.DUMMYFUNCTION("GOOGLETRANSLATE(D1160,""zh-CN"",""vi"")"),"nồi cơm điện")</f>
        <v>nồi cơm điện</v>
      </c>
      <c r="G1160" s="8" t="str">
        <f>IFERROR(__xludf.DUMMYFUNCTION("GOOGLETRANSLATE(E1160,""zh-CN"",""vi"")"),"Vật phẩm tối thượng dành cho những ai chỉ muốn ăn. Chế tạo nó để có được lò vi sóng.")</f>
        <v>Vật phẩm tối thượng dành cho những ai chỉ muốn ăn. Chế tạo nó để có được lò vi sóng.</v>
      </c>
      <c r="H1160" s="8"/>
      <c r="I1160" s="8"/>
      <c r="J1160" s="8"/>
    </row>
    <row r="1161" ht="21.0" customHeight="1">
      <c r="A1161" s="6">
        <v>1.0</v>
      </c>
      <c r="B1161" s="6">
        <v>108.0</v>
      </c>
      <c r="C1161" s="6">
        <v>11.0</v>
      </c>
      <c r="D1161" s="9" t="s">
        <v>1163</v>
      </c>
      <c r="E1161" s="9" t="s">
        <v>1164</v>
      </c>
      <c r="F1161" s="8" t="str">
        <f>IFERROR(__xludf.DUMMYFUNCTION("GOOGLETRANSLATE(D1161,""zh-CN"",""vi"")"),"Lò vi sóng")</f>
        <v>Lò vi sóng</v>
      </c>
      <c r="G1161" s="8" t="str">
        <f>IFERROR(__xludf.DUMMYFUNCTION("GOOGLETRANSLATE(E1161,""zh-CN"",""vi"")"),"Âm thanh được mong chờ nhất là tiếng ""ding"". Việc chế tạo này sẽ tạo ra một chiếc nồi chiên không dầu.")</f>
        <v>Âm thanh được mong chờ nhất là tiếng "ding". Việc chế tạo này sẽ tạo ra một chiếc nồi chiên không dầu.</v>
      </c>
      <c r="H1161" s="8"/>
      <c r="I1161" s="8"/>
      <c r="J1161" s="8"/>
    </row>
    <row r="1162" ht="21.0" customHeight="1">
      <c r="A1162" s="6">
        <v>1.0</v>
      </c>
      <c r="B1162" s="6">
        <v>108.0</v>
      </c>
      <c r="C1162" s="6">
        <v>12.0</v>
      </c>
      <c r="D1162" s="9" t="s">
        <v>1165</v>
      </c>
      <c r="E1162" s="9" t="s">
        <v>1166</v>
      </c>
      <c r="F1162" s="8" t="str">
        <f>IFERROR(__xludf.DUMMYFUNCTION("GOOGLETRANSLATE(D1162,""zh-CN"",""vi"")"),"nồi chiên không dầu")</f>
        <v>nồi chiên không dầu</v>
      </c>
      <c r="G1162" s="8" t="str">
        <f>IFERROR(__xludf.DUMMYFUNCTION("GOOGLETRANSLATE(E1162,""zh-CN"",""vi"")"),"Nấu ăn ít dầu là một lối sống lành mạnh. Tổng hợp điều này sẽ tạo ra một chiếc tivi kiểu cũ.")</f>
        <v>Nấu ăn ít dầu là một lối sống lành mạnh. Tổng hợp điều này sẽ tạo ra một chiếc tivi kiểu cũ.</v>
      </c>
      <c r="H1162" s="8"/>
      <c r="I1162" s="8"/>
      <c r="J1162" s="8"/>
    </row>
    <row r="1163" ht="21.0" customHeight="1">
      <c r="A1163" s="6">
        <v>1.0</v>
      </c>
      <c r="B1163" s="6">
        <v>108.0</v>
      </c>
      <c r="C1163" s="6">
        <v>13.0</v>
      </c>
      <c r="D1163" s="11" t="s">
        <v>1167</v>
      </c>
      <c r="E1163" s="9" t="s">
        <v>1168</v>
      </c>
      <c r="F1163" s="8" t="str">
        <f>IFERROR(__xludf.DUMMYFUNCTION("GOOGLETRANSLATE(D1163,""zh-CN"",""vi"")"),"tivi kiểu cũ")</f>
        <v>tivi kiểu cũ</v>
      </c>
      <c r="G1163" s="8" t="str">
        <f>IFERROR(__xludf.DUMMYFUNCTION("GOOGLETRANSLATE(E1163,""zh-CN"",""vi"")"),"Những món đồ cũ của bà vẫn còn phát nhạc. Hãy kết hợp chúng lại để tạo thành một dàn âm thanh kiểu cổ điển.")</f>
        <v>Những món đồ cũ của bà vẫn còn phát nhạc. Hãy kết hợp chúng lại để tạo thành một dàn âm thanh kiểu cổ điển.</v>
      </c>
      <c r="H1163" s="8"/>
      <c r="I1163" s="8"/>
      <c r="J1163" s="8"/>
    </row>
    <row r="1164" ht="21.0" customHeight="1">
      <c r="A1164" s="6">
        <v>1.0</v>
      </c>
      <c r="B1164" s="6">
        <v>108.0</v>
      </c>
      <c r="C1164" s="6">
        <v>14.0</v>
      </c>
      <c r="D1164" s="11" t="s">
        <v>1169</v>
      </c>
      <c r="E1164" s="9" t="s">
        <v>1170</v>
      </c>
      <c r="F1164" s="8" t="str">
        <f>IFERROR(__xludf.DUMMYFUNCTION("GOOGLETRANSLATE(D1164,""zh-CN"",""vi"")"),"Thiết bị âm thanh kiểu cũ")</f>
        <v>Thiết bị âm thanh kiểu cũ</v>
      </c>
      <c r="G1164" s="8" t="str">
        <f>IFERROR(__xludf.DUMMYFUNCTION("GOOGLETRANSLATE(E1164,""zh-CN"",""vi"")"),"Đúng vậy, nó thực sự rất ồn! Bạn có thể chế tạo máy lọc không khí từ nó.")</f>
        <v>Đúng vậy, nó thực sự rất ồn! Bạn có thể chế tạo máy lọc không khí từ nó.</v>
      </c>
      <c r="H1164" s="8"/>
      <c r="I1164" s="8"/>
      <c r="J1164" s="8"/>
    </row>
    <row r="1165" ht="21.0" customHeight="1">
      <c r="A1165" s="6">
        <v>1.0</v>
      </c>
      <c r="B1165" s="6">
        <v>108.0</v>
      </c>
      <c r="C1165" s="6">
        <v>15.0</v>
      </c>
      <c r="D1165" s="9" t="s">
        <v>1171</v>
      </c>
      <c r="E1165" s="9" t="s">
        <v>1172</v>
      </c>
      <c r="F1165" s="8" t="str">
        <f>IFERROR(__xludf.DUMMYFUNCTION("GOOGLETRANSLATE(D1165,""zh-CN"",""vi"")"),"máy lọc không khí")</f>
        <v>máy lọc không khí</v>
      </c>
      <c r="G1165" s="8" t="str">
        <f>IFERROR(__xludf.DUMMYFUNCTION("GOOGLETRANSLATE(E1165,""zh-CN"",""vi"")"),"Sau khi sử dụng, ngay cả không khí cũng thoang thoảng mùi thơm ngọt ngào. Sản phẩm đã được nâng cấp lên mức cao nhất.")</f>
        <v>Sau khi sử dụng, ngay cả không khí cũng thoang thoảng mùi thơm ngọt ngào. Sản phẩm đã được nâng cấp lên mức cao nhất.</v>
      </c>
      <c r="H1165" s="8"/>
      <c r="I1165" s="8"/>
      <c r="J1165" s="8"/>
    </row>
    <row r="1166" ht="21.0" customHeight="1">
      <c r="A1166" s="6">
        <v>1.0</v>
      </c>
      <c r="B1166" s="6">
        <v>109.0</v>
      </c>
      <c r="C1166" s="6">
        <v>1.0</v>
      </c>
      <c r="D1166" s="9" t="s">
        <v>1173</v>
      </c>
      <c r="E1166" s="9" t="s">
        <v>1174</v>
      </c>
      <c r="F1166" s="8" t="str">
        <f>IFERROR(__xludf.DUMMYFUNCTION("GOOGLETRANSLATE(D1166,""zh-CN"",""vi"")"),"thìa súp")</f>
        <v>thìa súp</v>
      </c>
      <c r="G1166" s="8" t="str">
        <f>IFERROR(__xludf.DUMMYFUNCTION("GOOGLETRANSLATE(E1166,""zh-CN"",""vi"")"),"Một chiếc thìa súp đơn giản. Hãy chế tạo nó để có được một dụng cụ gọt vỏ.")</f>
        <v>Một chiếc thìa súp đơn giản. Hãy chế tạo nó để có được một dụng cụ gọt vỏ.</v>
      </c>
      <c r="H1166" s="8"/>
      <c r="I1166" s="8"/>
      <c r="J1166" s="8"/>
    </row>
    <row r="1167" ht="21.0" customHeight="1">
      <c r="A1167" s="6">
        <v>1.0</v>
      </c>
      <c r="B1167" s="6">
        <v>109.0</v>
      </c>
      <c r="C1167" s="6">
        <v>2.0</v>
      </c>
      <c r="D1167" s="9" t="s">
        <v>1175</v>
      </c>
      <c r="E1167" s="9" t="s">
        <v>1176</v>
      </c>
      <c r="F1167" s="8" t="str">
        <f>IFERROR(__xludf.DUMMYFUNCTION("GOOGLETRANSLATE(D1167,""zh-CN"",""vi"")"),"dụng cụ gọt vỏ")</f>
        <v>dụng cụ gọt vỏ</v>
      </c>
      <c r="G1167" s="8" t="str">
        <f>IFERROR(__xludf.DUMMYFUNCTION("GOOGLETRANSLATE(E1167,""zh-CN"",""vi"")"),"Xiao Mei rất thích dùng nó để gọt khoai tây. Có thể chế tạo nó để có được một cái xẻng.")</f>
        <v>Xiao Mei rất thích dùng nó để gọt khoai tây. Có thể chế tạo nó để có được một cái xẻng.</v>
      </c>
      <c r="H1167" s="8"/>
      <c r="I1167" s="8"/>
      <c r="J1167" s="8"/>
    </row>
    <row r="1168" ht="21.0" customHeight="1">
      <c r="A1168" s="6">
        <v>1.0</v>
      </c>
      <c r="B1168" s="6">
        <v>109.0</v>
      </c>
      <c r="C1168" s="6">
        <v>3.0</v>
      </c>
      <c r="D1168" s="9" t="s">
        <v>1177</v>
      </c>
      <c r="E1168" s="9" t="s">
        <v>1178</v>
      </c>
      <c r="F1168" s="8" t="str">
        <f>IFERROR(__xludf.DUMMYFUNCTION("GOOGLETRANSLATE(D1168,""zh-CN"",""vi"")"),"thìa")</f>
        <v>thìa</v>
      </c>
      <c r="G1168" s="8" t="str">
        <f>IFERROR(__xludf.DUMMYFUNCTION("GOOGLETRANSLATE(E1168,""zh-CN"",""vi"")"),"Một chiếc thìa xào, có cán màu hồng. Có thể chế tạo thành thìa có lỗ.")</f>
        <v>Một chiếc thìa xào, có cán màu hồng. Có thể chế tạo thành thìa có lỗ.</v>
      </c>
      <c r="H1168" s="8"/>
      <c r="I1168" s="8"/>
      <c r="J1168" s="8"/>
    </row>
    <row r="1169" ht="21.0" customHeight="1">
      <c r="A1169" s="6">
        <v>1.0</v>
      </c>
      <c r="B1169" s="6">
        <v>109.0</v>
      </c>
      <c r="C1169" s="6">
        <v>4.0</v>
      </c>
      <c r="D1169" s="9" t="s">
        <v>1179</v>
      </c>
      <c r="E1169" s="9" t="s">
        <v>1180</v>
      </c>
      <c r="F1169" s="8" t="str">
        <f>IFERROR(__xludf.DUMMYFUNCTION("GOOGLETRANSLATE(D1169,""zh-CN"",""vi"")"),"muỗng có lỗ")</f>
        <v>muỗng có lỗ</v>
      </c>
      <c r="G1169" s="8" t="str">
        <f>IFERROR(__xludf.DUMMYFUNCTION("GOOGLETRANSLATE(E1169,""zh-CN"",""vi"")"),"Nó là vật dụng không thể thiếu để chần và chiên ngập dầu. Nó cũng có thể được dùng để làm nồi nấu sữa.")</f>
        <v>Nó là vật dụng không thể thiếu để chần và chiên ngập dầu. Nó cũng có thể được dùng để làm nồi nấu sữa.</v>
      </c>
      <c r="H1169" s="8"/>
      <c r="I1169" s="8"/>
      <c r="J1169" s="8"/>
    </row>
    <row r="1170" ht="21.0" customHeight="1">
      <c r="A1170" s="6">
        <v>1.0</v>
      </c>
      <c r="B1170" s="6">
        <v>109.0</v>
      </c>
      <c r="C1170" s="6">
        <v>5.0</v>
      </c>
      <c r="D1170" s="9" t="s">
        <v>1181</v>
      </c>
      <c r="E1170" s="9" t="s">
        <v>1182</v>
      </c>
      <c r="F1170" s="8" t="str">
        <f>IFERROR(__xludf.DUMMYFUNCTION("GOOGLETRANSLATE(D1170,""zh-CN"",""vi"")"),"Bình sữa")</f>
        <v>Bình sữa</v>
      </c>
      <c r="G1170" s="8" t="str">
        <f>IFERROR(__xludf.DUMMYFUNCTION("GOOGLETRANSLATE(E1170,""zh-CN"",""vi"")"),"Một ngày của Xiaomei bắt đầu với một ly sữa tươi. Một chiếc chảo gang có thể được làm từ sữa này.")</f>
        <v>Một ngày của Xiaomei bắt đầu với một ly sữa tươi. Một chiếc chảo gang có thể được làm từ sữa này.</v>
      </c>
      <c r="H1170" s="8"/>
      <c r="I1170" s="8"/>
      <c r="J1170" s="8"/>
    </row>
    <row r="1171" ht="21.0" customHeight="1">
      <c r="A1171" s="6">
        <v>1.0</v>
      </c>
      <c r="B1171" s="6">
        <v>109.0</v>
      </c>
      <c r="C1171" s="6">
        <v>6.0</v>
      </c>
      <c r="D1171" s="9" t="s">
        <v>1183</v>
      </c>
      <c r="E1171" s="9" t="s">
        <v>1184</v>
      </c>
      <c r="F1171" s="8" t="str">
        <f>IFERROR(__xludf.DUMMYFUNCTION("GOOGLETRANSLATE(D1171,""zh-CN"",""vi"")"),"chảo rán gang")</f>
        <v>chảo rán gang</v>
      </c>
      <c r="G1171" s="8" t="str">
        <f>IFERROR(__xludf.DUMMYFUNCTION("GOOGLETRANSLATE(E1171,""zh-CN"",""vi"")"),"Nồi gang, siêu nặng! Có thể dùng nó để chế tạo chảo rán.")</f>
        <v>Nồi gang, siêu nặng! Có thể dùng nó để chế tạo chảo rán.</v>
      </c>
      <c r="H1171" s="8"/>
      <c r="I1171" s="8"/>
      <c r="J1171" s="8"/>
    </row>
    <row r="1172" ht="21.0" customHeight="1">
      <c r="A1172" s="6">
        <v>1.0</v>
      </c>
      <c r="B1172" s="6">
        <v>109.0</v>
      </c>
      <c r="C1172" s="6">
        <v>7.0</v>
      </c>
      <c r="D1172" s="9" t="s">
        <v>1185</v>
      </c>
      <c r="E1172" s="9" t="s">
        <v>1186</v>
      </c>
      <c r="F1172" s="8" t="str">
        <f>IFERROR(__xludf.DUMMYFUNCTION("GOOGLETRANSLATE(D1172,""zh-CN"",""vi"")"),"chảo rán")</f>
        <v>chảo rán</v>
      </c>
      <c r="G1172" s="8" t="str">
        <f>IFERROR(__xludf.DUMMYFUNCTION("GOOGLETRANSLATE(E1172,""zh-CN"",""vi"")"),"Tôi không nhớ nổi mình đã làm bánh bao chiên bao nhiêu lần rồi. Bạn có thể làm một cái nồi súp từ chúng.")</f>
        <v>Tôi không nhớ nổi mình đã làm bánh bao chiên bao nhiêu lần rồi. Bạn có thể làm một cái nồi súp từ chúng.</v>
      </c>
      <c r="H1172" s="8"/>
      <c r="I1172" s="8"/>
      <c r="J1172" s="8"/>
    </row>
    <row r="1173" ht="21.0" customHeight="1">
      <c r="A1173" s="6">
        <v>1.0</v>
      </c>
      <c r="B1173" s="6">
        <v>109.0</v>
      </c>
      <c r="C1173" s="6">
        <v>8.0</v>
      </c>
      <c r="D1173" s="9" t="s">
        <v>1187</v>
      </c>
      <c r="E1173" s="9" t="s">
        <v>1188</v>
      </c>
      <c r="F1173" s="8" t="str">
        <f>IFERROR(__xludf.DUMMYFUNCTION("GOOGLETRANSLATE(D1173,""zh-CN"",""vi"")"),"nồi súp")</f>
        <v>nồi súp</v>
      </c>
      <c r="G1173" s="8" t="str">
        <f>IFERROR(__xludf.DUMMYFUNCTION("GOOGLETRANSLATE(E1173,""zh-CN"",""vi"")"),"Tối nay mình nên nấu súp gà hay súp trứng nhỉ? (Khi chế tạo sẽ nhận được một cái nồi súp bụng tròn.)")</f>
        <v>Tối nay mình nên nấu súp gà hay súp trứng nhỉ? (Khi chế tạo sẽ nhận được một cái nồi súp bụng tròn.)</v>
      </c>
      <c r="H1173" s="8"/>
      <c r="I1173" s="8"/>
      <c r="J1173" s="8"/>
    </row>
    <row r="1174" ht="21.0" customHeight="1">
      <c r="A1174" s="6">
        <v>1.0</v>
      </c>
      <c r="B1174" s="6">
        <v>109.0</v>
      </c>
      <c r="C1174" s="6">
        <v>9.0</v>
      </c>
      <c r="D1174" s="9" t="s">
        <v>1189</v>
      </c>
      <c r="E1174" s="9" t="s">
        <v>1190</v>
      </c>
      <c r="F1174" s="8" t="str">
        <f>IFERROR(__xludf.DUMMYFUNCTION("GOOGLETRANSLATE(D1174,""zh-CN"",""vi"")"),"Nồi súp bụng tròn")</f>
        <v>Nồi súp bụng tròn</v>
      </c>
      <c r="G1174" s="8" t="str">
        <f>IFERROR(__xludf.DUMMYFUNCTION("GOOGLETRANSLATE(E1174,""zh-CN"",""vi"")"),"Một mục tiêu nhỏ: ninh nhỏ lửa trong ba giờ. Hoàn thành việc này sẽ tạo ra một chiếc nồi đồng.")</f>
        <v>Một mục tiêu nhỏ: ninh nhỏ lửa trong ba giờ. Hoàn thành việc này sẽ tạo ra một chiếc nồi đồng.</v>
      </c>
      <c r="H1174" s="8"/>
      <c r="I1174" s="8"/>
      <c r="J1174" s="8"/>
    </row>
    <row r="1175" ht="21.0" customHeight="1">
      <c r="A1175" s="6">
        <v>1.0</v>
      </c>
      <c r="B1175" s="6">
        <v>109.0</v>
      </c>
      <c r="C1175" s="6">
        <v>10.0</v>
      </c>
      <c r="D1175" s="9" t="s">
        <v>1191</v>
      </c>
      <c r="E1175" s="9" t="s">
        <v>1192</v>
      </c>
      <c r="F1175" s="8" t="str">
        <f>IFERROR(__xludf.DUMMYFUNCTION("GOOGLETRANSLATE(D1175,""zh-CN"",""vi"")"),"nồi lẩu đồng")</f>
        <v>nồi lẩu đồng</v>
      </c>
      <c r="G1175" s="8" t="str">
        <f>IFERROR(__xludf.DUMMYFUNCTION("GOOGLETRANSLATE(E1175,""zh-CN"",""vi"")"),"Được làm hoàn toàn bằng đồng, nó làm cho việc ăn lẩu trở nên thú vị hơn bao giờ hết. Hiện nay, sản phẩm đã được nâng cấp lên loại cao cấp nhất.")</f>
        <v>Được làm hoàn toàn bằng đồng, nó làm cho việc ăn lẩu trở nên thú vị hơn bao giờ hết. Hiện nay, sản phẩm đã được nâng cấp lên loại cao cấp nhất.</v>
      </c>
      <c r="H1175" s="8"/>
      <c r="I1175" s="8"/>
      <c r="J1175" s="8"/>
    </row>
    <row r="1176" ht="21.0" customHeight="1">
      <c r="A1176" s="6">
        <v>1.0</v>
      </c>
      <c r="B1176" s="6">
        <v>110.0</v>
      </c>
      <c r="C1176" s="6">
        <v>1.0</v>
      </c>
      <c r="D1176" s="9" t="s">
        <v>1193</v>
      </c>
      <c r="E1176" s="9" t="s">
        <v>1194</v>
      </c>
      <c r="F1176" s="8" t="str">
        <f>IFERROR(__xludf.DUMMYFUNCTION("GOOGLETRANSLATE(D1176,""zh-CN"",""vi"")"),"ván trượt")</f>
        <v>ván trượt</v>
      </c>
      <c r="G1176" s="8" t="str">
        <f>IFERROR(__xludf.DUMMYFUNCTION("GOOGLETRANSLATE(E1176,""zh-CN"",""vi"")"),"Tránh đường! Tránh đường! Nó đang cất cánh! Bạn có thể chế tạo một chiếc xe tay ga bằng cách kết hợp chúng.")</f>
        <v>Tránh đường! Tránh đường! Nó đang cất cánh! Bạn có thể chế tạo một chiếc xe tay ga bằng cách kết hợp chúng.</v>
      </c>
      <c r="H1176" s="8"/>
      <c r="I1176" s="8"/>
      <c r="J1176" s="8"/>
    </row>
    <row r="1177" ht="21.0" customHeight="1">
      <c r="A1177" s="6">
        <v>1.0</v>
      </c>
      <c r="B1177" s="6">
        <v>110.0</v>
      </c>
      <c r="C1177" s="6">
        <v>2.0</v>
      </c>
      <c r="D1177" s="9" t="s">
        <v>1195</v>
      </c>
      <c r="E1177" s="9" t="s">
        <v>1196</v>
      </c>
      <c r="F1177" s="8" t="str">
        <f>IFERROR(__xludf.DUMMYFUNCTION("GOOGLETRANSLATE(D1177,""zh-CN"",""vi"")"),"Xe tay ga")</f>
        <v>Xe tay ga</v>
      </c>
      <c r="G1177" s="8" t="str">
        <f>IFERROR(__xludf.DUMMYFUNCTION("GOOGLETRANSLATE(E1177,""zh-CN"",""vi"")"),"Món đồ chơi yêu thích thời thơ ấu của bé Mei. Sau khi chế tạo sẽ tạo ra một chiếc xe đạp.")</f>
        <v>Món đồ chơi yêu thích thời thơ ấu của bé Mei. Sau khi chế tạo sẽ tạo ra một chiếc xe đạp.</v>
      </c>
      <c r="H1177" s="8"/>
      <c r="I1177" s="8"/>
      <c r="J1177" s="8"/>
    </row>
    <row r="1178" ht="21.0" customHeight="1">
      <c r="A1178" s="6">
        <v>1.0</v>
      </c>
      <c r="B1178" s="6">
        <v>110.0</v>
      </c>
      <c r="C1178" s="6">
        <v>3.0</v>
      </c>
      <c r="D1178" s="9" t="s">
        <v>1197</v>
      </c>
      <c r="E1178" s="9" t="s">
        <v>1198</v>
      </c>
      <c r="F1178" s="8" t="str">
        <f>IFERROR(__xludf.DUMMYFUNCTION("GOOGLETRANSLATE(D1178,""zh-CN"",""vi"")"),"xe đạp")</f>
        <v>xe đạp</v>
      </c>
      <c r="G1178" s="8" t="str">
        <f>IFERROR(__xludf.DUMMYFUNCTION("GOOGLETRANSLATE(E1178,""zh-CN"",""vi"")"),"Một chiếc xe đạp được thiết kế độc đáo. Nó có thể được chế tạo thành xe đạp thăng bằng hai bánh.")</f>
        <v>Một chiếc xe đạp được thiết kế độc đáo. Nó có thể được chế tạo thành xe đạp thăng bằng hai bánh.</v>
      </c>
      <c r="H1178" s="8"/>
      <c r="I1178" s="8"/>
      <c r="J1178" s="8"/>
    </row>
    <row r="1179" ht="21.0" customHeight="1">
      <c r="A1179" s="6">
        <v>1.0</v>
      </c>
      <c r="B1179" s="6">
        <v>110.0</v>
      </c>
      <c r="C1179" s="6">
        <v>4.0</v>
      </c>
      <c r="D1179" s="9" t="s">
        <v>1199</v>
      </c>
      <c r="E1179" s="9" t="s">
        <v>1200</v>
      </c>
      <c r="F1179" s="8" t="str">
        <f>IFERROR(__xludf.DUMMYFUNCTION("GOOGLETRANSLATE(D1179,""zh-CN"",""vi"")"),"Xe đạp thăng bằng")</f>
        <v>Xe đạp thăng bằng</v>
      </c>
      <c r="G1179" s="8" t="str">
        <f>IFERROR(__xludf.DUMMYFUNCTION("GOOGLETRANSLATE(E1179,""zh-CN"",""vi"")"),"Bạn chỉ thực sự nhận ra độ chắc chắn của nó khi bước lên. Bạn có thể chế tạo một chiếc xe điện nhỏ bằng cách kết hợp chúng.")</f>
        <v>Bạn chỉ thực sự nhận ra độ chắc chắn của nó khi bước lên. Bạn có thể chế tạo một chiếc xe điện nhỏ bằng cách kết hợp chúng.</v>
      </c>
      <c r="H1179" s="8"/>
      <c r="I1179" s="8"/>
      <c r="J1179" s="8"/>
    </row>
    <row r="1180" ht="21.0" customHeight="1">
      <c r="A1180" s="6">
        <v>1.0</v>
      </c>
      <c r="B1180" s="6">
        <v>110.0</v>
      </c>
      <c r="C1180" s="6">
        <v>5.0</v>
      </c>
      <c r="D1180" s="9" t="s">
        <v>1201</v>
      </c>
      <c r="E1180" s="9" t="s">
        <v>1202</v>
      </c>
      <c r="F1180" s="8" t="str">
        <f>IFERROR(__xludf.DUMMYFUNCTION("GOOGLETRANSLATE(D1180,""zh-CN"",""vi"")"),"xe điện")</f>
        <v>xe điện</v>
      </c>
      <c r="G1180" s="8" t="str">
        <f>IFERROR(__xludf.DUMMYFUNCTION("GOOGLETRANSLATE(E1180,""zh-CN"",""vi"")"),"Ngay cả chiếc xe điện nhỏ nhất cũng là một dạng năng lượng mới. Kết hợp chúng lại với nhau sẽ tạo ra một chiếc xe máy có mái che.")</f>
        <v>Ngay cả chiếc xe điện nhỏ nhất cũng là một dạng năng lượng mới. Kết hợp chúng lại với nhau sẽ tạo ra một chiếc xe máy có mái che.</v>
      </c>
      <c r="H1180" s="8"/>
      <c r="I1180" s="8"/>
      <c r="J1180" s="8"/>
    </row>
    <row r="1181" ht="21.0" customHeight="1">
      <c r="A1181" s="6">
        <v>1.0</v>
      </c>
      <c r="B1181" s="6">
        <v>110.0</v>
      </c>
      <c r="C1181" s="6">
        <v>6.0</v>
      </c>
      <c r="D1181" s="9" t="s">
        <v>1203</v>
      </c>
      <c r="E1181" s="9" t="s">
        <v>1204</v>
      </c>
      <c r="F1181" s="8" t="str">
        <f>IFERROR(__xludf.DUMMYFUNCTION("GOOGLETRANSLATE(D1181,""zh-CN"",""vi"")"),"Xe máy có mái che")</f>
        <v>Xe máy có mái che</v>
      </c>
      <c r="G1181" s="8" t="str">
        <f>IFERROR(__xludf.DUMMYFUNCTION("GOOGLETRANSLATE(E1181,""zh-CN"",""vi"")"),"Nó được trang bị mái che, giúp chắn mưa và nắng. Nó có thể được chế tạo thành một chiếc xe máy.")</f>
        <v>Nó được trang bị mái che, giúp chắn mưa và nắng. Nó có thể được chế tạo thành một chiếc xe máy.</v>
      </c>
      <c r="H1181" s="8"/>
      <c r="I1181" s="8"/>
      <c r="J1181" s="8"/>
    </row>
    <row r="1182" ht="21.0" customHeight="1">
      <c r="A1182" s="6">
        <v>1.0</v>
      </c>
      <c r="B1182" s="6">
        <v>110.0</v>
      </c>
      <c r="C1182" s="6">
        <v>7.0</v>
      </c>
      <c r="D1182" s="9" t="s">
        <v>1205</v>
      </c>
      <c r="E1182" s="9" t="s">
        <v>1206</v>
      </c>
      <c r="F1182" s="8" t="str">
        <f>IFERROR(__xludf.DUMMYFUNCTION("GOOGLETRANSLATE(D1182,""zh-CN"",""vi"")"),"đầu máy xe lửa")</f>
        <v>đầu máy xe lửa</v>
      </c>
      <c r="G1182" s="8" t="str">
        <f>IFERROR(__xludf.DUMMYFUNCTION("GOOGLETRANSLATE(E1182,""zh-CN"",""vi"")"),"Cúi xuống và hóa thân thành cô gái đuổi theo gió. Kết hợp các vật phẩm để tạo thành một chiếc xe hơi.")</f>
        <v>Cúi xuống và hóa thân thành cô gái đuổi theo gió. Kết hợp các vật phẩm để tạo thành một chiếc xe hơi.</v>
      </c>
      <c r="H1182" s="8"/>
      <c r="I1182" s="8"/>
      <c r="J1182" s="8"/>
    </row>
    <row r="1183" ht="21.0" customHeight="1">
      <c r="A1183" s="6">
        <v>1.0</v>
      </c>
      <c r="B1183" s="6">
        <v>110.0</v>
      </c>
      <c r="C1183" s="6">
        <v>8.0</v>
      </c>
      <c r="D1183" s="9" t="s">
        <v>1207</v>
      </c>
      <c r="E1183" s="9" t="s">
        <v>1208</v>
      </c>
      <c r="F1183" s="8" t="str">
        <f>IFERROR(__xludf.DUMMYFUNCTION("GOOGLETRANSLATE(D1183,""zh-CN"",""vi"")"),"xe sedan")</f>
        <v>xe sedan</v>
      </c>
      <c r="G1183" s="8" t="str">
        <f>IFERROR(__xludf.DUMMYFUNCTION("GOOGLETRANSLATE(E1183,""zh-CN"",""vi"")"),"Trước tiên, bạn cần xin giấy phép. Sau đó, bạn có thể tổng hợp một chiếc máy bay.")</f>
        <v>Trước tiên, bạn cần xin giấy phép. Sau đó, bạn có thể tổng hợp một chiếc máy bay.</v>
      </c>
      <c r="H1183" s="8"/>
      <c r="I1183" s="8"/>
      <c r="J1183" s="8"/>
    </row>
    <row r="1184" ht="21.0" customHeight="1">
      <c r="A1184" s="6">
        <v>1.0</v>
      </c>
      <c r="B1184" s="6">
        <v>110.0</v>
      </c>
      <c r="C1184" s="6">
        <v>9.0</v>
      </c>
      <c r="D1184" s="9" t="s">
        <v>1209</v>
      </c>
      <c r="E1184" s="9" t="s">
        <v>1210</v>
      </c>
      <c r="F1184" s="8" t="str">
        <f>IFERROR(__xludf.DUMMYFUNCTION("GOOGLETRANSLATE(D1184,""zh-CN"",""vi"")"),"máy bay")</f>
        <v>máy bay</v>
      </c>
      <c r="G1184" s="8" t="str">
        <f>IFERROR(__xludf.DUMMYFUNCTION("GOOGLETRANSLATE(E1184,""zh-CN"",""vi"")"),"Cất cánh! Cất cánh! Nó thực sự đang cất cánh! (Quá trình tổng hợp sẽ tạo ra một vật thể bay không xác định.)")</f>
        <v>Cất cánh! Cất cánh! Nó thực sự đang cất cánh! (Quá trình tổng hợp sẽ tạo ra một vật thể bay không xác định.)</v>
      </c>
      <c r="H1184" s="8"/>
      <c r="I1184" s="8"/>
      <c r="J1184" s="8"/>
    </row>
    <row r="1185" ht="21.0" customHeight="1">
      <c r="A1185" s="6">
        <v>1.0</v>
      </c>
      <c r="B1185" s="6">
        <v>110.0</v>
      </c>
      <c r="C1185" s="6">
        <v>10.0</v>
      </c>
      <c r="D1185" s="9" t="s">
        <v>1211</v>
      </c>
      <c r="E1185" s="9" t="s">
        <v>1212</v>
      </c>
      <c r="F1185" s="8" t="str">
        <f>IFERROR(__xludf.DUMMYFUNCTION("GOOGLETRANSLATE(D1185,""zh-CN"",""vi"")"),"UFO")</f>
        <v>UFO</v>
      </c>
      <c r="G1185" s="8" t="str">
        <f>IFERROR(__xludf.DUMMYFUNCTION("GOOGLETRANSLATE(E1185,""zh-CN"",""vi"")"),"Mục tiêu của chúng ta là những vì sao và biển cả! Chúng ta đã đạt đến cấp độ cao nhất.")</f>
        <v>Mục tiêu của chúng ta là những vì sao và biển cả! Chúng ta đã đạt đến cấp độ cao nhất.</v>
      </c>
      <c r="H1185" s="8"/>
      <c r="I1185" s="8"/>
      <c r="J1185" s="8"/>
    </row>
    <row r="1186" ht="21.0" customHeight="1">
      <c r="A1186" s="6">
        <v>11.0</v>
      </c>
      <c r="B1186" s="6">
        <v>1006.0</v>
      </c>
      <c r="C1186" s="6">
        <v>1.0</v>
      </c>
      <c r="D1186" s="9" t="s">
        <v>1213</v>
      </c>
      <c r="E1186" s="9" t="s">
        <v>1214</v>
      </c>
      <c r="F1186" s="8" t="str">
        <f>IFERROR(__xludf.DUMMYFUNCTION("GOOGLETRANSLATE(D1186,""zh-CN"",""vi"")"),"mây")</f>
        <v>mây</v>
      </c>
      <c r="G1186" s="8" t="str">
        <f>IFERROR(__xludf.DUMMYFUNCTION("GOOGLETRANSLATE(E1186,""zh-CN"",""vi"")"),"Mây được dùng để đan rổ đựng rau. Chế tác mây đến cấp độ 5 sẽ thu được cây trồng chính.")</f>
        <v>Mây được dùng để đan rổ đựng rau. Chế tác mây đến cấp độ 5 sẽ thu được cây trồng chính.</v>
      </c>
      <c r="H1186" s="8"/>
      <c r="I1186" s="8"/>
      <c r="J1186" s="8"/>
    </row>
    <row r="1187" ht="21.0" customHeight="1">
      <c r="A1187" s="6">
        <v>11.0</v>
      </c>
      <c r="B1187" s="6">
        <v>1006.0</v>
      </c>
      <c r="C1187" s="6">
        <v>2.0</v>
      </c>
      <c r="D1187" s="9" t="s">
        <v>1215</v>
      </c>
      <c r="E1187" s="9" t="s">
        <v>1216</v>
      </c>
      <c r="F1187" s="8" t="str">
        <f>IFERROR(__xludf.DUMMYFUNCTION("GOOGLETRANSLATE(D1187,""zh-CN"",""vi"")"),"Rổ")</f>
        <v>Rổ</v>
      </c>
      <c r="G1187" s="8" t="str">
        <f>IFERROR(__xludf.DUMMYFUNCTION("GOOGLETRANSLATE(E1187,""zh-CN"",""vi"")"),"Chiếc giỏ nhỏ đung đưa nhẹ nhàng. Tổng hợp nó lên cấp độ 5 sẽ cho ra cây trồng chính.")</f>
        <v>Chiếc giỏ nhỏ đung đưa nhẹ nhàng. Tổng hợp nó lên cấp độ 5 sẽ cho ra cây trồng chính.</v>
      </c>
      <c r="H1187" s="8"/>
      <c r="I1187" s="8"/>
      <c r="J1187" s="8"/>
    </row>
    <row r="1188" ht="21.0" customHeight="1">
      <c r="A1188" s="6">
        <v>11.0</v>
      </c>
      <c r="B1188" s="6">
        <v>1006.0</v>
      </c>
      <c r="C1188" s="6">
        <v>3.0</v>
      </c>
      <c r="D1188" s="9" t="s">
        <v>1217</v>
      </c>
      <c r="E1188" s="9" t="s">
        <v>1218</v>
      </c>
      <c r="F1188" s="8" t="str">
        <f>IFERROR(__xludf.DUMMYFUNCTION("GOOGLETRANSLATE(D1188,""zh-CN"",""vi"")"),"Khung đan lát")</f>
        <v>Khung đan lát</v>
      </c>
      <c r="G1188" s="8" t="str">
        <f>IFERROR(__xludf.DUMMYFUNCTION("GOOGLETRANSLATE(E1188,""zh-CN"",""vi"")"),"Món đồ bắt mắt nhất trên bàn ăn. Tổng hợp lên cấp 5 để thu được cây mẹ.")</f>
        <v>Món đồ bắt mắt nhất trên bàn ăn. Tổng hợp lên cấp 5 để thu được cây mẹ.</v>
      </c>
      <c r="H1188" s="8"/>
      <c r="I1188" s="8"/>
      <c r="J1188" s="8"/>
    </row>
    <row r="1189" ht="21.0" customHeight="1">
      <c r="A1189" s="6">
        <v>11.0</v>
      </c>
      <c r="B1189" s="6">
        <v>1006.0</v>
      </c>
      <c r="C1189" s="6">
        <v>4.0</v>
      </c>
      <c r="D1189" s="9" t="s">
        <v>1219</v>
      </c>
      <c r="E1189" s="9" t="s">
        <v>1220</v>
      </c>
      <c r="F1189" s="8" t="str">
        <f>IFERROR(__xludf.DUMMYFUNCTION("GOOGLETRANSLATE(D1189,""zh-CN"",""vi"")"),"giỏ mây")</f>
        <v>giỏ mây</v>
      </c>
      <c r="G1189" s="8" t="str">
        <f>IFERROR(__xludf.DUMMYFUNCTION("GOOGLETRANSLATE(E1189,""zh-CN"",""vi"")"),"Bà luôn mang nó theo bên mình. Tổng hợp nó lên cấp độ 5 sẽ thu được cây trồng chính.")</f>
        <v>Bà luôn mang nó theo bên mình. Tổng hợp nó lên cấp độ 5 sẽ thu được cây trồng chính.</v>
      </c>
      <c r="H1189" s="8"/>
      <c r="I1189" s="8"/>
      <c r="J1189" s="8"/>
    </row>
    <row r="1190" ht="21.0" customHeight="1">
      <c r="A1190" s="6">
        <v>10.0</v>
      </c>
      <c r="B1190" s="6">
        <v>1006.0</v>
      </c>
      <c r="C1190" s="6">
        <v>5.0</v>
      </c>
      <c r="D1190" s="9" t="s">
        <v>1221</v>
      </c>
      <c r="E1190" s="9" t="s">
        <v>1222</v>
      </c>
      <c r="F1190" s="8" t="str">
        <f>IFERROR(__xludf.DUMMYFUNCTION("GOOGLETRANSLATE(D1190,""zh-CN"",""vi"")"),"giỏ mây tròn")</f>
        <v>giỏ mây tròn</v>
      </c>
      <c r="G1190" s="8" t="str">
        <f>IFERROR(__xludf.DUMMYFUNCTION("GOOGLETRANSLATE(E1190,""zh-CN"",""vi"")"),"Giỏ đựng quần áo của Tiểu Mai. Có thể kết hợp thành giỏ đựng rau củ.")</f>
        <v>Giỏ đựng quần áo của Tiểu Mai. Có thể kết hợp thành giỏ đựng rau củ.</v>
      </c>
      <c r="H1190" s="8"/>
      <c r="I1190" s="8"/>
      <c r="J1190" s="8"/>
    </row>
    <row r="1191" ht="21.0" customHeight="1">
      <c r="A1191" s="6">
        <v>10.0</v>
      </c>
      <c r="B1191" s="6">
        <v>1006.0</v>
      </c>
      <c r="C1191" s="6">
        <v>6.0</v>
      </c>
      <c r="D1191" s="9" t="s">
        <v>1223</v>
      </c>
      <c r="E1191" s="9" t="s">
        <v>1224</v>
      </c>
      <c r="F1191" s="8" t="str">
        <f>IFERROR(__xludf.DUMMYFUNCTION("GOOGLETRANSLATE(D1191,""zh-CN"",""vi"")"),"giỏ mua sắm")</f>
        <v>giỏ mua sắm</v>
      </c>
      <c r="G1191" s="8" t="str">
        <f>IFERROR(__xludf.DUMMYFUNCTION("GOOGLETRANSLATE(E1191,""zh-CN"",""vi"")"),"Một chiếc giỏ đựng rau củ chứa hai lá bắp cải. Hoàn thành việc chế tạo sẽ tạo ra một chiếc giỏ đựng rau củ tinh xảo.")</f>
        <v>Một chiếc giỏ đựng rau củ chứa hai lá bắp cải. Hoàn thành việc chế tạo sẽ tạo ra một chiếc giỏ đựng rau củ tinh xảo.</v>
      </c>
      <c r="H1191" s="8"/>
      <c r="I1191" s="8"/>
      <c r="J1191" s="8"/>
    </row>
    <row r="1192" ht="21.0" customHeight="1">
      <c r="A1192" s="6">
        <v>10.0</v>
      </c>
      <c r="B1192" s="6">
        <v>1006.0</v>
      </c>
      <c r="C1192" s="6">
        <v>7.0</v>
      </c>
      <c r="D1192" s="9" t="s">
        <v>1225</v>
      </c>
      <c r="E1192" s="9" t="s">
        <v>1226</v>
      </c>
      <c r="F1192" s="8" t="str">
        <f>IFERROR(__xludf.DUMMYFUNCTION("GOOGLETRANSLATE(D1192,""zh-CN"",""vi"")"),"Giỏ mua sắm tinh tế")</f>
        <v>Giỏ mua sắm tinh tế</v>
      </c>
      <c r="G1192" s="8" t="str">
        <f>IFERROR(__xludf.DUMMYFUNCTION("GOOGLETRANSLATE(E1192,""zh-CN"",""vi"")"),"Đoán xem có thể đựng được bao nhiêu bắp cải trong giỏ? Kết hợp chúng lại để có một giỏ rau đầy ắp.")</f>
        <v>Đoán xem có thể đựng được bao nhiêu bắp cải trong giỏ? Kết hợp chúng lại để có một giỏ rau đầy ắp.</v>
      </c>
      <c r="H1192" s="8"/>
      <c r="I1192" s="8"/>
      <c r="J1192" s="8"/>
    </row>
    <row r="1193" ht="21.0" customHeight="1">
      <c r="A1193" s="6">
        <v>10.0</v>
      </c>
      <c r="B1193" s="6">
        <v>1006.0</v>
      </c>
      <c r="C1193" s="6">
        <v>8.0</v>
      </c>
      <c r="D1193" s="9" t="s">
        <v>1227</v>
      </c>
      <c r="E1193" s="9" t="s">
        <v>1228</v>
      </c>
      <c r="F1193" s="8" t="str">
        <f>IFERROR(__xludf.DUMMYFUNCTION("GOOGLETRANSLATE(D1193,""zh-CN"",""vi"")"),"Giỏ rau củ phong phú")</f>
        <v>Giỏ rau củ phong phú</v>
      </c>
      <c r="G1193" s="8" t="str">
        <f>IFERROR(__xludf.DUMMYFUNCTION("GOOGLETRANSLATE(E1193,""zh-CN"",""vi"")"),"Một miếng vải được đặt ở đáy giỏ. Hoàn thành việc chế tạo này sẽ tạo ra Giỏ Thu Hoạch.")</f>
        <v>Một miếng vải được đặt ở đáy giỏ. Hoàn thành việc chế tạo này sẽ tạo ra Giỏ Thu Hoạch.</v>
      </c>
      <c r="H1193" s="8"/>
      <c r="I1193" s="8"/>
      <c r="J1193" s="8"/>
    </row>
    <row r="1194" ht="21.0" customHeight="1">
      <c r="A1194" s="6">
        <v>10.0</v>
      </c>
      <c r="B1194" s="6">
        <v>1006.0</v>
      </c>
      <c r="C1194" s="6">
        <v>9.0</v>
      </c>
      <c r="D1194" s="9" t="s">
        <v>1229</v>
      </c>
      <c r="E1194" s="9" t="s">
        <v>1230</v>
      </c>
      <c r="F1194" s="8" t="str">
        <f>IFERROR(__xludf.DUMMYFUNCTION("GOOGLETRANSLATE(D1194,""zh-CN"",""vi"")"),"Giỏ rau mùa thu hoạch")</f>
        <v>Giỏ rau mùa thu hoạch</v>
      </c>
      <c r="G1194" s="8" t="str">
        <f>IFERROR(__xludf.DUMMYFUNCTION("GOOGLETRANSLATE(E1194,""zh-CN"",""vi"")"),"Một chiếc giỏ đầy các loại trái cây và rau củ. Hoàn thành việc chế tạo sẽ tạo ra một chiếc giỏ hình gà con.")</f>
        <v>Một chiếc giỏ đầy các loại trái cây và rau củ. Hoàn thành việc chế tạo sẽ tạo ra một chiếc giỏ hình gà con.</v>
      </c>
      <c r="H1194" s="8"/>
      <c r="I1194" s="8"/>
      <c r="J1194" s="8"/>
    </row>
    <row r="1195" ht="21.0" customHeight="1">
      <c r="A1195" s="6">
        <v>10.0</v>
      </c>
      <c r="B1195" s="6">
        <v>1006.0</v>
      </c>
      <c r="C1195" s="6">
        <v>10.0</v>
      </c>
      <c r="D1195" s="9" t="s">
        <v>1231</v>
      </c>
      <c r="E1195" s="9" t="s">
        <v>1232</v>
      </c>
      <c r="F1195" s="8" t="str">
        <f>IFERROR(__xludf.DUMMYFUNCTION("GOOGLETRANSLATE(D1195,""zh-CN"",""vi"")"),"Giỏ gà")</f>
        <v>Giỏ gà</v>
      </c>
      <c r="G1195" s="8" t="str">
        <f>IFERROR(__xludf.DUMMYFUNCTION("GOOGLETRANSLATE(E1195,""zh-CN"",""vi"")"),"Chú gà con đã gặp phải những khó khăn gì? Nó đã được nâng cấp lên cấp độ cao nhất.")</f>
        <v>Chú gà con đã gặp phải những khó khăn gì? Nó đã được nâng cấp lên cấp độ cao nhất.</v>
      </c>
      <c r="H1195" s="8"/>
      <c r="I1195" s="8"/>
      <c r="J1195" s="8"/>
    </row>
    <row r="1196" ht="21.0" customHeight="1">
      <c r="A1196" s="6">
        <v>1.0</v>
      </c>
      <c r="B1196" s="6">
        <v>111.0</v>
      </c>
      <c r="C1196" s="6">
        <v>1.0</v>
      </c>
      <c r="D1196" s="9" t="s">
        <v>1233</v>
      </c>
      <c r="E1196" s="9" t="s">
        <v>1234</v>
      </c>
      <c r="F1196" s="8" t="str">
        <f>IFERROR(__xludf.DUMMYFUNCTION("GOOGLETRANSLATE(D1196,""zh-CN"",""vi"")"),"Lá bắp cải")</f>
        <v>Lá bắp cải</v>
      </c>
      <c r="G1196" s="8" t="str">
        <f>IFERROR(__xludf.DUMMYFUNCTION("GOOGLETRANSLATE(E1196,""zh-CN"",""vi"")"),"Một lá bắp cải. Kết hợp lại để được hai lá bắp cải.")</f>
        <v>Một lá bắp cải. Kết hợp lại để được hai lá bắp cải.</v>
      </c>
      <c r="H1196" s="8"/>
      <c r="I1196" s="8"/>
      <c r="J1196" s="8"/>
    </row>
    <row r="1197" ht="21.0" customHeight="1">
      <c r="A1197" s="6">
        <v>1.0</v>
      </c>
      <c r="B1197" s="6">
        <v>111.0</v>
      </c>
      <c r="C1197" s="6">
        <v>2.0</v>
      </c>
      <c r="D1197" s="9" t="s">
        <v>1235</v>
      </c>
      <c r="E1197" s="9" t="s">
        <v>1236</v>
      </c>
      <c r="F1197" s="8" t="str">
        <f>IFERROR(__xludf.DUMMYFUNCTION("GOOGLETRANSLATE(D1197,""zh-CN"",""vi"")"),"Hai lá bắp cải")</f>
        <v>Hai lá bắp cải</v>
      </c>
      <c r="G1197" s="8" t="str">
        <f>IFERROR(__xludf.DUMMYFUNCTION("GOOGLETRANSLATE(E1197,""zh-CN"",""vi"")"),"Tôi nên tự ăn hay cho thỏ ăn? Có thể được một nửa bắp cải bằng cách kết hợp chúng lại.")</f>
        <v>Tôi nên tự ăn hay cho thỏ ăn? Có thể được một nửa bắp cải bằng cách kết hợp chúng lại.</v>
      </c>
      <c r="H1197" s="8"/>
      <c r="I1197" s="8"/>
      <c r="J1197" s="8"/>
    </row>
    <row r="1198" ht="21.0" customHeight="1">
      <c r="A1198" s="6">
        <v>1.0</v>
      </c>
      <c r="B1198" s="6">
        <v>111.0</v>
      </c>
      <c r="C1198" s="6">
        <v>3.0</v>
      </c>
      <c r="D1198" s="9" t="s">
        <v>1237</v>
      </c>
      <c r="E1198" s="9" t="s">
        <v>1238</v>
      </c>
      <c r="F1198" s="8" t="str">
        <f>IFERROR(__xludf.DUMMYFUNCTION("GOOGLETRANSLATE(D1198,""zh-CN"",""vi"")"),"Nửa cây bắp cải")</f>
        <v>Nửa cây bắp cải</v>
      </c>
      <c r="G1198" s="8" t="str">
        <f>IFERROR(__xludf.DUMMYFUNCTION("GOOGLETRANSLATE(E1198,""zh-CN"",""vi"")"),"Cắt đôi một cây bắp cải. Chế tạo để thu được một cây bắp cải.")</f>
        <v>Cắt đôi một cây bắp cải. Chế tạo để thu được một cây bắp cải.</v>
      </c>
      <c r="H1198" s="8"/>
      <c r="I1198" s="8"/>
      <c r="J1198" s="8"/>
    </row>
    <row r="1199" ht="21.0" customHeight="1">
      <c r="A1199" s="6">
        <v>1.0</v>
      </c>
      <c r="B1199" s="6">
        <v>111.0</v>
      </c>
      <c r="C1199" s="6">
        <v>4.0</v>
      </c>
      <c r="D1199" s="9" t="s">
        <v>1239</v>
      </c>
      <c r="E1199" s="9" t="s">
        <v>1240</v>
      </c>
      <c r="F1199" s="8" t="str">
        <f>IFERROR(__xludf.DUMMYFUNCTION("GOOGLETRANSLATE(D1199,""zh-CN"",""vi"")"),"Cải thảo Trung Quốc")</f>
        <v>Cải thảo Trung Quốc</v>
      </c>
      <c r="G1199" s="8" t="str">
        <f>IFERROR(__xludf.DUMMYFUNCTION("GOOGLETRANSLATE(E1199,""zh-CN"",""vi"")"),"Một cây bắp cải xanh mướt. Kết hợp lại, ta được hai cây bắp cải.")</f>
        <v>Một cây bắp cải xanh mướt. Kết hợp lại, ta được hai cây bắp cải.</v>
      </c>
      <c r="H1199" s="8"/>
      <c r="I1199" s="8"/>
      <c r="J1199" s="8"/>
    </row>
    <row r="1200" ht="21.0" customHeight="1">
      <c r="A1200" s="6">
        <v>1.0</v>
      </c>
      <c r="B1200" s="6">
        <v>111.0</v>
      </c>
      <c r="C1200" s="6">
        <v>5.0</v>
      </c>
      <c r="D1200" s="9" t="s">
        <v>1241</v>
      </c>
      <c r="E1200" s="9" t="s">
        <v>1242</v>
      </c>
      <c r="F1200" s="8" t="str">
        <f>IFERROR(__xludf.DUMMYFUNCTION("GOOGLETRANSLATE(D1200,""zh-CN"",""vi"")"),"Hai cây bắp cải")</f>
        <v>Hai cây bắp cải</v>
      </c>
      <c r="G1200" s="8" t="str">
        <f>IFERROR(__xludf.DUMMYFUNCTION("GOOGLETRANSLATE(E1200,""zh-CN"",""vi"")"),"Hai cây bắp cải có thể dùng được cả tuần. Kết hợp chúng lại để được một bó bắp cải.")</f>
        <v>Hai cây bắp cải có thể dùng được cả tuần. Kết hợp chúng lại để được một bó bắp cải.</v>
      </c>
      <c r="H1200" s="8"/>
      <c r="I1200" s="8"/>
      <c r="J1200" s="8"/>
    </row>
    <row r="1201" ht="21.0" customHeight="1">
      <c r="A1201" s="6">
        <v>1.0</v>
      </c>
      <c r="B1201" s="6">
        <v>111.0</v>
      </c>
      <c r="C1201" s="6">
        <v>6.0</v>
      </c>
      <c r="D1201" s="9" t="s">
        <v>1243</v>
      </c>
      <c r="E1201" s="9" t="s">
        <v>1244</v>
      </c>
      <c r="F1201" s="8" t="str">
        <f>IFERROR(__xludf.DUMMYFUNCTION("GOOGLETRANSLATE(D1201,""zh-CN"",""vi"")"),"Một đống bắp cải")</f>
        <v>Một đống bắp cải</v>
      </c>
      <c r="G1201" s="8" t="str">
        <f>IFERROR(__xludf.DUMMYFUNCTION("GOOGLETRANSLATE(E1201,""zh-CN"",""vi"")"),"Bạn đã bắt đầu tích trữ bắp cải chưa? Bạn có thể tự làm một giỏ bắp cải.")</f>
        <v>Bạn đã bắt đầu tích trữ bắp cải chưa? Bạn có thể tự làm một giỏ bắp cải.</v>
      </c>
      <c r="H1201" s="8"/>
      <c r="I1201" s="8"/>
      <c r="J1201" s="8"/>
    </row>
    <row r="1202" ht="21.0" customHeight="1">
      <c r="A1202" s="6">
        <v>1.0</v>
      </c>
      <c r="B1202" s="6">
        <v>111.0</v>
      </c>
      <c r="C1202" s="6">
        <v>7.0</v>
      </c>
      <c r="D1202" s="9" t="s">
        <v>1245</v>
      </c>
      <c r="E1202" s="9" t="s">
        <v>1246</v>
      </c>
      <c r="F1202" s="8" t="str">
        <f>IFERROR(__xludf.DUMMYFUNCTION("GOOGLETRANSLATE(D1202,""zh-CN"",""vi"")"),"Một giỏ bắp cải")</f>
        <v>Một giỏ bắp cải</v>
      </c>
      <c r="G1202" s="8" t="str">
        <f>IFERROR(__xludf.DUMMYFUNCTION("GOOGLETRANSLATE(E1202,""zh-CN"",""vi"")"),"Xiaomei và bà của cô bé phải cần hai người mới khiêng nổi. Gộp hai người lại sẽ được một thùng bắp cải.")</f>
        <v>Xiaomei và bà của cô bé phải cần hai người mới khiêng nổi. Gộp hai người lại sẽ được một thùng bắp cải.</v>
      </c>
      <c r="H1202" s="8"/>
      <c r="I1202" s="8"/>
      <c r="J1202" s="8"/>
    </row>
    <row r="1203" ht="21.0" customHeight="1">
      <c r="A1203" s="6">
        <v>1.0</v>
      </c>
      <c r="B1203" s="6">
        <v>111.0</v>
      </c>
      <c r="C1203" s="6">
        <v>8.0</v>
      </c>
      <c r="D1203" s="9" t="s">
        <v>1247</v>
      </c>
      <c r="E1203" s="9" t="s">
        <v>1248</v>
      </c>
      <c r="F1203" s="8" t="str">
        <f>IFERROR(__xludf.DUMMYFUNCTION("GOOGLETRANSLATE(D1203,""zh-CN"",""vi"")"),"Một hộp bắp cải")</f>
        <v>Một hộp bắp cải</v>
      </c>
      <c r="G1203" s="8" t="str">
        <f>IFERROR(__xludf.DUMMYFUNCTION("GOOGLETRANSLATE(E1203,""zh-CN"",""vi"")"),"Một thùng bắp cải được gửi đến từ phương xa bằng dịch vụ chuyển phát nhanh. Hãy kết hợp chúng để tạo ra một Tinh linh Bắp cải.")</f>
        <v>Một thùng bắp cải được gửi đến từ phương xa bằng dịch vụ chuyển phát nhanh. Hãy kết hợp chúng để tạo ra một Tinh linh Bắp cải.</v>
      </c>
      <c r="H1203" s="8"/>
      <c r="I1203" s="8"/>
      <c r="J1203" s="8"/>
    </row>
    <row r="1204" ht="21.0" customHeight="1">
      <c r="A1204" s="6">
        <v>1.0</v>
      </c>
      <c r="B1204" s="6">
        <v>111.0</v>
      </c>
      <c r="C1204" s="6">
        <v>9.0</v>
      </c>
      <c r="D1204" s="9" t="s">
        <v>1249</v>
      </c>
      <c r="E1204" s="9" t="s">
        <v>1250</v>
      </c>
      <c r="F1204" s="8" t="str">
        <f>IFERROR(__xludf.DUMMYFUNCTION("GOOGLETRANSLATE(D1204,""zh-CN"",""vi"")"),"Mảnh vỡ yêu tinh chó rau củ")</f>
        <v>Mảnh vỡ yêu tinh chó rau củ</v>
      </c>
      <c r="G1204" s="8" t="str">
        <f>IFERROR(__xludf.DUMMYFUNCTION("GOOGLETRANSLATE(E1204,""zh-CN"",""vi"")"),"Đây là hình ảnh của một cây bắp cải đã sống dậy. Nó đã đạt đến cấp độ cao nhất.")</f>
        <v>Đây là hình ảnh của một cây bắp cải đã sống dậy. Nó đã đạt đến cấp độ cao nhất.</v>
      </c>
      <c r="H1204" s="8"/>
      <c r="I1204" s="8"/>
      <c r="J1204" s="8"/>
    </row>
    <row r="1205" ht="21.0" customHeight="1">
      <c r="A1205" s="6">
        <v>13.0</v>
      </c>
      <c r="B1205" s="6">
        <v>111.0</v>
      </c>
      <c r="C1205" s="6">
        <v>10.0</v>
      </c>
      <c r="D1205" s="33" t="s">
        <v>1251</v>
      </c>
      <c r="E1205" s="33" t="s">
        <v>1252</v>
      </c>
      <c r="F1205" s="8" t="str">
        <f>IFERROR(__xludf.DUMMYFUNCTION("GOOGLETRANSLATE(D1205,""zh-CN"",""vi"")"),"CaiCaiDogElf")</f>
        <v>CaiCaiDogElf</v>
      </c>
      <c r="G1205" s="8" t="str">
        <f>IFERROR(__xludf.DUMMYFUNCTION("GOOGLETRANSLATE(E1205,""zh-CN"",""vi"")"),"Gâu gâu gâu~ Tôi có một năng lực kỳ diệu!")</f>
        <v>Gâu gâu gâu~ Tôi có một năng lực kỳ diệu!</v>
      </c>
      <c r="H1205" s="8"/>
      <c r="I1205" s="8"/>
      <c r="J1205" s="8"/>
    </row>
    <row r="1206" ht="21.0" customHeight="1">
      <c r="A1206" s="6">
        <v>1.0</v>
      </c>
      <c r="B1206" s="6">
        <v>112.0</v>
      </c>
      <c r="C1206" s="6">
        <v>1.0</v>
      </c>
      <c r="D1206" s="9" t="s">
        <v>1253</v>
      </c>
      <c r="E1206" s="9" t="s">
        <v>1254</v>
      </c>
      <c r="F1206" s="8" t="str">
        <f>IFERROR(__xludf.DUMMYFUNCTION("GOOGLETRANSLATE(D1206,""zh-CN"",""vi"")"),"lá củ dền")</f>
        <v>lá củ dền</v>
      </c>
      <c r="G1206" s="8" t="str">
        <f>IFERROR(__xludf.DUMMYFUNCTION("GOOGLETRANSLATE(E1206,""zh-CN"",""vi"")"),"Một lá củ dền. Khi chế tạo sẽ thu được hai lá củ dền.")</f>
        <v>Một lá củ dền. Khi chế tạo sẽ thu được hai lá củ dền.</v>
      </c>
      <c r="H1206" s="8"/>
      <c r="I1206" s="8"/>
      <c r="J1206" s="8"/>
    </row>
    <row r="1207" ht="21.0" customHeight="1">
      <c r="A1207" s="6">
        <v>1.0</v>
      </c>
      <c r="B1207" s="6">
        <v>112.0</v>
      </c>
      <c r="C1207" s="6">
        <v>2.0</v>
      </c>
      <c r="D1207" s="9" t="s">
        <v>1255</v>
      </c>
      <c r="E1207" s="9" t="s">
        <v>1256</v>
      </c>
      <c r="F1207" s="8" t="str">
        <f>IFERROR(__xludf.DUMMYFUNCTION("GOOGLETRANSLATE(D1207,""zh-CN"",""vi"")"),"Hai lá củ dền")</f>
        <v>Hai lá củ dền</v>
      </c>
      <c r="G1207" s="8" t="str">
        <f>IFERROR(__xludf.DUMMYFUNCTION("GOOGLETRANSLATE(E1207,""zh-CN"",""vi"")"),"Hai lá củ dền. Kết hợp chúng lại để tạo thành một đống lá củ dền.")</f>
        <v>Hai lá củ dền. Kết hợp chúng lại để tạo thành một đống lá củ dền.</v>
      </c>
      <c r="H1207" s="8"/>
      <c r="I1207" s="8"/>
      <c r="J1207" s="8"/>
    </row>
    <row r="1208" ht="21.0" customHeight="1">
      <c r="A1208" s="6">
        <v>1.0</v>
      </c>
      <c r="B1208" s="6">
        <v>112.0</v>
      </c>
      <c r="C1208" s="6">
        <v>3.0</v>
      </c>
      <c r="D1208" s="9" t="s">
        <v>1257</v>
      </c>
      <c r="E1208" s="9" t="s">
        <v>1258</v>
      </c>
      <c r="F1208" s="8" t="str">
        <f>IFERROR(__xludf.DUMMYFUNCTION("GOOGLETRANSLATE(D1208,""zh-CN"",""vi"")"),"đống lá củ dền")</f>
        <v>đống lá củ dền</v>
      </c>
      <c r="G1208" s="8" t="str">
        <f>IFERROR(__xludf.DUMMYFUNCTION("GOOGLETRANSLATE(E1208,""zh-CN"",""vi"")"),"Rất nhiều lá củ dền. Kết hợp chúng lại để được một củ dền.")</f>
        <v>Rất nhiều lá củ dền. Kết hợp chúng lại để được một củ dền.</v>
      </c>
      <c r="H1208" s="8"/>
      <c r="I1208" s="8"/>
      <c r="J1208" s="8"/>
    </row>
    <row r="1209" ht="21.0" customHeight="1">
      <c r="A1209" s="6">
        <v>1.0</v>
      </c>
      <c r="B1209" s="6">
        <v>112.0</v>
      </c>
      <c r="C1209" s="6">
        <v>4.0</v>
      </c>
      <c r="D1209" s="9" t="s">
        <v>1259</v>
      </c>
      <c r="E1209" s="9" t="s">
        <v>1260</v>
      </c>
      <c r="F1209" s="8" t="str">
        <f>IFERROR(__xludf.DUMMYFUNCTION("GOOGLETRANSLATE(D1209,""zh-CN"",""vi"")"),"Củ dền")</f>
        <v>Củ dền</v>
      </c>
      <c r="G1209" s="8" t="str">
        <f>IFERROR(__xludf.DUMMYFUNCTION("GOOGLETRANSLATE(E1209,""zh-CN"",""vi"")"),"Đây chắc chắn không phải là củ cải trắng. Khi chế biến, bạn sẽ thu được hai củ dền.")</f>
        <v>Đây chắc chắn không phải là củ cải trắng. Khi chế biến, bạn sẽ thu được hai củ dền.</v>
      </c>
      <c r="H1209" s="8"/>
      <c r="I1209" s="8"/>
      <c r="J1209" s="8"/>
    </row>
    <row r="1210" ht="21.0" customHeight="1">
      <c r="A1210" s="6">
        <v>1.0</v>
      </c>
      <c r="B1210" s="6">
        <v>112.0</v>
      </c>
      <c r="C1210" s="6">
        <v>5.0</v>
      </c>
      <c r="D1210" s="9" t="s">
        <v>1261</v>
      </c>
      <c r="E1210" s="9" t="s">
        <v>1262</v>
      </c>
      <c r="F1210" s="8" t="str">
        <f>IFERROR(__xludf.DUMMYFUNCTION("GOOGLETRANSLATE(D1210,""zh-CN"",""vi"")"),"Hai củ cải đường")</f>
        <v>Hai củ cải đường</v>
      </c>
      <c r="G1210" s="8" t="str">
        <f>IFERROR(__xludf.DUMMYFUNCTION("GOOGLETRANSLATE(E1210,""zh-CN"",""vi"")"),"Hai củ dền, ngọt và tròn. Kết hợp chúng lại để được một bó củ dền.")</f>
        <v>Hai củ dền, ngọt và tròn. Kết hợp chúng lại để được một bó củ dền.</v>
      </c>
      <c r="H1210" s="8"/>
      <c r="I1210" s="8"/>
      <c r="J1210" s="8"/>
    </row>
    <row r="1211" ht="21.0" customHeight="1">
      <c r="A1211" s="6">
        <v>1.0</v>
      </c>
      <c r="B1211" s="6">
        <v>112.0</v>
      </c>
      <c r="C1211" s="6">
        <v>6.0</v>
      </c>
      <c r="D1211" s="9" t="s">
        <v>1263</v>
      </c>
      <c r="E1211" s="9" t="s">
        <v>1264</v>
      </c>
      <c r="F1211" s="8" t="str">
        <f>IFERROR(__xludf.DUMMYFUNCTION("GOOGLETRANSLATE(D1211,""zh-CN"",""vi"")"),"Một bó củ dền")</f>
        <v>Một bó củ dền</v>
      </c>
      <c r="G1211" s="8" t="str">
        <f>IFERROR(__xludf.DUMMYFUNCTION("GOOGLETRANSLATE(E1211,""zh-CN"",""vi"")"),"Nếu không ăn hết, bạn có thể bảo quản. Bạn có thể trộn chúng lại để làm salad củ dền.")</f>
        <v>Nếu không ăn hết, bạn có thể bảo quản. Bạn có thể trộn chúng lại để làm salad củ dền.</v>
      </c>
      <c r="H1211" s="8"/>
      <c r="I1211" s="8"/>
      <c r="J1211" s="8"/>
    </row>
    <row r="1212" ht="21.0" customHeight="1">
      <c r="A1212" s="6">
        <v>1.0</v>
      </c>
      <c r="B1212" s="6">
        <v>112.0</v>
      </c>
      <c r="C1212" s="6">
        <v>7.0</v>
      </c>
      <c r="D1212" s="9" t="s">
        <v>1265</v>
      </c>
      <c r="E1212" s="9" t="s">
        <v>1266</v>
      </c>
      <c r="F1212" s="8" t="str">
        <f>IFERROR(__xludf.DUMMYFUNCTION("GOOGLETRANSLATE(D1212,""zh-CN"",""vi"")"),"salad củ dền")</f>
        <v>salad củ dền</v>
      </c>
      <c r="G1212" s="8" t="str">
        <f>IFERROR(__xludf.DUMMYFUNCTION("GOOGLETRANSLATE(E1212,""zh-CN"",""vi"")"),"Một món ăn mới được yêu thích trong thế giới salad. Khi kết hợp với nhau, nó tạo ra nước sốt củ dền.")</f>
        <v>Một món ăn mới được yêu thích trong thế giới salad. Khi kết hợp với nhau, nó tạo ra nước sốt củ dền.</v>
      </c>
      <c r="H1212" s="8"/>
      <c r="I1212" s="8"/>
      <c r="J1212" s="8"/>
    </row>
    <row r="1213" ht="21.0" customHeight="1">
      <c r="A1213" s="6">
        <v>1.0</v>
      </c>
      <c r="B1213" s="6">
        <v>112.0</v>
      </c>
      <c r="C1213" s="6">
        <v>8.0</v>
      </c>
      <c r="D1213" s="9" t="s">
        <v>1267</v>
      </c>
      <c r="E1213" s="9" t="s">
        <v>1268</v>
      </c>
      <c r="F1213" s="8" t="str">
        <f>IFERROR(__xludf.DUMMYFUNCTION("GOOGLETRANSLATE(D1213,""zh-CN"",""vi"")"),"nước sốt củ dền")</f>
        <v>nước sốt củ dền</v>
      </c>
      <c r="G1213" s="8" t="str">
        <f>IFERROR(__xludf.DUMMYFUNCTION("GOOGLETRANSLATE(E1213,""zh-CN"",""vi"")"),"Nước sốt củ dền là một món ăn kèm tuyệt vời. Có thể kết hợp với các nguyên liệu khác để tạo ra nước ép củ dền.")</f>
        <v>Nước sốt củ dền là một món ăn kèm tuyệt vời. Có thể kết hợp với các nguyên liệu khác để tạo ra nước ép củ dền.</v>
      </c>
      <c r="H1213" s="8"/>
      <c r="I1213" s="8"/>
      <c r="J1213" s="8"/>
    </row>
    <row r="1214" ht="21.0" customHeight="1">
      <c r="A1214" s="6">
        <v>1.0</v>
      </c>
      <c r="B1214" s="6">
        <v>112.0</v>
      </c>
      <c r="C1214" s="6">
        <v>9.0</v>
      </c>
      <c r="D1214" s="9" t="s">
        <v>1269</v>
      </c>
      <c r="E1214" s="9" t="s">
        <v>1270</v>
      </c>
      <c r="F1214" s="8" t="str">
        <f>IFERROR(__xludf.DUMMYFUNCTION("GOOGLETRANSLATE(D1214,""zh-CN"",""vi"")"),"nước ép củ dền")</f>
        <v>nước ép củ dền</v>
      </c>
      <c r="G1214" s="8" t="str">
        <f>IFERROR(__xludf.DUMMYFUNCTION("GOOGLETRANSLATE(E1214,""zh-CN"",""vi"")"),"Nó có vị ngọt, và là món yêu thích của Xiaomei. Bạn có thể chế biến nó để nhận được Mảnh Cá Củ Cải Đường.")</f>
        <v>Nó có vị ngọt, và là món yêu thích của Xiaomei. Bạn có thể chế biến nó để nhận được Mảnh Cá Củ Cải Đường.</v>
      </c>
      <c r="H1214" s="8"/>
      <c r="I1214" s="8"/>
      <c r="J1214" s="8"/>
    </row>
    <row r="1215" ht="21.0" customHeight="1">
      <c r="A1215" s="6">
        <v>1.0</v>
      </c>
      <c r="B1215" s="6">
        <v>112.0</v>
      </c>
      <c r="C1215" s="6">
        <v>10.0</v>
      </c>
      <c r="D1215" s="9" t="s">
        <v>1271</v>
      </c>
      <c r="E1215" s="9" t="s">
        <v>1272</v>
      </c>
      <c r="F1215" s="8" t="str">
        <f>IFERROR(__xludf.DUMMYFUNCTION("GOOGLETRANSLATE(D1215,""zh-CN"",""vi"")"),"Vảy cá củ dền")</f>
        <v>Vảy cá củ dền</v>
      </c>
      <c r="G1215" s="8" t="str">
        <f>IFERROR(__xludf.DUMMYFUNCTION("GOOGLETRANSLATE(E1215,""zh-CN"",""vi"")"),"Anh chàng này trông giống như đầu cá. (Tổng hợp lại sẽ tạo ra một sinh vật Beetfish Sprite.)")</f>
        <v>Anh chàng này trông giống như đầu cá. (Tổng hợp lại sẽ tạo ra một sinh vật Beetfish Sprite.)</v>
      </c>
      <c r="H1215" s="8"/>
      <c r="I1215" s="8"/>
      <c r="J1215" s="8"/>
    </row>
    <row r="1216" ht="21.0" customHeight="1">
      <c r="A1216" s="6">
        <v>13.0</v>
      </c>
      <c r="B1216" s="6">
        <v>112.0</v>
      </c>
      <c r="C1216" s="6">
        <v>11.0</v>
      </c>
      <c r="D1216" s="33" t="s">
        <v>1273</v>
      </c>
      <c r="E1216" s="33" t="s">
        <v>1274</v>
      </c>
      <c r="F1216" s="8" t="str">
        <f>IFERROR(__xludf.DUMMYFUNCTION("GOOGLETRANSLATE(D1216,""zh-CN"",""vi"")"),"Tiên cá củ dền")</f>
        <v>Tiên cá củ dền</v>
      </c>
      <c r="G1216" s="8" t="str">
        <f>IFERROR(__xludf.DUMMYFUNCTION("GOOGLETRANSLATE(E1216,""zh-CN"",""vi"")"),"Những bong bóng đầy màu sắc có một sức mạnh kỳ diệu!")</f>
        <v>Những bong bóng đầy màu sắc có một sức mạnh kỳ diệu!</v>
      </c>
      <c r="H1216" s="8"/>
      <c r="I1216" s="8"/>
      <c r="J1216" s="8"/>
    </row>
    <row r="1217" ht="21.0" customHeight="1">
      <c r="A1217" s="6">
        <v>11.0</v>
      </c>
      <c r="B1217" s="6">
        <v>1007.0</v>
      </c>
      <c r="C1217" s="6">
        <v>1.0</v>
      </c>
      <c r="D1217" s="9" t="s">
        <v>1275</v>
      </c>
      <c r="E1217" s="9" t="s">
        <v>1276</v>
      </c>
      <c r="F1217" s="8" t="str">
        <f>IFERROR(__xludf.DUMMYFUNCTION("GOOGLETRANSLATE(D1217,""zh-CN"",""vi"")"),"giàn giáo")</f>
        <v>giàn giáo</v>
      </c>
      <c r="G1217" s="8" t="str">
        <f>IFERROR(__xludf.DUMMYFUNCTION("GOOGLETRANSLATE(E1217,""zh-CN"",""vi"")"),"Một giàn giáo thông thường. Tổng hợp nó lên cấp độ 5 để thu được cây trồng mẹ.")</f>
        <v>Một giàn giáo thông thường. Tổng hợp nó lên cấp độ 5 để thu được cây trồng mẹ.</v>
      </c>
      <c r="H1217" s="8"/>
      <c r="I1217" s="8"/>
      <c r="J1217" s="8"/>
    </row>
    <row r="1218" ht="21.0" customHeight="1">
      <c r="A1218" s="6">
        <v>11.0</v>
      </c>
      <c r="B1218" s="6">
        <v>1007.0</v>
      </c>
      <c r="C1218" s="6">
        <v>2.0</v>
      </c>
      <c r="D1218" s="9" t="s">
        <v>1277</v>
      </c>
      <c r="E1218" s="9" t="s">
        <v>1278</v>
      </c>
      <c r="F1218" s="8" t="str">
        <f>IFERROR(__xludf.DUMMYFUNCTION("GOOGLETRANSLATE(D1218,""zh-CN"",""vi"")"),"khung vuông")</f>
        <v>khung vuông</v>
      </c>
      <c r="G1218" s="8" t="str">
        <f>IFERROR(__xludf.DUMMYFUNCTION("GOOGLETRANSLATE(E1218,""zh-CN"",""vi"")"),"Nguyên liệu cơ bản để xây nhà kính. Chế tạo đến cấp độ 5 sẽ thu được cây trồng chính.")</f>
        <v>Nguyên liệu cơ bản để xây nhà kính. Chế tạo đến cấp độ 5 sẽ thu được cây trồng chính.</v>
      </c>
      <c r="H1218" s="8"/>
      <c r="I1218" s="8"/>
      <c r="J1218" s="8"/>
    </row>
    <row r="1219" ht="21.0" customHeight="1">
      <c r="A1219" s="6">
        <v>11.0</v>
      </c>
      <c r="B1219" s="6">
        <v>1007.0</v>
      </c>
      <c r="C1219" s="6">
        <v>3.0</v>
      </c>
      <c r="D1219" s="9" t="s">
        <v>1279</v>
      </c>
      <c r="E1219" s="9" t="s">
        <v>1280</v>
      </c>
      <c r="F1219" s="8" t="str">
        <f>IFERROR(__xludf.DUMMYFUNCTION("GOOGLETRANSLATE(D1219,""zh-CN"",""vi"")"),"khung hình chữ nhật")</f>
        <v>khung hình chữ nhật</v>
      </c>
      <c r="G1219" s="8" t="str">
        <f>IFERROR(__xludf.DUMMYFUNCTION("GOOGLETRANSLATE(E1219,""zh-CN"",""vi"")"),"Một khung hình chữ nhật được làm từ giàn giáo. Chế tạo nó đến cấp độ 5 sẽ thu được cây trồng chính.")</f>
        <v>Một khung hình chữ nhật được làm từ giàn giáo. Chế tạo nó đến cấp độ 5 sẽ thu được cây trồng chính.</v>
      </c>
      <c r="H1219" s="8"/>
      <c r="I1219" s="8"/>
      <c r="J1219" s="8"/>
    </row>
    <row r="1220" ht="21.0" customHeight="1">
      <c r="A1220" s="6">
        <v>11.0</v>
      </c>
      <c r="B1220" s="6">
        <v>1007.0</v>
      </c>
      <c r="C1220" s="6">
        <v>4.0</v>
      </c>
      <c r="D1220" s="9" t="s">
        <v>1281</v>
      </c>
      <c r="E1220" s="9" t="s">
        <v>1282</v>
      </c>
      <c r="F1220" s="8" t="str">
        <f>IFERROR(__xludf.DUMMYFUNCTION("GOOGLETRANSLATE(D1220,""zh-CN"",""vi"")"),"khung hình chữ nhật")</f>
        <v>khung hình chữ nhật</v>
      </c>
      <c r="G1220" s="8" t="str">
        <f>IFERROR(__xludf.DUMMYFUNCTION("GOOGLETRANSLATE(E1220,""zh-CN"",""vi"")"),"Như bạn thấy, khung đã hoàn thiện rồi. Hãy tổng hợp nó lên cấp độ 5 để thu được cây trồng chính.")</f>
        <v>Như bạn thấy, khung đã hoàn thiện rồi. Hãy tổng hợp nó lên cấp độ 5 để thu được cây trồng chính.</v>
      </c>
      <c r="H1220" s="8"/>
      <c r="I1220" s="8"/>
      <c r="J1220" s="8"/>
    </row>
    <row r="1221" ht="21.0" customHeight="1">
      <c r="A1221" s="6">
        <v>10.0</v>
      </c>
      <c r="B1221" s="6">
        <v>1007.0</v>
      </c>
      <c r="C1221" s="6">
        <v>5.0</v>
      </c>
      <c r="D1221" s="9" t="s">
        <v>1283</v>
      </c>
      <c r="E1221" s="9" t="s">
        <v>1284</v>
      </c>
      <c r="F1221" s="8" t="str">
        <f>IFERROR(__xludf.DUMMYFUNCTION("GOOGLETRANSLATE(D1221,""zh-CN"",""vi"")"),"khung phim")</f>
        <v>khung phim</v>
      </c>
      <c r="G1221" s="8" t="str">
        <f>IFERROR(__xludf.DUMMYFUNCTION("GOOGLETRANSLATE(E1221,""zh-CN"",""vi"")"),"Một lớp màng cách nhiệt phủ lên trên khung. Có thể dùng cách này để tạo ra một nhà kính đơn giản.")</f>
        <v>Một lớp màng cách nhiệt phủ lên trên khung. Có thể dùng cách này để tạo ra một nhà kính đơn giản.</v>
      </c>
      <c r="H1221" s="8"/>
      <c r="I1221" s="8"/>
      <c r="J1221" s="8"/>
    </row>
    <row r="1222" ht="21.0" customHeight="1">
      <c r="A1222" s="6">
        <v>10.0</v>
      </c>
      <c r="B1222" s="6">
        <v>1007.0</v>
      </c>
      <c r="C1222" s="6">
        <v>6.0</v>
      </c>
      <c r="D1222" s="9" t="s">
        <v>1285</v>
      </c>
      <c r="E1222" s="9" t="s">
        <v>1286</v>
      </c>
      <c r="F1222" s="8" t="str">
        <f>IFERROR(__xludf.DUMMYFUNCTION("GOOGLETRANSLATE(D1222,""zh-CN"",""vi"")"),"Nhà kính chính")</f>
        <v>Nhà kính chính</v>
      </c>
      <c r="G1222" s="8" t="str">
        <f>IFERROR(__xludf.DUMMYFUNCTION("GOOGLETRANSLATE(E1222,""zh-CN"",""vi"")"),"Một nhà kính trồng cây đơn giản có góc nhọn. Có thể tạo ra một nhà kính hình vuông từ nó.")</f>
        <v>Một nhà kính trồng cây đơn giản có góc nhọn. Có thể tạo ra một nhà kính hình vuông từ nó.</v>
      </c>
      <c r="H1222" s="8"/>
      <c r="I1222" s="8"/>
      <c r="J1222" s="8"/>
    </row>
    <row r="1223" ht="21.0" customHeight="1">
      <c r="A1223" s="6">
        <v>10.0</v>
      </c>
      <c r="B1223" s="6">
        <v>1007.0</v>
      </c>
      <c r="C1223" s="6">
        <v>7.0</v>
      </c>
      <c r="D1223" s="9" t="s">
        <v>1287</v>
      </c>
      <c r="E1223" s="9" t="s">
        <v>1288</v>
      </c>
      <c r="F1223" s="8" t="str">
        <f>IFERROR(__xludf.DUMMYFUNCTION("GOOGLETRANSLATE(D1223,""zh-CN"",""vi"")"),"Nhà kính vuông")</f>
        <v>Nhà kính vuông</v>
      </c>
      <c r="G1223" s="8" t="str">
        <f>IFERROR(__xludf.DUMMYFUNCTION("GOOGLETRANSLATE(E1223,""zh-CN"",""vi"")"),"Một nhà kính trồng cây đơn giản. Từ đó, người ta có thể chế tạo một nhà kính cao cấp hơn.")</f>
        <v>Một nhà kính trồng cây đơn giản. Từ đó, người ta có thể chế tạo một nhà kính cao cấp hơn.</v>
      </c>
      <c r="H1223" s="8"/>
      <c r="I1223" s="8"/>
      <c r="J1223" s="8"/>
    </row>
    <row r="1224" ht="21.0" customHeight="1">
      <c r="A1224" s="6">
        <v>10.0</v>
      </c>
      <c r="B1224" s="6">
        <v>1007.0</v>
      </c>
      <c r="C1224" s="6">
        <v>8.0</v>
      </c>
      <c r="D1224" s="9" t="s">
        <v>1289</v>
      </c>
      <c r="E1224" s="9" t="s">
        <v>1290</v>
      </c>
      <c r="F1224" s="8" t="str">
        <f>IFERROR(__xludf.DUMMYFUNCTION("GOOGLETRANSLATE(D1224,""zh-CN"",""vi"")"),"Nhà kính sang trọng")</f>
        <v>Nhà kính sang trọng</v>
      </c>
      <c r="G1224" s="8" t="str">
        <f>IFERROR(__xludf.DUMMYFUNCTION("GOOGLETRANSLATE(E1224,""zh-CN"",""vi"")"),"Một trong những ví dụ điển hình nhất về nhà kính trồng cây. Nhà kính hai lớp có thể được tạo ra bằng phương pháp tổng hợp.")</f>
        <v>Một trong những ví dụ điển hình nhất về nhà kính trồng cây. Nhà kính hai lớp có thể được tạo ra bằng phương pháp tổng hợp.</v>
      </c>
      <c r="H1224" s="8"/>
      <c r="I1224" s="8"/>
      <c r="J1224" s="8"/>
    </row>
    <row r="1225" ht="21.0" customHeight="1">
      <c r="A1225" s="6">
        <v>10.0</v>
      </c>
      <c r="B1225" s="6">
        <v>1007.0</v>
      </c>
      <c r="C1225" s="6">
        <v>9.0</v>
      </c>
      <c r="D1225" s="9" t="s">
        <v>1291</v>
      </c>
      <c r="E1225" s="9" t="s">
        <v>1292</v>
      </c>
      <c r="F1225" s="8" t="str">
        <f>IFERROR(__xludf.DUMMYFUNCTION("GOOGLETRANSLATE(D1225,""zh-CN"",""vi"")"),"Nhà kính hai lớp")</f>
        <v>Nhà kính hai lớp</v>
      </c>
      <c r="G1225" s="8" t="str">
        <f>IFERROR(__xludf.DUMMYFUNCTION("GOOGLETRANSLATE(E1225,""zh-CN"",""vi"")"),"Nhà kính hai tầng có thể chứa được nhiều cây hơn. Nhà kính tự động có thể được tạo ra thông qua quá trình tổng hợp.")</f>
        <v>Nhà kính hai tầng có thể chứa được nhiều cây hơn. Nhà kính tự động có thể được tạo ra thông qua quá trình tổng hợp.</v>
      </c>
      <c r="H1225" s="8"/>
      <c r="I1225" s="8"/>
      <c r="J1225" s="8"/>
    </row>
    <row r="1226" ht="21.0" customHeight="1">
      <c r="A1226" s="6">
        <v>10.0</v>
      </c>
      <c r="B1226" s="6">
        <v>1007.0</v>
      </c>
      <c r="C1226" s="6">
        <v>10.0</v>
      </c>
      <c r="D1226" s="9" t="s">
        <v>1293</v>
      </c>
      <c r="E1226" s="9" t="s">
        <v>1294</v>
      </c>
      <c r="F1226" s="8" t="str">
        <f>IFERROR(__xludf.DUMMYFUNCTION("GOOGLETRANSLATE(D1226,""zh-CN"",""vi"")"),"Nhà kính tự động")</f>
        <v>Nhà kính tự động</v>
      </c>
      <c r="G1226" s="8" t="str">
        <f>IFERROR(__xludf.DUMMYFUNCTION("GOOGLETRANSLATE(E1226,""zh-CN"",""vi"")"),"Nhà kính ba tầng này sử dụng công nghệ tự động hóa và đã được nâng cấp lên mức cao nhất.")</f>
        <v>Nhà kính ba tầng này sử dụng công nghệ tự động hóa và đã được nâng cấp lên mức cao nhất.</v>
      </c>
      <c r="H1226" s="8"/>
      <c r="I1226" s="8"/>
      <c r="J1226" s="8"/>
    </row>
    <row r="1227" ht="21.0" customHeight="1">
      <c r="A1227" s="6">
        <v>1.0</v>
      </c>
      <c r="B1227" s="6">
        <v>113.0</v>
      </c>
      <c r="C1227" s="6">
        <v>1.0</v>
      </c>
      <c r="D1227" s="9" t="s">
        <v>1295</v>
      </c>
      <c r="E1227" s="9" t="s">
        <v>1296</v>
      </c>
      <c r="F1227" s="8" t="str">
        <f>IFERROR(__xludf.DUMMYFUNCTION("GOOGLETRANSLATE(D1227,""zh-CN"",""vi"")"),"lát lô hội")</f>
        <v>lát lô hội</v>
      </c>
      <c r="G1227" s="8" t="str">
        <f>IFERROR(__xludf.DUMMYFUNCTION("GOOGLETRANSLATE(E1227,""zh-CN"",""vi"")"),"Một lớp mỏng có thể được dùng làm mặt nạ. Rễ lô hội có thể được tổng hợp nhân tạo.")</f>
        <v>Một lớp mỏng có thể được dùng làm mặt nạ. Rễ lô hội có thể được tổng hợp nhân tạo.</v>
      </c>
      <c r="H1227" s="8"/>
      <c r="I1227" s="8"/>
      <c r="J1227" s="8"/>
    </row>
    <row r="1228" ht="21.0" customHeight="1">
      <c r="A1228" s="6">
        <v>1.0</v>
      </c>
      <c r="B1228" s="6">
        <v>113.0</v>
      </c>
      <c r="C1228" s="6">
        <v>2.0</v>
      </c>
      <c r="D1228" s="9" t="s">
        <v>1297</v>
      </c>
      <c r="E1228" s="9" t="s">
        <v>1298</v>
      </c>
      <c r="F1228" s="8" t="str">
        <f>IFERROR(__xludf.DUMMYFUNCTION("GOOGLETRANSLATE(D1228,""zh-CN"",""vi"")"),"Rễ lô hội")</f>
        <v>Rễ lô hội</v>
      </c>
      <c r="G1228" s="8" t="str">
        <f>IFERROR(__xludf.DUMMYFUNCTION("GOOGLETRANSLATE(E1228,""zh-CN"",""vi"")"),"Tinh chất dưỡng ẩm từ nha đam thảo dược. Được tổng hợp để thu được nha đam nguyên chất.")</f>
        <v>Tinh chất dưỡng ẩm từ nha đam thảo dược. Được tổng hợp để thu được nha đam nguyên chất.</v>
      </c>
      <c r="H1228" s="8"/>
      <c r="I1228" s="8"/>
      <c r="J1228" s="8"/>
    </row>
    <row r="1229" ht="21.0" customHeight="1">
      <c r="A1229" s="6">
        <v>1.0</v>
      </c>
      <c r="B1229" s="6">
        <v>113.0</v>
      </c>
      <c r="C1229" s="6">
        <v>3.0</v>
      </c>
      <c r="D1229" s="9" t="s">
        <v>1299</v>
      </c>
      <c r="E1229" s="9" t="s">
        <v>1300</v>
      </c>
      <c r="F1229" s="8" t="str">
        <f>IFERROR(__xludf.DUMMYFUNCTION("GOOGLETRANSLATE(D1229,""zh-CN"",""vi"")"),"Lô hội mới")</f>
        <v>Lô hội mới</v>
      </c>
      <c r="G1229" s="8" t="str">
        <f>IFERROR(__xludf.DUMMYFUNCTION("GOOGLETRANSLATE(E1229,""zh-CN"",""vi"")"),"Cây lô hội non mới mọc có màu xanh tươi tắn, mềm mại. Có thể kết hợp chúng để tạo thành một chậu cây lô hội.")</f>
        <v>Cây lô hội non mới mọc có màu xanh tươi tắn, mềm mại. Có thể kết hợp chúng để tạo thành một chậu cây lô hội.</v>
      </c>
      <c r="H1229" s="8"/>
      <c r="I1229" s="8"/>
      <c r="J1229" s="8"/>
    </row>
    <row r="1230" ht="21.0" customHeight="1">
      <c r="A1230" s="6">
        <v>1.0</v>
      </c>
      <c r="B1230" s="6">
        <v>113.0</v>
      </c>
      <c r="C1230" s="6">
        <v>4.0</v>
      </c>
      <c r="D1230" s="9" t="s">
        <v>1301</v>
      </c>
      <c r="E1230" s="9" t="s">
        <v>1302</v>
      </c>
      <c r="F1230" s="8" t="str">
        <f>IFERROR(__xludf.DUMMYFUNCTION("GOOGLETRANSLATE(D1230,""zh-CN"",""vi"")"),"cây lô hội trồng trong chậu")</f>
        <v>cây lô hội trồng trong chậu</v>
      </c>
      <c r="G1230" s="8" t="str">
        <f>IFERROR(__xludf.DUMMYFUNCTION("GOOGLETRANSLATE(E1230,""zh-CN"",""vi"")"),"Một chậu cây lô hội được đặt trước cửa sổ phòng ngủ của Xiaomei. Có thể tổng hợp nó để tạo ra một chậu cây lô hội.")</f>
        <v>Một chậu cây lô hội được đặt trước cửa sổ phòng ngủ của Xiaomei. Có thể tổng hợp nó để tạo ra một chậu cây lô hội.</v>
      </c>
      <c r="H1230" s="8"/>
      <c r="I1230" s="8"/>
      <c r="J1230" s="8"/>
    </row>
    <row r="1231" ht="21.0" customHeight="1">
      <c r="A1231" s="6">
        <v>1.0</v>
      </c>
      <c r="B1231" s="6">
        <v>113.0</v>
      </c>
      <c r="C1231" s="6">
        <v>5.0</v>
      </c>
      <c r="D1231" s="23" t="s">
        <v>1303</v>
      </c>
      <c r="E1231" s="9" t="s">
        <v>1304</v>
      </c>
      <c r="F1231" s="8" t="str">
        <f>IFERROR(__xludf.DUMMYFUNCTION("GOOGLETRANSLATE(D1231,""zh-CN"",""vi"")"),"lô hội trồng trong chậu")</f>
        <v>lô hội trồng trong chậu</v>
      </c>
      <c r="G1231" s="8" t="str">
        <f>IFERROR(__xludf.DUMMYFUNCTION("GOOGLETRANSLATE(E1231,""zh-CN"",""vi"")"),"Người ta đã sử dụng một chậu sứ. Nha đam loại cao cấp có thể được điều chế bằng phương pháp tổng hợp.")</f>
        <v>Người ta đã sử dụng một chậu sứ. Nha đam loại cao cấp có thể được điều chế bằng phương pháp tổng hợp.</v>
      </c>
      <c r="H1231" s="8"/>
      <c r="I1231" s="8"/>
      <c r="J1231" s="8"/>
    </row>
    <row r="1232" ht="21.0" customHeight="1">
      <c r="A1232" s="6">
        <v>1.0</v>
      </c>
      <c r="B1232" s="6">
        <v>113.0</v>
      </c>
      <c r="C1232" s="6">
        <v>6.0</v>
      </c>
      <c r="D1232" s="23" t="s">
        <v>1305</v>
      </c>
      <c r="E1232" s="9" t="s">
        <v>1306</v>
      </c>
      <c r="F1232" s="8" t="str">
        <f>IFERROR(__xludf.DUMMYFUNCTION("GOOGLETRANSLATE(D1232,""zh-CN"",""vi"")"),"Lô hội giàu chất dinh dưỡng")</f>
        <v>Lô hội giàu chất dinh dưỡng</v>
      </c>
      <c r="G1232" s="8" t="str">
        <f>IFERROR(__xludf.DUMMYFUNCTION("GOOGLETRANSLATE(E1232,""zh-CN"",""vi"")"),"Một thanh đỡ đã được thêm vào để tăng chiều cao. Điều này có thể được sử dụng để tạo ra một cây lô hội được nâng cao.")</f>
        <v>Một thanh đỡ đã được thêm vào để tăng chiều cao. Điều này có thể được sử dụng để tạo ra một cây lô hội được nâng cao.</v>
      </c>
      <c r="H1232" s="8"/>
      <c r="I1232" s="8"/>
      <c r="J1232" s="8"/>
    </row>
    <row r="1233" ht="21.0" customHeight="1">
      <c r="A1233" s="6">
        <v>1.0</v>
      </c>
      <c r="B1233" s="6">
        <v>113.0</v>
      </c>
      <c r="C1233" s="6">
        <v>7.0</v>
      </c>
      <c r="D1233" s="23" t="s">
        <v>1307</v>
      </c>
      <c r="E1233" s="9" t="s">
        <v>1308</v>
      </c>
      <c r="F1233" s="8" t="str">
        <f>IFERROR(__xludf.DUMMYFUNCTION("GOOGLETRANSLATE(D1233,""zh-CN"",""vi"")"),"Lô hội cao cấp")</f>
        <v>Lô hội cao cấp</v>
      </c>
      <c r="G1233" s="8" t="str">
        <f>IFERROR(__xludf.DUMMYFUNCTION("GOOGLETRANSLATE(E1233,""zh-CN"",""vi"")"),"Càng cao thì càng phát triển tốt. Bạn có thể tổng hợp cây lô hội.")</f>
        <v>Càng cao thì càng phát triển tốt. Bạn có thể tổng hợp cây lô hội.</v>
      </c>
      <c r="H1233" s="8"/>
      <c r="I1233" s="8"/>
      <c r="J1233" s="8"/>
    </row>
    <row r="1234" ht="21.0" customHeight="1">
      <c r="A1234" s="6">
        <v>1.0</v>
      </c>
      <c r="B1234" s="6">
        <v>113.0</v>
      </c>
      <c r="C1234" s="6">
        <v>8.0</v>
      </c>
      <c r="D1234" s="9" t="s">
        <v>1309</v>
      </c>
      <c r="E1234" s="9" t="s">
        <v>1310</v>
      </c>
      <c r="F1234" s="8" t="str">
        <f>IFERROR(__xludf.DUMMYFUNCTION("GOOGLETRANSLATE(D1234,""zh-CN"",""vi"")"),"cây lô hội trồng trong chậu")</f>
        <v>cây lô hội trồng trong chậu</v>
      </c>
      <c r="G1234" s="8" t="str">
        <f>IFERROR(__xludf.DUMMYFUNCTION("GOOGLETRANSLATE(E1234,""zh-CN"",""vi"")"),"Một trong những vật trang trí đẹp nhất cho khu vườn. Có thể dùng để tạo hình cảnh quan cây lô hội.")</f>
        <v>Một trong những vật trang trí đẹp nhất cho khu vườn. Có thể dùng để tạo hình cảnh quan cây lô hội.</v>
      </c>
      <c r="H1234" s="8"/>
      <c r="I1234" s="8"/>
      <c r="J1234" s="8"/>
    </row>
    <row r="1235" ht="21.0" customHeight="1">
      <c r="A1235" s="6">
        <v>1.0</v>
      </c>
      <c r="B1235" s="6">
        <v>113.0</v>
      </c>
      <c r="C1235" s="6">
        <v>9.0</v>
      </c>
      <c r="D1235" s="9" t="s">
        <v>1311</v>
      </c>
      <c r="E1235" s="9" t="s">
        <v>1312</v>
      </c>
      <c r="F1235" s="8" t="str">
        <f>IFERROR(__xludf.DUMMYFUNCTION("GOOGLETRANSLATE(D1235,""zh-CN"",""vi"")"),"Cảnh quan lô hội")</f>
        <v>Cảnh quan lô hội</v>
      </c>
      <c r="G1235" s="8" t="str">
        <f>IFERROR(__xludf.DUMMYFUNCTION("GOOGLETRANSLATE(E1235,""zh-CN"",""vi"")"),"Sân trong không còn chỗ trống nữa. Bạn có thể chế tạo Cột La Mã bằng Nha đam.")</f>
        <v>Sân trong không còn chỗ trống nữa. Bạn có thể chế tạo Cột La Mã bằng Nha đam.</v>
      </c>
      <c r="H1235" s="8"/>
      <c r="I1235" s="8"/>
      <c r="J1235" s="8"/>
    </row>
    <row r="1236" ht="21.0" customHeight="1">
      <c r="A1236" s="6">
        <v>1.0</v>
      </c>
      <c r="B1236" s="6">
        <v>113.0</v>
      </c>
      <c r="C1236" s="6">
        <v>10.0</v>
      </c>
      <c r="D1236" s="9" t="s">
        <v>1313</v>
      </c>
      <c r="E1236" s="9" t="s">
        <v>1314</v>
      </c>
      <c r="F1236" s="8" t="str">
        <f>IFERROR(__xludf.DUMMYFUNCTION("GOOGLETRANSLATE(D1236,""zh-CN"",""vi"")"),"Cột La Mã Nha đam")</f>
        <v>Cột La Mã Nha đam</v>
      </c>
      <c r="G1236" s="8" t="str">
        <f>IFERROR(__xludf.DUMMYFUNCTION("GOOGLETRANSLATE(E1236,""zh-CN"",""vi"")"),"Hai hàng cột La Mã bằng cây lô hội đã được đặt dọc theo lối đi trong sân. Chúng đã được nâng cấp lên loại cao cấp nhất.")</f>
        <v>Hai hàng cột La Mã bằng cây lô hội đã được đặt dọc theo lối đi trong sân. Chúng đã được nâng cấp lên loại cao cấp nhất.</v>
      </c>
      <c r="H1236" s="8"/>
      <c r="I1236" s="8"/>
      <c r="J1236" s="8"/>
    </row>
    <row r="1237" ht="21.0" customHeight="1">
      <c r="A1237" s="6">
        <v>1.0</v>
      </c>
      <c r="B1237" s="6">
        <v>114.0</v>
      </c>
      <c r="C1237" s="6">
        <v>1.0</v>
      </c>
      <c r="D1237" s="9" t="s">
        <v>1315</v>
      </c>
      <c r="E1237" s="9" t="s">
        <v>1316</v>
      </c>
      <c r="F1237" s="8" t="str">
        <f>IFERROR(__xludf.DUMMYFUNCTION("GOOGLETRANSLATE(D1237,""zh-CN"",""vi"")"),"Cánh hoa tulip")</f>
        <v>Cánh hoa tulip</v>
      </c>
      <c r="G1237" s="8" t="str">
        <f>IFERROR(__xludf.DUMMYFUNCTION("GOOGLETRANSLATE(E1237,""zh-CN"",""vi"")"),"Hương thơm tinh tế của cánh hoa đến từ nhị hoa. Sau khi thu hoạch, ta thu được một đống cánh hoa tulip.")</f>
        <v>Hương thơm tinh tế của cánh hoa đến từ nhị hoa. Sau khi thu hoạch, ta thu được một đống cánh hoa tulip.</v>
      </c>
      <c r="H1237" s="8"/>
      <c r="I1237" s="8"/>
      <c r="J1237" s="8"/>
    </row>
    <row r="1238" ht="21.0" customHeight="1">
      <c r="A1238" s="6">
        <v>1.0</v>
      </c>
      <c r="B1238" s="6">
        <v>114.0</v>
      </c>
      <c r="C1238" s="6">
        <v>2.0</v>
      </c>
      <c r="D1238" s="9" t="s">
        <v>1317</v>
      </c>
      <c r="E1238" s="9" t="s">
        <v>1318</v>
      </c>
      <c r="F1238" s="8" t="str">
        <f>IFERROR(__xludf.DUMMYFUNCTION("GOOGLETRANSLATE(D1238,""zh-CN"",""vi"")"),"Đống cánh hoa tulip")</f>
        <v>Đống cánh hoa tulip</v>
      </c>
      <c r="G1238" s="8" t="str">
        <f>IFERROR(__xludf.DUMMYFUNCTION("GOOGLETRANSLATE(E1238,""zh-CN"",""vi"")"),"Hãy nhắm mắt lại, và hương thơm sẽ càng nồng nàn hơn. Việc chế tác này sẽ tạo ra một bông hoa tulip.")</f>
        <v>Hãy nhắm mắt lại, và hương thơm sẽ càng nồng nàn hơn. Việc chế tác này sẽ tạo ra một bông hoa tulip.</v>
      </c>
      <c r="H1238" s="8"/>
      <c r="I1238" s="8"/>
      <c r="J1238" s="8"/>
    </row>
    <row r="1239" ht="21.0" customHeight="1">
      <c r="A1239" s="6">
        <v>1.0</v>
      </c>
      <c r="B1239" s="6">
        <v>114.0</v>
      </c>
      <c r="C1239" s="6">
        <v>3.0</v>
      </c>
      <c r="D1239" s="9" t="s">
        <v>1319</v>
      </c>
      <c r="E1239" s="9" t="s">
        <v>1320</v>
      </c>
      <c r="F1239" s="8" t="str">
        <f>IFERROR(__xludf.DUMMYFUNCTION("GOOGLETRANSLATE(D1239,""zh-CN"",""vi"")"),"Một bông hoa tulip")</f>
        <v>Một bông hoa tulip</v>
      </c>
      <c r="G1239" s="8" t="str">
        <f>IFERROR(__xludf.DUMMYFUNCTION("GOOGLETRANSLATE(E1239,""zh-CN"",""vi"")"),"Tiểu Mai dự định tặng nó cho bà ngoại. Kết hợp hai bông hoa sẽ tạo ra một bông tulip hai màu.")</f>
        <v>Tiểu Mai dự định tặng nó cho bà ngoại. Kết hợp hai bông hoa sẽ tạo ra một bông tulip hai màu.</v>
      </c>
      <c r="H1239" s="8"/>
      <c r="I1239" s="8"/>
      <c r="J1239" s="8"/>
    </row>
    <row r="1240" ht="21.0" customHeight="1">
      <c r="A1240" s="6">
        <v>1.0</v>
      </c>
      <c r="B1240" s="6">
        <v>114.0</v>
      </c>
      <c r="C1240" s="6">
        <v>4.0</v>
      </c>
      <c r="D1240" s="9" t="s">
        <v>1321</v>
      </c>
      <c r="E1240" s="9" t="s">
        <v>1322</v>
      </c>
      <c r="F1240" s="8" t="str">
        <f>IFERROR(__xludf.DUMMYFUNCTION("GOOGLETRANSLATE(D1240,""zh-CN"",""vi"")"),"Hoa tulip hai màu")</f>
        <v>Hoa tulip hai màu</v>
      </c>
      <c r="G1240" s="8" t="str">
        <f>IFERROR(__xludf.DUMMYFUNCTION("GOOGLETRANSLATE(E1240,""zh-CN"",""vi"")"),"Hoa màu đỏ và vàng bổ sung cho nhau một cách hoàn hảo. Kết hợp chúng tạo nên một lọ hoa tulip.")</f>
        <v>Hoa màu đỏ và vàng bổ sung cho nhau một cách hoàn hảo. Kết hợp chúng tạo nên một lọ hoa tulip.</v>
      </c>
      <c r="H1240" s="8"/>
      <c r="I1240" s="8"/>
      <c r="J1240" s="8"/>
    </row>
    <row r="1241" ht="21.0" customHeight="1">
      <c r="A1241" s="6">
        <v>1.0</v>
      </c>
      <c r="B1241" s="6">
        <v>114.0</v>
      </c>
      <c r="C1241" s="6">
        <v>5.0</v>
      </c>
      <c r="D1241" s="9" t="s">
        <v>1323</v>
      </c>
      <c r="E1241" s="9" t="s">
        <v>1324</v>
      </c>
      <c r="F1241" s="8" t="str">
        <f>IFERROR(__xludf.DUMMYFUNCTION("GOOGLETRANSLATE(D1241,""zh-CN"",""vi"")"),"Một chai hoa tulip")</f>
        <v>Một chai hoa tulip</v>
      </c>
      <c r="G1241" s="8" t="str">
        <f>IFERROR(__xludf.DUMMYFUNCTION("GOOGLETRANSLATE(E1241,""zh-CN"",""vi"")"),"Những bông hoa tulip đã rụng xuống, tô điểm cho khoảng sân. Việc chế tác chúng tạo nên một Hộp Quà Tulip.")</f>
        <v>Những bông hoa tulip đã rụng xuống, tô điểm cho khoảng sân. Việc chế tác chúng tạo nên một Hộp Quà Tulip.</v>
      </c>
      <c r="H1241" s="8"/>
      <c r="I1241" s="8"/>
      <c r="J1241" s="8"/>
    </row>
    <row r="1242" ht="21.0" customHeight="1">
      <c r="A1242" s="6">
        <v>1.0</v>
      </c>
      <c r="B1242" s="6">
        <v>114.0</v>
      </c>
      <c r="C1242" s="6">
        <v>6.0</v>
      </c>
      <c r="D1242" s="9" t="s">
        <v>1325</v>
      </c>
      <c r="E1242" s="9" t="s">
        <v>1326</v>
      </c>
      <c r="F1242" s="8" t="str">
        <f>IFERROR(__xludf.DUMMYFUNCTION("GOOGLETRANSLATE(D1242,""zh-CN"",""vi"")"),"Hộp quà hoa tulip")</f>
        <v>Hộp quà hoa tulip</v>
      </c>
      <c r="G1242" s="8" t="str">
        <f>IFERROR(__xludf.DUMMYFUNCTION("GOOGLETRANSLATE(E1242,""zh-CN"",""vi"")"),"Hộp quà tinh tế này dành cho ai? Hãy kết hợp các chi tiết để tạo thành một bó hoa tulip.")</f>
        <v>Hộp quà tinh tế này dành cho ai? Hãy kết hợp các chi tiết để tạo thành một bó hoa tulip.</v>
      </c>
      <c r="H1242" s="8"/>
      <c r="I1242" s="8"/>
      <c r="J1242" s="8"/>
    </row>
    <row r="1243" ht="21.0" customHeight="1">
      <c r="A1243" s="6">
        <v>1.0</v>
      </c>
      <c r="B1243" s="6">
        <v>114.0</v>
      </c>
      <c r="C1243" s="6">
        <v>7.0</v>
      </c>
      <c r="D1243" s="9" t="s">
        <v>1327</v>
      </c>
      <c r="E1243" s="9" t="s">
        <v>1328</v>
      </c>
      <c r="F1243" s="8" t="str">
        <f>IFERROR(__xludf.DUMMYFUNCTION("GOOGLETRANSLATE(D1243,""zh-CN"",""vi"")"),"Bó hoa tulip")</f>
        <v>Bó hoa tulip</v>
      </c>
      <c r="G1243" s="8" t="str">
        <f>IFERROR(__xludf.DUMMYFUNCTION("GOOGLETRANSLATE(E1243,""zh-CN"",""vi"")"),"Hãy mang nó theo khi đến thăm người bạn nhớ! Có thể kết hợp với các phụ kiện khác để tạo thành bình hoa tulip.")</f>
        <v>Hãy mang nó theo khi đến thăm người bạn nhớ! Có thể kết hợp với các phụ kiện khác để tạo thành bình hoa tulip.</v>
      </c>
      <c r="H1243" s="8"/>
      <c r="I1243" s="8"/>
      <c r="J1243" s="8"/>
    </row>
    <row r="1244" ht="21.0" customHeight="1">
      <c r="A1244" s="6">
        <v>1.0</v>
      </c>
      <c r="B1244" s="6">
        <v>114.0</v>
      </c>
      <c r="C1244" s="6">
        <v>8.0</v>
      </c>
      <c r="D1244" s="9" t="s">
        <v>1329</v>
      </c>
      <c r="E1244" s="9" t="s">
        <v>1330</v>
      </c>
      <c r="F1244" s="8" t="str">
        <f>IFERROR(__xludf.DUMMYFUNCTION("GOOGLETRANSLATE(D1244,""zh-CN"",""vi"")"),"Bình hoa tulip")</f>
        <v>Bình hoa tulip</v>
      </c>
      <c r="G1244" s="8" t="str">
        <f>IFERROR(__xludf.DUMMYFUNCTION("GOOGLETRANSLATE(E1244,""zh-CN"",""vi"")"),"Chiếc bình sứ trắng toát lên vẻ thanh lịch. Có thể kết hợp với các bình khác để tạo thành giỏ hoa tulip.")</f>
        <v>Chiếc bình sứ trắng toát lên vẻ thanh lịch. Có thể kết hợp với các bình khác để tạo thành giỏ hoa tulip.</v>
      </c>
      <c r="H1244" s="8"/>
      <c r="I1244" s="8"/>
      <c r="J1244" s="8"/>
    </row>
    <row r="1245" ht="21.0" customHeight="1">
      <c r="A1245" s="6">
        <v>1.0</v>
      </c>
      <c r="B1245" s="6">
        <v>114.0</v>
      </c>
      <c r="C1245" s="6">
        <v>9.0</v>
      </c>
      <c r="D1245" s="9" t="s">
        <v>1331</v>
      </c>
      <c r="E1245" s="9" t="s">
        <v>1332</v>
      </c>
      <c r="F1245" s="8" t="str">
        <f>IFERROR(__xludf.DUMMYFUNCTION("GOOGLETRANSLATE(D1245,""zh-CN"",""vi"")"),"Giỏ hoa tulip")</f>
        <v>Giỏ hoa tulip</v>
      </c>
      <c r="G1245" s="8" t="str">
        <f>IFERROR(__xludf.DUMMYFUNCTION("GOOGLETRANSLATE(E1245,""zh-CN"",""vi"")"),"Một giỏ đầy ắp hoa tulip. Việc chế tác chúng sẽ tạo ra nguyên liệu cho Tiên Tulip.")</f>
        <v>Một giỏ đầy ắp hoa tulip. Việc chế tác chúng sẽ tạo ra nguyên liệu cho Tiên Tulip.</v>
      </c>
      <c r="H1245" s="8"/>
      <c r="I1245" s="8"/>
      <c r="J1245" s="8"/>
    </row>
    <row r="1246" ht="21.0" customHeight="1">
      <c r="A1246" s="6">
        <v>1.0</v>
      </c>
      <c r="B1246" s="6">
        <v>114.0</v>
      </c>
      <c r="C1246" s="6">
        <v>10.0</v>
      </c>
      <c r="D1246" s="9" t="s">
        <v>1333</v>
      </c>
      <c r="E1246" s="9" t="s">
        <v>1334</v>
      </c>
      <c r="F1246" s="8" t="str">
        <f>IFERROR(__xludf.DUMMYFUNCTION("GOOGLETRANSLATE(D1246,""zh-CN"",""vi"")"),"Mảnh vỡ của nàng tiên hoa tulip")</f>
        <v>Mảnh vỡ của nàng tiên hoa tulip</v>
      </c>
      <c r="G1246" s="8" t="str">
        <f>IFERROR(__xludf.DUMMYFUNCTION("GOOGLETRANSLATE(E1246,""zh-CN"",""vi"")"),"Nguyên liệu Tulip Fairy. Đã được tổng hợp đến cấp độ cao nhất.")</f>
        <v>Nguyên liệu Tulip Fairy. Đã được tổng hợp đến cấp độ cao nhất.</v>
      </c>
      <c r="H1246" s="8"/>
      <c r="I1246" s="8"/>
      <c r="J1246" s="8"/>
    </row>
    <row r="1247" ht="21.0" customHeight="1">
      <c r="A1247" s="30">
        <v>13.0</v>
      </c>
      <c r="B1247" s="31">
        <v>114.0</v>
      </c>
      <c r="C1247" s="31">
        <v>11.0</v>
      </c>
      <c r="D1247" s="33" t="s">
        <v>1335</v>
      </c>
      <c r="E1247" s="33" t="s">
        <v>462</v>
      </c>
      <c r="F1247" s="8" t="str">
        <f>IFERROR(__xludf.DUMMYFUNCTION("GOOGLETRANSLATE(D1247,""zh-CN"",""vi"")"),"Nàng tiên hoa tulip")</f>
        <v>Nàng tiên hoa tulip</v>
      </c>
      <c r="G1247" s="8" t="str">
        <f>IFERROR(__xludf.DUMMYFUNCTION("GOOGLETRANSLATE(E1247,""zh-CN"",""vi"")"),"Vù vù vù~ Tôi ngửi thấy mùi tiền vàng khắp nơi.")</f>
        <v>Vù vù vù~ Tôi ngửi thấy mùi tiền vàng khắp nơi.</v>
      </c>
      <c r="H1247" s="27"/>
      <c r="I1247" s="27"/>
      <c r="J1247" s="27"/>
    </row>
    <row r="1248" ht="21.0" customHeight="1">
      <c r="A1248" s="6">
        <v>11.0</v>
      </c>
      <c r="B1248" s="6">
        <v>1008.0</v>
      </c>
      <c r="C1248" s="6">
        <v>1.0</v>
      </c>
      <c r="D1248" s="9" t="s">
        <v>1336</v>
      </c>
      <c r="E1248" s="9" t="s">
        <v>1337</v>
      </c>
      <c r="F1248" s="8" t="str">
        <f>IFERROR(__xludf.DUMMYFUNCTION("GOOGLETRANSLATE(D1248,""zh-CN"",""vi"")"),"Đĩa trái cây")</f>
        <v>Đĩa trái cây</v>
      </c>
      <c r="G1248" s="8" t="str">
        <f>IFERROR(__xludf.DUMMYFUNCTION("GOOGLETRANSLATE(E1248,""zh-CN"",""vi"")"),"Một đĩa trái cây tròn tiêu chuẩn. Tổng hợp nó lên cấp độ 5 để thu được cây trồng gốc.")</f>
        <v>Một đĩa trái cây tròn tiêu chuẩn. Tổng hợp nó lên cấp độ 5 để thu được cây trồng gốc.</v>
      </c>
      <c r="H1248" s="8"/>
      <c r="I1248" s="8"/>
      <c r="J1248" s="8"/>
    </row>
    <row r="1249" ht="21.0" customHeight="1">
      <c r="A1249" s="6">
        <v>11.0</v>
      </c>
      <c r="B1249" s="6">
        <v>1008.0</v>
      </c>
      <c r="C1249" s="6">
        <v>2.0</v>
      </c>
      <c r="D1249" s="9" t="s">
        <v>1338</v>
      </c>
      <c r="E1249" s="9" t="s">
        <v>1339</v>
      </c>
      <c r="F1249" s="8" t="str">
        <f>IFERROR(__xludf.DUMMYFUNCTION("GOOGLETRANSLATE(D1249,""zh-CN"",""vi"")"),"Đĩa trái cây hình thù kỳ lạ")</f>
        <v>Đĩa trái cây hình thù kỳ lạ</v>
      </c>
      <c r="G1249" s="8" t="str">
        <f>IFERROR(__xludf.DUMMYFUNCTION("GOOGLETRANSLATE(E1249,""zh-CN"",""vi"")"),"Một đĩa trái cây có hình dạng kỳ lạ. Hãy tổng hợp nó lên cấp độ 5 để thu được cây trồng gốc.")</f>
        <v>Một đĩa trái cây có hình dạng kỳ lạ. Hãy tổng hợp nó lên cấp độ 5 để thu được cây trồng gốc.</v>
      </c>
      <c r="H1249" s="8"/>
      <c r="I1249" s="8"/>
      <c r="J1249" s="8"/>
    </row>
    <row r="1250" ht="21.0" customHeight="1">
      <c r="A1250" s="6">
        <v>11.0</v>
      </c>
      <c r="B1250" s="6">
        <v>1008.0</v>
      </c>
      <c r="C1250" s="6">
        <v>3.0</v>
      </c>
      <c r="D1250" s="9" t="s">
        <v>1340</v>
      </c>
      <c r="E1250" s="9" t="s">
        <v>1341</v>
      </c>
      <c r="F1250" s="8" t="str">
        <f>IFERROR(__xludf.DUMMYFUNCTION("GOOGLETRANSLATE(D1250,""zh-CN"",""vi"")"),"Đĩa trái cây cầm tay")</f>
        <v>Đĩa trái cây cầm tay</v>
      </c>
      <c r="G1250" s="8" t="str">
        <f>IFERROR(__xludf.DUMMYFUNCTION("GOOGLETRANSLATE(E1250,""zh-CN"",""vi"")"),"Đổ đầy trái cây vào đó. Tổng hợp nó lên cấp độ 5 để thu được cây trồng gốc.")</f>
        <v>Đổ đầy trái cây vào đó. Tổng hợp nó lên cấp độ 5 để thu được cây trồng gốc.</v>
      </c>
      <c r="H1250" s="8"/>
      <c r="I1250" s="8"/>
      <c r="J1250" s="8"/>
    </row>
    <row r="1251" ht="21.0" customHeight="1">
      <c r="A1251" s="6">
        <v>11.0</v>
      </c>
      <c r="B1251" s="6">
        <v>1008.0</v>
      </c>
      <c r="C1251" s="6">
        <v>4.0</v>
      </c>
      <c r="D1251" s="9" t="s">
        <v>1342</v>
      </c>
      <c r="E1251" s="9" t="s">
        <v>1343</v>
      </c>
      <c r="F1251" s="8" t="str">
        <f>IFERROR(__xludf.DUMMYFUNCTION("GOOGLETRANSLATE(D1251,""zh-CN"",""vi"")"),"Giỏ trái cây")</f>
        <v>Giỏ trái cây</v>
      </c>
      <c r="G1251" s="8" t="str">
        <f>IFERROR(__xludf.DUMMYFUNCTION("GOOGLETRANSLATE(E1251,""zh-CN"",""vi"")"),"Một giỏ trái cây trống rỗng. Tổng hợp lên cấp độ 5 để thu được cây trồng mẹ.")</f>
        <v>Một giỏ trái cây trống rỗng. Tổng hợp lên cấp độ 5 để thu được cây trồng mẹ.</v>
      </c>
      <c r="H1251" s="8"/>
      <c r="I1251" s="8"/>
      <c r="J1251" s="8"/>
    </row>
    <row r="1252" ht="21.0" customHeight="1">
      <c r="A1252" s="6">
        <v>10.0</v>
      </c>
      <c r="B1252" s="6">
        <v>1008.0</v>
      </c>
      <c r="C1252" s="6">
        <v>5.0</v>
      </c>
      <c r="D1252" s="9" t="s">
        <v>1344</v>
      </c>
      <c r="E1252" s="9" t="s">
        <v>1345</v>
      </c>
      <c r="F1252" s="8" t="str">
        <f>IFERROR(__xludf.DUMMYFUNCTION("GOOGLETRANSLATE(D1252,""zh-CN"",""vi"")"),"Giỏ trái cây đẹp")</f>
        <v>Giỏ trái cây đẹp</v>
      </c>
      <c r="G1252" s="8" t="str">
        <f>IFERROR(__xludf.DUMMYFUNCTION("GOOGLETRANSLATE(E1252,""zh-CN"",""vi"")"),"Một chiếc giỏ đan đựng đầy trái cây. Hãy chế tạo nó để có được một giỏ trái cây cao cấp.")</f>
        <v>Một chiếc giỏ đan đựng đầy trái cây. Hãy chế tạo nó để có được một giỏ trái cây cao cấp.</v>
      </c>
      <c r="H1252" s="8"/>
      <c r="I1252" s="8"/>
      <c r="J1252" s="8"/>
    </row>
    <row r="1253" ht="21.0" customHeight="1">
      <c r="A1253" s="6">
        <v>10.0</v>
      </c>
      <c r="B1253" s="6">
        <v>1008.0</v>
      </c>
      <c r="C1253" s="6">
        <v>6.0</v>
      </c>
      <c r="D1253" s="9" t="s">
        <v>1346</v>
      </c>
      <c r="E1253" s="9" t="s">
        <v>1347</v>
      </c>
      <c r="F1253" s="8" t="str">
        <f>IFERROR(__xludf.DUMMYFUNCTION("GOOGLETRANSLATE(D1253,""zh-CN"",""vi"")"),"Giỏ trái cây cao cấp")</f>
        <v>Giỏ trái cây cao cấp</v>
      </c>
      <c r="G1253" s="8" t="str">
        <f>IFERROR(__xludf.DUMMYFUNCTION("GOOGLETRANSLATE(E1253,""zh-CN"",""vi"")"),"Một giỏ trái cây tuyệt đẹp, đầy ắp trái cây. Sau khi làm xong, bạn sẽ có một giá để trái cây một hàng.")</f>
        <v>Một giỏ trái cây tuyệt đẹp, đầy ắp trái cây. Sau khi làm xong, bạn sẽ có một giá để trái cây một hàng.</v>
      </c>
      <c r="H1253" s="8"/>
      <c r="I1253" s="8"/>
      <c r="J1253" s="8"/>
    </row>
    <row r="1254" ht="21.0" customHeight="1">
      <c r="A1254" s="6">
        <v>10.0</v>
      </c>
      <c r="B1254" s="6">
        <v>1008.0</v>
      </c>
      <c r="C1254" s="6">
        <v>7.0</v>
      </c>
      <c r="D1254" s="9" t="s">
        <v>1348</v>
      </c>
      <c r="E1254" s="9" t="s">
        <v>1349</v>
      </c>
      <c r="F1254" s="8" t="str">
        <f>IFERROR(__xludf.DUMMYFUNCTION("GOOGLETRANSLATE(D1254,""zh-CN"",""vi"")"),"Giá để trái cây một hàng")</f>
        <v>Giá để trái cây một hàng</v>
      </c>
      <c r="G1254" s="8" t="str">
        <f>IFERROR(__xludf.DUMMYFUNCTION("GOOGLETRANSLATE(E1254,""zh-CN"",""vi"")"),"Một quầy trái cây một hàng, bày đầy ắp trái cây. Kết hợp chúng lại để tạo thành quầy trái cây hai hàng.")</f>
        <v>Một quầy trái cây một hàng, bày đầy ắp trái cây. Kết hợp chúng lại để tạo thành quầy trái cây hai hàng.</v>
      </c>
      <c r="H1254" s="8"/>
      <c r="I1254" s="8"/>
      <c r="J1254" s="8"/>
    </row>
    <row r="1255" ht="21.0" customHeight="1">
      <c r="A1255" s="6">
        <v>10.0</v>
      </c>
      <c r="B1255" s="6">
        <v>1008.0</v>
      </c>
      <c r="C1255" s="6">
        <v>8.0</v>
      </c>
      <c r="D1255" s="9" t="s">
        <v>1350</v>
      </c>
      <c r="E1255" s="9" t="s">
        <v>1351</v>
      </c>
      <c r="F1255" s="8" t="str">
        <f>IFERROR(__xludf.DUMMYFUNCTION("GOOGLETRANSLATE(D1255,""zh-CN"",""vi"")"),"Giá để trái cây hai hàng")</f>
        <v>Giá để trái cây hai hàng</v>
      </c>
      <c r="G1255" s="8" t="str">
        <f>IFERROR(__xludf.DUMMYFUNCTION("GOOGLETRANSLATE(E1255,""zh-CN"",""vi"")"),"Lần cuối cùng Xiaomei nhìn thấy nó là ở một khách sạn nghỉ dưỡng. Khách sạn đã được nâng cấp lên mức cao nhất.")</f>
        <v>Lần cuối cùng Xiaomei nhìn thấy nó là ở một khách sạn nghỉ dưỡng. Khách sạn đã được nâng cấp lên mức cao nhất.</v>
      </c>
      <c r="H1255" s="8"/>
      <c r="I1255" s="8"/>
      <c r="J1255" s="8"/>
    </row>
    <row r="1256" ht="21.0" customHeight="1">
      <c r="A1256" s="6">
        <v>1.0</v>
      </c>
      <c r="B1256" s="6">
        <v>115.0</v>
      </c>
      <c r="C1256" s="6">
        <v>1.0</v>
      </c>
      <c r="D1256" s="9" t="s">
        <v>1352</v>
      </c>
      <c r="E1256" s="9" t="s">
        <v>1353</v>
      </c>
      <c r="F1256" s="8" t="str">
        <f>IFERROR(__xludf.DUMMYFUNCTION("GOOGLETRANSLATE(D1256,""zh-CN"",""vi"")"),"Nho xanh")</f>
        <v>Nho xanh</v>
      </c>
      <c r="G1256" s="8" t="str">
        <f>IFERROR(__xludf.DUMMYFUNCTION("GOOGLETRANSLATE(E1256,""zh-CN"",""vi"")"),"Một quả nho xanh. Có thể kết hợp các giống nho này để tạo ra nho tím.")</f>
        <v>Một quả nho xanh. Có thể kết hợp các giống nho này để tạo ra nho tím.</v>
      </c>
      <c r="H1256" s="8"/>
      <c r="I1256" s="8"/>
      <c r="J1256" s="8"/>
    </row>
    <row r="1257" ht="21.0" customHeight="1">
      <c r="A1257" s="6">
        <v>1.0</v>
      </c>
      <c r="B1257" s="6">
        <v>115.0</v>
      </c>
      <c r="C1257" s="6">
        <v>2.0</v>
      </c>
      <c r="D1257" s="9" t="s">
        <v>1354</v>
      </c>
      <c r="E1257" s="9" t="s">
        <v>1355</v>
      </c>
      <c r="F1257" s="8" t="str">
        <f>IFERROR(__xludf.DUMMYFUNCTION("GOOGLETRANSLATE(D1257,""zh-CN"",""vi"")"),"Nho tím")</f>
        <v>Nho tím</v>
      </c>
      <c r="G1257" s="8" t="str">
        <f>IFERROR(__xludf.DUMMYFUNCTION("GOOGLETRANSLATE(E1257,""zh-CN"",""vi"")"),"Một quả nho tím. Chế biến chúng sẽ thu được hai quả nho.")</f>
        <v>Một quả nho tím. Chế biến chúng sẽ thu được hai quả nho.</v>
      </c>
      <c r="H1257" s="8"/>
      <c r="I1257" s="8"/>
      <c r="J1257" s="8"/>
    </row>
    <row r="1258" ht="21.0" customHeight="1">
      <c r="A1258" s="6">
        <v>1.0</v>
      </c>
      <c r="B1258" s="6">
        <v>115.0</v>
      </c>
      <c r="C1258" s="6">
        <v>3.0</v>
      </c>
      <c r="D1258" s="9" t="s">
        <v>1356</v>
      </c>
      <c r="E1258" s="9" t="s">
        <v>1357</v>
      </c>
      <c r="F1258" s="8" t="str">
        <f>IFERROR(__xludf.DUMMYFUNCTION("GOOGLETRANSLATE(D1258,""zh-CN"",""vi"")"),"Hai quả nho")</f>
        <v>Hai quả nho</v>
      </c>
      <c r="G1258" s="8" t="str">
        <f>IFERROR(__xludf.DUMMYFUNCTION("GOOGLETRANSLATE(E1258,""zh-CN"",""vi"")"),"Những quả nho trông đã chín. Chế biến chúng sẽ thu được một lượng lớn nho.")</f>
        <v>Những quả nho trông đã chín. Chế biến chúng sẽ thu được một lượng lớn nho.</v>
      </c>
      <c r="H1258" s="8"/>
      <c r="I1258" s="8"/>
      <c r="J1258" s="8"/>
    </row>
    <row r="1259" ht="21.0" customHeight="1">
      <c r="A1259" s="6">
        <v>1.0</v>
      </c>
      <c r="B1259" s="6">
        <v>115.0</v>
      </c>
      <c r="C1259" s="6">
        <v>4.0</v>
      </c>
      <c r="D1259" s="9" t="s">
        <v>1358</v>
      </c>
      <c r="E1259" s="9" t="s">
        <v>1359</v>
      </c>
      <c r="F1259" s="8" t="str">
        <f>IFERROR(__xludf.DUMMYFUNCTION("GOOGLETRANSLATE(D1259,""zh-CN"",""vi"")"),"Nhiều quả nho")</f>
        <v>Nhiều quả nho</v>
      </c>
      <c r="G1259" s="8" t="str">
        <f>IFERROR(__xludf.DUMMYFUNCTION("GOOGLETRANSLATE(E1259,""zh-CN"",""vi"")"),"Nhiều quả nho tím. Có thể thu được nho tươi bằng cách chế tạo.")</f>
        <v>Nhiều quả nho tím. Có thể thu được nho tươi bằng cách chế tạo.</v>
      </c>
      <c r="H1259" s="8"/>
      <c r="I1259" s="8"/>
      <c r="J1259" s="8"/>
    </row>
    <row r="1260" ht="21.0" customHeight="1">
      <c r="A1260" s="6">
        <v>1.0</v>
      </c>
      <c r="B1260" s="6">
        <v>115.0</v>
      </c>
      <c r="C1260" s="6">
        <v>5.0</v>
      </c>
      <c r="D1260" s="9" t="s">
        <v>1360</v>
      </c>
      <c r="E1260" s="9" t="s">
        <v>1361</v>
      </c>
      <c r="F1260" s="8" t="str">
        <f>IFERROR(__xludf.DUMMYFUNCTION("GOOGLETRANSLATE(D1260,""zh-CN"",""vi"")"),"Nho tươi")</f>
        <v>Nho tươi</v>
      </c>
      <c r="G1260" s="8" t="str">
        <f>IFERROR(__xludf.DUMMYFUNCTION("GOOGLETRANSLATE(E1260,""zh-CN"",""vi"")"),"Những quả nho vừa hái, vẫn còn lá xanh. Sau khi chế biến sẽ thu được một chùm nho.")</f>
        <v>Những quả nho vừa hái, vẫn còn lá xanh. Sau khi chế biến sẽ thu được một chùm nho.</v>
      </c>
      <c r="H1260" s="8"/>
      <c r="I1260" s="8"/>
      <c r="J1260" s="8"/>
    </row>
    <row r="1261" ht="21.0" customHeight="1">
      <c r="A1261" s="6">
        <v>1.0</v>
      </c>
      <c r="B1261" s="6">
        <v>115.0</v>
      </c>
      <c r="C1261" s="6">
        <v>6.0</v>
      </c>
      <c r="D1261" s="9" t="s">
        <v>1362</v>
      </c>
      <c r="E1261" s="9" t="s">
        <v>1363</v>
      </c>
      <c r="F1261" s="8" t="str">
        <f>IFERROR(__xludf.DUMMYFUNCTION("GOOGLETRANSLATE(D1261,""zh-CN"",""vi"")"),"Một chùm nho")</f>
        <v>Một chùm nho</v>
      </c>
      <c r="G1261" s="8" t="str">
        <f>IFERROR(__xludf.DUMMYFUNCTION("GOOGLETRANSLATE(E1261,""zh-CN"",""vi"")"),"Những quả nho tím quyến rũ tỏa ra hương thơm khó cưỡng. Quá trình thu hoạch cho ra những chùm nho lớn.")</f>
        <v>Những quả nho tím quyến rũ tỏa ra hương thơm khó cưỡng. Quá trình thu hoạch cho ra những chùm nho lớn.</v>
      </c>
      <c r="H1261" s="8"/>
      <c r="I1261" s="8"/>
      <c r="J1261" s="8"/>
    </row>
    <row r="1262" ht="21.0" customHeight="1">
      <c r="A1262" s="6">
        <v>1.0</v>
      </c>
      <c r="B1262" s="6">
        <v>115.0</v>
      </c>
      <c r="C1262" s="6">
        <v>7.0</v>
      </c>
      <c r="D1262" s="9" t="s">
        <v>1364</v>
      </c>
      <c r="E1262" s="9" t="s">
        <v>1365</v>
      </c>
      <c r="F1262" s="8" t="str">
        <f>IFERROR(__xludf.DUMMYFUNCTION("GOOGLETRANSLATE(D1262,""zh-CN"",""vi"")"),"chùm nho lớn")</f>
        <v>chùm nho lớn</v>
      </c>
      <c r="G1262" s="8" t="str">
        <f>IFERROR(__xludf.DUMMYFUNCTION("GOOGLETRANSLATE(E1262,""zh-CN"",""vi"")"),"Một chùm nho lớn, rất thích hợp làm quà tặng. Được chế tác để làm hộp đựng nho.")</f>
        <v>Một chùm nho lớn, rất thích hợp làm quà tặng. Được chế tác để làm hộp đựng nho.</v>
      </c>
      <c r="H1262" s="8"/>
      <c r="I1262" s="8"/>
      <c r="J1262" s="8"/>
    </row>
    <row r="1263" ht="21.0" customHeight="1">
      <c r="A1263" s="6">
        <v>1.0</v>
      </c>
      <c r="B1263" s="6">
        <v>115.0</v>
      </c>
      <c r="C1263" s="6">
        <v>8.0</v>
      </c>
      <c r="D1263" s="9" t="s">
        <v>1366</v>
      </c>
      <c r="E1263" s="9" t="s">
        <v>1367</v>
      </c>
      <c r="F1263" s="8" t="str">
        <f>IFERROR(__xludf.DUMMYFUNCTION("GOOGLETRANSLATE(D1263,""zh-CN"",""vi"")"),"Hộp đựng nho")</f>
        <v>Hộp đựng nho</v>
      </c>
      <c r="G1263" s="8" t="str">
        <f>IFERROR(__xludf.DUMMYFUNCTION("GOOGLETRANSLATE(E1263,""zh-CN"",""vi"")"),"Chiếc hộp chứa đầy nho. Ghép chúng lại với nhau sẽ tạo thành một Hộp Nho.")</f>
        <v>Chiếc hộp chứa đầy nho. Ghép chúng lại với nhau sẽ tạo thành một Hộp Nho.</v>
      </c>
      <c r="H1263" s="8"/>
      <c r="I1263" s="8"/>
      <c r="J1263" s="8"/>
    </row>
    <row r="1264" ht="21.0" customHeight="1">
      <c r="A1264" s="6">
        <v>1.0</v>
      </c>
      <c r="B1264" s="6">
        <v>115.0</v>
      </c>
      <c r="C1264" s="6">
        <v>9.0</v>
      </c>
      <c r="D1264" s="9" t="s">
        <v>1368</v>
      </c>
      <c r="E1264" s="9" t="s">
        <v>1369</v>
      </c>
      <c r="F1264" s="8" t="str">
        <f>IFERROR(__xludf.DUMMYFUNCTION("GOOGLETRANSLATE(D1264,""zh-CN"",""vi"")"),"Hộp nho")</f>
        <v>Hộp nho</v>
      </c>
      <c r="G1264" s="8" t="str">
        <f>IFERROR(__xludf.DUMMYFUNCTION("GOOGLETRANSLATE(E1264,""zh-CN"",""vi"")"),"Một chiếc hộp kiểu cổ chứa những trái nho ngon nhất. Kết hợp chúng lại để nhận được Mảnh Tiên Nho.")</f>
        <v>Một chiếc hộp kiểu cổ chứa những trái nho ngon nhất. Kết hợp chúng lại để nhận được Mảnh Tiên Nho.</v>
      </c>
      <c r="H1264" s="8"/>
      <c r="I1264" s="8"/>
      <c r="J1264" s="8"/>
    </row>
    <row r="1265" ht="21.0" customHeight="1">
      <c r="A1265" s="6">
        <v>1.0</v>
      </c>
      <c r="B1265" s="6">
        <v>115.0</v>
      </c>
      <c r="C1265" s="6">
        <v>10.0</v>
      </c>
      <c r="D1265" s="9" t="s">
        <v>1370</v>
      </c>
      <c r="E1265" s="9" t="s">
        <v>1371</v>
      </c>
      <c r="F1265" s="8" t="str">
        <f>IFERROR(__xludf.DUMMYFUNCTION("GOOGLETRANSLATE(D1265,""zh-CN"",""vi"")"),"Mảnh vỡ của nàng tiên nho")</f>
        <v>Mảnh vỡ của nàng tiên nho</v>
      </c>
      <c r="G1265" s="8" t="str">
        <f>IFERROR(__xludf.DUMMYFUNCTION("GOOGLETRANSLATE(E1265,""zh-CN"",""vi"")"),"Nguyên liệu chế tạo Tinh linh Nho. Chế tạo những nguyên liệu này có cơ hội bắt được một tinh linh!")</f>
        <v>Nguyên liệu chế tạo Tinh linh Nho. Chế tạo những nguyên liệu này có cơ hội bắt được một tinh linh!</v>
      </c>
      <c r="H1265" s="8"/>
      <c r="I1265" s="8"/>
      <c r="J1265" s="8"/>
    </row>
    <row r="1266" ht="21.0" customHeight="1">
      <c r="A1266" s="6">
        <v>13.0</v>
      </c>
      <c r="B1266" s="6">
        <v>115.0</v>
      </c>
      <c r="C1266" s="6">
        <v>11.0</v>
      </c>
      <c r="D1266" s="9" t="s">
        <v>1372</v>
      </c>
      <c r="E1266" s="9" t="s">
        <v>1373</v>
      </c>
      <c r="F1266" s="8" t="str">
        <f>IFERROR(__xludf.DUMMYFUNCTION("GOOGLETRANSLATE(D1266,""zh-CN"",""vi"")"),"Yêu tinh mèo thời gian")</f>
        <v>Yêu tinh mèo thời gian</v>
      </c>
      <c r="G1266" s="8" t="str">
        <f>IFERROR(__xludf.DUMMYFUNCTION("GOOGLETRANSLATE(E1266,""zh-CN"",""vi"")"),"Hãy tự do dạo bước trên dòng chảy thời gian.")</f>
        <v>Hãy tự do dạo bước trên dòng chảy thời gian.</v>
      </c>
      <c r="H1266" s="8"/>
      <c r="I1266" s="8"/>
      <c r="J1266" s="8"/>
    </row>
    <row r="1267" ht="21.0" customHeight="1">
      <c r="A1267" s="6">
        <v>1.0</v>
      </c>
      <c r="B1267" s="6">
        <v>126.0</v>
      </c>
      <c r="C1267" s="6">
        <v>1.0</v>
      </c>
      <c r="D1267" s="9" t="s">
        <v>1374</v>
      </c>
      <c r="E1267" s="9" t="s">
        <v>1375</v>
      </c>
      <c r="F1267" s="8" t="str">
        <f>IFERROR(__xludf.DUMMYFUNCTION("GOOGLETRANSLATE(D1267,""zh-CN"",""vi"")"),"Dâu tây mới")</f>
        <v>Dâu tây mới</v>
      </c>
      <c r="G1267" s="8" t="str">
        <f>IFERROR(__xludf.DUMMYFUNCTION("GOOGLETRANSLATE(E1267,""zh-CN"",""vi"")"),"Dâu tây mới nảy mầm chưa chín. Chúng có thể được tổng hợp để thu được dâu tây chín.")</f>
        <v>Dâu tây mới nảy mầm chưa chín. Chúng có thể được tổng hợp để thu được dâu tây chín.</v>
      </c>
      <c r="H1267" s="8"/>
      <c r="I1267" s="8"/>
      <c r="J1267" s="8"/>
    </row>
    <row r="1268" ht="21.0" customHeight="1">
      <c r="A1268" s="6">
        <v>1.0</v>
      </c>
      <c r="B1268" s="6">
        <v>126.0</v>
      </c>
      <c r="C1268" s="6">
        <v>2.0</v>
      </c>
      <c r="D1268" s="9" t="s">
        <v>1376</v>
      </c>
      <c r="E1268" s="9" t="s">
        <v>1377</v>
      </c>
      <c r="F1268" s="8" t="str">
        <f>IFERROR(__xludf.DUMMYFUNCTION("GOOGLETRANSLATE(D1268,""zh-CN"",""vi"")"),"Trồng dâu tây")</f>
        <v>Trồng dâu tây</v>
      </c>
      <c r="G1268" s="8" t="str">
        <f>IFERROR(__xludf.DUMMYFUNCTION("GOOGLETRANSLATE(E1268,""zh-CN"",""vi"")"),"Dâu tây trong giai đoạn sinh trưởng. Chúng có thể được tổng hợp để thu được dâu tây chín dần.")</f>
        <v>Dâu tây trong giai đoạn sinh trưởng. Chúng có thể được tổng hợp để thu được dâu tây chín dần.</v>
      </c>
      <c r="H1268" s="8"/>
      <c r="I1268" s="8"/>
      <c r="J1268" s="8"/>
    </row>
    <row r="1269" ht="21.0" customHeight="1">
      <c r="A1269" s="6">
        <v>1.0</v>
      </c>
      <c r="B1269" s="6">
        <v>126.0</v>
      </c>
      <c r="C1269" s="6">
        <v>3.0</v>
      </c>
      <c r="D1269" s="9" t="s">
        <v>1378</v>
      </c>
      <c r="E1269" s="9" t="s">
        <v>1379</v>
      </c>
      <c r="F1269" s="8" t="str">
        <f>IFERROR(__xludf.DUMMYFUNCTION("GOOGLETRANSLATE(D1269,""zh-CN"",""vi"")"),"dâu tây chín")</f>
        <v>dâu tây chín</v>
      </c>
      <c r="G1269" s="8" t="str">
        <f>IFERROR(__xludf.DUMMYFUNCTION("GOOGLETRANSLATE(E1269,""zh-CN"",""vi"")"),"Quả dâu tây chưa chín hẳn. Có thể kết hợp chúng để thu được quả dâu tây chín hoàn toàn.")</f>
        <v>Quả dâu tây chưa chín hẳn. Có thể kết hợp chúng để thu được quả dâu tây chín hoàn toàn.</v>
      </c>
      <c r="H1269" s="8"/>
      <c r="I1269" s="8"/>
      <c r="J1269" s="8"/>
    </row>
    <row r="1270" ht="21.0" customHeight="1">
      <c r="A1270" s="6">
        <v>1.0</v>
      </c>
      <c r="B1270" s="6">
        <v>126.0</v>
      </c>
      <c r="C1270" s="6">
        <v>4.0</v>
      </c>
      <c r="D1270" s="9" t="s">
        <v>1380</v>
      </c>
      <c r="E1270" s="9" t="s">
        <v>1381</v>
      </c>
      <c r="F1270" s="8" t="str">
        <f>IFERROR(__xludf.DUMMYFUNCTION("GOOGLETRANSLATE(D1270,""zh-CN"",""vi"")"),"dâu tây chín")</f>
        <v>dâu tây chín</v>
      </c>
      <c r="G1270" s="8" t="str">
        <f>IFERROR(__xludf.DUMMYFUNCTION("GOOGLETRANSLATE(E1270,""zh-CN"",""vi"")"),"Những quả dâu tây đỏ đã chín mọng. Khi thu hoạch chúng sẽ thu được dâu tây và hoa.")</f>
        <v>Những quả dâu tây đỏ đã chín mọng. Khi thu hoạch chúng sẽ thu được dâu tây và hoa.</v>
      </c>
      <c r="H1270" s="8"/>
      <c r="I1270" s="8"/>
      <c r="J1270" s="8"/>
    </row>
    <row r="1271" ht="21.0" customHeight="1">
      <c r="A1271" s="6">
        <v>1.0</v>
      </c>
      <c r="B1271" s="6">
        <v>126.0</v>
      </c>
      <c r="C1271" s="6">
        <v>5.0</v>
      </c>
      <c r="D1271" s="9" t="s">
        <v>1382</v>
      </c>
      <c r="E1271" s="9" t="s">
        <v>1383</v>
      </c>
      <c r="F1271" s="8" t="str">
        <f>IFERROR(__xludf.DUMMYFUNCTION("GOOGLETRANSLATE(D1271,""zh-CN"",""vi"")"),"Dâu tây và hoa")</f>
        <v>Dâu tây và hoa</v>
      </c>
      <c r="G1271" s="8" t="str">
        <f>IFERROR(__xludf.DUMMYFUNCTION("GOOGLETRANSLATE(E1271,""zh-CN"",""vi"")"),"Dâu tây và hoa dâu tây. Kết hợp chúng lại sẽ được hai quả dâu tây.")</f>
        <v>Dâu tây và hoa dâu tây. Kết hợp chúng lại sẽ được hai quả dâu tây.</v>
      </c>
      <c r="H1271" s="8"/>
      <c r="I1271" s="8"/>
      <c r="J1271" s="8"/>
    </row>
    <row r="1272" ht="21.0" customHeight="1">
      <c r="A1272" s="6">
        <v>1.0</v>
      </c>
      <c r="B1272" s="6">
        <v>126.0</v>
      </c>
      <c r="C1272" s="6">
        <v>6.0</v>
      </c>
      <c r="D1272" s="9" t="s">
        <v>1384</v>
      </c>
      <c r="E1272" s="9" t="s">
        <v>1385</v>
      </c>
      <c r="F1272" s="8" t="str">
        <f>IFERROR(__xludf.DUMMYFUNCTION("GOOGLETRANSLATE(D1272,""zh-CN"",""vi"")"),"Hai quả dâu tây")</f>
        <v>Hai quả dâu tây</v>
      </c>
      <c r="G1272" s="8" t="str">
        <f>IFERROR(__xludf.DUMMYFUNCTION("GOOGLETRANSLATE(E1272,""zh-CN"",""vi"")"),"Hai quả dâu tây sẽ không cô đơn đâu. Hãy kết hợp chúng lại để có một chùm dâu tây.")</f>
        <v>Hai quả dâu tây sẽ không cô đơn đâu. Hãy kết hợp chúng lại để có một chùm dâu tây.</v>
      </c>
      <c r="H1272" s="8"/>
      <c r="I1272" s="8"/>
      <c r="J1272" s="8"/>
    </row>
    <row r="1273" ht="21.0" customHeight="1">
      <c r="A1273" s="6">
        <v>1.0</v>
      </c>
      <c r="B1273" s="6">
        <v>126.0</v>
      </c>
      <c r="C1273" s="6">
        <v>7.0</v>
      </c>
      <c r="D1273" s="9" t="s">
        <v>1386</v>
      </c>
      <c r="E1273" s="9" t="s">
        <v>1387</v>
      </c>
      <c r="F1273" s="8" t="str">
        <f>IFERROR(__xludf.DUMMYFUNCTION("GOOGLETRANSLATE(D1273,""zh-CN"",""vi"")"),"Một chùm dâu tây")</f>
        <v>Một chùm dâu tây</v>
      </c>
      <c r="G1273" s="8" t="str">
        <f>IFERROR(__xludf.DUMMYFUNCTION("GOOGLETRANSLATE(E1273,""zh-CN"",""vi"")"),"Một chùm dâu tây được sắp xếp theo một tư thế hấp dẫn. Kết hợp chúng lại để tạo thành một hộp quà dâu tây.")</f>
        <v>Một chùm dâu tây được sắp xếp theo một tư thế hấp dẫn. Kết hợp chúng lại để tạo thành một hộp quà dâu tây.</v>
      </c>
      <c r="H1273" s="8"/>
      <c r="I1273" s="8"/>
      <c r="J1273" s="8"/>
    </row>
    <row r="1274" ht="21.0" customHeight="1">
      <c r="A1274" s="6">
        <v>1.0</v>
      </c>
      <c r="B1274" s="6">
        <v>126.0</v>
      </c>
      <c r="C1274" s="6">
        <v>8.0</v>
      </c>
      <c r="D1274" s="9" t="s">
        <v>1388</v>
      </c>
      <c r="E1274" s="9" t="s">
        <v>1389</v>
      </c>
      <c r="F1274" s="8" t="str">
        <f>IFERROR(__xludf.DUMMYFUNCTION("GOOGLETRANSLATE(D1274,""zh-CN"",""vi"")"),"Hộp quà dâu tây")</f>
        <v>Hộp quà dâu tây</v>
      </c>
      <c r="G1274" s="8" t="str">
        <f>IFERROR(__xludf.DUMMYFUNCTION("GOOGLETRANSLATE(E1274,""zh-CN"",""vi"")"),"Một hộp dâu tây là món quà tuyệt vời dành cho bạn bè. Kết hợp chúng lại để có được cả một hộp dâu tây.")</f>
        <v>Một hộp dâu tây là món quà tuyệt vời dành cho bạn bè. Kết hợp chúng lại để có được cả một hộp dâu tây.</v>
      </c>
      <c r="H1274" s="8"/>
      <c r="I1274" s="8"/>
      <c r="J1274" s="8"/>
    </row>
    <row r="1275" ht="21.0" customHeight="1">
      <c r="A1275" s="6">
        <v>1.0</v>
      </c>
      <c r="B1275" s="6">
        <v>126.0</v>
      </c>
      <c r="C1275" s="6">
        <v>9.0</v>
      </c>
      <c r="D1275" s="9" t="s">
        <v>1390</v>
      </c>
      <c r="E1275" s="9" t="s">
        <v>1391</v>
      </c>
      <c r="F1275" s="8" t="str">
        <f>IFERROR(__xludf.DUMMYFUNCTION("GOOGLETRANSLATE(D1275,""zh-CN"",""vi"")"),"Một hộp dâu tây")</f>
        <v>Một hộp dâu tây</v>
      </c>
      <c r="G1275" s="8" t="str">
        <f>IFERROR(__xludf.DUMMYFUNCTION("GOOGLETRANSLATE(E1275,""zh-CN"",""vi"")"),"Những quả dâu tây được đóng gói tinh tế. Chế tác chúng sẽ thu được Mảnh Tiên Dâu Tây.")</f>
        <v>Những quả dâu tây được đóng gói tinh tế. Chế tác chúng sẽ thu được Mảnh Tiên Dâu Tây.</v>
      </c>
      <c r="H1275" s="8"/>
      <c r="I1275" s="8"/>
      <c r="J1275" s="8"/>
    </row>
    <row r="1276" ht="21.0" customHeight="1">
      <c r="A1276" s="6">
        <v>1.0</v>
      </c>
      <c r="B1276" s="6">
        <v>126.0</v>
      </c>
      <c r="C1276" s="6">
        <v>10.0</v>
      </c>
      <c r="D1276" s="9" t="s">
        <v>1392</v>
      </c>
      <c r="E1276" s="9" t="s">
        <v>1393</v>
      </c>
      <c r="F1276" s="8" t="str">
        <f>IFERROR(__xludf.DUMMYFUNCTION("GOOGLETRANSLATE(D1276,""zh-CN"",""vi"")"),"Mảnh vỡ của nàng tiên dâu tây")</f>
        <v>Mảnh vỡ của nàng tiên dâu tây</v>
      </c>
      <c r="G1276" s="8" t="str">
        <f>IFERROR(__xludf.DUMMYFUNCTION("GOOGLETRANSLATE(E1276,""zh-CN"",""vi"")"),"Cá heo dâu tây: Không chỉ ngọt ngào, mà còn có khả năng thực hiện những chuyến hải trình dài. Kết hợp chúng để có được Tiên dâu tây.")</f>
        <v>Cá heo dâu tây: Không chỉ ngọt ngào, mà còn có khả năng thực hiện những chuyến hải trình dài. Kết hợp chúng để có được Tiên dâu tây.</v>
      </c>
      <c r="H1276" s="8"/>
      <c r="I1276" s="8"/>
      <c r="J1276" s="8"/>
    </row>
    <row r="1277" ht="21.0" customHeight="1">
      <c r="A1277" s="30">
        <v>13.0</v>
      </c>
      <c r="B1277" s="31">
        <v>126.0</v>
      </c>
      <c r="C1277" s="31">
        <v>11.0</v>
      </c>
      <c r="D1277" s="33" t="s">
        <v>1394</v>
      </c>
      <c r="E1277" s="33" t="s">
        <v>1395</v>
      </c>
      <c r="F1277" s="8" t="str">
        <f>IFERROR(__xludf.DUMMYFUNCTION("GOOGLETRANSLATE(D1277,""zh-CN"",""vi"")"),"Nàng tiên dâu tây")</f>
        <v>Nàng tiên dâu tây</v>
      </c>
      <c r="G1277" s="8" t="str">
        <f>IFERROR(__xludf.DUMMYFUNCTION("GOOGLETRANSLATE(E1277,""zh-CN"",""vi"")"),"Bắt được tôi sẽ không dễ đâu.")</f>
        <v>Bắt được tôi sẽ không dễ đâu.</v>
      </c>
      <c r="H1277" s="27"/>
      <c r="I1277" s="27"/>
      <c r="J1277" s="27"/>
    </row>
    <row r="1278" ht="21.0" customHeight="1">
      <c r="A1278" s="30">
        <v>5.0</v>
      </c>
      <c r="B1278" s="31">
        <v>531.0</v>
      </c>
      <c r="C1278" s="31">
        <v>1.0</v>
      </c>
      <c r="D1278" s="33" t="s">
        <v>1396</v>
      </c>
      <c r="E1278" s="33" t="s">
        <v>873</v>
      </c>
      <c r="F1278" s="8" t="str">
        <f>IFERROR(__xludf.DUMMYFUNCTION("GOOGLETRANSLATE(D1278,""zh-CN"",""vi"")"),"Hộp bí ẩn dâu tây cấp độ 1")</f>
        <v>Hộp bí ẩn dâu tây cấp độ 1</v>
      </c>
      <c r="G1278" s="8" t="str">
        <f>IFERROR(__xludf.DUMMYFUNCTION("GOOGLETRANSLATE(E1278,""zh-CN"",""vi"")"),"Nhấp đúp chuột sẽ mang lại nhiều phần thưởng khác nhau với một xác suất nhất định.")</f>
        <v>Nhấp đúp chuột sẽ mang lại nhiều phần thưởng khác nhau với một xác suất nhất định.</v>
      </c>
      <c r="H1278" s="27"/>
      <c r="I1278" s="27"/>
      <c r="J1278" s="27"/>
    </row>
    <row r="1279" ht="21.0" customHeight="1">
      <c r="A1279" s="30">
        <v>5.0</v>
      </c>
      <c r="B1279" s="31">
        <v>531.0</v>
      </c>
      <c r="C1279" s="31">
        <v>1.0</v>
      </c>
      <c r="D1279" s="33" t="s">
        <v>1397</v>
      </c>
      <c r="E1279" s="33" t="s">
        <v>873</v>
      </c>
      <c r="F1279" s="8" t="str">
        <f>IFERROR(__xludf.DUMMYFUNCTION("GOOGLETRANSLATE(D1279,""zh-CN"",""vi"")"),"Hộp bí ẩn dâu tây cấp độ 2")</f>
        <v>Hộp bí ẩn dâu tây cấp độ 2</v>
      </c>
      <c r="G1279" s="8" t="str">
        <f>IFERROR(__xludf.DUMMYFUNCTION("GOOGLETRANSLATE(E1279,""zh-CN"",""vi"")"),"Nhấp đúp chuột sẽ mang lại nhiều phần thưởng khác nhau với một xác suất nhất định.")</f>
        <v>Nhấp đúp chuột sẽ mang lại nhiều phần thưởng khác nhau với một xác suất nhất định.</v>
      </c>
      <c r="H1279" s="27"/>
      <c r="I1279" s="27"/>
      <c r="J1279" s="27"/>
    </row>
    <row r="1280" ht="21.0" customHeight="1">
      <c r="A1280" s="30">
        <v>5.0</v>
      </c>
      <c r="B1280" s="31">
        <v>531.0</v>
      </c>
      <c r="C1280" s="31">
        <v>1.0</v>
      </c>
      <c r="D1280" s="33" t="s">
        <v>1398</v>
      </c>
      <c r="E1280" s="33" t="s">
        <v>873</v>
      </c>
      <c r="F1280" s="8" t="str">
        <f>IFERROR(__xludf.DUMMYFUNCTION("GOOGLETRANSLATE(D1280,""zh-CN"",""vi"")"),"Hộp bí ẩn dâu tây cấp độ 3")</f>
        <v>Hộp bí ẩn dâu tây cấp độ 3</v>
      </c>
      <c r="G1280" s="8" t="str">
        <f>IFERROR(__xludf.DUMMYFUNCTION("GOOGLETRANSLATE(E1280,""zh-CN"",""vi"")"),"Nhấp đúp chuột sẽ mang lại nhiều phần thưởng khác nhau với một xác suất nhất định.")</f>
        <v>Nhấp đúp chuột sẽ mang lại nhiều phần thưởng khác nhau với một xác suất nhất định.</v>
      </c>
      <c r="H1280" s="27"/>
      <c r="I1280" s="27"/>
      <c r="J1280" s="27"/>
    </row>
    <row r="1281" ht="21.0" customHeight="1">
      <c r="A1281" s="30">
        <v>5.0</v>
      </c>
      <c r="B1281" s="31">
        <v>531.0</v>
      </c>
      <c r="C1281" s="31">
        <v>1.0</v>
      </c>
      <c r="D1281" s="33" t="s">
        <v>1399</v>
      </c>
      <c r="E1281" s="33" t="s">
        <v>873</v>
      </c>
      <c r="F1281" s="8" t="str">
        <f>IFERROR(__xludf.DUMMYFUNCTION("GOOGLETRANSLATE(D1281,""zh-CN"",""vi"")"),"Hộp bí ẩn dâu tây cấp độ 4")</f>
        <v>Hộp bí ẩn dâu tây cấp độ 4</v>
      </c>
      <c r="G1281" s="8" t="str">
        <f>IFERROR(__xludf.DUMMYFUNCTION("GOOGLETRANSLATE(E1281,""zh-CN"",""vi"")"),"Nhấp đúp chuột sẽ mang lại nhiều phần thưởng khác nhau với một xác suất nhất định.")</f>
        <v>Nhấp đúp chuột sẽ mang lại nhiều phần thưởng khác nhau với một xác suất nhất định.</v>
      </c>
      <c r="H1281" s="27"/>
      <c r="I1281" s="27"/>
      <c r="J1281" s="27"/>
    </row>
    <row r="1282" ht="21.0" customHeight="1">
      <c r="A1282" s="30">
        <v>5.0</v>
      </c>
      <c r="B1282" s="31">
        <v>531.0</v>
      </c>
      <c r="C1282" s="31">
        <v>1.0</v>
      </c>
      <c r="D1282" s="33" t="s">
        <v>1400</v>
      </c>
      <c r="E1282" s="33" t="s">
        <v>873</v>
      </c>
      <c r="F1282" s="8" t="str">
        <f>IFERROR(__xludf.DUMMYFUNCTION("GOOGLETRANSLATE(D1282,""zh-CN"",""vi"")"),"Hộp bí ẩn dâu tây cấp độ 5")</f>
        <v>Hộp bí ẩn dâu tây cấp độ 5</v>
      </c>
      <c r="G1282" s="8" t="str">
        <f>IFERROR(__xludf.DUMMYFUNCTION("GOOGLETRANSLATE(E1282,""zh-CN"",""vi"")"),"Nhấp đúp chuột sẽ mang lại nhiều phần thưởng khác nhau với một xác suất nhất định.")</f>
        <v>Nhấp đúp chuột sẽ mang lại nhiều phần thưởng khác nhau với một xác suất nhất định.</v>
      </c>
      <c r="H1282" s="27"/>
      <c r="I1282" s="27"/>
      <c r="J1282" s="27"/>
    </row>
    <row r="1283" ht="21.0" customHeight="1">
      <c r="A1283" s="30">
        <v>5.0</v>
      </c>
      <c r="B1283" s="31">
        <v>531.0</v>
      </c>
      <c r="C1283" s="31">
        <v>1.0</v>
      </c>
      <c r="D1283" s="33" t="s">
        <v>1401</v>
      </c>
      <c r="E1283" s="33" t="s">
        <v>1402</v>
      </c>
      <c r="F1283" s="8" t="str">
        <f>IFERROR(__xludf.DUMMYFUNCTION("GOOGLETRANSLATE(D1283,""zh-CN"",""vi"")"),"Hộp bí ẩn Phantom dành cho người mới bắt đầu")</f>
        <v>Hộp bí ẩn Phantom dành cho người mới bắt đầu</v>
      </c>
      <c r="G1283" s="8" t="str">
        <f>IFERROR(__xludf.DUMMYFUNCTION("GOOGLETRANSLATE(E1283,""zh-CN"",""vi"")"),"Nhấp đúp chuột sẽ tạo ra các phần thưởng ngẫu nhiên khác nhau, và có thể thực hiện tối đa 5 lần.")</f>
        <v>Nhấp đúp chuột sẽ tạo ra các phần thưởng ngẫu nhiên khác nhau, và có thể thực hiện tối đa 5 lần.</v>
      </c>
      <c r="H1283" s="27"/>
      <c r="I1283" s="27"/>
      <c r="J1283" s="27"/>
    </row>
    <row r="1284" ht="21.0" customHeight="1">
      <c r="A1284" s="30">
        <v>5.0</v>
      </c>
      <c r="B1284" s="31">
        <v>531.0</v>
      </c>
      <c r="C1284" s="31">
        <v>1.0</v>
      </c>
      <c r="D1284" s="33" t="s">
        <v>1403</v>
      </c>
      <c r="E1284" s="33" t="s">
        <v>1402</v>
      </c>
      <c r="F1284" s="8" t="str">
        <f>IFERROR(__xludf.DUMMYFUNCTION("GOOGLETRANSLATE(D1284,""zh-CN"",""vi"")"),"Hộp bí ẩn Phantom trung cấp")</f>
        <v>Hộp bí ẩn Phantom trung cấp</v>
      </c>
      <c r="G1284" s="8" t="str">
        <f>IFERROR(__xludf.DUMMYFUNCTION("GOOGLETRANSLATE(E1284,""zh-CN"",""vi"")"),"Nhấp đúp chuột sẽ tạo ra các phần thưởng ngẫu nhiên khác nhau, và có thể thực hiện tối đa 5 lần.")</f>
        <v>Nhấp đúp chuột sẽ tạo ra các phần thưởng ngẫu nhiên khác nhau, và có thể thực hiện tối đa 5 lần.</v>
      </c>
      <c r="H1284" s="27"/>
      <c r="I1284" s="27"/>
      <c r="J1284" s="27"/>
    </row>
    <row r="1285" ht="21.0" customHeight="1">
      <c r="A1285" s="30">
        <v>43.0</v>
      </c>
      <c r="B1285" s="31">
        <v>531.0</v>
      </c>
      <c r="C1285" s="31">
        <v>1.0</v>
      </c>
      <c r="D1285" s="33" t="s">
        <v>1404</v>
      </c>
      <c r="E1285" s="33" t="s">
        <v>1405</v>
      </c>
      <c r="F1285" s="8" t="str">
        <f>IFERROR(__xludf.DUMMYFUNCTION("GOOGLETRANSLATE(D1285,""zh-CN"",""vi"")"),"Hộp bí ẩn cao cấp Phantom")</f>
        <v>Hộp bí ẩn cao cấp Phantom</v>
      </c>
      <c r="G1285" s="8" t="str">
        <f>IFERROR(__xludf.DUMMYFUNCTION("GOOGLETRANSLATE(E1285,""zh-CN"",""vi"")"),"Nhấp đúp chuột để mở khóa phần thưởng, tối đa 5 lần; đảm bảo nhận được một Kính vạn hoa trong mỗi 100 lần mở khóa.")</f>
        <v>Nhấp đúp chuột để mở khóa phần thưởng, tối đa 5 lần; đảm bảo nhận được một Kính vạn hoa trong mỗi 100 lần mở khóa.</v>
      </c>
      <c r="H1285" s="27"/>
      <c r="I1285" s="27"/>
      <c r="J1285" s="27"/>
    </row>
    <row r="1286" ht="21.0" customHeight="1">
      <c r="A1286" s="6">
        <v>11.0</v>
      </c>
      <c r="B1286" s="6">
        <v>1009.0</v>
      </c>
      <c r="C1286" s="6">
        <v>1.0</v>
      </c>
      <c r="D1286" s="9" t="s">
        <v>1406</v>
      </c>
      <c r="E1286" s="9" t="s">
        <v>1407</v>
      </c>
      <c r="F1286" s="8" t="str">
        <f>IFERROR(__xludf.DUMMYFUNCTION("GOOGLETRANSLATE(D1286,""zh-CN"",""vi"")"),"Ngôi nhà đồ chơi")</f>
        <v>Ngôi nhà đồ chơi</v>
      </c>
      <c r="G1286" s="8" t="str">
        <f>IFERROR(__xludf.DUMMYFUNCTION("GOOGLETRANSLATE(E1286,""zh-CN"",""vi"")"),"Văn bản mô tả cây trồng, có thể kết hợp tối đa 40 từ để tạo thành một ngôi nhà đồ chơi.")</f>
        <v>Văn bản mô tả cây trồng, có thể kết hợp tối đa 40 từ để tạo thành một ngôi nhà đồ chơi.</v>
      </c>
      <c r="H1286" s="8"/>
      <c r="I1286" s="8"/>
      <c r="J1286" s="8"/>
    </row>
    <row r="1287" ht="21.0" customHeight="1">
      <c r="A1287" s="6">
        <v>11.0</v>
      </c>
      <c r="B1287" s="6">
        <v>1009.0</v>
      </c>
      <c r="C1287" s="6">
        <v>2.0</v>
      </c>
      <c r="D1287" s="9" t="s">
        <v>1406</v>
      </c>
      <c r="E1287" s="9" t="s">
        <v>1407</v>
      </c>
      <c r="F1287" s="8" t="str">
        <f>IFERROR(__xludf.DUMMYFUNCTION("GOOGLETRANSLATE(D1287,""zh-CN"",""vi"")"),"Ngôi nhà đồ chơi")</f>
        <v>Ngôi nhà đồ chơi</v>
      </c>
      <c r="G1287" s="8" t="str">
        <f>IFERROR(__xludf.DUMMYFUNCTION("GOOGLETRANSLATE(E1287,""zh-CN"",""vi"")"),"Văn bản mô tả cây trồng, có thể kết hợp tối đa 40 từ để tạo thành một ngôi nhà đồ chơi.")</f>
        <v>Văn bản mô tả cây trồng, có thể kết hợp tối đa 40 từ để tạo thành một ngôi nhà đồ chơi.</v>
      </c>
      <c r="H1287" s="8"/>
      <c r="I1287" s="8"/>
      <c r="J1287" s="8"/>
    </row>
    <row r="1288" ht="21.0" customHeight="1">
      <c r="A1288" s="6">
        <v>11.0</v>
      </c>
      <c r="B1288" s="6">
        <v>1009.0</v>
      </c>
      <c r="C1288" s="6">
        <v>3.0</v>
      </c>
      <c r="D1288" s="9" t="s">
        <v>1406</v>
      </c>
      <c r="E1288" s="9" t="s">
        <v>1407</v>
      </c>
      <c r="F1288" s="8" t="str">
        <f>IFERROR(__xludf.DUMMYFUNCTION("GOOGLETRANSLATE(D1288,""zh-CN"",""vi"")"),"Ngôi nhà đồ chơi")</f>
        <v>Ngôi nhà đồ chơi</v>
      </c>
      <c r="G1288" s="8" t="str">
        <f>IFERROR(__xludf.DUMMYFUNCTION("GOOGLETRANSLATE(E1288,""zh-CN"",""vi"")"),"Văn bản mô tả cây trồng, có thể kết hợp tối đa 40 từ để tạo thành một ngôi nhà đồ chơi.")</f>
        <v>Văn bản mô tả cây trồng, có thể kết hợp tối đa 40 từ để tạo thành một ngôi nhà đồ chơi.</v>
      </c>
      <c r="H1288" s="8"/>
      <c r="I1288" s="8"/>
      <c r="J1288" s="8"/>
    </row>
    <row r="1289" ht="21.0" customHeight="1">
      <c r="A1289" s="6">
        <v>11.0</v>
      </c>
      <c r="B1289" s="6">
        <v>1009.0</v>
      </c>
      <c r="C1289" s="6">
        <v>4.0</v>
      </c>
      <c r="D1289" s="9" t="s">
        <v>1406</v>
      </c>
      <c r="E1289" s="9" t="s">
        <v>1407</v>
      </c>
      <c r="F1289" s="8" t="str">
        <f>IFERROR(__xludf.DUMMYFUNCTION("GOOGLETRANSLATE(D1289,""zh-CN"",""vi"")"),"Ngôi nhà đồ chơi")</f>
        <v>Ngôi nhà đồ chơi</v>
      </c>
      <c r="G1289" s="8" t="str">
        <f>IFERROR(__xludf.DUMMYFUNCTION("GOOGLETRANSLATE(E1289,""zh-CN"",""vi"")"),"Văn bản mô tả cây trồng, có thể kết hợp tối đa 40 từ để tạo thành một ngôi nhà đồ chơi.")</f>
        <v>Văn bản mô tả cây trồng, có thể kết hợp tối đa 40 từ để tạo thành một ngôi nhà đồ chơi.</v>
      </c>
      <c r="H1289" s="8"/>
      <c r="I1289" s="8"/>
      <c r="J1289" s="8"/>
    </row>
    <row r="1290" ht="21.0" customHeight="1">
      <c r="A1290" s="6">
        <v>11.0</v>
      </c>
      <c r="B1290" s="6">
        <v>1009.0</v>
      </c>
      <c r="C1290" s="6">
        <v>5.0</v>
      </c>
      <c r="D1290" s="9" t="s">
        <v>1406</v>
      </c>
      <c r="E1290" s="9" t="s">
        <v>1407</v>
      </c>
      <c r="F1290" s="8" t="str">
        <f>IFERROR(__xludf.DUMMYFUNCTION("GOOGLETRANSLATE(D1290,""zh-CN"",""vi"")"),"Ngôi nhà đồ chơi")</f>
        <v>Ngôi nhà đồ chơi</v>
      </c>
      <c r="G1290" s="8" t="str">
        <f>IFERROR(__xludf.DUMMYFUNCTION("GOOGLETRANSLATE(E1290,""zh-CN"",""vi"")"),"Văn bản mô tả cây trồng, có thể kết hợp tối đa 40 từ để tạo thành một ngôi nhà đồ chơi.")</f>
        <v>Văn bản mô tả cây trồng, có thể kết hợp tối đa 40 từ để tạo thành một ngôi nhà đồ chơi.</v>
      </c>
      <c r="H1290" s="62"/>
      <c r="I1290" s="62"/>
      <c r="J1290" s="62"/>
    </row>
    <row r="1291" ht="21.0" customHeight="1">
      <c r="A1291" s="6">
        <v>11.0</v>
      </c>
      <c r="B1291" s="6">
        <v>1009.0</v>
      </c>
      <c r="C1291" s="6">
        <v>6.0</v>
      </c>
      <c r="D1291" s="9" t="s">
        <v>1406</v>
      </c>
      <c r="E1291" s="9" t="s">
        <v>1407</v>
      </c>
      <c r="F1291" s="8" t="str">
        <f>IFERROR(__xludf.DUMMYFUNCTION("GOOGLETRANSLATE(D1291,""zh-CN"",""vi"")"),"Ngôi nhà đồ chơi")</f>
        <v>Ngôi nhà đồ chơi</v>
      </c>
      <c r="G1291" s="8" t="str">
        <f>IFERROR(__xludf.DUMMYFUNCTION("GOOGLETRANSLATE(E1291,""zh-CN"",""vi"")"),"Văn bản mô tả cây trồng, có thể kết hợp tối đa 40 từ để tạo thành một ngôi nhà đồ chơi.")</f>
        <v>Văn bản mô tả cây trồng, có thể kết hợp tối đa 40 từ để tạo thành một ngôi nhà đồ chơi.</v>
      </c>
      <c r="H1291" s="62"/>
      <c r="I1291" s="62"/>
      <c r="J1291" s="62"/>
    </row>
    <row r="1292" ht="21.0" customHeight="1">
      <c r="A1292" s="6">
        <v>11.0</v>
      </c>
      <c r="B1292" s="6">
        <v>1009.0</v>
      </c>
      <c r="C1292" s="6">
        <v>7.0</v>
      </c>
      <c r="D1292" s="9" t="s">
        <v>1406</v>
      </c>
      <c r="E1292" s="9" t="s">
        <v>1407</v>
      </c>
      <c r="F1292" s="8" t="str">
        <f>IFERROR(__xludf.DUMMYFUNCTION("GOOGLETRANSLATE(D1292,""zh-CN"",""vi"")"),"Ngôi nhà đồ chơi")</f>
        <v>Ngôi nhà đồ chơi</v>
      </c>
      <c r="G1292" s="8" t="str">
        <f>IFERROR(__xludf.DUMMYFUNCTION("GOOGLETRANSLATE(E1292,""zh-CN"",""vi"")"),"Văn bản mô tả cây trồng, có thể kết hợp tối đa 40 từ để tạo thành một ngôi nhà đồ chơi.")</f>
        <v>Văn bản mô tả cây trồng, có thể kết hợp tối đa 40 từ để tạo thành một ngôi nhà đồ chơi.</v>
      </c>
      <c r="H1292" s="62"/>
      <c r="I1292" s="62"/>
      <c r="J1292" s="62"/>
    </row>
    <row r="1293" ht="21.0" customHeight="1">
      <c r="A1293" s="6">
        <v>11.0</v>
      </c>
      <c r="B1293" s="6">
        <v>1009.0</v>
      </c>
      <c r="C1293" s="6">
        <v>8.0</v>
      </c>
      <c r="D1293" s="9" t="s">
        <v>1406</v>
      </c>
      <c r="E1293" s="9" t="s">
        <v>1407</v>
      </c>
      <c r="F1293" s="8" t="str">
        <f>IFERROR(__xludf.DUMMYFUNCTION("GOOGLETRANSLATE(D1293,""zh-CN"",""vi"")"),"Ngôi nhà đồ chơi")</f>
        <v>Ngôi nhà đồ chơi</v>
      </c>
      <c r="G1293" s="8" t="str">
        <f>IFERROR(__xludf.DUMMYFUNCTION("GOOGLETRANSLATE(E1293,""zh-CN"",""vi"")"),"Văn bản mô tả cây trồng, có thể kết hợp tối đa 40 từ để tạo thành một ngôi nhà đồ chơi.")</f>
        <v>Văn bản mô tả cây trồng, có thể kết hợp tối đa 40 từ để tạo thành một ngôi nhà đồ chơi.</v>
      </c>
      <c r="H1293" s="62"/>
      <c r="I1293" s="62"/>
      <c r="J1293" s="62"/>
    </row>
    <row r="1294" ht="21.0" customHeight="1">
      <c r="A1294" s="6">
        <v>11.0</v>
      </c>
      <c r="B1294" s="6">
        <v>1009.0</v>
      </c>
      <c r="C1294" s="6">
        <v>9.0</v>
      </c>
      <c r="D1294" s="9" t="s">
        <v>1406</v>
      </c>
      <c r="E1294" s="9" t="s">
        <v>1407</v>
      </c>
      <c r="F1294" s="8" t="str">
        <f>IFERROR(__xludf.DUMMYFUNCTION("GOOGLETRANSLATE(D1294,""zh-CN"",""vi"")"),"Ngôi nhà đồ chơi")</f>
        <v>Ngôi nhà đồ chơi</v>
      </c>
      <c r="G1294" s="8" t="str">
        <f>IFERROR(__xludf.DUMMYFUNCTION("GOOGLETRANSLATE(E1294,""zh-CN"",""vi"")"),"Văn bản mô tả cây trồng, có thể kết hợp tối đa 40 từ để tạo thành một ngôi nhà đồ chơi.")</f>
        <v>Văn bản mô tả cây trồng, có thể kết hợp tối đa 40 từ để tạo thành một ngôi nhà đồ chơi.</v>
      </c>
      <c r="H1294" s="62"/>
      <c r="I1294" s="62"/>
      <c r="J1294" s="62"/>
    </row>
    <row r="1295" ht="21.0" customHeight="1">
      <c r="A1295" s="6">
        <v>11.0</v>
      </c>
      <c r="B1295" s="6">
        <v>1009.0</v>
      </c>
      <c r="C1295" s="6">
        <v>10.0</v>
      </c>
      <c r="D1295" s="9" t="s">
        <v>1406</v>
      </c>
      <c r="E1295" s="9" t="s">
        <v>1408</v>
      </c>
      <c r="F1295" s="8" t="str">
        <f>IFERROR(__xludf.DUMMYFUNCTION("GOOGLETRANSLATE(D1295,""zh-CN"",""vi"")"),"Ngôi nhà đồ chơi")</f>
        <v>Ngôi nhà đồ chơi</v>
      </c>
      <c r="G1295" s="8" t="str">
        <f>IFERROR(__xludf.DUMMYFUNCTION("GOOGLETRANSLATE(E1295,""zh-CN"",""vi"")"),"Văn bản mô tả sản phẩm, có thể kết hợp tối đa 40 từ để tạo ra mô hình đồ chơi.")</f>
        <v>Văn bản mô tả sản phẩm, có thể kết hợp tối đa 40 từ để tạo ra mô hình đồ chơi.</v>
      </c>
      <c r="H1295" s="62"/>
      <c r="I1295" s="62"/>
      <c r="J1295" s="62"/>
    </row>
    <row r="1296" ht="21.0" customHeight="1">
      <c r="A1296" s="6">
        <v>1.0</v>
      </c>
      <c r="B1296" s="6">
        <v>116.0</v>
      </c>
      <c r="C1296" s="6">
        <v>1.0</v>
      </c>
      <c r="D1296" s="9" t="s">
        <v>1409</v>
      </c>
      <c r="E1296" s="9" t="s">
        <v>1408</v>
      </c>
      <c r="F1296" s="8" t="str">
        <f>IFERROR(__xludf.DUMMYFUNCTION("GOOGLETRANSLATE(D1296,""zh-CN"",""vi"")"),"Đồ chơi mô hình")</f>
        <v>Đồ chơi mô hình</v>
      </c>
      <c r="G1296" s="8" t="str">
        <f>IFERROR(__xludf.DUMMYFUNCTION("GOOGLETRANSLATE(E1296,""zh-CN"",""vi"")"),"Văn bản mô tả sản phẩm, có thể kết hợp tối đa 40 từ để tạo ra mô hình đồ chơi.")</f>
        <v>Văn bản mô tả sản phẩm, có thể kết hợp tối đa 40 từ để tạo ra mô hình đồ chơi.</v>
      </c>
      <c r="H1296" s="62"/>
      <c r="I1296" s="62"/>
      <c r="J1296" s="62"/>
    </row>
    <row r="1297" ht="21.0" customHeight="1">
      <c r="A1297" s="6">
        <v>1.0</v>
      </c>
      <c r="B1297" s="6">
        <v>116.0</v>
      </c>
      <c r="C1297" s="6">
        <v>2.0</v>
      </c>
      <c r="D1297" s="9" t="s">
        <v>1409</v>
      </c>
      <c r="E1297" s="9" t="s">
        <v>1408</v>
      </c>
      <c r="F1297" s="8" t="str">
        <f>IFERROR(__xludf.DUMMYFUNCTION("GOOGLETRANSLATE(D1297,""zh-CN"",""vi"")"),"Đồ chơi mô hình")</f>
        <v>Đồ chơi mô hình</v>
      </c>
      <c r="G1297" s="8" t="str">
        <f>IFERROR(__xludf.DUMMYFUNCTION("GOOGLETRANSLATE(E1297,""zh-CN"",""vi"")"),"Văn bản mô tả sản phẩm, có thể kết hợp tối đa 40 từ để tạo ra mô hình đồ chơi.")</f>
        <v>Văn bản mô tả sản phẩm, có thể kết hợp tối đa 40 từ để tạo ra mô hình đồ chơi.</v>
      </c>
      <c r="H1297" s="62"/>
      <c r="I1297" s="62"/>
      <c r="J1297" s="62"/>
    </row>
    <row r="1298" ht="21.0" customHeight="1">
      <c r="A1298" s="6">
        <v>1.0</v>
      </c>
      <c r="B1298" s="6">
        <v>116.0</v>
      </c>
      <c r="C1298" s="6">
        <v>3.0</v>
      </c>
      <c r="D1298" s="9" t="s">
        <v>1409</v>
      </c>
      <c r="E1298" s="9" t="s">
        <v>1408</v>
      </c>
      <c r="F1298" s="8" t="str">
        <f>IFERROR(__xludf.DUMMYFUNCTION("GOOGLETRANSLATE(D1298,""zh-CN"",""vi"")"),"Đồ chơi mô hình")</f>
        <v>Đồ chơi mô hình</v>
      </c>
      <c r="G1298" s="8" t="str">
        <f>IFERROR(__xludf.DUMMYFUNCTION("GOOGLETRANSLATE(E1298,""zh-CN"",""vi"")"),"Văn bản mô tả sản phẩm, có thể kết hợp tối đa 40 từ để tạo ra mô hình đồ chơi.")</f>
        <v>Văn bản mô tả sản phẩm, có thể kết hợp tối đa 40 từ để tạo ra mô hình đồ chơi.</v>
      </c>
      <c r="H1298" s="62"/>
      <c r="I1298" s="62"/>
      <c r="J1298" s="62"/>
    </row>
    <row r="1299" ht="21.0" customHeight="1">
      <c r="A1299" s="6">
        <v>1.0</v>
      </c>
      <c r="B1299" s="6">
        <v>116.0</v>
      </c>
      <c r="C1299" s="6">
        <v>4.0</v>
      </c>
      <c r="D1299" s="9" t="s">
        <v>1409</v>
      </c>
      <c r="E1299" s="9" t="s">
        <v>1408</v>
      </c>
      <c r="F1299" s="8" t="str">
        <f>IFERROR(__xludf.DUMMYFUNCTION("GOOGLETRANSLATE(D1299,""zh-CN"",""vi"")"),"Đồ chơi mô hình")</f>
        <v>Đồ chơi mô hình</v>
      </c>
      <c r="G1299" s="8" t="str">
        <f>IFERROR(__xludf.DUMMYFUNCTION("GOOGLETRANSLATE(E1299,""zh-CN"",""vi"")"),"Văn bản mô tả sản phẩm, có thể kết hợp tối đa 40 từ để tạo ra mô hình đồ chơi.")</f>
        <v>Văn bản mô tả sản phẩm, có thể kết hợp tối đa 40 từ để tạo ra mô hình đồ chơi.</v>
      </c>
      <c r="H1299" s="62"/>
      <c r="I1299" s="62"/>
      <c r="J1299" s="62"/>
    </row>
    <row r="1300" ht="21.0" customHeight="1">
      <c r="A1300" s="6">
        <v>1.0</v>
      </c>
      <c r="B1300" s="6">
        <v>116.0</v>
      </c>
      <c r="C1300" s="6">
        <v>5.0</v>
      </c>
      <c r="D1300" s="9" t="s">
        <v>1409</v>
      </c>
      <c r="E1300" s="9" t="s">
        <v>1408</v>
      </c>
      <c r="F1300" s="8" t="str">
        <f>IFERROR(__xludf.DUMMYFUNCTION("GOOGLETRANSLATE(D1300,""zh-CN"",""vi"")"),"Đồ chơi mô hình")</f>
        <v>Đồ chơi mô hình</v>
      </c>
      <c r="G1300" s="8" t="str">
        <f>IFERROR(__xludf.DUMMYFUNCTION("GOOGLETRANSLATE(E1300,""zh-CN"",""vi"")"),"Văn bản mô tả sản phẩm, có thể kết hợp tối đa 40 từ để tạo ra mô hình đồ chơi.")</f>
        <v>Văn bản mô tả sản phẩm, có thể kết hợp tối đa 40 từ để tạo ra mô hình đồ chơi.</v>
      </c>
      <c r="H1300" s="62"/>
      <c r="I1300" s="62"/>
      <c r="J1300" s="62"/>
    </row>
    <row r="1301" ht="21.0" customHeight="1">
      <c r="A1301" s="6">
        <v>1.0</v>
      </c>
      <c r="B1301" s="6">
        <v>116.0</v>
      </c>
      <c r="C1301" s="6">
        <v>6.0</v>
      </c>
      <c r="D1301" s="9" t="s">
        <v>1409</v>
      </c>
      <c r="E1301" s="9" t="s">
        <v>1408</v>
      </c>
      <c r="F1301" s="8" t="str">
        <f>IFERROR(__xludf.DUMMYFUNCTION("GOOGLETRANSLATE(D1301,""zh-CN"",""vi"")"),"Đồ chơi mô hình")</f>
        <v>Đồ chơi mô hình</v>
      </c>
      <c r="G1301" s="8" t="str">
        <f>IFERROR(__xludf.DUMMYFUNCTION("GOOGLETRANSLATE(E1301,""zh-CN"",""vi"")"),"Văn bản mô tả sản phẩm, có thể kết hợp tối đa 40 từ để tạo ra mô hình đồ chơi.")</f>
        <v>Văn bản mô tả sản phẩm, có thể kết hợp tối đa 40 từ để tạo ra mô hình đồ chơi.</v>
      </c>
      <c r="H1301" s="62"/>
      <c r="I1301" s="62"/>
      <c r="J1301" s="62"/>
    </row>
    <row r="1302" ht="21.0" customHeight="1">
      <c r="A1302" s="6">
        <v>1.0</v>
      </c>
      <c r="B1302" s="6">
        <v>116.0</v>
      </c>
      <c r="C1302" s="6">
        <v>7.0</v>
      </c>
      <c r="D1302" s="9" t="s">
        <v>1409</v>
      </c>
      <c r="E1302" s="9" t="s">
        <v>1408</v>
      </c>
      <c r="F1302" s="8" t="str">
        <f>IFERROR(__xludf.DUMMYFUNCTION("GOOGLETRANSLATE(D1302,""zh-CN"",""vi"")"),"Đồ chơi mô hình")</f>
        <v>Đồ chơi mô hình</v>
      </c>
      <c r="G1302" s="8" t="str">
        <f>IFERROR(__xludf.DUMMYFUNCTION("GOOGLETRANSLATE(E1302,""zh-CN"",""vi"")"),"Văn bản mô tả sản phẩm, có thể kết hợp tối đa 40 từ để tạo ra mô hình đồ chơi.")</f>
        <v>Văn bản mô tả sản phẩm, có thể kết hợp tối đa 40 từ để tạo ra mô hình đồ chơi.</v>
      </c>
      <c r="H1302" s="62"/>
      <c r="I1302" s="62"/>
      <c r="J1302" s="62"/>
    </row>
    <row r="1303" ht="21.0" customHeight="1">
      <c r="A1303" s="6">
        <v>1.0</v>
      </c>
      <c r="B1303" s="6">
        <v>116.0</v>
      </c>
      <c r="C1303" s="6">
        <v>8.0</v>
      </c>
      <c r="D1303" s="9" t="s">
        <v>1409</v>
      </c>
      <c r="E1303" s="9" t="s">
        <v>1408</v>
      </c>
      <c r="F1303" s="8" t="str">
        <f>IFERROR(__xludf.DUMMYFUNCTION("GOOGLETRANSLATE(D1303,""zh-CN"",""vi"")"),"Đồ chơi mô hình")</f>
        <v>Đồ chơi mô hình</v>
      </c>
      <c r="G1303" s="8" t="str">
        <f>IFERROR(__xludf.DUMMYFUNCTION("GOOGLETRANSLATE(E1303,""zh-CN"",""vi"")"),"Văn bản mô tả sản phẩm, có thể kết hợp tối đa 40 từ để tạo ra mô hình đồ chơi.")</f>
        <v>Văn bản mô tả sản phẩm, có thể kết hợp tối đa 40 từ để tạo ra mô hình đồ chơi.</v>
      </c>
      <c r="H1303" s="62"/>
      <c r="I1303" s="62"/>
      <c r="J1303" s="62"/>
    </row>
    <row r="1304" ht="21.0" customHeight="1">
      <c r="A1304" s="6">
        <v>1.0</v>
      </c>
      <c r="B1304" s="6">
        <v>116.0</v>
      </c>
      <c r="C1304" s="6">
        <v>9.0</v>
      </c>
      <c r="D1304" s="9" t="s">
        <v>1409</v>
      </c>
      <c r="E1304" s="9" t="s">
        <v>1408</v>
      </c>
      <c r="F1304" s="8" t="str">
        <f>IFERROR(__xludf.DUMMYFUNCTION("GOOGLETRANSLATE(D1304,""zh-CN"",""vi"")"),"Đồ chơi mô hình")</f>
        <v>Đồ chơi mô hình</v>
      </c>
      <c r="G1304" s="8" t="str">
        <f>IFERROR(__xludf.DUMMYFUNCTION("GOOGLETRANSLATE(E1304,""zh-CN"",""vi"")"),"Văn bản mô tả sản phẩm, có thể kết hợp tối đa 40 từ để tạo ra mô hình đồ chơi.")</f>
        <v>Văn bản mô tả sản phẩm, có thể kết hợp tối đa 40 từ để tạo ra mô hình đồ chơi.</v>
      </c>
      <c r="H1304" s="62"/>
      <c r="I1304" s="62"/>
      <c r="J1304" s="62"/>
    </row>
    <row r="1305" ht="21.0" customHeight="1">
      <c r="A1305" s="6">
        <v>1.0</v>
      </c>
      <c r="B1305" s="6">
        <v>116.0</v>
      </c>
      <c r="C1305" s="6">
        <v>10.0</v>
      </c>
      <c r="D1305" s="9" t="s">
        <v>1409</v>
      </c>
      <c r="E1305" s="9" t="s">
        <v>1410</v>
      </c>
      <c r="F1305" s="8" t="str">
        <f>IFERROR(__xludf.DUMMYFUNCTION("GOOGLETRANSLATE(D1305,""zh-CN"",""vi"")"),"Đồ chơi mô hình")</f>
        <v>Đồ chơi mô hình</v>
      </c>
      <c r="G1305" s="8" t="str">
        <f>IFERROR(__xludf.DUMMYFUNCTION("GOOGLETRANSLATE(E1305,""zh-CN"",""vi"")"),"Văn bản mô tả cây trồng, tối đa 40 từ có thể được kết hợp để tạo thành một hộp trang sức nhỏ.")</f>
        <v>Văn bản mô tả cây trồng, tối đa 40 từ có thể được kết hợp để tạo thành một hộp trang sức nhỏ.</v>
      </c>
      <c r="H1305" s="62"/>
      <c r="I1305" s="62"/>
      <c r="J1305" s="62"/>
    </row>
    <row r="1306" ht="21.0" customHeight="1">
      <c r="A1306" s="6">
        <v>11.0</v>
      </c>
      <c r="B1306" s="6">
        <v>1010.0</v>
      </c>
      <c r="C1306" s="6">
        <v>1.0</v>
      </c>
      <c r="D1306" s="9" t="s">
        <v>1411</v>
      </c>
      <c r="E1306" s="9" t="s">
        <v>1412</v>
      </c>
      <c r="F1306" s="8" t="str">
        <f>IFERROR(__xludf.DUMMYFUNCTION("GOOGLETRANSLATE(D1306,""zh-CN"",""vi"")"),"Hộp đựng trang sức nhỏ")</f>
        <v>Hộp đựng trang sức nhỏ</v>
      </c>
      <c r="G1306" s="8" t="str">
        <f>IFERROR(__xludf.DUMMYFUNCTION("GOOGLETRANSLATE(E1306,""zh-CN"",""vi"")"),"Hộp đựng trang sức đơn giản. Tổng hợp lên cấp 5 để thu được cây trồng chính.")</f>
        <v>Hộp đựng trang sức đơn giản. Tổng hợp lên cấp 5 để thu được cây trồng chính.</v>
      </c>
      <c r="H1306" s="8"/>
      <c r="I1306" s="8"/>
      <c r="J1306" s="8"/>
    </row>
    <row r="1307" ht="21.0" customHeight="1">
      <c r="A1307" s="6">
        <v>11.0</v>
      </c>
      <c r="B1307" s="6">
        <v>1010.0</v>
      </c>
      <c r="C1307" s="6">
        <v>2.0</v>
      </c>
      <c r="D1307" s="9" t="s">
        <v>1413</v>
      </c>
      <c r="E1307" s="9" t="s">
        <v>1414</v>
      </c>
      <c r="F1307" s="8" t="str">
        <f>IFERROR(__xludf.DUMMYFUNCTION("GOOGLETRANSLATE(D1307,""zh-CN"",""vi"")"),"Hộp đựng nhẫn ngọc lục bảo")</f>
        <v>Hộp đựng nhẫn ngọc lục bảo</v>
      </c>
      <c r="G1307" s="8" t="str">
        <f>IFERROR(__xludf.DUMMYFUNCTION("GOOGLETRANSLATE(E1307,""zh-CN"",""vi"")"),"Bên trong hộp là một chiếc nhẫn ngọc lục bảo. Tổng hợp nó lên cấp độ 5 sẽ thu được nguyên liệu chính.")</f>
        <v>Bên trong hộp là một chiếc nhẫn ngọc lục bảo. Tổng hợp nó lên cấp độ 5 sẽ thu được nguyên liệu chính.</v>
      </c>
      <c r="H1307" s="8"/>
      <c r="I1307" s="8"/>
      <c r="J1307" s="8"/>
    </row>
    <row r="1308" ht="21.0" customHeight="1">
      <c r="A1308" s="6">
        <v>11.0</v>
      </c>
      <c r="B1308" s="6">
        <v>1010.0</v>
      </c>
      <c r="C1308" s="6">
        <v>3.0</v>
      </c>
      <c r="D1308" s="9" t="s">
        <v>1415</v>
      </c>
      <c r="E1308" s="9" t="s">
        <v>1416</v>
      </c>
      <c r="F1308" s="8" t="str">
        <f>IFERROR(__xludf.DUMMYFUNCTION("GOOGLETRANSLATE(D1308,""zh-CN"",""vi"")"),"Hộp đựng nhẫn hình trái tim")</f>
        <v>Hộp đựng nhẫn hình trái tim</v>
      </c>
      <c r="G1308" s="8" t="str">
        <f>IFERROR(__xludf.DUMMYFUNCTION("GOOGLETRANSLATE(E1308,""zh-CN"",""vi"")"),"Hộp đựng nhẫn hình trái tim. Chế tạo đến cấp độ 5 sẽ thu được một cây trồng chính.")</f>
        <v>Hộp đựng nhẫn hình trái tim. Chế tạo đến cấp độ 5 sẽ thu được một cây trồng chính.</v>
      </c>
      <c r="H1308" s="8"/>
      <c r="I1308" s="8"/>
      <c r="J1308" s="8"/>
    </row>
    <row r="1309" ht="21.0" customHeight="1">
      <c r="A1309" s="6">
        <v>11.0</v>
      </c>
      <c r="B1309" s="6">
        <v>1010.0</v>
      </c>
      <c r="C1309" s="6">
        <v>4.0</v>
      </c>
      <c r="D1309" s="9" t="s">
        <v>1417</v>
      </c>
      <c r="E1309" s="9" t="s">
        <v>1418</v>
      </c>
      <c r="F1309" s="8" t="str">
        <f>IFERROR(__xludf.DUMMYFUNCTION("GOOGLETRANSLATE(D1309,""zh-CN"",""vi"")"),"Trang sức tinh xảo")</f>
        <v>Trang sức tinh xảo</v>
      </c>
      <c r="G1309" s="8" t="str">
        <f>IFERROR(__xludf.DUMMYFUNCTION("GOOGLETRANSLATE(E1309,""zh-CN"",""vi"")"),"Tại sao lại đơn giản như vậy? Tổng hợp đến cấp độ 5 sẽ cho ra cây trồng gốc.")</f>
        <v>Tại sao lại đơn giản như vậy? Tổng hợp đến cấp độ 5 sẽ cho ra cây trồng gốc.</v>
      </c>
      <c r="H1309" s="8"/>
      <c r="I1309" s="8"/>
      <c r="J1309" s="8"/>
    </row>
    <row r="1310" ht="21.0" customHeight="1">
      <c r="A1310" s="6">
        <v>10.0</v>
      </c>
      <c r="B1310" s="6">
        <v>1010.0</v>
      </c>
      <c r="C1310" s="6">
        <v>5.0</v>
      </c>
      <c r="D1310" s="9" t="s">
        <v>1419</v>
      </c>
      <c r="E1310" s="9" t="s">
        <v>1420</v>
      </c>
      <c r="F1310" s="8" t="str">
        <f>IFERROR(__xludf.DUMMYFUNCTION("GOOGLETRANSLATE(D1310,""zh-CN"",""vi"")"),"Hộp đựng trang sức hai lớp")</f>
        <v>Hộp đựng trang sức hai lớp</v>
      </c>
      <c r="G1310" s="8" t="str">
        <f>IFERROR(__xludf.DUMMYFUNCTION("GOOGLETRANSLATE(E1310,""zh-CN"",""vi"")"),"Một hộp đựng trang sức có hai ngăn kéo. Sau khi chế tạo, bạn sẽ có một hộp đựng trang sức ba tầng.")</f>
        <v>Một hộp đựng trang sức có hai ngăn kéo. Sau khi chế tạo, bạn sẽ có một hộp đựng trang sức ba tầng.</v>
      </c>
      <c r="H1310" s="8"/>
      <c r="I1310" s="8"/>
      <c r="J1310" s="8"/>
    </row>
    <row r="1311" ht="21.0" customHeight="1">
      <c r="A1311" s="6">
        <v>10.0</v>
      </c>
      <c r="B1311" s="6">
        <v>1010.0</v>
      </c>
      <c r="C1311" s="6">
        <v>6.0</v>
      </c>
      <c r="D1311" s="9" t="s">
        <v>1421</v>
      </c>
      <c r="E1311" s="9" t="s">
        <v>1422</v>
      </c>
      <c r="F1311" s="8" t="str">
        <f>IFERROR(__xludf.DUMMYFUNCTION("GOOGLETRANSLATE(D1311,""zh-CN"",""vi"")"),"Hộp đựng trang sức ba tầng")</f>
        <v>Hộp đựng trang sức ba tầng</v>
      </c>
      <c r="G1311" s="8" t="str">
        <f>IFERROR(__xludf.DUMMYFUNCTION("GOOGLETRANSLATE(E1311,""zh-CN"",""vi"")"),"Tất cả đồ trang sức của bà đều ở đây. Sau khi chế tác, bạn sẽ có một hộp đựng trang sức bằng gỗ nguyên khối.")</f>
        <v>Tất cả đồ trang sức của bà đều ở đây. Sau khi chế tác, bạn sẽ có một hộp đựng trang sức bằng gỗ nguyên khối.</v>
      </c>
      <c r="H1311" s="8"/>
      <c r="I1311" s="8"/>
      <c r="J1311" s="8"/>
    </row>
    <row r="1312" ht="21.0" customHeight="1">
      <c r="A1312" s="6">
        <v>10.0</v>
      </c>
      <c r="B1312" s="6">
        <v>1010.0</v>
      </c>
      <c r="C1312" s="6">
        <v>7.0</v>
      </c>
      <c r="D1312" s="9" t="s">
        <v>1423</v>
      </c>
      <c r="E1312" s="9" t="s">
        <v>1424</v>
      </c>
      <c r="F1312" s="8" t="str">
        <f>IFERROR(__xludf.DUMMYFUNCTION("GOOGLETRANSLATE(D1312,""zh-CN"",""vi"")"),"hộp đựng trang sức bằng gỗ nguyên khối")</f>
        <v>hộp đựng trang sức bằng gỗ nguyên khối</v>
      </c>
      <c r="G1312" s="8" t="str">
        <f>IFERROR(__xludf.DUMMYFUNCTION("GOOGLETRANSLATE(E1312,""zh-CN"",""vi"")"),"Hãy sơn chiếc hộp đựng trang sức bằng gỗ bằng một màu sắc nữ tính. Tự tay làm ra chiếc hộp này sẽ tạo nên một sản phẩm trang sức cao cấp.")</f>
        <v>Hãy sơn chiếc hộp đựng trang sức bằng gỗ bằng một màu sắc nữ tính. Tự tay làm ra chiếc hộp này sẽ tạo nên một sản phẩm trang sức cao cấp.</v>
      </c>
      <c r="H1312" s="8"/>
      <c r="I1312" s="8"/>
      <c r="J1312" s="8"/>
    </row>
    <row r="1313" ht="21.0" customHeight="1">
      <c r="A1313" s="6">
        <v>10.0</v>
      </c>
      <c r="B1313" s="6">
        <v>1010.0</v>
      </c>
      <c r="C1313" s="6">
        <v>8.0</v>
      </c>
      <c r="D1313" s="9" t="s">
        <v>1425</v>
      </c>
      <c r="E1313" s="9" t="s">
        <v>1426</v>
      </c>
      <c r="F1313" s="8" t="str">
        <f>IFERROR(__xludf.DUMMYFUNCTION("GOOGLETRANSLATE(D1313,""zh-CN"",""vi"")"),"Hộp đựng trang sức cao cấp")</f>
        <v>Hộp đựng trang sức cao cấp</v>
      </c>
      <c r="G1313" s="8" t="str">
        <f>IFERROR(__xludf.DUMMYFUNCTION("GOOGLETRANSLATE(E1313,""zh-CN"",""vi"")"),"Những món trang sức giờ đã có một căn phòng nhỏ riêng. Ghép chúng lại với nhau tạo thành một hộp đựng trang sức hai cánh.")</f>
        <v>Những món trang sức giờ đã có một căn phòng nhỏ riêng. Ghép chúng lại với nhau tạo thành một hộp đựng trang sức hai cánh.</v>
      </c>
      <c r="H1313" s="8"/>
      <c r="I1313" s="8"/>
      <c r="J1313" s="8"/>
    </row>
    <row r="1314" ht="21.0" customHeight="1">
      <c r="A1314" s="6">
        <v>10.0</v>
      </c>
      <c r="B1314" s="6">
        <v>1010.0</v>
      </c>
      <c r="C1314" s="6">
        <v>9.0</v>
      </c>
      <c r="D1314" s="9" t="s">
        <v>1427</v>
      </c>
      <c r="E1314" s="9" t="s">
        <v>1428</v>
      </c>
      <c r="F1314" s="8" t="str">
        <f>IFERROR(__xludf.DUMMYFUNCTION("GOOGLETRANSLATE(D1314,""zh-CN"",""vi"")"),"Hộp đựng trang sức hai cửa")</f>
        <v>Hộp đựng trang sức hai cửa</v>
      </c>
      <c r="G1314" s="8" t="str">
        <f>IFERROR(__xludf.DUMMYFUNCTION("GOOGLETRANSLATE(E1314,""zh-CN"",""vi"")"),"Thiết kế hai cánh cửa trông giống như một chiếc tủ quần áo. Khi chế tác, nó sẽ tạo ra một chiếc hộp đựng trang sức kiểu cổ điển.")</f>
        <v>Thiết kế hai cánh cửa trông giống như một chiếc tủ quần áo. Khi chế tác, nó sẽ tạo ra một chiếc hộp đựng trang sức kiểu cổ điển.</v>
      </c>
      <c r="H1314" s="8"/>
      <c r="I1314" s="8"/>
      <c r="J1314" s="8"/>
    </row>
    <row r="1315" ht="21.0" customHeight="1">
      <c r="A1315" s="6">
        <v>10.0</v>
      </c>
      <c r="B1315" s="6">
        <v>1010.0</v>
      </c>
      <c r="C1315" s="6">
        <v>10.0</v>
      </c>
      <c r="D1315" s="9" t="s">
        <v>1429</v>
      </c>
      <c r="E1315" s="9" t="s">
        <v>1430</v>
      </c>
      <c r="F1315" s="8" t="str">
        <f>IFERROR(__xludf.DUMMYFUNCTION("GOOGLETRANSLATE(D1315,""zh-CN"",""vi"")"),"Hộp đựng trang sức cổ điển")</f>
        <v>Hộp đựng trang sức cổ điển</v>
      </c>
      <c r="G1315" s="8" t="str">
        <f>IFERROR(__xludf.DUMMYFUNCTION("GOOGLETRANSLATE(E1315,""zh-CN"",""vi"")"),"Những món trang sức quý giá nhất được cất giữ trong một ngăn kéo bí mật ở dưới cùng. Chúng đã được nâng cấp lên loại cao cấp nhất.")</f>
        <v>Những món trang sức quý giá nhất được cất giữ trong một ngăn kéo bí mật ở dưới cùng. Chúng đã được nâng cấp lên loại cao cấp nhất.</v>
      </c>
      <c r="H1315" s="8"/>
      <c r="I1315" s="8"/>
      <c r="J1315" s="8"/>
    </row>
    <row r="1316" ht="21.0" customHeight="1">
      <c r="A1316" s="6">
        <v>1.0</v>
      </c>
      <c r="B1316" s="6">
        <v>117.0</v>
      </c>
      <c r="C1316" s="6">
        <v>1.0</v>
      </c>
      <c r="D1316" s="9" t="s">
        <v>1431</v>
      </c>
      <c r="E1316" s="9" t="s">
        <v>1432</v>
      </c>
      <c r="F1316" s="8" t="str">
        <f>IFERROR(__xludf.DUMMYFUNCTION("GOOGLETRANSLATE(D1316,""zh-CN"",""vi"")"),"kẹp tóc")</f>
        <v>kẹp tóc</v>
      </c>
      <c r="G1316" s="8" t="str">
        <f>IFERROR(__xludf.DUMMYFUNCTION("GOOGLETRANSLATE(E1316,""zh-CN"",""vi"")"),"Những chiếc kẹp tóc hình ngôi sao, bầu trời đầy sao được gói gọn trong mái tóc. Chế tác chúng sẽ tạo ra một chiếc khăn lụa.")</f>
        <v>Những chiếc kẹp tóc hình ngôi sao, bầu trời đầy sao được gói gọn trong mái tóc. Chế tác chúng sẽ tạo ra một chiếc khăn lụa.</v>
      </c>
      <c r="H1316" s="8"/>
      <c r="I1316" s="8"/>
      <c r="J1316" s="8"/>
    </row>
    <row r="1317" ht="21.0" customHeight="1">
      <c r="A1317" s="6">
        <v>1.0</v>
      </c>
      <c r="B1317" s="6">
        <v>117.0</v>
      </c>
      <c r="C1317" s="6">
        <v>2.0</v>
      </c>
      <c r="D1317" s="9" t="s">
        <v>1433</v>
      </c>
      <c r="E1317" s="9" t="s">
        <v>1434</v>
      </c>
      <c r="F1317" s="8" t="str">
        <f>IFERROR(__xludf.DUMMYFUNCTION("GOOGLETRANSLATE(D1317,""zh-CN"",""vi"")"),"khăn lụa")</f>
        <v>khăn lụa</v>
      </c>
      <c r="G1317" s="8" t="str">
        <f>IFERROR(__xludf.DUMMYFUNCTION("GOOGLETRANSLATE(E1317,""zh-CN"",""vi"")"),"Một chiếc khăn lụa, quý giá và mềm mại. Có thể được dùng để tạo thành một chiếc băng đô.")</f>
        <v>Một chiếc khăn lụa, quý giá và mềm mại. Có thể được dùng để tạo thành một chiếc băng đô.</v>
      </c>
      <c r="H1317" s="8"/>
      <c r="I1317" s="8"/>
      <c r="J1317" s="8"/>
    </row>
    <row r="1318" ht="21.0" customHeight="1">
      <c r="A1318" s="6">
        <v>1.0</v>
      </c>
      <c r="B1318" s="6">
        <v>117.0</v>
      </c>
      <c r="C1318" s="6">
        <v>3.0</v>
      </c>
      <c r="D1318" s="9" t="s">
        <v>1435</v>
      </c>
      <c r="E1318" s="9" t="s">
        <v>1436</v>
      </c>
      <c r="F1318" s="8" t="str">
        <f>IFERROR(__xludf.DUMMYFUNCTION("GOOGLETRANSLATE(D1318,""zh-CN"",""vi"")"),"băng đô")</f>
        <v>băng đô</v>
      </c>
      <c r="G1318" s="8" t="str">
        <f>IFERROR(__xludf.DUMMYFUNCTION("GOOGLETRANSLATE(E1318,""zh-CN"",""vi"")"),"Một chiếc băng đô đơn giản, không trang trí, là món đồ yêu thích của Tiểu Mẫu. Có thể kết hợp với các phụ kiện khác để tạo thành một chiếc vòng cổ hình trái tim.")</f>
        <v>Một chiếc băng đô đơn giản, không trang trí, là món đồ yêu thích của Tiểu Mẫu. Có thể kết hợp với các phụ kiện khác để tạo thành một chiếc vòng cổ hình trái tim.</v>
      </c>
      <c r="H1318" s="8"/>
      <c r="I1318" s="8"/>
      <c r="J1318" s="8"/>
    </row>
    <row r="1319" ht="21.0" customHeight="1">
      <c r="A1319" s="6">
        <v>1.0</v>
      </c>
      <c r="B1319" s="6">
        <v>117.0</v>
      </c>
      <c r="C1319" s="6">
        <v>4.0</v>
      </c>
      <c r="D1319" s="9" t="s">
        <v>1437</v>
      </c>
      <c r="E1319" s="9" t="s">
        <v>1438</v>
      </c>
      <c r="F1319" s="8" t="str">
        <f>IFERROR(__xludf.DUMMYFUNCTION("GOOGLETRANSLATE(D1319,""zh-CN"",""vi"")"),"Vòng cổ hình trái tim")</f>
        <v>Vòng cổ hình trái tim</v>
      </c>
      <c r="G1319" s="8" t="str">
        <f>IFERROR(__xludf.DUMMYFUNCTION("GOOGLETRANSLATE(E1319,""zh-CN"",""vi"")"),"Viên đá quý màu đỏ làm cho chiếc vòng cổ lấp lánh. Chế tác nó sẽ tạo ra một chiếc nhẫn đá quý.")</f>
        <v>Viên đá quý màu đỏ làm cho chiếc vòng cổ lấp lánh. Chế tác nó sẽ tạo ra một chiếc nhẫn đá quý.</v>
      </c>
      <c r="H1319" s="8"/>
      <c r="I1319" s="8"/>
      <c r="J1319" s="8"/>
    </row>
    <row r="1320" ht="21.0" customHeight="1">
      <c r="A1320" s="6">
        <v>1.0</v>
      </c>
      <c r="B1320" s="6">
        <v>117.0</v>
      </c>
      <c r="C1320" s="6">
        <v>5.0</v>
      </c>
      <c r="D1320" s="9" t="s">
        <v>1439</v>
      </c>
      <c r="E1320" s="9" t="s">
        <v>1440</v>
      </c>
      <c r="F1320" s="8" t="str">
        <f>IFERROR(__xludf.DUMMYFUNCTION("GOOGLETRANSLATE(D1320,""zh-CN"",""vi"")"),"Nhẫn đá quý")</f>
        <v>Nhẫn đá quý</v>
      </c>
      <c r="G1320" s="8" t="str">
        <f>IFERROR(__xludf.DUMMYFUNCTION("GOOGLETRANSLATE(E1320,""zh-CN"",""vi"")"),"Đá ruby ​​hợp hơn với nhẫn vàng. Kết hợp chúng lại với nhau sẽ tạo ra đôi bông tai đá quý.")</f>
        <v>Đá ruby ​​hợp hơn với nhẫn vàng. Kết hợp chúng lại với nhau sẽ tạo ra đôi bông tai đá quý.</v>
      </c>
      <c r="H1320" s="8"/>
      <c r="I1320" s="8"/>
      <c r="J1320" s="8"/>
    </row>
    <row r="1321" ht="21.0" customHeight="1">
      <c r="A1321" s="6">
        <v>1.0</v>
      </c>
      <c r="B1321" s="6">
        <v>117.0</v>
      </c>
      <c r="C1321" s="6">
        <v>6.0</v>
      </c>
      <c r="D1321" s="9" t="s">
        <v>1441</v>
      </c>
      <c r="E1321" s="9" t="s">
        <v>1442</v>
      </c>
      <c r="F1321" s="8" t="str">
        <f>IFERROR(__xludf.DUMMYFUNCTION("GOOGLETRANSLATE(D1321,""zh-CN"",""vi"")"),"Bông tai đá quý")</f>
        <v>Bông tai đá quý</v>
      </c>
      <c r="G1321" s="8" t="str">
        <f>IFERROR(__xludf.DUMMYFUNCTION("GOOGLETRANSLATE(E1321,""zh-CN"",""vi"")"),"Đeo nó sẽ giúp bạn nổi bật hơn nữa. Có thể kết hợp với các phụ kiện khác để tạo thành một chiếc vòng cổ đính đá quý.")</f>
        <v>Đeo nó sẽ giúp bạn nổi bật hơn nữa. Có thể kết hợp với các phụ kiện khác để tạo thành một chiếc vòng cổ đính đá quý.</v>
      </c>
      <c r="H1321" s="8"/>
      <c r="I1321" s="8"/>
      <c r="J1321" s="8"/>
    </row>
    <row r="1322" ht="21.0" customHeight="1">
      <c r="A1322" s="6">
        <v>1.0</v>
      </c>
      <c r="B1322" s="6">
        <v>117.0</v>
      </c>
      <c r="C1322" s="6">
        <v>7.0</v>
      </c>
      <c r="D1322" s="9" t="s">
        <v>1443</v>
      </c>
      <c r="E1322" s="9" t="s">
        <v>1444</v>
      </c>
      <c r="F1322" s="8" t="str">
        <f>IFERROR(__xludf.DUMMYFUNCTION("GOOGLETRANSLATE(D1322,""zh-CN"",""vi"")"),"Dây chuyền đá quý")</f>
        <v>Dây chuyền đá quý</v>
      </c>
      <c r="G1322" s="8" t="str">
        <f>IFERROR(__xludf.DUMMYFUNCTION("GOOGLETRANSLATE(E1322,""zh-CN"",""vi"")"),"Một viên ngọc lục bảo, điểm nhấn hoàn hảo. Khi kết hợp lại, chúng tạo thành một chiếc vương miện vàng.")</f>
        <v>Một viên ngọc lục bảo, điểm nhấn hoàn hảo. Khi kết hợp lại, chúng tạo thành một chiếc vương miện vàng.</v>
      </c>
      <c r="H1322" s="8"/>
      <c r="I1322" s="8"/>
      <c r="J1322" s="8"/>
    </row>
    <row r="1323" ht="21.0" customHeight="1">
      <c r="A1323" s="6">
        <v>1.0</v>
      </c>
      <c r="B1323" s="6">
        <v>117.0</v>
      </c>
      <c r="C1323" s="6">
        <v>8.0</v>
      </c>
      <c r="D1323" s="9" t="s">
        <v>1445</v>
      </c>
      <c r="E1323" s="9" t="s">
        <v>1446</v>
      </c>
      <c r="F1323" s="8" t="str">
        <f>IFERROR(__xludf.DUMMYFUNCTION("GOOGLETRANSLATE(D1323,""zh-CN"",""vi"")"),"Vương miện vàng")</f>
        <v>Vương miện vàng</v>
      </c>
      <c r="G1323" s="8" t="str">
        <f>IFERROR(__xludf.DUMMYFUNCTION("GOOGLETRANSLATE(E1323,""zh-CN"",""vi"")"),"Hiệu ứng tổng thể đã khá tinh tế. Khi kết hợp lại, nó tạo thành một chiếc vương miện bằng đá mã não.")</f>
        <v>Hiệu ứng tổng thể đã khá tinh tế. Khi kết hợp lại, nó tạo thành một chiếc vương miện bằng đá mã não.</v>
      </c>
      <c r="H1323" s="8"/>
      <c r="I1323" s="8"/>
      <c r="J1323" s="8"/>
    </row>
    <row r="1324" ht="21.0" customHeight="1">
      <c r="A1324" s="6">
        <v>1.0</v>
      </c>
      <c r="B1324" s="6">
        <v>117.0</v>
      </c>
      <c r="C1324" s="6">
        <v>9.0</v>
      </c>
      <c r="D1324" s="9" t="s">
        <v>1447</v>
      </c>
      <c r="E1324" s="9" t="s">
        <v>1448</v>
      </c>
      <c r="F1324" s="8" t="str">
        <f>IFERROR(__xludf.DUMMYFUNCTION("GOOGLETRANSLATE(D1324,""zh-CN"",""vi"")"),"Vương miện đá mã não")</f>
        <v>Vương miện đá mã não</v>
      </c>
      <c r="G1324" s="8" t="str">
        <f>IFERROR(__xludf.DUMMYFUNCTION("GOOGLETRANSLATE(E1324,""zh-CN"",""vi"")"),"Một viên đá mã não đỏ được khảm ở phía trên. Kết hợp chúng lại để có được Vương miện Thiêng liêng.")</f>
        <v>Một viên đá mã não đỏ được khảm ở phía trên. Kết hợp chúng lại để có được Vương miện Thiêng liêng.</v>
      </c>
      <c r="H1324" s="8"/>
      <c r="I1324" s="8"/>
      <c r="J1324" s="8"/>
    </row>
    <row r="1325" ht="21.0" customHeight="1">
      <c r="A1325" s="6">
        <v>1.0</v>
      </c>
      <c r="B1325" s="6">
        <v>117.0</v>
      </c>
      <c r="C1325" s="6">
        <v>10.0</v>
      </c>
      <c r="D1325" s="9" t="s">
        <v>1449</v>
      </c>
      <c r="E1325" s="9" t="s">
        <v>1450</v>
      </c>
      <c r="F1325" s="8" t="str">
        <f>IFERROR(__xludf.DUMMYFUNCTION("GOOGLETRANSLATE(D1325,""zh-CN"",""vi"")"),"Vương miện Thánh")</f>
        <v>Vương miện Thánh</v>
      </c>
      <c r="G1325" s="8" t="str">
        <f>IFERROR(__xludf.DUMMYFUNCTION("GOOGLETRANSLATE(E1325,""zh-CN"",""vi"")"),"Chiếc vương miện đặt trên tấm vải là thứ hấp dẫn nhất. Nó đã được nâng lên vị trí cao nhất.")</f>
        <v>Chiếc vương miện đặt trên tấm vải là thứ hấp dẫn nhất. Nó đã được nâng lên vị trí cao nhất.</v>
      </c>
      <c r="H1325" s="8"/>
      <c r="I1325" s="8"/>
      <c r="J1325" s="8"/>
    </row>
    <row r="1326" ht="21.0" customHeight="1">
      <c r="A1326" s="6">
        <v>11.0</v>
      </c>
      <c r="B1326" s="6">
        <v>1011.0</v>
      </c>
      <c r="C1326" s="6">
        <v>1.0</v>
      </c>
      <c r="D1326" s="9" t="s">
        <v>1451</v>
      </c>
      <c r="E1326" s="9" t="s">
        <v>1452</v>
      </c>
      <c r="F1326" s="8" t="str">
        <f>IFERROR(__xludf.DUMMYFUNCTION("GOOGLETRANSLATE(D1326,""zh-CN"",""vi"")"),"Bộ bài")</f>
        <v>Bộ bài</v>
      </c>
      <c r="G1326" s="8" t="str">
        <f>IFERROR(__xludf.DUMMYFUNCTION("GOOGLETRANSLATE(E1326,""zh-CN"",""vi"")"),"Một bộ bài tiêu chuẩn. Nâng cấp lên cấp độ 5 sẽ tạo ra một cây trồng chính.")</f>
        <v>Một bộ bài tiêu chuẩn. Nâng cấp lên cấp độ 5 sẽ tạo ra một cây trồng chính.</v>
      </c>
      <c r="H1326" s="8"/>
      <c r="I1326" s="8"/>
      <c r="J1326" s="8"/>
    </row>
    <row r="1327" ht="21.0" customHeight="1">
      <c r="A1327" s="6">
        <v>11.0</v>
      </c>
      <c r="B1327" s="6">
        <v>1011.0</v>
      </c>
      <c r="C1327" s="6">
        <v>2.0</v>
      </c>
      <c r="D1327" s="9" t="s">
        <v>1453</v>
      </c>
      <c r="E1327" s="9" t="s">
        <v>1454</v>
      </c>
      <c r="F1327" s="8" t="str">
        <f>IFERROR(__xludf.DUMMYFUNCTION("GOOGLETRANSLATE(D1327,""zh-CN"",""vi"")"),"túi xách")</f>
        <v>túi xách</v>
      </c>
      <c r="G1327" s="8" t="str">
        <f>IFERROR(__xludf.DUMMYFUNCTION("GOOGLETRANSLATE(E1327,""zh-CN"",""vi"")"),"Một chiếc túi bạn mang theo bên mình. Hãy tổng hợp nó lên cấp độ 5 để thu được cây trồng mẹ.")</f>
        <v>Một chiếc túi bạn mang theo bên mình. Hãy tổng hợp nó lên cấp độ 5 để thu được cây trồng mẹ.</v>
      </c>
      <c r="H1327" s="8"/>
      <c r="I1327" s="8"/>
      <c r="J1327" s="8"/>
    </row>
    <row r="1328" ht="21.0" customHeight="1">
      <c r="A1328" s="6">
        <v>11.0</v>
      </c>
      <c r="B1328" s="6">
        <v>1011.0</v>
      </c>
      <c r="C1328" s="6">
        <v>3.0</v>
      </c>
      <c r="D1328" s="9" t="s">
        <v>1455</v>
      </c>
      <c r="E1328" s="9" t="s">
        <v>1456</v>
      </c>
      <c r="F1328" s="8" t="str">
        <f>IFERROR(__xludf.DUMMYFUNCTION("GOOGLETRANSLATE(D1328,""zh-CN"",""vi"")"),"túi xách")</f>
        <v>túi xách</v>
      </c>
      <c r="G1328" s="8" t="str">
        <f>IFERROR(__xludf.DUMMYFUNCTION("GOOGLETRANSLATE(E1328,""zh-CN"",""vi"")"),"Một chiếc túi xách kiểu cổ. Hãy tổng hợp nó lên cấp độ 5 để thu được cây trồng gốc.")</f>
        <v>Một chiếc túi xách kiểu cổ. Hãy tổng hợp nó lên cấp độ 5 để thu được cây trồng gốc.</v>
      </c>
      <c r="H1328" s="8"/>
      <c r="I1328" s="8"/>
      <c r="J1328" s="8"/>
    </row>
    <row r="1329" ht="21.0" customHeight="1">
      <c r="A1329" s="6">
        <v>11.0</v>
      </c>
      <c r="B1329" s="6">
        <v>1011.0</v>
      </c>
      <c r="C1329" s="6">
        <v>4.0</v>
      </c>
      <c r="D1329" s="9" t="s">
        <v>1457</v>
      </c>
      <c r="E1329" s="9" t="s">
        <v>1458</v>
      </c>
      <c r="F1329" s="8" t="str">
        <f>IFERROR(__xludf.DUMMYFUNCTION("GOOGLETRANSLATE(D1329,""zh-CN"",""vi"")"),"túi đeo chéo")</f>
        <v>túi đeo chéo</v>
      </c>
      <c r="G1329" s="8" t="str">
        <f>IFERROR(__xludf.DUMMYFUNCTION("GOOGLETRANSLATE(E1329,""zh-CN"",""vi"")"),"Một chiếc túi đeo vai có góc cạnh sắc nhọn. Chế tạo nó đến cấp độ 5 sẽ thu được sản phẩm chính.")</f>
        <v>Một chiếc túi đeo vai có góc cạnh sắc nhọn. Chế tạo nó đến cấp độ 5 sẽ thu được sản phẩm chính.</v>
      </c>
      <c r="H1329" s="8"/>
      <c r="I1329" s="8"/>
      <c r="J1329" s="8"/>
    </row>
    <row r="1330" ht="21.0" customHeight="1">
      <c r="A1330" s="6">
        <v>10.0</v>
      </c>
      <c r="B1330" s="6">
        <v>1011.0</v>
      </c>
      <c r="C1330" s="6">
        <v>5.0</v>
      </c>
      <c r="D1330" s="9" t="s">
        <v>1459</v>
      </c>
      <c r="E1330" s="9" t="s">
        <v>1460</v>
      </c>
      <c r="F1330" s="8" t="str">
        <f>IFERROR(__xludf.DUMMYFUNCTION("GOOGLETRANSLATE(D1330,""zh-CN"",""vi"")"),"túi xách cổ điển")</f>
        <v>túi xách cổ điển</v>
      </c>
      <c r="G1330" s="8" t="str">
        <f>IFERROR(__xludf.DUMMYFUNCTION("GOOGLETRANSLATE(E1330,""zh-CN"",""vi"")"),"Chiếc hộp đựng được trang trí bằng vàng. Quá trình tổng hợp đến cấp độ cao nhất sẽ tạo ra cây trồng ban đầu.")</f>
        <v>Chiếc hộp đựng được trang trí bằng vàng. Quá trình tổng hợp đến cấp độ cao nhất sẽ tạo ra cây trồng ban đầu.</v>
      </c>
      <c r="H1330" s="8"/>
      <c r="I1330" s="8"/>
      <c r="J1330" s="8"/>
    </row>
    <row r="1331" ht="21.0" customHeight="1">
      <c r="A1331" s="6">
        <v>10.0</v>
      </c>
      <c r="B1331" s="6">
        <v>1011.0</v>
      </c>
      <c r="C1331" s="6">
        <v>6.0</v>
      </c>
      <c r="D1331" s="9" t="s">
        <v>1461</v>
      </c>
      <c r="E1331" s="9" t="s">
        <v>1462</v>
      </c>
      <c r="F1331" s="8" t="str">
        <f>IFERROR(__xludf.DUMMYFUNCTION("GOOGLETRANSLATE(D1331,""zh-CN"",""vi"")"),"Túi xách thanh lịch")</f>
        <v>Túi xách thanh lịch</v>
      </c>
      <c r="G1331" s="8" t="str">
        <f>IFERROR(__xludf.DUMMYFUNCTION("GOOGLETRANSLATE(E1331,""zh-CN"",""vi"")"),"Một chiếc túi mang vẻ đẹp cổ điển. Khi kết hợp các chi tiết, nó có thể trở thành một chiếc túi xách sang trọng.")</f>
        <v>Một chiếc túi mang vẻ đẹp cổ điển. Khi kết hợp các chi tiết, nó có thể trở thành một chiếc túi xách sang trọng.</v>
      </c>
      <c r="H1331" s="8"/>
      <c r="I1331" s="8"/>
      <c r="J1331" s="8"/>
    </row>
    <row r="1332" ht="21.0" customHeight="1">
      <c r="A1332" s="6">
        <v>10.0</v>
      </c>
      <c r="B1332" s="6">
        <v>1011.0</v>
      </c>
      <c r="C1332" s="6">
        <v>7.0</v>
      </c>
      <c r="D1332" s="9" t="s">
        <v>1463</v>
      </c>
      <c r="E1332" s="9" t="s">
        <v>1464</v>
      </c>
      <c r="F1332" s="8" t="str">
        <f>IFERROR(__xludf.DUMMYFUNCTION("GOOGLETRANSLATE(D1332,""zh-CN"",""vi"")"),"Túi xách sang trọng")</f>
        <v>Túi xách sang trọng</v>
      </c>
      <c r="G1332" s="8" t="str">
        <f>IFERROR(__xludf.DUMMYFUNCTION("GOOGLETRANSLATE(E1332,""zh-CN"",""vi"")"),"Một chiếc túi phiên bản giới hạn cực kỳ sang trọng. Được nâng cấp lên mức cao nhất.")</f>
        <v>Một chiếc túi phiên bản giới hạn cực kỳ sang trọng. Được nâng cấp lên mức cao nhất.</v>
      </c>
      <c r="H1332" s="8"/>
      <c r="I1332" s="8"/>
      <c r="J1332" s="8"/>
    </row>
    <row r="1333" ht="21.0" customHeight="1">
      <c r="A1333" s="6">
        <v>1.0</v>
      </c>
      <c r="B1333" s="6">
        <v>118.0</v>
      </c>
      <c r="C1333" s="6">
        <v>1.0</v>
      </c>
      <c r="D1333" s="9" t="s">
        <v>1465</v>
      </c>
      <c r="E1333" s="9" t="s">
        <v>1466</v>
      </c>
      <c r="F1333" s="8" t="str">
        <f>IFERROR(__xludf.DUMMYFUNCTION("GOOGLETRANSLATE(D1333,""zh-CN"",""vi"")"),"bông")</f>
        <v>bông</v>
      </c>
      <c r="G1333" s="8" t="str">
        <f>IFERROR(__xludf.DUMMYFUNCTION("GOOGLETRANSLATE(E1333,""zh-CN"",""vi"")"),"Một cuộn bông. Được chế tác để tạo thành một chiếc cúc.")</f>
        <v>Một cuộn bông. Được chế tác để tạo thành một chiếc cúc.</v>
      </c>
      <c r="H1333" s="8"/>
      <c r="I1333" s="8"/>
      <c r="J1333" s="8"/>
    </row>
    <row r="1334" ht="21.0" customHeight="1">
      <c r="A1334" s="6">
        <v>1.0</v>
      </c>
      <c r="B1334" s="6">
        <v>118.0</v>
      </c>
      <c r="C1334" s="6">
        <v>2.0</v>
      </c>
      <c r="D1334" s="9" t="s">
        <v>1467</v>
      </c>
      <c r="E1334" s="9" t="s">
        <v>1468</v>
      </c>
      <c r="F1334" s="8" t="str">
        <f>IFERROR(__xludf.DUMMYFUNCTION("GOOGLETRANSLATE(D1334,""zh-CN"",""vi"")"),"Nút bấm")</f>
        <v>Nút bấm</v>
      </c>
      <c r="G1334" s="8" t="str">
        <f>IFERROR(__xludf.DUMMYFUNCTION("GOOGLETRANSLATE(E1334,""zh-CN"",""vi"")"),"Hai chiếc cúc. Kết hợp chúng lại để được sợi chỉ cotton.")</f>
        <v>Hai chiếc cúc. Kết hợp chúng lại để được sợi chỉ cotton.</v>
      </c>
      <c r="H1334" s="8"/>
      <c r="I1334" s="8"/>
      <c r="J1334" s="8"/>
    </row>
    <row r="1335" ht="21.0" customHeight="1">
      <c r="A1335" s="6">
        <v>1.0</v>
      </c>
      <c r="B1335" s="6">
        <v>118.0</v>
      </c>
      <c r="C1335" s="6">
        <v>3.0</v>
      </c>
      <c r="D1335" s="9" t="s">
        <v>1469</v>
      </c>
      <c r="E1335" s="9" t="s">
        <v>1470</v>
      </c>
      <c r="F1335" s="8" t="str">
        <f>IFERROR(__xludf.DUMMYFUNCTION("GOOGLETRANSLATE(D1335,""zh-CN"",""vi"")"),"sợi bông")</f>
        <v>sợi bông</v>
      </c>
      <c r="G1335" s="8" t="str">
        <f>IFERROR(__xludf.DUMMYFUNCTION("GOOGLETRANSLATE(E1335,""zh-CN"",""vi"")"),"Ống cuộn sợi là một nguyên liệu chất lượng cao dùng để đan áo len. Chúng có thể được tổng hợp để sản xuất ống cuộn sợi.")</f>
        <v>Ống cuộn sợi là một nguyên liệu chất lượng cao dùng để đan áo len. Chúng có thể được tổng hợp để sản xuất ống cuộn sợi.</v>
      </c>
      <c r="H1335" s="8"/>
      <c r="I1335" s="8"/>
      <c r="J1335" s="8"/>
    </row>
    <row r="1336" ht="21.0" customHeight="1">
      <c r="A1336" s="6">
        <v>1.0</v>
      </c>
      <c r="B1336" s="6">
        <v>118.0</v>
      </c>
      <c r="C1336" s="6">
        <v>4.0</v>
      </c>
      <c r="D1336" s="9" t="s">
        <v>1471</v>
      </c>
      <c r="E1336" s="9" t="s">
        <v>1472</v>
      </c>
      <c r="F1336" s="8" t="str">
        <f>IFERROR(__xludf.DUMMYFUNCTION("GOOGLETRANSLATE(D1336,""zh-CN"",""vi"")"),"chùm tia quay")</f>
        <v>chùm tia quay</v>
      </c>
      <c r="G1336" s="8" t="str">
        <f>IFERROR(__xludf.DUMMYFUNCTION("GOOGLETRANSLATE(E1336,""zh-CN"",""vi"")"),"Một loại vải dệt tinh khiết, trắng muốt và mỏng manh. Có thể tổng hợp nó để tạo ra sợi màu.")</f>
        <v>Một loại vải dệt tinh khiết, trắng muốt và mỏng manh. Có thể tổng hợp nó để tạo ra sợi màu.</v>
      </c>
      <c r="H1336" s="8"/>
      <c r="I1336" s="8"/>
      <c r="J1336" s="8"/>
    </row>
    <row r="1337" ht="21.0" customHeight="1">
      <c r="A1337" s="6">
        <v>1.0</v>
      </c>
      <c r="B1337" s="6">
        <v>118.0</v>
      </c>
      <c r="C1337" s="6">
        <v>5.0</v>
      </c>
      <c r="D1337" s="9" t="s">
        <v>1473</v>
      </c>
      <c r="E1337" s="9" t="s">
        <v>1474</v>
      </c>
      <c r="F1337" s="8" t="str">
        <f>IFERROR(__xludf.DUMMYFUNCTION("GOOGLETRANSLATE(D1337,""zh-CN"",""vi"")"),"Sợi len nhiều màu sắc")</f>
        <v>Sợi len nhiều màu sắc</v>
      </c>
      <c r="G1337" s="8" t="str">
        <f>IFERROR(__xludf.DUMMYFUNCTION("GOOGLETRANSLATE(E1337,""zh-CN"",""vi"")"),"Một hộp len nhiều màu sắc có thể được dùng để đan quần áo nhiều màu sắc. Việc tạo hình từ những sợi len này sẽ tạo ra một chiếc chuông gió nhỏ.")</f>
        <v>Một hộp len nhiều màu sắc có thể được dùng để đan quần áo nhiều màu sắc. Việc tạo hình từ những sợi len này sẽ tạo ra một chiếc chuông gió nhỏ.</v>
      </c>
      <c r="H1337" s="8"/>
      <c r="I1337" s="8"/>
      <c r="J1337" s="8"/>
    </row>
    <row r="1338" ht="21.0" customHeight="1">
      <c r="A1338" s="6">
        <v>1.0</v>
      </c>
      <c r="B1338" s="6">
        <v>118.0</v>
      </c>
      <c r="C1338" s="6">
        <v>6.0</v>
      </c>
      <c r="D1338" s="9" t="s">
        <v>1475</v>
      </c>
      <c r="E1338" s="9" t="s">
        <v>1476</v>
      </c>
      <c r="F1338" s="8" t="str">
        <f>IFERROR(__xludf.DUMMYFUNCTION("GOOGLETRANSLATE(D1338,""zh-CN"",""vi"")"),"Chuông gió nhỏ")</f>
        <v>Chuông gió nhỏ</v>
      </c>
      <c r="G1338" s="8" t="str">
        <f>IFERROR(__xludf.DUMMYFUNCTION("GOOGLETRANSLATE(E1338,""zh-CN"",""vi"")"),"Nó hót khi gió thổi vào. Bạn có thể làm một con búp bê vải.")</f>
        <v>Nó hót khi gió thổi vào. Bạn có thể làm một con búp bê vải.</v>
      </c>
      <c r="H1338" s="8"/>
      <c r="I1338" s="8"/>
      <c r="J1338" s="8"/>
    </row>
    <row r="1339" ht="21.0" customHeight="1">
      <c r="A1339" s="6">
        <v>1.0</v>
      </c>
      <c r="B1339" s="6">
        <v>118.0</v>
      </c>
      <c r="C1339" s="6">
        <v>7.0</v>
      </c>
      <c r="D1339" s="9" t="s">
        <v>1477</v>
      </c>
      <c r="E1339" s="9" t="s">
        <v>1478</v>
      </c>
      <c r="F1339" s="8" t="str">
        <f>IFERROR(__xludf.DUMMYFUNCTION("GOOGLETRANSLATE(D1339,""zh-CN"",""vi"")"),"Búp bê vải")</f>
        <v>Búp bê vải</v>
      </c>
      <c r="G1339" s="8" t="str">
        <f>IFERROR(__xludf.DUMMYFUNCTION("GOOGLETRANSLATE(E1339,""zh-CN"",""vi"")"),"Một con búp bê vải dễ thương, không có tóc. Có thể được biến tấu thành một con búp bê trang trí bằng nơ.")</f>
        <v>Một con búp bê vải dễ thương, không có tóc. Có thể được biến tấu thành một con búp bê trang trí bằng nơ.</v>
      </c>
      <c r="H1339" s="8"/>
      <c r="I1339" s="8"/>
      <c r="J1339" s="8"/>
    </row>
    <row r="1340" ht="21.0" customHeight="1">
      <c r="A1340" s="6">
        <v>1.0</v>
      </c>
      <c r="B1340" s="6">
        <v>118.0</v>
      </c>
      <c r="C1340" s="6">
        <v>8.0</v>
      </c>
      <c r="D1340" s="9" t="s">
        <v>1479</v>
      </c>
      <c r="E1340" s="9" t="s">
        <v>1480</v>
      </c>
      <c r="F1340" s="8" t="str">
        <f>IFERROR(__xludf.DUMMYFUNCTION("GOOGLETRANSLATE(D1340,""zh-CN"",""vi"")"),"Búp bê nơ")</f>
        <v>Búp bê nơ</v>
      </c>
      <c r="G1340" s="8" t="str">
        <f>IFERROR(__xludf.DUMMYFUNCTION("GOOGLETRANSLATE(E1340,""zh-CN"",""vi"")"),"Một con búp bê vải có nơ. Kết hợp chúng lại để tạo thành một con búp bê vải bé gái.")</f>
        <v>Một con búp bê vải có nơ. Kết hợp chúng lại để tạo thành một con búp bê vải bé gái.</v>
      </c>
      <c r="H1340" s="8"/>
      <c r="I1340" s="8"/>
      <c r="J1340" s="8"/>
    </row>
    <row r="1341" ht="21.0" customHeight="1">
      <c r="A1341" s="6">
        <v>1.0</v>
      </c>
      <c r="B1341" s="6">
        <v>118.0</v>
      </c>
      <c r="C1341" s="6">
        <v>9.0</v>
      </c>
      <c r="D1341" s="9" t="s">
        <v>1481</v>
      </c>
      <c r="E1341" s="9" t="s">
        <v>1482</v>
      </c>
      <c r="F1341" s="8" t="str">
        <f>IFERROR(__xludf.DUMMYFUNCTION("GOOGLETRANSLATE(D1341,""zh-CN"",""vi"")"),"Búp bê bé gái")</f>
        <v>Búp bê bé gái</v>
      </c>
      <c r="G1341" s="8" t="str">
        <f>IFERROR(__xludf.DUMMYFUNCTION("GOOGLETRANSLATE(E1341,""zh-CN"",""vi"")"),"Hãy nhìn cô ấy kìa, cô ấy đang mỉm cười. Kết hợp chúng lại sẽ tạo ra một con búp bê tuyệt đẹp.")</f>
        <v>Hãy nhìn cô ấy kìa, cô ấy đang mỉm cười. Kết hợp chúng lại sẽ tạo ra một con búp bê tuyệt đẹp.</v>
      </c>
      <c r="H1341" s="8"/>
      <c r="I1341" s="8"/>
      <c r="J1341" s="8"/>
    </row>
    <row r="1342" ht="21.0" customHeight="1">
      <c r="A1342" s="6">
        <v>1.0</v>
      </c>
      <c r="B1342" s="6">
        <v>118.0</v>
      </c>
      <c r="C1342" s="6">
        <v>10.0</v>
      </c>
      <c r="D1342" s="9" t="s">
        <v>1483</v>
      </c>
      <c r="E1342" s="9" t="s">
        <v>1484</v>
      </c>
      <c r="F1342" s="8" t="str">
        <f>IFERROR(__xludf.DUMMYFUNCTION("GOOGLETRANSLATE(D1342,""zh-CN"",""vi"")"),"Búp bê tinh xảo")</f>
        <v>Búp bê tinh xảo</v>
      </c>
      <c r="G1342" s="8" t="str">
        <f>IFERROR(__xludf.DUMMYFUNCTION("GOOGLETRANSLATE(E1342,""zh-CN"",""vi"")"),"Con búp bê vải nhỏ nhắn với chiếc băng đô trông thật hạnh phúc. Nó đã được nâng cấp lên cấp độ cao nhất.")</f>
        <v>Con búp bê vải nhỏ nhắn với chiếc băng đô trông thật hạnh phúc. Nó đã được nâng cấp lên cấp độ cao nhất.</v>
      </c>
      <c r="H1342" s="8"/>
      <c r="I1342" s="8"/>
      <c r="J1342" s="8"/>
    </row>
    <row r="1343" ht="21.0" customHeight="1">
      <c r="A1343" s="6">
        <v>1.0</v>
      </c>
      <c r="B1343" s="6">
        <v>119.0</v>
      </c>
      <c r="C1343" s="6">
        <v>1.0</v>
      </c>
      <c r="D1343" s="9" t="s">
        <v>1485</v>
      </c>
      <c r="E1343" s="9" t="s">
        <v>1486</v>
      </c>
      <c r="F1343" s="8" t="str">
        <f>IFERROR(__xludf.DUMMYFUNCTION("GOOGLETRANSLATE(D1343,""zh-CN"",""vi"")"),"Búp bê quả lê vàng")</f>
        <v>Búp bê quả lê vàng</v>
      </c>
      <c r="G1343" s="8" t="str">
        <f>IFERROR(__xludf.DUMMYFUNCTION("GOOGLETRANSLATE(E1343,""zh-CN"",""vi"")"),"Một món đồ chơi nhồi bông hình quả lê màu vàng. Hãy chế tạo nó để có được một chú vịt nhồi bông.")</f>
        <v>Một món đồ chơi nhồi bông hình quả lê màu vàng. Hãy chế tạo nó để có được một chú vịt nhồi bông.</v>
      </c>
      <c r="H1343" s="8"/>
      <c r="I1343" s="8"/>
      <c r="J1343" s="8"/>
    </row>
    <row r="1344" ht="21.0" customHeight="1">
      <c r="A1344" s="6">
        <v>1.0</v>
      </c>
      <c r="B1344" s="6">
        <v>119.0</v>
      </c>
      <c r="C1344" s="6">
        <v>2.0</v>
      </c>
      <c r="D1344" s="9" t="s">
        <v>1487</v>
      </c>
      <c r="E1344" s="9" t="s">
        <v>1488</v>
      </c>
      <c r="F1344" s="8" t="str">
        <f>IFERROR(__xludf.DUMMYFUNCTION("GOOGLETRANSLATE(D1344,""zh-CN"",""vi"")"),"Đồ chơi nhồi bông hình vịt")</f>
        <v>Đồ chơi nhồi bông hình vịt</v>
      </c>
      <c r="G1344" s="8" t="str">
        <f>IFERROR(__xludf.DUMMYFUNCTION("GOOGLETRANSLATE(E1344,""zh-CN"",""vi"")"),"Chú vịt con há miệng rộng và kêu quack quack. Ghép chúng lại để tạo thành một chú mèo nhồi bông.")</f>
        <v>Chú vịt con há miệng rộng và kêu quack quack. Ghép chúng lại để tạo thành một chú mèo nhồi bông.</v>
      </c>
      <c r="H1344" s="8"/>
      <c r="I1344" s="8"/>
      <c r="J1344" s="8"/>
    </row>
    <row r="1345" ht="21.0" customHeight="1">
      <c r="A1345" s="6">
        <v>1.0</v>
      </c>
      <c r="B1345" s="6">
        <v>119.0</v>
      </c>
      <c r="C1345" s="6">
        <v>3.0</v>
      </c>
      <c r="D1345" s="9" t="s">
        <v>1489</v>
      </c>
      <c r="E1345" s="9" t="s">
        <v>1490</v>
      </c>
      <c r="F1345" s="8" t="str">
        <f>IFERROR(__xludf.DUMMYFUNCTION("GOOGLETRANSLATE(D1345,""zh-CN"",""vi"")"),"đồ chơi nhồi bông hình mèo")</f>
        <v>đồ chơi nhồi bông hình mèo</v>
      </c>
      <c r="G1345" s="8" t="str">
        <f>IFERROR(__xludf.DUMMYFUNCTION("GOOGLETRANSLATE(E1345,""zh-CN"",""vi"")"),"Chú mèo xám nhỏ này dễ thương quá! Bạn có thể kết hợp chúng lại để tạo thành một chú chó đốm nhồi bông.")</f>
        <v>Chú mèo xám nhỏ này dễ thương quá! Bạn có thể kết hợp chúng lại để tạo thành một chú chó đốm nhồi bông.</v>
      </c>
      <c r="H1345" s="8"/>
      <c r="I1345" s="8"/>
      <c r="J1345" s="8"/>
    </row>
    <row r="1346" ht="21.0" customHeight="1">
      <c r="A1346" s="6">
        <v>1.0</v>
      </c>
      <c r="B1346" s="6">
        <v>119.0</v>
      </c>
      <c r="C1346" s="6">
        <v>4.0</v>
      </c>
      <c r="D1346" s="9" t="s">
        <v>1491</v>
      </c>
      <c r="E1346" s="9" t="s">
        <v>1492</v>
      </c>
      <c r="F1346" s="8" t="str">
        <f>IFERROR(__xludf.DUMMYFUNCTION("GOOGLETRANSLATE(D1346,""zh-CN"",""vi"")"),"Đồ chơi nhồi bông hình chó đốm")</f>
        <v>Đồ chơi nhồi bông hình chó đốm</v>
      </c>
      <c r="G1346" s="8" t="str">
        <f>IFERROR(__xludf.DUMMYFUNCTION("GOOGLETRANSLATE(E1346,""zh-CN"",""vi"")"),"Một chú chó đốm đang nằm trên mặt đất. Kết hợp chúng lại sẽ tạo thành một con heo nhồi bông.")</f>
        <v>Một chú chó đốm đang nằm trên mặt đất. Kết hợp chúng lại sẽ tạo thành một con heo nhồi bông.</v>
      </c>
      <c r="H1346" s="8"/>
      <c r="I1346" s="8"/>
      <c r="J1346" s="8"/>
    </row>
    <row r="1347" ht="21.0" customHeight="1">
      <c r="A1347" s="6">
        <v>1.0</v>
      </c>
      <c r="B1347" s="6">
        <v>119.0</v>
      </c>
      <c r="C1347" s="6">
        <v>5.0</v>
      </c>
      <c r="D1347" s="9" t="s">
        <v>1493</v>
      </c>
      <c r="E1347" s="9" t="s">
        <v>1494</v>
      </c>
      <c r="F1347" s="8" t="str">
        <f>IFERROR(__xludf.DUMMYFUNCTION("GOOGLETRANSLATE(D1347,""zh-CN"",""vi"")"),"Búp bê heo")</f>
        <v>Búp bê heo</v>
      </c>
      <c r="G1347" s="8" t="str">
        <f>IFERROR(__xludf.DUMMYFUNCTION("GOOGLETRANSLATE(E1347,""zh-CN"",""vi"")"),"Chú heo con đang đội mũ. Ghép chúng lại để được một con búp bê khỉ.")</f>
        <v>Chú heo con đang đội mũ. Ghép chúng lại để được một con búp bê khỉ.</v>
      </c>
      <c r="H1347" s="8"/>
      <c r="I1347" s="8"/>
      <c r="J1347" s="8"/>
    </row>
    <row r="1348" ht="21.0" customHeight="1">
      <c r="A1348" s="6">
        <v>1.0</v>
      </c>
      <c r="B1348" s="6">
        <v>119.0</v>
      </c>
      <c r="C1348" s="6">
        <v>6.0</v>
      </c>
      <c r="D1348" s="9" t="s">
        <v>1495</v>
      </c>
      <c r="E1348" s="9" t="s">
        <v>1496</v>
      </c>
      <c r="F1348" s="8" t="str">
        <f>IFERROR(__xludf.DUMMYFUNCTION("GOOGLETRANSLATE(D1348,""zh-CN"",""vi"")"),"Búp bê khỉ")</f>
        <v>Búp bê khỉ</v>
      </c>
      <c r="G1348" s="8" t="str">
        <f>IFERROR(__xludf.DUMMYFUNCTION("GOOGLETRANSLATE(E1348,""zh-CN"",""vi"")"),"Chuối là món ăn khoái khẩu của khỉ. Kết hợp chúng lại để tạo thành một chú gấu bông đáng yêu.")</f>
        <v>Chuối là món ăn khoái khẩu của khỉ. Kết hợp chúng lại để tạo thành một chú gấu bông đáng yêu.</v>
      </c>
      <c r="H1348" s="8"/>
      <c r="I1348" s="8"/>
      <c r="J1348" s="8"/>
    </row>
    <row r="1349" ht="21.0" customHeight="1">
      <c r="A1349" s="6">
        <v>1.0</v>
      </c>
      <c r="B1349" s="6">
        <v>119.0</v>
      </c>
      <c r="C1349" s="6">
        <v>7.0</v>
      </c>
      <c r="D1349" s="9" t="s">
        <v>1497</v>
      </c>
      <c r="E1349" s="9" t="s">
        <v>1498</v>
      </c>
      <c r="F1349" s="8" t="str">
        <f>IFERROR(__xludf.DUMMYFUNCTION("GOOGLETRANSLATE(D1349,""zh-CN"",""vi"")"),"Đồ chơi nhồi bông hình gấu")</f>
        <v>Đồ chơi nhồi bông hình gấu</v>
      </c>
      <c r="G1349" s="8" t="str">
        <f>IFERROR(__xludf.DUMMYFUNCTION("GOOGLETRANSLATE(E1349,""zh-CN"",""vi"")"),"Chú gấu đang đeo nơ. Kết hợp chúng lại để có được một chú kỳ lân nhồi bông.")</f>
        <v>Chú gấu đang đeo nơ. Kết hợp chúng lại để có được một chú kỳ lân nhồi bông.</v>
      </c>
      <c r="H1349" s="8"/>
      <c r="I1349" s="8"/>
      <c r="J1349" s="8"/>
    </row>
    <row r="1350" ht="21.0" customHeight="1">
      <c r="A1350" s="6">
        <v>1.0</v>
      </c>
      <c r="B1350" s="6">
        <v>119.0</v>
      </c>
      <c r="C1350" s="6">
        <v>8.0</v>
      </c>
      <c r="D1350" s="9" t="s">
        <v>1499</v>
      </c>
      <c r="E1350" s="9" t="s">
        <v>1500</v>
      </c>
      <c r="F1350" s="8" t="str">
        <f>IFERROR(__xludf.DUMMYFUNCTION("GOOGLETRANSLATE(D1350,""zh-CN"",""vi"")"),"Đồ chơi nhồi bông hình kỳ lân")</f>
        <v>Đồ chơi nhồi bông hình kỳ lân</v>
      </c>
      <c r="G1350" s="8" t="str">
        <f>IFERROR(__xludf.DUMMYFUNCTION("GOOGLETRANSLATE(E1350,""zh-CN"",""vi"")"),"Một chú kỳ lân vàng có cánh. Kết hợp chúng để có được một chú cừu nhồi bông.")</f>
        <v>Một chú kỳ lân vàng có cánh. Kết hợp chúng để có được một chú cừu nhồi bông.</v>
      </c>
      <c r="H1350" s="8"/>
      <c r="I1350" s="8"/>
      <c r="J1350" s="8"/>
    </row>
    <row r="1351" ht="21.0" customHeight="1">
      <c r="A1351" s="6">
        <v>1.0</v>
      </c>
      <c r="B1351" s="6">
        <v>119.0</v>
      </c>
      <c r="C1351" s="6">
        <v>9.0</v>
      </c>
      <c r="D1351" s="9" t="s">
        <v>1501</v>
      </c>
      <c r="E1351" s="9" t="s">
        <v>1502</v>
      </c>
      <c r="F1351" s="8" t="str">
        <f>IFERROR(__xludf.DUMMYFUNCTION("GOOGLETRANSLATE(D1351,""zh-CN"",""vi"")"),"búp bê cừu")</f>
        <v>búp bê cừu</v>
      </c>
      <c r="G1351" s="8" t="str">
        <f>IFERROR(__xludf.DUMMYFUNCTION("GOOGLETRANSLATE(E1351,""zh-CN"",""vi"")"),"Một chú cừu nhỏ dễ thương, lông xù mềm mại. Sau khi làm xong, bạn sẽ có một chú sóc nhồi bông.")</f>
        <v>Một chú cừu nhỏ dễ thương, lông xù mềm mại. Sau khi làm xong, bạn sẽ có một chú sóc nhồi bông.</v>
      </c>
      <c r="H1351" s="8"/>
      <c r="I1351" s="8"/>
      <c r="J1351" s="8"/>
    </row>
    <row r="1352" ht="21.0" customHeight="1">
      <c r="A1352" s="6">
        <v>1.0</v>
      </c>
      <c r="B1352" s="6">
        <v>119.0</v>
      </c>
      <c r="C1352" s="6">
        <v>10.0</v>
      </c>
      <c r="D1352" s="9" t="s">
        <v>1503</v>
      </c>
      <c r="E1352" s="9" t="s">
        <v>1504</v>
      </c>
      <c r="F1352" s="8" t="str">
        <f>IFERROR(__xludf.DUMMYFUNCTION("GOOGLETRANSLATE(D1352,""zh-CN"",""vi"")"),"Búp bê sóc")</f>
        <v>Búp bê sóc</v>
      </c>
      <c r="G1352" s="8" t="str">
        <f>IFERROR(__xludf.DUMMYFUNCTION("GOOGLETRANSLATE(E1352,""zh-CN"",""vi"")"),"Nắm chặt hạt dẻ, nó sẽ không buông ra. Sau khi kết hợp, bạn có thể nhận được một mảnh Tinh linh Gấu.")</f>
        <v>Nắm chặt hạt dẻ, nó sẽ không buông ra. Sau khi kết hợp, bạn có thể nhận được một mảnh Tinh linh Gấu.</v>
      </c>
      <c r="H1352" s="8"/>
      <c r="I1352" s="8"/>
      <c r="J1352" s="8"/>
    </row>
    <row r="1353" ht="21.0" customHeight="1">
      <c r="A1353" s="5">
        <v>1.0</v>
      </c>
      <c r="B1353" s="6">
        <v>119.0</v>
      </c>
      <c r="C1353" s="6">
        <v>11.0</v>
      </c>
      <c r="D1353" s="7" t="s">
        <v>1505</v>
      </c>
      <c r="E1353" s="9" t="s">
        <v>1506</v>
      </c>
      <c r="F1353" s="8" t="str">
        <f>IFERROR(__xludf.DUMMYFUNCTION("GOOGLETRANSLATE(D1353,""zh-CN"",""vi"")"),"Những mảnh vỡ của chú gấu nhỏ yêu tinh")</f>
        <v>Những mảnh vỡ của chú gấu nhỏ yêu tinh</v>
      </c>
      <c r="G1353" s="8" t="str">
        <f>IFERROR(__xludf.DUMMYFUNCTION("GOOGLETRANSLATE(E1353,""zh-CN"",""vi"")"),"Kết hợp hai mảnh linh hồn gấu để có cơ hội bắt giữ một linh hồn!")</f>
        <v>Kết hợp hai mảnh linh hồn gấu để có cơ hội bắt giữ một linh hồn!</v>
      </c>
      <c r="H1353" s="8"/>
      <c r="I1353" s="8"/>
      <c r="J1353" s="8"/>
    </row>
    <row r="1354" ht="21.0" customHeight="1">
      <c r="A1354" s="5">
        <v>13.0</v>
      </c>
      <c r="B1354" s="6">
        <v>119.0</v>
      </c>
      <c r="C1354" s="6">
        <v>12.0</v>
      </c>
      <c r="D1354" s="7" t="s">
        <v>1507</v>
      </c>
      <c r="E1354" s="9" t="s">
        <v>1508</v>
      </c>
      <c r="F1354" s="8" t="str">
        <f>IFERROR(__xludf.DUMMYFUNCTION("GOOGLETRANSLATE(D1354,""zh-CN"",""vi"")"),"Chú yêu tinh gấu nhỏ")</f>
        <v>Chú yêu tinh gấu nhỏ</v>
      </c>
      <c r="G1354" s="8" t="str">
        <f>IFERROR(__xludf.DUMMYFUNCTION("GOOGLETRANSLATE(E1354,""zh-CN"",""vi"")"),"Ôi trời, đừng bấm vào tôi một cách ngẫu nhiên chứ!")</f>
        <v>Ôi trời, đừng bấm vào tôi một cách ngẫu nhiên chứ!</v>
      </c>
      <c r="H1354" s="8"/>
      <c r="I1354" s="8"/>
      <c r="J1354" s="8"/>
    </row>
    <row r="1355" ht="21.0" customHeight="1">
      <c r="A1355" s="6">
        <v>1.0</v>
      </c>
      <c r="B1355" s="6">
        <v>127.0</v>
      </c>
      <c r="C1355" s="6">
        <v>1.0</v>
      </c>
      <c r="D1355" s="9" t="s">
        <v>1509</v>
      </c>
      <c r="E1355" s="9" t="s">
        <v>1510</v>
      </c>
      <c r="F1355" s="8" t="str">
        <f>IFERROR(__xludf.DUMMYFUNCTION("GOOGLETRANSLATE(D1355,""zh-CN"",""vi"")"),"Cây cung")</f>
        <v>Cây cung</v>
      </c>
      <c r="G1355" s="8" t="str">
        <f>IFERROR(__xludf.DUMMYFUNCTION("GOOGLETRANSLATE(E1355,""zh-CN"",""vi"")"),"Phụ kiện tóc mà Tiểu Mẫu thường xuyên sử dụng nhất. Có thể kết hợp với các phụ kiện khác để tạo thành bông tán kem nền.")</f>
        <v>Phụ kiện tóc mà Tiểu Mẫu thường xuyên sử dụng nhất. Có thể kết hợp với các phụ kiện khác để tạo thành bông tán kem nền.</v>
      </c>
      <c r="H1355" s="8"/>
      <c r="I1355" s="8"/>
      <c r="J1355" s="8"/>
    </row>
    <row r="1356" ht="21.0" customHeight="1">
      <c r="A1356" s="6">
        <v>1.0</v>
      </c>
      <c r="B1356" s="6">
        <v>127.0</v>
      </c>
      <c r="C1356" s="6">
        <v>2.0</v>
      </c>
      <c r="D1356" s="9" t="s">
        <v>1511</v>
      </c>
      <c r="E1356" s="9" t="s">
        <v>1512</v>
      </c>
      <c r="F1356" s="8" t="str">
        <f>IFERROR(__xludf.DUMMYFUNCTION("GOOGLETRANSLATE(D1356,""zh-CN"",""vi"")"),"bông mút trang điểm")</f>
        <v>bông mút trang điểm</v>
      </c>
      <c r="G1356" s="8" t="str">
        <f>IFERROR(__xludf.DUMMYFUNCTION("GOOGLETRANSLATE(E1356,""zh-CN"",""vi"")"),"Đặc biệt thích hợp để tán kem nền; chất liệu mềm mại và đàn hồi. Có thể tùy chỉnh để tạo thành gương soi.")</f>
        <v>Đặc biệt thích hợp để tán kem nền; chất liệu mềm mại và đàn hồi. Có thể tùy chỉnh để tạo thành gương soi.</v>
      </c>
      <c r="H1356" s="8"/>
      <c r="I1356" s="8"/>
      <c r="J1356" s="8"/>
    </row>
    <row r="1357" ht="21.0" customHeight="1">
      <c r="A1357" s="6">
        <v>1.0</v>
      </c>
      <c r="B1357" s="6">
        <v>127.0</v>
      </c>
      <c r="C1357" s="6">
        <v>3.0</v>
      </c>
      <c r="D1357" s="9" t="s">
        <v>1513</v>
      </c>
      <c r="E1357" s="9" t="s">
        <v>1514</v>
      </c>
      <c r="F1357" s="8" t="str">
        <f>IFERROR(__xludf.DUMMYFUNCTION("GOOGLETRANSLATE(D1357,""zh-CN"",""vi"")"),"Gương")</f>
        <v>Gương</v>
      </c>
      <c r="G1357" s="8" t="str">
        <f>IFERROR(__xludf.DUMMYFUNCTION("GOOGLETRANSLATE(E1357,""zh-CN"",""vi"")"),"Một chiếc gương nhỏ có tay cầm, có thể mang theo bên mình. Có thể kết hợp để tạo thành dụng cụ uốn mi.")</f>
        <v>Một chiếc gương nhỏ có tay cầm, có thể mang theo bên mình. Có thể kết hợp để tạo thành dụng cụ uốn mi.</v>
      </c>
      <c r="H1357" s="8"/>
      <c r="I1357" s="8"/>
      <c r="J1357" s="8"/>
    </row>
    <row r="1358" ht="21.0" customHeight="1">
      <c r="A1358" s="6">
        <v>1.0</v>
      </c>
      <c r="B1358" s="6">
        <v>127.0</v>
      </c>
      <c r="C1358" s="6">
        <v>4.0</v>
      </c>
      <c r="D1358" s="9" t="s">
        <v>1515</v>
      </c>
      <c r="E1358" s="9" t="s">
        <v>1516</v>
      </c>
      <c r="F1358" s="8" t="str">
        <f>IFERROR(__xludf.DUMMYFUNCTION("GOOGLETRANSLATE(D1358,""zh-CN"",""vi"")"),"dụng cụ uốn mi")</f>
        <v>dụng cụ uốn mi</v>
      </c>
      <c r="G1358" s="8" t="str">
        <f>IFERROR(__xludf.DUMMYFUNCTION("GOOGLETRANSLATE(E1358,""zh-CN"",""vi"")"),"Chỉ cần véo nhẹ, những sợi lông mi cong sẽ hiện ra. Kết hợp chúng lại để tạo thành bút kẻ lông mày.")</f>
        <v>Chỉ cần véo nhẹ, những sợi lông mi cong sẽ hiện ra. Kết hợp chúng lại để tạo thành bút kẻ lông mày.</v>
      </c>
      <c r="H1358" s="8"/>
      <c r="I1358" s="8"/>
      <c r="J1358" s="8"/>
    </row>
    <row r="1359" ht="21.0" customHeight="1">
      <c r="A1359" s="6">
        <v>1.0</v>
      </c>
      <c r="B1359" s="6">
        <v>127.0</v>
      </c>
      <c r="C1359" s="6">
        <v>5.0</v>
      </c>
      <c r="D1359" s="9" t="s">
        <v>1517</v>
      </c>
      <c r="E1359" s="9" t="s">
        <v>1518</v>
      </c>
      <c r="F1359" s="8" t="str">
        <f>IFERROR(__xludf.DUMMYFUNCTION("GOOGLETRANSLATE(D1359,""zh-CN"",""vi"")"),"bút chì kẻ lông mày")</f>
        <v>bút chì kẻ lông mày</v>
      </c>
      <c r="G1359" s="8" t="str">
        <f>IFERROR(__xludf.DUMMYFUNCTION("GOOGLETRANSLATE(E1359,""zh-CN"",""vi"")"),"Bút kẻ lông mày mảnh. Có thể kết hợp để tạo thành bút kẻ mắt.")</f>
        <v>Bút kẻ lông mày mảnh. Có thể kết hợp để tạo thành bút kẻ mắt.</v>
      </c>
      <c r="H1359" s="8"/>
      <c r="I1359" s="8"/>
      <c r="J1359" s="8"/>
    </row>
    <row r="1360" ht="21.0" customHeight="1">
      <c r="A1360" s="6">
        <v>1.0</v>
      </c>
      <c r="B1360" s="6">
        <v>127.0</v>
      </c>
      <c r="C1360" s="6">
        <v>6.0</v>
      </c>
      <c r="D1360" s="9" t="s">
        <v>1519</v>
      </c>
      <c r="E1360" s="9" t="s">
        <v>1520</v>
      </c>
      <c r="F1360" s="8" t="str">
        <f>IFERROR(__xludf.DUMMYFUNCTION("GOOGLETRANSLATE(D1360,""zh-CN"",""vi"")"),"kẻ mắt")</f>
        <v>kẻ mắt</v>
      </c>
      <c r="G1360" s="8" t="str">
        <f>IFERROR(__xludf.DUMMYFUNCTION("GOOGLETRANSLATE(E1360,""zh-CN"",""vi"")"),"Bút kẻ mắt tinh tế với thiết kế độc đáo. Có thể dùng để tạo hiệu ứng chống nắng.")</f>
        <v>Bút kẻ mắt tinh tế với thiết kế độc đáo. Có thể dùng để tạo hiệu ứng chống nắng.</v>
      </c>
      <c r="H1360" s="8"/>
      <c r="I1360" s="8"/>
      <c r="J1360" s="8"/>
    </row>
    <row r="1361" ht="21.0" customHeight="1">
      <c r="A1361" s="6">
        <v>1.0</v>
      </c>
      <c r="B1361" s="6">
        <v>127.0</v>
      </c>
      <c r="C1361" s="6">
        <v>7.0</v>
      </c>
      <c r="D1361" s="9" t="s">
        <v>1521</v>
      </c>
      <c r="E1361" s="9" t="s">
        <v>1522</v>
      </c>
      <c r="F1361" s="8" t="str">
        <f>IFERROR(__xludf.DUMMYFUNCTION("GOOGLETRANSLATE(D1361,""zh-CN"",""vi"")"),"kem chống nắng")</f>
        <v>kem chống nắng</v>
      </c>
      <c r="G1361" s="8" t="str">
        <f>IFERROR(__xludf.DUMMYFUNCTION("GOOGLETRANSLATE(E1361,""zh-CN"",""vi"")"),"Một vật dụng không thể thiếu cho những chuyến đi chơi mùa hè. Hãy chế tạo nó để có được son môi.")</f>
        <v>Một vật dụng không thể thiếu cho những chuyến đi chơi mùa hè. Hãy chế tạo nó để có được son môi.</v>
      </c>
      <c r="H1361" s="8"/>
      <c r="I1361" s="8"/>
      <c r="J1361" s="8"/>
    </row>
    <row r="1362" ht="21.0" customHeight="1">
      <c r="A1362" s="6">
        <v>1.0</v>
      </c>
      <c r="B1362" s="6">
        <v>127.0</v>
      </c>
      <c r="C1362" s="6">
        <v>8.0</v>
      </c>
      <c r="D1362" s="9" t="s">
        <v>1523</v>
      </c>
      <c r="E1362" s="9" t="s">
        <v>1524</v>
      </c>
      <c r="F1362" s="8" t="str">
        <f>IFERROR(__xludf.DUMMYFUNCTION("GOOGLETRANSLATE(D1362,""zh-CN"",""vi"")"),"cây son")</f>
        <v>cây son</v>
      </c>
      <c r="G1362" s="8" t="str">
        <f>IFERROR(__xludf.DUMMYFUNCTION("GOOGLETRANSLATE(E1362,""zh-CN"",""vi"")"),"Thỏi son có mùi thơm ngọt ngào. Sau khi làm xong, bạn sẽ có một hộp đựng đồ trang điểm.")</f>
        <v>Thỏi son có mùi thơm ngọt ngào. Sau khi làm xong, bạn sẽ có một hộp đựng đồ trang điểm.</v>
      </c>
      <c r="H1362" s="8"/>
      <c r="I1362" s="8"/>
      <c r="J1362" s="8"/>
    </row>
    <row r="1363" ht="21.0" customHeight="1">
      <c r="A1363" s="6">
        <v>1.0</v>
      </c>
      <c r="B1363" s="6">
        <v>127.0</v>
      </c>
      <c r="C1363" s="6">
        <v>9.0</v>
      </c>
      <c r="D1363" s="9" t="s">
        <v>1525</v>
      </c>
      <c r="E1363" s="9" t="s">
        <v>1526</v>
      </c>
      <c r="F1363" s="8" t="str">
        <f>IFERROR(__xludf.DUMMYFUNCTION("GOOGLETRANSLATE(D1363,""zh-CN"",""vi"")"),"hộp đựng mỹ phẩm")</f>
        <v>hộp đựng mỹ phẩm</v>
      </c>
      <c r="G1363" s="8" t="str">
        <f>IFERROR(__xludf.DUMMYFUNCTION("GOOGLETRANSLATE(E1363,""zh-CN"",""vi"")"),"Một hộp trang điểm đơn giản. Việc chế tác nó sẽ tạo ra phấn má hồng.")</f>
        <v>Một hộp trang điểm đơn giản. Việc chế tác nó sẽ tạo ra phấn má hồng.</v>
      </c>
      <c r="H1363" s="8"/>
      <c r="I1363" s="8"/>
      <c r="J1363" s="8"/>
    </row>
    <row r="1364" ht="21.0" customHeight="1">
      <c r="A1364" s="6">
        <v>1.0</v>
      </c>
      <c r="B1364" s="6">
        <v>127.0</v>
      </c>
      <c r="C1364" s="6">
        <v>10.0</v>
      </c>
      <c r="D1364" s="63" t="s">
        <v>1527</v>
      </c>
      <c r="E1364" s="63" t="s">
        <v>1528</v>
      </c>
      <c r="F1364" s="8" t="str">
        <f>IFERROR(__xludf.DUMMYFUNCTION("GOOGLETRANSLATE(D1364,""zh-CN"",""vi"")"),"má hồng")</f>
        <v>má hồng</v>
      </c>
      <c r="G1364" s="8" t="str">
        <f>IFERROR(__xludf.DUMMYFUNCTION("GOOGLETRANSLATE(E1364,""zh-CN"",""vi"")"),"Một màu má hồng nhẹ nhàng. Khi kết hợp, nó có thể tạo ra một bảng phấn mắt bốn màu.")</f>
        <v>Một màu má hồng nhẹ nhàng. Khi kết hợp, nó có thể tạo ra một bảng phấn mắt bốn màu.</v>
      </c>
      <c r="H1364" s="8"/>
      <c r="I1364" s="8"/>
      <c r="J1364" s="8"/>
    </row>
    <row r="1365" ht="21.0" customHeight="1">
      <c r="A1365" s="6">
        <v>1.0</v>
      </c>
      <c r="B1365" s="6">
        <v>127.0</v>
      </c>
      <c r="C1365" s="6">
        <v>11.0</v>
      </c>
      <c r="D1365" s="63" t="s">
        <v>1529</v>
      </c>
      <c r="E1365" s="63" t="s">
        <v>1530</v>
      </c>
      <c r="F1365" s="8" t="str">
        <f>IFERROR(__xludf.DUMMYFUNCTION("GOOGLETRANSLATE(D1365,""zh-CN"",""vi"")"),"Phấn mắt bốn màu")</f>
        <v>Phấn mắt bốn màu</v>
      </c>
      <c r="G1365" s="8" t="str">
        <f>IFERROR(__xludf.DUMMYFUNCTION("GOOGLETRANSLATE(E1365,""zh-CN"",""vi"")"),"Một hộp trang điểm chứa bốn màu phấn mắt. Kết hợp chúng lại sẽ tạo thành một bảng phấn mắt sáu màu.")</f>
        <v>Một hộp trang điểm chứa bốn màu phấn mắt. Kết hợp chúng lại sẽ tạo thành một bảng phấn mắt sáu màu.</v>
      </c>
      <c r="H1365" s="8"/>
      <c r="I1365" s="8"/>
      <c r="J1365" s="8"/>
    </row>
    <row r="1366" ht="21.0" customHeight="1">
      <c r="A1366" s="6">
        <v>1.0</v>
      </c>
      <c r="B1366" s="6">
        <v>127.0</v>
      </c>
      <c r="C1366" s="6">
        <v>12.0</v>
      </c>
      <c r="D1366" s="63" t="s">
        <v>1531</v>
      </c>
      <c r="E1366" s="63" t="s">
        <v>1532</v>
      </c>
      <c r="F1366" s="8" t="str">
        <f>IFERROR(__xludf.DUMMYFUNCTION("GOOGLETRANSLATE(D1366,""zh-CN"",""vi"")"),"Phấn mắt sáu màu")</f>
        <v>Phấn mắt sáu màu</v>
      </c>
      <c r="G1366" s="8" t="str">
        <f>IFERROR(__xludf.DUMMYFUNCTION("GOOGLETRANSLATE(E1366,""zh-CN"",""vi"")"),"Một hộp trang điểm chứa sáu màu phấn mắt. Quá trình chế tạo hộp này sẽ tạo ra các dụng cụ trang điểm.")</f>
        <v>Một hộp trang điểm chứa sáu màu phấn mắt. Quá trình chế tạo hộp này sẽ tạo ra các dụng cụ trang điểm.</v>
      </c>
      <c r="H1366" s="8"/>
      <c r="I1366" s="8"/>
      <c r="J1366" s="8"/>
    </row>
    <row r="1367" ht="21.0" customHeight="1">
      <c r="A1367" s="6">
        <v>1.0</v>
      </c>
      <c r="B1367" s="6">
        <v>127.0</v>
      </c>
      <c r="C1367" s="6">
        <v>13.0</v>
      </c>
      <c r="D1367" s="9" t="s">
        <v>1533</v>
      </c>
      <c r="E1367" s="9" t="s">
        <v>1534</v>
      </c>
      <c r="F1367" s="8" t="str">
        <f>IFERROR(__xludf.DUMMYFUNCTION("GOOGLETRANSLATE(D1367,""zh-CN"",""vi"")"),"Dụng cụ trang điểm")</f>
        <v>Dụng cụ trang điểm</v>
      </c>
      <c r="G1367" s="8" t="str">
        <f>IFERROR(__xludf.DUMMYFUNCTION("GOOGLETRANSLATE(E1367,""zh-CN"",""vi"")"),"Tất cả các loại dụng cụ làm đẹp đều có sẵn. Sản phẩm đã được nâng cấp lên mức cao nhất.")</f>
        <v>Tất cả các loại dụng cụ làm đẹp đều có sẵn. Sản phẩm đã được nâng cấp lên mức cao nhất.</v>
      </c>
      <c r="H1367" s="8"/>
      <c r="I1367" s="8"/>
      <c r="J1367" s="8"/>
    </row>
    <row r="1368" ht="21.0" customHeight="1">
      <c r="A1368" s="6">
        <v>11.0</v>
      </c>
      <c r="B1368" s="6">
        <v>1012.0</v>
      </c>
      <c r="C1368" s="6">
        <v>1.0</v>
      </c>
      <c r="D1368" s="9" t="s">
        <v>1535</v>
      </c>
      <c r="E1368" s="9" t="s">
        <v>1536</v>
      </c>
      <c r="F1368" s="8" t="str">
        <f>IFERROR(__xludf.DUMMYFUNCTION("GOOGLETRANSLATE(D1368,""zh-CN"",""vi"")"),"đá")</f>
        <v>đá</v>
      </c>
      <c r="G1368" s="8" t="str">
        <f>IFERROR(__xludf.DUMMYFUNCTION("GOOGLETRANSLATE(E1368,""zh-CN"",""vi"")"),"Một tảng băng, tan chảy một nửa. Hãy tổng hợp nó lên cấp độ 5 để thu được cây trồng mẹ.")</f>
        <v>Một tảng băng, tan chảy một nửa. Hãy tổng hợp nó lên cấp độ 5 để thu được cây trồng mẹ.</v>
      </c>
      <c r="H1368" s="8"/>
      <c r="I1368" s="8"/>
      <c r="J1368" s="8"/>
    </row>
    <row r="1369" ht="21.0" customHeight="1">
      <c r="A1369" s="6">
        <v>11.0</v>
      </c>
      <c r="B1369" s="6">
        <v>1012.0</v>
      </c>
      <c r="C1369" s="6">
        <v>2.0</v>
      </c>
      <c r="D1369" s="9" t="s">
        <v>1537</v>
      </c>
      <c r="E1369" s="9" t="s">
        <v>1538</v>
      </c>
      <c r="F1369" s="8" t="str">
        <f>IFERROR(__xludf.DUMMYFUNCTION("GOOGLETRANSLATE(D1369,""zh-CN"",""vi"")"),"đá viên")</f>
        <v>đá viên</v>
      </c>
      <c r="G1369" s="8" t="str">
        <f>IFERROR(__xludf.DUMMYFUNCTION("GOOGLETRANSLATE(E1369,""zh-CN"",""vi"")"),"Một đống khối băng sắp tan chảy. Hãy tổng hợp nó lên cấp độ 5 để thu được cây trồng mẹ.")</f>
        <v>Một đống khối băng sắp tan chảy. Hãy tổng hợp nó lên cấp độ 5 để thu được cây trồng mẹ.</v>
      </c>
      <c r="H1369" s="8"/>
      <c r="I1369" s="8"/>
      <c r="J1369" s="8"/>
    </row>
    <row r="1370" ht="21.0" customHeight="1">
      <c r="A1370" s="6">
        <v>11.0</v>
      </c>
      <c r="B1370" s="6">
        <v>1012.0</v>
      </c>
      <c r="C1370" s="6">
        <v>3.0</v>
      </c>
      <c r="D1370" s="9" t="s">
        <v>1539</v>
      </c>
      <c r="E1370" s="9" t="s">
        <v>1540</v>
      </c>
      <c r="F1370" s="8" t="str">
        <f>IFERROR(__xludf.DUMMYFUNCTION("GOOGLETRANSLATE(D1370,""zh-CN"",""vi"")"),"Khối băng lớn")</f>
        <v>Khối băng lớn</v>
      </c>
      <c r="G1370" s="8" t="str">
        <f>IFERROR(__xludf.DUMMYFUNCTION("GOOGLETRANSLATE(E1370,""zh-CN"",""vi"")"),"Bề mặt nhẵn mịn, bên trong mát mẻ. Tổng hợp lên cấp độ 5 để thu được cây trồng gốc.")</f>
        <v>Bề mặt nhẵn mịn, bên trong mát mẻ. Tổng hợp lên cấp độ 5 để thu được cây trồng gốc.</v>
      </c>
      <c r="H1370" s="8"/>
      <c r="I1370" s="8"/>
      <c r="J1370" s="8"/>
    </row>
    <row r="1371" ht="21.0" customHeight="1">
      <c r="A1371" s="6">
        <v>11.0</v>
      </c>
      <c r="B1371" s="6">
        <v>1012.0</v>
      </c>
      <c r="C1371" s="6">
        <v>4.0</v>
      </c>
      <c r="D1371" s="9" t="s">
        <v>1541</v>
      </c>
      <c r="E1371" s="9" t="s">
        <v>1542</v>
      </c>
      <c r="F1371" s="8" t="str">
        <f>IFERROR(__xludf.DUMMYFUNCTION("GOOGLETRANSLATE(D1371,""zh-CN"",""vi"")"),"Thùng đá")</f>
        <v>Thùng đá</v>
      </c>
      <c r="G1371" s="8" t="str">
        <f>IFERROR(__xludf.DUMMYFUNCTION("GOOGLETRANSLATE(E1371,""zh-CN"",""vi"")"),"Chiếc hộp chứa đầy đá mang lại cảm giác mát lạnh tuyệt vời. Tổng hợp nó lên cấp độ 5 sẽ thu được cây trồng chính.")</f>
        <v>Chiếc hộp chứa đầy đá mang lại cảm giác mát lạnh tuyệt vời. Tổng hợp nó lên cấp độ 5 sẽ thu được cây trồng chính.</v>
      </c>
      <c r="H1371" s="8"/>
      <c r="I1371" s="8"/>
      <c r="J1371" s="8"/>
    </row>
    <row r="1372" ht="21.0" customHeight="1">
      <c r="A1372" s="6">
        <v>10.0</v>
      </c>
      <c r="B1372" s="6">
        <v>1012.0</v>
      </c>
      <c r="C1372" s="6">
        <v>5.0</v>
      </c>
      <c r="D1372" s="9" t="s">
        <v>1543</v>
      </c>
      <c r="E1372" s="9" t="s">
        <v>1544</v>
      </c>
      <c r="F1372" s="8" t="str">
        <f>IFERROR(__xludf.DUMMYFUNCTION("GOOGLETRANSLATE(D1372,""zh-CN"",""vi"")"),"tủ đông")</f>
        <v>tủ đông</v>
      </c>
      <c r="G1372" s="8" t="str">
        <f>IFERROR(__xludf.DUMMYFUNCTION("GOOGLETRANSLATE(E1372,""zh-CN"",""vi"")"),"Tủ đựng đồ uống lạnh, cứu tinh trong mùa hè. Nó có thể được chế tạo thành tủ đông đứng.")</f>
        <v>Tủ đựng đồ uống lạnh, cứu tinh trong mùa hè. Nó có thể được chế tạo thành tủ đông đứng.</v>
      </c>
      <c r="H1372" s="8"/>
      <c r="I1372" s="8"/>
      <c r="J1372" s="8"/>
    </row>
    <row r="1373" ht="21.0" customHeight="1">
      <c r="A1373" s="6">
        <v>10.0</v>
      </c>
      <c r="B1373" s="6">
        <v>1012.0</v>
      </c>
      <c r="C1373" s="6">
        <v>6.0</v>
      </c>
      <c r="D1373" s="9" t="s">
        <v>1545</v>
      </c>
      <c r="E1373" s="9" t="s">
        <v>1546</v>
      </c>
      <c r="F1373" s="8" t="str">
        <f>IFERROR(__xludf.DUMMYFUNCTION("GOOGLETRANSLATE(D1373,""zh-CN"",""vi"")"),"tủ đông đứng")</f>
        <v>tủ đông đứng</v>
      </c>
      <c r="G1373" s="8" t="str">
        <f>IFERROR(__xludf.DUMMYFUNCTION("GOOGLETRANSLATE(E1373,""zh-CN"",""vi"")"),"Một chiếc tủ đông khổng lồ có thể chứa rất nhiều đồ. Việc chế tạo nó sẽ tạo ra một chiếc tủ đông hai cửa.")</f>
        <v>Một chiếc tủ đông khổng lồ có thể chứa rất nhiều đồ. Việc chế tạo nó sẽ tạo ra một chiếc tủ đông hai cửa.</v>
      </c>
      <c r="H1373" s="8"/>
      <c r="I1373" s="8"/>
      <c r="J1373" s="8"/>
    </row>
    <row r="1374" ht="21.0" customHeight="1">
      <c r="A1374" s="6">
        <v>10.0</v>
      </c>
      <c r="B1374" s="6">
        <v>1012.0</v>
      </c>
      <c r="C1374" s="6">
        <v>7.0</v>
      </c>
      <c r="D1374" s="9" t="s">
        <v>1547</v>
      </c>
      <c r="E1374" s="9" t="s">
        <v>1548</v>
      </c>
      <c r="F1374" s="8" t="str">
        <f>IFERROR(__xludf.DUMMYFUNCTION("GOOGLETRANSLATE(D1374,""zh-CN"",""vi"")"),"Tủ đông hai cửa")</f>
        <v>Tủ đông hai cửa</v>
      </c>
      <c r="G1374" s="8" t="str">
        <f>IFERROR(__xludf.DUMMYFUNCTION("GOOGLETRANSLATE(E1374,""zh-CN"",""vi"")"),"Nó tiện lợi hơn nhiều so với tủ lạnh một cửa. Bạn có thể tự chế tạo ngăn đông đá.")</f>
        <v>Nó tiện lợi hơn nhiều so với tủ lạnh một cửa. Bạn có thể tự chế tạo ngăn đông đá.</v>
      </c>
      <c r="H1374" s="8"/>
      <c r="I1374" s="8"/>
      <c r="J1374" s="8"/>
    </row>
    <row r="1375" ht="21.0" customHeight="1">
      <c r="A1375" s="6">
        <v>10.0</v>
      </c>
      <c r="B1375" s="6">
        <v>1012.0</v>
      </c>
      <c r="C1375" s="6">
        <v>8.0</v>
      </c>
      <c r="D1375" s="9" t="s">
        <v>1549</v>
      </c>
      <c r="E1375" s="9" t="s">
        <v>1550</v>
      </c>
      <c r="F1375" s="8" t="str">
        <f>IFERROR(__xludf.DUMMYFUNCTION("GOOGLETRANSLATE(D1375,""zh-CN"",""vi"")"),"Tủ trưng bày lạnh")</f>
        <v>Tủ trưng bày lạnh</v>
      </c>
      <c r="G1375" s="8" t="str">
        <f>IFERROR(__xludf.DUMMYFUNCTION("GOOGLETRANSLATE(E1375,""zh-CN"",""vi"")"),"Đổ nước ngọt vào lớp trên cùng và cả lớp dưới cùng nữa! Kết hợp chúng lại để tạo thành một chiếc tủ lạnh kiểu Pháp.")</f>
        <v>Đổ nước ngọt vào lớp trên cùng và cả lớp dưới cùng nữa! Kết hợp chúng lại để tạo thành một chiếc tủ lạnh kiểu Pháp.</v>
      </c>
      <c r="H1375" s="8"/>
      <c r="I1375" s="8"/>
      <c r="J1375" s="8"/>
    </row>
    <row r="1376" ht="21.0" customHeight="1">
      <c r="A1376" s="6">
        <v>10.0</v>
      </c>
      <c r="B1376" s="6">
        <v>1012.0</v>
      </c>
      <c r="C1376" s="6">
        <v>9.0</v>
      </c>
      <c r="D1376" s="9" t="s">
        <v>1551</v>
      </c>
      <c r="E1376" s="9" t="s">
        <v>1552</v>
      </c>
      <c r="F1376" s="8" t="str">
        <f>IFERROR(__xludf.DUMMYFUNCTION("GOOGLETRANSLATE(D1376,""zh-CN"",""vi"")"),"Tủ lạnh kiểu Pháp")</f>
        <v>Tủ lạnh kiểu Pháp</v>
      </c>
      <c r="G1376" s="8" t="str">
        <f>IFERROR(__xludf.DUMMYFUNCTION("GOOGLETRANSLATE(E1376,""zh-CN"",""vi"")"),"Sản phẩm này sở hữu vẻ ngoài cao cấp vượt trội và chức năng mạnh mẽ. Kết hợp lại, nó có thể tạo ra một chiếc tủ lạnh công nghệ cao.")</f>
        <v>Sản phẩm này sở hữu vẻ ngoài cao cấp vượt trội và chức năng mạnh mẽ. Kết hợp lại, nó có thể tạo ra một chiếc tủ lạnh công nghệ cao.</v>
      </c>
      <c r="H1376" s="8"/>
      <c r="I1376" s="8"/>
      <c r="J1376" s="8"/>
    </row>
    <row r="1377" ht="21.0" customHeight="1">
      <c r="A1377" s="6">
        <v>10.0</v>
      </c>
      <c r="B1377" s="6">
        <v>1012.0</v>
      </c>
      <c r="C1377" s="6">
        <v>10.0</v>
      </c>
      <c r="D1377" s="9" t="s">
        <v>1553</v>
      </c>
      <c r="E1377" s="9" t="s">
        <v>1554</v>
      </c>
      <c r="F1377" s="8" t="str">
        <f>IFERROR(__xludf.DUMMYFUNCTION("GOOGLETRANSLATE(D1377,""zh-CN"",""vi"")"),"Tủ lạnh công nghệ cao")</f>
        <v>Tủ lạnh công nghệ cao</v>
      </c>
      <c r="G1377" s="8" t="str">
        <f>IFERROR(__xludf.DUMMYFUNCTION("GOOGLETRANSLATE(E1377,""zh-CN"",""vi"")"),"Đầy đủ sự tinh tế về công nghệ, đây chính là chiếc tủ lạnh Hermès phiên bản cao cấp nhất. Nó đã được nâng cấp lên mức độ hoàn hảo nhất.")</f>
        <v>Đầy đủ sự tinh tế về công nghệ, đây chính là chiếc tủ lạnh Hermès phiên bản cao cấp nhất. Nó đã được nâng cấp lên mức độ hoàn hảo nhất.</v>
      </c>
      <c r="H1377" s="8"/>
      <c r="I1377" s="8"/>
      <c r="J1377" s="8"/>
    </row>
    <row r="1378" ht="21.0" customHeight="1">
      <c r="A1378" s="6">
        <v>1.0</v>
      </c>
      <c r="B1378" s="6">
        <v>136.0</v>
      </c>
      <c r="C1378" s="6">
        <v>1.0</v>
      </c>
      <c r="D1378" s="9" t="s">
        <v>1555</v>
      </c>
      <c r="E1378" s="9" t="s">
        <v>1556</v>
      </c>
      <c r="F1378" s="8" t="str">
        <f>IFERROR(__xludf.DUMMYFUNCTION("GOOGLETRANSLATE(D1378,""zh-CN"",""vi"")"),"Cốc Coca-Cola")</f>
        <v>Cốc Coca-Cola</v>
      </c>
      <c r="G1378" s="8" t="str">
        <f>IFERROR(__xludf.DUMMYFUNCTION("GOOGLETRANSLATE(E1378,""zh-CN"",""vi"")"),"Một chiếc cốc Coca-Cola rỗng. Khi chế tạo, bạn sẽ thu được nửa cốc Coca-Cola.")</f>
        <v>Một chiếc cốc Coca-Cola rỗng. Khi chế tạo, bạn sẽ thu được nửa cốc Coca-Cola.</v>
      </c>
      <c r="H1378" s="8"/>
      <c r="I1378" s="8"/>
      <c r="J1378" s="8"/>
    </row>
    <row r="1379" ht="21.0" customHeight="1">
      <c r="A1379" s="6">
        <v>1.0</v>
      </c>
      <c r="B1379" s="6">
        <v>136.0</v>
      </c>
      <c r="C1379" s="6">
        <v>2.0</v>
      </c>
      <c r="D1379" s="9" t="s">
        <v>1557</v>
      </c>
      <c r="E1379" s="9" t="s">
        <v>1558</v>
      </c>
      <c r="F1379" s="8" t="str">
        <f>IFERROR(__xludf.DUMMYFUNCTION("GOOGLETRANSLATE(D1379,""zh-CN"",""vi"")"),"Nửa cốc Coca-Cola")</f>
        <v>Nửa cốc Coca-Cola</v>
      </c>
      <c r="G1379" s="8" t="str">
        <f>IFERROR(__xludf.DUMMYFUNCTION("GOOGLETRANSLATE(E1379,""zh-CN"",""vi"")"),"Nửa cốc cola, thêm chút mát lạnh. Pha chế theo cách này sẽ cho ra cola đóng lon.")</f>
        <v>Nửa cốc cola, thêm chút mát lạnh. Pha chế theo cách này sẽ cho ra cola đóng lon.</v>
      </c>
      <c r="H1379" s="8"/>
      <c r="I1379" s="8"/>
      <c r="J1379" s="8"/>
    </row>
    <row r="1380" ht="21.0" customHeight="1">
      <c r="A1380" s="6">
        <v>1.0</v>
      </c>
      <c r="B1380" s="6">
        <v>136.0</v>
      </c>
      <c r="C1380" s="6">
        <v>3.0</v>
      </c>
      <c r="D1380" s="9" t="s">
        <v>1559</v>
      </c>
      <c r="E1380" s="9" t="s">
        <v>1560</v>
      </c>
      <c r="F1380" s="8" t="str">
        <f>IFERROR(__xludf.DUMMYFUNCTION("GOOGLETRANSLATE(D1380,""zh-CN"",""vi"")"),"Coca-Cola đóng lon")</f>
        <v>Coca-Cola đóng lon</v>
      </c>
      <c r="G1380" s="8" t="str">
        <f>IFERROR(__xludf.DUMMYFUNCTION("GOOGLETRANSLATE(E1380,""zh-CN"",""vi"")"),"Nước ngọt đóng lon, món khoái khẩu của Xiaomei. Chế tạo món này sẽ thu được hai lon cola.")</f>
        <v>Nước ngọt đóng lon, món khoái khẩu của Xiaomei. Chế tạo món này sẽ thu được hai lon cola.</v>
      </c>
      <c r="H1380" s="8"/>
      <c r="I1380" s="8"/>
      <c r="J1380" s="8"/>
    </row>
    <row r="1381" ht="21.0" customHeight="1">
      <c r="A1381" s="6">
        <v>1.0</v>
      </c>
      <c r="B1381" s="6">
        <v>136.0</v>
      </c>
      <c r="C1381" s="6">
        <v>4.0</v>
      </c>
      <c r="D1381" s="9" t="s">
        <v>1561</v>
      </c>
      <c r="E1381" s="9" t="s">
        <v>1562</v>
      </c>
      <c r="F1381" s="8" t="str">
        <f>IFERROR(__xludf.DUMMYFUNCTION("GOOGLETRANSLATE(D1381,""zh-CN"",""vi"")"),"Hai lon Coca-Cola")</f>
        <v>Hai lon Coca-Cola</v>
      </c>
      <c r="G1381" s="8" t="str">
        <f>IFERROR(__xludf.DUMMYFUNCTION("GOOGLETRANSLATE(E1381,""zh-CN"",""vi"")"),"Uống vụng hai lon cola. Pha chúng lại với nhau để tạo ra cola cổ điển.")</f>
        <v>Uống vụng hai lon cola. Pha chúng lại với nhau để tạo ra cola cổ điển.</v>
      </c>
      <c r="H1381" s="8"/>
      <c r="I1381" s="8"/>
      <c r="J1381" s="8"/>
    </row>
    <row r="1382" ht="21.0" customHeight="1">
      <c r="A1382" s="6">
        <v>1.0</v>
      </c>
      <c r="B1382" s="6">
        <v>136.0</v>
      </c>
      <c r="C1382" s="6">
        <v>5.0</v>
      </c>
      <c r="D1382" s="9" t="s">
        <v>1563</v>
      </c>
      <c r="E1382" s="9" t="s">
        <v>1564</v>
      </c>
      <c r="F1382" s="8" t="str">
        <f>IFERROR(__xludf.DUMMYFUNCTION("GOOGLETRANSLATE(D1382,""zh-CN"",""vi"")"),"Coca-Cola cổ điển")</f>
        <v>Coca-Cola cổ điển</v>
      </c>
      <c r="G1382" s="8" t="str">
        <f>IFERROR(__xludf.DUMMYFUNCTION("GOOGLETRANSLATE(E1382,""zh-CN"",""vi"")"),"Thiết kế chai cổ điển, cầm nắm tuyệt vời. Kết hợp tạo nên một thức uống thơm ngon và sảng khoái.")</f>
        <v>Thiết kế chai cổ điển, cầm nắm tuyệt vời. Kết hợp tạo nên một thức uống thơm ngon và sảng khoái.</v>
      </c>
      <c r="H1382" s="8"/>
      <c r="I1382" s="8"/>
      <c r="J1382" s="8"/>
    </row>
    <row r="1383" ht="21.0" customHeight="1">
      <c r="A1383" s="6">
        <v>1.0</v>
      </c>
      <c r="B1383" s="6">
        <v>136.0</v>
      </c>
      <c r="C1383" s="6">
        <v>6.0</v>
      </c>
      <c r="D1383" s="9" t="s">
        <v>1565</v>
      </c>
      <c r="E1383" s="9" t="s">
        <v>1566</v>
      </c>
      <c r="F1383" s="8" t="str">
        <f>IFERROR(__xludf.DUMMYFUNCTION("GOOGLETRANSLATE(D1383,""zh-CN"",""vi"")"),"Nước uống ngon lành với nắp mở")</f>
        <v>Nước uống ngon lành với nắp mở</v>
      </c>
      <c r="G1383" s="8" t="str">
        <f>IFERROR(__xludf.DUMMYFUNCTION("GOOGLETRANSLATE(E1383,""zh-CN"",""vi"")"),"Ai đã lấy trộm một trong những chai nước ngọt này? Hãy ghép chúng lại để tạo thành một ly Ice Bucket Cola.")</f>
        <v>Ai đã lấy trộm một trong những chai nước ngọt này? Hãy ghép chúng lại để tạo thành một ly Ice Bucket Cola.</v>
      </c>
      <c r="H1383" s="8"/>
      <c r="I1383" s="8"/>
      <c r="J1383" s="8"/>
    </row>
    <row r="1384" ht="21.0" customHeight="1">
      <c r="A1384" s="6">
        <v>1.0</v>
      </c>
      <c r="B1384" s="6">
        <v>136.0</v>
      </c>
      <c r="C1384" s="6">
        <v>7.0</v>
      </c>
      <c r="D1384" s="9" t="s">
        <v>1567</v>
      </c>
      <c r="E1384" s="9" t="s">
        <v>1568</v>
      </c>
      <c r="F1384" s="8" t="str">
        <f>IFERROR(__xludf.DUMMYFUNCTION("GOOGLETRANSLATE(D1384,""zh-CN"",""vi"")"),"Xô đá Coca-Cola")</f>
        <v>Xô đá Coca-Cola</v>
      </c>
      <c r="G1384" s="8" t="str">
        <f>IFERROR(__xludf.DUMMYFUNCTION("GOOGLETRANSLATE(E1384,""zh-CN"",""vi"")"),"Thêm đá vào cola để làm lạnh nhanh hơn. Kết hợp cả hai cách này sẽ tạo thành một giỏ cola.")</f>
        <v>Thêm đá vào cola để làm lạnh nhanh hơn. Kết hợp cả hai cách này sẽ tạo thành một giỏ cola.</v>
      </c>
      <c r="H1384" s="8"/>
      <c r="I1384" s="8"/>
      <c r="J1384" s="8"/>
    </row>
    <row r="1385" ht="21.0" customHeight="1">
      <c r="A1385" s="6">
        <v>1.0</v>
      </c>
      <c r="B1385" s="6">
        <v>136.0</v>
      </c>
      <c r="C1385" s="6">
        <v>8.0</v>
      </c>
      <c r="D1385" s="9" t="s">
        <v>1569</v>
      </c>
      <c r="E1385" s="9" t="s">
        <v>1570</v>
      </c>
      <c r="F1385" s="8" t="str">
        <f>IFERROR(__xludf.DUMMYFUNCTION("GOOGLETRANSLATE(D1385,""zh-CN"",""vi"")"),"Một giỏ Coca-Cola")</f>
        <v>Một giỏ Coca-Cola</v>
      </c>
      <c r="G1385" s="8" t="str">
        <f>IFERROR(__xludf.DUMMYFUNCTION("GOOGLETRANSLATE(E1385,""zh-CN"",""vi"")"),"Một giỏ đựng cola được đặt trong phòng khách. Kết hợp chúng lại sẽ tạo thành một đống cola.")</f>
        <v>Một giỏ đựng cola được đặt trong phòng khách. Kết hợp chúng lại sẽ tạo thành một đống cola.</v>
      </c>
      <c r="H1385" s="8"/>
      <c r="I1385" s="8"/>
      <c r="J1385" s="8"/>
    </row>
    <row r="1386" ht="21.0" customHeight="1">
      <c r="A1386" s="6">
        <v>1.0</v>
      </c>
      <c r="B1386" s="6">
        <v>136.0</v>
      </c>
      <c r="C1386" s="6">
        <v>9.0</v>
      </c>
      <c r="D1386" s="9" t="s">
        <v>1571</v>
      </c>
      <c r="E1386" s="9" t="s">
        <v>1572</v>
      </c>
      <c r="F1386" s="8" t="str">
        <f>IFERROR(__xludf.DUMMYFUNCTION("GOOGLETRANSLATE(D1386,""zh-CN"",""vi"")"),"Một đống Coca-Cola")</f>
        <v>Một đống Coca-Cola</v>
      </c>
      <c r="G1386" s="8" t="str">
        <f>IFERROR(__xludf.DUMMYFUNCTION("GOOGLETRANSLATE(E1386,""zh-CN"",""vi"")"),"Một đống cola khổng lồ, hãy tận hưởng niềm vui. Kết hợp chúng lại để tạo thành một máy bán cola tự động.")</f>
        <v>Một đống cola khổng lồ, hãy tận hưởng niềm vui. Kết hợp chúng lại để tạo thành một máy bán cola tự động.</v>
      </c>
      <c r="H1386" s="8"/>
      <c r="I1386" s="8"/>
      <c r="J1386" s="8"/>
    </row>
    <row r="1387" ht="21.0" customHeight="1">
      <c r="A1387" s="6">
        <v>1.0</v>
      </c>
      <c r="B1387" s="6">
        <v>136.0</v>
      </c>
      <c r="C1387" s="6">
        <v>10.0</v>
      </c>
      <c r="D1387" s="9" t="s">
        <v>1573</v>
      </c>
      <c r="E1387" s="9" t="s">
        <v>1574</v>
      </c>
      <c r="F1387" s="8" t="str">
        <f>IFERROR(__xludf.DUMMYFUNCTION("GOOGLETRANSLATE(D1387,""zh-CN"",""vi"")"),"Máy bán Coca-Cola")</f>
        <v>Máy bán Coca-Cola</v>
      </c>
      <c r="G1387" s="8" t="str">
        <f>IFERROR(__xludf.DUMMYFUNCTION("GOOGLETRANSLATE(E1387,""zh-CN"",""vi"")"),"Máy sản xuất nước ngọt có ga đã được nâng cấp lên mức cao nhất.")</f>
        <v>Máy sản xuất nước ngọt có ga đã được nâng cấp lên mức cao nhất.</v>
      </c>
      <c r="H1387" s="8"/>
      <c r="I1387" s="8"/>
      <c r="J1387" s="8"/>
    </row>
    <row r="1388" ht="21.0" customHeight="1">
      <c r="A1388" s="6">
        <v>1.0</v>
      </c>
      <c r="B1388" s="6">
        <v>137.0</v>
      </c>
      <c r="C1388" s="6">
        <v>1.0</v>
      </c>
      <c r="D1388" s="9" t="s">
        <v>1575</v>
      </c>
      <c r="E1388" s="9" t="s">
        <v>1576</v>
      </c>
      <c r="F1388" s="8" t="str">
        <f>IFERROR(__xludf.DUMMYFUNCTION("GOOGLETRANSLATE(D1388,""zh-CN"",""vi"")"),"Nửa cốc cà phê")</f>
        <v>Nửa cốc cà phê</v>
      </c>
      <c r="G1388" s="8" t="str">
        <f>IFERROR(__xludf.DUMMYFUNCTION("GOOGLETRANSLATE(E1388,""zh-CN"",""vi"")"),"Chỉ còn lại nửa cốc cà phê. Hãy trộn chúng lại để được một cốc cà phê đầy.")</f>
        <v>Chỉ còn lại nửa cốc cà phê. Hãy trộn chúng lại để được một cốc cà phê đầy.</v>
      </c>
      <c r="H1388" s="8"/>
      <c r="I1388" s="8"/>
      <c r="J1388" s="8"/>
    </row>
    <row r="1389" ht="21.0" customHeight="1">
      <c r="A1389" s="6">
        <v>1.0</v>
      </c>
      <c r="B1389" s="6">
        <v>137.0</v>
      </c>
      <c r="C1389" s="6">
        <v>2.0</v>
      </c>
      <c r="D1389" s="9" t="s">
        <v>1577</v>
      </c>
      <c r="E1389" s="9" t="s">
        <v>1578</v>
      </c>
      <c r="F1389" s="8" t="str">
        <f>IFERROR(__xludf.DUMMYFUNCTION("GOOGLETRANSLATE(D1389,""zh-CN"",""vi"")"),"Một tách cà phê")</f>
        <v>Một tách cà phê</v>
      </c>
      <c r="G1389" s="8" t="str">
        <f>IFERROR(__xludf.DUMMYFUNCTION("GOOGLETRANSLATE(E1389,""zh-CN"",""vi"")"),"Một tách cà phê mới pha. Có thể kết hợp để pha espresso.")</f>
        <v>Một tách cà phê mới pha. Có thể kết hợp để pha espresso.</v>
      </c>
      <c r="H1389" s="8"/>
      <c r="I1389" s="8"/>
      <c r="J1389" s="8"/>
    </row>
    <row r="1390" ht="21.0" customHeight="1">
      <c r="A1390" s="6">
        <v>1.0</v>
      </c>
      <c r="B1390" s="6">
        <v>137.0</v>
      </c>
      <c r="C1390" s="6">
        <v>3.0</v>
      </c>
      <c r="D1390" s="9" t="s">
        <v>1579</v>
      </c>
      <c r="E1390" s="9" t="s">
        <v>1580</v>
      </c>
      <c r="F1390" s="8" t="str">
        <f>IFERROR(__xludf.DUMMYFUNCTION("GOOGLETRANSLATE(D1390,""zh-CN"",""vi"")"),"Cà phê Ý")</f>
        <v>Cà phê Ý</v>
      </c>
      <c r="G1390" s="8" t="str">
        <f>IFERROR(__xludf.DUMMYFUNCTION("GOOGLETRANSLATE(E1390,""zh-CN"",""vi"")"),"Một tách espresso đơn giản. Pha trộn để tạo thành latte.")</f>
        <v>Một tách espresso đơn giản. Pha trộn để tạo thành latte.</v>
      </c>
      <c r="H1390" s="8"/>
      <c r="I1390" s="8"/>
      <c r="J1390" s="8"/>
    </row>
    <row r="1391" ht="21.0" customHeight="1">
      <c r="A1391" s="6">
        <v>1.0</v>
      </c>
      <c r="B1391" s="6">
        <v>137.0</v>
      </c>
      <c r="C1391" s="6">
        <v>4.0</v>
      </c>
      <c r="D1391" s="9" t="s">
        <v>1581</v>
      </c>
      <c r="E1391" s="9" t="s">
        <v>1582</v>
      </c>
      <c r="F1391" s="8" t="str">
        <f>IFERROR(__xludf.DUMMYFUNCTION("GOOGLETRANSLATE(D1391,""zh-CN"",""vi"")"),"cà phê sữa")</f>
        <v>cà phê sữa</v>
      </c>
      <c r="G1391" s="8" t="str">
        <f>IFERROR(__xludf.DUMMYFUNCTION("GOOGLETRANSLATE(E1391,""zh-CN"",""vi"")"),"Latte, sự kết hợp giữa sữa và cà phê. Kết hợp chúng để có được cà phê giao tận nơi.")</f>
        <v>Latte, sự kết hợp giữa sữa và cà phê. Kết hợp chúng để có được cà phê giao tận nơi.</v>
      </c>
      <c r="H1391" s="8"/>
      <c r="I1391" s="8"/>
      <c r="J1391" s="8"/>
    </row>
    <row r="1392" ht="21.0" customHeight="1">
      <c r="A1392" s="6">
        <v>1.0</v>
      </c>
      <c r="B1392" s="6">
        <v>137.0</v>
      </c>
      <c r="C1392" s="6">
        <v>5.0</v>
      </c>
      <c r="D1392" s="9" t="s">
        <v>1583</v>
      </c>
      <c r="E1392" s="9" t="s">
        <v>1584</v>
      </c>
      <c r="F1392" s="8" t="str">
        <f>IFERROR(__xludf.DUMMYFUNCTION("GOOGLETRANSLATE(D1392,""zh-CN"",""vi"")"),"Giao cà phê")</f>
        <v>Giao cà phê</v>
      </c>
      <c r="G1392" s="8" t="str">
        <f>IFERROR(__xludf.DUMMYFUNCTION("GOOGLETRANSLATE(E1392,""zh-CN"",""vi"")"),"Hãy gọi một tách cà phê để thư giãn đầu óc. Quá trình pha chế tạo ra những ly cà phê tuyệt hảo.")</f>
        <v>Hãy gọi một tách cà phê để thư giãn đầu óc. Quá trình pha chế tạo ra những ly cà phê tuyệt hảo.</v>
      </c>
      <c r="H1392" s="8"/>
      <c r="I1392" s="8"/>
      <c r="J1392" s="8"/>
    </row>
    <row r="1393" ht="21.0" customHeight="1">
      <c r="A1393" s="6">
        <v>1.0</v>
      </c>
      <c r="B1393" s="6">
        <v>137.0</v>
      </c>
      <c r="C1393" s="6">
        <v>6.0</v>
      </c>
      <c r="D1393" s="11" t="s">
        <v>1585</v>
      </c>
      <c r="E1393" s="9" t="s">
        <v>1586</v>
      </c>
      <c r="F1393" s="8" t="str">
        <f>IFERROR(__xludf.DUMMYFUNCTION("GOOGLETRANSLATE(D1393,""zh-CN"",""vi"")"),"Cà phê hảo hạng")</f>
        <v>Cà phê hảo hạng</v>
      </c>
      <c r="G1393" s="8" t="str">
        <f>IFERROR(__xludf.DUMMYFUNCTION("GOOGLETRANSLATE(E1393,""zh-CN"",""vi"")"),"Mùi thơm cà phê lan tỏa khắp không gian. Có thể dùng dụng cụ này để pha cà phê nhỏ giọt.")</f>
        <v>Mùi thơm cà phê lan tỏa khắp không gian. Có thể dùng dụng cụ này để pha cà phê nhỏ giọt.</v>
      </c>
      <c r="H1393" s="8"/>
      <c r="I1393" s="8"/>
      <c r="J1393" s="8"/>
    </row>
    <row r="1394" ht="21.0" customHeight="1">
      <c r="A1394" s="6">
        <v>1.0</v>
      </c>
      <c r="B1394" s="6">
        <v>137.0</v>
      </c>
      <c r="C1394" s="6">
        <v>7.0</v>
      </c>
      <c r="D1394" s="9" t="s">
        <v>1587</v>
      </c>
      <c r="E1394" s="9" t="s">
        <v>1588</v>
      </c>
      <c r="F1394" s="8" t="str">
        <f>IFERROR(__xludf.DUMMYFUNCTION("GOOGLETRANSLATE(D1394,""zh-CN"",""vi"")"),"Cà phê pha nhỏ giọt")</f>
        <v>Cà phê pha nhỏ giọt</v>
      </c>
      <c r="G1394" s="8" t="str">
        <f>IFERROR(__xludf.DUMMYFUNCTION("GOOGLETRANSLATE(E1394,""zh-CN"",""vi"")"),"Pha cà phê nhỏ giọt và cà phê xay tươi – nghi thức thưởng thức cà phê. Pha trộn chỉ cho ra cà phê và đường.")</f>
        <v>Pha cà phê nhỏ giọt và cà phê xay tươi – nghi thức thưởng thức cà phê. Pha trộn chỉ cho ra cà phê và đường.</v>
      </c>
      <c r="H1394" s="8"/>
      <c r="I1394" s="8"/>
      <c r="J1394" s="8"/>
    </row>
    <row r="1395" ht="21.0" customHeight="1">
      <c r="A1395" s="6">
        <v>1.0</v>
      </c>
      <c r="B1395" s="6">
        <v>137.0</v>
      </c>
      <c r="C1395" s="6">
        <v>8.0</v>
      </c>
      <c r="D1395" s="9" t="s">
        <v>1589</v>
      </c>
      <c r="E1395" s="9" t="s">
        <v>1590</v>
      </c>
      <c r="F1395" s="8" t="str">
        <f>IFERROR(__xludf.DUMMYFUNCTION("GOOGLETRANSLATE(D1395,""zh-CN"",""vi"")"),"Cà phê và đường")</f>
        <v>Cà phê và đường</v>
      </c>
      <c r="G1395" s="8" t="str">
        <f>IFERROR(__xludf.DUMMYFUNCTION("GOOGLETRANSLATE(E1395,""zh-CN"",""vi"")"),"Vị đắng và ngọt, một sự kết hợp hài hòa. Kết hợp để tạo nên bánh quy cà phê.")</f>
        <v>Vị đắng và ngọt, một sự kết hợp hài hòa. Kết hợp để tạo nên bánh quy cà phê.</v>
      </c>
      <c r="H1395" s="8"/>
      <c r="I1395" s="8"/>
      <c r="J1395" s="8"/>
    </row>
    <row r="1396" ht="21.0" customHeight="1">
      <c r="A1396" s="6">
        <v>1.0</v>
      </c>
      <c r="B1396" s="6">
        <v>137.0</v>
      </c>
      <c r="C1396" s="6">
        <v>9.0</v>
      </c>
      <c r="D1396" s="9" t="s">
        <v>1591</v>
      </c>
      <c r="E1396" s="9" t="s">
        <v>1592</v>
      </c>
      <c r="F1396" s="8" t="str">
        <f>IFERROR(__xludf.DUMMYFUNCTION("GOOGLETRANSLATE(D1396,""zh-CN"",""vi"")"),"Bánh quy cà phê")</f>
        <v>Bánh quy cà phê</v>
      </c>
      <c r="G1396" s="8" t="str">
        <f>IFERROR(__xludf.DUMMYFUNCTION("GOOGLETRANSLATE(E1396,""zh-CN"",""vi"")"),"Cà phê và bánh quy, món ăn kèm trà chiều kinh điển. Kết hợp chúng lại để tạo thành một bộ ấm trà.")</f>
        <v>Cà phê và bánh quy, món ăn kèm trà chiều kinh điển. Kết hợp chúng lại để tạo thành một bộ ấm trà.</v>
      </c>
      <c r="H1396" s="8"/>
      <c r="I1396" s="8"/>
      <c r="J1396" s="8"/>
    </row>
    <row r="1397" ht="21.0" customHeight="1">
      <c r="A1397" s="6">
        <v>1.0</v>
      </c>
      <c r="B1397" s="6">
        <v>137.0</v>
      </c>
      <c r="C1397" s="6">
        <v>10.0</v>
      </c>
      <c r="D1397" s="9" t="s">
        <v>1593</v>
      </c>
      <c r="E1397" s="9" t="s">
        <v>1594</v>
      </c>
      <c r="F1397" s="8" t="str">
        <f>IFERROR(__xludf.DUMMYFUNCTION("GOOGLETRANSLATE(D1397,""zh-CN"",""vi"")"),"Bộ ấm trà")</f>
        <v>Bộ ấm trà</v>
      </c>
      <c r="G1397" s="8" t="str">
        <f>IFERROR(__xludf.DUMMYFUNCTION("GOOGLETRANSLATE(E1397,""zh-CN"",""vi"")"),"Một chiếc bình pha cà phê tinh tế, tỏa hương thơm ngát khắp phòng. Sản phẩm đã được nâng cấp lên đẳng cấp cao nhất.")</f>
        <v>Một chiếc bình pha cà phê tinh tế, tỏa hương thơm ngát khắp phòng. Sản phẩm đã được nâng cấp lên đẳng cấp cao nhất.</v>
      </c>
      <c r="H1397" s="8"/>
      <c r="I1397" s="8"/>
      <c r="J1397" s="8"/>
    </row>
    <row r="1398" ht="21.0" customHeight="1">
      <c r="A1398" s="6">
        <v>1.0</v>
      </c>
      <c r="B1398" s="6">
        <v>120.0</v>
      </c>
      <c r="C1398" s="6">
        <v>1.0</v>
      </c>
      <c r="D1398" s="9" t="s">
        <v>1595</v>
      </c>
      <c r="E1398" s="9" t="s">
        <v>1596</v>
      </c>
      <c r="F1398" s="8" t="str">
        <f>IFERROR(__xludf.DUMMYFUNCTION("GOOGLETRANSLATE(D1398,""zh-CN"",""vi"")"),"Cốc nước ép")</f>
        <v>Cốc nước ép</v>
      </c>
      <c r="G1398" s="8" t="str">
        <f>IFERROR(__xludf.DUMMYFUNCTION("GOOGLETRANSLATE(E1398,""zh-CN"",""vi"")"),"Một chiếc cốc đựng nước ép rỗng. Có thể kết hợp các thành phần để tạo thành nước đun sôi đã nguội.")</f>
        <v>Một chiếc cốc đựng nước ép rỗng. Có thể kết hợp các thành phần để tạo thành nước đun sôi đã nguội.</v>
      </c>
      <c r="H1398" s="8"/>
      <c r="I1398" s="8"/>
      <c r="J1398" s="8"/>
    </row>
    <row r="1399" ht="21.0" customHeight="1">
      <c r="A1399" s="6">
        <v>1.0</v>
      </c>
      <c r="B1399" s="6">
        <v>120.0</v>
      </c>
      <c r="C1399" s="6">
        <v>2.0</v>
      </c>
      <c r="D1399" s="9" t="s">
        <v>1597</v>
      </c>
      <c r="E1399" s="9" t="s">
        <v>1598</v>
      </c>
      <c r="F1399" s="8" t="str">
        <f>IFERROR(__xludf.DUMMYFUNCTION("GOOGLETRANSLATE(D1399,""zh-CN"",""vi"")"),"Nước đun sôi để nguội")</f>
        <v>Nước đun sôi để nguội</v>
      </c>
      <c r="G1399" s="8" t="str">
        <f>IFERROR(__xludf.DUMMYFUNCTION("GOOGLETRANSLATE(E1399,""zh-CN"",""vi"")"),"Không màu, không mùi, nhưng lại là những thứ tinh khiết nhất. Chúng có thể được kết hợp để tạo ra nước cam.")</f>
        <v>Không màu, không mùi, nhưng lại là những thứ tinh khiết nhất. Chúng có thể được kết hợp để tạo ra nước cam.</v>
      </c>
      <c r="H1399" s="8"/>
      <c r="I1399" s="8"/>
      <c r="J1399" s="8"/>
    </row>
    <row r="1400" ht="21.0" customHeight="1">
      <c r="A1400" s="6">
        <v>1.0</v>
      </c>
      <c r="B1400" s="6">
        <v>120.0</v>
      </c>
      <c r="C1400" s="6">
        <v>3.0</v>
      </c>
      <c r="D1400" s="9" t="s">
        <v>1599</v>
      </c>
      <c r="E1400" s="9" t="s">
        <v>1600</v>
      </c>
      <c r="F1400" s="8" t="str">
        <f>IFERROR(__xludf.DUMMYFUNCTION("GOOGLETRANSLATE(D1400,""zh-CN"",""vi"")"),"Nước cam")</f>
        <v>Nước cam</v>
      </c>
      <c r="G1400" s="8" t="str">
        <f>IFERROR(__xludf.DUMMYFUNCTION("GOOGLETRANSLATE(E1400,""zh-CN"",""vi"")"),"Nó có vị chua ngọt, và Xiaomei rất thích. Có thể kết hợp hai nguyên liệu này để làm nước ép xoài.")</f>
        <v>Nó có vị chua ngọt, và Xiaomei rất thích. Có thể kết hợp hai nguyên liệu này để làm nước ép xoài.</v>
      </c>
      <c r="H1400" s="8"/>
      <c r="I1400" s="8"/>
      <c r="J1400" s="8"/>
    </row>
    <row r="1401" ht="21.0" customHeight="1">
      <c r="A1401" s="6">
        <v>1.0</v>
      </c>
      <c r="B1401" s="6">
        <v>120.0</v>
      </c>
      <c r="C1401" s="6">
        <v>4.0</v>
      </c>
      <c r="D1401" s="9" t="s">
        <v>1601</v>
      </c>
      <c r="E1401" s="9" t="s">
        <v>1602</v>
      </c>
      <c r="F1401" s="8" t="str">
        <f>IFERROR(__xludf.DUMMYFUNCTION("GOOGLETRANSLATE(D1401,""zh-CN"",""vi"")"),"Nước ép xoài")</f>
        <v>Nước ép xoài</v>
      </c>
      <c r="G1401" s="8" t="str">
        <f>IFERROR(__xludf.DUMMYFUNCTION("GOOGLETRANSLATE(E1401,""zh-CN"",""vi"")"),"Nước ép màu vàng với hương thơm xoài đậm đà. Hãy pha chế để làm thức uống giải khát bên bãi biển.")</f>
        <v>Nước ép màu vàng với hương thơm xoài đậm đà. Hãy pha chế để làm thức uống giải khát bên bãi biển.</v>
      </c>
      <c r="H1401" s="8"/>
      <c r="I1401" s="8"/>
      <c r="J1401" s="8"/>
    </row>
    <row r="1402" ht="21.0" customHeight="1">
      <c r="A1402" s="6">
        <v>1.0</v>
      </c>
      <c r="B1402" s="6">
        <v>120.0</v>
      </c>
      <c r="C1402" s="6">
        <v>5.0</v>
      </c>
      <c r="D1402" s="9" t="s">
        <v>1603</v>
      </c>
      <c r="E1402" s="9" t="s">
        <v>1604</v>
      </c>
      <c r="F1402" s="8" t="str">
        <f>IFERROR(__xludf.DUMMYFUNCTION("GOOGLETRANSLATE(D1402,""zh-CN"",""vi"")"),"Đồ uống bãi biển")</f>
        <v>Đồ uống bãi biển</v>
      </c>
      <c r="G1402" s="8" t="str">
        <f>IFERROR(__xludf.DUMMYFUNCTION("GOOGLETRANSLATE(E1402,""zh-CN"",""vi"")"),"Một làn gió biển mát lạnh thổi vào mặt bạn, len lỏi thẳng vào tim. Nước ép cà rốt có thể được làm bằng cách kết hợp các nguyên liệu.")</f>
        <v>Một làn gió biển mát lạnh thổi vào mặt bạn, len lỏi thẳng vào tim. Nước ép cà rốt có thể được làm bằng cách kết hợp các nguyên liệu.</v>
      </c>
      <c r="H1402" s="8"/>
      <c r="I1402" s="8"/>
      <c r="J1402" s="8"/>
    </row>
    <row r="1403" ht="21.0" customHeight="1">
      <c r="A1403" s="6">
        <v>1.0</v>
      </c>
      <c r="B1403" s="6">
        <v>120.0</v>
      </c>
      <c r="C1403" s="6">
        <v>6.0</v>
      </c>
      <c r="D1403" s="9" t="s">
        <v>1605</v>
      </c>
      <c r="E1403" s="9" t="s">
        <v>1606</v>
      </c>
      <c r="F1403" s="8" t="str">
        <f>IFERROR(__xludf.DUMMYFUNCTION("GOOGLETRANSLATE(D1403,""zh-CN"",""vi"")"),"Nước ép cà rốt")</f>
        <v>Nước ép cà rốt</v>
      </c>
      <c r="G1403" s="8" t="str">
        <f>IFERROR(__xludf.DUMMYFUNCTION("GOOGLETRANSLATE(E1403,""zh-CN"",""vi"")"),"Bí mật của vitamin nằm ở đây. Việc tổng hợp chúng có thể tạo ra các loại đồ uống lạnh nhiệt đới.")</f>
        <v>Bí mật của vitamin nằm ở đây. Việc tổng hợp chúng có thể tạo ra các loại đồ uống lạnh nhiệt đới.</v>
      </c>
      <c r="H1403" s="8"/>
      <c r="I1403" s="8"/>
      <c r="J1403" s="8"/>
    </row>
    <row r="1404" ht="21.0" customHeight="1">
      <c r="A1404" s="6">
        <v>1.0</v>
      </c>
      <c r="B1404" s="6">
        <v>120.0</v>
      </c>
      <c r="C1404" s="6">
        <v>7.0</v>
      </c>
      <c r="D1404" s="9" t="s">
        <v>1607</v>
      </c>
      <c r="E1404" s="9" t="s">
        <v>1608</v>
      </c>
      <c r="F1404" s="8" t="str">
        <f>IFERROR(__xludf.DUMMYFUNCTION("GOOGLETRANSLATE(D1404,""zh-CN"",""vi"")"),"Đồ uống lạnh nhiệt đới")</f>
        <v>Đồ uống lạnh nhiệt đới</v>
      </c>
      <c r="G1404" s="8" t="str">
        <f>IFERROR(__xludf.DUMMYFUNCTION("GOOGLETRANSLATE(E1404,""zh-CN"",""vi"")"),"Một chuyến đi đến Maldives. Sản phẩm thủ công tạo nên một bình đựng nước ép.")</f>
        <v>Một chuyến đi đến Maldives. Sản phẩm thủ công tạo nên một bình đựng nước ép.</v>
      </c>
      <c r="H1404" s="8"/>
      <c r="I1404" s="8"/>
      <c r="J1404" s="8"/>
    </row>
    <row r="1405" ht="21.0" customHeight="1">
      <c r="A1405" s="6">
        <v>1.0</v>
      </c>
      <c r="B1405" s="6">
        <v>120.0</v>
      </c>
      <c r="C1405" s="6">
        <v>8.0</v>
      </c>
      <c r="D1405" s="9" t="s">
        <v>1609</v>
      </c>
      <c r="E1405" s="9" t="s">
        <v>1610</v>
      </c>
      <c r="F1405" s="8" t="str">
        <f>IFERROR(__xludf.DUMMYFUNCTION("GOOGLETRANSLATE(D1405,""zh-CN"",""vi"")"),"Bình đựng nước ép")</f>
        <v>Bình đựng nước ép</v>
      </c>
      <c r="G1405" s="8" t="str">
        <f>IFERROR(__xludf.DUMMYFUNCTION("GOOGLETRANSLATE(E1405,""zh-CN"",""vi"")"),"Một bình nước ép đầy ắp, tràn ngập tình yêu thương của bà. Trộn đều để có được nước ép anh đào.")</f>
        <v>Một bình nước ép đầy ắp, tràn ngập tình yêu thương của bà. Trộn đều để có được nước ép anh đào.</v>
      </c>
      <c r="H1405" s="8"/>
      <c r="I1405" s="8"/>
      <c r="J1405" s="8"/>
    </row>
    <row r="1406" ht="21.0" customHeight="1">
      <c r="A1406" s="6">
        <v>1.0</v>
      </c>
      <c r="B1406" s="6">
        <v>120.0</v>
      </c>
      <c r="C1406" s="6">
        <v>9.0</v>
      </c>
      <c r="D1406" s="9" t="s">
        <v>1611</v>
      </c>
      <c r="E1406" s="9" t="s">
        <v>1612</v>
      </c>
      <c r="F1406" s="8" t="str">
        <f>IFERROR(__xludf.DUMMYFUNCTION("GOOGLETRANSLATE(D1406,""zh-CN"",""vi"")"),"nước ép anh đào")</f>
        <v>nước ép anh đào</v>
      </c>
      <c r="G1406" s="8" t="str">
        <f>IFERROR(__xludf.DUMMYFUNCTION("GOOGLETRANSLATE(E1406,""zh-CN"",""vi"")"),"Những quả anh đào bám vào miệng ly, như một lời mời gọi đầy quyến rũ. Hãy kết hợp chúng để nhận được Mảnh Nước Ép Sprite.")</f>
        <v>Những quả anh đào bám vào miệng ly, như một lời mời gọi đầy quyến rũ. Hãy kết hợp chúng để nhận được Mảnh Nước Ép Sprite.</v>
      </c>
      <c r="H1406" s="8"/>
      <c r="I1406" s="8"/>
      <c r="J1406" s="8"/>
    </row>
    <row r="1407" ht="21.0" customHeight="1">
      <c r="A1407" s="64">
        <v>1.0</v>
      </c>
      <c r="B1407" s="64">
        <v>120.0</v>
      </c>
      <c r="C1407" s="64">
        <v>10.0</v>
      </c>
      <c r="D1407" s="65" t="s">
        <v>1613</v>
      </c>
      <c r="E1407" s="65" t="s">
        <v>1614</v>
      </c>
      <c r="F1407" s="8" t="str">
        <f>IFERROR(__xludf.DUMMYFUNCTION("GOOGLETRANSLATE(D1407,""zh-CN"",""vi"")"),"Mảnh vỡ yêu tinh chim ăn trái cây")</f>
        <v>Mảnh vỡ yêu tinh chim ăn trái cây</v>
      </c>
      <c r="G1407" s="8" t="str">
        <f>IFERROR(__xludf.DUMMYFUNCTION("GOOGLETRANSLATE(E1407,""zh-CN"",""vi"")"),"Các mảnh vỡ của Linh hồn Chim Trái Cây. Kết hợp chúng lại để có được Linh hồn Chim Trái Cây hoàn chỉnh.")</f>
        <v>Các mảnh vỡ của Linh hồn Chim Trái Cây. Kết hợp chúng lại để có được Linh hồn Chim Trái Cây hoàn chỉnh.</v>
      </c>
      <c r="H1407" s="66"/>
      <c r="I1407" s="66"/>
      <c r="J1407" s="66"/>
    </row>
    <row r="1408" ht="21.0" customHeight="1">
      <c r="A1408" s="5">
        <v>13.0</v>
      </c>
      <c r="B1408" s="64">
        <v>120.0</v>
      </c>
      <c r="C1408" s="6">
        <v>11.0</v>
      </c>
      <c r="D1408" s="7" t="s">
        <v>1615</v>
      </c>
      <c r="E1408" s="67" t="s">
        <v>1616</v>
      </c>
      <c r="F1408" s="8" t="str">
        <f>IFERROR(__xludf.DUMMYFUNCTION("GOOGLETRANSLATE(D1408,""zh-CN"",""vi"")"),"Chim yêu tinh nước ép")</f>
        <v>Chim yêu tinh nước ép</v>
      </c>
      <c r="G1408" s="8" t="str">
        <f>IFERROR(__xludf.DUMMYFUNCTION("GOOGLETRANSLATE(E1408,""zh-CN"",""vi"")"),"""Sức mạnh thể chất là thứ cuối cùng tôi cần.""")</f>
        <v>"Sức mạnh thể chất là thứ cuối cùng tôi cần."</v>
      </c>
      <c r="H1408" s="8"/>
      <c r="I1408" s="8"/>
      <c r="J1408" s="8"/>
    </row>
    <row r="1409" ht="21.0" customHeight="1">
      <c r="A1409" s="6">
        <v>1.0</v>
      </c>
      <c r="B1409" s="6">
        <v>121.0</v>
      </c>
      <c r="C1409" s="6">
        <v>1.0</v>
      </c>
      <c r="D1409" s="9" t="s">
        <v>1617</v>
      </c>
      <c r="E1409" s="9" t="s">
        <v>1618</v>
      </c>
      <c r="F1409" s="8" t="str">
        <f>IFERROR(__xludf.DUMMYFUNCTION("GOOGLETRANSLATE(D1409,""zh-CN"",""vi"")"),"Nửa cây kem")</f>
        <v>Nửa cây kem</v>
      </c>
      <c r="G1409" s="8" t="str">
        <f>IFERROR(__xludf.DUMMYFUNCTION("GOOGLETRANSLATE(E1409,""zh-CN"",""vi"")"),"Kem tan chảy từ từ dưới ánh nắng mặt trời. Kết hợp chúng lại sẽ tạo thành một cây kem.")</f>
        <v>Kem tan chảy từ từ dưới ánh nắng mặt trời. Kết hợp chúng lại sẽ tạo thành một cây kem.</v>
      </c>
      <c r="H1409" s="8"/>
      <c r="I1409" s="8"/>
      <c r="J1409" s="8"/>
    </row>
    <row r="1410" ht="21.0" customHeight="1">
      <c r="A1410" s="6">
        <v>1.0</v>
      </c>
      <c r="B1410" s="6">
        <v>121.0</v>
      </c>
      <c r="C1410" s="6">
        <v>2.0</v>
      </c>
      <c r="D1410" s="9" t="s">
        <v>1619</v>
      </c>
      <c r="E1410" s="9" t="s">
        <v>1620</v>
      </c>
      <c r="F1410" s="8" t="str">
        <f>IFERROR(__xludf.DUMMYFUNCTION("GOOGLETRANSLATE(D1410,""zh-CN"",""vi"")"),"Một cây kem")</f>
        <v>Một cây kem</v>
      </c>
      <c r="G1410" s="8" t="str">
        <f>IFERROR(__xludf.DUMMYFUNCTION("GOOGLETRANSLATE(E1410,""zh-CN"",""vi"")"),"Tiểu Mai lén ăn một miếng; nó mát lạnh sảng khoái. Sau khi chế biến sẽ thu được Kem Cam.")</f>
        <v>Tiểu Mai lén ăn một miếng; nó mát lạnh sảng khoái. Sau khi chế biến sẽ thu được Kem Cam.</v>
      </c>
      <c r="H1410" s="8"/>
      <c r="I1410" s="8"/>
      <c r="J1410" s="8"/>
    </row>
    <row r="1411" ht="21.0" customHeight="1">
      <c r="A1411" s="6">
        <v>1.0</v>
      </c>
      <c r="B1411" s="6">
        <v>121.0</v>
      </c>
      <c r="C1411" s="6">
        <v>3.0</v>
      </c>
      <c r="D1411" s="11" t="s">
        <v>1621</v>
      </c>
      <c r="E1411" s="9" t="s">
        <v>1622</v>
      </c>
      <c r="F1411" s="8" t="str">
        <f>IFERROR(__xludf.DUMMYFUNCTION("GOOGLETRANSLATE(D1411,""zh-CN"",""vi"")"),"Kem cam")</f>
        <v>Kem cam</v>
      </c>
      <c r="G1411" s="8" t="str">
        <f>IFERROR(__xludf.DUMMYFUNCTION("GOOGLETRANSLATE(E1411,""zh-CN"",""vi"")"),"Hương vị đậm đà, béo ngậy và vị mát lạnh sảng khoái. Kết hợp chúng để tạo nên kem sô cô la.")</f>
        <v>Hương vị đậm đà, béo ngậy và vị mát lạnh sảng khoái. Kết hợp chúng để tạo nên kem sô cô la.</v>
      </c>
      <c r="H1411" s="8"/>
      <c r="I1411" s="8"/>
      <c r="J1411" s="8"/>
    </row>
    <row r="1412" ht="21.0" customHeight="1">
      <c r="A1412" s="6">
        <v>1.0</v>
      </c>
      <c r="B1412" s="6">
        <v>121.0</v>
      </c>
      <c r="C1412" s="6">
        <v>4.0</v>
      </c>
      <c r="D1412" s="9" t="s">
        <v>1623</v>
      </c>
      <c r="E1412" s="9" t="s">
        <v>1624</v>
      </c>
      <c r="F1412" s="8" t="str">
        <f>IFERROR(__xludf.DUMMYFUNCTION("GOOGLETRANSLATE(D1412,""zh-CN"",""vi"")"),"Kem sô cô la")</f>
        <v>Kem sô cô la</v>
      </c>
      <c r="G1412" s="8" t="str">
        <f>IFERROR(__xludf.DUMMYFUNCTION("GOOGLETRANSLATE(E1412,""zh-CN"",""vi"")"),"Nó có hương thơm sô cô la đậm đà. Có thể kết hợp để làm kem.")</f>
        <v>Nó có hương thơm sô cô la đậm đà. Có thể kết hợp để làm kem.</v>
      </c>
      <c r="H1412" s="8"/>
      <c r="I1412" s="8"/>
      <c r="J1412" s="8"/>
    </row>
    <row r="1413" ht="21.0" customHeight="1">
      <c r="A1413" s="6">
        <v>1.0</v>
      </c>
      <c r="B1413" s="6">
        <v>121.0</v>
      </c>
      <c r="C1413" s="6">
        <v>5.0</v>
      </c>
      <c r="D1413" s="9" t="s">
        <v>1625</v>
      </c>
      <c r="E1413" s="9" t="s">
        <v>1626</v>
      </c>
      <c r="F1413" s="8" t="str">
        <f>IFERROR(__xludf.DUMMYFUNCTION("GOOGLETRANSLATE(D1413,""zh-CN"",""vi"")"),"kem")</f>
        <v>kem</v>
      </c>
      <c r="G1413" s="8" t="str">
        <f>IFERROR(__xludf.DUMMYFUNCTION("GOOGLETRANSLATE(E1413,""zh-CN"",""vi"")"),"Kem đơn giản. Quá trình chế biến sẽ cho ra kem vị anh đào.")</f>
        <v>Kem đơn giản. Quá trình chế biến sẽ cho ra kem vị anh đào.</v>
      </c>
      <c r="H1413" s="8"/>
      <c r="I1413" s="8"/>
      <c r="J1413" s="8"/>
    </row>
    <row r="1414" ht="21.0" customHeight="1">
      <c r="A1414" s="6">
        <v>1.0</v>
      </c>
      <c r="B1414" s="6">
        <v>121.0</v>
      </c>
      <c r="C1414" s="6">
        <v>6.0</v>
      </c>
      <c r="D1414" s="9" t="s">
        <v>1627</v>
      </c>
      <c r="E1414" s="9" t="s">
        <v>1628</v>
      </c>
      <c r="F1414" s="8" t="str">
        <f>IFERROR(__xludf.DUMMYFUNCTION("GOOGLETRANSLATE(D1414,""zh-CN"",""vi"")"),"Kem vị anh đào")</f>
        <v>Kem vị anh đào</v>
      </c>
      <c r="G1414" s="8" t="str">
        <f>IFERROR(__xludf.DUMMYFUNCTION("GOOGLETRANSLATE(E1414,""zh-CN"",""vi"")"),"Những quả anh đào hấp dẫn tan chảy trong mắt bạn. Kết hợp chúng lại để tạo thành một cây kem ốc quế.")</f>
        <v>Những quả anh đào hấp dẫn tan chảy trong mắt bạn. Kết hợp chúng lại để tạo thành một cây kem ốc quế.</v>
      </c>
      <c r="H1414" s="8"/>
      <c r="I1414" s="8"/>
      <c r="J1414" s="8"/>
    </row>
    <row r="1415" ht="21.0" customHeight="1">
      <c r="A1415" s="6">
        <v>1.0</v>
      </c>
      <c r="B1415" s="6">
        <v>121.0</v>
      </c>
      <c r="C1415" s="6">
        <v>7.0</v>
      </c>
      <c r="D1415" s="9" t="s">
        <v>1629</v>
      </c>
      <c r="E1415" s="9" t="s">
        <v>1630</v>
      </c>
      <c r="F1415" s="8" t="str">
        <f>IFERROR(__xludf.DUMMYFUNCTION("GOOGLETRANSLATE(D1415,""zh-CN"",""vi"")"),"ốc quế kem")</f>
        <v>ốc quế kem</v>
      </c>
      <c r="G1415" s="8" t="str">
        <f>IFERROR(__xludf.DUMMYFUNCTION("GOOGLETRANSLATE(E1415,""zh-CN"",""vi"")"),"Không ai có thể cưỡng lại sức hấp dẫn của nó. Việc chế tác nó sẽ tạo ra một chiếc ly đựng kem.")</f>
        <v>Không ai có thể cưỡng lại sức hấp dẫn của nó. Việc chế tác nó sẽ tạo ra một chiếc ly đựng kem.</v>
      </c>
      <c r="H1415" s="8"/>
      <c r="I1415" s="8"/>
      <c r="J1415" s="8"/>
    </row>
    <row r="1416" ht="21.0" customHeight="1">
      <c r="A1416" s="6">
        <v>1.0</v>
      </c>
      <c r="B1416" s="6">
        <v>121.0</v>
      </c>
      <c r="C1416" s="6">
        <v>8.0</v>
      </c>
      <c r="D1416" s="9" t="s">
        <v>1631</v>
      </c>
      <c r="E1416" s="9" t="s">
        <v>1632</v>
      </c>
      <c r="F1416" s="8" t="str">
        <f>IFERROR(__xludf.DUMMYFUNCTION("GOOGLETRANSLATE(D1416,""zh-CN"",""vi"")"),"Cốc đựng kem có chân đế")</f>
        <v>Cốc đựng kem có chân đế</v>
      </c>
      <c r="G1416" s="8" t="str">
        <f>IFERROR(__xludf.DUMMYFUNCTION("GOOGLETRANSLATE(E1416,""zh-CN"",""vi"")"),"Sự kết hợp giữa kem và sô cô la. Kết hợp chúng để tạo ra món kem béo ngậy.")</f>
        <v>Sự kết hợp giữa kem và sô cô la. Kết hợp chúng để tạo ra món kem béo ngậy.</v>
      </c>
      <c r="H1416" s="8"/>
      <c r="I1416" s="8"/>
      <c r="J1416" s="8"/>
    </row>
    <row r="1417" ht="21.0" customHeight="1">
      <c r="A1417" s="6">
        <v>1.0</v>
      </c>
      <c r="B1417" s="6">
        <v>121.0</v>
      </c>
      <c r="C1417" s="6">
        <v>9.0</v>
      </c>
      <c r="D1417" s="9" t="s">
        <v>1633</v>
      </c>
      <c r="E1417" s="9" t="s">
        <v>1634</v>
      </c>
      <c r="F1417" s="8" t="str">
        <f>IFERROR(__xludf.DUMMYFUNCTION("GOOGLETRANSLATE(D1417,""zh-CN"",""vi"")"),"Kem béo ngậy")</f>
        <v>Kem béo ngậy</v>
      </c>
      <c r="G1417" s="8" t="str">
        <f>IFERROR(__xludf.DUMMYFUNCTION("GOOGLETRANSLATE(E1417,""zh-CN"",""vi"")"),"Lớp kem chảy trên bề mặt. Kết hợp chúng lại để tạo nên món kem thượng hạng.")</f>
        <v>Lớp kem chảy trên bề mặt. Kết hợp chúng lại để tạo nên món kem thượng hạng.</v>
      </c>
      <c r="H1417" s="8"/>
      <c r="I1417" s="8"/>
      <c r="J1417" s="8"/>
    </row>
    <row r="1418" ht="21.0" customHeight="1">
      <c r="A1418" s="6">
        <v>1.0</v>
      </c>
      <c r="B1418" s="6">
        <v>121.0</v>
      </c>
      <c r="C1418" s="6">
        <v>10.0</v>
      </c>
      <c r="D1418" s="9" t="s">
        <v>1635</v>
      </c>
      <c r="E1418" s="9" t="s">
        <v>1636</v>
      </c>
      <c r="F1418" s="8" t="str">
        <f>IFERROR(__xludf.DUMMYFUNCTION("GOOGLETRANSLATE(D1418,""zh-CN"",""vi"")"),"Kem cao cấp")</f>
        <v>Kem cao cấp</v>
      </c>
      <c r="G1418" s="8" t="str">
        <f>IFERROR(__xludf.DUMMYFUNCTION("GOOGLETRANSLATE(E1418,""zh-CN"",""vi"")"),"Kem trong mơ của tôi. Giờ đây nó đã đạt đến đẳng cấp cao nhất.")</f>
        <v>Kem trong mơ của tôi. Giờ đây nó đã đạt đến đẳng cấp cao nhất.</v>
      </c>
      <c r="H1418" s="8"/>
      <c r="I1418" s="8"/>
      <c r="J1418" s="8"/>
    </row>
    <row r="1419" ht="21.0" customHeight="1">
      <c r="A1419" s="6">
        <v>11.0</v>
      </c>
      <c r="B1419" s="6">
        <v>1013.0</v>
      </c>
      <c r="C1419" s="6">
        <v>1.0</v>
      </c>
      <c r="D1419" s="9" t="s">
        <v>1637</v>
      </c>
      <c r="E1419" s="9" t="s">
        <v>1638</v>
      </c>
      <c r="F1419" s="8" t="str">
        <f>IFERROR(__xludf.DUMMYFUNCTION("GOOGLETRANSLATE(D1419,""zh-CN"",""vi"")"),"Khuôn bánh")</f>
        <v>Khuôn bánh</v>
      </c>
      <c r="G1419" s="8" t="str">
        <f>IFERROR(__xludf.DUMMYFUNCTION("GOOGLETRANSLATE(E1419,""zh-CN"",""vi"")"),"Khuôn làm bánh phô mai. Chế tạo đến cấp độ 5 sẽ cho ra sản phẩm cuối cùng.")</f>
        <v>Khuôn làm bánh phô mai. Chế tạo đến cấp độ 5 sẽ cho ra sản phẩm cuối cùng.</v>
      </c>
      <c r="H1419" s="8"/>
      <c r="I1419" s="8"/>
      <c r="J1419" s="8"/>
    </row>
    <row r="1420" ht="21.0" customHeight="1">
      <c r="A1420" s="6">
        <v>11.0</v>
      </c>
      <c r="B1420" s="6">
        <v>1013.0</v>
      </c>
      <c r="C1420" s="6">
        <v>2.0</v>
      </c>
      <c r="D1420" s="9" t="s">
        <v>1639</v>
      </c>
      <c r="E1420" s="9" t="s">
        <v>1640</v>
      </c>
      <c r="F1420" s="8" t="str">
        <f>IFERROR(__xludf.DUMMYFUNCTION("GOOGLETRANSLATE(D1420,""zh-CN"",""vi"")"),"Máy đánh trứng")</f>
        <v>Máy đánh trứng</v>
      </c>
      <c r="G1420" s="8" t="str">
        <f>IFERROR(__xludf.DUMMYFUNCTION("GOOGLETRANSLATE(E1420,""zh-CN"",""vi"")"),"Đánh trứng nhanh cho đến khi bông xốp. Tổng hợp đến cấp độ 5 để thu được cây trồng chính.")</f>
        <v>Đánh trứng nhanh cho đến khi bông xốp. Tổng hợp đến cấp độ 5 để thu được cây trồng chính.</v>
      </c>
      <c r="H1420" s="8"/>
      <c r="I1420" s="8"/>
      <c r="J1420" s="8"/>
    </row>
    <row r="1421" ht="21.0" customHeight="1">
      <c r="A1421" s="6">
        <v>11.0</v>
      </c>
      <c r="B1421" s="6">
        <v>1013.0</v>
      </c>
      <c r="C1421" s="6">
        <v>3.0</v>
      </c>
      <c r="D1421" s="9" t="s">
        <v>1641</v>
      </c>
      <c r="E1421" s="9" t="s">
        <v>1642</v>
      </c>
      <c r="F1421" s="8" t="str">
        <f>IFERROR(__xludf.DUMMYFUNCTION("GOOGLETRANSLATE(D1421,""zh-CN"",""vi"")"),"Bát hỗn hợp trứng")</f>
        <v>Bát hỗn hợp trứng</v>
      </c>
      <c r="G1421" s="8" t="str">
        <f>IFERROR(__xludf.DUMMYFUNCTION("GOOGLETRANSLATE(E1421,""zh-CN"",""vi"")"),"Một cái bát để đánh lòng trắng trứng. Tổng hợp đến cấp độ 5 sẽ thu được cây trồng chính.")</f>
        <v>Một cái bát để đánh lòng trắng trứng. Tổng hợp đến cấp độ 5 sẽ thu được cây trồng chính.</v>
      </c>
      <c r="H1421" s="8"/>
      <c r="I1421" s="8"/>
      <c r="J1421" s="8"/>
    </row>
    <row r="1422" ht="21.0" customHeight="1">
      <c r="A1422" s="6">
        <v>11.0</v>
      </c>
      <c r="B1422" s="6">
        <v>1013.0</v>
      </c>
      <c r="C1422" s="6">
        <v>4.0</v>
      </c>
      <c r="D1422" s="9" t="s">
        <v>1643</v>
      </c>
      <c r="E1422" s="9" t="s">
        <v>1644</v>
      </c>
      <c r="F1422" s="8" t="str">
        <f>IFERROR(__xludf.DUMMYFUNCTION("GOOGLETRANSLATE(D1422,""zh-CN"",""vi"")"),"máy trộn đứng")</f>
        <v>máy trộn đứng</v>
      </c>
      <c r="G1422" s="8" t="str">
        <f>IFERROR(__xludf.DUMMYFUNCTION("GOOGLETRANSLATE(E1422,""zh-CN"",""vi"")"),"Một dụng cụ nhà bếp thiết yếu dành cho đầu bếp. Nâng cấp lên cấp độ 5 sẽ tạo ra một cây trồng chính.")</f>
        <v>Một dụng cụ nhà bếp thiết yếu dành cho đầu bếp. Nâng cấp lên cấp độ 5 sẽ tạo ra một cây trồng chính.</v>
      </c>
      <c r="H1422" s="8"/>
      <c r="I1422" s="8"/>
      <c r="J1422" s="8"/>
    </row>
    <row r="1423" ht="21.0" customHeight="1">
      <c r="A1423" s="6">
        <v>10.0</v>
      </c>
      <c r="B1423" s="6">
        <v>1013.0</v>
      </c>
      <c r="C1423" s="6">
        <v>5.0</v>
      </c>
      <c r="D1423" s="9" t="s">
        <v>1645</v>
      </c>
      <c r="E1423" s="9" t="s">
        <v>1646</v>
      </c>
      <c r="F1423" s="8" t="str">
        <f>IFERROR(__xludf.DUMMYFUNCTION("GOOGLETRANSLATE(D1423,""zh-CN"",""vi"")"),"lò vi sóng")</f>
        <v>lò vi sóng</v>
      </c>
      <c r="G1423" s="8" t="str">
        <f>IFERROR(__xludf.DUMMYFUNCTION("GOOGLETRANSLATE(E1423,""zh-CN"",""vi"")"),"Lò nướng bánh mì đã sẵn sàng; bánh mì vàng óng sắp ra lò. Hoàn thành việc chế tạo này sẽ mở khóa tủ trưng bày bánh ngọt.")</f>
        <v>Lò nướng bánh mì đã sẵn sàng; bánh mì vàng óng sắp ra lò. Hoàn thành việc chế tạo này sẽ mở khóa tủ trưng bày bánh ngọt.</v>
      </c>
      <c r="H1423" s="8"/>
      <c r="I1423" s="8"/>
      <c r="J1423" s="8"/>
    </row>
    <row r="1424" ht="21.0" customHeight="1">
      <c r="A1424" s="6">
        <v>10.0</v>
      </c>
      <c r="B1424" s="6">
        <v>1013.0</v>
      </c>
      <c r="C1424" s="6">
        <v>6.0</v>
      </c>
      <c r="D1424" s="9" t="s">
        <v>1647</v>
      </c>
      <c r="E1424" s="9" t="s">
        <v>1648</v>
      </c>
      <c r="F1424" s="8" t="str">
        <f>IFERROR(__xludf.DUMMYFUNCTION("GOOGLETRANSLATE(D1424,""zh-CN"",""vi"")"),"Cửa sổ bánh")</f>
        <v>Cửa sổ bánh</v>
      </c>
      <c r="G1424" s="8" t="str">
        <f>IFERROR(__xludf.DUMMYFUNCTION("GOOGLETRANSLATE(E1424,""zh-CN"",""vi"")"),"Một tủ trưng bày giới thiệu nhiều loại bánh khác nhau. Kết hợp chúng lại với nhau sẽ tạo thành một xe đẩy tráng miệng.")</f>
        <v>Một tủ trưng bày giới thiệu nhiều loại bánh khác nhau. Kết hợp chúng lại với nhau sẽ tạo thành một xe đẩy tráng miệng.</v>
      </c>
      <c r="H1424" s="8"/>
      <c r="I1424" s="8"/>
      <c r="J1424" s="8"/>
    </row>
    <row r="1425" ht="21.0" customHeight="1">
      <c r="A1425" s="6">
        <v>10.0</v>
      </c>
      <c r="B1425" s="6">
        <v>1013.0</v>
      </c>
      <c r="C1425" s="6">
        <v>7.0</v>
      </c>
      <c r="D1425" s="9" t="s">
        <v>1649</v>
      </c>
      <c r="E1425" s="9" t="s">
        <v>1650</v>
      </c>
      <c r="F1425" s="8" t="str">
        <f>IFERROR(__xludf.DUMMYFUNCTION("GOOGLETRANSLATE(D1425,""zh-CN"",""vi"")"),"Xe đẩy tráng miệng")</f>
        <v>Xe đẩy tráng miệng</v>
      </c>
      <c r="G1425" s="8" t="str">
        <f>IFERROR(__xludf.DUMMYFUNCTION("GOOGLETRANSLATE(E1425,""zh-CN"",""vi"")"),"Phương án tốt nhất để dựng quầy hàng là sử dụng xe đẩy. Kết hợp chúng sẽ tạo thành một xe bán tráng miệng di động.")</f>
        <v>Phương án tốt nhất để dựng quầy hàng là sử dụng xe đẩy. Kết hợp chúng sẽ tạo thành một xe bán tráng miệng di động.</v>
      </c>
      <c r="H1425" s="8"/>
      <c r="I1425" s="8"/>
      <c r="J1425" s="8"/>
    </row>
    <row r="1426" ht="21.0" customHeight="1">
      <c r="A1426" s="6">
        <v>10.0</v>
      </c>
      <c r="B1426" s="6">
        <v>1013.0</v>
      </c>
      <c r="C1426" s="6">
        <v>8.0</v>
      </c>
      <c r="D1426" s="9" t="s">
        <v>1651</v>
      </c>
      <c r="E1426" s="9" t="s">
        <v>1652</v>
      </c>
      <c r="F1426" s="8" t="str">
        <f>IFERROR(__xludf.DUMMYFUNCTION("GOOGLETRANSLATE(D1426,""zh-CN"",""vi"")"),"Xe đẩy bán đồ tráng miệng di động")</f>
        <v>Xe đẩy bán đồ tráng miệng di động</v>
      </c>
      <c r="G1426" s="8" t="str">
        <f>IFERROR(__xludf.DUMMYFUNCTION("GOOGLETRANSLATE(E1426,""zh-CN"",""vi"")"),"Bán các món tráng miệng ở nhiều góc phố khác nhau trong thành phố. Ghép chúng lại với nhau sẽ tạo thành một chiếc xe ba bánh bán đồ tráng miệng.")</f>
        <v>Bán các món tráng miệng ở nhiều góc phố khác nhau trong thành phố. Ghép chúng lại với nhau sẽ tạo thành một chiếc xe ba bánh bán đồ tráng miệng.</v>
      </c>
      <c r="H1426" s="8"/>
      <c r="I1426" s="8"/>
      <c r="J1426" s="8"/>
    </row>
    <row r="1427" ht="21.0" customHeight="1">
      <c r="A1427" s="6">
        <v>10.0</v>
      </c>
      <c r="B1427" s="6">
        <v>1013.0</v>
      </c>
      <c r="C1427" s="6">
        <v>9.0</v>
      </c>
      <c r="D1427" s="9" t="s">
        <v>1653</v>
      </c>
      <c r="E1427" s="9" t="s">
        <v>1654</v>
      </c>
      <c r="F1427" s="8" t="str">
        <f>IFERROR(__xludf.DUMMYFUNCTION("GOOGLETRANSLATE(D1427,""zh-CN"",""vi"")"),"xe ba bánh tráng miệng")</f>
        <v>xe ba bánh tráng miệng</v>
      </c>
      <c r="G1427" s="8" t="str">
        <f>IFERROR(__xludf.DUMMYFUNCTION("GOOGLETRANSLATE(E1427,""zh-CN"",""vi"")"),"Không sợ mưa, không sợ cán bộ quản lý thành phố~ Kết hợp cả hai để có một xe bán đồ ăn bốn bánh.")</f>
        <v>Không sợ mưa, không sợ cán bộ quản lý thành phố~ Kết hợp cả hai để có một xe bán đồ ăn bốn bánh.</v>
      </c>
      <c r="H1427" s="8"/>
      <c r="I1427" s="8"/>
      <c r="J1427" s="8"/>
    </row>
    <row r="1428" ht="21.0" customHeight="1">
      <c r="A1428" s="6">
        <v>10.0</v>
      </c>
      <c r="B1428" s="6">
        <v>1013.0</v>
      </c>
      <c r="C1428" s="6">
        <v>10.0</v>
      </c>
      <c r="D1428" s="9" t="s">
        <v>1655</v>
      </c>
      <c r="E1428" s="9" t="s">
        <v>1656</v>
      </c>
      <c r="F1428" s="8" t="str">
        <f>IFERROR(__xludf.DUMMYFUNCTION("GOOGLETRANSLATE(D1428,""zh-CN"",""vi"")"),"Xe đẩy bán đồ ăn vặt bốn bánh")</f>
        <v>Xe đẩy bán đồ ăn vặt bốn bánh</v>
      </c>
      <c r="G1428" s="8" t="str">
        <f>IFERROR(__xludf.DUMMYFUNCTION("GOOGLETRANSLATE(E1428,""zh-CN"",""vi"")"),"Nơi đây có cả khu vực ăn uống và nghỉ ngơi, rất phù hợp cho giới chuyên nghiệp. Nó đã được nâng cấp lên mức cao nhất.")</f>
        <v>Nơi đây có cả khu vực ăn uống và nghỉ ngơi, rất phù hợp cho giới chuyên nghiệp. Nó đã được nâng cấp lên mức cao nhất.</v>
      </c>
      <c r="H1428" s="8"/>
      <c r="I1428" s="8"/>
      <c r="J1428" s="8"/>
    </row>
    <row r="1429" ht="21.0" customHeight="1">
      <c r="A1429" s="6">
        <v>1.0</v>
      </c>
      <c r="B1429" s="6">
        <v>122.0</v>
      </c>
      <c r="C1429" s="6">
        <v>1.0</v>
      </c>
      <c r="D1429" s="9" t="s">
        <v>1657</v>
      </c>
      <c r="E1429" s="9" t="s">
        <v>1658</v>
      </c>
      <c r="F1429" s="8" t="str">
        <f>IFERROR(__xludf.DUMMYFUNCTION("GOOGLETRANSLATE(D1429,""zh-CN"",""vi"")"),"Một lát bánh mì")</f>
        <v>Một lát bánh mì</v>
      </c>
      <c r="G1429" s="8" t="str">
        <f>IFERROR(__xludf.DUMMYFUNCTION("GOOGLETRANSLATE(E1429,""zh-CN"",""vi"")"),"Một lát bánh mì đơn giản. Hãy biến tấu nó để làm bánh macaron.")</f>
        <v>Một lát bánh mì đơn giản. Hãy biến tấu nó để làm bánh macaron.</v>
      </c>
      <c r="H1429" s="8"/>
      <c r="I1429" s="8"/>
      <c r="J1429" s="8"/>
    </row>
    <row r="1430" ht="21.0" customHeight="1">
      <c r="A1430" s="6">
        <v>1.0</v>
      </c>
      <c r="B1430" s="6">
        <v>122.0</v>
      </c>
      <c r="C1430" s="6">
        <v>2.0</v>
      </c>
      <c r="D1430" s="9" t="s">
        <v>1659</v>
      </c>
      <c r="E1430" s="9" t="s">
        <v>1660</v>
      </c>
      <c r="F1430" s="8" t="str">
        <f>IFERROR(__xludf.DUMMYFUNCTION("GOOGLETRANSLATE(D1430,""zh-CN"",""vi"")"),"Bánh Macaron")</f>
        <v>Bánh Macaron</v>
      </c>
      <c r="G1430" s="8" t="str">
        <f>IFERROR(__xludf.DUMMYFUNCTION("GOOGLETRANSLATE(E1430,""zh-CN"",""vi"")"),"Hai chiếc bánh macaron kiểu Pháp. Kết hợp chúng lại để tạo thành một chiếc bánh donut.")</f>
        <v>Hai chiếc bánh macaron kiểu Pháp. Kết hợp chúng lại để tạo thành một chiếc bánh donut.</v>
      </c>
      <c r="H1430" s="8"/>
      <c r="I1430" s="8"/>
      <c r="J1430" s="8"/>
    </row>
    <row r="1431" ht="21.0" customHeight="1">
      <c r="A1431" s="6">
        <v>1.0</v>
      </c>
      <c r="B1431" s="6">
        <v>122.0</v>
      </c>
      <c r="C1431" s="6">
        <v>3.0</v>
      </c>
      <c r="D1431" s="9" t="s">
        <v>1661</v>
      </c>
      <c r="E1431" s="9" t="s">
        <v>1662</v>
      </c>
      <c r="F1431" s="8" t="str">
        <f>IFERROR(__xludf.DUMMYFUNCTION("GOOGLETRANSLATE(D1431,""zh-CN"",""vi"")"),"Bánh rán")</f>
        <v>Bánh rán</v>
      </c>
      <c r="G1431" s="8" t="str">
        <f>IFERROR(__xludf.DUMMYFUNCTION("GOOGLETRANSLATE(E1431,""zh-CN"",""vi"")"),"Những chiếc bánh rán hấp dẫn. Kết hợp chúng lại để làm bánh kem.")</f>
        <v>Những chiếc bánh rán hấp dẫn. Kết hợp chúng lại để làm bánh kem.</v>
      </c>
      <c r="H1431" s="8"/>
      <c r="I1431" s="8"/>
      <c r="J1431" s="8"/>
    </row>
    <row r="1432" ht="21.0" customHeight="1">
      <c r="A1432" s="6">
        <v>1.0</v>
      </c>
      <c r="B1432" s="6">
        <v>122.0</v>
      </c>
      <c r="C1432" s="6">
        <v>4.0</v>
      </c>
      <c r="D1432" s="9" t="s">
        <v>1663</v>
      </c>
      <c r="E1432" s="9" t="s">
        <v>1664</v>
      </c>
      <c r="F1432" s="8" t="str">
        <f>IFERROR(__xludf.DUMMYFUNCTION("GOOGLETRANSLATE(D1432,""zh-CN"",""vi"")"),"Bánh kem")</f>
        <v>Bánh kem</v>
      </c>
      <c r="G1432" s="8" t="str">
        <f>IFERROR(__xludf.DUMMYFUNCTION("GOOGLETRANSLATE(E1432,""zh-CN"",""vi"")"),"Một lớp kem bóng mượt đầy quyến rũ. Khi được kết hợp lại, nó tạo ra những chiếc bánh dâu tây nhỏ xinh.")</f>
        <v>Một lớp kem bóng mượt đầy quyến rũ. Khi được kết hợp lại, nó tạo ra những chiếc bánh dâu tây nhỏ xinh.</v>
      </c>
      <c r="H1432" s="8"/>
      <c r="I1432" s="8"/>
      <c r="J1432" s="8"/>
    </row>
    <row r="1433" ht="21.0" customHeight="1">
      <c r="A1433" s="6">
        <v>1.0</v>
      </c>
      <c r="B1433" s="6">
        <v>122.0</v>
      </c>
      <c r="C1433" s="6">
        <v>5.0</v>
      </c>
      <c r="D1433" s="9" t="s">
        <v>1665</v>
      </c>
      <c r="E1433" s="9" t="s">
        <v>1666</v>
      </c>
      <c r="F1433" s="8" t="str">
        <f>IFERROR(__xludf.DUMMYFUNCTION("GOOGLETRANSLATE(D1433,""zh-CN"",""vi"")"),"bánh kem dâu tây mini")</f>
        <v>bánh kem dâu tây mini</v>
      </c>
      <c r="G1433" s="8" t="str">
        <f>IFERROR(__xludf.DUMMYFUNCTION("GOOGLETRANSLATE(E1433,""zh-CN"",""vi"")"),"Một chiếc bánh dâu tây đơn giản. Sau khi làm xong, bạn sẽ có một cuộn bánh dâu tây.")</f>
        <v>Một chiếc bánh dâu tây đơn giản. Sau khi làm xong, bạn sẽ có một cuộn bánh dâu tây.</v>
      </c>
      <c r="H1433" s="8"/>
      <c r="I1433" s="8"/>
      <c r="J1433" s="8"/>
    </row>
    <row r="1434" ht="21.0" customHeight="1">
      <c r="A1434" s="6">
        <v>1.0</v>
      </c>
      <c r="B1434" s="6">
        <v>122.0</v>
      </c>
      <c r="C1434" s="6">
        <v>6.0</v>
      </c>
      <c r="D1434" s="9" t="s">
        <v>1667</v>
      </c>
      <c r="E1434" s="9" t="s">
        <v>1668</v>
      </c>
      <c r="F1434" s="8" t="str">
        <f>IFERROR(__xludf.DUMMYFUNCTION("GOOGLETRANSLATE(D1434,""zh-CN"",""vi"")"),"Bánh cuộn dâu tây")</f>
        <v>Bánh cuộn dâu tây</v>
      </c>
      <c r="G1434" s="8" t="str">
        <f>IFERROR(__xludf.DUMMYFUNCTION("GOOGLETRANSLATE(E1434,""zh-CN"",""vi"")"),"Dâu tây, kem tươi và bánh mì cuộn. Kết hợp chúng lại để tạo thành những miếng bánh dâu tây.")</f>
        <v>Dâu tây, kem tươi và bánh mì cuộn. Kết hợp chúng lại để tạo thành những miếng bánh dâu tây.</v>
      </c>
      <c r="H1434" s="8"/>
      <c r="I1434" s="8"/>
      <c r="J1434" s="8"/>
    </row>
    <row r="1435" ht="21.0" customHeight="1">
      <c r="A1435" s="6">
        <v>1.0</v>
      </c>
      <c r="B1435" s="6">
        <v>122.0</v>
      </c>
      <c r="C1435" s="6">
        <v>7.0</v>
      </c>
      <c r="D1435" s="9" t="s">
        <v>1669</v>
      </c>
      <c r="E1435" s="9" t="s">
        <v>1670</v>
      </c>
      <c r="F1435" s="8" t="str">
        <f>IFERROR(__xludf.DUMMYFUNCTION("GOOGLETRANSLATE(D1435,""zh-CN"",""vi"")"),"những miếng bánh dâu tây")</f>
        <v>những miếng bánh dâu tây</v>
      </c>
      <c r="G1435" s="8" t="str">
        <f>IFERROR(__xludf.DUMMYFUNCTION("GOOGLETRANSLATE(E1435,""zh-CN"",""vi"")"),"Một lát bánh dâu tây. Kết hợp chúng lại để tạo thành bánh mì kẹp dâu tây.")</f>
        <v>Một lát bánh dâu tây. Kết hợp chúng lại để tạo thành bánh mì kẹp dâu tây.</v>
      </c>
      <c r="H1435" s="8"/>
      <c r="I1435" s="8"/>
      <c r="J1435" s="8"/>
    </row>
    <row r="1436" ht="21.0" customHeight="1">
      <c r="A1436" s="6">
        <v>1.0</v>
      </c>
      <c r="B1436" s="6">
        <v>122.0</v>
      </c>
      <c r="C1436" s="6">
        <v>8.0</v>
      </c>
      <c r="D1436" s="9" t="s">
        <v>1671</v>
      </c>
      <c r="E1436" s="9" t="s">
        <v>1672</v>
      </c>
      <c r="F1436" s="8" t="str">
        <f>IFERROR(__xludf.DUMMYFUNCTION("GOOGLETRANSLATE(D1436,""zh-CN"",""vi"")"),"Bánh sandwich dâu tây")</f>
        <v>Bánh sandwich dâu tây</v>
      </c>
      <c r="G1436" s="8" t="str">
        <f>IFERROR(__xludf.DUMMYFUNCTION("GOOGLETRANSLATE(E1436,""zh-CN"",""vi"")"),"Một chiếc bánh sandwich làm từ dâu tây và việt quất. Tự tay làm những nguyên liệu này sẽ tạo ra một chiếc bánh sandwich hảo hạng.")</f>
        <v>Một chiếc bánh sandwich làm từ dâu tây và việt quất. Tự tay làm những nguyên liệu này sẽ tạo ra một chiếc bánh sandwich hảo hạng.</v>
      </c>
      <c r="H1436" s="8"/>
      <c r="I1436" s="8"/>
      <c r="J1436" s="8"/>
    </row>
    <row r="1437" ht="21.0" customHeight="1">
      <c r="A1437" s="6">
        <v>1.0</v>
      </c>
      <c r="B1437" s="6">
        <v>122.0</v>
      </c>
      <c r="C1437" s="6">
        <v>9.0</v>
      </c>
      <c r="D1437" s="9" t="s">
        <v>1673</v>
      </c>
      <c r="E1437" s="9" t="s">
        <v>1674</v>
      </c>
      <c r="F1437" s="8" t="str">
        <f>IFERROR(__xludf.DUMMYFUNCTION("GOOGLETRANSLATE(D1437,""zh-CN"",""vi"")"),"Bánh mì kẹp đặc biệt")</f>
        <v>Bánh mì kẹp đặc biệt</v>
      </c>
      <c r="G1437" s="8" t="str">
        <f>IFERROR(__xludf.DUMMYFUNCTION("GOOGLETRANSLATE(E1437,""zh-CN"",""vi"")"),"Một chiếc bánh sandwich sang trọng với nhiều nguyên liệu. Kết hợp chúng để tạo thành một chiếc bánh sinh nhật.")</f>
        <v>Một chiếc bánh sandwich sang trọng với nhiều nguyên liệu. Kết hợp chúng để tạo thành một chiếc bánh sinh nhật.</v>
      </c>
      <c r="H1437" s="8"/>
      <c r="I1437" s="8"/>
      <c r="J1437" s="8"/>
    </row>
    <row r="1438" ht="21.0" customHeight="1">
      <c r="A1438" s="6">
        <v>1.0</v>
      </c>
      <c r="B1438" s="6">
        <v>122.0</v>
      </c>
      <c r="C1438" s="6">
        <v>10.0</v>
      </c>
      <c r="D1438" s="9" t="s">
        <v>1675</v>
      </c>
      <c r="E1438" s="9" t="s">
        <v>1676</v>
      </c>
      <c r="F1438" s="8" t="str">
        <f>IFERROR(__xludf.DUMMYFUNCTION("GOOGLETRANSLATE(D1438,""zh-CN"",""vi"")"),"bánh sinh nhật")</f>
        <v>bánh sinh nhật</v>
      </c>
      <c r="G1438" s="8" t="str">
        <f>IFERROR(__xludf.DUMMYFUNCTION("GOOGLETRANSLATE(E1438,""zh-CN"",""vi"")"),"Một chiếc bánh sinh nhật bị thiếu một miếng. Nó đã được tổng hợp ở mức độ cao nhất.")</f>
        <v>Một chiếc bánh sinh nhật bị thiếu một miếng. Nó đã được tổng hợp ở mức độ cao nhất.</v>
      </c>
      <c r="H1438" s="8"/>
      <c r="I1438" s="8"/>
      <c r="J1438" s="8"/>
    </row>
    <row r="1439" ht="21.0" customHeight="1">
      <c r="A1439" s="6">
        <v>1.0</v>
      </c>
      <c r="B1439" s="6">
        <v>129.0</v>
      </c>
      <c r="C1439" s="6">
        <v>1.0</v>
      </c>
      <c r="D1439" s="9" t="s">
        <v>1677</v>
      </c>
      <c r="E1439" s="9" t="s">
        <v>1678</v>
      </c>
      <c r="F1439" s="8" t="str">
        <f>IFERROR(__xludf.DUMMYFUNCTION("GOOGLETRANSLATE(D1439,""zh-CN"",""vi"")"),"Kẹo")</f>
        <v>Kẹo</v>
      </c>
      <c r="G1439" s="8" t="str">
        <f>IFERROR(__xludf.DUMMYFUNCTION("GOOGLETRANSLATE(E1439,""zh-CN"",""vi"")"),"Một số loại kẹo nhiều màu sắc. Kết hợp chúng lại để thu được đường.")</f>
        <v>Một số loại kẹo nhiều màu sắc. Kết hợp chúng lại để thu được đường.</v>
      </c>
      <c r="H1439" s="8"/>
      <c r="I1439" s="8"/>
      <c r="J1439" s="8"/>
    </row>
    <row r="1440" ht="21.0" customHeight="1">
      <c r="A1440" s="6">
        <v>1.0</v>
      </c>
      <c r="B1440" s="6">
        <v>129.0</v>
      </c>
      <c r="C1440" s="6">
        <v>2.0</v>
      </c>
      <c r="D1440" s="9" t="s">
        <v>1679</v>
      </c>
      <c r="E1440" s="9" t="s">
        <v>1680</v>
      </c>
      <c r="F1440" s="8" t="str">
        <f>IFERROR(__xludf.DUMMYFUNCTION("GOOGLETRANSLATE(D1440,""zh-CN"",""vi"")"),"đường")</f>
        <v>đường</v>
      </c>
      <c r="G1440" s="8" t="str">
        <f>IFERROR(__xludf.DUMMYFUNCTION("GOOGLETRANSLATE(E1440,""zh-CN"",""vi"")"),"Một viên kẹo màu hồng và trắng. Có thể kết hợp chúng để tạo thành kẹo.")</f>
        <v>Một viên kẹo màu hồng và trắng. Có thể kết hợp chúng để tạo thành kẹo.</v>
      </c>
      <c r="H1440" s="8"/>
      <c r="I1440" s="8"/>
      <c r="J1440" s="8"/>
    </row>
    <row r="1441" ht="21.0" customHeight="1">
      <c r="A1441" s="6">
        <v>1.0</v>
      </c>
      <c r="B1441" s="6">
        <v>129.0</v>
      </c>
      <c r="C1441" s="6">
        <v>3.0</v>
      </c>
      <c r="D1441" s="9" t="s">
        <v>1681</v>
      </c>
      <c r="E1441" s="9" t="s">
        <v>1682</v>
      </c>
      <c r="F1441" s="8" t="str">
        <f>IFERROR(__xludf.DUMMYFUNCTION("GOOGLETRANSLATE(D1441,""zh-CN"",""vi"")"),"kẹo")</f>
        <v>kẹo</v>
      </c>
      <c r="G1441" s="8" t="str">
        <f>IFERROR(__xludf.DUMMYFUNCTION("GOOGLETRANSLATE(E1441,""zh-CN"",""vi"")"),"Một loại kẹo được phủ đường. Quá trình chế biến sẽ tạo ra kẹo dừa.")</f>
        <v>Một loại kẹo được phủ đường. Quá trình chế biến sẽ tạo ra kẹo dừa.</v>
      </c>
      <c r="H1441" s="8"/>
      <c r="I1441" s="8"/>
      <c r="J1441" s="8"/>
    </row>
    <row r="1442" ht="21.0" customHeight="1">
      <c r="A1442" s="6">
        <v>1.0</v>
      </c>
      <c r="B1442" s="6">
        <v>129.0</v>
      </c>
      <c r="C1442" s="6">
        <v>4.0</v>
      </c>
      <c r="D1442" s="9" t="s">
        <v>1683</v>
      </c>
      <c r="E1442" s="9" t="s">
        <v>1684</v>
      </c>
      <c r="F1442" s="8" t="str">
        <f>IFERROR(__xludf.DUMMYFUNCTION("GOOGLETRANSLATE(D1442,""zh-CN"",""vi"")"),"Kẹo dừa")</f>
        <v>Kẹo dừa</v>
      </c>
      <c r="G1442" s="8" t="str">
        <f>IFERROR(__xludf.DUMMYFUNCTION("GOOGLETRANSLATE(E1442,""zh-CN"",""vi"")"),"Bạn có thể ngửi thấy mùi dừa nồng nàn ngay cả khi lớp đường phủ bên ngoài vẫn còn. Làm theo cách này sẽ cho ra những chiếc kẹo mút.")</f>
        <v>Bạn có thể ngửi thấy mùi dừa nồng nàn ngay cả khi lớp đường phủ bên ngoài vẫn còn. Làm theo cách này sẽ cho ra những chiếc kẹo mút.</v>
      </c>
      <c r="H1442" s="8"/>
      <c r="I1442" s="8"/>
      <c r="J1442" s="8"/>
    </row>
    <row r="1443" ht="21.0" customHeight="1">
      <c r="A1443" s="6">
        <v>1.0</v>
      </c>
      <c r="B1443" s="6">
        <v>129.0</v>
      </c>
      <c r="C1443" s="6">
        <v>5.0</v>
      </c>
      <c r="D1443" s="9" t="s">
        <v>1685</v>
      </c>
      <c r="E1443" s="9" t="s">
        <v>1686</v>
      </c>
      <c r="F1443" s="8" t="str">
        <f>IFERROR(__xludf.DUMMYFUNCTION("GOOGLETRANSLATE(D1443,""zh-CN"",""vi"")"),"Kẹo mút")</f>
        <v>Kẹo mút</v>
      </c>
      <c r="G1443" s="8" t="str">
        <f>IFERROR(__xludf.DUMMYFUNCTION("GOOGLETRANSLATE(E1443,""zh-CN"",""vi"")"),"Một sự cám dỗ mà trẻ em khó lòng cưỡng lại. Làm theo hướng dẫn này sẽ tạo ra những chiếc kẹo mút hình cầu.")</f>
        <v>Một sự cám dỗ mà trẻ em khó lòng cưỡng lại. Làm theo hướng dẫn này sẽ tạo ra những chiếc kẹo mút hình cầu.</v>
      </c>
      <c r="H1443" s="8"/>
      <c r="I1443" s="8"/>
      <c r="J1443" s="8"/>
    </row>
    <row r="1444" ht="21.0" customHeight="1">
      <c r="A1444" s="6">
        <v>1.0</v>
      </c>
      <c r="B1444" s="6">
        <v>129.0</v>
      </c>
      <c r="C1444" s="6">
        <v>6.0</v>
      </c>
      <c r="D1444" s="9" t="s">
        <v>1687</v>
      </c>
      <c r="E1444" s="9" t="s">
        <v>1688</v>
      </c>
      <c r="F1444" s="8" t="str">
        <f>IFERROR(__xludf.DUMMYFUNCTION("GOOGLETRANSLATE(D1444,""zh-CN"",""vi"")"),"Kẹo mút hình cầu")</f>
        <v>Kẹo mút hình cầu</v>
      </c>
      <c r="G1444" s="8" t="str">
        <f>IFERROR(__xludf.DUMMYFUNCTION("GOOGLETRANSLATE(E1444,""zh-CN"",""vi"")"),"Một bông hoa nở trên đầu chiếc kẹo mút. Hãy kết hợp chúng lại để tạo thành một chiếc kẹo mút khổng lồ.")</f>
        <v>Một bông hoa nở trên đầu chiếc kẹo mút. Hãy kết hợp chúng lại để tạo thành một chiếc kẹo mút khổng lồ.</v>
      </c>
      <c r="H1444" s="8"/>
      <c r="I1444" s="8"/>
      <c r="J1444" s="8"/>
    </row>
    <row r="1445" ht="21.0" customHeight="1">
      <c r="A1445" s="6">
        <v>1.0</v>
      </c>
      <c r="B1445" s="6">
        <v>129.0</v>
      </c>
      <c r="C1445" s="6">
        <v>7.0</v>
      </c>
      <c r="D1445" s="9" t="s">
        <v>1689</v>
      </c>
      <c r="E1445" s="9" t="s">
        <v>1690</v>
      </c>
      <c r="F1445" s="8" t="str">
        <f>IFERROR(__xludf.DUMMYFUNCTION("GOOGLETRANSLATE(D1445,""zh-CN"",""vi"")"),"Kẹo mút lớn")</f>
        <v>Kẹo mút lớn</v>
      </c>
      <c r="G1445" s="8" t="str">
        <f>IFERROR(__xludf.DUMMYFUNCTION("GOOGLETRANSLATE(E1445,""zh-CN"",""vi"")"),"Một chiếc kẹo mút khổng lồ. Hãy chế tạo nó để có được một chiếc kẹo mút hình ngôi sao.")</f>
        <v>Một chiếc kẹo mút khổng lồ. Hãy chế tạo nó để có được một chiếc kẹo mút hình ngôi sao.</v>
      </c>
      <c r="H1445" s="8"/>
      <c r="I1445" s="8"/>
      <c r="J1445" s="8"/>
    </row>
    <row r="1446" ht="21.0" customHeight="1">
      <c r="A1446" s="6">
        <v>1.0</v>
      </c>
      <c r="B1446" s="6">
        <v>129.0</v>
      </c>
      <c r="C1446" s="6">
        <v>8.0</v>
      </c>
      <c r="D1446" s="9" t="s">
        <v>1691</v>
      </c>
      <c r="E1446" s="9" t="s">
        <v>1692</v>
      </c>
      <c r="F1446" s="8" t="str">
        <f>IFERROR(__xludf.DUMMYFUNCTION("GOOGLETRANSLATE(D1446,""zh-CN"",""vi"")"),"Kẹo mút hình ngôi sao")</f>
        <v>Kẹo mút hình ngôi sao</v>
      </c>
      <c r="G1446" s="8" t="str">
        <f>IFERROR(__xludf.DUMMYFUNCTION("GOOGLETRANSLATE(E1446,""zh-CN"",""vi"")"),"Nó không sáng lấp lánh như những vì sao, nhưng lại ngọt ngào hơn cả những vì sao. Hãy kết hợp chúng để tạo thành một món quà kẹo mút.")</f>
        <v>Nó không sáng lấp lánh như những vì sao, nhưng lại ngọt ngào hơn cả những vì sao. Hãy kết hợp chúng để tạo thành một món quà kẹo mút.</v>
      </c>
      <c r="H1446" s="8"/>
      <c r="I1446" s="8"/>
      <c r="J1446" s="8"/>
    </row>
    <row r="1447" ht="21.0" customHeight="1">
      <c r="A1447" s="6">
        <v>1.0</v>
      </c>
      <c r="B1447" s="6">
        <v>129.0</v>
      </c>
      <c r="C1447" s="6">
        <v>9.0</v>
      </c>
      <c r="D1447" s="9" t="s">
        <v>1693</v>
      </c>
      <c r="E1447" s="9" t="s">
        <v>1694</v>
      </c>
      <c r="F1447" s="8" t="str">
        <f>IFERROR(__xludf.DUMMYFUNCTION("GOOGLETRANSLATE(D1447,""zh-CN"",""vi"")"),"Quà tặng kẹo mút")</f>
        <v>Quà tặng kẹo mút</v>
      </c>
      <c r="G1447" s="8" t="str">
        <f>IFERROR(__xludf.DUMMYFUNCTION("GOOGLETRANSLATE(E1447,""zh-CN"",""vi"")"),"Tiểu Mai nhận được một cây kẹo mút làm quà. Ghép chúng lại để được một chú gấu kẹo.")</f>
        <v>Tiểu Mai nhận được một cây kẹo mút làm quà. Ghép chúng lại để được một chú gấu kẹo.</v>
      </c>
      <c r="H1447" s="8"/>
      <c r="I1447" s="8"/>
      <c r="J1447" s="8"/>
    </row>
    <row r="1448" ht="21.0" customHeight="1">
      <c r="A1448" s="6">
        <v>1.0</v>
      </c>
      <c r="B1448" s="6">
        <v>129.0</v>
      </c>
      <c r="C1448" s="6">
        <v>10.0</v>
      </c>
      <c r="D1448" s="9" t="s">
        <v>1695</v>
      </c>
      <c r="E1448" s="9" t="s">
        <v>1696</v>
      </c>
      <c r="F1448" s="8" t="str">
        <f>IFERROR(__xludf.DUMMYFUNCTION("GOOGLETRANSLATE(D1448,""zh-CN"",""vi"")"),"Gấu Đường")</f>
        <v>Gấu Đường</v>
      </c>
      <c r="G1448" s="8" t="str">
        <f>IFERROR(__xludf.DUMMYFUNCTION("GOOGLETRANSLATE(E1448,""zh-CN"",""vi"")"),"Màu hồng, mềm mại và ngọt ngào. Được nâng cấp lên cấp độ cao nhất.")</f>
        <v>Màu hồng, mềm mại và ngọt ngào. Được nâng cấp lên cấp độ cao nhất.</v>
      </c>
      <c r="H1448" s="8"/>
      <c r="I1448" s="8"/>
      <c r="J1448" s="8"/>
    </row>
    <row r="1449" ht="21.0" customHeight="1">
      <c r="A1449" s="6">
        <v>11.0</v>
      </c>
      <c r="B1449" s="6">
        <v>1014.0</v>
      </c>
      <c r="C1449" s="6">
        <v>1.0</v>
      </c>
      <c r="D1449" s="9" t="s">
        <v>1697</v>
      </c>
      <c r="E1449" s="9" t="s">
        <v>1698</v>
      </c>
      <c r="F1449" s="8" t="str">
        <f>IFERROR(__xludf.DUMMYFUNCTION("GOOGLETRANSLATE(D1449,""zh-CN"",""vi"")"),"nĩa nướng BBQ")</f>
        <v>nĩa nướng BBQ</v>
      </c>
      <c r="G1449" s="8" t="str">
        <f>IFERROR(__xludf.DUMMYFUNCTION("GOOGLETRANSLATE(E1449,""zh-CN"",""vi"")"),"Nĩa nướng thịt. Chế tạo nó đến cấp độ 5 sẽ cho ra sản phẩm chính.")</f>
        <v>Nĩa nướng thịt. Chế tạo nó đến cấp độ 5 sẽ cho ra sản phẩm chính.</v>
      </c>
      <c r="H1449" s="8"/>
      <c r="I1449" s="8"/>
      <c r="J1449" s="8"/>
    </row>
    <row r="1450" ht="21.0" customHeight="1">
      <c r="A1450" s="6">
        <v>11.0</v>
      </c>
      <c r="B1450" s="6">
        <v>1014.0</v>
      </c>
      <c r="C1450" s="6">
        <v>2.0</v>
      </c>
      <c r="D1450" s="9" t="s">
        <v>1699</v>
      </c>
      <c r="E1450" s="9" t="s">
        <v>1700</v>
      </c>
      <c r="F1450" s="8" t="str">
        <f>IFERROR(__xludf.DUMMYFUNCTION("GOOGLETRANSLATE(D1450,""zh-CN"",""vi"")"),"vỉ nướng cá")</f>
        <v>vỉ nướng cá</v>
      </c>
      <c r="G1450" s="8" t="str">
        <f>IFERROR(__xludf.DUMMYFUNCTION("GOOGLETRANSLATE(E1450,""zh-CN"",""vi"")"),"Khung thép dùng để nướng cá. Chế tạo nó đến cấp độ 5 sẽ thu được sản phẩm chính.")</f>
        <v>Khung thép dùng để nướng cá. Chế tạo nó đến cấp độ 5 sẽ thu được sản phẩm chính.</v>
      </c>
      <c r="H1450" s="8"/>
      <c r="I1450" s="8"/>
      <c r="J1450" s="8"/>
    </row>
    <row r="1451" ht="21.0" customHeight="1">
      <c r="A1451" s="6">
        <v>11.0</v>
      </c>
      <c r="B1451" s="6">
        <v>1014.0</v>
      </c>
      <c r="C1451" s="6">
        <v>3.0</v>
      </c>
      <c r="D1451" s="9" t="s">
        <v>1701</v>
      </c>
      <c r="E1451" s="9" t="s">
        <v>1702</v>
      </c>
      <c r="F1451" s="8" t="str">
        <f>IFERROR(__xludf.DUMMYFUNCTION("GOOGLETRANSLATE(D1451,""zh-CN"",""vi"")"),"Bếp dã ngoại")</f>
        <v>Bếp dã ngoại</v>
      </c>
      <c r="G1451" s="8" t="str">
        <f>IFERROR(__xludf.DUMMYFUNCTION("GOOGLETRANSLATE(E1451,""zh-CN"",""vi"")"),"Một chiếc bếp dã ngoại đơn giản. Chế tạo nó đến cấp độ 5 sẽ cho ra một cây trồng chính.")</f>
        <v>Một chiếc bếp dã ngoại đơn giản. Chế tạo nó đến cấp độ 5 sẽ cho ra một cây trồng chính.</v>
      </c>
      <c r="H1451" s="8"/>
      <c r="I1451" s="8"/>
      <c r="J1451" s="8"/>
    </row>
    <row r="1452" ht="21.0" customHeight="1">
      <c r="A1452" s="6">
        <v>11.0</v>
      </c>
      <c r="B1452" s="6">
        <v>1014.0</v>
      </c>
      <c r="C1452" s="6">
        <v>4.0</v>
      </c>
      <c r="D1452" s="9" t="s">
        <v>1703</v>
      </c>
      <c r="E1452" s="9" t="s">
        <v>1704</v>
      </c>
      <c r="F1452" s="8" t="str">
        <f>IFERROR(__xludf.DUMMYFUNCTION("GOOGLETRANSLATE(D1452,""zh-CN"",""vi"")"),"Lửa trại dã ngoại nhộn nhịp")</f>
        <v>Lửa trại dã ngoại nhộn nhịp</v>
      </c>
      <c r="G1452" s="8" t="str">
        <f>IFERROR(__xludf.DUMMYFUNCTION("GOOGLETRANSLATE(E1452,""zh-CN"",""vi"")"),"Một bếp dã ngoại với ngọn lửa đang cháy. Nâng cấp nó lên cấp độ 5 sẽ tạo ra một cây trồng chính.")</f>
        <v>Một bếp dã ngoại với ngọn lửa đang cháy. Nâng cấp nó lên cấp độ 5 sẽ tạo ra một cây trồng chính.</v>
      </c>
      <c r="H1452" s="8"/>
      <c r="I1452" s="8"/>
      <c r="J1452" s="8"/>
    </row>
    <row r="1453" ht="21.0" customHeight="1">
      <c r="A1453" s="6">
        <v>10.0</v>
      </c>
      <c r="B1453" s="6">
        <v>1014.0</v>
      </c>
      <c r="C1453" s="6">
        <v>5.0</v>
      </c>
      <c r="D1453" s="9" t="s">
        <v>1705</v>
      </c>
      <c r="E1453" s="9" t="s">
        <v>1706</v>
      </c>
      <c r="F1453" s="8" t="str">
        <f>IFERROR(__xludf.DUMMYFUNCTION("GOOGLETRANSLATE(D1453,""zh-CN"",""vi"")"),"Nướng")</f>
        <v>Nướng</v>
      </c>
      <c r="G1453" s="8" t="str">
        <f>IFERROR(__xludf.DUMMYFUNCTION("GOOGLETRANSLATE(E1453,""zh-CN"",""vi"")"),"Nó tỏa ra mùi thơm đậm đà, nồng nàn. Việc tổng hợp nó sẽ tạo ra một giống cây bố mẹ chất lượng cao hơn.")</f>
        <v>Nó tỏa ra mùi thơm đậm đà, nồng nàn. Việc tổng hợp nó sẽ tạo ra một giống cây bố mẹ chất lượng cao hơn.</v>
      </c>
      <c r="H1453" s="8"/>
      <c r="I1453" s="8"/>
      <c r="J1453" s="8"/>
    </row>
    <row r="1454" ht="21.0" customHeight="1">
      <c r="A1454" s="6">
        <v>10.0</v>
      </c>
      <c r="B1454" s="6">
        <v>1014.0</v>
      </c>
      <c r="C1454" s="6">
        <v>6.0</v>
      </c>
      <c r="D1454" s="9" t="s">
        <v>1707</v>
      </c>
      <c r="E1454" s="9" t="s">
        <v>1708</v>
      </c>
      <c r="F1454" s="8" t="str">
        <f>IFERROR(__xludf.DUMMYFUNCTION("GOOGLETRANSLATE(D1454,""zh-CN"",""vi"")"),"Lò nướng BBQ đơn giản")</f>
        <v>Lò nướng BBQ đơn giản</v>
      </c>
      <c r="G1454" s="8" t="str">
        <f>IFERROR(__xludf.DUMMYFUNCTION("GOOGLETRANSLATE(E1454,""zh-CN"",""vi"")"),"Một giá xiên đơn giản. Chế tạo nó sẽ thu được các loại cây trồng cấp cao hơn.")</f>
        <v>Một giá xiên đơn giản. Chế tạo nó sẽ thu được các loại cây trồng cấp cao hơn.</v>
      </c>
      <c r="H1454" s="8"/>
      <c r="I1454" s="8"/>
      <c r="J1454" s="8"/>
    </row>
    <row r="1455" ht="21.0" customHeight="1">
      <c r="A1455" s="6">
        <v>10.0</v>
      </c>
      <c r="B1455" s="6">
        <v>1014.0</v>
      </c>
      <c r="C1455" s="6">
        <v>7.0</v>
      </c>
      <c r="D1455" s="9" t="s">
        <v>1709</v>
      </c>
      <c r="E1455" s="9" t="s">
        <v>1710</v>
      </c>
      <c r="F1455" s="8" t="str">
        <f>IFERROR(__xludf.DUMMYFUNCTION("GOOGLETRANSLATE(D1455,""zh-CN"",""vi"")"),"vỉ nướng BBQ")</f>
        <v>vỉ nướng BBQ</v>
      </c>
      <c r="G1455" s="8" t="str">
        <f>IFERROR(__xludf.DUMMYFUNCTION("GOOGLETRANSLATE(E1455,""zh-CN"",""vi"")"),"Một chiếc vỉ nướng gia dụng. Việc chế tạo nó sẽ tạo ra các loại cây trồng bố mẹ cấp cao hơn.")</f>
        <v>Một chiếc vỉ nướng gia dụng. Việc chế tạo nó sẽ tạo ra các loại cây trồng bố mẹ cấp cao hơn.</v>
      </c>
      <c r="H1455" s="8"/>
      <c r="I1455" s="8"/>
      <c r="J1455" s="8"/>
    </row>
    <row r="1456" ht="21.0" customHeight="1">
      <c r="A1456" s="6">
        <v>10.0</v>
      </c>
      <c r="B1456" s="6">
        <v>1014.0</v>
      </c>
      <c r="C1456" s="6">
        <v>8.0</v>
      </c>
      <c r="D1456" s="9" t="s">
        <v>1711</v>
      </c>
      <c r="E1456" s="9" t="s">
        <v>1712</v>
      </c>
      <c r="F1456" s="8" t="str">
        <f>IFERROR(__xludf.DUMMYFUNCTION("GOOGLETRANSLATE(D1456,""zh-CN"",""vi"")"),"Lò nướng BBQ cao cấp")</f>
        <v>Lò nướng BBQ cao cấp</v>
      </c>
      <c r="G1456" s="8" t="str">
        <f>IFERROR(__xludf.DUMMYFUNCTION("GOOGLETRANSLATE(E1456,""zh-CN"",""vi"")"),"Một chiếc vỉ nướng BBQ sang trọng. Được nâng cấp lên mức cao cấp nhất.")</f>
        <v>Một chiếc vỉ nướng BBQ sang trọng. Được nâng cấp lên mức cao cấp nhất.</v>
      </c>
      <c r="H1456" s="8"/>
      <c r="I1456" s="8"/>
      <c r="J1456" s="8"/>
    </row>
    <row r="1457" ht="21.0" customHeight="1">
      <c r="A1457" s="6">
        <v>1.0</v>
      </c>
      <c r="B1457" s="6">
        <v>123.0</v>
      </c>
      <c r="C1457" s="6">
        <v>1.0</v>
      </c>
      <c r="D1457" s="9" t="s">
        <v>1713</v>
      </c>
      <c r="E1457" s="9" t="s">
        <v>1714</v>
      </c>
      <c r="F1457" s="8" t="str">
        <f>IFERROR(__xludf.DUMMYFUNCTION("GOOGLETRANSLATE(D1457,""zh-CN"",""vi"")"),"Hẹ nướng")</f>
        <v>Hẹ nướng</v>
      </c>
      <c r="G1457" s="8" t="str">
        <f>IFERROR(__xludf.DUMMYFUNCTION("GOOGLETRANSLATE(E1457,""zh-CN"",""vi"")"),"Xiên hẹ. Làm theo cách này sẽ cho ra món gà chay nướng.")</f>
        <v>Xiên hẹ. Làm theo cách này sẽ cho ra món gà chay nướng.</v>
      </c>
      <c r="H1457" s="8"/>
      <c r="I1457" s="8"/>
      <c r="J1457" s="8"/>
    </row>
    <row r="1458" ht="21.0" customHeight="1">
      <c r="A1458" s="6">
        <v>1.0</v>
      </c>
      <c r="B1458" s="6">
        <v>123.0</v>
      </c>
      <c r="C1458" s="6">
        <v>2.0</v>
      </c>
      <c r="D1458" s="9" t="s">
        <v>1715</v>
      </c>
      <c r="E1458" s="9" t="s">
        <v>1716</v>
      </c>
      <c r="F1458" s="8" t="str">
        <f>IFERROR(__xludf.DUMMYFUNCTION("GOOGLETRANSLATE(D1458,""zh-CN"",""vi"")"),"gà chay nướng")</f>
        <v>gà chay nướng</v>
      </c>
      <c r="G1458" s="8" t="str">
        <f>IFERROR(__xludf.DUMMYFUNCTION("GOOGLETRANSLATE(E1458,""zh-CN"",""vi"")"),"Xiên gà chay. Có thể kết hợp các nguyên liệu này để làm xiên nấm.")</f>
        <v>Xiên gà chay. Có thể kết hợp các nguyên liệu này để làm xiên nấm.</v>
      </c>
      <c r="H1458" s="8"/>
      <c r="I1458" s="8"/>
      <c r="J1458" s="8"/>
    </row>
    <row r="1459" ht="21.0" customHeight="1">
      <c r="A1459" s="6">
        <v>1.0</v>
      </c>
      <c r="B1459" s="6">
        <v>123.0</v>
      </c>
      <c r="C1459" s="6">
        <v>3.0</v>
      </c>
      <c r="D1459" s="9" t="s">
        <v>1717</v>
      </c>
      <c r="E1459" s="9" t="s">
        <v>1718</v>
      </c>
      <c r="F1459" s="8" t="str">
        <f>IFERROR(__xludf.DUMMYFUNCTION("GOOGLETRANSLATE(D1459,""zh-CN"",""vi"")"),"Xiên nấm")</f>
        <v>Xiên nấm</v>
      </c>
      <c r="G1459" s="8" t="str">
        <f>IFERROR(__xludf.DUMMYFUNCTION("GOOGLETRANSLATE(E1459,""zh-CN"",""vi"")"),"Xiên nấm shiitake nướng. Kết hợp chúng lại sẽ tạo thành món cuốn thịt nấm enoki.")</f>
        <v>Xiên nấm shiitake nướng. Kết hợp chúng lại sẽ tạo thành món cuốn thịt nấm enoki.</v>
      </c>
      <c r="H1459" s="8"/>
      <c r="I1459" s="8"/>
      <c r="J1459" s="8"/>
    </row>
    <row r="1460" ht="21.0" customHeight="1">
      <c r="A1460" s="6">
        <v>1.0</v>
      </c>
      <c r="B1460" s="6">
        <v>123.0</v>
      </c>
      <c r="C1460" s="6">
        <v>4.0</v>
      </c>
      <c r="D1460" s="9" t="s">
        <v>1719</v>
      </c>
      <c r="E1460" s="9" t="s">
        <v>1720</v>
      </c>
      <c r="F1460" s="8" t="str">
        <f>IFERROR(__xludf.DUMMYFUNCTION("GOOGLETRANSLATE(D1460,""zh-CN"",""vi"")"),"chả thịt nấm kim châm")</f>
        <v>chả thịt nấm kim châm</v>
      </c>
      <c r="G1460" s="8" t="str">
        <f>IFERROR(__xludf.DUMMYFUNCTION("GOOGLETRANSLATE(E1460,""zh-CN"",""vi"")"),"Sự kết hợp giữa nấm kim châm và thịt. Kết hợp các nguyên liệu để tạo thành xiên dưa chuột.")</f>
        <v>Sự kết hợp giữa nấm kim châm và thịt. Kết hợp các nguyên liệu để tạo thành xiên dưa chuột.</v>
      </c>
      <c r="H1460" s="8"/>
      <c r="I1460" s="8"/>
      <c r="J1460" s="8"/>
    </row>
    <row r="1461" ht="21.0" customHeight="1">
      <c r="A1461" s="6">
        <v>1.0</v>
      </c>
      <c r="B1461" s="6">
        <v>123.0</v>
      </c>
      <c r="C1461" s="6">
        <v>5.0</v>
      </c>
      <c r="D1461" s="9" t="s">
        <v>1721</v>
      </c>
      <c r="E1461" s="9" t="s">
        <v>1722</v>
      </c>
      <c r="F1461" s="8" t="str">
        <f>IFERROR(__xludf.DUMMYFUNCTION("GOOGLETRANSLATE(D1461,""zh-CN"",""vi"")"),"Xiên dưa chuột")</f>
        <v>Xiên dưa chuột</v>
      </c>
      <c r="G1461" s="8" t="str">
        <f>IFERROR(__xludf.DUMMYFUNCTION("GOOGLETRANSLATE(E1461,""zh-CN"",""vi"")"),"Sự kết hợp giữa thịt và rau củ. Hãy kết hợp chúng để tạo ra xiên tôm hùm.")</f>
        <v>Sự kết hợp giữa thịt và rau củ. Hãy kết hợp chúng để tạo ra xiên tôm hùm.</v>
      </c>
      <c r="H1461" s="8"/>
      <c r="I1461" s="8"/>
      <c r="J1461" s="8"/>
    </row>
    <row r="1462" ht="21.0" customHeight="1">
      <c r="A1462" s="6">
        <v>1.0</v>
      </c>
      <c r="B1462" s="6">
        <v>123.0</v>
      </c>
      <c r="C1462" s="6">
        <v>6.0</v>
      </c>
      <c r="D1462" s="9" t="s">
        <v>1723</v>
      </c>
      <c r="E1462" s="9" t="s">
        <v>1724</v>
      </c>
      <c r="F1462" s="8" t="str">
        <f>IFERROR(__xludf.DUMMYFUNCTION("GOOGLETRANSLATE(D1462,""zh-CN"",""vi"")"),"Xiên tôm hùm")</f>
        <v>Xiên tôm hùm</v>
      </c>
      <c r="G1462" s="8" t="str">
        <f>IFERROR(__xludf.DUMMYFUNCTION("GOOGLETRANSLATE(E1462,""zh-CN"",""vi"")"),"Xiên tôm hùm không đầu. Khi chế biến chúng sẽ thu được xiên mực.")</f>
        <v>Xiên tôm hùm không đầu. Khi chế biến chúng sẽ thu được xiên mực.</v>
      </c>
      <c r="H1462" s="8"/>
      <c r="I1462" s="8"/>
      <c r="J1462" s="8"/>
    </row>
    <row r="1463" ht="21.0" customHeight="1">
      <c r="A1463" s="6">
        <v>1.0</v>
      </c>
      <c r="B1463" s="6">
        <v>123.0</v>
      </c>
      <c r="C1463" s="6">
        <v>7.0</v>
      </c>
      <c r="D1463" s="9" t="s">
        <v>1725</v>
      </c>
      <c r="E1463" s="9" t="s">
        <v>1726</v>
      </c>
      <c r="F1463" s="8" t="str">
        <f>IFERROR(__xludf.DUMMYFUNCTION("GOOGLETRANSLATE(D1463,""zh-CN"",""vi"")"),"Xiên mực")</f>
        <v>Xiên mực</v>
      </c>
      <c r="G1463" s="8" t="str">
        <f>IFERROR(__xludf.DUMMYFUNCTION("GOOGLETRANSLATE(E1463,""zh-CN"",""vi"")"),"Xiên mực nướng. Chế biến món này sẽ thu được thịt viên.")</f>
        <v>Xiên mực nướng. Chế biến món này sẽ thu được thịt viên.</v>
      </c>
      <c r="H1463" s="8"/>
      <c r="I1463" s="8"/>
      <c r="J1463" s="8"/>
    </row>
    <row r="1464" ht="21.0" customHeight="1">
      <c r="A1464" s="6">
        <v>1.0</v>
      </c>
      <c r="B1464" s="6">
        <v>123.0</v>
      </c>
      <c r="C1464" s="6">
        <v>8.0</v>
      </c>
      <c r="D1464" s="9" t="s">
        <v>1727</v>
      </c>
      <c r="E1464" s="9" t="s">
        <v>1728</v>
      </c>
      <c r="F1464" s="8" t="str">
        <f>IFERROR(__xludf.DUMMYFUNCTION("GOOGLETRANSLATE(D1464,""zh-CN"",""vi"")"),"Thịt viên")</f>
        <v>Thịt viên</v>
      </c>
      <c r="G1464" s="8" t="str">
        <f>IFERROR(__xludf.DUMMYFUNCTION("GOOGLETRANSLATE(E1464,""zh-CN"",""vi"")"),"Thịt viên (chỉ bán theo đơn đặt hàng). Kết hợp chúng để làm đùi gà nướng.")</f>
        <v>Thịt viên (chỉ bán theo đơn đặt hàng). Kết hợp chúng để làm đùi gà nướng.</v>
      </c>
      <c r="H1464" s="8"/>
      <c r="I1464" s="8"/>
      <c r="J1464" s="8"/>
    </row>
    <row r="1465" ht="21.0" customHeight="1">
      <c r="A1465" s="6">
        <v>1.0</v>
      </c>
      <c r="B1465" s="6">
        <v>123.0</v>
      </c>
      <c r="C1465" s="6">
        <v>9.0</v>
      </c>
      <c r="D1465" s="9" t="s">
        <v>1729</v>
      </c>
      <c r="E1465" s="9" t="s">
        <v>1730</v>
      </c>
      <c r="F1465" s="8" t="str">
        <f>IFERROR(__xludf.DUMMYFUNCTION("GOOGLETRANSLATE(D1465,""zh-CN"",""vi"")"),"Đùi gà nướng")</f>
        <v>Đùi gà nướng</v>
      </c>
      <c r="G1465" s="8" t="str">
        <f>IFERROR(__xludf.DUMMYFUNCTION("GOOGLETRANSLATE(E1465,""zh-CN"",""vi"")"),"Hai đùi gà nướng cay. Kết hợp chúng lại để có món hàu nướng.")</f>
        <v>Hai đùi gà nướng cay. Kết hợp chúng lại để có món hàu nướng.</v>
      </c>
      <c r="H1465" s="8"/>
      <c r="I1465" s="8"/>
      <c r="J1465" s="8"/>
    </row>
    <row r="1466" ht="21.0" customHeight="1">
      <c r="A1466" s="6">
        <v>1.0</v>
      </c>
      <c r="B1466" s="6">
        <v>123.0</v>
      </c>
      <c r="C1466" s="6">
        <v>10.0</v>
      </c>
      <c r="D1466" s="9" t="s">
        <v>1731</v>
      </c>
      <c r="E1466" s="9" t="s">
        <v>1732</v>
      </c>
      <c r="F1466" s="8" t="str">
        <f>IFERROR(__xludf.DUMMYFUNCTION("GOOGLETRANSLATE(D1466,""zh-CN"",""vi"")"),"Hàu nướng")</f>
        <v>Hàu nướng</v>
      </c>
      <c r="G1466" s="8" t="str">
        <f>IFERROR(__xludf.DUMMYFUNCTION("GOOGLETRANSLATE(E1466,""zh-CN"",""vi"")"),"Đồ nướng thơm ngon là món không thể thiếu ở các quán ăn đường phố. Cá nướng có thể được chế biến bằng cách kết hợp các nguyên liệu.")</f>
        <v>Đồ nướng thơm ngon là món không thể thiếu ở các quán ăn đường phố. Cá nướng có thể được chế biến bằng cách kết hợp các nguyên liệu.</v>
      </c>
      <c r="H1466" s="8"/>
      <c r="I1466" s="8"/>
      <c r="J1466" s="8"/>
    </row>
    <row r="1467" ht="21.0" customHeight="1">
      <c r="A1467" s="6">
        <v>1.0</v>
      </c>
      <c r="B1467" s="6">
        <v>123.0</v>
      </c>
      <c r="C1467" s="6">
        <v>11.0</v>
      </c>
      <c r="D1467" s="9" t="s">
        <v>1733</v>
      </c>
      <c r="E1467" s="9" t="s">
        <v>1734</v>
      </c>
      <c r="F1467" s="8" t="str">
        <f>IFERROR(__xludf.DUMMYFUNCTION("GOOGLETRANSLATE(D1467,""zh-CN"",""vi"")"),"Cá nướng")</f>
        <v>Cá nướng</v>
      </c>
      <c r="G1467" s="8" t="str">
        <f>IFERROR(__xludf.DUMMYFUNCTION("GOOGLETRANSLATE(E1467,""zh-CN"",""vi"")"),"Với lớp vỏ giòn tan và bên trong mềm mọng, các miếng phi lê cá có thể được kết hợp để tạo thành món gà tây nướng.")</f>
        <v>Với lớp vỏ giòn tan và bên trong mềm mọng, các miếng phi lê cá có thể được kết hợp để tạo thành món gà tây nướng.</v>
      </c>
      <c r="H1467" s="8"/>
      <c r="I1467" s="8"/>
      <c r="J1467" s="8"/>
    </row>
    <row r="1468" ht="21.0" customHeight="1">
      <c r="A1468" s="6">
        <v>1.0</v>
      </c>
      <c r="B1468" s="6">
        <v>123.0</v>
      </c>
      <c r="C1468" s="6">
        <v>12.0</v>
      </c>
      <c r="D1468" s="9" t="s">
        <v>1735</v>
      </c>
      <c r="E1468" s="9" t="s">
        <v>1736</v>
      </c>
      <c r="F1468" s="8" t="str">
        <f>IFERROR(__xludf.DUMMYFUNCTION("GOOGLETRANSLATE(D1468,""zh-CN"",""vi"")"),"Gà tây nướng")</f>
        <v>Gà tây nướng</v>
      </c>
      <c r="G1468" s="8" t="str">
        <f>IFERROR(__xludf.DUMMYFUNCTION("GOOGLETRANSLATE(E1468,""zh-CN"",""vi"")"),"Một con gà tây khổng lồ, hoàn hảo cho cả gia đình. Nó đã được nâng cấp lên mức cao nhất.")</f>
        <v>Một con gà tây khổng lồ, hoàn hảo cho cả gia đình. Nó đã được nâng cấp lên mức cao nhất.</v>
      </c>
      <c r="H1468" s="8"/>
      <c r="I1468" s="8"/>
      <c r="J1468" s="8"/>
    </row>
    <row r="1469" ht="21.0" customHeight="1">
      <c r="A1469" s="6">
        <v>11.0</v>
      </c>
      <c r="B1469" s="6">
        <v>1015.0</v>
      </c>
      <c r="C1469" s="6">
        <v>1.0</v>
      </c>
      <c r="D1469" s="9" t="s">
        <v>1737</v>
      </c>
      <c r="E1469" s="9" t="s">
        <v>1738</v>
      </c>
      <c r="F1469" s="8" t="str">
        <f>IFERROR(__xludf.DUMMYFUNCTION("GOOGLETRANSLATE(D1469,""zh-CN"",""vi"")"),"Giá treo quần áo")</f>
        <v>Giá treo quần áo</v>
      </c>
      <c r="G1469" s="8" t="str">
        <f>IFERROR(__xludf.DUMMYFUNCTION("GOOGLETRANSLATE(E1469,""zh-CN"",""vi"")"),"Một giá treo quần áo bằng nhựa thông thường. Nâng cấp nó lên cấp độ 5 sẽ tạo ra một cây trồng chính.")</f>
        <v>Một giá treo quần áo bằng nhựa thông thường. Nâng cấp nó lên cấp độ 5 sẽ tạo ra một cây trồng chính.</v>
      </c>
      <c r="H1469" s="8"/>
      <c r="I1469" s="8"/>
      <c r="J1469" s="8"/>
    </row>
    <row r="1470" ht="21.0" customHeight="1">
      <c r="A1470" s="6">
        <v>11.0</v>
      </c>
      <c r="B1470" s="6">
        <v>1015.0</v>
      </c>
      <c r="C1470" s="6">
        <v>2.0</v>
      </c>
      <c r="D1470" s="9" t="s">
        <v>1739</v>
      </c>
      <c r="E1470" s="9" t="s">
        <v>1740</v>
      </c>
      <c r="F1470" s="8" t="str">
        <f>IFERROR(__xludf.DUMMYFUNCTION("GOOGLETRANSLATE(D1470,""zh-CN"",""vi"")"),"giá treo quần áo bằng gỗ")</f>
        <v>giá treo quần áo bằng gỗ</v>
      </c>
      <c r="G1470" s="8" t="str">
        <f>IFERROR(__xludf.DUMMYFUNCTION("GOOGLETRANSLATE(E1470,""zh-CN"",""vi"")"),"Giá treo quần áo bằng gỗ, không bị nhăn. Chế tạo đến cấp độ 5 sẽ thu được sản phẩm chính.")</f>
        <v>Giá treo quần áo bằng gỗ, không bị nhăn. Chế tạo đến cấp độ 5 sẽ thu được sản phẩm chính.</v>
      </c>
      <c r="H1470" s="8"/>
      <c r="I1470" s="8"/>
      <c r="J1470" s="8"/>
    </row>
    <row r="1471" ht="21.0" customHeight="1">
      <c r="A1471" s="6">
        <v>11.0</v>
      </c>
      <c r="B1471" s="6">
        <v>1015.0</v>
      </c>
      <c r="C1471" s="6">
        <v>3.0</v>
      </c>
      <c r="D1471" s="9" t="s">
        <v>1741</v>
      </c>
      <c r="E1471" s="9" t="s">
        <v>1742</v>
      </c>
      <c r="F1471" s="8" t="str">
        <f>IFERROR(__xludf.DUMMYFUNCTION("GOOGLETRANSLATE(D1471,""zh-CN"",""vi"")"),"dây phơi quần áo")</f>
        <v>dây phơi quần áo</v>
      </c>
      <c r="G1471" s="8" t="str">
        <f>IFERROR(__xludf.DUMMYFUNCTION("GOOGLETRANSLATE(E1471,""zh-CN"",""vi"")"),"Một giàn phơi quần áo bằng gỗ, đặt trong nhà. Chế tạo nó đến cấp độ 5 sẽ cho ra cây trồng chính.")</f>
        <v>Một giàn phơi quần áo bằng gỗ, đặt trong nhà. Chế tạo nó đến cấp độ 5 sẽ cho ra cây trồng chính.</v>
      </c>
      <c r="H1471" s="8"/>
      <c r="I1471" s="8"/>
      <c r="J1471" s="8"/>
    </row>
    <row r="1472" ht="21.0" customHeight="1">
      <c r="A1472" s="6">
        <v>11.0</v>
      </c>
      <c r="B1472" s="6">
        <v>1015.0</v>
      </c>
      <c r="C1472" s="6">
        <v>4.0</v>
      </c>
      <c r="D1472" s="9" t="s">
        <v>1743</v>
      </c>
      <c r="E1472" s="9" t="s">
        <v>1744</v>
      </c>
      <c r="F1472" s="8" t="str">
        <f>IFERROR(__xludf.DUMMYFUNCTION("GOOGLETRANSLATE(D1472,""zh-CN"",""vi"")"),"Giá treo quần áo mỏng manh")</f>
        <v>Giá treo quần áo mỏng manh</v>
      </c>
      <c r="G1472" s="8" t="str">
        <f>IFERROR(__xludf.DUMMYFUNCTION("GOOGLETRANSLATE(E1472,""zh-CN"",""vi"")"),"Một giá treo quần áo thanh lịch có chân đế. Chế tạo nó đến cấp độ 5 sẽ thu được một cây trồng chính.")</f>
        <v>Một giá treo quần áo thanh lịch có chân đế. Chế tạo nó đến cấp độ 5 sẽ thu được một cây trồng chính.</v>
      </c>
      <c r="H1472" s="8"/>
      <c r="I1472" s="8"/>
      <c r="J1472" s="8"/>
    </row>
    <row r="1473" ht="21.0" customHeight="1">
      <c r="A1473" s="6">
        <v>10.0</v>
      </c>
      <c r="B1473" s="6">
        <v>1015.0</v>
      </c>
      <c r="C1473" s="6">
        <v>5.0</v>
      </c>
      <c r="D1473" s="9" t="s">
        <v>1745</v>
      </c>
      <c r="E1473" s="9" t="s">
        <v>1746</v>
      </c>
      <c r="F1473" s="8" t="str">
        <f>IFERROR(__xludf.DUMMYFUNCTION("GOOGLETRANSLATE(D1473,""zh-CN"",""vi"")"),"tủ quần áo")</f>
        <v>tủ quần áo</v>
      </c>
      <c r="G1473" s="8" t="str">
        <f>IFERROR(__xludf.DUMMYFUNCTION("GOOGLETRANSLATE(E1473,""zh-CN"",""vi"")"),"Một chiếc tủ quần áo bằng vải đơn giản. Có thể được may thành một chiếc tủ quần áo hoàn chỉnh.")</f>
        <v>Một chiếc tủ quần áo bằng vải đơn giản. Có thể được may thành một chiếc tủ quần áo hoàn chỉnh.</v>
      </c>
      <c r="H1473" s="8"/>
      <c r="I1473" s="8"/>
      <c r="J1473" s="8"/>
    </row>
    <row r="1474" ht="21.0" customHeight="1">
      <c r="A1474" s="6">
        <v>10.0</v>
      </c>
      <c r="B1474" s="6">
        <v>1015.0</v>
      </c>
      <c r="C1474" s="6">
        <v>6.0</v>
      </c>
      <c r="D1474" s="9" t="s">
        <v>1747</v>
      </c>
      <c r="E1474" s="9" t="s">
        <v>1748</v>
      </c>
      <c r="F1474" s="8" t="str">
        <f>IFERROR(__xludf.DUMMYFUNCTION("GOOGLETRANSLATE(D1474,""zh-CN"",""vi"")"),"Tủ quần áo")</f>
        <v>Tủ quần áo</v>
      </c>
      <c r="G1474" s="8" t="str">
        <f>IFERROR(__xludf.DUMMYFUNCTION("GOOGLETRANSLATE(E1474,""zh-CN"",""vi"")"),"Tủ quần áo bằng gỗ cao cấp. Sản phẩm đã được nâng cấp lên loại cao cấp nhất.")</f>
        <v>Tủ quần áo bằng gỗ cao cấp. Sản phẩm đã được nâng cấp lên loại cao cấp nhất.</v>
      </c>
      <c r="H1474" s="8"/>
      <c r="I1474" s="8"/>
      <c r="J1474" s="8"/>
    </row>
    <row r="1475" ht="21.0" customHeight="1">
      <c r="A1475" s="6">
        <v>1.0</v>
      </c>
      <c r="B1475" s="6">
        <v>124.0</v>
      </c>
      <c r="C1475" s="6">
        <v>1.0</v>
      </c>
      <c r="D1475" s="9" t="s">
        <v>1749</v>
      </c>
      <c r="E1475" s="9" t="s">
        <v>1750</v>
      </c>
      <c r="F1475" s="8" t="str">
        <f>IFERROR(__xludf.DUMMYFUNCTION("GOOGLETRANSLATE(D1475,""zh-CN"",""vi"")"),"áo ngực")</f>
        <v>áo ngực</v>
      </c>
      <c r="G1475" s="8" t="str">
        <f>IFERROR(__xludf.DUMMYFUNCTION("GOOGLETRANSLATE(E1475,""zh-CN"",""vi"")"),"Đồ lót bó sát của Tiểu Mai. Sau khi may xong sẽ tạo ra một chiếc áo hai dây.")</f>
        <v>Đồ lót bó sát của Tiểu Mai. Sau khi may xong sẽ tạo ra một chiếc áo hai dây.</v>
      </c>
      <c r="H1475" s="8"/>
      <c r="I1475" s="8"/>
      <c r="J1475" s="8"/>
    </row>
    <row r="1476" ht="21.0" customHeight="1">
      <c r="A1476" s="6">
        <v>1.0</v>
      </c>
      <c r="B1476" s="6">
        <v>124.0</v>
      </c>
      <c r="C1476" s="6">
        <v>2.0</v>
      </c>
      <c r="D1476" s="9" t="s">
        <v>1751</v>
      </c>
      <c r="E1476" s="9" t="s">
        <v>1752</v>
      </c>
      <c r="F1476" s="8" t="str">
        <f>IFERROR(__xludf.DUMMYFUNCTION("GOOGLETRANSLATE(D1476,""zh-CN"",""vi"")"),"áo ba lỗ")</f>
        <v>áo ba lỗ</v>
      </c>
      <c r="G1476" s="8" t="str">
        <f>IFERROR(__xludf.DUMMYFUNCTION("GOOGLETRANSLATE(E1476,""zh-CN"",""vi"")"),"Áo tank top đơn giản giúp tôn lên vóc dáng hoàn hảo. Có thể biến tấu thành váy tank top.")</f>
        <v>Áo tank top đơn giản giúp tôn lên vóc dáng hoàn hảo. Có thể biến tấu thành váy tank top.</v>
      </c>
      <c r="H1476" s="8"/>
      <c r="I1476" s="8"/>
      <c r="J1476" s="8"/>
    </row>
    <row r="1477" ht="21.0" customHeight="1">
      <c r="A1477" s="6">
        <v>1.0</v>
      </c>
      <c r="B1477" s="6">
        <v>124.0</v>
      </c>
      <c r="C1477" s="6">
        <v>3.0</v>
      </c>
      <c r="D1477" s="9" t="s">
        <v>1753</v>
      </c>
      <c r="E1477" s="9" t="s">
        <v>1754</v>
      </c>
      <c r="F1477" s="8" t="str">
        <f>IFERROR(__xludf.DUMMYFUNCTION("GOOGLETRANSLATE(D1477,""zh-CN"",""vi"")"),"váy slip")</f>
        <v>váy slip</v>
      </c>
      <c r="G1477" s="8" t="str">
        <f>IFERROR(__xludf.DUMMYFUNCTION("GOOGLETRANSLATE(E1477,""zh-CN"",""vi"")"),"Một chiếc váy slip dress tuyệt đẹp với viền ren. Sau khi may xong, bạn sẽ có một chiếc áo khoác màu hồng.")</f>
        <v>Một chiếc váy slip dress tuyệt đẹp với viền ren. Sau khi may xong, bạn sẽ có một chiếc áo khoác màu hồng.</v>
      </c>
      <c r="H1477" s="8"/>
      <c r="I1477" s="8"/>
      <c r="J1477" s="8"/>
    </row>
    <row r="1478" ht="21.0" customHeight="1">
      <c r="A1478" s="6">
        <v>1.0</v>
      </c>
      <c r="B1478" s="6">
        <v>124.0</v>
      </c>
      <c r="C1478" s="6">
        <v>4.0</v>
      </c>
      <c r="D1478" s="9" t="s">
        <v>1755</v>
      </c>
      <c r="E1478" s="9" t="s">
        <v>1756</v>
      </c>
      <c r="F1478" s="8" t="str">
        <f>IFERROR(__xludf.DUMMYFUNCTION("GOOGLETRANSLATE(D1478,""zh-CN"",""vi"")"),"áo khoác hồng")</f>
        <v>áo khoác hồng</v>
      </c>
      <c r="G1478" s="8" t="str">
        <f>IFERROR(__xludf.DUMMYFUNCTION("GOOGLETRANSLATE(E1478,""zh-CN"",""vi"")"),"Một chiếc áo khoác màu hồng xinh xắn. Có thể chế tạo nó thành một chiếc áo khoác thắt nơ.")</f>
        <v>Một chiếc áo khoác màu hồng xinh xắn. Có thể chế tạo nó thành một chiếc áo khoác thắt nơ.</v>
      </c>
      <c r="H1478" s="8"/>
      <c r="I1478" s="8"/>
      <c r="J1478" s="8"/>
    </row>
    <row r="1479" ht="21.0" customHeight="1">
      <c r="A1479" s="6">
        <v>1.0</v>
      </c>
      <c r="B1479" s="6">
        <v>124.0</v>
      </c>
      <c r="C1479" s="6">
        <v>5.0</v>
      </c>
      <c r="D1479" s="9" t="s">
        <v>1757</v>
      </c>
      <c r="E1479" s="9" t="s">
        <v>1758</v>
      </c>
      <c r="F1479" s="8" t="str">
        <f>IFERROR(__xludf.DUMMYFUNCTION("GOOGLETRANSLATE(D1479,""zh-CN"",""vi"")"),"Áo khoác nơ")</f>
        <v>Áo khoác nơ</v>
      </c>
      <c r="G1479" s="8" t="str">
        <f>IFERROR(__xludf.DUMMYFUNCTION("GOOGLETRANSLATE(E1479,""zh-CN"",""vi"")"),"Chiếc áo khoác có thắt nơ, một bộ trang phục dễ thương. Có thể chế tạo thêm để có được một chiếc váy xếp ly.")</f>
        <v>Chiếc áo khoác có thắt nơ, một bộ trang phục dễ thương. Có thể chế tạo thêm để có được một chiếc váy xếp ly.</v>
      </c>
      <c r="H1479" s="8"/>
      <c r="I1479" s="8"/>
      <c r="J1479" s="8"/>
    </row>
    <row r="1480" ht="21.0" customHeight="1">
      <c r="A1480" s="6">
        <v>1.0</v>
      </c>
      <c r="B1480" s="6">
        <v>124.0</v>
      </c>
      <c r="C1480" s="6">
        <v>6.0</v>
      </c>
      <c r="D1480" s="9" t="s">
        <v>1759</v>
      </c>
      <c r="E1480" s="9" t="s">
        <v>1760</v>
      </c>
      <c r="F1480" s="8" t="str">
        <f>IFERROR(__xludf.DUMMYFUNCTION("GOOGLETRANSLATE(D1480,""zh-CN"",""vi"")"),"váy gợn sóng")</f>
        <v>váy gợn sóng</v>
      </c>
      <c r="G1480" s="8" t="str">
        <f>IFERROR(__xludf.DUMMYFUNCTION("GOOGLETRANSLATE(E1480,""zh-CN"",""vi"")"),"Chiếc váy xếp ly, toát lên vẻ trẻ trung năng động. Có thể may thành áo khoác phao.")</f>
        <v>Chiếc váy xếp ly, toát lên vẻ trẻ trung năng động. Có thể may thành áo khoác phao.</v>
      </c>
      <c r="H1480" s="8"/>
      <c r="I1480" s="8"/>
      <c r="J1480" s="8"/>
    </row>
    <row r="1481" ht="21.0" customHeight="1">
      <c r="A1481" s="6">
        <v>1.0</v>
      </c>
      <c r="B1481" s="6">
        <v>124.0</v>
      </c>
      <c r="C1481" s="6">
        <v>7.0</v>
      </c>
      <c r="D1481" s="9" t="s">
        <v>1761</v>
      </c>
      <c r="E1481" s="9" t="s">
        <v>1762</v>
      </c>
      <c r="F1481" s="8" t="str">
        <f>IFERROR(__xludf.DUMMYFUNCTION("GOOGLETRANSLATE(D1481,""zh-CN"",""vi"")"),"áo khoác lông vũ")</f>
        <v>áo khoác lông vũ</v>
      </c>
      <c r="G1481" s="8" t="str">
        <f>IFERROR(__xludf.DUMMYFUNCTION("GOOGLETRANSLATE(E1481,""zh-CN"",""vi"")"),"Áo khoác lông vũ dày dặn giúp bảo vệ khỏi gió và tuyết. Có thể may thêm lớp lông vũ để tạo thành áo khoác lông vũ.")</f>
        <v>Áo khoác lông vũ dày dặn giúp bảo vệ khỏi gió và tuyết. Có thể may thêm lớp lông vũ để tạo thành áo khoác lông vũ.</v>
      </c>
      <c r="H1481" s="8"/>
      <c r="I1481" s="8"/>
      <c r="J1481" s="8"/>
    </row>
    <row r="1482" ht="21.0" customHeight="1">
      <c r="A1482" s="6">
        <v>1.0</v>
      </c>
      <c r="B1482" s="6">
        <v>124.0</v>
      </c>
      <c r="C1482" s="6">
        <v>8.0</v>
      </c>
      <c r="D1482" s="9" t="s">
        <v>1763</v>
      </c>
      <c r="E1482" s="9" t="s">
        <v>1764</v>
      </c>
      <c r="F1482" s="8" t="str">
        <f>IFERROR(__xludf.DUMMYFUNCTION("GOOGLETRANSLATE(D1482,""zh-CN"",""vi"")"),"áo khoác lông vũ")</f>
        <v>áo khoác lông vũ</v>
      </c>
      <c r="G1482" s="8" t="str">
        <f>IFERROR(__xludf.DUMMYFUNCTION("GOOGLETRANSLATE(E1482,""zh-CN"",""vi"")"),"Áo khoác lông vũ hai lớp. Được thiết kế để tạo ra một chiếc áo khoác màu đỏ.")</f>
        <v>Áo khoác lông vũ hai lớp. Được thiết kế để tạo ra một chiếc áo khoác màu đỏ.</v>
      </c>
      <c r="H1482" s="8"/>
      <c r="I1482" s="8"/>
      <c r="J1482" s="8"/>
    </row>
    <row r="1483" ht="21.0" customHeight="1">
      <c r="A1483" s="6">
        <v>1.0</v>
      </c>
      <c r="B1483" s="6">
        <v>124.0</v>
      </c>
      <c r="C1483" s="6">
        <v>9.0</v>
      </c>
      <c r="D1483" s="9" t="s">
        <v>1765</v>
      </c>
      <c r="E1483" s="9" t="s">
        <v>1766</v>
      </c>
      <c r="F1483" s="8" t="str">
        <f>IFERROR(__xludf.DUMMYFUNCTION("GOOGLETRANSLATE(D1483,""zh-CN"",""vi"")"),"áo khoác đỏ")</f>
        <v>áo khoác đỏ</v>
      </c>
      <c r="G1483" s="8" t="str">
        <f>IFERROR(__xludf.DUMMYFUNCTION("GOOGLETRANSLATE(E1483,""zh-CN"",""vi"")"),"Chiếc áo khoác màu đỏ tươi toát lên vẻ tự tin. Nó có thể được may thành một chiếc váy xòe rộng, bồng bềnh.")</f>
        <v>Chiếc áo khoác màu đỏ tươi toát lên vẻ tự tin. Nó có thể được may thành một chiếc váy xòe rộng, bồng bềnh.</v>
      </c>
      <c r="H1483" s="8"/>
      <c r="I1483" s="8"/>
      <c r="J1483" s="8"/>
    </row>
    <row r="1484" ht="21.0" customHeight="1">
      <c r="A1484" s="6">
        <v>1.0</v>
      </c>
      <c r="B1484" s="6">
        <v>124.0</v>
      </c>
      <c r="C1484" s="6">
        <v>10.0</v>
      </c>
      <c r="D1484" s="9" t="s">
        <v>1767</v>
      </c>
      <c r="E1484" s="9" t="s">
        <v>1768</v>
      </c>
      <c r="F1484" s="8" t="str">
        <f>IFERROR(__xludf.DUMMYFUNCTION("GOOGLETRANSLATE(D1484,""zh-CN"",""vi"")"),"Váy dày")</f>
        <v>Váy dày</v>
      </c>
      <c r="G1484" s="8" t="str">
        <f>IFERROR(__xludf.DUMMYFUNCTION("GOOGLETRANSLATE(E1484,""zh-CN"",""vi"")"),"Chiếc váy dài, bồng bềnh toát lên vẻ thanh lịch. Nó đã được nâng tầm lên mức cao nhất.")</f>
        <v>Chiếc váy dài, bồng bềnh toát lên vẻ thanh lịch. Nó đã được nâng tầm lên mức cao nhất.</v>
      </c>
      <c r="H1484" s="8"/>
      <c r="I1484" s="8"/>
      <c r="J1484" s="8"/>
    </row>
    <row r="1485" ht="21.0" customHeight="1">
      <c r="A1485" s="6">
        <v>1.0</v>
      </c>
      <c r="B1485" s="6">
        <v>125.0</v>
      </c>
      <c r="C1485" s="6">
        <v>1.0</v>
      </c>
      <c r="D1485" s="9" t="s">
        <v>1769</v>
      </c>
      <c r="E1485" s="9" t="s">
        <v>1770</v>
      </c>
      <c r="F1485" s="8" t="str">
        <f>IFERROR(__xludf.DUMMYFUNCTION("GOOGLETRANSLATE(D1485,""zh-CN"",""vi"")"),"tất")</f>
        <v>tất</v>
      </c>
      <c r="G1485" s="8" t="str">
        <f>IFERROR(__xludf.DUMMYFUNCTION("GOOGLETRANSLATE(E1485,""zh-CN"",""vi"")"),"Một đôi tất đơn giản. Hãy chế tạo chúng để có được một chiếc quần lót boxer.")</f>
        <v>Một đôi tất đơn giản. Hãy chế tạo chúng để có được một chiếc quần lót boxer.</v>
      </c>
      <c r="H1485" s="8"/>
      <c r="I1485" s="8"/>
      <c r="J1485" s="8"/>
    </row>
    <row r="1486" ht="21.0" customHeight="1">
      <c r="A1486" s="6">
        <v>1.0</v>
      </c>
      <c r="B1486" s="6">
        <v>125.0</v>
      </c>
      <c r="C1486" s="6">
        <v>2.0</v>
      </c>
      <c r="D1486" s="9" t="s">
        <v>1771</v>
      </c>
      <c r="E1486" s="9" t="s">
        <v>1772</v>
      </c>
      <c r="F1486" s="8" t="str">
        <f>IFERROR(__xludf.DUMMYFUNCTION("GOOGLETRANSLATE(D1486,""zh-CN"",""vi"")"),"Quần lót boxer")</f>
        <v>Quần lót boxer</v>
      </c>
      <c r="G1486" s="8" t="str">
        <f>IFERROR(__xludf.DUMMYFUNCTION("GOOGLETRANSLATE(E1486,""zh-CN"",""vi"")"),"Quần boxer dáng rộng. Được thiết kế để tạo cảm giác như quần short.")</f>
        <v>Quần boxer dáng rộng. Được thiết kế để tạo cảm giác như quần short.</v>
      </c>
      <c r="H1486" s="8"/>
      <c r="I1486" s="8"/>
      <c r="J1486" s="8"/>
    </row>
    <row r="1487" ht="21.0" customHeight="1">
      <c r="A1487" s="6">
        <v>1.0</v>
      </c>
      <c r="B1487" s="6">
        <v>125.0</v>
      </c>
      <c r="C1487" s="6">
        <v>3.0</v>
      </c>
      <c r="D1487" s="9" t="s">
        <v>1773</v>
      </c>
      <c r="E1487" s="9" t="s">
        <v>1774</v>
      </c>
      <c r="F1487" s="8" t="str">
        <f>IFERROR(__xludf.DUMMYFUNCTION("GOOGLETRANSLATE(D1487,""zh-CN"",""vi"")"),"quần short")</f>
        <v>quần short</v>
      </c>
      <c r="G1487" s="8" t="str">
        <f>IFERROR(__xludf.DUMMYFUNCTION("GOOGLETRANSLATE(E1487,""zh-CN"",""vi"")"),"Tay đút túi, đi bộ trên phố. Có thể tạo ra một chiếc váy ngắn bằng cách kết hợp các vật phẩm.")</f>
        <v>Tay đút túi, đi bộ trên phố. Có thể tạo ra một chiếc váy ngắn bằng cách kết hợp các vật phẩm.</v>
      </c>
      <c r="H1487" s="8"/>
      <c r="I1487" s="8"/>
      <c r="J1487" s="8"/>
    </row>
    <row r="1488" ht="21.0" customHeight="1">
      <c r="A1488" s="6">
        <v>1.0</v>
      </c>
      <c r="B1488" s="6">
        <v>125.0</v>
      </c>
      <c r="C1488" s="6">
        <v>4.0</v>
      </c>
      <c r="D1488" s="9" t="s">
        <v>1775</v>
      </c>
      <c r="E1488" s="9" t="s">
        <v>1776</v>
      </c>
      <c r="F1488" s="8" t="str">
        <f>IFERROR(__xludf.DUMMYFUNCTION("GOOGLETRANSLATE(D1488,""zh-CN"",""vi"")"),"váy ngắn")</f>
        <v>váy ngắn</v>
      </c>
      <c r="G1488" s="8" t="str">
        <f>IFERROR(__xludf.DUMMYFUNCTION("GOOGLETRANSLATE(E1488,""zh-CN"",""vi"")"),"Chiếc váy đung đưa, dáng người duyên dáng. Cách may này sẽ tạo ra một chiếc váy ngắn cổ yếm.")</f>
        <v>Chiếc váy đung đưa, dáng người duyên dáng. Cách may này sẽ tạo ra một chiếc váy ngắn cổ yếm.</v>
      </c>
      <c r="H1488" s="8"/>
      <c r="I1488" s="8"/>
      <c r="J1488" s="8"/>
    </row>
    <row r="1489" ht="21.0" customHeight="1">
      <c r="A1489" s="6">
        <v>1.0</v>
      </c>
      <c r="B1489" s="6">
        <v>125.0</v>
      </c>
      <c r="C1489" s="6">
        <v>5.0</v>
      </c>
      <c r="D1489" s="9" t="s">
        <v>1777</v>
      </c>
      <c r="E1489" s="9" t="s">
        <v>1778</v>
      </c>
      <c r="F1489" s="8" t="str">
        <f>IFERROR(__xludf.DUMMYFUNCTION("GOOGLETRANSLATE(D1489,""zh-CN"",""vi"")"),"váy ngắn hai dây")</f>
        <v>váy ngắn hai dây</v>
      </c>
      <c r="G1489" s="8" t="str">
        <f>IFERROR(__xludf.DUMMYFUNCTION("GOOGLETRANSLATE(E1489,""zh-CN"",""vi"")"),"Một chiếc quần yếm denim ngắn cá tính. Được thiết kế để tạo nên một bộ trang phục Lolita.")</f>
        <v>Một chiếc quần yếm denim ngắn cá tính. Được thiết kế để tạo nên một bộ trang phục Lolita.</v>
      </c>
      <c r="H1489" s="8"/>
      <c r="I1489" s="8"/>
      <c r="J1489" s="8"/>
    </row>
    <row r="1490" ht="21.0" customHeight="1">
      <c r="A1490" s="6">
        <v>1.0</v>
      </c>
      <c r="B1490" s="6">
        <v>125.0</v>
      </c>
      <c r="C1490" s="6">
        <v>6.0</v>
      </c>
      <c r="D1490" s="9" t="s">
        <v>1779</v>
      </c>
      <c r="E1490" s="9" t="s">
        <v>1780</v>
      </c>
      <c r="F1490" s="8" t="str">
        <f>IFERROR(__xludf.DUMMYFUNCTION("GOOGLETRANSLATE(D1490,""zh-CN"",""vi"")"),"Lolita")</f>
        <v>Lolita</v>
      </c>
      <c r="G1490" s="8" t="str">
        <f>IFERROR(__xludf.DUMMYFUNCTION("GOOGLETRANSLATE(E1490,""zh-CN"",""vi"")"),"Một bộ trang phục Lolita đơn giản. Việc tự may có thể tạo ra một bộ trang phục Lolita cầu kỳ hơn.")</f>
        <v>Một bộ trang phục Lolita đơn giản. Việc tự may có thể tạo ra một bộ trang phục Lolita cầu kỳ hơn.</v>
      </c>
      <c r="H1490" s="8"/>
      <c r="I1490" s="8"/>
      <c r="J1490" s="8"/>
    </row>
    <row r="1491" ht="21.0" customHeight="1">
      <c r="A1491" s="6">
        <v>1.0</v>
      </c>
      <c r="B1491" s="6">
        <v>125.0</v>
      </c>
      <c r="C1491" s="6">
        <v>7.0</v>
      </c>
      <c r="D1491" s="9" t="s">
        <v>1781</v>
      </c>
      <c r="E1491" s="9" t="s">
        <v>1782</v>
      </c>
      <c r="F1491" s="8" t="str">
        <f>IFERROR(__xludf.DUMMYFUNCTION("GOOGLETRANSLATE(D1491,""zh-CN"",""vi"")"),"Lolita tinh tế")</f>
        <v>Lolita tinh tế</v>
      </c>
      <c r="G1491" s="8" t="str">
        <f>IFERROR(__xludf.DUMMYFUNCTION("GOOGLETRANSLATE(E1491,""zh-CN"",""vi"")"),"Một chiếc váy Lolita tinh tế. Thành phẩm sẽ là một chiếc váy Lolita được trang trí bằng nơ.")</f>
        <v>Một chiếc váy Lolita tinh tế. Thành phẩm sẽ là một chiếc váy Lolita được trang trí bằng nơ.</v>
      </c>
      <c r="H1491" s="8"/>
      <c r="I1491" s="8"/>
      <c r="J1491" s="8"/>
    </row>
    <row r="1492" ht="21.0" customHeight="1">
      <c r="A1492" s="6">
        <v>1.0</v>
      </c>
      <c r="B1492" s="6">
        <v>125.0</v>
      </c>
      <c r="C1492" s="6">
        <v>8.0</v>
      </c>
      <c r="D1492" s="9" t="s">
        <v>1783</v>
      </c>
      <c r="E1492" s="9" t="s">
        <v>1784</v>
      </c>
      <c r="F1492" s="8" t="str">
        <f>IFERROR(__xludf.DUMMYFUNCTION("GOOGLETRANSLATE(D1492,""zh-CN"",""vi"")"),"Cô gái Lolita đeo nơ")</f>
        <v>Cô gái Lolita đeo nơ</v>
      </c>
      <c r="G1492" s="8" t="str">
        <f>IFERROR(__xludf.DUMMYFUNCTION("GOOGLETRANSLATE(E1492,""zh-CN"",""vi"")"),"Một chiếc váy dài với nơ hồng. Có thể phối hợp để tạo thành váy Lolita hai vạt.")</f>
        <v>Một chiếc váy dài với nơ hồng. Có thể phối hợp để tạo thành váy Lolita hai vạt.</v>
      </c>
      <c r="H1492" s="8"/>
      <c r="I1492" s="8"/>
      <c r="J1492" s="8"/>
    </row>
    <row r="1493" ht="21.0" customHeight="1">
      <c r="A1493" s="6">
        <v>1.0</v>
      </c>
      <c r="B1493" s="6">
        <v>125.0</v>
      </c>
      <c r="C1493" s="6">
        <v>9.0</v>
      </c>
      <c r="D1493" s="9" t="s">
        <v>1785</v>
      </c>
      <c r="E1493" s="9" t="s">
        <v>1786</v>
      </c>
      <c r="F1493" s="8" t="str">
        <f>IFERROR(__xludf.DUMMYFUNCTION("GOOGLETRANSLATE(D1493,""zh-CN"",""vi"")"),"Váy Lolita hai lớp")</f>
        <v>Váy Lolita hai lớp</v>
      </c>
      <c r="G1493" s="8" t="str">
        <f>IFERROR(__xludf.DUMMYFUNCTION("GOOGLETRANSLATE(E1493,""zh-CN"",""vi"")"),"Một chiếc váy Lolita hai tầng. Tự tay may sẽ tạo ra một chiếc váy Lolita sang trọng.")</f>
        <v>Một chiếc váy Lolita hai tầng. Tự tay may sẽ tạo ra một chiếc váy Lolita sang trọng.</v>
      </c>
      <c r="H1493" s="8"/>
      <c r="I1493" s="8"/>
      <c r="J1493" s="8"/>
    </row>
    <row r="1494" ht="21.0" customHeight="1">
      <c r="A1494" s="6">
        <v>1.0</v>
      </c>
      <c r="B1494" s="6">
        <v>125.0</v>
      </c>
      <c r="C1494" s="6">
        <v>10.0</v>
      </c>
      <c r="D1494" s="9" t="s">
        <v>1787</v>
      </c>
      <c r="E1494" s="9" t="s">
        <v>1788</v>
      </c>
      <c r="F1494" s="8" t="str">
        <f>IFERROR(__xludf.DUMMYFUNCTION("GOOGLETRANSLATE(D1494,""zh-CN"",""vi"")"),"Váy Lolita sang trọng")</f>
        <v>Váy Lolita sang trọng</v>
      </c>
      <c r="G1494" s="8" t="str">
        <f>IFERROR(__xludf.DUMMYFUNCTION("GOOGLETRANSLATE(E1494,""zh-CN"",""vi"")"),"Một chiếc váy Lolita đắt tiền. Được nâng cấp lên mức cao cấp nhất.")</f>
        <v>Một chiếc váy Lolita đắt tiền. Được nâng cấp lên mức cao cấp nhất.</v>
      </c>
      <c r="H1494" s="8"/>
      <c r="I1494" s="8"/>
      <c r="J1494" s="8"/>
    </row>
    <row r="1495" ht="21.0" customHeight="1">
      <c r="A1495" s="6">
        <v>1.0</v>
      </c>
      <c r="B1495" s="6">
        <v>138.0</v>
      </c>
      <c r="C1495" s="6">
        <v>1.0</v>
      </c>
      <c r="D1495" s="9" t="s">
        <v>1789</v>
      </c>
      <c r="E1495" s="9" t="s">
        <v>1790</v>
      </c>
      <c r="F1495" s="8" t="str">
        <f>IFERROR(__xludf.DUMMYFUNCTION("GOOGLETRANSLATE(D1495,""zh-CN"",""vi"")"),"Mẫu mũ")</f>
        <v>Mẫu mũ</v>
      </c>
      <c r="G1495" s="8" t="str">
        <f>IFERROR(__xludf.DUMMYFUNCTION("GOOGLETRANSLATE(E1495,""zh-CN"",""vi"")"),"Đây là mẫu thử của một chiếc mũ. Sau khi chế tạo, bạn sẽ có một chiếc mũ hình ngôi sao.")</f>
        <v>Đây là mẫu thử của một chiếc mũ. Sau khi chế tạo, bạn sẽ có một chiếc mũ hình ngôi sao.</v>
      </c>
      <c r="H1495" s="8"/>
      <c r="I1495" s="8"/>
      <c r="J1495" s="8"/>
    </row>
    <row r="1496" ht="21.0" customHeight="1">
      <c r="A1496" s="6">
        <v>1.0</v>
      </c>
      <c r="B1496" s="6">
        <v>138.0</v>
      </c>
      <c r="C1496" s="6">
        <v>2.0</v>
      </c>
      <c r="D1496" s="9" t="s">
        <v>1791</v>
      </c>
      <c r="E1496" s="9" t="s">
        <v>1792</v>
      </c>
      <c r="F1496" s="8" t="str">
        <f>IFERROR(__xludf.DUMMYFUNCTION("GOOGLETRANSLATE(D1496,""zh-CN"",""vi"")"),"Mũ ngôi sao")</f>
        <v>Mũ ngôi sao</v>
      </c>
      <c r="G1496" s="8" t="str">
        <f>IFERROR(__xludf.DUMMYFUNCTION("GOOGLETRANSLATE(E1496,""zh-CN"",""vi"")"),"Chiếc mũ có một ngôi sao trên đỉnh. Có thể chế tạo nó để có được một chiếc mũ chú hề.")</f>
        <v>Chiếc mũ có một ngôi sao trên đỉnh. Có thể chế tạo nó để có được một chiếc mũ chú hề.</v>
      </c>
      <c r="H1496" s="8"/>
      <c r="I1496" s="8"/>
      <c r="J1496" s="8"/>
    </row>
    <row r="1497" ht="21.0" customHeight="1">
      <c r="A1497" s="6">
        <v>1.0</v>
      </c>
      <c r="B1497" s="6">
        <v>138.0</v>
      </c>
      <c r="C1497" s="6">
        <v>3.0</v>
      </c>
      <c r="D1497" s="9" t="s">
        <v>1793</v>
      </c>
      <c r="E1497" s="9" t="s">
        <v>1794</v>
      </c>
      <c r="F1497" s="8" t="str">
        <f>IFERROR(__xludf.DUMMYFUNCTION("GOOGLETRANSLATE(D1497,""zh-CN"",""vi"")"),"Mũ chú hề")</f>
        <v>Mũ chú hề</v>
      </c>
      <c r="G1497" s="8" t="str">
        <f>IFERROR(__xludf.DUMMYFUNCTION("GOOGLETRANSLATE(E1497,""zh-CN"",""vi"")"),"Chiếc mũ biểu diễn của chú hề. Chế tạo nó sẽ tạo ra một chiếc mũ chống nắng.")</f>
        <v>Chiếc mũ biểu diễn của chú hề. Chế tạo nó sẽ tạo ra một chiếc mũ chống nắng.</v>
      </c>
      <c r="H1497" s="8"/>
      <c r="I1497" s="8"/>
      <c r="J1497" s="8"/>
    </row>
    <row r="1498" ht="21.0" customHeight="1">
      <c r="A1498" s="6">
        <v>1.0</v>
      </c>
      <c r="B1498" s="6">
        <v>138.0</v>
      </c>
      <c r="C1498" s="6">
        <v>4.0</v>
      </c>
      <c r="D1498" s="9" t="s">
        <v>1795</v>
      </c>
      <c r="E1498" s="9" t="s">
        <v>1796</v>
      </c>
      <c r="F1498" s="8" t="str">
        <f>IFERROR(__xludf.DUMMYFUNCTION("GOOGLETRANSLATE(D1498,""zh-CN"",""vi"")"),"mũ chống nắng")</f>
        <v>mũ chống nắng</v>
      </c>
      <c r="G1498" s="8" t="str">
        <f>IFERROR(__xludf.DUMMYFUNCTION("GOOGLETRANSLATE(E1498,""zh-CN"",""vi"")"),"Một chiếc mũ để che nắng. Có thể chế tạo nó để có được một chiếc mũ vành rộng.")</f>
        <v>Một chiếc mũ để che nắng. Có thể chế tạo nó để có được một chiếc mũ vành rộng.</v>
      </c>
      <c r="H1498" s="8"/>
      <c r="I1498" s="8"/>
      <c r="J1498" s="8"/>
    </row>
    <row r="1499" ht="21.0" customHeight="1">
      <c r="A1499" s="6">
        <v>1.0</v>
      </c>
      <c r="B1499" s="6">
        <v>138.0</v>
      </c>
      <c r="C1499" s="6">
        <v>5.0</v>
      </c>
      <c r="D1499" s="9" t="s">
        <v>1797</v>
      </c>
      <c r="E1499" s="9" t="s">
        <v>1798</v>
      </c>
      <c r="F1499" s="8" t="str">
        <f>IFERROR(__xludf.DUMMYFUNCTION("GOOGLETRANSLATE(D1499,""zh-CN"",""vi"")"),"Mũ lật lên")</f>
        <v>Mũ lật lên</v>
      </c>
      <c r="G1499" s="8" t="str">
        <f>IFERROR(__xludf.DUMMYFUNCTION("GOOGLETRANSLATE(E1499,""zh-CN"",""vi"")"),"Lật vành mũ lên trên. Thao tác này sẽ tạo ra một chiếc mũ nơ.")</f>
        <v>Lật vành mũ lên trên. Thao tác này sẽ tạo ra một chiếc mũ nơ.</v>
      </c>
      <c r="H1499" s="8"/>
      <c r="I1499" s="8"/>
      <c r="J1499" s="8"/>
    </row>
    <row r="1500" ht="21.0" customHeight="1">
      <c r="A1500" s="6">
        <v>1.0</v>
      </c>
      <c r="B1500" s="6">
        <v>138.0</v>
      </c>
      <c r="C1500" s="6">
        <v>6.0</v>
      </c>
      <c r="D1500" s="9" t="s">
        <v>1799</v>
      </c>
      <c r="E1500" s="9" t="s">
        <v>1800</v>
      </c>
      <c r="F1500" s="8" t="str">
        <f>IFERROR(__xludf.DUMMYFUNCTION("GOOGLETRANSLATE(D1500,""zh-CN"",""vi"")"),"Mũ nơ")</f>
        <v>Mũ nơ</v>
      </c>
      <c r="G1500" s="8" t="str">
        <f>IFERROR(__xludf.DUMMYFUNCTION("GOOGLETRANSLATE(E1500,""zh-CN"",""vi"")"),"Một chiếc mũ có nơ. Tự tay làm ra chiếc mũ này sẽ tạo nên một chiếc mũ rất quyến rũ.")</f>
        <v>Một chiếc mũ có nơ. Tự tay làm ra chiếc mũ này sẽ tạo nên một chiếc mũ rất quyến rũ.</v>
      </c>
      <c r="H1500" s="8"/>
      <c r="I1500" s="8"/>
      <c r="J1500" s="8"/>
    </row>
    <row r="1501" ht="21.0" customHeight="1">
      <c r="A1501" s="6">
        <v>1.0</v>
      </c>
      <c r="B1501" s="6">
        <v>138.0</v>
      </c>
      <c r="C1501" s="6">
        <v>7.0</v>
      </c>
      <c r="D1501" s="9" t="s">
        <v>1801</v>
      </c>
      <c r="E1501" s="9" t="s">
        <v>1802</v>
      </c>
      <c r="F1501" s="8" t="str">
        <f>IFERROR(__xludf.DUMMYFUNCTION("GOOGLETRANSLATE(D1501,""zh-CN"",""vi"")"),"Mũ gợi cảm")</f>
        <v>Mũ gợi cảm</v>
      </c>
      <c r="G1501" s="8" t="str">
        <f>IFERROR(__xludf.DUMMYFUNCTION("GOOGLETRANSLATE(E1501,""zh-CN"",""vi"")"),"Một chiếc mũ nữ quyến rũ. Được thiết kế để tạo thành kiểu mũ chóp cao có nơ.")</f>
        <v>Một chiếc mũ nữ quyến rũ. Được thiết kế để tạo thành kiểu mũ chóp cao có nơ.</v>
      </c>
      <c r="H1501" s="8"/>
      <c r="I1501" s="8"/>
      <c r="J1501" s="8"/>
    </row>
    <row r="1502" ht="21.0" customHeight="1">
      <c r="A1502" s="6">
        <v>1.0</v>
      </c>
      <c r="B1502" s="6">
        <v>138.0</v>
      </c>
      <c r="C1502" s="6">
        <v>8.0</v>
      </c>
      <c r="D1502" s="9" t="s">
        <v>1803</v>
      </c>
      <c r="E1502" s="9" t="s">
        <v>1804</v>
      </c>
      <c r="F1502" s="8" t="str">
        <f>IFERROR(__xludf.DUMMYFUNCTION("GOOGLETRANSLATE(D1502,""zh-CN"",""vi"")"),"Mũ nơ")</f>
        <v>Mũ nơ</v>
      </c>
      <c r="G1502" s="8" t="str">
        <f>IFERROR(__xludf.DUMMYFUNCTION("GOOGLETRANSLATE(E1502,""zh-CN"",""vi"")"),"Một chiếc mũ chóp cao với phần chóp rất cao. Có thể chế tạo nó để tạo ra một chiếc mũ che nắng kiểu nơ.")</f>
        <v>Một chiếc mũ chóp cao với phần chóp rất cao. Có thể chế tạo nó để tạo ra một chiếc mũ che nắng kiểu nơ.</v>
      </c>
      <c r="H1502" s="8"/>
      <c r="I1502" s="8"/>
      <c r="J1502" s="8"/>
    </row>
    <row r="1503" ht="21.0" customHeight="1">
      <c r="A1503" s="6">
        <v>1.0</v>
      </c>
      <c r="B1503" s="6">
        <v>138.0</v>
      </c>
      <c r="C1503" s="6">
        <v>9.0</v>
      </c>
      <c r="D1503" s="9" t="s">
        <v>1805</v>
      </c>
      <c r="E1503" s="9" t="s">
        <v>1806</v>
      </c>
      <c r="F1503" s="8" t="str">
        <f>IFERROR(__xludf.DUMMYFUNCTION("GOOGLETRANSLATE(D1503,""zh-CN"",""vi"")"),"Mũ che nắng thắt nơ")</f>
        <v>Mũ che nắng thắt nơ</v>
      </c>
      <c r="G1503" s="8" t="str">
        <f>IFERROR(__xludf.DUMMYFUNCTION("GOOGLETRANSLATE(E1503,""zh-CN"",""vi"")"),"Một chiếc mũ chống nắng có nơ. Có thể tự chế tạo để tạo ra một chiếc mũ thời trang.")</f>
        <v>Một chiếc mũ chống nắng có nơ. Có thể tự chế tạo để tạo ra một chiếc mũ thời trang.</v>
      </c>
      <c r="H1503" s="8"/>
      <c r="I1503" s="8"/>
      <c r="J1503" s="8"/>
    </row>
    <row r="1504" ht="21.0" customHeight="1">
      <c r="A1504" s="6">
        <v>1.0</v>
      </c>
      <c r="B1504" s="6">
        <v>138.0</v>
      </c>
      <c r="C1504" s="6">
        <v>10.0</v>
      </c>
      <c r="D1504" s="9" t="s">
        <v>1807</v>
      </c>
      <c r="E1504" s="9" t="s">
        <v>1808</v>
      </c>
      <c r="F1504" s="8" t="str">
        <f>IFERROR(__xludf.DUMMYFUNCTION("GOOGLETRANSLATE(D1504,""zh-CN"",""vi"")"),"Mũ thời trang")</f>
        <v>Mũ thời trang</v>
      </c>
      <c r="G1504" s="8" t="str">
        <f>IFERROR(__xludf.DUMMYFUNCTION("GOOGLETRANSLATE(E1504,""zh-CN"",""vi"")"),"Một chiếc mũ trang trí từ buổi trình diễn thời trang. Có thể chế tác nó để tạo ra một chiếc mũ lông vũ.")</f>
        <v>Một chiếc mũ trang trí từ buổi trình diễn thời trang. Có thể chế tác nó để tạo ra một chiếc mũ lông vũ.</v>
      </c>
      <c r="H1504" s="8"/>
      <c r="I1504" s="8"/>
      <c r="J1504" s="8"/>
    </row>
    <row r="1505" ht="21.0" customHeight="1">
      <c r="A1505" s="6">
        <v>1.0</v>
      </c>
      <c r="B1505" s="6">
        <v>138.0</v>
      </c>
      <c r="C1505" s="6">
        <v>11.0</v>
      </c>
      <c r="D1505" s="9" t="s">
        <v>1809</v>
      </c>
      <c r="E1505" s="9" t="s">
        <v>1810</v>
      </c>
      <c r="F1505" s="8" t="str">
        <f>IFERROR(__xludf.DUMMYFUNCTION("GOOGLETRANSLATE(D1505,""zh-CN"",""vi"")"),"Mũ lông vũ")</f>
        <v>Mũ lông vũ</v>
      </c>
      <c r="G1505" s="8" t="str">
        <f>IFERROR(__xludf.DUMMYFUNCTION("GOOGLETRANSLATE(E1505,""zh-CN"",""vi"")"),"Một chiếc lông vũ được gắn ở một bên của chiếc mũ. Có thể dùng chiếc mũ này để chế tác thành một chiếc mũ ren.")</f>
        <v>Một chiếc lông vũ được gắn ở một bên của chiếc mũ. Có thể dùng chiếc mũ này để chế tác thành một chiếc mũ ren.</v>
      </c>
      <c r="H1505" s="8"/>
      <c r="I1505" s="8"/>
      <c r="J1505" s="8"/>
    </row>
    <row r="1506" ht="21.0" customHeight="1">
      <c r="A1506" s="6">
        <v>1.0</v>
      </c>
      <c r="B1506" s="6">
        <v>138.0</v>
      </c>
      <c r="C1506" s="6">
        <v>12.0</v>
      </c>
      <c r="D1506" s="9" t="s">
        <v>1811</v>
      </c>
      <c r="E1506" s="9" t="s">
        <v>1812</v>
      </c>
      <c r="F1506" s="8" t="str">
        <f>IFERROR(__xludf.DUMMYFUNCTION("GOOGLETRANSLATE(D1506,""zh-CN"",""vi"")"),"Mũ ren")</f>
        <v>Mũ ren</v>
      </c>
      <c r="G1506" s="8" t="str">
        <f>IFERROR(__xludf.DUMMYFUNCTION("GOOGLETRANSLATE(E1506,""zh-CN"",""vi"")"),"Một chiếc mũ được trang trí bằng ren ở bên hông. Nó được chế tác ở mức độ hoàn hảo nhất.")</f>
        <v>Một chiếc mũ được trang trí bằng ren ở bên hông. Nó được chế tác ở mức độ hoàn hảo nhất.</v>
      </c>
      <c r="H1506" s="8"/>
      <c r="I1506" s="8"/>
      <c r="J1506" s="8"/>
    </row>
    <row r="1507" ht="21.0" customHeight="1">
      <c r="A1507" s="6">
        <v>11.0</v>
      </c>
      <c r="B1507" s="6">
        <v>1016.0</v>
      </c>
      <c r="C1507" s="6">
        <v>1.0</v>
      </c>
      <c r="D1507" s="9" t="s">
        <v>1813</v>
      </c>
      <c r="E1507" s="9" t="s">
        <v>1814</v>
      </c>
      <c r="F1507" s="8" t="str">
        <f>IFERROR(__xludf.DUMMYFUNCTION("GOOGLETRANSLATE(D1507,""zh-CN"",""vi"")"),"bộ son môi")</f>
        <v>bộ son môi</v>
      </c>
      <c r="G1507" s="8" t="str">
        <f>IFERROR(__xludf.DUMMYFUNCTION("GOOGLETRANSLATE(E1507,""zh-CN"",""vi"")"),"Bộ dụng cụ làm đẹp cơ bản. Tổng hợp lên cấp 5 để nhận được Cây mẹ.")</f>
        <v>Bộ dụng cụ làm đẹp cơ bản. Tổng hợp lên cấp 5 để nhận được Cây mẹ.</v>
      </c>
      <c r="H1507" s="8"/>
      <c r="I1507" s="8"/>
      <c r="J1507" s="8"/>
    </row>
    <row r="1508" ht="21.0" customHeight="1">
      <c r="A1508" s="6">
        <v>11.0</v>
      </c>
      <c r="B1508" s="6">
        <v>1016.0</v>
      </c>
      <c r="C1508" s="6">
        <v>2.0</v>
      </c>
      <c r="D1508" s="9" t="s">
        <v>1815</v>
      </c>
      <c r="E1508" s="9" t="s">
        <v>1816</v>
      </c>
      <c r="F1508" s="8" t="str">
        <f>IFERROR(__xludf.DUMMYFUNCTION("GOOGLETRANSLATE(D1508,""zh-CN"",""vi"")"),"Hộp làm đẹp")</f>
        <v>Hộp làm đẹp</v>
      </c>
      <c r="G1508" s="8" t="str">
        <f>IFERROR(__xludf.DUMMYFUNCTION("GOOGLETRANSLATE(E1508,""zh-CN"",""vi"")"),"Bộ dụng cụ làm đẹp dành cho người mới bắt đầu. Nâng cấp lên cấp độ 5 để thu được cây trồng chính.")</f>
        <v>Bộ dụng cụ làm đẹp dành cho người mới bắt đầu. Nâng cấp lên cấp độ 5 để thu được cây trồng chính.</v>
      </c>
      <c r="H1508" s="8"/>
      <c r="I1508" s="8"/>
      <c r="J1508" s="8"/>
    </row>
    <row r="1509" ht="21.0" customHeight="1">
      <c r="A1509" s="6">
        <v>11.0</v>
      </c>
      <c r="B1509" s="6">
        <v>1016.0</v>
      </c>
      <c r="C1509" s="6">
        <v>3.0</v>
      </c>
      <c r="D1509" s="11" t="s">
        <v>1817</v>
      </c>
      <c r="E1509" s="9" t="s">
        <v>1818</v>
      </c>
      <c r="F1509" s="8" t="str">
        <f>IFERROR(__xludf.DUMMYFUNCTION("GOOGLETRANSLATE(D1509,""zh-CN"",""vi"")"),"Túi đựng mỹ phẩm")</f>
        <v>Túi đựng mỹ phẩm</v>
      </c>
      <c r="G1509" s="8" t="str">
        <f>IFERROR(__xludf.DUMMYFUNCTION("GOOGLETRANSLATE(E1509,""zh-CN"",""vi"")"),"Túi đựng mỹ phẩm di động, vật dụng không thể thiếu khi đi du lịch. Tổng hợp lên cấp 5 để nhận được cây trồng mẹ.")</f>
        <v>Túi đựng mỹ phẩm di động, vật dụng không thể thiếu khi đi du lịch. Tổng hợp lên cấp 5 để nhận được cây trồng mẹ.</v>
      </c>
      <c r="H1509" s="8"/>
      <c r="I1509" s="8"/>
      <c r="J1509" s="8"/>
    </row>
    <row r="1510" ht="21.0" customHeight="1">
      <c r="A1510" s="6">
        <v>11.0</v>
      </c>
      <c r="B1510" s="6">
        <v>1016.0</v>
      </c>
      <c r="C1510" s="6">
        <v>4.0</v>
      </c>
      <c r="D1510" s="9" t="s">
        <v>1819</v>
      </c>
      <c r="E1510" s="9" t="s">
        <v>1820</v>
      </c>
      <c r="F1510" s="8" t="str">
        <f>IFERROR(__xludf.DUMMYFUNCTION("GOOGLETRANSLATE(D1510,""zh-CN"",""vi"")"),"Túi tròn đẹp")</f>
        <v>Túi tròn đẹp</v>
      </c>
      <c r="G1510" s="8" t="str">
        <f>IFERROR(__xludf.DUMMYFUNCTION("GOOGLETRANSLATE(E1510,""zh-CN"",""vi"")"),"Một chiếc túi đựng mỹ phẩm hình trụ. Hãy tổng hợp nó lên cấp độ 5 để thu được cây trồng mẹ.")</f>
        <v>Một chiếc túi đựng mỹ phẩm hình trụ. Hãy tổng hợp nó lên cấp độ 5 để thu được cây trồng mẹ.</v>
      </c>
      <c r="H1510" s="8"/>
      <c r="I1510" s="8"/>
      <c r="J1510" s="8"/>
    </row>
    <row r="1511" ht="21.0" customHeight="1">
      <c r="A1511" s="6">
        <v>10.0</v>
      </c>
      <c r="B1511" s="6">
        <v>1016.0</v>
      </c>
      <c r="C1511" s="6">
        <v>5.0</v>
      </c>
      <c r="D1511" s="9" t="s">
        <v>1821</v>
      </c>
      <c r="E1511" s="9" t="s">
        <v>1822</v>
      </c>
      <c r="F1511" s="8" t="str">
        <f>IFERROR(__xludf.DUMMYFUNCTION("GOOGLETRANSLATE(D1511,""zh-CN"",""vi"")"),"Túi đeo chéo đựng mỹ phẩm")</f>
        <v>Túi đeo chéo đựng mỹ phẩm</v>
      </c>
      <c r="G1511" s="8" t="str">
        <f>IFERROR(__xludf.DUMMYFUNCTION("GOOGLETRANSLATE(E1511,""zh-CN"",""vi"")"),"Một chiếc túi đựng mỹ phẩm cỡ trung bình với sức chứa đáng kinh ngạc. Có thể được biến tấu thành hộp đựng mỹ phẩm.")</f>
        <v>Một chiếc túi đựng mỹ phẩm cỡ trung bình với sức chứa đáng kinh ngạc. Có thể được biến tấu thành hộp đựng mỹ phẩm.</v>
      </c>
      <c r="H1511" s="8"/>
      <c r="I1511" s="8"/>
      <c r="J1511" s="8"/>
    </row>
    <row r="1512" ht="21.0" customHeight="1">
      <c r="A1512" s="6">
        <v>10.0</v>
      </c>
      <c r="B1512" s="6">
        <v>1016.0</v>
      </c>
      <c r="C1512" s="6">
        <v>6.0</v>
      </c>
      <c r="D1512" s="9" t="s">
        <v>1823</v>
      </c>
      <c r="E1512" s="9" t="s">
        <v>1824</v>
      </c>
      <c r="F1512" s="8" t="str">
        <f>IFERROR(__xludf.DUMMYFUNCTION("GOOGLETRANSLATE(D1512,""zh-CN"",""vi"")"),"Hộp làm đẹp")</f>
        <v>Hộp làm đẹp</v>
      </c>
      <c r="G1512" s="8" t="str">
        <f>IFERROR(__xludf.DUMMYFUNCTION("GOOGLETRANSLATE(E1512,""zh-CN"",""vi"")"),"Một hộp trang điểm sang trọng có thể chứa rất nhiều dụng cụ trang điểm. Hãy chế tạo nó để có được một bàn trang điểm.")</f>
        <v>Một hộp trang điểm sang trọng có thể chứa rất nhiều dụng cụ trang điểm. Hãy chế tạo nó để có được một bàn trang điểm.</v>
      </c>
      <c r="H1512" s="8"/>
      <c r="I1512" s="8"/>
      <c r="J1512" s="8"/>
    </row>
    <row r="1513" ht="21.0" customHeight="1">
      <c r="A1513" s="6">
        <v>10.0</v>
      </c>
      <c r="B1513" s="6">
        <v>1016.0</v>
      </c>
      <c r="C1513" s="6">
        <v>7.0</v>
      </c>
      <c r="D1513" s="9" t="s">
        <v>1825</v>
      </c>
      <c r="E1513" s="9" t="s">
        <v>1826</v>
      </c>
      <c r="F1513" s="8" t="str">
        <f>IFERROR(__xludf.DUMMYFUNCTION("GOOGLETRANSLATE(D1513,""zh-CN"",""vi"")"),"Bàn trang điểm")</f>
        <v>Bàn trang điểm</v>
      </c>
      <c r="G1513" s="8" t="str">
        <f>IFERROR(__xludf.DUMMYFUNCTION("GOOGLETRANSLATE(E1513,""zh-CN"",""vi"")"),"Một chiếc bàn trang điểm có nhiều không gian lưu trữ. Có thể được chế tạo thành bàn trang điểm hai tầng.")</f>
        <v>Một chiếc bàn trang điểm có nhiều không gian lưu trữ. Có thể được chế tạo thành bàn trang điểm hai tầng.</v>
      </c>
      <c r="H1513" s="8"/>
      <c r="I1513" s="8"/>
      <c r="J1513" s="8"/>
    </row>
    <row r="1514" ht="21.0" customHeight="1">
      <c r="A1514" s="6">
        <v>10.0</v>
      </c>
      <c r="B1514" s="6">
        <v>1016.0</v>
      </c>
      <c r="C1514" s="6">
        <v>8.0</v>
      </c>
      <c r="D1514" s="9" t="s">
        <v>1827</v>
      </c>
      <c r="E1514" s="9" t="s">
        <v>1828</v>
      </c>
      <c r="F1514" s="8" t="str">
        <f>IFERROR(__xludf.DUMMYFUNCTION("GOOGLETRANSLATE(D1514,""zh-CN"",""vi"")"),"Bàn trang điểm hai lớp")</f>
        <v>Bàn trang điểm hai lớp</v>
      </c>
      <c r="G1514" s="8" t="str">
        <f>IFERROR(__xludf.DUMMYFUNCTION("GOOGLETRANSLATE(E1514,""zh-CN"",""vi"")"),"Nên đặt gì lên mỗi lớp trong hai lớp đó? Kết hợp chúng lại sẽ tạo thành một hộp quà tặng làm đẹp.")</f>
        <v>Nên đặt gì lên mỗi lớp trong hai lớp đó? Kết hợp chúng lại sẽ tạo thành một hộp quà tặng làm đẹp.</v>
      </c>
      <c r="H1514" s="8"/>
      <c r="I1514" s="8"/>
      <c r="J1514" s="8"/>
    </row>
    <row r="1515" ht="21.0" customHeight="1">
      <c r="A1515" s="6">
        <v>10.0</v>
      </c>
      <c r="B1515" s="6">
        <v>1016.0</v>
      </c>
      <c r="C1515" s="6">
        <v>9.0</v>
      </c>
      <c r="D1515" s="9" t="s">
        <v>1829</v>
      </c>
      <c r="E1515" s="9" t="s">
        <v>1830</v>
      </c>
      <c r="F1515" s="8" t="str">
        <f>IFERROR(__xludf.DUMMYFUNCTION("GOOGLETRANSLATE(D1515,""zh-CN"",""vi"")"),"Hộp quà tặng làm đẹp")</f>
        <v>Hộp quà tặng làm đẹp</v>
      </c>
      <c r="G1515" s="8" t="str">
        <f>IFERROR(__xludf.DUMMYFUNCTION("GOOGLETRANSLATE(E1515,""zh-CN"",""vi"")"),"Hộp quà làm đẹp mà Xiaomei nhận được. Khi kết hợp lại, nó có thể tạo thành một tủ đựng mỹ phẩm.")</f>
        <v>Hộp quà làm đẹp mà Xiaomei nhận được. Khi kết hợp lại, nó có thể tạo thành một tủ đựng mỹ phẩm.</v>
      </c>
      <c r="H1515" s="8"/>
      <c r="I1515" s="8"/>
      <c r="J1515" s="8"/>
    </row>
    <row r="1516" ht="21.0" customHeight="1">
      <c r="A1516" s="6">
        <v>10.0</v>
      </c>
      <c r="B1516" s="6">
        <v>1016.0</v>
      </c>
      <c r="C1516" s="6">
        <v>10.0</v>
      </c>
      <c r="D1516" s="9" t="s">
        <v>1831</v>
      </c>
      <c r="E1516" s="9" t="s">
        <v>1832</v>
      </c>
      <c r="F1516" s="8" t="str">
        <f>IFERROR(__xludf.DUMMYFUNCTION("GOOGLETRANSLATE(D1516,""zh-CN"",""vi"")"),"Tủ mỹ phẩm")</f>
        <v>Tủ mỹ phẩm</v>
      </c>
      <c r="G1516" s="8" t="str">
        <f>IFERROR(__xludf.DUMMYFUNCTION("GOOGLETRANSLATE(E1516,""zh-CN"",""vi"")"),"Một loạt các sản phẩm làm đẹp rực rỡ. Bắt mắt. Đã được nâng cấp lên cấp độ cao nhất.")</f>
        <v>Một loạt các sản phẩm làm đẹp rực rỡ. Bắt mắt. Đã được nâng cấp lên cấp độ cao nhất.</v>
      </c>
      <c r="H1516" s="8"/>
      <c r="I1516" s="8"/>
      <c r="J1516" s="8"/>
    </row>
    <row r="1517" ht="21.0" customHeight="1">
      <c r="A1517" s="6">
        <v>1.0</v>
      </c>
      <c r="B1517" s="6">
        <v>130.0</v>
      </c>
      <c r="C1517" s="6">
        <v>1.0</v>
      </c>
      <c r="D1517" s="9" t="s">
        <v>1833</v>
      </c>
      <c r="E1517" s="9" t="s">
        <v>1834</v>
      </c>
      <c r="F1517" s="8" t="str">
        <f>IFERROR(__xludf.DUMMYFUNCTION("GOOGLETRANSLATE(D1517,""zh-CN"",""vi"")"),"sự thành lập")</f>
        <v>sự thành lập</v>
      </c>
      <c r="G1517" s="8" t="str">
        <f>IFERROR(__xludf.DUMMYFUNCTION("GOOGLETRANSLATE(E1517,""zh-CN"",""vi"")"),"Một chiếc hộp cơ bản. Sau khi chế tác xong sẽ tạo ra một chiếc lược.")</f>
        <v>Một chiếc hộp cơ bản. Sau khi chế tác xong sẽ tạo ra một chiếc lược.</v>
      </c>
      <c r="H1517" s="8"/>
      <c r="I1517" s="8"/>
      <c r="J1517" s="8"/>
    </row>
    <row r="1518" ht="21.0" customHeight="1">
      <c r="A1518" s="6">
        <v>1.0</v>
      </c>
      <c r="B1518" s="6">
        <v>130.0</v>
      </c>
      <c r="C1518" s="6">
        <v>2.0</v>
      </c>
      <c r="D1518" s="9" t="s">
        <v>1835</v>
      </c>
      <c r="E1518" s="9" t="s">
        <v>1836</v>
      </c>
      <c r="F1518" s="8" t="str">
        <f>IFERROR(__xludf.DUMMYFUNCTION("GOOGLETRANSLATE(D1518,""zh-CN"",""vi"")"),"cái lược")</f>
        <v>cái lược</v>
      </c>
      <c r="G1518" s="8" t="str">
        <f>IFERROR(__xludf.DUMMYFUNCTION("GOOGLETRANSLATE(E1518,""zh-CN"",""vi"")"),"Lược nhựa thông thường. Chúng có thể được tổng hợp để tạo ra dây buộc tóc.")</f>
        <v>Lược nhựa thông thường. Chúng có thể được tổng hợp để tạo ra dây buộc tóc.</v>
      </c>
      <c r="H1518" s="8"/>
      <c r="I1518" s="8"/>
      <c r="J1518" s="8"/>
    </row>
    <row r="1519" ht="21.0" customHeight="1">
      <c r="A1519" s="6">
        <v>1.0</v>
      </c>
      <c r="B1519" s="6">
        <v>130.0</v>
      </c>
      <c r="C1519" s="6">
        <v>3.0</v>
      </c>
      <c r="D1519" s="9" t="s">
        <v>1837</v>
      </c>
      <c r="E1519" s="9" t="s">
        <v>1838</v>
      </c>
      <c r="F1519" s="8" t="str">
        <f>IFERROR(__xludf.DUMMYFUNCTION("GOOGLETRANSLATE(D1519,""zh-CN"",""vi"")"),"Dây buộc tóc")</f>
        <v>Dây buộc tóc</v>
      </c>
      <c r="G1519" s="8" t="str">
        <f>IFERROR(__xludf.DUMMYFUNCTION("GOOGLETRANSLATE(E1519,""zh-CN"",""vi"")"),"Bạn có thể kết hợp những chiếc dây buộc tóc hình tai thỏ để tạo thành khẩu trang.")</f>
        <v>Bạn có thể kết hợp những chiếc dây buộc tóc hình tai thỏ để tạo thành khẩu trang.</v>
      </c>
      <c r="H1519" s="8"/>
      <c r="I1519" s="8"/>
      <c r="J1519" s="8"/>
    </row>
    <row r="1520" ht="21.0" customHeight="1">
      <c r="A1520" s="6">
        <v>1.0</v>
      </c>
      <c r="B1520" s="6">
        <v>130.0</v>
      </c>
      <c r="C1520" s="6">
        <v>4.0</v>
      </c>
      <c r="D1520" s="9" t="s">
        <v>1839</v>
      </c>
      <c r="E1520" s="9" t="s">
        <v>1840</v>
      </c>
      <c r="F1520" s="8" t="str">
        <f>IFERROR(__xludf.DUMMYFUNCTION("GOOGLETRANSLATE(D1520,""zh-CN"",""vi"")"),"Mặt nạ dưỡng da")</f>
        <v>Mặt nạ dưỡng da</v>
      </c>
      <c r="G1520" s="8" t="str">
        <f>IFERROR(__xludf.DUMMYFUNCTION("GOOGLETRANSLATE(E1520,""zh-CN"",""vi"")"),"Một loại mặt nạ dưỡng da trơn mượt, giàu độ ẩm. Có thể dùng để tổng hợp sơn móng tay.")</f>
        <v>Một loại mặt nạ dưỡng da trơn mượt, giàu độ ẩm. Có thể dùng để tổng hợp sơn móng tay.</v>
      </c>
      <c r="H1520" s="8"/>
      <c r="I1520" s="8"/>
      <c r="J1520" s="8"/>
    </row>
    <row r="1521" ht="21.0" customHeight="1">
      <c r="A1521" s="6">
        <v>1.0</v>
      </c>
      <c r="B1521" s="6">
        <v>130.0</v>
      </c>
      <c r="C1521" s="6">
        <v>5.0</v>
      </c>
      <c r="D1521" s="9" t="s">
        <v>1841</v>
      </c>
      <c r="E1521" s="9" t="s">
        <v>1842</v>
      </c>
      <c r="F1521" s="8" t="str">
        <f>IFERROR(__xludf.DUMMYFUNCTION("GOOGLETRANSLATE(D1521,""zh-CN"",""vi"")"),"sơn móng tay")</f>
        <v>sơn móng tay</v>
      </c>
      <c r="G1521" s="8" t="str">
        <f>IFERROR(__xludf.DUMMYFUNCTION("GOOGLETRANSLATE(E1521,""zh-CN"",""vi"")"),"Sơn móng tay màu đỏ, xu hướng thời trang mới được ưa chuộng. Hãy thử làm kem dưỡng da tay với màu sơn này.")</f>
        <v>Sơn móng tay màu đỏ, xu hướng thời trang mới được ưa chuộng. Hãy thử làm kem dưỡng da tay với màu sơn này.</v>
      </c>
      <c r="H1521" s="8"/>
      <c r="I1521" s="8"/>
      <c r="J1521" s="8"/>
    </row>
    <row r="1522" ht="21.0" customHeight="1">
      <c r="A1522" s="6">
        <v>1.0</v>
      </c>
      <c r="B1522" s="6">
        <v>130.0</v>
      </c>
      <c r="C1522" s="6">
        <v>6.0</v>
      </c>
      <c r="D1522" s="9" t="s">
        <v>1843</v>
      </c>
      <c r="E1522" s="9" t="s">
        <v>1844</v>
      </c>
      <c r="F1522" s="8" t="str">
        <f>IFERROR(__xludf.DUMMYFUNCTION("GOOGLETRANSLATE(D1522,""zh-CN"",""vi"")"),"kem dưỡng da tay")</f>
        <v>kem dưỡng da tay</v>
      </c>
      <c r="G1522" s="8" t="str">
        <f>IFERROR(__xludf.DUMMYFUNCTION("GOOGLETRANSLATE(E1522,""zh-CN"",""vi"")"),"Bạn có nhận ra nó không? Nó có thể được dùng để làm kem dưỡng da mặt.")</f>
        <v>Bạn có nhận ra nó không? Nó có thể được dùng để làm kem dưỡng da mặt.</v>
      </c>
      <c r="H1522" s="8"/>
      <c r="I1522" s="8"/>
      <c r="J1522" s="8"/>
    </row>
    <row r="1523" ht="21.0" customHeight="1">
      <c r="A1523" s="6">
        <v>1.0</v>
      </c>
      <c r="B1523" s="6">
        <v>130.0</v>
      </c>
      <c r="C1523" s="6">
        <v>7.0</v>
      </c>
      <c r="D1523" s="9" t="s">
        <v>1845</v>
      </c>
      <c r="E1523" s="9" t="s">
        <v>1846</v>
      </c>
      <c r="F1523" s="8" t="str">
        <f>IFERROR(__xludf.DUMMYFUNCTION("GOOGLETRANSLATE(D1523,""zh-CN"",""vi"")"),"kem")</f>
        <v>kem</v>
      </c>
      <c r="G1523" s="8" t="str">
        <f>IFERROR(__xludf.DUMMYFUNCTION("GOOGLETRANSLATE(E1523,""zh-CN"",""vi"")"),"Hãy nuông chiều từng tấc da của bạn. Hãy tự tay chế tác những loại nước hoa độc đáo.")</f>
        <v>Hãy nuông chiều từng tấc da của bạn. Hãy tự tay chế tác những loại nước hoa độc đáo.</v>
      </c>
      <c r="H1523" s="8"/>
      <c r="I1523" s="8"/>
      <c r="J1523" s="8"/>
    </row>
    <row r="1524" ht="21.0" customHeight="1">
      <c r="A1524" s="6">
        <v>1.0</v>
      </c>
      <c r="B1524" s="6">
        <v>130.0</v>
      </c>
      <c r="C1524" s="6">
        <v>8.0</v>
      </c>
      <c r="D1524" s="9" t="s">
        <v>1847</v>
      </c>
      <c r="E1524" s="9" t="s">
        <v>1848</v>
      </c>
      <c r="F1524" s="8" t="str">
        <f>IFERROR(__xludf.DUMMYFUNCTION("GOOGLETRANSLATE(D1524,""zh-CN"",""vi"")"),"nước hoa")</f>
        <v>nước hoa</v>
      </c>
      <c r="G1524" s="8" t="str">
        <f>IFERROR(__xludf.DUMMYFUNCTION("GOOGLETRANSLATE(E1524,""zh-CN"",""vi"")"),"Mở một cuốn sách có lợi ích, mở nắp sách sẽ tỏa ra hương thơm. Kết hợp hai việc này lại sẽ tạo ra một chiếc máy uốn tóc.")</f>
        <v>Mở một cuốn sách có lợi ích, mở nắp sách sẽ tỏa ra hương thơm. Kết hợp hai việc này lại sẽ tạo ra một chiếc máy uốn tóc.</v>
      </c>
      <c r="H1524" s="8"/>
      <c r="I1524" s="8"/>
      <c r="J1524" s="8"/>
    </row>
    <row r="1525" ht="21.0" customHeight="1">
      <c r="A1525" s="6">
        <v>1.0</v>
      </c>
      <c r="B1525" s="6">
        <v>130.0</v>
      </c>
      <c r="C1525" s="6">
        <v>9.0</v>
      </c>
      <c r="D1525" s="9" t="s">
        <v>1849</v>
      </c>
      <c r="E1525" s="9" t="s">
        <v>1850</v>
      </c>
      <c r="F1525" s="8" t="str">
        <f>IFERROR(__xludf.DUMMYFUNCTION("GOOGLETRANSLATE(D1525,""zh-CN"",""vi"")"),"máy uốn tóc")</f>
        <v>máy uốn tóc</v>
      </c>
      <c r="G1525" s="8" t="str">
        <f>IFERROR(__xludf.DUMMYFUNCTION("GOOGLETRANSLATE(E1525,""zh-CN"",""vi"")"),"Hãy tự tạo những con sóng lớn. Chế tạo chúng để có được một thiết bị triệt lông.")</f>
        <v>Hãy tự tạo những con sóng lớn. Chế tạo chúng để có được một thiết bị triệt lông.</v>
      </c>
      <c r="H1525" s="8"/>
      <c r="I1525" s="8"/>
      <c r="J1525" s="8"/>
    </row>
    <row r="1526" ht="21.0" customHeight="1">
      <c r="A1526" s="6">
        <v>1.0</v>
      </c>
      <c r="B1526" s="6">
        <v>130.0</v>
      </c>
      <c r="C1526" s="6">
        <v>10.0</v>
      </c>
      <c r="D1526" s="9" t="s">
        <v>1851</v>
      </c>
      <c r="E1526" s="9" t="s">
        <v>1852</v>
      </c>
      <c r="F1526" s="8" t="str">
        <f>IFERROR(__xludf.DUMMYFUNCTION("GOOGLETRANSLATE(D1526,""zh-CN"",""vi"")"),"thiết bị triệt lông")</f>
        <v>thiết bị triệt lông</v>
      </c>
      <c r="G1526" s="8" t="str">
        <f>IFERROR(__xludf.DUMMYFUNCTION("GOOGLETRANSLATE(E1526,""zh-CN"",""vi"")"),"Một thiết bị triệt lông êm ái và hiệu quả. Được thiết kế để hoạt động như một máy sấy tóc.")</f>
        <v>Một thiết bị triệt lông êm ái và hiệu quả. Được thiết kế để hoạt động như một máy sấy tóc.</v>
      </c>
      <c r="H1526" s="8"/>
      <c r="I1526" s="8"/>
      <c r="J1526" s="8"/>
    </row>
    <row r="1527" ht="21.0" customHeight="1">
      <c r="A1527" s="6">
        <v>1.0</v>
      </c>
      <c r="B1527" s="6">
        <v>130.0</v>
      </c>
      <c r="C1527" s="6">
        <v>11.0</v>
      </c>
      <c r="D1527" s="9" t="s">
        <v>1853</v>
      </c>
      <c r="E1527" s="9" t="s">
        <v>1854</v>
      </c>
      <c r="F1527" s="8" t="str">
        <f>IFERROR(__xludf.DUMMYFUNCTION("GOOGLETRANSLATE(D1527,""zh-CN"",""vi"")"),"Máy sấy tóc")</f>
        <v>Máy sấy tóc</v>
      </c>
      <c r="G1527" s="8" t="str">
        <f>IFERROR(__xludf.DUMMYFUNCTION("GOOGLETRANSLATE(E1527,""zh-CN"",""vi"")"),"Sấy tóc. Chế tạo nó để có được một thiết bị làm sạch da mặt.")</f>
        <v>Sấy tóc. Chế tạo nó để có được một thiết bị làm sạch da mặt.</v>
      </c>
      <c r="H1527" s="8"/>
      <c r="I1527" s="8"/>
      <c r="J1527" s="8"/>
    </row>
    <row r="1528" ht="21.0" customHeight="1">
      <c r="A1528" s="6">
        <v>1.0</v>
      </c>
      <c r="B1528" s="6">
        <v>130.0</v>
      </c>
      <c r="C1528" s="6">
        <v>12.0</v>
      </c>
      <c r="D1528" s="9" t="s">
        <v>1855</v>
      </c>
      <c r="E1528" s="9" t="s">
        <v>1856</v>
      </c>
      <c r="F1528" s="8" t="str">
        <f>IFERROR(__xludf.DUMMYFUNCTION("GOOGLETRANSLATE(D1528,""zh-CN"",""vi"")"),"Thiết bị làm sạch da mặt")</f>
        <v>Thiết bị làm sạch da mặt</v>
      </c>
      <c r="G1528" s="8" t="str">
        <f>IFERROR(__xludf.DUMMYFUNCTION("GOOGLETRANSLATE(E1528,""zh-CN"",""vi"")"),"Cọ rửa mặt, hiệu quả cao và không gây kích ứng. Có thể được tổng hợp để tạo thành thiết bị làm đẹp.")</f>
        <v>Cọ rửa mặt, hiệu quả cao và không gây kích ứng. Có thể được tổng hợp để tạo thành thiết bị làm đẹp.</v>
      </c>
      <c r="H1528" s="8"/>
      <c r="I1528" s="8"/>
      <c r="J1528" s="8"/>
    </row>
    <row r="1529" ht="21.0" customHeight="1">
      <c r="A1529" s="6">
        <v>1.0</v>
      </c>
      <c r="B1529" s="6">
        <v>130.0</v>
      </c>
      <c r="C1529" s="6">
        <v>13.0</v>
      </c>
      <c r="D1529" s="9" t="s">
        <v>1857</v>
      </c>
      <c r="E1529" s="9" t="s">
        <v>1858</v>
      </c>
      <c r="F1529" s="8" t="str">
        <f>IFERROR(__xludf.DUMMYFUNCTION("GOOGLETRANSLATE(D1529,""zh-CN"",""vi"")"),"Thiết bị làm đẹp")</f>
        <v>Thiết bị làm đẹp</v>
      </c>
      <c r="G1529" s="8" t="str">
        <f>IFERROR(__xludf.DUMMYFUNCTION("GOOGLETRANSLATE(E1529,""zh-CN"",""vi"")"),"Dụng cụ làm đẹp tiên tiến. Được nâng cấp lên cấp độ cao nhất.")</f>
        <v>Dụng cụ làm đẹp tiên tiến. Được nâng cấp lên cấp độ cao nhất.</v>
      </c>
      <c r="H1529" s="8"/>
      <c r="I1529" s="8"/>
      <c r="J1529" s="8"/>
    </row>
    <row r="1530" ht="21.0" customHeight="1">
      <c r="A1530" s="6">
        <v>1.0</v>
      </c>
      <c r="B1530" s="6">
        <v>131.0</v>
      </c>
      <c r="C1530" s="6">
        <v>1.0</v>
      </c>
      <c r="D1530" s="9" t="s">
        <v>1859</v>
      </c>
      <c r="E1530" s="9" t="s">
        <v>1860</v>
      </c>
      <c r="F1530" s="8" t="str">
        <f>IFERROR(__xludf.DUMMYFUNCTION("GOOGLETRANSLATE(D1530,""zh-CN"",""vi"")"),"nấm thông thường")</f>
        <v>nấm thông thường</v>
      </c>
      <c r="G1530" s="8" t="str">
        <f>IFERROR(__xludf.DUMMYFUNCTION("GOOGLETRANSLATE(E1530,""zh-CN"",""vi"")"),"Những cây nấm nhỏ màu trắng, thường được tìm thấy ở vùng núi. Chúng có thể được chế biến để thu được nấm xanh.")</f>
        <v>Những cây nấm nhỏ màu trắng, thường được tìm thấy ở vùng núi. Chúng có thể được chế biến để thu được nấm xanh.</v>
      </c>
      <c r="H1530" s="8"/>
      <c r="I1530" s="8"/>
      <c r="J1530" s="8"/>
    </row>
    <row r="1531" ht="21.0" customHeight="1">
      <c r="A1531" s="6">
        <v>1.0</v>
      </c>
      <c r="B1531" s="6">
        <v>131.0</v>
      </c>
      <c r="C1531" s="6">
        <v>2.0</v>
      </c>
      <c r="D1531" s="9" t="s">
        <v>1861</v>
      </c>
      <c r="E1531" s="9" t="s">
        <v>1862</v>
      </c>
      <c r="F1531" s="8" t="str">
        <f>IFERROR(__xludf.DUMMYFUNCTION("GOOGLETRANSLATE(D1531,""zh-CN"",""vi"")"),"Nấm xanh")</f>
        <v>Nấm xanh</v>
      </c>
      <c r="G1531" s="8" t="str">
        <f>IFERROR(__xludf.DUMMYFUNCTION("GOOGLETRANSLATE(E1531,""zh-CN"",""vi"")"),"Hai cây nấm xanh, một cây cao và một cây thấp. Kết hợp chúng lại để được một cây nấm xanh dương.")</f>
        <v>Hai cây nấm xanh, một cây cao và một cây thấp. Kết hợp chúng lại để được một cây nấm xanh dương.</v>
      </c>
      <c r="H1531" s="8"/>
      <c r="I1531" s="8"/>
      <c r="J1531" s="8"/>
    </row>
    <row r="1532" ht="21.0" customHeight="1">
      <c r="A1532" s="6">
        <v>1.0</v>
      </c>
      <c r="B1532" s="6">
        <v>131.0</v>
      </c>
      <c r="C1532" s="6">
        <v>3.0</v>
      </c>
      <c r="D1532" s="9" t="s">
        <v>1863</v>
      </c>
      <c r="E1532" s="9" t="s">
        <v>1864</v>
      </c>
      <c r="F1532" s="8" t="str">
        <f>IFERROR(__xludf.DUMMYFUNCTION("GOOGLETRANSLATE(D1532,""zh-CN"",""vi"")"),"Nấm xanh")</f>
        <v>Nấm xanh</v>
      </c>
      <c r="G1532" s="8" t="str">
        <f>IFERROR(__xludf.DUMMYFUNCTION("GOOGLETRANSLATE(E1532,""zh-CN"",""vi"")"),"Nấm xanh mọc trong sân. Có thể chế biến chúng để thu được nấm tím.")</f>
        <v>Nấm xanh mọc trong sân. Có thể chế biến chúng để thu được nấm tím.</v>
      </c>
      <c r="H1532" s="8"/>
      <c r="I1532" s="8"/>
      <c r="J1532" s="8"/>
    </row>
    <row r="1533" ht="21.0" customHeight="1">
      <c r="A1533" s="6">
        <v>1.0</v>
      </c>
      <c r="B1533" s="6">
        <v>131.0</v>
      </c>
      <c r="C1533" s="6">
        <v>4.0</v>
      </c>
      <c r="D1533" s="9" t="s">
        <v>1865</v>
      </c>
      <c r="E1533" s="9" t="s">
        <v>1866</v>
      </c>
      <c r="F1533" s="8" t="str">
        <f>IFERROR(__xludf.DUMMYFUNCTION("GOOGLETRANSLATE(D1533,""zh-CN"",""vi"")"),"Nấm tím")</f>
        <v>Nấm tím</v>
      </c>
      <c r="G1533" s="8" t="str">
        <f>IFERROR(__xludf.DUMMYFUNCTION("GOOGLETRANSLATE(E1533,""zh-CN"",""vi"")"),"Đừng thử những loại nấm nhiều màu sắc! Chúng có thể kết hợp với nhau để tạo ra nấm màu cam.")</f>
        <v>Đừng thử những loại nấm nhiều màu sắc! Chúng có thể kết hợp với nhau để tạo ra nấm màu cam.</v>
      </c>
      <c r="H1533" s="8"/>
      <c r="I1533" s="8"/>
      <c r="J1533" s="8"/>
    </row>
    <row r="1534" ht="21.0" customHeight="1">
      <c r="A1534" s="6">
        <v>1.0</v>
      </c>
      <c r="B1534" s="6">
        <v>131.0</v>
      </c>
      <c r="C1534" s="6">
        <v>5.0</v>
      </c>
      <c r="D1534" s="9" t="s">
        <v>1867</v>
      </c>
      <c r="E1534" s="9" t="s">
        <v>1868</v>
      </c>
      <c r="F1534" s="8" t="str">
        <f>IFERROR(__xludf.DUMMYFUNCTION("GOOGLETRANSLATE(D1534,""zh-CN"",""vi"")"),"Nấm cam")</f>
        <v>Nấm cam</v>
      </c>
      <c r="G1534" s="8" t="str">
        <f>IFERROR(__xludf.DUMMYFUNCTION("GOOGLETRANSLATE(E1534,""zh-CN"",""vi"")"),"Một cây nấm màu cam rực rỡ. Có thể chế tác nó thành một cây nấm màu đỏ.")</f>
        <v>Một cây nấm màu cam rực rỡ. Có thể chế tác nó thành một cây nấm màu đỏ.</v>
      </c>
      <c r="H1534" s="8"/>
      <c r="I1534" s="8"/>
      <c r="J1534" s="8"/>
    </row>
    <row r="1535" ht="21.0" customHeight="1">
      <c r="A1535" s="6">
        <v>1.0</v>
      </c>
      <c r="B1535" s="6">
        <v>131.0</v>
      </c>
      <c r="C1535" s="6">
        <v>6.0</v>
      </c>
      <c r="D1535" s="9" t="s">
        <v>1869</v>
      </c>
      <c r="E1535" s="9" t="s">
        <v>1870</v>
      </c>
      <c r="F1535" s="8" t="str">
        <f>IFERROR(__xludf.DUMMYFUNCTION("GOOGLETRANSLATE(D1535,""zh-CN"",""vi"")"),"Nấm đỏ")</f>
        <v>Nấm đỏ</v>
      </c>
      <c r="G1535" s="8" t="str">
        <f>IFERROR(__xludf.DUMMYFUNCTION("GOOGLETRANSLATE(E1535,""zh-CN"",""vi"")"),"Đây là loại nấm mà Xiaomei thích hái. Chúng có thể được kết hợp để tạo ra Nấm Ô Đỏ.")</f>
        <v>Đây là loại nấm mà Xiaomei thích hái. Chúng có thể được kết hợp để tạo ra Nấm Ô Đỏ.</v>
      </c>
      <c r="H1535" s="8"/>
      <c r="I1535" s="8"/>
      <c r="J1535" s="8"/>
    </row>
    <row r="1536" ht="21.0" customHeight="1">
      <c r="A1536" s="6">
        <v>1.0</v>
      </c>
      <c r="B1536" s="6">
        <v>131.0</v>
      </c>
      <c r="C1536" s="6">
        <v>7.0</v>
      </c>
      <c r="D1536" s="9" t="s">
        <v>1871</v>
      </c>
      <c r="E1536" s="9" t="s">
        <v>1872</v>
      </c>
      <c r="F1536" s="8" t="str">
        <f>IFERROR(__xludf.DUMMYFUNCTION("GOOGLETRANSLATE(D1536,""zh-CN"",""vi"")"),"Nấm ô đỏ")</f>
        <v>Nấm ô đỏ</v>
      </c>
      <c r="G1536" s="8" t="str">
        <f>IFERROR(__xludf.DUMMYFUNCTION("GOOGLETRANSLATE(E1536,""zh-CN"",""vi"")"),"Một hình dạng chiếc ô kỳ lạ. Có thể chế tạo nó để tạo ra một cây nấm sọc vàng.")</f>
        <v>Một hình dạng chiếc ô kỳ lạ. Có thể chế tạo nó để tạo ra một cây nấm sọc vàng.</v>
      </c>
      <c r="H1536" s="8"/>
      <c r="I1536" s="8"/>
      <c r="J1536" s="8"/>
    </row>
    <row r="1537" ht="21.0" customHeight="1">
      <c r="A1537" s="6">
        <v>1.0</v>
      </c>
      <c r="B1537" s="6">
        <v>131.0</v>
      </c>
      <c r="C1537" s="6">
        <v>8.0</v>
      </c>
      <c r="D1537" s="9" t="s">
        <v>1873</v>
      </c>
      <c r="E1537" s="9" t="s">
        <v>1874</v>
      </c>
      <c r="F1537" s="8" t="str">
        <f>IFERROR(__xludf.DUMMYFUNCTION("GOOGLETRANSLATE(D1537,""zh-CN"",""vi"")"),"Nấm sọc vàng")</f>
        <v>Nấm sọc vàng</v>
      </c>
      <c r="G1537" s="8" t="str">
        <f>IFERROR(__xludf.DUMMYFUNCTION("GOOGLETRANSLATE(E1537,""zh-CN"",""vi"")"),"Nó có những sọc đặc trưng. Có thể chế tạo nó để thu được một cây nấm màu hồng.")</f>
        <v>Nó có những sọc đặc trưng. Có thể chế tạo nó để thu được một cây nấm màu hồng.</v>
      </c>
      <c r="H1537" s="8"/>
      <c r="I1537" s="8"/>
      <c r="J1537" s="8"/>
    </row>
    <row r="1538" ht="21.0" customHeight="1">
      <c r="A1538" s="6">
        <v>1.0</v>
      </c>
      <c r="B1538" s="6">
        <v>131.0</v>
      </c>
      <c r="C1538" s="6">
        <v>9.0</v>
      </c>
      <c r="D1538" s="9" t="s">
        <v>1875</v>
      </c>
      <c r="E1538" s="9" t="s">
        <v>1876</v>
      </c>
      <c r="F1538" s="8" t="str">
        <f>IFERROR(__xludf.DUMMYFUNCTION("GOOGLETRANSLATE(D1538,""zh-CN"",""vi"")"),"Nấm hồng")</f>
        <v>Nấm hồng</v>
      </c>
      <c r="G1538" s="8" t="str">
        <f>IFERROR(__xludf.DUMMYFUNCTION("GOOGLETRANSLATE(E1538,""zh-CN"",""vi"")"),"Nhìn quá lâu sẽ khiến mắt bạn chóng mặt. Bạn có thể chế tạo Nấm đốm tím.")</f>
        <v>Nhìn quá lâu sẽ khiến mắt bạn chóng mặt. Bạn có thể chế tạo Nấm đốm tím.</v>
      </c>
      <c r="H1538" s="8"/>
      <c r="I1538" s="8"/>
      <c r="J1538" s="8"/>
    </row>
    <row r="1539" ht="21.0" customHeight="1">
      <c r="A1539" s="6">
        <v>1.0</v>
      </c>
      <c r="B1539" s="6">
        <v>131.0</v>
      </c>
      <c r="C1539" s="6">
        <v>10.0</v>
      </c>
      <c r="D1539" s="9" t="s">
        <v>1877</v>
      </c>
      <c r="E1539" s="9" t="s">
        <v>1878</v>
      </c>
      <c r="F1539" s="8" t="str">
        <f>IFERROR(__xludf.DUMMYFUNCTION("GOOGLETRANSLATE(D1539,""zh-CN"",""vi"")"),"nấm đốm tím")</f>
        <v>nấm đốm tím</v>
      </c>
      <c r="G1539" s="8" t="str">
        <f>IFERROR(__xludf.DUMMYFUNCTION("GOOGLETRANSLATE(E1539,""zh-CN"",""vi"")"),"Cảnh báo này trông rất nguy hiểm; hãy cảnh giác. Mức độ nguy hiểm đã được nâng cấp lên mức cao nhất.")</f>
        <v>Cảnh báo này trông rất nguy hiểm; hãy cảnh giác. Mức độ nguy hiểm đã được nâng cấp lên mức cao nhất.</v>
      </c>
      <c r="H1539" s="8"/>
      <c r="I1539" s="8"/>
      <c r="J1539" s="8"/>
    </row>
    <row r="1540" ht="21.0" customHeight="1">
      <c r="A1540" s="6">
        <v>1.0</v>
      </c>
      <c r="B1540" s="6">
        <v>132.0</v>
      </c>
      <c r="C1540" s="6">
        <v>1.0</v>
      </c>
      <c r="D1540" s="9" t="s">
        <v>1879</v>
      </c>
      <c r="E1540" s="9" t="s">
        <v>1880</v>
      </c>
      <c r="F1540" s="8" t="str">
        <f>IFERROR(__xludf.DUMMYFUNCTION("GOOGLETRANSLATE(D1540,""zh-CN"",""vi"")"),"nhộng")</f>
        <v>nhộng</v>
      </c>
      <c r="G1540" s="8" t="str">
        <f>IFERROR(__xludf.DUMMYFUNCTION("GOOGLETRANSLATE(E1540,""zh-CN"",""vi"")"),"Nhộng bướm. Khi kết hợp lại, chúng tạo thành một hình mẫu bướm hoàn chỉnh.")</f>
        <v>Nhộng bướm. Khi kết hợp lại, chúng tạo thành một hình mẫu bướm hoàn chỉnh.</v>
      </c>
      <c r="H1540" s="8"/>
      <c r="I1540" s="8"/>
      <c r="J1540" s="8"/>
    </row>
    <row r="1541" ht="21.0" customHeight="1">
      <c r="A1541" s="6">
        <v>1.0</v>
      </c>
      <c r="B1541" s="6">
        <v>132.0</v>
      </c>
      <c r="C1541" s="6">
        <v>2.0</v>
      </c>
      <c r="D1541" s="9" t="s">
        <v>1881</v>
      </c>
      <c r="E1541" s="9" t="s">
        <v>1882</v>
      </c>
      <c r="F1541" s="8" t="str">
        <f>IFERROR(__xludf.DUMMYFUNCTION("GOOGLETRANSLATE(D1541,""zh-CN"",""vi"")"),"Nguyên mẫu bướm")</f>
        <v>Nguyên mẫu bướm</v>
      </c>
      <c r="G1541" s="8" t="str">
        <f>IFERROR(__xludf.DUMMYFUNCTION("GOOGLETRANSLATE(E1541,""zh-CN"",""vi"")"),"Nó dần dần biến thành hình dạng của một con bướm. Việc tổng hợp chúng sẽ tạo ra những con bướm con.")</f>
        <v>Nó dần dần biến thành hình dạng của một con bướm. Việc tổng hợp chúng sẽ tạo ra những con bướm con.</v>
      </c>
      <c r="H1541" s="8"/>
      <c r="I1541" s="8"/>
      <c r="J1541" s="8"/>
    </row>
    <row r="1542" ht="21.0" customHeight="1">
      <c r="A1542" s="6">
        <v>1.0</v>
      </c>
      <c r="B1542" s="6">
        <v>132.0</v>
      </c>
      <c r="C1542" s="6">
        <v>3.0</v>
      </c>
      <c r="D1542" s="9" t="s">
        <v>1883</v>
      </c>
      <c r="E1542" s="9" t="s">
        <v>1884</v>
      </c>
      <c r="F1542" s="8" t="str">
        <f>IFERROR(__xludf.DUMMYFUNCTION("GOOGLETRANSLATE(D1542,""zh-CN"",""vi"")"),"Những con bướm non")</f>
        <v>Những con bướm non</v>
      </c>
      <c r="G1542" s="8" t="str">
        <f>IFERROR(__xludf.DUMMYFUNCTION("GOOGLETRANSLATE(E1542,""zh-CN"",""vi"")"),"Hình ảnh một con bướm non. Thực hiện thao tác này sẽ tạo ra một con bướm màu xanh lam.")</f>
        <v>Hình ảnh một con bướm non. Thực hiện thao tác này sẽ tạo ra một con bướm màu xanh lam.</v>
      </c>
      <c r="H1542" s="8"/>
      <c r="I1542" s="8"/>
      <c r="J1542" s="8"/>
    </row>
    <row r="1543" ht="21.0" customHeight="1">
      <c r="A1543" s="6">
        <v>1.0</v>
      </c>
      <c r="B1543" s="6">
        <v>132.0</v>
      </c>
      <c r="C1543" s="6">
        <v>4.0</v>
      </c>
      <c r="D1543" s="9" t="s">
        <v>1885</v>
      </c>
      <c r="E1543" s="9" t="s">
        <v>1886</v>
      </c>
      <c r="F1543" s="8" t="str">
        <f>IFERROR(__xludf.DUMMYFUNCTION("GOOGLETRANSLATE(D1543,""zh-CN"",""vi"")"),"Bướm xanh")</f>
        <v>Bướm xanh</v>
      </c>
      <c r="G1543" s="8" t="str">
        <f>IFERROR(__xludf.DUMMYFUNCTION("GOOGLETRANSLATE(E1543,""zh-CN"",""vi"")"),"Một con bướm với những đốm xanh lam. Có thể chế tạo nó để có được Bướm Hoa.")</f>
        <v>Một con bướm với những đốm xanh lam. Có thể chế tạo nó để có được Bướm Hoa.</v>
      </c>
      <c r="H1543" s="8"/>
      <c r="I1543" s="8"/>
      <c r="J1543" s="8"/>
    </row>
    <row r="1544" ht="21.0" customHeight="1">
      <c r="A1544" s="6">
        <v>1.0</v>
      </c>
      <c r="B1544" s="6">
        <v>132.0</v>
      </c>
      <c r="C1544" s="6">
        <v>5.0</v>
      </c>
      <c r="D1544" s="9" t="s">
        <v>1887</v>
      </c>
      <c r="E1544" s="9" t="s">
        <v>1888</v>
      </c>
      <c r="F1544" s="8" t="str">
        <f>IFERROR(__xludf.DUMMYFUNCTION("GOOGLETRANSLATE(D1544,""zh-CN"",""vi"")"),"Bướm hoa")</f>
        <v>Bướm hoa</v>
      </c>
      <c r="G1544" s="8" t="str">
        <f>IFERROR(__xludf.DUMMYFUNCTION("GOOGLETRANSLATE(E1544,""zh-CN"",""vi"")"),"Mùa xuân thật đẹp, và những chú bướm đầy màu sắc bay lượn khắp nơi. (Có thể thu được bướm bằng cách kết hợp chúng.)")</f>
        <v>Mùa xuân thật đẹp, và những chú bướm đầy màu sắc bay lượn khắp nơi. (Có thể thu được bướm bằng cách kết hợp chúng.)</v>
      </c>
      <c r="H1544" s="8"/>
      <c r="I1544" s="8"/>
      <c r="J1544" s="8"/>
    </row>
    <row r="1545" ht="21.0" customHeight="1">
      <c r="A1545" s="6">
        <v>1.0</v>
      </c>
      <c r="B1545" s="6">
        <v>132.0</v>
      </c>
      <c r="C1545" s="6">
        <v>6.0</v>
      </c>
      <c r="D1545" s="9" t="s">
        <v>1889</v>
      </c>
      <c r="E1545" s="9" t="s">
        <v>1890</v>
      </c>
      <c r="F1545" s="8" t="str">
        <f>IFERROR(__xludf.DUMMYFUNCTION("GOOGLETRANSLATE(D1545,""zh-CN"",""vi"")"),"Bươm bướm")</f>
        <v>Bươm bướm</v>
      </c>
      <c r="G1545" s="8" t="str">
        <f>IFERROR(__xludf.DUMMYFUNCTION("GOOGLETRANSLATE(E1545,""zh-CN"",""vi"")"),"Đầy màu sắc và rực rỡ. Kết hợp chúng để tạo ra Bướm Ảo Ảnh.")</f>
        <v>Đầy màu sắc và rực rỡ. Kết hợp chúng để tạo ra Bướm Ảo Ảnh.</v>
      </c>
      <c r="H1545" s="8"/>
      <c r="I1545" s="8"/>
      <c r="J1545" s="8"/>
    </row>
    <row r="1546" ht="21.0" customHeight="1">
      <c r="A1546" s="6">
        <v>1.0</v>
      </c>
      <c r="B1546" s="6">
        <v>132.0</v>
      </c>
      <c r="C1546" s="6">
        <v>7.0</v>
      </c>
      <c r="D1546" s="9" t="s">
        <v>1891</v>
      </c>
      <c r="E1546" s="9" t="s">
        <v>1892</v>
      </c>
      <c r="F1546" s="8" t="str">
        <f>IFERROR(__xludf.DUMMYFUNCTION("GOOGLETRANSLATE(D1546,""zh-CN"",""vi"")"),"Bướm Bóng Ma")</f>
        <v>Bướm Bóng Ma</v>
      </c>
      <c r="G1546" s="8" t="str">
        <f>IFERROR(__xludf.DUMMYFUNCTION("GOOGLETRANSLATE(E1546,""zh-CN"",""vi"")"),"Một con bướm mang vẻ đẹp huyền ảo. Có thể chế tạo nó để có được Bướm Ma.")</f>
        <v>Một con bướm mang vẻ đẹp huyền ảo. Có thể chế tạo nó để có được Bướm Ma.</v>
      </c>
      <c r="H1546" s="8"/>
      <c r="I1546" s="8"/>
      <c r="J1546" s="8"/>
    </row>
    <row r="1547" ht="21.0" customHeight="1">
      <c r="A1547" s="6">
        <v>1.0</v>
      </c>
      <c r="B1547" s="6">
        <v>132.0</v>
      </c>
      <c r="C1547" s="6">
        <v>8.0</v>
      </c>
      <c r="D1547" s="9" t="s">
        <v>1893</v>
      </c>
      <c r="E1547" s="9" t="s">
        <v>1894</v>
      </c>
      <c r="F1547" s="8" t="str">
        <f>IFERROR(__xludf.DUMMYFUNCTION("GOOGLETRANSLATE(D1547,""zh-CN"",""vi"")"),"Bướm ma")</f>
        <v>Bướm ma</v>
      </c>
      <c r="G1547" s="8" t="str">
        <f>IFERROR(__xludf.DUMMYFUNCTION("GOOGLETRANSLATE(E1547,""zh-CN"",""vi"")"),"Một con bướm với hương thơm tinh tế. Kết hợp chúng để tạo thành Bướm Linh Hồn.")</f>
        <v>Một con bướm với hương thơm tinh tế. Kết hợp chúng để tạo thành Bướm Linh Hồn.</v>
      </c>
      <c r="H1547" s="8"/>
      <c r="I1547" s="8"/>
      <c r="J1547" s="8"/>
    </row>
    <row r="1548" ht="21.0" customHeight="1">
      <c r="A1548" s="6">
        <v>1.0</v>
      </c>
      <c r="B1548" s="6">
        <v>132.0</v>
      </c>
      <c r="C1548" s="6">
        <v>9.0</v>
      </c>
      <c r="D1548" s="9" t="s">
        <v>1895</v>
      </c>
      <c r="E1548" s="9" t="s">
        <v>1896</v>
      </c>
      <c r="F1548" s="8" t="str">
        <f>IFERROR(__xludf.DUMMYFUNCTION("GOOGLETRANSLATE(D1548,""zh-CN"",""vi"")"),"Psylocke")</f>
        <v>Psylocke</v>
      </c>
      <c r="G1548" s="8" t="str">
        <f>IFERROR(__xludf.DUMMYFUNCTION("GOOGLETRANSLATE(E1548,""zh-CN"",""vi"")"),"Giống như linh hồn của thiên nhiên. Sự tổng hợp của chúng tạo ra một con bướm bốn cánh.")</f>
        <v>Giống như linh hồn của thiên nhiên. Sự tổng hợp của chúng tạo ra một con bướm bốn cánh.</v>
      </c>
      <c r="H1548" s="8"/>
      <c r="I1548" s="8"/>
      <c r="J1548" s="8"/>
    </row>
    <row r="1549" ht="21.0" customHeight="1">
      <c r="A1549" s="6">
        <v>1.0</v>
      </c>
      <c r="B1549" s="6">
        <v>132.0</v>
      </c>
      <c r="C1549" s="6">
        <v>10.0</v>
      </c>
      <c r="D1549" s="9" t="s">
        <v>1897</v>
      </c>
      <c r="E1549" s="9" t="s">
        <v>1898</v>
      </c>
      <c r="F1549" s="8" t="str">
        <f>IFERROR(__xludf.DUMMYFUNCTION("GOOGLETRANSLATE(D1549,""zh-CN"",""vi"")"),"Bướm bốn cánh")</f>
        <v>Bướm bốn cánh</v>
      </c>
      <c r="G1549" s="8" t="str">
        <f>IFERROR(__xludf.DUMMYFUNCTION("GOOGLETRANSLATE(E1549,""zh-CN"",""vi"")"),"Vô cùng quý hiếm, một sứ giả của thiên nhiên. Nó đã đạt đến cấp độ cao nhất.")</f>
        <v>Vô cùng quý hiếm, một sứ giả của thiên nhiên. Nó đã đạt đến cấp độ cao nhất.</v>
      </c>
      <c r="H1549" s="8"/>
      <c r="I1549" s="8"/>
      <c r="J1549" s="8"/>
    </row>
    <row r="1550" ht="21.0" customHeight="1">
      <c r="A1550" s="6">
        <v>1.0</v>
      </c>
      <c r="B1550" s="6">
        <v>133.0</v>
      </c>
      <c r="C1550" s="6">
        <v>1.0</v>
      </c>
      <c r="D1550" s="9" t="s">
        <v>1899</v>
      </c>
      <c r="E1550" s="9" t="s">
        <v>1900</v>
      </c>
      <c r="F1550" s="8" t="str">
        <f>IFERROR(__xludf.DUMMYFUNCTION("GOOGLETRANSLATE(D1550,""zh-CN"",""vi"")"),"Khoáng vật tinh thể")</f>
        <v>Khoáng vật tinh thể</v>
      </c>
      <c r="G1550" s="8" t="str">
        <f>IFERROR(__xludf.DUMMYFUNCTION("GOOGLETRANSLATE(E1550,""zh-CN"",""vi"")"),"Tinh thể thô chưa được đánh bóng. Có thể kết hợp để tạo thành Lục giác tinh thể.")</f>
        <v>Tinh thể thô chưa được đánh bóng. Có thể kết hợp để tạo thành Lục giác tinh thể.</v>
      </c>
      <c r="H1550" s="8"/>
      <c r="I1550" s="8"/>
      <c r="J1550" s="8"/>
    </row>
    <row r="1551" ht="21.0" customHeight="1">
      <c r="A1551" s="6">
        <v>1.0</v>
      </c>
      <c r="B1551" s="6">
        <v>133.0</v>
      </c>
      <c r="C1551" s="6">
        <v>2.0</v>
      </c>
      <c r="D1551" s="9" t="s">
        <v>1901</v>
      </c>
      <c r="E1551" s="9" t="s">
        <v>1902</v>
      </c>
      <c r="F1551" s="8" t="str">
        <f>IFERROR(__xludf.DUMMYFUNCTION("GOOGLETRANSLATE(D1551,""zh-CN"",""vi"")"),"Lục giác pha lê")</f>
        <v>Lục giác pha lê</v>
      </c>
      <c r="G1551" s="8" t="str">
        <f>IFERROR(__xludf.DUMMYFUNCTION("GOOGLETRANSLATE(E1551,""zh-CN"",""vi"")"),"Một viên đá quý pha lê hình ngôi sao sáu cánh. Được chế tác tỉ mỉ để tạo nên những món trang sức lấp lánh.")</f>
        <v>Một viên đá quý pha lê hình ngôi sao sáu cánh. Được chế tác tỉ mỉ để tạo nên những món trang sức lấp lánh.</v>
      </c>
      <c r="H1551" s="8"/>
      <c r="I1551" s="8"/>
      <c r="J1551" s="8"/>
    </row>
    <row r="1552" ht="21.0" customHeight="1">
      <c r="A1552" s="6">
        <v>1.0</v>
      </c>
      <c r="B1552" s="6">
        <v>133.0</v>
      </c>
      <c r="C1552" s="6">
        <v>3.0</v>
      </c>
      <c r="D1552" s="9" t="s">
        <v>1903</v>
      </c>
      <c r="E1552" s="9" t="s">
        <v>1904</v>
      </c>
      <c r="F1552" s="8" t="str">
        <f>IFERROR(__xludf.DUMMYFUNCTION("GOOGLETRANSLATE(D1552,""zh-CN"",""vi"")"),"trang sức lấp lánh")</f>
        <v>trang sức lấp lánh</v>
      </c>
      <c r="G1552" s="8" t="str">
        <f>IFERROR(__xludf.DUMMYFUNCTION("GOOGLETRANSLATE(E1552,""zh-CN"",""vi"")"),"Một viên đá quý màu đỏ lấp lánh. Được chế tác để tạo thành mặt dây chuyền pha lê.")</f>
        <v>Một viên đá quý màu đỏ lấp lánh. Được chế tác để tạo thành mặt dây chuyền pha lê.</v>
      </c>
      <c r="H1552" s="8"/>
      <c r="I1552" s="8"/>
      <c r="J1552" s="8"/>
    </row>
    <row r="1553" ht="21.0" customHeight="1">
      <c r="A1553" s="6">
        <v>1.0</v>
      </c>
      <c r="B1553" s="6">
        <v>133.0</v>
      </c>
      <c r="C1553" s="6">
        <v>4.0</v>
      </c>
      <c r="D1553" s="9" t="s">
        <v>1905</v>
      </c>
      <c r="E1553" s="9" t="s">
        <v>1906</v>
      </c>
      <c r="F1553" s="8" t="str">
        <f>IFERROR(__xludf.DUMMYFUNCTION("GOOGLETRANSLATE(D1553,""zh-CN"",""vi"")"),"Mặt dây chuyền pha lê")</f>
        <v>Mặt dây chuyền pha lê</v>
      </c>
      <c r="G1553" s="8" t="str">
        <f>IFERROR(__xludf.DUMMYFUNCTION("GOOGLETRANSLATE(E1553,""zh-CN"",""vi"")"),"Một viên pha lê đỏ kết hợp với một sợi dây vàng. Kết hợp chúng lại để tạo thành một chiếc vòng tay pha lê.")</f>
        <v>Một viên pha lê đỏ kết hợp với một sợi dây vàng. Kết hợp chúng lại để tạo thành một chiếc vòng tay pha lê.</v>
      </c>
      <c r="H1553" s="8"/>
      <c r="I1553" s="8"/>
      <c r="J1553" s="8"/>
    </row>
    <row r="1554" ht="21.0" customHeight="1">
      <c r="A1554" s="6">
        <v>1.0</v>
      </c>
      <c r="B1554" s="6">
        <v>133.0</v>
      </c>
      <c r="C1554" s="6">
        <v>5.0</v>
      </c>
      <c r="D1554" s="9" t="s">
        <v>1907</v>
      </c>
      <c r="E1554" s="9" t="s">
        <v>1908</v>
      </c>
      <c r="F1554" s="8" t="str">
        <f>IFERROR(__xludf.DUMMYFUNCTION("GOOGLETRANSLATE(D1554,""zh-CN"",""vi"")"),"Vòng tay pha lê")</f>
        <v>Vòng tay pha lê</v>
      </c>
      <c r="G1554" s="8" t="str">
        <f>IFERROR(__xludf.DUMMYFUNCTION("GOOGLETRANSLATE(E1554,""zh-CN"",""vi"")"),"Một chiếc vòng tay bằng hồng ngọc. Khi được chế tác cùng nhau, nó tạo thành một chiếc vòng tay pha lê.")</f>
        <v>Một chiếc vòng tay bằng hồng ngọc. Khi được chế tác cùng nhau, nó tạo thành một chiếc vòng tay pha lê.</v>
      </c>
      <c r="H1554" s="8"/>
      <c r="I1554" s="8"/>
      <c r="J1554" s="8"/>
    </row>
    <row r="1555" ht="21.0" customHeight="1">
      <c r="A1555" s="6">
        <v>1.0</v>
      </c>
      <c r="B1555" s="6">
        <v>133.0</v>
      </c>
      <c r="C1555" s="6">
        <v>6.0</v>
      </c>
      <c r="D1555" s="9" t="s">
        <v>1909</v>
      </c>
      <c r="E1555" s="9" t="s">
        <v>1910</v>
      </c>
      <c r="F1555" s="8" t="str">
        <f>IFERROR(__xludf.DUMMYFUNCTION("GOOGLETRANSLATE(D1555,""zh-CN"",""vi"")"),"Vòng tay pha lê")</f>
        <v>Vòng tay pha lê</v>
      </c>
      <c r="G1555" s="8" t="str">
        <f>IFERROR(__xludf.DUMMYFUNCTION("GOOGLETRANSLATE(E1555,""zh-CN"",""vi"")"),"Những hạt cườm màu tím và đỏ kết hợp với nhau tạo nên một vẻ đẹp tuyệt vời. Hãy kết hợp chúng để tạo thành một chiếc vòng tay hình hoa pha lê.")</f>
        <v>Những hạt cườm màu tím và đỏ kết hợp với nhau tạo nên một vẻ đẹp tuyệt vời. Hãy kết hợp chúng để tạo thành một chiếc vòng tay hình hoa pha lê.</v>
      </c>
      <c r="H1555" s="8"/>
      <c r="I1555" s="8"/>
      <c r="J1555" s="8"/>
    </row>
    <row r="1556" ht="21.0" customHeight="1">
      <c r="A1556" s="6">
        <v>1.0</v>
      </c>
      <c r="B1556" s="6">
        <v>133.0</v>
      </c>
      <c r="C1556" s="6">
        <v>7.0</v>
      </c>
      <c r="D1556" s="9" t="s">
        <v>1911</v>
      </c>
      <c r="E1556" s="9" t="s">
        <v>1912</v>
      </c>
      <c r="F1556" s="8" t="str">
        <f>IFERROR(__xludf.DUMMYFUNCTION("GOOGLETRANSLATE(D1556,""zh-CN"",""vi"")"),"Vòng tay hoa pha lê")</f>
        <v>Vòng tay hoa pha lê</v>
      </c>
      <c r="G1556" s="8" t="str">
        <f>IFERROR(__xludf.DUMMYFUNCTION("GOOGLETRANSLATE(E1556,""zh-CN"",""vi"")"),"Những bông hoa được chạm khắc từ pha lê tô điểm cho chiếc vòng tay. Chúng có thể được chế tác để tạo thành một quả cầu pha lê.")</f>
        <v>Những bông hoa được chạm khắc từ pha lê tô điểm cho chiếc vòng tay. Chúng có thể được chế tác để tạo thành một quả cầu pha lê.</v>
      </c>
      <c r="H1556" s="8"/>
      <c r="I1556" s="8"/>
      <c r="J1556" s="8"/>
    </row>
    <row r="1557" ht="21.0" customHeight="1">
      <c r="A1557" s="6">
        <v>1.0</v>
      </c>
      <c r="B1557" s="6">
        <v>133.0</v>
      </c>
      <c r="C1557" s="6">
        <v>8.0</v>
      </c>
      <c r="D1557" s="9" t="s">
        <v>1913</v>
      </c>
      <c r="E1557" s="9" t="s">
        <v>1914</v>
      </c>
      <c r="F1557" s="8" t="str">
        <f>IFERROR(__xludf.DUMMYFUNCTION("GOOGLETRANSLATE(D1557,""zh-CN"",""vi"")"),"quả cầu pha lê")</f>
        <v>quả cầu pha lê</v>
      </c>
      <c r="G1557" s="8" t="str">
        <f>IFERROR(__xludf.DUMMYFUNCTION("GOOGLETRANSLATE(E1557,""zh-CN"",""vi"")"),"Người ta nói rằng nó có khả năng nhìn thấy tương lai. Chế tác nó sẽ tạo ra một chiếc đèn pha lê.")</f>
        <v>Người ta nói rằng nó có khả năng nhìn thấy tương lai. Chế tác nó sẽ tạo ra một chiếc đèn pha lê.</v>
      </c>
      <c r="H1557" s="8"/>
      <c r="I1557" s="8"/>
      <c r="J1557" s="8"/>
    </row>
    <row r="1558" ht="21.0" customHeight="1">
      <c r="A1558" s="6">
        <v>1.0</v>
      </c>
      <c r="B1558" s="6">
        <v>133.0</v>
      </c>
      <c r="C1558" s="6">
        <v>9.0</v>
      </c>
      <c r="D1558" s="9" t="s">
        <v>1915</v>
      </c>
      <c r="E1558" s="9" t="s">
        <v>1916</v>
      </c>
      <c r="F1558" s="8" t="str">
        <f>IFERROR(__xludf.DUMMYFUNCTION("GOOGLETRANSLATE(D1558,""zh-CN"",""vi"")"),"Đèn chùm pha lê")</f>
        <v>Đèn chùm pha lê</v>
      </c>
      <c r="G1558" s="8" t="str">
        <f>IFERROR(__xludf.DUMMYFUNCTION("GOOGLETRANSLATE(E1558,""zh-CN"",""vi"")"),"Những chiếc đèn lộng lẫy thắp sáng một thế giới huyền ảo. Chúng có thể được kết hợp để tạo thành một chiếc đèn chùm pha lê.")</f>
        <v>Những chiếc đèn lộng lẫy thắp sáng một thế giới huyền ảo. Chúng có thể được kết hợp để tạo thành một chiếc đèn chùm pha lê.</v>
      </c>
      <c r="H1558" s="8"/>
      <c r="I1558" s="8"/>
      <c r="J1558" s="8"/>
    </row>
    <row r="1559" ht="21.0" customHeight="1">
      <c r="A1559" s="6">
        <v>1.0</v>
      </c>
      <c r="B1559" s="6">
        <v>133.0</v>
      </c>
      <c r="C1559" s="6">
        <v>10.0</v>
      </c>
      <c r="D1559" s="9" t="s">
        <v>1917</v>
      </c>
      <c r="E1559" s="9" t="s">
        <v>1918</v>
      </c>
      <c r="F1559" s="8" t="str">
        <f>IFERROR(__xludf.DUMMYFUNCTION("GOOGLETRANSLATE(D1559,""zh-CN"",""vi"")"),"Đèn chùm pha lê")</f>
        <v>Đèn chùm pha lê</v>
      </c>
      <c r="G1559" s="8" t="str">
        <f>IFERROR(__xludf.DUMMYFUNCTION("GOOGLETRANSLATE(E1559,""zh-CN"",""vi"")"),"Vô cùng sang trọng và tràn đầy năng lượng. Nơi đây đã được nâng cấp lên mức cao nhất.")</f>
        <v>Vô cùng sang trọng và tràn đầy năng lượng. Nơi đây đã được nâng cấp lên mức cao nhất.</v>
      </c>
      <c r="H1559" s="8"/>
      <c r="I1559" s="8"/>
      <c r="J1559" s="8"/>
    </row>
    <row r="1560" ht="21.0" customHeight="1">
      <c r="A1560" s="6">
        <v>1.0</v>
      </c>
      <c r="B1560" s="6">
        <v>134.0</v>
      </c>
      <c r="C1560" s="6">
        <v>1.0</v>
      </c>
      <c r="D1560" s="9" t="s">
        <v>1919</v>
      </c>
      <c r="E1560" s="9" t="s">
        <v>1920</v>
      </c>
      <c r="F1560" s="8" t="str">
        <f>IFERROR(__xludf.DUMMYFUNCTION("GOOGLETRANSLATE(D1560,""zh-CN"",""vi"")"),"Cục đá")</f>
        <v>Cục đá</v>
      </c>
      <c r="G1560" s="8" t="str">
        <f>IFERROR(__xludf.DUMMYFUNCTION("GOOGLETRANSLATE(E1560,""zh-CN"",""vi"")"),"Sỏi thông thường. Được ghép lại với nhau để tạo thành gạch đá.")</f>
        <v>Sỏi thông thường. Được ghép lại với nhau để tạo thành gạch đá.</v>
      </c>
      <c r="H1560" s="8"/>
      <c r="I1560" s="8"/>
      <c r="J1560" s="8"/>
    </row>
    <row r="1561" ht="21.0" customHeight="1">
      <c r="A1561" s="6">
        <v>1.0</v>
      </c>
      <c r="B1561" s="6">
        <v>134.0</v>
      </c>
      <c r="C1561" s="6">
        <v>2.0</v>
      </c>
      <c r="D1561" s="9" t="s">
        <v>1921</v>
      </c>
      <c r="E1561" s="9" t="s">
        <v>1922</v>
      </c>
      <c r="F1561" s="8" t="str">
        <f>IFERROR(__xludf.DUMMYFUNCTION("GOOGLETRANSLATE(D1561,""zh-CN"",""vi"")"),"gạch đá")</f>
        <v>gạch đá</v>
      </c>
      <c r="G1561" s="8" t="str">
        <f>IFERROR(__xludf.DUMMYFUNCTION("GOOGLETRANSLATE(E1561,""zh-CN"",""vi"")"),"Các khối đá được cắt từ đá. Khi ghép lại với nhau, chúng có thể được dùng để tạo thành các khối đá khác.")</f>
        <v>Các khối đá được cắt từ đá. Khi ghép lại với nhau, chúng có thể được dùng để tạo thành các khối đá khác.</v>
      </c>
      <c r="H1561" s="8"/>
      <c r="I1561" s="8"/>
      <c r="J1561" s="8"/>
    </row>
    <row r="1562" ht="21.0" customHeight="1">
      <c r="A1562" s="6">
        <v>1.0</v>
      </c>
      <c r="B1562" s="6">
        <v>134.0</v>
      </c>
      <c r="C1562" s="6">
        <v>3.0</v>
      </c>
      <c r="D1562" s="9" t="s">
        <v>1923</v>
      </c>
      <c r="E1562" s="9" t="s">
        <v>1924</v>
      </c>
      <c r="F1562" s="8" t="str">
        <f>IFERROR(__xludf.DUMMYFUNCTION("GOOGLETRANSLATE(D1562,""zh-CN"",""vi"")"),"Shidun")</f>
        <v>Shidun</v>
      </c>
      <c r="G1562" s="8" t="str">
        <f>IFERROR(__xludf.DUMMYFUNCTION("GOOGLETRANSLATE(E1562,""zh-CN"",""vi"")"),"Chiếc ghế đá đơn giản có thể dùng làm chỗ ngồi. Nó cũng có thể được ghép lại để tạo thành một chiếc bàn đá.")</f>
        <v>Chiếc ghế đá đơn giản có thể dùng làm chỗ ngồi. Nó cũng có thể được ghép lại để tạo thành một chiếc bàn đá.</v>
      </c>
      <c r="H1562" s="8"/>
      <c r="I1562" s="8"/>
      <c r="J1562" s="8"/>
    </row>
    <row r="1563" ht="21.0" customHeight="1">
      <c r="A1563" s="6">
        <v>1.0</v>
      </c>
      <c r="B1563" s="6">
        <v>134.0</v>
      </c>
      <c r="C1563" s="6">
        <v>4.0</v>
      </c>
      <c r="D1563" s="9" t="s">
        <v>1925</v>
      </c>
      <c r="E1563" s="9" t="s">
        <v>1926</v>
      </c>
      <c r="F1563" s="8" t="str">
        <f>IFERROR(__xludf.DUMMYFUNCTION("GOOGLETRANSLATE(D1563,""zh-CN"",""vi"")"),"Bàn đá")</f>
        <v>Bàn đá</v>
      </c>
      <c r="G1563" s="8" t="str">
        <f>IFERROR(__xludf.DUMMYFUNCTION("GOOGLETRANSLATE(E1563,""zh-CN"",""vi"")"),"Một chiếc bàn tròn làm bằng đá. Có thể chế tác nó để tạo ra một chiếc đèn lồng cung điện.")</f>
        <v>Một chiếc bàn tròn làm bằng đá. Có thể chế tác nó để tạo ra một chiếc đèn lồng cung điện.</v>
      </c>
      <c r="H1563" s="8"/>
      <c r="I1563" s="8"/>
      <c r="J1563" s="8"/>
    </row>
    <row r="1564" ht="21.0" customHeight="1">
      <c r="A1564" s="6">
        <v>1.0</v>
      </c>
      <c r="B1564" s="6">
        <v>134.0</v>
      </c>
      <c r="C1564" s="6">
        <v>5.0</v>
      </c>
      <c r="D1564" s="9" t="s">
        <v>1927</v>
      </c>
      <c r="E1564" s="9" t="s">
        <v>1928</v>
      </c>
      <c r="F1564" s="8" t="str">
        <f>IFERROR(__xludf.DUMMYFUNCTION("GOOGLETRANSLATE(D1564,""zh-CN"",""vi"")"),"Đèn lồng cung điện")</f>
        <v>Đèn lồng cung điện</v>
      </c>
      <c r="G1564" s="8" t="str">
        <f>IFERROR(__xludf.DUMMYFUNCTION("GOOGLETRANSLATE(E1564,""zh-CN"",""vi"")"),"Một chiếc đèn lồng bằng đá, phát ra ánh sáng vàng. Có thể chế tạo nó để có được một máng đá.")</f>
        <v>Một chiếc đèn lồng bằng đá, phát ra ánh sáng vàng. Có thể chế tạo nó để có được một máng đá.</v>
      </c>
      <c r="H1564" s="8"/>
      <c r="I1564" s="8"/>
      <c r="J1564" s="8"/>
    </row>
    <row r="1565" ht="21.0" customHeight="1">
      <c r="A1565" s="6">
        <v>1.0</v>
      </c>
      <c r="B1565" s="6">
        <v>134.0</v>
      </c>
      <c r="C1565" s="6">
        <v>6.0</v>
      </c>
      <c r="D1565" s="9" t="s">
        <v>1929</v>
      </c>
      <c r="E1565" s="9" t="s">
        <v>1930</v>
      </c>
      <c r="F1565" s="8" t="str">
        <f>IFERROR(__xludf.DUMMYFUNCTION("GOOGLETRANSLATE(D1565,""zh-CN"",""vi"")"),"máng đá")</f>
        <v>máng đá</v>
      </c>
      <c r="G1565" s="8" t="str">
        <f>IFERROR(__xludf.DUMMYFUNCTION("GOOGLETRANSLATE(E1565,""zh-CN"",""vi"")"),"Máng nước bằng đá. Có thể chế tác thành chậu nước bằng đá.")</f>
        <v>Máng nước bằng đá. Có thể chế tác thành chậu nước bằng đá.</v>
      </c>
      <c r="H1565" s="8"/>
      <c r="I1565" s="8"/>
      <c r="J1565" s="8"/>
    </row>
    <row r="1566" ht="21.0" customHeight="1">
      <c r="A1566" s="6">
        <v>1.0</v>
      </c>
      <c r="B1566" s="6">
        <v>134.0</v>
      </c>
      <c r="C1566" s="6">
        <v>7.0</v>
      </c>
      <c r="D1566" s="9" t="s">
        <v>1931</v>
      </c>
      <c r="E1566" s="9" t="s">
        <v>1932</v>
      </c>
      <c r="F1566" s="8" t="str">
        <f>IFERROR(__xludf.DUMMYFUNCTION("GOOGLETRANSLATE(D1566,""zh-CN"",""vi"")"),"chậu đá")</f>
        <v>chậu đá</v>
      </c>
      <c r="G1566" s="8" t="str">
        <f>IFERROR(__xludf.DUMMYFUNCTION("GOOGLETRANSLATE(E1566,""zh-CN"",""vi"")"),"Một chậu đá. Có thể dùng nó để chế tác thành đài phun nước bằng đá.")</f>
        <v>Một chậu đá. Có thể dùng nó để chế tác thành đài phun nước bằng đá.</v>
      </c>
      <c r="H1566" s="8"/>
      <c r="I1566" s="8"/>
      <c r="J1566" s="8"/>
    </row>
    <row r="1567" ht="21.0" customHeight="1">
      <c r="A1567" s="6">
        <v>1.0</v>
      </c>
      <c r="B1567" s="6">
        <v>134.0</v>
      </c>
      <c r="C1567" s="6">
        <v>8.0</v>
      </c>
      <c r="D1567" s="11" t="s">
        <v>1933</v>
      </c>
      <c r="E1567" s="9" t="s">
        <v>1934</v>
      </c>
      <c r="F1567" s="8" t="str">
        <f>IFERROR(__xludf.DUMMYFUNCTION("GOOGLETRANSLATE(D1567,""zh-CN"",""vi"")"),"Đài phun nước bằng đá")</f>
        <v>Đài phun nước bằng đá</v>
      </c>
      <c r="G1567" s="8" t="str">
        <f>IFERROR(__xludf.DUMMYFUNCTION("GOOGLETRANSLATE(E1567,""zh-CN"",""vi"")"),"Một đài phun nước làm bằng đá cẩm thạch. Có thể tạo hình voi bằng đá từ chất liệu này.")</f>
        <v>Một đài phun nước làm bằng đá cẩm thạch. Có thể tạo hình voi bằng đá từ chất liệu này.</v>
      </c>
      <c r="H1567" s="8"/>
      <c r="I1567" s="8"/>
      <c r="J1567" s="8"/>
    </row>
    <row r="1568" ht="21.0" customHeight="1">
      <c r="A1568" s="6">
        <v>1.0</v>
      </c>
      <c r="B1568" s="6">
        <v>134.0</v>
      </c>
      <c r="C1568" s="6">
        <v>9.0</v>
      </c>
      <c r="D1568" s="9" t="s">
        <v>1935</v>
      </c>
      <c r="E1568" s="9" t="s">
        <v>1936</v>
      </c>
      <c r="F1568" s="8" t="str">
        <f>IFERROR(__xludf.DUMMYFUNCTION("GOOGLETRANSLATE(D1568,""zh-CN"",""vi"")"),"Voi đá")</f>
        <v>Voi đá</v>
      </c>
      <c r="G1568" s="8" t="str">
        <f>IFERROR(__xludf.DUMMYFUNCTION("GOOGLETRANSLATE(E1568,""zh-CN"",""vi"")"),"Một con voi được tạc từ đá cẩm thạch. Nó có thể được chạm khắc thành một con sư tử bằng đá.")</f>
        <v>Một con voi được tạc từ đá cẩm thạch. Nó có thể được chạm khắc thành một con sư tử bằng đá.</v>
      </c>
      <c r="H1568" s="8"/>
      <c r="I1568" s="8"/>
      <c r="J1568" s="8"/>
    </row>
    <row r="1569" ht="21.0" customHeight="1">
      <c r="A1569" s="6">
        <v>1.0</v>
      </c>
      <c r="B1569" s="6">
        <v>134.0</v>
      </c>
      <c r="C1569" s="6">
        <v>10.0</v>
      </c>
      <c r="D1569" s="9" t="s">
        <v>1937</v>
      </c>
      <c r="E1569" s="9" t="s">
        <v>1938</v>
      </c>
      <c r="F1569" s="8" t="str">
        <f>IFERROR(__xludf.DUMMYFUNCTION("GOOGLETRANSLATE(D1569,""zh-CN"",""vi"")"),"Sư Tử Đá")</f>
        <v>Sư Tử Đá</v>
      </c>
      <c r="G1569" s="8" t="str">
        <f>IFERROR(__xludf.DUMMYFUNCTION("GOOGLETRANSLATE(E1569,""zh-CN"",""vi"")"),"Sư tử đá canh giữ nhà cửa. Chúng có thể được kết hợp để tạo thành Kỳ Lân.")</f>
        <v>Sư tử đá canh giữ nhà cửa. Chúng có thể được kết hợp để tạo thành Kỳ Lân.</v>
      </c>
      <c r="H1569" s="8"/>
      <c r="I1569" s="8"/>
      <c r="J1569" s="8"/>
    </row>
    <row r="1570" ht="21.0" customHeight="1">
      <c r="A1570" s="6">
        <v>1.0</v>
      </c>
      <c r="B1570" s="6">
        <v>134.0</v>
      </c>
      <c r="C1570" s="6">
        <v>11.0</v>
      </c>
      <c r="D1570" s="9" t="s">
        <v>1939</v>
      </c>
      <c r="E1570" s="9" t="s">
        <v>1940</v>
      </c>
      <c r="F1570" s="8" t="str">
        <f>IFERROR(__xludf.DUMMYFUNCTION("GOOGLETRANSLATE(D1570,""zh-CN"",""vi"")"),"Kỳ Lân")</f>
        <v>Kỳ Lân</v>
      </c>
      <c r="G1570" s="8" t="str">
        <f>IFERROR(__xludf.DUMMYFUNCTION("GOOGLETRANSLATE(E1570,""zh-CN"",""vi"")"),"Sự xuất hiện của Kỳ Lân là điềm báo may mắn. Kết hợp chúng để có được Rùa Rồng.")</f>
        <v>Sự xuất hiện của Kỳ Lân là điềm báo may mắn. Kết hợp chúng để có được Rùa Rồng.</v>
      </c>
      <c r="H1570" s="8"/>
      <c r="I1570" s="8"/>
      <c r="J1570" s="8"/>
    </row>
    <row r="1571" ht="21.0" customHeight="1">
      <c r="A1571" s="6">
        <v>1.0</v>
      </c>
      <c r="B1571" s="6">
        <v>134.0</v>
      </c>
      <c r="C1571" s="6">
        <v>12.0</v>
      </c>
      <c r="D1571" s="9" t="s">
        <v>1941</v>
      </c>
      <c r="E1571" s="9" t="s">
        <v>1942</v>
      </c>
      <c r="F1571" s="8" t="str">
        <f>IFERROR(__xludf.DUMMYFUNCTION("GOOGLETRANSLATE(D1571,""zh-CN"",""vi"")"),"Rùa Rồng")</f>
        <v>Rùa Rồng</v>
      </c>
      <c r="G1571" s="8" t="str">
        <f>IFERROR(__xludf.DUMMYFUNCTION("GOOGLETRANSLATE(E1571,""zh-CN"",""vi"")"),"Rùa biển thần thánh, biểu tượng của hòa bình, sự bảo vệ và thịnh vượng. Khi kết hợp, chúng có thể tạo ra một con rồng đá.")</f>
        <v>Rùa biển thần thánh, biểu tượng của hòa bình, sự bảo vệ và thịnh vượng. Khi kết hợp, chúng có thể tạo ra một con rồng đá.</v>
      </c>
      <c r="H1571" s="8"/>
      <c r="I1571" s="8"/>
      <c r="J1571" s="8"/>
    </row>
    <row r="1572" ht="21.0" customHeight="1">
      <c r="A1572" s="6">
        <v>1.0</v>
      </c>
      <c r="B1572" s="6">
        <v>134.0</v>
      </c>
      <c r="C1572" s="6">
        <v>13.0</v>
      </c>
      <c r="D1572" s="9" t="s">
        <v>1943</v>
      </c>
      <c r="E1572" s="9" t="s">
        <v>1944</v>
      </c>
      <c r="F1572" s="8" t="str">
        <f>IFERROR(__xludf.DUMMYFUNCTION("GOOGLETRANSLATE(D1572,""zh-CN"",""vi"")"),"Thạch Long")</f>
        <v>Thạch Long</v>
      </c>
      <c r="G1572" s="8" t="str">
        <f>IFERROR(__xludf.DUMMYFUNCTION("GOOGLETRANSLATE(E1572,""zh-CN"",""vi"")"),"Con rồng khổng lồ cuộn tròn trên bệ đá được điêu khắc với độ chi tiết sống động đáng kinh ngạc. Nó đã được nâng cấp lên cấp độ cao nhất.")</f>
        <v>Con rồng khổng lồ cuộn tròn trên bệ đá được điêu khắc với độ chi tiết sống động đáng kinh ngạc. Nó đã được nâng cấp lên cấp độ cao nhất.</v>
      </c>
      <c r="H1572" s="8"/>
      <c r="I1572" s="8"/>
      <c r="J1572" s="8"/>
    </row>
    <row r="1573" ht="21.0" customHeight="1">
      <c r="A1573" s="6">
        <v>1.0</v>
      </c>
      <c r="B1573" s="6">
        <v>135.0</v>
      </c>
      <c r="C1573" s="6">
        <v>1.0</v>
      </c>
      <c r="D1573" s="9" t="s">
        <v>1945</v>
      </c>
      <c r="E1573" s="9" t="s">
        <v>1946</v>
      </c>
      <c r="F1573" s="8" t="str">
        <f>IFERROR(__xludf.DUMMYFUNCTION("GOOGLETRANSLATE(D1573,""zh-CN"",""vi"")"),"Hạt giống trong chậu")</f>
        <v>Hạt giống trong chậu</v>
      </c>
      <c r="G1573" s="8" t="str">
        <f>IFERROR(__xludf.DUMMYFUNCTION("GOOGLETRANSLATE(E1573,""zh-CN"",""vi"")"),"Hai hạt giống cây trồng trong chậu. Kết hợp chúng để tạo thành một mầm cây mới.")</f>
        <v>Hai hạt giống cây trồng trong chậu. Kết hợp chúng để tạo thành một mầm cây mới.</v>
      </c>
      <c r="H1573" s="8"/>
      <c r="I1573" s="8"/>
      <c r="J1573" s="8"/>
    </row>
    <row r="1574" ht="21.0" customHeight="1">
      <c r="A1574" s="6">
        <v>1.0</v>
      </c>
      <c r="B1574" s="6">
        <v>135.0</v>
      </c>
      <c r="C1574" s="6">
        <v>2.0</v>
      </c>
      <c r="D1574" s="9" t="s">
        <v>1947</v>
      </c>
      <c r="E1574" s="9" t="s">
        <v>1948</v>
      </c>
      <c r="F1574" s="8" t="str">
        <f>IFERROR(__xludf.DUMMYFUNCTION("GOOGLETRANSLATE(D1574,""zh-CN"",""vi"")"),"giá đỗ trong chậu")</f>
        <v>giá đỗ trong chậu</v>
      </c>
      <c r="G1574" s="8" t="str">
        <f>IFERROR(__xludf.DUMMYFUNCTION("GOOGLETRANSLATE(E1574,""zh-CN"",""vi"")"),"Những chồi non đang mọc ra từ cây trồng trong chậu. Có thể kết hợp chúng lại để tạo thành một cây con trong chậu.")</f>
        <v>Những chồi non đang mọc ra từ cây trồng trong chậu. Có thể kết hợp chúng lại để tạo thành một cây con trong chậu.</v>
      </c>
      <c r="H1574" s="8"/>
      <c r="I1574" s="8"/>
      <c r="J1574" s="8"/>
    </row>
    <row r="1575" ht="21.0" customHeight="1">
      <c r="A1575" s="6">
        <v>1.0</v>
      </c>
      <c r="B1575" s="6">
        <v>135.0</v>
      </c>
      <c r="C1575" s="6">
        <v>3.0</v>
      </c>
      <c r="D1575" s="9" t="s">
        <v>1949</v>
      </c>
      <c r="E1575" s="9" t="s">
        <v>1950</v>
      </c>
      <c r="F1575" s="8" t="str">
        <f>IFERROR(__xludf.DUMMYFUNCTION("GOOGLETRANSLATE(D1575,""zh-CN"",""vi"")"),"Cây con trồng trong chậu")</f>
        <v>Cây con trồng trong chậu</v>
      </c>
      <c r="G1575" s="8" t="str">
        <f>IFERROR(__xludf.DUMMYFUNCTION("GOOGLETRANSLATE(E1575,""zh-CN"",""vi"")"),"Những cây con mới nảy mầm trong chậu. Có thể tổng hợp các mẫu cây trồng trong chậu.")</f>
        <v>Những cây con mới nảy mầm trong chậu. Có thể tổng hợp các mẫu cây trồng trong chậu.</v>
      </c>
      <c r="H1575" s="8"/>
      <c r="I1575" s="8"/>
      <c r="J1575" s="8"/>
    </row>
    <row r="1576" ht="21.0" customHeight="1">
      <c r="A1576" s="6">
        <v>1.0</v>
      </c>
      <c r="B1576" s="6">
        <v>135.0</v>
      </c>
      <c r="C1576" s="6">
        <v>4.0</v>
      </c>
      <c r="D1576" s="9" t="s">
        <v>1951</v>
      </c>
      <c r="E1576" s="9" t="s">
        <v>1952</v>
      </c>
      <c r="F1576" s="8" t="str">
        <f>IFERROR(__xludf.DUMMYFUNCTION("GOOGLETRANSLATE(D1576,""zh-CN"",""vi"")"),"Mẫu cây trồng trong chậu")</f>
        <v>Mẫu cây trồng trong chậu</v>
      </c>
      <c r="G1576" s="8" t="str">
        <f>IFERROR(__xludf.DUMMYFUNCTION("GOOGLETRANSLATE(E1576,""zh-CN"",""vi"")"),"Cây trồng trong chậu có thể được sử dụng làm mẫu. Từ chúng, người ta có thể tạo ra các loại cây bụi cảnh.")</f>
        <v>Cây trồng trong chậu có thể được sử dụng làm mẫu. Từ chúng, người ta có thể tạo ra các loại cây bụi cảnh.</v>
      </c>
      <c r="H1576" s="8"/>
      <c r="I1576" s="8"/>
      <c r="J1576" s="8"/>
    </row>
    <row r="1577" ht="21.0" customHeight="1">
      <c r="A1577" s="6">
        <v>1.0</v>
      </c>
      <c r="B1577" s="6">
        <v>135.0</v>
      </c>
      <c r="C1577" s="6">
        <v>5.0</v>
      </c>
      <c r="D1577" s="9" t="s">
        <v>1953</v>
      </c>
      <c r="E1577" s="9" t="s">
        <v>1954</v>
      </c>
      <c r="F1577" s="8" t="str">
        <f>IFERROR(__xludf.DUMMYFUNCTION("GOOGLETRANSLATE(D1577,""zh-CN"",""vi"")"),"Cây bụi cảnh")</f>
        <v>Cây bụi cảnh</v>
      </c>
      <c r="G1577" s="8" t="str">
        <f>IFERROR(__xludf.DUMMYFUNCTION("GOOGLETRANSLATE(E1577,""zh-CN"",""vi"")"),"Cây bonsai bụi nhỏ và đẹp. Có thể tạo hình những cây bụi cứng cáp.")</f>
        <v>Cây bonsai bụi nhỏ và đẹp. Có thể tạo hình những cây bụi cứng cáp.</v>
      </c>
      <c r="H1577" s="8"/>
      <c r="I1577" s="8"/>
      <c r="J1577" s="8"/>
    </row>
    <row r="1578" ht="21.0" customHeight="1">
      <c r="A1578" s="6">
        <v>1.0</v>
      </c>
      <c r="B1578" s="6">
        <v>135.0</v>
      </c>
      <c r="C1578" s="6">
        <v>6.0</v>
      </c>
      <c r="D1578" s="9" t="s">
        <v>1955</v>
      </c>
      <c r="E1578" s="9" t="s">
        <v>1956</v>
      </c>
      <c r="F1578" s="8" t="str">
        <f>IFERROR(__xludf.DUMMYFUNCTION("GOOGLETRANSLATE(D1578,""zh-CN"",""vi"")"),"Cây bụi cứng cáp")</f>
        <v>Cây bụi cứng cáp</v>
      </c>
      <c r="G1578" s="8" t="str">
        <f>IFERROR(__xludf.DUMMYFUNCTION("GOOGLETRANSLATE(E1578,""zh-CN"",""vi"")"),"Một loại cây bụi cứng cáp, trồng trong chậu. Nó có thể được nhân giống để tạo ra một loại cây bụi thường xanh.")</f>
        <v>Một loại cây bụi cứng cáp, trồng trong chậu. Nó có thể được nhân giống để tạo ra một loại cây bụi thường xanh.</v>
      </c>
      <c r="H1578" s="8"/>
      <c r="I1578" s="8"/>
      <c r="J1578" s="8"/>
    </row>
    <row r="1579" ht="21.0" customHeight="1">
      <c r="A1579" s="6">
        <v>1.0</v>
      </c>
      <c r="B1579" s="6">
        <v>135.0</v>
      </c>
      <c r="C1579" s="6">
        <v>7.0</v>
      </c>
      <c r="D1579" s="9" t="s">
        <v>1957</v>
      </c>
      <c r="E1579" s="9" t="s">
        <v>1958</v>
      </c>
      <c r="F1579" s="8" t="str">
        <f>IFERROR(__xludf.DUMMYFUNCTION("GOOGLETRANSLATE(D1579,""zh-CN"",""vi"")"),"cây bụi thường xanh")</f>
        <v>cây bụi thường xanh</v>
      </c>
      <c r="G1579" s="8" t="str">
        <f>IFERROR(__xludf.DUMMYFUNCTION("GOOGLETRANSLATE(E1579,""zh-CN"",""vi"")"),"Một loại cây thường xanh trồng trong chậu. Nó có thể được nhân giống thành một bụi cây tươi tốt.")</f>
        <v>Một loại cây thường xanh trồng trong chậu. Nó có thể được nhân giống thành một bụi cây tươi tốt.</v>
      </c>
      <c r="H1579" s="8"/>
      <c r="I1579" s="8"/>
      <c r="J1579" s="8"/>
    </row>
    <row r="1580" ht="21.0" customHeight="1">
      <c r="A1580" s="6">
        <v>1.0</v>
      </c>
      <c r="B1580" s="6">
        <v>135.0</v>
      </c>
      <c r="C1580" s="6">
        <v>8.0</v>
      </c>
      <c r="D1580" s="9" t="s">
        <v>1959</v>
      </c>
      <c r="E1580" s="9" t="s">
        <v>1960</v>
      </c>
      <c r="F1580" s="8" t="str">
        <f>IFERROR(__xludf.DUMMYFUNCTION("GOOGLETRANSLATE(D1580,""zh-CN"",""vi"")"),"Những bụi cây tươi tốt")</f>
        <v>Những bụi cây tươi tốt</v>
      </c>
      <c r="G1580" s="8" t="str">
        <f>IFERROR(__xludf.DUMMYFUNCTION("GOOGLETRANSLATE(E1580,""zh-CN"",""vi"")"),"Một loại cây bụi tươi tốt, nhiều lá. Được tạo hình để tạo nên một cây bonsai cao cấp.")</f>
        <v>Một loại cây bụi tươi tốt, nhiều lá. Được tạo hình để tạo nên một cây bonsai cao cấp.</v>
      </c>
      <c r="H1580" s="8"/>
      <c r="I1580" s="8"/>
      <c r="J1580" s="8"/>
    </row>
    <row r="1581" ht="21.0" customHeight="1">
      <c r="A1581" s="6">
        <v>1.0</v>
      </c>
      <c r="B1581" s="6">
        <v>135.0</v>
      </c>
      <c r="C1581" s="6">
        <v>9.0</v>
      </c>
      <c r="D1581" s="9" t="s">
        <v>1961</v>
      </c>
      <c r="E1581" s="9" t="s">
        <v>1962</v>
      </c>
      <c r="F1581" s="8" t="str">
        <f>IFERROR(__xludf.DUMMYFUNCTION("GOOGLETRANSLATE(D1581,""zh-CN"",""vi"")"),"Cây cảnh bonsai cao cấp")</f>
        <v>Cây cảnh bonsai cao cấp</v>
      </c>
      <c r="G1581" s="8" t="str">
        <f>IFERROR(__xludf.DUMMYFUNCTION("GOOGLETRANSLATE(E1581,""zh-CN"",""vi"")"),"Nhiều loại bonsai với các tư thế khác nhau. Chúng có thể được kết hợp để tạo thành một Bonsai Bảo vật.")</f>
        <v>Nhiều loại bonsai với các tư thế khác nhau. Chúng có thể được kết hợp để tạo thành một Bonsai Bảo vật.</v>
      </c>
      <c r="H1581" s="8"/>
      <c r="I1581" s="8"/>
      <c r="J1581" s="8"/>
    </row>
    <row r="1582" ht="21.0" customHeight="1">
      <c r="A1582" s="6">
        <v>1.0</v>
      </c>
      <c r="B1582" s="6">
        <v>135.0</v>
      </c>
      <c r="C1582" s="6">
        <v>10.0</v>
      </c>
      <c r="D1582" s="9" t="s">
        <v>1963</v>
      </c>
      <c r="E1582" s="9" t="s">
        <v>1964</v>
      </c>
      <c r="F1582" s="8" t="str">
        <f>IFERROR(__xludf.DUMMYFUNCTION("GOOGLETRANSLATE(D1582,""zh-CN"",""vi"")"),"Bonsai kho báu")</f>
        <v>Bonsai kho báu</v>
      </c>
      <c r="G1582" s="8" t="str">
        <f>IFERROR(__xludf.DUMMYFUNCTION("GOOGLETRANSLATE(E1582,""zh-CN"",""vi"")"),"Cây cổ thụ trong bức tranh bonsai tự nó đã là một cảnh tượng tuyệt đẹp. Nó đã được nâng tầm lên mức cao nhất.")</f>
        <v>Cây cổ thụ trong bức tranh bonsai tự nó đã là một cảnh tượng tuyệt đẹp. Nó đã được nâng tầm lên mức cao nhất.</v>
      </c>
      <c r="H1582" s="8"/>
      <c r="I1582" s="8"/>
      <c r="J1582" s="8"/>
    </row>
    <row r="1583" ht="21.0" customHeight="1">
      <c r="A1583" s="6">
        <v>11.0</v>
      </c>
      <c r="B1583" s="6">
        <v>1017.0</v>
      </c>
      <c r="C1583" s="6">
        <v>1.0</v>
      </c>
      <c r="D1583" s="9" t="s">
        <v>1965</v>
      </c>
      <c r="E1583" s="9" t="s">
        <v>1966</v>
      </c>
      <c r="F1583" s="8" t="str">
        <f>IFERROR(__xludf.DUMMYFUNCTION("GOOGLETRANSLATE(D1583,""zh-CN"",""vi"")"),"Bóng bay thông thường")</f>
        <v>Bóng bay thông thường</v>
      </c>
      <c r="G1583" s="8" t="str">
        <f>IFERROR(__xludf.DUMMYFUNCTION("GOOGLETRANSLATE(E1583,""zh-CN"",""vi"")"),"Một quả bóng bay dài, hình xúc xích. Kết hợp chúng lại để tạo thành một quả bóng bay kẹo cầu vồng.")</f>
        <v>Một quả bóng bay dài, hình xúc xích. Kết hợp chúng lại để tạo thành một quả bóng bay kẹo cầu vồng.</v>
      </c>
      <c r="H1583" s="8"/>
      <c r="I1583" s="8"/>
      <c r="J1583" s="8"/>
    </row>
    <row r="1584" ht="21.0" customHeight="1">
      <c r="A1584" s="6">
        <v>11.0</v>
      </c>
      <c r="B1584" s="6">
        <v>1017.0</v>
      </c>
      <c r="C1584" s="6">
        <v>2.0</v>
      </c>
      <c r="D1584" s="9" t="s">
        <v>1967</v>
      </c>
      <c r="E1584" s="9" t="s">
        <v>1968</v>
      </c>
      <c r="F1584" s="8" t="str">
        <f>IFERROR(__xludf.DUMMYFUNCTION("GOOGLETRANSLATE(D1584,""zh-CN"",""vi"")"),"Bóng bay kẹo cầu vồng")</f>
        <v>Bóng bay kẹo cầu vồng</v>
      </c>
      <c r="G1584" s="8" t="str">
        <f>IFERROR(__xludf.DUMMYFUNCTION("GOOGLETRANSLATE(E1584,""zh-CN"",""vi"")"),"Những màu sắc rực rỡ của kẹo cầu vồng khiến bạn muốn ăn hết ngay lập tức. Việc chế tạo nó sẽ tạo ra một bể bơi mini.")</f>
        <v>Những màu sắc rực rỡ của kẹo cầu vồng khiến bạn muốn ăn hết ngay lập tức. Việc chế tạo nó sẽ tạo ra một bể bơi mini.</v>
      </c>
      <c r="H1584" s="8"/>
      <c r="I1584" s="8"/>
      <c r="J1584" s="8"/>
    </row>
    <row r="1585" ht="21.0" customHeight="1">
      <c r="A1585" s="6">
        <v>11.0</v>
      </c>
      <c r="B1585" s="6">
        <v>1017.0</v>
      </c>
      <c r="C1585" s="6">
        <v>3.0</v>
      </c>
      <c r="D1585" s="9" t="s">
        <v>1969</v>
      </c>
      <c r="E1585" s="9" t="s">
        <v>1970</v>
      </c>
      <c r="F1585" s="8" t="str">
        <f>IFERROR(__xludf.DUMMYFUNCTION("GOOGLETRANSLATE(D1585,""zh-CN"",""vi"")"),"Bể bơi trẻ em")</f>
        <v>Bể bơi trẻ em</v>
      </c>
      <c r="G1585" s="8" t="str">
        <f>IFERROR(__xludf.DUMMYFUNCTION("GOOGLETRANSLATE(E1585,""zh-CN"",""vi"")"),"Kích thước này rất phù hợp để đựng một em bé nhỏ. Làm ra nó sẽ tạo thành một bể bơi hình vịt cao su.")</f>
        <v>Kích thước này rất phù hợp để đựng một em bé nhỏ. Làm ra nó sẽ tạo thành một bể bơi hình vịt cao su.</v>
      </c>
      <c r="H1585" s="8"/>
      <c r="I1585" s="8"/>
      <c r="J1585" s="8"/>
    </row>
    <row r="1586" ht="21.0" customHeight="1">
      <c r="A1586" s="6">
        <v>11.0</v>
      </c>
      <c r="B1586" s="6">
        <v>1017.0</v>
      </c>
      <c r="C1586" s="6">
        <v>4.0</v>
      </c>
      <c r="D1586" s="9" t="s">
        <v>1971</v>
      </c>
      <c r="E1586" s="9" t="s">
        <v>1972</v>
      </c>
      <c r="F1586" s="8" t="str">
        <f>IFERROR(__xludf.DUMMYFUNCTION("GOOGLETRANSLATE(D1586,""zh-CN"",""vi"")"),"Hồ Vịt Vàng Nhỏ")</f>
        <v>Hồ Vịt Vàng Nhỏ</v>
      </c>
      <c r="G1586" s="8" t="str">
        <f>IFERROR(__xludf.DUMMYFUNCTION("GOOGLETRANSLATE(E1586,""zh-CN"",""vi"")"),"Vịt con cũng thích bơi chứ? Bạn có thể tự làm một bể bóng.")</f>
        <v>Vịt con cũng thích bơi chứ? Bạn có thể tự làm một bể bóng.</v>
      </c>
      <c r="H1586" s="8"/>
      <c r="I1586" s="8"/>
      <c r="J1586" s="8"/>
    </row>
    <row r="1587" ht="21.0" customHeight="1">
      <c r="A1587" s="6">
        <v>10.0</v>
      </c>
      <c r="B1587" s="6">
        <v>1017.0</v>
      </c>
      <c r="C1587" s="6">
        <v>5.0</v>
      </c>
      <c r="D1587" s="9" t="s">
        <v>1973</v>
      </c>
      <c r="E1587" s="9" t="s">
        <v>1974</v>
      </c>
      <c r="F1587" s="8" t="str">
        <f>IFERROR(__xludf.DUMMYFUNCTION("GOOGLETRANSLATE(D1587,""zh-CN"",""vi"")"),"bể bóng đại dương")</f>
        <v>bể bóng đại dương</v>
      </c>
      <c r="G1587" s="8" t="str">
        <f>IFERROR(__xludf.DUMMYFUNCTION("GOOGLETRANSLATE(E1587,""zh-CN"",""vi"")"),"Bóng nhựa và bể bơi bơm hơi là sự kết hợp hoàn hảo! Hãy kết hợp chúng để tạo ra một bể bơi leo trèo.")</f>
        <v>Bóng nhựa và bể bơi bơm hơi là sự kết hợp hoàn hảo! Hãy kết hợp chúng để tạo ra một bể bơi leo trèo.</v>
      </c>
      <c r="H1587" s="8"/>
      <c r="I1587" s="8"/>
      <c r="J1587" s="8"/>
    </row>
    <row r="1588" ht="21.0" customHeight="1">
      <c r="A1588" s="6">
        <v>10.0</v>
      </c>
      <c r="B1588" s="6">
        <v>1017.0</v>
      </c>
      <c r="C1588" s="6">
        <v>6.0</v>
      </c>
      <c r="D1588" s="9" t="s">
        <v>1975</v>
      </c>
      <c r="E1588" s="9" t="s">
        <v>1976</v>
      </c>
      <c r="F1588" s="8" t="str">
        <f>IFERROR(__xludf.DUMMYFUNCTION("GOOGLETRANSLATE(D1588,""zh-CN"",""vi"")"),"Bể bơi tiệc tùng")</f>
        <v>Bể bơi tiệc tùng</v>
      </c>
      <c r="G1588" s="8" t="str">
        <f>IFERROR(__xludf.DUMMYFUNCTION("GOOGLETRANSLATE(E1588,""zh-CN"",""vi"")"),"Không còn lo lắng về việc trượt ngã khi ra khỏi hồ bơi. Việc tự làm này sẽ tạo ra một hồ bơi được che chắn khỏi ánh nắng mặt trời.")</f>
        <v>Không còn lo lắng về việc trượt ngã khi ra khỏi hồ bơi. Việc tự làm này sẽ tạo ra một hồ bơi được che chắn khỏi ánh nắng mặt trời.</v>
      </c>
      <c r="H1588" s="8"/>
      <c r="I1588" s="8"/>
      <c r="J1588" s="8"/>
    </row>
    <row r="1589" ht="21.0" customHeight="1">
      <c r="A1589" s="6">
        <v>10.0</v>
      </c>
      <c r="B1589" s="6">
        <v>1017.0</v>
      </c>
      <c r="C1589" s="6">
        <v>7.0</v>
      </c>
      <c r="D1589" s="9" t="s">
        <v>1977</v>
      </c>
      <c r="E1589" s="9" t="s">
        <v>1978</v>
      </c>
      <c r="F1589" s="8" t="str">
        <f>IFERROR(__xludf.DUMMYFUNCTION("GOOGLETRANSLATE(D1589,""zh-CN"",""vi"")"),"Bể bơi chống nắng")</f>
        <v>Bể bơi chống nắng</v>
      </c>
      <c r="G1589" s="8" t="str">
        <f>IFERROR(__xludf.DUMMYFUNCTION("GOOGLETRANSLATE(E1589,""zh-CN"",""vi"")"),"Với mái che nắng, bạn sẽ không phải lo lắng về việc bị rám nắng! Bạn có thể chế tạo thuyền máy và bể bơi.")</f>
        <v>Với mái che nắng, bạn sẽ không phải lo lắng về việc bị rám nắng! Bạn có thể chế tạo thuyền máy và bể bơi.</v>
      </c>
      <c r="H1589" s="8"/>
      <c r="I1589" s="8"/>
      <c r="J1589" s="8"/>
    </row>
    <row r="1590" ht="21.0" customHeight="1">
      <c r="A1590" s="6">
        <v>10.0</v>
      </c>
      <c r="B1590" s="6">
        <v>1017.0</v>
      </c>
      <c r="C1590" s="6">
        <v>8.0</v>
      </c>
      <c r="D1590" s="9" t="s">
        <v>1979</v>
      </c>
      <c r="E1590" s="9" t="s">
        <v>1980</v>
      </c>
      <c r="F1590" s="8" t="str">
        <f>IFERROR(__xludf.DUMMYFUNCTION("GOOGLETRANSLATE(D1590,""zh-CN"",""vi"")"),"Bể bơi thuyền cao tốc")</f>
        <v>Bể bơi thuyền cao tốc</v>
      </c>
      <c r="G1590" s="8" t="str">
        <f>IFERROR(__xludf.DUMMYFUNCTION("GOOGLETRANSLATE(E1590,""zh-CN"",""vi"")"),"Nó trông giống như một chiếc thuyền máy, nhưng thực chất nó là một bể bơi. Bạn có thể chế tạo một ngôi nhà gỗ có bể bơi bằng cách kết hợp chúng.")</f>
        <v>Nó trông giống như một chiếc thuyền máy, nhưng thực chất nó là một bể bơi. Bạn có thể chế tạo một ngôi nhà gỗ có bể bơi bằng cách kết hợp chúng.</v>
      </c>
      <c r="H1590" s="8"/>
      <c r="I1590" s="8"/>
      <c r="J1590" s="8"/>
    </row>
    <row r="1591" ht="21.0" customHeight="1">
      <c r="A1591" s="6">
        <v>10.0</v>
      </c>
      <c r="B1591" s="6">
        <v>1017.0</v>
      </c>
      <c r="C1591" s="6">
        <v>9.0</v>
      </c>
      <c r="D1591" s="9" t="s">
        <v>1981</v>
      </c>
      <c r="E1591" s="9" t="s">
        <v>1982</v>
      </c>
      <c r="F1591" s="8" t="str">
        <f>IFERROR(__xludf.DUMMYFUNCTION("GOOGLETRANSLATE(D1591,""zh-CN"",""vi"")"),"Hồ bơi trong cabin gỗ")</f>
        <v>Hồ bơi trong cabin gỗ</v>
      </c>
      <c r="G1591" s="8" t="str">
        <f>IFERROR(__xludf.DUMMYFUNCTION("GOOGLETRANSLATE(E1591,""zh-CN"",""vi"")"),"Một đặc điểm tiêu chuẩn của các công viên nước. Kết hợp chúng để tạo ra một thế giới cầu trượt nước.")</f>
        <v>Một đặc điểm tiêu chuẩn của các công viên nước. Kết hợp chúng để tạo ra một thế giới cầu trượt nước.</v>
      </c>
      <c r="H1591" s="8"/>
      <c r="I1591" s="8"/>
      <c r="J1591" s="8"/>
    </row>
    <row r="1592" ht="21.0" customHeight="1">
      <c r="A1592" s="6">
        <v>10.0</v>
      </c>
      <c r="B1592" s="6">
        <v>1017.0</v>
      </c>
      <c r="C1592" s="6">
        <v>10.0</v>
      </c>
      <c r="D1592" s="9" t="s">
        <v>1983</v>
      </c>
      <c r="E1592" s="9" t="s">
        <v>1984</v>
      </c>
      <c r="F1592" s="8" t="str">
        <f>IFERROR(__xludf.DUMMYFUNCTION("GOOGLETRANSLATE(D1592,""zh-CN"",""vi"")"),"Thế giới cầu trượt nước")</f>
        <v>Thế giới cầu trượt nước</v>
      </c>
      <c r="G1592" s="8" t="str">
        <f>IFERROR(__xludf.DUMMYFUNCTION("GOOGLETRANSLATE(E1592,""zh-CN"",""vi"")"),"Những hàng dừa, cầu trượt và bể bơi - một lâu đài trong mơ dành cho những quả bóng nhỏ. Nơi đây đã được nâng cấp lên mức cao nhất.")</f>
        <v>Những hàng dừa, cầu trượt và bể bơi - một lâu đài trong mơ dành cho những quả bóng nhỏ. Nơi đây đã được nâng cấp lên mức cao nhất.</v>
      </c>
      <c r="H1592" s="8"/>
      <c r="I1592" s="8"/>
      <c r="J1592" s="8"/>
    </row>
    <row r="1593" ht="21.0" customHeight="1">
      <c r="A1593" s="6">
        <v>1.0</v>
      </c>
      <c r="B1593" s="6">
        <v>142.0</v>
      </c>
      <c r="C1593" s="6">
        <v>1.0</v>
      </c>
      <c r="D1593" s="9" t="s">
        <v>1985</v>
      </c>
      <c r="E1593" s="9" t="s">
        <v>1986</v>
      </c>
      <c r="F1593" s="8" t="str">
        <f>IFERROR(__xludf.DUMMYFUNCTION("GOOGLETRANSLATE(D1593,""zh-CN"",""vi"")"),"Phụ kiện ván lướt sóng")</f>
        <v>Phụ kiện ván lướt sóng</v>
      </c>
      <c r="G1593" s="8" t="str">
        <f>IFERROR(__xludf.DUMMYFUNCTION("GOOGLETRANSLATE(E1593,""zh-CN"",""vi"")"),"Nó trông giống như một phụ kiện cho ván lướt sóng. Chế tạo nó sẽ cho bạn chiếc ván lướt sóng chính.")</f>
        <v>Nó trông giống như một phụ kiện cho ván lướt sóng. Chế tạo nó sẽ cho bạn chiếc ván lướt sóng chính.</v>
      </c>
      <c r="H1593" s="8"/>
      <c r="I1593" s="8"/>
      <c r="J1593" s="8"/>
    </row>
    <row r="1594" ht="21.0" customHeight="1">
      <c r="A1594" s="6">
        <v>1.0</v>
      </c>
      <c r="B1594" s="6">
        <v>142.0</v>
      </c>
      <c r="C1594" s="6">
        <v>2.0</v>
      </c>
      <c r="D1594" s="9" t="s">
        <v>1987</v>
      </c>
      <c r="E1594" s="9" t="s">
        <v>1988</v>
      </c>
      <c r="F1594" s="8" t="str">
        <f>IFERROR(__xludf.DUMMYFUNCTION("GOOGLETRANSLATE(D1594,""zh-CN"",""vi"")"),"thân ván lướt sóng")</f>
        <v>thân ván lướt sóng</v>
      </c>
      <c r="G1594" s="8" t="str">
        <f>IFERROR(__xludf.DUMMYFUNCTION("GOOGLETRANSLATE(E1594,""zh-CN"",""vi"")"),"Mặt ván nhẵn mịn và đã được đánh sáp sẵn! Hãy chế tác nó để có được một chiếc ván lướt sóng hoàn chỉnh.")</f>
        <v>Mặt ván nhẵn mịn và đã được đánh sáp sẵn! Hãy chế tác nó để có được một chiếc ván lướt sóng hoàn chỉnh.</v>
      </c>
      <c r="H1594" s="8"/>
      <c r="I1594" s="8"/>
      <c r="J1594" s="8"/>
    </row>
    <row r="1595" ht="21.0" customHeight="1">
      <c r="A1595" s="6">
        <v>1.0</v>
      </c>
      <c r="B1595" s="6">
        <v>142.0</v>
      </c>
      <c r="C1595" s="6">
        <v>3.0</v>
      </c>
      <c r="D1595" s="9" t="s">
        <v>1989</v>
      </c>
      <c r="E1595" s="9" t="s">
        <v>1990</v>
      </c>
      <c r="F1595" s="8" t="str">
        <f>IFERROR(__xludf.DUMMYFUNCTION("GOOGLETRANSLATE(D1595,""zh-CN"",""vi"")"),"Ván lướt sóng hoàn chỉnh")</f>
        <v>Ván lướt sóng hoàn chỉnh</v>
      </c>
      <c r="G1595" s="8" t="str">
        <f>IFERROR(__xludf.DUMMYFUNCTION("GOOGLETRANSLATE(E1595,""zh-CN"",""vi"")"),"Với nó, bạn có thể dong buồm ra khơi! Bạn có thể kết hợp chúng để tạo thành một khinh khí cầu dành cho một người.")</f>
        <v>Với nó, bạn có thể dong buồm ra khơi! Bạn có thể kết hợp chúng để tạo thành một khinh khí cầu dành cho một người.</v>
      </c>
      <c r="H1595" s="8"/>
      <c r="I1595" s="8"/>
      <c r="J1595" s="8"/>
    </row>
    <row r="1596" ht="21.0" customHeight="1">
      <c r="A1596" s="6">
        <v>1.0</v>
      </c>
      <c r="B1596" s="6">
        <v>142.0</v>
      </c>
      <c r="C1596" s="6">
        <v>4.0</v>
      </c>
      <c r="D1596" s="9" t="s">
        <v>1991</v>
      </c>
      <c r="E1596" s="9" t="s">
        <v>1992</v>
      </c>
      <c r="F1596" s="8" t="str">
        <f>IFERROR(__xludf.DUMMYFUNCTION("GOOGLETRANSLATE(D1596,""zh-CN"",""vi"")"),"Khinh khí cầu một người")</f>
        <v>Khinh khí cầu một người</v>
      </c>
      <c r="G1596" s="8" t="str">
        <f>IFERROR(__xludf.DUMMYFUNCTION("GOOGLETRANSLATE(E1596,""zh-CN"",""vi"")"),"Một loại khinh khí cầu sẽ trôi dạt vô định trên mặt nước. Nó có thể được chế tạo thành khinh khí cầu dành cho một người.")</f>
        <v>Một loại khinh khí cầu sẽ trôi dạt vô định trên mặt nước. Nó có thể được chế tạo thành khinh khí cầu dành cho một người.</v>
      </c>
      <c r="H1596" s="8"/>
      <c r="I1596" s="8"/>
      <c r="J1596" s="8"/>
    </row>
    <row r="1597" ht="21.0" customHeight="1">
      <c r="A1597" s="6">
        <v>1.0</v>
      </c>
      <c r="B1597" s="6">
        <v>142.0</v>
      </c>
      <c r="C1597" s="6">
        <v>5.0</v>
      </c>
      <c r="D1597" s="9" t="s">
        <v>1993</v>
      </c>
      <c r="E1597" s="9" t="s">
        <v>1994</v>
      </c>
      <c r="F1597" s="8" t="str">
        <f>IFERROR(__xludf.DUMMYFUNCTION("GOOGLETRANSLATE(D1597,""zh-CN"",""vi"")"),"Thuyền bơm hơi một người")</f>
        <v>Thuyền bơm hơi một người</v>
      </c>
      <c r="G1597" s="8" t="str">
        <f>IFERROR(__xludf.DUMMYFUNCTION("GOOGLETRANSLATE(E1597,""zh-CN"",""vi"")"),"Mặc dù bạn có thể điều khiển hướng đi, nhưng chèo thuyền rất mệt. Bạn có thể chế tạo một chiếc thuyền hình ghế sofa.")</f>
        <v>Mặc dù bạn có thể điều khiển hướng đi, nhưng chèo thuyền rất mệt. Bạn có thể chế tạo một chiếc thuyền hình ghế sofa.</v>
      </c>
      <c r="H1597" s="8"/>
      <c r="I1597" s="8"/>
      <c r="J1597" s="8"/>
    </row>
    <row r="1598" ht="21.0" customHeight="1">
      <c r="A1598" s="6">
        <v>1.0</v>
      </c>
      <c r="B1598" s="6">
        <v>142.0</v>
      </c>
      <c r="C1598" s="6">
        <v>6.0</v>
      </c>
      <c r="D1598" s="9" t="s">
        <v>1995</v>
      </c>
      <c r="E1598" s="9" t="s">
        <v>1996</v>
      </c>
      <c r="F1598" s="8" t="str">
        <f>IFERROR(__xludf.DUMMYFUNCTION("GOOGLETRANSLATE(D1598,""zh-CN"",""vi"")"),"Khinh khí cầu ghế sofa")</f>
        <v>Khinh khí cầu ghế sofa</v>
      </c>
      <c r="G1598" s="8" t="str">
        <f>IFERROR(__xludf.DUMMYFUNCTION("GOOGLETRANSLATE(E1598,""zh-CN"",""vi"")"),"Thuyền bơm hơi một người được trang bị ghế ngồi thoải mái. Nó có thể được chế tạo thành xe ba bánh trên nước.")</f>
        <v>Thuyền bơm hơi một người được trang bị ghế ngồi thoải mái. Nó có thể được chế tạo thành xe ba bánh trên nước.</v>
      </c>
      <c r="H1598" s="8"/>
      <c r="I1598" s="8"/>
      <c r="J1598" s="8"/>
    </row>
    <row r="1599" ht="21.0" customHeight="1">
      <c r="A1599" s="6">
        <v>1.0</v>
      </c>
      <c r="B1599" s="6">
        <v>142.0</v>
      </c>
      <c r="C1599" s="6">
        <v>7.0</v>
      </c>
      <c r="D1599" s="9" t="s">
        <v>1997</v>
      </c>
      <c r="E1599" s="9" t="s">
        <v>1998</v>
      </c>
      <c r="F1599" s="8" t="str">
        <f>IFERROR(__xludf.DUMMYFUNCTION("GOOGLETRANSLATE(D1599,""zh-CN"",""vi"")"),"xe ba bánh trên nước")</f>
        <v>xe ba bánh trên nước</v>
      </c>
      <c r="G1599" s="8" t="str">
        <f>IFERROR(__xludf.DUMMYFUNCTION("GOOGLETRANSLATE(E1599,""zh-CN"",""vi"")"),"Một chiếc xe ba bánh kỳ diệu có thể chạy trên mặt nước. Khi kết hợp lại, nó có thể tạo thành một chiếc xe đạp nước hai chỗ ngồi.")</f>
        <v>Một chiếc xe ba bánh kỳ diệu có thể chạy trên mặt nước. Khi kết hợp lại, nó có thể tạo thành một chiếc xe đạp nước hai chỗ ngồi.</v>
      </c>
      <c r="H1599" s="8"/>
      <c r="I1599" s="8"/>
      <c r="J1599" s="8"/>
    </row>
    <row r="1600" ht="21.0" customHeight="1">
      <c r="A1600" s="6">
        <v>1.0</v>
      </c>
      <c r="B1600" s="6">
        <v>142.0</v>
      </c>
      <c r="C1600" s="6">
        <v>8.0</v>
      </c>
      <c r="D1600" s="9" t="s">
        <v>1999</v>
      </c>
      <c r="E1600" s="9" t="s">
        <v>2000</v>
      </c>
      <c r="F1600" s="8" t="str">
        <f>IFERROR(__xludf.DUMMYFUNCTION("GOOGLETRANSLATE(D1600,""zh-CN"",""vi"")"),"xe đạp đôi trên nước")</f>
        <v>xe đạp đôi trên nước</v>
      </c>
      <c r="G1600" s="8" t="str">
        <f>IFERROR(__xludf.DUMMYFUNCTION("GOOGLETRANSLATE(E1600,""zh-CN"",""vi"")"),"Ba bánh xe không thể nào địch lại bốn chân. Kết hợp chúng lại sẽ tạo ra một cánh buồm đơn cột.")</f>
        <v>Ba bánh xe không thể nào địch lại bốn chân. Kết hợp chúng lại sẽ tạo ra một cánh buồm đơn cột.</v>
      </c>
      <c r="H1600" s="8"/>
      <c r="I1600" s="8"/>
      <c r="J1600" s="8"/>
    </row>
    <row r="1601" ht="21.0" customHeight="1">
      <c r="A1601" s="6">
        <v>1.0</v>
      </c>
      <c r="B1601" s="6">
        <v>142.0</v>
      </c>
      <c r="C1601" s="6">
        <v>9.0</v>
      </c>
      <c r="D1601" s="9" t="s">
        <v>2001</v>
      </c>
      <c r="E1601" s="9" t="s">
        <v>2002</v>
      </c>
      <c r="F1601" s="8" t="str">
        <f>IFERROR(__xludf.DUMMYFUNCTION("GOOGLETRANSLATE(D1601,""zh-CN"",""vi"")"),"Cánh buồm một cột")</f>
        <v>Cánh buồm một cột</v>
      </c>
      <c r="G1601" s="8" t="str">
        <f>IFERROR(__xludf.DUMMYFUNCTION("GOOGLETRANSLATE(E1601,""zh-CN"",""vi"")"),"Nếu bạn muốn tham gia một chuyến phiêu lưu trên biển, hãy mang theo nó. Chế tạo nó để có được một chiếc thuyền buồm hai thân.")</f>
        <v>Nếu bạn muốn tham gia một chuyến phiêu lưu trên biển, hãy mang theo nó. Chế tạo nó để có được một chiếc thuyền buồm hai thân.</v>
      </c>
      <c r="H1601" s="8"/>
      <c r="I1601" s="8"/>
      <c r="J1601" s="8"/>
    </row>
    <row r="1602" ht="21.0" customHeight="1">
      <c r="A1602" s="6">
        <v>1.0</v>
      </c>
      <c r="B1602" s="6">
        <v>142.0</v>
      </c>
      <c r="C1602" s="6">
        <v>10.0</v>
      </c>
      <c r="D1602" s="9" t="s">
        <v>2003</v>
      </c>
      <c r="E1602" s="9" t="s">
        <v>2004</v>
      </c>
      <c r="F1602" s="8" t="str">
        <f>IFERROR(__xludf.DUMMYFUNCTION("GOOGLETRANSLATE(D1602,""zh-CN"",""vi"")"),"thuyền buồm hai thân")</f>
        <v>thuyền buồm hai thân</v>
      </c>
      <c r="G1602" s="8" t="str">
        <f>IFERROR(__xludf.DUMMYFUNCTION("GOOGLETRANSLATE(E1602,""zh-CN"",""vi"")"),"Trên thuyền buồm có cướp biển không? Bạn có thể chế tạo thuyền máy.")</f>
        <v>Trên thuyền buồm có cướp biển không? Bạn có thể chế tạo thuyền máy.</v>
      </c>
      <c r="H1602" s="8"/>
      <c r="I1602" s="8"/>
      <c r="J1602" s="8"/>
    </row>
    <row r="1603" ht="21.0" customHeight="1">
      <c r="A1603" s="6">
        <v>1.0</v>
      </c>
      <c r="B1603" s="6">
        <v>142.0</v>
      </c>
      <c r="C1603" s="6">
        <v>11.0</v>
      </c>
      <c r="D1603" s="9" t="s">
        <v>2005</v>
      </c>
      <c r="E1603" s="9" t="s">
        <v>2006</v>
      </c>
      <c r="F1603" s="8" t="str">
        <f>IFERROR(__xludf.DUMMYFUNCTION("GOOGLETRANSLATE(D1603,""zh-CN"",""vi"")"),"thuyền máy")</f>
        <v>thuyền máy</v>
      </c>
      <c r="G1603" s="8" t="str">
        <f>IFERROR(__xludf.DUMMYFUNCTION("GOOGLETRANSLATE(E1603,""zh-CN"",""vi"")"),"Hãy lên chiếc mô tô nhỏ yêu quý của tôi nào~ Kết hợp lại để có được một chiếc thuyền máy nhiều tầng.")</f>
        <v>Hãy lên chiếc mô tô nhỏ yêu quý của tôi nào~ Kết hợp lại để có được một chiếc thuyền máy nhiều tầng.</v>
      </c>
      <c r="H1603" s="8"/>
      <c r="I1603" s="8"/>
      <c r="J1603" s="8"/>
    </row>
    <row r="1604" ht="21.0" customHeight="1">
      <c r="A1604" s="6">
        <v>1.0</v>
      </c>
      <c r="B1604" s="6">
        <v>142.0</v>
      </c>
      <c r="C1604" s="6">
        <v>12.0</v>
      </c>
      <c r="D1604" s="9" t="s">
        <v>2007</v>
      </c>
      <c r="E1604" s="9" t="s">
        <v>2008</v>
      </c>
      <c r="F1604" s="8" t="str">
        <f>IFERROR(__xludf.DUMMYFUNCTION("GOOGLETRANSLATE(D1604,""zh-CN"",""vi"")"),"Thuyền cao tốc nhiều tầng")</f>
        <v>Thuyền cao tốc nhiều tầng</v>
      </c>
      <c r="G1604" s="8" t="str">
        <f>IFERROR(__xludf.DUMMYFUNCTION("GOOGLETRANSLATE(E1604,""zh-CN"",""vi"")"),"Liệu một chiếc thuyền cao tốc hai tầng có nhanh hơn không? Một chiếc du thuyền hạng sang có thể được chế tạo từ những vật liệu này.")</f>
        <v>Liệu một chiếc thuyền cao tốc hai tầng có nhanh hơn không? Một chiếc du thuyền hạng sang có thể được chế tạo từ những vật liệu này.</v>
      </c>
      <c r="H1604" s="8"/>
      <c r="I1604" s="8"/>
      <c r="J1604" s="8"/>
    </row>
    <row r="1605" ht="21.0" customHeight="1">
      <c r="A1605" s="6">
        <v>1.0</v>
      </c>
      <c r="B1605" s="6">
        <v>142.0</v>
      </c>
      <c r="C1605" s="6">
        <v>13.0</v>
      </c>
      <c r="D1605" s="9" t="s">
        <v>2009</v>
      </c>
      <c r="E1605" s="9" t="s">
        <v>2010</v>
      </c>
      <c r="F1605" s="8" t="str">
        <f>IFERROR(__xludf.DUMMYFUNCTION("GOOGLETRANSLATE(D1605,""zh-CN"",""vi"")"),"Du thuyền hạng sang")</f>
        <v>Du thuyền hạng sang</v>
      </c>
      <c r="G1605" s="8" t="str">
        <f>IFERROR(__xludf.DUMMYFUNCTION("GOOGLETRANSLATE(E1605,""zh-CN"",""vi"")"),"Một chiếc du thuyền lãng mạn mà mọi cô gái đều mơ ước. Giờ đây nó đã được nâng cấp lên phiên bản cao cấp nhất.")</f>
        <v>Một chiếc du thuyền lãng mạn mà mọi cô gái đều mơ ước. Giờ đây nó đã được nâng cấp lên phiên bản cao cấp nhất.</v>
      </c>
      <c r="H1605" s="8"/>
      <c r="I1605" s="8"/>
      <c r="J1605" s="8"/>
    </row>
    <row r="1606" ht="21.0" customHeight="1">
      <c r="A1606" s="6">
        <v>1.0</v>
      </c>
      <c r="B1606" s="6">
        <v>141.0</v>
      </c>
      <c r="C1606" s="6">
        <v>1.0</v>
      </c>
      <c r="D1606" s="9" t="s">
        <v>2011</v>
      </c>
      <c r="E1606" s="9" t="s">
        <v>2012</v>
      </c>
      <c r="F1606" s="8" t="str">
        <f>IFERROR(__xludf.DUMMYFUNCTION("GOOGLETRANSLATE(D1606,""zh-CN"",""vi"")"),"Thuyền giấy nhỏ")</f>
        <v>Thuyền giấy nhỏ</v>
      </c>
      <c r="G1606" s="8" t="str">
        <f>IFERROR(__xludf.DUMMYFUNCTION("GOOGLETRANSLATE(E1606,""zh-CN"",""vi"")"),"Trên nền trời xanh và dải Ngân hà, có một chiếc thuyền nhỏ màu vàng. Bạn có thể kết hợp chúng để tạo thành một chiếc phao hình thỏ.")</f>
        <v>Trên nền trời xanh và dải Ngân hà, có một chiếc thuyền nhỏ màu vàng. Bạn có thể kết hợp chúng để tạo thành một chiếc phao hình thỏ.</v>
      </c>
      <c r="H1606" s="8"/>
      <c r="I1606" s="8"/>
      <c r="J1606" s="8"/>
    </row>
    <row r="1607" ht="21.0" customHeight="1">
      <c r="A1607" s="6">
        <v>1.0</v>
      </c>
      <c r="B1607" s="6">
        <v>141.0</v>
      </c>
      <c r="C1607" s="6">
        <v>2.0</v>
      </c>
      <c r="D1607" s="9" t="s">
        <v>2013</v>
      </c>
      <c r="E1607" s="9" t="s">
        <v>2014</v>
      </c>
      <c r="F1607" s="8" t="str">
        <f>IFERROR(__xludf.DUMMYFUNCTION("GOOGLETRANSLATE(D1607,""zh-CN"",""vi"")"),"Thỏ nổi")</f>
        <v>Thỏ nổi</v>
      </c>
      <c r="G1607" s="8" t="str">
        <f>IFERROR(__xludf.DUMMYFUNCTION("GOOGLETRANSLATE(E1607,""zh-CN"",""vi"")"),"Hình đầu thỏ được in trên tấm ván nổi. Ghép chúng lại để tạo thành một quả bóng.")</f>
        <v>Hình đầu thỏ được in trên tấm ván nổi. Ghép chúng lại để tạo thành một quả bóng.</v>
      </c>
      <c r="H1607" s="8"/>
      <c r="I1607" s="8"/>
      <c r="J1607" s="8"/>
    </row>
    <row r="1608" ht="21.0" customHeight="1">
      <c r="A1608" s="6">
        <v>1.0</v>
      </c>
      <c r="B1608" s="6">
        <v>141.0</v>
      </c>
      <c r="C1608" s="6">
        <v>3.0</v>
      </c>
      <c r="D1608" s="9" t="s">
        <v>2015</v>
      </c>
      <c r="E1608" s="9" t="s">
        <v>2016</v>
      </c>
      <c r="F1608" s="8" t="str">
        <f>IFERROR(__xludf.DUMMYFUNCTION("GOOGLETRANSLATE(D1608,""zh-CN"",""vi"")"),"quả bóng")</f>
        <v>quả bóng</v>
      </c>
      <c r="G1608" s="8" t="str">
        <f>IFERROR(__xludf.DUMMYFUNCTION("GOOGLETRANSLATE(E1608,""zh-CN"",""vi"")"),"Một quả bóng nhỏ bị một em bé nghịch ngợm bỏ quên ở công viên nước. Ghép chúng lại để tạo thành một chú vịt vàng nhỏ.")</f>
        <v>Một quả bóng nhỏ bị một em bé nghịch ngợm bỏ quên ở công viên nước. Ghép chúng lại để tạo thành một chú vịt vàng nhỏ.</v>
      </c>
      <c r="H1608" s="8"/>
      <c r="I1608" s="8"/>
      <c r="J1608" s="8"/>
    </row>
    <row r="1609" ht="21.0" customHeight="1">
      <c r="A1609" s="6">
        <v>1.0</v>
      </c>
      <c r="B1609" s="6">
        <v>141.0</v>
      </c>
      <c r="C1609" s="6">
        <v>4.0</v>
      </c>
      <c r="D1609" s="9" t="s">
        <v>2017</v>
      </c>
      <c r="E1609" s="9" t="s">
        <v>2018</v>
      </c>
      <c r="F1609" s="8" t="str">
        <f>IFERROR(__xludf.DUMMYFUNCTION("GOOGLETRANSLATE(D1609,""zh-CN"",""vi"")"),"Vịt con vàng")</f>
        <v>Vịt con vàng</v>
      </c>
      <c r="G1609" s="8" t="str">
        <f>IFERROR(__xludf.DUMMYFUNCTION("GOOGLETRANSLATE(E1609,""zh-CN"",""vi"")"),"Một chú vịt nổi trên mặt nước tượng trưng cho sự ngây thơ và tính cách vô tư. Sau khi chế tác, bạn sẽ có một chiếc phao bơi.")</f>
        <v>Một chú vịt nổi trên mặt nước tượng trưng cho sự ngây thơ và tính cách vô tư. Sau khi chế tác, bạn sẽ có một chiếc phao bơi.</v>
      </c>
      <c r="H1609" s="8"/>
      <c r="I1609" s="8"/>
      <c r="J1609" s="8"/>
    </row>
    <row r="1610" ht="21.0" customHeight="1">
      <c r="A1610" s="6">
        <v>1.0</v>
      </c>
      <c r="B1610" s="6">
        <v>141.0</v>
      </c>
      <c r="C1610" s="6">
        <v>5.0</v>
      </c>
      <c r="D1610" s="9" t="s">
        <v>2019</v>
      </c>
      <c r="E1610" s="9" t="s">
        <v>2020</v>
      </c>
      <c r="F1610" s="8" t="str">
        <f>IFERROR(__xludf.DUMMYFUNCTION("GOOGLETRANSLATE(D1610,""zh-CN"",""vi"")"),"phao bơi")</f>
        <v>phao bơi</v>
      </c>
      <c r="G1610" s="8" t="str">
        <f>IFERROR(__xludf.DUMMYFUNCTION("GOOGLETRANSLATE(E1610,""zh-CN"",""vi"")"),"Một vật cứu sinh cho những người không biết bơi. Việc chế tạo những vật liệu này sẽ tạo ra một chiếc áo phao.")</f>
        <v>Một vật cứu sinh cho những người không biết bơi. Việc chế tạo những vật liệu này sẽ tạo ra một chiếc áo phao.</v>
      </c>
      <c r="H1610" s="8"/>
      <c r="I1610" s="8"/>
      <c r="J1610" s="8"/>
    </row>
    <row r="1611" ht="21.0" customHeight="1">
      <c r="A1611" s="6">
        <v>1.0</v>
      </c>
      <c r="B1611" s="6">
        <v>141.0</v>
      </c>
      <c r="C1611" s="6">
        <v>6.0</v>
      </c>
      <c r="D1611" s="9" t="s">
        <v>2021</v>
      </c>
      <c r="E1611" s="9" t="s">
        <v>2022</v>
      </c>
      <c r="F1611" s="8" t="str">
        <f>IFERROR(__xludf.DUMMYFUNCTION("GOOGLETRANSLATE(D1611,""zh-CN"",""vi"")"),"áo phao cứu sinh")</f>
        <v>áo phao cứu sinh</v>
      </c>
      <c r="G1611" s="8" t="str">
        <f>IFERROR(__xludf.DUMMYFUNCTION("GOOGLETRANSLATE(E1611,""zh-CN"",""vi"")"),"Hãy đeo nó và bạn sẽ là người sành điệu nhất! Chế tạo nó để nhận được thú cưỡi cá heo.")</f>
        <v>Hãy đeo nó và bạn sẽ là người sành điệu nhất! Chế tạo nó để nhận được thú cưỡi cá heo.</v>
      </c>
      <c r="H1611" s="8"/>
      <c r="I1611" s="8"/>
      <c r="J1611" s="8"/>
    </row>
    <row r="1612" ht="21.0" customHeight="1">
      <c r="A1612" s="6">
        <v>1.0</v>
      </c>
      <c r="B1612" s="6">
        <v>141.0</v>
      </c>
      <c r="C1612" s="6">
        <v>7.0</v>
      </c>
      <c r="D1612" s="9" t="s">
        <v>2023</v>
      </c>
      <c r="E1612" s="9" t="s">
        <v>2024</v>
      </c>
      <c r="F1612" s="8" t="str">
        <f>IFERROR(__xludf.DUMMYFUNCTION("GOOGLETRANSLATE(D1612,""zh-CN"",""vi"")"),"Núi Cá Heo Nhỏ")</f>
        <v>Núi Cá Heo Nhỏ</v>
      </c>
      <c r="G1612" s="8" t="str">
        <f>IFERROR(__xludf.DUMMYFUNCTION("GOOGLETRANSLATE(E1612,""zh-CN"",""vi"")"),"Khi ngồi trên đó, bạn sẽ lướt nhẹ trên mặt nước như một chiếc nôi thời thơ ấu. Bạn có thể tự chế tạo một chiếc phao hình vỏ sò.")</f>
        <v>Khi ngồi trên đó, bạn sẽ lướt nhẹ trên mặt nước như một chiếc nôi thời thơ ấu. Bạn có thể tự chế tạo một chiếc phao hình vỏ sò.</v>
      </c>
      <c r="H1612" s="8"/>
      <c r="I1612" s="8"/>
      <c r="J1612" s="8"/>
    </row>
    <row r="1613" ht="21.0" customHeight="1">
      <c r="A1613" s="6">
        <v>1.0</v>
      </c>
      <c r="B1613" s="6">
        <v>141.0</v>
      </c>
      <c r="C1613" s="6">
        <v>8.0</v>
      </c>
      <c r="D1613" s="9" t="s">
        <v>2025</v>
      </c>
      <c r="E1613" s="9" t="s">
        <v>2026</v>
      </c>
      <c r="F1613" s="8" t="str">
        <f>IFERROR(__xludf.DUMMYFUNCTION("GOOGLETRANSLATE(D1613,""zh-CN"",""vi"")"),"Giường nổi vỏ sò")</f>
        <v>Giường nổi vỏ sò</v>
      </c>
      <c r="G1613" s="8" t="str">
        <f>IFERROR(__xludf.DUMMYFUNCTION("GOOGLETRANSLATE(E1613,""zh-CN"",""vi"")"),"Một chiếc giường nổi hình vỏ sò được khảm những viên ngọc trai lớn. Chế tạo nó sẽ tạo ra một chiếc bập bênh nước.")</f>
        <v>Một chiếc giường nổi hình vỏ sò được khảm những viên ngọc trai lớn. Chế tạo nó sẽ tạo ra một chiếc bập bênh nước.</v>
      </c>
      <c r="H1613" s="8"/>
      <c r="I1613" s="8"/>
      <c r="J1613" s="8"/>
    </row>
    <row r="1614" ht="21.0" customHeight="1">
      <c r="A1614" s="6">
        <v>1.0</v>
      </c>
      <c r="B1614" s="6">
        <v>141.0</v>
      </c>
      <c r="C1614" s="6">
        <v>9.0</v>
      </c>
      <c r="D1614" s="9" t="s">
        <v>2027</v>
      </c>
      <c r="E1614" s="9" t="s">
        <v>2028</v>
      </c>
      <c r="F1614" s="8" t="str">
        <f>IFERROR(__xludf.DUMMYFUNCTION("GOOGLETRANSLATE(D1614,""zh-CN"",""vi"")"),"Bập bênh nước")</f>
        <v>Bập bênh nước</v>
      </c>
      <c r="G1614" s="8" t="str">
        <f>IFERROR(__xludf.DUMMYFUNCTION("GOOGLETRANSLATE(E1614,""zh-CN"",""vi"")"),"Chia sẻ là yêu thương! Kết hợp chúng lại để tạo thành một chiếc thuyền chuối.")</f>
        <v>Chia sẻ là yêu thương! Kết hợp chúng lại để tạo thành một chiếc thuyền chuối.</v>
      </c>
      <c r="H1614" s="8"/>
      <c r="I1614" s="8"/>
      <c r="J1614" s="8"/>
    </row>
    <row r="1615" ht="21.0" customHeight="1">
      <c r="A1615" s="6">
        <v>1.0</v>
      </c>
      <c r="B1615" s="6">
        <v>141.0</v>
      </c>
      <c r="C1615" s="6">
        <v>10.0</v>
      </c>
      <c r="D1615" s="9" t="s">
        <v>2029</v>
      </c>
      <c r="E1615" s="9" t="s">
        <v>2030</v>
      </c>
      <c r="F1615" s="8" t="str">
        <f>IFERROR(__xludf.DUMMYFUNCTION("GOOGLETRANSLATE(D1615,""zh-CN"",""vi"")"),"Thuyền chuối")</f>
        <v>Thuyền chuối</v>
      </c>
      <c r="G1615" s="8" t="str">
        <f>IFERROR(__xludf.DUMMYFUNCTION("GOOGLETRANSLATE(E1615,""zh-CN"",""vi"")"),"Con tàu nơi nàng tiên cá và hoàng tử lần đầu gặp nhau. Kết hợp chúng lại để có được một chiếc phao bơi hình hải cẩu con.")</f>
        <v>Con tàu nơi nàng tiên cá và hoàng tử lần đầu gặp nhau. Kết hợp chúng lại để có được một chiếc phao bơi hình hải cẩu con.</v>
      </c>
      <c r="H1615" s="8"/>
      <c r="I1615" s="8"/>
      <c r="J1615" s="8"/>
    </row>
    <row r="1616" ht="21.0" customHeight="1">
      <c r="A1616" s="6">
        <v>1.0</v>
      </c>
      <c r="B1616" s="6">
        <v>141.0</v>
      </c>
      <c r="C1616" s="6">
        <v>11.0</v>
      </c>
      <c r="D1616" s="9" t="s">
        <v>2031</v>
      </c>
      <c r="E1616" s="9" t="s">
        <v>2032</v>
      </c>
      <c r="F1616" s="8" t="str">
        <f>IFERROR(__xludf.DUMMYFUNCTION("GOOGLETRANSLATE(D1616,""zh-CN"",""vi"")"),"phao bơi nhỏ cho hải cẩu")</f>
        <v>phao bơi nhỏ cho hải cẩu</v>
      </c>
      <c r="G1616" s="8" t="str">
        <f>IFERROR(__xludf.DUMMYFUNCTION("GOOGLETRANSLATE(E1616,""zh-CN"",""vi"")"),"Một chú hải cẩu con bắt đầu làm việc ngay sau khi trưởng thành. Nó có thể được kết hợp để tạo thành một chiếc phao bơi hình chim hồng hạc nước.")</f>
        <v>Một chú hải cẩu con bắt đầu làm việc ngay sau khi trưởng thành. Nó có thể được kết hợp để tạo thành một chiếc phao bơi hình chim hồng hạc nước.</v>
      </c>
      <c r="H1616" s="8"/>
      <c r="I1616" s="8"/>
      <c r="J1616" s="8"/>
    </row>
    <row r="1617" ht="21.0" customHeight="1">
      <c r="A1617" s="6">
        <v>1.0</v>
      </c>
      <c r="B1617" s="6">
        <v>141.0</v>
      </c>
      <c r="C1617" s="6">
        <v>12.0</v>
      </c>
      <c r="D1617" s="9" t="s">
        <v>2033</v>
      </c>
      <c r="E1617" s="9" t="s">
        <v>2034</v>
      </c>
      <c r="F1617" s="8" t="str">
        <f>IFERROR(__xludf.DUMMYFUNCTION("GOOGLETRANSLATE(D1617,""zh-CN"",""vi"")"),"phao bơi hình chim hồng hạc")</f>
        <v>phao bơi hình chim hồng hạc</v>
      </c>
      <c r="G1617" s="8" t="str">
        <f>IFERROR(__xludf.DUMMYFUNCTION("GOOGLETRANSLATE(E1617,""zh-CN"",""vi"")"),"Những chú hồng hạc dưới nước, hay đơn giản là... hồng hạc nước? Bạn có thể chế tạo chúng để có được một chiếc phao bơi hình kỳ lân.")</f>
        <v>Những chú hồng hạc dưới nước, hay đơn giản là... hồng hạc nước? Bạn có thể chế tạo chúng để có được một chiếc phao bơi hình kỳ lân.</v>
      </c>
      <c r="H1617" s="8"/>
      <c r="I1617" s="8"/>
      <c r="J1617" s="8"/>
    </row>
    <row r="1618" ht="21.0" customHeight="1">
      <c r="A1618" s="6">
        <v>1.0</v>
      </c>
      <c r="B1618" s="6">
        <v>141.0</v>
      </c>
      <c r="C1618" s="6">
        <v>13.0</v>
      </c>
      <c r="D1618" s="9" t="s">
        <v>2035</v>
      </c>
      <c r="E1618" s="9" t="s">
        <v>2036</v>
      </c>
      <c r="F1618" s="8" t="str">
        <f>IFERROR(__xludf.DUMMYFUNCTION("GOOGLETRANSLATE(D1618,""zh-CN"",""vi"")"),"Phao bơi hình kỳ lân")</f>
        <v>Phao bơi hình kỳ lân</v>
      </c>
      <c r="G1618" s="8" t="str">
        <f>IFERROR(__xludf.DUMMYFUNCTION("GOOGLETRANSLATE(E1618,""zh-CN"",""vi"")"),"Một sinh vật huyền thoại; chạm trán với nó là biểu tượng của may mắn. Nó đã được nâng cấp lên cấp độ cao nhất.")</f>
        <v>Một sinh vật huyền thoại; chạm trán với nó là biểu tượng của may mắn. Nó đã được nâng cấp lên cấp độ cao nhất.</v>
      </c>
      <c r="H1618" s="8"/>
      <c r="I1618" s="8"/>
      <c r="J1618" s="8"/>
    </row>
    <row r="1619" ht="21.0" customHeight="1">
      <c r="A1619" s="6">
        <v>1.0</v>
      </c>
      <c r="B1619" s="6">
        <v>143.0</v>
      </c>
      <c r="C1619" s="6">
        <v>1.0</v>
      </c>
      <c r="D1619" s="9" t="s">
        <v>2037</v>
      </c>
      <c r="E1619" s="9" t="s">
        <v>2038</v>
      </c>
      <c r="F1619" s="8" t="str">
        <f>IFERROR(__xludf.DUMMYFUNCTION("GOOGLETRANSLATE(D1619,""zh-CN"",""vi"")"),"Ống phun nước")</f>
        <v>Ống phun nước</v>
      </c>
      <c r="G1619" s="8" t="str">
        <f>IFERROR(__xludf.DUMMYFUNCTION("GOOGLETRANSLATE(E1619,""zh-CN"",""vi"")"),"Người không quen thuộc với nó có thể nhầm nó với một cái bơm hơi. Khi chế tạo, bạn sẽ có một khẩu súng nước hình tròn.")</f>
        <v>Người không quen thuộc với nó có thể nhầm nó với một cái bơm hơi. Khi chế tạo, bạn sẽ có một khẩu súng nước hình tròn.</v>
      </c>
      <c r="H1619" s="8"/>
      <c r="I1619" s="8"/>
      <c r="J1619" s="8"/>
    </row>
    <row r="1620" ht="21.0" customHeight="1">
      <c r="A1620" s="6">
        <v>1.0</v>
      </c>
      <c r="B1620" s="6">
        <v>143.0</v>
      </c>
      <c r="C1620" s="6">
        <v>2.0</v>
      </c>
      <c r="D1620" s="9" t="s">
        <v>2039</v>
      </c>
      <c r="E1620" s="9" t="s">
        <v>2040</v>
      </c>
      <c r="F1620" s="8" t="str">
        <f>IFERROR(__xludf.DUMMYFUNCTION("GOOGLETRANSLATE(D1620,""zh-CN"",""vi"")"),"Súng nước tròn")</f>
        <v>Súng nước tròn</v>
      </c>
      <c r="G1620" s="8" t="str">
        <f>IFERROR(__xludf.DUMMYFUNCTION("GOOGLETRANSLATE(E1620,""zh-CN"",""vi"")"),"Với các cạnh được bo tròn, nó phù hợp cho trẻ em đeo. Việc chế tạo sẽ tạo ra khẩu súng nước hình cá mập hổ.")</f>
        <v>Với các cạnh được bo tròn, nó phù hợp cho trẻ em đeo. Việc chế tạo sẽ tạo ra khẩu súng nước hình cá mập hổ.</v>
      </c>
      <c r="H1620" s="8"/>
      <c r="I1620" s="8"/>
      <c r="J1620" s="8"/>
    </row>
    <row r="1621" ht="21.0" customHeight="1">
      <c r="A1621" s="6">
        <v>1.0</v>
      </c>
      <c r="B1621" s="6">
        <v>143.0</v>
      </c>
      <c r="C1621" s="6">
        <v>3.0</v>
      </c>
      <c r="D1621" s="9" t="s">
        <v>2041</v>
      </c>
      <c r="E1621" s="9" t="s">
        <v>2042</v>
      </c>
      <c r="F1621" s="8" t="str">
        <f>IFERROR(__xludf.DUMMYFUNCTION("GOOGLETRANSLATE(D1621,""zh-CN"",""vi"")"),"Súng nước hình cá mập hổ")</f>
        <v>Súng nước hình cá mập hổ</v>
      </c>
      <c r="G1621" s="8" t="str">
        <f>IFERROR(__xludf.DUMMYFUNCTION("GOOGLETRANSLATE(E1621,""zh-CN"",""vi"")"),"Thiết kế này giống một con cá mập con, cho thấy nó sở hữu khả năng điều khiển nước mạnh mẽ. Chế tạo nó sẽ tạo ra một khẩu súng nước hình cá heo.")</f>
        <v>Thiết kế này giống một con cá mập con, cho thấy nó sở hữu khả năng điều khiển nước mạnh mẽ. Chế tạo nó sẽ tạo ra một khẩu súng nước hình cá heo.</v>
      </c>
      <c r="H1621" s="8"/>
      <c r="I1621" s="8"/>
      <c r="J1621" s="8"/>
    </row>
    <row r="1622" ht="21.0" customHeight="1">
      <c r="A1622" s="6">
        <v>1.0</v>
      </c>
      <c r="B1622" s="6">
        <v>143.0</v>
      </c>
      <c r="C1622" s="6">
        <v>4.0</v>
      </c>
      <c r="D1622" s="9" t="s">
        <v>2043</v>
      </c>
      <c r="E1622" s="9" t="s">
        <v>2044</v>
      </c>
      <c r="F1622" s="8" t="str">
        <f>IFERROR(__xludf.DUMMYFUNCTION("GOOGLETRANSLATE(D1622,""zh-CN"",""vi"")"),"Súng nước hình cá heo")</f>
        <v>Súng nước hình cá heo</v>
      </c>
      <c r="G1622" s="8" t="str">
        <f>IFERROR(__xludf.DUMMYFUNCTION("GOOGLETRANSLATE(E1622,""zh-CN"",""vi"")"),"Với nó, bạn có thể thống trị thế giới dưới nước. Chế tạo nó sẽ cho ra một khẩu súng nước đẩy ống.")</f>
        <v>Với nó, bạn có thể thống trị thế giới dưới nước. Chế tạo nó sẽ cho ra một khẩu súng nước đẩy ống.</v>
      </c>
      <c r="H1622" s="8"/>
      <c r="I1622" s="8"/>
      <c r="J1622" s="8"/>
    </row>
    <row r="1623" ht="21.0" customHeight="1">
      <c r="A1623" s="6">
        <v>1.0</v>
      </c>
      <c r="B1623" s="6">
        <v>143.0</v>
      </c>
      <c r="C1623" s="6">
        <v>5.0</v>
      </c>
      <c r="D1623" s="9" t="s">
        <v>2045</v>
      </c>
      <c r="E1623" s="9" t="s">
        <v>2046</v>
      </c>
      <c r="F1623" s="8" t="str">
        <f>IFERROR(__xludf.DUMMYFUNCTION("GOOGLETRANSLATE(D1623,""zh-CN"",""vi"")"),"Súng nước đẩy ống")</f>
        <v>Súng nước đẩy ống</v>
      </c>
      <c r="G1623" s="8" t="str">
        <f>IFERROR(__xludf.DUMMYFUNCTION("GOOGLETRANSLATE(E1623,""zh-CN"",""vi"")"),"Nó cho phép nạp và dỡ chai nước nhanh chóng. Chế tạo nó sẽ thu được Súng nước hình ngôi sao.")</f>
        <v>Nó cho phép nạp và dỡ chai nước nhanh chóng. Chế tạo nó sẽ thu được Súng nước hình ngôi sao.</v>
      </c>
      <c r="H1623" s="8"/>
      <c r="I1623" s="8"/>
      <c r="J1623" s="8"/>
    </row>
    <row r="1624" ht="21.0" customHeight="1">
      <c r="A1624" s="6">
        <v>1.0</v>
      </c>
      <c r="B1624" s="6">
        <v>143.0</v>
      </c>
      <c r="C1624" s="6">
        <v>6.0</v>
      </c>
      <c r="D1624" s="9" t="s">
        <v>2047</v>
      </c>
      <c r="E1624" s="9" t="s">
        <v>2048</v>
      </c>
      <c r="F1624" s="8" t="str">
        <f>IFERROR(__xludf.DUMMYFUNCTION("GOOGLETRANSLATE(D1624,""zh-CN"",""vi"")"),"Súng nước giữa các vì sao")</f>
        <v>Súng nước giữa các vì sao</v>
      </c>
      <c r="G1624" s="8" t="str">
        <f>IFERROR(__xludf.DUMMYFUNCTION("GOOGLETRANSLATE(E1624,""zh-CN"",""vi"")"),"Nó trông rất giống khẩu súng laser trong phim. Bạn có thể chế tạo một khẩu súng nước hai nòng.")</f>
        <v>Nó trông rất giống khẩu súng laser trong phim. Bạn có thể chế tạo một khẩu súng nước hai nòng.</v>
      </c>
      <c r="H1624" s="8"/>
      <c r="I1624" s="8"/>
      <c r="J1624" s="8"/>
    </row>
    <row r="1625" ht="21.0" customHeight="1">
      <c r="A1625" s="6">
        <v>1.0</v>
      </c>
      <c r="B1625" s="6">
        <v>143.0</v>
      </c>
      <c r="C1625" s="6">
        <v>7.0</v>
      </c>
      <c r="D1625" s="9" t="s">
        <v>2049</v>
      </c>
      <c r="E1625" s="9" t="s">
        <v>2050</v>
      </c>
      <c r="F1625" s="8" t="str">
        <f>IFERROR(__xludf.DUMMYFUNCTION("GOOGLETRANSLATE(D1625,""zh-CN"",""vi"")"),"Súng nước hai nòng")</f>
        <v>Súng nước hai nòng</v>
      </c>
      <c r="G1625" s="8" t="str">
        <f>IFERROR(__xludf.DUMMYFUNCTION("GOOGLETRANSLATE(E1625,""zh-CN"",""vi"")"),"Hai đầu nòng có thể phun nước. Kết hợp chúng lại sẽ tạo thành súng phun nước lựu đạn.")</f>
        <v>Hai đầu nòng có thể phun nước. Kết hợp chúng lại sẽ tạo thành súng phun nước lựu đạn.</v>
      </c>
      <c r="H1625" s="8"/>
      <c r="I1625" s="8"/>
      <c r="J1625" s="8"/>
    </row>
    <row r="1626" ht="21.0" customHeight="1">
      <c r="A1626" s="6">
        <v>1.0</v>
      </c>
      <c r="B1626" s="6">
        <v>143.0</v>
      </c>
      <c r="C1626" s="6">
        <v>8.0</v>
      </c>
      <c r="D1626" s="9" t="s">
        <v>2051</v>
      </c>
      <c r="E1626" s="9" t="s">
        <v>2052</v>
      </c>
      <c r="F1626" s="8" t="str">
        <f>IFERROR(__xludf.DUMMYFUNCTION("GOOGLETRANSLATE(D1626,""zh-CN"",""vi"")"),"Súng nước lựu đạn")</f>
        <v>Súng nước lựu đạn</v>
      </c>
      <c r="G1626" s="8" t="str">
        <f>IFERROR(__xludf.DUMMYFUNCTION("GOOGLETRANSLATE(E1626,""zh-CN"",""vi"")"),"Chỉ cần một phát bắn có thể tạo ra một loạt đạn nước. Kết hợp chúng lại để tạo thành súng nước bắn nhanh.")</f>
        <v>Chỉ cần một phát bắn có thể tạo ra một loạt đạn nước. Kết hợp chúng lại để tạo thành súng nước bắn nhanh.</v>
      </c>
      <c r="H1626" s="8"/>
      <c r="I1626" s="8"/>
      <c r="J1626" s="8"/>
    </row>
    <row r="1627" ht="21.0" customHeight="1">
      <c r="A1627" s="6">
        <v>1.0</v>
      </c>
      <c r="B1627" s="6">
        <v>143.0</v>
      </c>
      <c r="C1627" s="6">
        <v>9.0</v>
      </c>
      <c r="D1627" s="9" t="s">
        <v>2053</v>
      </c>
      <c r="E1627" s="9" t="s">
        <v>2054</v>
      </c>
      <c r="F1627" s="8" t="str">
        <f>IFERROR(__xludf.DUMMYFUNCTION("GOOGLETRANSLATE(D1627,""zh-CN"",""vi"")"),"Súng nước bắn nhanh")</f>
        <v>Súng nước bắn nhanh</v>
      </c>
      <c r="G1627" s="8" t="str">
        <f>IFERROR(__xludf.DUMMYFUNCTION("GOOGLETRANSLATE(E1627,""zh-CN"",""vi"")"),"Nó có thể bắn nhanh liên tiếp mà không bị giật. Kết hợp chúng lại sẽ tạo thành một khẩu súng nước bắn nhiều phát.")</f>
        <v>Nó có thể bắn nhanh liên tiếp mà không bị giật. Kết hợp chúng lại sẽ tạo thành một khẩu súng nước bắn nhiều phát.</v>
      </c>
      <c r="H1627" s="8"/>
      <c r="I1627" s="8"/>
      <c r="J1627" s="8"/>
    </row>
    <row r="1628" ht="21.0" customHeight="1">
      <c r="A1628" s="6">
        <v>1.0</v>
      </c>
      <c r="B1628" s="6">
        <v>143.0</v>
      </c>
      <c r="C1628" s="6">
        <v>10.0</v>
      </c>
      <c r="D1628" s="9" t="s">
        <v>2055</v>
      </c>
      <c r="E1628" s="9" t="s">
        <v>2056</v>
      </c>
      <c r="F1628" s="8" t="str">
        <f>IFERROR(__xludf.DUMMYFUNCTION("GOOGLETRANSLATE(D1628,""zh-CN"",""vi"")"),"Súng nước nhiều phát")</f>
        <v>Súng nước nhiều phát</v>
      </c>
      <c r="G1628" s="8" t="str">
        <f>IFERROR(__xludf.DUMMYFUNCTION("GOOGLETRANSLATE(E1628,""zh-CN"",""vi"")"),"Đây là món đồ chơi yêu thích của bé phải không? Bạn có thể kết hợp chúng lại để tạo thành súng nước Gatling.")</f>
        <v>Đây là món đồ chơi yêu thích của bé phải không? Bạn có thể kết hợp chúng lại để tạo thành súng nước Gatling.</v>
      </c>
      <c r="H1628" s="8"/>
      <c r="I1628" s="8"/>
      <c r="J1628" s="8"/>
    </row>
    <row r="1629" ht="21.0" customHeight="1">
      <c r="A1629" s="6">
        <v>1.0</v>
      </c>
      <c r="B1629" s="6">
        <v>143.0</v>
      </c>
      <c r="C1629" s="6">
        <v>11.0</v>
      </c>
      <c r="D1629" s="9" t="s">
        <v>2057</v>
      </c>
      <c r="E1629" s="9" t="s">
        <v>2058</v>
      </c>
      <c r="F1629" s="8" t="str">
        <f>IFERROR(__xludf.DUMMYFUNCTION("GOOGLETRANSLATE(D1629,""zh-CN"",""vi"")"),"Súng nước Gatling")</f>
        <v>Súng nước Gatling</v>
      </c>
      <c r="G1629" s="8" t="str">
        <f>IFERROR(__xludf.DUMMYFUNCTION("GOOGLETRANSLATE(E1629,""zh-CN"",""vi"")"),"Ngay cả một người đàn ông 30 tuổi cũng có thể bị chinh phục bởi khẩu súng nước mạnh mẽ này. Nó có thể được chế tạo thành súng nước đeo ba lô.")</f>
        <v>Ngay cả một người đàn ông 30 tuổi cũng có thể bị chinh phục bởi khẩu súng nước mạnh mẽ này. Nó có thể được chế tạo thành súng nước đeo ba lô.</v>
      </c>
      <c r="H1629" s="8"/>
      <c r="I1629" s="8"/>
      <c r="J1629" s="8"/>
    </row>
    <row r="1630" ht="21.0" customHeight="1">
      <c r="A1630" s="6">
        <v>1.0</v>
      </c>
      <c r="B1630" s="6">
        <v>143.0</v>
      </c>
      <c r="C1630" s="6">
        <v>12.0</v>
      </c>
      <c r="D1630" s="9" t="s">
        <v>2059</v>
      </c>
      <c r="E1630" s="9" t="s">
        <v>2060</v>
      </c>
      <c r="F1630" s="8" t="str">
        <f>IFERROR(__xludf.DUMMYFUNCTION("GOOGLETRANSLATE(D1630,""zh-CN"",""vi"")"),"Súng nước đeo ba lô")</f>
        <v>Súng nước đeo ba lô</v>
      </c>
      <c r="G1630" s="8" t="str">
        <f>IFERROR(__xludf.DUMMYFUNCTION("GOOGLETRANSLATE(E1630,""zh-CN"",""vi"")"),"Nói chuyện đủ rồi, xông trận thôi! Chế tạo những vật phẩm này sẽ cho ra khẩu súng nước anh hùng.")</f>
        <v>Nói chuyện đủ rồi, xông trận thôi! Chế tạo những vật phẩm này sẽ cho ra khẩu súng nước anh hùng.</v>
      </c>
      <c r="H1630" s="8"/>
      <c r="I1630" s="8"/>
      <c r="J1630" s="8"/>
    </row>
    <row r="1631" ht="21.0" customHeight="1">
      <c r="A1631" s="6">
        <v>1.0</v>
      </c>
      <c r="B1631" s="6">
        <v>143.0</v>
      </c>
      <c r="C1631" s="6">
        <v>13.0</v>
      </c>
      <c r="D1631" s="9" t="s">
        <v>2061</v>
      </c>
      <c r="E1631" s="9" t="s">
        <v>2062</v>
      </c>
      <c r="F1631" s="8" t="str">
        <f>IFERROR(__xludf.DUMMYFUNCTION("GOOGLETRANSLATE(D1631,""zh-CN"",""vi"")"),"Súng nước dũng cảm")</f>
        <v>Súng nước dũng cảm</v>
      </c>
      <c r="G1631" s="8" t="str">
        <f>IFERROR(__xludf.DUMMYFUNCTION("GOOGLETRANSLATE(E1631,""zh-CN"",""vi"")"),"Chỉ người dũng cảm mới xứng đáng với danh hiệu này: Chúa tể của Thế giới Nước. Danh hiệu này đã được nâng cấp lên cấp độ cao nhất.")</f>
        <v>Chỉ người dũng cảm mới xứng đáng với danh hiệu này: Chúa tể của Thế giới Nước. Danh hiệu này đã được nâng cấp lên cấp độ cao nhất.</v>
      </c>
      <c r="H1631" s="8"/>
      <c r="I1631" s="8"/>
      <c r="J1631" s="8"/>
    </row>
    <row r="1632" ht="21.0" customHeight="1">
      <c r="A1632" s="6">
        <v>11.0</v>
      </c>
      <c r="B1632" s="6">
        <v>1018.0</v>
      </c>
      <c r="C1632" s="6">
        <v>1.0</v>
      </c>
      <c r="D1632" s="9" t="s">
        <v>2063</v>
      </c>
      <c r="E1632" s="9" t="s">
        <v>2064</v>
      </c>
      <c r="F1632" s="8" t="str">
        <f>IFERROR(__xludf.DUMMYFUNCTION("GOOGLETRANSLATE(D1632,""zh-CN"",""vi"")"),"tay cầm bằng gỗ")</f>
        <v>tay cầm bằng gỗ</v>
      </c>
      <c r="G1632" s="8" t="str">
        <f>IFERROR(__xludf.DUMMYFUNCTION("GOOGLETRANSLATE(E1632,""zh-CN"",""vi"")"),"Một thanh gỗ mảnh, trông có vẻ nhẹ. Nó có thể được chế tác thành những tấm ván gỗ chắc chắn.")</f>
        <v>Một thanh gỗ mảnh, trông có vẻ nhẹ. Nó có thể được chế tác thành những tấm ván gỗ chắc chắn.</v>
      </c>
      <c r="H1632" s="8"/>
      <c r="I1632" s="8"/>
      <c r="J1632" s="8"/>
    </row>
    <row r="1633" ht="21.0" customHeight="1">
      <c r="A1633" s="6">
        <v>11.0</v>
      </c>
      <c r="B1633" s="6">
        <v>1018.0</v>
      </c>
      <c r="C1633" s="6">
        <v>2.0</v>
      </c>
      <c r="D1633" s="9" t="s">
        <v>2065</v>
      </c>
      <c r="E1633" s="9" t="s">
        <v>2066</v>
      </c>
      <c r="F1633" s="8" t="str">
        <f>IFERROR(__xludf.DUMMYFUNCTION("GOOGLETRANSLATE(D1633,""zh-CN"",""vi"")"),"ván gỗ nguyên khối")</f>
        <v>ván gỗ nguyên khối</v>
      </c>
      <c r="G1633" s="8" t="str">
        <f>IFERROR(__xludf.DUMMYFUNCTION("GOOGLETRANSLATE(E1633,""zh-CN"",""vi"")"),"Hình dạng cơ bản của một thùng gỗ đang dần hình thành. Nó có thể được chế tác thành một thùng gỗ thông thường.")</f>
        <v>Hình dạng cơ bản của một thùng gỗ đang dần hình thành. Nó có thể được chế tác thành một thùng gỗ thông thường.</v>
      </c>
      <c r="H1633" s="8"/>
      <c r="I1633" s="8"/>
      <c r="J1633" s="8"/>
    </row>
    <row r="1634" ht="21.0" customHeight="1">
      <c r="A1634" s="6">
        <v>11.0</v>
      </c>
      <c r="B1634" s="6">
        <v>1018.0</v>
      </c>
      <c r="C1634" s="6">
        <v>3.0</v>
      </c>
      <c r="D1634" s="9" t="s">
        <v>2067</v>
      </c>
      <c r="E1634" s="9" t="s">
        <v>2068</v>
      </c>
      <c r="F1634" s="8" t="str">
        <f>IFERROR(__xludf.DUMMYFUNCTION("GOOGLETRANSLATE(D1634,""zh-CN"",""vi"")"),"Hộp gỗ thông thường")</f>
        <v>Hộp gỗ thông thường</v>
      </c>
      <c r="G1634" s="8" t="str">
        <f>IFERROR(__xludf.DUMMYFUNCTION("GOOGLETRANSLATE(E1634,""zh-CN"",""vi"")"),"Bên trong trống rỗng, không có gì cả. Bạn có thể chế tạo một chiếc hộp gỗ có gờ.")</f>
        <v>Bên trong trống rỗng, không có gì cả. Bạn có thể chế tạo một chiếc hộp gỗ có gờ.</v>
      </c>
      <c r="H1634" s="8"/>
      <c r="I1634" s="8"/>
      <c r="J1634" s="8"/>
    </row>
    <row r="1635" ht="21.0" customHeight="1">
      <c r="A1635" s="6">
        <v>11.0</v>
      </c>
      <c r="B1635" s="6">
        <v>1018.0</v>
      </c>
      <c r="C1635" s="6">
        <v>4.0</v>
      </c>
      <c r="D1635" s="9" t="s">
        <v>2069</v>
      </c>
      <c r="E1635" s="9" t="s">
        <v>2070</v>
      </c>
      <c r="F1635" s="8" t="str">
        <f>IFERROR(__xludf.DUMMYFUNCTION("GOOGLETRANSLATE(D1635,""zh-CN"",""vi"")"),"Hộp gỗ khảm")</f>
        <v>Hộp gỗ khảm</v>
      </c>
      <c r="G1635" s="8" t="str">
        <f>IFERROR(__xludf.DUMMYFUNCTION("GOOGLETRANSLATE(E1635,""zh-CN"",""vi"")"),"Sau khi được gia cố bằng sắt, nó trông chắc chắn hơn nhiều. Có thể chế tạo nó thành một hộp dụng cụ bằng gỗ.")</f>
        <v>Sau khi được gia cố bằng sắt, nó trông chắc chắn hơn nhiều. Có thể chế tạo nó thành một hộp dụng cụ bằng gỗ.</v>
      </c>
      <c r="H1635" s="8"/>
      <c r="I1635" s="8"/>
      <c r="J1635" s="8"/>
    </row>
    <row r="1636" ht="21.0" customHeight="1">
      <c r="A1636" s="6">
        <v>10.0</v>
      </c>
      <c r="B1636" s="6">
        <v>1018.0</v>
      </c>
      <c r="C1636" s="6">
        <v>5.0</v>
      </c>
      <c r="D1636" s="9" t="s">
        <v>2071</v>
      </c>
      <c r="E1636" s="9" t="s">
        <v>2072</v>
      </c>
      <c r="F1636" s="8" t="str">
        <f>IFERROR(__xludf.DUMMYFUNCTION("GOOGLETRANSLATE(D1636,""zh-CN"",""vi"")"),"hộp dụng cụ bằng gỗ")</f>
        <v>hộp dụng cụ bằng gỗ</v>
      </c>
      <c r="G1636" s="8" t="str">
        <f>IFERROR(__xludf.DUMMYFUNCTION("GOOGLETRANSLATE(E1636,""zh-CN"",""vi"")"),"Nó có kích thước vừa phải để đựng một cái xẻng. Khi chế tạo, bạn sẽ có được một hộp dụng cụ đơn giản.")</f>
        <v>Nó có kích thước vừa phải để đựng một cái xẻng. Khi chế tạo, bạn sẽ có được một hộp dụng cụ đơn giản.</v>
      </c>
      <c r="H1636" s="8"/>
      <c r="I1636" s="8"/>
      <c r="J1636" s="8"/>
    </row>
    <row r="1637" ht="21.0" customHeight="1">
      <c r="A1637" s="6">
        <v>10.0</v>
      </c>
      <c r="B1637" s="6">
        <v>1018.0</v>
      </c>
      <c r="C1637" s="6">
        <v>6.0</v>
      </c>
      <c r="D1637" s="9" t="s">
        <v>2073</v>
      </c>
      <c r="E1637" s="9" t="s">
        <v>2074</v>
      </c>
      <c r="F1637" s="8" t="str">
        <f>IFERROR(__xludf.DUMMYFUNCTION("GOOGLETRANSLATE(D1637,""zh-CN"",""vi"")"),"Hộp công cụ đơn giản")</f>
        <v>Hộp công cụ đơn giản</v>
      </c>
      <c r="G1637" s="8" t="str">
        <f>IFERROR(__xludf.DUMMYFUNCTION("GOOGLETRANSLATE(E1637,""zh-CN"",""vi"")"),"Sau khi được sơn, nó trông tinh tế hơn nhiều. Quá trình chế tạo sẽ tạo ra một bộ dụng cụ làm từ vải.")</f>
        <v>Sau khi được sơn, nó trông tinh tế hơn nhiều. Quá trình chế tạo sẽ tạo ra một bộ dụng cụ làm từ vải.</v>
      </c>
      <c r="H1637" s="8"/>
      <c r="I1637" s="8"/>
      <c r="J1637" s="8"/>
    </row>
    <row r="1638" ht="21.0" customHeight="1">
      <c r="A1638" s="6">
        <v>10.0</v>
      </c>
      <c r="B1638" s="6">
        <v>1018.0</v>
      </c>
      <c r="C1638" s="6">
        <v>7.0</v>
      </c>
      <c r="D1638" s="9" t="s">
        <v>2075</v>
      </c>
      <c r="E1638" s="9" t="s">
        <v>2076</v>
      </c>
      <c r="F1638" s="8" t="str">
        <f>IFERROR(__xludf.DUMMYFUNCTION("GOOGLETRANSLATE(D1638,""zh-CN"",""vi"")"),"Túi đựng dụng cụ bằng vải")</f>
        <v>Túi đựng dụng cụ bằng vải</v>
      </c>
      <c r="G1638" s="8" t="str">
        <f>IFERROR(__xludf.DUMMYFUNCTION("GOOGLETRANSLATE(E1638,""zh-CN"",""vi"")"),"Hãy tạo hình nó thành một chiếc túi xách để dễ mang theo. Quá trình chế tạo sẽ tạo ra một chiếc bàn làm việc hai lớp.")</f>
        <v>Hãy tạo hình nó thành một chiếc túi xách để dễ mang theo. Quá trình chế tạo sẽ tạo ra một chiếc bàn làm việc hai lớp.</v>
      </c>
      <c r="H1638" s="8"/>
      <c r="I1638" s="8"/>
      <c r="J1638" s="8"/>
    </row>
    <row r="1639" ht="21.0" customHeight="1">
      <c r="A1639" s="6">
        <v>10.0</v>
      </c>
      <c r="B1639" s="6">
        <v>1018.0</v>
      </c>
      <c r="C1639" s="6">
        <v>8.0</v>
      </c>
      <c r="D1639" s="9" t="s">
        <v>2077</v>
      </c>
      <c r="E1639" s="9" t="s">
        <v>2078</v>
      </c>
      <c r="F1639" s="8" t="str">
        <f>IFERROR(__xludf.DUMMYFUNCTION("GOOGLETRANSLATE(D1639,""zh-CN"",""vi"")"),"Bàn dụng cụ hai lớp")</f>
        <v>Bàn dụng cụ hai lớp</v>
      </c>
      <c r="G1639" s="8" t="str">
        <f>IFERROR(__xludf.DUMMYFUNCTION("GOOGLETRANSLATE(E1639,""zh-CN"",""vi"")"),"Nó chứa gói hạt giống và dụng cụ làm vườn. Kết hợp chúng lại với nhau sẽ tạo thành một xe đẩy dụng cụ.")</f>
        <v>Nó chứa gói hạt giống và dụng cụ làm vườn. Kết hợp chúng lại với nhau sẽ tạo thành một xe đẩy dụng cụ.</v>
      </c>
      <c r="H1639" s="8"/>
      <c r="I1639" s="8"/>
      <c r="J1639" s="8"/>
    </row>
    <row r="1640" ht="21.0" customHeight="1">
      <c r="A1640" s="6">
        <v>10.0</v>
      </c>
      <c r="B1640" s="6">
        <v>1018.0</v>
      </c>
      <c r="C1640" s="6">
        <v>9.0</v>
      </c>
      <c r="D1640" s="9" t="s">
        <v>2079</v>
      </c>
      <c r="E1640" s="9" t="s">
        <v>2080</v>
      </c>
      <c r="F1640" s="8" t="str">
        <f>IFERROR(__xludf.DUMMYFUNCTION("GOOGLETRANSLATE(D1640,""zh-CN"",""vi"")"),"xe đẩy dụng cụ")</f>
        <v>xe đẩy dụng cụ</v>
      </c>
      <c r="G1640" s="8" t="str">
        <f>IFERROR(__xludf.DUMMYFUNCTION("GOOGLETRANSLATE(E1640,""zh-CN"",""vi"")"),"Nó dễ đẩy và di chuyển, những người làm vườn rất thích sử dụng nó. Nó có thể được chế tạo để tạo thành một hộp đựng dụng cụ.")</f>
        <v>Nó dễ đẩy và di chuyển, những người làm vườn rất thích sử dụng nó. Nó có thể được chế tạo để tạo thành một hộp đựng dụng cụ.</v>
      </c>
      <c r="H1640" s="8"/>
      <c r="I1640" s="8"/>
      <c r="J1640" s="8"/>
    </row>
    <row r="1641" ht="21.0" customHeight="1">
      <c r="A1641" s="6">
        <v>10.0</v>
      </c>
      <c r="B1641" s="6">
        <v>1018.0</v>
      </c>
      <c r="C1641" s="6">
        <v>10.0</v>
      </c>
      <c r="D1641" s="9" t="s">
        <v>2081</v>
      </c>
      <c r="E1641" s="9" t="s">
        <v>2082</v>
      </c>
      <c r="F1641" s="8" t="str">
        <f>IFERROR(__xludf.DUMMYFUNCTION("GOOGLETRANSLATE(D1641,""zh-CN"",""vi"")"),"Hộp đựng dụng cụ")</f>
        <v>Hộp đựng dụng cụ</v>
      </c>
      <c r="G1641" s="8" t="str">
        <f>IFERROR(__xludf.DUMMYFUNCTION("GOOGLETRANSLATE(E1641,""zh-CN"",""vi"")"),"Có hình dáng như một căn nhà gỗ, nơi cất giữ các dụng cụ. Nó đã được nâng cấp lên mức cao nhất.")</f>
        <v>Có hình dáng như một căn nhà gỗ, nơi cất giữ các dụng cụ. Nó đã được nâng cấp lên mức cao nhất.</v>
      </c>
      <c r="H1641" s="8"/>
      <c r="I1641" s="8"/>
      <c r="J1641" s="8"/>
    </row>
    <row r="1642" ht="21.0" customHeight="1">
      <c r="A1642" s="6">
        <v>11.0</v>
      </c>
      <c r="B1642" s="6">
        <v>1019.0</v>
      </c>
      <c r="C1642" s="6">
        <v>1.0</v>
      </c>
      <c r="D1642" s="9" t="s">
        <v>2083</v>
      </c>
      <c r="E1642" s="9" t="s">
        <v>2084</v>
      </c>
      <c r="F1642" s="8" t="str">
        <f>IFERROR(__xludf.DUMMYFUNCTION("GOOGLETRANSLATE(D1642,""zh-CN"",""vi"")"),"đĩa tròn nhỏ")</f>
        <v>đĩa tròn nhỏ</v>
      </c>
      <c r="G1642" s="8" t="str">
        <f>IFERROR(__xludf.DUMMYFUNCTION("GOOGLETRANSLATE(E1642,""zh-CN"",""vi"")"),"Đặt một chiếc lá lên một chiếc đĩa gỗ nhỏ. Kết hợp chúng lại để tạo thành một chiếc đĩa bánh hình lưới.")</f>
        <v>Đặt một chiếc lá lên một chiếc đĩa gỗ nhỏ. Kết hợp chúng lại để tạo thành một chiếc đĩa bánh hình lưới.</v>
      </c>
      <c r="H1642" s="8"/>
      <c r="I1642" s="8"/>
      <c r="J1642" s="8"/>
    </row>
    <row r="1643" ht="21.0" customHeight="1">
      <c r="A1643" s="6">
        <v>11.0</v>
      </c>
      <c r="B1643" s="6">
        <v>1019.0</v>
      </c>
      <c r="C1643" s="6">
        <v>2.0</v>
      </c>
      <c r="D1643" s="9" t="s">
        <v>2085</v>
      </c>
      <c r="E1643" s="9" t="s">
        <v>2086</v>
      </c>
      <c r="F1643" s="8" t="str">
        <f>IFERROR(__xludf.DUMMYFUNCTION("GOOGLETRANSLATE(D1643,""zh-CN"",""vi"")"),"Đĩa bánh hình lưới")</f>
        <v>Đĩa bánh hình lưới</v>
      </c>
      <c r="G1643" s="8" t="str">
        <f>IFERROR(__xludf.DUMMYFUNCTION("GOOGLETRANSLATE(E1643,""zh-CN"",""vi"")"),"Tuy nhiên, những chiếc hộp làm bằng tre lại khá trang nhã. Có thể làm ra một chiếc hộp đơn giản từ chúng.")</f>
        <v>Tuy nhiên, những chiếc hộp làm bằng tre lại khá trang nhã. Có thể làm ra một chiếc hộp đơn giản từ chúng.</v>
      </c>
      <c r="H1643" s="8"/>
      <c r="I1643" s="8"/>
      <c r="J1643" s="8"/>
    </row>
    <row r="1644" ht="21.0" customHeight="1">
      <c r="A1644" s="6">
        <v>11.0</v>
      </c>
      <c r="B1644" s="6">
        <v>1019.0</v>
      </c>
      <c r="C1644" s="6">
        <v>3.0</v>
      </c>
      <c r="D1644" s="9" t="s">
        <v>2087</v>
      </c>
      <c r="E1644" s="9" t="s">
        <v>2088</v>
      </c>
      <c r="F1644" s="8" t="str">
        <f>IFERROR(__xludf.DUMMYFUNCTION("GOOGLETRANSLATE(D1644,""zh-CN"",""vi"")"),"Hộp tre đơn giản")</f>
        <v>Hộp tre đơn giản</v>
      </c>
      <c r="G1644" s="8" t="str">
        <f>IFERROR(__xludf.DUMMYFUNCTION("GOOGLETRANSLATE(E1644,""zh-CN"",""vi"")"),"Chất lượng gia công hơi thô sơ, nhưng dung tích lớn. Sau khi lắp ráp, bạn sẽ có một hộp đựng bánh ngọt bốn ngăn.")</f>
        <v>Chất lượng gia công hơi thô sơ, nhưng dung tích lớn. Sau khi lắp ráp, bạn sẽ có một hộp đựng bánh ngọt bốn ngăn.</v>
      </c>
      <c r="H1644" s="8"/>
      <c r="I1644" s="8"/>
      <c r="J1644" s="8"/>
    </row>
    <row r="1645" ht="21.0" customHeight="1">
      <c r="A1645" s="6">
        <v>11.0</v>
      </c>
      <c r="B1645" s="6">
        <v>1019.0</v>
      </c>
      <c r="C1645" s="6">
        <v>4.0</v>
      </c>
      <c r="D1645" s="9" t="s">
        <v>2089</v>
      </c>
      <c r="E1645" s="9" t="s">
        <v>2090</v>
      </c>
      <c r="F1645" s="8" t="str">
        <f>IFERROR(__xludf.DUMMYFUNCTION("GOOGLETRANSLATE(D1645,""zh-CN"",""vi"")"),"Hộp đựng đồ ăn nhẹ bốn ngăn")</f>
        <v>Hộp đựng đồ ăn nhẹ bốn ngăn</v>
      </c>
      <c r="G1645" s="8" t="str">
        <f>IFERROR(__xludf.DUMMYFUNCTION("GOOGLETRANSLATE(E1645,""zh-CN"",""vi"")"),"Hình dáng vuông vức của nó làm nổi bật vẻ đẹp của văn hóa Trung Hoa. Việc chế tác tạo ra một chiếc hộp đựng đơn giản.")</f>
        <v>Hình dáng vuông vức của nó làm nổi bật vẻ đẹp của văn hóa Trung Hoa. Việc chế tác tạo ra một chiếc hộp đựng đơn giản.</v>
      </c>
      <c r="H1645" s="8"/>
      <c r="I1645" s="8"/>
      <c r="J1645" s="8"/>
    </row>
    <row r="1646" ht="21.0" customHeight="1">
      <c r="A1646" s="6">
        <v>10.0</v>
      </c>
      <c r="B1646" s="6">
        <v>1019.0</v>
      </c>
      <c r="C1646" s="6">
        <v>5.0</v>
      </c>
      <c r="D1646" s="9" t="s">
        <v>2091</v>
      </c>
      <c r="E1646" s="9" t="s">
        <v>2092</v>
      </c>
      <c r="F1646" s="8" t="str">
        <f>IFERROR(__xludf.DUMMYFUNCTION("GOOGLETRANSLATE(D1646,""zh-CN"",""vi"")"),"Hộp đựng đơn giản")</f>
        <v>Hộp đựng đơn giản</v>
      </c>
      <c r="G1646" s="8" t="str">
        <f>IFERROR(__xludf.DUMMYFUNCTION("GOOGLETRANSLATE(E1646,""zh-CN"",""vi"")"),"Chiếc nắp đã biến mất. Nó ở đâu nhỉ? Tự tay chế tạo nó sẽ tạo ra một chiếc hộp đựng đồ thanh lịch.")</f>
        <v>Chiếc nắp đã biến mất. Nó ở đâu nhỉ? Tự tay chế tạo nó sẽ tạo ra một chiếc hộp đựng đồ thanh lịch.</v>
      </c>
      <c r="H1646" s="8"/>
      <c r="I1646" s="8"/>
      <c r="J1646" s="8"/>
    </row>
    <row r="1647" ht="21.0" customHeight="1">
      <c r="A1647" s="6">
        <v>10.0</v>
      </c>
      <c r="B1647" s="6">
        <v>1019.0</v>
      </c>
      <c r="C1647" s="6">
        <v>6.0</v>
      </c>
      <c r="D1647" s="9" t="s">
        <v>2093</v>
      </c>
      <c r="E1647" s="9" t="s">
        <v>2094</v>
      </c>
      <c r="F1647" s="8" t="str">
        <f>IFERROR(__xludf.DUMMYFUNCTION("GOOGLETRANSLATE(D1647,""zh-CN"",""vi"")"),"Túi xách thanh lịch")</f>
        <v>Túi xách thanh lịch</v>
      </c>
      <c r="G1647" s="8" t="str">
        <f>IFERROR(__xludf.DUMMYFUNCTION("GOOGLETRANSLATE(E1647,""zh-CN"",""vi"")"),"Kích thước rất vừa vặn, đủ lớn để đựng một chiếc bánh trung thu. Tự tay làm ra chiếc hộp này sẽ tạo nên một hộp đựng thức ăn trang nhã.")</f>
        <v>Kích thước rất vừa vặn, đủ lớn để đựng một chiếc bánh trung thu. Tự tay làm ra chiếc hộp này sẽ tạo nên một hộp đựng thức ăn trang nhã.</v>
      </c>
      <c r="H1647" s="8"/>
      <c r="I1647" s="8"/>
      <c r="J1647" s="8"/>
    </row>
    <row r="1648" ht="21.0" customHeight="1">
      <c r="A1648" s="6">
        <v>10.0</v>
      </c>
      <c r="B1648" s="6">
        <v>1019.0</v>
      </c>
      <c r="C1648" s="6">
        <v>7.0</v>
      </c>
      <c r="D1648" s="11" t="s">
        <v>2095</v>
      </c>
      <c r="E1648" s="9" t="s">
        <v>2096</v>
      </c>
      <c r="F1648" s="8" t="str">
        <f>IFERROR(__xludf.DUMMYFUNCTION("GOOGLETRANSLATE(D1648,""zh-CN"",""vi"")"),"Hộp đựng thức ăn trang nhã")</f>
        <v>Hộp đựng thức ăn trang nhã</v>
      </c>
      <c r="G1648" s="8" t="str">
        <f>IFERROR(__xludf.DUMMYFUNCTION("GOOGLETRANSLATE(E1648,""zh-CN"",""vi"")"),"Một chiếc hộp được chế tác bởi một nghệ nhân lành nghề. Khi ghép lại, nó tạo thành một hộp đựng thực phẩm hai lớp.")</f>
        <v>Một chiếc hộp được chế tác bởi một nghệ nhân lành nghề. Khi ghép lại, nó tạo thành một hộp đựng thực phẩm hai lớp.</v>
      </c>
      <c r="H1648" s="8"/>
      <c r="I1648" s="8"/>
      <c r="J1648" s="8"/>
    </row>
    <row r="1649" ht="21.0" customHeight="1">
      <c r="A1649" s="6">
        <v>10.0</v>
      </c>
      <c r="B1649" s="6">
        <v>1019.0</v>
      </c>
      <c r="C1649" s="6">
        <v>8.0</v>
      </c>
      <c r="D1649" s="9" t="s">
        <v>2097</v>
      </c>
      <c r="E1649" s="9" t="s">
        <v>2098</v>
      </c>
      <c r="F1649" s="8" t="str">
        <f>IFERROR(__xludf.DUMMYFUNCTION("GOOGLETRANSLATE(D1649,""zh-CN"",""vi"")"),"Hộp đựng thức ăn hai lớp")</f>
        <v>Hộp đựng thức ăn hai lớp</v>
      </c>
      <c r="G1649" s="8" t="str">
        <f>IFERROR(__xludf.DUMMYFUNCTION("GOOGLETRANSLATE(E1649,""zh-CN"",""vi"")"),"Cấu trúc hai lớp cho phép không gian lưu trữ lớn hơn. Nó có thể được chế tạo để tạo thành một hộp đựng thực phẩm kiểu cổ điển.")</f>
        <v>Cấu trúc hai lớp cho phép không gian lưu trữ lớn hơn. Nó có thể được chế tạo để tạo thành một hộp đựng thực phẩm kiểu cổ điển.</v>
      </c>
      <c r="H1649" s="8"/>
      <c r="I1649" s="8"/>
      <c r="J1649" s="8"/>
    </row>
    <row r="1650" ht="21.0" customHeight="1">
      <c r="A1650" s="6">
        <v>10.0</v>
      </c>
      <c r="B1650" s="6">
        <v>1019.0</v>
      </c>
      <c r="C1650" s="6">
        <v>9.0</v>
      </c>
      <c r="D1650" s="9" t="s">
        <v>2099</v>
      </c>
      <c r="E1650" s="9" t="s">
        <v>2100</v>
      </c>
      <c r="F1650" s="8" t="str">
        <f>IFERROR(__xludf.DUMMYFUNCTION("GOOGLETRANSLATE(D1650,""zh-CN"",""vi"")"),"Hộp đựng thức ăn cổ điển")</f>
        <v>Hộp đựng thức ăn cổ điển</v>
      </c>
      <c r="G1650" s="8" t="str">
        <f>IFERROR(__xludf.DUMMYFUNCTION("GOOGLETRANSLATE(E1650,""zh-CN"",""vi"")"),"Chiếc hộp xinh xắn toát lên vẻ đẹp cổ điển. Có thể kết hợp với các phụ kiện khác để tạo thành Hộp đựng thức ăn hình Thỏ Ngọc.")</f>
        <v>Chiếc hộp xinh xắn toát lên vẻ đẹp cổ điển. Có thể kết hợp với các phụ kiện khác để tạo thành Hộp đựng thức ăn hình Thỏ Ngọc.</v>
      </c>
      <c r="H1650" s="8"/>
      <c r="I1650" s="8"/>
      <c r="J1650" s="8"/>
    </row>
    <row r="1651" ht="21.0" customHeight="1">
      <c r="A1651" s="6">
        <v>10.0</v>
      </c>
      <c r="B1651" s="6">
        <v>1019.0</v>
      </c>
      <c r="C1651" s="6">
        <v>10.0</v>
      </c>
      <c r="D1651" s="9" t="s">
        <v>2101</v>
      </c>
      <c r="E1651" s="9" t="s">
        <v>2102</v>
      </c>
      <c r="F1651" s="8" t="str">
        <f>IFERROR(__xludf.DUMMYFUNCTION("GOOGLETRANSLATE(D1651,""zh-CN"",""vi"")"),"Hộp thức ăn Thỏ Ngọc")</f>
        <v>Hộp thức ăn Thỏ Ngọc</v>
      </c>
      <c r="G1651" s="8" t="str">
        <f>IFERROR(__xludf.DUMMYFUNCTION("GOOGLETRANSLATE(E1651,""zh-CN"",""vi"")"),"Một món quà không thể thiếu cho Tết Trung Thu. (Đã được nâng cấp lên loại cao cấp nhất.)")</f>
        <v>Một món quà không thể thiếu cho Tết Trung Thu. (Đã được nâng cấp lên loại cao cấp nhất.)</v>
      </c>
      <c r="H1651" s="8"/>
      <c r="I1651" s="8"/>
      <c r="J1651" s="8"/>
    </row>
    <row r="1652" ht="21.0" customHeight="1">
      <c r="A1652" s="6">
        <v>1.0</v>
      </c>
      <c r="B1652" s="6">
        <v>139.0</v>
      </c>
      <c r="C1652" s="6">
        <v>1.0</v>
      </c>
      <c r="D1652" s="9" t="s">
        <v>2103</v>
      </c>
      <c r="E1652" s="9" t="s">
        <v>2104</v>
      </c>
      <c r="F1652" s="8" t="str">
        <f>IFERROR(__xludf.DUMMYFUNCTION("GOOGLETRANSLATE(D1652,""zh-CN"",""vi"")"),"bột mì")</f>
        <v>bột mì</v>
      </c>
      <c r="G1652" s="8" t="str">
        <f>IFERROR(__xludf.DUMMYFUNCTION("GOOGLETRANSLATE(E1652,""zh-CN"",""vi"")"),"Bột mì thông thường, bột mì ít gluten... nên chọn loại nào? Có thể kết hợp cả hai để làm bột nhào.")</f>
        <v>Bột mì thông thường, bột mì ít gluten... nên chọn loại nào? Có thể kết hợp cả hai để làm bột nhào.</v>
      </c>
      <c r="H1652" s="8"/>
      <c r="I1652" s="8"/>
      <c r="J1652" s="8"/>
    </row>
    <row r="1653" ht="21.0" customHeight="1">
      <c r="A1653" s="6">
        <v>1.0</v>
      </c>
      <c r="B1653" s="6">
        <v>139.0</v>
      </c>
      <c r="C1653" s="6">
        <v>2.0</v>
      </c>
      <c r="D1653" s="9" t="s">
        <v>2105</v>
      </c>
      <c r="E1653" s="9" t="s">
        <v>2106</v>
      </c>
      <c r="F1653" s="8" t="str">
        <f>IFERROR(__xludf.DUMMYFUNCTION("GOOGLETRANSLATE(D1653,""zh-CN"",""vi"")"),"bột")</f>
        <v>bột</v>
      </c>
      <c r="G1653" s="8" t="str">
        <f>IFERROR(__xludf.DUMMYFUNCTION("GOOGLETRANSLATE(E1653,""zh-CN"",""vi"")"),"Sau khi nhào bột thành khối, bước tiếp theo là gì? Kết hợp các nguyên liệu lại với nhau để tạo thành bánh trung thu rỗng ruột.")</f>
        <v>Sau khi nhào bột thành khối, bước tiếp theo là gì? Kết hợp các nguyên liệu lại với nhau để tạo thành bánh trung thu rỗng ruột.</v>
      </c>
      <c r="H1653" s="8"/>
      <c r="I1653" s="8"/>
      <c r="J1653" s="8"/>
    </row>
    <row r="1654" ht="21.0" customHeight="1">
      <c r="A1654" s="6">
        <v>1.0</v>
      </c>
      <c r="B1654" s="6">
        <v>139.0</v>
      </c>
      <c r="C1654" s="6">
        <v>3.0</v>
      </c>
      <c r="D1654" s="9" t="s">
        <v>2107</v>
      </c>
      <c r="E1654" s="9" t="s">
        <v>2108</v>
      </c>
      <c r="F1654" s="8" t="str">
        <f>IFERROR(__xludf.DUMMYFUNCTION("GOOGLETRANSLATE(D1654,""zh-CN"",""vi"")"),"bánh trung thu rỗng ruột")</f>
        <v>bánh trung thu rỗng ruột</v>
      </c>
      <c r="G1654" s="8" t="str">
        <f>IFERROR(__xludf.DUMMYFUNCTION("GOOGLETRANSLATE(E1654,""zh-CN"",""vi"")"),"Bánh trung thu không có trứng thì vô hồn! Bạn có thể làm bánh trung thu nhân đậu đỏ bằng cách kết hợp các nguyên liệu này.")</f>
        <v>Bánh trung thu không có trứng thì vô hồn! Bạn có thể làm bánh trung thu nhân đậu đỏ bằng cách kết hợp các nguyên liệu này.</v>
      </c>
      <c r="H1654" s="8"/>
      <c r="I1654" s="8"/>
      <c r="J1654" s="8"/>
    </row>
    <row r="1655" ht="21.0" customHeight="1">
      <c r="A1655" s="6">
        <v>1.0</v>
      </c>
      <c r="B1655" s="6">
        <v>139.0</v>
      </c>
      <c r="C1655" s="6">
        <v>4.0</v>
      </c>
      <c r="D1655" s="9" t="s">
        <v>2109</v>
      </c>
      <c r="E1655" s="9" t="s">
        <v>2110</v>
      </c>
      <c r="F1655" s="8" t="str">
        <f>IFERROR(__xludf.DUMMYFUNCTION("GOOGLETRANSLATE(D1655,""zh-CN"",""vi"")"),"bánh trung thu nhân đậu đỏ")</f>
        <v>bánh trung thu nhân đậu đỏ</v>
      </c>
      <c r="G1655" s="8" t="str">
        <f>IFERROR(__xludf.DUMMYFUNCTION("GOOGLETRANSLATE(E1655,""zh-CN"",""vi"")"),"Những chiếc bánh trung thu đã bị một đứa trẻ nghịch ngợm lấy trộm. Có thể kết hợp chúng lại để tạo thành một chiếc bánh trung thu hình con thỏ.")</f>
        <v>Những chiếc bánh trung thu đã bị một đứa trẻ nghịch ngợm lấy trộm. Có thể kết hợp chúng lại để tạo thành một chiếc bánh trung thu hình con thỏ.</v>
      </c>
      <c r="H1655" s="8"/>
      <c r="I1655" s="8"/>
      <c r="J1655" s="8"/>
    </row>
    <row r="1656" ht="21.0" customHeight="1">
      <c r="A1656" s="6">
        <v>1.0</v>
      </c>
      <c r="B1656" s="6">
        <v>139.0</v>
      </c>
      <c r="C1656" s="6">
        <v>5.0</v>
      </c>
      <c r="D1656" s="9" t="s">
        <v>2111</v>
      </c>
      <c r="E1656" s="9" t="s">
        <v>2112</v>
      </c>
      <c r="F1656" s="8" t="str">
        <f>IFERROR(__xludf.DUMMYFUNCTION("GOOGLETRANSLATE(D1656,""zh-CN"",""vi"")"),"Bánh trung thu hình thỏ")</f>
        <v>Bánh trung thu hình thỏ</v>
      </c>
      <c r="G1656" s="8" t="str">
        <f>IFERROR(__xludf.DUMMYFUNCTION("GOOGLETRANSLATE(E1656,""zh-CN"",""vi"")"),"Bánh trung thu in hình thỏ có nhân gì vậy? Bạn có thể kết hợp chúng để tạo ra bánh trung thu nhân trứng thỏ ngọc.")</f>
        <v>Bánh trung thu in hình thỏ có nhân gì vậy? Bạn có thể kết hợp chúng để tạo ra bánh trung thu nhân trứng thỏ ngọc.</v>
      </c>
      <c r="H1656" s="8"/>
      <c r="I1656" s="8"/>
      <c r="J1656" s="8"/>
    </row>
    <row r="1657" ht="21.0" customHeight="1">
      <c r="A1657" s="6">
        <v>1.0</v>
      </c>
      <c r="B1657" s="6">
        <v>139.0</v>
      </c>
      <c r="C1657" s="6">
        <v>6.0</v>
      </c>
      <c r="D1657" s="9" t="s">
        <v>2113</v>
      </c>
      <c r="E1657" s="9" t="s">
        <v>2114</v>
      </c>
      <c r="F1657" s="8" t="str">
        <f>IFERROR(__xludf.DUMMYFUNCTION("GOOGLETRANSLATE(D1657,""zh-CN"",""vi"")"),"Bánh trứng thỏ ngọc")</f>
        <v>Bánh trứng thỏ ngọc</v>
      </c>
      <c r="G1657" s="8" t="str">
        <f>IFERROR(__xludf.DUMMYFUNCTION("GOOGLETRANSLATE(E1657,""zh-CN"",""vi"")"),"Những người yêu thích lòng đỏ trứng không ngừng khoe khoang món ăn yêu thích của mình. Họ có thể tự chế biến bánh nhân hạt sen và bánh nhân lòng đỏ trứng.")</f>
        <v>Những người yêu thích lòng đỏ trứng không ngừng khoe khoang món ăn yêu thích của mình. Họ có thể tự chế biến bánh nhân hạt sen và bánh nhân lòng đỏ trứng.</v>
      </c>
      <c r="H1657" s="8"/>
      <c r="I1657" s="8"/>
      <c r="J1657" s="8"/>
    </row>
    <row r="1658" ht="21.0" customHeight="1">
      <c r="A1658" s="6">
        <v>1.0</v>
      </c>
      <c r="B1658" s="6">
        <v>139.0</v>
      </c>
      <c r="C1658" s="6">
        <v>7.0</v>
      </c>
      <c r="D1658" s="9" t="s">
        <v>2115</v>
      </c>
      <c r="E1658" s="9" t="s">
        <v>2116</v>
      </c>
      <c r="F1658" s="8" t="str">
        <f>IFERROR(__xludf.DUMMYFUNCTION("GOOGLETRANSLATE(D1658,""zh-CN"",""vi"")"),"Bánh nhân hạt sen và lòng đỏ trứng")</f>
        <v>Bánh nhân hạt sen và lòng đỏ trứng</v>
      </c>
      <c r="G1658" s="8" t="str">
        <f>IFERROR(__xludf.DUMMYFUNCTION("GOOGLETRANSLATE(E1658,""zh-CN"",""vi"")"),"Sự kết hợp hoàn hảo giữa vị ngọt và vị mặn. Sự kết hợp này tạo nên chiếc bánh trung thu được bày trên khay gỗ.")</f>
        <v>Sự kết hợp hoàn hảo giữa vị ngọt và vị mặn. Sự kết hợp này tạo nên chiếc bánh trung thu được bày trên khay gỗ.</v>
      </c>
      <c r="H1658" s="8"/>
      <c r="I1658" s="8"/>
      <c r="J1658" s="8"/>
    </row>
    <row r="1659" ht="21.0" customHeight="1">
      <c r="A1659" s="6">
        <v>1.0</v>
      </c>
      <c r="B1659" s="6">
        <v>139.0</v>
      </c>
      <c r="C1659" s="6">
        <v>8.0</v>
      </c>
      <c r="D1659" s="9" t="s">
        <v>2117</v>
      </c>
      <c r="E1659" s="9" t="s">
        <v>2118</v>
      </c>
      <c r="F1659" s="8" t="str">
        <f>IFERROR(__xludf.DUMMYFUNCTION("GOOGLETRANSLATE(D1659,""zh-CN"",""vi"")"),"Bánh trung thu khay gỗ")</f>
        <v>Bánh trung thu khay gỗ</v>
      </c>
      <c r="G1659" s="8" t="str">
        <f>IFERROR(__xludf.DUMMYFUNCTION("GOOGLETRANSLATE(E1659,""zh-CN"",""vi"")"),"Bánh ngọt Trung Quốc rất hợp với khay gỗ. Kết hợp chúng lại với nhau sẽ tạo ra những chiếc bánh trung thu đơn giản đựng trong hộp.")</f>
        <v>Bánh ngọt Trung Quốc rất hợp với khay gỗ. Kết hợp chúng lại với nhau sẽ tạo ra những chiếc bánh trung thu đơn giản đựng trong hộp.</v>
      </c>
      <c r="H1659" s="8"/>
      <c r="I1659" s="8"/>
      <c r="J1659" s="8"/>
    </row>
    <row r="1660" ht="21.0" customHeight="1">
      <c r="A1660" s="6">
        <v>1.0</v>
      </c>
      <c r="B1660" s="6">
        <v>139.0</v>
      </c>
      <c r="C1660" s="6">
        <v>9.0</v>
      </c>
      <c r="D1660" s="9" t="s">
        <v>2119</v>
      </c>
      <c r="E1660" s="9" t="s">
        <v>2120</v>
      </c>
      <c r="F1660" s="8" t="str">
        <f>IFERROR(__xludf.DUMMYFUNCTION("GOOGLETRANSLATE(D1660,""zh-CN"",""vi"")"),"Bánh trung thu đóng hộp đơn giản")</f>
        <v>Bánh trung thu đóng hộp đơn giản</v>
      </c>
      <c r="G1660" s="8" t="str">
        <f>IFERROR(__xludf.DUMMYFUNCTION("GOOGLETRANSLATE(E1660,""zh-CN"",""vi"")"),"Bao bì tối giản, nhân bánh đầy đặn. Kết hợp tạo nên những chiếc bánh trung thu được đóng gói tinh tế.")</f>
        <v>Bao bì tối giản, nhân bánh đầy đặn. Kết hợp tạo nên những chiếc bánh trung thu được đóng gói tinh tế.</v>
      </c>
      <c r="H1660" s="8"/>
      <c r="I1660" s="8"/>
      <c r="J1660" s="8"/>
    </row>
    <row r="1661" ht="21.0" customHeight="1">
      <c r="A1661" s="6">
        <v>1.0</v>
      </c>
      <c r="B1661" s="6">
        <v>139.0</v>
      </c>
      <c r="C1661" s="6">
        <v>10.0</v>
      </c>
      <c r="D1661" s="9" t="s">
        <v>2121</v>
      </c>
      <c r="E1661" s="9" t="s">
        <v>2122</v>
      </c>
      <c r="F1661" s="8" t="str">
        <f>IFERROR(__xludf.DUMMYFUNCTION("GOOGLETRANSLATE(D1661,""zh-CN"",""vi"")"),"Bánh trung thu đóng hộp tinh tế")</f>
        <v>Bánh trung thu đóng hộp tinh tế</v>
      </c>
      <c r="G1661" s="8" t="str">
        <f>IFERROR(__xludf.DUMMYFUNCTION("GOOGLETRANSLATE(E1661,""zh-CN"",""vi"")"),"Cũng như người ta đánh giá con người qua trang phục, bánh trung thu được đánh giá qua bao bì. Kết hợp những yếu tố này sẽ tạo ra những hộp bánh trung thu sang trọng.")</f>
        <v>Cũng như người ta đánh giá con người qua trang phục, bánh trung thu được đánh giá qua bao bì. Kết hợp những yếu tố này sẽ tạo ra những hộp bánh trung thu sang trọng.</v>
      </c>
      <c r="H1661" s="8"/>
      <c r="I1661" s="8"/>
      <c r="J1661" s="8"/>
    </row>
    <row r="1662" ht="21.0" customHeight="1">
      <c r="A1662" s="6">
        <v>1.0</v>
      </c>
      <c r="B1662" s="6">
        <v>139.0</v>
      </c>
      <c r="C1662" s="6">
        <v>11.0</v>
      </c>
      <c r="D1662" s="9" t="s">
        <v>2123</v>
      </c>
      <c r="E1662" s="9" t="s">
        <v>2124</v>
      </c>
      <c r="F1662" s="8" t="str">
        <f>IFERROR(__xludf.DUMMYFUNCTION("GOOGLETRANSLATE(D1662,""zh-CN"",""vi"")"),"Bánh trung thu đóng hộp sang trọng")</f>
        <v>Bánh trung thu đóng hộp sang trọng</v>
      </c>
      <c r="G1662" s="8" t="str">
        <f>IFERROR(__xludf.DUMMYFUNCTION("GOOGLETRANSLATE(E1662,""zh-CN"",""vi"")"),"Món quà di động hoàn hảo cho Tết Trung Thu. Kết hợp chúng để có được ""Bánh Hoa Nở và Bánh Trung Thu"".")</f>
        <v>Món quà di động hoàn hảo cho Tết Trung Thu. Kết hợp chúng để có được "Bánh Hoa Nở và Bánh Trung Thu".</v>
      </c>
      <c r="H1662" s="8"/>
      <c r="I1662" s="8"/>
      <c r="J1662" s="8"/>
    </row>
    <row r="1663" ht="21.0" customHeight="1">
      <c r="A1663" s="6">
        <v>1.0</v>
      </c>
      <c r="B1663" s="6">
        <v>139.0</v>
      </c>
      <c r="C1663" s="6">
        <v>12.0</v>
      </c>
      <c r="D1663" s="9" t="s">
        <v>2125</v>
      </c>
      <c r="E1663" s="9" t="s">
        <v>2126</v>
      </c>
      <c r="F1663" s="8" t="str">
        <f>IFERROR(__xludf.DUMMYFUNCTION("GOOGLETRANSLATE(D1663,""zh-CN"",""vi"")"),"Bánh trung thu hoa")</f>
        <v>Bánh trung thu hoa</v>
      </c>
      <c r="G1663" s="8" t="str">
        <f>IFERROR(__xludf.DUMMYFUNCTION("GOOGLETRANSLATE(E1663,""zh-CN"",""vi"")"),"Những chiếc bánh nhỏ hình mặt trăng này giòn tan và ngọt ngào. Chúng có thể được kết hợp để tạo thành một chiếc bánh sum họp gia đình.")</f>
        <v>Những chiếc bánh nhỏ hình mặt trăng này giòn tan và ngọt ngào. Chúng có thể được kết hợp để tạo thành một chiếc bánh sum họp gia đình.</v>
      </c>
      <c r="H1663" s="8"/>
      <c r="I1663" s="8"/>
      <c r="J1663" s="8"/>
    </row>
    <row r="1664" ht="21.0" customHeight="1">
      <c r="A1664" s="6">
        <v>1.0</v>
      </c>
      <c r="B1664" s="6">
        <v>139.0</v>
      </c>
      <c r="C1664" s="6">
        <v>13.0</v>
      </c>
      <c r="D1664" s="9" t="s">
        <v>2127</v>
      </c>
      <c r="E1664" s="9" t="s">
        <v>2128</v>
      </c>
      <c r="F1664" s="8" t="str">
        <f>IFERROR(__xludf.DUMMYFUNCTION("GOOGLETRANSLATE(D1664,""zh-CN"",""vi"")"),"Bánh họp mặt gia đình")</f>
        <v>Bánh họp mặt gia đình</v>
      </c>
      <c r="G1664" s="8" t="str">
        <f>IFERROR(__xludf.DUMMYFUNCTION("GOOGLETRANSLATE(E1664,""zh-CN"",""vi"")"),"Một chồng bánh trung thu, một tách trà – hương vị của sự sum họp. Điều này đã được nâng lên một tầm cao mới.")</f>
        <v>Một chồng bánh trung thu, một tách trà – hương vị của sự sum họp. Điều này đã được nâng lên một tầm cao mới.</v>
      </c>
      <c r="H1664" s="8"/>
      <c r="I1664" s="8"/>
      <c r="J1664" s="8"/>
    </row>
    <row r="1665" ht="21.0" customHeight="1">
      <c r="A1665" s="6">
        <v>1.0</v>
      </c>
      <c r="B1665" s="6">
        <v>144.0</v>
      </c>
      <c r="C1665" s="6">
        <v>1.0</v>
      </c>
      <c r="D1665" s="9" t="s">
        <v>2129</v>
      </c>
      <c r="E1665" s="9" t="s">
        <v>2130</v>
      </c>
      <c r="F1665" s="8" t="str">
        <f>IFERROR(__xludf.DUMMYFUNCTION("GOOGLETRANSLATE(D1665,""zh-CN"",""vi"")"),"Mây lành")</f>
        <v>Mây lành</v>
      </c>
      <c r="G1665" s="8" t="str">
        <f>IFERROR(__xludf.DUMMYFUNCTION("GOOGLETRANSLATE(E1665,""zh-CN"",""vi"")"),"Những đám mây lành xuất hiện, mang lại may mắn cho những ai nhìn thấy chúng. Kết hợp chúng lại sẽ tạo thành hai đám mây lành.")</f>
        <v>Những đám mây lành xuất hiện, mang lại may mắn cho những ai nhìn thấy chúng. Kết hợp chúng lại sẽ tạo thành hai đám mây lành.</v>
      </c>
      <c r="H1665" s="8"/>
      <c r="I1665" s="8"/>
      <c r="J1665" s="8"/>
    </row>
    <row r="1666" ht="21.0" customHeight="1">
      <c r="A1666" s="6">
        <v>1.0</v>
      </c>
      <c r="B1666" s="6">
        <v>144.0</v>
      </c>
      <c r="C1666" s="6">
        <v>2.0</v>
      </c>
      <c r="D1666" s="9" t="s">
        <v>2131</v>
      </c>
      <c r="E1666" s="9" t="s">
        <v>2132</v>
      </c>
      <c r="F1666" s="8" t="str">
        <f>IFERROR(__xludf.DUMMYFUNCTION("GOOGLETRANSLATE(D1666,""zh-CN"",""vi"")"),"Hai đám mây may mắn")</f>
        <v>Hai đám mây may mắn</v>
      </c>
      <c r="G1666" s="8" t="str">
        <f>IFERROR(__xludf.DUMMYFUNCTION("GOOGLETRANSLATE(E1666,""zh-CN"",""vi"")"),"Bao quanh con rồng, chúng tỏa ra hào quang của sự may mắn và trường thọ. Chúng có thể được kết hợp để tạo thành một quả cầu quý giá.")</f>
        <v>Bao quanh con rồng, chúng tỏa ra hào quang của sự may mắn và trường thọ. Chúng có thể được kết hợp để tạo thành một quả cầu quý giá.</v>
      </c>
      <c r="H1666" s="8"/>
      <c r="I1666" s="8"/>
      <c r="J1666" s="8"/>
    </row>
    <row r="1667" ht="21.0" customHeight="1">
      <c r="A1667" s="6">
        <v>1.0</v>
      </c>
      <c r="B1667" s="6">
        <v>144.0</v>
      </c>
      <c r="C1667" s="6">
        <v>3.0</v>
      </c>
      <c r="D1667" s="9" t="s">
        <v>2133</v>
      </c>
      <c r="E1667" s="9" t="s">
        <v>2134</v>
      </c>
      <c r="F1667" s="8" t="str">
        <f>IFERROR(__xludf.DUMMYFUNCTION("GOOGLETRANSLATE(D1667,""zh-CN"",""vi"")"),"Viên ngọc")</f>
        <v>Viên ngọc</v>
      </c>
      <c r="G1667" s="8" t="str">
        <f>IFERROR(__xludf.DUMMYFUNCTION("GOOGLETRANSLATE(E1667,""zh-CN"",""vi"")"),"Một viên ngọc lấp lánh, món đồ chơi yêu thích của rồng. Kết hợp chúng để có được đuôi rồng.")</f>
        <v>Một viên ngọc lấp lánh, món đồ chơi yêu thích của rồng. Kết hợp chúng để có được đuôi rồng.</v>
      </c>
      <c r="H1667" s="8"/>
      <c r="I1667" s="8"/>
      <c r="J1667" s="8"/>
    </row>
    <row r="1668" ht="21.0" customHeight="1">
      <c r="A1668" s="6">
        <v>1.0</v>
      </c>
      <c r="B1668" s="6">
        <v>144.0</v>
      </c>
      <c r="C1668" s="6">
        <v>4.0</v>
      </c>
      <c r="D1668" s="9" t="s">
        <v>2135</v>
      </c>
      <c r="E1668" s="9" t="s">
        <v>2136</v>
      </c>
      <c r="F1668" s="8" t="str">
        <f>IFERROR(__xludf.DUMMYFUNCTION("GOOGLETRANSLATE(D1668,""zh-CN"",""vi"")"),"Đuôi Rồng")</f>
        <v>Đuôi Rồng</v>
      </c>
      <c r="G1668" s="8" t="str">
        <f>IFERROR(__xludf.DUMMYFUNCTION("GOOGLETRANSLATE(E1668,""zh-CN"",""vi"")"),"Đeo đuôi rồng giúp xua đuổi tà ma và đảm bảo sức khỏe, an toàn. Kết hợp chúng lại sẽ tạo thành một Mảnh Rồng.")</f>
        <v>Đeo đuôi rồng giúp xua đuổi tà ma và đảm bảo sức khỏe, an toàn. Kết hợp chúng lại sẽ tạo thành một Mảnh Rồng.</v>
      </c>
      <c r="H1668" s="8"/>
      <c r="I1668" s="8"/>
      <c r="J1668" s="8"/>
    </row>
    <row r="1669" ht="21.0" customHeight="1">
      <c r="A1669" s="6">
        <v>1.0</v>
      </c>
      <c r="B1669" s="6">
        <v>144.0</v>
      </c>
      <c r="C1669" s="6">
        <v>5.0</v>
      </c>
      <c r="D1669" s="9" t="s">
        <v>2137</v>
      </c>
      <c r="E1669" s="9" t="s">
        <v>2138</v>
      </c>
      <c r="F1669" s="8" t="str">
        <f>IFERROR(__xludf.DUMMYFUNCTION("GOOGLETRANSLATE(D1669,""zh-CN"",""vi"")"),"Mảnh Rồng 1")</f>
        <v>Mảnh Rồng 1</v>
      </c>
      <c r="G1669" s="8" t="str">
        <f>IFERROR(__xludf.DUMMYFUNCTION("GOOGLETRANSLATE(E1669,""zh-CN"",""vi"")"),"Một phần vòi rồng. Khi kết hợp lại, chúng tạo thành hai mảnh rồng.")</f>
        <v>Một phần vòi rồng. Khi kết hợp lại, chúng tạo thành hai mảnh rồng.</v>
      </c>
      <c r="H1669" s="8"/>
      <c r="I1669" s="8"/>
      <c r="J1669" s="8"/>
    </row>
    <row r="1670" ht="21.0" customHeight="1">
      <c r="A1670" s="6">
        <v>1.0</v>
      </c>
      <c r="B1670" s="6">
        <v>144.0</v>
      </c>
      <c r="C1670" s="6">
        <v>6.0</v>
      </c>
      <c r="D1670" s="9" t="s">
        <v>2139</v>
      </c>
      <c r="E1670" s="9" t="s">
        <v>2140</v>
      </c>
      <c r="F1670" s="8" t="str">
        <f>IFERROR(__xludf.DUMMYFUNCTION("GOOGLETRANSLATE(D1670,""zh-CN"",""vi"")"),"Mảnh Rồng 2")</f>
        <v>Mảnh Rồng 2</v>
      </c>
      <c r="G1670" s="8" t="str">
        <f>IFERROR(__xludf.DUMMYFUNCTION("GOOGLETRANSLATE(E1670,""zh-CN"",""vi"")"),"Một phần vòi rồng. Khi kết hợp lại, chúng tạo thành ba mảnh rồng.")</f>
        <v>Một phần vòi rồng. Khi kết hợp lại, chúng tạo thành ba mảnh rồng.</v>
      </c>
      <c r="H1670" s="8"/>
      <c r="I1670" s="8"/>
      <c r="J1670" s="8"/>
    </row>
    <row r="1671" ht="21.0" customHeight="1">
      <c r="A1671" s="6">
        <v>1.0</v>
      </c>
      <c r="B1671" s="6">
        <v>144.0</v>
      </c>
      <c r="C1671" s="6">
        <v>7.0</v>
      </c>
      <c r="D1671" s="9" t="s">
        <v>2141</v>
      </c>
      <c r="E1671" s="9" t="s">
        <v>2142</v>
      </c>
      <c r="F1671" s="8" t="str">
        <f>IFERROR(__xludf.DUMMYFUNCTION("GOOGLETRANSLATE(D1671,""zh-CN"",""vi"")"),"Mảnh Rồng thứ ba")</f>
        <v>Mảnh Rồng thứ ba</v>
      </c>
      <c r="G1671" s="8" t="str">
        <f>IFERROR(__xludf.DUMMYFUNCTION("GOOGLETRANSLATE(E1671,""zh-CN"",""vi"")"),"Một phần vòi rồng. Khi kết hợp lại, chúng tạo thành bốn mảnh rồng.")</f>
        <v>Một phần vòi rồng. Khi kết hợp lại, chúng tạo thành bốn mảnh rồng.</v>
      </c>
      <c r="H1671" s="8"/>
      <c r="I1671" s="8"/>
      <c r="J1671" s="8"/>
    </row>
    <row r="1672" ht="21.0" customHeight="1">
      <c r="A1672" s="6">
        <v>1.0</v>
      </c>
      <c r="B1672" s="6">
        <v>144.0</v>
      </c>
      <c r="C1672" s="6">
        <v>8.0</v>
      </c>
      <c r="D1672" s="9" t="s">
        <v>2143</v>
      </c>
      <c r="E1672" s="9" t="s">
        <v>2144</v>
      </c>
      <c r="F1672" s="8" t="str">
        <f>IFERROR(__xludf.DUMMYFUNCTION("GOOGLETRANSLATE(D1672,""zh-CN"",""vi"")"),"Mảnh Rồng 4")</f>
        <v>Mảnh Rồng 4</v>
      </c>
      <c r="G1672" s="8" t="str">
        <f>IFERROR(__xludf.DUMMYFUNCTION("GOOGLETRANSLATE(E1672,""zh-CN"",""vi"")"),"Một phần vòi rồng. Khi kết hợp lại, chúng tạo thành năm mảnh rồng.")</f>
        <v>Một phần vòi rồng. Khi kết hợp lại, chúng tạo thành năm mảnh rồng.</v>
      </c>
      <c r="H1672" s="8"/>
      <c r="I1672" s="8"/>
      <c r="J1672" s="8"/>
    </row>
    <row r="1673" ht="21.0" customHeight="1">
      <c r="A1673" s="6">
        <v>1.0</v>
      </c>
      <c r="B1673" s="6">
        <v>144.0</v>
      </c>
      <c r="C1673" s="6">
        <v>9.0</v>
      </c>
      <c r="D1673" s="9" t="s">
        <v>2145</v>
      </c>
      <c r="E1673" s="9" t="s">
        <v>2146</v>
      </c>
      <c r="F1673" s="8" t="str">
        <f>IFERROR(__xludf.DUMMYFUNCTION("GOOGLETRANSLATE(D1673,""zh-CN"",""vi"")"),"Mảnh Rồng Năm")</f>
        <v>Mảnh Rồng Năm</v>
      </c>
      <c r="G1673" s="8" t="str">
        <f>IFERROR(__xludf.DUMMYFUNCTION("GOOGLETRANSLATE(E1673,""zh-CN"",""vi"")"),"Một phần vòi rồng. Khi kết hợp lại, chúng tạo thành sáu mảnh rồng.")</f>
        <v>Một phần vòi rồng. Khi kết hợp lại, chúng tạo thành sáu mảnh rồng.</v>
      </c>
      <c r="H1673" s="8"/>
      <c r="I1673" s="8"/>
      <c r="J1673" s="8"/>
    </row>
    <row r="1674" ht="21.0" customHeight="1">
      <c r="A1674" s="6">
        <v>1.0</v>
      </c>
      <c r="B1674" s="6">
        <v>144.0</v>
      </c>
      <c r="C1674" s="6">
        <v>10.0</v>
      </c>
      <c r="D1674" s="9" t="s">
        <v>2147</v>
      </c>
      <c r="E1674" s="9" t="s">
        <v>2148</v>
      </c>
      <c r="F1674" s="8" t="str">
        <f>IFERROR(__xludf.DUMMYFUNCTION("GOOGLETRANSLATE(D1674,""zh-CN"",""vi"")"),"Mảnh Rồng thứ sáu")</f>
        <v>Mảnh Rồng thứ sáu</v>
      </c>
      <c r="G1674" s="8" t="str">
        <f>IFERROR(__xludf.DUMMYFUNCTION("GOOGLETRANSLATE(E1674,""zh-CN"",""vi"")"),"Một phần vòi rồng. Khi kết hợp lại, chúng tạo thành bảy mảnh rồng.")</f>
        <v>Một phần vòi rồng. Khi kết hợp lại, chúng tạo thành bảy mảnh rồng.</v>
      </c>
      <c r="H1674" s="8"/>
      <c r="I1674" s="8"/>
      <c r="J1674" s="8"/>
    </row>
    <row r="1675" ht="21.0" customHeight="1">
      <c r="A1675" s="6">
        <v>1.0</v>
      </c>
      <c r="B1675" s="6">
        <v>144.0</v>
      </c>
      <c r="C1675" s="6">
        <v>11.0</v>
      </c>
      <c r="D1675" s="9" t="s">
        <v>2149</v>
      </c>
      <c r="E1675" s="9" t="s">
        <v>2150</v>
      </c>
      <c r="F1675" s="8" t="str">
        <f>IFERROR(__xludf.DUMMYFUNCTION("GOOGLETRANSLATE(D1675,""zh-CN"",""vi"")"),"Mảnh Rồng thứ bảy")</f>
        <v>Mảnh Rồng thứ bảy</v>
      </c>
      <c r="G1675" s="8" t="str">
        <f>IFERROR(__xludf.DUMMYFUNCTION("GOOGLETRANSLATE(E1675,""zh-CN"",""vi"")"),"Một phần vòi rồng. Khi kết hợp lại, chúng tạo thành tám mảnh rồng.")</f>
        <v>Một phần vòi rồng. Khi kết hợp lại, chúng tạo thành tám mảnh rồng.</v>
      </c>
      <c r="H1675" s="8"/>
      <c r="I1675" s="8"/>
      <c r="J1675" s="8"/>
    </row>
    <row r="1676" ht="21.0" customHeight="1">
      <c r="A1676" s="6">
        <v>1.0</v>
      </c>
      <c r="B1676" s="6">
        <v>144.0</v>
      </c>
      <c r="C1676" s="6">
        <v>12.0</v>
      </c>
      <c r="D1676" s="9" t="s">
        <v>2151</v>
      </c>
      <c r="E1676" s="9" t="s">
        <v>2152</v>
      </c>
      <c r="F1676" s="8" t="str">
        <f>IFERROR(__xludf.DUMMYFUNCTION("GOOGLETRANSLATE(D1676,""zh-CN"",""vi"")"),"Mảnh Rồng 8")</f>
        <v>Mảnh Rồng 8</v>
      </c>
      <c r="G1676" s="8" t="str">
        <f>IFERROR(__xludf.DUMMYFUNCTION("GOOGLETRANSLATE(E1676,""zh-CN"",""vi"")"),"Một phần của vòi rồng. Khi kết hợp lại, chúng có thể tạo thành đầu rồng.")</f>
        <v>Một phần của vòi rồng. Khi kết hợp lại, chúng có thể tạo thành đầu rồng.</v>
      </c>
      <c r="H1676" s="8"/>
      <c r="I1676" s="8"/>
      <c r="J1676" s="8"/>
    </row>
    <row r="1677" ht="21.0" customHeight="1">
      <c r="A1677" s="6">
        <v>1.0</v>
      </c>
      <c r="B1677" s="6">
        <v>144.0</v>
      </c>
      <c r="C1677" s="6">
        <v>13.0</v>
      </c>
      <c r="D1677" s="9" t="s">
        <v>2153</v>
      </c>
      <c r="E1677" s="9" t="s">
        <v>2154</v>
      </c>
      <c r="F1677" s="8" t="str">
        <f>IFERROR(__xludf.DUMMYFUNCTION("GOOGLETRANSLATE(D1677,""zh-CN"",""vi"")"),"Đầu Rồng")</f>
        <v>Đầu Rồng</v>
      </c>
      <c r="G1677" s="8" t="str">
        <f>IFERROR(__xludf.DUMMYFUNCTION("GOOGLETRANSLATE(E1677,""zh-CN"",""vi"")"),"Rồng thần may mắn đã ra đời, mang đến phước lành về trường thọ và sức khỏe dồi dào. Nó hiện đã đạt đến cấp độ cao nhất.")</f>
        <v>Rồng thần may mắn đã ra đời, mang đến phước lành về trường thọ và sức khỏe dồi dào. Nó hiện đã đạt đến cấp độ cao nhất.</v>
      </c>
      <c r="H1677" s="8"/>
      <c r="I1677" s="8"/>
      <c r="J1677" s="8"/>
    </row>
    <row r="1678" ht="21.0" customHeight="1">
      <c r="A1678" s="6">
        <v>1.0</v>
      </c>
      <c r="B1678" s="6">
        <v>145.0</v>
      </c>
      <c r="C1678" s="6">
        <v>1.0</v>
      </c>
      <c r="D1678" s="11" t="s">
        <v>2155</v>
      </c>
      <c r="E1678" s="9" t="s">
        <v>2156</v>
      </c>
      <c r="F1678" s="8" t="str">
        <f>IFERROR(__xludf.DUMMYFUNCTION("GOOGLETRANSLATE(D1678,""zh-CN"",""vi"")"),"tấm trải picnic")</f>
        <v>tấm trải picnic</v>
      </c>
      <c r="G1678" s="8" t="str">
        <f>IFERROR(__xludf.DUMMYFUNCTION("GOOGLETRANSLATE(E1678,""zh-CN"",""vi"")"),"Chống ẩm và cách nhiệt, vật dụng không thể thiếu cho những buổi dã ngoại. Được chế tạo để làm đèn cắm trại.")</f>
        <v>Chống ẩm và cách nhiệt, vật dụng không thể thiếu cho những buổi dã ngoại. Được chế tạo để làm đèn cắm trại.</v>
      </c>
      <c r="H1678" s="8"/>
      <c r="I1678" s="8"/>
      <c r="J1678" s="8"/>
    </row>
    <row r="1679" ht="21.0" customHeight="1">
      <c r="A1679" s="6">
        <v>1.0</v>
      </c>
      <c r="B1679" s="6">
        <v>145.0</v>
      </c>
      <c r="C1679" s="6">
        <v>2.0</v>
      </c>
      <c r="D1679" s="9" t="s">
        <v>2157</v>
      </c>
      <c r="E1679" s="9" t="s">
        <v>2158</v>
      </c>
      <c r="F1679" s="8" t="str">
        <f>IFERROR(__xludf.DUMMYFUNCTION("GOOGLETRANSLATE(D1679,""zh-CN"",""vi"")"),"Đèn cắm trại")</f>
        <v>Đèn cắm trại</v>
      </c>
      <c r="G1679" s="8" t="str">
        <f>IFERROR(__xludf.DUMMYFUNCTION("GOOGLETRANSLATE(E1679,""zh-CN"",""vi"")"),"Ánh sáng vàng ấm áp, giống như đom đóm trong giỏ, có thể được kết hợp để tạo thành một chiếc ghế gấp.")</f>
        <v>Ánh sáng vàng ấm áp, giống như đom đóm trong giỏ, có thể được kết hợp để tạo thành một chiếc ghế gấp.</v>
      </c>
      <c r="H1679" s="8"/>
      <c r="I1679" s="8"/>
      <c r="J1679" s="8"/>
    </row>
    <row r="1680" ht="21.0" customHeight="1">
      <c r="A1680" s="6">
        <v>1.0</v>
      </c>
      <c r="B1680" s="6">
        <v>145.0</v>
      </c>
      <c r="C1680" s="6">
        <v>3.0</v>
      </c>
      <c r="D1680" s="9" t="s">
        <v>2159</v>
      </c>
      <c r="E1680" s="9" t="s">
        <v>2160</v>
      </c>
      <c r="F1680" s="8" t="str">
        <f>IFERROR(__xludf.DUMMYFUNCTION("GOOGLETRANSLATE(D1680,""zh-CN"",""vi"")"),"Ghế gấp")</f>
        <v>Ghế gấp</v>
      </c>
      <c r="G1680" s="8" t="str">
        <f>IFERROR(__xludf.DUMMYFUNCTION("GOOGLETRANSLATE(E1680,""zh-CN"",""vi"")"),"Có thể gấp gọn và xếp chồng lên nhau, dễ dàng mang theo. Kết hợp lại để tạo thành một chiếc ghế gấp.")</f>
        <v>Có thể gấp gọn và xếp chồng lên nhau, dễ dàng mang theo. Kết hợp lại để tạo thành một chiếc ghế gấp.</v>
      </c>
      <c r="H1680" s="8"/>
      <c r="I1680" s="8"/>
      <c r="J1680" s="8"/>
    </row>
    <row r="1681" ht="21.0" customHeight="1">
      <c r="A1681" s="6">
        <v>1.0</v>
      </c>
      <c r="B1681" s="6">
        <v>145.0</v>
      </c>
      <c r="C1681" s="6">
        <v>4.0</v>
      </c>
      <c r="D1681" s="9" t="s">
        <v>2161</v>
      </c>
      <c r="E1681" s="9" t="s">
        <v>2162</v>
      </c>
      <c r="F1681" s="8" t="str">
        <f>IFERROR(__xludf.DUMMYFUNCTION("GOOGLETRANSLATE(D1681,""zh-CN"",""vi"")"),"Ghế gấp")</f>
        <v>Ghế gấp</v>
      </c>
      <c r="G1681" s="8" t="str">
        <f>IFERROR(__xludf.DUMMYFUNCTION("GOOGLETRANSLATE(E1681,""zh-CN"",""vi"")"),"Nghệ thuật sống nằm ở sự linh hoạt và khả năng thích ứng. Một chiếc ghế sofa gấp có thể được tạo nên từ những yếu tố này.")</f>
        <v>Nghệ thuật sống nằm ở sự linh hoạt và khả năng thích ứng. Một chiếc ghế sofa gấp có thể được tạo nên từ những yếu tố này.</v>
      </c>
      <c r="H1681" s="8"/>
      <c r="I1681" s="8"/>
      <c r="J1681" s="8"/>
    </row>
    <row r="1682" ht="21.0" customHeight="1">
      <c r="A1682" s="6">
        <v>1.0</v>
      </c>
      <c r="B1682" s="6">
        <v>145.0</v>
      </c>
      <c r="C1682" s="6">
        <v>5.0</v>
      </c>
      <c r="D1682" s="9" t="s">
        <v>2163</v>
      </c>
      <c r="E1682" s="9" t="s">
        <v>2164</v>
      </c>
      <c r="F1682" s="8" t="str">
        <f>IFERROR(__xludf.DUMMYFUNCTION("GOOGLETRANSLATE(D1682,""zh-CN"",""vi"")"),"Ghế sofa gấp")</f>
        <v>Ghế sofa gấp</v>
      </c>
      <c r="G1682" s="8" t="str">
        <f>IFERROR(__xludf.DUMMYFUNCTION("GOOGLETRANSLATE(E1682,""zh-CN"",""vi"")"),"Nằm trên ghế sofa, bạn có thể nhìn thấy những vì sao khi ngước nhìn lên. Có thể chế tạo một giá ba chân để tạo thành một tủ đựng đồ.")</f>
        <v>Nằm trên ghế sofa, bạn có thể nhìn thấy những vì sao khi ngước nhìn lên. Có thể chế tạo một giá ba chân để tạo thành một tủ đựng đồ.</v>
      </c>
      <c r="H1682" s="8"/>
      <c r="I1682" s="8"/>
      <c r="J1682" s="8"/>
    </row>
    <row r="1683" ht="21.0" customHeight="1">
      <c r="A1683" s="6">
        <v>1.0</v>
      </c>
      <c r="B1683" s="6">
        <v>145.0</v>
      </c>
      <c r="C1683" s="6">
        <v>6.0</v>
      </c>
      <c r="D1683" s="9" t="s">
        <v>2165</v>
      </c>
      <c r="E1683" s="9" t="s">
        <v>2166</v>
      </c>
      <c r="F1683" s="8" t="str">
        <f>IFERROR(__xludf.DUMMYFUNCTION("GOOGLETRANSLATE(D1683,""zh-CN"",""vi"")"),"Chân đế lưu trữ")</f>
        <v>Chân đế lưu trữ</v>
      </c>
      <c r="G1683" s="8" t="str">
        <f>IFERROR(__xludf.DUMMYFUNCTION("GOOGLETRANSLATE(E1683,""zh-CN"",""vi"")"),"Ngay cả khi ở ngoài trời, hãy sắp xếp gọn gàng các dụng cụ nấu nướng của bạn. Bạn có thể tự làm một hộp đựng có thể gấp gọn.")</f>
        <v>Ngay cả khi ở ngoài trời, hãy sắp xếp gọn gàng các dụng cụ nấu nướng của bạn. Bạn có thể tự làm một hộp đựng có thể gấp gọn.</v>
      </c>
      <c r="H1683" s="8"/>
      <c r="I1683" s="8"/>
      <c r="J1683" s="8"/>
    </row>
    <row r="1684" ht="21.0" customHeight="1">
      <c r="A1684" s="6">
        <v>1.0</v>
      </c>
      <c r="B1684" s="6">
        <v>145.0</v>
      </c>
      <c r="C1684" s="6">
        <v>7.0</v>
      </c>
      <c r="D1684" s="9" t="s">
        <v>2167</v>
      </c>
      <c r="E1684" s="9" t="s">
        <v>2168</v>
      </c>
      <c r="F1684" s="8" t="str">
        <f>IFERROR(__xludf.DUMMYFUNCTION("GOOGLETRANSLATE(D1684,""zh-CN"",""vi"")"),"Hộp đựng đồ gấp gọn")</f>
        <v>Hộp đựng đồ gấp gọn</v>
      </c>
      <c r="G1684" s="8" t="str">
        <f>IFERROR(__xludf.DUMMYFUNCTION("GOOGLETRANSLATE(E1684,""zh-CN"",""vi"")"),"Hình vuông và hình chữ nhật là những hình dạng không thể thiếu để lưu trữ đồ đạc ngoài trời. Kết hợp chúng lại với nhau sẽ tạo ra một hộp lưu trữ hai lớp.")</f>
        <v>Hình vuông và hình chữ nhật là những hình dạng không thể thiếu để lưu trữ đồ đạc ngoài trời. Kết hợp chúng lại với nhau sẽ tạo ra một hộp lưu trữ hai lớp.</v>
      </c>
      <c r="H1684" s="8"/>
      <c r="I1684" s="8"/>
      <c r="J1684" s="8"/>
    </row>
    <row r="1685" ht="21.0" customHeight="1">
      <c r="A1685" s="6">
        <v>1.0</v>
      </c>
      <c r="B1685" s="6">
        <v>145.0</v>
      </c>
      <c r="C1685" s="6">
        <v>8.0</v>
      </c>
      <c r="D1685" s="9" t="s">
        <v>2169</v>
      </c>
      <c r="E1685" s="9" t="s">
        <v>2170</v>
      </c>
      <c r="F1685" s="8" t="str">
        <f>IFERROR(__xludf.DUMMYFUNCTION("GOOGLETRANSLATE(D1685,""zh-CN"",""vi"")"),"Hộp đựng đồ hai lớp")</f>
        <v>Hộp đựng đồ hai lớp</v>
      </c>
      <c r="G1685" s="8" t="str">
        <f>IFERROR(__xludf.DUMMYFUNCTION("GOOGLETRANSLATE(E1685,""zh-CN"",""vi"")"),"Cửa mở bên hông giúp việc lấy đồ dễ dàng hơn. Chế tạo cửa này sẽ tạo ra một chiếc ghế cắm trại.")</f>
        <v>Cửa mở bên hông giúp việc lấy đồ dễ dàng hơn. Chế tạo cửa này sẽ tạo ra một chiếc ghế cắm trại.</v>
      </c>
      <c r="H1685" s="8"/>
      <c r="I1685" s="8"/>
      <c r="J1685" s="8"/>
    </row>
    <row r="1686" ht="21.0" customHeight="1">
      <c r="A1686" s="6">
        <v>1.0</v>
      </c>
      <c r="B1686" s="6">
        <v>145.0</v>
      </c>
      <c r="C1686" s="6">
        <v>9.0</v>
      </c>
      <c r="D1686" s="9" t="s">
        <v>2171</v>
      </c>
      <c r="E1686" s="9" t="s">
        <v>2172</v>
      </c>
      <c r="F1686" s="8" t="str">
        <f>IFERROR(__xludf.DUMMYFUNCTION("GOOGLETRANSLATE(D1686,""zh-CN"",""vi"")"),"Ghế cắm trại")</f>
        <v>Ghế cắm trại</v>
      </c>
      <c r="G1686" s="8" t="str">
        <f>IFERROR(__xludf.DUMMYFUNCTION("GOOGLETRANSLATE(E1686,""zh-CN"",""vi"")"),"Một chiếc ghế đẩu chắc chắn, đủ sức chịu được trọng lượng của một người to lớn. Việc chế tạo nó sẽ tạo ra một chiếc xe kéo cắm trại.")</f>
        <v>Một chiếc ghế đẩu chắc chắn, đủ sức chịu được trọng lượng của một người to lớn. Việc chế tạo nó sẽ tạo ra một chiếc xe kéo cắm trại.</v>
      </c>
      <c r="H1686" s="8"/>
      <c r="I1686" s="8"/>
      <c r="J1686" s="8"/>
    </row>
    <row r="1687" ht="21.0" customHeight="1">
      <c r="A1687" s="6">
        <v>1.0</v>
      </c>
      <c r="B1687" s="6">
        <v>145.0</v>
      </c>
      <c r="C1687" s="6">
        <v>10.0</v>
      </c>
      <c r="D1687" s="9" t="s">
        <v>2173</v>
      </c>
      <c r="E1687" s="9" t="s">
        <v>2174</v>
      </c>
      <c r="F1687" s="8" t="str">
        <f>IFERROR(__xludf.DUMMYFUNCTION("GOOGLETRANSLATE(D1687,""zh-CN"",""vi"")"),"Xe kéo cắm trại")</f>
        <v>Xe kéo cắm trại</v>
      </c>
      <c r="G1687" s="8" t="str">
        <f>IFERROR(__xludf.DUMMYFUNCTION("GOOGLETRANSLATE(E1687,""zh-CN"",""vi"")"),"Rơ moóc di động, dùng để vận chuyển nhanh chóng các vật dụng ngoài trời. Khi được lắp ráp, nó có thể được sử dụng để tạo thành một bàn ăn dã ngoại.")</f>
        <v>Rơ moóc di động, dùng để vận chuyển nhanh chóng các vật dụng ngoài trời. Khi được lắp ráp, nó có thể được sử dụng để tạo thành một bàn ăn dã ngoại.</v>
      </c>
      <c r="H1687" s="8"/>
      <c r="I1687" s="8"/>
      <c r="J1687" s="8"/>
    </row>
    <row r="1688" ht="21.0" customHeight="1">
      <c r="A1688" s="6">
        <v>1.0</v>
      </c>
      <c r="B1688" s="6">
        <v>145.0</v>
      </c>
      <c r="C1688" s="6">
        <v>11.0</v>
      </c>
      <c r="D1688" s="9" t="s">
        <v>2175</v>
      </c>
      <c r="E1688" s="9" t="s">
        <v>2176</v>
      </c>
      <c r="F1688" s="8" t="str">
        <f>IFERROR(__xludf.DUMMYFUNCTION("GOOGLETRANSLATE(D1688,""zh-CN"",""vi"")"),"bàn ăn nhỏ tại khu cắm trại")</f>
        <v>bàn ăn nhỏ tại khu cắm trại</v>
      </c>
      <c r="G1688" s="8" t="str">
        <f>IFERROR(__xludf.DUMMYFUNCTION("GOOGLETRANSLATE(E1688,""zh-CN"",""vi"")"),"Xe đạp có thể được biến đổi thành xe máy, và xe kéo có thể thành bàn ăn. Kết hợp chúng lại để tạo thành một chiếc ghế sofa bơm hơi.")</f>
        <v>Xe đạp có thể được biến đổi thành xe máy, và xe kéo có thể thành bàn ăn. Kết hợp chúng lại để tạo thành một chiếc ghế sofa bơm hơi.</v>
      </c>
      <c r="H1688" s="8"/>
      <c r="I1688" s="8"/>
      <c r="J1688" s="8"/>
    </row>
    <row r="1689" ht="21.0" customHeight="1">
      <c r="A1689" s="6">
        <v>1.0</v>
      </c>
      <c r="B1689" s="6">
        <v>145.0</v>
      </c>
      <c r="C1689" s="6">
        <v>12.0</v>
      </c>
      <c r="D1689" s="9" t="s">
        <v>2177</v>
      </c>
      <c r="E1689" s="9" t="s">
        <v>2178</v>
      </c>
      <c r="F1689" s="8" t="str">
        <f>IFERROR(__xludf.DUMMYFUNCTION("GOOGLETRANSLATE(D1689,""zh-CN"",""vi"")"),"Ghế sofa bơm hơi")</f>
        <v>Ghế sofa bơm hơi</v>
      </c>
      <c r="G1689" s="8" t="str">
        <f>IFERROR(__xludf.DUMMYFUNCTION("GOOGLETRANSLATE(E1689,""zh-CN"",""vi"")"),"Một chiếc ghế sofa đàn hồi bạn có thể dùng ngoài trời. Tự chế tạo thành một chiếc giường hơi.")</f>
        <v>Một chiếc ghế sofa đàn hồi bạn có thể dùng ngoài trời. Tự chế tạo thành một chiếc giường hơi.</v>
      </c>
      <c r="H1689" s="8"/>
      <c r="I1689" s="8"/>
      <c r="J1689" s="8"/>
    </row>
    <row r="1690" ht="21.0" customHeight="1">
      <c r="A1690" s="6">
        <v>1.0</v>
      </c>
      <c r="B1690" s="6">
        <v>145.0</v>
      </c>
      <c r="C1690" s="6">
        <v>13.0</v>
      </c>
      <c r="D1690" s="9" t="s">
        <v>2179</v>
      </c>
      <c r="E1690" s="9" t="s">
        <v>2180</v>
      </c>
      <c r="F1690" s="8" t="str">
        <f>IFERROR(__xludf.DUMMYFUNCTION("GOOGLETRANSLATE(D1690,""zh-CN"",""vi"")"),"nệm hơi")</f>
        <v>nệm hơi</v>
      </c>
      <c r="G1690" s="8" t="str">
        <f>IFERROR(__xludf.DUMMYFUNCTION("GOOGLETRANSLATE(E1690,""zh-CN"",""vi"")"),"Lều có đệm hơi biến giấc mơ cắm trại thành hiện thực. Được nâng cấp lên mức cao nhất.")</f>
        <v>Lều có đệm hơi biến giấc mơ cắm trại thành hiện thực. Được nâng cấp lên mức cao nhất.</v>
      </c>
      <c r="H1690" s="8"/>
      <c r="I1690" s="8"/>
      <c r="J1690" s="8"/>
    </row>
    <row r="1691" ht="21.0" customHeight="1">
      <c r="A1691" s="6">
        <v>1.0</v>
      </c>
      <c r="B1691" s="6">
        <v>146.0</v>
      </c>
      <c r="C1691" s="6">
        <v>1.0</v>
      </c>
      <c r="D1691" s="9" t="s">
        <v>2181</v>
      </c>
      <c r="E1691" s="9" t="s">
        <v>2182</v>
      </c>
      <c r="F1691" s="8" t="str">
        <f>IFERROR(__xludf.DUMMYFUNCTION("GOOGLETRANSLATE(D1691,""zh-CN"",""vi"")"),"Máy gọt vỏ dưa")</f>
        <v>Máy gọt vỏ dưa</v>
      </c>
      <c r="G1691" s="8" t="str">
        <f>IFERROR(__xludf.DUMMYFUNCTION("GOOGLETRANSLATE(E1691,""zh-CN"",""vi"")"),"Đừng quên thu gom vỏ trái cây đã gọt. Bạn có thể chế tạo một máy xay.")</f>
        <v>Đừng quên thu gom vỏ trái cây đã gọt. Bạn có thể chế tạo một máy xay.</v>
      </c>
      <c r="H1691" s="8"/>
      <c r="I1691" s="8"/>
      <c r="J1691" s="8"/>
    </row>
    <row r="1692" ht="21.0" customHeight="1">
      <c r="A1692" s="6">
        <v>1.0</v>
      </c>
      <c r="B1692" s="6">
        <v>146.0</v>
      </c>
      <c r="C1692" s="6">
        <v>2.0</v>
      </c>
      <c r="D1692" s="9" t="s">
        <v>2183</v>
      </c>
      <c r="E1692" s="9" t="s">
        <v>2184</v>
      </c>
      <c r="F1692" s="8" t="str">
        <f>IFERROR(__xludf.DUMMYFUNCTION("GOOGLETRANSLATE(D1692,""zh-CN"",""vi"")"),"Máy hủy giấy")</f>
        <v>Máy hủy giấy</v>
      </c>
      <c r="G1692" s="8" t="str">
        <f>IFERROR(__xludf.DUMMYFUNCTION("GOOGLETRANSLATE(E1692,""zh-CN"",""vi"")"),"Nếu kỹ năng dùng dao của bạn chưa tốt, một chiếc máy cắt giấy sẽ là giải pháp. Bạn có thể tự chế tạo máy cắt giấy.")</f>
        <v>Nếu kỹ năng dùng dao của bạn chưa tốt, một chiếc máy cắt giấy sẽ là giải pháp. Bạn có thể tự chế tạo máy cắt giấy.</v>
      </c>
      <c r="H1692" s="8"/>
      <c r="I1692" s="8"/>
      <c r="J1692" s="8"/>
    </row>
    <row r="1693" ht="21.0" customHeight="1">
      <c r="A1693" s="6">
        <v>1.0</v>
      </c>
      <c r="B1693" s="6">
        <v>146.0</v>
      </c>
      <c r="C1693" s="6">
        <v>3.0</v>
      </c>
      <c r="D1693" s="9" t="s">
        <v>2185</v>
      </c>
      <c r="E1693" s="9" t="s">
        <v>2186</v>
      </c>
      <c r="F1693" s="8" t="str">
        <f>IFERROR(__xludf.DUMMYFUNCTION("GOOGLETRANSLATE(D1693,""zh-CN"",""vi"")"),"Máy hủy giấy")</f>
        <v>Máy hủy giấy</v>
      </c>
      <c r="G1693" s="8" t="str">
        <f>IFERROR(__xludf.DUMMYFUNCTION("GOOGLETRANSLATE(E1693,""zh-CN"",""vi"")"),"Sự kết hợp hoàn hảo giữa thớt và hộp đựng. Vật liệu tổng hợp này tạo ra những chiếc thớt dùng ngoài trời.")</f>
        <v>Sự kết hợp hoàn hảo giữa thớt và hộp đựng. Vật liệu tổng hợp này tạo ra những chiếc thớt dùng ngoài trời.</v>
      </c>
      <c r="H1693" s="8"/>
      <c r="I1693" s="8"/>
      <c r="J1693" s="8"/>
    </row>
    <row r="1694" ht="21.0" customHeight="1">
      <c r="A1694" s="6">
        <v>1.0</v>
      </c>
      <c r="B1694" s="6">
        <v>146.0</v>
      </c>
      <c r="C1694" s="6">
        <v>4.0</v>
      </c>
      <c r="D1694" s="9" t="s">
        <v>2187</v>
      </c>
      <c r="E1694" s="9" t="s">
        <v>2188</v>
      </c>
      <c r="F1694" s="8" t="str">
        <f>IFERROR(__xludf.DUMMYFUNCTION("GOOGLETRANSLATE(D1694,""zh-CN"",""vi"")"),"Lưỡi dao ngoài trời")</f>
        <v>Lưỡi dao ngoài trời</v>
      </c>
      <c r="G1694" s="8" t="str">
        <f>IFERROR(__xludf.DUMMYFUNCTION("GOOGLETRANSLATE(E1694,""zh-CN"",""vi"")"),"Hãy cẩn thận để không làm đau tay. Bạn có thể tự chế tạo một chiếc chảo rán ngoài trời.")</f>
        <v>Hãy cẩn thận để không làm đau tay. Bạn có thể tự chế tạo một chiếc chảo rán ngoài trời.</v>
      </c>
      <c r="H1694" s="8"/>
      <c r="I1694" s="8"/>
      <c r="J1694" s="8"/>
    </row>
    <row r="1695" ht="21.0" customHeight="1">
      <c r="A1695" s="6">
        <v>1.0</v>
      </c>
      <c r="B1695" s="6">
        <v>146.0</v>
      </c>
      <c r="C1695" s="6">
        <v>5.0</v>
      </c>
      <c r="D1695" s="9" t="s">
        <v>2189</v>
      </c>
      <c r="E1695" s="9" t="s">
        <v>2190</v>
      </c>
      <c r="F1695" s="8" t="str">
        <f>IFERROR(__xludf.DUMMYFUNCTION("GOOGLETRANSLATE(D1695,""zh-CN"",""vi"")"),"Chảo rán ngoài trời")</f>
        <v>Chảo rán ngoài trời</v>
      </c>
      <c r="G1695" s="8" t="str">
        <f>IFERROR(__xludf.DUMMYFUNCTION("GOOGLETRANSLATE(E1695,""zh-CN"",""vi"")"),"Nó là vật dụng không thể thiếu để chiên, xào, nấu và hầm. Việc chế tạo nó sẽ tạo ra một chiếc nồi nấu canh ngoài trời.")</f>
        <v>Nó là vật dụng không thể thiếu để chiên, xào, nấu và hầm. Việc chế tạo nó sẽ tạo ra một chiếc nồi nấu canh ngoài trời.</v>
      </c>
      <c r="H1695" s="8"/>
      <c r="I1695" s="8"/>
      <c r="J1695" s="8"/>
    </row>
    <row r="1696" ht="21.0" customHeight="1">
      <c r="A1696" s="6">
        <v>1.0</v>
      </c>
      <c r="B1696" s="6">
        <v>146.0</v>
      </c>
      <c r="C1696" s="6">
        <v>6.0</v>
      </c>
      <c r="D1696" s="9" t="s">
        <v>2191</v>
      </c>
      <c r="E1696" s="9" t="s">
        <v>2192</v>
      </c>
      <c r="F1696" s="8" t="str">
        <f>IFERROR(__xludf.DUMMYFUNCTION("GOOGLETRANSLATE(D1696,""zh-CN"",""vi"")"),"Nồi súp ngoài trời")</f>
        <v>Nồi súp ngoài trời</v>
      </c>
      <c r="G1696" s="8" t="str">
        <f>IFERROR(__xludf.DUMMYFUNCTION("GOOGLETRANSLATE(E1696,""zh-CN"",""vi"")"),"Mùi thơm của súp thoang thoảng từ nắp. Làm theo hướng dẫn này sẽ tạo ra một bình đựng nước dùng ngoài trời.")</f>
        <v>Mùi thơm của súp thoang thoảng từ nắp. Làm theo hướng dẫn này sẽ tạo ra một bình đựng nước dùng ngoài trời.</v>
      </c>
      <c r="H1696" s="8"/>
      <c r="I1696" s="8"/>
      <c r="J1696" s="8"/>
    </row>
    <row r="1697" ht="21.0" customHeight="1">
      <c r="A1697" s="6">
        <v>1.0</v>
      </c>
      <c r="B1697" s="6">
        <v>146.0</v>
      </c>
      <c r="C1697" s="6">
        <v>7.0</v>
      </c>
      <c r="D1697" s="9" t="s">
        <v>2193</v>
      </c>
      <c r="E1697" s="9" t="s">
        <v>2194</v>
      </c>
      <c r="F1697" s="8" t="str">
        <f>IFERROR(__xludf.DUMMYFUNCTION("GOOGLETRANSLATE(D1697,""zh-CN"",""vi"")"),"Bình nước ngoài trời")</f>
        <v>Bình nước ngoài trời</v>
      </c>
      <c r="G1697" s="8" t="str">
        <f>IFERROR(__xludf.DUMMYFUNCTION("GOOGLETRANSLATE(E1697,""zh-CN"",""vi"")"),"Hãy nhớ uống nhiều nước nóng ngay cả khi ở ngoài trời. Bạn có thể tự chế tạo một bếp ga di động.")</f>
        <v>Hãy nhớ uống nhiều nước nóng ngay cả khi ở ngoài trời. Bạn có thể tự chế tạo một bếp ga di động.</v>
      </c>
      <c r="H1697" s="8"/>
      <c r="I1697" s="8"/>
      <c r="J1697" s="8"/>
    </row>
    <row r="1698" ht="21.0" customHeight="1">
      <c r="A1698" s="6">
        <v>1.0</v>
      </c>
      <c r="B1698" s="6">
        <v>146.0</v>
      </c>
      <c r="C1698" s="6">
        <v>8.0</v>
      </c>
      <c r="D1698" s="9" t="s">
        <v>2195</v>
      </c>
      <c r="E1698" s="9" t="s">
        <v>2196</v>
      </c>
      <c r="F1698" s="8" t="str">
        <f>IFERROR(__xludf.DUMMYFUNCTION("GOOGLETRANSLATE(D1698,""zh-CN"",""vi"")"),"Bếp ga di động")</f>
        <v>Bếp ga di động</v>
      </c>
      <c r="G1698" s="8" t="str">
        <f>IFERROR(__xludf.DUMMYFUNCTION("GOOGLETRANSLATE(E1698,""zh-CN"",""vi"")"),"Ngọn lửa nấu nướng tốt nhất cho chuyến đi của bạn. Hãy chế tạo nó để có được một bếp ga/bếp nướng teppanyaki di động.")</f>
        <v>Ngọn lửa nấu nướng tốt nhất cho chuyến đi của bạn. Hãy chế tạo nó để có được một bếp ga/bếp nướng teppanyaki di động.</v>
      </c>
      <c r="H1698" s="8"/>
      <c r="I1698" s="8"/>
      <c r="J1698" s="8"/>
    </row>
    <row r="1699" ht="21.0" customHeight="1">
      <c r="A1699" s="6">
        <v>1.0</v>
      </c>
      <c r="B1699" s="6">
        <v>146.0</v>
      </c>
      <c r="C1699" s="6">
        <v>9.0</v>
      </c>
      <c r="D1699" s="9" t="s">
        <v>2197</v>
      </c>
      <c r="E1699" s="9" t="s">
        <v>2198</v>
      </c>
      <c r="F1699" s="8" t="str">
        <f>IFERROR(__xludf.DUMMYFUNCTION("GOOGLETRANSLATE(D1699,""zh-CN"",""vi"")"),"Bếp nướng teppanyaki di động")</f>
        <v>Bếp nướng teppanyaki di động</v>
      </c>
      <c r="G1699" s="8" t="str">
        <f>IFERROR(__xludf.DUMMYFUNCTION("GOOGLETRANSLATE(E1699,""zh-CN"",""vi"")"),"Công dụng thứ n của bếp ga di động. Nó có thể được dùng để chế tạo một cái nồi nấu súp sôi.")</f>
        <v>Công dụng thứ n của bếp ga di động. Nó có thể được dùng để chế tạo một cái nồi nấu súp sôi.</v>
      </c>
      <c r="H1699" s="8"/>
      <c r="I1699" s="8"/>
      <c r="J1699" s="8"/>
    </row>
    <row r="1700" ht="21.0" customHeight="1">
      <c r="A1700" s="6">
        <v>1.0</v>
      </c>
      <c r="B1700" s="6">
        <v>146.0</v>
      </c>
      <c r="C1700" s="6">
        <v>10.0</v>
      </c>
      <c r="D1700" s="9" t="s">
        <v>2199</v>
      </c>
      <c r="E1700" s="9" t="s">
        <v>2200</v>
      </c>
      <c r="F1700" s="8" t="str">
        <f>IFERROR(__xludf.DUMMYFUNCTION("GOOGLETRANSLATE(D1700,""zh-CN"",""vi"")"),"Nồi súp đang sôi")</f>
        <v>Nồi súp đang sôi</v>
      </c>
      <c r="G1700" s="8" t="str">
        <f>IFERROR(__xludf.DUMMYFUNCTION("GOOGLETRANSLATE(E1700,""zh-CN"",""vi"")"),"Nồi súp trên bếp đang sôi sùng sục. Việc chế tạo nó sẽ thu được một lượng nhỏ dụng cụ nấu ăn.")</f>
        <v>Nồi súp trên bếp đang sôi sùng sục. Việc chế tạo nó sẽ thu được một lượng nhỏ dụng cụ nấu ăn.</v>
      </c>
      <c r="H1700" s="8"/>
      <c r="I1700" s="8"/>
      <c r="J1700" s="8"/>
    </row>
    <row r="1701" ht="21.0" customHeight="1">
      <c r="A1701" s="6">
        <v>1.0</v>
      </c>
      <c r="B1701" s="6">
        <v>146.0</v>
      </c>
      <c r="C1701" s="6">
        <v>11.0</v>
      </c>
      <c r="D1701" s="9" t="s">
        <v>2201</v>
      </c>
      <c r="E1701" s="9" t="s">
        <v>2202</v>
      </c>
      <c r="F1701" s="8" t="str">
        <f>IFERROR(__xludf.DUMMYFUNCTION("GOOGLETRANSLATE(D1701,""zh-CN"",""vi"")"),"Một số ít dụng cụ nấu ăn")</f>
        <v>Một số ít dụng cụ nấu ăn</v>
      </c>
      <c r="G1701" s="8" t="str">
        <f>IFERROR(__xludf.DUMMYFUNCTION("GOOGLETRANSLATE(E1701,""zh-CN"",""vi"")"),"Việc thêm tấm chắn gió sẽ ngăn lửa bị thổi tắt. Chế tạo vật phẩm này sẽ thu được một lượng lớn dụng cụ nấu ăn.")</f>
        <v>Việc thêm tấm chắn gió sẽ ngăn lửa bị thổi tắt. Chế tạo vật phẩm này sẽ thu được một lượng lớn dụng cụ nấu ăn.</v>
      </c>
      <c r="H1701" s="8"/>
      <c r="I1701" s="8"/>
      <c r="J1701" s="8"/>
    </row>
    <row r="1702" ht="21.0" customHeight="1">
      <c r="A1702" s="6">
        <v>1.0</v>
      </c>
      <c r="B1702" s="6">
        <v>146.0</v>
      </c>
      <c r="C1702" s="6">
        <v>12.0</v>
      </c>
      <c r="D1702" s="9" t="s">
        <v>2203</v>
      </c>
      <c r="E1702" s="9" t="s">
        <v>2204</v>
      </c>
      <c r="F1702" s="8" t="str">
        <f>IFERROR(__xludf.DUMMYFUNCTION("GOOGLETRANSLATE(D1702,""zh-CN"",""vi"")"),"số lượng lớn dụng cụ nấu ăn")</f>
        <v>số lượng lớn dụng cụ nấu ăn</v>
      </c>
      <c r="G1702" s="8" t="str">
        <f>IFERROR(__xludf.DUMMYFUNCTION("GOOGLETRANSLATE(E1702,""zh-CN"",""vi"")"),"Bạn có thể xào và đun nước cùng lúc. Kết hợp cả hai sẽ tạo thành một bộ dụng cụ nấu ăn hoàn chỉnh.")</f>
        <v>Bạn có thể xào và đun nước cùng lúc. Kết hợp cả hai sẽ tạo thành một bộ dụng cụ nấu ăn hoàn chỉnh.</v>
      </c>
      <c r="H1702" s="8"/>
      <c r="I1702" s="8"/>
      <c r="J1702" s="8"/>
    </row>
    <row r="1703" ht="21.0" customHeight="1">
      <c r="A1703" s="6">
        <v>1.0</v>
      </c>
      <c r="B1703" s="6">
        <v>146.0</v>
      </c>
      <c r="C1703" s="6">
        <v>13.0</v>
      </c>
      <c r="D1703" s="9" t="s">
        <v>2205</v>
      </c>
      <c r="E1703" s="9" t="s">
        <v>2206</v>
      </c>
      <c r="F1703" s="8" t="str">
        <f>IFERROR(__xludf.DUMMYFUNCTION("GOOGLETRANSLATE(D1703,""zh-CN"",""vi"")"),"Bộ dụng cụ nấu ăn đầy đủ")</f>
        <v>Bộ dụng cụ nấu ăn đầy đủ</v>
      </c>
      <c r="G1703" s="8" t="str">
        <f>IFERROR(__xludf.DUMMYFUNCTION("GOOGLETRANSLATE(E1703,""zh-CN"",""vi"")"),"Mọi thứ đã sẵn sàng, đến giờ ăn rồi! Chúng tôi đã được nâng cấp lên hạng cao nhất.")</f>
        <v>Mọi thứ đã sẵn sàng, đến giờ ăn rồi! Chúng tôi đã được nâng cấp lên hạng cao nhất.</v>
      </c>
      <c r="H1703" s="8"/>
      <c r="I1703" s="8"/>
      <c r="J1703" s="8"/>
    </row>
    <row r="1704" ht="21.0" customHeight="1">
      <c r="A1704" s="6">
        <v>11.0</v>
      </c>
      <c r="B1704" s="6">
        <v>1020.0</v>
      </c>
      <c r="C1704" s="6">
        <v>1.0</v>
      </c>
      <c r="D1704" s="9" t="s">
        <v>2207</v>
      </c>
      <c r="E1704" s="9" t="s">
        <v>2208</v>
      </c>
      <c r="F1704" s="8" t="str">
        <f>IFERROR(__xludf.DUMMYFUNCTION("GOOGLETRANSLATE(D1704,""zh-CN"",""vi"")"),"thanh đỡ")</f>
        <v>thanh đỡ</v>
      </c>
      <c r="G1704" s="8" t="str">
        <f>IFERROR(__xludf.DUMMYFUNCTION("GOOGLETRANSLATE(E1704,""zh-CN"",""vi"")"),"Hãy đưa cho tôi một cái cột, và tôi có thể dựng bất kỳ loại lều nào. Dây chun có thể tự chế tạo được.")</f>
        <v>Hãy đưa cho tôi một cái cột, và tôi có thể dựng bất kỳ loại lều nào. Dây chun có thể tự chế tạo được.</v>
      </c>
      <c r="H1704" s="8"/>
      <c r="I1704" s="8"/>
      <c r="J1704" s="8"/>
    </row>
    <row r="1705" ht="21.0" customHeight="1">
      <c r="A1705" s="6">
        <v>11.0</v>
      </c>
      <c r="B1705" s="6">
        <v>1020.0</v>
      </c>
      <c r="C1705" s="6">
        <v>2.0</v>
      </c>
      <c r="D1705" s="9" t="s">
        <v>2209</v>
      </c>
      <c r="E1705" s="9" t="s">
        <v>2210</v>
      </c>
      <c r="F1705" s="8" t="str">
        <f>IFERROR(__xludf.DUMMYFUNCTION("GOOGLETRANSLATE(D1705,""zh-CN"",""vi"")"),"Dây thun")</f>
        <v>Dây thun</v>
      </c>
      <c r="G1705" s="8" t="str">
        <f>IFERROR(__xludf.DUMMYFUNCTION("GOOGLETRANSLATE(E1705,""zh-CN"",""vi"")"),"Một nút thắt chắc chắn sẽ giữ cho lều không bị sụp đổ. Vải lều có thể được làm từ chất liệu này.")</f>
        <v>Một nút thắt chắc chắn sẽ giữ cho lều không bị sụp đổ. Vải lều có thể được làm từ chất liệu này.</v>
      </c>
      <c r="H1705" s="8"/>
      <c r="I1705" s="8"/>
      <c r="J1705" s="8"/>
    </row>
    <row r="1706" ht="21.0" customHeight="1">
      <c r="A1706" s="6">
        <v>11.0</v>
      </c>
      <c r="B1706" s="6">
        <v>1020.0</v>
      </c>
      <c r="C1706" s="6">
        <v>3.0</v>
      </c>
      <c r="D1706" s="9" t="s">
        <v>2211</v>
      </c>
      <c r="E1706" s="9" t="s">
        <v>2212</v>
      </c>
      <c r="F1706" s="8" t="str">
        <f>IFERROR(__xludf.DUMMYFUNCTION("GOOGLETRANSLATE(D1706,""zh-CN"",""vi"")"),"Vải lều")</f>
        <v>Vải lều</v>
      </c>
      <c r="G1706" s="8" t="str">
        <f>IFERROR(__xludf.DUMMYFUNCTION("GOOGLETRANSLATE(E1706,""zh-CN"",""vi"")"),"Dày hơn áo mưa, bền hơn ô dù. Được chế tạo từ các mảnh ghép lại với nhau, chúng có thể được dùng để tạo thành một chiếc lều xếp gọn.")</f>
        <v>Dày hơn áo mưa, bền hơn ô dù. Được chế tạo từ các mảnh ghép lại với nhau, chúng có thể được dùng để tạo thành một chiếc lều xếp gọn.</v>
      </c>
      <c r="H1706" s="8"/>
      <c r="I1706" s="8"/>
      <c r="J1706" s="8"/>
    </row>
    <row r="1707" ht="21.0" customHeight="1">
      <c r="A1707" s="6">
        <v>11.0</v>
      </c>
      <c r="B1707" s="6">
        <v>1020.0</v>
      </c>
      <c r="C1707" s="6">
        <v>4.0</v>
      </c>
      <c r="D1707" s="9" t="s">
        <v>2213</v>
      </c>
      <c r="E1707" s="9" t="s">
        <v>2214</v>
      </c>
      <c r="F1707" s="8" t="str">
        <f>IFERROR(__xludf.DUMMYFUNCTION("GOOGLETRANSLATE(D1707,""zh-CN"",""vi"")"),"Thu dọn lều")</f>
        <v>Thu dọn lều</v>
      </c>
      <c r="G1707" s="8" t="str">
        <f>IFERROR(__xludf.DUMMYFUNCTION("GOOGLETRANSLATE(E1707,""zh-CN"",""vi"")"),"Khi gấp lại, nó trông giống như một chiếc ô khổng lồ. Có thể dùng nó để làm lều cho trẻ em.")</f>
        <v>Khi gấp lại, nó trông giống như một chiếc ô khổng lồ. Có thể dùng nó để làm lều cho trẻ em.</v>
      </c>
      <c r="H1707" s="8"/>
      <c r="I1707" s="8"/>
      <c r="J1707" s="8"/>
    </row>
    <row r="1708" ht="21.0" customHeight="1">
      <c r="A1708" s="6">
        <v>10.0</v>
      </c>
      <c r="B1708" s="6">
        <v>1020.0</v>
      </c>
      <c r="C1708" s="6">
        <v>5.0</v>
      </c>
      <c r="D1708" s="9" t="s">
        <v>2215</v>
      </c>
      <c r="E1708" s="9" t="s">
        <v>2216</v>
      </c>
      <c r="F1708" s="8" t="str">
        <f>IFERROR(__xludf.DUMMYFUNCTION("GOOGLETRANSLATE(D1708,""zh-CN"",""vi"")"),"Lều trẻ em")</f>
        <v>Lều trẻ em</v>
      </c>
      <c r="G1708" s="8" t="str">
        <f>IFERROR(__xludf.DUMMYFUNCTION("GOOGLETRANSLATE(E1708,""zh-CN"",""vi"")"),"Ngay cả trẻ em cũng có thể dựng lều ở nhà. Có thể tự chế tạo thành lều hình chóp.")</f>
        <v>Ngay cả trẻ em cũng có thể dựng lều ở nhà. Có thể tự chế tạo thành lều hình chóp.</v>
      </c>
      <c r="H1708" s="8"/>
      <c r="I1708" s="8"/>
      <c r="J1708" s="8"/>
    </row>
    <row r="1709" ht="21.0" customHeight="1">
      <c r="A1709" s="6">
        <v>10.0</v>
      </c>
      <c r="B1709" s="6">
        <v>1020.0</v>
      </c>
      <c r="C1709" s="6">
        <v>6.0</v>
      </c>
      <c r="D1709" s="9" t="s">
        <v>2217</v>
      </c>
      <c r="E1709" s="9" t="s">
        <v>2218</v>
      </c>
      <c r="F1709" s="8" t="str">
        <f>IFERROR(__xludf.DUMMYFUNCTION("GOOGLETRANSLATE(D1709,""zh-CN"",""vi"")"),"Lều hình kim tự tháp")</f>
        <v>Lều hình kim tự tháp</v>
      </c>
      <c r="G1709" s="8" t="str">
        <f>IFERROR(__xludf.DUMMYFUNCTION("GOOGLETRANSLATE(E1709,""zh-CN"",""vi"")"),"Hãy vén rèm lên và hít thở không khí trong lành ngoài trời. Bạn có thể dựng một chiếc lều hình nón từ những vật dụng này.")</f>
        <v>Hãy vén rèm lên và hít thở không khí trong lành ngoài trời. Bạn có thể dựng một chiếc lều hình nón từ những vật dụng này.</v>
      </c>
      <c r="H1709" s="8"/>
      <c r="I1709" s="8"/>
      <c r="J1709" s="8"/>
    </row>
    <row r="1710" ht="21.0" customHeight="1">
      <c r="A1710" s="6">
        <v>10.0</v>
      </c>
      <c r="B1710" s="6">
        <v>1020.0</v>
      </c>
      <c r="C1710" s="6">
        <v>7.0</v>
      </c>
      <c r="D1710" s="9" t="s">
        <v>2219</v>
      </c>
      <c r="E1710" s="9" t="s">
        <v>2220</v>
      </c>
      <c r="F1710" s="8" t="str">
        <f>IFERROR(__xludf.DUMMYFUNCTION("GOOGLETRANSLATE(D1710,""zh-CN"",""vi"")"),"lều mũ rơm")</f>
        <v>lều mũ rơm</v>
      </c>
      <c r="G1710" s="8" t="str">
        <f>IFERROR(__xludf.DUMMYFUNCTION("GOOGLETRANSLATE(E1710,""zh-CN"",""vi"")"),"Có hình dạng như một chiếc mũ rơm, nó che giấu rất nhiều đứa trẻ nghịch ngợm. Khi chế tạo, bạn sẽ có một chiếc lều hình cầu.")</f>
        <v>Có hình dạng như một chiếc mũ rơm, nó che giấu rất nhiều đứa trẻ nghịch ngợm. Khi chế tạo, bạn sẽ có một chiếc lều hình cầu.</v>
      </c>
      <c r="H1710" s="8"/>
      <c r="I1710" s="8"/>
      <c r="J1710" s="8"/>
    </row>
    <row r="1711" ht="21.0" customHeight="1">
      <c r="A1711" s="6">
        <v>10.0</v>
      </c>
      <c r="B1711" s="6">
        <v>1020.0</v>
      </c>
      <c r="C1711" s="6">
        <v>8.0</v>
      </c>
      <c r="D1711" s="9" t="s">
        <v>2221</v>
      </c>
      <c r="E1711" s="9" t="s">
        <v>2222</v>
      </c>
      <c r="F1711" s="8" t="str">
        <f>IFERROR(__xludf.DUMMYFUNCTION("GOOGLETRANSLATE(D1711,""zh-CN"",""vi"")"),"Lều hình cầu")</f>
        <v>Lều hình cầu</v>
      </c>
      <c r="G1711" s="8" t="str">
        <f>IFERROR(__xludf.DUMMYFUNCTION("GOOGLETRANSLATE(E1711,""zh-CN"",""vi"")"),"Lá cờ nhỏ màu đỏ trên nóc xe phấp phới trong gió. Có thể chế tạo nó để tạo thành một chiếc lều trên nóc xe.")</f>
        <v>Lá cờ nhỏ màu đỏ trên nóc xe phấp phới trong gió. Có thể chế tạo nó để tạo thành một chiếc lều trên nóc xe.</v>
      </c>
      <c r="H1711" s="8"/>
      <c r="I1711" s="8"/>
      <c r="J1711" s="8"/>
    </row>
    <row r="1712" ht="21.0" customHeight="1">
      <c r="A1712" s="6">
        <v>10.0</v>
      </c>
      <c r="B1712" s="6">
        <v>1020.0</v>
      </c>
      <c r="C1712" s="6">
        <v>9.0</v>
      </c>
      <c r="D1712" s="9" t="s">
        <v>2223</v>
      </c>
      <c r="E1712" s="9" t="s">
        <v>2224</v>
      </c>
      <c r="F1712" s="8" t="str">
        <f>IFERROR(__xludf.DUMMYFUNCTION("GOOGLETRANSLATE(D1712,""zh-CN"",""vi"")"),"Lều trên nóc xe")</f>
        <v>Lều trên nóc xe</v>
      </c>
      <c r="G1712" s="8" t="str">
        <f>IFERROR(__xludf.DUMMYFUNCTION("GOOGLETRANSLATE(E1712,""zh-CN"",""vi"")"),"Bạn có thể tìm thấy cảm giác như ở nhà ngay cả giữa thiên nhiên hoang dã. Tự tay dựng một chiếc lều sang trọng sẽ giúp bạn tiếp cận được không gian đó.")</f>
        <v>Bạn có thể tìm thấy cảm giác như ở nhà ngay cả giữa thiên nhiên hoang dã. Tự tay dựng một chiếc lều sang trọng sẽ giúp bạn tiếp cận được không gian đó.</v>
      </c>
      <c r="H1712" s="8"/>
      <c r="I1712" s="8"/>
      <c r="J1712" s="8"/>
    </row>
    <row r="1713" ht="21.0" customHeight="1">
      <c r="A1713" s="6">
        <v>10.0</v>
      </c>
      <c r="B1713" s="6">
        <v>1020.0</v>
      </c>
      <c r="C1713" s="6">
        <v>10.0</v>
      </c>
      <c r="D1713" s="9" t="s">
        <v>2225</v>
      </c>
      <c r="E1713" s="9" t="s">
        <v>2226</v>
      </c>
      <c r="F1713" s="8" t="str">
        <f>IFERROR(__xludf.DUMMYFUNCTION("GOOGLETRANSLATE(D1713,""zh-CN"",""vi"")"),"Lều sang trọng")</f>
        <v>Lều sang trọng</v>
      </c>
      <c r="G1713" s="8" t="str">
        <f>IFERROR(__xludf.DUMMYFUNCTION("GOOGLETRANSLATE(E1713,""zh-CN"",""vi"")"),"Tại khu cắm trại ngoài trời, bạn sẽ là người ngầu nhất khu phố! (Đã được nâng cấp lên cấp độ cao nhất.)")</f>
        <v>Tại khu cắm trại ngoài trời, bạn sẽ là người ngầu nhất khu phố! (Đã được nâng cấp lên cấp độ cao nhất.)</v>
      </c>
      <c r="H1713" s="8"/>
      <c r="I1713" s="8"/>
      <c r="J1713" s="8"/>
    </row>
    <row r="1714" ht="21.0" customHeight="1">
      <c r="A1714" s="6">
        <v>1.0</v>
      </c>
      <c r="B1714" s="6">
        <v>147.0</v>
      </c>
      <c r="C1714" s="6">
        <v>1.0</v>
      </c>
      <c r="D1714" s="9" t="s">
        <v>2227</v>
      </c>
      <c r="E1714" s="9" t="s">
        <v>2228</v>
      </c>
      <c r="F1714" s="8" t="str">
        <f>IFERROR(__xludf.DUMMYFUNCTION("GOOGLETRANSLATE(D1714,""zh-CN"",""vi"")"),"que gặm nướt")</f>
        <v>que gặm nướt</v>
      </c>
      <c r="G1714" s="8" t="str">
        <f>IFERROR(__xludf.DUMMYFUNCTION("GOOGLETRANSLATE(E1714,""zh-CN"",""vi"")"),"Thú cưng của bạn cần có hàm răng khỏe mạnh. Hãy tự làm cho chúng một quả bóng đồ chơi nhé.")</f>
        <v>Thú cưng của bạn cần có hàm răng khỏe mạnh. Hãy tự làm cho chúng một quả bóng đồ chơi nhé.</v>
      </c>
      <c r="H1714" s="8"/>
      <c r="I1714" s="8"/>
      <c r="J1714" s="8"/>
    </row>
    <row r="1715" ht="21.0" customHeight="1">
      <c r="A1715" s="6">
        <v>1.0</v>
      </c>
      <c r="B1715" s="6">
        <v>147.0</v>
      </c>
      <c r="C1715" s="6">
        <v>2.0</v>
      </c>
      <c r="D1715" s="9" t="s">
        <v>2229</v>
      </c>
      <c r="E1715" s="9" t="s">
        <v>2230</v>
      </c>
      <c r="F1715" s="8" t="str">
        <f>IFERROR(__xludf.DUMMYFUNCTION("GOOGLETRANSLATE(D1715,""zh-CN"",""vi"")"),"quả bóng đồ chơi")</f>
        <v>quả bóng đồ chơi</v>
      </c>
      <c r="G1715" s="8" t="str">
        <f>IFERROR(__xludf.DUMMYFUNCTION("GOOGLETRANSLATE(E1715,""zh-CN"",""vi"")"),"Món đồ chơi yêu thích của chú cún con tinh nghịch. Kết hợp chúng lại để tạo thành một chiếc đĩa ném cho thú cưng.")</f>
        <v>Món đồ chơi yêu thích của chú cún con tinh nghịch. Kết hợp chúng lại để tạo thành một chiếc đĩa ném cho thú cưng.</v>
      </c>
      <c r="H1715" s="8"/>
      <c r="I1715" s="8"/>
      <c r="J1715" s="8"/>
    </row>
    <row r="1716" ht="21.0" customHeight="1">
      <c r="A1716" s="6">
        <v>1.0</v>
      </c>
      <c r="B1716" s="6">
        <v>147.0</v>
      </c>
      <c r="C1716" s="6">
        <v>3.0</v>
      </c>
      <c r="D1716" s="9" t="s">
        <v>2231</v>
      </c>
      <c r="E1716" s="9" t="s">
        <v>2232</v>
      </c>
      <c r="F1716" s="8" t="str">
        <f>IFERROR(__xludf.DUMMYFUNCTION("GOOGLETRANSLATE(D1716,""zh-CN"",""vi"")"),"Đĩa bay cho thú cưng")</f>
        <v>Đĩa bay cho thú cưng</v>
      </c>
      <c r="G1716" s="8" t="str">
        <f>IFERROR(__xludf.DUMMYFUNCTION("GOOGLETRANSLATE(E1716,""zh-CN"",""vi"")"),"Sau khi chơi ném đĩa với chủ, bạn không được phép phá hoại nhà cửa! Bạn có thể tạo ra một chú chó Corgi.")</f>
        <v>Sau khi chơi ném đĩa với chủ, bạn không được phép phá hoại nhà cửa! Bạn có thể tạo ra một chú chó Corgi.</v>
      </c>
      <c r="H1716" s="8"/>
      <c r="I1716" s="8"/>
      <c r="J1716" s="8"/>
    </row>
    <row r="1717" ht="21.0" customHeight="1">
      <c r="A1717" s="6">
        <v>1.0</v>
      </c>
      <c r="B1717" s="6">
        <v>147.0</v>
      </c>
      <c r="C1717" s="6">
        <v>4.0</v>
      </c>
      <c r="D1717" s="9" t="s">
        <v>2233</v>
      </c>
      <c r="E1717" s="9" t="s">
        <v>2234</v>
      </c>
      <c r="F1717" s="8" t="str">
        <f>IFERROR(__xludf.DUMMYFUNCTION("GOOGLETRANSLATE(D1717,""zh-CN"",""vi"")"),"Corgi")</f>
        <v>Corgi</v>
      </c>
      <c r="G1717" s="8" t="str">
        <f>IFERROR(__xludf.DUMMYFUNCTION("GOOGLETRANSLATE(E1717,""zh-CN"",""vi"")"),"Thân hình tròn trịa, chân ngắn, thích được vuốt ve và khá bướng bỉnh. Có thể lai tạo để có được một chú Chihuahua.")</f>
        <v>Thân hình tròn trịa, chân ngắn, thích được vuốt ve và khá bướng bỉnh. Có thể lai tạo để có được một chú Chihuahua.</v>
      </c>
      <c r="H1717" s="8"/>
      <c r="I1717" s="8"/>
      <c r="J1717" s="8"/>
    </row>
    <row r="1718" ht="21.0" customHeight="1">
      <c r="A1718" s="6">
        <v>1.0</v>
      </c>
      <c r="B1718" s="6">
        <v>147.0</v>
      </c>
      <c r="C1718" s="6">
        <v>5.0</v>
      </c>
      <c r="D1718" s="9" t="s">
        <v>2235</v>
      </c>
      <c r="E1718" s="9" t="s">
        <v>2236</v>
      </c>
      <c r="F1718" s="8" t="str">
        <f>IFERROR(__xludf.DUMMYFUNCTION("GOOGLETRANSLATE(D1718,""zh-CN"",""vi"")"),"Chihuahua")</f>
        <v>Chihuahua</v>
      </c>
      <c r="G1718" s="8" t="str">
        <f>IFERROR(__xludf.DUMMYFUNCTION("GOOGLETRANSLATE(E1718,""zh-CN"",""vi"")"),"Chúng trông nhỏ bé nhưng lại có khẩu phần ăn rất lớn. Bạn có thể lai tạo chúng để tạo ra giống chó Shih Tzu.")</f>
        <v>Chúng trông nhỏ bé nhưng lại có khẩu phần ăn rất lớn. Bạn có thể lai tạo chúng để tạo ra giống chó Shih Tzu.</v>
      </c>
      <c r="H1718" s="8"/>
      <c r="I1718" s="8"/>
      <c r="J1718" s="8"/>
    </row>
    <row r="1719" ht="21.0" customHeight="1">
      <c r="A1719" s="6">
        <v>1.0</v>
      </c>
      <c r="B1719" s="6">
        <v>147.0</v>
      </c>
      <c r="C1719" s="6">
        <v>6.0</v>
      </c>
      <c r="D1719" s="9" t="s">
        <v>2237</v>
      </c>
      <c r="E1719" s="9" t="s">
        <v>2238</v>
      </c>
      <c r="F1719" s="8" t="str">
        <f>IFERROR(__xludf.DUMMYFUNCTION("GOOGLETRANSLATE(D1719,""zh-CN"",""vi"")"),"Chó Shih Tzu")</f>
        <v>Chó Shih Tzu</v>
      </c>
      <c r="G1719" s="8" t="str">
        <f>IFERROR(__xludf.DUMMYFUNCTION("GOOGLETRANSLATE(E1719,""zh-CN"",""vi"")"),"Một chú cún con thanh lịch với bộ lông dày. Kết hợp các đặc điểm này, bạn có thể có được một chú chó Shiba Inu ngoan ngoãn.")</f>
        <v>Một chú cún con thanh lịch với bộ lông dày. Kết hợp các đặc điểm này, bạn có thể có được một chú chó Shiba Inu ngoan ngoãn.</v>
      </c>
      <c r="H1719" s="8"/>
      <c r="I1719" s="8"/>
      <c r="J1719" s="8"/>
    </row>
    <row r="1720" ht="21.0" customHeight="1">
      <c r="A1720" s="6">
        <v>1.0</v>
      </c>
      <c r="B1720" s="6">
        <v>147.0</v>
      </c>
      <c r="C1720" s="6">
        <v>7.0</v>
      </c>
      <c r="D1720" s="9" t="s">
        <v>2239</v>
      </c>
      <c r="E1720" s="9" t="s">
        <v>2240</v>
      </c>
      <c r="F1720" s="8" t="str">
        <f>IFERROR(__xludf.DUMMYFUNCTION("GOOGLETRANSLATE(D1720,""zh-CN"",""vi"")"),"Chó Shiba Inu ngoan ngoãn")</f>
        <v>Chó Shiba Inu ngoan ngoãn</v>
      </c>
      <c r="G1720" s="8" t="str">
        <f>IFERROR(__xludf.DUMMYFUNCTION("GOOGLETRANSLATE(E1720,""zh-CN"",""vi"")"),"Trong thế giới biểu tượng cảm xúc, không chú chó nào có thể sánh được với nó. Bạn có thể tạo ra một chú chó Beagle bằng phương pháp tổng hợp.")</f>
        <v>Trong thế giới biểu tượng cảm xúc, không chú chó nào có thể sánh được với nó. Bạn có thể tạo ra một chú chó Beagle bằng phương pháp tổng hợp.</v>
      </c>
      <c r="H1720" s="8"/>
      <c r="I1720" s="8"/>
      <c r="J1720" s="8"/>
    </row>
    <row r="1721" ht="21.0" customHeight="1">
      <c r="A1721" s="6">
        <v>1.0</v>
      </c>
      <c r="B1721" s="6">
        <v>147.0</v>
      </c>
      <c r="C1721" s="6">
        <v>8.0</v>
      </c>
      <c r="D1721" s="9" t="s">
        <v>2241</v>
      </c>
      <c r="E1721" s="9" t="s">
        <v>2242</v>
      </c>
      <c r="F1721" s="8" t="str">
        <f>IFERROR(__xludf.DUMMYFUNCTION("GOOGLETRANSLATE(D1721,""zh-CN"",""vi"")"),"Chó săn Beagle")</f>
        <v>Chó săn Beagle</v>
      </c>
      <c r="G1721" s="8" t="str">
        <f>IFERROR(__xludf.DUMMYFUNCTION("GOOGLETRANSLATE(E1721,""zh-CN"",""vi"")"),"Không ai có thể cưỡng lại được vẻ đáng yêu của khuôn mặt bầu béo và đôi tai to cụp xuống. Kết hợp chúng lại sẽ tạo ra một chú chó Shiba Inu trông có vẻ lười biếng.")</f>
        <v>Không ai có thể cưỡng lại được vẻ đáng yêu của khuôn mặt bầu béo và đôi tai to cụp xuống. Kết hợp chúng lại sẽ tạo ra một chú chó Shiba Inu trông có vẻ lười biếng.</v>
      </c>
      <c r="H1721" s="8"/>
      <c r="I1721" s="8"/>
      <c r="J1721" s="8"/>
    </row>
    <row r="1722" ht="21.0" customHeight="1">
      <c r="A1722" s="6">
        <v>1.0</v>
      </c>
      <c r="B1722" s="6">
        <v>147.0</v>
      </c>
      <c r="C1722" s="6">
        <v>9.0</v>
      </c>
      <c r="D1722" s="9" t="s">
        <v>2243</v>
      </c>
      <c r="E1722" s="9" t="s">
        <v>2244</v>
      </c>
      <c r="F1722" s="8" t="str">
        <f>IFERROR(__xludf.DUMMYFUNCTION("GOOGLETRANSLATE(D1722,""zh-CN"",""vi"")"),"Chó Shiba Inu lười biếng")</f>
        <v>Chó Shiba Inu lười biếng</v>
      </c>
      <c r="G1722" s="8" t="str">
        <f>IFERROR(__xludf.DUMMYFUNCTION("GOOGLETRANSLATE(E1722,""zh-CN"",""vi"")"),"Giãn cơ và thư giãn để giảm mệt mỏi. Bạn có thể tạo ra một chú Husky.")</f>
        <v>Giãn cơ và thư giãn để giảm mệt mỏi. Bạn có thể tạo ra một chú Husky.</v>
      </c>
      <c r="H1722" s="8"/>
      <c r="I1722" s="8"/>
      <c r="J1722" s="8"/>
    </row>
    <row r="1723" ht="21.0" customHeight="1">
      <c r="A1723" s="6">
        <v>1.0</v>
      </c>
      <c r="B1723" s="6">
        <v>147.0</v>
      </c>
      <c r="C1723" s="6">
        <v>10.0</v>
      </c>
      <c r="D1723" s="9" t="s">
        <v>2245</v>
      </c>
      <c r="E1723" s="9" t="s">
        <v>2246</v>
      </c>
      <c r="F1723" s="8" t="str">
        <f>IFERROR(__xludf.DUMMYFUNCTION("GOOGLETRANSLATE(D1723,""zh-CN"",""vi"")"),"Husky")</f>
        <v>Husky</v>
      </c>
      <c r="G1723" s="8" t="str">
        <f>IFERROR(__xludf.DUMMYFUNCTION("GOOGLETRANSLATE(E1723,""zh-CN"",""vi"")"),"Một giống chó có ngoại hình đẹp nhưng lại thiếu thông minh; vua phá phách trong thế giới loài chó. Kết hợp cả hai yếu tố đó để có được một chú chó Golden Retriever.")</f>
        <v>Một giống chó có ngoại hình đẹp nhưng lại thiếu thông minh; vua phá phách trong thế giới loài chó. Kết hợp cả hai yếu tố đó để có được một chú chó Golden Retriever.</v>
      </c>
      <c r="H1723" s="8"/>
      <c r="I1723" s="8"/>
      <c r="J1723" s="8"/>
    </row>
    <row r="1724" ht="21.0" customHeight="1">
      <c r="A1724" s="6">
        <v>1.0</v>
      </c>
      <c r="B1724" s="6">
        <v>147.0</v>
      </c>
      <c r="C1724" s="6">
        <v>11.0</v>
      </c>
      <c r="D1724" s="9" t="s">
        <v>2247</v>
      </c>
      <c r="E1724" s="9" t="s">
        <v>2248</v>
      </c>
      <c r="F1724" s="8" t="str">
        <f>IFERROR(__xludf.DUMMYFUNCTION("GOOGLETRANSLATE(D1724,""zh-CN"",""vi"")"),"Chó săn vàng")</f>
        <v>Chó săn vàng</v>
      </c>
      <c r="G1724" s="8" t="str">
        <f>IFERROR(__xludf.DUMMYFUNCTION("GOOGLETRANSLATE(E1724,""zh-CN"",""vi"")"),"Đây là giống chó hiền lành và ngoan ngoãn mà trẻ em yêu thích nhất. Bạn có thể lai tạo giống chó này để có được chó Samoyed.")</f>
        <v>Đây là giống chó hiền lành và ngoan ngoãn mà trẻ em yêu thích nhất. Bạn có thể lai tạo giống chó này để có được chó Samoyed.</v>
      </c>
      <c r="H1724" s="8"/>
      <c r="I1724" s="8"/>
      <c r="J1724" s="8"/>
    </row>
    <row r="1725" ht="21.0" customHeight="1">
      <c r="A1725" s="6">
        <v>1.0</v>
      </c>
      <c r="B1725" s="6">
        <v>147.0</v>
      </c>
      <c r="C1725" s="6">
        <v>12.0</v>
      </c>
      <c r="D1725" s="9" t="s">
        <v>2249</v>
      </c>
      <c r="E1725" s="9" t="s">
        <v>2250</v>
      </c>
      <c r="F1725" s="8" t="str">
        <f>IFERROR(__xludf.DUMMYFUNCTION("GOOGLETRANSLATE(D1725,""zh-CN"",""vi"")"),"Samoyed")</f>
        <v>Samoyed</v>
      </c>
      <c r="G1725" s="8" t="str">
        <f>IFERROR(__xludf.DUMMYFUNCTION("GOOGLETRANSLATE(E1725,""zh-CN"",""vi"")"),"Giống chó Samoyed, với vẻ ngoài hiền lành và dễ thương như thiên thần, là loài chó ngọt ngào và ngây thơ nhất trong thế giới loài chó. Kết hợp hai giống chó này sẽ tạo ra chó Alaskan Malamute.")</f>
        <v>Giống chó Samoyed, với vẻ ngoài hiền lành và dễ thương như thiên thần, là loài chó ngọt ngào và ngây thơ nhất trong thế giới loài chó. Kết hợp hai giống chó này sẽ tạo ra chó Alaskan Malamute.</v>
      </c>
      <c r="H1725" s="8"/>
      <c r="I1725" s="8"/>
      <c r="J1725" s="8"/>
    </row>
    <row r="1726" ht="21.0" customHeight="1">
      <c r="A1726" s="6">
        <v>1.0</v>
      </c>
      <c r="B1726" s="6">
        <v>147.0</v>
      </c>
      <c r="C1726" s="6">
        <v>13.0</v>
      </c>
      <c r="D1726" s="9" t="s">
        <v>2251</v>
      </c>
      <c r="E1726" s="9" t="s">
        <v>2252</v>
      </c>
      <c r="F1726" s="8" t="str">
        <f>IFERROR(__xludf.DUMMYFUNCTION("GOOGLETRANSLATE(D1726,""zh-CN"",""vi"")"),"Alaska")</f>
        <v>Alaska</v>
      </c>
      <c r="G1726" s="8" t="str">
        <f>IFERROR(__xludf.DUMMYFUNCTION("GOOGLETRANSLATE(E1726,""zh-CN"",""vi"")"),"Chưa bao giờ thua trong một cuộc tranh luận, chưa bao giờ thắng trong một cuộc ẩu đả. (Cấp độ 100)")</f>
        <v>Chưa bao giờ thua trong một cuộc tranh luận, chưa bao giờ thắng trong một cuộc ẩu đả. (Cấp độ 100)</v>
      </c>
      <c r="H1726" s="8"/>
      <c r="I1726" s="8"/>
      <c r="J1726" s="8"/>
    </row>
    <row r="1727" ht="21.0" customHeight="1">
      <c r="A1727" s="6">
        <v>1.0</v>
      </c>
      <c r="B1727" s="6">
        <v>148.0</v>
      </c>
      <c r="C1727" s="6">
        <v>1.0</v>
      </c>
      <c r="D1727" s="9" t="s">
        <v>2253</v>
      </c>
      <c r="E1727" s="9" t="s">
        <v>2254</v>
      </c>
      <c r="F1727" s="8" t="str">
        <f>IFERROR(__xludf.DUMMYFUNCTION("GOOGLETRANSLATE(D1727,""zh-CN"",""vi"")"),"Cá khô")</f>
        <v>Cá khô</v>
      </c>
      <c r="G1727" s="8" t="str">
        <f>IFERROR(__xludf.DUMMYFUNCTION("GOOGLETRANSLATE(E1727,""zh-CN"",""vi"")"),"Đây là món ăn khoái khẩu nhất của mèo, không gì sánh bằng. Kết hợp các nguyên liệu này lại sẽ tạo thành một món đồ chơi cho mèo.")</f>
        <v>Đây là món ăn khoái khẩu nhất của mèo, không gì sánh bằng. Kết hợp các nguyên liệu này lại sẽ tạo thành một món đồ chơi cho mèo.</v>
      </c>
      <c r="H1727" s="8"/>
      <c r="I1727" s="8"/>
      <c r="J1727" s="8"/>
    </row>
    <row r="1728" ht="21.0" customHeight="1">
      <c r="A1728" s="6">
        <v>1.0</v>
      </c>
      <c r="B1728" s="6">
        <v>148.0</v>
      </c>
      <c r="C1728" s="6">
        <v>2.0</v>
      </c>
      <c r="D1728" s="9" t="s">
        <v>2255</v>
      </c>
      <c r="E1728" s="9" t="s">
        <v>2256</v>
      </c>
      <c r="F1728" s="8" t="str">
        <f>IFERROR(__xludf.DUMMYFUNCTION("GOOGLETRANSLATE(D1728,""zh-CN"",""vi"")"),"que mèo hài hước")</f>
        <v>que mèo hài hước</v>
      </c>
      <c r="G1728" s="8" t="str">
        <f>IFERROR(__xludf.DUMMYFUNCTION("GOOGLETRANSLATE(E1728,""zh-CN"",""vi"")"),"Không có vấn đề gì mà đồ chơi cho mèo không thể giải quyết được. Tự làm một món đồ chơi sẽ tạo ra một cái cây leo cho mèo.")</f>
        <v>Không có vấn đề gì mà đồ chơi cho mèo không thể giải quyết được. Tự làm một món đồ chơi sẽ tạo ra một cái cây leo cho mèo.</v>
      </c>
      <c r="H1728" s="8"/>
      <c r="I1728" s="8"/>
      <c r="J1728" s="8"/>
    </row>
    <row r="1729" ht="21.0" customHeight="1">
      <c r="A1729" s="6">
        <v>1.0</v>
      </c>
      <c r="B1729" s="6">
        <v>148.0</v>
      </c>
      <c r="C1729" s="6">
        <v>3.0</v>
      </c>
      <c r="D1729" s="9" t="s">
        <v>2257</v>
      </c>
      <c r="E1729" s="9" t="s">
        <v>2258</v>
      </c>
      <c r="F1729" s="8" t="str">
        <f>IFERROR(__xludf.DUMMYFUNCTION("GOOGLETRANSLATE(D1729,""zh-CN"",""vi"")"),"khung leo trèo cho mèo")</f>
        <v>khung leo trèo cho mèo</v>
      </c>
      <c r="G1729" s="8" t="str">
        <f>IFERROR(__xludf.DUMMYFUNCTION("GOOGLETRANSLATE(E1729,""zh-CN"",""vi"")"),"Leo lên leo xuống, giải phóng bản chất thật của bạn. Chế tạo chúng để có được một chú Mèo Túi Giấy.")</f>
        <v>Leo lên leo xuống, giải phóng bản chất thật của bạn. Chế tạo chúng để có được một chú Mèo Túi Giấy.</v>
      </c>
      <c r="H1729" s="8"/>
      <c r="I1729" s="8"/>
      <c r="J1729" s="8"/>
    </row>
    <row r="1730" ht="21.0" customHeight="1">
      <c r="A1730" s="6">
        <v>1.0</v>
      </c>
      <c r="B1730" s="6">
        <v>148.0</v>
      </c>
      <c r="C1730" s="6">
        <v>4.0</v>
      </c>
      <c r="D1730" s="9" t="s">
        <v>2259</v>
      </c>
      <c r="E1730" s="9" t="s">
        <v>2260</v>
      </c>
      <c r="F1730" s="8" t="str">
        <f>IFERROR(__xludf.DUMMYFUNCTION("GOOGLETRANSLATE(D1730,""zh-CN"",""vi"")"),"Mèo túi giấy")</f>
        <v>Mèo túi giấy</v>
      </c>
      <c r="G1730" s="8" t="str">
        <f>IFERROR(__xludf.DUMMYFUNCTION("GOOGLETRANSLATE(E1730,""zh-CN"",""vi"")"),"Chui vào trong túi giấy để xem bên trong có gì thú vị nhé. Ghép chúng lại để tạo thành một chú mèo trắng nhỏ.")</f>
        <v>Chui vào trong túi giấy để xem bên trong có gì thú vị nhé. Ghép chúng lại để tạo thành một chú mèo trắng nhỏ.</v>
      </c>
      <c r="H1730" s="8"/>
      <c r="I1730" s="8"/>
      <c r="J1730" s="8"/>
    </row>
    <row r="1731" ht="21.0" customHeight="1">
      <c r="A1731" s="6">
        <v>1.0</v>
      </c>
      <c r="B1731" s="6">
        <v>148.0</v>
      </c>
      <c r="C1731" s="6">
        <v>5.0</v>
      </c>
      <c r="D1731" s="9" t="s">
        <v>2261</v>
      </c>
      <c r="E1731" s="9" t="s">
        <v>2262</v>
      </c>
      <c r="F1731" s="8" t="str">
        <f>IFERROR(__xludf.DUMMYFUNCTION("GOOGLETRANSLATE(D1731,""zh-CN"",""vi"")"),"Mèo trắng")</f>
        <v>Mèo trắng</v>
      </c>
      <c r="G1731" s="8" t="str">
        <f>IFERROR(__xludf.DUMMYFUNCTION("GOOGLETRANSLATE(E1731,""zh-CN"",""vi"")"),"Màu trắng tinh khiết, với vẻ ngoài đáng yêu như ngọc bích. Khi kết hợp hai màu này, có thể tạo ra một chú mèo con màu nâu.")</f>
        <v>Màu trắng tinh khiết, với vẻ ngoài đáng yêu như ngọc bích. Khi kết hợp hai màu này, có thể tạo ra một chú mèo con màu nâu.</v>
      </c>
      <c r="H1731" s="8"/>
      <c r="I1731" s="8"/>
      <c r="J1731" s="8"/>
    </row>
    <row r="1732" ht="21.0" customHeight="1">
      <c r="A1732" s="6">
        <v>1.0</v>
      </c>
      <c r="B1732" s="6">
        <v>148.0</v>
      </c>
      <c r="C1732" s="6">
        <v>6.0</v>
      </c>
      <c r="D1732" s="9" t="s">
        <v>2263</v>
      </c>
      <c r="E1732" s="9" t="s">
        <v>2264</v>
      </c>
      <c r="F1732" s="8" t="str">
        <f>IFERROR(__xludf.DUMMYFUNCTION("GOOGLETRANSLATE(D1732,""zh-CN"",""vi"")"),"Con mèo nâu nhỏ")</f>
        <v>Con mèo nâu nhỏ</v>
      </c>
      <c r="G1732" s="8" t="str">
        <f>IFERROR(__xludf.DUMMYFUNCTION("GOOGLETRANSLATE(E1732,""zh-CN"",""vi"")"),"Một chú mèo con lười biếng đang cuộn tròn ngủ trong một chiếc hộp các tông. Kết hợp chúng lại để có được một con mèo tam thể.")</f>
        <v>Một chú mèo con lười biếng đang cuộn tròn ngủ trong một chiếc hộp các tông. Kết hợp chúng lại để có được một con mèo tam thể.</v>
      </c>
      <c r="H1732" s="8"/>
      <c r="I1732" s="8"/>
      <c r="J1732" s="8"/>
    </row>
    <row r="1733" ht="21.0" customHeight="1">
      <c r="A1733" s="6">
        <v>1.0</v>
      </c>
      <c r="B1733" s="6">
        <v>148.0</v>
      </c>
      <c r="C1733" s="6">
        <v>7.0</v>
      </c>
      <c r="D1733" s="9" t="s">
        <v>2265</v>
      </c>
      <c r="E1733" s="9" t="s">
        <v>2266</v>
      </c>
      <c r="F1733" s="8" t="str">
        <f>IFERROR(__xludf.DUMMYFUNCTION("GOOGLETRANSLATE(D1733,""zh-CN"",""vi"")"),"mèo tam thể")</f>
        <v>mèo tam thể</v>
      </c>
      <c r="G1733" s="8" t="str">
        <f>IFERROR(__xludf.DUMMYFUNCTION("GOOGLETRANSLATE(E1733,""zh-CN"",""vi"")"),"Một chú mèo con lịch lãm đeo nơ. Sự kết hợp này có thể tạo ra một chú mèo vằn.")</f>
        <v>Một chú mèo con lịch lãm đeo nơ. Sự kết hợp này có thể tạo ra một chú mèo vằn.</v>
      </c>
      <c r="H1733" s="8"/>
      <c r="I1733" s="8"/>
      <c r="J1733" s="8"/>
    </row>
    <row r="1734" ht="21.0" customHeight="1">
      <c r="A1734" s="6">
        <v>1.0</v>
      </c>
      <c r="B1734" s="6">
        <v>148.0</v>
      </c>
      <c r="C1734" s="6">
        <v>8.0</v>
      </c>
      <c r="D1734" s="9" t="s">
        <v>2267</v>
      </c>
      <c r="E1734" s="9" t="s">
        <v>2268</v>
      </c>
      <c r="F1734" s="8" t="str">
        <f>IFERROR(__xludf.DUMMYFUNCTION("GOOGLETRANSLATE(D1734,""zh-CN"",""vi"")"),"mèo vằn")</f>
        <v>mèo vằn</v>
      </c>
      <c r="G1734" s="8" t="str">
        <f>IFERROR(__xludf.DUMMYFUNCTION("GOOGLETRANSLATE(E1734,""zh-CN"",""vi"")"),"Một chú heo con đang khịt mũi và nhai ngấu nghiến. Kết hợp chúng lại để có được một con mèo Anh lông ngắn.")</f>
        <v>Một chú heo con đang khịt mũi và nhai ngấu nghiến. Kết hợp chúng lại để có được một con mèo Anh lông ngắn.</v>
      </c>
      <c r="H1734" s="8"/>
      <c r="I1734" s="8"/>
      <c r="J1734" s="8"/>
    </row>
    <row r="1735" ht="21.0" customHeight="1">
      <c r="A1735" s="6">
        <v>1.0</v>
      </c>
      <c r="B1735" s="6">
        <v>148.0</v>
      </c>
      <c r="C1735" s="6">
        <v>9.0</v>
      </c>
      <c r="D1735" s="9" t="s">
        <v>2269</v>
      </c>
      <c r="E1735" s="9" t="s">
        <v>2270</v>
      </c>
      <c r="F1735" s="8" t="str">
        <f>IFERROR(__xludf.DUMMYFUNCTION("GOOGLETRANSLATE(D1735,""zh-CN"",""vi"")"),"mèo lông ngắn Anh")</f>
        <v>mèo lông ngắn Anh</v>
      </c>
      <c r="G1735" s="8" t="str">
        <f>IFERROR(__xludf.DUMMYFUNCTION("GOOGLETRANSLATE(E1735,""zh-CN"",""vi"")"),"Hãy vươn vai một cách duyên dáng. Kết hợp chúng lại để tạo thành một chú mèo cam to lớn.")</f>
        <v>Hãy vươn vai một cách duyên dáng. Kết hợp chúng lại để tạo thành một chú mèo cam to lớn.</v>
      </c>
      <c r="H1735" s="8"/>
      <c r="I1735" s="8"/>
      <c r="J1735" s="8"/>
    </row>
    <row r="1736" ht="21.0" customHeight="1">
      <c r="A1736" s="6">
        <v>1.0</v>
      </c>
      <c r="B1736" s="6">
        <v>148.0</v>
      </c>
      <c r="C1736" s="6">
        <v>10.0</v>
      </c>
      <c r="D1736" s="9" t="s">
        <v>2271</v>
      </c>
      <c r="E1736" s="9" t="s">
        <v>2272</v>
      </c>
      <c r="F1736" s="8" t="str">
        <f>IFERROR(__xludf.DUMMYFUNCTION("GOOGLETRANSLATE(D1736,""zh-CN"",""vi"")"),"Con mèo cam to")</f>
        <v>Con mèo cam to</v>
      </c>
      <c r="G1736" s="8" t="str">
        <f>IFERROR(__xludf.DUMMYFUNCTION("GOOGLETRANSLATE(E1736,""zh-CN"",""vi"")"),"Chúng đang rất vui vẻ chơi đùa với những chiếc lá. Bạn có thể kết hợp chúng lại để tạo thành một con mèo đốm.")</f>
        <v>Chúng đang rất vui vẻ chơi đùa với những chiếc lá. Bạn có thể kết hợp chúng lại để tạo thành một con mèo đốm.</v>
      </c>
      <c r="H1736" s="8"/>
      <c r="I1736" s="8"/>
      <c r="J1736" s="8"/>
    </row>
    <row r="1737" ht="21.0" customHeight="1">
      <c r="A1737" s="6">
        <v>1.0</v>
      </c>
      <c r="B1737" s="6">
        <v>148.0</v>
      </c>
      <c r="C1737" s="6">
        <v>11.0</v>
      </c>
      <c r="D1737" s="9" t="s">
        <v>2273</v>
      </c>
      <c r="E1737" s="9" t="s">
        <v>2274</v>
      </c>
      <c r="F1737" s="8" t="str">
        <f>IFERROR(__xludf.DUMMYFUNCTION("GOOGLETRANSLATE(D1737,""zh-CN"",""vi"")"),"mèo đốm")</f>
        <v>mèo đốm</v>
      </c>
      <c r="G1737" s="8" t="str">
        <f>IFERROR(__xludf.DUMMYFUNCTION("GOOGLETRANSLATE(E1737,""zh-CN"",""vi"")"),"Đến chơi với mèo con nào! Ngay bây giờ! Kết hợp chúng lại để có được một con mèo xanh.")</f>
        <v>Đến chơi với mèo con nào! Ngay bây giờ! Kết hợp chúng lại để có được một con mèo xanh.</v>
      </c>
      <c r="H1737" s="8"/>
      <c r="I1737" s="8"/>
      <c r="J1737" s="8"/>
    </row>
    <row r="1738" ht="21.0" customHeight="1">
      <c r="A1738" s="6">
        <v>1.0</v>
      </c>
      <c r="B1738" s="6">
        <v>148.0</v>
      </c>
      <c r="C1738" s="6">
        <v>12.0</v>
      </c>
      <c r="D1738" s="9" t="s">
        <v>2275</v>
      </c>
      <c r="E1738" s="9" t="s">
        <v>2276</v>
      </c>
      <c r="F1738" s="8" t="str">
        <f>IFERROR(__xludf.DUMMYFUNCTION("GOOGLETRANSLATE(D1738,""zh-CN"",""vi"")"),"Mèo Xanh")</f>
        <v>Mèo Xanh</v>
      </c>
      <c r="G1738" s="8" t="str">
        <f>IFERROR(__xludf.DUMMYFUNCTION("GOOGLETRANSLATE(E1738,""zh-CN"",""vi"")"),"Món đồ yêu thích của nó là vịt con và chuông. Kết hợp chúng sẽ tạo ra một chú mèo con mắt xanh.")</f>
        <v>Món đồ yêu thích của nó là vịt con và chuông. Kết hợp chúng sẽ tạo ra một chú mèo con mắt xanh.</v>
      </c>
      <c r="H1738" s="8"/>
      <c r="I1738" s="8"/>
      <c r="J1738" s="8"/>
    </row>
    <row r="1739" ht="21.0" customHeight="1">
      <c r="A1739" s="6">
        <v>1.0</v>
      </c>
      <c r="B1739" s="6">
        <v>148.0</v>
      </c>
      <c r="C1739" s="6">
        <v>13.0</v>
      </c>
      <c r="D1739" s="9" t="s">
        <v>2277</v>
      </c>
      <c r="E1739" s="9" t="s">
        <v>2278</v>
      </c>
      <c r="F1739" s="8" t="str">
        <f>IFERROR(__xludf.DUMMYFUNCTION("GOOGLETRANSLATE(D1739,""zh-CN"",""vi"")"),"Mèo con mắt xanh")</f>
        <v>Mèo con mắt xanh</v>
      </c>
      <c r="G1739" s="8" t="str">
        <f>IFERROR(__xludf.DUMMYFUNCTION("GOOGLETRANSLATE(E1739,""zh-CN"",""vi"")"),"Mèo trưởng thành cần cá khô, ruy băng và vương miện. Đây là cấp độ cao nhất.")</f>
        <v>Mèo trưởng thành cần cá khô, ruy băng và vương miện. Đây là cấp độ cao nhất.</v>
      </c>
      <c r="H1739" s="8"/>
      <c r="I1739" s="8"/>
      <c r="J1739" s="8"/>
    </row>
    <row r="1740" ht="21.0" customHeight="1">
      <c r="A1740" s="6">
        <v>11.0</v>
      </c>
      <c r="B1740" s="6">
        <v>1021.0</v>
      </c>
      <c r="C1740" s="6">
        <v>1.0</v>
      </c>
      <c r="D1740" s="9" t="s">
        <v>2279</v>
      </c>
      <c r="E1740" s="9" t="s">
        <v>2280</v>
      </c>
      <c r="F1740" s="8" t="str">
        <f>IFERROR(__xludf.DUMMYFUNCTION("GOOGLETRANSLATE(D1740,""zh-CN"",""vi"")"),"Hộp đựng thú cưng")</f>
        <v>Hộp đựng thú cưng</v>
      </c>
      <c r="G1740" s="8" t="str">
        <f>IFERROR(__xludf.DUMMYFUNCTION("GOOGLETRANSLATE(E1740,""zh-CN"",""vi"")"),"Đoán xem bên trong hộp có con mèo hay cái móc! Kết hợp chúng lại để tạo thành một chiếc đệm cho thú cưng.")</f>
        <v>Đoán xem bên trong hộp có con mèo hay cái móc! Kết hợp chúng lại để tạo thành một chiếc đệm cho thú cưng.</v>
      </c>
      <c r="H1740" s="8"/>
      <c r="I1740" s="8"/>
      <c r="J1740" s="8"/>
    </row>
    <row r="1741" ht="21.0" customHeight="1">
      <c r="A1741" s="6">
        <v>11.0</v>
      </c>
      <c r="B1741" s="6">
        <v>1021.0</v>
      </c>
      <c r="C1741" s="6">
        <v>2.0</v>
      </c>
      <c r="D1741" s="9" t="s">
        <v>2281</v>
      </c>
      <c r="E1741" s="9" t="s">
        <v>2282</v>
      </c>
      <c r="F1741" s="8" t="str">
        <f>IFERROR(__xludf.DUMMYFUNCTION("GOOGLETRANSLATE(D1741,""zh-CN"",""vi"")"),"Đệm cho thú cưng")</f>
        <v>Đệm cho thú cưng</v>
      </c>
      <c r="G1741" s="8" t="str">
        <f>IFERROR(__xludf.DUMMYFUNCTION("GOOGLETRANSLATE(E1741,""zh-CN"",""vi"")"),"Nó có cảm giác mềm mại, êm ái, giống như đệm chân của một chú mèo con. Hãy tự tay làm ra một chiếc ghế sofa cho thú cưng từ các nguyên liệu có sẵn.")</f>
        <v>Nó có cảm giác mềm mại, êm ái, giống như đệm chân của một chú mèo con. Hãy tự tay làm ra một chiếc ghế sofa cho thú cưng từ các nguyên liệu có sẵn.</v>
      </c>
      <c r="H1741" s="8"/>
      <c r="I1741" s="8"/>
      <c r="J1741" s="8"/>
    </row>
    <row r="1742" ht="21.0" customHeight="1">
      <c r="A1742" s="6">
        <v>11.0</v>
      </c>
      <c r="B1742" s="6">
        <v>1021.0</v>
      </c>
      <c r="C1742" s="6">
        <v>3.0</v>
      </c>
      <c r="D1742" s="9" t="s">
        <v>2283</v>
      </c>
      <c r="E1742" s="9" t="s">
        <v>2284</v>
      </c>
      <c r="F1742" s="8" t="str">
        <f>IFERROR(__xludf.DUMMYFUNCTION("GOOGLETRANSLATE(D1742,""zh-CN"",""vi"")"),"Ghế sofa cho thú cưng")</f>
        <v>Ghế sofa cho thú cưng</v>
      </c>
      <c r="G1742" s="8" t="str">
        <f>IFERROR(__xludf.DUMMYFUNCTION("GOOGLETRANSLATE(E1742,""zh-CN"",""vi"")"),"Chiếc ghế sofa mini này thật đáng yêu! Có thể ghép chúng lại để tạo thành một chiếc giường cho thú cưng.")</f>
        <v>Chiếc ghế sofa mini này thật đáng yêu! Có thể ghép chúng lại để tạo thành một chiếc giường cho thú cưng.</v>
      </c>
      <c r="H1742" s="8"/>
      <c r="I1742" s="8"/>
      <c r="J1742" s="8"/>
    </row>
    <row r="1743" ht="21.0" customHeight="1">
      <c r="A1743" s="6">
        <v>11.0</v>
      </c>
      <c r="B1743" s="6">
        <v>1021.0</v>
      </c>
      <c r="C1743" s="6">
        <v>4.0</v>
      </c>
      <c r="D1743" s="9" t="s">
        <v>2285</v>
      </c>
      <c r="E1743" s="9" t="s">
        <v>2286</v>
      </c>
      <c r="F1743" s="8" t="str">
        <f>IFERROR(__xludf.DUMMYFUNCTION("GOOGLETRANSLATE(D1743,""zh-CN"",""vi"")"),"Tổ thú cưng")</f>
        <v>Tổ thú cưng</v>
      </c>
      <c r="G1743" s="8" t="str">
        <f>IFERROR(__xludf.DUMMYFUNCTION("GOOGLETRANSLATE(E1743,""zh-CN"",""vi"")"),"Đồ trang trí hình quả bông ngủ quên trong lúc chơi. Chế tạo nó sẽ tạo ra một chiếc lều cho thú cưng.")</f>
        <v>Đồ trang trí hình quả bông ngủ quên trong lúc chơi. Chế tạo nó sẽ tạo ra một chiếc lều cho thú cưng.</v>
      </c>
      <c r="H1743" s="8"/>
      <c r="I1743" s="8"/>
      <c r="J1743" s="8"/>
    </row>
    <row r="1744" ht="21.0" customHeight="1">
      <c r="A1744" s="6">
        <v>10.0</v>
      </c>
      <c r="B1744" s="6">
        <v>1021.0</v>
      </c>
      <c r="C1744" s="6">
        <v>5.0</v>
      </c>
      <c r="D1744" s="9" t="s">
        <v>2287</v>
      </c>
      <c r="E1744" s="9" t="s">
        <v>2288</v>
      </c>
      <c r="F1744" s="8" t="str">
        <f>IFERROR(__xludf.DUMMYFUNCTION("GOOGLETRANSLATE(D1744,""zh-CN"",""vi"")"),"Lều cho thú cưng")</f>
        <v>Lều cho thú cưng</v>
      </c>
      <c r="G1744" s="8" t="str">
        <f>IFERROR(__xludf.DUMMYFUNCTION("GOOGLETRANSLATE(E1744,""zh-CN"",""vi"")"),"Chiếc lều mà Tiểu Mai chuẩn bị cho con mèo trong chuyến đi chơi mùa thu của cô bé. Có thể dùng nó để làm một ngôi nhà thủ công đơn giản.")</f>
        <v>Chiếc lều mà Tiểu Mai chuẩn bị cho con mèo trong chuyến đi chơi mùa thu của cô bé. Có thể dùng nó để làm một ngôi nhà thủ công đơn giản.</v>
      </c>
      <c r="H1744" s="8"/>
      <c r="I1744" s="8"/>
      <c r="J1744" s="8"/>
    </row>
    <row r="1745" ht="21.0" customHeight="1">
      <c r="A1745" s="6">
        <v>10.0</v>
      </c>
      <c r="B1745" s="6">
        <v>1021.0</v>
      </c>
      <c r="C1745" s="6">
        <v>6.0</v>
      </c>
      <c r="D1745" s="9" t="s">
        <v>2289</v>
      </c>
      <c r="E1745" s="9" t="s">
        <v>2290</v>
      </c>
      <c r="F1745" s="8" t="str">
        <f>IFERROR(__xludf.DUMMYFUNCTION("GOOGLETRANSLATE(D1745,""zh-CN"",""vi"")"),"Nhà tự làm đơn giản")</f>
        <v>Nhà tự làm đơn giản</v>
      </c>
      <c r="G1745" s="8" t="str">
        <f>IFERROR(__xludf.DUMMYFUNCTION("GOOGLETRANSLATE(E1745,""zh-CN"",""vi"")"),"Một ngôi nhà nhỏ được lắp ráp bởi những người yêu mèo. Cùng nhau chế tác sẽ tạo ra một ngôi nhà thủ công tuyệt đẹp.")</f>
        <v>Một ngôi nhà nhỏ được lắp ráp bởi những người yêu mèo. Cùng nhau chế tác sẽ tạo ra một ngôi nhà thủ công tuyệt đẹp.</v>
      </c>
      <c r="H1745" s="8"/>
      <c r="I1745" s="8"/>
      <c r="J1745" s="8"/>
    </row>
    <row r="1746" ht="21.0" customHeight="1">
      <c r="A1746" s="6">
        <v>10.0</v>
      </c>
      <c r="B1746" s="6">
        <v>1021.0</v>
      </c>
      <c r="C1746" s="6">
        <v>7.0</v>
      </c>
      <c r="D1746" s="9" t="s">
        <v>2291</v>
      </c>
      <c r="E1746" s="9" t="s">
        <v>2292</v>
      </c>
      <c r="F1746" s="8" t="str">
        <f>IFERROR(__xludf.DUMMYFUNCTION("GOOGLETRANSLATE(D1746,""zh-CN"",""vi"")"),"Ngôi nhà thủ công tinh xảo")</f>
        <v>Ngôi nhà thủ công tinh xảo</v>
      </c>
      <c r="G1746" s="8" t="str">
        <f>IFERROR(__xludf.DUMMYFUNCTION("GOOGLETRANSLATE(E1746,""zh-CN"",""vi"")"),"Những người yêu chó cũng không nên chịu thua kém. Tự tay chế tạo những vật phẩm này sẽ tạo ra một Ngôi nhà nhỏ cho thú cưng.")</f>
        <v>Những người yêu chó cũng không nên chịu thua kém. Tự tay chế tạo những vật phẩm này sẽ tạo ra một Ngôi nhà nhỏ cho thú cưng.</v>
      </c>
      <c r="H1746" s="8"/>
      <c r="I1746" s="8"/>
      <c r="J1746" s="8"/>
    </row>
    <row r="1747" ht="21.0" customHeight="1">
      <c r="A1747" s="6">
        <v>10.0</v>
      </c>
      <c r="B1747" s="6">
        <v>1021.0</v>
      </c>
      <c r="C1747" s="6">
        <v>8.0</v>
      </c>
      <c r="D1747" s="9" t="s">
        <v>2293</v>
      </c>
      <c r="E1747" s="9" t="s">
        <v>2294</v>
      </c>
      <c r="F1747" s="8" t="str">
        <f>IFERROR(__xludf.DUMMYFUNCTION("GOOGLETRANSLATE(D1747,""zh-CN"",""vi"")"),"Nhà cho thú cưng")</f>
        <v>Nhà cho thú cưng</v>
      </c>
      <c r="G1747" s="8" t="str">
        <f>IFERROR(__xludf.DUMMYFUNCTION("GOOGLETRANSLATE(E1747,""zh-CN"",""vi"")"),"Thêm một cửa sổ vào cabin để đón không khí trong lành. Bạn có thể tự làm một cabin cho thú cưng.")</f>
        <v>Thêm một cửa sổ vào cabin để đón không khí trong lành. Bạn có thể tự làm một cabin cho thú cưng.</v>
      </c>
      <c r="H1747" s="8"/>
      <c r="I1747" s="8"/>
      <c r="J1747" s="8"/>
    </row>
    <row r="1748" ht="21.0" customHeight="1">
      <c r="A1748" s="6">
        <v>10.0</v>
      </c>
      <c r="B1748" s="6">
        <v>1021.0</v>
      </c>
      <c r="C1748" s="6">
        <v>9.0</v>
      </c>
      <c r="D1748" s="9" t="s">
        <v>2295</v>
      </c>
      <c r="E1748" s="9" t="s">
        <v>2296</v>
      </c>
      <c r="F1748" s="8" t="str">
        <f>IFERROR(__xludf.DUMMYFUNCTION("GOOGLETRANSLATE(D1748,""zh-CN"",""vi"")"),"cabin dành cho thú cưng")</f>
        <v>cabin dành cho thú cưng</v>
      </c>
      <c r="G1748" s="8" t="str">
        <f>IFERROR(__xludf.DUMMYFUNCTION("GOOGLETRANSLATE(E1748,""zh-CN"",""vi"")"),"Một ngôi nhà nhỏ ấm cúng mang lại cho thú cưng cảm giác an toàn hơn. Việc chế tạo những ngôi nhà này sẽ mở khóa Thiên đường thú cưng.")</f>
        <v>Một ngôi nhà nhỏ ấm cúng mang lại cho thú cưng cảm giác an toàn hơn. Việc chế tạo những ngôi nhà này sẽ mở khóa Thiên đường thú cưng.</v>
      </c>
      <c r="H1748" s="8"/>
      <c r="I1748" s="8"/>
      <c r="J1748" s="8"/>
    </row>
    <row r="1749" ht="21.0" customHeight="1">
      <c r="A1749" s="6">
        <v>10.0</v>
      </c>
      <c r="B1749" s="6">
        <v>1021.0</v>
      </c>
      <c r="C1749" s="6">
        <v>10.0</v>
      </c>
      <c r="D1749" s="9" t="s">
        <v>2297</v>
      </c>
      <c r="E1749" s="9" t="s">
        <v>2298</v>
      </c>
      <c r="F1749" s="8" t="str">
        <f>IFERROR(__xludf.DUMMYFUNCTION("GOOGLETRANSLATE(D1749,""zh-CN"",""vi"")"),"Thiên đường thú cưng")</f>
        <v>Thiên đường thú cưng</v>
      </c>
      <c r="G1749" s="8" t="str">
        <f>IFERROR(__xludf.DUMMYFUNCTION("GOOGLETRANSLATE(E1749,""zh-CN"",""vi"")"),"Có cả mèo và chó là một niềm vui lớn trong cuộc sống. (Cấp độ 100)")</f>
        <v>Có cả mèo và chó là một niềm vui lớn trong cuộc sống. (Cấp độ 100)</v>
      </c>
      <c r="H1749" s="8"/>
      <c r="I1749" s="8"/>
      <c r="J1749" s="8"/>
    </row>
    <row r="1750" ht="21.0" customHeight="1">
      <c r="A1750" s="6">
        <v>11.0</v>
      </c>
      <c r="B1750" s="6">
        <v>1022.0</v>
      </c>
      <c r="C1750" s="6">
        <v>1.0</v>
      </c>
      <c r="D1750" s="9" t="s">
        <v>2299</v>
      </c>
      <c r="E1750" s="9" t="s">
        <v>2300</v>
      </c>
      <c r="F1750" s="8" t="str">
        <f>IFERROR(__xludf.DUMMYFUNCTION("GOOGLETRANSLATE(D1750,""zh-CN"",""vi"")"),"lá thông")</f>
        <v>lá thông</v>
      </c>
      <c r="G1750" s="8" t="str">
        <f>IFERROR(__xludf.DUMMYFUNCTION("GOOGLETRANSLATE(E1750,""zh-CN"",""vi"")"),"Lá thông rất cứng; hãy cẩn thận để không bị đâm vào tay. Cành thông có thể được dùng để chế tác đồ thủ công.")</f>
        <v>Lá thông rất cứng; hãy cẩn thận để không bị đâm vào tay. Cành thông có thể được dùng để chế tác đồ thủ công.</v>
      </c>
      <c r="H1750" s="8"/>
      <c r="I1750" s="8"/>
      <c r="J1750" s="8"/>
    </row>
    <row r="1751" ht="21.0" customHeight="1">
      <c r="A1751" s="6">
        <v>11.0</v>
      </c>
      <c r="B1751" s="6">
        <v>1022.0</v>
      </c>
      <c r="C1751" s="6">
        <v>2.0</v>
      </c>
      <c r="D1751" s="9" t="s">
        <v>2301</v>
      </c>
      <c r="E1751" s="9" t="s">
        <v>2302</v>
      </c>
      <c r="F1751" s="8" t="str">
        <f>IFERROR(__xludf.DUMMYFUNCTION("GOOGLETRANSLATE(D1751,""zh-CN"",""vi"")"),"cành thông")</f>
        <v>cành thông</v>
      </c>
      <c r="G1751" s="8" t="str">
        <f>IFERROR(__xludf.DUMMYFUNCTION("GOOGLETRANSLATE(E1751,""zh-CN"",""vi"")"),"Một đám quả mọng đỏ mọc lên từ tán lá xanh tươi. Có thể kết hợp chúng để tạo ra cây thông phủ tuyết.")</f>
        <v>Một đám quả mọng đỏ mọc lên từ tán lá xanh tươi. Có thể kết hợp chúng để tạo ra cây thông phủ tuyết.</v>
      </c>
      <c r="H1751" s="8"/>
      <c r="I1751" s="8"/>
      <c r="J1751" s="8"/>
    </row>
    <row r="1752" ht="21.0" customHeight="1">
      <c r="A1752" s="6">
        <v>11.0</v>
      </c>
      <c r="B1752" s="6">
        <v>1022.0</v>
      </c>
      <c r="C1752" s="6">
        <v>3.0</v>
      </c>
      <c r="D1752" s="9" t="s">
        <v>2303</v>
      </c>
      <c r="E1752" s="9" t="s">
        <v>2304</v>
      </c>
      <c r="F1752" s="8" t="str">
        <f>IFERROR(__xludf.DUMMYFUNCTION("GOOGLETRANSLATE(D1752,""zh-CN"",""vi"")"),"Cây thông phủ tuyết")</f>
        <v>Cây thông phủ tuyết</v>
      </c>
      <c r="G1752" s="8" t="str">
        <f>IFERROR(__xludf.DUMMYFUNCTION("GOOGLETRANSLATE(E1752,""zh-CN"",""vi"")"),"Trên ngọn cây có một chiếc mũ trắng. Chế tạo nó sẽ thu được một quả thông.")</f>
        <v>Trên ngọn cây có một chiếc mũ trắng. Chế tạo nó sẽ thu được một quả thông.</v>
      </c>
      <c r="H1752" s="8"/>
      <c r="I1752" s="8"/>
      <c r="J1752" s="8"/>
    </row>
    <row r="1753" ht="21.0" customHeight="1">
      <c r="A1753" s="6">
        <v>11.0</v>
      </c>
      <c r="B1753" s="6">
        <v>1022.0</v>
      </c>
      <c r="C1753" s="6">
        <v>4.0</v>
      </c>
      <c r="D1753" s="9" t="s">
        <v>2305</v>
      </c>
      <c r="E1753" s="9" t="s">
        <v>2306</v>
      </c>
      <c r="F1753" s="8" t="str">
        <f>IFERROR(__xludf.DUMMYFUNCTION("GOOGLETRANSLATE(D1753,""zh-CN"",""vi"")"),"Cây thông nón")</f>
        <v>Cây thông nón</v>
      </c>
      <c r="G1753" s="8" t="str">
        <f>IFERROR(__xludf.DUMMYFUNCTION("GOOGLETRANSLATE(E1753,""zh-CN"",""vi"")"),"Quả thông này sẽ thu hút chú sóc tham lam nào? Chế tạo chúng sẽ tạo ra quả thông và cây tuyết.")</f>
        <v>Quả thông này sẽ thu hút chú sóc tham lam nào? Chế tạo chúng sẽ tạo ra quả thông và cây tuyết.</v>
      </c>
      <c r="H1753" s="8"/>
      <c r="I1753" s="8"/>
      <c r="J1753" s="8"/>
    </row>
    <row r="1754" ht="21.0" customHeight="1">
      <c r="A1754" s="6">
        <v>10.0</v>
      </c>
      <c r="B1754" s="6">
        <v>1022.0</v>
      </c>
      <c r="C1754" s="6">
        <v>5.0</v>
      </c>
      <c r="D1754" s="9" t="s">
        <v>2307</v>
      </c>
      <c r="E1754" s="9" t="s">
        <v>2308</v>
      </c>
      <c r="F1754" s="8" t="str">
        <f>IFERROR(__xludf.DUMMYFUNCTION("GOOGLETRANSLATE(D1754,""zh-CN"",""vi"")"),"Quả thông và cây tuyết")</f>
        <v>Quả thông và cây tuyết</v>
      </c>
      <c r="G1754" s="8" t="str">
        <f>IFERROR(__xludf.DUMMYFUNCTION("GOOGLETRANSLATE(E1754,""zh-CN"",""vi"")"),"Có những quả thông và bông tuyết, liệu đó có phải là kem không? Việc chế tác chúng sẽ tạo ra một cây thông ruy băng.")</f>
        <v>Có những quả thông và bông tuyết, liệu đó có phải là kem không? Việc chế tác chúng sẽ tạo ra một cây thông ruy băng.</v>
      </c>
      <c r="H1754" s="8"/>
      <c r="I1754" s="8"/>
      <c r="J1754" s="8"/>
    </row>
    <row r="1755" ht="21.0" customHeight="1">
      <c r="A1755" s="6">
        <v>10.0</v>
      </c>
      <c r="B1755" s="6">
        <v>1022.0</v>
      </c>
      <c r="C1755" s="6">
        <v>6.0</v>
      </c>
      <c r="D1755" s="9" t="s">
        <v>2309</v>
      </c>
      <c r="E1755" s="9" t="s">
        <v>2310</v>
      </c>
      <c r="F1755" s="8" t="str">
        <f>IFERROR(__xludf.DUMMYFUNCTION("GOOGLETRANSLATE(D1755,""zh-CN"",""vi"")"),"Cây thông ruy băng")</f>
        <v>Cây thông ruy băng</v>
      </c>
      <c r="G1755" s="8" t="str">
        <f>IFERROR(__xludf.DUMMYFUNCTION("GOOGLETRANSLATE(E1755,""zh-CN"",""vi"")"),"Hãy trang trí cây thông bằng ruy băng để chào đón Giáng sinh. Tự tay làm những cây thông Noel đơn giản.")</f>
        <v>Hãy trang trí cây thông bằng ruy băng để chào đón Giáng sinh. Tự tay làm những cây thông Noel đơn giản.</v>
      </c>
      <c r="H1755" s="8"/>
      <c r="I1755" s="8"/>
      <c r="J1755" s="8"/>
    </row>
    <row r="1756" ht="21.0" customHeight="1">
      <c r="A1756" s="6">
        <v>10.0</v>
      </c>
      <c r="B1756" s="6">
        <v>1022.0</v>
      </c>
      <c r="C1756" s="6">
        <v>7.0</v>
      </c>
      <c r="D1756" s="9" t="s">
        <v>2311</v>
      </c>
      <c r="E1756" s="9" t="s">
        <v>2312</v>
      </c>
      <c r="F1756" s="8" t="str">
        <f>IFERROR(__xludf.DUMMYFUNCTION("GOOGLETRANSLATE(D1756,""zh-CN"",""vi"")"),"Cây thông Noel đơn giản")</f>
        <v>Cây thông Noel đơn giản</v>
      </c>
      <c r="G1756" s="8" t="str">
        <f>IFERROR(__xludf.DUMMYFUNCTION("GOOGLETRANSLATE(E1756,""zh-CN"",""vi"")"),"Với chiếc khăn quàng cổ, tôi trông như một cây thông Noel! Kết hợp chúng lại để tạo thành một cây thông Noel người tuyết.")</f>
        <v>Với chiếc khăn quàng cổ, tôi trông như một cây thông Noel! Kết hợp chúng lại để tạo thành một cây thông Noel người tuyết.</v>
      </c>
      <c r="H1756" s="8"/>
      <c r="I1756" s="8"/>
      <c r="J1756" s="8"/>
    </row>
    <row r="1757" ht="21.0" customHeight="1">
      <c r="A1757" s="6">
        <v>10.0</v>
      </c>
      <c r="B1757" s="6">
        <v>1022.0</v>
      </c>
      <c r="C1757" s="6">
        <v>8.0</v>
      </c>
      <c r="D1757" s="9" t="s">
        <v>2313</v>
      </c>
      <c r="E1757" s="9" t="s">
        <v>2314</v>
      </c>
      <c r="F1757" s="8" t="str">
        <f>IFERROR(__xludf.DUMMYFUNCTION("GOOGLETRANSLATE(D1757,""zh-CN"",""vi"")"),"Người tuyết Cây thông Noel")</f>
        <v>Người tuyết Cây thông Noel</v>
      </c>
      <c r="G1757" s="8" t="str">
        <f>IFERROR(__xludf.DUMMYFUNCTION("GOOGLETRANSLATE(E1757,""zh-CN"",""vi"")"),"Đứa trẻ Tuyết đã đến để cùng tôi đón Giáng sinh! Hãy kết hợp các vật phẩm để có được cây thông Noel và những món quà.")</f>
        <v>Đứa trẻ Tuyết đã đến để cùng tôi đón Giáng sinh! Hãy kết hợp các vật phẩm để có được cây thông Noel và những món quà.</v>
      </c>
      <c r="H1757" s="8"/>
      <c r="I1757" s="8"/>
      <c r="J1757" s="8"/>
    </row>
    <row r="1758" ht="21.0" customHeight="1">
      <c r="A1758" s="6">
        <v>10.0</v>
      </c>
      <c r="B1758" s="6">
        <v>1022.0</v>
      </c>
      <c r="C1758" s="6">
        <v>9.0</v>
      </c>
      <c r="D1758" s="9" t="s">
        <v>2315</v>
      </c>
      <c r="E1758" s="9" t="s">
        <v>2316</v>
      </c>
      <c r="F1758" s="8" t="str">
        <f>IFERROR(__xludf.DUMMYFUNCTION("GOOGLETRANSLATE(D1758,""zh-CN"",""vi"")"),"Cây Giáng Sinh làm quà tặng")</f>
        <v>Cây Giáng Sinh làm quà tặng</v>
      </c>
      <c r="G1758" s="8" t="str">
        <f>IFERROR(__xludf.DUMMYFUNCTION("GOOGLETRANSLATE(E1758,""zh-CN"",""vi"")"),"Quà tặng, quà tặng, tất cả quà tặng của bạn. Kết hợp chúng lại để tạo thành một cây thông Noel tuần lộc.")</f>
        <v>Quà tặng, quà tặng, tất cả quà tặng của bạn. Kết hợp chúng lại để tạo thành một cây thông Noel tuần lộc.</v>
      </c>
      <c r="H1758" s="8"/>
      <c r="I1758" s="8"/>
      <c r="J1758" s="8"/>
    </row>
    <row r="1759" ht="21.0" customHeight="1">
      <c r="A1759" s="6">
        <v>10.0</v>
      </c>
      <c r="B1759" s="6">
        <v>1022.0</v>
      </c>
      <c r="C1759" s="6">
        <v>10.0</v>
      </c>
      <c r="D1759" s="9" t="s">
        <v>2317</v>
      </c>
      <c r="E1759" s="9" t="s">
        <v>2318</v>
      </c>
      <c r="F1759" s="8" t="str">
        <f>IFERROR(__xludf.DUMMYFUNCTION("GOOGLETRANSLATE(D1759,""zh-CN"",""vi"")"),"Cây thông Noel tuần lộc")</f>
        <v>Cây thông Noel tuần lộc</v>
      </c>
      <c r="G1759" s="8" t="str">
        <f>IFERROR(__xludf.DUMMYFUNCTION("GOOGLETRANSLATE(E1759,""zh-CN"",""vi"")"),"Ông già Noel có lẽ đã quên cỗ xe trượt tuyết của mình. (Đã được tổng hợp đến cấp độ cao nhất.)")</f>
        <v>Ông già Noel có lẽ đã quên cỗ xe trượt tuyết của mình. (Đã được tổng hợp đến cấp độ cao nhất.)</v>
      </c>
      <c r="H1759" s="8"/>
      <c r="I1759" s="8"/>
      <c r="J1759" s="8"/>
    </row>
    <row r="1760" ht="21.0" customHeight="1">
      <c r="A1760" s="6">
        <v>1.0</v>
      </c>
      <c r="B1760" s="6">
        <v>149.0</v>
      </c>
      <c r="C1760" s="6">
        <v>1.0</v>
      </c>
      <c r="D1760" s="9" t="s">
        <v>2319</v>
      </c>
      <c r="E1760" s="9" t="s">
        <v>2320</v>
      </c>
      <c r="F1760" s="8" t="str">
        <f>IFERROR(__xludf.DUMMYFUNCTION("GOOGLETRANSLATE(D1760,""zh-CN"",""vi"")"),"Thiệp Giáng sinh")</f>
        <v>Thiệp Giáng sinh</v>
      </c>
      <c r="G1760" s="8" t="str">
        <f>IFERROR(__xludf.DUMMYFUNCTION("GOOGLETRANSLATE(E1760,""zh-CN"",""vi"")"),"Tuy tấm thiệp mỏng manh, nhưng ý nghĩa ẩn chứa bên trong lại vô cùng sâu sắc. Kết hợp chúng lại để tạo thành viên nén trị liệu bằng hương thơm.")</f>
        <v>Tuy tấm thiệp mỏng manh, nhưng ý nghĩa ẩn chứa bên trong lại vô cùng sâu sắc. Kết hợp chúng lại để tạo thành viên nén trị liệu bằng hương thơm.</v>
      </c>
      <c r="H1760" s="8"/>
      <c r="I1760" s="8"/>
      <c r="J1760" s="8"/>
    </row>
    <row r="1761" ht="21.0" customHeight="1">
      <c r="A1761" s="6">
        <v>1.0</v>
      </c>
      <c r="B1761" s="6">
        <v>149.0</v>
      </c>
      <c r="C1761" s="6">
        <v>2.0</v>
      </c>
      <c r="D1761" s="9" t="s">
        <v>2321</v>
      </c>
      <c r="E1761" s="9" t="s">
        <v>2322</v>
      </c>
      <c r="F1761" s="8" t="str">
        <f>IFERROR(__xludf.DUMMYFUNCTION("GOOGLETRANSLATE(D1761,""zh-CN"",""vi"")"),"Viên nén hương liệu")</f>
        <v>Viên nén hương liệu</v>
      </c>
      <c r="G1761" s="8" t="str">
        <f>IFERROR(__xludf.DUMMYFUNCTION("GOOGLETRANSLATE(E1761,""zh-CN"",""vi"")"),"Đây chắc hẳn là hương vị của Giáng sinh. Làm ra những thứ này sẽ tạo ra những cây nến thơm.")</f>
        <v>Đây chắc hẳn là hương vị của Giáng sinh. Làm ra những thứ này sẽ tạo ra những cây nến thơm.</v>
      </c>
      <c r="H1761" s="8"/>
      <c r="I1761" s="8"/>
      <c r="J1761" s="8"/>
    </row>
    <row r="1762" ht="21.0" customHeight="1">
      <c r="A1762" s="6">
        <v>1.0</v>
      </c>
      <c r="B1762" s="6">
        <v>149.0</v>
      </c>
      <c r="C1762" s="6">
        <v>3.0</v>
      </c>
      <c r="D1762" s="9" t="s">
        <v>2323</v>
      </c>
      <c r="E1762" s="9" t="s">
        <v>2324</v>
      </c>
      <c r="F1762" s="8" t="str">
        <f>IFERROR(__xludf.DUMMYFUNCTION("GOOGLETRANSLATE(D1762,""zh-CN"",""vi"")"),"Nến thơm")</f>
        <v>Nến thơm</v>
      </c>
      <c r="G1762" s="8" t="str">
        <f>IFERROR(__xludf.DUMMYFUNCTION("GOOGLETRANSLATE(E1762,""zh-CN"",""vi"")"),"Nến và viên tạo mùi thơm—thật là một sự lựa chọn khó khăn. Kết hợp cả hai sẽ tạo ra những chiếc tất Giáng sinh.")</f>
        <v>Nến và viên tạo mùi thơm—thật là một sự lựa chọn khó khăn. Kết hợp cả hai sẽ tạo ra những chiếc tất Giáng sinh.</v>
      </c>
      <c r="H1762" s="8"/>
      <c r="I1762" s="8"/>
      <c r="J1762" s="8"/>
    </row>
    <row r="1763" ht="21.0" customHeight="1">
      <c r="A1763" s="6">
        <v>1.0</v>
      </c>
      <c r="B1763" s="6">
        <v>149.0</v>
      </c>
      <c r="C1763" s="6">
        <v>4.0</v>
      </c>
      <c r="D1763" s="9" t="s">
        <v>2325</v>
      </c>
      <c r="E1763" s="9" t="s">
        <v>2326</v>
      </c>
      <c r="F1763" s="8" t="str">
        <f>IFERROR(__xludf.DUMMYFUNCTION("GOOGLETRANSLATE(D1763,""zh-CN"",""vi"")"),"tất Giáng sinh")</f>
        <v>tất Giáng sinh</v>
      </c>
      <c r="G1763" s="8" t="str">
        <f>IFERROR(__xludf.DUMMYFUNCTION("GOOGLETRANSLATE(E1763,""zh-CN"",""vi"")"),"Ông già Noel bỏ gì vào tất? Bạn có thể tự làm một chiếc mũ tuần lộc.")</f>
        <v>Ông già Noel bỏ gì vào tất? Bạn có thể tự làm một chiếc mũ tuần lộc.</v>
      </c>
      <c r="H1763" s="8"/>
      <c r="I1763" s="8"/>
      <c r="J1763" s="8"/>
    </row>
    <row r="1764" ht="21.0" customHeight="1">
      <c r="A1764" s="6">
        <v>1.0</v>
      </c>
      <c r="B1764" s="6">
        <v>149.0</v>
      </c>
      <c r="C1764" s="6">
        <v>5.0</v>
      </c>
      <c r="D1764" s="9" t="s">
        <v>2327</v>
      </c>
      <c r="E1764" s="9" t="s">
        <v>2328</v>
      </c>
      <c r="F1764" s="8" t="str">
        <f>IFERROR(__xludf.DUMMYFUNCTION("GOOGLETRANSLATE(D1764,""zh-CN"",""vi"")"),"Mũ tuần lộc")</f>
        <v>Mũ tuần lộc</v>
      </c>
      <c r="G1764" s="8" t="str">
        <f>IFERROR(__xludf.DUMMYFUNCTION("GOOGLETRANSLATE(E1764,""zh-CN"",""vi"")"),"Đeo nó sẽ khiến bạn trông dễ thương như một chú tuần lộc nhỏ. Tự tay làm ra nó sẽ tạo ra đôi găng tay Giáng sinh.")</f>
        <v>Đeo nó sẽ khiến bạn trông dễ thương như một chú tuần lộc nhỏ. Tự tay làm ra nó sẽ tạo ra đôi găng tay Giáng sinh.</v>
      </c>
      <c r="H1764" s="8"/>
      <c r="I1764" s="8"/>
      <c r="J1764" s="8"/>
    </row>
    <row r="1765" ht="21.0" customHeight="1">
      <c r="A1765" s="6">
        <v>1.0</v>
      </c>
      <c r="B1765" s="6">
        <v>149.0</v>
      </c>
      <c r="C1765" s="6">
        <v>6.0</v>
      </c>
      <c r="D1765" s="9" t="s">
        <v>2329</v>
      </c>
      <c r="E1765" s="9" t="s">
        <v>2330</v>
      </c>
      <c r="F1765" s="8" t="str">
        <f>IFERROR(__xludf.DUMMYFUNCTION("GOOGLETRANSLATE(D1765,""zh-CN"",""vi"")"),"găng tay Giáng sinh")</f>
        <v>găng tay Giáng sinh</v>
      </c>
      <c r="G1765" s="8" t="str">
        <f>IFERROR(__xludf.DUMMYFUNCTION("GOOGLETRANSLATE(E1765,""zh-CN"",""vi"")"),"Một vật phẩm đảm bảo chống lại chứng tê cóng giữa mùa đông. Hãy chế tạo nó để có được một chiếc khăn quàng cổ Giáng sinh.")</f>
        <v>Một vật phẩm đảm bảo chống lại chứng tê cóng giữa mùa đông. Hãy chế tạo nó để có được một chiếc khăn quàng cổ Giáng sinh.</v>
      </c>
      <c r="H1765" s="8"/>
      <c r="I1765" s="8"/>
      <c r="J1765" s="8"/>
    </row>
    <row r="1766" ht="21.0" customHeight="1">
      <c r="A1766" s="6">
        <v>1.0</v>
      </c>
      <c r="B1766" s="6">
        <v>149.0</v>
      </c>
      <c r="C1766" s="6">
        <v>7.0</v>
      </c>
      <c r="D1766" s="9" t="s">
        <v>2331</v>
      </c>
      <c r="E1766" s="9" t="s">
        <v>2332</v>
      </c>
      <c r="F1766" s="8" t="str">
        <f>IFERROR(__xludf.DUMMYFUNCTION("GOOGLETRANSLATE(D1766,""zh-CN"",""vi"")"),"khăn quàng Giáng sinh")</f>
        <v>khăn quàng Giáng sinh</v>
      </c>
      <c r="G1766" s="8" t="str">
        <f>IFERROR(__xludf.DUMMYFUNCTION("GOOGLETRANSLATE(E1766,""zh-CN"",""vi"")"),"Không khí lạnh không thể lọt vào. Làm ra những chiếc gối này sẽ thành một chiếc gối hình cây thông Noel.")</f>
        <v>Không khí lạnh không thể lọt vào. Làm ra những chiếc gối này sẽ thành một chiếc gối hình cây thông Noel.</v>
      </c>
      <c r="H1766" s="8"/>
      <c r="I1766" s="8"/>
      <c r="J1766" s="8"/>
    </row>
    <row r="1767" ht="21.0" customHeight="1">
      <c r="A1767" s="6">
        <v>1.0</v>
      </c>
      <c r="B1767" s="6">
        <v>149.0</v>
      </c>
      <c r="C1767" s="6">
        <v>8.0</v>
      </c>
      <c r="D1767" s="9" t="s">
        <v>2333</v>
      </c>
      <c r="E1767" s="9" t="s">
        <v>2334</v>
      </c>
      <c r="F1767" s="8" t="str">
        <f>IFERROR(__xludf.DUMMYFUNCTION("GOOGLETRANSLATE(D1767,""zh-CN"",""vi"")"),"gối cây thông Noel")</f>
        <v>gối cây thông Noel</v>
      </c>
      <c r="G1767" s="8" t="str">
        <f>IFERROR(__xludf.DUMMYFUNCTION("GOOGLETRANSLATE(E1767,""zh-CN"",""vi"")"),"Nó ôm chặt cây thông Noel. Việc chế tác nó sẽ tạo ra một chiếc cốc nước không nắp.")</f>
        <v>Nó ôm chặt cây thông Noel. Việc chế tác nó sẽ tạo ra một chiếc cốc nước không nắp.</v>
      </c>
      <c r="H1767" s="8"/>
      <c r="I1767" s="8"/>
      <c r="J1767" s="8"/>
    </row>
    <row r="1768" ht="21.0" customHeight="1">
      <c r="A1768" s="6">
        <v>1.0</v>
      </c>
      <c r="B1768" s="6">
        <v>149.0</v>
      </c>
      <c r="C1768" s="6">
        <v>9.0</v>
      </c>
      <c r="D1768" s="9" t="s">
        <v>2335</v>
      </c>
      <c r="E1768" s="9" t="s">
        <v>2336</v>
      </c>
      <c r="F1768" s="8" t="str">
        <f>IFERROR(__xludf.DUMMYFUNCTION("GOOGLETRANSLATE(D1768,""zh-CN"",""vi"")"),"Cốc mở")</f>
        <v>Cốc mở</v>
      </c>
      <c r="G1768" s="8" t="str">
        <f>IFERROR(__xludf.DUMMYFUNCTION("GOOGLETRANSLATE(E1768,""zh-CN"",""vi"")"),"Băng đã tan, nhưng người tuyết bên trong cốc thì không. Kết hợp hai thứ này lại với nhau sẽ tạo ra một chiếc cốc gốm Giáng sinh.")</f>
        <v>Băng đã tan, nhưng người tuyết bên trong cốc thì không. Kết hợp hai thứ này lại với nhau sẽ tạo ra một chiếc cốc gốm Giáng sinh.</v>
      </c>
      <c r="H1768" s="8"/>
      <c r="I1768" s="8"/>
      <c r="J1768" s="8"/>
    </row>
    <row r="1769" ht="21.0" customHeight="1">
      <c r="A1769" s="6">
        <v>1.0</v>
      </c>
      <c r="B1769" s="6">
        <v>149.0</v>
      </c>
      <c r="C1769" s="6">
        <v>10.0</v>
      </c>
      <c r="D1769" s="9" t="s">
        <v>2337</v>
      </c>
      <c r="E1769" s="9" t="s">
        <v>2338</v>
      </c>
      <c r="F1769" s="8" t="str">
        <f>IFERROR(__xludf.DUMMYFUNCTION("GOOGLETRANSLATE(D1769,""zh-CN"",""vi"")"),"Cốc sứ Giáng sinh")</f>
        <v>Cốc sứ Giáng sinh</v>
      </c>
      <c r="G1769" s="8" t="str">
        <f>IFERROR(__xludf.DUMMYFUNCTION("GOOGLETRANSLATE(E1769,""zh-CN"",""vi"")"),"Ông già Noel mọc ra từ nắp cốc. Kết hợp chúng lại với nhau sẽ tạo ra những chiếc cốc và đĩa Giáng sinh.")</f>
        <v>Ông già Noel mọc ra từ nắp cốc. Kết hợp chúng lại với nhau sẽ tạo ra những chiếc cốc và đĩa Giáng sinh.</v>
      </c>
      <c r="H1769" s="8"/>
      <c r="I1769" s="8"/>
      <c r="J1769" s="8"/>
    </row>
    <row r="1770" ht="21.0" customHeight="1">
      <c r="A1770" s="6">
        <v>1.0</v>
      </c>
      <c r="B1770" s="6">
        <v>149.0</v>
      </c>
      <c r="C1770" s="6">
        <v>11.0</v>
      </c>
      <c r="D1770" s="9" t="s">
        <v>2339</v>
      </c>
      <c r="E1770" s="9" t="s">
        <v>2340</v>
      </c>
      <c r="F1770" s="8" t="str">
        <f>IFERROR(__xludf.DUMMYFUNCTION("GOOGLETRANSLATE(D1770,""zh-CN"",""vi"")"),"Bát, tách và đĩa lót Giáng sinh")</f>
        <v>Bát, tách và đĩa lót Giáng sinh</v>
      </c>
      <c r="G1770" s="8" t="str">
        <f>IFERROR(__xludf.DUMMYFUNCTION("GOOGLETRANSLATE(E1770,""zh-CN"",""vi"")"),"Hãy tận dụng những món quà lưu niệm hình ông già Noel này! Tự tay làm một chiếc máy tạo độ ẩm Giáng sinh từ những món đồ này nhé!")</f>
        <v>Hãy tận dụng những món quà lưu niệm hình ông già Noel này! Tự tay làm một chiếc máy tạo độ ẩm Giáng sinh từ những món đồ này nhé!</v>
      </c>
      <c r="H1770" s="8"/>
      <c r="I1770" s="8"/>
      <c r="J1770" s="8"/>
    </row>
    <row r="1771" ht="21.0" customHeight="1">
      <c r="A1771" s="6">
        <v>1.0</v>
      </c>
      <c r="B1771" s="6">
        <v>149.0</v>
      </c>
      <c r="C1771" s="6">
        <v>12.0</v>
      </c>
      <c r="D1771" s="9" t="s">
        <v>2341</v>
      </c>
      <c r="E1771" s="9" t="s">
        <v>2342</v>
      </c>
      <c r="F1771" s="8" t="str">
        <f>IFERROR(__xludf.DUMMYFUNCTION("GOOGLETRANSLATE(D1771,""zh-CN"",""vi"")"),"Máy tạo độ ẩm Giáng sinh")</f>
        <v>Máy tạo độ ẩm Giáng sinh</v>
      </c>
      <c r="G1771" s="8" t="str">
        <f>IFERROR(__xludf.DUMMYFUNCTION("GOOGLETRANSLATE(E1771,""zh-CN"",""vi"")"),"Hơi nước phun ra từ ngôi nhà nhỏ có đóng băng không? Làm ra món đồ này sẽ thành một lịch đếm ngược Giáng sinh.")</f>
        <v>Hơi nước phun ra từ ngôi nhà nhỏ có đóng băng không? Làm ra món đồ này sẽ thành một lịch đếm ngược Giáng sinh.</v>
      </c>
      <c r="H1771" s="8"/>
      <c r="I1771" s="8"/>
      <c r="J1771" s="8"/>
    </row>
    <row r="1772" ht="21.0" customHeight="1">
      <c r="A1772" s="6">
        <v>1.0</v>
      </c>
      <c r="B1772" s="6">
        <v>149.0</v>
      </c>
      <c r="C1772" s="6">
        <v>13.0</v>
      </c>
      <c r="D1772" s="9" t="s">
        <v>2343</v>
      </c>
      <c r="E1772" s="9" t="s">
        <v>2344</v>
      </c>
      <c r="F1772" s="8" t="str">
        <f>IFERROR(__xludf.DUMMYFUNCTION("GOOGLETRANSLATE(D1772,""zh-CN"",""vi"")"),"Lịch Mùa Vọng Giáng Sinh")</f>
        <v>Lịch Mùa Vọng Giáng Sinh</v>
      </c>
      <c r="G1772" s="8" t="str">
        <f>IFERROR(__xludf.DUMMYFUNCTION("GOOGLETRANSLATE(E1772,""zh-CN"",""vi"")"),"Chú ý! Ngày mai là Giáng sinh! Bạn có thể tự làm một chú tuần lộc nhồi bông.")</f>
        <v>Chú ý! Ngày mai là Giáng sinh! Bạn có thể tự làm một chú tuần lộc nhồi bông.</v>
      </c>
      <c r="H1772" s="8"/>
      <c r="I1772" s="8"/>
      <c r="J1772" s="8"/>
    </row>
    <row r="1773" ht="21.0" customHeight="1">
      <c r="A1773" s="6">
        <v>1.0</v>
      </c>
      <c r="B1773" s="6">
        <v>149.0</v>
      </c>
      <c r="C1773" s="6">
        <v>14.0</v>
      </c>
      <c r="D1773" s="9" t="s">
        <v>2345</v>
      </c>
      <c r="E1773" s="9" t="s">
        <v>2346</v>
      </c>
      <c r="F1773" s="8" t="str">
        <f>IFERROR(__xludf.DUMMYFUNCTION("GOOGLETRANSLATE(D1773,""zh-CN"",""vi"")"),"Búp bê tuần lộc")</f>
        <v>Búp bê tuần lộc</v>
      </c>
      <c r="G1773" s="8" t="str">
        <f>IFERROR(__xludf.DUMMYFUNCTION("GOOGLETRANSLATE(E1773,""zh-CN"",""vi"")"),"Mỗi ngày bên cạnh những chú tuần lộc đều là Giáng sinh. Ghép chúng lại với nhau sẽ tạo thành một bức tượng tuần lộc.")</f>
        <v>Mỗi ngày bên cạnh những chú tuần lộc đều là Giáng sinh. Ghép chúng lại với nhau sẽ tạo thành một bức tượng tuần lộc.</v>
      </c>
      <c r="H1773" s="8"/>
      <c r="I1773" s="8"/>
      <c r="J1773" s="8"/>
    </row>
    <row r="1774" ht="21.0" customHeight="1">
      <c r="A1774" s="6">
        <v>1.0</v>
      </c>
      <c r="B1774" s="6">
        <v>149.0</v>
      </c>
      <c r="C1774" s="6">
        <v>15.0</v>
      </c>
      <c r="D1774" s="9" t="s">
        <v>2347</v>
      </c>
      <c r="E1774" s="9" t="s">
        <v>2348</v>
      </c>
      <c r="F1774" s="8" t="str">
        <f>IFERROR(__xludf.DUMMYFUNCTION("GOOGLETRANSLATE(D1774,""zh-CN"",""vi"")"),"Tượng hươu")</f>
        <v>Tượng hươu</v>
      </c>
      <c r="G1774" s="8" t="str">
        <f>IFERROR(__xludf.DUMMYFUNCTION("GOOGLETRANSLATE(E1774,""zh-CN"",""vi"")"),"Một con nai bằng vàng nguyên chất sẽ không đẹp hơn, nhưng nó sẽ đắt hơn. Nó đã được tổng hợp ở mức độ cao nhất.")</f>
        <v>Một con nai bằng vàng nguyên chất sẽ không đẹp hơn, nhưng nó sẽ đắt hơn. Nó đã được tổng hợp ở mức độ cao nhất.</v>
      </c>
      <c r="H1774" s="8"/>
      <c r="I1774" s="8"/>
      <c r="J1774" s="8"/>
    </row>
    <row r="1775" ht="21.0" customHeight="1">
      <c r="A1775" s="6">
        <v>1.0</v>
      </c>
      <c r="B1775" s="6">
        <v>150.0</v>
      </c>
      <c r="C1775" s="6">
        <v>1.0</v>
      </c>
      <c r="D1775" s="9" t="s">
        <v>2349</v>
      </c>
      <c r="E1775" s="9" t="s">
        <v>2350</v>
      </c>
      <c r="F1775" s="8" t="str">
        <f>IFERROR(__xludf.DUMMYFUNCTION("GOOGLETRANSLATE(D1775,""zh-CN"",""vi"")"),"Một khối xây dựng")</f>
        <v>Một khối xây dựng</v>
      </c>
      <c r="G1775" s="8" t="str">
        <f>IFERROR(__xludf.DUMMYFUNCTION("GOOGLETRANSLATE(E1775,""zh-CN"",""vi"")"),"Việc xây dựng một vương quốc khối bắt đầu từ một khối duy nhất. Kết hợp các khối sẽ tạo ra hai khối.")</f>
        <v>Việc xây dựng một vương quốc khối bắt đầu từ một khối duy nhất. Kết hợp các khối sẽ tạo ra hai khối.</v>
      </c>
      <c r="H1775" s="8"/>
      <c r="I1775" s="8"/>
      <c r="J1775" s="8"/>
    </row>
    <row r="1776" ht="21.0" customHeight="1">
      <c r="A1776" s="6">
        <v>1.0</v>
      </c>
      <c r="B1776" s="6">
        <v>150.0</v>
      </c>
      <c r="C1776" s="6">
        <v>2.0</v>
      </c>
      <c r="D1776" s="9" t="s">
        <v>2351</v>
      </c>
      <c r="E1776" s="9" t="s">
        <v>2352</v>
      </c>
      <c r="F1776" s="8" t="str">
        <f>IFERROR(__xludf.DUMMYFUNCTION("GOOGLETRANSLATE(D1776,""zh-CN"",""vi"")"),"Hai khối xây dựng")</f>
        <v>Hai khối xây dựng</v>
      </c>
      <c r="G1776" s="8" t="str">
        <f>IFERROR(__xludf.DUMMYFUNCTION("GOOGLETRANSLATE(E1776,""zh-CN"",""vi"")"),"Hãy lắp ráp và kết hợp chúng để tạo ra vô số khả năng. Kết hợp chúng để có được Sương Mù Tím.")</f>
        <v>Hãy lắp ráp và kết hợp chúng để tạo ra vô số khả năng. Kết hợp chúng để có được Sương Mù Tím.</v>
      </c>
      <c r="H1776" s="8"/>
      <c r="I1776" s="8"/>
      <c r="J1776" s="8"/>
    </row>
    <row r="1777" ht="21.0" customHeight="1">
      <c r="A1777" s="6">
        <v>1.0</v>
      </c>
      <c r="B1777" s="6">
        <v>150.0</v>
      </c>
      <c r="C1777" s="6">
        <v>3.0</v>
      </c>
      <c r="D1777" s="9" t="s">
        <v>2353</v>
      </c>
      <c r="E1777" s="9" t="s">
        <v>2354</v>
      </c>
      <c r="F1777" s="8" t="str">
        <f>IFERROR(__xludf.DUMMYFUNCTION("GOOGLETRANSLATE(D1777,""zh-CN"",""vi"")"),"Sương Tím")</f>
        <v>Sương Tím</v>
      </c>
      <c r="G1777" s="8" t="str">
        <f>IFERROR(__xludf.DUMMYFUNCTION("GOOGLETRANSLATE(E1777,""zh-CN"",""vi"")"),"Hoa violet nở rộ giữa những khối xếp hình. Việc ghép chúng lại với nhau tạo nên nhân vật ""Chưa Yêu Nhau"".")</f>
        <v>Hoa violet nở rộ giữa những khối xếp hình. Việc ghép chúng lại với nhau tạo nên nhân vật "Chưa Yêu Nhau".</v>
      </c>
      <c r="H1777" s="8"/>
      <c r="I1777" s="8"/>
      <c r="J1777" s="8"/>
    </row>
    <row r="1778" ht="21.0" customHeight="1">
      <c r="A1778" s="6">
        <v>1.0</v>
      </c>
      <c r="B1778" s="6">
        <v>150.0</v>
      </c>
      <c r="C1778" s="6">
        <v>4.0</v>
      </c>
      <c r="D1778" s="9" t="s">
        <v>2355</v>
      </c>
      <c r="E1778" s="9" t="s">
        <v>2356</v>
      </c>
      <c r="F1778" s="8" t="str">
        <f>IFERROR(__xludf.DUMMYFUNCTION("GOOGLETRANSLATE(D1778,""zh-CN"",""vi"")"),"Chưa phải là người yêu")</f>
        <v>Chưa phải là người yêu</v>
      </c>
      <c r="G1778" s="8" t="str">
        <f>IFERROR(__xludf.DUMMYFUNCTION("GOOGLETRANSLATE(E1778,""zh-CN"",""vi"")"),"Một mùa đông ấm áp có thể chỉ cách bạn một món quà. Tự tay làm những món đồ này sẽ mang đến cho bạn sự ấm áp của mùa hè.")</f>
        <v>Một mùa đông ấm áp có thể chỉ cách bạn một món quà. Tự tay làm những món đồ này sẽ mang đến cho bạn sự ấm áp của mùa hè.</v>
      </c>
      <c r="H1778" s="8"/>
      <c r="I1778" s="8"/>
      <c r="J1778" s="8"/>
    </row>
    <row r="1779" ht="21.0" customHeight="1">
      <c r="A1779" s="6">
        <v>1.0</v>
      </c>
      <c r="B1779" s="6">
        <v>150.0</v>
      </c>
      <c r="C1779" s="6">
        <v>5.0</v>
      </c>
      <c r="D1779" s="9" t="s">
        <v>2357</v>
      </c>
      <c r="E1779" s="9" t="s">
        <v>2358</v>
      </c>
      <c r="F1779" s="8" t="str">
        <f>IFERROR(__xludf.DUMMYFUNCTION("GOOGLETRANSLATE(D1779,""zh-CN"",""vi"")"),"Niềm đam mê mùa hè")</f>
        <v>Niềm đam mê mùa hè</v>
      </c>
      <c r="G1779" s="8" t="str">
        <f>IFERROR(__xludf.DUMMYFUNCTION("GOOGLETRANSLATE(E1779,""zh-CN"",""vi"")"),"Hãy tự tạo nên mùa hè của riêng bạn. Kết hợp các khối hình hoa tulip để tạo ra tác phẩm của riêng mình.")</f>
        <v>Hãy tự tạo nên mùa hè của riêng bạn. Kết hợp các khối hình hoa tulip để tạo ra tác phẩm của riêng mình.</v>
      </c>
      <c r="H1779" s="8"/>
      <c r="I1779" s="8"/>
      <c r="J1779" s="8"/>
    </row>
    <row r="1780" ht="21.0" customHeight="1">
      <c r="A1780" s="6">
        <v>1.0</v>
      </c>
      <c r="B1780" s="6">
        <v>150.0</v>
      </c>
      <c r="C1780" s="6">
        <v>6.0</v>
      </c>
      <c r="D1780" s="9" t="s">
        <v>2359</v>
      </c>
      <c r="E1780" s="9" t="s">
        <v>2360</v>
      </c>
      <c r="F1780" s="8" t="str">
        <f>IFERROR(__xludf.DUMMYFUNCTION("GOOGLETRANSLATE(D1780,""zh-CN"",""vi"")"),"Khối xây dựng hình hoa tulip")</f>
        <v>Khối xây dựng hình hoa tulip</v>
      </c>
      <c r="G1780" s="8" t="str">
        <f>IFERROR(__xludf.DUMMYFUNCTION("GOOGLETRANSLATE(E1780,""zh-CN"",""vi"")"),"Trông như thật, bạn gần như có thể ngửi thấy mùi thơm. Ghép chúng lại với nhau để tạo thành một xe bán hamburger.")</f>
        <v>Trông như thật, bạn gần như có thể ngửi thấy mùi thơm. Ghép chúng lại với nhau để tạo thành một xe bán hamburger.</v>
      </c>
      <c r="H1780" s="8"/>
      <c r="I1780" s="8"/>
      <c r="J1780" s="8"/>
    </row>
    <row r="1781" ht="21.0" customHeight="1">
      <c r="A1781" s="6">
        <v>1.0</v>
      </c>
      <c r="B1781" s="6">
        <v>150.0</v>
      </c>
      <c r="C1781" s="6">
        <v>7.0</v>
      </c>
      <c r="D1781" s="9" t="s">
        <v>2361</v>
      </c>
      <c r="E1781" s="9" t="s">
        <v>2362</v>
      </c>
      <c r="F1781" s="8" t="str">
        <f>IFERROR(__xludf.DUMMYFUNCTION("GOOGLETRANSLATE(D1781,""zh-CN"",""vi"")"),"Xe đẩy bán hamburger")</f>
        <v>Xe đẩy bán hamburger</v>
      </c>
      <c r="G1781" s="8" t="str">
        <f>IFERROR(__xludf.DUMMYFUNCTION("GOOGLETRANSLATE(E1781,""zh-CN"",""vi"")"),"Sở hữu xe bán hamburger của riêng bạn trong vương quốc khối xếp hình. Kết hợp các khối để tạo ra những xe bán đồ ăn.")</f>
        <v>Sở hữu xe bán hamburger của riêng bạn trong vương quốc khối xếp hình. Kết hợp các khối để tạo ra những xe bán đồ ăn.</v>
      </c>
      <c r="H1781" s="8"/>
      <c r="I1781" s="8"/>
      <c r="J1781" s="8"/>
    </row>
    <row r="1782" ht="21.0" customHeight="1">
      <c r="A1782" s="6">
        <v>1.0</v>
      </c>
      <c r="B1782" s="6">
        <v>150.0</v>
      </c>
      <c r="C1782" s="6">
        <v>8.0</v>
      </c>
      <c r="D1782" s="9" t="s">
        <v>2363</v>
      </c>
      <c r="E1782" s="9" t="s">
        <v>2364</v>
      </c>
      <c r="F1782" s="8" t="str">
        <f>IFERROR(__xludf.DUMMYFUNCTION("GOOGLETRANSLATE(D1782,""zh-CN"",""vi"")"),"Xe đẩy thức ăn")</f>
        <v>Xe đẩy thức ăn</v>
      </c>
      <c r="G1782" s="8" t="str">
        <f>IFERROR(__xludf.DUMMYFUNCTION("GOOGLETRANSLATE(E1782,""zh-CN"",""vi"")"),"Mở cửa sổ xe và phục vụ thức ăn cho khách. Kết hợp các vật phẩm để nhận được Lâu đài Pha lê.")</f>
        <v>Mở cửa sổ xe và phục vụ thức ăn cho khách. Kết hợp các vật phẩm để nhận được Lâu đài Pha lê.</v>
      </c>
      <c r="H1782" s="8"/>
      <c r="I1782" s="8"/>
      <c r="J1782" s="8"/>
    </row>
    <row r="1783" ht="21.0" customHeight="1">
      <c r="A1783" s="6">
        <v>1.0</v>
      </c>
      <c r="B1783" s="6">
        <v>150.0</v>
      </c>
      <c r="C1783" s="6">
        <v>9.0</v>
      </c>
      <c r="D1783" s="9" t="s">
        <v>2365</v>
      </c>
      <c r="E1783" s="9" t="s">
        <v>2366</v>
      </c>
      <c r="F1783" s="8" t="str">
        <f>IFERROR(__xludf.DUMMYFUNCTION("GOOGLETRANSLATE(D1783,""zh-CN"",""vi"")"),"Lâu đài Pha lê")</f>
        <v>Lâu đài Pha lê</v>
      </c>
      <c r="G1783" s="8" t="str">
        <f>IFERROR(__xludf.DUMMYFUNCTION("GOOGLETRANSLATE(E1783,""zh-CN"",""vi"")"),"Vương quốc Khối xếp hình cũng tin vào những câu chuyện cổ tích. Hãy ghép các khối để tạo nên một ngôi nhà Giáng sinh.")</f>
        <v>Vương quốc Khối xếp hình cũng tin vào những câu chuyện cổ tích. Hãy ghép các khối để tạo nên một ngôi nhà Giáng sinh.</v>
      </c>
      <c r="H1783" s="8"/>
      <c r="I1783" s="8"/>
      <c r="J1783" s="8"/>
    </row>
    <row r="1784" ht="21.0" customHeight="1">
      <c r="A1784" s="6">
        <v>1.0</v>
      </c>
      <c r="B1784" s="6">
        <v>150.0</v>
      </c>
      <c r="C1784" s="6">
        <v>10.0</v>
      </c>
      <c r="D1784" s="9" t="s">
        <v>2367</v>
      </c>
      <c r="E1784" s="9" t="s">
        <v>2368</v>
      </c>
      <c r="F1784" s="8" t="str">
        <f>IFERROR(__xludf.DUMMYFUNCTION("GOOGLETRANSLATE(D1784,""zh-CN"",""vi"")"),"Ngôi nhà Giáng sinh")</f>
        <v>Ngôi nhà Giáng sinh</v>
      </c>
      <c r="G1784" s="8" t="str">
        <f>IFERROR(__xludf.DUMMYFUNCTION("GOOGLETRANSLATE(E1784,""zh-CN"",""vi"")"),"Không khí Giáng sinh hiện diện trong mọi mùa. Việc chế tạo các vật phẩm sẽ tạo ra những hộp quà Giáng sinh.")</f>
        <v>Không khí Giáng sinh hiện diện trong mọi mùa. Việc chế tạo các vật phẩm sẽ tạo ra những hộp quà Giáng sinh.</v>
      </c>
      <c r="H1784" s="8"/>
      <c r="I1784" s="8"/>
      <c r="J1784" s="8"/>
    </row>
    <row r="1785" ht="21.0" customHeight="1">
      <c r="A1785" s="6">
        <v>1.0</v>
      </c>
      <c r="B1785" s="6">
        <v>150.0</v>
      </c>
      <c r="C1785" s="6">
        <v>11.0</v>
      </c>
      <c r="D1785" s="9" t="s">
        <v>2369</v>
      </c>
      <c r="E1785" s="9" t="s">
        <v>2370</v>
      </c>
      <c r="F1785" s="8" t="str">
        <f>IFERROR(__xludf.DUMMYFUNCTION("GOOGLETRANSLATE(D1785,""zh-CN"",""vi"")"),"Hộp quà Giáng sinh")</f>
        <v>Hộp quà Giáng sinh</v>
      </c>
      <c r="G1785" s="8" t="str">
        <f>IFERROR(__xludf.DUMMYFUNCTION("GOOGLETRANSLATE(E1785,""zh-CN"",""vi"")"),"Ông già Noel và những món quà đang lao về phía bạn. Hãy ghép chúng lại để có được một ngôi nhà bánh gừng.")</f>
        <v>Ông già Noel và những món quà đang lao về phía bạn. Hãy ghép chúng lại để có được một ngôi nhà bánh gừng.</v>
      </c>
      <c r="H1785" s="8"/>
      <c r="I1785" s="8"/>
      <c r="J1785" s="8"/>
    </row>
    <row r="1786" ht="21.0" customHeight="1">
      <c r="A1786" s="6">
        <v>1.0</v>
      </c>
      <c r="B1786" s="6">
        <v>150.0</v>
      </c>
      <c r="C1786" s="6">
        <v>12.0</v>
      </c>
      <c r="D1786" s="9" t="s">
        <v>2371</v>
      </c>
      <c r="E1786" s="9" t="s">
        <v>2372</v>
      </c>
      <c r="F1786" s="8" t="str">
        <f>IFERROR(__xludf.DUMMYFUNCTION("GOOGLETRANSLATE(D1786,""zh-CN"",""vi"")"),"Ngôi nhà bánh gừng")</f>
        <v>Ngôi nhà bánh gừng</v>
      </c>
      <c r="G1786" s="8" t="str">
        <f>IFERROR(__xludf.DUMMYFUNCTION("GOOGLETRANSLATE(E1786,""zh-CN"",""vi"")"),"Bánh gừng nướng trong ngôi nhà bánh gừng có vị như thế nào? Tự tay làm bánh sẽ mang đến cho bạn đêm Giáng sinh.")</f>
        <v>Bánh gừng nướng trong ngôi nhà bánh gừng có vị như thế nào? Tự tay làm bánh sẽ mang đến cho bạn đêm Giáng sinh.</v>
      </c>
      <c r="H1786" s="8"/>
      <c r="I1786" s="8"/>
      <c r="J1786" s="8"/>
    </row>
    <row r="1787" ht="21.0" customHeight="1">
      <c r="A1787" s="6">
        <v>1.0</v>
      </c>
      <c r="B1787" s="6">
        <v>150.0</v>
      </c>
      <c r="C1787" s="6">
        <v>13.0</v>
      </c>
      <c r="D1787" s="9" t="s">
        <v>2373</v>
      </c>
      <c r="E1787" s="9" t="s">
        <v>2374</v>
      </c>
      <c r="F1787" s="8" t="str">
        <f>IFERROR(__xludf.DUMMYFUNCTION("GOOGLETRANSLATE(D1787,""zh-CN"",""vi"")"),"Đêm Giáng sinh")</f>
        <v>Đêm Giáng sinh</v>
      </c>
      <c r="G1787" s="8" t="str">
        <f>IFERROR(__xludf.DUMMYFUNCTION("GOOGLETRANSLATE(E1787,""zh-CN"",""vi"")"),"Hãy tận hưởng đêm Giáng sinh tuyệt vời này. (Cấp độ 100)")</f>
        <v>Hãy tận hưởng đêm Giáng sinh tuyệt vời này. (Cấp độ 100)</v>
      </c>
      <c r="H1787" s="8"/>
      <c r="I1787" s="8"/>
      <c r="J1787" s="8"/>
    </row>
    <row r="1788" ht="21.0" customHeight="1">
      <c r="A1788" s="6">
        <v>1.0</v>
      </c>
      <c r="B1788" s="6">
        <v>151.0</v>
      </c>
      <c r="C1788" s="6">
        <v>1.0</v>
      </c>
      <c r="D1788" s="9" t="s">
        <v>2375</v>
      </c>
      <c r="E1788" s="9" t="s">
        <v>2376</v>
      </c>
      <c r="F1788" s="8" t="str">
        <f>IFERROR(__xludf.DUMMYFUNCTION("GOOGLETRANSLATE(D1788,""zh-CN"",""vi"")"),"Pháo nhỏ")</f>
        <v>Pháo nhỏ</v>
      </c>
      <c r="G1788" s="8" t="str">
        <f>IFERROR(__xludf.DUMMYFUNCTION("GOOGLETRANSLATE(E1788,""zh-CN"",""vi"")"),"Món đồ chơi phổ biến nhất trong dịp Tết Nguyên Đán của tuổi thơ. Kết hợp chúng lại để có được một cây đũa phép thẳng.")</f>
        <v>Món đồ chơi phổ biến nhất trong dịp Tết Nguyên Đán của tuổi thơ. Kết hợp chúng lại để có được một cây đũa phép thẳng.</v>
      </c>
      <c r="H1788" s="8"/>
      <c r="I1788" s="8"/>
      <c r="J1788" s="8"/>
    </row>
    <row r="1789" ht="21.0" customHeight="1">
      <c r="A1789" s="6">
        <v>1.0</v>
      </c>
      <c r="B1789" s="6">
        <v>151.0</v>
      </c>
      <c r="C1789" s="6">
        <v>2.0</v>
      </c>
      <c r="D1789" s="9" t="s">
        <v>2377</v>
      </c>
      <c r="E1789" s="9" t="s">
        <v>2378</v>
      </c>
      <c r="F1789" s="8" t="str">
        <f>IFERROR(__xludf.DUMMYFUNCTION("GOOGLETRANSLATE(D1789,""zh-CN"",""vi"")"),"Đũa thần tiên thẳng")</f>
        <v>Đũa thần tiên thẳng</v>
      </c>
      <c r="G1789" s="8" t="str">
        <f>IFERROR(__xludf.DUMMYFUNCTION("GOOGLETRANSLATE(E1789,""zh-CN"",""vi"")"),"Một loại pháo hoa chỉ dành riêng cho tiên nữ. Kết hợp chúng để có được một cây đũa phép hình trái tim.")</f>
        <v>Một loại pháo hoa chỉ dành riêng cho tiên nữ. Kết hợp chúng để có được một cây đũa phép hình trái tim.</v>
      </c>
      <c r="H1789" s="8"/>
      <c r="I1789" s="8"/>
      <c r="J1789" s="8"/>
    </row>
    <row r="1790" ht="21.0" customHeight="1">
      <c r="A1790" s="6">
        <v>1.0</v>
      </c>
      <c r="B1790" s="6">
        <v>151.0</v>
      </c>
      <c r="C1790" s="6">
        <v>3.0</v>
      </c>
      <c r="D1790" s="9" t="s">
        <v>2379</v>
      </c>
      <c r="E1790" s="9" t="s">
        <v>2380</v>
      </c>
      <c r="F1790" s="8" t="str">
        <f>IFERROR(__xludf.DUMMYFUNCTION("GOOGLETRANSLATE(D1790,""zh-CN"",""vi"")"),"đũa phép hình trái tim")</f>
        <v>đũa phép hình trái tim</v>
      </c>
      <c r="G1790" s="8" t="str">
        <f>IFERROR(__xludf.DUMMYFUNCTION("GOOGLETRANSLATE(E1790,""zh-CN"",""vi"")"),"Cây trượng bí mật phát sáng của Bà Tiên đỡ đầu. Khi kết hợp lại, nó tạo ra một quả pháo ""May mắn"".")</f>
        <v>Cây trượng bí mật phát sáng của Bà Tiên đỡ đầu. Khi kết hợp lại, nó tạo ra một quả pháo "May mắn".</v>
      </c>
      <c r="H1790" s="8"/>
      <c r="I1790" s="8"/>
      <c r="J1790" s="8"/>
    </row>
    <row r="1791" ht="21.0" customHeight="1">
      <c r="A1791" s="6">
        <v>1.0</v>
      </c>
      <c r="B1791" s="6">
        <v>151.0</v>
      </c>
      <c r="C1791" s="6">
        <v>4.0</v>
      </c>
      <c r="D1791" s="9" t="s">
        <v>2381</v>
      </c>
      <c r="E1791" s="9" t="s">
        <v>2382</v>
      </c>
      <c r="F1791" s="8" t="str">
        <f>IFERROR(__xludf.DUMMYFUNCTION("GOOGLETRANSLATE(D1791,""zh-CN"",""vi"")"),"Pháo hoa có chữ ""福"" (Phúc)")</f>
        <v>Pháo hoa có chữ "福" (Phúc)</v>
      </c>
      <c r="G1791" s="8" t="str">
        <f>IFERROR(__xludf.DUMMYFUNCTION("GOOGLETRANSLATE(E1791,""zh-CN"",""vi"")"),"Tiếng nổ của pháo hoa mang lại may mắn cho cả năm. Kết hợp nhiều quả pháo lại với nhau sẽ tạo ra một màn pháo hoa rực rỡ.")</f>
        <v>Tiếng nổ của pháo hoa mang lại may mắn cho cả năm. Kết hợp nhiều quả pháo lại với nhau sẽ tạo ra một màn pháo hoa rực rỡ.</v>
      </c>
      <c r="H1791" s="8"/>
      <c r="I1791" s="8"/>
      <c r="J1791" s="8"/>
    </row>
    <row r="1792" ht="21.0" customHeight="1">
      <c r="A1792" s="6">
        <v>1.0</v>
      </c>
      <c r="B1792" s="6">
        <v>151.0</v>
      </c>
      <c r="C1792" s="6">
        <v>5.0</v>
      </c>
      <c r="D1792" s="9" t="s">
        <v>2383</v>
      </c>
      <c r="E1792" s="9" t="s">
        <v>2384</v>
      </c>
      <c r="F1792" s="8" t="str">
        <f>IFERROR(__xludf.DUMMYFUNCTION("GOOGLETRANSLATE(D1792,""zh-CN"",""vi"")"),"Tên lửa phóng lên")</f>
        <v>Tên lửa phóng lên</v>
      </c>
      <c r="G1792" s="8" t="str">
        <f>IFERROR(__xludf.DUMMYFUNCTION("GOOGLETRANSLATE(E1792,""zh-CN"",""vi"")"),"Đúng như tên gọi, rất khó tìm lại nó một khi đã biến mất. Nó có thể được kết hợp để tạo thành một tên lửa nhỏ.")</f>
        <v>Đúng như tên gọi, rất khó tìm lại nó một khi đã biến mất. Nó có thể được kết hợp để tạo thành một tên lửa nhỏ.</v>
      </c>
      <c r="H1792" s="8"/>
      <c r="I1792" s="8"/>
      <c r="J1792" s="8"/>
    </row>
    <row r="1793" ht="21.0" customHeight="1">
      <c r="A1793" s="6">
        <v>1.0</v>
      </c>
      <c r="B1793" s="6">
        <v>151.0</v>
      </c>
      <c r="C1793" s="6">
        <v>6.0</v>
      </c>
      <c r="D1793" s="9" t="s">
        <v>2385</v>
      </c>
      <c r="E1793" s="9" t="s">
        <v>2386</v>
      </c>
      <c r="F1793" s="8" t="str">
        <f>IFERROR(__xludf.DUMMYFUNCTION("GOOGLETRANSLATE(D1793,""zh-CN"",""vi"")"),"Tên lửa nhỏ")</f>
        <v>Tên lửa nhỏ</v>
      </c>
      <c r="G1793" s="8" t="str">
        <f>IFERROR(__xludf.DUMMYFUNCTION("GOOGLETRANSLATE(E1793,""zh-CN"",""vi"")"),"Có hình dạng như tên lửa, nó bay rất cao! Bạn có thể kết hợp chúng lại để tạo thành pháo hoa hình con thỏ.")</f>
        <v>Có hình dạng như tên lửa, nó bay rất cao! Bạn có thể kết hợp chúng lại để tạo thành pháo hoa hình con thỏ.</v>
      </c>
      <c r="H1793" s="8"/>
      <c r="I1793" s="8"/>
      <c r="J1793" s="8"/>
    </row>
    <row r="1794" ht="21.0" customHeight="1">
      <c r="A1794" s="6">
        <v>1.0</v>
      </c>
      <c r="B1794" s="6">
        <v>151.0</v>
      </c>
      <c r="C1794" s="6">
        <v>7.0</v>
      </c>
      <c r="D1794" s="9" t="s">
        <v>2387</v>
      </c>
      <c r="E1794" s="9" t="s">
        <v>2388</v>
      </c>
      <c r="F1794" s="8" t="str">
        <f>IFERROR(__xludf.DUMMYFUNCTION("GOOGLETRANSLATE(D1794,""zh-CN"",""vi"")"),"Pháo hoa hình con thỏ")</f>
        <v>Pháo hoa hình con thỏ</v>
      </c>
      <c r="G1794" s="8" t="str">
        <f>IFERROR(__xludf.DUMMYFUNCTION("GOOGLETRANSLATE(E1794,""zh-CN"",""vi"")"),"Những quả pháo này trông khá kỳ lạ. Bạn có thể kết hợp chúng lại để tạo thành một quả pháo hoa khổng lồ.")</f>
        <v>Những quả pháo này trông khá kỳ lạ. Bạn có thể kết hợp chúng lại để tạo thành một quả pháo hoa khổng lồ.</v>
      </c>
      <c r="H1794" s="8"/>
      <c r="I1794" s="8"/>
      <c r="J1794" s="8"/>
    </row>
    <row r="1795" ht="21.0" customHeight="1">
      <c r="A1795" s="6">
        <v>1.0</v>
      </c>
      <c r="B1795" s="6">
        <v>151.0</v>
      </c>
      <c r="C1795" s="6">
        <v>8.0</v>
      </c>
      <c r="D1795" s="9" t="s">
        <v>2389</v>
      </c>
      <c r="E1795" s="9" t="s">
        <v>2390</v>
      </c>
      <c r="F1795" s="8" t="str">
        <f>IFERROR(__xludf.DUMMYFUNCTION("GOOGLETRANSLATE(D1795,""zh-CN"",""vi"")"),"Tên lửa phóng lên")</f>
        <v>Tên lửa phóng lên</v>
      </c>
      <c r="G1795" s="8" t="str">
        <f>IFERROR(__xludf.DUMMYFUNCTION("GOOGLETRANSLATE(E1795,""zh-CN"",""vi"")"),"Có vẻ như tôi vừa thấy một con thỏ biết bay lao ra. Bạn có thể chế tạo hộp pháo hoa bằng cách kết hợp chúng.")</f>
        <v>Có vẻ như tôi vừa thấy một con thỏ biết bay lao ra. Bạn có thể chế tạo hộp pháo hoa bằng cách kết hợp chúng.</v>
      </c>
      <c r="H1795" s="8"/>
      <c r="I1795" s="8"/>
      <c r="J1795" s="8"/>
    </row>
    <row r="1796" ht="21.0" customHeight="1">
      <c r="A1796" s="6">
        <v>1.0</v>
      </c>
      <c r="B1796" s="6">
        <v>151.0</v>
      </c>
      <c r="C1796" s="6">
        <v>9.0</v>
      </c>
      <c r="D1796" s="9" t="s">
        <v>2391</v>
      </c>
      <c r="E1796" s="9" t="s">
        <v>2392</v>
      </c>
      <c r="F1796" s="8" t="str">
        <f>IFERROR(__xludf.DUMMYFUNCTION("GOOGLETRANSLATE(D1796,""zh-CN"",""vi"")"),"Hộp pháo hoa")</f>
        <v>Hộp pháo hoa</v>
      </c>
      <c r="G1796" s="8" t="str">
        <f>IFERROR(__xludf.DUMMYFUNCTION("GOOGLETRANSLATE(E1796,""zh-CN"",""vi"")"),"Những quả pháo hình thỏ nằm ngay ngắn thành một hàng. Kết hợp chúng lại để thu được Đất Đỏ.")</f>
        <v>Những quả pháo hình thỏ nằm ngay ngắn thành một hàng. Kết hợp chúng lại để thu được Đất Đỏ.</v>
      </c>
      <c r="H1796" s="8"/>
      <c r="I1796" s="8"/>
      <c r="J1796" s="8"/>
    </row>
    <row r="1797" ht="21.0" customHeight="1">
      <c r="A1797" s="6">
        <v>1.0</v>
      </c>
      <c r="B1797" s="6">
        <v>151.0</v>
      </c>
      <c r="C1797" s="6">
        <v>10.0</v>
      </c>
      <c r="D1797" s="9" t="s">
        <v>2393</v>
      </c>
      <c r="E1797" s="9" t="s">
        <v>2394</v>
      </c>
      <c r="F1797" s="8" t="str">
        <f>IFERROR(__xludf.DUMMYFUNCTION("GOOGLETRANSLATE(D1797,""zh-CN"",""vi"")"),"Đất Đỏ")</f>
        <v>Đất Đỏ</v>
      </c>
      <c r="G1797" s="8" t="str">
        <f>IFERROR(__xludf.DUMMYFUNCTION("GOOGLETRANSLATE(E1797,""zh-CN"",""vi"")"),"Khi khói tan, mặt đất nhuộm đỏ cả mặt đất. Chế tạo vật phẩm này sẽ thu được một chiếc roi.")</f>
        <v>Khi khói tan, mặt đất nhuộm đỏ cả mặt đất. Chế tạo vật phẩm này sẽ thu được một chiếc roi.</v>
      </c>
      <c r="H1797" s="8"/>
      <c r="I1797" s="8"/>
      <c r="J1797" s="8"/>
    </row>
    <row r="1798" ht="21.0" customHeight="1">
      <c r="A1798" s="6">
        <v>1.0</v>
      </c>
      <c r="B1798" s="6">
        <v>151.0</v>
      </c>
      <c r="C1798" s="6">
        <v>11.0</v>
      </c>
      <c r="D1798" s="9" t="s">
        <v>2395</v>
      </c>
      <c r="E1798" s="9" t="s">
        <v>2396</v>
      </c>
      <c r="F1798" s="8" t="str">
        <f>IFERROR(__xludf.DUMMYFUNCTION("GOOGLETRANSLATE(D1798,""zh-CN"",""vi"")"),"roi treo")</f>
        <v>roi treo</v>
      </c>
      <c r="G1798" s="8" t="str">
        <f>IFERROR(__xludf.DUMMYFUNCTION("GOOGLETRANSLATE(E1798,""zh-CN"",""vi"")"),"Pháo hoa truyền thống được dùng để chào đón năm mới và mang lại may mắn. Chúng có thể được kết hợp để tạo ra pháo hoa cỡ trung bình.")</f>
        <v>Pháo hoa truyền thống được dùng để chào đón năm mới và mang lại may mắn. Chúng có thể được kết hợp để tạo ra pháo hoa cỡ trung bình.</v>
      </c>
      <c r="H1798" s="8"/>
      <c r="I1798" s="8"/>
      <c r="J1798" s="8"/>
    </row>
    <row r="1799" ht="21.0" customHeight="1">
      <c r="A1799" s="6">
        <v>1.0</v>
      </c>
      <c r="B1799" s="6">
        <v>151.0</v>
      </c>
      <c r="C1799" s="6">
        <v>12.0</v>
      </c>
      <c r="D1799" s="9" t="s">
        <v>2397</v>
      </c>
      <c r="E1799" s="9" t="s">
        <v>2398</v>
      </c>
      <c r="F1799" s="8" t="str">
        <f>IFERROR(__xludf.DUMMYFUNCTION("GOOGLETRANSLATE(D1799,""zh-CN"",""vi"")"),"Pháo hoa cỡ trung bình")</f>
        <v>Pháo hoa cỡ trung bình</v>
      </c>
      <c r="G1799" s="8" t="str">
        <f>IFERROR(__xludf.DUMMYFUNCTION("GOOGLETRANSLATE(E1799,""zh-CN"",""vi"")"),"Khởi đầu năm mới thật ngoạn mục. Kết hợp các yếu tố để tạo nên lời chào điện tử đầy ý nghĩa.")</f>
        <v>Khởi đầu năm mới thật ngoạn mục. Kết hợp các yếu tố để tạo nên lời chào điện tử đầy ý nghĩa.</v>
      </c>
      <c r="H1799" s="8"/>
      <c r="I1799" s="8"/>
      <c r="J1799" s="8"/>
    </row>
    <row r="1800" ht="21.0" customHeight="1">
      <c r="A1800" s="6">
        <v>1.0</v>
      </c>
      <c r="B1800" s="6">
        <v>151.0</v>
      </c>
      <c r="C1800" s="6">
        <v>13.0</v>
      </c>
      <c r="D1800" s="9" t="s">
        <v>2399</v>
      </c>
      <c r="E1800" s="9" t="s">
        <v>2400</v>
      </c>
      <c r="F1800" s="8" t="str">
        <f>IFERROR(__xludf.DUMMYFUNCTION("GOOGLETRANSLATE(D1800,""zh-CN"",""vi"")"),"Chào mừng điện tử")</f>
        <v>Chào mừng điện tử</v>
      </c>
      <c r="G1800" s="8" t="str">
        <f>IFERROR(__xludf.DUMMYFUNCTION("GOOGLETRANSLATE(E1800,""zh-CN"",""vi"")"),"Bạn có thể đón năm mới và bảo vệ môi trường cùng một lúc! (Đã được nâng cấp lên cấp độ cao nhất)")</f>
        <v>Bạn có thể đón năm mới và bảo vệ môi trường cùng một lúc! (Đã được nâng cấp lên cấp độ cao nhất)</v>
      </c>
      <c r="H1800" s="8"/>
      <c r="I1800" s="8"/>
      <c r="J1800" s="8"/>
    </row>
    <row r="1801" ht="21.0" customHeight="1">
      <c r="A1801" s="6">
        <v>1.0</v>
      </c>
      <c r="B1801" s="6">
        <v>152.0</v>
      </c>
      <c r="C1801" s="6">
        <v>1.0</v>
      </c>
      <c r="D1801" s="9" t="s">
        <v>2401</v>
      </c>
      <c r="E1801" s="9" t="s">
        <v>2402</v>
      </c>
      <c r="F1801" s="8" t="str">
        <f>IFERROR(__xludf.DUMMYFUNCTION("GOOGLETRANSLATE(D1801,""zh-CN"",""vi"")"),"Câu đối Tết Nguyên Đán - Thỏ")</f>
        <v>Câu đối Tết Nguyên Đán - Thỏ</v>
      </c>
      <c r="G1801" s="8" t="str">
        <f>IFERROR(__xludf.DUMMYFUNCTION("GOOGLETRANSLATE(E1801,""zh-CN"",""vi"")"),"Câu đối Tết Nguyên Đán có nội dung ""Năm Thỏ an lành"". Ghép hai câu này lại sẽ tạo thành câu đối Tết Nguyên Đán ""Năm"".")</f>
        <v>Câu đối Tết Nguyên Đán có nội dung "Năm Thỏ an lành". Ghép hai câu này lại sẽ tạo thành câu đối Tết Nguyên Đán "Năm".</v>
      </c>
      <c r="H1801" s="8"/>
      <c r="I1801" s="8"/>
      <c r="J1801" s="8"/>
    </row>
    <row r="1802" ht="21.0" customHeight="1">
      <c r="A1802" s="6">
        <v>1.0</v>
      </c>
      <c r="B1802" s="6">
        <v>152.0</v>
      </c>
      <c r="C1802" s="6">
        <v>2.0</v>
      </c>
      <c r="D1802" s="9" t="s">
        <v>2403</v>
      </c>
      <c r="E1802" s="9" t="s">
        <v>2404</v>
      </c>
      <c r="F1802" s="8" t="str">
        <f>IFERROR(__xludf.DUMMYFUNCTION("GOOGLETRANSLATE(D1802,""zh-CN"",""vi"")"),"Câu đối Tết Nguyên Đán - Năm")</f>
        <v>Câu đối Tết Nguyên Đán - Năm</v>
      </c>
      <c r="G1802" s="8" t="str">
        <f>IFERROR(__xludf.DUMMYFUNCTION("GOOGLETRANSLATE(E1802,""zh-CN"",""vi"")"),"Câu đối Tết Nguyên Đán ""Chúc năm mới Giáp Ngọ mang lại may mắn."" Ghép hai câu đối này lại sẽ được câu đối Tết Nguyên Đán ""May mắn.""")</f>
        <v>Câu đối Tết Nguyên Đán "Chúc năm mới Giáp Ngọ mang lại may mắn." Ghép hai câu đối này lại sẽ được câu đối Tết Nguyên Đán "May mắn."</v>
      </c>
      <c r="H1802" s="8"/>
      <c r="I1802" s="8"/>
      <c r="J1802" s="8"/>
    </row>
    <row r="1803" ht="21.0" customHeight="1">
      <c r="A1803" s="6">
        <v>1.0</v>
      </c>
      <c r="B1803" s="6">
        <v>152.0</v>
      </c>
      <c r="C1803" s="6">
        <v>3.0</v>
      </c>
      <c r="D1803" s="9" t="s">
        <v>2405</v>
      </c>
      <c r="E1803" s="9" t="s">
        <v>2406</v>
      </c>
      <c r="F1803" s="8" t="str">
        <f>IFERROR(__xludf.DUMMYFUNCTION("GOOGLETRANSLATE(D1803,""zh-CN"",""vi"")"),"Câu đối Tết Nguyên Đán - may mắn")</f>
        <v>Câu đối Tết Nguyên Đán - may mắn</v>
      </c>
      <c r="G1803" s="8" t="str">
        <f>IFERROR(__xludf.DUMMYFUNCTION("GOOGLETRANSLATE(E1803,""zh-CN"",""vi"")"),"Câu đối Tết Nguyên Đán ""Chúc năm mới Giáp Ngọ mang lại may mắn."" Ghép hai câu đối này lại sẽ được câu đối Tết Nguyên Đán ""May mắn.""")</f>
        <v>Câu đối Tết Nguyên Đán "Chúc năm mới Giáp Ngọ mang lại may mắn." Ghép hai câu đối này lại sẽ được câu đối Tết Nguyên Đán "May mắn."</v>
      </c>
      <c r="H1803" s="8"/>
      <c r="I1803" s="8"/>
      <c r="J1803" s="8"/>
    </row>
    <row r="1804" ht="21.0" customHeight="1">
      <c r="A1804" s="6">
        <v>1.0</v>
      </c>
      <c r="B1804" s="6">
        <v>152.0</v>
      </c>
      <c r="C1804" s="6">
        <v>4.0</v>
      </c>
      <c r="D1804" s="9" t="s">
        <v>2407</v>
      </c>
      <c r="E1804" s="9" t="s">
        <v>2408</v>
      </c>
      <c r="F1804" s="8" t="str">
        <f>IFERROR(__xludf.DUMMYFUNCTION("GOOGLETRANSLATE(D1804,""zh-CN"",""vi"")"),"Câu đối Tết Nguyên Đán - may mắn")</f>
        <v>Câu đối Tết Nguyên Đán - may mắn</v>
      </c>
      <c r="G1804" s="8" t="str">
        <f>IFERROR(__xludf.DUMMYFUNCTION("GOOGLETRANSLATE(E1804,""zh-CN"",""vi"")"),"Câu đối Tết Nguyên Đán ""Mong năm con Thỏ mang lại nhiều may mắn."" Ghép hai câu đối này lại sẽ được câu đối Tết Nguyên Đán ""恭"" (Gong).")</f>
        <v>Câu đối Tết Nguyên Đán "Mong năm con Thỏ mang lại nhiều may mắn." Ghép hai câu đối này lại sẽ được câu đối Tết Nguyên Đán "恭" (Gong).</v>
      </c>
      <c r="H1804" s="8"/>
      <c r="I1804" s="8"/>
      <c r="J1804" s="8"/>
    </row>
    <row r="1805" ht="21.0" customHeight="1">
      <c r="A1805" s="6">
        <v>1.0</v>
      </c>
      <c r="B1805" s="6">
        <v>152.0</v>
      </c>
      <c r="C1805" s="6">
        <v>5.0</v>
      </c>
      <c r="D1805" s="9" t="s">
        <v>2409</v>
      </c>
      <c r="E1805" s="9" t="s">
        <v>2410</v>
      </c>
      <c r="F1805" s="8" t="str">
        <f>IFERROR(__xludf.DUMMYFUNCTION("GOOGLETRANSLATE(D1805,""zh-CN"",""vi"")"),"Câu đối Tết Nguyên Đán - trân trọng")</f>
        <v>Câu đối Tết Nguyên Đán - trân trọng</v>
      </c>
      <c r="G1805" s="8" t="str">
        <f>IFERROR(__xludf.DUMMYFUNCTION("GOOGLETRANSLATE(E1805,""zh-CN"",""vi"")"),"Câu đối Tết Nguyên Đán ""Chúc bạn thịnh vượng"" có thể được ghép lại thành câu đối Tết Nguyên Đán ""Niềm vui"".")</f>
        <v>Câu đối Tết Nguyên Đán "Chúc bạn thịnh vượng" có thể được ghép lại thành câu đối Tết Nguyên Đán "Niềm vui".</v>
      </c>
      <c r="H1805" s="8"/>
      <c r="I1805" s="8"/>
      <c r="J1805" s="8"/>
    </row>
    <row r="1806" ht="21.0" customHeight="1">
      <c r="A1806" s="6">
        <v>1.0</v>
      </c>
      <c r="B1806" s="6">
        <v>152.0</v>
      </c>
      <c r="C1806" s="6">
        <v>6.0</v>
      </c>
      <c r="D1806" s="9" t="s">
        <v>2411</v>
      </c>
      <c r="E1806" s="9" t="s">
        <v>2412</v>
      </c>
      <c r="F1806" s="8" t="str">
        <f>IFERROR(__xludf.DUMMYFUNCTION("GOOGLETRANSLATE(D1806,""zh-CN"",""vi"")"),"Câu đối Tết Nguyên Đán - niềm vui")</f>
        <v>Câu đối Tết Nguyên Đán - niềm vui</v>
      </c>
      <c r="G1806" s="8" t="str">
        <f>IFERROR(__xludf.DUMMYFUNCTION("GOOGLETRANSLATE(E1806,""zh-CN"",""vi"")"),"Câu đối Tết Nguyên Đán ""Chúc bạn thịnh vượng"" có thể được ghép lại thành câu đối Tết Nguyên Đán ""Thịnh vượng"".")</f>
        <v>Câu đối Tết Nguyên Đán "Chúc bạn thịnh vượng" có thể được ghép lại thành câu đối Tết Nguyên Đán "Thịnh vượng".</v>
      </c>
      <c r="H1806" s="8"/>
      <c r="I1806" s="8"/>
      <c r="J1806" s="8"/>
    </row>
    <row r="1807" ht="21.0" customHeight="1">
      <c r="A1807" s="6">
        <v>1.0</v>
      </c>
      <c r="B1807" s="6">
        <v>152.0</v>
      </c>
      <c r="C1807" s="6">
        <v>7.0</v>
      </c>
      <c r="D1807" s="9" t="s">
        <v>2413</v>
      </c>
      <c r="E1807" s="9" t="s">
        <v>2414</v>
      </c>
      <c r="F1807" s="8" t="str">
        <f>IFERROR(__xludf.DUMMYFUNCTION("GOOGLETRANSLATE(D1807,""zh-CN"",""vi"")"),"Câu đối Tết Nguyên Đán -")</f>
        <v>Câu đối Tết Nguyên Đán -</v>
      </c>
      <c r="G1807" s="8" t="str">
        <f>IFERROR(__xludf.DUMMYFUNCTION("GOOGLETRANSLATE(E1807,""zh-CN"",""vi"")"),"Câu đối Tết Nguyên Đán ""Chúc bạn thịnh vượng"" có thể được ghép lại thành câu đối Tết Nguyên Đán ""Giàu có"".")</f>
        <v>Câu đối Tết Nguyên Đán "Chúc bạn thịnh vượng" có thể được ghép lại thành câu đối Tết Nguyên Đán "Giàu có".</v>
      </c>
      <c r="H1807" s="8"/>
      <c r="I1807" s="8"/>
      <c r="J1807" s="8"/>
    </row>
    <row r="1808" ht="21.0" customHeight="1">
      <c r="A1808" s="6">
        <v>1.0</v>
      </c>
      <c r="B1808" s="6">
        <v>152.0</v>
      </c>
      <c r="C1808" s="6">
        <v>8.0</v>
      </c>
      <c r="D1808" s="9" t="s">
        <v>2415</v>
      </c>
      <c r="E1808" s="9" t="s">
        <v>2416</v>
      </c>
      <c r="F1808" s="8" t="str">
        <f>IFERROR(__xludf.DUMMYFUNCTION("GOOGLETRANSLATE(D1808,""zh-CN"",""vi"")"),"Câu đối Tết Nguyên Đán - sự giàu sang")</f>
        <v>Câu đối Tết Nguyên Đán - sự giàu sang</v>
      </c>
      <c r="G1808" s="8" t="str">
        <f>IFERROR(__xludf.DUMMYFUNCTION("GOOGLETRANSLATE(E1808,""zh-CN"",""vi"")"),"Câu đối Tết Nguyên Đán ""Chúc bạn thịnh vượng"" có thể được kết hợp để tạo thành một câu đối Tết mới.")</f>
        <v>Câu đối Tết Nguyên Đán "Chúc bạn thịnh vượng" có thể được kết hợp để tạo thành một câu đối Tết mới.</v>
      </c>
      <c r="H1808" s="8"/>
      <c r="I1808" s="8"/>
      <c r="J1808" s="8"/>
    </row>
    <row r="1809" ht="21.0" customHeight="1">
      <c r="A1809" s="6">
        <v>1.0</v>
      </c>
      <c r="B1809" s="6">
        <v>152.0</v>
      </c>
      <c r="C1809" s="6">
        <v>9.0</v>
      </c>
      <c r="D1809" s="9" t="s">
        <v>2417</v>
      </c>
      <c r="E1809" s="9" t="s">
        <v>2418</v>
      </c>
      <c r="F1809" s="8" t="str">
        <f>IFERROR(__xludf.DUMMYFUNCTION("GOOGLETRANSLATE(D1809,""zh-CN"",""vi"")"),"Câu đối Tết Nguyên Đán - mới")</f>
        <v>Câu đối Tết Nguyên Đán - mới</v>
      </c>
      <c r="G1809" s="8" t="str">
        <f>IFERROR(__xludf.DUMMYFUNCTION("GOOGLETRANSLATE(E1809,""zh-CN"",""vi"")"),"Câu đối Tết Nguyên Đán: Chúc mừng năm mới. Kết hợp để được câu đối Tết Nguyên Đán - Mùa xuân.")</f>
        <v>Câu đối Tết Nguyên Đán: Chúc mừng năm mới. Kết hợp để được câu đối Tết Nguyên Đán - Mùa xuân.</v>
      </c>
      <c r="H1809" s="8"/>
      <c r="I1809" s="8"/>
      <c r="J1809" s="8"/>
    </row>
    <row r="1810" ht="21.0" customHeight="1">
      <c r="A1810" s="6">
        <v>1.0</v>
      </c>
      <c r="B1810" s="6">
        <v>152.0</v>
      </c>
      <c r="C1810" s="6">
        <v>10.0</v>
      </c>
      <c r="D1810" s="9" t="s">
        <v>2419</v>
      </c>
      <c r="E1810" s="9" t="s">
        <v>2420</v>
      </c>
      <c r="F1810" s="8" t="str">
        <f>IFERROR(__xludf.DUMMYFUNCTION("GOOGLETRANSLATE(D1810,""zh-CN"",""vi"")"),"Những câu thơ mùa xuân - Mùa xuân")</f>
        <v>Những câu thơ mùa xuân - Mùa xuân</v>
      </c>
      <c r="G1810" s="8" t="str">
        <f>IFERROR(__xludf.DUMMYFUNCTION("GOOGLETRANSLATE(E1810,""zh-CN"",""vi"")"),"Câu đối Tết Nguyên Đán: Chúc mừng năm mới. Ghép các câu để được câu đối Tết Nguyên Đán - Nhanh chóng.")</f>
        <v>Câu đối Tết Nguyên Đán: Chúc mừng năm mới. Ghép các câu để được câu đối Tết Nguyên Đán - Nhanh chóng.</v>
      </c>
      <c r="H1810" s="8"/>
      <c r="I1810" s="8"/>
      <c r="J1810" s="8"/>
    </row>
    <row r="1811" ht="21.0" customHeight="1">
      <c r="A1811" s="6">
        <v>1.0</v>
      </c>
      <c r="B1811" s="6">
        <v>152.0</v>
      </c>
      <c r="C1811" s="6">
        <v>11.0</v>
      </c>
      <c r="D1811" s="9" t="s">
        <v>2421</v>
      </c>
      <c r="E1811" s="9" t="s">
        <v>2422</v>
      </c>
      <c r="F1811" s="8" t="str">
        <f>IFERROR(__xludf.DUMMYFUNCTION("GOOGLETRANSLATE(D1811,""zh-CN"",""vi"")"),"Câu đối Tết Nguyên Đán - nhanh")</f>
        <v>Câu đối Tết Nguyên Đán - nhanh</v>
      </c>
      <c r="G1811" s="8" t="str">
        <f>IFERROR(__xludf.DUMMYFUNCTION("GOOGLETRANSLATE(E1811,""zh-CN"",""vi"")"),"Câu đối Tết Nguyên Đán có nội dung ""Chúc mừng năm mới"". Ghép hai câu này lại sẽ tạo thành câu đối Tết Nguyên Đán ""Niềm vui"".")</f>
        <v>Câu đối Tết Nguyên Đán có nội dung "Chúc mừng năm mới". Ghép hai câu này lại sẽ tạo thành câu đối Tết Nguyên Đán "Niềm vui".</v>
      </c>
      <c r="H1811" s="8"/>
      <c r="I1811" s="8"/>
      <c r="J1811" s="8"/>
    </row>
    <row r="1812" ht="21.0" customHeight="1">
      <c r="A1812" s="6">
        <v>1.0</v>
      </c>
      <c r="B1812" s="6">
        <v>152.0</v>
      </c>
      <c r="C1812" s="6">
        <v>12.0</v>
      </c>
      <c r="D1812" s="9" t="s">
        <v>2423</v>
      </c>
      <c r="E1812" s="9" t="s">
        <v>2424</v>
      </c>
      <c r="F1812" s="8" t="str">
        <f>IFERROR(__xludf.DUMMYFUNCTION("GOOGLETRANSLATE(D1812,""zh-CN"",""vi"")"),"Câu đối Tết Nguyên Đán - âm nhạc")</f>
        <v>Câu đối Tết Nguyên Đán - âm nhạc</v>
      </c>
      <c r="G1812" s="8" t="str">
        <f>IFERROR(__xludf.DUMMYFUNCTION("GOOGLETRANSLATE(E1812,""zh-CN"",""vi"")"),"Câu đối chúc mừng năm mới âm lịch. Ghép chúng lại sẽ tạo thành câu đối ""Phúc"" (Fu) viết ngược.")</f>
        <v>Câu đối chúc mừng năm mới âm lịch. Ghép chúng lại sẽ tạo thành câu đối "Phúc" (Fu) viết ngược.</v>
      </c>
      <c r="H1812" s="8"/>
      <c r="I1812" s="8"/>
      <c r="J1812" s="8"/>
    </row>
    <row r="1813" ht="21.0" customHeight="1">
      <c r="A1813" s="6">
        <v>1.0</v>
      </c>
      <c r="B1813" s="6">
        <v>152.0</v>
      </c>
      <c r="C1813" s="6">
        <v>13.0</v>
      </c>
      <c r="D1813" s="9" t="s">
        <v>2425</v>
      </c>
      <c r="E1813" s="9" t="s">
        <v>2426</v>
      </c>
      <c r="F1813" s="8" t="str">
        <f>IFERROR(__xludf.DUMMYFUNCTION("GOOGLETRANSLATE(D1813,""zh-CN"",""vi"")"),"Câu đối Tết Nguyên Đán - chữ ""福"" (phúc) viết ngược.")</f>
        <v>Câu đối Tết Nguyên Đán - chữ "福" (phúc) viết ngược.</v>
      </c>
      <c r="G1813" s="8" t="str">
        <f>IFERROR(__xludf.DUMMYFUNCTION("GOOGLETRANSLATE(E1813,""zh-CN"",""vi"")"),"Vận may đã đến! Vận may đã xuất hiện! Nó đã đạt đến đỉnh cao nhất.")</f>
        <v>Vận may đã đến! Vận may đã xuất hiện! Nó đã đạt đến đỉnh cao nhất.</v>
      </c>
      <c r="H1813" s="8"/>
      <c r="I1813" s="8"/>
      <c r="J1813" s="8"/>
    </row>
    <row r="1814" ht="21.0" customHeight="1">
      <c r="A1814" s="6">
        <v>1.0</v>
      </c>
      <c r="B1814" s="6">
        <v>153.0</v>
      </c>
      <c r="C1814" s="6">
        <v>1.0</v>
      </c>
      <c r="D1814" s="9" t="s">
        <v>2427</v>
      </c>
      <c r="E1814" s="9" t="s">
        <v>2428</v>
      </c>
      <c r="F1814" s="8" t="str">
        <f>IFERROR(__xludf.DUMMYFUNCTION("GOOGLETRANSLATE(D1814,""zh-CN"",""vi"")"),"vụn tre")</f>
        <v>vụn tre</v>
      </c>
      <c r="G1814" s="8" t="str">
        <f>IFERROR(__xludf.DUMMYFUNCTION("GOOGLETRANSLATE(E1814,""zh-CN"",""vi"")"),"Có thể kết hợp nhiều đoạn tre uốn cong để tạo thành giá đỡ đèn lồng.")</f>
        <v>Có thể kết hợp nhiều đoạn tre uốn cong để tạo thành giá đỡ đèn lồng.</v>
      </c>
      <c r="H1814" s="8"/>
      <c r="I1814" s="8"/>
      <c r="J1814" s="8"/>
    </row>
    <row r="1815" ht="21.0" customHeight="1">
      <c r="A1815" s="6">
        <v>1.0</v>
      </c>
      <c r="B1815" s="6">
        <v>153.0</v>
      </c>
      <c r="C1815" s="6">
        <v>2.0</v>
      </c>
      <c r="D1815" s="9" t="s">
        <v>2429</v>
      </c>
      <c r="E1815" s="9" t="s">
        <v>2430</v>
      </c>
      <c r="F1815" s="8" t="str">
        <f>IFERROR(__xludf.DUMMYFUNCTION("GOOGLETRANSLATE(D1815,""zh-CN"",""vi"")"),"Giá đỡ đèn lồng")</f>
        <v>Giá đỡ đèn lồng</v>
      </c>
      <c r="G1815" s="8" t="str">
        <f>IFERROR(__xludf.DUMMYFUNCTION("GOOGLETRANSLATE(E1815,""zh-CN"",""vi"")"),"Các cánh hoa và phần đỡ đan xen vào nhau. Kết hợp chúng lại để tạo thành hình dạng cơ bản của một chiếc đèn lồng.")</f>
        <v>Các cánh hoa và phần đỡ đan xen vào nhau. Kết hợp chúng lại để tạo thành hình dạng cơ bản của một chiếc đèn lồng.</v>
      </c>
      <c r="H1815" s="8"/>
      <c r="I1815" s="8"/>
      <c r="J1815" s="8"/>
    </row>
    <row r="1816" ht="21.0" customHeight="1">
      <c r="A1816" s="6">
        <v>1.0</v>
      </c>
      <c r="B1816" s="6">
        <v>153.0</v>
      </c>
      <c r="C1816" s="6">
        <v>3.0</v>
      </c>
      <c r="D1816" s="9" t="s">
        <v>2431</v>
      </c>
      <c r="E1816" s="9" t="s">
        <v>2432</v>
      </c>
      <c r="F1816" s="8" t="str">
        <f>IFERROR(__xludf.DUMMYFUNCTION("GOOGLETRANSLATE(D1816,""zh-CN"",""vi"")"),"Nguyên mẫu của một chiếc đèn lồng")</f>
        <v>Nguyên mẫu của một chiếc đèn lồng</v>
      </c>
      <c r="G1816" s="8" t="str">
        <f>IFERROR(__xludf.DUMMYFUNCTION("GOOGLETRANSLATE(E1816,""zh-CN"",""vi"")"),"Chiếc đèn lồng hình nụ hoa trong tay người thợ thủ công trông rất sống động. Kết hợp chúng lại sẽ tạo thành một chiếc đèn lồng sen cầm tay.")</f>
        <v>Chiếc đèn lồng hình nụ hoa trong tay người thợ thủ công trông rất sống động. Kết hợp chúng lại sẽ tạo thành một chiếc đèn lồng sen cầm tay.</v>
      </c>
      <c r="H1816" s="8"/>
      <c r="I1816" s="8"/>
      <c r="J1816" s="8"/>
    </row>
    <row r="1817" ht="21.0" customHeight="1">
      <c r="A1817" s="6">
        <v>1.0</v>
      </c>
      <c r="B1817" s="6">
        <v>153.0</v>
      </c>
      <c r="C1817" s="6">
        <v>4.0</v>
      </c>
      <c r="D1817" s="9" t="s">
        <v>2433</v>
      </c>
      <c r="E1817" s="9" t="s">
        <v>2434</v>
      </c>
      <c r="F1817" s="8" t="str">
        <f>IFERROR(__xludf.DUMMYFUNCTION("GOOGLETRANSLATE(D1817,""zh-CN"",""vi"")"),"Đèn lồng hoa sen cầm tay")</f>
        <v>Đèn lồng hoa sen cầm tay</v>
      </c>
      <c r="G1817" s="8" t="str">
        <f>IFERROR(__xludf.DUMMYFUNCTION("GOOGLETRANSLATE(E1817,""zh-CN"",""vi"")"),"Với tay cầm, bạn có thể dễ dàng mang theo. Việc chế tạo nó sẽ cho phép bạn thắp sáng một chiếc đèn lồng hình hoa sen.")</f>
        <v>Với tay cầm, bạn có thể dễ dàng mang theo. Việc chế tạo nó sẽ cho phép bạn thắp sáng một chiếc đèn lồng hình hoa sen.</v>
      </c>
      <c r="H1817" s="8"/>
      <c r="I1817" s="8"/>
      <c r="J1817" s="8"/>
    </row>
    <row r="1818" ht="21.0" customHeight="1">
      <c r="A1818" s="6">
        <v>1.0</v>
      </c>
      <c r="B1818" s="6">
        <v>153.0</v>
      </c>
      <c r="C1818" s="6">
        <v>5.0</v>
      </c>
      <c r="D1818" s="9" t="s">
        <v>2435</v>
      </c>
      <c r="E1818" s="9" t="s">
        <v>2436</v>
      </c>
      <c r="F1818" s="8" t="str">
        <f>IFERROR(__xludf.DUMMYFUNCTION("GOOGLETRANSLATE(D1818,""zh-CN"",""vi"")"),"Hãy thắp sáng những chiếc đèn lồng hoa sen.")</f>
        <v>Hãy thắp sáng những chiếc đèn lồng hoa sen.</v>
      </c>
      <c r="G1818" s="8" t="str">
        <f>IFERROR(__xludf.DUMMYFUNCTION("GOOGLETRANSLATE(E1818,""zh-CN"",""vi"")"),"Mỗi người đều có một ""Đèn lồng sen"". Chúng có thể được kết hợp để tạo thành một chiếc đèn lồng bằng vải gạc.")</f>
        <v>Mỗi người đều có một "Đèn lồng sen". Chúng có thể được kết hợp để tạo thành một chiếc đèn lồng bằng vải gạc.</v>
      </c>
      <c r="H1818" s="8"/>
      <c r="I1818" s="8"/>
      <c r="J1818" s="8"/>
    </row>
    <row r="1819" ht="21.0" customHeight="1">
      <c r="A1819" s="6">
        <v>1.0</v>
      </c>
      <c r="B1819" s="6">
        <v>153.0</v>
      </c>
      <c r="C1819" s="6">
        <v>6.0</v>
      </c>
      <c r="D1819" s="9" t="s">
        <v>2437</v>
      </c>
      <c r="E1819" s="9" t="s">
        <v>2438</v>
      </c>
      <c r="F1819" s="8" t="str">
        <f>IFERROR(__xludf.DUMMYFUNCTION("GOOGLETRANSLATE(D1819,""zh-CN"",""vi"")"),"đèn lồng bằng vải gạc")</f>
        <v>đèn lồng bằng vải gạc</v>
      </c>
      <c r="G1819" s="8" t="str">
        <f>IFERROR(__xludf.DUMMYFUNCTION("GOOGLETRANSLATE(E1819,""zh-CN"",""vi"")"),"Bề mặt đèn bằng vải lưới trắng trơn có phần đơn điệu. Có thể kết hợp các mảnh vải này để tạo thành đèn hình lăng trụ.")</f>
        <v>Bề mặt đèn bằng vải lưới trắng trơn có phần đơn điệu. Có thể kết hợp các mảnh vải này để tạo thành đèn hình lăng trụ.</v>
      </c>
      <c r="H1819" s="8"/>
      <c r="I1819" s="8"/>
      <c r="J1819" s="8"/>
    </row>
    <row r="1820" ht="21.0" customHeight="1">
      <c r="A1820" s="6">
        <v>1.0</v>
      </c>
      <c r="B1820" s="6">
        <v>153.0</v>
      </c>
      <c r="C1820" s="6">
        <v>7.0</v>
      </c>
      <c r="D1820" s="9" t="s">
        <v>2439</v>
      </c>
      <c r="E1820" s="9" t="s">
        <v>2440</v>
      </c>
      <c r="F1820" s="8" t="str">
        <f>IFERROR(__xludf.DUMMYFUNCTION("GOOGLETRANSLATE(D1820,""zh-CN"",""vi"")"),"đèn góc cạnh")</f>
        <v>đèn góc cạnh</v>
      </c>
      <c r="G1820" s="8" t="str">
        <f>IFERROR(__xludf.DUMMYFUNCTION("GOOGLETRANSLATE(E1820,""zh-CN"",""vi"")"),"Những tua rua đung đưa qua lại ở các góc của chiếc đèn lồng. Kết hợp chúng lại để tạo thành một chiếc đèn lồng cung điện.")</f>
        <v>Những tua rua đung đưa qua lại ở các góc của chiếc đèn lồng. Kết hợp chúng lại để tạo thành một chiếc đèn lồng cung điện.</v>
      </c>
      <c r="H1820" s="8"/>
      <c r="I1820" s="8"/>
      <c r="J1820" s="8"/>
    </row>
    <row r="1821" ht="21.0" customHeight="1">
      <c r="A1821" s="6">
        <v>1.0</v>
      </c>
      <c r="B1821" s="6">
        <v>153.0</v>
      </c>
      <c r="C1821" s="6">
        <v>8.0</v>
      </c>
      <c r="D1821" s="9" t="s">
        <v>2441</v>
      </c>
      <c r="E1821" s="9" t="s">
        <v>2442</v>
      </c>
      <c r="F1821" s="8" t="str">
        <f>IFERROR(__xludf.DUMMYFUNCTION("GOOGLETRANSLATE(D1821,""zh-CN"",""vi"")"),"Đèn lồng cung điện")</f>
        <v>Đèn lồng cung điện</v>
      </c>
      <c r="G1821" s="8" t="str">
        <f>IFERROR(__xludf.DUMMYFUNCTION("GOOGLETRANSLATE(E1821,""zh-CN"",""vi"")"),"Trông như một chú thỏ nhỏ đang nhìn xuyên qua giấy đèn lồng. Kết hợp chúng lại sẽ tạo thành một chiếc đèn lồng hình lưỡi liềm.")</f>
        <v>Trông như một chú thỏ nhỏ đang nhìn xuyên qua giấy đèn lồng. Kết hợp chúng lại sẽ tạo thành một chiếc đèn lồng hình lưỡi liềm.</v>
      </c>
      <c r="H1821" s="8"/>
      <c r="I1821" s="8"/>
      <c r="J1821" s="8"/>
    </row>
    <row r="1822" ht="21.0" customHeight="1">
      <c r="A1822" s="6">
        <v>1.0</v>
      </c>
      <c r="B1822" s="6">
        <v>153.0</v>
      </c>
      <c r="C1822" s="6">
        <v>9.0</v>
      </c>
      <c r="D1822" s="9" t="s">
        <v>2443</v>
      </c>
      <c r="E1822" s="9" t="s">
        <v>2444</v>
      </c>
      <c r="F1822" s="8" t="str">
        <f>IFERROR(__xludf.DUMMYFUNCTION("GOOGLETRANSLATE(D1822,""zh-CN"",""vi"")"),"Đèn trăng lưỡi liềm")</f>
        <v>Đèn trăng lưỡi liềm</v>
      </c>
      <c r="G1822" s="8" t="str">
        <f>IFERROR(__xludf.DUMMYFUNCTION("GOOGLETRANSLATE(E1822,""zh-CN"",""vi"")"),"Trăng lưỡi liềm khuất sau những đám mây. Kết hợp các bộ phận này sẽ tạo thành một chiếc đèn lồng hình trăng tròn.")</f>
        <v>Trăng lưỡi liềm khuất sau những đám mây. Kết hợp các bộ phận này sẽ tạo thành một chiếc đèn lồng hình trăng tròn.</v>
      </c>
      <c r="H1822" s="8"/>
      <c r="I1822" s="8"/>
      <c r="J1822" s="8"/>
    </row>
    <row r="1823" ht="21.0" customHeight="1">
      <c r="A1823" s="6">
        <v>1.0</v>
      </c>
      <c r="B1823" s="6">
        <v>153.0</v>
      </c>
      <c r="C1823" s="6">
        <v>10.0</v>
      </c>
      <c r="D1823" s="9" t="s">
        <v>2445</v>
      </c>
      <c r="E1823" s="9" t="s">
        <v>2446</v>
      </c>
      <c r="F1823" s="8" t="str">
        <f>IFERROR(__xludf.DUMMYFUNCTION("GOOGLETRANSLATE(D1823,""zh-CN"",""vi"")"),"Đèn lồng trăng tròn")</f>
        <v>Đèn lồng trăng tròn</v>
      </c>
      <c r="G1823" s="8" t="str">
        <f>IFERROR(__xludf.DUMMYFUNCTION("GOOGLETRANSLATE(E1823,""zh-CN"",""vi"")"),"Chú thỏ nhỏ nào đã đánh cắp tâm của mặt trăng? Hãy ghép chúng lại để có được chiếc đèn hình chú thỏ dễ thương.")</f>
        <v>Chú thỏ nhỏ nào đã đánh cắp tâm của mặt trăng? Hãy ghép chúng lại để có được chiếc đèn hình chú thỏ dễ thương.</v>
      </c>
      <c r="H1823" s="8"/>
      <c r="I1823" s="8"/>
      <c r="J1823" s="8"/>
    </row>
    <row r="1824" ht="21.0" customHeight="1">
      <c r="A1824" s="6">
        <v>1.0</v>
      </c>
      <c r="B1824" s="6">
        <v>153.0</v>
      </c>
      <c r="C1824" s="6">
        <v>11.0</v>
      </c>
      <c r="D1824" s="9" t="s">
        <v>2447</v>
      </c>
      <c r="E1824" s="9" t="s">
        <v>2448</v>
      </c>
      <c r="F1824" s="8" t="str">
        <f>IFERROR(__xludf.DUMMYFUNCTION("GOOGLETRANSLATE(D1824,""zh-CN"",""vi"")"),"Đèn hình thỏ dễ thương")</f>
        <v>Đèn hình thỏ dễ thương</v>
      </c>
      <c r="G1824" s="8" t="str">
        <f>IFERROR(__xludf.DUMMYFUNCTION("GOOGLETRANSLATE(E1824,""zh-CN"",""vi"")"),"Bạn đã bắt gặp một chú thỏ nhỏ đáng yêu đang ăn trộm thức ăn từ mặt trăng. Hãy kết hợp chúng để có được Đèn Lồng Thỏ Ngọc.")</f>
        <v>Bạn đã bắt gặp một chú thỏ nhỏ đáng yêu đang ăn trộm thức ăn từ mặt trăng. Hãy kết hợp chúng để có được Đèn Lồng Thỏ Ngọc.</v>
      </c>
      <c r="H1824" s="8"/>
      <c r="I1824" s="8"/>
      <c r="J1824" s="8"/>
    </row>
    <row r="1825" ht="21.0" customHeight="1">
      <c r="A1825" s="6">
        <v>1.0</v>
      </c>
      <c r="B1825" s="6">
        <v>153.0</v>
      </c>
      <c r="C1825" s="6">
        <v>12.0</v>
      </c>
      <c r="D1825" s="9" t="s">
        <v>2449</v>
      </c>
      <c r="E1825" s="9" t="s">
        <v>2450</v>
      </c>
      <c r="F1825" s="8" t="str">
        <f>IFERROR(__xludf.DUMMYFUNCTION("GOOGLETRANSLATE(D1825,""zh-CN"",""vi"")"),"Đèn lồng Thỏ Ngọc")</f>
        <v>Đèn lồng Thỏ Ngọc</v>
      </c>
      <c r="G1825" s="8" t="str">
        <f>IFERROR(__xludf.DUMMYFUNCTION("GOOGLETRANSLATE(E1825,""zh-CN"",""vi"")"),"Nhìn kìa! Một chú thỏ phát sáng! Hãy chế tạo nó để có được Đèn Thỏ Mặt Trăng.")</f>
        <v>Nhìn kìa! Một chú thỏ phát sáng! Hãy chế tạo nó để có được Đèn Thỏ Mặt Trăng.</v>
      </c>
      <c r="H1825" s="8"/>
      <c r="I1825" s="8"/>
      <c r="J1825" s="8"/>
    </row>
    <row r="1826" ht="21.0" customHeight="1">
      <c r="A1826" s="6">
        <v>1.0</v>
      </c>
      <c r="B1826" s="6">
        <v>153.0</v>
      </c>
      <c r="C1826" s="6">
        <v>13.0</v>
      </c>
      <c r="D1826" s="9" t="s">
        <v>2451</v>
      </c>
      <c r="E1826" s="9" t="s">
        <v>2452</v>
      </c>
      <c r="F1826" s="8" t="str">
        <f>IFERROR(__xludf.DUMMYFUNCTION("GOOGLETRANSLATE(D1826,""zh-CN"",""vi"")"),"Đèn lồng Thỏ Mặt Trăng")</f>
        <v>Đèn lồng Thỏ Mặt Trăng</v>
      </c>
      <c r="G1826" s="8" t="str">
        <f>IFERROR(__xludf.DUMMYFUNCTION("GOOGLETRANSLATE(E1826,""zh-CN"",""vi"")"),"Chú thỏ nhỏ đang ngồi trên vầng trăng khuyết chờ Hằng Nga phải không? Bạn có thể kết hợp chúng để nhận được Đèn Lồng Thỏ May Mắn.")</f>
        <v>Chú thỏ nhỏ đang ngồi trên vầng trăng khuyết chờ Hằng Nga phải không? Bạn có thể kết hợp chúng để nhận được Đèn Lồng Thỏ May Mắn.</v>
      </c>
      <c r="H1826" s="8"/>
      <c r="I1826" s="8"/>
      <c r="J1826" s="8"/>
    </row>
    <row r="1827" ht="21.0" customHeight="1">
      <c r="A1827" s="6">
        <v>1.0</v>
      </c>
      <c r="B1827" s="6">
        <v>153.0</v>
      </c>
      <c r="C1827" s="6">
        <v>14.0</v>
      </c>
      <c r="D1827" s="9" t="s">
        <v>2453</v>
      </c>
      <c r="E1827" s="9" t="s">
        <v>2454</v>
      </c>
      <c r="F1827" s="8" t="str">
        <f>IFERROR(__xludf.DUMMYFUNCTION("GOOGLETRANSLATE(D1827,""zh-CN"",""vi"")"),"Đèn lồng hình thỏ may mắn")</f>
        <v>Đèn lồng hình thỏ may mắn</v>
      </c>
      <c r="G1827" s="8" t="str">
        <f>IFERROR(__xludf.DUMMYFUNCTION("GOOGLETRANSLATE(E1827,""zh-CN"",""vi"")"),"Bạn đã nhận được các câu đối từ Thỏ Nhỏ May Mắn chưa? Hãy ghép chúng lại để có được Đèn Lồng Thỏ Hoa Sen.")</f>
        <v>Bạn đã nhận được các câu đối từ Thỏ Nhỏ May Mắn chưa? Hãy ghép chúng lại để có được Đèn Lồng Thỏ Hoa Sen.</v>
      </c>
      <c r="H1827" s="8"/>
      <c r="I1827" s="8"/>
      <c r="J1827" s="8"/>
    </row>
    <row r="1828" ht="21.0" customHeight="1">
      <c r="A1828" s="6">
        <v>1.0</v>
      </c>
      <c r="B1828" s="6">
        <v>153.0</v>
      </c>
      <c r="C1828" s="6">
        <v>15.0</v>
      </c>
      <c r="D1828" s="9" t="s">
        <v>2455</v>
      </c>
      <c r="E1828" s="9" t="s">
        <v>2456</v>
      </c>
      <c r="F1828" s="8" t="str">
        <f>IFERROR(__xludf.DUMMYFUNCTION("GOOGLETRANSLATE(D1828,""zh-CN"",""vi"")"),"Đèn lồng thỏ sen")</f>
        <v>Đèn lồng thỏ sen</v>
      </c>
      <c r="G1828" s="8" t="str">
        <f>IFERROR(__xludf.DUMMYFUNCTION("GOOGLETRANSLATE(E1828,""zh-CN"",""vi"")"),"Cầu mong Thần Thỏ bảo vệ bạn trong năm mới. (Cấp độ 100)")</f>
        <v>Cầu mong Thần Thỏ bảo vệ bạn trong năm mới. (Cấp độ 100)</v>
      </c>
      <c r="H1828" s="8"/>
      <c r="I1828" s="8"/>
      <c r="J1828" s="8"/>
    </row>
    <row r="1829" ht="21.0" customHeight="1">
      <c r="A1829" s="6">
        <v>11.0</v>
      </c>
      <c r="B1829" s="6">
        <v>1023.0</v>
      </c>
      <c r="C1829" s="6">
        <v>1.0</v>
      </c>
      <c r="D1829" s="9" t="s">
        <v>2457</v>
      </c>
      <c r="E1829" s="9" t="s">
        <v>2458</v>
      </c>
      <c r="F1829" s="8" t="str">
        <f>IFERROR(__xludf.DUMMYFUNCTION("GOOGLETRANSLATE(D1829,""zh-CN"",""vi"")"),"Giấy đỏ năm mới")</f>
        <v>Giấy đỏ năm mới</v>
      </c>
      <c r="G1829" s="8" t="str">
        <f>IFERROR(__xludf.DUMMYFUNCTION("GOOGLETRANSLATE(E1829,""zh-CN"",""vi"")"),"Những mảnh giấy vuông màu đỏ trông rất bắt mắt. Có thể ghép chúng lại với nhau để tạo thành giấy hai lớp.")</f>
        <v>Những mảnh giấy vuông màu đỏ trông rất bắt mắt. Có thể ghép chúng lại với nhau để tạo thành giấy hai lớp.</v>
      </c>
      <c r="H1829" s="8"/>
      <c r="I1829" s="8"/>
      <c r="J1829" s="8"/>
    </row>
    <row r="1830" ht="21.0" customHeight="1">
      <c r="A1830" s="6">
        <v>11.0</v>
      </c>
      <c r="B1830" s="6">
        <v>1023.0</v>
      </c>
      <c r="C1830" s="6">
        <v>2.0</v>
      </c>
      <c r="D1830" s="9" t="s">
        <v>2459</v>
      </c>
      <c r="E1830" s="9" t="s">
        <v>2460</v>
      </c>
      <c r="F1830" s="8" t="str">
        <f>IFERROR(__xludf.DUMMYFUNCTION("GOOGLETRANSLATE(D1830,""zh-CN"",""vi"")"),"Giấy đỏ hai lớp")</f>
        <v>Giấy đỏ hai lớp</v>
      </c>
      <c r="G1830" s="8" t="str">
        <f>IFERROR(__xludf.DUMMYFUNCTION("GOOGLETRANSLATE(E1830,""zh-CN"",""vi"")"),"Hai tờ giấy đỏ được xếp chồng lên nhau, và hình dạng cơ bản của một chiếc phong bì đỏ bắt đầu hiện ra. Kết hợp chúng lại sẽ tạo thành một chiếc phong bì đỏ truyền thống.")</f>
        <v>Hai tờ giấy đỏ được xếp chồng lên nhau, và hình dạng cơ bản của một chiếc phong bì đỏ bắt đầu hiện ra. Kết hợp chúng lại sẽ tạo thành một chiếc phong bì đỏ truyền thống.</v>
      </c>
      <c r="H1830" s="8"/>
      <c r="I1830" s="8"/>
      <c r="J1830" s="8"/>
    </row>
    <row r="1831" ht="21.0" customHeight="1">
      <c r="A1831" s="6">
        <v>11.0</v>
      </c>
      <c r="B1831" s="6">
        <v>1023.0</v>
      </c>
      <c r="C1831" s="6">
        <v>3.0</v>
      </c>
      <c r="D1831" s="9" t="s">
        <v>2461</v>
      </c>
      <c r="E1831" s="9" t="s">
        <v>2462</v>
      </c>
      <c r="F1831" s="8" t="str">
        <f>IFERROR(__xludf.DUMMYFUNCTION("GOOGLETRANSLATE(D1831,""zh-CN"",""vi"")"),"Phong bì đỏ truyền thống")</f>
        <v>Phong bì đỏ truyền thống</v>
      </c>
      <c r="G1831" s="8" t="str">
        <f>IFERROR(__xludf.DUMMYFUNCTION("GOOGLETRANSLATE(E1831,""zh-CN"",""vi"")"),"Một vật phẩm truyền thống không thể thiếu khi đến thăm họ hàng và bạn bè. Làm ra những vật phẩm này sẽ giúp bạn nhận được một phong bì tiền lì xì may mắn (phong bì đỏ cho năm mới).")</f>
        <v>Một vật phẩm truyền thống không thể thiếu khi đến thăm họ hàng và bạn bè. Làm ra những vật phẩm này sẽ giúp bạn nhận được một phong bì tiền lì xì may mắn (phong bì đỏ cho năm mới).</v>
      </c>
      <c r="H1831" s="8"/>
      <c r="I1831" s="8"/>
      <c r="J1831" s="8"/>
    </row>
    <row r="1832" ht="21.0" customHeight="1">
      <c r="A1832" s="6">
        <v>11.0</v>
      </c>
      <c r="B1832" s="6">
        <v>1023.0</v>
      </c>
      <c r="C1832" s="6">
        <v>4.0</v>
      </c>
      <c r="D1832" s="9" t="s">
        <v>2463</v>
      </c>
      <c r="E1832" s="9" t="s">
        <v>2464</v>
      </c>
      <c r="F1832" s="8" t="str">
        <f>IFERROR(__xludf.DUMMYFUNCTION("GOOGLETRANSLATE(D1832,""zh-CN"",""vi"")"),"Phong bì đỏ năm mới")</f>
        <v>Phong bì đỏ năm mới</v>
      </c>
      <c r="G1832" s="8" t="str">
        <f>IFERROR(__xludf.DUMMYFUNCTION("GOOGLETRANSLATE(E1832,""zh-CN"",""vi"")"),"Thêm những đồng xu mới để cầu may mắn. Chế tạo chúng sẽ giúp bạn nhận được một phong bì đỏ có tem.")</f>
        <v>Thêm những đồng xu mới để cầu may mắn. Chế tạo chúng sẽ giúp bạn nhận được một phong bì đỏ có tem.</v>
      </c>
      <c r="H1832" s="8"/>
      <c r="I1832" s="8"/>
      <c r="J1832" s="8"/>
    </row>
    <row r="1833" ht="21.0" customHeight="1">
      <c r="A1833" s="6">
        <v>10.0</v>
      </c>
      <c r="B1833" s="6">
        <v>1023.0</v>
      </c>
      <c r="C1833" s="6">
        <v>5.0</v>
      </c>
      <c r="D1833" s="9" t="s">
        <v>2465</v>
      </c>
      <c r="E1833" s="9" t="s">
        <v>2466</v>
      </c>
      <c r="F1833" s="8" t="str">
        <f>IFERROR(__xludf.DUMMYFUNCTION("GOOGLETRANSLATE(D1833,""zh-CN"",""vi"")"),"Phong bì đỏ in sẵn")</f>
        <v>Phong bì đỏ in sẵn</v>
      </c>
      <c r="G1833" s="8" t="str">
        <f>IFERROR(__xludf.DUMMYFUNCTION("GOOGLETRANSLATE(E1833,""zh-CN"",""vi"")"),"Những chiếc phong bì đỏ được in hình Thần Thỏ. Ghép chúng lại sẽ tạo thành những chiếc phong bì đỏ có tai thỏ.")</f>
        <v>Những chiếc phong bì đỏ được in hình Thần Thỏ. Ghép chúng lại sẽ tạo thành những chiếc phong bì đỏ có tai thỏ.</v>
      </c>
      <c r="H1833" s="8"/>
      <c r="I1833" s="8"/>
      <c r="J1833" s="8"/>
    </row>
    <row r="1834" ht="21.0" customHeight="1">
      <c r="A1834" s="6">
        <v>10.0</v>
      </c>
      <c r="B1834" s="6">
        <v>1023.0</v>
      </c>
      <c r="C1834" s="6">
        <v>6.0</v>
      </c>
      <c r="D1834" s="9" t="s">
        <v>2467</v>
      </c>
      <c r="E1834" s="9" t="s">
        <v>2468</v>
      </c>
      <c r="F1834" s="8" t="str">
        <f>IFERROR(__xludf.DUMMYFUNCTION("GOOGLETRANSLATE(D1834,""zh-CN"",""vi"")"),"Phong bì đỏ tai thỏ")</f>
        <v>Phong bì đỏ tai thỏ</v>
      </c>
      <c r="G1834" s="8" t="str">
        <f>IFERROR(__xludf.DUMMYFUNCTION("GOOGLETRANSLATE(E1834,""zh-CN"",""vi"")"),"Giải phóng sức mạnh thần kỳ của Tai Thỏ và tận hưởng may mắn suốt cả năm. Kết hợp chúng để nhận được một túi may mắn mini.")</f>
        <v>Giải phóng sức mạnh thần kỳ của Tai Thỏ và tận hưởng may mắn suốt cả năm. Kết hợp chúng để nhận được một túi may mắn mini.</v>
      </c>
      <c r="H1834" s="8"/>
      <c r="I1834" s="8"/>
      <c r="J1834" s="8"/>
    </row>
    <row r="1835" ht="21.0" customHeight="1">
      <c r="A1835" s="6">
        <v>10.0</v>
      </c>
      <c r="B1835" s="6">
        <v>1023.0</v>
      </c>
      <c r="C1835" s="6">
        <v>7.0</v>
      </c>
      <c r="D1835" s="9" t="s">
        <v>2469</v>
      </c>
      <c r="E1835" s="9" t="s">
        <v>2470</v>
      </c>
      <c r="F1835" s="8" t="str">
        <f>IFERROR(__xludf.DUMMYFUNCTION("GOOGLETRANSLATE(D1835,""zh-CN"",""vi"")"),"Túi may mắn mini")</f>
        <v>Túi may mắn mini</v>
      </c>
      <c r="G1835" s="8" t="str">
        <f>IFERROR(__xludf.DUMMYFUNCTION("GOOGLETRANSLATE(E1835,""zh-CN"",""vi"")"),"Một chiếc túi may mắn nhỏ như vậy có thể đựng được bao nhiêu tiền lì xì năm mới? Hãy kết hợp chúng lại để có được một túi lì xì đỏ.")</f>
        <v>Một chiếc túi may mắn nhỏ như vậy có thể đựng được bao nhiêu tiền lì xì năm mới? Hãy kết hợp chúng lại để có được một túi lì xì đỏ.</v>
      </c>
      <c r="H1835" s="8"/>
      <c r="I1835" s="8"/>
      <c r="J1835" s="8"/>
    </row>
    <row r="1836" ht="21.0" customHeight="1">
      <c r="A1836" s="6">
        <v>10.0</v>
      </c>
      <c r="B1836" s="6">
        <v>1023.0</v>
      </c>
      <c r="C1836" s="6">
        <v>8.0</v>
      </c>
      <c r="D1836" s="9" t="s">
        <v>2471</v>
      </c>
      <c r="E1836" s="9" t="s">
        <v>2472</v>
      </c>
      <c r="F1836" s="8" t="str">
        <f>IFERROR(__xludf.DUMMYFUNCTION("GOOGLETRANSLATE(D1836,""zh-CN"",""vi"")"),"Phong bì lì xì đỏ may mắn")</f>
        <v>Phong bì lì xì đỏ may mắn</v>
      </c>
      <c r="G1836" s="8" t="str">
        <f>IFERROR(__xludf.DUMMYFUNCTION("GOOGLETRANSLATE(E1836,""zh-CN"",""vi"")"),"Những phong bì đỏ gần như đã đầy tràn! Hãy kết hợp chúng lại để nhận được một túi vàng may mắn.")</f>
        <v>Những phong bì đỏ gần như đã đầy tràn! Hãy kết hợp chúng lại để nhận được một túi vàng may mắn.</v>
      </c>
      <c r="H1836" s="8"/>
      <c r="I1836" s="8"/>
      <c r="J1836" s="8"/>
    </row>
    <row r="1837" ht="21.0" customHeight="1">
      <c r="A1837" s="6">
        <v>10.0</v>
      </c>
      <c r="B1837" s="6">
        <v>1023.0</v>
      </c>
      <c r="C1837" s="6">
        <v>9.0</v>
      </c>
      <c r="D1837" s="9" t="s">
        <v>2473</v>
      </c>
      <c r="E1837" s="9" t="s">
        <v>2474</v>
      </c>
      <c r="F1837" s="8" t="str">
        <f>IFERROR(__xludf.DUMMYFUNCTION("GOOGLETRANSLATE(D1837,""zh-CN"",""vi"")"),"Túi may mắn Yuanbao")</f>
        <v>Túi may mắn Yuanbao</v>
      </c>
      <c r="G1837" s="8" t="str">
        <f>IFERROR(__xludf.DUMMYFUNCTION("GOOGLETRANSLATE(E1837,""zh-CN"",""vi"")"),"Những thỏi vàng lấp lánh còn hấp dẫn hơn cả những phong bao lì xì đỏ. Kết hợp chúng lại để nhận được Túi May Mắn Năm Thỏ.")</f>
        <v>Những thỏi vàng lấp lánh còn hấp dẫn hơn cả những phong bao lì xì đỏ. Kết hợp chúng lại để nhận được Túi May Mắn Năm Thỏ.</v>
      </c>
      <c r="H1837" s="8"/>
      <c r="I1837" s="8"/>
      <c r="J1837" s="8"/>
    </row>
    <row r="1838" ht="21.0" customHeight="1">
      <c r="A1838" s="6">
        <v>10.0</v>
      </c>
      <c r="B1838" s="6">
        <v>1023.0</v>
      </c>
      <c r="C1838" s="6">
        <v>10.0</v>
      </c>
      <c r="D1838" s="9" t="s">
        <v>2475</v>
      </c>
      <c r="E1838" s="9" t="s">
        <v>2476</v>
      </c>
      <c r="F1838" s="8" t="str">
        <f>IFERROR(__xludf.DUMMYFUNCTION("GOOGLETRANSLATE(D1838,""zh-CN"",""vi"")"),"Túi may mắn năm Thỏ")</f>
        <v>Túi may mắn năm Thỏ</v>
      </c>
      <c r="G1838" s="8" t="str">
        <f>IFERROR(__xludf.DUMMYFUNCTION("GOOGLETRANSLATE(E1838,""zh-CN"",""vi"")"),"Thần Thỏ đang ngủ trưa bên trong Chiếc Túi May Mắn Vàng. (Cấp độ 100)")</f>
        <v>Thần Thỏ đang ngủ trưa bên trong Chiếc Túi May Mắn Vàng. (Cấp độ 100)</v>
      </c>
      <c r="H1838" s="8"/>
      <c r="I1838" s="8"/>
      <c r="J1838" s="8"/>
    </row>
    <row r="1839" ht="21.0" customHeight="1">
      <c r="A1839" s="6">
        <v>1.0</v>
      </c>
      <c r="B1839" s="6">
        <v>154.0</v>
      </c>
      <c r="C1839" s="6">
        <v>1.0</v>
      </c>
      <c r="D1839" s="9" t="s">
        <v>2477</v>
      </c>
      <c r="E1839" s="9" t="s">
        <v>2478</v>
      </c>
      <c r="F1839" s="8" t="str">
        <f>IFERROR(__xludf.DUMMYFUNCTION("GOOGLETRANSLATE(D1839,""zh-CN"",""vi"")"),"Dệt dây thừng đỏ")</f>
        <v>Dệt dây thừng đỏ</v>
      </c>
      <c r="G1839" s="8" t="str">
        <f>IFERROR(__xludf.DUMMYFUNCTION("GOOGLETRANSLATE(E1839,""zh-CN"",""vi"")"),"Một chiếc vòng tay dây đỏ, hoàn toàn được làm thủ công. Có thể kết hợp để tạo thành một chiếc vòng tay dây đỏ đính hạt vàng.")</f>
        <v>Một chiếc vòng tay dây đỏ, hoàn toàn được làm thủ công. Có thể kết hợp để tạo thành một chiếc vòng tay dây đỏ đính hạt vàng.</v>
      </c>
      <c r="H1839" s="8"/>
      <c r="I1839" s="8"/>
      <c r="J1839" s="8"/>
    </row>
    <row r="1840" ht="21.0" customHeight="1">
      <c r="A1840" s="6">
        <v>1.0</v>
      </c>
      <c r="B1840" s="6">
        <v>154.0</v>
      </c>
      <c r="C1840" s="6">
        <v>2.0</v>
      </c>
      <c r="D1840" s="9" t="s">
        <v>2479</v>
      </c>
      <c r="E1840" s="9" t="s">
        <v>2480</v>
      </c>
      <c r="F1840" s="8" t="str">
        <f>IFERROR(__xludf.DUMMYFUNCTION("GOOGLETRANSLATE(D1840,""zh-CN"",""vi"")"),"Hạt cườm vàng và dây thừng đỏ")</f>
        <v>Hạt cườm vàng và dây thừng đỏ</v>
      </c>
      <c r="G1840" s="8" t="str">
        <f>IFERROR(__xludf.DUMMYFUNCTION("GOOGLETRANSLATE(E1840,""zh-CN"",""vi"")"),"Đơn giản nhưng trang nhã. Sản phẩm chế tác từ vật liệu này sẽ tạo ra một chiếc khóa an toàn màu đỏ.")</f>
        <v>Đơn giản nhưng trang nhã. Sản phẩm chế tác từ vật liệu này sẽ tạo ra một chiếc khóa an toàn màu đỏ.</v>
      </c>
      <c r="H1840" s="8"/>
      <c r="I1840" s="8"/>
      <c r="J1840" s="8"/>
    </row>
    <row r="1841" ht="21.0" customHeight="1">
      <c r="A1841" s="6">
        <v>1.0</v>
      </c>
      <c r="B1841" s="6">
        <v>154.0</v>
      </c>
      <c r="C1841" s="6">
        <v>3.0</v>
      </c>
      <c r="D1841" s="9" t="s">
        <v>2481</v>
      </c>
      <c r="E1841" s="9" t="s">
        <v>2482</v>
      </c>
      <c r="F1841" s="8" t="str">
        <f>IFERROR(__xludf.DUMMYFUNCTION("GOOGLETRANSLATE(D1841,""zh-CN"",""vi"")"),"Khóa an toàn dây đỏ")</f>
        <v>Khóa an toàn dây đỏ</v>
      </c>
      <c r="G1841" s="8" t="str">
        <f>IFERROR(__xludf.DUMMYFUNCTION("GOOGLETRANSLATE(E1841,""zh-CN"",""vi"")"),"Hãy gửi những lời chúc hòa bình tốt đẹp nhất đến những người thân yêu của bạn. Việc tự tay làm ra chiếc vòng tay này sẽ tạo nên một chiếc vòng tay hình khóa biểu tượng hòa bình.")</f>
        <v>Hãy gửi những lời chúc hòa bình tốt đẹp nhất đến những người thân yêu của bạn. Việc tự tay làm ra chiếc vòng tay này sẽ tạo nên một chiếc vòng tay hình khóa biểu tượng hòa bình.</v>
      </c>
      <c r="H1841" s="8"/>
      <c r="I1841" s="8"/>
      <c r="J1841" s="8"/>
    </row>
    <row r="1842" ht="21.0" customHeight="1">
      <c r="A1842" s="6">
        <v>1.0</v>
      </c>
      <c r="B1842" s="6">
        <v>154.0</v>
      </c>
      <c r="C1842" s="6">
        <v>4.0</v>
      </c>
      <c r="D1842" s="9" t="s">
        <v>2483</v>
      </c>
      <c r="E1842" s="9" t="s">
        <v>2484</v>
      </c>
      <c r="F1842" s="8" t="str">
        <f>IFERROR(__xludf.DUMMYFUNCTION("GOOGLETRANSLATE(D1842,""zh-CN"",""vi"")"),"vòng đeo tay có khóa an toàn")</f>
        <v>vòng đeo tay có khóa an toàn</v>
      </c>
      <c r="G1842" s="8" t="str">
        <f>IFERROR(__xludf.DUMMYFUNCTION("GOOGLETRANSLATE(E1842,""zh-CN"",""vi"")"),"Đôi tai thỏ đã mọc ra trên khóa an toàn. Hãy kết hợp chúng để có được Vòng tay Heo Vàng.")</f>
        <v>Đôi tai thỏ đã mọc ra trên khóa an toàn. Hãy kết hợp chúng để có được Vòng tay Heo Vàng.</v>
      </c>
      <c r="H1842" s="8"/>
      <c r="I1842" s="8"/>
      <c r="J1842" s="8"/>
    </row>
    <row r="1843" ht="21.0" customHeight="1">
      <c r="A1843" s="6">
        <v>1.0</v>
      </c>
      <c r="B1843" s="6">
        <v>154.0</v>
      </c>
      <c r="C1843" s="6">
        <v>5.0</v>
      </c>
      <c r="D1843" s="9" t="s">
        <v>2485</v>
      </c>
      <c r="E1843" s="9" t="s">
        <v>2486</v>
      </c>
      <c r="F1843" s="8" t="str">
        <f>IFERROR(__xludf.DUMMYFUNCTION("GOOGLETRANSLATE(D1843,""zh-CN"",""vi"")"),"Vòng tay Heo Vàng")</f>
        <v>Vòng tay Heo Vàng</v>
      </c>
      <c r="G1843" s="8" t="str">
        <f>IFERROR(__xludf.DUMMYFUNCTION("GOOGLETRANSLATE(E1843,""zh-CN"",""vi"")"),"Đeo chú heo con lên cổ tay. Kết hợp chúng để có được chiếc vòng tay hình thỏi vàng.")</f>
        <v>Đeo chú heo con lên cổ tay. Kết hợp chúng để có được chiếc vòng tay hình thỏi vàng.</v>
      </c>
      <c r="H1843" s="8"/>
      <c r="I1843" s="8"/>
      <c r="J1843" s="8"/>
    </row>
    <row r="1844" ht="21.0" customHeight="1">
      <c r="A1844" s="6">
        <v>1.0</v>
      </c>
      <c r="B1844" s="6">
        <v>154.0</v>
      </c>
      <c r="C1844" s="6">
        <v>6.0</v>
      </c>
      <c r="D1844" s="9" t="s">
        <v>2487</v>
      </c>
      <c r="E1844" s="9" t="s">
        <v>2488</v>
      </c>
      <c r="F1844" s="8" t="str">
        <f>IFERROR(__xludf.DUMMYFUNCTION("GOOGLETRANSLATE(D1844,""zh-CN"",""vi"")"),"Vòng tay Yuanbao")</f>
        <v>Vòng tay Yuanbao</v>
      </c>
      <c r="G1844" s="8" t="str">
        <f>IFERROR(__xludf.DUMMYFUNCTION("GOOGLETRANSLATE(E1844,""zh-CN"",""vi"")"),"Những thỏi vàng mang lại sự giàu có và thịnh vượng. Kết hợp chúng để tạo thành vòng tay hình thỏ.")</f>
        <v>Những thỏi vàng mang lại sự giàu có và thịnh vượng. Kết hợp chúng để tạo thành vòng tay hình thỏ.</v>
      </c>
      <c r="H1844" s="8"/>
      <c r="I1844" s="8"/>
      <c r="J1844" s="8"/>
    </row>
    <row r="1845" ht="21.0" customHeight="1">
      <c r="A1845" s="6">
        <v>1.0</v>
      </c>
      <c r="B1845" s="6">
        <v>154.0</v>
      </c>
      <c r="C1845" s="6">
        <v>7.0</v>
      </c>
      <c r="D1845" s="9" t="s">
        <v>2489</v>
      </c>
      <c r="E1845" s="9" t="s">
        <v>2490</v>
      </c>
      <c r="F1845" s="8" t="str">
        <f>IFERROR(__xludf.DUMMYFUNCTION("GOOGLETRANSLATE(D1845,""zh-CN"",""vi"")"),"Vòng tay hình thỏ")</f>
        <v>Vòng tay hình thỏ</v>
      </c>
      <c r="G1845" s="8" t="str">
        <f>IFERROR(__xludf.DUMMYFUNCTION("GOOGLETRANSLATE(E1845,""zh-CN"",""vi"")"),"Một chú thỏ nhỏ kiêu ngạo. Kết hợp chúng lại để có được một chiếc vòng tay mặt dây chuyền bằng vàng nguyên chất.")</f>
        <v>Một chú thỏ nhỏ kiêu ngạo. Kết hợp chúng lại để có được một chiếc vòng tay mặt dây chuyền bằng vàng nguyên chất.</v>
      </c>
      <c r="H1845" s="8"/>
      <c r="I1845" s="8"/>
      <c r="J1845" s="8"/>
    </row>
    <row r="1846" ht="21.0" customHeight="1">
      <c r="A1846" s="6">
        <v>1.0</v>
      </c>
      <c r="B1846" s="6">
        <v>154.0</v>
      </c>
      <c r="C1846" s="6">
        <v>8.0</v>
      </c>
      <c r="D1846" s="9" t="s">
        <v>2491</v>
      </c>
      <c r="E1846" s="9" t="s">
        <v>2492</v>
      </c>
      <c r="F1846" s="8" t="str">
        <f>IFERROR(__xludf.DUMMYFUNCTION("GOOGLETRANSLATE(D1846,""zh-CN"",""vi"")"),"vòng tay mặt dây chuyền vàng nguyên chất")</f>
        <v>vòng tay mặt dây chuyền vàng nguyên chất</v>
      </c>
      <c r="G1846" s="8" t="str">
        <f>IFERROR(__xludf.DUMMYFUNCTION("GOOGLETRANSLATE(E1846,""zh-CN"",""vi"")"),"Một chiếc vòng tay được làm từ những hạt vàng xâu chuỗi. Việc chế tác những hạt này sẽ tạo ra một chiếc Vòng tay Chuông Vàng.")</f>
        <v>Một chiếc vòng tay được làm từ những hạt vàng xâu chuỗi. Việc chế tác những hạt này sẽ tạo ra một chiếc Vòng tay Chuông Vàng.</v>
      </c>
      <c r="H1846" s="8"/>
      <c r="I1846" s="8"/>
      <c r="J1846" s="8"/>
    </row>
    <row r="1847" ht="21.0" customHeight="1">
      <c r="A1847" s="6">
        <v>1.0</v>
      </c>
      <c r="B1847" s="6">
        <v>154.0</v>
      </c>
      <c r="C1847" s="6">
        <v>9.0</v>
      </c>
      <c r="D1847" s="9" t="s">
        <v>2493</v>
      </c>
      <c r="E1847" s="9" t="s">
        <v>2494</v>
      </c>
      <c r="F1847" s="8" t="str">
        <f>IFERROR(__xludf.DUMMYFUNCTION("GOOGLETRANSLATE(D1847,""zh-CN"",""vi"")"),"Vòng tay chuông vàng")</f>
        <v>Vòng tay chuông vàng</v>
      </c>
      <c r="G1847" s="8" t="str">
        <f>IFERROR(__xludf.DUMMYFUNCTION("GOOGLETRANSLATE(E1847,""zh-CN"",""vi"")"),"Tiếng chuông mang đến sự giàu có. Kết hợp chúng lại để tạo thành một chiếc vòng tay tua rua.")</f>
        <v>Tiếng chuông mang đến sự giàu có. Kết hợp chúng lại để tạo thành một chiếc vòng tay tua rua.</v>
      </c>
      <c r="H1847" s="8"/>
      <c r="I1847" s="8"/>
      <c r="J1847" s="8"/>
    </row>
    <row r="1848" ht="21.0" customHeight="1">
      <c r="A1848" s="6">
        <v>1.0</v>
      </c>
      <c r="B1848" s="6">
        <v>154.0</v>
      </c>
      <c r="C1848" s="6">
        <v>10.0</v>
      </c>
      <c r="D1848" s="9" t="s">
        <v>2495</v>
      </c>
      <c r="E1848" s="9" t="s">
        <v>2496</v>
      </c>
      <c r="F1848" s="8" t="str">
        <f>IFERROR(__xludf.DUMMYFUNCTION("GOOGLETRANSLATE(D1848,""zh-CN"",""vi"")"),"Vòng tay tua rua")</f>
        <v>Vòng tay tua rua</v>
      </c>
      <c r="G1848" s="8" t="str">
        <f>IFERROR(__xludf.DUMMYFUNCTION("GOOGLETRANSLATE(E1848,""zh-CN"",""vi"")"),"Mỗi bước chân tạo nên một âm thanh, mỗi bước chân gợi lên một suy nghĩ. Kết hợp tất cả những yếu tố đó lại tạo nên một chiếc vòng tay được chạm khắc tinh xảo.")</f>
        <v>Mỗi bước chân tạo nên một âm thanh, mỗi bước chân gợi lên một suy nghĩ. Kết hợp tất cả những yếu tố đó lại tạo nên một chiếc vòng tay được chạm khắc tinh xảo.</v>
      </c>
      <c r="H1848" s="8"/>
      <c r="I1848" s="8"/>
      <c r="J1848" s="8"/>
    </row>
    <row r="1849" ht="21.0" customHeight="1">
      <c r="A1849" s="6">
        <v>1.0</v>
      </c>
      <c r="B1849" s="6">
        <v>154.0</v>
      </c>
      <c r="C1849" s="6">
        <v>11.0</v>
      </c>
      <c r="D1849" s="9" t="s">
        <v>2497</v>
      </c>
      <c r="E1849" s="9" t="s">
        <v>2498</v>
      </c>
      <c r="F1849" s="8" t="str">
        <f>IFERROR(__xludf.DUMMYFUNCTION("GOOGLETRANSLATE(D1849,""zh-CN"",""vi"")"),"Vòng tay chạm khắc")</f>
        <v>Vòng tay chạm khắc</v>
      </c>
      <c r="G1849" s="8" t="str">
        <f>IFERROR(__xludf.DUMMYFUNCTION("GOOGLETRANSLATE(E1849,""zh-CN"",""vi"")"),"Được chế tác tinh xảo, nó toát lên vẻ quyến rũ cổ điển. Quá trình chế tác tạo ra một khóa cài an toàn bằng đồng xu vàng và đồng.")</f>
        <v>Được chế tác tinh xảo, nó toát lên vẻ quyến rũ cổ điển. Quá trình chế tác tạo ra một khóa cài an toàn bằng đồng xu vàng và đồng.</v>
      </c>
      <c r="H1849" s="8"/>
      <c r="I1849" s="8"/>
      <c r="J1849" s="8"/>
    </row>
    <row r="1850" ht="21.0" customHeight="1">
      <c r="A1850" s="6">
        <v>1.0</v>
      </c>
      <c r="B1850" s="6">
        <v>154.0</v>
      </c>
      <c r="C1850" s="6">
        <v>12.0</v>
      </c>
      <c r="D1850" s="9" t="s">
        <v>2499</v>
      </c>
      <c r="E1850" s="9" t="s">
        <v>2500</v>
      </c>
      <c r="F1850" s="8" t="str">
        <f>IFERROR(__xludf.DUMMYFUNCTION("GOOGLETRANSLATE(D1850,""zh-CN"",""vi"")"),"Khóa an toàn bằng đồng xu vàng và đồng")</f>
        <v>Khóa an toàn bằng đồng xu vàng và đồng</v>
      </c>
      <c r="G1850" s="8" t="str">
        <f>IFERROR(__xludf.DUMMYFUNCTION("GOOGLETRANSLATE(E1850,""zh-CN"",""vi"")"),"Một đồng xu bằng đồng và một khóa thắt lưng hòa bình có thể được kết hợp thành một. Việc kết hợp chúng sẽ tạo ra một thỏi vàng.")</f>
        <v>Một đồng xu bằng đồng và một khóa thắt lưng hòa bình có thể được kết hợp thành một. Việc kết hợp chúng sẽ tạo ra một thỏi vàng.</v>
      </c>
      <c r="H1850" s="8"/>
      <c r="I1850" s="8"/>
      <c r="J1850" s="8"/>
    </row>
    <row r="1851" ht="21.0" customHeight="1">
      <c r="A1851" s="6">
        <v>1.0</v>
      </c>
      <c r="B1851" s="6">
        <v>154.0</v>
      </c>
      <c r="C1851" s="6">
        <v>13.0</v>
      </c>
      <c r="D1851" s="9" t="s">
        <v>2501</v>
      </c>
      <c r="E1851" s="9" t="s">
        <v>2502</v>
      </c>
      <c r="F1851" s="8" t="str">
        <f>IFERROR(__xludf.DUMMYFUNCTION("GOOGLETRANSLATE(D1851,""zh-CN"",""vi"")"),"Thỏi vàng")</f>
        <v>Thỏi vàng</v>
      </c>
      <c r="G1851" s="8" t="str">
        <f>IFERROR(__xludf.DUMMYFUNCTION("GOOGLETRANSLATE(E1851,""zh-CN"",""vi"")"),"Một thỏi vàng mang lại sự giàu có. Khi kết hợp lại, chúng tạo thành một ổ khóa an toàn bằng vàng nguyên chất.")</f>
        <v>Một thỏi vàng mang lại sự giàu có. Khi kết hợp lại, chúng tạo thành một ổ khóa an toàn bằng vàng nguyên chất.</v>
      </c>
      <c r="H1851" s="8"/>
      <c r="I1851" s="8"/>
      <c r="J1851" s="8"/>
    </row>
    <row r="1852" ht="21.0" customHeight="1">
      <c r="A1852" s="6">
        <v>1.0</v>
      </c>
      <c r="B1852" s="6">
        <v>154.0</v>
      </c>
      <c r="C1852" s="6">
        <v>14.0</v>
      </c>
      <c r="D1852" s="9" t="s">
        <v>2503</v>
      </c>
      <c r="E1852" s="9" t="s">
        <v>2504</v>
      </c>
      <c r="F1852" s="8" t="str">
        <f>IFERROR(__xludf.DUMMYFUNCTION("GOOGLETRANSLATE(D1852,""zh-CN"",""vi"")"),"Khóa an toàn bằng vàng nguyên chất")</f>
        <v>Khóa an toàn bằng vàng nguyên chất</v>
      </c>
      <c r="G1852" s="8" t="str">
        <f>IFERROR(__xludf.DUMMYFUNCTION("GOOGLETRANSLATE(E1852,""zh-CN"",""vi"")"),"Hãy lưu giữ sự giàu có và bình an. Kết hợp chúng để có được một con Tỳ Hưu Vàng.")</f>
        <v>Hãy lưu giữ sự giàu có và bình an. Kết hợp chúng để có được một con Tỳ Hưu Vàng.</v>
      </c>
      <c r="H1852" s="8"/>
      <c r="I1852" s="8"/>
      <c r="J1852" s="8"/>
    </row>
    <row r="1853" ht="21.0" customHeight="1">
      <c r="A1853" s="6">
        <v>1.0</v>
      </c>
      <c r="B1853" s="6">
        <v>154.0</v>
      </c>
      <c r="C1853" s="6">
        <v>15.0</v>
      </c>
      <c r="D1853" s="9" t="s">
        <v>2505</v>
      </c>
      <c r="E1853" s="9" t="s">
        <v>2506</v>
      </c>
      <c r="F1853" s="8" t="str">
        <f>IFERROR(__xludf.DUMMYFUNCTION("GOOGLETRANSLATE(D1853,""zh-CN"",""vi"")"),"Tỳ Hưu Vàng")</f>
        <v>Tỳ Hưu Vàng</v>
      </c>
      <c r="G1853" s="8" t="str">
        <f>IFERROR(__xludf.DUMMYFUNCTION("GOOGLETRANSLATE(E1853,""zh-CN"",""vi"")"),"Được ban phước lành về cả tài lộc và sự thịnh vượng, từ thế hệ này sang thế hệ khác. Đã đạt đến đỉnh cao nhất.")</f>
        <v>Được ban phước lành về cả tài lộc và sự thịnh vượng, từ thế hệ này sang thế hệ khác. Đã đạt đến đỉnh cao nhất.</v>
      </c>
      <c r="H1853" s="8"/>
      <c r="I1853" s="8"/>
      <c r="J1853" s="8"/>
    </row>
    <row r="1854" ht="21.0" customHeight="1">
      <c r="A1854" s="6">
        <v>1.0</v>
      </c>
      <c r="B1854" s="6">
        <v>155.0</v>
      </c>
      <c r="C1854" s="6">
        <v>1.0</v>
      </c>
      <c r="D1854" s="9" t="s">
        <v>2507</v>
      </c>
      <c r="E1854" s="9" t="s">
        <v>2508</v>
      </c>
      <c r="F1854" s="8" t="str">
        <f>IFERROR(__xludf.DUMMYFUNCTION("GOOGLETRANSLATE(D1854,""zh-CN"",""vi"")"),"Dải tảo bẹ")</f>
        <v>Dải tảo bẹ</v>
      </c>
      <c r="G1854" s="8" t="str">
        <f>IFERROR(__xludf.DUMMYFUNCTION("GOOGLETRANSLATE(E1854,""zh-CN"",""vi"")"),"Một món khai vị thơm ngon. Có thể chế biến để thu được các nút rong biển.")</f>
        <v>Một món khai vị thơm ngon. Có thể chế biến để thu được các nút rong biển.</v>
      </c>
      <c r="H1854" s="8"/>
      <c r="I1854" s="8"/>
      <c r="J1854" s="8"/>
    </row>
    <row r="1855" ht="21.0" customHeight="1">
      <c r="A1855" s="6">
        <v>1.0</v>
      </c>
      <c r="B1855" s="6">
        <v>155.0</v>
      </c>
      <c r="C1855" s="6">
        <v>2.0</v>
      </c>
      <c r="D1855" s="9" t="s">
        <v>2509</v>
      </c>
      <c r="E1855" s="9" t="s">
        <v>2510</v>
      </c>
      <c r="F1855" s="8" t="str">
        <f>IFERROR(__xludf.DUMMYFUNCTION("GOOGLETRANSLATE(D1855,""zh-CN"",""vi"")"),"Nút tảo bẹ")</f>
        <v>Nút tảo bẹ</v>
      </c>
      <c r="G1855" s="8" t="str">
        <f>IFERROR(__xludf.DUMMYFUNCTION("GOOGLETRANSLATE(E1855,""zh-CN"",""vi"")"),"Buộc rong biển thành từng nút thắt và cho vào nồi lẩu. Điều này sẽ tạo thành một chiếc ốc xà cừ để chấm.")</f>
        <v>Buộc rong biển thành từng nút thắt và cho vào nồi lẩu. Điều này sẽ tạo thành một chiếc ốc xà cừ để chấm.</v>
      </c>
      <c r="H1855" s="8"/>
      <c r="I1855" s="8"/>
      <c r="J1855" s="8"/>
    </row>
    <row r="1856" ht="21.0" customHeight="1">
      <c r="A1856" s="6">
        <v>1.0</v>
      </c>
      <c r="B1856" s="6">
        <v>155.0</v>
      </c>
      <c r="C1856" s="6">
        <v>3.0</v>
      </c>
      <c r="D1856" s="11" t="s">
        <v>2511</v>
      </c>
      <c r="E1856" s="9" t="s">
        <v>2512</v>
      </c>
      <c r="F1856" s="8" t="str">
        <f>IFERROR(__xludf.DUMMYFUNCTION("GOOGLETRANSLATE(D1856,""zh-CN"",""vi"")"),"Ốc biển chấm nước sốt")</f>
        <v>Ốc biển chấm nước sốt</v>
      </c>
      <c r="G1856" s="8" t="str">
        <f>IFERROR(__xludf.DUMMYFUNCTION("GOOGLETRANSLATE(E1856,""zh-CN"",""vi"")"),"Đừng vứt bỏ ốc biển sau khi ăn xong; hãy dùng chúng để tạo hình vỏ sò nhỏ. Sau đó, bạn có thể kết hợp chúng lại để tạo thành sò điệp.")</f>
        <v>Đừng vứt bỏ ốc biển sau khi ăn xong; hãy dùng chúng để tạo hình vỏ sò nhỏ. Sau đó, bạn có thể kết hợp chúng lại để tạo thành sò điệp.</v>
      </c>
      <c r="H1856" s="8"/>
      <c r="I1856" s="8"/>
      <c r="J1856" s="8"/>
    </row>
    <row r="1857" ht="21.0" customHeight="1">
      <c r="A1857" s="6">
        <v>1.0</v>
      </c>
      <c r="B1857" s="6">
        <v>155.0</v>
      </c>
      <c r="C1857" s="6">
        <v>4.0</v>
      </c>
      <c r="D1857" s="9" t="s">
        <v>2513</v>
      </c>
      <c r="E1857" s="9" t="s">
        <v>2514</v>
      </c>
      <c r="F1857" s="8" t="str">
        <f>IFERROR(__xludf.DUMMYFUNCTION("GOOGLETRANSLATE(D1857,""zh-CN"",""vi"")"),"sò điệp")</f>
        <v>sò điệp</v>
      </c>
      <c r="G1857" s="8" t="str">
        <f>IFERROR(__xludf.DUMMYFUNCTION("GOOGLETRANSLATE(E1857,""zh-CN"",""vi"")"),"Hãy cẩn thận đừng ăn viên ngọc trai! Bạn có thể kết hợp chúng để tạo ra sò biển Bắc Cực.")</f>
        <v>Hãy cẩn thận đừng ăn viên ngọc trai! Bạn có thể kết hợp chúng để tạo ra sò biển Bắc Cực.</v>
      </c>
      <c r="H1857" s="8"/>
      <c r="I1857" s="8"/>
      <c r="J1857" s="8"/>
    </row>
    <row r="1858" ht="21.0" customHeight="1">
      <c r="A1858" s="6">
        <v>1.0</v>
      </c>
      <c r="B1858" s="6">
        <v>155.0</v>
      </c>
      <c r="C1858" s="6">
        <v>5.0</v>
      </c>
      <c r="D1858" s="9" t="s">
        <v>2515</v>
      </c>
      <c r="E1858" s="9" t="s">
        <v>2516</v>
      </c>
      <c r="F1858" s="8" t="str">
        <f>IFERROR(__xludf.DUMMYFUNCTION("GOOGLETRANSLATE(D1858,""zh-CN"",""vi"")"),"sò biển Bắc Cực")</f>
        <v>sò biển Bắc Cực</v>
      </c>
      <c r="G1858" s="8" t="str">
        <f>IFERROR(__xludf.DUMMYFUNCTION("GOOGLETRANSLATE(E1858,""zh-CN"",""vi"")"),"Ngao biển Bắc Cực không được sản xuất ở Bắc Cực. Cá hồi có thể thu được bằng cách chế tạo chúng.")</f>
        <v>Ngao biển Bắc Cực không được sản xuất ở Bắc Cực. Cá hồi có thể thu được bằng cách chế tạo chúng.</v>
      </c>
      <c r="H1858" s="8"/>
      <c r="I1858" s="8"/>
      <c r="J1858" s="8"/>
    </row>
    <row r="1859" ht="21.0" customHeight="1">
      <c r="A1859" s="6">
        <v>1.0</v>
      </c>
      <c r="B1859" s="6">
        <v>155.0</v>
      </c>
      <c r="C1859" s="6">
        <v>6.0</v>
      </c>
      <c r="D1859" s="9" t="s">
        <v>2517</v>
      </c>
      <c r="E1859" s="9" t="s">
        <v>2518</v>
      </c>
      <c r="F1859" s="8" t="str">
        <f>IFERROR(__xludf.DUMMYFUNCTION("GOOGLETRANSLATE(D1859,""zh-CN"",""vi"")"),"cá hồi")</f>
        <v>cá hồi</v>
      </c>
      <c r="G1859" s="8" t="str">
        <f>IFERROR(__xludf.DUMMYFUNCTION("GOOGLETRANSLATE(E1859,""zh-CN"",""vi"")"),"Nó cực kỳ ngon khi ăn kèm với mù tạt và nước tương. Bạn có thể làm lươn từ nó.")</f>
        <v>Nó cực kỳ ngon khi ăn kèm với mù tạt và nước tương. Bạn có thể làm lươn từ nó.</v>
      </c>
      <c r="H1859" s="8"/>
      <c r="I1859" s="8"/>
      <c r="J1859" s="8"/>
    </row>
    <row r="1860" ht="21.0" customHeight="1">
      <c r="A1860" s="6">
        <v>1.0</v>
      </c>
      <c r="B1860" s="6">
        <v>155.0</v>
      </c>
      <c r="C1860" s="6">
        <v>7.0</v>
      </c>
      <c r="D1860" s="9" t="s">
        <v>2519</v>
      </c>
      <c r="E1860" s="9" t="s">
        <v>2520</v>
      </c>
      <c r="F1860" s="8" t="str">
        <f>IFERROR(__xludf.DUMMYFUNCTION("GOOGLETRANSLATE(D1860,""zh-CN"",""vi"")"),"lươn")</f>
        <v>lươn</v>
      </c>
      <c r="G1860" s="8" t="str">
        <f>IFERROR(__xludf.DUMMYFUNCTION("GOOGLETRANSLATE(E1860,""zh-CN"",""vi"")"),"Hãy thưởng thức món cơm lươn thơm ngon và mềm mại! Bạn có thể thu được cá tuyết bạc bằng cách kết hợp chúng.")</f>
        <v>Hãy thưởng thức món cơm lươn thơm ngon và mềm mại! Bạn có thể thu được cá tuyết bạc bằng cách kết hợp chúng.</v>
      </c>
      <c r="H1860" s="8"/>
      <c r="I1860" s="8"/>
      <c r="J1860" s="8"/>
    </row>
    <row r="1861" ht="21.0" customHeight="1">
      <c r="A1861" s="6">
        <v>1.0</v>
      </c>
      <c r="B1861" s="6">
        <v>155.0</v>
      </c>
      <c r="C1861" s="6">
        <v>8.0</v>
      </c>
      <c r="D1861" s="9" t="s">
        <v>2521</v>
      </c>
      <c r="E1861" s="9" t="s">
        <v>2522</v>
      </c>
      <c r="F1861" s="8" t="str">
        <f>IFERROR(__xludf.DUMMYFUNCTION("GOOGLETRANSLATE(D1861,""zh-CN"",""vi"")"),"Cá tuyết bạc")</f>
        <v>Cá tuyết bạc</v>
      </c>
      <c r="G1861" s="8" t="str">
        <f>IFERROR(__xludf.DUMMYFUNCTION("GOOGLETRANSLATE(E1861,""zh-CN"",""vi"")"),"Nó không có xương cá, vì vậy bạn có thể thưởng thức từng miếng lớn. Có thể kết hợp để làm món bào ngư kho.")</f>
        <v>Nó không có xương cá, vì vậy bạn có thể thưởng thức từng miếng lớn. Có thể kết hợp để làm món bào ngư kho.</v>
      </c>
      <c r="H1861" s="8"/>
      <c r="I1861" s="8"/>
      <c r="J1861" s="8"/>
    </row>
    <row r="1862" ht="21.0" customHeight="1">
      <c r="A1862" s="6">
        <v>1.0</v>
      </c>
      <c r="B1862" s="6">
        <v>155.0</v>
      </c>
      <c r="C1862" s="6">
        <v>9.0</v>
      </c>
      <c r="D1862" s="11" t="s">
        <v>2523</v>
      </c>
      <c r="E1862" s="9" t="s">
        <v>2524</v>
      </c>
      <c r="F1862" s="8" t="str">
        <f>IFERROR(__xludf.DUMMYFUNCTION("GOOGLETRANSLATE(D1862,""zh-CN"",""vi"")"),"Bào ngư hầm")</f>
        <v>Bào ngư hầm</v>
      </c>
      <c r="G1862" s="8" t="str">
        <f>IFERROR(__xludf.DUMMYFUNCTION("GOOGLETRANSLATE(E1862,""zh-CN"",""vi"")"),"Bào ngư vị hành lá, một món ăn cực kỳ ngon! Có thể chế biến để thu được vây cá mập.")</f>
        <v>Bào ngư vị hành lá, một món ăn cực kỳ ngon! Có thể chế biến để thu được vây cá mập.</v>
      </c>
      <c r="H1862" s="8"/>
      <c r="I1862" s="8"/>
      <c r="J1862" s="8"/>
    </row>
    <row r="1863" ht="21.0" customHeight="1">
      <c r="A1863" s="6">
        <v>1.0</v>
      </c>
      <c r="B1863" s="6">
        <v>155.0</v>
      </c>
      <c r="C1863" s="6">
        <v>10.0</v>
      </c>
      <c r="D1863" s="9" t="s">
        <v>2525</v>
      </c>
      <c r="E1863" s="9" t="s">
        <v>2526</v>
      </c>
      <c r="F1863" s="8" t="str">
        <f>IFERROR(__xludf.DUMMYFUNCTION("GOOGLETRANSLATE(D1863,""zh-CN"",""vi"")"),"Vây cá mập")</f>
        <v>Vây cá mập</v>
      </c>
      <c r="G1863" s="8" t="str">
        <f>IFERROR(__xludf.DUMMYFUNCTION("GOOGLETRANSLATE(E1863,""zh-CN"",""vi"")"),"Mềm, mịn, ngon tuyệt. Khi kết hợp lại, chúng tạo nên cua lông.")</f>
        <v>Mềm, mịn, ngon tuyệt. Khi kết hợp lại, chúng tạo nên cua lông.</v>
      </c>
      <c r="H1863" s="8"/>
      <c r="I1863" s="8"/>
      <c r="J1863" s="8"/>
    </row>
    <row r="1864" ht="21.0" customHeight="1">
      <c r="A1864" s="6">
        <v>1.0</v>
      </c>
      <c r="B1864" s="6">
        <v>155.0</v>
      </c>
      <c r="C1864" s="6">
        <v>11.0</v>
      </c>
      <c r="D1864" s="9" t="s">
        <v>2527</v>
      </c>
      <c r="E1864" s="9" t="s">
        <v>2528</v>
      </c>
      <c r="F1864" s="8" t="str">
        <f>IFERROR(__xludf.DUMMYFUNCTION("GOOGLETRANSLATE(D1864,""zh-CN"",""vi"")"),"cua lông")</f>
        <v>cua lông</v>
      </c>
      <c r="G1864" s="8" t="str">
        <f>IFERROR(__xludf.DUMMYFUNCTION("GOOGLETRANSLATE(E1864,""zh-CN"",""vi"")"),"Con cua lông đầu tiên của mùa đông. Có thể kết hợp với các loài khác để thu được tôm càng.")</f>
        <v>Con cua lông đầu tiên của mùa đông. Có thể kết hợp với các loài khác để thu được tôm càng.</v>
      </c>
      <c r="H1864" s="8"/>
      <c r="I1864" s="8"/>
      <c r="J1864" s="8"/>
    </row>
    <row r="1865" ht="21.0" customHeight="1">
      <c r="A1865" s="6">
        <v>1.0</v>
      </c>
      <c r="B1865" s="6">
        <v>155.0</v>
      </c>
      <c r="C1865" s="6">
        <v>12.0</v>
      </c>
      <c r="D1865" s="9" t="s">
        <v>2529</v>
      </c>
      <c r="E1865" s="9" t="s">
        <v>2530</v>
      </c>
      <c r="F1865" s="8" t="str">
        <f>IFERROR(__xludf.DUMMYFUNCTION("GOOGLETRANSLATE(D1865,""zh-CN"",""vi"")"),"tôm càng")</f>
        <v>tôm càng</v>
      </c>
      <c r="G1865" s="8" t="str">
        <f>IFERROR(__xludf.DUMMYFUNCTION("GOOGLETRANSLATE(E1865,""zh-CN"",""vi"")"),"Bạn muốn thử món tôm hùm tỏi không? Bạn hoàn toàn có thể tự làm tôm hùm Úc.")</f>
        <v>Bạn muốn thử món tôm hùm tỏi không? Bạn hoàn toàn có thể tự làm tôm hùm Úc.</v>
      </c>
      <c r="H1865" s="8"/>
      <c r="I1865" s="8"/>
      <c r="J1865" s="8"/>
    </row>
    <row r="1866" ht="21.0" customHeight="1">
      <c r="A1866" s="6">
        <v>1.0</v>
      </c>
      <c r="B1866" s="6">
        <v>155.0</v>
      </c>
      <c r="C1866" s="6">
        <v>13.0</v>
      </c>
      <c r="D1866" s="9" t="s">
        <v>2531</v>
      </c>
      <c r="E1866" s="9" t="s">
        <v>2532</v>
      </c>
      <c r="F1866" s="8" t="str">
        <f>IFERROR(__xludf.DUMMYFUNCTION("GOOGLETRANSLATE(D1866,""zh-CN"",""vi"")"),"Rồng Úc")</f>
        <v>Rồng Úc</v>
      </c>
      <c r="G1866" s="8" t="str">
        <f>IFERROR(__xludf.DUMMYFUNCTION("GOOGLETRANSLATE(E1866,""zh-CN"",""vi"")"),"Tiệc hải sản, bắt đầu thôi! Được nâng cấp lên cấp độ cao nhất.")</f>
        <v>Tiệc hải sản, bắt đầu thôi! Được nâng cấp lên cấp độ cao nhất.</v>
      </c>
      <c r="H1866" s="8"/>
      <c r="I1866" s="8"/>
      <c r="J1866" s="8"/>
    </row>
    <row r="1867" ht="21.0" customHeight="1">
      <c r="A1867" s="6">
        <v>1.0</v>
      </c>
      <c r="B1867" s="6">
        <v>156.0</v>
      </c>
      <c r="C1867" s="6">
        <v>1.0</v>
      </c>
      <c r="D1867" s="9" t="s">
        <v>2533</v>
      </c>
      <c r="E1867" s="9" t="s">
        <v>2534</v>
      </c>
      <c r="F1867" s="8" t="str">
        <f>IFERROR(__xludf.DUMMYFUNCTION("GOOGLETRANSLATE(D1867,""zh-CN"",""vi"")"),"Ghim cài tóc bằng gỗ đơn giản")</f>
        <v>Ghim cài tóc bằng gỗ đơn giản</v>
      </c>
      <c r="G1867" s="8" t="str">
        <f>IFERROR(__xludf.DUMMYFUNCTION("GOOGLETRANSLATE(E1867,""zh-CN"",""vi"")"),"Một chiếc kẹp tóc đơn giản, không trang trí. Nó có thể được chế tác thành một chiếc kẹp tóc bằng gỗ đàn hương trơn.")</f>
        <v>Một chiếc kẹp tóc đơn giản, không trang trí. Nó có thể được chế tác thành một chiếc kẹp tóc bằng gỗ đàn hương trơn.</v>
      </c>
      <c r="H1867" s="8"/>
      <c r="I1867" s="8"/>
      <c r="J1867" s="8"/>
    </row>
    <row r="1868" ht="21.0" customHeight="1">
      <c r="A1868" s="6">
        <v>1.0</v>
      </c>
      <c r="B1868" s="6">
        <v>156.0</v>
      </c>
      <c r="C1868" s="6">
        <v>2.0</v>
      </c>
      <c r="D1868" s="9" t="s">
        <v>2535</v>
      </c>
      <c r="E1868" s="9" t="s">
        <v>2536</v>
      </c>
      <c r="F1868" s="8" t="str">
        <f>IFERROR(__xludf.DUMMYFUNCTION("GOOGLETRANSLATE(D1868,""zh-CN"",""vi"")"),"kẹp tóc gỗ đàn hương")</f>
        <v>kẹp tóc gỗ đàn hương</v>
      </c>
      <c r="G1868" s="8" t="str">
        <f>IFERROR(__xludf.DUMMYFUNCTION("GOOGLETRANSLATE(E1868,""zh-CN"",""vi"")"),"Chỉ cần chạm khắc một chút, nó sẽ có được vẻ đẹp độc đáo. Có thể kết hợp các bộ phận để tạo thành kẹp tóc hình sừng hươu.")</f>
        <v>Chỉ cần chạm khắc một chút, nó sẽ có được vẻ đẹp độc đáo. Có thể kết hợp các bộ phận để tạo thành kẹp tóc hình sừng hươu.</v>
      </c>
      <c r="H1868" s="8"/>
      <c r="I1868" s="8"/>
      <c r="J1868" s="8"/>
    </row>
    <row r="1869" ht="21.0" customHeight="1">
      <c r="A1869" s="6">
        <v>1.0</v>
      </c>
      <c r="B1869" s="6">
        <v>156.0</v>
      </c>
      <c r="C1869" s="6">
        <v>3.0</v>
      </c>
      <c r="D1869" s="9" t="s">
        <v>2537</v>
      </c>
      <c r="E1869" s="9" t="s">
        <v>2538</v>
      </c>
      <c r="F1869" s="8" t="str">
        <f>IFERROR(__xludf.DUMMYFUNCTION("GOOGLETRANSLATE(D1869,""zh-CN"",""vi"")"),"Kẹp tóc hình sừng hươu")</f>
        <v>Kẹp tóc hình sừng hươu</v>
      </c>
      <c r="G1869" s="8" t="str">
        <f>IFERROR(__xludf.DUMMYFUNCTION("GOOGLETRANSLATE(E1869,""zh-CN"",""vi"")"),"Có hình dạng giống sừng hươu, nó cũng có thể mở nắp chai. Khi chế tạo, bạn sẽ nhận được một chiếc kẹp tóc bằng gỗ rỗng ruột.")</f>
        <v>Có hình dạng giống sừng hươu, nó cũng có thể mở nắp chai. Khi chế tạo, bạn sẽ nhận được một chiếc kẹp tóc bằng gỗ rỗng ruột.</v>
      </c>
      <c r="H1869" s="8"/>
      <c r="I1869" s="8"/>
      <c r="J1869" s="8"/>
    </row>
    <row r="1870" ht="21.0" customHeight="1">
      <c r="A1870" s="6">
        <v>1.0</v>
      </c>
      <c r="B1870" s="6">
        <v>156.0</v>
      </c>
      <c r="C1870" s="6">
        <v>4.0</v>
      </c>
      <c r="D1870" s="9" t="s">
        <v>2539</v>
      </c>
      <c r="E1870" s="9" t="s">
        <v>2540</v>
      </c>
      <c r="F1870" s="8" t="str">
        <f>IFERROR(__xludf.DUMMYFUNCTION("GOOGLETRANSLATE(D1870,""zh-CN"",""vi"")"),"kẹp tóc bằng gỗ chạm khắc")</f>
        <v>kẹp tóc bằng gỗ chạm khắc</v>
      </c>
      <c r="G1870" s="8" t="str">
        <f>IFERROR(__xludf.DUMMYFUNCTION("GOOGLETRANSLATE(E1870,""zh-CN"",""vi"")"),"Sau quá trình đánh bóng tỉ mỉ, chất lượng tuyệt hảo của nó đạt đến mức hoàn hảo. Có thể kết hợp để tạo thành một chiếc kẹp tóc hình bạch quả.")</f>
        <v>Sau quá trình đánh bóng tỉ mỉ, chất lượng tuyệt hảo của nó đạt đến mức hoàn hảo. Có thể kết hợp để tạo thành một chiếc kẹp tóc hình bạch quả.</v>
      </c>
      <c r="H1870" s="8"/>
      <c r="I1870" s="8"/>
      <c r="J1870" s="8"/>
    </row>
    <row r="1871" ht="21.0" customHeight="1">
      <c r="A1871" s="6">
        <v>1.0</v>
      </c>
      <c r="B1871" s="6">
        <v>156.0</v>
      </c>
      <c r="C1871" s="6">
        <v>5.0</v>
      </c>
      <c r="D1871" s="9" t="s">
        <v>2541</v>
      </c>
      <c r="E1871" s="9" t="s">
        <v>2542</v>
      </c>
      <c r="F1871" s="8" t="str">
        <f>IFERROR(__xludf.DUMMYFUNCTION("GOOGLETRANSLATE(D1871,""zh-CN"",""vi"")"),"Cây bạch quả và cây trâm cài tóc bạc")</f>
        <v>Cây bạch quả và cây trâm cài tóc bạc</v>
      </c>
      <c r="G1871" s="8" t="str">
        <f>IFERROR(__xludf.DUMMYFUNCTION("GOOGLETRANSLATE(E1871,""zh-CN"",""vi"")"),"Hai chiếc lá bạch quả nằm sát nhau. Kết hợp chúng lại để tạo thành một chiếc trâm cài tóc bạc hình hoa kép.")</f>
        <v>Hai chiếc lá bạch quả nằm sát nhau. Kết hợp chúng lại để tạo thành một chiếc trâm cài tóc bạc hình hoa kép.</v>
      </c>
      <c r="H1871" s="8"/>
      <c r="I1871" s="8"/>
      <c r="J1871" s="8"/>
    </row>
    <row r="1872" ht="21.0" customHeight="1">
      <c r="A1872" s="6">
        <v>1.0</v>
      </c>
      <c r="B1872" s="6">
        <v>156.0</v>
      </c>
      <c r="C1872" s="6">
        <v>6.0</v>
      </c>
      <c r="D1872" s="9" t="s">
        <v>2543</v>
      </c>
      <c r="E1872" s="9" t="s">
        <v>2544</v>
      </c>
      <c r="F1872" s="8" t="str">
        <f>IFERROR(__xludf.DUMMYFUNCTION("GOOGLETRANSLATE(D1872,""zh-CN"",""vi"")"),"Kẹp tóc bạc hình hoa đôi")</f>
        <v>Kẹp tóc bạc hình hoa đôi</v>
      </c>
      <c r="G1872" s="8" t="str">
        <f>IFERROR(__xludf.DUMMYFUNCTION("GOOGLETRANSLATE(E1872,""zh-CN"",""vi"")"),"Tay thanh tú cầm một đóa hoa mai, nàng toát lên vẻ đẹp duyên dáng của phương Đông. Món đồ này được làm ra là một chiếc trâm cài tóc hình hoa sen.")</f>
        <v>Tay thanh tú cầm một đóa hoa mai, nàng toát lên vẻ đẹp duyên dáng của phương Đông. Món đồ này được làm ra là một chiếc trâm cài tóc hình hoa sen.</v>
      </c>
      <c r="H1872" s="8"/>
      <c r="I1872" s="8"/>
      <c r="J1872" s="8"/>
    </row>
    <row r="1873" ht="21.0" customHeight="1">
      <c r="A1873" s="6">
        <v>1.0</v>
      </c>
      <c r="B1873" s="6">
        <v>156.0</v>
      </c>
      <c r="C1873" s="6">
        <v>7.0</v>
      </c>
      <c r="D1873" s="9" t="s">
        <v>2545</v>
      </c>
      <c r="E1873" s="9" t="s">
        <v>2546</v>
      </c>
      <c r="F1873" s="8" t="str">
        <f>IFERROR(__xludf.DUMMYFUNCTION("GOOGLETRANSLATE(D1873,""zh-CN"",""vi"")"),"Kẹp tóc tua rua hình hoa sen")</f>
        <v>Kẹp tóc tua rua hình hoa sen</v>
      </c>
      <c r="G1873" s="8" t="str">
        <f>IFERROR(__xludf.DUMMYFUNCTION("GOOGLETRANSLATE(E1873,""zh-CN"",""vi"")"),"Một đóa sen nở rộ trên chiếc trâm cài bạc. Kết hợp chúng lại để tạo thành chiếc trâm cài hình lá phong.")</f>
        <v>Một đóa sen nở rộ trên chiếc trâm cài bạc. Kết hợp chúng lại để tạo thành chiếc trâm cài hình lá phong.</v>
      </c>
      <c r="H1873" s="8"/>
      <c r="I1873" s="8"/>
      <c r="J1873" s="8"/>
    </row>
    <row r="1874" ht="21.0" customHeight="1">
      <c r="A1874" s="6">
        <v>1.0</v>
      </c>
      <c r="B1874" s="6">
        <v>156.0</v>
      </c>
      <c r="C1874" s="6">
        <v>8.0</v>
      </c>
      <c r="D1874" s="9" t="s">
        <v>2547</v>
      </c>
      <c r="E1874" s="9" t="s">
        <v>2548</v>
      </c>
      <c r="F1874" s="8" t="str">
        <f>IFERROR(__xludf.DUMMYFUNCTION("GOOGLETRANSLATE(D1874,""zh-CN"",""vi"")"),"Kẹp tóc tua rua hình lá phong")</f>
        <v>Kẹp tóc tua rua hình lá phong</v>
      </c>
      <c r="G1874" s="8" t="str">
        <f>IFERROR(__xludf.DUMMYFUNCTION("GOOGLETRANSLATE(E1874,""zh-CN"",""vi"")"),"Nhìn rất chân thực, trông như thể những chiếc lá phong sắp rơi xuống từ chiếc kẹp tóc. Kết hợp chúng lại để tạo thành chiếc kẹp tóc hình đèn lồng cung điện.")</f>
        <v>Nhìn rất chân thực, trông như thể những chiếc lá phong sắp rơi xuống từ chiếc kẹp tóc. Kết hợp chúng lại để tạo thành chiếc kẹp tóc hình đèn lồng cung điện.</v>
      </c>
      <c r="H1874" s="8"/>
      <c r="I1874" s="8"/>
      <c r="J1874" s="8"/>
    </row>
    <row r="1875" ht="21.0" customHeight="1">
      <c r="A1875" s="6">
        <v>1.0</v>
      </c>
      <c r="B1875" s="6">
        <v>156.0</v>
      </c>
      <c r="C1875" s="6">
        <v>9.0</v>
      </c>
      <c r="D1875" s="9" t="s">
        <v>2549</v>
      </c>
      <c r="E1875" s="9" t="s">
        <v>2550</v>
      </c>
      <c r="F1875" s="8" t="str">
        <f>IFERROR(__xludf.DUMMYFUNCTION("GOOGLETRANSLATE(D1875,""zh-CN"",""vi"")"),"kẹp tóc hình đèn lồng cung điện")</f>
        <v>kẹp tóc hình đèn lồng cung điện</v>
      </c>
      <c r="G1875" s="8" t="str">
        <f>IFERROR(__xludf.DUMMYFUNCTION("GOOGLETRANSLATE(E1875,""zh-CN"",""vi"")"),"Nó là một vật trang trí tóc khi trời sáng, và là một chiếc đèn lồng cung điện khi trời tối. Kết hợp chúng lại sẽ tạo thành Vật Trang Trí Tóc Hình Phượng Hoàng.")</f>
        <v>Nó là một vật trang trí tóc khi trời sáng, và là một chiếc đèn lồng cung điện khi trời tối. Kết hợp chúng lại sẽ tạo thành Vật Trang Trí Tóc Hình Phượng Hoàng.</v>
      </c>
      <c r="H1875" s="8"/>
      <c r="I1875" s="8"/>
      <c r="J1875" s="8"/>
    </row>
    <row r="1876" ht="21.0" customHeight="1">
      <c r="A1876" s="6">
        <v>1.0</v>
      </c>
      <c r="B1876" s="6">
        <v>156.0</v>
      </c>
      <c r="C1876" s="6">
        <v>10.0</v>
      </c>
      <c r="D1876" s="9" t="s">
        <v>2551</v>
      </c>
      <c r="E1876" s="9" t="s">
        <v>2552</v>
      </c>
      <c r="F1876" s="8" t="str">
        <f>IFERROR(__xludf.DUMMYFUNCTION("GOOGLETRANSLATE(D1876,""zh-CN"",""vi"")"),"Ghim cài tóc hình phượng hoàng")</f>
        <v>Ghim cài tóc hình phượng hoàng</v>
      </c>
      <c r="G1876" s="8" t="str">
        <f>IFERROR(__xludf.DUMMYFUNCTION("GOOGLETRANSLATE(E1876,""zh-CN"",""vi"")"),"Mỗi bước đi đều khiến nó đung đưa duyên dáng. Khi kết hợp lại, nó tạo thành một chiếc vương miện vàng khảm ngọc lam.")</f>
        <v>Mỗi bước đi đều khiến nó đung đưa duyên dáng. Khi kết hợp lại, nó tạo thành một chiếc vương miện vàng khảm ngọc lam.</v>
      </c>
      <c r="H1876" s="8"/>
      <c r="I1876" s="8"/>
      <c r="J1876" s="8"/>
    </row>
    <row r="1877" ht="21.0" customHeight="1">
      <c r="A1877" s="6">
        <v>1.0</v>
      </c>
      <c r="B1877" s="6">
        <v>156.0</v>
      </c>
      <c r="C1877" s="6">
        <v>11.0</v>
      </c>
      <c r="D1877" s="9" t="s">
        <v>2553</v>
      </c>
      <c r="E1877" s="9" t="s">
        <v>2554</v>
      </c>
      <c r="F1877" s="8" t="str">
        <f>IFERROR(__xludf.DUMMYFUNCTION("GOOGLETRANSLATE(D1877,""zh-CN"",""vi"")"),"Vương miện vàng khảm ngọc lam")</f>
        <v>Vương miện vàng khảm ngọc lam</v>
      </c>
      <c r="G1877" s="8" t="str">
        <f>IFERROR(__xludf.DUMMYFUNCTION("GOOGLETRANSLATE(E1877,""zh-CN"",""vi"")"),"Những chi tiết trang trí màu ngọc lam là điểm nhấn cuối cùng cho chiếc vương miện. Khi kết hợp lại, chúng tạo nên chiếc Vương miện Phượng hoàng hình lông chim bói cá khảm đá quý.")</f>
        <v>Những chi tiết trang trí màu ngọc lam là điểm nhấn cuối cùng cho chiếc vương miện. Khi kết hợp lại, chúng tạo nên chiếc Vương miện Phượng hoàng hình lông chim bói cá khảm đá quý.</v>
      </c>
      <c r="H1877" s="8"/>
      <c r="I1877" s="8"/>
      <c r="J1877" s="8"/>
    </row>
    <row r="1878" ht="21.0" customHeight="1">
      <c r="A1878" s="6">
        <v>1.0</v>
      </c>
      <c r="B1878" s="6">
        <v>156.0</v>
      </c>
      <c r="C1878" s="6">
        <v>12.0</v>
      </c>
      <c r="D1878" s="9" t="s">
        <v>2555</v>
      </c>
      <c r="E1878" s="9" t="s">
        <v>2556</v>
      </c>
      <c r="F1878" s="8" t="str">
        <f>IFERROR(__xludf.DUMMYFUNCTION("GOOGLETRANSLATE(D1878,""zh-CN"",""vi"")"),"Vương miện phượng hoàng khảm đá quý và lông chim bói cá.")</f>
        <v>Vương miện phượng hoàng khảm đá quý và lông chim bói cá.</v>
      </c>
      <c r="G1878" s="8" t="str">
        <f>IFERROR(__xludf.DUMMYFUNCTION("GOOGLETRANSLATE(E1878,""zh-CN"",""vi"")"),"Một loại mũ đội đầu truyền thống được cô dâu đội trong lễ cưới. Có thể chế tạo nó để có được Vương miện Phượng Hoàng Đôi Mạ Vàng.")</f>
        <v>Một loại mũ đội đầu truyền thống được cô dâu đội trong lễ cưới. Có thể chế tạo nó để có được Vương miện Phượng Hoàng Đôi Mạ Vàng.</v>
      </c>
      <c r="H1878" s="8"/>
      <c r="I1878" s="8"/>
      <c r="J1878" s="8"/>
    </row>
    <row r="1879" ht="21.0" customHeight="1">
      <c r="A1879" s="6">
        <v>1.0</v>
      </c>
      <c r="B1879" s="6">
        <v>156.0</v>
      </c>
      <c r="C1879" s="6">
        <v>13.0</v>
      </c>
      <c r="D1879" s="9" t="s">
        <v>2557</v>
      </c>
      <c r="E1879" s="9" t="s">
        <v>2558</v>
      </c>
      <c r="F1879" s="8" t="str">
        <f>IFERROR(__xludf.DUMMYFUNCTION("GOOGLETRANSLATE(D1879,""zh-CN"",""vi"")"),"Vương miện Phượng Hoàng Đôi mạ vàng")</f>
        <v>Vương miện Phượng Hoàng Đôi mạ vàng</v>
      </c>
      <c r="G1879" s="8" t="str">
        <f>IFERROR(__xludf.DUMMYFUNCTION("GOOGLETRANSLATE(E1879,""zh-CN"",""vi"")"),"Hai con phượng hoàng cùng bay, một cảnh tượng vô cùng tráng lệ. Nó đã được nâng cấp lên cấp độ cao nhất.")</f>
        <v>Hai con phượng hoàng cùng bay, một cảnh tượng vô cùng tráng lệ. Nó đã được nâng cấp lên cấp độ cao nhất.</v>
      </c>
      <c r="H1879" s="8"/>
      <c r="I1879" s="8"/>
      <c r="J1879" s="8"/>
    </row>
    <row r="1880" ht="21.0" customHeight="1">
      <c r="A1880" s="6">
        <v>1.0</v>
      </c>
      <c r="B1880" s="6">
        <v>157.0</v>
      </c>
      <c r="C1880" s="6">
        <v>1.0</v>
      </c>
      <c r="D1880" s="9" t="s">
        <v>2559</v>
      </c>
      <c r="E1880" s="9" t="s">
        <v>2560</v>
      </c>
      <c r="F1880" s="8" t="str">
        <f>IFERROR(__xludf.DUMMYFUNCTION("GOOGLETRANSLATE(D1880,""zh-CN"",""vi"")"),"Giấy son môi lụa")</f>
        <v>Giấy son môi lụa</v>
      </c>
      <c r="G1880" s="8" t="str">
        <f>IFERROR(__xludf.DUMMYFUNCTION("GOOGLETRANSLATE(E1880,""zh-CN"",""vi"")"),"Các sản phẩm trang điểm hoàn toàn tự nhiên được làm từ kén tằm. Quá trình chế tác có thể tạo ra những tấm thẻ son môi.")</f>
        <v>Các sản phẩm trang điểm hoàn toàn tự nhiên được làm từ kén tằm. Quá trình chế tác có thể tạo ra những tấm thẻ son môi.</v>
      </c>
      <c r="H1880" s="8"/>
      <c r="I1880" s="8"/>
      <c r="J1880" s="8"/>
    </row>
    <row r="1881" ht="21.0" customHeight="1">
      <c r="A1881" s="6">
        <v>1.0</v>
      </c>
      <c r="B1881" s="6">
        <v>157.0</v>
      </c>
      <c r="C1881" s="6">
        <v>2.0</v>
      </c>
      <c r="D1881" s="9" t="s">
        <v>2561</v>
      </c>
      <c r="E1881" s="9" t="s">
        <v>2562</v>
      </c>
      <c r="F1881" s="8" t="str">
        <f>IFERROR(__xludf.DUMMYFUNCTION("GOOGLETRANSLATE(D1881,""zh-CN"",""vi"")"),"thẻ son môi")</f>
        <v>thẻ son môi</v>
      </c>
      <c r="G1881" s="8" t="str">
        <f>IFERROR(__xludf.DUMMYFUNCTION("GOOGLETRANSLATE(E1881,""zh-CN"",""vi"")"),"Hãy thử trước khi mua để bảo vệ ví tiền của bạn. Tự làm sẽ cho ra son dưỡng môi truyền thống.")</f>
        <v>Hãy thử trước khi mua để bảo vệ ví tiền của bạn. Tự làm sẽ cho ra son dưỡng môi truyền thống.</v>
      </c>
      <c r="H1881" s="8"/>
      <c r="I1881" s="8"/>
      <c r="J1881" s="8"/>
    </row>
    <row r="1882" ht="21.0" customHeight="1">
      <c r="A1882" s="6">
        <v>1.0</v>
      </c>
      <c r="B1882" s="6">
        <v>157.0</v>
      </c>
      <c r="C1882" s="6">
        <v>3.0</v>
      </c>
      <c r="D1882" s="9" t="s">
        <v>2563</v>
      </c>
      <c r="E1882" s="9" t="s">
        <v>2564</v>
      </c>
      <c r="F1882" s="8" t="str">
        <f>IFERROR(__xludf.DUMMYFUNCTION("GOOGLETRANSLATE(D1882,""zh-CN"",""vi"")"),"Son môi truyền thống")</f>
        <v>Son môi truyền thống</v>
      </c>
      <c r="G1882" s="8" t="str">
        <f>IFERROR(__xludf.DUMMYFUNCTION("GOOGLETRANSLATE(E1882,""zh-CN"",""vi"")"),"Trang điểm theo phong cách phương Đông, một vẻ đẹp vượt thời gian. Quá trình chế tác sẽ tạo ra những thỏi son hình viên nang.")</f>
        <v>Trang điểm theo phong cách phương Đông, một vẻ đẹp vượt thời gian. Quá trình chế tác sẽ tạo ra những thỏi son hình viên nang.</v>
      </c>
      <c r="H1882" s="8"/>
      <c r="I1882" s="8"/>
      <c r="J1882" s="8"/>
    </row>
    <row r="1883" ht="21.0" customHeight="1">
      <c r="A1883" s="6">
        <v>1.0</v>
      </c>
      <c r="B1883" s="6">
        <v>157.0</v>
      </c>
      <c r="C1883" s="6">
        <v>4.0</v>
      </c>
      <c r="D1883" s="9" t="s">
        <v>2565</v>
      </c>
      <c r="E1883" s="9" t="s">
        <v>2566</v>
      </c>
      <c r="F1883" s="8" t="str">
        <f>IFERROR(__xludf.DUMMYFUNCTION("GOOGLETRANSLATE(D1883,""zh-CN"",""vi"")"),"Son môi dạng viên nang")</f>
        <v>Son môi dạng viên nang</v>
      </c>
      <c r="G1883" s="8" t="str">
        <f>IFERROR(__xludf.DUMMYFUNCTION("GOOGLETRANSLATE(E1883,""zh-CN"",""vi"")"),"Đây là những viên nang cỡ lớn; trẻ em không nên nuốt chúng. Chúng có thể được kết hợp để tạo thành son môi dạng kẹo.")</f>
        <v>Đây là những viên nang cỡ lớn; trẻ em không nên nuốt chúng. Chúng có thể được kết hợp để tạo thành son môi dạng kẹo.</v>
      </c>
      <c r="H1883" s="8"/>
      <c r="I1883" s="8"/>
      <c r="J1883" s="8"/>
    </row>
    <row r="1884" ht="21.0" customHeight="1">
      <c r="A1884" s="6">
        <v>1.0</v>
      </c>
      <c r="B1884" s="6">
        <v>157.0</v>
      </c>
      <c r="C1884" s="6">
        <v>5.0</v>
      </c>
      <c r="D1884" s="9" t="s">
        <v>2567</v>
      </c>
      <c r="E1884" s="9" t="s">
        <v>2568</v>
      </c>
      <c r="F1884" s="8" t="str">
        <f>IFERROR(__xludf.DUMMYFUNCTION("GOOGLETRANSLATE(D1884,""zh-CN"",""vi"")"),"Son môi kẹo")</f>
        <v>Son môi kẹo</v>
      </c>
      <c r="G1884" s="8" t="str">
        <f>IFERROR(__xludf.DUMMYFUNCTION("GOOGLETRANSLATE(E1884,""zh-CN"",""vi"")"),"Bao bì dễ thương, và màu sắc cũng rất dễ thương. Có thể tổng hợp được một loại son dưỡng môi không màu từ nó.")</f>
        <v>Bao bì dễ thương, và màu sắc cũng rất dễ thương. Có thể tổng hợp được một loại son dưỡng môi không màu từ nó.</v>
      </c>
      <c r="H1884" s="8"/>
      <c r="I1884" s="8"/>
      <c r="J1884" s="8"/>
    </row>
    <row r="1885" ht="21.0" customHeight="1">
      <c r="A1885" s="6">
        <v>1.0</v>
      </c>
      <c r="B1885" s="6">
        <v>157.0</v>
      </c>
      <c r="C1885" s="6">
        <v>6.0</v>
      </c>
      <c r="D1885" s="9" t="s">
        <v>2569</v>
      </c>
      <c r="E1885" s="9" t="s">
        <v>2570</v>
      </c>
      <c r="F1885" s="8" t="str">
        <f>IFERROR(__xludf.DUMMYFUNCTION("GOOGLETRANSLATE(D1885,""zh-CN"",""vi"")"),"Son dưỡng môi không màu")</f>
        <v>Son dưỡng môi không màu</v>
      </c>
      <c r="G1885" s="8" t="str">
        <f>IFERROR(__xludf.DUMMYFUNCTION("GOOGLETRANSLATE(E1885,""zh-CN"",""vi"")"),"Đừng quên dưỡng ẩm môi trước khi thoa son. Bạn có thể tự tạo một thỏi son màu nude.")</f>
        <v>Đừng quên dưỡng ẩm môi trước khi thoa son. Bạn có thể tự tạo một thỏi son màu nude.</v>
      </c>
      <c r="H1885" s="8"/>
      <c r="I1885" s="8"/>
      <c r="J1885" s="8"/>
    </row>
    <row r="1886" ht="21.0" customHeight="1">
      <c r="A1886" s="6">
        <v>1.0</v>
      </c>
      <c r="B1886" s="6">
        <v>157.0</v>
      </c>
      <c r="C1886" s="6">
        <v>7.0</v>
      </c>
      <c r="D1886" s="9" t="s">
        <v>2571</v>
      </c>
      <c r="E1886" s="9" t="s">
        <v>2572</v>
      </c>
      <c r="F1886" s="8" t="str">
        <f>IFERROR(__xludf.DUMMYFUNCTION("GOOGLETRANSLATE(D1886,""zh-CN"",""vi"")"),"son môi màu nude")</f>
        <v>son môi màu nude</v>
      </c>
      <c r="G1886" s="8" t="str">
        <f>IFERROR(__xludf.DUMMYFUNCTION("GOOGLETRANSLATE(E1886,""zh-CN"",""vi"")"),"Một sản phẩm không thể thiếu cho vẻ ngoài tự nhiên, không trang điểm. Hãy tự pha chế để có được son bóng màu hồng đất.")</f>
        <v>Một sản phẩm không thể thiếu cho vẻ ngoài tự nhiên, không trang điểm. Hãy tự pha chế để có được son bóng màu hồng đất.</v>
      </c>
      <c r="H1886" s="8"/>
      <c r="I1886" s="8"/>
      <c r="J1886" s="8"/>
    </row>
    <row r="1887" ht="21.0" customHeight="1">
      <c r="A1887" s="6">
        <v>1.0</v>
      </c>
      <c r="B1887" s="6">
        <v>157.0</v>
      </c>
      <c r="C1887" s="6">
        <v>8.0</v>
      </c>
      <c r="D1887" s="9" t="s">
        <v>2573</v>
      </c>
      <c r="E1887" s="9" t="s">
        <v>2574</v>
      </c>
      <c r="F1887" s="8" t="str">
        <f>IFERROR(__xludf.DUMMYFUNCTION("GOOGLETRANSLATE(D1887,""zh-CN"",""vi"")"),"son bóng màu đậu đỏ")</f>
        <v>son bóng màu đậu đỏ</v>
      </c>
      <c r="G1887" s="8" t="str">
        <f>IFERROR(__xludf.DUMMYFUNCTION("GOOGLETRANSLATE(E1887,""zh-CN"",""vi"")"),"Tạo nên vẻ ngoài mát mẻ và dịu nhẹ! Bạn có thể tự pha chế son bóng màu cà chua.")</f>
        <v>Tạo nên vẻ ngoài mát mẻ và dịu nhẹ! Bạn có thể tự pha chế son bóng màu cà chua.</v>
      </c>
      <c r="H1887" s="8"/>
      <c r="I1887" s="8"/>
      <c r="J1887" s="8"/>
    </row>
    <row r="1888" ht="21.0" customHeight="1">
      <c r="A1888" s="6">
        <v>1.0</v>
      </c>
      <c r="B1888" s="6">
        <v>157.0</v>
      </c>
      <c r="C1888" s="6">
        <v>9.0</v>
      </c>
      <c r="D1888" s="9" t="s">
        <v>2575</v>
      </c>
      <c r="E1888" s="9" t="s">
        <v>2576</v>
      </c>
      <c r="F1888" s="8" t="str">
        <f>IFERROR(__xludf.DUMMYFUNCTION("GOOGLETRANSLATE(D1888,""zh-CN"",""vi"")"),"Son bóng màu cà chua")</f>
        <v>Son bóng màu cà chua</v>
      </c>
      <c r="G1888" s="8" t="str">
        <f>IFERROR(__xludf.DUMMYFUNCTION("GOOGLETRANSLATE(E1888,""zh-CN"",""vi"")"),"Bạn luôn có thể tin tưởng Rotten Tomatoes! Công thức này sẽ tạo ra son bóng màu mận.")</f>
        <v>Bạn luôn có thể tin tưởng Rotten Tomatoes! Công thức này sẽ tạo ra son bóng màu mận.</v>
      </c>
      <c r="H1888" s="8"/>
      <c r="I1888" s="8"/>
      <c r="J1888" s="8"/>
    </row>
    <row r="1889" ht="21.0" customHeight="1">
      <c r="A1889" s="6">
        <v>1.0</v>
      </c>
      <c r="B1889" s="6">
        <v>157.0</v>
      </c>
      <c r="C1889" s="6">
        <v>10.0</v>
      </c>
      <c r="D1889" s="9" t="s">
        <v>2577</v>
      </c>
      <c r="E1889" s="9" t="s">
        <v>2578</v>
      </c>
      <c r="F1889" s="8" t="str">
        <f>IFERROR(__xludf.DUMMYFUNCTION("GOOGLETRANSLATE(D1889,""zh-CN"",""vi"")"),"Son bóng màu mận")</f>
        <v>Son bóng màu mận</v>
      </c>
      <c r="G1889" s="8" t="str">
        <f>IFERROR(__xludf.DUMMYFUNCTION("GOOGLETRANSLATE(E1889,""zh-CN"",""vi"")"),"Quả dâu tây ngâm rượu vang là một sản phẩm không thể thiếu để làm sáng da. Sau khi chế biến, bạn sẽ nhận được một hộp quà nhỏ gồm những quả dâu tây riêng lẻ.")</f>
        <v>Quả dâu tây ngâm rượu vang là một sản phẩm không thể thiếu để làm sáng da. Sau khi chế biến, bạn sẽ nhận được một hộp quà nhỏ gồm những quả dâu tây riêng lẻ.</v>
      </c>
      <c r="H1889" s="8"/>
      <c r="I1889" s="8"/>
      <c r="J1889" s="8"/>
    </row>
    <row r="1890" ht="21.0" customHeight="1">
      <c r="A1890" s="6">
        <v>1.0</v>
      </c>
      <c r="B1890" s="6">
        <v>157.0</v>
      </c>
      <c r="C1890" s="6">
        <v>11.0</v>
      </c>
      <c r="D1890" s="9" t="s">
        <v>2579</v>
      </c>
      <c r="E1890" s="9" t="s">
        <v>2580</v>
      </c>
      <c r="F1890" s="8" t="str">
        <f>IFERROR(__xludf.DUMMYFUNCTION("GOOGLETRANSLATE(D1890,""zh-CN"",""vi"")"),"Hộp quà đơn")</f>
        <v>Hộp quà đơn</v>
      </c>
      <c r="G1890" s="8" t="str">
        <f>IFERROR(__xludf.DUMMYFUNCTION("GOOGLETRANSLATE(E1890,""zh-CN"",""vi"")"),"Son môi cũng có thể có những căn phòng nhỏ xinh riêng. Việc cùng nhau thiết kế chúng sẽ tạo ra những bộ quà tặng son môi.")</f>
        <v>Son môi cũng có thể có những căn phòng nhỏ xinh riêng. Việc cùng nhau thiết kế chúng sẽ tạo ra những bộ quà tặng son môi.</v>
      </c>
      <c r="H1890" s="8"/>
      <c r="I1890" s="8"/>
      <c r="J1890" s="8"/>
    </row>
    <row r="1891" ht="21.0" customHeight="1">
      <c r="A1891" s="6">
        <v>1.0</v>
      </c>
      <c r="B1891" s="6">
        <v>157.0</v>
      </c>
      <c r="C1891" s="6">
        <v>12.0</v>
      </c>
      <c r="D1891" s="9" t="s">
        <v>2581</v>
      </c>
      <c r="E1891" s="9" t="s">
        <v>2582</v>
      </c>
      <c r="F1891" s="8" t="str">
        <f>IFERROR(__xludf.DUMMYFUNCTION("GOOGLETRANSLATE(D1891,""zh-CN"",""vi"")"),"hộp quà son môi")</f>
        <v>hộp quà son môi</v>
      </c>
      <c r="G1891" s="8" t="str">
        <f>IFERROR(__xludf.DUMMYFUNCTION("GOOGLETRANSLATE(E1891,""zh-CN"",""vi"")"),"Hãy gói trọn những lời chúc chân thành của bạn vào một hộp quà. Kết hợp chúng lại để tạo thành một bộ sưu tập đầy đủ các màu son.")</f>
        <v>Hãy gói trọn những lời chúc chân thành của bạn vào một hộp quà. Kết hợp chúng lại để tạo thành một bộ sưu tập đầy đủ các màu son.</v>
      </c>
      <c r="H1891" s="8"/>
      <c r="I1891" s="8"/>
      <c r="J1891" s="8"/>
    </row>
    <row r="1892" ht="21.0" customHeight="1">
      <c r="A1892" s="6">
        <v>1.0</v>
      </c>
      <c r="B1892" s="6">
        <v>157.0</v>
      </c>
      <c r="C1892" s="6">
        <v>13.0</v>
      </c>
      <c r="D1892" s="9" t="s">
        <v>2583</v>
      </c>
      <c r="E1892" s="9" t="s">
        <v>2584</v>
      </c>
      <c r="F1892" s="8" t="str">
        <f>IFERROR(__xludf.DUMMYFUNCTION("GOOGLETRANSLATE(D1892,""zh-CN"",""vi"")"),"Đầy đủ các loại son môi")</f>
        <v>Đầy đủ các loại son môi</v>
      </c>
      <c r="G1892" s="8" t="str">
        <f>IFERROR(__xludf.DUMMYFUNCTION("GOOGLETRANSLATE(E1892,""zh-CN"",""vi"")"),"Ai có thể cưỡng lại được một bộ son môi đầy đủ các màu sắc chứ? Giờ đây nó đã đạt đến đẳng cấp cao nhất rồi.")</f>
        <v>Ai có thể cưỡng lại được một bộ son môi đầy đủ các màu sắc chứ? Giờ đây nó đã đạt đến đẳng cấp cao nhất rồi.</v>
      </c>
      <c r="H1892" s="8"/>
      <c r="I1892" s="8"/>
      <c r="J1892" s="8"/>
    </row>
    <row r="1893" ht="21.0" customHeight="1">
      <c r="A1893" s="68">
        <v>1.0</v>
      </c>
      <c r="B1893" s="68">
        <v>158.0</v>
      </c>
      <c r="C1893" s="68">
        <v>1.0</v>
      </c>
      <c r="D1893" s="68" t="s">
        <v>2585</v>
      </c>
      <c r="E1893" s="68" t="s">
        <v>2586</v>
      </c>
      <c r="F1893" s="8" t="str">
        <f>IFERROR(__xludf.DUMMYFUNCTION("GOOGLETRANSLATE(D1893,""zh-CN"",""vi"")"),"Cỏ ba lá")</f>
        <v>Cỏ ba lá</v>
      </c>
      <c r="G1893" s="8" t="str">
        <f>IFERROR(__xludf.DUMMYFUNCTION("GOOGLETRANSLATE(E1893,""zh-CN"",""vi"")"),"Cỏ ba lá tượng trưng cho tình yêu đích thực, sức khỏe và danh dự. Nó có thể được tổng hợp để tạo ra hoa oải hương.")</f>
        <v>Cỏ ba lá tượng trưng cho tình yêu đích thực, sức khỏe và danh dự. Nó có thể được tổng hợp để tạo ra hoa oải hương.</v>
      </c>
      <c r="H1893" s="8"/>
      <c r="I1893" s="8"/>
      <c r="J1893" s="8"/>
    </row>
    <row r="1894" ht="21.0" customHeight="1">
      <c r="A1894" s="35">
        <v>1.0</v>
      </c>
      <c r="B1894" s="35">
        <v>158.0</v>
      </c>
      <c r="C1894" s="35">
        <v>2.0</v>
      </c>
      <c r="D1894" s="35" t="s">
        <v>2587</v>
      </c>
      <c r="E1894" s="35" t="s">
        <v>2588</v>
      </c>
      <c r="F1894" s="8" t="str">
        <f>IFERROR(__xludf.DUMMYFUNCTION("GOOGLETRANSLATE(D1894,""zh-CN"",""vi"")"),"Hoa oải hương")</f>
        <v>Hoa oải hương</v>
      </c>
      <c r="G1894" s="8" t="str">
        <f>IFERROR(__xludf.DUMMYFUNCTION("GOOGLETRANSLATE(E1894,""zh-CN"",""vi"")"),"Trải qua vô vàn gian khổ, chúng ta nắm tay nhau. Cùng nhau hợp nhất để có được Hoa Lưu Ly.")</f>
        <v>Trải qua vô vàn gian khổ, chúng ta nắm tay nhau. Cùng nhau hợp nhất để có được Hoa Lưu Ly.</v>
      </c>
      <c r="H1894" s="8"/>
      <c r="I1894" s="8"/>
      <c r="J1894" s="8"/>
    </row>
    <row r="1895" ht="21.0" customHeight="1">
      <c r="A1895" s="68">
        <v>1.0</v>
      </c>
      <c r="B1895" s="68">
        <v>158.0</v>
      </c>
      <c r="C1895" s="68">
        <v>3.0</v>
      </c>
      <c r="D1895" s="68" t="s">
        <v>2589</v>
      </c>
      <c r="E1895" s="68" t="s">
        <v>2590</v>
      </c>
      <c r="F1895" s="8" t="str">
        <f>IFERROR(__xludf.DUMMYFUNCTION("GOOGLETRANSLATE(D1895,""zh-CN"",""vi"")"),"Hoa lưu ly")</f>
        <v>Hoa lưu ly</v>
      </c>
      <c r="G1895" s="8" t="str">
        <f>IFERROR(__xludf.DUMMYFUNCTION("GOOGLETRANSLATE(E1895,""zh-CN"",""vi"")"),"Hoa lưu ly, hoa lưu ly, đừng quên tôi! Kết hợp các hoa để tạo thành hoa hướng dương.")</f>
        <v>Hoa lưu ly, hoa lưu ly, đừng quên tôi! Kết hợp các hoa để tạo thành hoa hướng dương.</v>
      </c>
      <c r="H1895" s="8"/>
      <c r="I1895" s="8"/>
      <c r="J1895" s="8"/>
    </row>
    <row r="1896" ht="21.0" customHeight="1">
      <c r="A1896" s="35">
        <v>1.0</v>
      </c>
      <c r="B1896" s="35">
        <v>158.0</v>
      </c>
      <c r="C1896" s="35">
        <v>4.0</v>
      </c>
      <c r="D1896" s="35" t="s">
        <v>2591</v>
      </c>
      <c r="E1896" s="35" t="s">
        <v>2592</v>
      </c>
      <c r="F1896" s="8" t="str">
        <f>IFERROR(__xludf.DUMMYFUNCTION("GOOGLETRANSLATE(D1896,""zh-CN"",""vi"")"),"hoa hướng dương")</f>
        <v>hoa hướng dương</v>
      </c>
      <c r="G1896" s="8" t="str">
        <f>IFERROR(__xludf.DUMMYFUNCTION("GOOGLETRANSLATE(E1896,""zh-CN"",""vi"")"),"Sự bảo vệ thầm lặng cũng là một hình thức của tình yêu. Kết hợp để có được hai bông hồng.")</f>
        <v>Sự bảo vệ thầm lặng cũng là một hình thức của tình yêu. Kết hợp để có được hai bông hồng.</v>
      </c>
      <c r="H1896" s="8"/>
      <c r="I1896" s="8"/>
      <c r="J1896" s="8"/>
    </row>
    <row r="1897" ht="21.0" customHeight="1">
      <c r="A1897" s="68">
        <v>1.0</v>
      </c>
      <c r="B1897" s="68">
        <v>158.0</v>
      </c>
      <c r="C1897" s="68">
        <v>5.0</v>
      </c>
      <c r="D1897" s="68" t="s">
        <v>2593</v>
      </c>
      <c r="E1897" s="68" t="s">
        <v>2594</v>
      </c>
      <c r="F1897" s="8" t="str">
        <f>IFERROR(__xludf.DUMMYFUNCTION("GOOGLETRANSLATE(D1897,""zh-CN"",""vi"")"),"Hai bông hồng")</f>
        <v>Hai bông hồng</v>
      </c>
      <c r="G1897" s="8" t="str">
        <f>IFERROR(__xludf.DUMMYFUNCTION("GOOGLETRANSLATE(E1897,""zh-CN"",""vi"")"),"Bạn và tôi là cả thế giới. Hãy kết hợp lại để tạo thành một bông hoa cúc.")</f>
        <v>Bạn và tôi là cả thế giới. Hãy kết hợp lại để tạo thành một bông hoa cúc.</v>
      </c>
      <c r="H1897" s="8"/>
      <c r="I1897" s="8"/>
      <c r="J1897" s="8"/>
    </row>
    <row r="1898" ht="21.0" customHeight="1">
      <c r="A1898" s="35">
        <v>1.0</v>
      </c>
      <c r="B1898" s="35">
        <v>158.0</v>
      </c>
      <c r="C1898" s="35">
        <v>6.0</v>
      </c>
      <c r="D1898" s="35" t="s">
        <v>2595</v>
      </c>
      <c r="E1898" s="35" t="s">
        <v>2596</v>
      </c>
      <c r="F1898" s="8" t="str">
        <f>IFERROR(__xludf.DUMMYFUNCTION("GOOGLETRANSLATE(D1898,""zh-CN"",""vi"")"),"hoa cúc")</f>
        <v>hoa cúc</v>
      </c>
      <c r="G1898" s="8" t="str">
        <f>IFERROR(__xludf.DUMMYFUNCTION("GOOGLETRANSLATE(E1898,""zh-CN"",""vi"")"),"Em yêu anh, nhưng em không nói gì. Kết hợp các bông hồng để được ba bông.")</f>
        <v>Em yêu anh, nhưng em không nói gì. Kết hợp các bông hồng để được ba bông.</v>
      </c>
      <c r="H1898" s="8"/>
      <c r="I1898" s="8"/>
      <c r="J1898" s="8"/>
    </row>
    <row r="1899" ht="21.0" customHeight="1">
      <c r="A1899" s="68">
        <v>1.0</v>
      </c>
      <c r="B1899" s="68">
        <v>158.0</v>
      </c>
      <c r="C1899" s="68">
        <v>7.0</v>
      </c>
      <c r="D1899" s="68" t="s">
        <v>2597</v>
      </c>
      <c r="E1899" s="68" t="s">
        <v>2598</v>
      </c>
      <c r="F1899" s="8" t="str">
        <f>IFERROR(__xludf.DUMMYFUNCTION("GOOGLETRANSLATE(D1899,""zh-CN"",""vi"")"),"Ba bông hồng")</f>
        <v>Ba bông hồng</v>
      </c>
      <c r="G1899" s="8" t="str">
        <f>IFERROR(__xludf.DUMMYFUNCTION("GOOGLETRANSLATE(E1899,""zh-CN"",""vi"")"),"Ba bông hồng tượng trưng cho ba từ ""tình cảm sâu sắc"". Kết hợp chúng lại sẽ tạo thành một bông hoa dành dành.")</f>
        <v>Ba bông hồng tượng trưng cho ba từ "tình cảm sâu sắc". Kết hợp chúng lại sẽ tạo thành một bông hoa dành dành.</v>
      </c>
      <c r="H1899" s="8"/>
      <c r="I1899" s="8"/>
      <c r="J1899" s="8"/>
    </row>
    <row r="1900" ht="21.0" customHeight="1">
      <c r="A1900" s="35">
        <v>1.0</v>
      </c>
      <c r="B1900" s="35">
        <v>158.0</v>
      </c>
      <c r="C1900" s="35">
        <v>8.0</v>
      </c>
      <c r="D1900" s="35" t="s">
        <v>2599</v>
      </c>
      <c r="E1900" s="35" t="s">
        <v>2600</v>
      </c>
      <c r="F1900" s="8" t="str">
        <f>IFERROR(__xludf.DUMMYFUNCTION("GOOGLETRANSLATE(D1900,""zh-CN"",""vi"")"),"Hoa dành dành")</f>
        <v>Hoa dành dành</v>
      </c>
      <c r="G1900" s="8" t="str">
        <f>IFERROR(__xludf.DUMMYFUNCTION("GOOGLETRANSLATE(E1900,""zh-CN"",""vi"")"),"Nó sống sót qua cả mùa đông và nở hoa vào mùa hè. Tổng hợp lại để thu được hoa violet màu tím.")</f>
        <v>Nó sống sót qua cả mùa đông và nở hoa vào mùa hè. Tổng hợp lại để thu được hoa violet màu tím.</v>
      </c>
      <c r="H1900" s="8"/>
      <c r="I1900" s="8"/>
      <c r="J1900" s="8"/>
    </row>
    <row r="1901" ht="21.0" customHeight="1">
      <c r="A1901" s="68">
        <v>1.0</v>
      </c>
      <c r="B1901" s="68">
        <v>158.0</v>
      </c>
      <c r="C1901" s="68">
        <v>9.0</v>
      </c>
      <c r="D1901" s="68" t="s">
        <v>2601</v>
      </c>
      <c r="E1901" s="68" t="s">
        <v>2602</v>
      </c>
      <c r="F1901" s="8" t="str">
        <f>IFERROR(__xludf.DUMMYFUNCTION("GOOGLETRANSLATE(D1901,""zh-CN"",""vi"")"),"Tím hoa violet")</f>
        <v>Tím hoa violet</v>
      </c>
      <c r="G1901" s="8" t="str">
        <f>IFERROR(__xludf.DUMMYFUNCTION("GOOGLETRANSLATE(E1901,""zh-CN"",""vi"")"),"Tôi cảm thấy như mình đã yêu em cả ngàn lần trong giấc mơ. (Tổng hợp để thu được Hoa Huệ Trắng.)")</f>
        <v>Tôi cảm thấy như mình đã yêu em cả ngàn lần trong giấc mơ. (Tổng hợp để thu được Hoa Huệ Trắng.)</v>
      </c>
      <c r="H1901" s="8"/>
      <c r="I1901" s="8"/>
      <c r="J1901" s="8"/>
    </row>
    <row r="1902" ht="21.0" customHeight="1">
      <c r="A1902" s="35">
        <v>1.0</v>
      </c>
      <c r="B1902" s="35">
        <v>158.0</v>
      </c>
      <c r="C1902" s="35">
        <v>10.0</v>
      </c>
      <c r="D1902" s="35" t="s">
        <v>2603</v>
      </c>
      <c r="E1902" s="35" t="s">
        <v>2604</v>
      </c>
      <c r="F1902" s="8" t="str">
        <f>IFERROR(__xludf.DUMMYFUNCTION("GOOGLETRANSLATE(D1902,""zh-CN"",""vi"")"),"Bạch Bách Hợp")</f>
        <v>Bạch Bách Hợp</v>
      </c>
      <c r="G1902" s="8" t="str">
        <f>IFERROR(__xludf.DUMMYFUNCTION("GOOGLETRANSLATE(E1902,""zh-CN"",""vi"")"),"Mãi mãi trong trắng, mãi mãi ngây thơ, mãi mãi là một cô gái trẻ. Kết hợp các thành phần để tạo ra hoa tulip.")</f>
        <v>Mãi mãi trong trắng, mãi mãi ngây thơ, mãi mãi là một cô gái trẻ. Kết hợp các thành phần để tạo ra hoa tulip.</v>
      </c>
      <c r="H1902" s="8"/>
      <c r="I1902" s="8"/>
      <c r="J1902" s="8"/>
    </row>
    <row r="1903" ht="21.0" customHeight="1">
      <c r="A1903" s="68">
        <v>1.0</v>
      </c>
      <c r="B1903" s="68">
        <v>158.0</v>
      </c>
      <c r="C1903" s="68">
        <v>11.0</v>
      </c>
      <c r="D1903" s="68" t="s">
        <v>2605</v>
      </c>
      <c r="E1903" s="68" t="s">
        <v>2606</v>
      </c>
      <c r="F1903" s="8" t="str">
        <f>IFERROR(__xludf.DUMMYFUNCTION("GOOGLETRANSLATE(D1903,""zh-CN"",""vi"")"),"hoa tulip")</f>
        <v>hoa tulip</v>
      </c>
      <c r="G1903" s="8" t="str">
        <f>IFERROR(__xludf.DUMMYFUNCTION("GOOGLETRANSLATE(E1903,""zh-CN"",""vi"")"),"Nàng sẽ mãi là công chúa của ta. (Kết hợp để có được Bầu Trời Sao)")</f>
        <v>Nàng sẽ mãi là công chúa của ta. (Kết hợp để có được Bầu Trời Sao)</v>
      </c>
      <c r="H1903" s="8"/>
      <c r="I1903" s="8"/>
      <c r="J1903" s="8"/>
    </row>
    <row r="1904" ht="21.0" customHeight="1">
      <c r="A1904" s="35">
        <v>1.0</v>
      </c>
      <c r="B1904" s="35">
        <v>158.0</v>
      </c>
      <c r="C1904" s="35">
        <v>12.0</v>
      </c>
      <c r="D1904" s="35" t="s">
        <v>2607</v>
      </c>
      <c r="E1904" s="35" t="s">
        <v>2608</v>
      </c>
      <c r="F1904" s="8" t="str">
        <f>IFERROR(__xludf.DUMMYFUNCTION("GOOGLETRANSLATE(D1904,""zh-CN"",""vi"")"),"Hoa baby's breath")</f>
        <v>Hoa baby's breath</v>
      </c>
      <c r="G1904" s="8" t="str">
        <f>IFERROR(__xludf.DUMMYFUNCTION("GOOGLETRANSLATE(E1904,""zh-CN"",""vi"")"),"Mỗi lần pha cà phê sẽ thêm một lượng đường. Kết hợp chúng lại để có được Crushed Ice Blue Rose.")</f>
        <v>Mỗi lần pha cà phê sẽ thêm một lượng đường. Kết hợp chúng lại để có được Crushed Ice Blue Rose.</v>
      </c>
      <c r="H1904" s="8"/>
      <c r="I1904" s="8"/>
      <c r="J1904" s="8"/>
    </row>
    <row r="1905" ht="21.0" customHeight="1">
      <c r="A1905" s="68">
        <v>1.0</v>
      </c>
      <c r="B1905" s="68">
        <v>158.0</v>
      </c>
      <c r="C1905" s="68">
        <v>13.0</v>
      </c>
      <c r="D1905" s="68" t="s">
        <v>2609</v>
      </c>
      <c r="E1905" s="68" t="s">
        <v>2610</v>
      </c>
      <c r="F1905" s="8" t="str">
        <f>IFERROR(__xludf.DUMMYFUNCTION("GOOGLETRANSLATE(D1905,""zh-CN"",""vi"")"),"Hoa hồng xanh đá bào")</f>
        <v>Hoa hồng xanh đá bào</v>
      </c>
      <c r="G1905" s="8" t="str">
        <f>IFERROR(__xludf.DUMMYFUNCTION("GOOGLETRANSLATE(E1905,""zh-CN"",""vi"")"),"Gặp được bạn là điều may mắn nhất từng xảy ra với tôi. (Đã được tổng hợp đến mức cao nhất.)")</f>
        <v>Gặp được bạn là điều may mắn nhất từng xảy ra với tôi. (Đã được tổng hợp đến mức cao nhất.)</v>
      </c>
      <c r="H1905" s="8"/>
      <c r="I1905" s="8"/>
      <c r="J1905" s="8"/>
    </row>
    <row r="1906" ht="21.0" customHeight="1">
      <c r="A1906" s="35">
        <v>1.0</v>
      </c>
      <c r="B1906" s="35">
        <v>159.0</v>
      </c>
      <c r="C1906" s="35">
        <v>1.0</v>
      </c>
      <c r="D1906" s="35" t="s">
        <v>2611</v>
      </c>
      <c r="E1906" s="35" t="s">
        <v>2612</v>
      </c>
      <c r="F1906" s="8" t="str">
        <f>IFERROR(__xludf.DUMMYFUNCTION("GOOGLETRANSLATE(D1906,""zh-CN"",""vi"")"),"Bức thư ngọt ngào")</f>
        <v>Bức thư ngọt ngào</v>
      </c>
      <c r="G1906" s="8" t="str">
        <f>IFERROR(__xludf.DUMMYFUNCTION("GOOGLETRANSLATE(E1906,""zh-CN"",""vi"")"),"Những kỷ niệm ngọt ngào ấy. Sự tổng hợp ấy đã nhận được một lời tuyên bố vang dội.")</f>
        <v>Những kỷ niệm ngọt ngào ấy. Sự tổng hợp ấy đã nhận được một lời tuyên bố vang dội.</v>
      </c>
      <c r="H1906" s="8"/>
      <c r="I1906" s="8"/>
      <c r="J1906" s="8"/>
    </row>
    <row r="1907" ht="21.0" customHeight="1">
      <c r="A1907" s="68">
        <v>1.0</v>
      </c>
      <c r="B1907" s="68">
        <v>159.0</v>
      </c>
      <c r="C1907" s="68">
        <v>2.0</v>
      </c>
      <c r="D1907" s="68" t="s">
        <v>2613</v>
      </c>
      <c r="E1907" s="68" t="s">
        <v>2614</v>
      </c>
      <c r="F1907" s="8" t="str">
        <f>IFERROR(__xludf.DUMMYFUNCTION("GOOGLETRANSLATE(D1907,""zh-CN"",""vi"")"),"Một thông báo ấm áp")</f>
        <v>Một thông báo ấm áp</v>
      </c>
      <c r="G1907" s="8" t="str">
        <f>IFERROR(__xludf.DUMMYFUNCTION("GOOGLETRANSLATE(E1907,""zh-CN"",""vi"")"),"Chiều hôm sau khi đọc lá thư, một làn sóng phấn khích lan tỏa. Tổng hợp để tạo ra Sô cô la lãng mạn.")</f>
        <v>Chiều hôm sau khi đọc lá thư, một làn sóng phấn khích lan tỏa. Tổng hợp để tạo ra Sô cô la lãng mạn.</v>
      </c>
      <c r="H1907" s="8"/>
      <c r="I1907" s="8"/>
      <c r="J1907" s="8"/>
    </row>
    <row r="1908" ht="21.0" customHeight="1">
      <c r="A1908" s="35">
        <v>1.0</v>
      </c>
      <c r="B1908" s="35">
        <v>159.0</v>
      </c>
      <c r="C1908" s="35">
        <v>3.0</v>
      </c>
      <c r="D1908" s="35" t="s">
        <v>2615</v>
      </c>
      <c r="E1908" s="35" t="s">
        <v>2616</v>
      </c>
      <c r="F1908" s="8" t="str">
        <f>IFERROR(__xludf.DUMMYFUNCTION("GOOGLETRANSLATE(D1908,""zh-CN"",""vi"")"),"Sô cô la lãng mạn")</f>
        <v>Sô cô la lãng mạn</v>
      </c>
      <c r="G1908" s="8" t="str">
        <f>IFERROR(__xludf.DUMMYFUNCTION("GOOGLETRANSLATE(E1908,""zh-CN"",""vi"")"),"Trước đây, tôi chưa bao giờ ăn sô cô la. Điều bất ngờ đầu tiên đến từ sự kết hợp của các thành phần.")</f>
        <v>Trước đây, tôi chưa bao giờ ăn sô cô la. Điều bất ngờ đầu tiên đến từ sự kết hợp của các thành phần.</v>
      </c>
      <c r="H1908" s="8"/>
      <c r="I1908" s="8"/>
      <c r="J1908" s="8"/>
    </row>
    <row r="1909" ht="21.0" customHeight="1">
      <c r="A1909" s="68">
        <v>1.0</v>
      </c>
      <c r="B1909" s="68">
        <v>159.0</v>
      </c>
      <c r="C1909" s="68">
        <v>4.0</v>
      </c>
      <c r="D1909" s="68" t="s">
        <v>2617</v>
      </c>
      <c r="E1909" s="68" t="s">
        <v>2618</v>
      </c>
      <c r="F1909" s="8" t="str">
        <f>IFERROR(__xludf.DUMMYFUNCTION("GOOGLETRANSLATE(D1909,""zh-CN"",""vi"")"),"Điều bất ngờ đầu tiên")</f>
        <v>Điều bất ngờ đầu tiên</v>
      </c>
      <c r="G1909" s="8" t="str">
        <f>IFERROR(__xludf.DUMMYFUNCTION("GOOGLETRANSLATE(E1909,""zh-CN"",""vi"")"),"Tôi vẫn nhớ đôi má ửng hồng của bạn khi nhận được nó. (Tổng hợp lại để có được điều bất ngờ thứ một nghìn.)")</f>
        <v>Tôi vẫn nhớ đôi má ửng hồng của bạn khi nhận được nó. (Tổng hợp lại để có được điều bất ngờ thứ một nghìn.)</v>
      </c>
      <c r="H1909" s="8"/>
      <c r="I1909" s="8"/>
      <c r="J1909" s="8"/>
    </row>
    <row r="1910" ht="21.0" customHeight="1">
      <c r="A1910" s="35">
        <v>1.0</v>
      </c>
      <c r="B1910" s="35">
        <v>159.0</v>
      </c>
      <c r="C1910" s="35">
        <v>5.0</v>
      </c>
      <c r="D1910" s="35" t="s">
        <v>2619</v>
      </c>
      <c r="E1910" s="35" t="s">
        <v>2620</v>
      </c>
      <c r="F1910" s="8" t="str">
        <f>IFERROR(__xludf.DUMMYFUNCTION("GOOGLETRANSLATE(D1910,""zh-CN"",""vi"")"),"Điều bất ngờ thứ một nghìn")</f>
        <v>Điều bất ngờ thứ một nghìn</v>
      </c>
      <c r="G1910" s="8" t="str">
        <f>IFERROR(__xludf.DUMMYFUNCTION("GOOGLETRANSLATE(E1910,""zh-CN"",""vi"")"),"Họ hiểu nhau hơn, nhưng trái tim vẫn xao xuyến. Hãy kết hợp các thành phần để tạo ra nước hoa dành cho Ngày Valentine.")</f>
        <v>Họ hiểu nhau hơn, nhưng trái tim vẫn xao xuyến. Hãy kết hợp các thành phần để tạo ra nước hoa dành cho Ngày Valentine.</v>
      </c>
      <c r="H1910" s="8"/>
      <c r="I1910" s="8"/>
      <c r="J1910" s="8"/>
    </row>
    <row r="1911" ht="21.0" customHeight="1">
      <c r="A1911" s="68">
        <v>1.0</v>
      </c>
      <c r="B1911" s="68">
        <v>159.0</v>
      </c>
      <c r="C1911" s="68">
        <v>6.0</v>
      </c>
      <c r="D1911" s="68" t="s">
        <v>2621</v>
      </c>
      <c r="E1911" s="68" t="s">
        <v>2622</v>
      </c>
      <c r="F1911" s="8" t="str">
        <f>IFERROR(__xludf.DUMMYFUNCTION("GOOGLETRANSLATE(D1911,""zh-CN"",""vi"")"),"Nước hoa ngày Valentine")</f>
        <v>Nước hoa ngày Valentine</v>
      </c>
      <c r="G1911" s="8" t="str">
        <f>IFERROR(__xludf.DUMMYFUNCTION("GOOGLETRANSLATE(E1911,""zh-CN"",""vi"")"),"Mùi hương này khó quên. Kết quả tổng hợp đã tạo ra những sản phẩm mỹ phẩm ngoài sức tưởng tượng.")</f>
        <v>Mùi hương này khó quên. Kết quả tổng hợp đã tạo ra những sản phẩm mỹ phẩm ngoài sức tưởng tượng.</v>
      </c>
      <c r="H1911" s="8"/>
      <c r="I1911" s="8"/>
      <c r="J1911" s="8"/>
    </row>
    <row r="1912" ht="21.0" customHeight="1">
      <c r="A1912" s="35">
        <v>1.0</v>
      </c>
      <c r="B1912" s="35">
        <v>159.0</v>
      </c>
      <c r="C1912" s="35">
        <v>7.0</v>
      </c>
      <c r="D1912" s="35" t="s">
        <v>2623</v>
      </c>
      <c r="E1912" s="35" t="s">
        <v>2624</v>
      </c>
      <c r="F1912" s="8" t="str">
        <f>IFERROR(__xludf.DUMMYFUNCTION("GOOGLETRANSLATE(D1912,""zh-CN"",""vi"")"),"Mỹ phẩm bất ngờ")</f>
        <v>Mỹ phẩm bất ngờ</v>
      </c>
      <c r="G1912" s="8" t="str">
        <f>IFERROR(__xludf.DUMMYFUNCTION("GOOGLETRANSLATE(E1912,""zh-CN"",""vi"")"),"Những món quà giúp bạn trở nên xinh đẹp hơn là những món quà tuyệt vời. Hãy kết hợp chúng để có được một chiếc túi xách sang trọng.")</f>
        <v>Những món quà giúp bạn trở nên xinh đẹp hơn là những món quà tuyệt vời. Hãy kết hợp chúng để có được một chiếc túi xách sang trọng.</v>
      </c>
      <c r="H1912" s="8"/>
      <c r="I1912" s="8"/>
      <c r="J1912" s="8"/>
    </row>
    <row r="1913" ht="21.0" customHeight="1">
      <c r="A1913" s="68">
        <v>1.0</v>
      </c>
      <c r="B1913" s="68">
        <v>159.0</v>
      </c>
      <c r="C1913" s="68">
        <v>8.0</v>
      </c>
      <c r="D1913" s="68" t="s">
        <v>2625</v>
      </c>
      <c r="E1913" s="68" t="s">
        <v>2626</v>
      </c>
      <c r="F1913" s="8" t="str">
        <f>IFERROR(__xludf.DUMMYFUNCTION("GOOGLETRANSLATE(D1913,""zh-CN"",""vi"")"),"Túi xách sang trọng")</f>
        <v>Túi xách sang trọng</v>
      </c>
      <c r="G1913" s="8" t="str">
        <f>IFERROR(__xludf.DUMMYFUNCTION("GOOGLETRANSLATE(E1913,""zh-CN"",""vi"")"),"Lần sau đừng gửi nữa nhé? Tình yêu là phải quan tâm đến cảm xúc của người khác. (Tổng hợp lại để có được bài thơ ""Gửi Lọ Lem"")")</f>
        <v>Lần sau đừng gửi nữa nhé? Tình yêu là phải quan tâm đến cảm xúc của người khác. (Tổng hợp lại để có được bài thơ "Gửi Lọ Lem")</v>
      </c>
      <c r="H1913" s="8"/>
      <c r="I1913" s="8"/>
      <c r="J1913" s="8"/>
    </row>
    <row r="1914" ht="21.0" customHeight="1">
      <c r="A1914" s="35">
        <v>1.0</v>
      </c>
      <c r="B1914" s="35">
        <v>159.0</v>
      </c>
      <c r="C1914" s="35">
        <v>9.0</v>
      </c>
      <c r="D1914" s="68" t="s">
        <v>2627</v>
      </c>
      <c r="E1914" s="68" t="s">
        <v>2628</v>
      </c>
      <c r="F1914" s="8" t="str">
        <f>IFERROR(__xludf.DUMMYFUNCTION("GOOGLETRANSLATE(D1914,""zh-CN"",""vi"")"),"Gửi Lọ Lem")</f>
        <v>Gửi Lọ Lem</v>
      </c>
      <c r="G1914" s="8" t="str">
        <f>IFERROR(__xludf.DUMMYFUNCTION("GOOGLETRANSLATE(E1914,""zh-CN"",""vi"")"),"Cô bé Lọ Lem là ai? Và hoàng tử là ai? Hãy kết hợp hai người họ để có được một chiếc váy lộng lẫy.")</f>
        <v>Cô bé Lọ Lem là ai? Và hoàng tử là ai? Hãy kết hợp hai người họ để có được một chiếc váy lộng lẫy.</v>
      </c>
      <c r="H1914" s="8"/>
      <c r="I1914" s="8"/>
      <c r="J1914" s="8"/>
    </row>
    <row r="1915" ht="21.0" customHeight="1">
      <c r="A1915" s="68">
        <v>1.0</v>
      </c>
      <c r="B1915" s="68">
        <v>159.0</v>
      </c>
      <c r="C1915" s="68">
        <v>10.0</v>
      </c>
      <c r="D1915" s="35" t="s">
        <v>2629</v>
      </c>
      <c r="E1915" s="35" t="s">
        <v>2630</v>
      </c>
      <c r="F1915" s="8" t="str">
        <f>IFERROR(__xludf.DUMMYFUNCTION("GOOGLETRANSLATE(D1915,""zh-CN"",""vi"")"),"Một chiếc váy được yêu thích")</f>
        <v>Một chiếc váy được yêu thích</v>
      </c>
      <c r="G1915" s="8" t="str">
        <f>IFERROR(__xludf.DUMMYFUNCTION("GOOGLETRANSLATE(E1915,""zh-CN"",""vi"")"),"Mặc bộ quần áo yêu thích nhất trước mặt người mình yêu thương sẽ mang lại niềm vui nhân đôi. Hãy kết hợp các vật dụng để tạo nên một chiếc xe cưới độc đáo.")</f>
        <v>Mặc bộ quần áo yêu thích nhất trước mặt người mình yêu thương sẽ mang lại niềm vui nhân đôi. Hãy kết hợp các vật dụng để tạo nên một chiếc xe cưới độc đáo.</v>
      </c>
      <c r="H1915" s="8"/>
      <c r="I1915" s="8"/>
      <c r="J1915" s="8"/>
    </row>
    <row r="1916" ht="21.0" customHeight="1">
      <c r="A1916" s="35">
        <v>1.0</v>
      </c>
      <c r="B1916" s="35">
        <v>159.0</v>
      </c>
      <c r="C1916" s="35">
        <v>11.0</v>
      </c>
      <c r="D1916" s="35" t="s">
        <v>2631</v>
      </c>
      <c r="E1916" s="35" t="s">
        <v>2632</v>
      </c>
      <c r="F1916" s="8" t="str">
        <f>IFERROR(__xludf.DUMMYFUNCTION("GOOGLETRANSLATE(D1916,""zh-CN"",""vi"")"),"Xe cưới đi kèm")</f>
        <v>Xe cưới đi kèm</v>
      </c>
      <c r="G1916" s="8" t="str">
        <f>IFERROR(__xludf.DUMMYFUNCTION("GOOGLETRANSLATE(E1916,""zh-CN"",""vi"")"),"Lời chúc phúc từ gia đình và bạn bè. Cùng nhau góp tiền để có được chiếc xe cưới chính.")</f>
        <v>Lời chúc phúc từ gia đình và bạn bè. Cùng nhau góp tiền để có được chiếc xe cưới chính.</v>
      </c>
      <c r="H1916" s="8"/>
      <c r="I1916" s="8"/>
      <c r="J1916" s="8"/>
    </row>
    <row r="1917" ht="21.0" customHeight="1">
      <c r="A1917" s="68">
        <v>1.0</v>
      </c>
      <c r="B1917" s="68">
        <v>159.0</v>
      </c>
      <c r="C1917" s="68">
        <v>12.0</v>
      </c>
      <c r="D1917" s="68" t="s">
        <v>2633</v>
      </c>
      <c r="E1917" s="68" t="s">
        <v>2634</v>
      </c>
      <c r="F1917" s="8" t="str">
        <f>IFERROR(__xludf.DUMMYFUNCTION("GOOGLETRANSLATE(D1917,""zh-CN"",""vi"")"),"Xe cưới chính")</f>
        <v>Xe cưới chính</v>
      </c>
      <c r="G1917" s="8" t="str">
        <f>IFERROR(__xludf.DUMMYFUNCTION("GOOGLETRANSLATE(E1917,""zh-CN"",""vi"")"),"Cuối cùng, điều ước của họ đã thành hiện thực. Họ đã có được tình yêu bền lâu nhất.")</f>
        <v>Cuối cùng, điều ước của họ đã thành hiện thực. Họ đã có được tình yêu bền lâu nhất.</v>
      </c>
      <c r="H1917" s="8"/>
      <c r="I1917" s="8"/>
      <c r="J1917" s="8"/>
    </row>
    <row r="1918" ht="21.0" customHeight="1">
      <c r="A1918" s="35">
        <v>1.0</v>
      </c>
      <c r="B1918" s="35">
        <v>159.0</v>
      </c>
      <c r="C1918" s="35">
        <v>13.0</v>
      </c>
      <c r="D1918" s="35" t="s">
        <v>2635</v>
      </c>
      <c r="E1918" s="35" t="s">
        <v>2636</v>
      </c>
      <c r="F1918" s="8" t="str">
        <f>IFERROR(__xludf.DUMMYFUNCTION("GOOGLETRANSLATE(D1918,""zh-CN"",""vi"")"),"Tình yêu bền lâu nhất")</f>
        <v>Tình yêu bền lâu nhất</v>
      </c>
      <c r="G1918" s="8" t="str">
        <f>IFERROR(__xludf.DUMMYFUNCTION("GOOGLETRANSLATE(E1918,""zh-CN"",""vi"")"),"Tình yêu bền lâu nhất chính là tình bạn đồng hành. (Đã được tổng hợp đến mức cao nhất.)")</f>
        <v>Tình yêu bền lâu nhất chính là tình bạn đồng hành. (Đã được tổng hợp đến mức cao nhất.)</v>
      </c>
      <c r="H1918" s="8"/>
      <c r="I1918" s="8"/>
      <c r="J1918" s="8"/>
    </row>
    <row r="1919" ht="21.0" customHeight="1">
      <c r="A1919" s="35">
        <v>11.0</v>
      </c>
      <c r="B1919" s="35">
        <v>1024.0</v>
      </c>
      <c r="C1919" s="35">
        <v>1.0</v>
      </c>
      <c r="D1919" s="35" t="s">
        <v>2637</v>
      </c>
      <c r="E1919" s="35" t="s">
        <v>2638</v>
      </c>
      <c r="F1919" s="8" t="str">
        <f>IFERROR(__xludf.DUMMYFUNCTION("GOOGLETRANSLATE(D1919,""zh-CN"",""vi"")"),"Đất của cảm xúc")</f>
        <v>Đất của cảm xúc</v>
      </c>
      <c r="G1919" s="8" t="str">
        <f>IFERROR(__xludf.DUMMYFUNCTION("GOOGLETRANSLATE(E1919,""zh-CN"",""vi"")"),"Mọi thứ bắt đầu từ mảnh đất của những khả năng. Những hạt giống thiện chí được gieo trồng.")</f>
        <v>Mọi thứ bắt đầu từ mảnh đất của những khả năng. Những hạt giống thiện chí được gieo trồng.</v>
      </c>
      <c r="H1919" s="8"/>
      <c r="I1919" s="8"/>
      <c r="J1919" s="8"/>
    </row>
    <row r="1920" ht="21.0" customHeight="1">
      <c r="A1920" s="68">
        <v>11.0</v>
      </c>
      <c r="B1920" s="68">
        <v>1024.0</v>
      </c>
      <c r="C1920" s="68">
        <v>2.0</v>
      </c>
      <c r="D1920" s="68" t="s">
        <v>2639</v>
      </c>
      <c r="E1920" s="68" t="s">
        <v>2640</v>
      </c>
      <c r="F1920" s="8" t="str">
        <f>IFERROR(__xludf.DUMMYFUNCTION("GOOGLETRANSLATE(D1920,""zh-CN"",""vi"")"),"Sự chớm nở của tình cảm")</f>
        <v>Sự chớm nở của tình cảm</v>
      </c>
      <c r="G1920" s="8" t="str">
        <f>IFERROR(__xludf.DUMMYFUNCTION("GOOGLETRANSLATE(E1920,""zh-CN"",""vi"")"),"Một sự kiện tình cờ, tưởng chừng như không đáng kể, đã chạm đến cả hai người. Cùng nhau, họ đã tạo nên hai chiếc lá song sinh đan xen vào nhau.")</f>
        <v>Một sự kiện tình cờ, tưởng chừng như không đáng kể, đã chạm đến cả hai người. Cùng nhau, họ đã tạo nên hai chiếc lá song sinh đan xen vào nhau.</v>
      </c>
      <c r="H1920" s="8"/>
      <c r="I1920" s="8"/>
      <c r="J1920" s="8"/>
    </row>
    <row r="1921" ht="21.0" customHeight="1">
      <c r="A1921" s="35">
        <v>11.0</v>
      </c>
      <c r="B1921" s="35">
        <v>1024.0</v>
      </c>
      <c r="C1921" s="35">
        <v>3.0</v>
      </c>
      <c r="D1921" s="35" t="s">
        <v>2641</v>
      </c>
      <c r="E1921" s="35" t="s">
        <v>2642</v>
      </c>
      <c r="F1921" s="8" t="str">
        <f>IFERROR(__xludf.DUMMYFUNCTION("GOOGLETRANSLATE(D1921,""zh-CN"",""vi"")"),"Những chiếc lá đôi đan xen vào nhau")</f>
        <v>Những chiếc lá đôi đan xen vào nhau</v>
      </c>
      <c r="G1921" s="8" t="str">
        <f>IFERROR(__xludf.DUMMYFUNCTION("GOOGLETRANSLATE(E1921,""zh-CN"",""vi"")"),"Khoảnh khắc tim tôi đập loạn nhịp giống như bị sét đánh. Giống như một mầm cây bắt đầu nảy mầm.")</f>
        <v>Khoảnh khắc tim tôi đập loạn nhịp giống như bị sét đánh. Giống như một mầm cây bắt đầu nảy mầm.</v>
      </c>
      <c r="H1921" s="8"/>
      <c r="I1921" s="8"/>
      <c r="J1921" s="8"/>
    </row>
    <row r="1922" ht="21.0" customHeight="1">
      <c r="A1922" s="68">
        <v>11.0</v>
      </c>
      <c r="B1922" s="68">
        <v>1024.0</v>
      </c>
      <c r="C1922" s="68">
        <v>4.0</v>
      </c>
      <c r="D1922" s="68" t="s">
        <v>2643</v>
      </c>
      <c r="E1922" s="68" t="s">
        <v>2644</v>
      </c>
      <c r="F1922" s="8" t="str">
        <f>IFERROR(__xludf.DUMMYFUNCTION("GOOGLETRANSLATE(D1922,""zh-CN"",""vi"")"),"cây con đang phát triển")</f>
        <v>cây con đang phát triển</v>
      </c>
      <c r="G1922" s="8" t="str">
        <f>IFERROR(__xludf.DUMMYFUNCTION("GOOGLETRANSLATE(E1922,""zh-CN"",""vi"")"),"Thời gian giống như mưa, nuôi dưỡng cảm xúc. Tổng hợp lại, ta thu được một cụm hoa mỏng manh.")</f>
        <v>Thời gian giống như mưa, nuôi dưỡng cảm xúc. Tổng hợp lại, ta thu được một cụm hoa mỏng manh.</v>
      </c>
      <c r="H1922" s="8"/>
      <c r="I1922" s="8"/>
      <c r="J1922" s="8"/>
    </row>
    <row r="1923" ht="21.0" customHeight="1">
      <c r="A1923" s="35">
        <v>10.0</v>
      </c>
      <c r="B1923" s="35">
        <v>1024.0</v>
      </c>
      <c r="C1923" s="35">
        <v>5.0</v>
      </c>
      <c r="D1923" s="35" t="s">
        <v>2645</v>
      </c>
      <c r="E1923" s="35" t="s">
        <v>2646</v>
      </c>
      <c r="F1923" s="8" t="str">
        <f>IFERROR(__xludf.DUMMYFUNCTION("GOOGLETRANSLATE(D1923,""zh-CN"",""vi"")"),"Luống hoa nông")</f>
        <v>Luống hoa nông</v>
      </c>
      <c r="G1923" s="8" t="str">
        <f>IFERROR(__xludf.DUMMYFUNCTION("GOOGLETRANSLATE(E1923,""zh-CN"",""vi"")"),"Một tình yêu hời hợt giống như một con thuyền trôi dạt. Khi kết hợp lại, nó tạo thành một luống hoa nở rộ.")</f>
        <v>Một tình yêu hời hợt giống như một con thuyền trôi dạt. Khi kết hợp lại, nó tạo thành một luống hoa nở rộ.</v>
      </c>
      <c r="H1923" s="8"/>
      <c r="I1923" s="8"/>
      <c r="J1923" s="8"/>
    </row>
    <row r="1924" ht="21.0" customHeight="1">
      <c r="A1924" s="68">
        <v>10.0</v>
      </c>
      <c r="B1924" s="68">
        <v>1024.0</v>
      </c>
      <c r="C1924" s="68">
        <v>6.0</v>
      </c>
      <c r="D1924" s="68" t="s">
        <v>2647</v>
      </c>
      <c r="E1924" s="68" t="s">
        <v>2648</v>
      </c>
      <c r="F1924" s="8" t="str">
        <f>IFERROR(__xludf.DUMMYFUNCTION("GOOGLETRANSLATE(D1924,""zh-CN"",""vi"")"),"Những luống hoa")</f>
        <v>Những luống hoa</v>
      </c>
      <c r="G1924" s="8" t="str">
        <f>IFERROR(__xludf.DUMMYFUNCTION("GOOGLETRANSLATE(E1924,""zh-CN"",""vi"")"),"Hoa hồng sẽ luôn nở rộ, và tình yêu sẽ luôn đơm hoa kết trái. Hãy kết hợp các thành phần để có được Hoa hồng gai.")</f>
        <v>Hoa hồng sẽ luôn nở rộ, và tình yêu sẽ luôn đơm hoa kết trái. Hãy kết hợp các thành phần để có được Hoa hồng gai.</v>
      </c>
      <c r="H1924" s="8"/>
      <c r="I1924" s="8"/>
      <c r="J1924" s="8"/>
    </row>
    <row r="1925" ht="21.0" customHeight="1">
      <c r="A1925" s="35">
        <v>10.0</v>
      </c>
      <c r="B1925" s="35">
        <v>1024.0</v>
      </c>
      <c r="C1925" s="35">
        <v>7.0</v>
      </c>
      <c r="D1925" s="35" t="s">
        <v>2649</v>
      </c>
      <c r="E1925" s="35" t="s">
        <v>2650</v>
      </c>
      <c r="F1925" s="8" t="str">
        <f>IFERROR(__xludf.DUMMYFUNCTION("GOOGLETRANSLATE(D1925,""zh-CN"",""vi"")"),"Hoa hồng gai")</f>
        <v>Hoa hồng gai</v>
      </c>
      <c r="G1925" s="8" t="str">
        <f>IFERROR(__xludf.DUMMYFUNCTION("GOOGLETRANSLATE(E1925,""zh-CN"",""vi"")"),"Trong quá trình hòa hợp, chắc chắn sẽ có những khó khăn, trở ngại. Hãy kết hợp chúng lại để tạo nên một khu vườn hoa hồng.")</f>
        <v>Trong quá trình hòa hợp, chắc chắn sẽ có những khó khăn, trở ngại. Hãy kết hợp chúng lại để tạo nên một khu vườn hoa hồng.</v>
      </c>
      <c r="H1925" s="8"/>
      <c r="I1925" s="8"/>
      <c r="J1925" s="8"/>
    </row>
    <row r="1926" ht="21.0" customHeight="1">
      <c r="A1926" s="68">
        <v>10.0</v>
      </c>
      <c r="B1926" s="68">
        <v>1024.0</v>
      </c>
      <c r="C1926" s="68">
        <v>8.0</v>
      </c>
      <c r="D1926" s="68" t="s">
        <v>2651</v>
      </c>
      <c r="E1926" s="68" t="s">
        <v>2652</v>
      </c>
      <c r="F1926" s="8" t="str">
        <f>IFERROR(__xludf.DUMMYFUNCTION("GOOGLETRANSLATE(D1926,""zh-CN"",""vi"")"),"Vườn hoa hồng")</f>
        <v>Vườn hoa hồng</v>
      </c>
      <c r="G1926" s="8" t="str">
        <f>IFERROR(__xludf.DUMMYFUNCTION("GOOGLETRANSLATE(E1926,""zh-CN"",""vi"")"),"Dù gió mưa bão táp, em vẫn yêu anh. (Kết hợp các yếu tố để tạo nên một cung điện tình yêu.)")</f>
        <v>Dù gió mưa bão táp, em vẫn yêu anh. (Kết hợp các yếu tố để tạo nên một cung điện tình yêu.)</v>
      </c>
      <c r="H1926" s="8"/>
      <c r="I1926" s="8"/>
      <c r="J1926" s="8"/>
    </row>
    <row r="1927" ht="21.0" customHeight="1">
      <c r="A1927" s="35">
        <v>10.0</v>
      </c>
      <c r="B1927" s="35">
        <v>1024.0</v>
      </c>
      <c r="C1927" s="35">
        <v>9.0</v>
      </c>
      <c r="D1927" s="35" t="s">
        <v>2653</v>
      </c>
      <c r="E1927" s="35" t="s">
        <v>2654</v>
      </c>
      <c r="F1927" s="8" t="str">
        <f>IFERROR(__xludf.DUMMYFUNCTION("GOOGLETRANSLATE(D1927,""zh-CN"",""vi"")"),"Cung điện tình yêu")</f>
        <v>Cung điện tình yêu</v>
      </c>
      <c r="G1927" s="8" t="str">
        <f>IFERROR(__xludf.DUMMYFUNCTION("GOOGLETRANSLATE(E1927,""zh-CN"",""vi"")"),"Gia đình là cung điện của tình yêu. Hãy kết hợp mọi thứ để có được Đảo Tình Yêu.")</f>
        <v>Gia đình là cung điện của tình yêu. Hãy kết hợp mọi thứ để có được Đảo Tình Yêu.</v>
      </c>
      <c r="H1927" s="8"/>
      <c r="I1927" s="8"/>
      <c r="J1927" s="8"/>
    </row>
    <row r="1928" ht="21.0" customHeight="1">
      <c r="A1928" s="68">
        <v>10.0</v>
      </c>
      <c r="B1928" s="68">
        <v>1024.0</v>
      </c>
      <c r="C1928" s="68">
        <v>10.0</v>
      </c>
      <c r="D1928" s="68" t="s">
        <v>2655</v>
      </c>
      <c r="E1928" s="68" t="s">
        <v>2656</v>
      </c>
      <c r="F1928" s="8" t="str">
        <f>IFERROR(__xludf.DUMMYFUNCTION("GOOGLETRANSLATE(D1928,""zh-CN"",""vi"")"),"Đảo Tình Yêu")</f>
        <v>Đảo Tình Yêu</v>
      </c>
      <c r="G1928" s="8" t="str">
        <f>IFERROR(__xludf.DUMMYFUNCTION("GOOGLETRANSLATE(E1928,""zh-CN"",""vi"")"),"Tình yêu giống như một hòn đảo—bí ẩn, xinh đẹp và quyến rũ. (Đã được tổng hợp đến mức cao nhất.)")</f>
        <v>Tình yêu giống như một hòn đảo—bí ẩn, xinh đẹp và quyến rũ. (Đã được tổng hợp đến mức cao nhất.)</v>
      </c>
      <c r="H1928" s="8"/>
      <c r="I1928" s="8"/>
      <c r="J1928" s="8"/>
    </row>
    <row r="1929" ht="21.0" customHeight="1">
      <c r="A1929" s="35">
        <v>11.0</v>
      </c>
      <c r="B1929" s="35">
        <v>1025.0</v>
      </c>
      <c r="C1929" s="35">
        <v>1.0</v>
      </c>
      <c r="D1929" s="35" t="s">
        <v>2657</v>
      </c>
      <c r="E1929" s="69" t="s">
        <v>2658</v>
      </c>
      <c r="F1929" s="8" t="str">
        <f>IFERROR(__xludf.DUMMYFUNCTION("GOOGLETRANSLATE(D1929,""zh-CN"",""vi"")"),"Mảnh đất màu mỡ cho cảm xúc [V]")</f>
        <v>Mảnh đất màu mỡ cho cảm xúc [V]</v>
      </c>
      <c r="G1929" s="8" t="str">
        <f>IFERROR(__xludf.DUMMYFUNCTION("GOOGLETRANSLATE(E1929,""zh-CN"",""vi"")"),"Mọi thứ bắt đầu từ mảnh đất của khả năng. Sự tổng hợp tạo nên mầm mống của thiện chí [V].")</f>
        <v>Mọi thứ bắt đầu từ mảnh đất của khả năng. Sự tổng hợp tạo nên mầm mống của thiện chí [V].</v>
      </c>
      <c r="H1929" s="8"/>
      <c r="I1929" s="8"/>
      <c r="J1929" s="8"/>
    </row>
    <row r="1930" ht="21.0" customHeight="1">
      <c r="A1930" s="68">
        <v>11.0</v>
      </c>
      <c r="B1930" s="68">
        <v>1025.0</v>
      </c>
      <c r="C1930" s="68">
        <v>2.0</v>
      </c>
      <c r="D1930" s="68" t="s">
        <v>2659</v>
      </c>
      <c r="E1930" s="70" t="s">
        <v>2660</v>
      </c>
      <c r="F1930" s="8" t="str">
        <f>IFERROR(__xludf.DUMMYFUNCTION("GOOGLETRANSLATE(D1930,""zh-CN"",""vi"")"),"Sự nảy nở của tình cảm [V]")</f>
        <v>Sự nảy nở của tình cảm [V]</v>
      </c>
      <c r="G1930" s="8" t="str">
        <f>IFERROR(__xludf.DUMMYFUNCTION("GOOGLETRANSLATE(E1930,""zh-CN"",""vi"")"),"Một sự kiện tình cờ, tưởng chừng như không đáng kể, đã chạm đến cả hai người. Họ kết hợp những chiếc lá đan xen vào nhau [V].")</f>
        <v>Một sự kiện tình cờ, tưởng chừng như không đáng kể, đã chạm đến cả hai người. Họ kết hợp những chiếc lá đan xen vào nhau [V].</v>
      </c>
      <c r="H1930" s="8"/>
      <c r="I1930" s="8"/>
      <c r="J1930" s="8"/>
    </row>
    <row r="1931" ht="21.0" customHeight="1">
      <c r="A1931" s="35">
        <v>11.0</v>
      </c>
      <c r="B1931" s="35">
        <v>1025.0</v>
      </c>
      <c r="C1931" s="35">
        <v>3.0</v>
      </c>
      <c r="D1931" s="35" t="s">
        <v>2661</v>
      </c>
      <c r="E1931" s="69" t="s">
        <v>2662</v>
      </c>
      <c r="F1931" s="8" t="str">
        <f>IFERROR(__xludf.DUMMYFUNCTION("GOOGLETRANSLATE(D1931,""zh-CN"",""vi"")"),"Những chiếc lá đan xen [V]")</f>
        <v>Những chiếc lá đan xen [V]</v>
      </c>
      <c r="G1931" s="8" t="str">
        <f>IFERROR(__xludf.DUMMYFUNCTION("GOOGLETRANSLATE(E1931,""zh-CN"",""vi"")"),"Khoảnh khắc tim tôi đập loạn nhịp giống như bị điện giật. Quá trình tổng hợp tạo ra mầm non để phát triển [V].")</f>
        <v>Khoảnh khắc tim tôi đập loạn nhịp giống như bị điện giật. Quá trình tổng hợp tạo ra mầm non để phát triển [V].</v>
      </c>
      <c r="H1931" s="8"/>
      <c r="I1931" s="8"/>
      <c r="J1931" s="8"/>
    </row>
    <row r="1932" ht="21.0" customHeight="1">
      <c r="A1932" s="68">
        <v>11.0</v>
      </c>
      <c r="B1932" s="68">
        <v>1025.0</v>
      </c>
      <c r="C1932" s="68">
        <v>4.0</v>
      </c>
      <c r="D1932" s="68" t="s">
        <v>2663</v>
      </c>
      <c r="E1932" s="70" t="s">
        <v>2664</v>
      </c>
      <c r="F1932" s="8" t="str">
        <f>IFERROR(__xludf.DUMMYFUNCTION("GOOGLETRANSLATE(D1932,""zh-CN"",""vi"")"),"Một cây non đang lớn [V]")</f>
        <v>Một cây non đang lớn [V]</v>
      </c>
      <c r="G1932" s="8" t="str">
        <f>IFERROR(__xludf.DUMMYFUNCTION("GOOGLETRANSLATE(E1932,""zh-CN"",""vi"")"),"Thời gian như mưa, nuôi dưỡng cảm xúc. Tổng hợp lại để có được luống hoa nông [V].")</f>
        <v>Thời gian như mưa, nuôi dưỡng cảm xúc. Tổng hợp lại để có được luống hoa nông [V].</v>
      </c>
      <c r="H1932" s="8"/>
      <c r="I1932" s="8"/>
      <c r="J1932" s="8"/>
    </row>
    <row r="1933" ht="21.0" customHeight="1">
      <c r="A1933" s="35">
        <v>10.0</v>
      </c>
      <c r="B1933" s="35">
        <v>1025.0</v>
      </c>
      <c r="C1933" s="35">
        <v>5.0</v>
      </c>
      <c r="D1933" s="35" t="s">
        <v>2665</v>
      </c>
      <c r="E1933" s="69" t="s">
        <v>2666</v>
      </c>
      <c r="F1933" s="8" t="str">
        <f>IFERROR(__xludf.DUMMYFUNCTION("GOOGLETRANSLATE(D1933,""zh-CN"",""vi"")"),"Một mảng hoa nhỏ [V]")</f>
        <v>Một mảng hoa nhỏ [V]</v>
      </c>
      <c r="G1933" s="8" t="str">
        <f>IFERROR(__xludf.DUMMYFUNCTION("GOOGLETRANSLATE(E1933,""zh-CN"",""vi"")"),"Tình yêu hời hợt giống như một chiếc thuyền trôi dạt. Hãy kết hợp để có được một luống hoa nở rộ [V].")</f>
        <v>Tình yêu hời hợt giống như một chiếc thuyền trôi dạt. Hãy kết hợp để có được một luống hoa nở rộ [V].</v>
      </c>
      <c r="H1933" s="8"/>
      <c r="I1933" s="8"/>
      <c r="J1933" s="8"/>
    </row>
    <row r="1934" ht="21.0" customHeight="1">
      <c r="A1934" s="68">
        <v>10.0</v>
      </c>
      <c r="B1934" s="68">
        <v>1025.0</v>
      </c>
      <c r="C1934" s="68">
        <v>6.0</v>
      </c>
      <c r="D1934" s="68" t="s">
        <v>2667</v>
      </c>
      <c r="E1934" s="70" t="s">
        <v>2668</v>
      </c>
      <c r="F1934" s="8" t="str">
        <f>IFERROR(__xludf.DUMMYFUNCTION("GOOGLETRANSLATE(D1934,""zh-CN"",""vi"")"),"Các bụi cây có hoa [V]")</f>
        <v>Các bụi cây có hoa [V]</v>
      </c>
      <c r="G1934" s="8" t="str">
        <f>IFERROR(__xludf.DUMMYFUNCTION("GOOGLETRANSLATE(E1934,""zh-CN"",""vi"")"),"Hoa hồng sẽ luôn nở rộ, và tình yêu sẽ luôn đơm hoa kết trái. Tổng hợp để có được Hoa hồng gai [V].")</f>
        <v>Hoa hồng sẽ luôn nở rộ, và tình yêu sẽ luôn đơm hoa kết trái. Tổng hợp để có được Hoa hồng gai [V].</v>
      </c>
      <c r="H1934" s="8"/>
      <c r="I1934" s="8"/>
      <c r="J1934" s="8"/>
    </row>
    <row r="1935" ht="21.0" customHeight="1">
      <c r="A1935" s="35">
        <v>10.0</v>
      </c>
      <c r="B1935" s="35">
        <v>1025.0</v>
      </c>
      <c r="C1935" s="35">
        <v>7.0</v>
      </c>
      <c r="D1935" s="35" t="s">
        <v>2669</v>
      </c>
      <c r="E1935" s="69" t="s">
        <v>2670</v>
      </c>
      <c r="F1935" s="8" t="str">
        <f>IFERROR(__xludf.DUMMYFUNCTION("GOOGLETRANSLATE(D1935,""zh-CN"",""vi"")"),"Hoa hồng gai [V]")</f>
        <v>Hoa hồng gai [V]</v>
      </c>
      <c r="G1935" s="8" t="str">
        <f>IFERROR(__xludf.DUMMYFUNCTION("GOOGLETRANSLATE(E1935,""zh-CN"",""vi"")"),"Trong quá trình hòa hợp, chắc chắn sẽ có một số trở ngại trên đường đi. Tổng hợp để có được một vườn hồng [V].")</f>
        <v>Trong quá trình hòa hợp, chắc chắn sẽ có một số trở ngại trên đường đi. Tổng hợp để có được một vườn hồng [V].</v>
      </c>
      <c r="H1935" s="8"/>
      <c r="I1935" s="8"/>
      <c r="J1935" s="8"/>
    </row>
    <row r="1936" ht="21.0" customHeight="1">
      <c r="A1936" s="68">
        <v>10.0</v>
      </c>
      <c r="B1936" s="68">
        <v>1025.0</v>
      </c>
      <c r="C1936" s="68">
        <v>8.0</v>
      </c>
      <c r="D1936" s="68" t="s">
        <v>2671</v>
      </c>
      <c r="E1936" s="70" t="s">
        <v>2672</v>
      </c>
      <c r="F1936" s="8" t="str">
        <f>IFERROR(__xludf.DUMMYFUNCTION("GOOGLETRANSLATE(D1936,""zh-CN"",""vi"")"),"Vườn hoa hồng [V]")</f>
        <v>Vườn hoa hồng [V]</v>
      </c>
      <c r="G1936" s="8" t="str">
        <f>IFERROR(__xludf.DUMMYFUNCTION("GOOGLETRANSLATE(E1936,""zh-CN"",""vi"")"),"Dù khó khăn thế nào, em vẫn yêu anh. Tổng hợp để có được Cung điện Tình yêu [V].")</f>
        <v>Dù khó khăn thế nào, em vẫn yêu anh. Tổng hợp để có được Cung điện Tình yêu [V].</v>
      </c>
      <c r="H1936" s="8"/>
      <c r="I1936" s="8"/>
      <c r="J1936" s="8"/>
    </row>
    <row r="1937" ht="21.0" customHeight="1">
      <c r="A1937" s="35">
        <v>10.0</v>
      </c>
      <c r="B1937" s="35">
        <v>1025.0</v>
      </c>
      <c r="C1937" s="35">
        <v>9.0</v>
      </c>
      <c r="D1937" s="35" t="s">
        <v>2673</v>
      </c>
      <c r="E1937" s="69" t="s">
        <v>2674</v>
      </c>
      <c r="F1937" s="8" t="str">
        <f>IFERROR(__xludf.DUMMYFUNCTION("GOOGLETRANSLATE(D1937,""zh-CN"",""vi"")"),"Cung điện tình yêu [V]")</f>
        <v>Cung điện tình yêu [V]</v>
      </c>
      <c r="G1937" s="8" t="str">
        <f>IFERROR(__xludf.DUMMYFUNCTION("GOOGLETRANSLATE(E1937,""zh-CN"",""vi"")"),"Gia đình là cung điện của tình yêu. Tổng hợp để có được Đảo Tình Yêu [V].")</f>
        <v>Gia đình là cung điện của tình yêu. Tổng hợp để có được Đảo Tình Yêu [V].</v>
      </c>
      <c r="H1937" s="8"/>
      <c r="I1937" s="8"/>
      <c r="J1937" s="8"/>
    </row>
    <row r="1938" ht="21.0" customHeight="1">
      <c r="A1938" s="68">
        <v>10.0</v>
      </c>
      <c r="B1938" s="68">
        <v>1025.0</v>
      </c>
      <c r="C1938" s="68">
        <v>10.0</v>
      </c>
      <c r="D1938" s="68" t="s">
        <v>2675</v>
      </c>
      <c r="E1938" s="70" t="s">
        <v>2656</v>
      </c>
      <c r="F1938" s="8" t="str">
        <f>IFERROR(__xludf.DUMMYFUNCTION("GOOGLETRANSLATE(D1938,""zh-CN"",""vi"")"),"Đảo Tình Yêu [V]")</f>
        <v>Đảo Tình Yêu [V]</v>
      </c>
      <c r="G1938" s="8" t="str">
        <f>IFERROR(__xludf.DUMMYFUNCTION("GOOGLETRANSLATE(E1938,""zh-CN"",""vi"")"),"Tình yêu giống như một hòn đảo—bí ẩn, xinh đẹp và quyến rũ. (Đã được tổng hợp đến mức cao nhất.)")</f>
        <v>Tình yêu giống như một hòn đảo—bí ẩn, xinh đẹp và quyến rũ. (Đã được tổng hợp đến mức cao nhất.)</v>
      </c>
      <c r="H1938" s="8"/>
      <c r="I1938" s="8"/>
      <c r="J1938" s="8"/>
    </row>
    <row r="1939" ht="21.0" customHeight="1">
      <c r="A1939" s="35">
        <v>11.0</v>
      </c>
      <c r="B1939" s="35">
        <v>1026.0</v>
      </c>
      <c r="C1939" s="35">
        <v>1.0</v>
      </c>
      <c r="D1939" s="35" t="s">
        <v>2676</v>
      </c>
      <c r="E1939" s="69" t="s">
        <v>2677</v>
      </c>
      <c r="F1939" s="8" t="str">
        <f>IFERROR(__xludf.DUMMYFUNCTION("GOOGLETRANSLATE(D1939,""zh-CN"",""vi"")"),"Túi tote lưới")</f>
        <v>Túi tote lưới</v>
      </c>
      <c r="G1939" s="8" t="str">
        <f>IFERROR(__xludf.DUMMYFUNCTION("GOOGLETRANSLATE(E1939,""zh-CN"",""vi"")"),"Đừng đựng những vật nhỏ trong đó! Hãy tự may một chiếc ba lô dây rút đơn giản.")</f>
        <v>Đừng đựng những vật nhỏ trong đó! Hãy tự may một chiếc ba lô dây rút đơn giản.</v>
      </c>
      <c r="H1939" s="8"/>
      <c r="I1939" s="8"/>
      <c r="J1939" s="8"/>
    </row>
    <row r="1940" ht="21.0" customHeight="1">
      <c r="A1940" s="68">
        <v>11.0</v>
      </c>
      <c r="B1940" s="68">
        <v>1026.0</v>
      </c>
      <c r="C1940" s="68">
        <v>2.0</v>
      </c>
      <c r="D1940" s="68" t="s">
        <v>2678</v>
      </c>
      <c r="E1940" s="70" t="s">
        <v>2679</v>
      </c>
      <c r="F1940" s="8" t="str">
        <f>IFERROR(__xludf.DUMMYFUNCTION("GOOGLETRANSLATE(D1940,""zh-CN"",""vi"")"),"Ba lô dây rút đơn giản")</f>
        <v>Ba lô dây rút đơn giản</v>
      </c>
      <c r="G1940" s="8" t="str">
        <f>IFERROR(__xludf.DUMMYFUNCTION("GOOGLETRANSLATE(E1940,""zh-CN"",""vi"")"),"Việc siết chặt thì dễ, nhưng mở ra thì khó quá! Hãy tự chế tạo một chiếc ba lô thể thao từ những bộ phận này.")</f>
        <v>Việc siết chặt thì dễ, nhưng mở ra thì khó quá! Hãy tự chế tạo một chiếc ba lô thể thao từ những bộ phận này.</v>
      </c>
      <c r="H1940" s="8"/>
      <c r="I1940" s="8"/>
      <c r="J1940" s="8"/>
    </row>
    <row r="1941" ht="21.0" customHeight="1">
      <c r="A1941" s="35">
        <v>11.0</v>
      </c>
      <c r="B1941" s="35">
        <v>1026.0</v>
      </c>
      <c r="C1941" s="35">
        <v>3.0</v>
      </c>
      <c r="D1941" s="35" t="s">
        <v>2680</v>
      </c>
      <c r="E1941" s="69" t="s">
        <v>2681</v>
      </c>
      <c r="F1941" s="8" t="str">
        <f>IFERROR(__xludf.DUMMYFUNCTION("GOOGLETRANSLATE(D1941,""zh-CN"",""vi"")"),"ba lô thể thao")</f>
        <v>ba lô thể thao</v>
      </c>
      <c r="G1941" s="8" t="str">
        <f>IFERROR(__xludf.DUMMYFUNCTION("GOOGLETRANSLATE(E1941,""zh-CN"",""vi"")"),"Nước đóng chai, bánh mì, sạc điện thoại... tất cả đều được đựng gọn bên trong. Kết hợp chúng lại để tạo thành một chiếc túi thể thao phân tách đồ ướt và đồ khô.")</f>
        <v>Nước đóng chai, bánh mì, sạc điện thoại... tất cả đều được đựng gọn bên trong. Kết hợp chúng lại để tạo thành một chiếc túi thể thao phân tách đồ ướt và đồ khô.</v>
      </c>
      <c r="H1941" s="8"/>
      <c r="I1941" s="8"/>
      <c r="J1941" s="8"/>
    </row>
    <row r="1942" ht="21.0" customHeight="1">
      <c r="A1942" s="68">
        <v>11.0</v>
      </c>
      <c r="B1942" s="68">
        <v>1026.0</v>
      </c>
      <c r="C1942" s="68">
        <v>4.0</v>
      </c>
      <c r="D1942" s="68" t="s">
        <v>2682</v>
      </c>
      <c r="E1942" s="70" t="s">
        <v>2683</v>
      </c>
      <c r="F1942" s="8" t="str">
        <f>IFERROR(__xludf.DUMMYFUNCTION("GOOGLETRANSLATE(D1942,""zh-CN"",""vi"")"),"Túi thể thao tách biệt khô và ướt")</f>
        <v>Túi thể thao tách biệt khô và ướt</v>
      </c>
      <c r="G1942" s="8" t="str">
        <f>IFERROR(__xludf.DUMMYFUNCTION("GOOGLETRANSLATE(E1942,""zh-CN"",""vi"")"),"Các ngăn đựng giày riêng biệt giúp bạn không còn lo lắng về mùi hôi. Hãy tự thiết kế một chiếc giỏ xách tay tiện dụng.")</f>
        <v>Các ngăn đựng giày riêng biệt giúp bạn không còn lo lắng về mùi hôi. Hãy tự thiết kế một chiếc giỏ xách tay tiện dụng.</v>
      </c>
      <c r="H1942" s="8"/>
      <c r="I1942" s="8"/>
      <c r="J1942" s="8"/>
    </row>
    <row r="1943" ht="21.0" customHeight="1">
      <c r="A1943" s="35">
        <v>10.0</v>
      </c>
      <c r="B1943" s="35">
        <v>1026.0</v>
      </c>
      <c r="C1943" s="35">
        <v>5.0</v>
      </c>
      <c r="D1943" s="35" t="s">
        <v>2684</v>
      </c>
      <c r="E1943" s="69" t="s">
        <v>2685</v>
      </c>
      <c r="F1943" s="8" t="str">
        <f>IFERROR(__xludf.DUMMYFUNCTION("GOOGLETRANSLATE(D1943,""zh-CN"",""vi"")"),"Giỏ tập aerobic")</f>
        <v>Giỏ tập aerobic</v>
      </c>
      <c r="G1943" s="8" t="str">
        <f>IFERROR(__xludf.DUMMYFUNCTION("GOOGLETRANSLATE(E1943,""zh-CN"",""vi"")"),"Bộ dụng cụ aerobic dành cho người mới bắt đầu là vật dụng không thể thiếu. Hãy chế tạo nó để có được xe đẩy dụng cụ.")</f>
        <v>Bộ dụng cụ aerobic dành cho người mới bắt đầu là vật dụng không thể thiếu. Hãy chế tạo nó để có được xe đẩy dụng cụ.</v>
      </c>
      <c r="H1943" s="8"/>
      <c r="I1943" s="8"/>
      <c r="J1943" s="8"/>
    </row>
    <row r="1944" ht="21.0" customHeight="1">
      <c r="A1944" s="68">
        <v>10.0</v>
      </c>
      <c r="B1944" s="68">
        <v>1026.0</v>
      </c>
      <c r="C1944" s="68">
        <v>6.0</v>
      </c>
      <c r="D1944" s="68" t="s">
        <v>2686</v>
      </c>
      <c r="E1944" s="70" t="s">
        <v>2687</v>
      </c>
      <c r="F1944" s="8" t="str">
        <f>IFERROR(__xludf.DUMMYFUNCTION("GOOGLETRANSLATE(D1944,""zh-CN"",""vi"")"),"xe đẩy dụng cụ")</f>
        <v>xe đẩy dụng cụ</v>
      </c>
      <c r="G1944" s="8" t="str">
        <f>IFERROR(__xludf.DUMMYFUNCTION("GOOGLETRANSLATE(E1944,""zh-CN"",""vi"")"),"Thực ra, bạn đã đang tập thể dục trong khi đẩy xe rồi đấy. (Hoàn thành quy trình để nhận được xe đẩy của người hướng dẫn.)")</f>
        <v>Thực ra, bạn đã đang tập thể dục trong khi đẩy xe rồi đấy. (Hoàn thành quy trình để nhận được xe đẩy của người hướng dẫn.)</v>
      </c>
      <c r="H1944" s="8"/>
      <c r="I1944" s="8"/>
      <c r="J1944" s="8"/>
    </row>
    <row r="1945" ht="21.0" customHeight="1">
      <c r="A1945" s="35">
        <v>10.0</v>
      </c>
      <c r="B1945" s="35">
        <v>1026.0</v>
      </c>
      <c r="C1945" s="35">
        <v>7.0</v>
      </c>
      <c r="D1945" s="35" t="s">
        <v>2688</v>
      </c>
      <c r="E1945" s="69" t="s">
        <v>2689</v>
      </c>
      <c r="F1945" s="8" t="str">
        <f>IFERROR(__xludf.DUMMYFUNCTION("GOOGLETRANSLATE(D1945,""zh-CN"",""vi"")"),"Xe đẩy huấn luyện viên")</f>
        <v>Xe đẩy huấn luyện viên</v>
      </c>
      <c r="G1945" s="8" t="str">
        <f>IFERROR(__xludf.DUMMYFUNCTION("GOOGLETRANSLATE(E1945,""zh-CN"",""vi"")"),"Tôi không hề lơ là! Tôi chỉ đang kiểm tra xem có thiếu thiết bị nào không. Chúng tôi đã tổng hợp thành công chiếc xe điện.")</f>
        <v>Tôi không hề lơ là! Tôi chỉ đang kiểm tra xem có thiếu thiết bị nào không. Chúng tôi đã tổng hợp thành công chiếc xe điện.</v>
      </c>
      <c r="H1945" s="8"/>
      <c r="I1945" s="8"/>
      <c r="J1945" s="8"/>
    </row>
    <row r="1946" ht="21.0" customHeight="1">
      <c r="A1946" s="68">
        <v>10.0</v>
      </c>
      <c r="B1946" s="68">
        <v>1026.0</v>
      </c>
      <c r="C1946" s="68">
        <v>8.0</v>
      </c>
      <c r="D1946" s="68" t="s">
        <v>2690</v>
      </c>
      <c r="E1946" s="70" t="s">
        <v>2691</v>
      </c>
      <c r="F1946" s="8" t="str">
        <f>IFERROR(__xludf.DUMMYFUNCTION("GOOGLETRANSLATE(D1946,""zh-CN"",""vi"")"),"Xe đẩy y tế điện")</f>
        <v>Xe đẩy y tế điện</v>
      </c>
      <c r="G1946" s="8" t="str">
        <f>IFERROR(__xludf.DUMMYFUNCTION("GOOGLETRANSLATE(E1946,""zh-CN"",""vi"")"),"Phù~ Cuối cùng thì cũng dễ hơn rồi. Tổng hợp để có được trạm tập thể dục.")</f>
        <v>Phù~ Cuối cùng thì cũng dễ hơn rồi. Tổng hợp để có được trạm tập thể dục.</v>
      </c>
      <c r="H1946" s="8"/>
      <c r="I1946" s="8"/>
      <c r="J1946" s="8"/>
    </row>
    <row r="1947" ht="21.0" customHeight="1">
      <c r="A1947" s="35">
        <v>10.0</v>
      </c>
      <c r="B1947" s="35">
        <v>1026.0</v>
      </c>
      <c r="C1947" s="35">
        <v>9.0</v>
      </c>
      <c r="D1947" s="35" t="s">
        <v>2692</v>
      </c>
      <c r="E1947" s="69" t="s">
        <v>2693</v>
      </c>
      <c r="F1947" s="8" t="str">
        <f>IFERROR(__xludf.DUMMYFUNCTION("GOOGLETRANSLATE(D1947,""zh-CN"",""vi"")"),"Trạm tập thể dục")</f>
        <v>Trạm tập thể dục</v>
      </c>
      <c r="G1947" s="8" t="str">
        <f>IFERROR(__xludf.DUMMYFUNCTION("GOOGLETRANSLATE(E1947,""zh-CN"",""vi"")"),"Một bước tiến nhỏ, một bước nhảy vọt khổng lồ cho sức khỏe. Hãy tổng hợp và tạo ra một phòng tắm nắng giàu oxy.")</f>
        <v>Một bước tiến nhỏ, một bước nhảy vọt khổng lồ cho sức khỏe. Hãy tổng hợp và tạo ra một phòng tắm nắng giàu oxy.</v>
      </c>
      <c r="H1947" s="8"/>
      <c r="I1947" s="8"/>
      <c r="J1947" s="8"/>
    </row>
    <row r="1948" ht="21.0" customHeight="1">
      <c r="A1948" s="68">
        <v>10.0</v>
      </c>
      <c r="B1948" s="68">
        <v>1026.0</v>
      </c>
      <c r="C1948" s="68">
        <v>10.0</v>
      </c>
      <c r="D1948" s="68" t="s">
        <v>2694</v>
      </c>
      <c r="E1948" s="70" t="s">
        <v>2695</v>
      </c>
      <c r="F1948" s="8" t="str">
        <f>IFERROR(__xludf.DUMMYFUNCTION("GOOGLETRANSLATE(D1948,""zh-CN"",""vi"")"),"phòng tắm nắng giàu oxy")</f>
        <v>phòng tắm nắng giàu oxy</v>
      </c>
      <c r="G1948" s="8" t="str">
        <f>IFERROR(__xludf.DUMMYFUNCTION("GOOGLETRANSLATE(E1948,""zh-CN"",""vi"")"),"Cố lên! Lần tới tôi sẽ không bao giờ thua rùa nữa. (Đã được tổng hợp đến cấp độ cao nhất.)")</f>
        <v>Cố lên! Lần tới tôi sẽ không bao giờ thua rùa nữa. (Đã được tổng hợp đến cấp độ cao nhất.)</v>
      </c>
      <c r="H1948" s="8"/>
      <c r="I1948" s="8"/>
      <c r="J1948" s="8"/>
    </row>
    <row r="1949" ht="21.0" customHeight="1">
      <c r="A1949" s="35">
        <v>1.0</v>
      </c>
      <c r="B1949" s="35">
        <v>160.0</v>
      </c>
      <c r="C1949" s="35">
        <v>1.0</v>
      </c>
      <c r="D1949" s="35" t="s">
        <v>2696</v>
      </c>
      <c r="E1949" s="69" t="s">
        <v>2697</v>
      </c>
      <c r="F1949" s="8" t="str">
        <f>IFERROR(__xludf.DUMMYFUNCTION("GOOGLETRANSLATE(D1949,""zh-CN"",""vi"")"),"Thỏ Lười biếng")</f>
        <v>Thỏ Lười biếng</v>
      </c>
      <c r="G1949" s="8" t="str">
        <f>IFERROR(__xludf.DUMMYFUNCTION("GOOGLETRANSLATE(E1949,""zh-CN"",""vi"")"),"Tôi không ngủ; tôi chỉ đang lắng nghe nhịp đập của trái đất. Tổng hợp để có được Thỏ Hưng Phấn.")</f>
        <v>Tôi không ngủ; tôi chỉ đang lắng nghe nhịp đập của trái đất. Tổng hợp để có được Thỏ Hưng Phấn.</v>
      </c>
      <c r="H1949" s="8"/>
      <c r="I1949" s="8"/>
      <c r="J1949" s="8"/>
    </row>
    <row r="1950" ht="21.0" customHeight="1">
      <c r="A1950" s="68">
        <v>1.0</v>
      </c>
      <c r="B1950" s="35">
        <v>160.0</v>
      </c>
      <c r="C1950" s="68">
        <v>2.0</v>
      </c>
      <c r="D1950" s="35" t="s">
        <v>2698</v>
      </c>
      <c r="E1950" s="69" t="s">
        <v>2699</v>
      </c>
      <c r="F1950" s="8" t="str">
        <f>IFERROR(__xludf.DUMMYFUNCTION("GOOGLETRANSLATE(D1950,""zh-CN"",""vi"")"),"Chú thỏ phấn khích")</f>
        <v>Chú thỏ phấn khích</v>
      </c>
      <c r="G1950" s="8" t="str">
        <f>IFERROR(__xludf.DUMMYFUNCTION("GOOGLETRANSLATE(E1950,""zh-CN"",""vi"")"),"Hoo hoo hoo hoo! Mỡ của tôi đã bắt đầu run lên rồi. Tổng hợp lại để có được Thỏ Kéo Dài.")</f>
        <v>Hoo hoo hoo hoo! Mỡ của tôi đã bắt đầu run lên rồi. Tổng hợp lại để có được Thỏ Kéo Dài.</v>
      </c>
      <c r="H1950" s="8"/>
      <c r="I1950" s="8"/>
      <c r="J1950" s="8"/>
    </row>
    <row r="1951" ht="21.0" customHeight="1">
      <c r="A1951" s="35">
        <v>1.0</v>
      </c>
      <c r="B1951" s="35">
        <v>160.0</v>
      </c>
      <c r="C1951" s="35">
        <v>3.0</v>
      </c>
      <c r="D1951" s="35" t="s">
        <v>2700</v>
      </c>
      <c r="E1951" s="69" t="s">
        <v>2701</v>
      </c>
      <c r="F1951" s="8" t="str">
        <f>IFERROR(__xludf.DUMMYFUNCTION("GOOGLETRANSLATE(D1951,""zh-CN"",""vi"")"),"Thỏ kéo giãn")</f>
        <v>Thỏ kéo giãn</v>
      </c>
      <c r="G1951" s="8" t="str">
        <f>IFERROR(__xludf.DUMMYFUNCTION("GOOGLETRANSLATE(E1951,""zh-CN"",""vi"")"),"Hmm~ Khởi động trước khi tập luyện giúp ngăn ngừa chấn thương. Tổng hợp để có được Thỏ Yoga.")</f>
        <v>Hmm~ Khởi động trước khi tập luyện giúp ngăn ngừa chấn thương. Tổng hợp để có được Thỏ Yoga.</v>
      </c>
      <c r="H1951" s="8"/>
      <c r="I1951" s="8"/>
      <c r="J1951" s="8"/>
    </row>
    <row r="1952" ht="21.0" customHeight="1">
      <c r="A1952" s="68">
        <v>1.0</v>
      </c>
      <c r="B1952" s="35">
        <v>160.0</v>
      </c>
      <c r="C1952" s="68">
        <v>4.0</v>
      </c>
      <c r="D1952" s="35" t="s">
        <v>2702</v>
      </c>
      <c r="E1952" s="69" t="s">
        <v>2703</v>
      </c>
      <c r="F1952" s="8" t="str">
        <f>IFERROR(__xludf.DUMMYFUNCTION("GOOGLETRANSLATE(D1952,""zh-CN"",""vi"")"),"Thỏ Yoga")</f>
        <v>Thỏ Yoga</v>
      </c>
      <c r="G1952" s="8" t="str">
        <f>IFERROR(__xludf.DUMMYFUNCTION("GOOGLETRANSLATE(E1952,""zh-CN"",""vi"")"),"Hít thở, thư giãn, làm trống tâm trí, hít thở... tổng hợp lại để có được Thỏ Tạ.")</f>
        <v>Hít thở, thư giãn, làm trống tâm trí, hít thở... tổng hợp lại để có được Thỏ Tạ.</v>
      </c>
      <c r="H1952" s="8"/>
      <c r="I1952" s="8"/>
      <c r="J1952" s="8"/>
    </row>
    <row r="1953" ht="21.0" customHeight="1">
      <c r="A1953" s="35">
        <v>1.0</v>
      </c>
      <c r="B1953" s="35">
        <v>160.0</v>
      </c>
      <c r="C1953" s="35">
        <v>5.0</v>
      </c>
      <c r="D1953" s="35" t="s">
        <v>2704</v>
      </c>
      <c r="E1953" s="69" t="s">
        <v>2705</v>
      </c>
      <c r="F1953" s="8" t="str">
        <f>IFERROR(__xludf.DUMMYFUNCTION("GOOGLETRANSLATE(D1953,""zh-CN"",""vi"")"),"Thỏ tạ")</f>
        <v>Thỏ tạ</v>
      </c>
      <c r="G1953" s="8" t="str">
        <f>IFERROR(__xludf.DUMMYFUNCTION("GOOGLETRANSLATE(E1953,""zh-CN"",""vi"")"),"Một, hai, ba, bốn, năm, ừm, ồ... kết hợp lại để tạo thành Rolling Rabbit.")</f>
        <v>Một, hai, ba, bốn, năm, ừm, ồ... kết hợp lại để tạo thành Rolling Rabbit.</v>
      </c>
      <c r="H1953" s="8"/>
      <c r="I1953" s="8"/>
      <c r="J1953" s="8"/>
    </row>
    <row r="1954" ht="21.0" customHeight="1">
      <c r="A1954" s="68">
        <v>1.0</v>
      </c>
      <c r="B1954" s="35">
        <v>160.0</v>
      </c>
      <c r="C1954" s="68">
        <v>6.0</v>
      </c>
      <c r="D1954" s="35" t="s">
        <v>2706</v>
      </c>
      <c r="E1954" s="69" t="s">
        <v>2707</v>
      </c>
      <c r="F1954" s="8" t="str">
        <f>IFERROR(__xludf.DUMMYFUNCTION("GOOGLETRANSLATE(D1954,""zh-CN"",""vi"")"),"Thỏ lăn")</f>
        <v>Thỏ lăn</v>
      </c>
      <c r="G1954" s="8" t="str">
        <f>IFERROR(__xludf.DUMMYFUNCTION("GOOGLETRANSLATE(E1954,""zh-CN"",""vi"")"),"Một ngày nào đó, tôi sẽ chinh phục quả bóng này. Tổng hợp để có được Thỏ Nhảy Bạt.")</f>
        <v>Một ngày nào đó, tôi sẽ chinh phục quả bóng này. Tổng hợp để có được Thỏ Nhảy Bạt.</v>
      </c>
      <c r="H1954" s="8"/>
      <c r="I1954" s="8"/>
      <c r="J1954" s="8"/>
    </row>
    <row r="1955" ht="21.0" customHeight="1">
      <c r="A1955" s="35">
        <v>1.0</v>
      </c>
      <c r="B1955" s="35">
        <v>160.0</v>
      </c>
      <c r="C1955" s="35">
        <v>7.0</v>
      </c>
      <c r="D1955" s="35" t="s">
        <v>2708</v>
      </c>
      <c r="E1955" s="69" t="s">
        <v>2709</v>
      </c>
      <c r="F1955" s="8" t="str">
        <f>IFERROR(__xludf.DUMMYFUNCTION("GOOGLETRANSLATE(D1955,""zh-CN"",""vi"")"),"Thỏ trên bạt nhún")</f>
        <v>Thỏ trên bạt nhún</v>
      </c>
      <c r="G1955" s="8" t="str">
        <f>IFERROR(__xludf.DUMMYFUNCTION("GOOGLETRANSLATE(E1955,""zh-CN"",""vi"")"),"Xoay người và nhảy là sở trường của tôi. Kết hợp chúng để tạo ra Thỏ Nhảy Dây.")</f>
        <v>Xoay người và nhảy là sở trường của tôi. Kết hợp chúng để tạo ra Thỏ Nhảy Dây.</v>
      </c>
      <c r="H1955" s="8"/>
      <c r="I1955" s="8"/>
      <c r="J1955" s="8"/>
    </row>
    <row r="1956" ht="21.0" customHeight="1">
      <c r="A1956" s="68">
        <v>1.0</v>
      </c>
      <c r="B1956" s="35">
        <v>160.0</v>
      </c>
      <c r="C1956" s="68">
        <v>8.0</v>
      </c>
      <c r="D1956" s="35" t="s">
        <v>2710</v>
      </c>
      <c r="E1956" s="69" t="s">
        <v>2711</v>
      </c>
      <c r="F1956" s="8" t="str">
        <f>IFERROR(__xludf.DUMMYFUNCTION("GOOGLETRANSLATE(D1956,""zh-CN"",""vi"")"),"Thỏ nhảy dây")</f>
        <v>Thỏ nhảy dây</v>
      </c>
      <c r="G1956" s="8" t="str">
        <f>IFERROR(__xludf.DUMMYFUNCTION("GOOGLETRANSLATE(E1956,""zh-CN"",""vi"")"),"Thở hổn hển, thở hổn hển, nhắm mục tiêu 1000 lần. Tổng hợp để có được Thỏ Chạy.")</f>
        <v>Thở hổn hển, thở hổn hển, nhắm mục tiêu 1000 lần. Tổng hợp để có được Thỏ Chạy.</v>
      </c>
      <c r="H1956" s="8"/>
      <c r="I1956" s="8"/>
      <c r="J1956" s="8"/>
    </row>
    <row r="1957" ht="21.0" customHeight="1">
      <c r="A1957" s="35">
        <v>1.0</v>
      </c>
      <c r="B1957" s="35">
        <v>160.0</v>
      </c>
      <c r="C1957" s="35">
        <v>9.0</v>
      </c>
      <c r="D1957" s="35" t="s">
        <v>2712</v>
      </c>
      <c r="E1957" s="69" t="s">
        <v>2713</v>
      </c>
      <c r="F1957" s="8" t="str">
        <f>IFERROR(__xludf.DUMMYFUNCTION("GOOGLETRANSLATE(D1957,""zh-CN"",""vi"")"),"Thỏ đang chạy")</f>
        <v>Thỏ đang chạy</v>
      </c>
      <c r="G1957" s="8" t="str">
        <f>IFERROR(__xludf.DUMMYFUNCTION("GOOGLETRANSLATE(E1957,""zh-CN"",""vi"")"),"Liệu việc một con thỏ chạy bằng bốn chân có phải là gian lận không? (Ghép lại để có một con thỏ đi xe đạp.)")</f>
        <v>Liệu việc một con thỏ chạy bằng bốn chân có phải là gian lận không? (Ghép lại để có một con thỏ đi xe đạp.)</v>
      </c>
      <c r="H1957" s="8"/>
      <c r="I1957" s="8"/>
      <c r="J1957" s="8"/>
    </row>
    <row r="1958" ht="21.0" customHeight="1">
      <c r="A1958" s="68">
        <v>1.0</v>
      </c>
      <c r="B1958" s="35">
        <v>160.0</v>
      </c>
      <c r="C1958" s="68">
        <v>10.0</v>
      </c>
      <c r="D1958" s="35" t="s">
        <v>2714</v>
      </c>
      <c r="E1958" s="69" t="s">
        <v>2715</v>
      </c>
      <c r="F1958" s="8" t="str">
        <f>IFERROR(__xludf.DUMMYFUNCTION("GOOGLETRANSLATE(D1958,""zh-CN"",""vi"")"),"Thỏ Xe Đạp")</f>
        <v>Thỏ Xe Đạp</v>
      </c>
      <c r="G1958" s="8" t="str">
        <f>IFERROR(__xludf.DUMMYFUNCTION("GOOGLETRANSLATE(E1958,""zh-CN"",""vi"")"),"Đung đưa, đung đưa, tôi là đứa trẻ ngầu nhất! Kết hợp các động tác để tạo thành Thỏ Nâng Tạ.")</f>
        <v>Đung đưa, đung đưa, tôi là đứa trẻ ngầu nhất! Kết hợp các động tác để tạo thành Thỏ Nâng Tạ.</v>
      </c>
      <c r="H1958" s="8"/>
      <c r="I1958" s="8"/>
      <c r="J1958" s="8"/>
    </row>
    <row r="1959" ht="21.0" customHeight="1">
      <c r="A1959" s="35">
        <v>1.0</v>
      </c>
      <c r="B1959" s="35">
        <v>160.0</v>
      </c>
      <c r="C1959" s="35">
        <v>11.0</v>
      </c>
      <c r="D1959" s="35" t="s">
        <v>2716</v>
      </c>
      <c r="E1959" s="69" t="s">
        <v>2717</v>
      </c>
      <c r="F1959" s="8" t="str">
        <f>IFERROR(__xludf.DUMMYFUNCTION("GOOGLETRANSLATE(D1959,""zh-CN"",""vi"")"),"Bench Press Rabbit")</f>
        <v>Bench Press Rabbit</v>
      </c>
      <c r="G1959" s="8" t="str">
        <f>IFERROR(__xludf.DUMMYFUNCTION("GOOGLETRANSLATE(E1959,""zh-CN"",""vi"")"),"Nghe nói nó có thể giúp bạn to lớn hơn, tôi không thể bỏ cuộc!!! Hãy tổng hợp để có được Squat Rabbit.")</f>
        <v>Nghe nói nó có thể giúp bạn to lớn hơn, tôi không thể bỏ cuộc!!! Hãy tổng hợp để có được Squat Rabbit.</v>
      </c>
      <c r="H1959" s="8"/>
      <c r="I1959" s="8"/>
      <c r="J1959" s="8"/>
    </row>
    <row r="1960" ht="21.0" customHeight="1">
      <c r="A1960" s="68">
        <v>1.0</v>
      </c>
      <c r="B1960" s="35">
        <v>160.0</v>
      </c>
      <c r="C1960" s="68">
        <v>12.0</v>
      </c>
      <c r="D1960" s="35" t="s">
        <v>2718</v>
      </c>
      <c r="E1960" s="69" t="s">
        <v>2719</v>
      </c>
      <c r="F1960" s="8" t="str">
        <f>IFERROR(__xludf.DUMMYFUNCTION("GOOGLETRANSLATE(D1960,""zh-CN"",""vi"")"),"Thỏ ngồi xổm")</f>
        <v>Thỏ ngồi xổm</v>
      </c>
      <c r="G1960" s="8" t="str">
        <f>IFERROR(__xludf.DUMMYFUNCTION("GOOGLETRANSLATE(E1960,""zh-CN"",""vi"")"),"Hai, ba, bốn hoặc năm miếng, và lớp mỡ ở chân sẽ biến mất. Kết hợp chúng lại để có được chú thỏ kiêu kỳ.")</f>
        <v>Hai, ba, bốn hoặc năm miếng, và lớp mỡ ở chân sẽ biến mất. Kết hợp chúng lại để có được chú thỏ kiêu kỳ.</v>
      </c>
      <c r="H1960" s="8"/>
      <c r="I1960" s="8"/>
      <c r="J1960" s="8"/>
    </row>
    <row r="1961" ht="21.0" customHeight="1">
      <c r="A1961" s="35">
        <v>1.0</v>
      </c>
      <c r="B1961" s="35">
        <v>160.0</v>
      </c>
      <c r="C1961" s="35">
        <v>13.0</v>
      </c>
      <c r="D1961" s="35" t="s">
        <v>2720</v>
      </c>
      <c r="E1961" s="69" t="s">
        <v>2721</v>
      </c>
      <c r="F1961" s="8" t="str">
        <f>IFERROR(__xludf.DUMMYFUNCTION("GOOGLETRANSLATE(D1961,""zh-CN"",""vi"")"),"con thỏ ủ rũ")</f>
        <v>con thỏ ủ rũ</v>
      </c>
      <c r="G1961" s="8" t="str">
        <f>IFERROR(__xludf.DUMMYFUNCTION("GOOGLETRANSLATE(E1961,""zh-CN"",""vi"")"),"Từ góc độ này, các đường nét thật tuyệt vời ( •̀ ω •́ )y~~~ Điều này đã được tổng hợp ở mức độ cao nhất.")</f>
        <v>Từ góc độ này, các đường nét thật tuyệt vời ( •̀ ω •́ )y~~~ Điều này đã được tổng hợp ở mức độ cao nhất.</v>
      </c>
      <c r="H1961" s="8"/>
      <c r="I1961" s="8"/>
      <c r="J1961" s="8"/>
    </row>
    <row r="1962" ht="21.0" customHeight="1">
      <c r="A1962" s="68">
        <v>1.0</v>
      </c>
      <c r="B1962" s="35">
        <v>161.0</v>
      </c>
      <c r="C1962" s="68">
        <v>1.0</v>
      </c>
      <c r="D1962" s="35" t="s">
        <v>2722</v>
      </c>
      <c r="E1962" s="69" t="s">
        <v>2723</v>
      </c>
      <c r="F1962" s="8" t="str">
        <f>IFERROR(__xludf.DUMMYFUNCTION("GOOGLETRANSLATE(D1962,""zh-CN"",""vi"")"),"bánh mì nguyên cám")</f>
        <v>bánh mì nguyên cám</v>
      </c>
      <c r="G1962" s="8" t="str">
        <f>IFERROR(__xludf.DUMMYFUNCTION("GOOGLETRANSLATE(E1962,""zh-CN"",""vi"")"),"Chúng ta cần ăn cả ngũ cốc tinh chế và ngũ cốc nguyên hạt. Chúng ta có thể tổng hợp ngô luộc.")</f>
        <v>Chúng ta cần ăn cả ngũ cốc tinh chế và ngũ cốc nguyên hạt. Chúng ta có thể tổng hợp ngô luộc.</v>
      </c>
      <c r="H1962" s="8"/>
      <c r="I1962" s="8"/>
      <c r="J1962" s="8"/>
    </row>
    <row r="1963" ht="21.0" customHeight="1">
      <c r="A1963" s="35">
        <v>1.0</v>
      </c>
      <c r="B1963" s="35">
        <v>161.0</v>
      </c>
      <c r="C1963" s="35">
        <v>2.0</v>
      </c>
      <c r="D1963" s="35" t="s">
        <v>2724</v>
      </c>
      <c r="E1963" s="69" t="s">
        <v>2725</v>
      </c>
      <c r="F1963" s="8" t="str">
        <f>IFERROR(__xludf.DUMMYFUNCTION("GOOGLETRANSLATE(D1963,""zh-CN"",""vi"")"),"Ngô luộc")</f>
        <v>Ngô luộc</v>
      </c>
      <c r="G1963" s="8" t="str">
        <f>IFERROR(__xludf.DUMMYFUNCTION("GOOGLETRANSLATE(E1963,""zh-CN"",""vi"")"),"Thơm, ngọt và dai, hãy thử một viên! Kết hợp các nguyên liệu để có nước ép rau củ.")</f>
        <v>Thơm, ngọt và dai, hãy thử một viên! Kết hợp các nguyên liệu để có nước ép rau củ.</v>
      </c>
      <c r="H1963" s="8"/>
      <c r="I1963" s="8"/>
      <c r="J1963" s="8"/>
    </row>
    <row r="1964" ht="21.0" customHeight="1">
      <c r="A1964" s="68">
        <v>1.0</v>
      </c>
      <c r="B1964" s="35">
        <v>161.0</v>
      </c>
      <c r="C1964" s="68">
        <v>3.0</v>
      </c>
      <c r="D1964" s="35" t="s">
        <v>2726</v>
      </c>
      <c r="E1964" s="69" t="s">
        <v>2727</v>
      </c>
      <c r="F1964" s="8" t="str">
        <f>IFERROR(__xludf.DUMMYFUNCTION("GOOGLETRANSLATE(D1964,""zh-CN"",""vi"")"),"Nước ép rau củ")</f>
        <v>Nước ép rau củ</v>
      </c>
      <c r="G1964" s="8" t="str">
        <f>IFERROR(__xludf.DUMMYFUNCTION("GOOGLETRANSLATE(E1964,""zh-CN"",""vi"")"),"Hãy bổ sung vitamin bằng cách uống nước ép rau củ! (Và tổng hợp trứng luộc.)")</f>
        <v>Hãy bổ sung vitamin bằng cách uống nước ép rau củ! (Và tổng hợp trứng luộc.)</v>
      </c>
      <c r="H1964" s="8"/>
      <c r="I1964" s="8"/>
      <c r="J1964" s="8"/>
    </row>
    <row r="1965" ht="21.0" customHeight="1">
      <c r="A1965" s="35">
        <v>1.0</v>
      </c>
      <c r="B1965" s="35">
        <v>161.0</v>
      </c>
      <c r="C1965" s="35">
        <v>4.0</v>
      </c>
      <c r="D1965" s="35" t="s">
        <v>2728</v>
      </c>
      <c r="E1965" s="69" t="s">
        <v>2729</v>
      </c>
      <c r="F1965" s="8" t="str">
        <f>IFERROR(__xludf.DUMMYFUNCTION("GOOGLETRANSLATE(D1965,""zh-CN"",""vi"")"),"trứng luộc")</f>
        <v>trứng luộc</v>
      </c>
      <c r="G1965" s="8" t="str">
        <f>IFERROR(__xludf.DUMMYFUNCTION("GOOGLETRANSLATE(E1965,""zh-CN"",""vi"")"),"Trứng chứa nhiều chất dinh dưỡng và rất cần thiết cho những người đam mê thể dục. Hãy kết hợp chúng để làm món salad cà rốt.")</f>
        <v>Trứng chứa nhiều chất dinh dưỡng và rất cần thiết cho những người đam mê thể dục. Hãy kết hợp chúng để làm món salad cà rốt.</v>
      </c>
      <c r="H1965" s="8"/>
      <c r="I1965" s="8"/>
      <c r="J1965" s="8"/>
    </row>
    <row r="1966" ht="21.0" customHeight="1">
      <c r="A1966" s="68">
        <v>1.0</v>
      </c>
      <c r="B1966" s="35">
        <v>161.0</v>
      </c>
      <c r="C1966" s="68">
        <v>5.0</v>
      </c>
      <c r="D1966" s="35" t="s">
        <v>2730</v>
      </c>
      <c r="E1966" s="69" t="s">
        <v>2731</v>
      </c>
      <c r="F1966" s="8" t="str">
        <f>IFERROR(__xludf.DUMMYFUNCTION("GOOGLETRANSLATE(D1966,""zh-CN"",""vi"")"),"Salad cà rốt")</f>
        <v>Salad cà rốt</v>
      </c>
      <c r="G1966" s="8" t="str">
        <f>IFERROR(__xludf.DUMMYFUNCTION("GOOGLETRANSLATE(E1966,""zh-CN"",""vi"")"),"Thay vì chỉ ăn cà rốt trực tiếp, hãy thử làm một món salad ngon miệng. Hãy làm món salad dưa chuột và cà rốt.")</f>
        <v>Thay vì chỉ ăn cà rốt trực tiếp, hãy thử làm một món salad ngon miệng. Hãy làm món salad dưa chuột và cà rốt.</v>
      </c>
      <c r="H1966" s="8"/>
      <c r="I1966" s="8"/>
      <c r="J1966" s="8"/>
    </row>
    <row r="1967" ht="21.0" customHeight="1">
      <c r="A1967" s="35">
        <v>1.0</v>
      </c>
      <c r="B1967" s="35">
        <v>161.0</v>
      </c>
      <c r="C1967" s="35">
        <v>6.0</v>
      </c>
      <c r="D1967" s="35" t="s">
        <v>2732</v>
      </c>
      <c r="E1967" s="69" t="s">
        <v>2733</v>
      </c>
      <c r="F1967" s="8" t="str">
        <f>IFERROR(__xludf.DUMMYFUNCTION("GOOGLETRANSLATE(D1967,""zh-CN"",""vi"")"),"Salad dưa chuột và cà rốt")</f>
        <v>Salad dưa chuột và cà rốt</v>
      </c>
      <c r="G1967" s="8" t="str">
        <f>IFERROR(__xludf.DUMMYFUNCTION("GOOGLETRANSLATE(E1967,""zh-CN"",""vi"")"),"Nó có hương thơm trái cây độc đáo, tươi mát; rất ngon! Kết hợp chúng để làm bánh mì kẹp.")</f>
        <v>Nó có hương thơm trái cây độc đáo, tươi mát; rất ngon! Kết hợp chúng để làm bánh mì kẹp.</v>
      </c>
      <c r="H1967" s="8"/>
      <c r="I1967" s="8"/>
      <c r="J1967" s="8"/>
    </row>
    <row r="1968" ht="21.0" customHeight="1">
      <c r="A1968" s="68">
        <v>1.0</v>
      </c>
      <c r="B1968" s="35">
        <v>161.0</v>
      </c>
      <c r="C1968" s="68">
        <v>7.0</v>
      </c>
      <c r="D1968" s="35" t="s">
        <v>2734</v>
      </c>
      <c r="E1968" s="69" t="s">
        <v>2735</v>
      </c>
      <c r="F1968" s="8" t="str">
        <f>IFERROR(__xludf.DUMMYFUNCTION("GOOGLETRANSLATE(D1968,""zh-CN"",""vi"")"),"sandwich")</f>
        <v>sandwich</v>
      </c>
      <c r="G1968" s="8" t="str">
        <f>IFERROR(__xludf.DUMMYFUNCTION("GOOGLETRANSLATE(E1968,""zh-CN"",""vi"")"),"Bổ dưỡng và dễ làm, đây là lựa chọn hàng đầu cho bữa sáng. Kết hợp các nguyên liệu để tạo thành món salad rau củ thập cẩm.")</f>
        <v>Bổ dưỡng và dễ làm, đây là lựa chọn hàng đầu cho bữa sáng. Kết hợp các nguyên liệu để tạo thành món salad rau củ thập cẩm.</v>
      </c>
      <c r="H1968" s="8"/>
      <c r="I1968" s="8"/>
      <c r="J1968" s="8"/>
    </row>
    <row r="1969" ht="21.0" customHeight="1">
      <c r="A1969" s="35">
        <v>1.0</v>
      </c>
      <c r="B1969" s="35">
        <v>161.0</v>
      </c>
      <c r="C1969" s="35">
        <v>8.0</v>
      </c>
      <c r="D1969" s="35" t="s">
        <v>2736</v>
      </c>
      <c r="E1969" s="69" t="s">
        <v>2737</v>
      </c>
      <c r="F1969" s="8" t="str">
        <f>IFERROR(__xludf.DUMMYFUNCTION("GOOGLETRANSLATE(D1969,""zh-CN"",""vi"")"),"Salad rau trộn")</f>
        <v>Salad rau trộn</v>
      </c>
      <c r="G1969" s="8" t="str">
        <f>IFERROR(__xludf.DUMMYFUNCTION("GOOGLETRANSLATE(E1969,""zh-CN"",""vi"")"),"Chỉ cần nhìn những món ăn đầy màu sắc này thôi cũng đã khiến tôi chảy nước miếng rồi! Hãy thử làm món salad trứng thanh đạm nhé.")</f>
        <v>Chỉ cần nhìn những món ăn đầy màu sắc này thôi cũng đã khiến tôi chảy nước miếng rồi! Hãy thử làm món salad trứng thanh đạm nhé.</v>
      </c>
      <c r="H1969" s="8"/>
      <c r="I1969" s="8"/>
      <c r="J1969" s="8"/>
    </row>
    <row r="1970" ht="21.0" customHeight="1">
      <c r="A1970" s="68">
        <v>1.0</v>
      </c>
      <c r="B1970" s="35">
        <v>161.0</v>
      </c>
      <c r="C1970" s="68">
        <v>9.0</v>
      </c>
      <c r="D1970" s="35" t="s">
        <v>2738</v>
      </c>
      <c r="E1970" s="69" t="s">
        <v>2739</v>
      </c>
      <c r="F1970" s="8" t="str">
        <f>IFERROR(__xludf.DUMMYFUNCTION("GOOGLETRANSLATE(D1970,""zh-CN"",""vi"")"),"Salad trứng nhẹ")</f>
        <v>Salad trứng nhẹ</v>
      </c>
      <c r="G1970" s="8" t="str">
        <f>IFERROR(__xludf.DUMMYFUNCTION("GOOGLETRANSLATE(E1970,""zh-CN"",""vi"")"),"Một chế độ ăn uống cân bằng với sự kết hợp giữa thịt và rau củ, cung cấp đầy đủ chất dinh dưỡng. Công thức này sử dụng ức gà để tạo ra một bữa ăn ít chất béo.")</f>
        <v>Một chế độ ăn uống cân bằng với sự kết hợp giữa thịt và rau củ, cung cấp đầy đủ chất dinh dưỡng. Công thức này sử dụng ức gà để tạo ra một bữa ăn ít chất béo.</v>
      </c>
      <c r="H1970" s="8"/>
      <c r="I1970" s="8"/>
      <c r="J1970" s="8"/>
    </row>
    <row r="1971" ht="21.0" customHeight="1">
      <c r="A1971" s="35">
        <v>1.0</v>
      </c>
      <c r="B1971" s="35">
        <v>161.0</v>
      </c>
      <c r="C1971" s="35">
        <v>10.0</v>
      </c>
      <c r="D1971" s="35" t="s">
        <v>2740</v>
      </c>
      <c r="E1971" s="69" t="s">
        <v>2741</v>
      </c>
      <c r="F1971" s="8" t="str">
        <f>IFERROR(__xludf.DUMMYFUNCTION("GOOGLETRANSLATE(D1971,""zh-CN"",""vi"")"),"Bữa ăn ức gà ít chất béo")</f>
        <v>Bữa ăn ức gà ít chất béo</v>
      </c>
      <c r="G1971" s="8" t="str">
        <f>IFERROR(__xludf.DUMMYFUNCTION("GOOGLETRANSLATE(E1971,""zh-CN"",""vi"")"),"Hương vị tinh tế nhất, nguồn protein thuần khiết nhất. Cá thu tổng hợp dành cho chế độ ăn kiêng giảm cân.")</f>
        <v>Hương vị tinh tế nhất, nguồn protein thuần khiết nhất. Cá thu tổng hợp dành cho chế độ ăn kiêng giảm cân.</v>
      </c>
      <c r="H1971" s="8"/>
      <c r="I1971" s="8"/>
      <c r="J1971" s="8"/>
    </row>
    <row r="1972" ht="21.0" customHeight="1">
      <c r="A1972" s="68">
        <v>1.0</v>
      </c>
      <c r="B1972" s="35">
        <v>161.0</v>
      </c>
      <c r="C1972" s="68">
        <v>11.0</v>
      </c>
      <c r="D1972" s="35" t="s">
        <v>2742</v>
      </c>
      <c r="E1972" s="69" t="s">
        <v>2743</v>
      </c>
      <c r="F1972" s="8" t="str">
        <f>IFERROR(__xludf.DUMMYFUNCTION("GOOGLETRANSLATE(D1972,""zh-CN"",""vi"")"),"Bữa ăn cá thu ít chất béo")</f>
        <v>Bữa ăn cá thu ít chất béo</v>
      </c>
      <c r="G1972" s="8" t="str">
        <f>IFERROR(__xludf.DUMMYFUNCTION("GOOGLETRANSLATE(E1972,""zh-CN"",""vi"")"),"Protein trắng rất cần thiết trong quá trình giảm cân. Loại protein này được tổng hợp để tạo ra món ăn giảm cân từ tôm.")</f>
        <v>Protein trắng rất cần thiết trong quá trình giảm cân. Loại protein này được tổng hợp để tạo ra món ăn giảm cân từ tôm.</v>
      </c>
      <c r="H1972" s="8"/>
      <c r="I1972" s="8"/>
      <c r="J1972" s="8"/>
    </row>
    <row r="1973" ht="21.0" customHeight="1">
      <c r="A1973" s="35">
        <v>1.0</v>
      </c>
      <c r="B1973" s="35">
        <v>161.0</v>
      </c>
      <c r="C1973" s="35">
        <v>12.0</v>
      </c>
      <c r="D1973" s="35" t="s">
        <v>2744</v>
      </c>
      <c r="E1973" s="69" t="s">
        <v>2745</v>
      </c>
      <c r="F1973" s="8" t="str">
        <f>IFERROR(__xludf.DUMMYFUNCTION("GOOGLETRANSLATE(D1973,""zh-CN"",""vi"")"),"Bữa ăn tôm ít chất béo")</f>
        <v>Bữa ăn tôm ít chất béo</v>
      </c>
      <c r="G1973" s="8" t="str">
        <f>IFERROR(__xludf.DUMMYFUNCTION("GOOGLETRANSLATE(E1973,""zh-CN"",""vi"")"),"Hải sản ít béo, càng ngon hơn khi thêm chút wasabi. Kết hợp các nguyên liệu để có được món bít tết chín tái.")</f>
        <v>Hải sản ít béo, càng ngon hơn khi thêm chút wasabi. Kết hợp các nguyên liệu để có được món bít tết chín tái.</v>
      </c>
      <c r="H1973" s="8"/>
      <c r="I1973" s="8"/>
      <c r="J1973" s="8"/>
    </row>
    <row r="1974" ht="21.0" customHeight="1">
      <c r="A1974" s="68">
        <v>1.0</v>
      </c>
      <c r="B1974" s="35">
        <v>161.0</v>
      </c>
      <c r="C1974" s="68">
        <v>13.0</v>
      </c>
      <c r="D1974" s="35" t="s">
        <v>2746</v>
      </c>
      <c r="E1974" s="69" t="s">
        <v>2747</v>
      </c>
      <c r="F1974" s="8" t="str">
        <f>IFERROR(__xludf.DUMMYFUNCTION("GOOGLETRANSLATE(D1974,""zh-CN"",""vi"")"),"bít tết tái vừa")</f>
        <v>bít tết tái vừa</v>
      </c>
      <c r="G1974" s="8" t="str">
        <f>IFERROR(__xludf.DUMMYFUNCTION("GOOGLETRANSLATE(E1974,""zh-CN"",""vi"")"),"Thịt bò là thực phẩm chính tốt nhất cho việc tập luyện! Nó đã được chế biến theo tiêu chuẩn cao nhất.")</f>
        <v>Thịt bò là thực phẩm chính tốt nhất cho việc tập luyện! Nó đã được chế biến theo tiêu chuẩn cao nhất.</v>
      </c>
      <c r="H1974" s="8"/>
      <c r="I1974" s="8"/>
      <c r="J1974" s="8"/>
    </row>
    <row r="1975" ht="21.0" customHeight="1">
      <c r="A1975" s="35">
        <v>1.0</v>
      </c>
      <c r="B1975" s="35">
        <v>162.0</v>
      </c>
      <c r="C1975" s="35">
        <v>1.0</v>
      </c>
      <c r="D1975" s="35" t="s">
        <v>2748</v>
      </c>
      <c r="E1975" s="69" t="s">
        <v>2749</v>
      </c>
      <c r="F1975" s="8" t="str">
        <f>IFERROR(__xludf.DUMMYFUNCTION("GOOGLETRANSLATE(D1975,""zh-CN"",""vi"")"),"dây thun")</f>
        <v>dây thun</v>
      </c>
      <c r="G1975" s="8" t="str">
        <f>IFERROR(__xludf.DUMMYFUNCTION("GOOGLETRANSLATE(E1975,""zh-CN"",""vi"")"),"Đơn giản và dễ mang theo, nó có thể giúp rèn luyện cả sức mạnh và sự dẻo dai. Kết hợp chúng lại để tạo thành một chiếc vòng lắc eo.")</f>
        <v>Đơn giản và dễ mang theo, nó có thể giúp rèn luyện cả sức mạnh và sự dẻo dai. Kết hợp chúng lại để tạo thành một chiếc vòng lắc eo.</v>
      </c>
      <c r="H1975" s="8"/>
      <c r="I1975" s="8"/>
      <c r="J1975" s="8"/>
    </row>
    <row r="1976" ht="21.0" customHeight="1">
      <c r="A1976" s="68">
        <v>1.0</v>
      </c>
      <c r="B1976" s="35">
        <v>162.0</v>
      </c>
      <c r="C1976" s="68">
        <v>2.0</v>
      </c>
      <c r="D1976" s="35" t="s">
        <v>2750</v>
      </c>
      <c r="E1976" s="70" t="s">
        <v>2751</v>
      </c>
      <c r="F1976" s="8" t="str">
        <f>IFERROR(__xludf.DUMMYFUNCTION("GOOGLETRANSLATE(D1976,""zh-CN"",""vi"")"),"vòng lắc hula")</f>
        <v>vòng lắc hula</v>
      </c>
      <c r="G1976" s="8" t="str">
        <f>IFERROR(__xludf.DUMMYFUNCTION("GOOGLETRANSLATE(E1976,""zh-CN"",""vi"")"),"Cứ xoay tròn mãi, cho đến khi bạn có cơ bụng săn chắc. Hãy rèn luyện chúng để có được các khối tập yoga.")</f>
        <v>Cứ xoay tròn mãi, cho đến khi bạn có cơ bụng săn chắc. Hãy rèn luyện chúng để có được các khối tập yoga.</v>
      </c>
      <c r="H1976" s="8"/>
      <c r="I1976" s="8"/>
      <c r="J1976" s="8"/>
    </row>
    <row r="1977" ht="21.0" customHeight="1">
      <c r="A1977" s="35">
        <v>1.0</v>
      </c>
      <c r="B1977" s="35">
        <v>162.0</v>
      </c>
      <c r="C1977" s="35">
        <v>3.0</v>
      </c>
      <c r="D1977" s="35" t="s">
        <v>2752</v>
      </c>
      <c r="E1977" s="69" t="s">
        <v>2753</v>
      </c>
      <c r="F1977" s="8" t="str">
        <f>IFERROR(__xludf.DUMMYFUNCTION("GOOGLETRANSLATE(D1977,""zh-CN"",""vi"")"),"Khối tập yoga")</f>
        <v>Khối tập yoga</v>
      </c>
      <c r="G1977" s="8" t="str">
        <f>IFERROR(__xludf.DUMMYFUNCTION("GOOGLETRANSLATE(E1977,""zh-CN"",""vi"")"),"Nếu bạn không đủ linh hoạt, hãy dùng các khối tập yoga. Tự chế chúng thành dây nhảy cũng được.")</f>
        <v>Nếu bạn không đủ linh hoạt, hãy dùng các khối tập yoga. Tự chế chúng thành dây nhảy cũng được.</v>
      </c>
      <c r="H1977" s="8"/>
      <c r="I1977" s="8"/>
      <c r="J1977" s="8"/>
    </row>
    <row r="1978" ht="21.0" customHeight="1">
      <c r="A1978" s="68">
        <v>1.0</v>
      </c>
      <c r="B1978" s="35">
        <v>162.0</v>
      </c>
      <c r="C1978" s="35">
        <v>4.0</v>
      </c>
      <c r="D1978" s="35" t="s">
        <v>2754</v>
      </c>
      <c r="E1978" s="70" t="s">
        <v>2755</v>
      </c>
      <c r="F1978" s="8" t="str">
        <f>IFERROR(__xludf.DUMMYFUNCTION("GOOGLETRANSLATE(D1978,""zh-CN"",""vi"")"),"dây nhảy")</f>
        <v>dây nhảy</v>
      </c>
      <c r="G1978" s="8" t="str">
        <f>IFERROR(__xludf.DUMMYFUNCTION("GOOGLETRANSLATE(E1978,""zh-CN"",""vi"")"),"Mục tiêu hôm nay: 2000! Hãy chế tạo chúng để nhận được Gậy Răng Sói Thư Giãn.")</f>
        <v>Mục tiêu hôm nay: 2000! Hãy chế tạo chúng để nhận được Gậy Răng Sói Thư Giãn.</v>
      </c>
      <c r="H1978" s="8"/>
      <c r="I1978" s="8"/>
      <c r="J1978" s="8"/>
    </row>
    <row r="1979" ht="21.0" customHeight="1">
      <c r="A1979" s="35">
        <v>1.0</v>
      </c>
      <c r="B1979" s="35">
        <v>162.0</v>
      </c>
      <c r="C1979" s="68">
        <v>5.0</v>
      </c>
      <c r="D1979" s="35" t="s">
        <v>2756</v>
      </c>
      <c r="E1979" s="69" t="s">
        <v>2757</v>
      </c>
      <c r="F1979" s="8" t="str">
        <f>IFERROR(__xludf.DUMMYFUNCTION("GOOGLETRANSLATE(D1979,""zh-CN"",""vi"")"),"Thư giãn với chiếc gậy gai nhọn")</f>
        <v>Thư giãn với chiếc gậy gai nhọn</v>
      </c>
      <c r="G1979" s="8" t="str">
        <f>IFERROR(__xludf.DUMMYFUNCTION("GOOGLETRANSLATE(E1979,""zh-CN"",""vi"")"),"Vỗ nhẹ vào những vùng cơ bị căng cứng có thể giúp thư giãn hiệu quả. Quá trình này được sử dụng để tạo ra một tấm thảm yoga.")</f>
        <v>Vỗ nhẹ vào những vùng cơ bị căng cứng có thể giúp thư giãn hiệu quả. Quá trình này được sử dụng để tạo ra một tấm thảm yoga.</v>
      </c>
      <c r="H1979" s="8"/>
      <c r="I1979" s="8"/>
      <c r="J1979" s="8"/>
    </row>
    <row r="1980" ht="21.0" customHeight="1">
      <c r="A1980" s="68">
        <v>1.0</v>
      </c>
      <c r="B1980" s="35">
        <v>162.0</v>
      </c>
      <c r="C1980" s="35">
        <v>6.0</v>
      </c>
      <c r="D1980" s="35" t="s">
        <v>2758</v>
      </c>
      <c r="E1980" s="70" t="s">
        <v>2759</v>
      </c>
      <c r="F1980" s="8" t="str">
        <f>IFERROR(__xludf.DUMMYFUNCTION("GOOGLETRANSLATE(D1980,""zh-CN"",""vi"")"),"Thảm tập yoga")</f>
        <v>Thảm tập yoga</v>
      </c>
      <c r="G1980" s="8" t="str">
        <f>IFERROR(__xludf.DUMMYFUNCTION("GOOGLETRANSLATE(E1980,""zh-CN"",""vi"")"),"Với một tấm thảm yoga, bạn có thể tập luyện ở bất cứ đâu. Hãy tự chế tạo bài tập nâng mông với tạ ấm.")</f>
        <v>Với một tấm thảm yoga, bạn có thể tập luyện ở bất cứ đâu. Hãy tự chế tạo bài tập nâng mông với tạ ấm.</v>
      </c>
      <c r="H1980" s="8"/>
      <c r="I1980" s="8"/>
      <c r="J1980" s="8"/>
    </row>
    <row r="1981" ht="21.0" customHeight="1">
      <c r="A1981" s="35">
        <v>1.0</v>
      </c>
      <c r="B1981" s="35">
        <v>162.0</v>
      </c>
      <c r="C1981" s="35">
        <v>7.0</v>
      </c>
      <c r="D1981" s="35" t="s">
        <v>2760</v>
      </c>
      <c r="E1981" s="69" t="s">
        <v>2761</v>
      </c>
      <c r="F1981" s="8" t="str">
        <f>IFERROR(__xludf.DUMMYFUNCTION("GOOGLETRANSLATE(D1981,""zh-CN"",""vi"")"),"tạ ấm hình mông")</f>
        <v>tạ ấm hình mông</v>
      </c>
      <c r="G1981" s="8" t="str">
        <f>IFERROR(__xludf.DUMMYFUNCTION("GOOGLETRANSLATE(E1981,""zh-CN"",""vi"")"),"Đào, đào, đào, hãy dùng nó nào. Chế tạo nó để có được một con lăn xốp.")</f>
        <v>Đào, đào, đào, hãy dùng nó nào. Chế tạo nó để có được một con lăn xốp.</v>
      </c>
      <c r="H1981" s="8"/>
      <c r="I1981" s="8"/>
      <c r="J1981" s="8"/>
    </row>
    <row r="1982" ht="21.0" customHeight="1">
      <c r="A1982" s="68">
        <v>1.0</v>
      </c>
      <c r="B1982" s="35">
        <v>162.0</v>
      </c>
      <c r="C1982" s="68">
        <v>8.0</v>
      </c>
      <c r="D1982" s="35" t="s">
        <v>2762</v>
      </c>
      <c r="E1982" s="70" t="s">
        <v>2763</v>
      </c>
      <c r="F1982" s="8" t="str">
        <f>IFERROR(__xludf.DUMMYFUNCTION("GOOGLETRANSLATE(D1982,""zh-CN"",""vi"")"),"Con lăn xốp")</f>
        <v>Con lăn xốp</v>
      </c>
      <c r="G1982" s="8" t="str">
        <f>IFERROR(__xludf.DUMMYFUNCTION("GOOGLETRANSLATE(E1982,""zh-CN"",""vi"")"),"Cơn đau nhức cơ đã giảm bớt. Hãy chế tạo tạ tay dành cho nữ.")</f>
        <v>Cơn đau nhức cơ đã giảm bớt. Hãy chế tạo tạ tay dành cho nữ.</v>
      </c>
      <c r="H1982" s="8"/>
      <c r="I1982" s="8"/>
      <c r="J1982" s="8"/>
    </row>
    <row r="1983" ht="21.0" customHeight="1">
      <c r="A1983" s="35">
        <v>1.0</v>
      </c>
      <c r="B1983" s="35">
        <v>162.0</v>
      </c>
      <c r="C1983" s="35">
        <v>9.0</v>
      </c>
      <c r="D1983" s="35" t="s">
        <v>2764</v>
      </c>
      <c r="E1983" s="69" t="s">
        <v>2765</v>
      </c>
      <c r="F1983" s="8" t="str">
        <f>IFERROR(__xludf.DUMMYFUNCTION("GOOGLETRANSLATE(D1983,""zh-CN"",""vi"")"),"Tạ tay dành cho nữ")</f>
        <v>Tạ tay dành cho nữ</v>
      </c>
      <c r="G1983" s="8" t="str">
        <f>IFERROR(__xludf.DUMMYFUNCTION("GOOGLETRANSLATE(E1983,""zh-CN"",""vi"")"),"Nó không nặng nhưng trông rất đẹp. Kết hợp chúng lại để có được bí quyết làm thon gọn đôi chân thần kỳ!")</f>
        <v>Nó không nặng nhưng trông rất đẹp. Kết hợp chúng lại để có được bí quyết làm thon gọn đôi chân thần kỳ!</v>
      </c>
      <c r="H1983" s="8"/>
      <c r="I1983" s="8"/>
      <c r="J1983" s="8"/>
    </row>
    <row r="1984" ht="21.0" customHeight="1">
      <c r="A1984" s="68">
        <v>1.0</v>
      </c>
      <c r="B1984" s="35">
        <v>162.0</v>
      </c>
      <c r="C1984" s="35">
        <v>10.0</v>
      </c>
      <c r="D1984" s="35" t="s">
        <v>2766</v>
      </c>
      <c r="E1984" s="70" t="s">
        <v>2767</v>
      </c>
      <c r="F1984" s="8" t="str">
        <f>IFERROR(__xludf.DUMMYFUNCTION("GOOGLETRANSLATE(D1984,""zh-CN"",""vi"")"),"Vật phẩm làm thon gọn chân")</f>
        <v>Vật phẩm làm thon gọn chân</v>
      </c>
      <c r="G1984" s="8" t="str">
        <f>IFERROR(__xludf.DUMMYFUNCTION("GOOGLETRANSLATE(E1984,""zh-CN"",""vi"")"),"Với sự kiên trì, bạn có thể tự tin diện quần tất và váy ngắn. Hãy tự chế tạo một dụng cụ tập bụng.")</f>
        <v>Với sự kiên trì, bạn có thể tự tin diện quần tất và váy ngắn. Hãy tự chế tạo một dụng cụ tập bụng.</v>
      </c>
      <c r="H1984" s="8"/>
      <c r="I1984" s="8"/>
      <c r="J1984" s="8"/>
    </row>
    <row r="1985" ht="21.0" customHeight="1">
      <c r="A1985" s="35">
        <v>1.0</v>
      </c>
      <c r="B1985" s="35">
        <v>162.0</v>
      </c>
      <c r="C1985" s="68">
        <v>11.0</v>
      </c>
      <c r="D1985" s="35" t="s">
        <v>2768</v>
      </c>
      <c r="E1985" s="69" t="s">
        <v>2769</v>
      </c>
      <c r="F1985" s="8" t="str">
        <f>IFERROR(__xludf.DUMMYFUNCTION("GOOGLETRANSLATE(D1985,""zh-CN"",""vi"")"),"Con lăn bụng")</f>
        <v>Con lăn bụng</v>
      </c>
      <c r="G1985" s="8" t="str">
        <f>IFERROR(__xludf.DUMMYFUNCTION("GOOGLETRANSLATE(E1985,""zh-CN"",""vi"")"),"Tôi đẩy~ Tôi kéo~, tôi giống như một con tôm bọ ngựa~ Tôi tổng hợp và tạo ra một dụng cụ tập đi giúp thon gọn chân.")</f>
        <v>Tôi đẩy~ Tôi kéo~, tôi giống như một con tôm bọ ngựa~ Tôi tổng hợp và tạo ra một dụng cụ tập đi giúp thon gọn chân.</v>
      </c>
      <c r="H1985" s="8"/>
      <c r="I1985" s="8"/>
      <c r="J1985" s="8"/>
    </row>
    <row r="1986" ht="21.0" customHeight="1">
      <c r="A1986" s="68">
        <v>1.0</v>
      </c>
      <c r="B1986" s="35">
        <v>162.0</v>
      </c>
      <c r="C1986" s="35">
        <v>12.0</v>
      </c>
      <c r="D1986" s="35" t="s">
        <v>2770</v>
      </c>
      <c r="E1986" s="70" t="s">
        <v>2771</v>
      </c>
      <c r="F1986" s="8" t="str">
        <f>IFERROR(__xludf.DUMMYFUNCTION("GOOGLETRANSLATE(D1986,""zh-CN"",""vi"")"),"Máy tập chân giảm cân")</f>
        <v>Máy tập chân giảm cân</v>
      </c>
      <c r="G1986" s="8" t="str">
        <f>IFERROR(__xludf.DUMMYFUNCTION("GOOGLETRANSLATE(E1986,""zh-CN"",""vi"")"),"Mùa hè đã đến, và đã đến lúc tập luyện cho đôi chân của bạn! Hãy chế tạo ""Máy tập gập bụng giúp thon gọn vòng eo"".")</f>
        <v>Mùa hè đã đến, và đã đến lúc tập luyện cho đôi chân của bạn! Hãy chế tạo "Máy tập gập bụng giúp thon gọn vòng eo".</v>
      </c>
      <c r="H1986" s="8"/>
      <c r="I1986" s="8"/>
      <c r="J1986" s="8"/>
    </row>
    <row r="1987" ht="21.0" customHeight="1">
      <c r="A1987" s="35">
        <v>1.0</v>
      </c>
      <c r="B1987" s="35">
        <v>162.0</v>
      </c>
      <c r="C1987" s="35">
        <v>13.0</v>
      </c>
      <c r="D1987" s="35" t="s">
        <v>2772</v>
      </c>
      <c r="E1987" s="69" t="s">
        <v>2773</v>
      </c>
      <c r="F1987" s="8" t="str">
        <f>IFERROR(__xludf.DUMMYFUNCTION("GOOGLETRANSLATE(D1987,""zh-CN"",""vi"")"),"Máy tập bụng giảm eo")</f>
        <v>Máy tập bụng giảm eo</v>
      </c>
      <c r="G1987" s="8" t="str">
        <f>IFERROR(__xludf.DUMMYFUNCTION("GOOGLETRANSLATE(E1987,""zh-CN"",""vi"")"),"Hãy sở hữu cơ bụng 6 múi và mọi người sẽ phải ghen tị! (Cấp độ 100)")</f>
        <v>Hãy sở hữu cơ bụng 6 múi và mọi người sẽ phải ghen tị! (Cấp độ 100)</v>
      </c>
      <c r="H1987" s="8"/>
      <c r="I1987" s="8"/>
      <c r="J1987" s="8"/>
    </row>
    <row r="1988" ht="21.0" customHeight="1">
      <c r="A1988" s="68">
        <v>11.0</v>
      </c>
      <c r="B1988" s="35">
        <v>1027.0</v>
      </c>
      <c r="C1988" s="35">
        <v>1.0</v>
      </c>
      <c r="D1988" s="35" t="s">
        <v>2774</v>
      </c>
      <c r="E1988" s="69" t="s">
        <v>2775</v>
      </c>
      <c r="F1988" s="8" t="str">
        <f>IFERROR(__xludf.DUMMYFUNCTION("GOOGLETRANSLATE(D1988,""zh-CN"",""vi"")"),"Túi tote lưới [V]")</f>
        <v>Túi tote lưới [V]</v>
      </c>
      <c r="G1988" s="8" t="str">
        <f>IFERROR(__xludf.DUMMYFUNCTION("GOOGLETRANSLATE(E1988,""zh-CN"",""vi"")"),"Đừng đựng đồ nhỏ trong đó! Chế tạo để có được một chiếc ba lô dây rút đơn giản [V].")</f>
        <v>Đừng đựng đồ nhỏ trong đó! Chế tạo để có được một chiếc ba lô dây rút đơn giản [V].</v>
      </c>
      <c r="H1988" s="8"/>
      <c r="I1988" s="8"/>
      <c r="J1988" s="8"/>
    </row>
    <row r="1989" ht="21.0" customHeight="1">
      <c r="A1989" s="35">
        <v>11.0</v>
      </c>
      <c r="B1989" s="35">
        <v>1027.0</v>
      </c>
      <c r="C1989" s="35">
        <v>2.0</v>
      </c>
      <c r="D1989" s="35" t="s">
        <v>2776</v>
      </c>
      <c r="E1989" s="70" t="s">
        <v>2777</v>
      </c>
      <c r="F1989" s="8" t="str">
        <f>IFERROR(__xludf.DUMMYFUNCTION("GOOGLETRANSLATE(D1989,""zh-CN"",""vi"")"),"Ba lô dây rút đơn giản [V]")</f>
        <v>Ba lô dây rút đơn giản [V]</v>
      </c>
      <c r="G1989" s="8" t="str">
        <f>IFERROR(__xludf.DUMMYFUNCTION("GOOGLETRANSLATE(E1989,""zh-CN"",""vi"")"),"Việc thắt chặt thì dễ, nhưng mở ra thì khó! Hãy tự làm một chiếc ba lô thể thao [V].")</f>
        <v>Việc thắt chặt thì dễ, nhưng mở ra thì khó! Hãy tự làm một chiếc ba lô thể thao [V].</v>
      </c>
      <c r="H1989" s="8"/>
      <c r="I1989" s="8"/>
      <c r="J1989" s="8"/>
    </row>
    <row r="1990" ht="21.0" customHeight="1">
      <c r="A1990" s="68">
        <v>11.0</v>
      </c>
      <c r="B1990" s="35">
        <v>1027.0</v>
      </c>
      <c r="C1990" s="35">
        <v>3.0</v>
      </c>
      <c r="D1990" s="35" t="s">
        <v>2778</v>
      </c>
      <c r="E1990" s="69" t="s">
        <v>2779</v>
      </c>
      <c r="F1990" s="8" t="str">
        <f>IFERROR(__xludf.DUMMYFUNCTION("GOOGLETRANSLATE(D1990,""zh-CN"",""vi"")"),"Ba lô thể thao [V]")</f>
        <v>Ba lô thể thao [V]</v>
      </c>
      <c r="G1990" s="8" t="str">
        <f>IFERROR(__xludf.DUMMYFUNCTION("GOOGLETRANSLATE(E1990,""zh-CN"",""vi"")"),"Nước khoáng, bánh mì, sạc điện thoại... đều ở bên trong. Kết hợp lại để tạo thành một túi thể thao tách biệt đồ ướt và đồ khô [V].")</f>
        <v>Nước khoáng, bánh mì, sạc điện thoại... đều ở bên trong. Kết hợp lại để tạo thành một túi thể thao tách biệt đồ ướt và đồ khô [V].</v>
      </c>
      <c r="H1990" s="8"/>
      <c r="I1990" s="8"/>
      <c r="J1990" s="8"/>
    </row>
    <row r="1991" ht="21.0" customHeight="1">
      <c r="A1991" s="35">
        <v>11.0</v>
      </c>
      <c r="B1991" s="35">
        <v>1027.0</v>
      </c>
      <c r="C1991" s="35">
        <v>4.0</v>
      </c>
      <c r="D1991" s="35" t="s">
        <v>2780</v>
      </c>
      <c r="E1991" s="70" t="s">
        <v>2781</v>
      </c>
      <c r="F1991" s="8" t="str">
        <f>IFERROR(__xludf.DUMMYFUNCTION("GOOGLETRANSLATE(D1991,""zh-CN"",""vi"")"),"Túi thể thao tách biệt khô và ướt [V]")</f>
        <v>Túi thể thao tách biệt khô và ướt [V]</v>
      </c>
      <c r="G1991" s="8" t="str">
        <f>IFERROR(__xludf.DUMMYFUNCTION("GOOGLETRANSLATE(E1991,""zh-CN"",""vi"")"),"Các ngăn đựng giày riêng biệt giúp bạn không còn lo lắng về mùi hôi. Hãy chế tạo chiếc túi xách Aerobic [V].")</f>
        <v>Các ngăn đựng giày riêng biệt giúp bạn không còn lo lắng về mùi hôi. Hãy chế tạo chiếc túi xách Aerobic [V].</v>
      </c>
      <c r="H1991" s="8"/>
      <c r="I1991" s="8"/>
      <c r="J1991" s="8"/>
    </row>
    <row r="1992" ht="21.0" customHeight="1">
      <c r="A1992" s="68">
        <v>10.0</v>
      </c>
      <c r="B1992" s="35">
        <v>1027.0</v>
      </c>
      <c r="C1992" s="35">
        <v>5.0</v>
      </c>
      <c r="D1992" s="35" t="s">
        <v>2782</v>
      </c>
      <c r="E1992" s="69" t="s">
        <v>2783</v>
      </c>
      <c r="F1992" s="8" t="str">
        <f>IFERROR(__xludf.DUMMYFUNCTION("GOOGLETRANSLATE(D1992,""zh-CN"",""vi"")"),"Giỏ tập thể dục nhịp điệu [V]")</f>
        <v>Giỏ tập thể dục nhịp điệu [V]</v>
      </c>
      <c r="G1992" s="8" t="str">
        <f>IFERROR(__xludf.DUMMYFUNCTION("GOOGLETRANSLATE(E1992,""zh-CN"",""vi"")"),"Bộ đồ tập cardio dành cho người mới bắt đầu, bạn xứng đáng với nó. Hãy chế tạo nó để nhận được Xe đẩy trang bị [V].")</f>
        <v>Bộ đồ tập cardio dành cho người mới bắt đầu, bạn xứng đáng với nó. Hãy chế tạo nó để nhận được Xe đẩy trang bị [V].</v>
      </c>
      <c r="H1992" s="8"/>
      <c r="I1992" s="8"/>
      <c r="J1992" s="8"/>
    </row>
    <row r="1993" ht="21.0" customHeight="1">
      <c r="A1993" s="35">
        <v>10.0</v>
      </c>
      <c r="B1993" s="35">
        <v>1027.0</v>
      </c>
      <c r="C1993" s="35">
        <v>6.0</v>
      </c>
      <c r="D1993" s="35" t="s">
        <v>2784</v>
      </c>
      <c r="E1993" s="70" t="s">
        <v>2785</v>
      </c>
      <c r="F1993" s="8" t="str">
        <f>IFERROR(__xludf.DUMMYFUNCTION("GOOGLETRANSLATE(D1993,""zh-CN"",""vi"")"),"Xe đẩy dụng cụ [V]")</f>
        <v>Xe đẩy dụng cụ [V]</v>
      </c>
      <c r="G1993" s="8" t="str">
        <f>IFERROR(__xludf.DUMMYFUNCTION("GOOGLETRANSLATE(E1993,""zh-CN"",""vi"")"),"Thực ra, bạn đã đang tập thể dục trong khi đẩy xe rồi. Chế tạo Xe ngựa [V].")</f>
        <v>Thực ra, bạn đã đang tập thể dục trong khi đẩy xe rồi. Chế tạo Xe ngựa [V].</v>
      </c>
      <c r="H1993" s="8"/>
      <c r="I1993" s="8"/>
      <c r="J1993" s="8"/>
    </row>
    <row r="1994" ht="21.0" customHeight="1">
      <c r="A1994" s="68">
        <v>10.0</v>
      </c>
      <c r="B1994" s="35">
        <v>1027.0</v>
      </c>
      <c r="C1994" s="35">
        <v>7.0</v>
      </c>
      <c r="D1994" s="35" t="s">
        <v>2786</v>
      </c>
      <c r="E1994" s="69" t="s">
        <v>2787</v>
      </c>
      <c r="F1994" s="8" t="str">
        <f>IFERROR(__xludf.DUMMYFUNCTION("GOOGLETRANSLATE(D1994,""zh-CN"",""vi"")"),"Xe đẩy huấn luyện viên [V]")</f>
        <v>Xe đẩy huấn luyện viên [V]</v>
      </c>
      <c r="G1994" s="8" t="str">
        <f>IFERROR(__xludf.DUMMYFUNCTION("GOOGLETRANSLATE(E1994,""zh-CN"",""vi"")"),"Tôi không hề lơ là! Tôi đang kiểm tra xem có thiếu thiết bị nào không. Tổng hợp để có được Xe điện [V].")</f>
        <v>Tôi không hề lơ là! Tôi đang kiểm tra xem có thiếu thiết bị nào không. Tổng hợp để có được Xe điện [V].</v>
      </c>
      <c r="H1994" s="8"/>
      <c r="I1994" s="8"/>
      <c r="J1994" s="8"/>
    </row>
    <row r="1995" ht="21.0" customHeight="1">
      <c r="A1995" s="35">
        <v>10.0</v>
      </c>
      <c r="B1995" s="35">
        <v>1027.0</v>
      </c>
      <c r="C1995" s="35">
        <v>8.0</v>
      </c>
      <c r="D1995" s="35" t="s">
        <v>2788</v>
      </c>
      <c r="E1995" s="70" t="s">
        <v>2789</v>
      </c>
      <c r="F1995" s="8" t="str">
        <f>IFERROR(__xludf.DUMMYFUNCTION("GOOGLETRANSLATE(D1995,""zh-CN"",""vi"")"),"Xe đẩy y tế điện [V]")</f>
        <v>Xe đẩy y tế điện [V]</v>
      </c>
      <c r="G1995" s="8" t="str">
        <f>IFERROR(__xludf.DUMMYFUNCTION("GOOGLETRANSLATE(E1995,""zh-CN"",""vi"")"),"Phù~ Cuối cùng cũng dễ hơn rồi. Tổng hợp để có được Trạm Thể dục [V].")</f>
        <v>Phù~ Cuối cùng cũng dễ hơn rồi. Tổng hợp để có được Trạm Thể dục [V].</v>
      </c>
      <c r="H1995" s="8"/>
      <c r="I1995" s="8"/>
      <c r="J1995" s="8"/>
    </row>
    <row r="1996" ht="21.0" customHeight="1">
      <c r="A1996" s="68">
        <v>10.0</v>
      </c>
      <c r="B1996" s="35">
        <v>1027.0</v>
      </c>
      <c r="C1996" s="35">
        <v>9.0</v>
      </c>
      <c r="D1996" s="35" t="s">
        <v>2790</v>
      </c>
      <c r="E1996" s="69" t="s">
        <v>2791</v>
      </c>
      <c r="F1996" s="8" t="str">
        <f>IFERROR(__xludf.DUMMYFUNCTION("GOOGLETRANSLATE(D1996,""zh-CN"",""vi"")"),"Trạm tập thể dục [V]")</f>
        <v>Trạm tập thể dục [V]</v>
      </c>
      <c r="G1996" s="8" t="str">
        <f>IFERROR(__xludf.DUMMYFUNCTION("GOOGLETRANSLATE(E1996,""zh-CN"",""vi"")"),"Một bước tiến nhỏ, một bước nhảy vọt khổng lồ cho sức khỏe. Tổng hợp để có được phòng tắm nắng hiếu khí [V].")</f>
        <v>Một bước tiến nhỏ, một bước nhảy vọt khổng lồ cho sức khỏe. Tổng hợp để có được phòng tắm nắng hiếu khí [V].</v>
      </c>
      <c r="H1996" s="8"/>
      <c r="I1996" s="8"/>
      <c r="J1996" s="8"/>
    </row>
    <row r="1997" ht="21.0" customHeight="1">
      <c r="A1997" s="35">
        <v>10.0</v>
      </c>
      <c r="B1997" s="35">
        <v>1027.0</v>
      </c>
      <c r="C1997" s="35">
        <v>10.0</v>
      </c>
      <c r="D1997" s="35" t="s">
        <v>2792</v>
      </c>
      <c r="E1997" s="70" t="s">
        <v>2695</v>
      </c>
      <c r="F1997" s="8" t="str">
        <f>IFERROR(__xludf.DUMMYFUNCTION("GOOGLETRANSLATE(D1997,""zh-CN"",""vi"")"),"phòng tắm nắng giàu oxy [V]")</f>
        <v>phòng tắm nắng giàu oxy [V]</v>
      </c>
      <c r="G1997" s="8" t="str">
        <f>IFERROR(__xludf.DUMMYFUNCTION("GOOGLETRANSLATE(E1997,""zh-CN"",""vi"")"),"Cố lên! Lần tới tôi sẽ không bao giờ thua rùa nữa. (Đã được tổng hợp đến cấp độ cao nhất.)")</f>
        <v>Cố lên! Lần tới tôi sẽ không bao giờ thua rùa nữa. (Đã được tổng hợp đến cấp độ cao nhất.)</v>
      </c>
      <c r="H1997" s="8"/>
      <c r="I1997" s="8"/>
      <c r="J1997" s="8"/>
    </row>
    <row r="1998" ht="21.0" customHeight="1">
      <c r="A1998" s="68">
        <v>1.0</v>
      </c>
      <c r="B1998" s="68">
        <v>163.0</v>
      </c>
      <c r="C1998" s="68">
        <v>1.0</v>
      </c>
      <c r="D1998" s="68" t="s">
        <v>2793</v>
      </c>
      <c r="E1998" s="70" t="s">
        <v>2794</v>
      </c>
      <c r="F1998" s="8" t="str">
        <f>IFERROR(__xludf.DUMMYFUNCTION("GOOGLETRANSLATE(D1998,""zh-CN"",""vi"")"),"Cuộn dây diều")</f>
        <v>Cuộn dây diều</v>
      </c>
      <c r="G1998" s="8" t="str">
        <f>IFERROR(__xludf.DUMMYFUNCTION("GOOGLETRANSLATE(E1998,""zh-CN"",""vi"")"),"Một ống chỉ tròn sẽ cuốn một sợi dây dài. Kết hợp chúng lại để tạo thành khung diều.")</f>
        <v>Một ống chỉ tròn sẽ cuốn một sợi dây dài. Kết hợp chúng lại để tạo thành khung diều.</v>
      </c>
      <c r="H1998" s="8"/>
      <c r="I1998" s="8"/>
      <c r="J1998" s="8"/>
    </row>
    <row r="1999" ht="21.0" customHeight="1">
      <c r="A1999" s="35">
        <v>1.0</v>
      </c>
      <c r="B1999" s="35">
        <v>163.0</v>
      </c>
      <c r="C1999" s="35">
        <v>2.0</v>
      </c>
      <c r="D1999" s="35" t="s">
        <v>2795</v>
      </c>
      <c r="E1999" s="69" t="s">
        <v>2796</v>
      </c>
      <c r="F1999" s="8" t="str">
        <f>IFERROR(__xludf.DUMMYFUNCTION("GOOGLETRANSLATE(D1999,""zh-CN"",""vi"")"),"Khung diều")</f>
        <v>Khung diều</v>
      </c>
      <c r="G1999" s="8" t="str">
        <f>IFERROR(__xludf.DUMMYFUNCTION("GOOGLETRANSLATE(E1999,""zh-CN"",""vi"")"),"Que xiên tre và sợi tơ được xoắn lại với nhau để tạo thành hình dạng của một chiếc diều. Kết hợp chúng lại để có được một chiếc diều đơn giản.")</f>
        <v>Que xiên tre và sợi tơ được xoắn lại với nhau để tạo thành hình dạng của một chiếc diều. Kết hợp chúng lại để có được một chiếc diều đơn giản.</v>
      </c>
      <c r="H1999" s="8"/>
      <c r="I1999" s="8"/>
      <c r="J1999" s="8"/>
    </row>
    <row r="2000" ht="21.0" customHeight="1">
      <c r="A2000" s="68">
        <v>1.0</v>
      </c>
      <c r="B2000" s="68">
        <v>163.0</v>
      </c>
      <c r="C2000" s="68">
        <v>3.0</v>
      </c>
      <c r="D2000" s="68" t="s">
        <v>2797</v>
      </c>
      <c r="E2000" s="70" t="s">
        <v>2798</v>
      </c>
      <c r="F2000" s="8" t="str">
        <f>IFERROR(__xludf.DUMMYFUNCTION("GOOGLETRANSLATE(D2000,""zh-CN"",""vi"")"),"Diều đơn giản")</f>
        <v>Diều đơn giản</v>
      </c>
      <c r="G2000" s="8" t="str">
        <f>IFERROR(__xludf.DUMMYFUNCTION("GOOGLETRANSLATE(E2000,""zh-CN"",""vi"")"),"Việc gắn thêm vải diều dường như thổi hồn vào nó. Kết hợp chúng lại để tạo thành một chiếc diều hình mặt cười.")</f>
        <v>Việc gắn thêm vải diều dường như thổi hồn vào nó. Kết hợp chúng lại để tạo thành một chiếc diều hình mặt cười.</v>
      </c>
      <c r="H2000" s="8"/>
      <c r="I2000" s="8"/>
      <c r="J2000" s="8"/>
    </row>
    <row r="2001" ht="21.0" customHeight="1">
      <c r="A2001" s="35">
        <v>1.0</v>
      </c>
      <c r="B2001" s="35">
        <v>163.0</v>
      </c>
      <c r="C2001" s="35">
        <v>4.0</v>
      </c>
      <c r="D2001" s="35" t="s">
        <v>2799</v>
      </c>
      <c r="E2001" s="69" t="s">
        <v>2800</v>
      </c>
      <c r="F2001" s="8" t="str">
        <f>IFERROR(__xludf.DUMMYFUNCTION("GOOGLETRANSLATE(D2001,""zh-CN"",""vi"")"),"Diều mặt cười")</f>
        <v>Diều mặt cười</v>
      </c>
      <c r="G2001" s="8" t="str">
        <f>IFERROR(__xludf.DUMMYFUNCTION("GOOGLETRANSLATE(E2001,""zh-CN"",""vi"")"),"Nhìn kìa! Ngay cả diều cũng biết cười. Kết hợp chúng lại để tạo thành một chiếc diều hình bướm.")</f>
        <v>Nhìn kìa! Ngay cả diều cũng biết cười. Kết hợp chúng lại để tạo thành một chiếc diều hình bướm.</v>
      </c>
      <c r="H2001" s="8"/>
      <c r="I2001" s="8"/>
      <c r="J2001" s="8"/>
    </row>
    <row r="2002" ht="21.0" customHeight="1">
      <c r="A2002" s="68">
        <v>1.0</v>
      </c>
      <c r="B2002" s="68">
        <v>163.0</v>
      </c>
      <c r="C2002" s="68">
        <v>5.0</v>
      </c>
      <c r="D2002" s="68" t="s">
        <v>2801</v>
      </c>
      <c r="E2002" s="70" t="s">
        <v>2802</v>
      </c>
      <c r="F2002" s="8" t="str">
        <f>IFERROR(__xludf.DUMMYFUNCTION("GOOGLETRANSLATE(D2002,""zh-CN"",""vi"")"),"Diều hình bướm")</f>
        <v>Diều hình bướm</v>
      </c>
      <c r="G2002" s="8" t="str">
        <f>IFERROR(__xludf.DUMMYFUNCTION("GOOGLETRANSLATE(E2002,""zh-CN"",""vi"")"),"Những chú cá vàng uyển chuyển nhảy múa trong làn gió xuân. Kết hợp các mảnh ghép để tạo thành diều hình cá vàng.")</f>
        <v>Những chú cá vàng uyển chuyển nhảy múa trong làn gió xuân. Kết hợp các mảnh ghép để tạo thành diều hình cá vàng.</v>
      </c>
      <c r="H2002" s="8"/>
      <c r="I2002" s="8"/>
      <c r="J2002" s="8"/>
    </row>
    <row r="2003" ht="21.0" customHeight="1">
      <c r="A2003" s="35">
        <v>1.0</v>
      </c>
      <c r="B2003" s="35">
        <v>163.0</v>
      </c>
      <c r="C2003" s="35">
        <v>6.0</v>
      </c>
      <c r="D2003" s="35" t="s">
        <v>2803</v>
      </c>
      <c r="E2003" s="69" t="s">
        <v>2804</v>
      </c>
      <c r="F2003" s="8" t="str">
        <f>IFERROR(__xludf.DUMMYFUNCTION("GOOGLETRANSLATE(D2003,""zh-CN"",""vi"")"),"Diều hình cá vàng")</f>
        <v>Diều hình cá vàng</v>
      </c>
      <c r="G2003" s="8" t="str">
        <f>IFERROR(__xludf.DUMMYFUNCTION("GOOGLETRANSLATE(E2003,""zh-CN"",""vi"")"),"Hả? Cá vàng biết bay à? Kết hợp chúng lại để tạo thành diều hình cú.")</f>
        <v>Hả? Cá vàng biết bay à? Kết hợp chúng lại để tạo thành diều hình cú.</v>
      </c>
      <c r="H2003" s="8"/>
      <c r="I2003" s="8"/>
      <c r="J2003" s="8"/>
    </row>
    <row r="2004" ht="21.0" customHeight="1">
      <c r="A2004" s="68">
        <v>1.0</v>
      </c>
      <c r="B2004" s="68">
        <v>163.0</v>
      </c>
      <c r="C2004" s="68">
        <v>7.0</v>
      </c>
      <c r="D2004" s="68" t="s">
        <v>2805</v>
      </c>
      <c r="E2004" s="70" t="s">
        <v>2806</v>
      </c>
      <c r="F2004" s="8" t="str">
        <f>IFERROR(__xludf.DUMMYFUNCTION("GOOGLETRANSLATE(D2004,""zh-CN"",""vi"")"),"Diều cú")</f>
        <v>Diều cú</v>
      </c>
      <c r="G2004" s="8" t="str">
        <f>IFERROR(__xludf.DUMMYFUNCTION("GOOGLETRANSLATE(E2004,""zh-CN"",""vi"")"),"Đôi mắt to để lộ vẻ mặt trống rỗng, rõ ràng. Một con diều hâu cát đã được tạo ra.")</f>
        <v>Đôi mắt to để lộ vẻ mặt trống rỗng, rõ ràng. Một con diều hâu cát đã được tạo ra.</v>
      </c>
      <c r="H2004" s="8"/>
      <c r="I2004" s="8"/>
      <c r="J2004" s="8"/>
    </row>
    <row r="2005" ht="21.0" customHeight="1">
      <c r="A2005" s="35">
        <v>1.0</v>
      </c>
      <c r="B2005" s="35">
        <v>163.0</v>
      </c>
      <c r="C2005" s="35">
        <v>8.0</v>
      </c>
      <c r="D2005" s="35" t="s">
        <v>2807</v>
      </c>
      <c r="E2005" s="69" t="s">
        <v>2808</v>
      </c>
      <c r="F2005" s="8" t="str">
        <f>IFERROR(__xludf.DUMMYFUNCTION("GOOGLETRANSLATE(D2005,""zh-CN"",""vi"")"),"Diều hâu cát")</f>
        <v>Diều hâu cát</v>
      </c>
      <c r="G2005" s="8" t="str">
        <f>IFERROR(__xludf.DUMMYFUNCTION("GOOGLETRANSLATE(E2005,""zh-CN"",""vi"")"),"Đáy nồi đen của thành phố phía bắc, chim én cát khổng lồ của thành phố phía nam. Kết hợp chúng lại để có được diều đại bàng.")</f>
        <v>Đáy nồi đen của thành phố phía bắc, chim én cát khổng lồ của thành phố phía nam. Kết hợp chúng lại để có được diều đại bàng.</v>
      </c>
      <c r="H2005" s="8"/>
      <c r="I2005" s="8"/>
      <c r="J2005" s="8"/>
    </row>
    <row r="2006" ht="21.0" customHeight="1">
      <c r="A2006" s="68">
        <v>1.0</v>
      </c>
      <c r="B2006" s="68">
        <v>163.0</v>
      </c>
      <c r="C2006" s="68">
        <v>9.0</v>
      </c>
      <c r="D2006" s="68" t="s">
        <v>2809</v>
      </c>
      <c r="E2006" s="70" t="s">
        <v>2810</v>
      </c>
      <c r="F2006" s="8" t="str">
        <f>IFERROR(__xludf.DUMMYFUNCTION("GOOGLETRANSLATE(D2006,""zh-CN"",""vi"")"),"Diều đại bàng")</f>
        <v>Diều đại bàng</v>
      </c>
      <c r="G2006" s="8" t="str">
        <f>IFERROR(__xludf.DUMMYFUNCTION("GOOGLETRANSLATE(E2006,""zh-CN"",""vi"")"),"Bước đi đầy kiêu hãnh, đôi mắt sắc bén hơn cả móng vuốt. Kết hợp các vật phẩm để tạo thành Diều Phượng Hoàng.")</f>
        <v>Bước đi đầy kiêu hãnh, đôi mắt sắc bén hơn cả móng vuốt. Kết hợp các vật phẩm để tạo thành Diều Phượng Hoàng.</v>
      </c>
      <c r="H2006" s="8"/>
      <c r="I2006" s="8"/>
      <c r="J2006" s="8"/>
    </row>
    <row r="2007" ht="21.0" customHeight="1">
      <c r="A2007" s="35">
        <v>1.0</v>
      </c>
      <c r="B2007" s="35">
        <v>163.0</v>
      </c>
      <c r="C2007" s="35">
        <v>10.0</v>
      </c>
      <c r="D2007" s="35" t="s">
        <v>2811</v>
      </c>
      <c r="E2007" s="69" t="s">
        <v>2812</v>
      </c>
      <c r="F2007" s="8" t="str">
        <f>IFERROR(__xludf.DUMMYFUNCTION("GOOGLETRANSLATE(D2007,""zh-CN"",""vi"")"),"Diều phượng hoàng")</f>
        <v>Diều phượng hoàng</v>
      </c>
      <c r="G2007" s="8" t="str">
        <f>IFERROR(__xludf.DUMMYFUNCTION("GOOGLETRANSLATE(E2007,""zh-CN"",""vi"")"),"Một con phượng hoàng bảy màu, tái sinh từ tro tàn. Kết hợp chúng để có được một con diều hình cá voi.")</f>
        <v>Một con phượng hoàng bảy màu, tái sinh từ tro tàn. Kết hợp chúng để có được một con diều hình cá voi.</v>
      </c>
      <c r="H2007" s="8"/>
      <c r="I2007" s="8"/>
      <c r="J2007" s="8"/>
    </row>
    <row r="2008" ht="21.0" customHeight="1">
      <c r="A2008" s="68">
        <v>1.0</v>
      </c>
      <c r="B2008" s="68">
        <v>163.0</v>
      </c>
      <c r="C2008" s="68">
        <v>11.0</v>
      </c>
      <c r="D2008" s="68" t="s">
        <v>2813</v>
      </c>
      <c r="E2008" s="70" t="s">
        <v>2814</v>
      </c>
      <c r="F2008" s="8" t="str">
        <f>IFERROR(__xludf.DUMMYFUNCTION("GOOGLETRANSLATE(D2008,""zh-CN"",""vi"")"),"Diều hình cá voi")</f>
        <v>Diều hình cá voi</v>
      </c>
      <c r="G2008" s="8" t="str">
        <f>IFERROR(__xludf.DUMMYFUNCTION("GOOGLETRANSLATE(E2008,""zh-CN"",""vi"")"),"Hãy tưởng tượng bầu trời như biển cả của bạn và tự do bay lượn trong đó. Kết hợp các yếu tố để tạo ra một chiếc diều hình ngỗng khổng lồ.")</f>
        <v>Hãy tưởng tượng bầu trời như biển cả của bạn và tự do bay lượn trong đó. Kết hợp các yếu tố để tạo ra một chiếc diều hình ngỗng khổng lồ.</v>
      </c>
      <c r="H2008" s="8"/>
      <c r="I2008" s="8"/>
      <c r="J2008" s="8"/>
    </row>
    <row r="2009" ht="21.0" customHeight="1">
      <c r="A2009" s="35">
        <v>1.0</v>
      </c>
      <c r="B2009" s="35">
        <v>163.0</v>
      </c>
      <c r="C2009" s="35">
        <v>12.0</v>
      </c>
      <c r="D2009" s="35" t="s">
        <v>2815</v>
      </c>
      <c r="E2009" s="69" t="s">
        <v>2816</v>
      </c>
      <c r="F2009" s="8" t="str">
        <f>IFERROR(__xludf.DUMMYFUNCTION("GOOGLETRANSLATE(D2009,""zh-CN"",""vi"")"),"Diều hình con ngỗng")</f>
        <v>Diều hình con ngỗng</v>
      </c>
      <c r="G2009" s="8" t="str">
        <f>IFERROR(__xludf.DUMMYFUNCTION("GOOGLETRANSLATE(E2009,""zh-CN"",""vi"")"),"Khi nói đến việc bay cao, con ngỗng trắng to lớn của tôi chưa bao giờ thua cuộc. Kết hợp các bộ phận để tạo thành diều hình máy bay chiến đấu.")</f>
        <v>Khi nói đến việc bay cao, con ngỗng trắng to lớn của tôi chưa bao giờ thua cuộc. Kết hợp các bộ phận để tạo thành diều hình máy bay chiến đấu.</v>
      </c>
      <c r="H2009" s="8"/>
      <c r="I2009" s="8"/>
      <c r="J2009" s="8"/>
    </row>
    <row r="2010" ht="21.0" customHeight="1">
      <c r="A2010" s="68">
        <v>1.0</v>
      </c>
      <c r="B2010" s="68">
        <v>163.0</v>
      </c>
      <c r="C2010" s="68">
        <v>13.0</v>
      </c>
      <c r="D2010" s="68" t="s">
        <v>2817</v>
      </c>
      <c r="E2010" s="70" t="s">
        <v>2818</v>
      </c>
      <c r="F2010" s="8" t="str">
        <f>IFERROR(__xludf.DUMMYFUNCTION("GOOGLETRANSLATE(D2010,""zh-CN"",""vi"")"),"Diều chiến đấu")</f>
        <v>Diều chiến đấu</v>
      </c>
      <c r="G2010" s="8" t="str">
        <f>IFERROR(__xludf.DUMMYFUNCTION("GOOGLETRANSLATE(E2010,""zh-CN"",""vi"")"),"Dù diều có bay cao đến đâu, nó cũng không thể nào địch lại được máy bay chiến đấu. (Đã được tổng hợp đến cấp độ cao nhất.)")</f>
        <v>Dù diều có bay cao đến đâu, nó cũng không thể nào địch lại được máy bay chiến đấu. (Đã được tổng hợp đến cấp độ cao nhất.)</v>
      </c>
      <c r="H2010" s="8"/>
      <c r="I2010" s="8"/>
      <c r="J2010" s="8"/>
    </row>
    <row r="2011" ht="21.0" customHeight="1">
      <c r="A2011" s="35">
        <v>1.0</v>
      </c>
      <c r="B2011" s="35">
        <v>164.0</v>
      </c>
      <c r="C2011" s="35">
        <v>1.0</v>
      </c>
      <c r="D2011" s="35" t="s">
        <v>2819</v>
      </c>
      <c r="E2011" s="69" t="s">
        <v>2820</v>
      </c>
      <c r="F2011" s="8" t="str">
        <f>IFERROR(__xludf.DUMMYFUNCTION("GOOGLETRANSLATE(D2011,""zh-CN"",""vi"")"),"Hạt giống cây nhỏ")</f>
        <v>Hạt giống cây nhỏ</v>
      </c>
      <c r="G2011" s="8" t="str">
        <f>IFERROR(__xludf.DUMMYFUNCTION("GOOGLETRANSLATE(E2011,""zh-CN"",""vi"")"),"Ba hạt giống chưa nảy mầm có thể được kết hợp để tạo thành một cây non.")</f>
        <v>Ba hạt giống chưa nảy mầm có thể được kết hợp để tạo thành một cây non.</v>
      </c>
      <c r="H2011" s="8"/>
      <c r="I2011" s="8"/>
      <c r="J2011" s="8"/>
    </row>
    <row r="2012" ht="21.0" customHeight="1">
      <c r="A2012" s="68">
        <v>1.0</v>
      </c>
      <c r="B2012" s="68">
        <v>164.0</v>
      </c>
      <c r="C2012" s="68">
        <v>2.0</v>
      </c>
      <c r="D2012" s="68" t="s">
        <v>2821</v>
      </c>
      <c r="E2012" s="70" t="s">
        <v>2822</v>
      </c>
      <c r="F2012" s="8" t="str">
        <f>IFERROR(__xludf.DUMMYFUNCTION("GOOGLETRANSLATE(D2012,""zh-CN"",""vi"")"),"cây non")</f>
        <v>cây non</v>
      </c>
      <c r="G2012" s="8" t="str">
        <f>IFERROR(__xludf.DUMMYFUNCTION("GOOGLETRANSLATE(E2012,""zh-CN"",""vi"")"),"Sau khi được tưới bằng nước mưa, nó nảy mầm từ đất. Quá trình tổng hợp sẽ tạo ra một cây non khỏe mạnh.")</f>
        <v>Sau khi được tưới bằng nước mưa, nó nảy mầm từ đất. Quá trình tổng hợp sẽ tạo ra một cây non khỏe mạnh.</v>
      </c>
      <c r="H2012" s="8"/>
      <c r="I2012" s="8"/>
      <c r="J2012" s="8"/>
    </row>
    <row r="2013" ht="21.0" customHeight="1">
      <c r="A2013" s="35">
        <v>1.0</v>
      </c>
      <c r="B2013" s="35">
        <v>164.0</v>
      </c>
      <c r="C2013" s="35">
        <v>3.0</v>
      </c>
      <c r="D2013" s="35" t="s">
        <v>2823</v>
      </c>
      <c r="E2013" s="69" t="s">
        <v>2824</v>
      </c>
      <c r="F2013" s="8" t="str">
        <f>IFERROR(__xludf.DUMMYFUNCTION("GOOGLETRANSLATE(D2013,""zh-CN"",""vi"")"),"cây non")</f>
        <v>cây non</v>
      </c>
      <c r="G2013" s="8" t="str">
        <f>IFERROR(__xludf.DUMMYFUNCTION("GOOGLETRANSLATE(E2013,""zh-CN"",""vi"")"),"Nó phát triển mạnh mẽ bất chấp gió và nắng. Tổng hợp để thu được một cây hình cầu thường xanh.")</f>
        <v>Nó phát triển mạnh mẽ bất chấp gió và nắng. Tổng hợp để thu được một cây hình cầu thường xanh.</v>
      </c>
      <c r="H2013" s="8"/>
      <c r="I2013" s="8"/>
      <c r="J2013" s="8"/>
    </row>
    <row r="2014" ht="21.0" customHeight="1">
      <c r="A2014" s="68">
        <v>1.0</v>
      </c>
      <c r="B2014" s="68">
        <v>164.0</v>
      </c>
      <c r="C2014" s="68">
        <v>4.0</v>
      </c>
      <c r="D2014" s="68" t="s">
        <v>2825</v>
      </c>
      <c r="E2014" s="70" t="s">
        <v>2826</v>
      </c>
      <c r="F2014" s="8" t="str">
        <f>IFERROR(__xludf.DUMMYFUNCTION("GOOGLETRANSLATE(D2014,""zh-CN"",""vi"")"),"cây thường xanh hình cầu")</f>
        <v>cây thường xanh hình cầu</v>
      </c>
      <c r="G2014" s="8" t="str">
        <f>IFERROR(__xludf.DUMMYFUNCTION("GOOGLETRANSLATE(E2014,""zh-CN"",""vi"")"),"Cắt tỉa cho bụi cây thường xanh thành những đường tròn. Tạo hình cho nó thành một cây long não.")</f>
        <v>Cắt tỉa cho bụi cây thường xanh thành những đường tròn. Tạo hình cho nó thành một cây long não.</v>
      </c>
      <c r="H2014" s="8"/>
      <c r="I2014" s="8"/>
      <c r="J2014" s="8"/>
    </row>
    <row r="2015" ht="21.0" customHeight="1">
      <c r="A2015" s="35">
        <v>1.0</v>
      </c>
      <c r="B2015" s="35">
        <v>164.0</v>
      </c>
      <c r="C2015" s="35">
        <v>5.0</v>
      </c>
      <c r="D2015" s="35" t="s">
        <v>2827</v>
      </c>
      <c r="E2015" s="69" t="s">
        <v>2828</v>
      </c>
      <c r="F2015" s="8" t="str">
        <f>IFERROR(__xludf.DUMMYFUNCTION("GOOGLETRANSLATE(D2015,""zh-CN"",""vi"")"),"long não")</f>
        <v>long não</v>
      </c>
      <c r="G2015" s="8" t="str">
        <f>IFERROR(__xludf.DUMMYFUNCTION("GOOGLETRANSLATE(E2015,""zh-CN"",""vi"")"),"Hãy trồng một cái cây hôm nay, và ngày mai bạn sẽ có cả một khu rừng. (Hãy chế tạo một cây sồi.)")</f>
        <v>Hãy trồng một cái cây hôm nay, và ngày mai bạn sẽ có cả một khu rừng. (Hãy chế tạo một cây sồi.)</v>
      </c>
      <c r="H2015" s="8"/>
      <c r="I2015" s="8"/>
      <c r="J2015" s="8"/>
    </row>
    <row r="2016" ht="21.0" customHeight="1">
      <c r="A2016" s="68">
        <v>1.0</v>
      </c>
      <c r="B2016" s="68">
        <v>164.0</v>
      </c>
      <c r="C2016" s="68">
        <v>6.0</v>
      </c>
      <c r="D2016" s="68" t="s">
        <v>2829</v>
      </c>
      <c r="E2016" s="70" t="s">
        <v>2830</v>
      </c>
      <c r="F2016" s="8" t="str">
        <f>IFERROR(__xludf.DUMMYFUNCTION("GOOGLETRANSLATE(D2016,""zh-CN"",""vi"")"),"cây sồi")</f>
        <v>cây sồi</v>
      </c>
      <c r="G2016" s="8" t="str">
        <f>IFERROR(__xludf.DUMMYFUNCTION("GOOGLETRANSLATE(E2016,""zh-CN"",""vi"")"),"Nó trông giống như một cây cổ thụ cao lớn với tán lá rộng. Khi kết hợp lại, nó tạo thành một cây liễu rủ.")</f>
        <v>Nó trông giống như một cây cổ thụ cao lớn với tán lá rộng. Khi kết hợp lại, nó tạo thành một cây liễu rủ.</v>
      </c>
      <c r="H2016" s="8"/>
      <c r="I2016" s="8"/>
      <c r="J2016" s="8"/>
    </row>
    <row r="2017" ht="21.0" customHeight="1">
      <c r="A2017" s="35">
        <v>1.0</v>
      </c>
      <c r="B2017" s="35">
        <v>164.0</v>
      </c>
      <c r="C2017" s="35">
        <v>7.0</v>
      </c>
      <c r="D2017" s="35" t="s">
        <v>2831</v>
      </c>
      <c r="E2017" s="69" t="s">
        <v>2832</v>
      </c>
      <c r="F2017" s="8" t="str">
        <f>IFERROR(__xludf.DUMMYFUNCTION("GOOGLETRANSLATE(D2017,""zh-CN"",""vi"")"),"cây liễu rủ")</f>
        <v>cây liễu rủ</v>
      </c>
      <c r="G2017" s="8" t="str">
        <f>IFERROR(__xludf.DUMMYFUNCTION("GOOGLETRANSLATE(E2017,""zh-CN"",""vi"")"),"Những cành cây mảnh mai được làn gió xuân nhẹ nhàng tỉa tót. Kết hợp lại, chúng tạo thành bông hồng bạc.")</f>
        <v>Những cành cây mảnh mai được làn gió xuân nhẹ nhàng tỉa tót. Kết hợp lại, chúng tạo thành bông hồng bạc.</v>
      </c>
      <c r="H2017" s="8"/>
      <c r="I2017" s="8"/>
      <c r="J2017" s="8"/>
    </row>
    <row r="2018" ht="21.0" customHeight="1">
      <c r="A2018" s="68">
        <v>1.0</v>
      </c>
      <c r="B2018" s="68">
        <v>164.0</v>
      </c>
      <c r="C2018" s="68">
        <v>8.0</v>
      </c>
      <c r="D2018" s="68" t="s">
        <v>2833</v>
      </c>
      <c r="E2018" s="70" t="s">
        <v>2834</v>
      </c>
      <c r="F2018" s="8" t="str">
        <f>IFERROR(__xludf.DUMMYFUNCTION("GOOGLETRANSLATE(D2018,""zh-CN"",""vi"")"),"Hoa hồng bạc")</f>
        <v>Hoa hồng bạc</v>
      </c>
      <c r="G2018" s="8" t="str">
        <f>IFERROR(__xludf.DUMMYFUNCTION("GOOGLETRANSLATE(E2018,""zh-CN"",""vi"")"),"Loài hoa này, tượng trưng cho may mắn, nở rộ vào mùa đẹp trời. Nó có thể được tổng hợp để tạo ra cây bông gòn.")</f>
        <v>Loài hoa này, tượng trưng cho may mắn, nở rộ vào mùa đẹp trời. Nó có thể được tổng hợp để tạo ra cây bông gòn.</v>
      </c>
      <c r="H2018" s="8"/>
      <c r="I2018" s="8"/>
      <c r="J2018" s="8"/>
    </row>
    <row r="2019" ht="21.0" customHeight="1">
      <c r="A2019" s="35">
        <v>1.0</v>
      </c>
      <c r="B2019" s="35">
        <v>164.0</v>
      </c>
      <c r="C2019" s="35">
        <v>9.0</v>
      </c>
      <c r="D2019" s="35" t="s">
        <v>2835</v>
      </c>
      <c r="E2019" s="69" t="s">
        <v>2836</v>
      </c>
      <c r="F2019" s="8" t="str">
        <f>IFERROR(__xludf.DUMMYFUNCTION("GOOGLETRANSLATE(D2019,""zh-CN"",""vi"")"),"Bông gòn")</f>
        <v>Bông gòn</v>
      </c>
      <c r="G2019" s="8" t="str">
        <f>IFERROR(__xludf.DUMMYFUNCTION("GOOGLETRANSLATE(E2019,""zh-CN"",""vi"")"),"Khi mùa xuân đến, trước tiên hãy nhuộm một cái cây có mái tóc đỏ. (Tổng hợp lại để thu được một cây mộc lan trắng.)")</f>
        <v>Khi mùa xuân đến, trước tiên hãy nhuộm một cái cây có mái tóc đỏ. (Tổng hợp lại để thu được một cây mộc lan trắng.)</v>
      </c>
      <c r="H2019" s="8"/>
      <c r="I2019" s="8"/>
      <c r="J2019" s="8"/>
    </row>
    <row r="2020" ht="21.0" customHeight="1">
      <c r="A2020" s="68">
        <v>1.0</v>
      </c>
      <c r="B2020" s="68">
        <v>164.0</v>
      </c>
      <c r="C2020" s="68">
        <v>10.0</v>
      </c>
      <c r="D2020" s="68" t="s">
        <v>2837</v>
      </c>
      <c r="E2020" s="70" t="s">
        <v>2838</v>
      </c>
      <c r="F2020" s="8" t="str">
        <f>IFERROR(__xludf.DUMMYFUNCTION("GOOGLETRANSLATE(D2020,""zh-CN"",""vi"")"),"Hoa mộc lan")</f>
        <v>Hoa mộc lan</v>
      </c>
      <c r="G2020" s="8" t="str">
        <f>IFERROR(__xludf.DUMMYFUNCTION("GOOGLETRANSLATE(E2020,""zh-CN"",""vi"")"),"Một loài hoa cao quý, đẹp nhưng không lòe loẹt. Kết hợp các thành phần để tạo thành cây đào.")</f>
        <v>Một loài hoa cao quý, đẹp nhưng không lòe loẹt. Kết hợp các thành phần để tạo thành cây đào.</v>
      </c>
      <c r="H2020" s="8"/>
      <c r="I2020" s="8"/>
      <c r="J2020" s="8"/>
    </row>
    <row r="2021" ht="21.0" customHeight="1">
      <c r="A2021" s="35">
        <v>1.0</v>
      </c>
      <c r="B2021" s="35">
        <v>164.0</v>
      </c>
      <c r="C2021" s="35">
        <v>11.0</v>
      </c>
      <c r="D2021" s="35" t="s">
        <v>2839</v>
      </c>
      <c r="E2021" s="69" t="s">
        <v>2840</v>
      </c>
      <c r="F2021" s="8" t="str">
        <f>IFERROR(__xludf.DUMMYFUNCTION("GOOGLETRANSLATE(D2021,""zh-CN"",""vi"")"),"quả đào")</f>
        <v>quả đào</v>
      </c>
      <c r="G2021" s="8" t="str">
        <f>IFERROR(__xludf.DUMMYFUNCTION("GOOGLETRANSLATE(E2021,""zh-CN"",""vi"")"),"Hoa đang nở rộ, báo hiệu mùa xuân đã đến. Hãy kết hợp chúng để tạo thành một cây anh đào.")</f>
        <v>Hoa đang nở rộ, báo hiệu mùa xuân đã đến. Hãy kết hợp chúng để tạo thành một cây anh đào.</v>
      </c>
      <c r="H2021" s="8"/>
      <c r="I2021" s="8"/>
      <c r="J2021" s="8"/>
    </row>
    <row r="2022" ht="21.0" customHeight="1">
      <c r="A2022" s="68">
        <v>1.0</v>
      </c>
      <c r="B2022" s="68">
        <v>164.0</v>
      </c>
      <c r="C2022" s="68">
        <v>12.0</v>
      </c>
      <c r="D2022" s="68" t="s">
        <v>2841</v>
      </c>
      <c r="E2022" s="70" t="s">
        <v>2842</v>
      </c>
      <c r="F2022" s="8" t="str">
        <f>IFERROR(__xludf.DUMMYFUNCTION("GOOGLETRANSLATE(D2022,""zh-CN"",""vi"")"),"Cây anh đào")</f>
        <v>Cây anh đào</v>
      </c>
      <c r="G2022" s="8" t="str">
        <f>IFERROR(__xludf.DUMMYFUNCTION("GOOGLETRANSLATE(E2022,""zh-CN"",""vi"")"),"Chỉ một cây thôi cũng có thể tạo nên cả một biển hoa. Kết hợp chúng lại sẽ tạo thành cây tử đằng.")</f>
        <v>Chỉ một cây thôi cũng có thể tạo nên cả một biển hoa. Kết hợp chúng lại sẽ tạo thành cây tử đằng.</v>
      </c>
      <c r="H2022" s="8"/>
      <c r="I2022" s="8"/>
      <c r="J2022" s="8"/>
    </row>
    <row r="2023" ht="21.0" customHeight="1">
      <c r="A2023" s="35">
        <v>1.0</v>
      </c>
      <c r="B2023" s="35">
        <v>164.0</v>
      </c>
      <c r="C2023" s="35">
        <v>13.0</v>
      </c>
      <c r="D2023" s="35" t="s">
        <v>2843</v>
      </c>
      <c r="E2023" s="69" t="s">
        <v>2844</v>
      </c>
      <c r="F2023" s="8" t="str">
        <f>IFERROR(__xludf.DUMMYFUNCTION("GOOGLETRANSLATE(D2023,""zh-CN"",""vi"")"),"hoa tử đằng")</f>
        <v>hoa tử đằng</v>
      </c>
      <c r="G2023" s="8" t="str">
        <f>IFERROR(__xludf.DUMMYFUNCTION("GOOGLETRANSLATE(E2023,""zh-CN"",""vi"")"),"Bắt gặp một thác nước màu tím vào mùa xuân. (Đã được tổng hợp đến cấp độ cao nhất.)")</f>
        <v>Bắt gặp một thác nước màu tím vào mùa xuân. (Đã được tổng hợp đến cấp độ cao nhất.)</v>
      </c>
      <c r="H2023" s="8"/>
      <c r="I2023" s="8"/>
      <c r="J2023" s="8"/>
    </row>
    <row r="2024" ht="21.0" customHeight="1">
      <c r="A2024" s="68">
        <v>1.0</v>
      </c>
      <c r="B2024" s="68">
        <v>165.0</v>
      </c>
      <c r="C2024" s="68">
        <v>1.0</v>
      </c>
      <c r="D2024" s="68" t="s">
        <v>2845</v>
      </c>
      <c r="E2024" s="70" t="s">
        <v>2846</v>
      </c>
      <c r="F2024" s="8" t="str">
        <f>IFERROR(__xludf.DUMMYFUNCTION("GOOGLETRANSLATE(D2024,""zh-CN"",""vi"")"),"Thỏ dẫn đường")</f>
        <v>Thỏ dẫn đường</v>
      </c>
      <c r="G2024" s="8" t="str">
        <f>IFERROR(__xludf.DUMMYFUNCTION("GOOGLETRANSLATE(E2024,""zh-CN"",""vi"")"),"Nào mọi người, hãy theo tôi nào! Kết hợp chúng lại để có được Thỏ Trường Tiểu Học.")</f>
        <v>Nào mọi người, hãy theo tôi nào! Kết hợp chúng lại để có được Thỏ Trường Tiểu Học.</v>
      </c>
      <c r="H2024" s="8"/>
      <c r="I2024" s="8"/>
      <c r="J2024" s="8"/>
    </row>
    <row r="2025" ht="21.0" customHeight="1">
      <c r="A2025" s="35">
        <v>1.0</v>
      </c>
      <c r="B2025" s="35">
        <v>165.0</v>
      </c>
      <c r="C2025" s="35">
        <v>2.0</v>
      </c>
      <c r="D2025" s="35" t="s">
        <v>2847</v>
      </c>
      <c r="E2025" s="69" t="s">
        <v>2848</v>
      </c>
      <c r="F2025" s="8" t="str">
        <f>IFERROR(__xludf.DUMMYFUNCTION("GOOGLETRANSLATE(D2025,""zh-CN"",""vi"")"),"Thỏ trường tiểu học")</f>
        <v>Thỏ trường tiểu học</v>
      </c>
      <c r="G2025" s="8" t="str">
        <f>IFERROR(__xludf.DUMMYFUNCTION("GOOGLETRANSLATE(E2025,""zh-CN"",""vi"")"),"Đợi tôi với, chân tôi ngắn quá không theo kịp được! Kết hợp các thành phần để có được Thỏ Biết Hát.")</f>
        <v>Đợi tôi với, chân tôi ngắn quá không theo kịp được! Kết hợp các thành phần để có được Thỏ Biết Hát.</v>
      </c>
      <c r="H2025" s="8"/>
      <c r="I2025" s="8"/>
      <c r="J2025" s="8"/>
    </row>
    <row r="2026" ht="21.0" customHeight="1">
      <c r="A2026" s="68">
        <v>1.0</v>
      </c>
      <c r="B2026" s="68">
        <v>165.0</v>
      </c>
      <c r="C2026" s="68">
        <v>3.0</v>
      </c>
      <c r="D2026" s="68" t="s">
        <v>2849</v>
      </c>
      <c r="E2026" s="70" t="s">
        <v>2850</v>
      </c>
      <c r="F2026" s="8" t="str">
        <f>IFERROR(__xludf.DUMMYFUNCTION("GOOGLETRANSLATE(D2026,""zh-CN"",""vi"")"),"Thỏ biết hát")</f>
        <v>Thỏ biết hát</v>
      </c>
      <c r="G2026" s="8" t="str">
        <f>IFERROR(__xludf.DUMMYFUNCTION("GOOGLETRANSLATE(E2026,""zh-CN"",""vi"")"),"Tôi là một chú thỏ nhỏ ngoan ngoãn lala~ Tôi đã tổng hợp hình ảnh chú Thỏ Hái Hoa.")</f>
        <v>Tôi là một chú thỏ nhỏ ngoan ngoãn lala~ Tôi đã tổng hợp hình ảnh chú Thỏ Hái Hoa.</v>
      </c>
      <c r="H2026" s="8"/>
      <c r="I2026" s="8"/>
      <c r="J2026" s="8"/>
    </row>
    <row r="2027" ht="21.0" customHeight="1">
      <c r="A2027" s="35">
        <v>1.0</v>
      </c>
      <c r="B2027" s="35">
        <v>165.0</v>
      </c>
      <c r="C2027" s="35">
        <v>4.0</v>
      </c>
      <c r="D2027" s="35" t="s">
        <v>2851</v>
      </c>
      <c r="E2027" s="69" t="s">
        <v>2852</v>
      </c>
      <c r="F2027" s="8" t="str">
        <f>IFERROR(__xludf.DUMMYFUNCTION("GOOGLETRANSLATE(D2027,""zh-CN"",""vi"")"),"Thỏ hái hoa")</f>
        <v>Thỏ hái hoa</v>
      </c>
      <c r="G2027" s="8" t="str">
        <f>IFERROR(__xludf.DUMMYFUNCTION("GOOGLETRANSLATE(E2027,""zh-CN"",""vi"")"),"Tôi sẽ hái một bông hoa, ừm, rồi tôi sẽ hái thêm một bông nữa. Kết hợp chúng lại để được Thỏ Đọc Sách.")</f>
        <v>Tôi sẽ hái một bông hoa, ừm, rồi tôi sẽ hái thêm một bông nữa. Kết hợp chúng lại để được Thỏ Đọc Sách.</v>
      </c>
      <c r="H2027" s="8"/>
      <c r="I2027" s="8"/>
      <c r="J2027" s="8"/>
    </row>
    <row r="2028" ht="21.0" customHeight="1">
      <c r="A2028" s="68">
        <v>1.0</v>
      </c>
      <c r="B2028" s="68">
        <v>165.0</v>
      </c>
      <c r="C2028" s="68">
        <v>5.0</v>
      </c>
      <c r="D2028" s="68" t="s">
        <v>2853</v>
      </c>
      <c r="E2028" s="70" t="s">
        <v>2854</v>
      </c>
      <c r="F2028" s="8" t="str">
        <f>IFERROR(__xludf.DUMMYFUNCTION("GOOGLETRANSLATE(D2028,""zh-CN"",""vi"")"),"Đọc Thỏ")</f>
        <v>Đọc Thỏ</v>
      </c>
      <c r="G2028" s="8" t="str">
        <f>IFERROR(__xludf.DUMMYFUNCTION("GOOGLETRANSLATE(E2028,""zh-CN"",""vi"")"),"Ngay cả khi đang vui chơi bên ngoài, hãy duy trì thói quen đọc sách. Kết hợp các vật phẩm để có được Thỏ Tưới Nước.")</f>
        <v>Ngay cả khi đang vui chơi bên ngoài, hãy duy trì thói quen đọc sách. Kết hợp các vật phẩm để có được Thỏ Tưới Nước.</v>
      </c>
      <c r="H2028" s="8"/>
      <c r="I2028" s="8"/>
      <c r="J2028" s="8"/>
    </row>
    <row r="2029" ht="21.0" customHeight="1">
      <c r="A2029" s="35">
        <v>1.0</v>
      </c>
      <c r="B2029" s="35">
        <v>165.0</v>
      </c>
      <c r="C2029" s="35">
        <v>6.0</v>
      </c>
      <c r="D2029" s="35" t="s">
        <v>2855</v>
      </c>
      <c r="E2029" s="69" t="s">
        <v>2856</v>
      </c>
      <c r="F2029" s="8" t="str">
        <f>IFERROR(__xludf.DUMMYFUNCTION("GOOGLETRANSLATE(D2029,""zh-CN"",""vi"")"),"Thỏ tưới nước")</f>
        <v>Thỏ tưới nước</v>
      </c>
      <c r="G2029" s="8" t="str">
        <f>IFERROR(__xludf.DUMMYFUNCTION("GOOGLETRANSLATE(E2029,""zh-CN"",""vi"")"),"Hãy tưới nước cho cây con, chúng sẽ lớn nhanh đấy! Kết hợp chúng lại để có được Thỏ Bướm.")</f>
        <v>Hãy tưới nước cho cây con, chúng sẽ lớn nhanh đấy! Kết hợp chúng lại để có được Thỏ Bướm.</v>
      </c>
      <c r="H2029" s="8"/>
      <c r="I2029" s="8"/>
      <c r="J2029" s="8"/>
    </row>
    <row r="2030" ht="21.0" customHeight="1">
      <c r="A2030" s="68">
        <v>1.0</v>
      </c>
      <c r="B2030" s="68">
        <v>165.0</v>
      </c>
      <c r="C2030" s="68">
        <v>7.0</v>
      </c>
      <c r="D2030" s="68" t="s">
        <v>2857</v>
      </c>
      <c r="E2030" s="70" t="s">
        <v>2858</v>
      </c>
      <c r="F2030" s="8" t="str">
        <f>IFERROR(__xludf.DUMMYFUNCTION("GOOGLETRANSLATE(D2030,""zh-CN"",""vi"")"),"Bắt thỏ")</f>
        <v>Bắt thỏ</v>
      </c>
      <c r="G2030" s="8" t="str">
        <f>IFERROR(__xludf.DUMMYFUNCTION("GOOGLETRANSLATE(E2030,""zh-CN"",""vi"")"),"Tôi là một con thỏ, làm sao tôi có thể chạy nhanh hơn một con bướm được chứ? Kết hợp các thành phần để tạo ra Thỏ Diều.")</f>
        <v>Tôi là một con thỏ, làm sao tôi có thể chạy nhanh hơn một con bướm được chứ? Kết hợp các thành phần để tạo ra Thỏ Diều.</v>
      </c>
      <c r="H2030" s="8"/>
      <c r="I2030" s="8"/>
      <c r="J2030" s="8"/>
    </row>
    <row r="2031" ht="21.0" customHeight="1">
      <c r="A2031" s="35">
        <v>1.0</v>
      </c>
      <c r="B2031" s="35">
        <v>165.0</v>
      </c>
      <c r="C2031" s="35">
        <v>8.0</v>
      </c>
      <c r="D2031" s="35" t="s">
        <v>2859</v>
      </c>
      <c r="E2031" s="69" t="s">
        <v>2860</v>
      </c>
      <c r="F2031" s="8" t="str">
        <f>IFERROR(__xludf.DUMMYFUNCTION("GOOGLETRANSLATE(D2031,""zh-CN"",""vi"")"),"Thỏ diều")</f>
        <v>Thỏ diều</v>
      </c>
      <c r="G2031" s="8" t="str">
        <f>IFERROR(__xludf.DUMMYFUNCTION("GOOGLETRANSLATE(E2031,""zh-CN"",""vi"")"),"Hãy xem diều của ai bay cao nhất nào! Ghép chúng lại để được Thỏ Cà Rốt.")</f>
        <v>Hãy xem diều của ai bay cao nhất nào! Ghép chúng lại để được Thỏ Cà Rốt.</v>
      </c>
      <c r="H2031" s="8"/>
      <c r="I2031" s="8"/>
      <c r="J2031" s="8"/>
    </row>
    <row r="2032" ht="21.0" customHeight="1">
      <c r="A2032" s="68">
        <v>1.0</v>
      </c>
      <c r="B2032" s="68">
        <v>165.0</v>
      </c>
      <c r="C2032" s="68">
        <v>9.0</v>
      </c>
      <c r="D2032" s="68" t="s">
        <v>2861</v>
      </c>
      <c r="E2032" s="70" t="s">
        <v>2862</v>
      </c>
      <c r="F2032" s="8" t="str">
        <f>IFERROR(__xludf.DUMMYFUNCTION("GOOGLETRANSLATE(D2032,""zh-CN"",""vi"")"),"Thỏ Cà Rốt")</f>
        <v>Thỏ Cà Rốt</v>
      </c>
      <c r="G2032" s="8" t="str">
        <f>IFERROR(__xludf.DUMMYFUNCTION("GOOGLETRANSLATE(E2032,""zh-CN"",""vi"")"),"Ngon tuyệt... đi kèm với một cái giá! Hãy tự tay làm món Thỏ dã ngoại.")</f>
        <v>Ngon tuyệt... đi kèm với một cái giá! Hãy tự tay làm món Thỏ dã ngoại.</v>
      </c>
      <c r="H2032" s="8"/>
      <c r="I2032" s="8"/>
      <c r="J2032" s="8"/>
    </row>
    <row r="2033" ht="21.0" customHeight="1">
      <c r="A2033" s="35">
        <v>1.0</v>
      </c>
      <c r="B2033" s="35">
        <v>165.0</v>
      </c>
      <c r="C2033" s="35">
        <v>10.0</v>
      </c>
      <c r="D2033" s="35" t="s">
        <v>2863</v>
      </c>
      <c r="E2033" s="69" t="s">
        <v>2864</v>
      </c>
      <c r="F2033" s="8" t="str">
        <f>IFERROR(__xludf.DUMMYFUNCTION("GOOGLETRANSLATE(D2033,""zh-CN"",""vi"")"),"Thỏ dã ngoại")</f>
        <v>Thỏ dã ngoại</v>
      </c>
      <c r="G2033" s="8" t="str">
        <f>IFERROR(__xludf.DUMMYFUNCTION("GOOGLETRANSLATE(E2033,""zh-CN"",""vi"")"),"Lần lượt bày ra những món ăn ngon. Kết hợp chúng lại để tạo thành một chú thỏ nấu ăn.")</f>
        <v>Lần lượt bày ra những món ăn ngon. Kết hợp chúng lại để tạo thành một chú thỏ nấu ăn.</v>
      </c>
      <c r="H2033" s="8"/>
      <c r="I2033" s="8"/>
      <c r="J2033" s="8"/>
    </row>
    <row r="2034" ht="21.0" customHeight="1">
      <c r="A2034" s="68">
        <v>1.0</v>
      </c>
      <c r="B2034" s="68">
        <v>165.0</v>
      </c>
      <c r="C2034" s="68">
        <v>11.0</v>
      </c>
      <c r="D2034" s="68" t="s">
        <v>2865</v>
      </c>
      <c r="E2034" s="70" t="s">
        <v>2866</v>
      </c>
      <c r="F2034" s="8" t="str">
        <f>IFERROR(__xludf.DUMMYFUNCTION("GOOGLETRANSLATE(D2034,""zh-CN"",""vi"")"),"Nấu thịt thỏ")</f>
        <v>Nấu thịt thỏ</v>
      </c>
      <c r="G2034" s="8" t="str">
        <f>IFERROR(__xludf.DUMMYFUNCTION("GOOGLETRANSLATE(E2034,""zh-CN"",""vi"")"),"Hãy xem chú thỏ nhỏ nào đang khóc vì chảy nước dãi. Kết hợp chúng lại để có được chú Thỏ Trồng Cây.")</f>
        <v>Hãy xem chú thỏ nhỏ nào đang khóc vì chảy nước dãi. Kết hợp chúng lại để có được chú Thỏ Trồng Cây.</v>
      </c>
      <c r="H2034" s="8"/>
      <c r="I2034" s="8"/>
      <c r="J2034" s="8"/>
    </row>
    <row r="2035" ht="21.0" customHeight="1">
      <c r="A2035" s="35">
        <v>1.0</v>
      </c>
      <c r="B2035" s="35">
        <v>165.0</v>
      </c>
      <c r="C2035" s="35">
        <v>12.0</v>
      </c>
      <c r="D2035" s="35" t="s">
        <v>2867</v>
      </c>
      <c r="E2035" s="69" t="s">
        <v>2868</v>
      </c>
      <c r="F2035" s="8" t="str">
        <f>IFERROR(__xludf.DUMMYFUNCTION("GOOGLETRANSLATE(D2035,""zh-CN"",""vi"")"),"Thỏ trồng cây")</f>
        <v>Thỏ trồng cây</v>
      </c>
      <c r="G2035" s="8" t="str">
        <f>IFERROR(__xludf.DUMMYFUNCTION("GOOGLETRANSLATE(E2035,""zh-CN"",""vi"")"),"Khởi đầu của một khu rừng. Hãy chế tạo chú Thỏ Lăn.")</f>
        <v>Khởi đầu của một khu rừng. Hãy chế tạo chú Thỏ Lăn.</v>
      </c>
      <c r="H2035" s="8"/>
      <c r="I2035" s="8"/>
      <c r="J2035" s="8"/>
    </row>
    <row r="2036" ht="21.0" customHeight="1">
      <c r="A2036" s="68">
        <v>1.0</v>
      </c>
      <c r="B2036" s="68">
        <v>165.0</v>
      </c>
      <c r="C2036" s="68">
        <v>13.0</v>
      </c>
      <c r="D2036" s="68" t="s">
        <v>2869</v>
      </c>
      <c r="E2036" s="70" t="s">
        <v>2870</v>
      </c>
      <c r="F2036" s="8" t="str">
        <f>IFERROR(__xludf.DUMMYFUNCTION("GOOGLETRANSLATE(D2036,""zh-CN"",""vi"")"),"Thỏ lăn")</f>
        <v>Thỏ lăn</v>
      </c>
      <c r="G2036" s="8" t="str">
        <f>IFERROR(__xludf.DUMMYFUNCTION("GOOGLETRANSLATE(E2036,""zh-CN"",""vi"")"),"Nằm lăn lộn trên cỏ là một trong những điều tuyệt vời nhất nên làm vào mùa xuân. (Đã được tổng hợp đến mức độ cao nhất.)")</f>
        <v>Nằm lăn lộn trên cỏ là một trong những điều tuyệt vời nhất nên làm vào mùa xuân. (Đã được tổng hợp đến mức độ cao nhất.)</v>
      </c>
      <c r="H2036" s="8"/>
      <c r="I2036" s="8"/>
      <c r="J2036" s="8"/>
    </row>
    <row r="2037" ht="21.0" customHeight="1">
      <c r="A2037" s="35">
        <v>11.0</v>
      </c>
      <c r="B2037" s="35">
        <v>1028.0</v>
      </c>
      <c r="C2037" s="35">
        <v>1.0</v>
      </c>
      <c r="D2037" s="35" t="s">
        <v>2871</v>
      </c>
      <c r="E2037" s="69" t="s">
        <v>2872</v>
      </c>
      <c r="F2037" s="8" t="str">
        <f>IFERROR(__xludf.DUMMYFUNCTION("GOOGLETRANSLATE(D2037,""zh-CN"",""vi"")"),"xe đẩy hai bánh")</f>
        <v>xe đẩy hai bánh</v>
      </c>
      <c r="G2037" s="8" t="str">
        <f>IFERROR(__xludf.DUMMYFUNCTION("GOOGLETRANSLATE(E2037,""zh-CN"",""vi"")"),"Một loại xe có người lái kiểu cũ. Được chế tạo để trở thành một chiếc xe ba bánh chạy bằng sức người.")</f>
        <v>Một loại xe có người lái kiểu cũ. Được chế tạo để trở thành một chiếc xe ba bánh chạy bằng sức người.</v>
      </c>
      <c r="H2037" s="8"/>
      <c r="I2037" s="8"/>
      <c r="J2037" s="8"/>
    </row>
    <row r="2038" ht="21.0" customHeight="1">
      <c r="A2038" s="68">
        <v>11.0</v>
      </c>
      <c r="B2038" s="68">
        <v>1028.0</v>
      </c>
      <c r="C2038" s="68">
        <v>2.0</v>
      </c>
      <c r="D2038" s="68" t="s">
        <v>2873</v>
      </c>
      <c r="E2038" s="70" t="s">
        <v>2874</v>
      </c>
      <c r="F2038" s="8" t="str">
        <f>IFERROR(__xludf.DUMMYFUNCTION("GOOGLETRANSLATE(D2038,""zh-CN"",""vi"")"),"xe ba bánh chạy bằng sức người")</f>
        <v>xe ba bánh chạy bằng sức người</v>
      </c>
      <c r="G2038" s="8" t="str">
        <f>IFERROR(__xludf.DUMMYFUNCTION("GOOGLETRANSLATE(E2038,""zh-CN"",""vi"")"),"Nó đòi hỏi ít nỗ lực hơn đáng kể so với xe đẩy hai bánh. Kết hợp chúng lại để tạo thành xe ba bánh điện.")</f>
        <v>Nó đòi hỏi ít nỗ lực hơn đáng kể so với xe đẩy hai bánh. Kết hợp chúng lại để tạo thành xe ba bánh điện.</v>
      </c>
      <c r="H2038" s="8"/>
      <c r="I2038" s="8"/>
      <c r="J2038" s="8"/>
    </row>
    <row r="2039" ht="21.0" customHeight="1">
      <c r="A2039" s="35">
        <v>11.0</v>
      </c>
      <c r="B2039" s="35">
        <v>1028.0</v>
      </c>
      <c r="C2039" s="35">
        <v>3.0</v>
      </c>
      <c r="D2039" s="35" t="s">
        <v>2875</v>
      </c>
      <c r="E2039" s="69" t="s">
        <v>2876</v>
      </c>
      <c r="F2039" s="8" t="str">
        <f>IFERROR(__xludf.DUMMYFUNCTION("GOOGLETRANSLATE(D2039,""zh-CN"",""vi"")"),"xe ba bánh điện")</f>
        <v>xe ba bánh điện</v>
      </c>
      <c r="G2039" s="8" t="str">
        <f>IFERROR(__xludf.DUMMYFUNCTION("GOOGLETRANSLATE(E2039,""zh-CN"",""vi"")"),"Có mái che, bạn không cần lo lắng về mưa. Hãy tự chế tạo một chiếc xe minivan.")</f>
        <v>Có mái che, bạn không cần lo lắng về mưa. Hãy tự chế tạo một chiếc xe minivan.</v>
      </c>
      <c r="H2039" s="8"/>
      <c r="I2039" s="8"/>
      <c r="J2039" s="8"/>
    </row>
    <row r="2040" ht="21.0" customHeight="1">
      <c r="A2040" s="68">
        <v>11.0</v>
      </c>
      <c r="B2040" s="68">
        <v>1028.0</v>
      </c>
      <c r="C2040" s="68">
        <v>4.0</v>
      </c>
      <c r="D2040" s="68" t="s">
        <v>2877</v>
      </c>
      <c r="E2040" s="70" t="s">
        <v>2878</v>
      </c>
      <c r="F2040" s="8" t="str">
        <f>IFERROR(__xludf.DUMMYFUNCTION("GOOGLETRANSLATE(D2040,""zh-CN"",""vi"")"),"xe tải")</f>
        <v>xe tải</v>
      </c>
      <c r="G2040" s="8" t="str">
        <f>IFERROR(__xludf.DUMMYFUNCTION("GOOGLETRANSLATE(E2040,""zh-CN"",""vi"")"),"Có hình dạng giống bánh mì, nghe có vẻ ngon tuyệt~ Kết hợp chúng lại để tạo thành một chiếc xe nhà di động.")</f>
        <v>Có hình dạng giống bánh mì, nghe có vẻ ngon tuyệt~ Kết hợp chúng lại để tạo thành một chiếc xe nhà di động.</v>
      </c>
      <c r="H2040" s="8"/>
      <c r="I2040" s="8"/>
      <c r="J2040" s="8"/>
    </row>
    <row r="2041" ht="21.0" customHeight="1">
      <c r="A2041" s="35">
        <v>10.0</v>
      </c>
      <c r="B2041" s="35">
        <v>1028.0</v>
      </c>
      <c r="C2041" s="35">
        <v>5.0</v>
      </c>
      <c r="D2041" s="35" t="s">
        <v>2879</v>
      </c>
      <c r="E2041" s="69" t="s">
        <v>2880</v>
      </c>
      <c r="F2041" s="8" t="str">
        <f>IFERROR(__xludf.DUMMYFUNCTION("GOOGLETRANSLATE(D2041,""zh-CN"",""vi"")"),"Xe RV du lịch")</f>
        <v>Xe RV du lịch</v>
      </c>
      <c r="G2041" s="8" t="str">
        <f>IFERROR(__xludf.DUMMYFUNCTION("GOOGLETRANSLATE(E2041,""zh-CN"",""vi"")"),"Sự kết hợp giữa xe và nhà, không gì tuyệt vời hơn cho việc đi lại. Kết hợp để có được một chiếc xe buýt thông thường.")</f>
        <v>Sự kết hợp giữa xe và nhà, không gì tuyệt vời hơn cho việc đi lại. Kết hợp để có được một chiếc xe buýt thông thường.</v>
      </c>
      <c r="H2041" s="8"/>
      <c r="I2041" s="8"/>
      <c r="J2041" s="8"/>
    </row>
    <row r="2042" ht="21.0" customHeight="1">
      <c r="A2042" s="68">
        <v>10.0</v>
      </c>
      <c r="B2042" s="68">
        <v>1028.0</v>
      </c>
      <c r="C2042" s="68">
        <v>6.0</v>
      </c>
      <c r="D2042" s="68" t="s">
        <v>2881</v>
      </c>
      <c r="E2042" s="70" t="s">
        <v>2882</v>
      </c>
      <c r="F2042" s="8" t="str">
        <f>IFERROR(__xludf.DUMMYFUNCTION("GOOGLETRANSLATE(D2042,""zh-CN"",""vi"")"),"Xe buýt thông thường")</f>
        <v>Xe buýt thông thường</v>
      </c>
      <c r="G2042" s="8" t="str">
        <f>IFERROR(__xludf.DUMMYFUNCTION("GOOGLETRANSLATE(E2042,""zh-CN"",""vi"")"),"Một cỗ xe ngựa kéo bằng thép trong thành phố. Kết hợp chúng lại để tạo thành một chiếc xe buýt nhỏ cho những chuyến đi chơi mùa xuân.")</f>
        <v>Một cỗ xe ngựa kéo bằng thép trong thành phố. Kết hợp chúng lại để tạo thành một chiếc xe buýt nhỏ cho những chuyến đi chơi mùa xuân.</v>
      </c>
      <c r="H2042" s="8"/>
      <c r="I2042" s="8"/>
      <c r="J2042" s="8"/>
    </row>
    <row r="2043" ht="21.0" customHeight="1">
      <c r="A2043" s="35">
        <v>10.0</v>
      </c>
      <c r="B2043" s="35">
        <v>1028.0</v>
      </c>
      <c r="C2043" s="35">
        <v>7.0</v>
      </c>
      <c r="D2043" s="35" t="s">
        <v>2883</v>
      </c>
      <c r="E2043" s="69" t="s">
        <v>2884</v>
      </c>
      <c r="F2043" s="8" t="str">
        <f>IFERROR(__xludf.DUMMYFUNCTION("GOOGLETRANSLATE(D2043,""zh-CN"",""vi"")"),"xe buýt nhỏ đi dã ngoại mùa xuân")</f>
        <v>xe buýt nhỏ đi dã ngoại mùa xuân</v>
      </c>
      <c r="G2043" s="8" t="str">
        <f>IFERROR(__xludf.DUMMYFUNCTION("GOOGLETRANSLATE(E2043,""zh-CN"",""vi"")"),"Đưa những chú thỏ tiểu học đi du ngoạn mùa xuân. Kết hợp chúng lại để tạo thành một chiếc xe buýt dã ngoại mùa xuân.")</f>
        <v>Đưa những chú thỏ tiểu học đi du ngoạn mùa xuân. Kết hợp chúng lại để tạo thành một chiếc xe buýt dã ngoại mùa xuân.</v>
      </c>
      <c r="H2043" s="8"/>
      <c r="I2043" s="8"/>
      <c r="J2043" s="8"/>
    </row>
    <row r="2044" ht="21.0" customHeight="1">
      <c r="A2044" s="68">
        <v>10.0</v>
      </c>
      <c r="B2044" s="68">
        <v>1028.0</v>
      </c>
      <c r="C2044" s="68">
        <v>8.0</v>
      </c>
      <c r="D2044" s="68" t="s">
        <v>2885</v>
      </c>
      <c r="E2044" s="70" t="s">
        <v>2886</v>
      </c>
      <c r="F2044" s="8" t="str">
        <f>IFERROR(__xludf.DUMMYFUNCTION("GOOGLETRANSLATE(D2044,""zh-CN"",""vi"")"),"Xe buýt dã ngoại mùa xuân")</f>
        <v>Xe buýt dã ngoại mùa xuân</v>
      </c>
      <c r="G2044" s="8" t="str">
        <f>IFERROR(__xludf.DUMMYFUNCTION("GOOGLETRANSLATE(E2044,""zh-CN"",""vi"")"),"Phần mái dùng để chứa hành lý. Kết hợp chúng lại để tạo thành một chiếc xe buýt một tầng mui trần.")</f>
        <v>Phần mái dùng để chứa hành lý. Kết hợp chúng lại để tạo thành một chiếc xe buýt một tầng mui trần.</v>
      </c>
      <c r="H2044" s="8"/>
      <c r="I2044" s="8"/>
      <c r="J2044" s="8"/>
    </row>
    <row r="2045" ht="21.0" customHeight="1">
      <c r="A2045" s="35">
        <v>10.0</v>
      </c>
      <c r="B2045" s="35">
        <v>1028.0</v>
      </c>
      <c r="C2045" s="35">
        <v>9.0</v>
      </c>
      <c r="D2045" s="35" t="s">
        <v>2887</v>
      </c>
      <c r="E2045" s="69" t="s">
        <v>2888</v>
      </c>
      <c r="F2045" s="8" t="str">
        <f>IFERROR(__xludf.DUMMYFUNCTION("GOOGLETRANSLATE(D2045,""zh-CN"",""vi"")"),"Xe buýt một tầng mui trần")</f>
        <v>Xe buýt một tầng mui trần</v>
      </c>
      <c r="G2045" s="8" t="str">
        <f>IFERROR(__xludf.DUMMYFUNCTION("GOOGLETRANSLATE(E2045,""zh-CN"",""vi"")"),"Xe buýt mui trần, lý tưởng để hít thở không khí trong lành. Kết hợp chúng lại để tạo thành xe buýt tham quan hai tầng.")</f>
        <v>Xe buýt mui trần, lý tưởng để hít thở không khí trong lành. Kết hợp chúng lại để tạo thành xe buýt tham quan hai tầng.</v>
      </c>
      <c r="H2045" s="8"/>
      <c r="I2045" s="8"/>
      <c r="J2045" s="8"/>
    </row>
    <row r="2046" ht="21.0" customHeight="1">
      <c r="A2046" s="68">
        <v>10.0</v>
      </c>
      <c r="B2046" s="68">
        <v>1028.0</v>
      </c>
      <c r="C2046" s="68">
        <v>10.0</v>
      </c>
      <c r="D2046" s="68" t="s">
        <v>2889</v>
      </c>
      <c r="E2046" s="70" t="s">
        <v>2890</v>
      </c>
      <c r="F2046" s="8" t="str">
        <f>IFERROR(__xludf.DUMMYFUNCTION("GOOGLETRANSLATE(D2046,""zh-CN"",""vi"")"),"Xe buýt tham quan hai tầng")</f>
        <v>Xe buýt tham quan hai tầng</v>
      </c>
      <c r="G2046" s="8" t="str">
        <f>IFERROR(__xludf.DUMMYFUNCTION("GOOGLETRANSLATE(E2046,""zh-CN"",""vi"")"),"Hãy chọn phương tiện giao thông xanh cho những chuyến đi chơi mùa xuân của chúng ta! (Đã được nâng cấp lên cấp độ cao nhất.)")</f>
        <v>Hãy chọn phương tiện giao thông xanh cho những chuyến đi chơi mùa xuân của chúng ta! (Đã được nâng cấp lên cấp độ cao nhất.)</v>
      </c>
      <c r="H2046" s="8"/>
      <c r="I2046" s="8"/>
      <c r="J2046" s="8"/>
    </row>
    <row r="2047" ht="21.0" customHeight="1">
      <c r="A2047" s="35">
        <v>11.0</v>
      </c>
      <c r="B2047" s="35">
        <v>1029.0</v>
      </c>
      <c r="C2047" s="35">
        <v>1.0</v>
      </c>
      <c r="D2047" s="35" t="s">
        <v>2891</v>
      </c>
      <c r="E2047" s="69" t="s">
        <v>2892</v>
      </c>
      <c r="F2047" s="8" t="str">
        <f>IFERROR(__xludf.DUMMYFUNCTION("GOOGLETRANSLATE(D2047,""zh-CN"",""vi"")"),"Xe đẩy hai bánh [V]")</f>
        <v>Xe đẩy hai bánh [V]</v>
      </c>
      <c r="G2047" s="8" t="str">
        <f>IFERROR(__xludf.DUMMYFUNCTION("GOOGLETRANSLATE(E2047,""zh-CN"",""vi"")"),"Một phương tiện có người lái kiểu cũ. Tổng hợp để có được một xe ba bánh chạy bằng sức người [V].")</f>
        <v>Một phương tiện có người lái kiểu cũ. Tổng hợp để có được một xe ba bánh chạy bằng sức người [V].</v>
      </c>
      <c r="H2047" s="8"/>
      <c r="I2047" s="8"/>
      <c r="J2047" s="8"/>
    </row>
    <row r="2048" ht="21.0" customHeight="1">
      <c r="A2048" s="68">
        <v>11.0</v>
      </c>
      <c r="B2048" s="68">
        <v>1029.0</v>
      </c>
      <c r="C2048" s="68">
        <v>2.0</v>
      </c>
      <c r="D2048" s="68" t="s">
        <v>2893</v>
      </c>
      <c r="E2048" s="70" t="s">
        <v>2894</v>
      </c>
      <c r="F2048" s="8" t="str">
        <f>IFERROR(__xludf.DUMMYFUNCTION("GOOGLETRANSLATE(D2048,""zh-CN"",""vi"")"),"Xe ba bánh chạy bằng sức người [V]")</f>
        <v>Xe ba bánh chạy bằng sức người [V]</v>
      </c>
      <c r="G2048" s="8" t="str">
        <f>IFERROR(__xludf.DUMMYFUNCTION("GOOGLETRANSLATE(E2048,""zh-CN"",""vi"")"),"Nó đòi hỏi ít nỗ lực hơn đáng kể so với xe đẩy hai bánh. Tổng hợp để có được xe ba bánh điện [V].")</f>
        <v>Nó đòi hỏi ít nỗ lực hơn đáng kể so với xe đẩy hai bánh. Tổng hợp để có được xe ba bánh điện [V].</v>
      </c>
      <c r="H2048" s="8"/>
      <c r="I2048" s="8"/>
      <c r="J2048" s="8"/>
    </row>
    <row r="2049" ht="21.0" customHeight="1">
      <c r="A2049" s="35">
        <v>11.0</v>
      </c>
      <c r="B2049" s="35">
        <v>1029.0</v>
      </c>
      <c r="C2049" s="35">
        <v>3.0</v>
      </c>
      <c r="D2049" s="35" t="s">
        <v>2895</v>
      </c>
      <c r="E2049" s="69" t="s">
        <v>2896</v>
      </c>
      <c r="F2049" s="8" t="str">
        <f>IFERROR(__xludf.DUMMYFUNCTION("GOOGLETRANSLATE(D2049,""zh-CN"",""vi"")"),"Xe ba bánh điện [V]")</f>
        <v>Xe ba bánh điện [V]</v>
      </c>
      <c r="G2049" s="8" t="str">
        <f>IFERROR(__xludf.DUMMYFUNCTION("GOOGLETRANSLATE(E2049,""zh-CN"",""vi"")"),"Có mái che, bạn không cần phải lo lắng về mưa. Chế tạo một chiếc xe minivan [V].")</f>
        <v>Có mái che, bạn không cần phải lo lắng về mưa. Chế tạo một chiếc xe minivan [V].</v>
      </c>
      <c r="H2049" s="8"/>
      <c r="I2049" s="8"/>
      <c r="J2049" s="8"/>
    </row>
    <row r="2050" ht="21.0" customHeight="1">
      <c r="A2050" s="68">
        <v>11.0</v>
      </c>
      <c r="B2050" s="68">
        <v>1029.0</v>
      </c>
      <c r="C2050" s="68">
        <v>4.0</v>
      </c>
      <c r="D2050" s="68" t="s">
        <v>2897</v>
      </c>
      <c r="E2050" s="70" t="s">
        <v>2898</v>
      </c>
      <c r="F2050" s="8" t="str">
        <f>IFERROR(__xludf.DUMMYFUNCTION("GOOGLETRANSLATE(D2050,""zh-CN"",""vi"")"),"Xe minivan [V]")</f>
        <v>Xe minivan [V]</v>
      </c>
      <c r="G2050" s="8" t="str">
        <f>IFERROR(__xludf.DUMMYFUNCTION("GOOGLETRANSLATE(E2050,""zh-CN"",""vi"")"),"Có hình dạng như bánh mì, nghe có vẻ ngon quá~ Kết hợp lại để tạo thành một chiếc xe cắm trại du lịch [V].")</f>
        <v>Có hình dạng như bánh mì, nghe có vẻ ngon quá~ Kết hợp lại để tạo thành một chiếc xe cắm trại du lịch [V].</v>
      </c>
      <c r="H2050" s="8"/>
      <c r="I2050" s="8"/>
      <c r="J2050" s="8"/>
    </row>
    <row r="2051" ht="21.0" customHeight="1">
      <c r="A2051" s="35">
        <v>10.0</v>
      </c>
      <c r="B2051" s="35">
        <v>1029.0</v>
      </c>
      <c r="C2051" s="35">
        <v>5.0</v>
      </c>
      <c r="D2051" s="35" t="s">
        <v>2899</v>
      </c>
      <c r="E2051" s="69" t="s">
        <v>2900</v>
      </c>
      <c r="F2051" s="8" t="str">
        <f>IFERROR(__xludf.DUMMYFUNCTION("GOOGLETRANSLATE(D2051,""zh-CN"",""vi"")"),"Xe du lịch cắm trại [V]")</f>
        <v>Xe du lịch cắm trại [V]</v>
      </c>
      <c r="G2051" s="8" t="str">
        <f>IFERROR(__xludf.DUMMYFUNCTION("GOOGLETRANSLATE(E2051,""zh-CN"",""vi"")"),"Một phương tiện kết hợp với nhà ở, không gì sánh bằng cho việc đi lại. Tổng hợp để có được một chiếc xe buýt thông thường [V].")</f>
        <v>Một phương tiện kết hợp với nhà ở, không gì sánh bằng cho việc đi lại. Tổng hợp để có được một chiếc xe buýt thông thường [V].</v>
      </c>
      <c r="H2051" s="8"/>
      <c r="I2051" s="8"/>
      <c r="J2051" s="8"/>
    </row>
    <row r="2052" ht="21.0" customHeight="1">
      <c r="A2052" s="68">
        <v>10.0</v>
      </c>
      <c r="B2052" s="68">
        <v>1029.0</v>
      </c>
      <c r="C2052" s="68">
        <v>6.0</v>
      </c>
      <c r="D2052" s="68" t="s">
        <v>2901</v>
      </c>
      <c r="E2052" s="70" t="s">
        <v>2902</v>
      </c>
      <c r="F2052" s="8" t="str">
        <f>IFERROR(__xludf.DUMMYFUNCTION("GOOGLETRANSLATE(D2052,""zh-CN"",""vi"")"),"Xe buýt thường xuyên [V]")</f>
        <v>Xe buýt thường xuyên [V]</v>
      </c>
      <c r="G2052" s="8" t="str">
        <f>IFERROR(__xludf.DUMMYFUNCTION("GOOGLETRANSLATE(E2052,""zh-CN"",""vi"")"),"Một cỗ xe ngựa kéo bằng thép trong thành phố. Tổng hợp để có được một chiếc xe buýt nhỏ đi dã ngoại mùa xuân [V].")</f>
        <v>Một cỗ xe ngựa kéo bằng thép trong thành phố. Tổng hợp để có được một chiếc xe buýt nhỏ đi dã ngoại mùa xuân [V].</v>
      </c>
      <c r="H2052" s="8"/>
      <c r="I2052" s="8"/>
      <c r="J2052" s="8"/>
    </row>
    <row r="2053" ht="21.0" customHeight="1">
      <c r="A2053" s="35">
        <v>10.0</v>
      </c>
      <c r="B2053" s="35">
        <v>1029.0</v>
      </c>
      <c r="C2053" s="35">
        <v>7.0</v>
      </c>
      <c r="D2053" s="35" t="s">
        <v>2903</v>
      </c>
      <c r="E2053" s="69" t="s">
        <v>2904</v>
      </c>
      <c r="F2053" s="8" t="str">
        <f>IFERROR(__xludf.DUMMYFUNCTION("GOOGLETRANSLATE(D2053,""zh-CN"",""vi"")"),"Xe buýt nhỏ đi dã ngoại mùa xuân [V]")</f>
        <v>Xe buýt nhỏ đi dã ngoại mùa xuân [V]</v>
      </c>
      <c r="G2053" s="8" t="str">
        <f>IFERROR(__xludf.DUMMYFUNCTION("GOOGLETRANSLATE(E2053,""zh-CN"",""vi"")"),"Đưa những chú thỏ tiểu học đi du ngoạn mùa xuân. Tổng hợp để có được Xe buýt dã ngoại mùa xuân [V].")</f>
        <v>Đưa những chú thỏ tiểu học đi du ngoạn mùa xuân. Tổng hợp để có được Xe buýt dã ngoại mùa xuân [V].</v>
      </c>
      <c r="H2053" s="8"/>
      <c r="I2053" s="8"/>
      <c r="J2053" s="8"/>
    </row>
    <row r="2054" ht="21.0" customHeight="1">
      <c r="A2054" s="68">
        <v>10.0</v>
      </c>
      <c r="B2054" s="68">
        <v>1029.0</v>
      </c>
      <c r="C2054" s="68">
        <v>8.0</v>
      </c>
      <c r="D2054" s="68" t="s">
        <v>2905</v>
      </c>
      <c r="E2054" s="70" t="s">
        <v>2906</v>
      </c>
      <c r="F2054" s="8" t="str">
        <f>IFERROR(__xludf.DUMMYFUNCTION("GOOGLETRANSLATE(D2054,""zh-CN"",""vi"")"),"Xe buýt dã ngoại mùa xuân [V]")</f>
        <v>Xe buýt dã ngoại mùa xuân [V]</v>
      </c>
      <c r="G2054" s="8" t="str">
        <f>IFERROR(__xludf.DUMMYFUNCTION("GOOGLETRANSLATE(E2054,""zh-CN"",""vi"")"),"Mái nhà dùng để chứa hành lý. Kết hợp lại để có được một chiếc xe buýt một tầng mui trần [V].")</f>
        <v>Mái nhà dùng để chứa hành lý. Kết hợp lại để có được một chiếc xe buýt một tầng mui trần [V].</v>
      </c>
      <c r="H2054" s="8"/>
      <c r="I2054" s="8"/>
      <c r="J2054" s="8"/>
    </row>
    <row r="2055" ht="21.0" customHeight="1">
      <c r="A2055" s="35">
        <v>10.0</v>
      </c>
      <c r="B2055" s="35">
        <v>1029.0</v>
      </c>
      <c r="C2055" s="35">
        <v>9.0</v>
      </c>
      <c r="D2055" s="35" t="s">
        <v>2907</v>
      </c>
      <c r="E2055" s="69" t="s">
        <v>2908</v>
      </c>
      <c r="F2055" s="8" t="str">
        <f>IFERROR(__xludf.DUMMYFUNCTION("GOOGLETRANSLATE(D2055,""zh-CN"",""vi"")"),"Xe buýt một tầng mui trần [V]")</f>
        <v>Xe buýt một tầng mui trần [V]</v>
      </c>
      <c r="G2055" s="8" t="str">
        <f>IFERROR(__xludf.DUMMYFUNCTION("GOOGLETRANSLATE(E2055,""zh-CN"",""vi"")"),"Xe buýt mui trần, hoàn hảo để hít thở không khí trong lành. Kết hợp để có được xe buýt tham quan hai tầng [V].")</f>
        <v>Xe buýt mui trần, hoàn hảo để hít thở không khí trong lành. Kết hợp để có được xe buýt tham quan hai tầng [V].</v>
      </c>
      <c r="H2055" s="8"/>
      <c r="I2055" s="8"/>
      <c r="J2055" s="8"/>
    </row>
    <row r="2056" ht="21.0" customHeight="1">
      <c r="A2056" s="68">
        <v>10.0</v>
      </c>
      <c r="B2056" s="68">
        <v>1029.0</v>
      </c>
      <c r="C2056" s="68">
        <v>10.0</v>
      </c>
      <c r="D2056" s="68" t="s">
        <v>2909</v>
      </c>
      <c r="E2056" s="70" t="s">
        <v>2890</v>
      </c>
      <c r="F2056" s="8" t="str">
        <f>IFERROR(__xludf.DUMMYFUNCTION("GOOGLETRANSLATE(D2056,""zh-CN"",""vi"")"),"Xe buýt du lịch hai tầng [V]")</f>
        <v>Xe buýt du lịch hai tầng [V]</v>
      </c>
      <c r="G2056" s="8" t="str">
        <f>IFERROR(__xludf.DUMMYFUNCTION("GOOGLETRANSLATE(E2056,""zh-CN"",""vi"")"),"Hãy chọn phương tiện giao thông xanh cho những chuyến đi chơi mùa xuân của chúng ta! (Đã được nâng cấp lên cấp độ cao nhất.)")</f>
        <v>Hãy chọn phương tiện giao thông xanh cho những chuyến đi chơi mùa xuân của chúng ta! (Đã được nâng cấp lên cấp độ cao nhất.)</v>
      </c>
      <c r="H2056" s="8"/>
      <c r="I2056" s="8"/>
      <c r="J2056" s="8"/>
    </row>
    <row r="2057" ht="21.0" customHeight="1">
      <c r="A2057" s="68">
        <v>1.0</v>
      </c>
      <c r="B2057" s="68">
        <v>166.0</v>
      </c>
      <c r="C2057" s="68">
        <v>1.0</v>
      </c>
      <c r="D2057" s="68" t="s">
        <v>2910</v>
      </c>
      <c r="E2057" s="70" t="s">
        <v>2911</v>
      </c>
      <c r="F2057" s="8" t="str">
        <f>IFERROR(__xludf.DUMMYFUNCTION("GOOGLETRANSLATE(D2057,""zh-CN"",""vi"")"),"Thỏ nông dân")</f>
        <v>Thỏ nông dân</v>
      </c>
      <c r="G2057" s="8" t="str">
        <f>IFERROR(__xludf.DUMMYFUNCTION("GOOGLETRANSLATE(E2057,""zh-CN"",""vi"")"),"Đi kiểm tra xem cây trồng đã cao hơn chưa nhé! Tổng hợp để có được Thỏ Ngư Dân.")</f>
        <v>Đi kiểm tra xem cây trồng đã cao hơn chưa nhé! Tổng hợp để có được Thỏ Ngư Dân.</v>
      </c>
      <c r="H2057" s="8"/>
      <c r="I2057" s="8"/>
      <c r="J2057" s="8"/>
    </row>
    <row r="2058" ht="21.0" customHeight="1">
      <c r="A2058" s="35">
        <v>1.0</v>
      </c>
      <c r="B2058" s="35">
        <v>166.0</v>
      </c>
      <c r="C2058" s="35">
        <v>2.0</v>
      </c>
      <c r="D2058" s="35" t="s">
        <v>2912</v>
      </c>
      <c r="E2058" s="69" t="s">
        <v>2913</v>
      </c>
      <c r="F2058" s="8" t="str">
        <f>IFERROR(__xludf.DUMMYFUNCTION("GOOGLETRANSLATE(D2058,""zh-CN"",""vi"")"),"Thỏ ngư dân")</f>
        <v>Thỏ ngư dân</v>
      </c>
      <c r="G2058" s="8" t="str">
        <f>IFERROR(__xludf.DUMMYFUNCTION("GOOGLETRANSLATE(E2058,""zh-CN"",""vi"")"),"Ông Thỏ đi câu cá, và ai sẵn lòng sẽ cắn câu. Kết hợp chúng lại để có được Thỏ Thợ Đất Sét.")</f>
        <v>Ông Thỏ đi câu cá, và ai sẵn lòng sẽ cắn câu. Kết hợp chúng lại để có được Thỏ Thợ Đất Sét.</v>
      </c>
      <c r="H2058" s="8"/>
      <c r="I2058" s="8"/>
      <c r="J2058" s="8"/>
    </row>
    <row r="2059" ht="21.0" customHeight="1">
      <c r="A2059" s="68">
        <v>1.0</v>
      </c>
      <c r="B2059" s="68">
        <v>166.0</v>
      </c>
      <c r="C2059" s="68">
        <v>3.0</v>
      </c>
      <c r="D2059" s="68" t="s">
        <v>2914</v>
      </c>
      <c r="E2059" s="70" t="s">
        <v>2915</v>
      </c>
      <c r="F2059" s="8" t="str">
        <f>IFERROR(__xludf.DUMMYFUNCTION("GOOGLETRANSLATE(D2059,""zh-CN"",""vi"")"),"Thỏ bùn")</f>
        <v>Thỏ bùn</v>
      </c>
      <c r="G2059" s="8" t="str">
        <f>IFERROR(__xludf.DUMMYFUNCTION("GOOGLETRANSLATE(E2059,""zh-CN"",""vi"")"),"Ngay cả tòa nhà cao nhất cũng cần một nền móng vững chắc. (Tổng hợp để có được Thỏ Vệ sinh.)")</f>
        <v>Ngay cả tòa nhà cao nhất cũng cần một nền móng vững chắc. (Tổng hợp để có được Thỏ Vệ sinh.)</v>
      </c>
      <c r="H2059" s="8"/>
      <c r="I2059" s="8"/>
      <c r="J2059" s="8"/>
    </row>
    <row r="2060" ht="21.0" customHeight="1">
      <c r="A2060" s="35">
        <v>1.0</v>
      </c>
      <c r="B2060" s="35">
        <v>166.0</v>
      </c>
      <c r="C2060" s="35">
        <v>4.0</v>
      </c>
      <c r="D2060" s="35" t="s">
        <v>2916</v>
      </c>
      <c r="E2060" s="69" t="s">
        <v>2917</v>
      </c>
      <c r="F2060" s="8" t="str">
        <f>IFERROR(__xludf.DUMMYFUNCTION("GOOGLETRANSLATE(D2060,""zh-CN"",""vi"")"),"Thỏ vệ sinh")</f>
        <v>Thỏ vệ sinh</v>
      </c>
      <c r="G2060" s="8" t="str">
        <f>IFERROR(__xludf.DUMMYFUNCTION("GOOGLETRANSLATE(E2060,""zh-CN"",""vi"")"),"Nhiệm vụ hôm nay là càn quét con phố này! Kết hợp các vật phẩm để nhận được Thỏ Cưỡi Ngựa.")</f>
        <v>Nhiệm vụ hôm nay là càn quét con phố này! Kết hợp các vật phẩm để nhận được Thỏ Cưỡi Ngựa.</v>
      </c>
      <c r="H2060" s="8"/>
      <c r="I2060" s="8"/>
      <c r="J2060" s="8"/>
    </row>
    <row r="2061" ht="21.0" customHeight="1">
      <c r="A2061" s="68">
        <v>1.0</v>
      </c>
      <c r="B2061" s="68">
        <v>166.0</v>
      </c>
      <c r="C2061" s="68">
        <v>5.0</v>
      </c>
      <c r="D2061" s="68" t="s">
        <v>2918</v>
      </c>
      <c r="E2061" s="70" t="s">
        <v>2919</v>
      </c>
      <c r="F2061" s="8" t="str">
        <f>IFERROR(__xludf.DUMMYFUNCTION("GOOGLETRANSLATE(D2061,""zh-CN"",""vi"")"),"Thỏ cưỡi ngựa")</f>
        <v>Thỏ cưỡi ngựa</v>
      </c>
      <c r="G2061" s="8" t="str">
        <f>IFERROR(__xludf.DUMMYFUNCTION("GOOGLETRANSLATE(E2061,""zh-CN"",""vi"")"),"Chờ chút! Đồ ăn mang về của bạn sắp đến rồi! Kết hợp các nguyên liệu để nhận được Thỏ pha chế.")</f>
        <v>Chờ chút! Đồ ăn mang về của bạn sắp đến rồi! Kết hợp các nguyên liệu để nhận được Thỏ pha chế.</v>
      </c>
      <c r="H2061" s="8"/>
      <c r="I2061" s="8"/>
      <c r="J2061" s="8"/>
    </row>
    <row r="2062" ht="21.0" customHeight="1">
      <c r="A2062" s="35">
        <v>1.0</v>
      </c>
      <c r="B2062" s="35">
        <v>166.0</v>
      </c>
      <c r="C2062" s="35">
        <v>6.0</v>
      </c>
      <c r="D2062" s="35" t="s">
        <v>2920</v>
      </c>
      <c r="E2062" s="69" t="s">
        <v>2921</v>
      </c>
      <c r="F2062" s="8" t="str">
        <f>IFERROR(__xludf.DUMMYFUNCTION("GOOGLETRANSLATE(D2062,""zh-CN"",""vi"")"),"Thỏ pha chế")</f>
        <v>Thỏ pha chế</v>
      </c>
      <c r="G2062" s="8" t="str">
        <f>IFERROR(__xludf.DUMMYFUNCTION("GOOGLETRANSLATE(E2062,""zh-CN"",""vi"")"),"Kỹ năng pha chế của tôi là vô song. (Tổng hợp để có được Thỏ Giáo viên.)")</f>
        <v>Kỹ năng pha chế của tôi là vô song. (Tổng hợp để có được Thỏ Giáo viên.)</v>
      </c>
      <c r="H2062" s="8"/>
      <c r="I2062" s="8"/>
      <c r="J2062" s="8"/>
    </row>
    <row r="2063" ht="21.0" customHeight="1">
      <c r="A2063" s="68">
        <v>1.0</v>
      </c>
      <c r="B2063" s="68">
        <v>166.0</v>
      </c>
      <c r="C2063" s="68">
        <v>7.0</v>
      </c>
      <c r="D2063" s="68" t="s">
        <v>2922</v>
      </c>
      <c r="E2063" s="70" t="s">
        <v>2923</v>
      </c>
      <c r="F2063" s="8" t="str">
        <f>IFERROR(__xludf.DUMMYFUNCTION("GOOGLETRANSLATE(D2063,""zh-CN"",""vi"")"),"Thầy Thỏ")</f>
        <v>Thầy Thỏ</v>
      </c>
      <c r="G2063" s="8" t="str">
        <f>IFERROR(__xludf.DUMMYFUNCTION("GOOGLETRANSLATE(E2063,""zh-CN"",""vi"")"),"Cô ấy là một giáo viên, đồng thời cũng là một người làm vườn, chăm sóc những đóa hoa của quê hương. (Sau đó, đoạn văn đột ngột chuyển sang một chủ đề dường như không liên quan: tổng hợp một con thỏ vận động viên.)")</f>
        <v>Cô ấy là một giáo viên, đồng thời cũng là một người làm vườn, chăm sóc những đóa hoa của quê hương. (Sau đó, đoạn văn đột ngột chuyển sang một chủ đề dường như không liên quan: tổng hợp một con thỏ vận động viên.)</v>
      </c>
      <c r="H2063" s="8"/>
      <c r="I2063" s="8"/>
      <c r="J2063" s="8"/>
    </row>
    <row r="2064" ht="21.0" customHeight="1">
      <c r="A2064" s="35">
        <v>1.0</v>
      </c>
      <c r="B2064" s="35">
        <v>166.0</v>
      </c>
      <c r="C2064" s="35">
        <v>8.0</v>
      </c>
      <c r="D2064" s="35" t="s">
        <v>2924</v>
      </c>
      <c r="E2064" s="69" t="s">
        <v>2925</v>
      </c>
      <c r="F2064" s="8" t="str">
        <f>IFERROR(__xludf.DUMMYFUNCTION("GOOGLETRANSLATE(D2064,""zh-CN"",""vi"")"),"Vận động viên Thỏ")</f>
        <v>Vận động viên Thỏ</v>
      </c>
      <c r="G2064" s="8" t="str">
        <f>IFERROR(__xludf.DUMMYFUNCTION("GOOGLETRANSLATE(E2064,""zh-CN"",""vi"")"),"Coi chừng, ta sắp ra tay rồi! Kết hợp các nguyên liệu để có được Thỏ Thợ May.")</f>
        <v>Coi chừng, ta sắp ra tay rồi! Kết hợp các nguyên liệu để có được Thỏ Thợ May.</v>
      </c>
      <c r="H2064" s="8"/>
      <c r="I2064" s="8"/>
      <c r="J2064" s="8"/>
    </row>
    <row r="2065" ht="21.0" customHeight="1">
      <c r="A2065" s="68">
        <v>1.0</v>
      </c>
      <c r="B2065" s="68">
        <v>166.0</v>
      </c>
      <c r="C2065" s="68">
        <v>9.0</v>
      </c>
      <c r="D2065" s="68" t="s">
        <v>2926</v>
      </c>
      <c r="E2065" s="70" t="s">
        <v>2927</v>
      </c>
      <c r="F2065" s="8" t="str">
        <f>IFERROR(__xludf.DUMMYFUNCTION("GOOGLETRANSLATE(D2065,""zh-CN"",""vi"")"),"Thỏ thợ may")</f>
        <v>Thỏ thợ may</v>
      </c>
      <c r="G2065" s="8" t="str">
        <f>IFERROR(__xludf.DUMMYFUNCTION("GOOGLETRANSLATE(E2065,""zh-CN"",""vi"")"),"Từng mũi kim, hơi ấm được dệt vào từng bộ quần áo. Kết hợp các mũi kim để tạo ra Thỏ Nghệ Sĩ.")</f>
        <v>Từng mũi kim, hơi ấm được dệt vào từng bộ quần áo. Kết hợp các mũi kim để tạo ra Thỏ Nghệ Sĩ.</v>
      </c>
      <c r="H2065" s="8"/>
      <c r="I2065" s="8"/>
      <c r="J2065" s="8"/>
    </row>
    <row r="2066" ht="21.0" customHeight="1">
      <c r="A2066" s="35">
        <v>1.0</v>
      </c>
      <c r="B2066" s="35">
        <v>166.0</v>
      </c>
      <c r="C2066" s="35">
        <v>10.0</v>
      </c>
      <c r="D2066" s="35" t="s">
        <v>2928</v>
      </c>
      <c r="E2066" s="69" t="s">
        <v>2929</v>
      </c>
      <c r="F2066" s="8" t="str">
        <f>IFERROR(__xludf.DUMMYFUNCTION("GOOGLETRANSLATE(D2066,""zh-CN"",""vi"")"),"Thỏ họa sĩ")</f>
        <v>Thỏ họa sĩ</v>
      </c>
      <c r="G2066" s="8" t="str">
        <f>IFERROR(__xludf.DUMMYFUNCTION("GOOGLETRANSLATE(E2066,""zh-CN"",""vi"")"),"Một họa sĩ bậc thầy, một chú thỏ giữa các bậc thầy. (Chú thỏ phóng viên được tạo ra thông qua quá trình tổng hợp.)")</f>
        <v>Một họa sĩ bậc thầy, một chú thỏ giữa các bậc thầy. (Chú thỏ phóng viên được tạo ra thông qua quá trình tổng hợp.)</v>
      </c>
      <c r="H2066" s="8"/>
      <c r="I2066" s="8"/>
      <c r="J2066" s="8"/>
    </row>
    <row r="2067" ht="21.0" customHeight="1">
      <c r="A2067" s="68">
        <v>1.0</v>
      </c>
      <c r="B2067" s="68">
        <v>166.0</v>
      </c>
      <c r="C2067" s="68">
        <v>11.0</v>
      </c>
      <c r="D2067" s="68" t="s">
        <v>2930</v>
      </c>
      <c r="E2067" s="70" t="s">
        <v>2931</v>
      </c>
      <c r="F2067" s="8" t="str">
        <f>IFERROR(__xludf.DUMMYFUNCTION("GOOGLETRANSLATE(D2067,""zh-CN"",""vi"")"),"Phóng viên Thỏ")</f>
        <v>Phóng viên Thỏ</v>
      </c>
      <c r="G2067" s="8" t="str">
        <f>IFERROR(__xludf.DUMMYFUNCTION("GOOGLETRANSLATE(E2067,""zh-CN"",""vi"")"),"Dù đường sá gập ghềnh ở đâu, tôi cũng sẽ ở đó. Tổng hợp để có được Thỏ Nghiên cứu.")</f>
        <v>Dù đường sá gập ghềnh ở đâu, tôi cũng sẽ ở đó. Tổng hợp để có được Thỏ Nghiên cứu.</v>
      </c>
      <c r="H2067" s="8"/>
      <c r="I2067" s="8"/>
      <c r="J2067" s="8"/>
    </row>
    <row r="2068" ht="21.0" customHeight="1">
      <c r="A2068" s="35">
        <v>1.0</v>
      </c>
      <c r="B2068" s="35">
        <v>166.0</v>
      </c>
      <c r="C2068" s="35">
        <v>12.0</v>
      </c>
      <c r="D2068" s="35" t="s">
        <v>2932</v>
      </c>
      <c r="E2068" s="69" t="s">
        <v>2933</v>
      </c>
      <c r="F2068" s="8" t="str">
        <f>IFERROR(__xludf.DUMMYFUNCTION("GOOGLETRANSLATE(D2068,""zh-CN"",""vi"")"),"Thỏ nghiên cứu")</f>
        <v>Thỏ nghiên cứu</v>
      </c>
      <c r="G2068" s="8" t="str">
        <f>IFERROR(__xludf.DUMMYFUNCTION("GOOGLETRANSLATE(E2068,""zh-CN"",""vi"")"),"Sử dụng ống nghiệm và cốc đong, họ đã thực hiện một nhiệm vụ quan trọng: tổng hợp Thỏ Kỹ sư.")</f>
        <v>Sử dụng ống nghiệm và cốc đong, họ đã thực hiện một nhiệm vụ quan trọng: tổng hợp Thỏ Kỹ sư.</v>
      </c>
      <c r="H2068" s="8"/>
      <c r="I2068" s="8"/>
      <c r="J2068" s="8"/>
    </row>
    <row r="2069" ht="21.0" customHeight="1">
      <c r="A2069" s="68">
        <v>1.0</v>
      </c>
      <c r="B2069" s="68">
        <v>166.0</v>
      </c>
      <c r="C2069" s="68">
        <v>13.0</v>
      </c>
      <c r="D2069" s="68" t="s">
        <v>2934</v>
      </c>
      <c r="E2069" s="70" t="s">
        <v>2935</v>
      </c>
      <c r="F2069" s="8" t="str">
        <f>IFERROR(__xludf.DUMMYFUNCTION("GOOGLETRANSLATE(D2069,""zh-CN"",""vi"")"),"Kỹ sư Thỏ")</f>
        <v>Kỹ sư Thỏ</v>
      </c>
      <c r="G2069" s="8" t="str">
        <f>IFERROR(__xludf.DUMMYFUNCTION("GOOGLETRANSLATE(E2069,""zh-CN"",""vi"")"),"Nắm vững toán học, vật lý và hóa học, bạn sẽ không còn sợ hãi ngay cả khi lên vũ trụ. (Đã được tổng hợp đến cấp độ cao nhất.)")</f>
        <v>Nắm vững toán học, vật lý và hóa học, bạn sẽ không còn sợ hãi ngay cả khi lên vũ trụ. (Đã được tổng hợp đến cấp độ cao nhất.)</v>
      </c>
      <c r="H2069" s="8"/>
      <c r="I2069" s="8"/>
      <c r="J2069" s="8"/>
    </row>
    <row r="2070" ht="21.0" customHeight="1">
      <c r="A2070" s="35">
        <v>1.0</v>
      </c>
      <c r="B2070" s="35">
        <v>167.0</v>
      </c>
      <c r="C2070" s="35">
        <v>1.0</v>
      </c>
      <c r="D2070" s="35" t="s">
        <v>2936</v>
      </c>
      <c r="E2070" s="69" t="s">
        <v>2937</v>
      </c>
      <c r="F2070" s="8" t="str">
        <f>IFERROR(__xludf.DUMMYFUNCTION("GOOGLETRANSLATE(D2070,""zh-CN"",""vi"")"),"lưỡi liềm")</f>
        <v>lưỡi liềm</v>
      </c>
      <c r="G2070" s="8" t="str">
        <f>IFERROR(__xludf.DUMMYFUNCTION("GOOGLETRANSLATE(E2070,""zh-CN"",""vi"")"),"Minh chứng cho trí tuệ của người xưa. Cần câu cá được chế tạo bằng phương pháp thủ công.")</f>
        <v>Minh chứng cho trí tuệ của người xưa. Cần câu cá được chế tạo bằng phương pháp thủ công.</v>
      </c>
      <c r="H2070" s="8"/>
      <c r="I2070" s="8"/>
      <c r="J2070" s="8"/>
    </row>
    <row r="2071" ht="21.0" customHeight="1">
      <c r="A2071" s="68">
        <v>1.0</v>
      </c>
      <c r="B2071" s="68">
        <v>167.0</v>
      </c>
      <c r="C2071" s="68">
        <v>2.0</v>
      </c>
      <c r="D2071" s="68" t="s">
        <v>2938</v>
      </c>
      <c r="E2071" s="70" t="s">
        <v>2939</v>
      </c>
      <c r="F2071" s="8" t="str">
        <f>IFERROR(__xludf.DUMMYFUNCTION("GOOGLETRANSLATE(D2071,""zh-CN"",""vi"")"),"cần câu cá")</f>
        <v>cần câu cá</v>
      </c>
      <c r="G2071" s="8" t="str">
        <f>IFERROR(__xludf.DUMMYFUNCTION("GOOGLETRANSLATE(E2071,""zh-CN"",""vi"")"),"Dây câu rung lên; một con cá lớn đã cắn câu. Hãy làm chiếc xô xi măng.")</f>
        <v>Dây câu rung lên; một con cá lớn đã cắn câu. Hãy làm chiếc xô xi măng.</v>
      </c>
      <c r="H2071" s="8"/>
      <c r="I2071" s="8"/>
      <c r="J2071" s="8"/>
    </row>
    <row r="2072" ht="21.0" customHeight="1">
      <c r="A2072" s="35">
        <v>1.0</v>
      </c>
      <c r="B2072" s="35">
        <v>167.0</v>
      </c>
      <c r="C2072" s="35">
        <v>3.0</v>
      </c>
      <c r="D2072" s="35" t="s">
        <v>2940</v>
      </c>
      <c r="E2072" s="69" t="s">
        <v>2941</v>
      </c>
      <c r="F2072" s="8" t="str">
        <f>IFERROR(__xludf.DUMMYFUNCTION("GOOGLETRANSLATE(D2072,""zh-CN"",""vi"")"),"xô xi măng")</f>
        <v>xô xi măng</v>
      </c>
      <c r="G2072" s="8" t="str">
        <f>IFERROR(__xludf.DUMMYFUNCTION("GOOGLETRANSLATE(E2072,""zh-CN"",""vi"")"),"Tất cả dụng cụ xây dựng đều được cất giữ bên trong. Hãy chế tạo chúng để có được một chiếc rổ sàng chắn gió.")</f>
        <v>Tất cả dụng cụ xây dựng đều được cất giữ bên trong. Hãy chế tạo chúng để có được một chiếc rổ sàng chắn gió.</v>
      </c>
      <c r="H2072" s="8"/>
      <c r="I2072" s="8"/>
      <c r="J2072" s="8"/>
    </row>
    <row r="2073" ht="21.0" customHeight="1">
      <c r="A2073" s="68">
        <v>1.0</v>
      </c>
      <c r="B2073" s="68">
        <v>167.0</v>
      </c>
      <c r="C2073" s="68">
        <v>4.0</v>
      </c>
      <c r="D2073" s="68" t="s">
        <v>2942</v>
      </c>
      <c r="E2073" s="70" t="s">
        <v>2943</v>
      </c>
      <c r="F2073" s="8" t="str">
        <f>IFERROR(__xludf.DUMMYFUNCTION("GOOGLETRANSLATE(D2073,""zh-CN"",""vi"")"),"Giỏ sàng chắn gió")</f>
        <v>Giỏ sàng chắn gió</v>
      </c>
      <c r="G2073" s="8" t="str">
        <f>IFERROR(__xludf.DUMMYFUNCTION("GOOGLETRANSLATE(E2073,""zh-CN"",""vi"")"),"Những vật phẩm thiết yếu để giữ gìn đường phố sạch sẽ. Hãy chế tạo chúng để nhận được các hộp giao hàng.")</f>
        <v>Những vật phẩm thiết yếu để giữ gìn đường phố sạch sẽ. Hãy chế tạo chúng để nhận được các hộp giao hàng.</v>
      </c>
      <c r="H2073" s="8"/>
      <c r="I2073" s="8"/>
      <c r="J2073" s="8"/>
    </row>
    <row r="2074" ht="21.0" customHeight="1">
      <c r="A2074" s="35">
        <v>1.0</v>
      </c>
      <c r="B2074" s="35">
        <v>167.0</v>
      </c>
      <c r="C2074" s="35">
        <v>5.0</v>
      </c>
      <c r="D2074" s="35" t="s">
        <v>2944</v>
      </c>
      <c r="E2074" s="69" t="s">
        <v>2945</v>
      </c>
      <c r="F2074" s="8" t="str">
        <f>IFERROR(__xludf.DUMMYFUNCTION("GOOGLETRANSLATE(D2074,""zh-CN"",""vi"")"),"hộp mang đi")</f>
        <v>hộp mang đi</v>
      </c>
      <c r="G2074" s="8" t="str">
        <f>IFERROR(__xludf.DUMMYFUNCTION("GOOGLETRANSLATE(E2074,""zh-CN"",""vi"")"),"Một hộp giữ lạnh đồ ăn mang đi. Kết hợp các hộp để tạo thành bình lắc.")</f>
        <v>Một hộp giữ lạnh đồ ăn mang đi. Kết hợp các hộp để tạo thành bình lắc.</v>
      </c>
      <c r="H2074" s="8"/>
      <c r="I2074" s="8"/>
      <c r="J2074" s="8"/>
    </row>
    <row r="2075" ht="21.0" customHeight="1">
      <c r="A2075" s="68">
        <v>1.0</v>
      </c>
      <c r="B2075" s="68">
        <v>167.0</v>
      </c>
      <c r="C2075" s="68">
        <v>6.0</v>
      </c>
      <c r="D2075" s="68" t="s">
        <v>2946</v>
      </c>
      <c r="E2075" s="70" t="s">
        <v>2947</v>
      </c>
      <c r="F2075" s="8" t="str">
        <f>IFERROR(__xludf.DUMMYFUNCTION("GOOGLETRANSLATE(D2075,""zh-CN"",""vi"")"),"Máy lắc")</f>
        <v>Máy lắc</v>
      </c>
      <c r="G2075" s="8" t="str">
        <f>IFERROR(__xludf.DUMMYFUNCTION("GOOGLETRANSLATE(E2075,""zh-CN"",""vi"")"),"Những nguyên liệu thông thường hòa quyện tạo nên hương vị độc đáo. Kết hợp chúng để tạo thành một chiếc la bàn và thước vuông.")</f>
        <v>Những nguyên liệu thông thường hòa quyện tạo nên hương vị độc đáo. Kết hợp chúng để tạo thành một chiếc la bàn và thước vuông.</v>
      </c>
      <c r="H2075" s="8"/>
      <c r="I2075" s="8"/>
      <c r="J2075" s="8"/>
    </row>
    <row r="2076" ht="21.0" customHeight="1">
      <c r="A2076" s="35">
        <v>1.0</v>
      </c>
      <c r="B2076" s="35">
        <v>167.0</v>
      </c>
      <c r="C2076" s="35">
        <v>7.0</v>
      </c>
      <c r="D2076" s="35" t="s">
        <v>2948</v>
      </c>
      <c r="E2076" s="69" t="s">
        <v>2949</v>
      </c>
      <c r="F2076" s="8" t="str">
        <f>IFERROR(__xludf.DUMMYFUNCTION("GOOGLETRANSLATE(D2076,""zh-CN"",""vi"")"),"Compa và thước vuông")</f>
        <v>Compa và thước vuông</v>
      </c>
      <c r="G2076" s="8" t="str">
        <f>IFERROR(__xludf.DUMMYFUNCTION("GOOGLETRANSLATE(E2076,""zh-CN"",""vi"")"),"Những đường nét đơn giản truyền tải sức mạnh của tri thức. Hãy kết hợp chúng để tạo thành một chiếc vợt bóng bàn.")</f>
        <v>Những đường nét đơn giản truyền tải sức mạnh của tri thức. Hãy kết hợp chúng để tạo thành một chiếc vợt bóng bàn.</v>
      </c>
      <c r="H2076" s="8"/>
      <c r="I2076" s="8"/>
      <c r="J2076" s="8"/>
    </row>
    <row r="2077" ht="21.0" customHeight="1">
      <c r="A2077" s="68">
        <v>1.0</v>
      </c>
      <c r="B2077" s="68">
        <v>167.0</v>
      </c>
      <c r="C2077" s="68">
        <v>8.0</v>
      </c>
      <c r="D2077" s="68" t="s">
        <v>2950</v>
      </c>
      <c r="E2077" s="70" t="s">
        <v>2951</v>
      </c>
      <c r="F2077" s="8" t="str">
        <f>IFERROR(__xludf.DUMMYFUNCTION("GOOGLETRANSLATE(D2077,""zh-CN"",""vi"")"),"Vợt bóng bàn")</f>
        <v>Vợt bóng bàn</v>
      </c>
      <c r="G2077" s="8" t="str">
        <f>IFERROR(__xludf.DUMMYFUNCTION("GOOGLETRANSLATE(E2077,""zh-CN"",""vi"")"),"Vũ khí của vận động viên trên sân. Chế tạo nó để có được máy may.")</f>
        <v>Vũ khí của vận động viên trên sân. Chế tạo nó để có được máy may.</v>
      </c>
      <c r="H2077" s="8"/>
      <c r="I2077" s="8"/>
      <c r="J2077" s="8"/>
    </row>
    <row r="2078" ht="21.0" customHeight="1">
      <c r="A2078" s="35">
        <v>1.0</v>
      </c>
      <c r="B2078" s="35">
        <v>167.0</v>
      </c>
      <c r="C2078" s="35">
        <v>9.0</v>
      </c>
      <c r="D2078" s="35" t="s">
        <v>2952</v>
      </c>
      <c r="E2078" s="69" t="s">
        <v>2953</v>
      </c>
      <c r="F2078" s="8" t="str">
        <f>IFERROR(__xludf.DUMMYFUNCTION("GOOGLETRANSLATE(D2078,""zh-CN"",""vi"")"),"máy may")</f>
        <v>máy may</v>
      </c>
      <c r="G2078" s="8" t="str">
        <f>IFERROR(__xludf.DUMMYFUNCTION("GOOGLETRANSLATE(E2078,""zh-CN"",""vi"")"),"Để thổi hồn vào chiếc váy và mang dấu ấn thời gian. Để kết hợp bảng màu và cọ vẽ.")</f>
        <v>Để thổi hồn vào chiếc váy và mang dấu ấn thời gian. Để kết hợp bảng màu và cọ vẽ.</v>
      </c>
      <c r="H2078" s="8"/>
      <c r="I2078" s="8"/>
      <c r="J2078" s="8"/>
    </row>
    <row r="2079" ht="21.0" customHeight="1">
      <c r="A2079" s="68">
        <v>1.0</v>
      </c>
      <c r="B2079" s="68">
        <v>167.0</v>
      </c>
      <c r="C2079" s="68">
        <v>10.0</v>
      </c>
      <c r="D2079" s="68" t="s">
        <v>2954</v>
      </c>
      <c r="E2079" s="70" t="s">
        <v>2955</v>
      </c>
      <c r="F2079" s="8" t="str">
        <f>IFERROR(__xludf.DUMMYFUNCTION("GOOGLETRANSLATE(D2079,""zh-CN"",""vi"")"),"Cọ vẽ")</f>
        <v>Cọ vẽ</v>
      </c>
      <c r="G2079" s="8" t="str">
        <f>IFERROR(__xludf.DUMMYFUNCTION("GOOGLETRANSLATE(E2079,""zh-CN"",""vi"")"),"Chỉ một nét vẽ có thể tạo ra hàng triệu màu sắc. Kết hợp chúng lại để tạo thành một chiếc máy ảnh.")</f>
        <v>Chỉ một nét vẽ có thể tạo ra hàng triệu màu sắc. Kết hợp chúng lại để tạo thành một chiếc máy ảnh.</v>
      </c>
      <c r="H2079" s="8"/>
      <c r="I2079" s="8"/>
      <c r="J2079" s="8"/>
    </row>
    <row r="2080" ht="21.0" customHeight="1">
      <c r="A2080" s="35">
        <v>1.0</v>
      </c>
      <c r="B2080" s="35">
        <v>167.0</v>
      </c>
      <c r="C2080" s="35">
        <v>11.0</v>
      </c>
      <c r="D2080" s="35" t="s">
        <v>2956</v>
      </c>
      <c r="E2080" s="69" t="s">
        <v>2957</v>
      </c>
      <c r="F2080" s="8" t="str">
        <f>IFERROR(__xludf.DUMMYFUNCTION("GOOGLETRANSLATE(D2080,""zh-CN"",""vi"")"),"máy ảnh")</f>
        <v>máy ảnh</v>
      </c>
      <c r="G2080" s="8" t="str">
        <f>IFERROR(__xludf.DUMMYFUNCTION("GOOGLETRANSLATE(E2080,""zh-CN"",""vi"")"),"Một thấu kính nhỏ xíu thu giữ vô số hương vị. Khi kết hợp lại, chúng tạo thành một kính hiển vi.")</f>
        <v>Một thấu kính nhỏ xíu thu giữ vô số hương vị. Khi kết hợp lại, chúng tạo thành một kính hiển vi.</v>
      </c>
      <c r="H2080" s="8"/>
      <c r="I2080" s="8"/>
      <c r="J2080" s="8"/>
    </row>
    <row r="2081" ht="21.0" customHeight="1">
      <c r="A2081" s="68">
        <v>1.0</v>
      </c>
      <c r="B2081" s="68">
        <v>167.0</v>
      </c>
      <c r="C2081" s="68">
        <v>12.0</v>
      </c>
      <c r="D2081" s="68" t="s">
        <v>2958</v>
      </c>
      <c r="E2081" s="70" t="s">
        <v>2959</v>
      </c>
      <c r="F2081" s="8" t="str">
        <f>IFERROR(__xludf.DUMMYFUNCTION("GOOGLETRANSLATE(D2081,""zh-CN"",""vi"")"),"kính hiển vi")</f>
        <v>kính hiển vi</v>
      </c>
      <c r="G2081" s="8" t="str">
        <f>IFERROR(__xludf.DUMMYFUNCTION("GOOGLETRANSLATE(E2081,""zh-CN"",""vi"")"),"Khám phá thế giới vi mô qua các thấu kính. Tổng hợp và tạo ra một chiếc máy tính.")</f>
        <v>Khám phá thế giới vi mô qua các thấu kính. Tổng hợp và tạo ra một chiếc máy tính.</v>
      </c>
      <c r="H2081" s="8"/>
      <c r="I2081" s="8"/>
      <c r="J2081" s="8"/>
    </row>
    <row r="2082" ht="21.0" customHeight="1">
      <c r="A2082" s="35">
        <v>1.0</v>
      </c>
      <c r="B2082" s="35">
        <v>167.0</v>
      </c>
      <c r="C2082" s="35">
        <v>13.0</v>
      </c>
      <c r="D2082" s="35" t="s">
        <v>2960</v>
      </c>
      <c r="E2082" s="69" t="s">
        <v>2961</v>
      </c>
      <c r="F2082" s="8" t="str">
        <f>IFERROR(__xludf.DUMMYFUNCTION("GOOGLETRANSLATE(D2082,""zh-CN"",""vi"")"),"máy tính")</f>
        <v>máy tính</v>
      </c>
      <c r="G2082" s="8" t="str">
        <f>IFERROR(__xludf.DUMMYFUNCTION("GOOGLETRANSLATE(E2082,""zh-CN"",""vi"")"),"Sự chính xác và hiệu quả là những đặc điểm nổi bật của tôi. Chúng đã được tổng hợp ở mức độ cao nhất.")</f>
        <v>Sự chính xác và hiệu quả là những đặc điểm nổi bật của tôi. Chúng đã được tổng hợp ở mức độ cao nhất.</v>
      </c>
      <c r="H2082" s="8"/>
      <c r="I2082" s="8"/>
      <c r="J2082" s="8"/>
    </row>
    <row r="2083" ht="21.0" customHeight="1">
      <c r="A2083" s="68">
        <v>1.0</v>
      </c>
      <c r="B2083" s="68">
        <v>168.0</v>
      </c>
      <c r="C2083" s="68">
        <v>1.0</v>
      </c>
      <c r="D2083" s="68" t="s">
        <v>2962</v>
      </c>
      <c r="E2083" s="70" t="s">
        <v>2963</v>
      </c>
      <c r="F2083" s="8" t="str">
        <f>IFERROR(__xludf.DUMMYFUNCTION("GOOGLETRANSLATE(D2083,""zh-CN"",""vi"")"),"cơm")</f>
        <v>cơm</v>
      </c>
      <c r="G2083" s="8" t="str">
        <f>IFERROR(__xludf.DUMMYFUNCTION("GOOGLETRANSLATE(E2083,""zh-CN"",""vi"")"),"Mỗi hạt gạo tượng trưng cho sự lao động vất vả. Hãy gom chúng lại để tạo thành một con cá nhỏ trong xô.")</f>
        <v>Mỗi hạt gạo tượng trưng cho sự lao động vất vả. Hãy gom chúng lại để tạo thành một con cá nhỏ trong xô.</v>
      </c>
      <c r="H2083" s="8"/>
      <c r="I2083" s="8"/>
      <c r="J2083" s="8"/>
    </row>
    <row r="2084" ht="21.0" customHeight="1">
      <c r="A2084" s="35">
        <v>1.0</v>
      </c>
      <c r="B2084" s="35">
        <v>168.0</v>
      </c>
      <c r="C2084" s="35">
        <v>2.0</v>
      </c>
      <c r="D2084" s="35" t="s">
        <v>2964</v>
      </c>
      <c r="E2084" s="69" t="s">
        <v>2965</v>
      </c>
      <c r="F2084" s="8" t="str">
        <f>IFERROR(__xludf.DUMMYFUNCTION("GOOGLETRANSLATE(D2084,""zh-CN"",""vi"")"),"Cá xô nhỏ")</f>
        <v>Cá xô nhỏ</v>
      </c>
      <c r="G2084" s="8" t="str">
        <f>IFERROR(__xludf.DUMMYFUNCTION("GOOGLETRANSLATE(E2084,""zh-CN"",""vi"")"),"Kết quả của một buổi chiều đi câu cá. Được tạo hình thành một đống gạch.")</f>
        <v>Kết quả của một buổi chiều đi câu cá. Được tạo hình thành một đống gạch.</v>
      </c>
      <c r="H2084" s="8"/>
      <c r="I2084" s="8"/>
      <c r="J2084" s="8"/>
    </row>
    <row r="2085" ht="21.0" customHeight="1">
      <c r="A2085" s="68">
        <v>1.0</v>
      </c>
      <c r="B2085" s="68">
        <v>168.0</v>
      </c>
      <c r="C2085" s="68">
        <v>3.0</v>
      </c>
      <c r="D2085" s="68" t="s">
        <v>2966</v>
      </c>
      <c r="E2085" s="70" t="s">
        <v>2967</v>
      </c>
      <c r="F2085" s="8" t="str">
        <f>IFERROR(__xludf.DUMMYFUNCTION("GOOGLETRANSLATE(D2085,""zh-CN"",""vi"")"),"đống gạch")</f>
        <v>đống gạch</v>
      </c>
      <c r="G2085" s="8" t="str">
        <f>IFERROR(__xludf.DUMMYFUNCTION("GOOGLETRANSLATE(E2085,""zh-CN"",""vi"")"),"Trộn bùn, tháo khuôn, lát gạch... đây là những công việc đòi hỏi kỹ năng! Kết hợp chúng lại để có được những thùng rác được phân loại.")</f>
        <v>Trộn bùn, tháo khuôn, lát gạch... đây là những công việc đòi hỏi kỹ năng! Kết hợp chúng lại để có được những thùng rác được phân loại.</v>
      </c>
      <c r="H2085" s="8"/>
      <c r="I2085" s="8"/>
      <c r="J2085" s="8"/>
    </row>
    <row r="2086" ht="21.0" customHeight="1">
      <c r="A2086" s="35">
        <v>1.0</v>
      </c>
      <c r="B2086" s="35">
        <v>168.0</v>
      </c>
      <c r="C2086" s="35">
        <v>4.0</v>
      </c>
      <c r="D2086" s="35" t="s">
        <v>2968</v>
      </c>
      <c r="E2086" s="69" t="s">
        <v>2969</v>
      </c>
      <c r="F2086" s="8" t="str">
        <f>IFERROR(__xludf.DUMMYFUNCTION("GOOGLETRANSLATE(D2086,""zh-CN"",""vi"")"),"Thùng tái chế")</f>
        <v>Thùng tái chế</v>
      </c>
      <c r="G2086" s="8" t="str">
        <f>IFERROR(__xludf.DUMMYFUNCTION("GOOGLETRANSLATE(E2086,""zh-CN"",""vi"")"),"Phân loại rác nhấn mạnh việc tách rác ướt và rác khô. (Sau đó, đoạn văn đột ngột chuyển sang một chủ đề dường như không liên quan: ""Để mua đồ ăn mang về."")")</f>
        <v>Phân loại rác nhấn mạnh việc tách rác ướt và rác khô. (Sau đó, đoạn văn đột ngột chuyển sang một chủ đề dường như không liên quan: "Để mua đồ ăn mang về.")</v>
      </c>
      <c r="H2086" s="8"/>
      <c r="I2086" s="8"/>
      <c r="J2086" s="8"/>
    </row>
    <row r="2087" ht="21.0" customHeight="1">
      <c r="A2087" s="68">
        <v>1.0</v>
      </c>
      <c r="B2087" s="68">
        <v>168.0</v>
      </c>
      <c r="C2087" s="68">
        <v>5.0</v>
      </c>
      <c r="D2087" s="68" t="s">
        <v>2970</v>
      </c>
      <c r="E2087" s="70" t="s">
        <v>2971</v>
      </c>
      <c r="F2087" s="8" t="str">
        <f>IFERROR(__xludf.DUMMYFUNCTION("GOOGLETRANSLATE(D2087,""zh-CN"",""vi"")"),"đồ ăn mang đi")</f>
        <v>đồ ăn mang đi</v>
      </c>
      <c r="G2087" s="8" t="str">
        <f>IFERROR(__xludf.DUMMYFUNCTION("GOOGLETRANSLATE(E2087,""zh-CN"",""vi"")"),"Đồ ăn mang về vừa nấu xong, ăn ngay khi còn nóng! Hoặc dùng để pha chế cocktail.")</f>
        <v>Đồ ăn mang về vừa nấu xong, ăn ngay khi còn nóng! Hoặc dùng để pha chế cocktail.</v>
      </c>
      <c r="H2087" s="8"/>
      <c r="I2087" s="8"/>
      <c r="J2087" s="8"/>
    </row>
    <row r="2088" ht="21.0" customHeight="1">
      <c r="A2088" s="35">
        <v>1.0</v>
      </c>
      <c r="B2088" s="35">
        <v>168.0</v>
      </c>
      <c r="C2088" s="35">
        <v>6.0</v>
      </c>
      <c r="D2088" s="35" t="s">
        <v>2972</v>
      </c>
      <c r="E2088" s="69" t="s">
        <v>2973</v>
      </c>
      <c r="F2088" s="8" t="str">
        <f>IFERROR(__xludf.DUMMYFUNCTION("GOOGLETRANSLATE(D2088,""zh-CN"",""vi"")"),"Đồ uống pha chế")</f>
        <v>Đồ uống pha chế</v>
      </c>
      <c r="G2088" s="8" t="str">
        <f>IFERROR(__xludf.DUMMYFUNCTION("GOOGLETRANSLATE(E2088,""zh-CN"",""vi"")"),"Một loại rượu vang có thể có hàng trăm hương vị khác nhau. Hãy kết hợp chúng lại để giành được giấy chứng nhận danh dự.")</f>
        <v>Một loại rượu vang có thể có hàng trăm hương vị khác nhau. Hãy kết hợp chúng lại để giành được giấy chứng nhận danh dự.</v>
      </c>
      <c r="H2088" s="8"/>
      <c r="I2088" s="8"/>
      <c r="J2088" s="8"/>
    </row>
    <row r="2089" ht="21.0" customHeight="1">
      <c r="A2089" s="68">
        <v>1.0</v>
      </c>
      <c r="B2089" s="68">
        <v>168.0</v>
      </c>
      <c r="C2089" s="68">
        <v>7.0</v>
      </c>
      <c r="D2089" s="68" t="s">
        <v>2974</v>
      </c>
      <c r="E2089" s="70" t="s">
        <v>2975</v>
      </c>
      <c r="F2089" s="8" t="str">
        <f>IFERROR(__xludf.DUMMYFUNCTION("GOOGLETRANSLATE(D2089,""zh-CN"",""vi"")"),"Giấy chứng nhận danh dự")</f>
        <v>Giấy chứng nhận danh dự</v>
      </c>
      <c r="G2089" s="8" t="str">
        <f>IFERROR(__xludf.DUMMYFUNCTION("GOOGLETRANSLATE(E2089,""zh-CN"",""vi"")"),"Đây là niềm vinh dự cho các em học sinh và các thầy cô giáo. Họ đã giành được cúp thể thao.")</f>
        <v>Đây là niềm vinh dự cho các em học sinh và các thầy cô giáo. Họ đã giành được cúp thể thao.</v>
      </c>
      <c r="H2089" s="8"/>
      <c r="I2089" s="8"/>
      <c r="J2089" s="8"/>
    </row>
    <row r="2090" ht="21.0" customHeight="1">
      <c r="A2090" s="35">
        <v>1.0</v>
      </c>
      <c r="B2090" s="35">
        <v>168.0</v>
      </c>
      <c r="C2090" s="35">
        <v>8.0</v>
      </c>
      <c r="D2090" s="35" t="s">
        <v>2976</v>
      </c>
      <c r="E2090" s="69" t="s">
        <v>2977</v>
      </c>
      <c r="F2090" s="8" t="str">
        <f>IFERROR(__xludf.DUMMYFUNCTION("GOOGLETRANSLATE(D2090,""zh-CN"",""vi"")"),"Cúp thể thao")</f>
        <v>Cúp thể thao</v>
      </c>
      <c r="G2090" s="8" t="str">
        <f>IFERROR(__xludf.DUMMYFUNCTION("GOOGLETRANSLATE(E2090,""zh-CN"",""vi"")"),"Đổ mồ hôi trên sân thể thao, tất cả vì khoảnh khắc này. Tự tay may một chiếc váy.")</f>
        <v>Đổ mồ hôi trên sân thể thao, tất cả vì khoảnh khắc này. Tự tay may một chiếc váy.</v>
      </c>
      <c r="H2090" s="8"/>
      <c r="I2090" s="8"/>
      <c r="J2090" s="8"/>
    </row>
    <row r="2091" ht="21.0" customHeight="1">
      <c r="A2091" s="68">
        <v>1.0</v>
      </c>
      <c r="B2091" s="68">
        <v>168.0</v>
      </c>
      <c r="C2091" s="68">
        <v>9.0</v>
      </c>
      <c r="D2091" s="68" t="s">
        <v>2978</v>
      </c>
      <c r="E2091" s="70" t="s">
        <v>2979</v>
      </c>
      <c r="F2091" s="8" t="str">
        <f>IFERROR(__xludf.DUMMYFUNCTION("GOOGLETRANSLATE(D2091,""zh-CN"",""vi"")"),"Váy thủ công")</f>
        <v>Váy thủ công</v>
      </c>
      <c r="G2091" s="8" t="str">
        <f>IFERROR(__xludf.DUMMYFUNCTION("GOOGLETRANSLATE(E2091,""zh-CN"",""vi"")"),"Đồ đặt làm riêng còn hơn cả đồ vô giá. Hãy kết hợp các yếu tố để tạo hiệu ứng như tranh vẽ tay.")</f>
        <v>Đồ đặt làm riêng còn hơn cả đồ vô giá. Hãy kết hợp các yếu tố để tạo hiệu ứng như tranh vẽ tay.</v>
      </c>
      <c r="H2091" s="8"/>
      <c r="I2091" s="8"/>
      <c r="J2091" s="8"/>
    </row>
    <row r="2092" ht="21.0" customHeight="1">
      <c r="A2092" s="35">
        <v>1.0</v>
      </c>
      <c r="B2092" s="35">
        <v>168.0</v>
      </c>
      <c r="C2092" s="35">
        <v>10.0</v>
      </c>
      <c r="D2092" s="35" t="s">
        <v>2980</v>
      </c>
      <c r="E2092" s="69" t="s">
        <v>2981</v>
      </c>
      <c r="F2092" s="8" t="str">
        <f>IFERROR(__xludf.DUMMYFUNCTION("GOOGLETRANSLATE(D2092,""zh-CN"",""vi"")"),"Vẽ tay")</f>
        <v>Vẽ tay</v>
      </c>
      <c r="G2092" s="8" t="str">
        <f>IFERROR(__xludf.DUMMYFUNCTION("GOOGLETRANSLATE(E2092,""zh-CN"",""vi"")"),"Chỉ với một nét cọ, cả thế giới như bừng sáng trên giấy. Hình ảnh tổng hợp này sau đó được sử dụng để tạo ra các bản tin.")</f>
        <v>Chỉ với một nét cọ, cả thế giới như bừng sáng trên giấy. Hình ảnh tổng hợp này sau đó được sử dụng để tạo ra các bản tin.</v>
      </c>
      <c r="H2092" s="8"/>
      <c r="I2092" s="8"/>
      <c r="J2092" s="8"/>
    </row>
    <row r="2093" ht="21.0" customHeight="1">
      <c r="A2093" s="68">
        <v>1.0</v>
      </c>
      <c r="B2093" s="68">
        <v>168.0</v>
      </c>
      <c r="C2093" s="68">
        <v>11.0</v>
      </c>
      <c r="D2093" s="68" t="s">
        <v>2982</v>
      </c>
      <c r="E2093" s="70" t="s">
        <v>2983</v>
      </c>
      <c r="F2093" s="8" t="str">
        <f>IFERROR(__xludf.DUMMYFUNCTION("GOOGLETRANSLATE(D2093,""zh-CN"",""vi"")"),"Bản tin")</f>
        <v>Bản tin</v>
      </c>
      <c r="G2093" s="8" t="str">
        <f>IFERROR(__xludf.DUMMYFUNCTION("GOOGLETRANSLATE(E2093,""zh-CN"",""vi"")"),"Nó khắc họa sống động sự ấm áp và lạnh lùng trong các mối quan hệ con người và hé lộ những diễn biến mới mẻ. Nó tổng hợp và thu được các loại thuốc nghiên cứu khoa học.")</f>
        <v>Nó khắc họa sống động sự ấm áp và lạnh lùng trong các mối quan hệ con người và hé lộ những diễn biến mới mẻ. Nó tổng hợp và thu được các loại thuốc nghiên cứu khoa học.</v>
      </c>
      <c r="H2093" s="8"/>
      <c r="I2093" s="8"/>
      <c r="J2093" s="8"/>
    </row>
    <row r="2094" ht="21.0" customHeight="1">
      <c r="A2094" s="35">
        <v>1.0</v>
      </c>
      <c r="B2094" s="35">
        <v>168.0</v>
      </c>
      <c r="C2094" s="35">
        <v>12.0</v>
      </c>
      <c r="D2094" s="35" t="s">
        <v>2984</v>
      </c>
      <c r="E2094" s="69" t="s">
        <v>2985</v>
      </c>
      <c r="F2094" s="8" t="str">
        <f>IFERROR(__xludf.DUMMYFUNCTION("GOOGLETRANSLATE(D2094,""zh-CN"",""vi"")"),"Thuốc nghiên cứu")</f>
        <v>Thuốc nghiên cứu</v>
      </c>
      <c r="G2094" s="8" t="str">
        <f>IFERROR(__xludf.DUMMYFUNCTION("GOOGLETRANSLATE(E2094,""zh-CN"",""vi"")"),"Với mục tiêu xóa sổ mọi bệnh tật ở thỏ. Tổng hợp và chế tạo tàu vũ trụ.")</f>
        <v>Với mục tiêu xóa sổ mọi bệnh tật ở thỏ. Tổng hợp và chế tạo tàu vũ trụ.</v>
      </c>
      <c r="H2094" s="8"/>
      <c r="I2094" s="8"/>
      <c r="J2094" s="8"/>
    </row>
    <row r="2095" ht="21.0" customHeight="1">
      <c r="A2095" s="68">
        <v>1.0</v>
      </c>
      <c r="B2095" s="68">
        <v>168.0</v>
      </c>
      <c r="C2095" s="68">
        <v>13.0</v>
      </c>
      <c r="D2095" s="68" t="s">
        <v>2986</v>
      </c>
      <c r="E2095" s="70" t="s">
        <v>2987</v>
      </c>
      <c r="F2095" s="8" t="str">
        <f>IFERROR(__xludf.DUMMYFUNCTION("GOOGLETRANSLATE(D2095,""zh-CN"",""vi"")"),"tàu vũ trụ")</f>
        <v>tàu vũ trụ</v>
      </c>
      <c r="G2095" s="8" t="str">
        <f>IFERROR(__xludf.DUMMYFUNCTION("GOOGLETRANSLATE(E2095,""zh-CN"",""vi"")"),"Hành trình của tôi là đến với các vì sao và biển cả. (Đã được tổng hợp đến cấp độ cao nhất.)")</f>
        <v>Hành trình của tôi là đến với các vì sao và biển cả. (Đã được tổng hợp đến cấp độ cao nhất.)</v>
      </c>
      <c r="H2095" s="8"/>
      <c r="I2095" s="8"/>
      <c r="J2095" s="8"/>
    </row>
    <row r="2096" ht="21.0" customHeight="1">
      <c r="A2096" s="35">
        <v>11.0</v>
      </c>
      <c r="B2096" s="35">
        <v>1030.0</v>
      </c>
      <c r="C2096" s="35">
        <v>1.0</v>
      </c>
      <c r="D2096" s="35" t="s">
        <v>2988</v>
      </c>
      <c r="E2096" s="69" t="s">
        <v>2989</v>
      </c>
      <c r="F2096" s="8" t="str">
        <f>IFERROR(__xludf.DUMMYFUNCTION("GOOGLETRANSLATE(D2096,""zh-CN"",""vi"")"),"Gậy tre lao động")</f>
        <v>Gậy tre lao động</v>
      </c>
      <c r="G2096" s="8" t="str">
        <f>IFERROR(__xludf.DUMMYFUNCTION("GOOGLETRANSLATE(E2096,""zh-CN"",""vi"")"),"Với những thanh tre trong tay, tôi đã đảm bảo được chỉ tiêu lao động. Hãy ghép chúng lại để có được những phiếu tre lao động.")</f>
        <v>Với những thanh tre trong tay, tôi đã đảm bảo được chỉ tiêu lao động. Hãy ghép chúng lại để có được những phiếu tre lao động.</v>
      </c>
      <c r="H2096" s="8"/>
      <c r="I2096" s="8"/>
      <c r="J2096" s="8"/>
    </row>
    <row r="2097" ht="21.0" customHeight="1">
      <c r="A2097" s="68">
        <v>11.0</v>
      </c>
      <c r="B2097" s="68">
        <v>1030.0</v>
      </c>
      <c r="C2097" s="68">
        <v>2.0</v>
      </c>
      <c r="D2097" s="68" t="s">
        <v>2990</v>
      </c>
      <c r="E2097" s="70" t="s">
        <v>2991</v>
      </c>
      <c r="F2097" s="8" t="str">
        <f>IFERROR(__xludf.DUMMYFUNCTION("GOOGLETRANSLATE(D2097,""zh-CN"",""vi"")"),"Phiếu tre lao động")</f>
        <v>Phiếu tre lao động</v>
      </c>
      <c r="G2097" s="8" t="str">
        <f>IFERROR(__xludf.DUMMYFUNCTION("GOOGLETRANSLATE(E2097,""zh-CN"",""vi"")"),"Viết tên những chú thỏ muốn đăng ký làm việc lên những mảnh tre nhỏ. Gom chúng lại để được cấp giấy chứng nhận lao động.")</f>
        <v>Viết tên những chú thỏ muốn đăng ký làm việc lên những mảnh tre nhỏ. Gom chúng lại để được cấp giấy chứng nhận lao động.</v>
      </c>
      <c r="H2097" s="8"/>
      <c r="I2097" s="8"/>
      <c r="J2097" s="8"/>
    </row>
    <row r="2098" ht="21.0" customHeight="1">
      <c r="A2098" s="35">
        <v>11.0</v>
      </c>
      <c r="B2098" s="35">
        <v>1030.0</v>
      </c>
      <c r="C2098" s="35">
        <v>3.0</v>
      </c>
      <c r="D2098" s="35" t="s">
        <v>2992</v>
      </c>
      <c r="E2098" s="69" t="s">
        <v>2993</v>
      </c>
      <c r="F2098" s="8" t="str">
        <f>IFERROR(__xludf.DUMMYFUNCTION("GOOGLETRANSLATE(D2098,""zh-CN"",""vi"")"),"Giấy phép lao động")</f>
        <v>Giấy phép lao động</v>
      </c>
      <c r="G2098" s="8" t="str">
        <f>IFERROR(__xludf.DUMMYFUNCTION("GOOGLETRANSLATE(E2098,""zh-CN"",""vi"")"),"Thành quả của mồ hôi, minh chứng cho lao động. Cùng nhau, họ đã giành được lá cờ lao động.")</f>
        <v>Thành quả của mồ hôi, minh chứng cho lao động. Cùng nhau, họ đã giành được lá cờ lao động.</v>
      </c>
      <c r="H2098" s="8"/>
      <c r="I2098" s="8"/>
      <c r="J2098" s="8"/>
    </row>
    <row r="2099" ht="21.0" customHeight="1">
      <c r="A2099" s="68">
        <v>11.0</v>
      </c>
      <c r="B2099" s="68">
        <v>1030.0</v>
      </c>
      <c r="C2099" s="68">
        <v>4.0</v>
      </c>
      <c r="D2099" s="68" t="s">
        <v>2994</v>
      </c>
      <c r="E2099" s="70" t="s">
        <v>2995</v>
      </c>
      <c r="F2099" s="8" t="str">
        <f>IFERROR(__xludf.DUMMYFUNCTION("GOOGLETRANSLATE(D2099,""zh-CN"",""vi"")"),"Biểu ngữ Lao động")</f>
        <v>Biểu ngữ Lao động</v>
      </c>
      <c r="G2099" s="8" t="str">
        <f>IFERROR(__xludf.DUMMYFUNCTION("GOOGLETRANSLATE(E2099,""zh-CN"",""vi"")"),"Cuộc sống tốt đẹp được tạo dựng từ lao động. (Quá trình tổng hợp đã tạo ra một chứng chỉ kim loại.)")</f>
        <v>Cuộc sống tốt đẹp được tạo dựng từ lao động. (Quá trình tổng hợp đã tạo ra một chứng chỉ kim loại.)</v>
      </c>
      <c r="H2099" s="8"/>
      <c r="I2099" s="8"/>
      <c r="J2099" s="8"/>
    </row>
    <row r="2100" ht="21.0" customHeight="1">
      <c r="A2100" s="35">
        <v>10.0</v>
      </c>
      <c r="B2100" s="35">
        <v>1030.0</v>
      </c>
      <c r="C2100" s="35">
        <v>5.0</v>
      </c>
      <c r="D2100" s="35" t="s">
        <v>2996</v>
      </c>
      <c r="E2100" s="69" t="s">
        <v>2997</v>
      </c>
      <c r="F2100" s="8" t="str">
        <f>IFERROR(__xludf.DUMMYFUNCTION("GOOGLETRANSLATE(D2100,""zh-CN"",""vi"")"),"Giấy chứng nhận kim loại")</f>
        <v>Giấy chứng nhận kim loại</v>
      </c>
      <c r="G2100" s="8" t="str">
        <f>IFERROR(__xludf.DUMMYFUNCTION("GOOGLETRANSLATE(E2100,""zh-CN"",""vi"")"),"Đây thực sự là một giải thưởng có giá trị. Giải thưởng này được trao như một giấy chứng nhận khen thưởng lao động.")</f>
        <v>Đây thực sự là một giải thưởng có giá trị. Giải thưởng này được trao như một giấy chứng nhận khen thưởng lao động.</v>
      </c>
      <c r="H2100" s="8"/>
      <c r="I2100" s="8"/>
      <c r="J2100" s="8"/>
    </row>
    <row r="2101" ht="21.0" customHeight="1">
      <c r="A2101" s="68">
        <v>10.0</v>
      </c>
      <c r="B2101" s="68">
        <v>1030.0</v>
      </c>
      <c r="C2101" s="68">
        <v>6.0</v>
      </c>
      <c r="D2101" s="68" t="s">
        <v>2998</v>
      </c>
      <c r="E2101" s="70" t="s">
        <v>2999</v>
      </c>
      <c r="F2101" s="8" t="str">
        <f>IFERROR(__xludf.DUMMYFUNCTION("GOOGLETRANSLATE(D2101,""zh-CN"",""vi"")"),"Huân chương Lao động")</f>
        <v>Huân chương Lao động</v>
      </c>
      <c r="G2101" s="8" t="str">
        <f>IFERROR(__xludf.DUMMYFUNCTION("GOOGLETRANSLATE(E2101,""zh-CN"",""vi"")"),"Huy hiệu được gắn liền với chứng chỉ, và sự nỗ lực được ghi nhớ. Cả hai cùng nhau tạo nên một chứng chỉ ba chiều.")</f>
        <v>Huy hiệu được gắn liền với chứng chỉ, và sự nỗ lực được ghi nhớ. Cả hai cùng nhau tạo nên một chứng chỉ ba chiều.</v>
      </c>
      <c r="H2101" s="8"/>
      <c r="I2101" s="8"/>
      <c r="J2101" s="8"/>
    </row>
    <row r="2102" ht="21.0" customHeight="1">
      <c r="A2102" s="35">
        <v>10.0</v>
      </c>
      <c r="B2102" s="35">
        <v>1030.0</v>
      </c>
      <c r="C2102" s="35">
        <v>7.0</v>
      </c>
      <c r="D2102" s="35" t="s">
        <v>3000</v>
      </c>
      <c r="E2102" s="69" t="s">
        <v>3001</v>
      </c>
      <c r="F2102" s="8" t="str">
        <f>IFERROR(__xludf.DUMMYFUNCTION("GOOGLETRANSLATE(D2102,""zh-CN"",""vi"")"),"Chứng chỉ 3D")</f>
        <v>Chứng chỉ 3D</v>
      </c>
      <c r="G2102" s="8" t="str">
        <f>IFERROR(__xludf.DUMMYFUNCTION("GOOGLETRANSLATE(E2102,""zh-CN"",""vi"")"),"Việc khen thưởng thành tích lao động cũng cần được thực hiện một cách trang trọng. (Tiếp theo là một câu dường như không liên quan về một bảng trưng bày.)")</f>
        <v>Việc khen thưởng thành tích lao động cũng cần được thực hiện một cách trang trọng. (Tiếp theo là một câu dường như không liên quan về một bảng trưng bày.)</v>
      </c>
      <c r="H2102" s="8"/>
      <c r="I2102" s="8"/>
      <c r="J2102" s="8"/>
    </row>
    <row r="2103" ht="21.0" customHeight="1">
      <c r="A2103" s="68">
        <v>10.0</v>
      </c>
      <c r="B2103" s="68">
        <v>1030.0</v>
      </c>
      <c r="C2103" s="68">
        <v>8.0</v>
      </c>
      <c r="D2103" s="68" t="s">
        <v>3002</v>
      </c>
      <c r="E2103" s="70" t="s">
        <v>3003</v>
      </c>
      <c r="F2103" s="8" t="str">
        <f>IFERROR(__xludf.DUMMYFUNCTION("GOOGLETRANSLATE(D2103,""zh-CN"",""vi"")"),"bảng thông báo")</f>
        <v>bảng thông báo</v>
      </c>
      <c r="G2103" s="8" t="str">
        <f>IFERROR(__xludf.DUMMYFUNCTION("GOOGLETRANSLATE(E2103,""zh-CN"",""vi"")"),"Chú thỏ chăm chỉ là chú thỏ đáng kính nhất. Hãy kết hợp chúng lại để giành được một vị trí trong danh sách vinh danh.")</f>
        <v>Chú thỏ chăm chỉ là chú thỏ đáng kính nhất. Hãy kết hợp chúng lại để giành được một vị trí trong danh sách vinh danh.</v>
      </c>
      <c r="H2103" s="8"/>
      <c r="I2103" s="8"/>
      <c r="J2103" s="8"/>
    </row>
    <row r="2104" ht="21.0" customHeight="1">
      <c r="A2104" s="35">
        <v>10.0</v>
      </c>
      <c r="B2104" s="35">
        <v>1030.0</v>
      </c>
      <c r="C2104" s="35">
        <v>9.0</v>
      </c>
      <c r="D2104" s="35" t="s">
        <v>3004</v>
      </c>
      <c r="E2104" s="69" t="s">
        <v>3005</v>
      </c>
      <c r="F2104" s="8" t="str">
        <f>IFERROR(__xludf.DUMMYFUNCTION("GOOGLETRANSLATE(D2104,""zh-CN"",""vi"")"),"danh dự")</f>
        <v>danh dự</v>
      </c>
      <c r="G2104" s="8" t="str">
        <f>IFERROR(__xludf.DUMMYFUNCTION("GOOGLETRANSLATE(E2104,""zh-CN"",""vi"")"),"Để xem những chú thỏ nào có tên trong danh sách nào nào! (Ghép các chú thỏ lại để nhận được Tượng đài Lao động.)")</f>
        <v>Để xem những chú thỏ nào có tên trong danh sách nào nào! (Ghép các chú thỏ lại để nhận được Tượng đài Lao động.)</v>
      </c>
      <c r="H2104" s="8"/>
      <c r="I2104" s="8"/>
      <c r="J2104" s="8"/>
    </row>
    <row r="2105" ht="21.0" customHeight="1">
      <c r="A2105" s="68">
        <v>10.0</v>
      </c>
      <c r="B2105" s="68">
        <v>1030.0</v>
      </c>
      <c r="C2105" s="68">
        <v>10.0</v>
      </c>
      <c r="D2105" s="68" t="s">
        <v>3006</v>
      </c>
      <c r="E2105" s="70" t="s">
        <v>3007</v>
      </c>
      <c r="F2105" s="8" t="str">
        <f>IFERROR(__xludf.DUMMYFUNCTION("GOOGLETRANSLATE(D2105,""zh-CN"",""vi"")"),"Đài tưởng niệm Lao động")</f>
        <v>Đài tưởng niệm Lao động</v>
      </c>
      <c r="G2105" s="8" t="str">
        <f>IFERROR(__xludf.DUMMYFUNCTION("GOOGLETRANSLATE(E2105,""zh-CN"",""vi"")"),"Lao động, một khúc ca bất hủ. (Đã được tổng hợp đến mức cao nhất.)")</f>
        <v>Lao động, một khúc ca bất hủ. (Đã được tổng hợp đến mức cao nhất.)</v>
      </c>
      <c r="H2105" s="8"/>
      <c r="I2105" s="8"/>
      <c r="J2105" s="8"/>
    </row>
    <row r="2106" ht="21.0" customHeight="1">
      <c r="A2106" s="35">
        <v>11.0</v>
      </c>
      <c r="B2106" s="35">
        <v>1031.0</v>
      </c>
      <c r="C2106" s="35">
        <v>1.0</v>
      </c>
      <c r="D2106" s="35" t="s">
        <v>3008</v>
      </c>
      <c r="E2106" s="69" t="s">
        <v>3009</v>
      </c>
      <c r="F2106" s="8" t="str">
        <f>IFERROR(__xludf.DUMMYFUNCTION("GOOGLETRANSLATE(D2106,""zh-CN"",""vi"")"),"Xiên tre lao động [V]")</f>
        <v>Xiên tre lao động [V]</v>
      </c>
      <c r="G2106" s="8" t="str">
        <f>IFERROR(__xludf.DUMMYFUNCTION("GOOGLETRANSLATE(E2106,""zh-CN"",""vi"")"),"Với những thanh tre trong tay, tôi đã đảm bảo được chỉ tiêu lao động. Hãy lập một phiếu lao động bằng tre [V].")</f>
        <v>Với những thanh tre trong tay, tôi đã đảm bảo được chỉ tiêu lao động. Hãy lập một phiếu lao động bằng tre [V].</v>
      </c>
      <c r="H2106" s="8"/>
      <c r="I2106" s="8"/>
      <c r="J2106" s="8"/>
    </row>
    <row r="2107" ht="21.0" customHeight="1">
      <c r="A2107" s="68">
        <v>11.0</v>
      </c>
      <c r="B2107" s="68">
        <v>1031.0</v>
      </c>
      <c r="C2107" s="68">
        <v>2.0</v>
      </c>
      <c r="D2107" s="68" t="s">
        <v>3010</v>
      </c>
      <c r="E2107" s="70" t="s">
        <v>3011</v>
      </c>
      <c r="F2107" s="8" t="str">
        <f>IFERROR(__xludf.DUMMYFUNCTION("GOOGLETRANSLATE(D2107,""zh-CN"",""vi"")"),"Phiếu tre lao động [V]")</f>
        <v>Phiếu tre lao động [V]</v>
      </c>
      <c r="G2107" s="8" t="str">
        <f>IFERROR(__xludf.DUMMYFUNCTION("GOOGLETRANSLATE(E2107,""zh-CN"",""vi"")"),"Viết tên của những con thỏ đã đăng ký lao động lên các mảnh tre. Gom chúng lại để có được giấy chứng nhận lao động [V].")</f>
        <v>Viết tên của những con thỏ đã đăng ký lao động lên các mảnh tre. Gom chúng lại để có được giấy chứng nhận lao động [V].</v>
      </c>
      <c r="H2107" s="8"/>
      <c r="I2107" s="8"/>
      <c r="J2107" s="8"/>
    </row>
    <row r="2108" ht="21.0" customHeight="1">
      <c r="A2108" s="35">
        <v>11.0</v>
      </c>
      <c r="B2108" s="35">
        <v>1031.0</v>
      </c>
      <c r="C2108" s="35">
        <v>3.0</v>
      </c>
      <c r="D2108" s="35" t="s">
        <v>3012</v>
      </c>
      <c r="E2108" s="69" t="s">
        <v>3013</v>
      </c>
      <c r="F2108" s="8" t="str">
        <f>IFERROR(__xludf.DUMMYFUNCTION("GOOGLETRANSLATE(D2108,""zh-CN"",""vi"")"),"Giấy phép lao động [V]")</f>
        <v>Giấy phép lao động [V]</v>
      </c>
      <c r="G2108" s="8" t="str">
        <f>IFERROR(__xludf.DUMMYFUNCTION("GOOGLETRANSLATE(E2108,""zh-CN"",""vi"")"),"Sự kết tinh của mồ hôi, bằng chứng của lao động. Một lá cờ lao động đã được trao tặng [V].")</f>
        <v>Sự kết tinh của mồ hôi, bằng chứng của lao động. Một lá cờ lao động đã được trao tặng [V].</v>
      </c>
      <c r="H2108" s="8"/>
      <c r="I2108" s="8"/>
      <c r="J2108" s="8"/>
    </row>
    <row r="2109" ht="21.0" customHeight="1">
      <c r="A2109" s="68">
        <v>11.0</v>
      </c>
      <c r="B2109" s="68">
        <v>1031.0</v>
      </c>
      <c r="C2109" s="68">
        <v>4.0</v>
      </c>
      <c r="D2109" s="68" t="s">
        <v>3014</v>
      </c>
      <c r="E2109" s="70" t="s">
        <v>3015</v>
      </c>
      <c r="F2109" s="8" t="str">
        <f>IFERROR(__xludf.DUMMYFUNCTION("GOOGLETRANSLATE(D2109,""zh-CN"",""vi"")"),"Biểu ngữ Lao động [V]")</f>
        <v>Biểu ngữ Lao động [V]</v>
      </c>
      <c r="G2109" s="8" t="str">
        <f>IFERROR(__xludf.DUMMYFUNCTION("GOOGLETRANSLATE(E2109,""zh-CN"",""vi"")"),"Một cuộc sống tốt đẹp được tạo ra thông qua lao động. Tổng hợp để có được chứng chỉ kim loại [V].")</f>
        <v>Một cuộc sống tốt đẹp được tạo ra thông qua lao động. Tổng hợp để có được chứng chỉ kim loại [V].</v>
      </c>
      <c r="H2109" s="8"/>
      <c r="I2109" s="8"/>
      <c r="J2109" s="8"/>
    </row>
    <row r="2110" ht="21.0" customHeight="1">
      <c r="A2110" s="35">
        <v>10.0</v>
      </c>
      <c r="B2110" s="35">
        <v>1031.0</v>
      </c>
      <c r="C2110" s="35">
        <v>5.0</v>
      </c>
      <c r="D2110" s="35" t="s">
        <v>3016</v>
      </c>
      <c r="E2110" s="69" t="s">
        <v>3017</v>
      </c>
      <c r="F2110" s="8" t="str">
        <f>IFERROR(__xludf.DUMMYFUNCTION("GOOGLETRANSLATE(D2110,""zh-CN"",""vi"")"),"Giấy chứng nhận kim loại [V]")</f>
        <v>Giấy chứng nhận kim loại [V]</v>
      </c>
      <c r="G2110" s="8" t="str">
        <f>IFERROR(__xludf.DUMMYFUNCTION("GOOGLETRANSLATE(E2110,""zh-CN"",""vi"")"),"Nó có giá trị thực sự, đáng kể. Nó tương đương với việc nhận được Huân chương Lao động [V].")</f>
        <v>Nó có giá trị thực sự, đáng kể. Nó tương đương với việc nhận được Huân chương Lao động [V].</v>
      </c>
      <c r="H2110" s="8"/>
      <c r="I2110" s="8"/>
      <c r="J2110" s="8"/>
    </row>
    <row r="2111" ht="21.0" customHeight="1">
      <c r="A2111" s="68">
        <v>10.0</v>
      </c>
      <c r="B2111" s="68">
        <v>1031.0</v>
      </c>
      <c r="C2111" s="68">
        <v>6.0</v>
      </c>
      <c r="D2111" s="68" t="s">
        <v>3018</v>
      </c>
      <c r="E2111" s="70" t="s">
        <v>3019</v>
      </c>
      <c r="F2111" s="8" t="str">
        <f>IFERROR(__xludf.DUMMYFUNCTION("GOOGLETRANSLATE(D2111,""zh-CN"",""vi"")"),"Huân chương Lao động [V]")</f>
        <v>Huân chương Lao động [V]</v>
      </c>
      <c r="G2111" s="8" t="str">
        <f>IFERROR(__xludf.DUMMYFUNCTION("GOOGLETRANSLATE(E2111,""zh-CN"",""vi"")"),"Huy hiệu được gắn vào chứng chỉ, và sự nỗ lực được ghi nhớ. Kết hợp để có được chứng chỉ ba chiều [V].")</f>
        <v>Huy hiệu được gắn vào chứng chỉ, và sự nỗ lực được ghi nhớ. Kết hợp để có được chứng chỉ ba chiều [V].</v>
      </c>
      <c r="H2111" s="8"/>
      <c r="I2111" s="8"/>
      <c r="J2111" s="8"/>
    </row>
    <row r="2112" ht="21.0" customHeight="1">
      <c r="A2112" s="35">
        <v>10.0</v>
      </c>
      <c r="B2112" s="35">
        <v>1031.0</v>
      </c>
      <c r="C2112" s="35">
        <v>7.0</v>
      </c>
      <c r="D2112" s="35" t="s">
        <v>3020</v>
      </c>
      <c r="E2112" s="69" t="s">
        <v>3021</v>
      </c>
      <c r="F2112" s="8" t="str">
        <f>IFERROR(__xludf.DUMMYFUNCTION("GOOGLETRANSLATE(D2112,""zh-CN"",""vi"")"),"Giấy chứng nhận khen thưởng 3D [V]")</f>
        <v>Giấy chứng nhận khen thưởng 3D [V]</v>
      </c>
      <c r="G2112" s="8" t="str">
        <f>IFERROR(__xludf.DUMMYFUNCTION("GOOGLETRANSLATE(E2112,""zh-CN"",""vi"")"),"Việc khen ngợi lao động cũng nên được thực hiện với tinh thần trang trọng. (Tổng hợp để có được bảng thông báo [V]).")</f>
        <v>Việc khen ngợi lao động cũng nên được thực hiện với tinh thần trang trọng. (Tổng hợp để có được bảng thông báo [V]).</v>
      </c>
      <c r="H2112" s="8"/>
      <c r="I2112" s="8"/>
      <c r="J2112" s="8"/>
    </row>
    <row r="2113" ht="21.0" customHeight="1">
      <c r="A2113" s="68">
        <v>10.0</v>
      </c>
      <c r="B2113" s="68">
        <v>1031.0</v>
      </c>
      <c r="C2113" s="68">
        <v>8.0</v>
      </c>
      <c r="D2113" s="68" t="s">
        <v>3022</v>
      </c>
      <c r="E2113" s="70" t="s">
        <v>3023</v>
      </c>
      <c r="F2113" s="8" t="str">
        <f>IFERROR(__xludf.DUMMYFUNCTION("GOOGLETRANSLATE(D2113,""zh-CN"",""vi"")"),"Bảng thông báo [V]")</f>
        <v>Bảng thông báo [V]</v>
      </c>
      <c r="G2113" s="8" t="str">
        <f>IFERROR(__xludf.DUMMYFUNCTION("GOOGLETRANSLATE(E2113,""zh-CN"",""vi"")"),"Con thỏ chăm chỉ là con vật đáng kính nhất. Tổng hợp lại để đạt được danh hiệu [V].")</f>
        <v>Con thỏ chăm chỉ là con vật đáng kính nhất. Tổng hợp lại để đạt được danh hiệu [V].</v>
      </c>
      <c r="H2113" s="8"/>
      <c r="I2113" s="8"/>
      <c r="J2113" s="8"/>
    </row>
    <row r="2114" ht="21.0" customHeight="1">
      <c r="A2114" s="35">
        <v>10.0</v>
      </c>
      <c r="B2114" s="35">
        <v>1031.0</v>
      </c>
      <c r="C2114" s="35">
        <v>9.0</v>
      </c>
      <c r="D2114" s="35" t="s">
        <v>3024</v>
      </c>
      <c r="E2114" s="69" t="s">
        <v>3025</v>
      </c>
      <c r="F2114" s="8" t="str">
        <f>IFERROR(__xludf.DUMMYFUNCTION("GOOGLETRANSLATE(D2114,""zh-CN"",""vi"")"),"Danh sách học sinh giỏi [V]")</f>
        <v>Danh sách học sinh giỏi [V]</v>
      </c>
      <c r="G2114" s="8" t="str">
        <f>IFERROR(__xludf.DUMMYFUNCTION("GOOGLETRANSLATE(E2114,""zh-CN"",""vi"")"),"Để tôi xem những chú thỏ nào có trong danh sách! Kết hợp chúng để có được Đài tưởng niệm Lao động [V].")</f>
        <v>Để tôi xem những chú thỏ nào có trong danh sách! Kết hợp chúng để có được Đài tưởng niệm Lao động [V].</v>
      </c>
      <c r="H2114" s="8"/>
      <c r="I2114" s="8"/>
      <c r="J2114" s="8"/>
    </row>
    <row r="2115" ht="21.0" customHeight="1">
      <c r="A2115" s="68">
        <v>10.0</v>
      </c>
      <c r="B2115" s="68">
        <v>1031.0</v>
      </c>
      <c r="C2115" s="68">
        <v>10.0</v>
      </c>
      <c r="D2115" s="68" t="s">
        <v>3026</v>
      </c>
      <c r="E2115" s="70" t="s">
        <v>3007</v>
      </c>
      <c r="F2115" s="8" t="str">
        <f>IFERROR(__xludf.DUMMYFUNCTION("GOOGLETRANSLATE(D2115,""zh-CN"",""vi"")"),"Đài tưởng niệm Lao động [V]")</f>
        <v>Đài tưởng niệm Lao động [V]</v>
      </c>
      <c r="G2115" s="8" t="str">
        <f>IFERROR(__xludf.DUMMYFUNCTION("GOOGLETRANSLATE(E2115,""zh-CN"",""vi"")"),"Lao động, một khúc ca bất hủ. (Đã được tổng hợp đến mức cao nhất.)")</f>
        <v>Lao động, một khúc ca bất hủ. (Đã được tổng hợp đến mức cao nhất.)</v>
      </c>
      <c r="H2115" s="8"/>
      <c r="I2115" s="8"/>
      <c r="J2115" s="8"/>
    </row>
    <row r="2116" ht="21.0" customHeight="1">
      <c r="A2116" s="35">
        <v>1.0</v>
      </c>
      <c r="B2116" s="35">
        <v>169.0</v>
      </c>
      <c r="C2116" s="35">
        <v>1.0</v>
      </c>
      <c r="D2116" s="35" t="s">
        <v>3027</v>
      </c>
      <c r="E2116" s="69" t="s">
        <v>3028</v>
      </c>
      <c r="F2116" s="8" t="str">
        <f>IFERROR(__xludf.DUMMYFUNCTION("GOOGLETRANSLATE(D2116,""zh-CN"",""vi"")"),"viên bi")</f>
        <v>viên bi</v>
      </c>
      <c r="G2116" s="8" t="str">
        <f>IFERROR(__xludf.DUMMYFUNCTION("GOOGLETRANSLATE(E2116,""zh-CN"",""vi"")"),"Trong suốt như pha lê, cẩn thận đừng nuốt phải. Kết hợp các thành phần để tạo thành chuồn chuồn tre.")</f>
        <v>Trong suốt như pha lê, cẩn thận đừng nuốt phải. Kết hợp các thành phần để tạo thành chuồn chuồn tre.</v>
      </c>
      <c r="H2116" s="8"/>
      <c r="I2116" s="8"/>
      <c r="J2116" s="8"/>
    </row>
    <row r="2117" ht="21.0" customHeight="1">
      <c r="A2117" s="68">
        <v>1.0</v>
      </c>
      <c r="B2117" s="68">
        <v>169.0</v>
      </c>
      <c r="C2117" s="68">
        <v>2.0</v>
      </c>
      <c r="D2117" s="68" t="s">
        <v>3029</v>
      </c>
      <c r="E2117" s="70" t="s">
        <v>3030</v>
      </c>
      <c r="F2117" s="8" t="str">
        <f>IFERROR(__xludf.DUMMYFUNCTION("GOOGLETRANSLATE(D2117,""zh-CN"",""vi"")"),"Chuồn chuồn tre")</f>
        <v>Chuồn chuồn tre</v>
      </c>
      <c r="G2117" s="8" t="str">
        <f>IFERROR(__xludf.DUMMYFUNCTION("GOOGLETRANSLATE(E2117,""zh-CN"",""vi"")"),"Một cơn lốc xoáy đầy màu sắc được tạo thành từ các cánh quạt và một ống hút rỗng. Vật liệu này được dùng để chế tạo quả cầu lông.")</f>
        <v>Một cơn lốc xoáy đầy màu sắc được tạo thành từ các cánh quạt và một ống hút rỗng. Vật liệu này được dùng để chế tạo quả cầu lông.</v>
      </c>
      <c r="H2117" s="8"/>
      <c r="I2117" s="8"/>
      <c r="J2117" s="8"/>
    </row>
    <row r="2118" ht="21.0" customHeight="1">
      <c r="A2118" s="35">
        <v>1.0</v>
      </c>
      <c r="B2118" s="35">
        <v>169.0</v>
      </c>
      <c r="C2118" s="35">
        <v>3.0</v>
      </c>
      <c r="D2118" s="35" t="s">
        <v>3031</v>
      </c>
      <c r="E2118" s="69" t="s">
        <v>3032</v>
      </c>
      <c r="F2118" s="8" t="str">
        <f>IFERROR(__xludf.DUMMYFUNCTION("GOOGLETRANSLATE(D2118,""zh-CN"",""vi"")"),"cầu lông làm bằng lông gà")</f>
        <v>cầu lông làm bằng lông gà</v>
      </c>
      <c r="G2118" s="8" t="str">
        <f>IFERROR(__xludf.DUMMYFUNCTION("GOOGLETRANSLATE(E2118,""zh-CN"",""vi"")"),"Dùng lông gà để làm quả cầu lông. Ghép chúng lại để tạo thành hình tangram.")</f>
        <v>Dùng lông gà để làm quả cầu lông. Ghép chúng lại để tạo thành hình tangram.</v>
      </c>
      <c r="H2118" s="8"/>
      <c r="I2118" s="8"/>
      <c r="J2118" s="8"/>
    </row>
    <row r="2119" ht="21.0" customHeight="1">
      <c r="A2119" s="68">
        <v>1.0</v>
      </c>
      <c r="B2119" s="68">
        <v>169.0</v>
      </c>
      <c r="C2119" s="68">
        <v>4.0</v>
      </c>
      <c r="D2119" s="68" t="s">
        <v>3033</v>
      </c>
      <c r="E2119" s="70" t="s">
        <v>3034</v>
      </c>
      <c r="F2119" s="8" t="str">
        <f>IFERROR(__xludf.DUMMYFUNCTION("GOOGLETRANSLATE(D2119,""zh-CN"",""vi"")"),"Tangram")</f>
        <v>Tangram</v>
      </c>
      <c r="G2119" s="8" t="str">
        <f>IFERROR(__xludf.DUMMYFUNCTION("GOOGLETRANSLATE(E2119,""zh-CN"",""vi"")"),"Bảy mảnh nhỏ có thể kết hợp lại để tạo thành một thế giới. Kết hợp chúng để nhận được một ngôi sao may mắn.")</f>
        <v>Bảy mảnh nhỏ có thể kết hợp lại để tạo thành một thế giới. Kết hợp chúng để nhận được một ngôi sao may mắn.</v>
      </c>
      <c r="H2119" s="8"/>
      <c r="I2119" s="8"/>
      <c r="J2119" s="8"/>
    </row>
    <row r="2120" ht="21.0" customHeight="1">
      <c r="A2120" s="35">
        <v>1.0</v>
      </c>
      <c r="B2120" s="35">
        <v>169.0</v>
      </c>
      <c r="C2120" s="35">
        <v>5.0</v>
      </c>
      <c r="D2120" s="35" t="s">
        <v>3035</v>
      </c>
      <c r="E2120" s="69" t="s">
        <v>3036</v>
      </c>
      <c r="F2120" s="8" t="str">
        <f>IFERROR(__xludf.DUMMYFUNCTION("GOOGLETRANSLATE(D2120,""zh-CN"",""vi"")"),"Ngôi sao may mắn")</f>
        <v>Ngôi sao may mắn</v>
      </c>
      <c r="G2120" s="8" t="str">
        <f>IFERROR(__xludf.DUMMYFUNCTION("GOOGLETRANSLATE(E2120,""zh-CN"",""vi"")"),"Những điều ước hòa quyện vào các vì sao. Kết hợp chúng lại để có được Khóa Luban.")</f>
        <v>Những điều ước hòa quyện vào các vì sao. Kết hợp chúng lại để có được Khóa Luban.</v>
      </c>
      <c r="H2120" s="8"/>
      <c r="I2120" s="8"/>
      <c r="J2120" s="8"/>
    </row>
    <row r="2121" ht="21.0" customHeight="1">
      <c r="A2121" s="68">
        <v>1.0</v>
      </c>
      <c r="B2121" s="68">
        <v>169.0</v>
      </c>
      <c r="C2121" s="68">
        <v>6.0</v>
      </c>
      <c r="D2121" s="68" t="s">
        <v>3037</v>
      </c>
      <c r="E2121" s="70" t="s">
        <v>3038</v>
      </c>
      <c r="F2121" s="8" t="str">
        <f>IFERROR(__xludf.DUMMYFUNCTION("GOOGLETRANSLATE(D2121,""zh-CN"",""vi"")"),"Khóa Luban")</f>
        <v>Khóa Luban</v>
      </c>
      <c r="G2121" s="8" t="str">
        <f>IFERROR(__xludf.DUMMYFUNCTION("GOOGLETRANSLATE(E2121,""zh-CN"",""vi"")"),"Những mắt xích lồng vào nhau, một di sản của trí tuệ. Kết hợp chúng lại để tạo thành một món đồ chơi hình con lăn.")</f>
        <v>Những mắt xích lồng vào nhau, một di sản của trí tuệ. Kết hợp chúng lại để tạo thành một món đồ chơi hình con lăn.</v>
      </c>
      <c r="H2121" s="8"/>
      <c r="I2121" s="8"/>
      <c r="J2121" s="8"/>
    </row>
    <row r="2122" ht="21.0" customHeight="1">
      <c r="A2122" s="35">
        <v>1.0</v>
      </c>
      <c r="B2122" s="35">
        <v>169.0</v>
      </c>
      <c r="C2122" s="35">
        <v>7.0</v>
      </c>
      <c r="D2122" s="35" t="s">
        <v>3039</v>
      </c>
      <c r="E2122" s="69" t="s">
        <v>3040</v>
      </c>
      <c r="F2122" s="8" t="str">
        <f>IFERROR(__xludf.DUMMYFUNCTION("GOOGLETRANSLATE(D2122,""zh-CN"",""vi"")"),"cốc")</f>
        <v>cốc</v>
      </c>
      <c r="G2122" s="8" t="str">
        <f>IFERROR(__xludf.DUMMYFUNCTION("GOOGLETRANSLATE(E2122,""zh-CN"",""vi"")"),"Hãy đứng dậy sau mỗi lần vấp ngã. Kết hợp chúng lại để tạo thành một chiếc cối xay gió nhỏ.")</f>
        <v>Hãy đứng dậy sau mỗi lần vấp ngã. Kết hợp chúng lại để tạo thành một chiếc cối xay gió nhỏ.</v>
      </c>
      <c r="H2122" s="8"/>
      <c r="I2122" s="8"/>
      <c r="J2122" s="8"/>
    </row>
    <row r="2123" ht="21.0" customHeight="1">
      <c r="A2123" s="68">
        <v>1.0</v>
      </c>
      <c r="B2123" s="68">
        <v>169.0</v>
      </c>
      <c r="C2123" s="68">
        <v>8.0</v>
      </c>
      <c r="D2123" s="71" t="s">
        <v>3041</v>
      </c>
      <c r="E2123" s="70" t="s">
        <v>3042</v>
      </c>
      <c r="F2123" s="8" t="str">
        <f>IFERROR(__xludf.DUMMYFUNCTION("GOOGLETRANSLATE(D2123,""zh-CN"",""vi"")"),"Cối xay gió nhỏ")</f>
        <v>Cối xay gió nhỏ</v>
      </c>
      <c r="G2123" s="8" t="str">
        <f>IFERROR(__xludf.DUMMYFUNCTION("GOOGLETRANSLATE(E2123,""zh-CN"",""vi"")"),"Nơi nào có gió, nơi đó có hạnh phúc. Kết hợp chúng lại để tạo thành một chiếc trống lắc.")</f>
        <v>Nơi nào có gió, nơi đó có hạnh phúc. Kết hợp chúng lại để tạo thành một chiếc trống lắc.</v>
      </c>
      <c r="H2123" s="8"/>
      <c r="I2123" s="8"/>
      <c r="J2123" s="8"/>
    </row>
    <row r="2124" ht="21.0" customHeight="1">
      <c r="A2124" s="35">
        <v>1.0</v>
      </c>
      <c r="B2124" s="35">
        <v>169.0</v>
      </c>
      <c r="C2124" s="35">
        <v>9.0</v>
      </c>
      <c r="D2124" s="35" t="s">
        <v>3043</v>
      </c>
      <c r="E2124" s="69" t="s">
        <v>3044</v>
      </c>
      <c r="F2124" s="8" t="str">
        <f>IFERROR(__xludf.DUMMYFUNCTION("GOOGLETRANSLATE(D2124,""zh-CN"",""vi"")"),"Trống lắc")</f>
        <v>Trống lắc</v>
      </c>
      <c r="G2124" s="8" t="str">
        <f>IFERROR(__xludf.DUMMYFUNCTION("GOOGLETRANSLATE(E2124,""zh-CN"",""vi"")"),"Một món đồ chơi kỳ diệu giúp các bé giải trí. Kết hợp chúng lại để tạo thành máy ném vòng.")</f>
        <v>Một món đồ chơi kỳ diệu giúp các bé giải trí. Kết hợp chúng lại để tạo thành máy ném vòng.</v>
      </c>
      <c r="H2124" s="8"/>
      <c r="I2124" s="8"/>
      <c r="J2124" s="8"/>
    </row>
    <row r="2125" ht="21.0" customHeight="1">
      <c r="A2125" s="68">
        <v>1.0</v>
      </c>
      <c r="B2125" s="68">
        <v>169.0</v>
      </c>
      <c r="C2125" s="68">
        <v>10.0</v>
      </c>
      <c r="D2125" s="68" t="s">
        <v>3045</v>
      </c>
      <c r="E2125" s="70" t="s">
        <v>3046</v>
      </c>
      <c r="F2125" s="8" t="str">
        <f>IFERROR(__xludf.DUMMYFUNCTION("GOOGLETRANSLATE(D2125,""zh-CN"",""vi"")"),"Máy ném vòng")</f>
        <v>Máy ném vòng</v>
      </c>
      <c r="G2125" s="8" t="str">
        <f>IFERROR(__xludf.DUMMYFUNCTION("GOOGLETRANSLATE(E2125,""zh-CN"",""vi"")"),"Đồ chơi cổ điển cũng có thể mang lại niềm vui thực sự. Kết hợp chúng lại để tạo thành một chiếc Famicom (Hệ thống giải trí Nintendo).")</f>
        <v>Đồ chơi cổ điển cũng có thể mang lại niềm vui thực sự. Kết hợp chúng lại để tạo thành một chiếc Famicom (Hệ thống giải trí Nintendo).</v>
      </c>
      <c r="H2125" s="8"/>
      <c r="I2125" s="8"/>
      <c r="J2125" s="8"/>
    </row>
    <row r="2126" ht="21.0" customHeight="1">
      <c r="A2126" s="35">
        <v>1.0</v>
      </c>
      <c r="B2126" s="35">
        <v>169.0</v>
      </c>
      <c r="C2126" s="35">
        <v>11.0</v>
      </c>
      <c r="D2126" s="35" t="s">
        <v>3047</v>
      </c>
      <c r="E2126" s="69" t="s">
        <v>3048</v>
      </c>
      <c r="F2126" s="8" t="str">
        <f>IFERROR(__xludf.DUMMYFUNCTION("GOOGLETRANSLATE(D2126,""zh-CN"",""vi"")"),"Famicom")</f>
        <v>Famicom</v>
      </c>
      <c r="G2126" s="8" t="str">
        <f>IFERROR(__xludf.DUMMYFUNCTION("GOOGLETRANSLATE(E2126,""zh-CN"",""vi"")"),"Sọc đỏ trắng, niềm vui bất tận. Kết hợp chúng lại để tạo thành một chú ngựa bập bênh nhỏ xinh.")</f>
        <v>Sọc đỏ trắng, niềm vui bất tận. Kết hợp chúng lại để tạo thành một chú ngựa bập bênh nhỏ xinh.</v>
      </c>
      <c r="H2126" s="8"/>
      <c r="I2126" s="8"/>
      <c r="J2126" s="8"/>
    </row>
    <row r="2127" ht="21.0" customHeight="1">
      <c r="A2127" s="68">
        <v>1.0</v>
      </c>
      <c r="B2127" s="68">
        <v>169.0</v>
      </c>
      <c r="C2127" s="68">
        <v>12.0</v>
      </c>
      <c r="D2127" s="68" t="s">
        <v>3049</v>
      </c>
      <c r="E2127" s="70" t="s">
        <v>3050</v>
      </c>
      <c r="F2127" s="8" t="str">
        <f>IFERROR(__xludf.DUMMYFUNCTION("GOOGLETRANSLATE(D2127,""zh-CN"",""vi"")"),"Ngựa gỗ nhỏ")</f>
        <v>Ngựa gỗ nhỏ</v>
      </c>
      <c r="G2127" s="8" t="str">
        <f>IFERROR(__xludf.DUMMYFUNCTION("GOOGLETRANSLATE(E2127,""zh-CN"",""vi"")"),"Ru ngủ, ru ngủ đến Cầu Bà Ngoại~ Kết hợp các mảnh ghép để tạo thành một trò chơi điện tử kiểu cũ.")</f>
        <v>Ru ngủ, ru ngủ đến Cầu Bà Ngoại~ Kết hợp các mảnh ghép để tạo thành một trò chơi điện tử kiểu cũ.</v>
      </c>
      <c r="H2127" s="8"/>
      <c r="I2127" s="8"/>
      <c r="J2127" s="8"/>
    </row>
    <row r="2128" ht="21.0" customHeight="1">
      <c r="A2128" s="35">
        <v>1.0</v>
      </c>
      <c r="B2128" s="35">
        <v>169.0</v>
      </c>
      <c r="C2128" s="35">
        <v>13.0</v>
      </c>
      <c r="D2128" s="35" t="s">
        <v>3051</v>
      </c>
      <c r="E2128" s="69" t="s">
        <v>3052</v>
      </c>
      <c r="F2128" s="8" t="str">
        <f>IFERROR(__xludf.DUMMYFUNCTION("GOOGLETRANSLATE(D2128,""zh-CN"",""vi"")"),"Trò chơi điện tử kiểu cũ")</f>
        <v>Trò chơi điện tử kiểu cũ</v>
      </c>
      <c r="G2128" s="8" t="str">
        <f>IFERROR(__xludf.DUMMYFUNCTION("GOOGLETRANSLATE(E2128,""zh-CN"",""vi"")"),"Huyền thoại Street Fighter. Đã được nâng cấp lên cấp độ cao nhất.")</f>
        <v>Huyền thoại Street Fighter. Đã được nâng cấp lên cấp độ cao nhất.</v>
      </c>
      <c r="H2128" s="8"/>
      <c r="I2128" s="8"/>
      <c r="J2128" s="8"/>
    </row>
    <row r="2129" ht="21.0" customHeight="1">
      <c r="A2129" s="68">
        <v>1.0</v>
      </c>
      <c r="B2129" s="68">
        <v>170.0</v>
      </c>
      <c r="C2129" s="68">
        <v>1.0</v>
      </c>
      <c r="D2129" s="68" t="s">
        <v>3053</v>
      </c>
      <c r="E2129" s="70" t="s">
        <v>3054</v>
      </c>
      <c r="F2129" s="8" t="str">
        <f>IFERROR(__xludf.DUMMYFUNCTION("GOOGLETRANSLATE(D2129,""zh-CN"",""vi"")"),"Đĩa bay trẻ em")</f>
        <v>Đĩa bay trẻ em</v>
      </c>
      <c r="G2129" s="8" t="str">
        <f>IFERROR(__xludf.DUMMYFUNCTION("GOOGLETRANSLATE(E2129,""zh-CN"",""vi"")"),"Chiếc đĩa bay tuy nhỏ nhưng lượng bài tập cần thiết để chơi thì lại không hề ít. Kết hợp chúng lại để tạo thành một cây đũa thần.")</f>
        <v>Chiếc đĩa bay tuy nhỏ nhưng lượng bài tập cần thiết để chơi thì lại không hề ít. Kết hợp chúng lại để tạo thành một cây đũa thần.</v>
      </c>
      <c r="H2129" s="8"/>
      <c r="I2129" s="8"/>
      <c r="J2129" s="8"/>
    </row>
    <row r="2130" ht="21.0" customHeight="1">
      <c r="A2130" s="35">
        <v>1.0</v>
      </c>
      <c r="B2130" s="35">
        <v>170.0</v>
      </c>
      <c r="C2130" s="35">
        <v>2.0</v>
      </c>
      <c r="D2130" s="35" t="s">
        <v>3055</v>
      </c>
      <c r="E2130" s="69" t="s">
        <v>3056</v>
      </c>
      <c r="F2130" s="8" t="str">
        <f>IFERROR(__xludf.DUMMYFUNCTION("GOOGLETRANSLATE(D2130,""zh-CN"",""vi"")"),"Cây đũa thần")</f>
        <v>Cây đũa thần</v>
      </c>
      <c r="G2130" s="8" t="str">
        <f>IFERROR(__xludf.DUMMYFUNCTION("GOOGLETRANSLATE(E2130,""zh-CN"",""vi"")"),"Tôi có một cây đũa thần có thể thay đổi kích thước và trở nên đẹp hơn. Kết hợp nó lại để tạo ra kẹo cao su.")</f>
        <v>Tôi có một cây đũa thần có thể thay đổi kích thước và trở nên đẹp hơn. Kết hợp nó lại để tạo ra kẹo cao su.</v>
      </c>
      <c r="H2130" s="8"/>
      <c r="I2130" s="8"/>
      <c r="J2130" s="8"/>
    </row>
    <row r="2131" ht="21.0" customHeight="1">
      <c r="A2131" s="68">
        <v>1.0</v>
      </c>
      <c r="B2131" s="68">
        <v>170.0</v>
      </c>
      <c r="C2131" s="68">
        <v>3.0</v>
      </c>
      <c r="D2131" s="68" t="s">
        <v>3057</v>
      </c>
      <c r="E2131" s="70" t="s">
        <v>3058</v>
      </c>
      <c r="F2131" s="8" t="str">
        <f>IFERROR(__xludf.DUMMYFUNCTION("GOOGLETRANSLATE(D2131,""zh-CN"",""vi"")"),"bọt")</f>
        <v>bọt</v>
      </c>
      <c r="G2131" s="8" t="str">
        <f>IFERROR(__xludf.DUMMYFUNCTION("GOOGLETRANSLATE(E2131,""zh-CN"",""vi"")"),"Bóp chặt để xua tan mọi phiền muộn. Kết hợp chúng lại để tạo thành một quả bóng hình ếch.")</f>
        <v>Bóp chặt để xua tan mọi phiền muộn. Kết hợp chúng lại để tạo thành một quả bóng hình ếch.</v>
      </c>
      <c r="H2131" s="8"/>
      <c r="I2131" s="8"/>
      <c r="J2131" s="8"/>
    </row>
    <row r="2132" ht="21.0" customHeight="1">
      <c r="A2132" s="35">
        <v>1.0</v>
      </c>
      <c r="B2132" s="35">
        <v>170.0</v>
      </c>
      <c r="C2132" s="35">
        <v>4.0</v>
      </c>
      <c r="D2132" s="35" t="s">
        <v>3059</v>
      </c>
      <c r="E2132" s="69" t="s">
        <v>3060</v>
      </c>
      <c r="F2132" s="8" t="str">
        <f>IFERROR(__xludf.DUMMYFUNCTION("GOOGLETRANSLATE(D2132,""zh-CN"",""vi"")"),"Bóng bay hình ếch")</f>
        <v>Bóng bay hình ếch</v>
      </c>
      <c r="G2132" s="8" t="str">
        <f>IFERROR(__xludf.DUMMYFUNCTION("GOOGLETRANSLATE(E2132,""zh-CN"",""vi"")"),"Một chú ếch biết bay! Hãy mua và mang về nhà! Kết hợp chúng lại để có được một chiếc bộ đàm mini.")</f>
        <v>Một chú ếch biết bay! Hãy mua và mang về nhà! Kết hợp chúng lại để có được một chiếc bộ đàm mini.</v>
      </c>
      <c r="H2132" s="8"/>
      <c r="I2132" s="8"/>
      <c r="J2132" s="8"/>
    </row>
    <row r="2133" ht="21.0" customHeight="1">
      <c r="A2133" s="68">
        <v>1.0</v>
      </c>
      <c r="B2133" s="68">
        <v>170.0</v>
      </c>
      <c r="C2133" s="68">
        <v>5.0</v>
      </c>
      <c r="D2133" s="71" t="s">
        <v>3061</v>
      </c>
      <c r="E2133" s="70" t="s">
        <v>3062</v>
      </c>
      <c r="F2133" s="8" t="str">
        <f>IFERROR(__xludf.DUMMYFUNCTION("GOOGLETRANSLATE(D2133,""zh-CN"",""vi"")"),"Bộ đàm mini")</f>
        <v>Bộ đàm mini</v>
      </c>
      <c r="G2133" s="8" t="str">
        <f>IFERROR(__xludf.DUMMYFUNCTION("GOOGLETRANSLATE(E2133,""zh-CN"",""vi"")"),"Thỏ con ơi, hãy trả lời nhé. Kết hợp các thành phần để tạo ra máy tạo bong bóng.")</f>
        <v>Thỏ con ơi, hãy trả lời nhé. Kết hợp các thành phần để tạo ra máy tạo bong bóng.</v>
      </c>
      <c r="H2133" s="8"/>
      <c r="I2133" s="8"/>
      <c r="J2133" s="8"/>
    </row>
    <row r="2134" ht="21.0" customHeight="1">
      <c r="A2134" s="35">
        <v>1.0</v>
      </c>
      <c r="B2134" s="35">
        <v>170.0</v>
      </c>
      <c r="C2134" s="35">
        <v>6.0</v>
      </c>
      <c r="D2134" s="35" t="s">
        <v>3063</v>
      </c>
      <c r="E2134" s="69" t="s">
        <v>3064</v>
      </c>
      <c r="F2134" s="8" t="str">
        <f>IFERROR(__xludf.DUMMYFUNCTION("GOOGLETRANSLATE(D2134,""zh-CN"",""vi"")"),"máy tạo bong bóng")</f>
        <v>máy tạo bong bóng</v>
      </c>
      <c r="G2134" s="8" t="str">
        <f>IFERROR(__xludf.DUMMYFUNCTION("GOOGLETRANSLATE(E2134,""zh-CN"",""vi"")"),"Thật bất ngờ! Máy ảnh có thể thổi bong bóng. Kết hợp chúng lại để tạo thành một hộp nhạc.")</f>
        <v>Thật bất ngờ! Máy ảnh có thể thổi bong bóng. Kết hợp chúng lại để tạo thành một hộp nhạc.</v>
      </c>
      <c r="H2134" s="8"/>
      <c r="I2134" s="8"/>
      <c r="J2134" s="8"/>
    </row>
    <row r="2135" ht="21.0" customHeight="1">
      <c r="A2135" s="68">
        <v>1.0</v>
      </c>
      <c r="B2135" s="68">
        <v>170.0</v>
      </c>
      <c r="C2135" s="68">
        <v>7.0</v>
      </c>
      <c r="D2135" s="68" t="s">
        <v>3065</v>
      </c>
      <c r="E2135" s="70" t="s">
        <v>3066</v>
      </c>
      <c r="F2135" s="8" t="str">
        <f>IFERROR(__xludf.DUMMYFUNCTION("GOOGLETRANSLATE(D2135,""zh-CN"",""vi"")"),"Hộp nhạc")</f>
        <v>Hộp nhạc</v>
      </c>
      <c r="G2135" s="8" t="str">
        <f>IFERROR(__xludf.DUMMYFUNCTION("GOOGLETRANSLATE(E2135,""zh-CN"",""vi"")"),"Một chiếc bánh nhỏ biết hát khiến bụng bạn sôi lên. Kết hợp chúng lại để tạo thành một món đồ chơi hình chuột chũi.")</f>
        <v>Một chiếc bánh nhỏ biết hát khiến bụng bạn sôi lên. Kết hợp chúng lại để tạo thành một món đồ chơi hình chuột chũi.</v>
      </c>
      <c r="H2135" s="8"/>
      <c r="I2135" s="8"/>
      <c r="J2135" s="8"/>
    </row>
    <row r="2136" ht="21.0" customHeight="1">
      <c r="A2136" s="35">
        <v>1.0</v>
      </c>
      <c r="B2136" s="35">
        <v>170.0</v>
      </c>
      <c r="C2136" s="35">
        <v>8.0</v>
      </c>
      <c r="D2136" s="35" t="s">
        <v>3067</v>
      </c>
      <c r="E2136" s="69" t="s">
        <v>3068</v>
      </c>
      <c r="F2136" s="8" t="str">
        <f>IFERROR(__xludf.DUMMYFUNCTION("GOOGLETRANSLATE(D2136,""zh-CN"",""vi"")"),"Đồ chơi sâu Woof")</f>
        <v>Đồ chơi sâu Woof</v>
      </c>
      <c r="G2136" s="8" t="str">
        <f>IFERROR(__xludf.DUMMYFUNCTION("GOOGLETRANSLATE(E2136,""zh-CN"",""vi"")"),"Một cái búa, một con chuột chũi nhỏ. Kết hợp chúng lại để tạo ra một cây đàn piano điện tử.")</f>
        <v>Một cái búa, một con chuột chũi nhỏ. Kết hợp chúng lại để tạo ra một cây đàn piano điện tử.</v>
      </c>
      <c r="H2136" s="8"/>
      <c r="I2136" s="8"/>
      <c r="J2136" s="8"/>
    </row>
    <row r="2137" ht="21.0" customHeight="1">
      <c r="A2137" s="68">
        <v>1.0</v>
      </c>
      <c r="B2137" s="68">
        <v>170.0</v>
      </c>
      <c r="C2137" s="68">
        <v>9.0</v>
      </c>
      <c r="D2137" s="68" t="s">
        <v>3069</v>
      </c>
      <c r="E2137" s="70" t="s">
        <v>3070</v>
      </c>
      <c r="F2137" s="8" t="str">
        <f>IFERROR(__xludf.DUMMYFUNCTION("GOOGLETRANSLATE(D2137,""zh-CN"",""vi"")"),"Đàn piano điện tử")</f>
        <v>Đàn piano điện tử</v>
      </c>
      <c r="G2137" s="8" t="str">
        <f>IFERROR(__xludf.DUMMYFUNCTION("GOOGLETRANSLATE(E2137,""zh-CN"",""vi"")"),"Năng khiếu nghệ thuật cần được trau dồi từ nhỏ. (Tổng hợp để có được một máy chơi game.)")</f>
        <v>Năng khiếu nghệ thuật cần được trau dồi từ nhỏ. (Tổng hợp để có được một máy chơi game.)</v>
      </c>
      <c r="H2137" s="8"/>
      <c r="I2137" s="8"/>
      <c r="J2137" s="8"/>
    </row>
    <row r="2138" ht="21.0" customHeight="1">
      <c r="A2138" s="35">
        <v>1.0</v>
      </c>
      <c r="B2138" s="35">
        <v>170.0</v>
      </c>
      <c r="C2138" s="35">
        <v>10.0</v>
      </c>
      <c r="D2138" s="35" t="s">
        <v>3071</v>
      </c>
      <c r="E2138" s="69" t="s">
        <v>3072</v>
      </c>
      <c r="F2138" s="8" t="str">
        <f>IFERROR(__xludf.DUMMYFUNCTION("GOOGLETRANSLATE(D2138,""zh-CN"",""vi"")"),"máy chơi game")</f>
        <v>máy chơi game</v>
      </c>
      <c r="G2138" s="8" t="str">
        <f>IFERROR(__xludf.DUMMYFUNCTION("GOOGLETRANSLATE(E2138,""zh-CN"",""vi"")"),"Chơi game điều độ cũng có thể cải thiện trí thông minh. Kết hợp các vật phẩm để nhận được món đồ chơi thu ngân.")</f>
        <v>Chơi game điều độ cũng có thể cải thiện trí thông minh. Kết hợp các vật phẩm để nhận được món đồ chơi thu ngân.</v>
      </c>
      <c r="H2138" s="8"/>
      <c r="I2138" s="8"/>
      <c r="J2138" s="8"/>
    </row>
    <row r="2139" ht="21.0" customHeight="1">
      <c r="A2139" s="68">
        <v>1.0</v>
      </c>
      <c r="B2139" s="68">
        <v>170.0</v>
      </c>
      <c r="C2139" s="68">
        <v>11.0</v>
      </c>
      <c r="D2139" s="68" t="s">
        <v>3073</v>
      </c>
      <c r="E2139" s="70" t="s">
        <v>3074</v>
      </c>
      <c r="F2139" s="8" t="str">
        <f>IFERROR(__xludf.DUMMYFUNCTION("GOOGLETRANSLATE(D2139,""zh-CN"",""vi"")"),"Đồ chơi thu ngân")</f>
        <v>Đồ chơi thu ngân</v>
      </c>
      <c r="G2139" s="8" t="str">
        <f>IFERROR(__xludf.DUMMYFUNCTION("GOOGLETRANSLATE(E2139,""zh-CN"",""vi"")"),"Bạn sẽ học toán trong khi chơi! Kết hợp các vật phẩm để tạo thành một con ngựa bập bênh.")</f>
        <v>Bạn sẽ học toán trong khi chơi! Kết hợp các vật phẩm để tạo thành một con ngựa bập bênh.</v>
      </c>
      <c r="H2139" s="8"/>
      <c r="I2139" s="8"/>
      <c r="J2139" s="8"/>
    </row>
    <row r="2140" ht="21.0" customHeight="1">
      <c r="A2140" s="35">
        <v>1.0</v>
      </c>
      <c r="B2140" s="35">
        <v>170.0</v>
      </c>
      <c r="C2140" s="35">
        <v>12.0</v>
      </c>
      <c r="D2140" s="35" t="s">
        <v>3075</v>
      </c>
      <c r="E2140" s="69" t="s">
        <v>3076</v>
      </c>
      <c r="F2140" s="8" t="str">
        <f>IFERROR(__xludf.DUMMYFUNCTION("GOOGLETRANSLATE(D2140,""zh-CN"",""vi"")"),"Ngựa bập bênh")</f>
        <v>Ngựa bập bênh</v>
      </c>
      <c r="G2140" s="8" t="str">
        <f>IFERROR(__xludf.DUMMYFUNCTION("GOOGLETRANSLATE(E2140,""zh-CN"",""vi"")"),"Ngựa bập bênh mà người lớn cũng có thể chơi được. Kết hợp chúng lại để tạo thành đồ chơi nhà bếp.")</f>
        <v>Ngựa bập bênh mà người lớn cũng có thể chơi được. Kết hợp chúng lại để tạo thành đồ chơi nhà bếp.</v>
      </c>
      <c r="H2140" s="8"/>
      <c r="I2140" s="8"/>
      <c r="J2140" s="8"/>
    </row>
    <row r="2141" ht="21.0" customHeight="1">
      <c r="A2141" s="68">
        <v>1.0</v>
      </c>
      <c r="B2141" s="68">
        <v>170.0</v>
      </c>
      <c r="C2141" s="68">
        <v>13.0</v>
      </c>
      <c r="D2141" s="68" t="s">
        <v>3077</v>
      </c>
      <c r="E2141" s="70" t="s">
        <v>3078</v>
      </c>
      <c r="F2141" s="8" t="str">
        <f>IFERROR(__xludf.DUMMYFUNCTION("GOOGLETRANSLATE(D2141,""zh-CN"",""vi"")"),"Đồ chơi nhà bếp")</f>
        <v>Đồ chơi nhà bếp</v>
      </c>
      <c r="G2141" s="8" t="str">
        <f>IFERROR(__xludf.DUMMYFUNCTION("GOOGLETRANSLATE(E2141,""zh-CN"",""vi"")"),"Món đồ chơi hoàn hảo cho trò chơi đóng vai. Đã được tổng hợp ở mức độ cao nhất.")</f>
        <v>Món đồ chơi hoàn hảo cho trò chơi đóng vai. Đã được tổng hợp ở mức độ cao nhất.</v>
      </c>
      <c r="H2141" s="8"/>
      <c r="I2141" s="8"/>
      <c r="J2141" s="8"/>
    </row>
    <row r="2142" ht="21.0" customHeight="1">
      <c r="A2142" s="35">
        <v>1.0</v>
      </c>
      <c r="B2142" s="35">
        <v>171.0</v>
      </c>
      <c r="C2142" s="35">
        <v>1.0</v>
      </c>
      <c r="D2142" s="35" t="s">
        <v>3079</v>
      </c>
      <c r="E2142" s="69" t="s">
        <v>3080</v>
      </c>
      <c r="F2142" s="8" t="str">
        <f>IFERROR(__xludf.DUMMYFUNCTION("GOOGLETRANSLATE(D2142,""zh-CN"",""vi"")"),"Thỏ con")</f>
        <v>Thỏ con</v>
      </c>
      <c r="G2142" s="8" t="str">
        <f>IFERROR(__xludf.DUMMYFUNCTION("GOOGLETRANSLATE(E2142,""zh-CN"",""vi"")"),"Tiếng trống vang vọng, dụ dỗ chú thỏ vào giấc mơ. Kết hợp chúng lại để tạo thành chú thỏ cầu lông.")</f>
        <v>Tiếng trống vang vọng, dụ dỗ chú thỏ vào giấc mơ. Kết hợp chúng lại để tạo thành chú thỏ cầu lông.</v>
      </c>
      <c r="H2142" s="8"/>
      <c r="I2142" s="8"/>
      <c r="J2142" s="8"/>
    </row>
    <row r="2143" ht="21.0" customHeight="1">
      <c r="A2143" s="68">
        <v>1.0</v>
      </c>
      <c r="B2143" s="68">
        <v>171.0</v>
      </c>
      <c r="C2143" s="68">
        <v>2.0</v>
      </c>
      <c r="D2143" s="68" t="s">
        <v>3081</v>
      </c>
      <c r="E2143" s="70" t="s">
        <v>3082</v>
      </c>
      <c r="F2143" s="8" t="str">
        <f>IFERROR(__xludf.DUMMYFUNCTION("GOOGLETRANSLATE(D2143,""zh-CN"",""vi"")"),"Con thỏ cầu lông")</f>
        <v>Con thỏ cầu lông</v>
      </c>
      <c r="G2143" s="8" t="str">
        <f>IFERROR(__xludf.DUMMYFUNCTION("GOOGLETRANSLATE(E2143,""zh-CN"",""vi"")"),"Nhảy và nhảy, cao dần lên. Kết hợp các cặp để có được Thỏ Bong Bóng.")</f>
        <v>Nhảy và nhảy, cao dần lên. Kết hợp các cặp để có được Thỏ Bong Bóng.</v>
      </c>
      <c r="H2143" s="8"/>
      <c r="I2143" s="8"/>
      <c r="J2143" s="8"/>
    </row>
    <row r="2144" ht="21.0" customHeight="1">
      <c r="A2144" s="35">
        <v>1.0</v>
      </c>
      <c r="B2144" s="35">
        <v>171.0</v>
      </c>
      <c r="C2144" s="35">
        <v>3.0</v>
      </c>
      <c r="D2144" s="35" t="s">
        <v>3083</v>
      </c>
      <c r="E2144" s="69" t="s">
        <v>3084</v>
      </c>
      <c r="F2144" s="8" t="str">
        <f>IFERROR(__xludf.DUMMYFUNCTION("GOOGLETRANSLATE(D2144,""zh-CN"",""vi"")"),"Thỏ Bong Bóng")</f>
        <v>Thỏ Bong Bóng</v>
      </c>
      <c r="G2144" s="8" t="str">
        <f>IFERROR(__xludf.DUMMYFUNCTION("GOOGLETRANSLATE(E2144,""zh-CN"",""vi"")"),"Những niềm vui nhỏ bé ẩn chứa trong những bong bóng. Hãy kết hợp chúng để tạo ra Thỏ Cối Xay Gió.")</f>
        <v>Những niềm vui nhỏ bé ẩn chứa trong những bong bóng. Hãy kết hợp chúng để tạo ra Thỏ Cối Xay Gió.</v>
      </c>
      <c r="H2144" s="8"/>
      <c r="I2144" s="8"/>
      <c r="J2144" s="8"/>
    </row>
    <row r="2145" ht="21.0" customHeight="1">
      <c r="A2145" s="68">
        <v>1.0</v>
      </c>
      <c r="B2145" s="68">
        <v>171.0</v>
      </c>
      <c r="C2145" s="68">
        <v>4.0</v>
      </c>
      <c r="D2145" s="68" t="s">
        <v>3085</v>
      </c>
      <c r="E2145" s="70" t="s">
        <v>3086</v>
      </c>
      <c r="F2145" s="8" t="str">
        <f>IFERROR(__xludf.DUMMYFUNCTION("GOOGLETRANSLATE(D2145,""zh-CN"",""vi"")"),"Thỏ cối xay gió")</f>
        <v>Thỏ cối xay gió</v>
      </c>
      <c r="G2145" s="8" t="str">
        <f>IFERROR(__xludf.DUMMYFUNCTION("GOOGLETRANSLATE(E2145,""zh-CN"",""vi"")"),"Dù gió thổi hướng nào, tôi cũng sẽ chạy theo hướng đó. Kết hợp các vật phẩm để có được Thỏ Phù Thủy.")</f>
        <v>Dù gió thổi hướng nào, tôi cũng sẽ chạy theo hướng đó. Kết hợp các vật phẩm để có được Thỏ Phù Thủy.</v>
      </c>
      <c r="H2145" s="8"/>
      <c r="I2145" s="8"/>
      <c r="J2145" s="8"/>
    </row>
    <row r="2146" ht="21.0" customHeight="1">
      <c r="A2146" s="35">
        <v>1.0</v>
      </c>
      <c r="B2146" s="35">
        <v>171.0</v>
      </c>
      <c r="C2146" s="35">
        <v>5.0</v>
      </c>
      <c r="D2146" s="35" t="s">
        <v>3087</v>
      </c>
      <c r="E2146" s="69" t="s">
        <v>3088</v>
      </c>
      <c r="F2146" s="8" t="str">
        <f>IFERROR(__xludf.DUMMYFUNCTION("GOOGLETRANSLATE(D2146,""zh-CN"",""vi"")"),"Thỏ thần kỳ")</f>
        <v>Thỏ thần kỳ</v>
      </c>
      <c r="G2146" s="8" t="str">
        <f>IFERROR(__xludf.DUMMYFUNCTION("GOOGLETRANSLATE(E2146,""zh-CN"",""vi"")"),"Mishi mishi, biến hình! Kết hợp để có được Thỏ Khối.")</f>
        <v>Mishi mishi, biến hình! Kết hợp để có được Thỏ Khối.</v>
      </c>
      <c r="H2146" s="8"/>
      <c r="I2146" s="8"/>
      <c r="J2146" s="8"/>
    </row>
    <row r="2147" ht="21.0" customHeight="1">
      <c r="A2147" s="68">
        <v>1.0</v>
      </c>
      <c r="B2147" s="68">
        <v>171.0</v>
      </c>
      <c r="C2147" s="68">
        <v>6.0</v>
      </c>
      <c r="D2147" s="68" t="s">
        <v>3089</v>
      </c>
      <c r="E2147" s="70" t="s">
        <v>3090</v>
      </c>
      <c r="F2147" s="8" t="str">
        <f>IFERROR(__xludf.DUMMYFUNCTION("GOOGLETRANSLATE(D2147,""zh-CN"",""vi"")"),"Thỏ xếp hình")</f>
        <v>Thỏ xếp hình</v>
      </c>
      <c r="G2147" s="8" t="str">
        <f>IFERROR(__xludf.DUMMYFUNCTION("GOOGLETRANSLATE(E2147,""zh-CN"",""vi"")"),"Hãy xây lâu đài của bạn bằng cách học cách lắp ráp các khối. Kết hợp chúng để tạo ra một chú thỏ đi xe đạp thăng bằng.")</f>
        <v>Hãy xây lâu đài của bạn bằng cách học cách lắp ráp các khối. Kết hợp chúng để tạo ra một chú thỏ đi xe đạp thăng bằng.</v>
      </c>
      <c r="H2147" s="8"/>
      <c r="I2147" s="8"/>
      <c r="J2147" s="8"/>
    </row>
    <row r="2148" ht="21.0" customHeight="1">
      <c r="A2148" s="35">
        <v>1.0</v>
      </c>
      <c r="B2148" s="35">
        <v>171.0</v>
      </c>
      <c r="C2148" s="35">
        <v>7.0</v>
      </c>
      <c r="D2148" s="35" t="s">
        <v>3091</v>
      </c>
      <c r="E2148" s="69" t="s">
        <v>3092</v>
      </c>
      <c r="F2148" s="8" t="str">
        <f>IFERROR(__xludf.DUMMYFUNCTION("GOOGLETRANSLATE(D2148,""zh-CN"",""vi"")"),"Xe đạp thăng bằng hình thỏ")</f>
        <v>Xe đạp thăng bằng hình thỏ</v>
      </c>
      <c r="G2148" s="8" t="str">
        <f>IFERROR(__xludf.DUMMYFUNCTION("GOOGLETRANSLATE(E2148,""zh-CN"",""vi"")"),"Tránh ra! Tôi không thể dừng lại! (Ghép lại để nhận được một chú thỏ búp bê.)")</f>
        <v>Tránh ra! Tôi không thể dừng lại! (Ghép lại để nhận được một chú thỏ búp bê.)</v>
      </c>
      <c r="H2148" s="8"/>
      <c r="I2148" s="8"/>
      <c r="J2148" s="8"/>
    </row>
    <row r="2149" ht="21.0" customHeight="1">
      <c r="A2149" s="68">
        <v>1.0</v>
      </c>
      <c r="B2149" s="68">
        <v>171.0</v>
      </c>
      <c r="C2149" s="68">
        <v>8.0</v>
      </c>
      <c r="D2149" s="68" t="s">
        <v>3093</v>
      </c>
      <c r="E2149" s="70" t="s">
        <v>3094</v>
      </c>
      <c r="F2149" s="8" t="str">
        <f>IFERROR(__xludf.DUMMYFUNCTION("GOOGLETRANSLATE(D2149,""zh-CN"",""vi"")"),"thỏ búp bê")</f>
        <v>thỏ búp bê</v>
      </c>
      <c r="G2149" s="8" t="str">
        <f>IFERROR(__xludf.DUMMYFUNCTION("GOOGLETRANSLATE(E2149,""zh-CN"",""vi"")"),"Chú thỏ dễ thương chỉ chơi với những con búp bê dễ thương. Kết hợp chúng lại để có được chú thỏ máy bay.")</f>
        <v>Chú thỏ dễ thương chỉ chơi với những con búp bê dễ thương. Kết hợp chúng lại để có được chú thỏ máy bay.</v>
      </c>
      <c r="H2149" s="8"/>
      <c r="I2149" s="8"/>
      <c r="J2149" s="8"/>
    </row>
    <row r="2150" ht="21.0" customHeight="1">
      <c r="A2150" s="35">
        <v>1.0</v>
      </c>
      <c r="B2150" s="35">
        <v>171.0</v>
      </c>
      <c r="C2150" s="35">
        <v>9.0</v>
      </c>
      <c r="D2150" s="35" t="s">
        <v>3095</v>
      </c>
      <c r="E2150" s="69" t="s">
        <v>3096</v>
      </c>
      <c r="F2150" s="8" t="str">
        <f>IFERROR(__xludf.DUMMYFUNCTION("GOOGLETRANSLATE(D2150,""zh-CN"",""vi"")"),"Máy bay Thỏ")</f>
        <v>Máy bay Thỏ</v>
      </c>
      <c r="G2150" s="8" t="str">
        <f>IFERROR(__xludf.DUMMYFUNCTION("GOOGLETRANSLATE(E2150,""zh-CN"",""vi"")"),"Máy bay điều khiển từ xa của tôi là tuyệt nhất thế giới. Kết hợp chúng lại để có được Game Rabbit.")</f>
        <v>Máy bay điều khiển từ xa của tôi là tuyệt nhất thế giới. Kết hợp chúng lại để có được Game Rabbit.</v>
      </c>
      <c r="H2150" s="8"/>
      <c r="I2150" s="8"/>
      <c r="J2150" s="8"/>
    </row>
    <row r="2151" ht="21.0" customHeight="1">
      <c r="A2151" s="68">
        <v>1.0</v>
      </c>
      <c r="B2151" s="68">
        <v>171.0</v>
      </c>
      <c r="C2151" s="68">
        <v>10.0</v>
      </c>
      <c r="D2151" s="68" t="s">
        <v>3097</v>
      </c>
      <c r="E2151" s="70" t="s">
        <v>3098</v>
      </c>
      <c r="F2151" s="8" t="str">
        <f>IFERROR(__xludf.DUMMYFUNCTION("GOOGLETRANSLATE(D2151,""zh-CN"",""vi"")"),"Thỏ săn")</f>
        <v>Thỏ săn</v>
      </c>
      <c r="G2151" s="8" t="str">
        <f>IFERROR(__xludf.DUMMYFUNCTION("GOOGLETRANSLATE(E2151,""zh-CN"",""vi"")"),"Tôi không đang chơi trò chơi, tôi đang phát triển trí thông minh của mình. Tôi đang tạo ra một con thỏ giả.")</f>
        <v>Tôi không đang chơi trò chơi, tôi đang phát triển trí thông minh của mình. Tôi đang tạo ra một con thỏ giả.</v>
      </c>
      <c r="H2151" s="8"/>
      <c r="I2151" s="8"/>
      <c r="J2151" s="8"/>
    </row>
    <row r="2152" ht="21.0" customHeight="1">
      <c r="A2152" s="35">
        <v>1.0</v>
      </c>
      <c r="B2152" s="35">
        <v>171.0</v>
      </c>
      <c r="C2152" s="35">
        <v>11.0</v>
      </c>
      <c r="D2152" s="35" t="s">
        <v>3099</v>
      </c>
      <c r="E2152" s="69" t="s">
        <v>3100</v>
      </c>
      <c r="F2152" s="8" t="str">
        <f>IFERROR(__xludf.DUMMYFUNCTION("GOOGLETRANSLATE(D2152,""zh-CN"",""vi"")"),"Thỏ Nhà Chơi")</f>
        <v>Thỏ Nhà Chơi</v>
      </c>
      <c r="G2152" s="8" t="str">
        <f>IFERROR(__xludf.DUMMYFUNCTION("GOOGLETRANSLATE(E2152,""zh-CN"",""vi"")"),"Hôm nay tôi sẽ vào vai một đầu bếp bậc thầy và thể hiện tài năng của mình. Hãy kết hợp các nguyên liệu để tạo ra Thỏ Gỗ.")</f>
        <v>Hôm nay tôi sẽ vào vai một đầu bếp bậc thầy và thể hiện tài năng của mình. Hãy kết hợp các nguyên liệu để tạo ra Thỏ Gỗ.</v>
      </c>
      <c r="H2152" s="8"/>
      <c r="I2152" s="8"/>
      <c r="J2152" s="8"/>
    </row>
    <row r="2153" ht="21.0" customHeight="1">
      <c r="A2153" s="68">
        <v>1.0</v>
      </c>
      <c r="B2153" s="68">
        <v>171.0</v>
      </c>
      <c r="C2153" s="68">
        <v>12.0</v>
      </c>
      <c r="D2153" s="68" t="s">
        <v>3101</v>
      </c>
      <c r="E2153" s="70" t="s">
        <v>3102</v>
      </c>
      <c r="F2153" s="8" t="str">
        <f>IFERROR(__xludf.DUMMYFUNCTION("GOOGLETRANSLATE(D2153,""zh-CN"",""vi"")"),"Thỏ gỗ")</f>
        <v>Thỏ gỗ</v>
      </c>
      <c r="G2153" s="8" t="str">
        <f>IFERROR(__xludf.DUMMYFUNCTION("GOOGLETRANSLATE(E2153,""zh-CN"",""vi"")"),"Ngồi trên ngựa bập bênh, tôi mơ về tuổi thơ của mình. Kết hợp chúng lại để có được chú thỏ trượt.")</f>
        <v>Ngồi trên ngựa bập bênh, tôi mơ về tuổi thơ của mình. Kết hợp chúng lại để có được chú thỏ trượt.</v>
      </c>
      <c r="H2153" s="8"/>
      <c r="I2153" s="8"/>
      <c r="J2153" s="8"/>
    </row>
    <row r="2154" ht="21.0" customHeight="1">
      <c r="A2154" s="35">
        <v>1.0</v>
      </c>
      <c r="B2154" s="35">
        <v>171.0</v>
      </c>
      <c r="C2154" s="35">
        <v>13.0</v>
      </c>
      <c r="D2154" s="35" t="s">
        <v>3103</v>
      </c>
      <c r="E2154" s="69" t="s">
        <v>3104</v>
      </c>
      <c r="F2154" s="8" t="str">
        <f>IFERROR(__xludf.DUMMYFUNCTION("GOOGLETRANSLATE(D2154,""zh-CN"",""vi"")"),"Trượt Thỏ")</f>
        <v>Trượt Thỏ</v>
      </c>
      <c r="G2154" s="8" t="str">
        <f>IFERROR(__xludf.DUMMYFUNCTION("GOOGLETRANSLATE(E2154,""zh-CN"",""vi"")"),"Cầu trượt hình thỏ này chỉ dành riêng cho chú thỏ của tôi. Nó đã được nâng cấp lên cấp độ cao nhất rồi.")</f>
        <v>Cầu trượt hình thỏ này chỉ dành riêng cho chú thỏ của tôi. Nó đã được nâng cấp lên cấp độ cao nhất rồi.</v>
      </c>
      <c r="H2154" s="8"/>
      <c r="I2154" s="8"/>
      <c r="J2154" s="8"/>
    </row>
    <row r="2155" ht="21.0" customHeight="1">
      <c r="A2155" s="68">
        <v>11.0</v>
      </c>
      <c r="B2155" s="68">
        <v>1032.0</v>
      </c>
      <c r="C2155" s="68">
        <v>1.0</v>
      </c>
      <c r="D2155" s="68" t="s">
        <v>3105</v>
      </c>
      <c r="E2155" s="70" t="s">
        <v>3106</v>
      </c>
      <c r="F2155" s="8" t="str">
        <f>IFERROR(__xludf.DUMMYFUNCTION("GOOGLETRANSLATE(D2155,""zh-CN"",""vi"")"),"Túi thời gian")</f>
        <v>Túi thời gian</v>
      </c>
      <c r="G2155" s="8" t="str">
        <f>IFERROR(__xludf.DUMMYFUNCTION("GOOGLETRANSLATE(E2155,""zh-CN"",""vi"")"),"Một chiếc túi phồng lên, chứa đầy thời gian. Hãy chế tác nó để có được một chiếc đồng hồ cát thời gian.")</f>
        <v>Một chiếc túi phồng lên, chứa đầy thời gian. Hãy chế tác nó để có được một chiếc đồng hồ cát thời gian.</v>
      </c>
      <c r="H2155" s="8"/>
      <c r="I2155" s="8"/>
      <c r="J2155" s="8"/>
    </row>
    <row r="2156" ht="21.0" customHeight="1">
      <c r="A2156" s="35">
        <v>11.0</v>
      </c>
      <c r="B2156" s="35">
        <v>1032.0</v>
      </c>
      <c r="C2156" s="35">
        <v>2.0</v>
      </c>
      <c r="D2156" s="35" t="s">
        <v>3107</v>
      </c>
      <c r="E2156" s="69" t="s">
        <v>3108</v>
      </c>
      <c r="F2156" s="8" t="str">
        <f>IFERROR(__xludf.DUMMYFUNCTION("GOOGLETRANSLATE(D2156,""zh-CN"",""vi"")"),"Đồng hồ cát thời gian")</f>
        <v>Đồng hồ cát thời gian</v>
      </c>
      <c r="G2156" s="8" t="str">
        <f>IFERROR(__xludf.DUMMYFUNCTION("GOOGLETRANSLATE(E2156,""zh-CN"",""vi"")"),"Thời gian giống như một chiếc đồng hồ cát, trôi đi không ngừng và nhanh chóng. Hãy chế tạo một chiếc đồng hồ thời gian.")</f>
        <v>Thời gian giống như một chiếc đồng hồ cát, trôi đi không ngừng và nhanh chóng. Hãy chế tạo một chiếc đồng hồ thời gian.</v>
      </c>
      <c r="H2156" s="8"/>
      <c r="I2156" s="8"/>
      <c r="J2156" s="8"/>
    </row>
    <row r="2157" ht="21.0" customHeight="1">
      <c r="A2157" s="68">
        <v>11.0</v>
      </c>
      <c r="B2157" s="68">
        <v>1032.0</v>
      </c>
      <c r="C2157" s="68">
        <v>3.0</v>
      </c>
      <c r="D2157" s="68" t="s">
        <v>3109</v>
      </c>
      <c r="E2157" s="70" t="s">
        <v>3110</v>
      </c>
      <c r="F2157" s="8" t="str">
        <f>IFERROR(__xludf.DUMMYFUNCTION("GOOGLETRANSLATE(D2157,""zh-CN"",""vi"")"),"Đồng hồ chấm công")</f>
        <v>Đồng hồ chấm công</v>
      </c>
      <c r="G2157" s="8" t="str">
        <f>IFERROR(__xludf.DUMMYFUNCTION("GOOGLETRANSLATE(E2157,""zh-CN"",""vi"")"),"Con trỏ quay trở lại điểm xuất phát, nhưng đó không còn là ngày hôm qua nữa. Tổng hợp để có được Ngăn Kéo Thời Gian.")</f>
        <v>Con trỏ quay trở lại điểm xuất phát, nhưng đó không còn là ngày hôm qua nữa. Tổng hợp để có được Ngăn Kéo Thời Gian.</v>
      </c>
      <c r="H2157" s="8"/>
      <c r="I2157" s="8"/>
      <c r="J2157" s="8"/>
    </row>
    <row r="2158" ht="21.0" customHeight="1">
      <c r="A2158" s="35">
        <v>11.0</v>
      </c>
      <c r="B2158" s="35">
        <v>1032.0</v>
      </c>
      <c r="C2158" s="35">
        <v>4.0</v>
      </c>
      <c r="D2158" s="35" t="s">
        <v>3111</v>
      </c>
      <c r="E2158" s="69" t="s">
        <v>3112</v>
      </c>
      <c r="F2158" s="8" t="str">
        <f>IFERROR(__xludf.DUMMYFUNCTION("GOOGLETRANSLATE(D2158,""zh-CN"",""vi"")"),"Ngăn kéo thời gian")</f>
        <v>Ngăn kéo thời gian</v>
      </c>
      <c r="G2158" s="8" t="str">
        <f>IFERROR(__xludf.DUMMYFUNCTION("GOOGLETRANSLATE(E2158,""zh-CN"",""vi"")"),"Ngăn kéo chứa đầy những kỷ niệm của quá khứ. Hãy kết hợp chúng để có được Cổng Thời Gian.")</f>
        <v>Ngăn kéo chứa đầy những kỷ niệm của quá khứ. Hãy kết hợp chúng để có được Cổng Thời Gian.</v>
      </c>
      <c r="H2158" s="8"/>
      <c r="I2158" s="8"/>
      <c r="J2158" s="8"/>
    </row>
    <row r="2159" ht="21.0" customHeight="1">
      <c r="A2159" s="68">
        <v>10.0</v>
      </c>
      <c r="B2159" s="68">
        <v>1032.0</v>
      </c>
      <c r="C2159" s="68">
        <v>5.0</v>
      </c>
      <c r="D2159" s="68" t="s">
        <v>3113</v>
      </c>
      <c r="E2159" s="70" t="s">
        <v>3114</v>
      </c>
      <c r="F2159" s="8" t="str">
        <f>IFERROR(__xludf.DUMMYFUNCTION("GOOGLETRANSLATE(D2159,""zh-CN"",""vi"")"),"Cổng Thời Gian")</f>
        <v>Cổng Thời Gian</v>
      </c>
      <c r="G2159" s="8" t="str">
        <f>IFERROR(__xludf.DUMMYFUNCTION("GOOGLETRANSLATE(E2159,""zh-CN"",""vi"")"),"Bước qua cánh cửa này, bạn sẽ trở về tuổi thơ. Hãy chế tạo Buồng điện thoại thời gian.")</f>
        <v>Bước qua cánh cửa này, bạn sẽ trở về tuổi thơ. Hãy chế tạo Buồng điện thoại thời gian.</v>
      </c>
      <c r="H2159" s="8"/>
      <c r="I2159" s="8"/>
      <c r="J2159" s="8"/>
    </row>
    <row r="2160" ht="21.0" customHeight="1">
      <c r="A2160" s="35">
        <v>10.0</v>
      </c>
      <c r="B2160" s="35">
        <v>1032.0</v>
      </c>
      <c r="C2160" s="35">
        <v>6.0</v>
      </c>
      <c r="D2160" s="35" t="s">
        <v>3115</v>
      </c>
      <c r="E2160" s="69" t="s">
        <v>3116</v>
      </c>
      <c r="F2160" s="8" t="str">
        <f>IFERROR(__xludf.DUMMYFUNCTION("GOOGLETRANSLATE(D2160,""zh-CN"",""vi"")"),"Bốt điện thoại thời gian")</f>
        <v>Bốt điện thoại thời gian</v>
      </c>
      <c r="G2160" s="8" t="str">
        <f>IFERROR(__xludf.DUMMYFUNCTION("GOOGLETRANSLATE(E2160,""zh-CN"",""vi"")"),"Hãy gọi điện cho chính mình thời thơ ấu. Xây dựng Tháp Thời Gian.")</f>
        <v>Hãy gọi điện cho chính mình thời thơ ấu. Xây dựng Tháp Thời Gian.</v>
      </c>
      <c r="H2160" s="8"/>
      <c r="I2160" s="8"/>
      <c r="J2160" s="8"/>
    </row>
    <row r="2161" ht="21.0" customHeight="1">
      <c r="A2161" s="68">
        <v>10.0</v>
      </c>
      <c r="B2161" s="68">
        <v>1032.0</v>
      </c>
      <c r="C2161" s="68">
        <v>7.0</v>
      </c>
      <c r="D2161" s="68" t="s">
        <v>3117</v>
      </c>
      <c r="E2161" s="70" t="s">
        <v>3118</v>
      </c>
      <c r="F2161" s="8" t="str">
        <f>IFERROR(__xludf.DUMMYFUNCTION("GOOGLETRANSLATE(D2161,""zh-CN"",""vi"")"),"Tháp Thời Gian")</f>
        <v>Tháp Thời Gian</v>
      </c>
      <c r="G2161" s="8" t="str">
        <f>IFERROR(__xludf.DUMMYFUNCTION("GOOGLETRANSLATE(E2161,""zh-CN"",""vi"")"),"Hãy leo lên cao hơn và tìm kiếm thời gian. Kết hợp chúng lại để có được Tháp Đồng hồ Thời gian.")</f>
        <v>Hãy leo lên cao hơn và tìm kiếm thời gian. Kết hợp chúng lại để có được Tháp Đồng hồ Thời gian.</v>
      </c>
      <c r="H2161" s="8"/>
      <c r="I2161" s="8"/>
      <c r="J2161" s="8"/>
    </row>
    <row r="2162" ht="21.0" customHeight="1">
      <c r="A2162" s="35">
        <v>10.0</v>
      </c>
      <c r="B2162" s="35">
        <v>1032.0</v>
      </c>
      <c r="C2162" s="35">
        <v>8.0</v>
      </c>
      <c r="D2162" s="35" t="s">
        <v>3119</v>
      </c>
      <c r="E2162" s="69" t="s">
        <v>3120</v>
      </c>
      <c r="F2162" s="8" t="str">
        <f>IFERROR(__xludf.DUMMYFUNCTION("GOOGLETRANSLATE(D2162,""zh-CN"",""vi"")"),"Tháp đồng hồ thời gian")</f>
        <v>Tháp đồng hồ thời gian</v>
      </c>
      <c r="G2162" s="8" t="str">
        <f>IFERROR(__xludf.DUMMYFUNCTION("GOOGLETRANSLATE(E2162,""zh-CN"",""vi"")"),"Âm thanh của thời gian trôi đi lặng lẽ. Kết hợp để có được Nơi Ở của Thời Gian.")</f>
        <v>Âm thanh của thời gian trôi đi lặng lẽ. Kết hợp để có được Nơi Ở của Thời Gian.</v>
      </c>
      <c r="H2162" s="8"/>
      <c r="I2162" s="8"/>
      <c r="J2162" s="8"/>
    </row>
    <row r="2163" ht="21.0" customHeight="1">
      <c r="A2163" s="68">
        <v>10.0</v>
      </c>
      <c r="B2163" s="68">
        <v>1032.0</v>
      </c>
      <c r="C2163" s="68">
        <v>9.0</v>
      </c>
      <c r="D2163" s="68" t="s">
        <v>3121</v>
      </c>
      <c r="E2163" s="70" t="s">
        <v>3122</v>
      </c>
      <c r="F2163" s="8" t="str">
        <f>IFERROR(__xludf.DUMMYFUNCTION("GOOGLETRANSLATE(D2163,""zh-CN"",""vi"")"),"Nhà thời gian")</f>
        <v>Nhà thời gian</v>
      </c>
      <c r="G2163" s="8" t="str">
        <f>IFERROR(__xludf.DUMMYFUNCTION("GOOGLETRANSLATE(E2163,""zh-CN"",""vi"")"),"Những ký ức tuổi thơ vẫn còn sống động và không bao giờ phai mờ. Hãy cùng tạo nên Lâu đài Thời gian.")</f>
        <v>Những ký ức tuổi thơ vẫn còn sống động và không bao giờ phai mờ. Hãy cùng tạo nên Lâu đài Thời gian.</v>
      </c>
      <c r="H2163" s="8"/>
      <c r="I2163" s="8"/>
      <c r="J2163" s="8"/>
    </row>
    <row r="2164" ht="21.0" customHeight="1">
      <c r="A2164" s="35">
        <v>10.0</v>
      </c>
      <c r="B2164" s="35">
        <v>1032.0</v>
      </c>
      <c r="C2164" s="35">
        <v>10.0</v>
      </c>
      <c r="D2164" s="35" t="s">
        <v>3123</v>
      </c>
      <c r="E2164" s="69" t="s">
        <v>3124</v>
      </c>
      <c r="F2164" s="8" t="str">
        <f>IFERROR(__xludf.DUMMYFUNCTION("GOOGLETRANSLATE(D2164,""zh-CN"",""vi"")"),"Lâu đài thời gian")</f>
        <v>Lâu đài thời gian</v>
      </c>
      <c r="G2164" s="8" t="str">
        <f>IFERROR(__xludf.DUMMYFUNCTION("GOOGLETRANSLATE(E2164,""zh-CN"",""vi"")"),"Một lâu đài trong mơ được xây dựng từ thời thơ ấu, một lối đi bí mật dẫn về quá khứ. Nó đã được tổng hợp đến mức độ cao nhất.")</f>
        <v>Một lâu đài trong mơ được xây dựng từ thời thơ ấu, một lối đi bí mật dẫn về quá khứ. Nó đã được tổng hợp đến mức độ cao nhất.</v>
      </c>
      <c r="H2164" s="8"/>
      <c r="I2164" s="8"/>
      <c r="J2164" s="8"/>
    </row>
    <row r="2165" ht="21.0" customHeight="1">
      <c r="A2165" s="68">
        <v>11.0</v>
      </c>
      <c r="B2165" s="68">
        <v>1033.0</v>
      </c>
      <c r="C2165" s="68">
        <v>1.0</v>
      </c>
      <c r="D2165" s="68" t="s">
        <v>3125</v>
      </c>
      <c r="E2165" s="70" t="s">
        <v>3126</v>
      </c>
      <c r="F2165" s="8" t="str">
        <f>IFERROR(__xludf.DUMMYFUNCTION("GOOGLETRANSLATE(D2165,""zh-CN"",""vi"")"),"Túi Thời Gian [V]")</f>
        <v>Túi Thời Gian [V]</v>
      </c>
      <c r="G2165" s="8" t="str">
        <f>IFERROR(__xludf.DUMMYFUNCTION("GOOGLETRANSLATE(E2165,""zh-CN"",""vi"")"),"Một chiếc túi phồng lên, chứa đầy thời gian. Hãy chế tạo Đồng hồ cát thời gian [V].")</f>
        <v>Một chiếc túi phồng lên, chứa đầy thời gian. Hãy chế tạo Đồng hồ cát thời gian [V].</v>
      </c>
      <c r="H2165" s="8"/>
      <c r="I2165" s="8"/>
      <c r="J2165" s="8"/>
    </row>
    <row r="2166" ht="21.0" customHeight="1">
      <c r="A2166" s="35">
        <v>11.0</v>
      </c>
      <c r="B2166" s="35">
        <v>1033.0</v>
      </c>
      <c r="C2166" s="35">
        <v>2.0</v>
      </c>
      <c r="D2166" s="35" t="s">
        <v>3127</v>
      </c>
      <c r="E2166" s="69" t="s">
        <v>3128</v>
      </c>
      <c r="F2166" s="8" t="str">
        <f>IFERROR(__xludf.DUMMYFUNCTION("GOOGLETRANSLATE(D2166,""zh-CN"",""vi"")"),"Đồng hồ cát thời gian [V]")</f>
        <v>Đồng hồ cát thời gian [V]</v>
      </c>
      <c r="G2166" s="8" t="str">
        <f>IFERROR(__xludf.DUMMYFUNCTION("GOOGLETRANSLATE(E2166,""zh-CN"",""vi"")"),"Thời gian giống như đồng hồ cát, trôi đi không ngừng và nhanh chóng. Hãy chế tạo Đồng hồ Thời gian [V].")</f>
        <v>Thời gian giống như đồng hồ cát, trôi đi không ngừng và nhanh chóng. Hãy chế tạo Đồng hồ Thời gian [V].</v>
      </c>
      <c r="H2166" s="8"/>
      <c r="I2166" s="8"/>
      <c r="J2166" s="8"/>
    </row>
    <row r="2167" ht="21.0" customHeight="1">
      <c r="A2167" s="68">
        <v>11.0</v>
      </c>
      <c r="B2167" s="68">
        <v>1033.0</v>
      </c>
      <c r="C2167" s="68">
        <v>3.0</v>
      </c>
      <c r="D2167" s="68" t="s">
        <v>3129</v>
      </c>
      <c r="E2167" s="70" t="s">
        <v>3130</v>
      </c>
      <c r="F2167" s="8" t="str">
        <f>IFERROR(__xludf.DUMMYFUNCTION("GOOGLETRANSLATE(D2167,""zh-CN"",""vi"")"),"Đồng hồ chấm công [V]")</f>
        <v>Đồng hồ chấm công [V]</v>
      </c>
      <c r="G2167" s="8" t="str">
        <f>IFERROR(__xludf.DUMMYFUNCTION("GOOGLETRANSLATE(E2167,""zh-CN"",""vi"")"),"Con trỏ quay trở lại điểm xuất phát, nhưng đó không còn là ngày hôm qua nữa. Tổng hợp để có được Ngăn kéo Thời gian [V].")</f>
        <v>Con trỏ quay trở lại điểm xuất phát, nhưng đó không còn là ngày hôm qua nữa. Tổng hợp để có được Ngăn kéo Thời gian [V].</v>
      </c>
      <c r="H2167" s="8"/>
      <c r="I2167" s="8"/>
      <c r="J2167" s="8"/>
    </row>
    <row r="2168" ht="21.0" customHeight="1">
      <c r="A2168" s="35">
        <v>11.0</v>
      </c>
      <c r="B2168" s="35">
        <v>1033.0</v>
      </c>
      <c r="C2168" s="35">
        <v>4.0</v>
      </c>
      <c r="D2168" s="35" t="s">
        <v>3131</v>
      </c>
      <c r="E2168" s="69" t="s">
        <v>3132</v>
      </c>
      <c r="F2168" s="8" t="str">
        <f>IFERROR(__xludf.DUMMYFUNCTION("GOOGLETRANSLATE(D2168,""zh-CN"",""vi"")"),"Ngăn kéo thời gian [V]")</f>
        <v>Ngăn kéo thời gian [V]</v>
      </c>
      <c r="G2168" s="8" t="str">
        <f>IFERROR(__xludf.DUMMYFUNCTION("GOOGLETRANSLATE(E2168,""zh-CN"",""vi"")"),"Ngăn kéo chứa đầy những kỷ niệm của quá khứ. Tổng hợp để có được Cổng Thời Gian [V].")</f>
        <v>Ngăn kéo chứa đầy những kỷ niệm của quá khứ. Tổng hợp để có được Cổng Thời Gian [V].</v>
      </c>
      <c r="H2168" s="8"/>
      <c r="I2168" s="8"/>
      <c r="J2168" s="8"/>
    </row>
    <row r="2169" ht="21.0" customHeight="1">
      <c r="A2169" s="68">
        <v>10.0</v>
      </c>
      <c r="B2169" s="68">
        <v>1033.0</v>
      </c>
      <c r="C2169" s="68">
        <v>5.0</v>
      </c>
      <c r="D2169" s="68" t="s">
        <v>3133</v>
      </c>
      <c r="E2169" s="70" t="s">
        <v>3134</v>
      </c>
      <c r="F2169" s="8" t="str">
        <f>IFERROR(__xludf.DUMMYFUNCTION("GOOGLETRANSLATE(D2169,""zh-CN"",""vi"")"),"Cổng Thời Gian [V]")</f>
        <v>Cổng Thời Gian [V]</v>
      </c>
      <c r="G2169" s="8" t="str">
        <f>IFERROR(__xludf.DUMMYFUNCTION("GOOGLETRANSLATE(E2169,""zh-CN"",""vi"")"),"Bước qua cánh cửa này và bạn sẽ trở về tuổi thơ. Chế tạo Buồng điện thoại thời gian [V].")</f>
        <v>Bước qua cánh cửa này và bạn sẽ trở về tuổi thơ. Chế tạo Buồng điện thoại thời gian [V].</v>
      </c>
      <c r="H2169" s="8"/>
      <c r="I2169" s="8"/>
      <c r="J2169" s="8"/>
    </row>
    <row r="2170" ht="21.0" customHeight="1">
      <c r="A2170" s="35">
        <v>10.0</v>
      </c>
      <c r="B2170" s="35">
        <v>1033.0</v>
      </c>
      <c r="C2170" s="35">
        <v>6.0</v>
      </c>
      <c r="D2170" s="35" t="s">
        <v>3135</v>
      </c>
      <c r="E2170" s="69" t="s">
        <v>3136</v>
      </c>
      <c r="F2170" s="8" t="str">
        <f>IFERROR(__xludf.DUMMYFUNCTION("GOOGLETRANSLATE(D2170,""zh-CN"",""vi"")"),"Bốt điện thoại thời gian [V]")</f>
        <v>Bốt điện thoại thời gian [V]</v>
      </c>
      <c r="G2170" s="8" t="str">
        <f>IFERROR(__xludf.DUMMYFUNCTION("GOOGLETRANSLATE(E2170,""zh-CN"",""vi"")"),"Hãy gọi lại bản thân thời thơ ấu của bạn. Tổng hợp để có được Tháp Thời Gian [V].")</f>
        <v>Hãy gọi lại bản thân thời thơ ấu của bạn. Tổng hợp để có được Tháp Thời Gian [V].</v>
      </c>
      <c r="H2170" s="8"/>
      <c r="I2170" s="8"/>
      <c r="J2170" s="8"/>
    </row>
    <row r="2171" ht="21.0" customHeight="1">
      <c r="A2171" s="68">
        <v>10.0</v>
      </c>
      <c r="B2171" s="68">
        <v>1033.0</v>
      </c>
      <c r="C2171" s="68">
        <v>7.0</v>
      </c>
      <c r="D2171" s="68" t="s">
        <v>3137</v>
      </c>
      <c r="E2171" s="70" t="s">
        <v>3138</v>
      </c>
      <c r="F2171" s="8" t="str">
        <f>IFERROR(__xludf.DUMMYFUNCTION("GOOGLETRANSLATE(D2171,""zh-CN"",""vi"")"),"Tháp Thời Gian [V]")</f>
        <v>Tháp Thời Gian [V]</v>
      </c>
      <c r="G2171" s="8" t="str">
        <f>IFERROR(__xludf.DUMMYFUNCTION("GOOGLETRANSLATE(E2171,""zh-CN"",""vi"")"),"Leo lên cao và tìm kiếm thời gian. Kết hợp để có được Tháp Đồng hồ Thời gian [V].")</f>
        <v>Leo lên cao và tìm kiếm thời gian. Kết hợp để có được Tháp Đồng hồ Thời gian [V].</v>
      </c>
      <c r="H2171" s="8"/>
      <c r="I2171" s="8"/>
      <c r="J2171" s="8"/>
    </row>
    <row r="2172" ht="21.0" customHeight="1">
      <c r="A2172" s="35">
        <v>10.0</v>
      </c>
      <c r="B2172" s="35">
        <v>1033.0</v>
      </c>
      <c r="C2172" s="35">
        <v>8.0</v>
      </c>
      <c r="D2172" s="35" t="s">
        <v>3139</v>
      </c>
      <c r="E2172" s="69" t="s">
        <v>3140</v>
      </c>
      <c r="F2172" s="8" t="str">
        <f>IFERROR(__xludf.DUMMYFUNCTION("GOOGLETRANSLATE(D2172,""zh-CN"",""vi"")"),"Tháp đồng hồ thời gian [V]")</f>
        <v>Tháp đồng hồ thời gian [V]</v>
      </c>
      <c r="G2172" s="8" t="str">
        <f>IFERROR(__xludf.DUMMYFUNCTION("GOOGLETRANSLATE(E2172,""zh-CN"",""vi"")"),"Âm Thanh Thời Gian Lặng Lặng. Tổng hợp để có được Đình Thời Gian [V].")</f>
        <v>Âm Thanh Thời Gian Lặng Lặng. Tổng hợp để có được Đình Thời Gian [V].</v>
      </c>
      <c r="H2172" s="8"/>
      <c r="I2172" s="8"/>
      <c r="J2172" s="8"/>
    </row>
    <row r="2173" ht="21.0" customHeight="1">
      <c r="A2173" s="68">
        <v>10.0</v>
      </c>
      <c r="B2173" s="68">
        <v>1033.0</v>
      </c>
      <c r="C2173" s="68">
        <v>9.0</v>
      </c>
      <c r="D2173" s="68" t="s">
        <v>3141</v>
      </c>
      <c r="E2173" s="70" t="s">
        <v>3142</v>
      </c>
      <c r="F2173" s="8" t="str">
        <f>IFERROR(__xludf.DUMMYFUNCTION("GOOGLETRANSLATE(D2173,""zh-CN"",""vi"")"),"Hộp thời gian [V]")</f>
        <v>Hộp thời gian [V]</v>
      </c>
      <c r="G2173" s="8" t="str">
        <f>IFERROR(__xludf.DUMMYFUNCTION("GOOGLETRANSLATE(E2173,""zh-CN"",""vi"")"),"Những ký ức tuổi thơ vẫn còn sống động và những hồi ức không bao giờ phai mờ. Tổng hợp để có được Lâu đài Thời gian [V].")</f>
        <v>Những ký ức tuổi thơ vẫn còn sống động và những hồi ức không bao giờ phai mờ. Tổng hợp để có được Lâu đài Thời gian [V].</v>
      </c>
      <c r="H2173" s="8"/>
      <c r="I2173" s="8"/>
      <c r="J2173" s="8"/>
    </row>
    <row r="2174" ht="21.0" customHeight="1">
      <c r="A2174" s="35">
        <v>10.0</v>
      </c>
      <c r="B2174" s="35">
        <v>1033.0</v>
      </c>
      <c r="C2174" s="35">
        <v>10.0</v>
      </c>
      <c r="D2174" s="35" t="s">
        <v>3143</v>
      </c>
      <c r="E2174" s="69" t="s">
        <v>3124</v>
      </c>
      <c r="F2174" s="8" t="str">
        <f>IFERROR(__xludf.DUMMYFUNCTION("GOOGLETRANSLATE(D2174,""zh-CN"",""vi"")"),"Lâu đài Thời gian [V]")</f>
        <v>Lâu đài Thời gian [V]</v>
      </c>
      <c r="G2174" s="8" t="str">
        <f>IFERROR(__xludf.DUMMYFUNCTION("GOOGLETRANSLATE(E2174,""zh-CN"",""vi"")"),"Một lâu đài trong mơ được xây dựng từ thời thơ ấu, một lối đi bí mật dẫn về quá khứ. Nó đã được tổng hợp đến mức độ cao nhất.")</f>
        <v>Một lâu đài trong mơ được xây dựng từ thời thơ ấu, một lối đi bí mật dẫn về quá khứ. Nó đã được tổng hợp đến mức độ cao nhất.</v>
      </c>
      <c r="H2174" s="8"/>
      <c r="I2174" s="8"/>
      <c r="J2174" s="8"/>
    </row>
    <row r="2175" ht="21.0" customHeight="1">
      <c r="A2175" s="6">
        <v>11.0</v>
      </c>
      <c r="B2175" s="6">
        <v>1034.0</v>
      </c>
      <c r="C2175" s="6">
        <v>1.0</v>
      </c>
      <c r="D2175" s="23" t="s">
        <v>3144</v>
      </c>
      <c r="E2175" s="9" t="s">
        <v>3145</v>
      </c>
      <c r="F2175" s="8" t="str">
        <f>IFERROR(__xludf.DUMMYFUNCTION("GOOGLETRANSLATE(D2175,""zh-CN"",""vi"")"),"bè gỗ nhỏ")</f>
        <v>bè gỗ nhỏ</v>
      </c>
      <c r="G2175" s="8" t="str">
        <f>IFERROR(__xludf.DUMMYFUNCTION("GOOGLETRANSLATE(E2175,""zh-CN"",""vi"")"),"Một chiếc bè gỗ nhỏ trông đơn giản nhưng thực chất khá chắc chắn. Hãy chế tạo nó để có được một chiếc thuyền gỗ nhỏ.")</f>
        <v>Một chiếc bè gỗ nhỏ trông đơn giản nhưng thực chất khá chắc chắn. Hãy chế tạo nó để có được một chiếc thuyền gỗ nhỏ.</v>
      </c>
      <c r="H2175" s="8"/>
      <c r="I2175" s="8"/>
      <c r="J2175" s="8"/>
    </row>
    <row r="2176" ht="21.0" customHeight="1">
      <c r="A2176" s="6">
        <v>11.0</v>
      </c>
      <c r="B2176" s="6">
        <v>1034.0</v>
      </c>
      <c r="C2176" s="6">
        <v>2.0</v>
      </c>
      <c r="D2176" s="23" t="s">
        <v>3146</v>
      </c>
      <c r="E2176" s="9" t="s">
        <v>3147</v>
      </c>
      <c r="F2176" s="8" t="str">
        <f>IFERROR(__xludf.DUMMYFUNCTION("GOOGLETRANSLATE(D2176,""zh-CN"",""vi"")"),"thuyền gỗ nhỏ")</f>
        <v>thuyền gỗ nhỏ</v>
      </c>
      <c r="G2176" s="8" t="str">
        <f>IFERROR(__xludf.DUMMYFUNCTION("GOOGLETRANSLATE(E2176,""zh-CN"",""vi"")"),"Một chiếc thuyền gỗ nhỏ trong vịnh cạn – hãy ghép chúng lại để tạo thành một chiếc thuyền có mái che.")</f>
        <v>Một chiếc thuyền gỗ nhỏ trong vịnh cạn – hãy ghép chúng lại để tạo thành một chiếc thuyền có mái che.</v>
      </c>
      <c r="H2176" s="8"/>
      <c r="I2176" s="8"/>
      <c r="J2176" s="8"/>
    </row>
    <row r="2177" ht="21.0" customHeight="1">
      <c r="A2177" s="6">
        <v>11.0</v>
      </c>
      <c r="B2177" s="6">
        <v>1034.0</v>
      </c>
      <c r="C2177" s="6">
        <v>3.0</v>
      </c>
      <c r="D2177" s="23" t="s">
        <v>3148</v>
      </c>
      <c r="E2177" s="9" t="s">
        <v>3149</v>
      </c>
      <c r="F2177" s="8" t="str">
        <f>IFERROR(__xludf.DUMMYFUNCTION("GOOGLETRANSLATE(D2177,""zh-CN"",""vi"")"),"Thuyền Wupeng")</f>
        <v>Thuyền Wupeng</v>
      </c>
      <c r="G2177" s="8" t="str">
        <f>IFERROR(__xludf.DUMMYFUNCTION("GOOGLETRANSLATE(E2177,""zh-CN"",""vi"")"),"Mái che giúp chắn gió và mưa. Hãy chế tạo nó để có được một chiếc thuyền bắn đá.")</f>
        <v>Mái che giúp chắn gió và mưa. Hãy chế tạo nó để có được một chiếc thuyền bắn đá.</v>
      </c>
      <c r="H2177" s="8"/>
      <c r="I2177" s="8"/>
      <c r="J2177" s="8"/>
    </row>
    <row r="2178" ht="21.0" customHeight="1">
      <c r="A2178" s="6">
        <v>11.0</v>
      </c>
      <c r="B2178" s="6">
        <v>1034.0</v>
      </c>
      <c r="C2178" s="6">
        <v>4.0</v>
      </c>
      <c r="D2178" s="23" t="s">
        <v>3150</v>
      </c>
      <c r="E2178" s="9" t="s">
        <v>3151</v>
      </c>
      <c r="F2178" s="8" t="str">
        <f>IFERROR(__xludf.DUMMYFUNCTION("GOOGLETRANSLATE(D2178,""zh-CN"",""vi"")"),"Thuyền buồm một cột buồm")</f>
        <v>Thuyền buồm một cột buồm</v>
      </c>
      <c r="G2178" s="8" t="str">
        <f>IFERROR(__xludf.DUMMYFUNCTION("GOOGLETRANSLATE(E2178,""zh-CN"",""vi"")"),"Ra khơi! Chế tạo một chiếc thuyền buồm nhiều cột buồm.")</f>
        <v>Ra khơi! Chế tạo một chiếc thuyền buồm nhiều cột buồm.</v>
      </c>
      <c r="H2178" s="8"/>
      <c r="I2178" s="8"/>
      <c r="J2178" s="8"/>
    </row>
    <row r="2179" ht="21.0" customHeight="1">
      <c r="A2179" s="6">
        <v>10.0</v>
      </c>
      <c r="B2179" s="6">
        <v>1034.0</v>
      </c>
      <c r="C2179" s="6">
        <v>5.0</v>
      </c>
      <c r="D2179" s="23" t="s">
        <v>3152</v>
      </c>
      <c r="E2179" s="9" t="s">
        <v>3153</v>
      </c>
      <c r="F2179" s="8" t="str">
        <f>IFERROR(__xludf.DUMMYFUNCTION("GOOGLETRANSLATE(D2179,""zh-CN"",""vi"")"),"Thuyền buồm nhiều cột buồm")</f>
        <v>Thuyền buồm nhiều cột buồm</v>
      </c>
      <c r="G2179" s="8" t="str">
        <f>IFERROR(__xludf.DUMMYFUNCTION("GOOGLETRANSLATE(E2179,""zh-CN"",""vi"")"),"Khám phá kho báu của những tên cướp biển huyền thoại! Kết hợp các vật phẩm để có được một chiếc thuyền đánh cá nhỏ cho những chuyến đi biển xa.")</f>
        <v>Khám phá kho báu của những tên cướp biển huyền thoại! Kết hợp các vật phẩm để có được một chiếc thuyền đánh cá nhỏ cho những chuyến đi biển xa.</v>
      </c>
      <c r="H2179" s="8"/>
      <c r="I2179" s="8"/>
      <c r="J2179" s="8"/>
    </row>
    <row r="2180" ht="21.0" customHeight="1">
      <c r="A2180" s="6">
        <v>10.0</v>
      </c>
      <c r="B2180" s="6">
        <v>1034.0</v>
      </c>
      <c r="C2180" s="6">
        <v>6.0</v>
      </c>
      <c r="D2180" s="23" t="s">
        <v>3154</v>
      </c>
      <c r="E2180" s="9" t="s">
        <v>3155</v>
      </c>
      <c r="F2180" s="8" t="str">
        <f>IFERROR(__xludf.DUMMYFUNCTION("GOOGLETRANSLATE(D2180,""zh-CN"",""vi"")"),"thuyền đánh cá biển nhỏ")</f>
        <v>thuyền đánh cá biển nhỏ</v>
      </c>
      <c r="G2180" s="8" t="str">
        <f>IFERROR(__xludf.DUMMYFUNCTION("GOOGLETRANSLATE(E2180,""zh-CN"",""vi"")"),"Những tiến bộ công nghệ đã cho phép nhân loại chinh phục biển cả. Họ đã chế tạo được những chiếc tàu ngầm hình cá.")</f>
        <v>Những tiến bộ công nghệ đã cho phép nhân loại chinh phục biển cả. Họ đã chế tạo được những chiếc tàu ngầm hình cá.</v>
      </c>
      <c r="H2180" s="8"/>
      <c r="I2180" s="8"/>
      <c r="J2180" s="8"/>
    </row>
    <row r="2181" ht="21.0" customHeight="1">
      <c r="A2181" s="6">
        <v>10.0</v>
      </c>
      <c r="B2181" s="6">
        <v>1034.0</v>
      </c>
      <c r="C2181" s="6">
        <v>7.0</v>
      </c>
      <c r="D2181" s="23" t="s">
        <v>3156</v>
      </c>
      <c r="E2181" s="9" t="s">
        <v>3157</v>
      </c>
      <c r="F2181" s="8" t="str">
        <f>IFERROR(__xludf.DUMMYFUNCTION("GOOGLETRANSLATE(D2181,""zh-CN"",""vi"")"),"tàu ngầm hình cá")</f>
        <v>tàu ngầm hình cá</v>
      </c>
      <c r="G2181" s="8" t="str">
        <f>IFERROR(__xludf.DUMMYFUNCTION("GOOGLETRANSLATE(E2181,""zh-CN"",""vi"")"),"Hình dạng giống cá của nó phù hợp hơn cho việc lặn. Hãy chế tạo nó để có được tàu ngầm cá mập.")</f>
        <v>Hình dạng giống cá của nó phù hợp hơn cho việc lặn. Hãy chế tạo nó để có được tàu ngầm cá mập.</v>
      </c>
      <c r="H2181" s="8"/>
      <c r="I2181" s="8"/>
      <c r="J2181" s="8"/>
    </row>
    <row r="2182" ht="21.0" customHeight="1">
      <c r="A2182" s="6">
        <v>10.0</v>
      </c>
      <c r="B2182" s="6">
        <v>1034.0</v>
      </c>
      <c r="C2182" s="6">
        <v>8.0</v>
      </c>
      <c r="D2182" s="23" t="s">
        <v>3158</v>
      </c>
      <c r="E2182" s="9" t="s">
        <v>3159</v>
      </c>
      <c r="F2182" s="8" t="str">
        <f>IFERROR(__xludf.DUMMYFUNCTION("GOOGLETRANSLATE(D2182,""zh-CN"",""vi"")"),"tàu ngầm cá mập")</f>
        <v>tàu ngầm cá mập</v>
      </c>
      <c r="G2182" s="8" t="str">
        <f>IFERROR(__xludf.DUMMYFUNCTION("GOOGLETRANSLATE(E2182,""zh-CN"",""vi"")"),"Dễ thương và đáng yêu, cá mập có vẻ ngoài kỳ lạ. Kết hợp chúng để có được Máy dò cá Anglerfish dưới đáy biển sâu.")</f>
        <v>Dễ thương và đáng yêu, cá mập có vẻ ngoài kỳ lạ. Kết hợp chúng để có được Máy dò cá Anglerfish dưới đáy biển sâu.</v>
      </c>
      <c r="H2182" s="8"/>
      <c r="I2182" s="8"/>
      <c r="J2182" s="8"/>
    </row>
    <row r="2183" ht="21.0" customHeight="1">
      <c r="A2183" s="6">
        <v>10.0</v>
      </c>
      <c r="B2183" s="6">
        <v>1034.0</v>
      </c>
      <c r="C2183" s="6">
        <v>9.0</v>
      </c>
      <c r="D2183" s="23" t="s">
        <v>3160</v>
      </c>
      <c r="E2183" s="9" t="s">
        <v>3161</v>
      </c>
      <c r="F2183" s="8" t="str">
        <f>IFERROR(__xludf.DUMMYFUNCTION("GOOGLETRANSLATE(D2183,""zh-CN"",""vi"")"),"Khám phá biển sâu của cá Anglerfish")</f>
        <v>Khám phá biển sâu của cá Anglerfish</v>
      </c>
      <c r="G2183" s="8" t="str">
        <f>IFERROR(__xludf.DUMMYFUNCTION("GOOGLETRANSLATE(E2183,""zh-CN"",""vi"")"),"Bóng đèn trên đầu nó có thể chiếu sáng rãnh biển. Đây là hình ảnh tổng hợp của tàu thăm dò biển sâu Jiaolong.")</f>
        <v>Bóng đèn trên đầu nó có thể chiếu sáng rãnh biển. Đây là hình ảnh tổng hợp của tàu thăm dò biển sâu Jiaolong.</v>
      </c>
      <c r="H2183" s="8"/>
      <c r="I2183" s="8"/>
      <c r="J2183" s="8"/>
    </row>
    <row r="2184" ht="21.0" customHeight="1">
      <c r="A2184" s="6">
        <v>10.0</v>
      </c>
      <c r="B2184" s="6">
        <v>1034.0</v>
      </c>
      <c r="C2184" s="6">
        <v>10.0</v>
      </c>
      <c r="D2184" s="23" t="s">
        <v>3162</v>
      </c>
      <c r="E2184" s="9" t="s">
        <v>3163</v>
      </c>
      <c r="F2184" s="8" t="str">
        <f>IFERROR(__xludf.DUMMYFUNCTION("GOOGLETRANSLATE(D2184,""zh-CN"",""vi"")"),"Thăm dò biển sâu Jiaolong")</f>
        <v>Thăm dò biển sâu Jiaolong</v>
      </c>
      <c r="G2184" s="8" t="str">
        <f>IFERROR(__xludf.DUMMYFUNCTION("GOOGLETRANSLATE(E2184,""zh-CN"",""vi"")"),"Rồng trở về biển cả, rong ruổi khắp thế giới! Nó đã được tổng hợp đến cấp độ cao nhất.")</f>
        <v>Rồng trở về biển cả, rong ruổi khắp thế giới! Nó đã được tổng hợp đến cấp độ cao nhất.</v>
      </c>
      <c r="H2184" s="8"/>
      <c r="I2184" s="8"/>
      <c r="J2184" s="8"/>
    </row>
    <row r="2185" ht="21.0" customHeight="1">
      <c r="A2185" s="6">
        <v>11.0</v>
      </c>
      <c r="B2185" s="6">
        <v>1035.0</v>
      </c>
      <c r="C2185" s="6">
        <v>1.0</v>
      </c>
      <c r="D2185" s="23" t="s">
        <v>3164</v>
      </c>
      <c r="E2185" s="9" t="s">
        <v>3165</v>
      </c>
      <c r="F2185" s="8" t="str">
        <f>IFERROR(__xludf.DUMMYFUNCTION("GOOGLETRANSLATE(D2185,""zh-CN"",""vi"")"),"Chiếc bè nhỏ [V]")</f>
        <v>Chiếc bè nhỏ [V]</v>
      </c>
      <c r="G2185" s="8" t="str">
        <f>IFERROR(__xludf.DUMMYFUNCTION("GOOGLETRANSLATE(E2185,""zh-CN"",""vi"")"),"Một chiếc bè gỗ nhỏ trông có vẻ đơn giản nhưng chắc chắn. Hãy chế tạo nó để có được một chiếc thuyền gỗ nhỏ [V].")</f>
        <v>Một chiếc bè gỗ nhỏ trông có vẻ đơn giản nhưng chắc chắn. Hãy chế tạo nó để có được một chiếc thuyền gỗ nhỏ [V].</v>
      </c>
      <c r="H2185" s="8"/>
      <c r="I2185" s="8"/>
      <c r="J2185" s="8"/>
    </row>
    <row r="2186" ht="21.0" customHeight="1">
      <c r="A2186" s="6">
        <v>11.0</v>
      </c>
      <c r="B2186" s="6">
        <v>1035.0</v>
      </c>
      <c r="C2186" s="6">
        <v>2.0</v>
      </c>
      <c r="D2186" s="23" t="s">
        <v>3166</v>
      </c>
      <c r="E2186" s="9" t="s">
        <v>3167</v>
      </c>
      <c r="F2186" s="8" t="str">
        <f>IFERROR(__xludf.DUMMYFUNCTION("GOOGLETRANSLATE(D2186,""zh-CN"",""vi"")"),"Thuyền gỗ nhỏ [V]")</f>
        <v>Thuyền gỗ nhỏ [V]</v>
      </c>
      <c r="G2186" s="8" t="str">
        <f>IFERROR(__xludf.DUMMYFUNCTION("GOOGLETRANSLATE(E2186,""zh-CN"",""vi"")"),"Một chiếc thuyền gỗ nhỏ trong vịnh cạn ~ tổng hợp để có được một chiếc thuyền có mái che [V].")</f>
        <v>Một chiếc thuyền gỗ nhỏ trong vịnh cạn ~ tổng hợp để có được một chiếc thuyền có mái che [V].</v>
      </c>
      <c r="H2186" s="8"/>
      <c r="I2186" s="8"/>
      <c r="J2186" s="8"/>
    </row>
    <row r="2187" ht="21.0" customHeight="1">
      <c r="A2187" s="6">
        <v>11.0</v>
      </c>
      <c r="B2187" s="6">
        <v>1035.0</v>
      </c>
      <c r="C2187" s="6">
        <v>3.0</v>
      </c>
      <c r="D2187" s="23" t="s">
        <v>3168</v>
      </c>
      <c r="E2187" s="9" t="s">
        <v>3169</v>
      </c>
      <c r="F2187" s="8" t="str">
        <f>IFERROR(__xludf.DUMMYFUNCTION("GOOGLETRANSLATE(D2187,""zh-CN"",""vi"")"),"Thuyền có mái che [V]")</f>
        <v>Thuyền có mái che [V]</v>
      </c>
      <c r="G2187" s="8" t="str">
        <f>IFERROR(__xludf.DUMMYFUNCTION("GOOGLETRANSLATE(E2187,""zh-CN"",""vi"")"),"Với mái che, bạn có thể tránh gió và mưa. Chế tạo một chiếc thuyền buồm một cột buồm [V].")</f>
        <v>Với mái che, bạn có thể tránh gió và mưa. Chế tạo một chiếc thuyền buồm một cột buồm [V].</v>
      </c>
      <c r="H2187" s="8"/>
      <c r="I2187" s="8"/>
      <c r="J2187" s="8"/>
    </row>
    <row r="2188" ht="21.0" customHeight="1">
      <c r="A2188" s="6">
        <v>11.0</v>
      </c>
      <c r="B2188" s="6">
        <v>1035.0</v>
      </c>
      <c r="C2188" s="6">
        <v>4.0</v>
      </c>
      <c r="D2188" s="23" t="s">
        <v>3170</v>
      </c>
      <c r="E2188" s="9" t="s">
        <v>3171</v>
      </c>
      <c r="F2188" s="8" t="str">
        <f>IFERROR(__xludf.DUMMYFUNCTION("GOOGLETRANSLATE(D2188,""zh-CN"",""vi"")"),"Thuyền buồm một cột buồm [V]")</f>
        <v>Thuyền buồm một cột buồm [V]</v>
      </c>
      <c r="G2188" s="8" t="str">
        <f>IFERROR(__xludf.DUMMYFUNCTION("GOOGLETRANSLATE(E2188,""zh-CN"",""vi"")"),"Ra khơi! Tổng hợp để có được một chiếc thuyền buồm nhiều cột buồm [V].")</f>
        <v>Ra khơi! Tổng hợp để có được một chiếc thuyền buồm nhiều cột buồm [V].</v>
      </c>
      <c r="H2188" s="8"/>
      <c r="I2188" s="8"/>
      <c r="J2188" s="8"/>
    </row>
    <row r="2189" ht="21.0" customHeight="1">
      <c r="A2189" s="6">
        <v>10.0</v>
      </c>
      <c r="B2189" s="6">
        <v>1035.0</v>
      </c>
      <c r="C2189" s="6">
        <v>5.0</v>
      </c>
      <c r="D2189" s="23" t="s">
        <v>3172</v>
      </c>
      <c r="E2189" s="9" t="s">
        <v>3173</v>
      </c>
      <c r="F2189" s="8" t="str">
        <f>IFERROR(__xludf.DUMMYFUNCTION("GOOGLETRANSLATE(D2189,""zh-CN"",""vi"")"),"Thuyền buồm nhiều cột buồm [V]")</f>
        <v>Thuyền buồm nhiều cột buồm [V]</v>
      </c>
      <c r="G2189" s="8" t="str">
        <f>IFERROR(__xludf.DUMMYFUNCTION("GOOGLETRANSLATE(E2189,""zh-CN"",""vi"")"),"Khám phá kho báu của những tên cướp biển huyền thoại! Kết hợp các vật phẩm để có được thuyền đánh cá vượt biển [V].")</f>
        <v>Khám phá kho báu của những tên cướp biển huyền thoại! Kết hợp các vật phẩm để có được thuyền đánh cá vượt biển [V].</v>
      </c>
      <c r="H2189" s="8"/>
      <c r="I2189" s="8"/>
      <c r="J2189" s="8"/>
    </row>
    <row r="2190" ht="21.0" customHeight="1">
      <c r="A2190" s="6">
        <v>10.0</v>
      </c>
      <c r="B2190" s="6">
        <v>1035.0</v>
      </c>
      <c r="C2190" s="6">
        <v>6.0</v>
      </c>
      <c r="D2190" s="23" t="s">
        <v>3174</v>
      </c>
      <c r="E2190" s="9" t="s">
        <v>3175</v>
      </c>
      <c r="F2190" s="8" t="str">
        <f>IFERROR(__xludf.DUMMYFUNCTION("GOOGLETRANSLATE(D2190,""zh-CN"",""vi"")"),"Thuyền đánh cá nhỏ đi biển [V]")</f>
        <v>Thuyền đánh cá nhỏ đi biển [V]</v>
      </c>
      <c r="G2190" s="8" t="str">
        <f>IFERROR(__xludf.DUMMYFUNCTION("GOOGLETRANSLATE(E2190,""zh-CN"",""vi"")"),"Những tiến bộ công nghệ đã cho phép nhân loại chinh phục biển cả. Một tàu ngầm hình cá [V] được tổng hợp.")</f>
        <v>Những tiến bộ công nghệ đã cho phép nhân loại chinh phục biển cả. Một tàu ngầm hình cá [V] được tổng hợp.</v>
      </c>
      <c r="H2190" s="8"/>
      <c r="I2190" s="8"/>
      <c r="J2190" s="8"/>
    </row>
    <row r="2191" ht="21.0" customHeight="1">
      <c r="A2191" s="6">
        <v>10.0</v>
      </c>
      <c r="B2191" s="6">
        <v>1035.0</v>
      </c>
      <c r="C2191" s="6">
        <v>7.0</v>
      </c>
      <c r="D2191" s="23" t="s">
        <v>3176</v>
      </c>
      <c r="E2191" s="9" t="s">
        <v>3177</v>
      </c>
      <c r="F2191" s="8" t="str">
        <f>IFERROR(__xludf.DUMMYFUNCTION("GOOGLETRANSLATE(D2191,""zh-CN"",""vi"")"),"Tàu ngầm hình cá [V]")</f>
        <v>Tàu ngầm hình cá [V]</v>
      </c>
      <c r="G2191" s="8" t="str">
        <f>IFERROR(__xludf.DUMMYFUNCTION("GOOGLETRANSLATE(E2191,""zh-CN"",""vi"")"),"Hình dạng giống cá của nó phù hợp hơn cho việc lặn. Tổng hợp để có được Tàu ngầm Cá mập [V].")</f>
        <v>Hình dạng giống cá của nó phù hợp hơn cho việc lặn. Tổng hợp để có được Tàu ngầm Cá mập [V].</v>
      </c>
      <c r="H2191" s="8"/>
      <c r="I2191" s="8"/>
      <c r="J2191" s="8"/>
    </row>
    <row r="2192" ht="21.0" customHeight="1">
      <c r="A2192" s="6">
        <v>10.0</v>
      </c>
      <c r="B2192" s="6">
        <v>1035.0</v>
      </c>
      <c r="C2192" s="6">
        <v>8.0</v>
      </c>
      <c r="D2192" s="23" t="s">
        <v>3178</v>
      </c>
      <c r="E2192" s="9" t="s">
        <v>3179</v>
      </c>
      <c r="F2192" s="8" t="str">
        <f>IFERROR(__xludf.DUMMYFUNCTION("GOOGLETRANSLATE(D2192,""zh-CN"",""vi"")"),"Tàu ngầm cá mập [V]")</f>
        <v>Tàu ngầm cá mập [V]</v>
      </c>
      <c r="G2192" s="8" t="str">
        <f>IFERROR(__xludf.DUMMYFUNCTION("GOOGLETRANSLATE(E2192,""zh-CN"",""vi"")"),"Dễ thương và đáng yêu, cá mập có vẻ kỳ quặc. Tổng hợp để có được Máy dò cá Anglerfish Deep-Sea [V].")</f>
        <v>Dễ thương và đáng yêu, cá mập có vẻ kỳ quặc. Tổng hợp để có được Máy dò cá Anglerfish Deep-Sea [V].</v>
      </c>
      <c r="H2192" s="8"/>
      <c r="I2192" s="8"/>
      <c r="J2192" s="8"/>
    </row>
    <row r="2193" ht="21.0" customHeight="1">
      <c r="A2193" s="6">
        <v>10.0</v>
      </c>
      <c r="B2193" s="6">
        <v>1035.0</v>
      </c>
      <c r="C2193" s="6">
        <v>9.0</v>
      </c>
      <c r="D2193" s="23" t="s">
        <v>3180</v>
      </c>
      <c r="E2193" s="9" t="s">
        <v>3181</v>
      </c>
      <c r="F2193" s="8" t="str">
        <f>IFERROR(__xludf.DUMMYFUNCTION("GOOGLETRANSLATE(D2193,""zh-CN"",""vi"")"),"Anglerfish Deep Sea Explorer [V]")</f>
        <v>Anglerfish Deep Sea Explorer [V]</v>
      </c>
      <c r="G2193" s="8" t="str">
        <f>IFERROR(__xludf.DUMMYFUNCTION("GOOGLETRANSLATE(E2193,""zh-CN"",""vi"")"),"Bóng đèn trên đầu nó có thể chiếu sáng rãnh. Được tổng hợp để có được tàu thăm dò biển sâu Jiaolong [V].")</f>
        <v>Bóng đèn trên đầu nó có thể chiếu sáng rãnh. Được tổng hợp để có được tàu thăm dò biển sâu Jiaolong [V].</v>
      </c>
      <c r="H2193" s="8"/>
      <c r="I2193" s="8"/>
      <c r="J2193" s="8"/>
    </row>
    <row r="2194" ht="21.0" customHeight="1">
      <c r="A2194" s="6">
        <v>10.0</v>
      </c>
      <c r="B2194" s="6">
        <v>1035.0</v>
      </c>
      <c r="C2194" s="6">
        <v>10.0</v>
      </c>
      <c r="D2194" s="23" t="s">
        <v>3182</v>
      </c>
      <c r="E2194" s="9" t="s">
        <v>3183</v>
      </c>
      <c r="F2194" s="8" t="str">
        <f>IFERROR(__xludf.DUMMYFUNCTION("GOOGLETRANSLATE(D2194,""zh-CN"",""vi"")"),"Tàu thăm dò biển sâu Jiaolong [V]")</f>
        <v>Tàu thăm dò biển sâu Jiaolong [V]</v>
      </c>
      <c r="G2194" s="8" t="str">
        <f>IFERROR(__xludf.DUMMYFUNCTION("GOOGLETRANSLATE(E2194,""zh-CN"",""vi"")"),"Rồng trở về biển cả, rong ruổi khắp thế giới! Nó đã được tổng hợp lên cấp độ cao nhất [V].")</f>
        <v>Rồng trở về biển cả, rong ruổi khắp thế giới! Nó đã được tổng hợp lên cấp độ cao nhất [V].</v>
      </c>
      <c r="H2194" s="8"/>
      <c r="I2194" s="8"/>
      <c r="J2194" s="8"/>
    </row>
    <row r="2195" ht="21.0" customHeight="1">
      <c r="A2195" s="6">
        <v>1.0</v>
      </c>
      <c r="B2195" s="6">
        <v>172.0</v>
      </c>
      <c r="C2195" s="6">
        <v>1.0</v>
      </c>
      <c r="D2195" s="23" t="s">
        <v>3184</v>
      </c>
      <c r="E2195" s="9" t="s">
        <v>3185</v>
      </c>
      <c r="F2195" s="8" t="str">
        <f>IFERROR(__xludf.DUMMYFUNCTION("GOOGLETRANSLATE(D2195,""zh-CN"",""vi"")"),"Thỏ biển")</f>
        <v>Thỏ biển</v>
      </c>
      <c r="G2195" s="8" t="str">
        <f>IFERROR(__xludf.DUMMYFUNCTION("GOOGLETRANSLATE(E2195,""zh-CN"",""vi"")"),"Màu trắng và mềm mại ~ Kết hợp lại sẽ tạo thành cá hề.")</f>
        <v>Màu trắng và mềm mại ~ Kết hợp lại sẽ tạo thành cá hề.</v>
      </c>
      <c r="H2195" s="8"/>
      <c r="I2195" s="8"/>
      <c r="J2195" s="8"/>
    </row>
    <row r="2196" ht="21.0" customHeight="1">
      <c r="A2196" s="6">
        <v>1.0</v>
      </c>
      <c r="B2196" s="6">
        <v>172.0</v>
      </c>
      <c r="C2196" s="6">
        <v>2.0</v>
      </c>
      <c r="D2196" s="23" t="s">
        <v>3186</v>
      </c>
      <c r="E2196" s="9" t="s">
        <v>3187</v>
      </c>
      <c r="F2196" s="8" t="str">
        <f>IFERROR(__xludf.DUMMYFUNCTION("GOOGLETRANSLATE(D2196,""zh-CN"",""vi"")"),"Cá hề")</f>
        <v>Cá hề</v>
      </c>
      <c r="G2196" s="8" t="str">
        <f>IFERROR(__xludf.DUMMYFUNCTION("GOOGLETRANSLATE(E2196,""zh-CN"",""vi"")"),"Thân của nó có sọc đỏ và trắng. Kết hợp chúng lại để tạo thành một con cá ngựa.")</f>
        <v>Thân của nó có sọc đỏ và trắng. Kết hợp chúng lại để tạo thành một con cá ngựa.</v>
      </c>
      <c r="H2196" s="8"/>
      <c r="I2196" s="8"/>
      <c r="J2196" s="8"/>
    </row>
    <row r="2197" ht="21.0" customHeight="1">
      <c r="A2197" s="6">
        <v>1.0</v>
      </c>
      <c r="B2197" s="6">
        <v>172.0</v>
      </c>
      <c r="C2197" s="6">
        <v>3.0</v>
      </c>
      <c r="D2197" s="23" t="s">
        <v>3188</v>
      </c>
      <c r="E2197" s="9" t="s">
        <v>3189</v>
      </c>
      <c r="F2197" s="8" t="str">
        <f>IFERROR(__xludf.DUMMYFUNCTION("GOOGLETRANSLATE(D2197,""zh-CN"",""vi"")"),"Haima")</f>
        <v>Haima</v>
      </c>
      <c r="G2197" s="8" t="str">
        <f>IFERROR(__xludf.DUMMYFUNCTION("GOOGLETRANSLATE(E2197,""zh-CN"",""vi"")"),"Bạn đã bao giờ thấy cá ngựa thổi bong bóng chưa? Kết hợp chúng lại để tạo thành Cá Bóng Bay.")</f>
        <v>Bạn đã bao giờ thấy cá ngựa thổi bong bóng chưa? Kết hợp chúng lại để tạo thành Cá Bóng Bay.</v>
      </c>
      <c r="H2197" s="8"/>
      <c r="I2197" s="8"/>
      <c r="J2197" s="8"/>
    </row>
    <row r="2198" ht="21.0" customHeight="1">
      <c r="A2198" s="6">
        <v>1.0</v>
      </c>
      <c r="B2198" s="6">
        <v>172.0</v>
      </c>
      <c r="C2198" s="6">
        <v>4.0</v>
      </c>
      <c r="D2198" s="23" t="s">
        <v>3190</v>
      </c>
      <c r="E2198" s="9" t="s">
        <v>3191</v>
      </c>
      <c r="F2198" s="8" t="str">
        <f>IFERROR(__xludf.DUMMYFUNCTION("GOOGLETRANSLATE(D2198,""zh-CN"",""vi"")"),"Cá bóng bay")</f>
        <v>Cá bóng bay</v>
      </c>
      <c r="G2198" s="8" t="str">
        <f>IFERROR(__xludf.DUMMYFUNCTION("GOOGLETRANSLATE(E2198,""zh-CN"",""vi"")"),"Đừng làm phiền tôi nếu tôi đang khó chịu! Hãy tổng hợp để tạo ra một con bạch tuộc đổi màu.")</f>
        <v>Đừng làm phiền tôi nếu tôi đang khó chịu! Hãy tổng hợp để tạo ra một con bạch tuộc đổi màu.</v>
      </c>
      <c r="H2198" s="8"/>
      <c r="I2198" s="8"/>
      <c r="J2198" s="8"/>
    </row>
    <row r="2199" ht="21.0" customHeight="1">
      <c r="A2199" s="6">
        <v>1.0</v>
      </c>
      <c r="B2199" s="6">
        <v>172.0</v>
      </c>
      <c r="C2199" s="6">
        <v>5.0</v>
      </c>
      <c r="D2199" s="23" t="s">
        <v>3192</v>
      </c>
      <c r="E2199" s="9" t="s">
        <v>3193</v>
      </c>
      <c r="F2199" s="8" t="str">
        <f>IFERROR(__xludf.DUMMYFUNCTION("GOOGLETRANSLATE(D2199,""zh-CN"",""vi"")"),"Bạch tuộc đổi màu")</f>
        <v>Bạch tuộc đổi màu</v>
      </c>
      <c r="G2199" s="8" t="str">
        <f>IFERROR(__xludf.DUMMYFUNCTION("GOOGLETRANSLATE(E2199,""zh-CN"",""vi"")"),"Ba chúng ta thực chất là một gia đình. (Ghép lại để tạo thành một chú chim cánh cụt.)")</f>
        <v>Ba chúng ta thực chất là một gia đình. (Ghép lại để tạo thành một chú chim cánh cụt.)</v>
      </c>
      <c r="H2199" s="8"/>
      <c r="I2199" s="8"/>
      <c r="J2199" s="8"/>
    </row>
    <row r="2200" ht="21.0" customHeight="1">
      <c r="A2200" s="6">
        <v>1.0</v>
      </c>
      <c r="B2200" s="6">
        <v>172.0</v>
      </c>
      <c r="C2200" s="6">
        <v>6.0</v>
      </c>
      <c r="D2200" s="23" t="s">
        <v>3194</v>
      </c>
      <c r="E2200" s="9" t="s">
        <v>3195</v>
      </c>
      <c r="F2200" s="8" t="str">
        <f>IFERROR(__xludf.DUMMYFUNCTION("GOOGLETRANSLATE(D2200,""zh-CN"",""vi"")"),"chim cánh cụt")</f>
        <v>chim cánh cụt</v>
      </c>
      <c r="G2200" s="8" t="str">
        <f>IFERROR(__xludf.DUMMYFUNCTION("GOOGLETRANSLATE(E2200,""zh-CN"",""vi"")"),"Chim cánh cụt con rất thích ăn cá ~ Kết hợp chúng lại sẽ tạo thành một con rùa biển.")</f>
        <v>Chim cánh cụt con rất thích ăn cá ~ Kết hợp chúng lại sẽ tạo thành một con rùa biển.</v>
      </c>
      <c r="H2200" s="8"/>
      <c r="I2200" s="8"/>
      <c r="J2200" s="8"/>
    </row>
    <row r="2201" ht="21.0" customHeight="1">
      <c r="A2201" s="6">
        <v>1.0</v>
      </c>
      <c r="B2201" s="6">
        <v>172.0</v>
      </c>
      <c r="C2201" s="6">
        <v>7.0</v>
      </c>
      <c r="D2201" s="23" t="s">
        <v>3196</v>
      </c>
      <c r="E2201" s="9" t="s">
        <v>3197</v>
      </c>
      <c r="F2201" s="8" t="str">
        <f>IFERROR(__xludf.DUMMYFUNCTION("GOOGLETRANSLATE(D2201,""zh-CN"",""vi"")"),"rùa biển")</f>
        <v>rùa biển</v>
      </c>
      <c r="G2201" s="8" t="str">
        <f>IFERROR(__xludf.DUMMYFUNCTION("GOOGLETRANSLATE(E2201,""zh-CN"",""vi"")"),"Tôi nghe nói mình là Thủ tướng của Long Cung? (Tổng hợp để thu được tia sáng.)")</f>
        <v>Tôi nghe nói mình là Thủ tướng của Long Cung? (Tổng hợp để thu được tia sáng.)</v>
      </c>
      <c r="H2201" s="8"/>
      <c r="I2201" s="8"/>
      <c r="J2201" s="8"/>
    </row>
    <row r="2202" ht="21.0" customHeight="1">
      <c r="A2202" s="6">
        <v>1.0</v>
      </c>
      <c r="B2202" s="6">
        <v>172.0</v>
      </c>
      <c r="C2202" s="6">
        <v>8.0</v>
      </c>
      <c r="D2202" s="23" t="s">
        <v>3198</v>
      </c>
      <c r="E2202" s="9" t="s">
        <v>3199</v>
      </c>
      <c r="F2202" s="8" t="str">
        <f>IFERROR(__xludf.DUMMYFUNCTION("GOOGLETRANSLATE(D2202,""zh-CN"",""vi"")"),"Tia")</f>
        <v>Tia</v>
      </c>
      <c r="G2202" s="8" t="str">
        <f>IFERROR(__xludf.DUMMYFUNCTION("GOOGLETRANSLATE(E2202,""zh-CN"",""vi"")"),"Tôi không phải là một con diều trên biển. (Kết hợp lại để tạo thành một con cá heo.)")</f>
        <v>Tôi không phải là một con diều trên biển. (Kết hợp lại để tạo thành một con cá heo.)</v>
      </c>
      <c r="H2202" s="8"/>
      <c r="I2202" s="8"/>
      <c r="J2202" s="8"/>
    </row>
    <row r="2203" ht="21.0" customHeight="1">
      <c r="A2203" s="6">
        <v>1.0</v>
      </c>
      <c r="B2203" s="6">
        <v>172.0</v>
      </c>
      <c r="C2203" s="6">
        <v>9.0</v>
      </c>
      <c r="D2203" s="23" t="s">
        <v>3200</v>
      </c>
      <c r="E2203" s="9" t="s">
        <v>3201</v>
      </c>
      <c r="F2203" s="8" t="str">
        <f>IFERROR(__xludf.DUMMYFUNCTION("GOOGLETRANSLATE(D2203,""zh-CN"",""vi"")"),"cá heo")</f>
        <v>cá heo</v>
      </c>
      <c r="G2203" s="8" t="str">
        <f>IFERROR(__xludf.DUMMYFUNCTION("GOOGLETRANSLATE(E2203,""zh-CN"",""vi"")"),"Cá heo rất thích chơi đùa với con người. Kết hợp chúng lại sẽ tạo thành một con cá mập.")</f>
        <v>Cá heo rất thích chơi đùa với con người. Kết hợp chúng lại sẽ tạo thành một con cá mập.</v>
      </c>
      <c r="H2203" s="8"/>
      <c r="I2203" s="8"/>
      <c r="J2203" s="8"/>
    </row>
    <row r="2204" ht="21.0" customHeight="1">
      <c r="A2204" s="6">
        <v>1.0</v>
      </c>
      <c r="B2204" s="6">
        <v>172.0</v>
      </c>
      <c r="C2204" s="6">
        <v>10.0</v>
      </c>
      <c r="D2204" s="23" t="s">
        <v>3202</v>
      </c>
      <c r="E2204" s="9" t="s">
        <v>3203</v>
      </c>
      <c r="F2204" s="8" t="str">
        <f>IFERROR(__xludf.DUMMYFUNCTION("GOOGLETRANSLATE(D2204,""zh-CN"",""vi"")"),"cá mập")</f>
        <v>cá mập</v>
      </c>
      <c r="G2204" s="8" t="str">
        <f>IFERROR(__xludf.DUMMYFUNCTION("GOOGLETRANSLATE(E2204,""zh-CN"",""vi"")"),"Một sinh vật kỳ lạ với cái đầu cá mập! Kết hợp chúng để có được Mực khổng lồ.")</f>
        <v>Một sinh vật kỳ lạ với cái đầu cá mập! Kết hợp chúng để có được Mực khổng lồ.</v>
      </c>
      <c r="H2204" s="8"/>
      <c r="I2204" s="8"/>
      <c r="J2204" s="8"/>
    </row>
    <row r="2205" ht="21.0" customHeight="1">
      <c r="A2205" s="6">
        <v>1.0</v>
      </c>
      <c r="B2205" s="6">
        <v>172.0</v>
      </c>
      <c r="C2205" s="6">
        <v>11.0</v>
      </c>
      <c r="D2205" s="23" t="s">
        <v>3204</v>
      </c>
      <c r="E2205" s="9" t="s">
        <v>3205</v>
      </c>
      <c r="F2205" s="8" t="str">
        <f>IFERROR(__xludf.DUMMYFUNCTION("GOOGLETRANSLATE(D2205,""zh-CN"",""vi"")"),"Mực khổng lồ")</f>
        <v>Mực khổng lồ</v>
      </c>
      <c r="G2205" s="8" t="str">
        <f>IFERROR(__xludf.DUMMYFUNCTION("GOOGLETRANSLATE(E2205,""zh-CN"",""vi"")"),"Mực là những sinh vật thông minh của đại dương. Kết hợp chúng để tạo ra cá voi sát thủ.")</f>
        <v>Mực là những sinh vật thông minh của đại dương. Kết hợp chúng để tạo ra cá voi sát thủ.</v>
      </c>
      <c r="H2205" s="8"/>
      <c r="I2205" s="8"/>
      <c r="J2205" s="8"/>
    </row>
    <row r="2206" ht="21.0" customHeight="1">
      <c r="A2206" s="6">
        <v>1.0</v>
      </c>
      <c r="B2206" s="6">
        <v>172.0</v>
      </c>
      <c r="C2206" s="6">
        <v>12.0</v>
      </c>
      <c r="D2206" s="23" t="s">
        <v>3206</v>
      </c>
      <c r="E2206" s="9" t="s">
        <v>3207</v>
      </c>
      <c r="F2206" s="8" t="str">
        <f>IFERROR(__xludf.DUMMYFUNCTION("GOOGLETRANSLATE(D2206,""zh-CN"",""vi"")"),"Cá voi sát thủ")</f>
        <v>Cá voi sát thủ</v>
      </c>
      <c r="G2206" s="8" t="str">
        <f>IFERROR(__xludf.DUMMYFUNCTION("GOOGLETRANSLATE(E2206,""zh-CN"",""vi"")"),"Cá voi ơi, tôi muốn kết bạn với con người! Hãy tổng hợp để tạo ra một nàng tiên cá.")</f>
        <v>Cá voi ơi, tôi muốn kết bạn với con người! Hãy tổng hợp để tạo ra một nàng tiên cá.</v>
      </c>
      <c r="H2206" s="8"/>
      <c r="I2206" s="8"/>
      <c r="J2206" s="8"/>
    </row>
    <row r="2207" ht="21.0" customHeight="1">
      <c r="A2207" s="6">
        <v>1.0</v>
      </c>
      <c r="B2207" s="6">
        <v>172.0</v>
      </c>
      <c r="C2207" s="6">
        <v>13.0</v>
      </c>
      <c r="D2207" s="23" t="s">
        <v>3208</v>
      </c>
      <c r="E2207" s="9" t="s">
        <v>3209</v>
      </c>
      <c r="F2207" s="8" t="str">
        <f>IFERROR(__xludf.DUMMYFUNCTION("GOOGLETRANSLATE(D2207,""zh-CN"",""vi"")"),"Nàng tiên cá")</f>
        <v>Nàng tiên cá</v>
      </c>
      <c r="G2207" s="8" t="str">
        <f>IFERROR(__xludf.DUMMYFUNCTION("GOOGLETRANSLATE(E2207,""zh-CN"",""vi"")"),"Giọng hát thiên thần có thể xoa dịu bão tố biển cả. (Bản ghi âm đã được xử lý ở mức độ cao nhất.)")</f>
        <v>Giọng hát thiên thần có thể xoa dịu bão tố biển cả. (Bản ghi âm đã được xử lý ở mức độ cao nhất.)</v>
      </c>
      <c r="H2207" s="8"/>
      <c r="I2207" s="8"/>
      <c r="J2207" s="8"/>
    </row>
    <row r="2208" ht="21.0" customHeight="1">
      <c r="A2208" s="6">
        <v>1.0</v>
      </c>
      <c r="B2208" s="6">
        <v>173.0</v>
      </c>
      <c r="C2208" s="6">
        <v>1.0</v>
      </c>
      <c r="D2208" s="23" t="s">
        <v>3210</v>
      </c>
      <c r="E2208" s="9" t="s">
        <v>3211</v>
      </c>
      <c r="F2208" s="8" t="str">
        <f>IFERROR(__xludf.DUMMYFUNCTION("GOOGLETRANSLATE(D2208,""zh-CN"",""vi"")"),"Thông điệp trong chai")</f>
        <v>Thông điệp trong chai</v>
      </c>
      <c r="G2208" s="8" t="str">
        <f>IFERROR(__xludf.DUMMYFUNCTION("GOOGLETRANSLATE(E2208,""zh-CN"",""vi"")"),"Chiếc chai là lời chào từ phương xa, hay là một bí mật được chôn giấu sâu kín? Hãy kết hợp chúng để tạo thành một vỏ sò.")</f>
        <v>Chiếc chai là lời chào từ phương xa, hay là một bí mật được chôn giấu sâu kín? Hãy kết hợp chúng để tạo thành một vỏ sò.</v>
      </c>
      <c r="H2208" s="8"/>
      <c r="I2208" s="8"/>
      <c r="J2208" s="8"/>
    </row>
    <row r="2209" ht="21.0" customHeight="1">
      <c r="A2209" s="6">
        <v>1.0</v>
      </c>
      <c r="B2209" s="6">
        <v>173.0</v>
      </c>
      <c r="C2209" s="6">
        <v>2.0</v>
      </c>
      <c r="D2209" s="23" t="s">
        <v>3212</v>
      </c>
      <c r="E2209" s="9" t="s">
        <v>3213</v>
      </c>
      <c r="F2209" s="8" t="str">
        <f>IFERROR(__xludf.DUMMYFUNCTION("GOOGLETRANSLATE(D2209,""zh-CN"",""vi"")"),"vỏ bọc")</f>
        <v>vỏ bọc</v>
      </c>
      <c r="G2209" s="8" t="str">
        <f>IFERROR(__xludf.DUMMYFUNCTION("GOOGLETRANSLATE(E2209,""zh-CN"",""vi"")"),"Vỏ sò màu xanh lam là chiếc kẹp tóc của đại dương. Hãy chế tác nó để có được vỏ ốc xà cừ.")</f>
        <v>Vỏ sò màu xanh lam là chiếc kẹp tóc của đại dương. Hãy chế tác nó để có được vỏ ốc xà cừ.</v>
      </c>
      <c r="H2209" s="8"/>
      <c r="I2209" s="8"/>
      <c r="J2209" s="8"/>
    </row>
    <row r="2210" ht="21.0" customHeight="1">
      <c r="A2210" s="6">
        <v>1.0</v>
      </c>
      <c r="B2210" s="6">
        <v>173.0</v>
      </c>
      <c r="C2210" s="6">
        <v>3.0</v>
      </c>
      <c r="D2210" s="23" t="s">
        <v>3214</v>
      </c>
      <c r="E2210" s="9" t="s">
        <v>3215</v>
      </c>
      <c r="F2210" s="8" t="str">
        <f>IFERROR(__xludf.DUMMYFUNCTION("GOOGLETRANSLATE(D2210,""zh-CN"",""vi"")"),"vỏ sò")</f>
        <v>vỏ sò</v>
      </c>
      <c r="G2210" s="8" t="str">
        <f>IFERROR(__xludf.DUMMYFUNCTION("GOOGLETRANSLATE(E2210,""zh-CN"",""vi"")"),"Tôi nghe nói ước nguyện bên vỏ ốc xà cừ sẽ mang lại may mắn. Hãy kết hợp chúng để nhận được Đồng xu bạc Biển Nông.")</f>
        <v>Tôi nghe nói ước nguyện bên vỏ ốc xà cừ sẽ mang lại may mắn. Hãy kết hợp chúng để nhận được Đồng xu bạc Biển Nông.</v>
      </c>
      <c r="H2210" s="8"/>
      <c r="I2210" s="8"/>
      <c r="J2210" s="8"/>
    </row>
    <row r="2211" ht="21.0" customHeight="1">
      <c r="A2211" s="6">
        <v>1.0</v>
      </c>
      <c r="B2211" s="6">
        <v>173.0</v>
      </c>
      <c r="C2211" s="6">
        <v>4.0</v>
      </c>
      <c r="D2211" s="23" t="s">
        <v>3216</v>
      </c>
      <c r="E2211" s="9" t="s">
        <v>3217</v>
      </c>
      <c r="F2211" s="8" t="str">
        <f>IFERROR(__xludf.DUMMYFUNCTION("GOOGLETRANSLATE(D2211,""zh-CN"",""vi"")"),"Đồng xu bạc vùng biển nông")</f>
        <v>Đồng xu bạc vùng biển nông</v>
      </c>
      <c r="G2211" s="8" t="str">
        <f>IFERROR(__xludf.DUMMYFUNCTION("GOOGLETRANSLATE(E2211,""zh-CN"",""vi"")"),"Thật may mắn! Tôi tìm thấy một đồng xu bạc cổ. Tôi đã kết hợp nó để tạo thành một đồng xu vàng Biển Nông.")</f>
        <v>Thật may mắn! Tôi tìm thấy một đồng xu bạc cổ. Tôi đã kết hợp nó để tạo thành một đồng xu vàng Biển Nông.</v>
      </c>
      <c r="H2211" s="8"/>
      <c r="I2211" s="8"/>
      <c r="J2211" s="8"/>
    </row>
    <row r="2212" ht="21.0" customHeight="1">
      <c r="A2212" s="6">
        <v>1.0</v>
      </c>
      <c r="B2212" s="6">
        <v>173.0</v>
      </c>
      <c r="C2212" s="6">
        <v>5.0</v>
      </c>
      <c r="D2212" s="23" t="s">
        <v>3218</v>
      </c>
      <c r="E2212" s="9" t="s">
        <v>3219</v>
      </c>
      <c r="F2212" s="8" t="str">
        <f>IFERROR(__xludf.DUMMYFUNCTION("GOOGLETRANSLATE(D2212,""zh-CN"",""vi"")"),"Tiền vàng vùng biển nông")</f>
        <v>Tiền vàng vùng biển nông</v>
      </c>
      <c r="G2212" s="8" t="str">
        <f>IFERROR(__xludf.DUMMYFUNCTION("GOOGLETRANSLATE(E2212,""zh-CN"",""vi"")"),"Vương quốc Đại dương cũng sẽ sử dụng tiền vàng chứ? Hãy chế tạo một chiếc vòng tay ngọc trai.")</f>
        <v>Vương quốc Đại dương cũng sẽ sử dụng tiền vàng chứ? Hãy chế tạo một chiếc vòng tay ngọc trai.</v>
      </c>
      <c r="H2212" s="8"/>
      <c r="I2212" s="8"/>
      <c r="J2212" s="8"/>
    </row>
    <row r="2213" ht="21.0" customHeight="1">
      <c r="A2213" s="6">
        <v>1.0</v>
      </c>
      <c r="B2213" s="6">
        <v>173.0</v>
      </c>
      <c r="C2213" s="6">
        <v>6.0</v>
      </c>
      <c r="D2213" s="23" t="s">
        <v>3220</v>
      </c>
      <c r="E2213" s="9" t="s">
        <v>3221</v>
      </c>
      <c r="F2213" s="8" t="str">
        <f>IFERROR(__xludf.DUMMYFUNCTION("GOOGLETRANSLATE(D2213,""zh-CN"",""vi"")"),"Vòng tay ngọc trai")</f>
        <v>Vòng tay ngọc trai</v>
      </c>
      <c r="G2213" s="8" t="str">
        <f>IFERROR(__xludf.DUMMYFUNCTION("GOOGLETRANSLATE(E2213,""zh-CN"",""vi"")"),"Ngọc trai màu tím nhạt được giới quý tộc ưa chuộng. Một chiếc vòng tay san hô đỏ có thể được tạo ra từ chúng.")</f>
        <v>Ngọc trai màu tím nhạt được giới quý tộc ưa chuộng. Một chiếc vòng tay san hô đỏ có thể được tạo ra từ chúng.</v>
      </c>
      <c r="H2213" s="8"/>
      <c r="I2213" s="8"/>
      <c r="J2213" s="8"/>
    </row>
    <row r="2214" ht="21.0" customHeight="1">
      <c r="A2214" s="6">
        <v>1.0</v>
      </c>
      <c r="B2214" s="6">
        <v>173.0</v>
      </c>
      <c r="C2214" s="6">
        <v>7.0</v>
      </c>
      <c r="D2214" s="23" t="s">
        <v>3222</v>
      </c>
      <c r="E2214" s="9" t="s">
        <v>3223</v>
      </c>
      <c r="F2214" s="8" t="str">
        <f>IFERROR(__xludf.DUMMYFUNCTION("GOOGLETRANSLATE(D2214,""zh-CN"",""vi"")"),"Vòng tay san hô đỏ")</f>
        <v>Vòng tay san hô đỏ</v>
      </c>
      <c r="G2214" s="8" t="str">
        <f>IFERROR(__xludf.DUMMYFUNCTION("GOOGLETRANSLATE(E2214,""zh-CN"",""vi"")"),"Truyền thuyết kể rằng san hô đỏ mang lại may mắn, hạnh phúc và bình an. Kết hợp chúng để tạo thành một chiếc bình hình rong biển.")</f>
        <v>Truyền thuyết kể rằng san hô đỏ mang lại may mắn, hạnh phúc và bình an. Kết hợp chúng để tạo thành một chiếc bình hình rong biển.</v>
      </c>
      <c r="H2214" s="8"/>
      <c r="I2214" s="8"/>
      <c r="J2214" s="8"/>
    </row>
    <row r="2215" ht="21.0" customHeight="1">
      <c r="A2215" s="6">
        <v>1.0</v>
      </c>
      <c r="B2215" s="6">
        <v>173.0</v>
      </c>
      <c r="C2215" s="6">
        <v>8.0</v>
      </c>
      <c r="D2215" s="23" t="s">
        <v>3224</v>
      </c>
      <c r="E2215" s="9" t="s">
        <v>3225</v>
      </c>
      <c r="F2215" s="8" t="str">
        <f>IFERROR(__xludf.DUMMYFUNCTION("GOOGLETRANSLATE(D2215,""zh-CN"",""vi"")"),"bình cắm hoa cây thủy sinh")</f>
        <v>bình cắm hoa cây thủy sinh</v>
      </c>
      <c r="G2215" s="8" t="str">
        <f>IFERROR(__xludf.DUMMYFUNCTION("GOOGLETRANSLATE(E2215,""zh-CN"",""vi"")"),"Một chiếc bình bị bao phủ bởi các loài thực vật thủy sinh. Hãy chế tác nó để có được một chiếc bình hình cá.")</f>
        <v>Một chiếc bình bị bao phủ bởi các loài thực vật thủy sinh. Hãy chế tác nó để có được một chiếc bình hình cá.</v>
      </c>
      <c r="H2215" s="8"/>
      <c r="I2215" s="8"/>
      <c r="J2215" s="8"/>
    </row>
    <row r="2216" ht="21.0" customHeight="1">
      <c r="A2216" s="6">
        <v>1.0</v>
      </c>
      <c r="B2216" s="6">
        <v>173.0</v>
      </c>
      <c r="C2216" s="6">
        <v>9.0</v>
      </c>
      <c r="D2216" s="23" t="s">
        <v>3226</v>
      </c>
      <c r="E2216" s="9" t="s">
        <v>3227</v>
      </c>
      <c r="F2216" s="8" t="str">
        <f>IFERROR(__xludf.DUMMYFUNCTION("GOOGLETRANSLATE(D2216,""zh-CN"",""vi"")"),"Bình hoa hình cá")</f>
        <v>Bình hoa hình cá</v>
      </c>
      <c r="G2216" s="8" t="str">
        <f>IFERROR(__xludf.DUMMYFUNCTION("GOOGLETRANSLATE(E2216,""zh-CN"",""vi"")"),"Những chú cá có vẻ khá hài lòng với ngôi nhà này. Hãy kết hợp chúng để có được Bình Thế Giới Đại Dương.")</f>
        <v>Những chú cá có vẻ khá hài lòng với ngôi nhà này. Hãy kết hợp chúng để có được Bình Thế Giới Đại Dương.</v>
      </c>
      <c r="H2216" s="8"/>
      <c r="I2216" s="8"/>
      <c r="J2216" s="8"/>
    </row>
    <row r="2217" ht="21.0" customHeight="1">
      <c r="A2217" s="6">
        <v>1.0</v>
      </c>
      <c r="B2217" s="6">
        <v>173.0</v>
      </c>
      <c r="C2217" s="6">
        <v>10.0</v>
      </c>
      <c r="D2217" s="23" t="s">
        <v>3228</v>
      </c>
      <c r="E2217" s="9" t="s">
        <v>3229</v>
      </c>
      <c r="F2217" s="8" t="str">
        <f>IFERROR(__xludf.DUMMYFUNCTION("GOOGLETRANSLATE(D2217,""zh-CN"",""vi"")"),"Bình hoa Sea World")</f>
        <v>Bình hoa Sea World</v>
      </c>
      <c r="G2217" s="8" t="str">
        <f>IFERROR(__xludf.DUMMYFUNCTION("GOOGLETRANSLATE(E2217,""zh-CN"",""vi"")"),"San hô, ngọc trai và vỏ sò giống như một thế giới thu nhỏ dưới nước. Kết hợp chúng lại để tạo thành một rương kho báu dưới biển.")</f>
        <v>San hô, ngọc trai và vỏ sò giống như một thế giới thu nhỏ dưới nước. Kết hợp chúng lại để tạo thành một rương kho báu dưới biển.</v>
      </c>
      <c r="H2217" s="8"/>
      <c r="I2217" s="8"/>
      <c r="J2217" s="8"/>
    </row>
    <row r="2218" ht="21.0" customHeight="1">
      <c r="A2218" s="6">
        <v>1.0</v>
      </c>
      <c r="B2218" s="6">
        <v>173.0</v>
      </c>
      <c r="C2218" s="6">
        <v>11.0</v>
      </c>
      <c r="D2218" s="23" t="s">
        <v>3230</v>
      </c>
      <c r="E2218" s="9" t="s">
        <v>3231</v>
      </c>
      <c r="F2218" s="8" t="str">
        <f>IFERROR(__xludf.DUMMYFUNCTION("GOOGLETRANSLATE(D2218,""zh-CN"",""vi"")"),"rương kho báu dưới nước")</f>
        <v>rương kho báu dưới nước</v>
      </c>
      <c r="G2218" s="8" t="str">
        <f>IFERROR(__xludf.DUMMYFUNCTION("GOOGLETRANSLATE(E2218,""zh-CN"",""vi"")"),"Vương quốc Đại dương cũng thích rương kho báu chứ? Hãy kết hợp chúng để có được Rương Kho báu Nàng tiên cá.")</f>
        <v>Vương quốc Đại dương cũng thích rương kho báu chứ? Hãy kết hợp chúng để có được Rương Kho báu Nàng tiên cá.</v>
      </c>
      <c r="H2218" s="8"/>
      <c r="I2218" s="8"/>
      <c r="J2218" s="8"/>
    </row>
    <row r="2219" ht="21.0" customHeight="1">
      <c r="A2219" s="6">
        <v>1.0</v>
      </c>
      <c r="B2219" s="6">
        <v>173.0</v>
      </c>
      <c r="C2219" s="6">
        <v>12.0</v>
      </c>
      <c r="D2219" s="23" t="s">
        <v>3232</v>
      </c>
      <c r="E2219" s="9" t="s">
        <v>3233</v>
      </c>
      <c r="F2219" s="8" t="str">
        <f>IFERROR(__xludf.DUMMYFUNCTION("GOOGLETRANSLATE(D2219,""zh-CN"",""vi"")"),"Rương kho báu nàng tiên cá")</f>
        <v>Rương kho báu nàng tiên cá</v>
      </c>
      <c r="G2219" s="8" t="str">
        <f>IFERROR(__xludf.DUMMYFUNCTION("GOOGLETRANSLATE(E2219,""zh-CN"",""vi"")"),"Những đồng tiền vàng sáng bóng rất được ưa chuộng ở khắp mọi nơi. Hãy kết hợp chúng để nhận được Rương Kho báu Cung điện Rồng.")</f>
        <v>Những đồng tiền vàng sáng bóng rất được ưa chuộng ở khắp mọi nơi. Hãy kết hợp chúng để nhận được Rương Kho báu Cung điện Rồng.</v>
      </c>
      <c r="H2219" s="8"/>
      <c r="I2219" s="8"/>
      <c r="J2219" s="8"/>
    </row>
    <row r="2220" ht="21.0" customHeight="1">
      <c r="A2220" s="6">
        <v>1.0</v>
      </c>
      <c r="B2220" s="6">
        <v>173.0</v>
      </c>
      <c r="C2220" s="6">
        <v>13.0</v>
      </c>
      <c r="D2220" s="23" t="s">
        <v>3234</v>
      </c>
      <c r="E2220" s="9" t="s">
        <v>3235</v>
      </c>
      <c r="F2220" s="8" t="str">
        <f>IFERROR(__xludf.DUMMYFUNCTION("GOOGLETRANSLATE(D2220,""zh-CN"",""vi"")"),"Rương kho báu cung điện rồng")</f>
        <v>Rương kho báu cung điện rồng</v>
      </c>
      <c r="G2220" s="8" t="str">
        <f>IFERROR(__xludf.DUMMYFUNCTION("GOOGLETRANSLATE(E2220,""zh-CN"",""vi"")"),"Ngọc trai, mã não và tiền vàng là những báu vật của Long Vương. Chúng đã được tổng hợp đến cấp độ cao nhất.")</f>
        <v>Ngọc trai, mã não và tiền vàng là những báu vật của Long Vương. Chúng đã được tổng hợp đến cấp độ cao nhất.</v>
      </c>
      <c r="H2220" s="8"/>
      <c r="I2220" s="8"/>
      <c r="J2220" s="8"/>
    </row>
    <row r="2221" ht="21.0" customHeight="1">
      <c r="A2221" s="6">
        <v>1.0</v>
      </c>
      <c r="B2221" s="6">
        <v>174.0</v>
      </c>
      <c r="C2221" s="6">
        <v>1.0</v>
      </c>
      <c r="D2221" s="23" t="s">
        <v>3236</v>
      </c>
      <c r="E2221" s="9" t="s">
        <v>3237</v>
      </c>
      <c r="F2221" s="8" t="str">
        <f>IFERROR(__xludf.DUMMYFUNCTION("GOOGLETRANSLATE(D2221,""zh-CN"",""vi"")"),"Lá thư từ phương xa")</f>
        <v>Lá thư từ phương xa</v>
      </c>
      <c r="G2221" s="8" t="str">
        <f>IFERROR(__xludf.DUMMYFUNCTION("GOOGLETRANSLATE(E2221,""zh-CN"",""vi"")"),"Tôi nhận được một lá thư từ phương xa. Tôi đã tổng hợp và thu thập được những đồ đạc của ông chú tôi.")</f>
        <v>Tôi nhận được một lá thư từ phương xa. Tôi đã tổng hợp và thu thập được những đồ đạc của ông chú tôi.</v>
      </c>
      <c r="H2221" s="8"/>
      <c r="I2221" s="8"/>
      <c r="J2221" s="8"/>
    </row>
    <row r="2222" ht="21.0" customHeight="1">
      <c r="A2222" s="6">
        <v>1.0</v>
      </c>
      <c r="B2222" s="6">
        <v>174.0</v>
      </c>
      <c r="C2222" s="6">
        <v>2.0</v>
      </c>
      <c r="D2222" s="23" t="s">
        <v>3238</v>
      </c>
      <c r="E2222" s="9" t="s">
        <v>3239</v>
      </c>
      <c r="F2222" s="8" t="str">
        <f>IFERROR(__xludf.DUMMYFUNCTION("GOOGLETRANSLATE(D2222,""zh-CN"",""vi"")"),"Đồ đạc của ông nội")</f>
        <v>Đồ đạc của ông nội</v>
      </c>
      <c r="G2222" s="8" t="str">
        <f>IFERROR(__xludf.DUMMYFUNCTION("GOOGLETRANSLATE(E2222,""zh-CN"",""vi"")"),"Bác tôi là giáo sư, và di sản của ông gắn liền với nghiên cứu. Tôi đã tổng hợp các ghi chép nghiên cứu của ông.")</f>
        <v>Bác tôi là giáo sư, và di sản của ông gắn liền với nghiên cứu. Tôi đã tổng hợp các ghi chép nghiên cứu của ông.</v>
      </c>
      <c r="H2222" s="8"/>
      <c r="I2222" s="8"/>
      <c r="J2222" s="8"/>
    </row>
    <row r="2223" ht="21.0" customHeight="1">
      <c r="A2223" s="6">
        <v>1.0</v>
      </c>
      <c r="B2223" s="6">
        <v>174.0</v>
      </c>
      <c r="C2223" s="6">
        <v>3.0</v>
      </c>
      <c r="D2223" s="23" t="s">
        <v>3240</v>
      </c>
      <c r="E2223" s="9" t="s">
        <v>3241</v>
      </c>
      <c r="F2223" s="8" t="str">
        <f>IFERROR(__xludf.DUMMYFUNCTION("GOOGLETRANSLATE(D2223,""zh-CN"",""vi"")"),"Ghi chú nghiên cứu")</f>
        <v>Ghi chú nghiên cứu</v>
      </c>
      <c r="G2223" s="8" t="str">
        <f>IFERROR(__xludf.DUMMYFUNCTION("GOOGLETRANSLATE(E2223,""zh-CN"",""vi"")"),"Những ghi chép này đề cập đến một nền văn minh cổ đại dưới đáy biển sâu? Hãy kết hợp chúng để tạo ra một bức tượng bí ẩn.")</f>
        <v>Những ghi chép này đề cập đến một nền văn minh cổ đại dưới đáy biển sâu? Hãy kết hợp chúng để tạo ra một bức tượng bí ẩn.</v>
      </c>
      <c r="H2223" s="8"/>
      <c r="I2223" s="8"/>
      <c r="J2223" s="8"/>
    </row>
    <row r="2224" ht="21.0" customHeight="1">
      <c r="A2224" s="6">
        <v>1.0</v>
      </c>
      <c r="B2224" s="6">
        <v>174.0</v>
      </c>
      <c r="C2224" s="6">
        <v>4.0</v>
      </c>
      <c r="D2224" s="23" t="s">
        <v>3242</v>
      </c>
      <c r="E2224" s="9" t="s">
        <v>3243</v>
      </c>
      <c r="F2224" s="8" t="str">
        <f>IFERROR(__xludf.DUMMYFUNCTION("GOOGLETRANSLATE(D2224,""zh-CN"",""vi"")"),"Bức tượng bí ẩn")</f>
        <v>Bức tượng bí ẩn</v>
      </c>
      <c r="G2224" s="8" t="str">
        <f>IFERROR(__xludf.DUMMYFUNCTION("GOOGLETRANSLATE(E2224,""zh-CN"",""vi"")"),"Liệu sinh vật được miêu tả trong bức tượng này có thực sự tồn tại trên Trái đất? Một giấc mơ kỳ lạ được hình thành.")</f>
        <v>Liệu sinh vật được miêu tả trong bức tượng này có thực sự tồn tại trên Trái đất? Một giấc mơ kỳ lạ được hình thành.</v>
      </c>
      <c r="H2224" s="8"/>
      <c r="I2224" s="8"/>
      <c r="J2224" s="8"/>
    </row>
    <row r="2225" ht="21.0" customHeight="1">
      <c r="A2225" s="6">
        <v>1.0</v>
      </c>
      <c r="B2225" s="6">
        <v>174.0</v>
      </c>
      <c r="C2225" s="6">
        <v>5.0</v>
      </c>
      <c r="D2225" s="23" t="s">
        <v>3244</v>
      </c>
      <c r="E2225" s="9" t="s">
        <v>3245</v>
      </c>
      <c r="F2225" s="8" t="str">
        <f>IFERROR(__xludf.DUMMYFUNCTION("GOOGLETRANSLATE(D2225,""zh-CN"",""vi"")"),"Những giấc mơ kỳ lạ")</f>
        <v>Những giấc mơ kỳ lạ</v>
      </c>
      <c r="G2225" s="8" t="str">
        <f>IFERROR(__xludf.DUMMYFUNCTION("GOOGLETRANSLATE(E2225,""zh-CN"",""vi"")"),"Tôi nằm mơ thấy một thành phố nằm sâu trong vực thẳm. (Thu thập các vật phẩm để có được bản đồ kho báu.)")</f>
        <v>Tôi nằm mơ thấy một thành phố nằm sâu trong vực thẳm. (Thu thập các vật phẩm để có được bản đồ kho báu.)</v>
      </c>
      <c r="H2225" s="8"/>
      <c r="I2225" s="8"/>
      <c r="J2225" s="8"/>
    </row>
    <row r="2226" ht="21.0" customHeight="1">
      <c r="A2226" s="6">
        <v>1.0</v>
      </c>
      <c r="B2226" s="6">
        <v>174.0</v>
      </c>
      <c r="C2226" s="6">
        <v>6.0</v>
      </c>
      <c r="D2226" s="23" t="s">
        <v>3246</v>
      </c>
      <c r="E2226" s="9" t="s">
        <v>3247</v>
      </c>
      <c r="F2226" s="8" t="str">
        <f>IFERROR(__xludf.DUMMYFUNCTION("GOOGLETRANSLATE(D2226,""zh-CN"",""vi"")"),"Bản đồ kho báu")</f>
        <v>Bản đồ kho báu</v>
      </c>
      <c r="G2226" s="8" t="str">
        <f>IFERROR(__xludf.DUMMYFUNCTION("GOOGLETRANSLATE(E2226,""zh-CN"",""vi"")"),"Tấm bản đồ kho báu này dường như sở hữu một thứ ma thuật kỳ lạ, thôi thúc tôi ra khơi. Tôi đã tổng hợp nó để có được Tín hiệu Cảnh báo.")</f>
        <v>Tấm bản đồ kho báu này dường như sở hữu một thứ ma thuật kỳ lạ, thôi thúc tôi ra khơi. Tôi đã tổng hợp nó để có được Tín hiệu Cảnh báo.</v>
      </c>
      <c r="H2226" s="8"/>
      <c r="I2226" s="8"/>
      <c r="J2226" s="8"/>
    </row>
    <row r="2227" ht="21.0" customHeight="1">
      <c r="A2227" s="6">
        <v>1.0</v>
      </c>
      <c r="B2227" s="6">
        <v>174.0</v>
      </c>
      <c r="C2227" s="6">
        <v>7.0</v>
      </c>
      <c r="D2227" s="23" t="s">
        <v>3248</v>
      </c>
      <c r="E2227" s="9" t="s">
        <v>3249</v>
      </c>
      <c r="F2227" s="8" t="str">
        <f>IFERROR(__xludf.DUMMYFUNCTION("GOOGLETRANSLATE(D2227,""zh-CN"",""vi"")"),"Cảnh báo")</f>
        <v>Cảnh báo</v>
      </c>
      <c r="G2227" s="8" t="str">
        <f>IFERROR(__xludf.DUMMYFUNCTION("GOOGLETRANSLATE(E2227,""zh-CN"",""vi"")"),"Trên tàu có hai mươi người, sao chỉ có mình tôi trở về? (Một hòn đảo không tồn tại được tạo ra thông qua quá trình tổng hợp.)")</f>
        <v>Trên tàu có hai mươi người, sao chỉ có mình tôi trở về? (Một hòn đảo không tồn tại được tạo ra thông qua quá trình tổng hợp.)</v>
      </c>
      <c r="H2227" s="8"/>
      <c r="I2227" s="8"/>
      <c r="J2227" s="8"/>
    </row>
    <row r="2228" ht="21.0" customHeight="1">
      <c r="A2228" s="6">
        <v>1.0</v>
      </c>
      <c r="B2228" s="6">
        <v>174.0</v>
      </c>
      <c r="C2228" s="6">
        <v>8.0</v>
      </c>
      <c r="D2228" s="23" t="s">
        <v>3250</v>
      </c>
      <c r="E2228" s="9" t="s">
        <v>3251</v>
      </c>
      <c r="F2228" s="8" t="str">
        <f>IFERROR(__xludf.DUMMYFUNCTION("GOOGLETRANSLATE(D2228,""zh-CN"",""vi"")"),"hòn đảo không tồn tại")</f>
        <v>hòn đảo không tồn tại</v>
      </c>
      <c r="G2228" s="8" t="str">
        <f>IFERROR(__xludf.DUMMYFUNCTION("GOOGLETRANSLATE(E2228,""zh-CN"",""vi"")"),"Ôi Chúa ơi! Một hòn đảo nhỏ đột nhiên nổi lên từ biển! Kết hợp vũ khí bị rơi.")</f>
        <v>Ôi Chúa ơi! Một hòn đảo nhỏ đột nhiên nổi lên từ biển! Kết hợp vũ khí bị rơi.</v>
      </c>
      <c r="H2228" s="8"/>
      <c r="I2228" s="8"/>
      <c r="J2228" s="8"/>
    </row>
    <row r="2229" ht="21.0" customHeight="1">
      <c r="A2229" s="6">
        <v>1.0</v>
      </c>
      <c r="B2229" s="6">
        <v>174.0</v>
      </c>
      <c r="C2229" s="6">
        <v>9.0</v>
      </c>
      <c r="D2229" s="23" t="s">
        <v>3252</v>
      </c>
      <c r="E2229" s="9" t="s">
        <v>3253</v>
      </c>
      <c r="F2229" s="8" t="str">
        <f>IFERROR(__xludf.DUMMYFUNCTION("GOOGLETRANSLATE(D2229,""zh-CN"",""vi"")"),"vũ khí bị bỏ rơi")</f>
        <v>vũ khí bị bỏ rơi</v>
      </c>
      <c r="G2229" s="8" t="str">
        <f>IFERROR(__xludf.DUMMYFUNCTION("GOOGLETRANSLATE(E2229,""zh-CN"",""vi"")"),"Tiếng gầm rú của quái vật, tiếng la hét của con người, những vì sao kỳ dị. Tổng hợp lại để điều chế thuốc hướng thần.")</f>
        <v>Tiếng gầm rú của quái vật, tiếng la hét của con người, những vì sao kỳ dị. Tổng hợp lại để điều chế thuốc hướng thần.</v>
      </c>
      <c r="H2229" s="8"/>
      <c r="I2229" s="8"/>
      <c r="J2229" s="8"/>
    </row>
    <row r="2230" ht="21.0" customHeight="1">
      <c r="A2230" s="6">
        <v>1.0</v>
      </c>
      <c r="B2230" s="6">
        <v>174.0</v>
      </c>
      <c r="C2230" s="6">
        <v>10.0</v>
      </c>
      <c r="D2230" s="23" t="s">
        <v>3254</v>
      </c>
      <c r="E2230" s="9" t="s">
        <v>3255</v>
      </c>
      <c r="F2230" s="8" t="str">
        <f>IFERROR(__xludf.DUMMYFUNCTION("GOOGLETRANSLATE(D2230,""zh-CN"",""vi"")"),"Thuốc hướng thần")</f>
        <v>Thuốc hướng thần</v>
      </c>
      <c r="G2230" s="8" t="str">
        <f>IFERROR(__xludf.DUMMYFUNCTION("GOOGLETRANSLATE(E2230,""zh-CN"",""vi"")"),"Hãy uống thuốc và cố gắng quên đi những ký ức đau buồn. Tổng hợp lại và tiến hành kiểm tra tại phòng thí nghiệm.")</f>
        <v>Hãy uống thuốc và cố gắng quên đi những ký ức đau buồn. Tổng hợp lại và tiến hành kiểm tra tại phòng thí nghiệm.</v>
      </c>
      <c r="H2230" s="8"/>
      <c r="I2230" s="8"/>
      <c r="J2230" s="8"/>
    </row>
    <row r="2231" ht="21.0" customHeight="1">
      <c r="A2231" s="6">
        <v>1.0</v>
      </c>
      <c r="B2231" s="6">
        <v>174.0</v>
      </c>
      <c r="C2231" s="6">
        <v>11.0</v>
      </c>
      <c r="D2231" s="23" t="s">
        <v>3256</v>
      </c>
      <c r="E2231" s="9" t="s">
        <v>3257</v>
      </c>
      <c r="F2231" s="8" t="str">
        <f>IFERROR(__xludf.DUMMYFUNCTION("GOOGLETRANSLATE(D2231,""zh-CN"",""vi"")"),"Kiểm tra phòng")</f>
        <v>Kiểm tra phòng</v>
      </c>
      <c r="G2231" s="8" t="str">
        <f>IFERROR(__xludf.DUMMYFUNCTION("GOOGLETRANSLATE(E2231,""zh-CN"",""vi"")"),"Có điều gì đó dường như đang ẩn nấp trong bóng tối? Hãy tổng hợp lại để có được nét chữ run rẩy.")</f>
        <v>Có điều gì đó dường như đang ẩn nấp trong bóng tối? Hãy tổng hợp lại để có được nét chữ run rẩy.</v>
      </c>
      <c r="H2231" s="8"/>
      <c r="I2231" s="8"/>
      <c r="J2231" s="8"/>
    </row>
    <row r="2232" ht="21.0" customHeight="1">
      <c r="A2232" s="6">
        <v>1.0</v>
      </c>
      <c r="B2232" s="6">
        <v>174.0</v>
      </c>
      <c r="C2232" s="6">
        <v>12.0</v>
      </c>
      <c r="D2232" s="23" t="s">
        <v>3258</v>
      </c>
      <c r="E2232" s="9" t="s">
        <v>3259</v>
      </c>
      <c r="F2232" s="8" t="str">
        <f>IFERROR(__xludf.DUMMYFUNCTION("GOOGLETRANSLATE(D2232,""zh-CN"",""vi"")"),"Chữ viết run rẩy")</f>
        <v>Chữ viết run rẩy</v>
      </c>
      <c r="G2232" s="8" t="str">
        <f>IFERROR(__xludf.DUMMYFUNCTION("GOOGLETRANSLATE(E2232,""zh-CN"",""vi"")"),"Tôi biết mình không thể trốn thoát; họ—không, họ đã ở đây rồi! (Quá trình quay phim hoàn tất.)")</f>
        <v>Tôi biết mình không thể trốn thoát; họ—không, họ đã ở đây rồi! (Quá trình quay phim hoàn tất.)</v>
      </c>
      <c r="H2232" s="8"/>
      <c r="I2232" s="8"/>
      <c r="J2232" s="8"/>
    </row>
    <row r="2233" ht="21.0" customHeight="1">
      <c r="A2233" s="6">
        <v>1.0</v>
      </c>
      <c r="B2233" s="6">
        <v>174.0</v>
      </c>
      <c r="C2233" s="6">
        <v>13.0</v>
      </c>
      <c r="D2233" s="23" t="s">
        <v>3260</v>
      </c>
      <c r="E2233" s="9" t="s">
        <v>3261</v>
      </c>
      <c r="F2233" s="8" t="str">
        <f>IFERROR(__xludf.DUMMYFUNCTION("GOOGLETRANSLATE(D2233,""zh-CN"",""vi"")"),"Việc quay phim đã hoàn tất.")</f>
        <v>Việc quay phim đã hoàn tất.</v>
      </c>
      <c r="G2233" s="8" t="str">
        <f>IFERROR(__xludf.DUMMYFUNCTION("GOOGLETRANSLATE(E2233,""zh-CN"",""vi"")"),"Tất cả chỉ là phim thôi; không có quái vật nào trên thế giới này cả. (Đã được tổng hợp đến cấp độ cao nhất.)")</f>
        <v>Tất cả chỉ là phim thôi; không có quái vật nào trên thế giới này cả. (Đã được tổng hợp đến cấp độ cao nhất.)</v>
      </c>
      <c r="H2233" s="8"/>
      <c r="I2233" s="8"/>
      <c r="J2233" s="8"/>
    </row>
    <row r="2234" ht="21.0" customHeight="1">
      <c r="A2234" s="6">
        <v>11.0</v>
      </c>
      <c r="B2234" s="6">
        <v>1036.0</v>
      </c>
      <c r="C2234" s="6">
        <v>1.0</v>
      </c>
      <c r="D2234" s="23" t="s">
        <v>3262</v>
      </c>
      <c r="E2234" s="9" t="s">
        <v>3263</v>
      </c>
      <c r="F2234" s="8" t="str">
        <f>IFERROR(__xludf.DUMMYFUNCTION("GOOGLETRANSLATE(D2234,""zh-CN"",""vi"")"),"Lông vũ cầu vồng")</f>
        <v>Lông vũ cầu vồng</v>
      </c>
      <c r="G2234" s="8" t="str">
        <f>IFERROR(__xludf.DUMMYFUNCTION("GOOGLETRANSLATE(E2234,""zh-CN"",""vi"")"),"Những chiếc lông vũ đầy màu sắc tỏa ra một luồng khí tốt lành. Kết hợp chúng lại để có được lông chim ác.")</f>
        <v>Những chiếc lông vũ đầy màu sắc tỏa ra một luồng khí tốt lành. Kết hợp chúng lại để có được lông chim ác.</v>
      </c>
      <c r="H2234" s="8"/>
      <c r="I2234" s="8"/>
      <c r="J2234" s="8"/>
    </row>
    <row r="2235" ht="21.0" customHeight="1">
      <c r="A2235" s="6">
        <v>11.0</v>
      </c>
      <c r="B2235" s="6">
        <v>1036.0</v>
      </c>
      <c r="C2235" s="6">
        <v>2.0</v>
      </c>
      <c r="D2235" s="23" t="s">
        <v>3264</v>
      </c>
      <c r="E2235" s="9" t="s">
        <v>3265</v>
      </c>
      <c r="F2235" s="8" t="str">
        <f>IFERROR(__xludf.DUMMYFUNCTION("GOOGLETRANSLATE(D2235,""zh-CN"",""vi"")"),"lông chim ác là")</f>
        <v>lông chim ác là</v>
      </c>
      <c r="G2235" s="8" t="str">
        <f>IFERROR(__xludf.DUMMYFUNCTION("GOOGLETRANSLATE(E2235,""zh-CN"",""vi"")"),"Tìm được hai chiếc lông chim ác, may mắn nhân đôi! Kết hợp chúng lại để tạo thành một chú chim non.")</f>
        <v>Tìm được hai chiếc lông chim ác, may mắn nhân đôi! Kết hợp chúng lại để tạo thành một chú chim non.</v>
      </c>
      <c r="H2235" s="8"/>
      <c r="I2235" s="8"/>
      <c r="J2235" s="8"/>
    </row>
    <row r="2236" ht="21.0" customHeight="1">
      <c r="A2236" s="6">
        <v>11.0</v>
      </c>
      <c r="B2236" s="6">
        <v>1036.0</v>
      </c>
      <c r="C2236" s="6">
        <v>3.0</v>
      </c>
      <c r="D2236" s="23" t="s">
        <v>3266</v>
      </c>
      <c r="E2236" s="9" t="s">
        <v>3267</v>
      </c>
      <c r="F2236" s="8" t="str">
        <f>IFERROR(__xludf.DUMMYFUNCTION("GOOGLETRANSLATE(D2236,""zh-CN"",""vi"")"),"chim non")</f>
        <v>chim non</v>
      </c>
      <c r="G2236" s="8" t="str">
        <f>IFERROR(__xludf.DUMMYFUNCTION("GOOGLETRANSLATE(E2236,""zh-CN"",""vi"")"),"Ngay cả những chú chim non bé bỏng cũng mơ ước xây dựng một cây cầu chim ác. Hãy tổng hợp để có được một con chim ác.")</f>
        <v>Ngay cả những chú chim non bé bỏng cũng mơ ước xây dựng một cây cầu chim ác. Hãy tổng hợp để có được một con chim ác.</v>
      </c>
      <c r="H2236" s="8"/>
      <c r="I2236" s="8"/>
      <c r="J2236" s="8"/>
    </row>
    <row r="2237" ht="21.0" customHeight="1">
      <c r="A2237" s="6">
        <v>11.0</v>
      </c>
      <c r="B2237" s="6">
        <v>1036.0</v>
      </c>
      <c r="C2237" s="6">
        <v>4.0</v>
      </c>
      <c r="D2237" s="23" t="s">
        <v>3268</v>
      </c>
      <c r="E2237" s="9" t="s">
        <v>3269</v>
      </c>
      <c r="F2237" s="8" t="str">
        <f>IFERROR(__xludf.DUMMYFUNCTION("GOOGLETRANSLATE(D2237,""zh-CN"",""vi"")"),"Chim ác là")</f>
        <v>Chim ác là</v>
      </c>
      <c r="G2237" s="8" t="str">
        <f>IFERROR(__xludf.DUMMYFUNCTION("GOOGLETRANSLATE(E2237,""zh-CN"",""vi"")"),"Chim ác là mang theo cành cây tượng trưng cho may mắn! Kết hợp chúng lại để tạo thành một nửa cây cầu gỗ.")</f>
        <v>Chim ác là mang theo cành cây tượng trưng cho may mắn! Kết hợp chúng lại để tạo thành một nửa cây cầu gỗ.</v>
      </c>
      <c r="H2237" s="8"/>
      <c r="I2237" s="8"/>
      <c r="J2237" s="8"/>
    </row>
    <row r="2238" ht="21.0" customHeight="1">
      <c r="A2238" s="6">
        <v>10.0</v>
      </c>
      <c r="B2238" s="6">
        <v>1036.0</v>
      </c>
      <c r="C2238" s="6">
        <v>5.0</v>
      </c>
      <c r="D2238" s="23" t="s">
        <v>3270</v>
      </c>
      <c r="E2238" s="9" t="s">
        <v>3271</v>
      </c>
      <c r="F2238" s="8" t="str">
        <f>IFERROR(__xludf.DUMMYFUNCTION("GOOGLETRANSLATE(D2238,""zh-CN"",""vi"")"),"Cầu gỗ nửa chừng")</f>
        <v>Cầu gỗ nửa chừng</v>
      </c>
      <c r="G2238" s="8" t="str">
        <f>IFERROR(__xludf.DUMMYFUNCTION("GOOGLETRANSLATE(E2238,""zh-CN"",""vi"")"),"Sớm thôi... nó sẽ hoàn thành. Hãy đóng một cây cầu gỗ đơn giản.")</f>
        <v>Sớm thôi... nó sẽ hoàn thành. Hãy đóng một cây cầu gỗ đơn giản.</v>
      </c>
      <c r="H2238" s="8"/>
      <c r="I2238" s="8"/>
      <c r="J2238" s="8"/>
    </row>
    <row r="2239" ht="21.0" customHeight="1">
      <c r="A2239" s="6">
        <v>10.0</v>
      </c>
      <c r="B2239" s="6">
        <v>1036.0</v>
      </c>
      <c r="C2239" s="6">
        <v>6.0</v>
      </c>
      <c r="D2239" s="23" t="s">
        <v>3272</v>
      </c>
      <c r="E2239" s="9" t="s">
        <v>3273</v>
      </c>
      <c r="F2239" s="8" t="str">
        <f>IFERROR(__xludf.DUMMYFUNCTION("GOOGLETRANSLATE(D2239,""zh-CN"",""vi"")"),"Cầu gỗ đơn giản")</f>
        <v>Cầu gỗ đơn giản</v>
      </c>
      <c r="G2239" s="8" t="str">
        <f>IFERROR(__xludf.DUMMYFUNCTION("GOOGLETRANSLATE(E2239,""zh-CN"",""vi"")"),"Một cây cầu đơn giản, một quá khứ nặng nề. Hãy chế tạo Cầu Gỗ Mây Trôi.")</f>
        <v>Một cây cầu đơn giản, một quá khứ nặng nề. Hãy chế tạo Cầu Gỗ Mây Trôi.</v>
      </c>
      <c r="H2239" s="8"/>
      <c r="I2239" s="8"/>
      <c r="J2239" s="8"/>
    </row>
    <row r="2240" ht="21.0" customHeight="1">
      <c r="A2240" s="6">
        <v>10.0</v>
      </c>
      <c r="B2240" s="6">
        <v>1036.0</v>
      </c>
      <c r="C2240" s="6">
        <v>7.0</v>
      </c>
      <c r="D2240" s="23" t="s">
        <v>3274</v>
      </c>
      <c r="E2240" s="9" t="s">
        <v>3275</v>
      </c>
      <c r="F2240" s="8" t="str">
        <f>IFERROR(__xludf.DUMMYFUNCTION("GOOGLETRANSLATE(D2240,""zh-CN"",""vi"")"),"Cầu gỗ mây trôi")</f>
        <v>Cầu gỗ mây trôi</v>
      </c>
      <c r="G2240" s="8" t="str">
        <f>IFERROR(__xludf.DUMMYFUNCTION("GOOGLETRANSLATE(E2240,""zh-CN"",""vi"")"),"Vượt qua ranh giới giữa cõi trần gian và cõi trời, phá vỡ những quy ước và định kiến ​​của thế gian. Kết hợp lại để tạo thành một cây cầu vòm bằng gỗ.")</f>
        <v>Vượt qua ranh giới giữa cõi trần gian và cõi trời, phá vỡ những quy ước và định kiến ​​của thế gian. Kết hợp lại để tạo thành một cây cầu vòm bằng gỗ.</v>
      </c>
      <c r="H2240" s="8"/>
      <c r="I2240" s="8"/>
      <c r="J2240" s="8"/>
    </row>
    <row r="2241" ht="21.0" customHeight="1">
      <c r="A2241" s="6">
        <v>10.0</v>
      </c>
      <c r="B2241" s="6">
        <v>1036.0</v>
      </c>
      <c r="C2241" s="6">
        <v>8.0</v>
      </c>
      <c r="D2241" s="23" t="s">
        <v>3276</v>
      </c>
      <c r="E2241" s="9" t="s">
        <v>3277</v>
      </c>
      <c r="F2241" s="8" t="str">
        <f>IFERROR(__xludf.DUMMYFUNCTION("GOOGLETRANSLATE(D2241,""zh-CN"",""vi"")"),"Cầu gỗ có mái vòm")</f>
        <v>Cầu gỗ có mái vòm</v>
      </c>
      <c r="G2241" s="8" t="str">
        <f>IFERROR(__xludf.DUMMYFUNCTION("GOOGLETRANSLATE(E2241,""zh-CN"",""vi"")"),"Mọi thứ đã sẵn sàng, chỉ chờ một cặp đôi yêu nhau. Hãy kết hợp họ lại để có được Cầu Chim Chích.")</f>
        <v>Mọi thứ đã sẵn sàng, chỉ chờ một cặp đôi yêu nhau. Hãy kết hợp họ lại để có được Cầu Chim Chích.</v>
      </c>
      <c r="H2241" s="8"/>
      <c r="I2241" s="8"/>
      <c r="J2241" s="8"/>
    </row>
    <row r="2242" ht="21.0" customHeight="1">
      <c r="A2242" s="6">
        <v>10.0</v>
      </c>
      <c r="B2242" s="6">
        <v>1036.0</v>
      </c>
      <c r="C2242" s="6">
        <v>9.0</v>
      </c>
      <c r="D2242" s="23" t="s">
        <v>3278</v>
      </c>
      <c r="E2242" s="9" t="s">
        <v>3279</v>
      </c>
      <c r="F2242" s="8" t="str">
        <f>IFERROR(__xludf.DUMMYFUNCTION("GOOGLETRANSLATE(D2242,""zh-CN"",""vi"")"),"Cầu Chim Chích")</f>
        <v>Cầu Chim Chích</v>
      </c>
      <c r="G2242" s="8" t="str">
        <f>IFERROR(__xludf.DUMMYFUNCTION("GOOGLETRANSLATE(E2242,""zh-CN"",""vi"")"),"Được thúc đẩy bởi tình yêu, chim ác là đã tạo nên một phép màu. Kết hợp cả hai để có được Cầu Chim Ác là trong Bóng Đèn Lồng.")</f>
        <v>Được thúc đẩy bởi tình yêu, chim ác là đã tạo nên một phép màu. Kết hợp cả hai để có được Cầu Chim Ác là trong Bóng Đèn Lồng.</v>
      </c>
      <c r="H2242" s="8"/>
      <c r="I2242" s="8"/>
      <c r="J2242" s="8"/>
    </row>
    <row r="2243" ht="21.0" customHeight="1">
      <c r="A2243" s="6">
        <v>10.0</v>
      </c>
      <c r="B2243" s="6">
        <v>1036.0</v>
      </c>
      <c r="C2243" s="6">
        <v>10.0</v>
      </c>
      <c r="D2243" s="23" t="s">
        <v>3280</v>
      </c>
      <c r="E2243" s="9" t="s">
        <v>3281</v>
      </c>
      <c r="F2243" s="8" t="str">
        <f>IFERROR(__xludf.DUMMYFUNCTION("GOOGLETRANSLATE(D2243,""zh-CN"",""vi"")"),"Đèn lồng và Cầu Chim Chích")</f>
        <v>Đèn lồng và Cầu Chim Chích</v>
      </c>
      <c r="G2243" s="8" t="str">
        <f>IFERROR(__xludf.DUMMYFUNCTION("GOOGLETRANSLATE(E2243,""zh-CN"",""vi"")"),"Ánh đèn leo lét chiếu sáng đôi mắt tươi cười của người tôi yêu dấu. (Đã được tổng hợp đến mức cao nhất.)")</f>
        <v>Ánh đèn leo lét chiếu sáng đôi mắt tươi cười của người tôi yêu dấu. (Đã được tổng hợp đến mức cao nhất.)</v>
      </c>
      <c r="H2243" s="8"/>
      <c r="I2243" s="8"/>
      <c r="J2243" s="8"/>
    </row>
    <row r="2244" ht="21.0" customHeight="1">
      <c r="A2244" s="6">
        <v>11.0</v>
      </c>
      <c r="B2244" s="6">
        <v>1037.0</v>
      </c>
      <c r="C2244" s="6">
        <v>1.0</v>
      </c>
      <c r="D2244" s="23" t="s">
        <v>3282</v>
      </c>
      <c r="E2244" s="9" t="s">
        <v>3283</v>
      </c>
      <c r="F2244" s="8" t="str">
        <f>IFERROR(__xludf.DUMMYFUNCTION("GOOGLETRANSLATE(D2244,""zh-CN"",""vi"")"),"Lông vũ cầu vồng [V]")</f>
        <v>Lông vũ cầu vồng [V]</v>
      </c>
      <c r="G2244" s="8" t="str">
        <f>IFERROR(__xludf.DUMMYFUNCTION("GOOGLETRANSLATE(E2244,""zh-CN"",""vi"")"),"Những chiếc lông vũ đầy màu sắc tỏa ra một luồng khí tốt lành. Tổng hợp để có được Lông Chim Chích [V].")</f>
        <v>Những chiếc lông vũ đầy màu sắc tỏa ra một luồng khí tốt lành. Tổng hợp để có được Lông Chim Chích [V].</v>
      </c>
      <c r="H2244" s="8"/>
      <c r="I2244" s="8"/>
      <c r="J2244" s="8"/>
    </row>
    <row r="2245" ht="21.0" customHeight="1">
      <c r="A2245" s="6">
        <v>11.0</v>
      </c>
      <c r="B2245" s="6">
        <v>1037.0</v>
      </c>
      <c r="C2245" s="6">
        <v>2.0</v>
      </c>
      <c r="D2245" s="23" t="s">
        <v>3284</v>
      </c>
      <c r="E2245" s="9" t="s">
        <v>3285</v>
      </c>
      <c r="F2245" s="8" t="str">
        <f>IFERROR(__xludf.DUMMYFUNCTION("GOOGLETRANSLATE(D2245,""zh-CN"",""vi"")"),"Lông chim ác là [V]")</f>
        <v>Lông chim ác là [V]</v>
      </c>
      <c r="G2245" s="8" t="str">
        <f>IFERROR(__xludf.DUMMYFUNCTION("GOOGLETRANSLATE(E2245,""zh-CN"",""vi"")"),"Tìm hai chiếc lông chim ác là, may mắn gấp đôi! Kết hợp chúng để có được một chú chim non [V].")</f>
        <v>Tìm hai chiếc lông chim ác là, may mắn gấp đôi! Kết hợp chúng để có được một chú chim non [V].</v>
      </c>
      <c r="H2245" s="8"/>
      <c r="I2245" s="8"/>
      <c r="J2245" s="8"/>
    </row>
    <row r="2246" ht="21.0" customHeight="1">
      <c r="A2246" s="6">
        <v>11.0</v>
      </c>
      <c r="B2246" s="6">
        <v>1037.0</v>
      </c>
      <c r="C2246" s="6">
        <v>3.0</v>
      </c>
      <c r="D2246" s="23" t="s">
        <v>3286</v>
      </c>
      <c r="E2246" s="9" t="s">
        <v>3287</v>
      </c>
      <c r="F2246" s="8" t="str">
        <f>IFERROR(__xludf.DUMMYFUNCTION("GOOGLETRANSLATE(D2246,""zh-CN"",""vi"")"),"Gà con [V]")</f>
        <v>Gà con [V]</v>
      </c>
      <c r="G2246" s="8" t="str">
        <f>IFERROR(__xludf.DUMMYFUNCTION("GOOGLETRANSLATE(E2246,""zh-CN"",""vi"")"),"Ngay cả những chú chim non bé nhỏ cũng mơ ước xây dựng một cây cầu chim ác. Tổng hợp để có được một con chim ác [V].")</f>
        <v>Ngay cả những chú chim non bé nhỏ cũng mơ ước xây dựng một cây cầu chim ác. Tổng hợp để có được một con chim ác [V].</v>
      </c>
      <c r="H2246" s="8"/>
      <c r="I2246" s="8"/>
      <c r="J2246" s="8"/>
    </row>
    <row r="2247" ht="21.0" customHeight="1">
      <c r="A2247" s="6">
        <v>11.0</v>
      </c>
      <c r="B2247" s="6">
        <v>1037.0</v>
      </c>
      <c r="C2247" s="6">
        <v>4.0</v>
      </c>
      <c r="D2247" s="23" t="s">
        <v>3288</v>
      </c>
      <c r="E2247" s="9" t="s">
        <v>3289</v>
      </c>
      <c r="F2247" s="8" t="str">
        <f>IFERROR(__xludf.DUMMYFUNCTION("GOOGLETRANSLATE(D2247,""zh-CN"",""vi"")"),"Chim ác là [V]")</f>
        <v>Chim ác là [V]</v>
      </c>
      <c r="G2247" s="8" t="str">
        <f>IFERROR(__xludf.DUMMYFUNCTION("GOOGLETRANSLATE(E2247,""zh-CN"",""vi"")"),"Chim ác là tha cành cây mang lại may mắn! Kết hợp để có được một nửa cây cầu gỗ [V].")</f>
        <v>Chim ác là tha cành cây mang lại may mắn! Kết hợp để có được một nửa cây cầu gỗ [V].</v>
      </c>
      <c r="H2247" s="8"/>
      <c r="I2247" s="8"/>
      <c r="J2247" s="8"/>
    </row>
    <row r="2248" ht="21.0" customHeight="1">
      <c r="A2248" s="6">
        <v>10.0</v>
      </c>
      <c r="B2248" s="6">
        <v>1037.0</v>
      </c>
      <c r="C2248" s="6">
        <v>5.0</v>
      </c>
      <c r="D2248" s="23" t="s">
        <v>3290</v>
      </c>
      <c r="E2248" s="9" t="s">
        <v>3291</v>
      </c>
      <c r="F2248" s="8" t="str">
        <f>IFERROR(__xludf.DUMMYFUNCTION("GOOGLETRANSLATE(D2248,""zh-CN"",""vi"")"),"Nửa cây cầu gỗ [V]")</f>
        <v>Nửa cây cầu gỗ [V]</v>
      </c>
      <c r="G2248" s="8" t="str">
        <f>IFERROR(__xludf.DUMMYFUNCTION("GOOGLETRANSLATE(E2248,""zh-CN"",""vi"")"),"Sớm thôi... nó sẽ hoàn thành. Hãy chế tạo một cây cầu gỗ đơn giản [V].")</f>
        <v>Sớm thôi... nó sẽ hoàn thành. Hãy chế tạo một cây cầu gỗ đơn giản [V].</v>
      </c>
      <c r="H2248" s="8"/>
      <c r="I2248" s="8"/>
      <c r="J2248" s="8"/>
    </row>
    <row r="2249" ht="21.0" customHeight="1">
      <c r="A2249" s="6">
        <v>10.0</v>
      </c>
      <c r="B2249" s="6">
        <v>1037.0</v>
      </c>
      <c r="C2249" s="6">
        <v>6.0</v>
      </c>
      <c r="D2249" s="23" t="s">
        <v>3292</v>
      </c>
      <c r="E2249" s="9" t="s">
        <v>3293</v>
      </c>
      <c r="F2249" s="8" t="str">
        <f>IFERROR(__xludf.DUMMYFUNCTION("GOOGLETRANSLATE(D2249,""zh-CN"",""vi"")"),"Cầu gỗ đơn giản [V]")</f>
        <v>Cầu gỗ đơn giản [V]</v>
      </c>
      <c r="G2249" s="8" t="str">
        <f>IFERROR(__xludf.DUMMYFUNCTION("GOOGLETRANSLATE(E2249,""zh-CN"",""vi"")"),"Một cây cầu đơn giản, một quá khứ nặng nề. Chế tạo Cầu gỗ Mây Trôi [V].")</f>
        <v>Một cây cầu đơn giản, một quá khứ nặng nề. Chế tạo Cầu gỗ Mây Trôi [V].</v>
      </c>
      <c r="H2249" s="8"/>
      <c r="I2249" s="8"/>
      <c r="J2249" s="8"/>
    </row>
    <row r="2250" ht="21.0" customHeight="1">
      <c r="A2250" s="6">
        <v>10.0</v>
      </c>
      <c r="B2250" s="6">
        <v>1037.0</v>
      </c>
      <c r="C2250" s="6">
        <v>7.0</v>
      </c>
      <c r="D2250" s="23" t="s">
        <v>3294</v>
      </c>
      <c r="E2250" s="9" t="s">
        <v>3295</v>
      </c>
      <c r="F2250" s="8" t="str">
        <f>IFERROR(__xludf.DUMMYFUNCTION("GOOGLETRANSLATE(D2250,""zh-CN"",""vi"")"),"Cầu gỗ mây trôi [V]")</f>
        <v>Cầu gỗ mây trôi [V]</v>
      </c>
      <c r="G2250" s="8" t="str">
        <f>IFERROR(__xludf.DUMMYFUNCTION("GOOGLETRANSLATE(E2250,""zh-CN"",""vi"")"),"Vượt qua cõi trần gian và cõi trời, phá vỡ những quy ước và định kiến ​​trần tục. Tổng hợp để có được cây cầu vòm bằng gỗ [V].")</f>
        <v>Vượt qua cõi trần gian và cõi trời, phá vỡ những quy ước và định kiến ​​trần tục. Tổng hợp để có được cây cầu vòm bằng gỗ [V].</v>
      </c>
      <c r="H2250" s="8"/>
      <c r="I2250" s="8"/>
      <c r="J2250" s="8"/>
    </row>
    <row r="2251" ht="21.0" customHeight="1">
      <c r="A2251" s="6">
        <v>10.0</v>
      </c>
      <c r="B2251" s="6">
        <v>1037.0</v>
      </c>
      <c r="C2251" s="6">
        <v>8.0</v>
      </c>
      <c r="D2251" s="23" t="s">
        <v>3296</v>
      </c>
      <c r="E2251" s="9" t="s">
        <v>3297</v>
      </c>
      <c r="F2251" s="8" t="str">
        <f>IFERROR(__xludf.DUMMYFUNCTION("GOOGLETRANSLATE(D2251,""zh-CN"",""vi"")"),"Cầu vòm gỗ có mái che [V]")</f>
        <v>Cầu vòm gỗ có mái che [V]</v>
      </c>
      <c r="G2251" s="8" t="str">
        <f>IFERROR(__xludf.DUMMYFUNCTION("GOOGLETRANSLATE(E2251,""zh-CN"",""vi"")"),"Mọi thứ đã sẵn sàng, chỉ chờ một cặp đôi yêu nhau. Kết hợp để có được Cầu Chim Chích [V].")</f>
        <v>Mọi thứ đã sẵn sàng, chỉ chờ một cặp đôi yêu nhau. Kết hợp để có được Cầu Chim Chích [V].</v>
      </c>
      <c r="H2251" s="8"/>
      <c r="I2251" s="8"/>
      <c r="J2251" s="8"/>
    </row>
    <row r="2252" ht="21.0" customHeight="1">
      <c r="A2252" s="6">
        <v>10.0</v>
      </c>
      <c r="B2252" s="6">
        <v>1037.0</v>
      </c>
      <c r="C2252" s="6">
        <v>9.0</v>
      </c>
      <c r="D2252" s="23" t="s">
        <v>3298</v>
      </c>
      <c r="E2252" s="9" t="s">
        <v>3299</v>
      </c>
      <c r="F2252" s="8" t="str">
        <f>IFERROR(__xludf.DUMMYFUNCTION("GOOGLETRANSLATE(D2252,""zh-CN"",""vi"")"),"Cầu Chim Chích [V]")</f>
        <v>Cầu Chim Chích [V]</v>
      </c>
      <c r="G2252" s="8" t="str">
        <f>IFERROR(__xludf.DUMMYFUNCTION("GOOGLETRANSLATE(E2252,""zh-CN"",""vi"")"),"Được thúc đẩy bởi tình yêu, chim ác là đã tạo nên một phép màu. Tổng hợp để có được Cầu Chim Ác là [V].")</f>
        <v>Được thúc đẩy bởi tình yêu, chim ác là đã tạo nên một phép màu. Tổng hợp để có được Cầu Chim Ác là [V].</v>
      </c>
      <c r="H2252" s="8"/>
      <c r="I2252" s="8"/>
      <c r="J2252" s="8"/>
    </row>
    <row r="2253" ht="21.0" customHeight="1">
      <c r="A2253" s="6">
        <v>10.0</v>
      </c>
      <c r="B2253" s="6">
        <v>1037.0</v>
      </c>
      <c r="C2253" s="6">
        <v>10.0</v>
      </c>
      <c r="D2253" s="23" t="s">
        <v>3300</v>
      </c>
      <c r="E2253" s="9" t="s">
        <v>3281</v>
      </c>
      <c r="F2253" s="8" t="str">
        <f>IFERROR(__xludf.DUMMYFUNCTION("GOOGLETRANSLATE(D2253,""zh-CN"",""vi"")"),"Đèn lồng và bóng tối trên Cầu Chim Chích [V]")</f>
        <v>Đèn lồng và bóng tối trên Cầu Chim Chích [V]</v>
      </c>
      <c r="G2253" s="8" t="str">
        <f>IFERROR(__xludf.DUMMYFUNCTION("GOOGLETRANSLATE(E2253,""zh-CN"",""vi"")"),"Ánh đèn leo lét chiếu sáng đôi mắt tươi cười của người tôi yêu dấu. (Đã được tổng hợp đến mức cao nhất.)")</f>
        <v>Ánh đèn leo lét chiếu sáng đôi mắt tươi cười của người tôi yêu dấu. (Đã được tổng hợp đến mức cao nhất.)</v>
      </c>
      <c r="H2253" s="8"/>
      <c r="I2253" s="8"/>
      <c r="J2253" s="8"/>
    </row>
    <row r="2254" ht="21.0" customHeight="1">
      <c r="A2254" s="6">
        <v>1.0</v>
      </c>
      <c r="B2254" s="6">
        <v>175.0</v>
      </c>
      <c r="C2254" s="6">
        <v>1.0</v>
      </c>
      <c r="D2254" s="23" t="s">
        <v>3301</v>
      </c>
      <c r="E2254" s="9" t="s">
        <v>3302</v>
      </c>
      <c r="F2254" s="8" t="str">
        <f>IFERROR(__xludf.DUMMYFUNCTION("GOOGLETRANSLATE(D2254,""zh-CN"",""vi"")"),"bột")</f>
        <v>bột</v>
      </c>
      <c r="G2254" s="8" t="str">
        <f>IFERROR(__xludf.DUMMYFUNCTION("GOOGLETRANSLATE(E2254,""zh-CN"",""vi"")"),"Bột cần được hấp chín trước khi ăn. Trộn chúng lại với nhau để làm bánh nhân táo tàu.")</f>
        <v>Bột cần được hấp chín trước khi ăn. Trộn chúng lại với nhau để làm bánh nhân táo tàu.</v>
      </c>
      <c r="H2254" s="8"/>
      <c r="I2254" s="8"/>
      <c r="J2254" s="8"/>
    </row>
    <row r="2255" ht="21.0" customHeight="1">
      <c r="A2255" s="6">
        <v>1.0</v>
      </c>
      <c r="B2255" s="6">
        <v>175.0</v>
      </c>
      <c r="C2255" s="6">
        <v>2.0</v>
      </c>
      <c r="D2255" s="23" t="s">
        <v>3303</v>
      </c>
      <c r="E2255" s="9" t="s">
        <v>3304</v>
      </c>
      <c r="F2255" s="8" t="str">
        <f>IFERROR(__xludf.DUMMYFUNCTION("GOOGLETRANSLATE(D2255,""zh-CN"",""vi"")"),"bánh làm từ bột táo tàu")</f>
        <v>bánh làm từ bột táo tàu</v>
      </c>
      <c r="G2255" s="8" t="str">
        <f>IFERROR(__xludf.DUMMYFUNCTION("GOOGLETRANSLATE(E2255,""zh-CN"",""vi"")"),"Nhìn bề ngoài thì bình thường, nhưng thực chất nó rất ngọt. Kết hợp chúng lại để có được Trái cây Thất Biểu.")</f>
        <v>Nhìn bề ngoài thì bình thường, nhưng thực chất nó rất ngọt. Kết hợp chúng lại để có được Trái cây Thất Biểu.</v>
      </c>
      <c r="H2255" s="8"/>
      <c r="I2255" s="8"/>
      <c r="J2255" s="8"/>
    </row>
    <row r="2256" ht="21.0" customHeight="1">
      <c r="A2256" s="6">
        <v>1.0</v>
      </c>
      <c r="B2256" s="6">
        <v>175.0</v>
      </c>
      <c r="C2256" s="6">
        <v>3.0</v>
      </c>
      <c r="D2256" s="23" t="s">
        <v>3305</v>
      </c>
      <c r="E2256" s="9" t="s">
        <v>3306</v>
      </c>
      <c r="F2256" s="8" t="str">
        <f>IFERROR(__xludf.DUMMYFUNCTION("GOOGLETRANSLATE(D2256,""zh-CN"",""vi"")"),"Trái cây bảy miếng")</f>
        <v>Trái cây bảy miếng</v>
      </c>
      <c r="G2256" s="8" t="str">
        <f>IFERROR(__xludf.DUMMYFUNCTION("GOOGLETRANSLATE(E2256,""zh-CN"",""vi"")"),"Các lễ hội truyền thống nên được tổ chức với hương vị truyền thống. Thực hiện thao tác tổng hợp để thu được bánh ngọt nhân lòng đỏ trứng và hạt sen.")</f>
        <v>Các lễ hội truyền thống nên được tổ chức với hương vị truyền thống. Thực hiện thao tác tổng hợp để thu được bánh ngọt nhân lòng đỏ trứng và hạt sen.</v>
      </c>
      <c r="H2256" s="8"/>
      <c r="I2256" s="8"/>
      <c r="J2256" s="8"/>
    </row>
    <row r="2257" ht="21.0" customHeight="1">
      <c r="A2257" s="6">
        <v>1.0</v>
      </c>
      <c r="B2257" s="6">
        <v>175.0</v>
      </c>
      <c r="C2257" s="6">
        <v>4.0</v>
      </c>
      <c r="D2257" s="25" t="s">
        <v>3307</v>
      </c>
      <c r="E2257" s="9" t="s">
        <v>3308</v>
      </c>
      <c r="F2257" s="8" t="str">
        <f>IFERROR(__xludf.DUMMYFUNCTION("GOOGLETRANSLATE(D2257,""zh-CN"",""vi"")"),"Bột nhão hạt sen và lòng đỏ trứng")</f>
        <v>Bột nhão hạt sen và lòng đỏ trứng</v>
      </c>
      <c r="G2257" s="8" t="str">
        <f>IFERROR(__xludf.DUMMYFUNCTION("GOOGLETRANSLATE(E2257,""zh-CN"",""vi"")"),"Sự kết hợp hoàn hảo giữa vị ngọt và vị mặn. Kết hợp các thành phần để tạo nên những chiếc bánh hình hoa.")</f>
        <v>Sự kết hợp hoàn hảo giữa vị ngọt và vị mặn. Kết hợp các thành phần để tạo nên những chiếc bánh hình hoa.</v>
      </c>
      <c r="H2257" s="8"/>
      <c r="I2257" s="8"/>
      <c r="J2257" s="8"/>
    </row>
    <row r="2258" ht="21.0" customHeight="1">
      <c r="A2258" s="6">
        <v>1.0</v>
      </c>
      <c r="B2258" s="6">
        <v>175.0</v>
      </c>
      <c r="C2258" s="6">
        <v>5.0</v>
      </c>
      <c r="D2258" s="23" t="s">
        <v>3309</v>
      </c>
      <c r="E2258" s="9" t="s">
        <v>3310</v>
      </c>
      <c r="F2258" s="8" t="str">
        <f>IFERROR(__xludf.DUMMYFUNCTION("GOOGLETRANSLATE(D2258,""zh-CN"",""vi"")"),"Bánh hoa")</f>
        <v>Bánh hoa</v>
      </c>
      <c r="G2258" s="8" t="str">
        <f>IFERROR(__xludf.DUMMYFUNCTION("GOOGLETRANSLATE(E2258,""zh-CN"",""vi"")"),"Hãy để mùa xuân lưu lại trong những hương vị thơm ngon. Kết hợp các nguyên liệu để tạo nên những chiếc bánh hương hoa đào.")</f>
        <v>Hãy để mùa xuân lưu lại trong những hương vị thơm ngon. Kết hợp các nguyên liệu để tạo nên những chiếc bánh hương hoa đào.</v>
      </c>
      <c r="H2258" s="8"/>
      <c r="I2258" s="8"/>
      <c r="J2258" s="8"/>
    </row>
    <row r="2259" ht="21.0" customHeight="1">
      <c r="A2259" s="6">
        <v>1.0</v>
      </c>
      <c r="B2259" s="6">
        <v>175.0</v>
      </c>
      <c r="C2259" s="6">
        <v>6.0</v>
      </c>
      <c r="D2259" s="23" t="s">
        <v>3311</v>
      </c>
      <c r="E2259" s="9" t="s">
        <v>3312</v>
      </c>
      <c r="F2259" s="8" t="str">
        <f>IFERROR(__xludf.DUMMYFUNCTION("GOOGLETRANSLATE(D2259,""zh-CN"",""vi"")"),"Bánh ngọt hoa đào")</f>
        <v>Bánh ngọt hoa đào</v>
      </c>
      <c r="G2259" s="8" t="str">
        <f>IFERROR(__xludf.DUMMYFUNCTION("GOOGLETRANSLATE(E2259,""zh-CN"",""vi"")"),"Một loại hình nghệ thuật truyền thống của Trung Quốc, được làm bánh bằng các phương pháp cổ xưa. Chiếc bánh hình con thỏ sau đó được tạo hình tỉ mỉ.")</f>
        <v>Một loại hình nghệ thuật truyền thống của Trung Quốc, được làm bánh bằng các phương pháp cổ xưa. Chiếc bánh hình con thỏ sau đó được tạo hình tỉ mỉ.</v>
      </c>
      <c r="H2259" s="8"/>
      <c r="I2259" s="8"/>
      <c r="J2259" s="8"/>
    </row>
    <row r="2260" ht="21.0" customHeight="1">
      <c r="A2260" s="6">
        <v>1.0</v>
      </c>
      <c r="B2260" s="6">
        <v>175.0</v>
      </c>
      <c r="C2260" s="6">
        <v>7.0</v>
      </c>
      <c r="D2260" s="23" t="s">
        <v>3313</v>
      </c>
      <c r="E2260" s="9" t="s">
        <v>3314</v>
      </c>
      <c r="F2260" s="8" t="str">
        <f>IFERROR(__xludf.DUMMYFUNCTION("GOOGLETRANSLATE(D2260,""zh-CN"",""vi"")"),"Bánh thỏ")</f>
        <v>Bánh thỏ</v>
      </c>
      <c r="G2260" s="8" t="str">
        <f>IFERROR(__xludf.DUMMYFUNCTION("GOOGLETRANSLATE(E2260,""zh-CN"",""vi"")"),"Những chú thỏ dễ thương quá, mình phải ăn chúng thôi! (Sử dụng phép tổng hợp để thu được Nước suối.)")</f>
        <v>Những chú thỏ dễ thương quá, mình phải ăn chúng thôi! (Sử dụng phép tổng hợp để thu được Nước suối.)</v>
      </c>
      <c r="H2260" s="8"/>
      <c r="I2260" s="8"/>
      <c r="J2260" s="8"/>
    </row>
    <row r="2261" ht="21.0" customHeight="1">
      <c r="A2261" s="6">
        <v>1.0</v>
      </c>
      <c r="B2261" s="6">
        <v>175.0</v>
      </c>
      <c r="C2261" s="6">
        <v>8.0</v>
      </c>
      <c r="D2261" s="23" t="s">
        <v>3315</v>
      </c>
      <c r="E2261" s="9" t="s">
        <v>3316</v>
      </c>
      <c r="F2261" s="8" t="str">
        <f>IFERROR(__xludf.DUMMYFUNCTION("GOOGLETRANSLATE(D2261,""zh-CN"",""vi"")"),"Nước mùa xuân dâng cao")</f>
        <v>Nước mùa xuân dâng cao</v>
      </c>
      <c r="G2261" s="8" t="str">
        <f>IFERROR(__xludf.DUMMYFUNCTION("GOOGLETRANSLATE(E2261,""zh-CN"",""vi"")"),"Quy trình khá phức tạp, nhưng hương vị thì rất đáng công sức. Kết hợp các nguyên liệu để làm bánh dứa.")</f>
        <v>Quy trình khá phức tạp, nhưng hương vị thì rất đáng công sức. Kết hợp các nguyên liệu để làm bánh dứa.</v>
      </c>
      <c r="H2261" s="8"/>
      <c r="I2261" s="8"/>
      <c r="J2261" s="8"/>
    </row>
    <row r="2262" ht="21.0" customHeight="1">
      <c r="A2262" s="6">
        <v>1.0</v>
      </c>
      <c r="B2262" s="6">
        <v>175.0</v>
      </c>
      <c r="C2262" s="6">
        <v>9.0</v>
      </c>
      <c r="D2262" s="23" t="s">
        <v>3317</v>
      </c>
      <c r="E2262" s="9" t="s">
        <v>3318</v>
      </c>
      <c r="F2262" s="8" t="str">
        <f>IFERROR(__xludf.DUMMYFUNCTION("GOOGLETRANSLATE(D2262,""zh-CN"",""vi"")"),"Bánh dứa")</f>
        <v>Bánh dứa</v>
      </c>
      <c r="G2262" s="8" t="str">
        <f>IFERROR(__xludf.DUMMYFUNCTION("GOOGLETRANSLATE(E2262,""zh-CN"",""vi"")"),"Bánh Hibiscus kết hợp giữa hình thức và hương vị của dứa.")</f>
        <v>Bánh Hibiscus kết hợp giữa hình thức và hương vị của dứa.</v>
      </c>
      <c r="H2262" s="8"/>
      <c r="I2262" s="8"/>
      <c r="J2262" s="8"/>
    </row>
    <row r="2263" ht="21.0" customHeight="1">
      <c r="A2263" s="6">
        <v>1.0</v>
      </c>
      <c r="B2263" s="6">
        <v>175.0</v>
      </c>
      <c r="C2263" s="6">
        <v>10.0</v>
      </c>
      <c r="D2263" s="23" t="s">
        <v>3319</v>
      </c>
      <c r="E2263" s="9" t="s">
        <v>3320</v>
      </c>
      <c r="F2263" s="8" t="str">
        <f>IFERROR(__xludf.DUMMYFUNCTION("GOOGLETRANSLATE(D2263,""zh-CN"",""vi"")"),"Bánh ngọt hoa dâm bụt")</f>
        <v>Bánh ngọt hoa dâm bụt</v>
      </c>
      <c r="G2263" s="8" t="str">
        <f>IFERROR(__xludf.DUMMYFUNCTION("GOOGLETRANSLATE(E2263,""zh-CN"",""vi"")"),"Bột được nặn thành hình bông hoa, màu sắc, hương thơm và vị ngon hòa quyện hoàn hảo, tạo nên một món ăn giòn tan và thơm ngon. Kết hợp các miếng bột lại với nhau để tạo thành một đĩa Qiaoguo (巧果).")</f>
        <v>Bột được nặn thành hình bông hoa, màu sắc, hương thơm và vị ngon hòa quyện hoàn hảo, tạo nên một món ăn giòn tan và thơm ngon. Kết hợp các miếng bột lại với nhau để tạo thành một đĩa Qiaoguo (巧果).</v>
      </c>
      <c r="H2263" s="8"/>
      <c r="I2263" s="8"/>
      <c r="J2263" s="8"/>
    </row>
    <row r="2264" ht="21.0" customHeight="1">
      <c r="A2264" s="6">
        <v>1.0</v>
      </c>
      <c r="B2264" s="6">
        <v>175.0</v>
      </c>
      <c r="C2264" s="6">
        <v>11.0</v>
      </c>
      <c r="D2264" s="23" t="s">
        <v>3321</v>
      </c>
      <c r="E2264" s="9" t="s">
        <v>3322</v>
      </c>
      <c r="F2264" s="8" t="str">
        <f>IFERROR(__xludf.DUMMYFUNCTION("GOOGLETRANSLATE(D2264,""zh-CN"",""vi"")"),"Đĩa Kiều Quốc")</f>
        <v>Đĩa Kiều Quốc</v>
      </c>
      <c r="G2264" s="8" t="str">
        <f>IFERROR(__xludf.DUMMYFUNCTION("GOOGLETRANSLATE(E2264,""zh-CN"",""vi"")"),"Thưởng thức vô vàn hương vị của chiếc bánh ngọt nhỏ. Kết hợp chúng lại để tạo thành Cốc bánh ngọt bảy miếng.")</f>
        <v>Thưởng thức vô vàn hương vị của chiếc bánh ngọt nhỏ. Kết hợp chúng lại để tạo thành Cốc bánh ngọt bảy miếng.</v>
      </c>
      <c r="H2264" s="8"/>
      <c r="I2264" s="8"/>
      <c r="J2264" s="8"/>
    </row>
    <row r="2265" ht="21.0" customHeight="1">
      <c r="A2265" s="6">
        <v>1.0</v>
      </c>
      <c r="B2265" s="6">
        <v>175.0</v>
      </c>
      <c r="C2265" s="6">
        <v>12.0</v>
      </c>
      <c r="D2265" s="23" t="s">
        <v>3323</v>
      </c>
      <c r="E2265" s="9" t="s">
        <v>3324</v>
      </c>
      <c r="F2265" s="8" t="str">
        <f>IFERROR(__xludf.DUMMYFUNCTION("GOOGLETRANSLATE(D2265,""zh-CN"",""vi"")"),"Cốc tráng miệng bảy món")</f>
        <v>Cốc tráng miệng bảy món</v>
      </c>
      <c r="G2265" s="8" t="str">
        <f>IFERROR(__xludf.DUMMYFUNCTION("GOOGLETRANSLATE(E2265,""zh-CN"",""vi"")"),"Thỏa mãn trọn vẹn cơn thèm muốn của bạn, một sự theo đuổi tinh tế của người xưa. Kết hợp các nguyên liệu để có được Hộp Bánh May Mắn.")</f>
        <v>Thỏa mãn trọn vẹn cơn thèm muốn của bạn, một sự theo đuổi tinh tế của người xưa. Kết hợp các nguyên liệu để có được Hộp Bánh May Mắn.</v>
      </c>
      <c r="H2265" s="8"/>
      <c r="I2265" s="8"/>
      <c r="J2265" s="8"/>
    </row>
    <row r="2266" ht="21.0" customHeight="1">
      <c r="A2266" s="6">
        <v>1.0</v>
      </c>
      <c r="B2266" s="6">
        <v>175.0</v>
      </c>
      <c r="C2266" s="6">
        <v>13.0</v>
      </c>
      <c r="D2266" s="23" t="s">
        <v>3325</v>
      </c>
      <c r="E2266" s="9" t="s">
        <v>3326</v>
      </c>
      <c r="F2266" s="8" t="str">
        <f>IFERROR(__xludf.DUMMYFUNCTION("GOOGLETRANSLATE(D2266,""zh-CN"",""vi"")"),"Hộp bánh ngọt may mắn")</f>
        <v>Hộp bánh ngọt may mắn</v>
      </c>
      <c r="G2266" s="8" t="str">
        <f>IFERROR(__xludf.DUMMYFUNCTION("GOOGLETRANSLATE(E2266,""zh-CN"",""vi"")"),"Bánh kếp mùa xuân, bánh ngọt mùa hè, bánh pastry mùa thu và đồ ngọt mùa đông. Tất cả đều được chế biến ở chất lượng cao nhất.")</f>
        <v>Bánh kếp mùa xuân, bánh ngọt mùa hè, bánh pastry mùa thu và đồ ngọt mùa đông. Tất cả đều được chế biến ở chất lượng cao nhất.</v>
      </c>
      <c r="H2266" s="8"/>
      <c r="I2266" s="8"/>
      <c r="J2266" s="8"/>
    </row>
    <row r="2267" ht="21.0" customHeight="1">
      <c r="A2267" s="6">
        <v>1.0</v>
      </c>
      <c r="B2267" s="6">
        <v>176.0</v>
      </c>
      <c r="C2267" s="6">
        <v>1.0</v>
      </c>
      <c r="D2267" s="23" t="s">
        <v>3327</v>
      </c>
      <c r="E2267" s="9" t="s">
        <v>3328</v>
      </c>
      <c r="F2267" s="8" t="str">
        <f>IFERROR(__xludf.DUMMYFUNCTION("GOOGLETRANSLATE(D2267,""zh-CN"",""vi"")"),"Nút chữ thập")</f>
        <v>Nút chữ thập</v>
      </c>
      <c r="G2267" s="8" t="str">
        <f>IFERROR(__xludf.DUMMYFUNCTION("GOOGLETRANSLATE(E2267,""zh-CN"",""vi"")"),"Hoàn hảo về mọi mặt, trọn vẹn theo mọi hướng. Kết hợp để tạo thành Nút Thắt Trái Tim.")</f>
        <v>Hoàn hảo về mọi mặt, trọn vẹn theo mọi hướng. Kết hợp để tạo thành Nút Thắt Trái Tim.</v>
      </c>
      <c r="H2267" s="8"/>
      <c r="I2267" s="8"/>
      <c r="J2267" s="8"/>
    </row>
    <row r="2268" ht="21.0" customHeight="1">
      <c r="A2268" s="6">
        <v>1.0</v>
      </c>
      <c r="B2268" s="6">
        <v>176.0</v>
      </c>
      <c r="C2268" s="6">
        <v>2.0</v>
      </c>
      <c r="D2268" s="23" t="s">
        <v>3329</v>
      </c>
      <c r="E2268" s="9" t="s">
        <v>3330</v>
      </c>
      <c r="F2268" s="8" t="str">
        <f>IFERROR(__xludf.DUMMYFUNCTION("GOOGLETRANSLATE(D2268,""zh-CN"",""vi"")"),"Nút thắt tình yêu")</f>
        <v>Nút thắt tình yêu</v>
      </c>
      <c r="G2268" s="8" t="str">
        <f>IFERROR(__xludf.DUMMYFUNCTION("GOOGLETRANSLATE(E2268,""zh-CN"",""vi"")"),"Hai nút thắt đan xen vào nhau, tượng trưng cho sự đoàn kết vĩnh cửu. Chúng cùng nhau tạo thành một nút thắt hòa bình.")</f>
        <v>Hai nút thắt đan xen vào nhau, tượng trưng cho sự đoàn kết vĩnh cửu. Chúng cùng nhau tạo thành một nút thắt hòa bình.</v>
      </c>
      <c r="H2268" s="8"/>
      <c r="I2268" s="8"/>
      <c r="J2268" s="8"/>
    </row>
    <row r="2269" ht="21.0" customHeight="1">
      <c r="A2269" s="6">
        <v>1.0</v>
      </c>
      <c r="B2269" s="6">
        <v>176.0</v>
      </c>
      <c r="C2269" s="6">
        <v>3.0</v>
      </c>
      <c r="D2269" s="23" t="s">
        <v>3331</v>
      </c>
      <c r="E2269" s="9" t="s">
        <v>3332</v>
      </c>
      <c r="F2269" s="8" t="str">
        <f>IFERROR(__xludf.DUMMYFUNCTION("GOOGLETRANSLATE(D2269,""zh-CN"",""vi"")"),"Nút thắt hòa bình")</f>
        <v>Nút thắt hòa bình</v>
      </c>
      <c r="G2269" s="8" t="str">
        <f>IFERROR(__xludf.DUMMYFUNCTION("GOOGLETRANSLATE(E2269,""zh-CN"",""vi"")"),"Kết hợp các sợi chỉ đỏ để cầu nguyện cho hòa bình. Tạo thành một túi thơm đơn giản.")</f>
        <v>Kết hợp các sợi chỉ đỏ để cầu nguyện cho hòa bình. Tạo thành một túi thơm đơn giản.</v>
      </c>
      <c r="H2269" s="8"/>
      <c r="I2269" s="8"/>
      <c r="J2269" s="8"/>
    </row>
    <row r="2270" ht="21.0" customHeight="1">
      <c r="A2270" s="6">
        <v>1.0</v>
      </c>
      <c r="B2270" s="6">
        <v>176.0</v>
      </c>
      <c r="C2270" s="6">
        <v>4.0</v>
      </c>
      <c r="D2270" s="23" t="s">
        <v>3333</v>
      </c>
      <c r="E2270" s="9" t="s">
        <v>3334</v>
      </c>
      <c r="F2270" s="8" t="str">
        <f>IFERROR(__xludf.DUMMYFUNCTION("GOOGLETRANSLATE(D2270,""zh-CN"",""vi"")"),"Gói đơn giản")</f>
        <v>Gói đơn giản</v>
      </c>
      <c r="G2270" s="8" t="str">
        <f>IFERROR(__xludf.DUMMYFUNCTION("GOOGLETRANSLATE(E2270,""zh-CN"",""vi"")"),"Những ý định chân thành không cần những lời tô điểm cầu kỳ. Hãy tự tay làm một chiếc túi thơm Yuanbao.")</f>
        <v>Những ý định chân thành không cần những lời tô điểm cầu kỳ. Hãy tự tay làm một chiếc túi thơm Yuanbao.</v>
      </c>
      <c r="H2270" s="8"/>
      <c r="I2270" s="8"/>
      <c r="J2270" s="8"/>
    </row>
    <row r="2271" ht="21.0" customHeight="1">
      <c r="A2271" s="6">
        <v>1.0</v>
      </c>
      <c r="B2271" s="6">
        <v>176.0</v>
      </c>
      <c r="C2271" s="6">
        <v>5.0</v>
      </c>
      <c r="D2271" s="23" t="s">
        <v>3335</v>
      </c>
      <c r="E2271" s="9" t="s">
        <v>3336</v>
      </c>
      <c r="F2271" s="8" t="str">
        <f>IFERROR(__xludf.DUMMYFUNCTION("GOOGLETRANSLATE(D2271,""zh-CN"",""vi"")"),"gói Yuanbao")</f>
        <v>gói Yuanbao</v>
      </c>
      <c r="G2271" s="8" t="str">
        <f>IFERROR(__xludf.DUMMYFUNCTION("GOOGLETRANSLATE(E2271,""zh-CN"",""vi"")"),"Nó có thể đựng thỏi vàng hoặc nhang. Kết hợp chúng lại để có được Túi Nhang May Mắn.")</f>
        <v>Nó có thể đựng thỏi vàng hoặc nhang. Kết hợp chúng lại để có được Túi Nhang May Mắn.</v>
      </c>
      <c r="H2271" s="8"/>
      <c r="I2271" s="8"/>
      <c r="J2271" s="8"/>
    </row>
    <row r="2272" ht="21.0" customHeight="1">
      <c r="A2272" s="6">
        <v>1.0</v>
      </c>
      <c r="B2272" s="6">
        <v>176.0</v>
      </c>
      <c r="C2272" s="6">
        <v>6.0</v>
      </c>
      <c r="D2272" s="23" t="s">
        <v>3337</v>
      </c>
      <c r="E2272" s="9" t="s">
        <v>3338</v>
      </c>
      <c r="F2272" s="8" t="str">
        <f>IFERROR(__xludf.DUMMYFUNCTION("GOOGLETRANSLATE(D2272,""zh-CN"",""vi"")"),"gói Fuxiang")</f>
        <v>gói Fuxiang</v>
      </c>
      <c r="G2272" s="8" t="str">
        <f>IFERROR(__xludf.DUMMYFUNCTION("GOOGLETRANSLATE(E2272,""zh-CN"",""vi"")"),"Hương thơm lưu lại theo từng bước chân, và dư âm vang vọng trong từng suy nghĩ. Kết hợp chúng lại để tạo thành Túi Hương May Mắn.")</f>
        <v>Hương thơm lưu lại theo từng bước chân, và dư âm vang vọng trong từng suy nghĩ. Kết hợp chúng lại để tạo thành Túi Hương May Mắn.</v>
      </c>
      <c r="H2272" s="8"/>
      <c r="I2272" s="8"/>
      <c r="J2272" s="8"/>
    </row>
    <row r="2273" ht="21.0" customHeight="1">
      <c r="A2273" s="6">
        <v>1.0</v>
      </c>
      <c r="B2273" s="6">
        <v>176.0</v>
      </c>
      <c r="C2273" s="6">
        <v>7.0</v>
      </c>
      <c r="D2273" s="23" t="s">
        <v>3339</v>
      </c>
      <c r="E2273" s="9" t="s">
        <v>3340</v>
      </c>
      <c r="F2273" s="8" t="str">
        <f>IFERROR(__xludf.DUMMYFUNCTION("GOOGLETRANSLATE(D2273,""zh-CN"",""vi"")"),"Gói Fu Rui Xiang")</f>
        <v>Gói Fu Rui Xiang</v>
      </c>
      <c r="G2273" s="8" t="str">
        <f>IFERROR(__xludf.DUMMYFUNCTION("GOOGLETRANSLATE(E2273,""zh-CN"",""vi"")"),"Tặng hương trầm thể hiện tình cảm sâu sắc. Kết hợp các thành phần để có được Dây hương hình bướm.")</f>
        <v>Tặng hương trầm thể hiện tình cảm sâu sắc. Kết hợp các thành phần để có được Dây hương hình bướm.</v>
      </c>
      <c r="H2273" s="8"/>
      <c r="I2273" s="8"/>
      <c r="J2273" s="8"/>
    </row>
    <row r="2274" ht="21.0" customHeight="1">
      <c r="A2274" s="6">
        <v>1.0</v>
      </c>
      <c r="B2274" s="6">
        <v>176.0</v>
      </c>
      <c r="C2274" s="6">
        <v>8.0</v>
      </c>
      <c r="D2274" s="23" t="s">
        <v>3341</v>
      </c>
      <c r="E2274" s="9" t="s">
        <v>3342</v>
      </c>
      <c r="F2274" s="8" t="str">
        <f>IFERROR(__xludf.DUMMYFUNCTION("GOOGLETRANSLATE(D2274,""zh-CN"",""vi"")"),"Hương thơm bướm")</f>
        <v>Hương thơm bướm</v>
      </c>
      <c r="G2274" s="8" t="str">
        <f>IFERROR(__xludf.DUMMYFUNCTION("GOOGLETRANSLATE(E2274,""zh-CN"",""vi"")"),"Ý nghĩa sâu xa của bức thêu này đáng được trân trọng. Khi kết hợp lại, bạn sẽ có được một nửa mảnh ngọc bích.")</f>
        <v>Ý nghĩa sâu xa của bức thêu này đáng được trân trọng. Khi kết hợp lại, bạn sẽ có được một nửa mảnh ngọc bích.</v>
      </c>
      <c r="H2274" s="8"/>
      <c r="I2274" s="8"/>
      <c r="J2274" s="8"/>
    </row>
    <row r="2275" ht="21.0" customHeight="1">
      <c r="A2275" s="6">
        <v>1.0</v>
      </c>
      <c r="B2275" s="6">
        <v>176.0</v>
      </c>
      <c r="C2275" s="6">
        <v>9.0</v>
      </c>
      <c r="D2275" s="23" t="s">
        <v>3343</v>
      </c>
      <c r="E2275" s="9" t="s">
        <v>3344</v>
      </c>
      <c r="F2275" s="8" t="str">
        <f>IFERROR(__xludf.DUMMYFUNCTION("GOOGLETRANSLATE(D2275,""zh-CN"",""vi"")"),"Nửa viên ngọc bích")</f>
        <v>Nửa viên ngọc bích</v>
      </c>
      <c r="G2275" s="8" t="str">
        <f>IFERROR(__xludf.DUMMYFUNCTION("GOOGLETRANSLATE(E2275,""zh-CN"",""vi"")"),"Mong bạn tìm thấy sự bình yên trong từng mảnh vỡ, và bình yên năm này qua năm khác. Kết hợp chúng lại để có được chiếc nhẫn ngọc Ruyi.")</f>
        <v>Mong bạn tìm thấy sự bình yên trong từng mảnh vỡ, và bình yên năm này qua năm khác. Kết hợp chúng lại để có được chiếc nhẫn ngọc Ruyi.</v>
      </c>
      <c r="H2275" s="8"/>
      <c r="I2275" s="8"/>
      <c r="J2275" s="8"/>
    </row>
    <row r="2276" ht="21.0" customHeight="1">
      <c r="A2276" s="6">
        <v>1.0</v>
      </c>
      <c r="B2276" s="6">
        <v>176.0</v>
      </c>
      <c r="C2276" s="6">
        <v>10.0</v>
      </c>
      <c r="D2276" s="23" t="s">
        <v>3345</v>
      </c>
      <c r="E2276" s="9" t="s">
        <v>3346</v>
      </c>
      <c r="F2276" s="8" t="str">
        <f>IFERROR(__xludf.DUMMYFUNCTION("GOOGLETRANSLATE(D2276,""zh-CN"",""vi"")"),"Nhẫn Ngọc Như Ý")</f>
        <v>Nhẫn Ngọc Như Ý</v>
      </c>
      <c r="G2276" s="8" t="str">
        <f>IFERROR(__xludf.DUMMYFUNCTION("GOOGLETRANSLATE(E2276,""zh-CN"",""vi"")"),"Họ trao đổi những món quà thể hiện tình cảm để bày tỏ lòng yêu thương. Sau đó, họ kết hợp chúng lại để tạo thành một mặt dây chuyền ngọc bích có hoa văn mây.")</f>
        <v>Họ trao đổi những món quà thể hiện tình cảm để bày tỏ lòng yêu thương. Sau đó, họ kết hợp chúng lại để tạo thành một mặt dây chuyền ngọc bích có hoa văn mây.</v>
      </c>
      <c r="H2276" s="8"/>
      <c r="I2276" s="8"/>
      <c r="J2276" s="8"/>
    </row>
    <row r="2277" ht="21.0" customHeight="1">
      <c r="A2277" s="6">
        <v>1.0</v>
      </c>
      <c r="B2277" s="6">
        <v>176.0</v>
      </c>
      <c r="C2277" s="6">
        <v>11.0</v>
      </c>
      <c r="D2277" s="23" t="s">
        <v>3347</v>
      </c>
      <c r="E2277" s="9" t="s">
        <v>3348</v>
      </c>
      <c r="F2277" s="8" t="str">
        <f>IFERROR(__xludf.DUMMYFUNCTION("GOOGLETRANSLATE(D2277,""zh-CN"",""vi"")"),"Mặt dây chuyền ngọc bích họa tiết mây")</f>
        <v>Mặt dây chuyền ngọc bích họa tiết mây</v>
      </c>
      <c r="G2277" s="8" t="str">
        <f>IFERROR(__xludf.DUMMYFUNCTION("GOOGLETRANSLATE(E2277,""zh-CN"",""vi"")"),"Những đám mây luôn biến đổi mang đến điềm lành. Kết hợp chúng lại để có được Ngọc Mây May Mắn.")</f>
        <v>Những đám mây luôn biến đổi mang đến điềm lành. Kết hợp chúng lại để có được Ngọc Mây May Mắn.</v>
      </c>
      <c r="H2277" s="8"/>
      <c r="I2277" s="8"/>
      <c r="J2277" s="8"/>
    </row>
    <row r="2278" ht="21.0" customHeight="1">
      <c r="A2278" s="6">
        <v>1.0</v>
      </c>
      <c r="B2278" s="6">
        <v>176.0</v>
      </c>
      <c r="C2278" s="6">
        <v>12.0</v>
      </c>
      <c r="D2278" s="23" t="s">
        <v>3349</v>
      </c>
      <c r="E2278" s="9" t="s">
        <v>3350</v>
      </c>
      <c r="F2278" s="8" t="str">
        <f>IFERROR(__xludf.DUMMYFUNCTION("GOOGLETRANSLATE(D2278,""zh-CN"",""vi"")"),"Ngọc Mây May Mắn")</f>
        <v>Ngọc Mây May Mắn</v>
      </c>
      <c r="G2278" s="8" t="str">
        <f>IFERROR(__xludf.DUMMYFUNCTION("GOOGLETRANSLATE(E2278,""zh-CN"",""vi"")"),"Tặng một viên ngọc bích với tấm lòng chân thành. Kết hợp chúng lại để tạo thành một viên ngọc ruyi.")</f>
        <v>Tặng một viên ngọc bích với tấm lòng chân thành. Kết hợp chúng lại để tạo thành một viên ngọc ruyi.</v>
      </c>
      <c r="H2278" s="8"/>
      <c r="I2278" s="8"/>
      <c r="J2278" s="8"/>
    </row>
    <row r="2279" ht="21.0" customHeight="1">
      <c r="A2279" s="6">
        <v>1.0</v>
      </c>
      <c r="B2279" s="6">
        <v>176.0</v>
      </c>
      <c r="C2279" s="6">
        <v>13.0</v>
      </c>
      <c r="D2279" s="23" t="s">
        <v>3351</v>
      </c>
      <c r="E2279" s="9" t="s">
        <v>3352</v>
      </c>
      <c r="F2279" s="8" t="str">
        <f>IFERROR(__xludf.DUMMYFUNCTION("GOOGLETRANSLATE(D2279,""zh-CN"",""vi"")"),"Ngọc Như Ý")</f>
        <v>Ngọc Như Ý</v>
      </c>
      <c r="G2279" s="8" t="str">
        <f>IFERROR(__xludf.DUMMYFUNCTION("GOOGLETRANSLATE(E2279,""zh-CN"",""vi"")"),"Ý nghĩa của nó giống như ngọc, và ngọc giống như điều ước. Nó đã được tinh luyện đến mức cao nhất.")</f>
        <v>Ý nghĩa của nó giống như ngọc, và ngọc giống như điều ước. Nó đã được tinh luyện đến mức cao nhất.</v>
      </c>
      <c r="H2279" s="8"/>
      <c r="I2279" s="8"/>
      <c r="J2279" s="8"/>
    </row>
    <row r="2280" ht="21.0" customHeight="1">
      <c r="A2280" s="6">
        <v>1.0</v>
      </c>
      <c r="B2280" s="6">
        <v>177.0</v>
      </c>
      <c r="C2280" s="6">
        <v>1.0</v>
      </c>
      <c r="D2280" s="23" t="s">
        <v>3353</v>
      </c>
      <c r="E2280" s="9" t="s">
        <v>3354</v>
      </c>
      <c r="F2280" s="8" t="str">
        <f>IFERROR(__xludf.DUMMYFUNCTION("GOOGLETRANSLATE(D2280,""zh-CN"",""vi"")"),"niêm phong")</f>
        <v>niêm phong</v>
      </c>
      <c r="G2280" s="8" t="str">
        <f>IFERROR(__xludf.DUMMYFUNCTION("GOOGLETRANSLATE(E2280,""zh-CN"",""vi"")"),"Đóng dấu chúc mừng. Kết hợp chúng để tạo thành đồ trang trí cửa sổ.")</f>
        <v>Đóng dấu chúc mừng. Kết hợp chúng để tạo thành đồ trang trí cửa sổ.</v>
      </c>
      <c r="H2280" s="8"/>
      <c r="I2280" s="8"/>
      <c r="J2280" s="8"/>
    </row>
    <row r="2281" ht="21.0" customHeight="1">
      <c r="A2281" s="6">
        <v>1.0</v>
      </c>
      <c r="B2281" s="6">
        <v>177.0</v>
      </c>
      <c r="C2281" s="6">
        <v>2.0</v>
      </c>
      <c r="D2281" s="23" t="s">
        <v>3355</v>
      </c>
      <c r="E2281" s="9" t="s">
        <v>3356</v>
      </c>
      <c r="F2281" s="8" t="str">
        <f>IFERROR(__xludf.DUMMYFUNCTION("GOOGLETRANSLATE(D2281,""zh-CN"",""vi"")"),"Trang trí cửa sổ")</f>
        <v>Trang trí cửa sổ</v>
      </c>
      <c r="G2281" s="8" t="str">
        <f>IFERROR(__xludf.DUMMYFUNCTION("GOOGLETRANSLATE(E2281,""zh-CN"",""vi"")"),"Nghệ thuật cắt giấy đơn giản, những cảm xúc dịu dàng. Kết hợp chúng để tạo nên giấy chứng nhận kết hôn.")</f>
        <v>Nghệ thuật cắt giấy đơn giản, những cảm xúc dịu dàng. Kết hợp chúng để tạo nên giấy chứng nhận kết hôn.</v>
      </c>
      <c r="H2281" s="8"/>
      <c r="I2281" s="8"/>
      <c r="J2281" s="8"/>
    </row>
    <row r="2282" ht="21.0" customHeight="1">
      <c r="A2282" s="6">
        <v>1.0</v>
      </c>
      <c r="B2282" s="6">
        <v>177.0</v>
      </c>
      <c r="C2282" s="6">
        <v>3.0</v>
      </c>
      <c r="D2282" s="23" t="s">
        <v>3357</v>
      </c>
      <c r="E2282" s="9" t="s">
        <v>3358</v>
      </c>
      <c r="F2282" s="8" t="str">
        <f>IFERROR(__xludf.DUMMYFUNCTION("GOOGLETRANSLATE(D2282,""zh-CN"",""vi"")"),"Giấy chứng nhận kết hôn")</f>
        <v>Giấy chứng nhận kết hôn</v>
      </c>
      <c r="G2282" s="8" t="str">
        <f>IFERROR(__xludf.DUMMYFUNCTION("GOOGLETRANSLATE(E2282,""zh-CN"",""vi"")"),"Hai gia đình kết hợp trong hôn nhân, một hợp đồng được lập tại cùng một hội trường. Một cuộc hôn nhân hạnh phúc được thiết lập mãi mãi, một sự kết hợp hoàn hảo được tôn vinh. Thiệp mời đám cưới được tạo nên bằng cách kết hợp các yếu tố.")</f>
        <v>Hai gia đình kết hợp trong hôn nhân, một hợp đồng được lập tại cùng một hội trường. Một cuộc hôn nhân hạnh phúc được thiết lập mãi mãi, một sự kết hợp hoàn hảo được tôn vinh. Thiệp mời đám cưới được tạo nên bằng cách kết hợp các yếu tố.</v>
      </c>
      <c r="H2282" s="8"/>
      <c r="I2282" s="8"/>
      <c r="J2282" s="8"/>
    </row>
    <row r="2283" ht="21.0" customHeight="1">
      <c r="A2283" s="6">
        <v>1.0</v>
      </c>
      <c r="B2283" s="6">
        <v>177.0</v>
      </c>
      <c r="C2283" s="6">
        <v>4.0</v>
      </c>
      <c r="D2283" s="23" t="s">
        <v>3359</v>
      </c>
      <c r="E2283" s="9" t="s">
        <v>3360</v>
      </c>
      <c r="F2283" s="8" t="str">
        <f>IFERROR(__xludf.DUMMYFUNCTION("GOOGLETRANSLATE(D2283,""zh-CN"",""vi"")"),"Thiệp mời đám cưới")</f>
        <v>Thiệp mời đám cưới</v>
      </c>
      <c r="G2283" s="8" t="str">
        <f>IFERROR(__xludf.DUMMYFUNCTION("GOOGLETRANSLATE(E2283,""zh-CN"",""vi"")"),"Gia đình chúng tôi có một dịp vui vẻ và trân trọng mời quý vị đến tham dự. (Hoàn thành các bước sau: Chuẩn bị khăn voan cưới.)")</f>
        <v>Gia đình chúng tôi có một dịp vui vẻ và trân trọng mời quý vị đến tham dự. (Hoàn thành các bước sau: Chuẩn bị khăn voan cưới.)</v>
      </c>
      <c r="H2283" s="8"/>
      <c r="I2283" s="8"/>
      <c r="J2283" s="8"/>
    </row>
    <row r="2284" ht="21.0" customHeight="1">
      <c r="A2284" s="6">
        <v>1.0</v>
      </c>
      <c r="B2284" s="6">
        <v>177.0</v>
      </c>
      <c r="C2284" s="6">
        <v>5.0</v>
      </c>
      <c r="D2284" s="23" t="s">
        <v>3361</v>
      </c>
      <c r="E2284" s="9" t="s">
        <v>3362</v>
      </c>
      <c r="F2284" s="8" t="str">
        <f>IFERROR(__xludf.DUMMYFUNCTION("GOOGLETRANSLATE(D2284,""zh-CN"",""vi"")"),"Hipa")</f>
        <v>Hipa</v>
      </c>
      <c r="G2284" s="8" t="str">
        <f>IFERROR(__xludf.DUMMYFUNCTION("GOOGLETRANSLATE(E2284,""zh-CN"",""vi"")"),"Một chiếc khăn vuông che kín khuôn mặt cô dâu, giấu đi nụ cười e lệ của cô. Kết hợp các mảnh khăn lại với nhau để tạo thành sợi dây buộc.")</f>
        <v>Một chiếc khăn vuông che kín khuôn mặt cô dâu, giấu đi nụ cười e lệ của cô. Kết hợp các mảnh khăn lại với nhau để tạo thành sợi dây buộc.</v>
      </c>
      <c r="H2284" s="8"/>
      <c r="I2284" s="8"/>
      <c r="J2284" s="8"/>
    </row>
    <row r="2285" ht="21.0" customHeight="1">
      <c r="A2285" s="6">
        <v>1.0</v>
      </c>
      <c r="B2285" s="6">
        <v>177.0</v>
      </c>
      <c r="C2285" s="6">
        <v>6.0</v>
      </c>
      <c r="D2285" s="23" t="s">
        <v>3363</v>
      </c>
      <c r="E2285" s="9" t="s">
        <v>3364</v>
      </c>
      <c r="F2285" s="8" t="str">
        <f>IFERROR(__xludf.DUMMYFUNCTION("GOOGLETRANSLATE(D2285,""zh-CN"",""vi"")"),"Khăn tay")</f>
        <v>Khăn tay</v>
      </c>
      <c r="G2285" s="8" t="str">
        <f>IFERROR(__xludf.DUMMYFUNCTION("GOOGLETRANSLATE(E2285,""zh-CN"",""vi"")"),"Mỗi người cầm một đầu, họ tiến lại gần nhau. Cùng nhau, họ tạo thành một chiếc lược.")</f>
        <v>Mỗi người cầm một đầu, họ tiến lại gần nhau. Cùng nhau, họ tạo thành một chiếc lược.</v>
      </c>
      <c r="H2285" s="8"/>
      <c r="I2285" s="8"/>
      <c r="J2285" s="8"/>
    </row>
    <row r="2286" ht="21.0" customHeight="1">
      <c r="A2286" s="6">
        <v>1.0</v>
      </c>
      <c r="B2286" s="6">
        <v>177.0</v>
      </c>
      <c r="C2286" s="6">
        <v>7.0</v>
      </c>
      <c r="D2286" s="23" t="s">
        <v>3365</v>
      </c>
      <c r="E2286" s="9" t="s">
        <v>3366</v>
      </c>
      <c r="F2286" s="8" t="str">
        <f>IFERROR(__xludf.DUMMYFUNCTION("GOOGLETRANSLATE(D2286,""zh-CN"",""vi"")"),"Tây Thục")</f>
        <v>Tây Thục</v>
      </c>
      <c r="G2286" s="8" t="str">
        <f>IFERROR(__xludf.DUMMYFUNCTION("GOOGLETRANSLATE(E2286,""zh-CN"",""vi"")"),"Dùng một lược chải phần tóc phía dưới, hai lược khác để làm đều phần tóc bạc. Kết hợp cả hai để tạo thành một chiếc bát có nắp đậy.")</f>
        <v>Dùng một lược chải phần tóc phía dưới, hai lược khác để làm đều phần tóc bạc. Kết hợp cả hai để tạo thành một chiếc bát có nắp đậy.</v>
      </c>
      <c r="H2286" s="8"/>
      <c r="I2286" s="8"/>
      <c r="J2286" s="8"/>
    </row>
    <row r="2287" ht="21.0" customHeight="1">
      <c r="A2287" s="6">
        <v>1.0</v>
      </c>
      <c r="B2287" s="6">
        <v>177.0</v>
      </c>
      <c r="C2287" s="6">
        <v>8.0</v>
      </c>
      <c r="D2287" s="23" t="s">
        <v>3367</v>
      </c>
      <c r="E2287" s="9" t="s">
        <v>3368</v>
      </c>
      <c r="F2287" s="8" t="str">
        <f>IFERROR(__xludf.DUMMYFUNCTION("GOOGLETRANSLATE(D2287,""zh-CN"",""vi"")"),"Gaiwan")</f>
        <v>Gaiwan</v>
      </c>
      <c r="G2287" s="8" t="str">
        <f>IFERROR(__xludf.DUMMYFUNCTION("GOOGLETRANSLATE(E2287,""zh-CN"",""vi"")"),"Bộ ấm trà Song Hỷ càng làm tăng thêm niềm vui cho những dịp hạnh phúc. Kết hợp với các bộ khác để tạo thành bộ nến cưới.")</f>
        <v>Bộ ấm trà Song Hỷ càng làm tăng thêm niềm vui cho những dịp hạnh phúc. Kết hợp với các bộ khác để tạo thành bộ nến cưới.</v>
      </c>
      <c r="H2287" s="8"/>
      <c r="I2287" s="8"/>
      <c r="J2287" s="8"/>
    </row>
    <row r="2288" ht="21.0" customHeight="1">
      <c r="A2288" s="6">
        <v>1.0</v>
      </c>
      <c r="B2288" s="6">
        <v>177.0</v>
      </c>
      <c r="C2288" s="6">
        <v>9.0</v>
      </c>
      <c r="D2288" s="23" t="s">
        <v>3369</v>
      </c>
      <c r="E2288" s="9" t="s">
        <v>3370</v>
      </c>
      <c r="F2288" s="8" t="str">
        <f>IFERROR(__xludf.DUMMYFUNCTION("GOOGLETRANSLATE(D2288,""zh-CN"",""vi"")"),"Nến cưới")</f>
        <v>Nến cưới</v>
      </c>
      <c r="G2288" s="8" t="str">
        <f>IFERROR(__xludf.DUMMYFUNCTION("GOOGLETRANSLATE(E2288,""zh-CN"",""vi"")"),"Ngọn nến tàn, nhưng tình cảm vẫn bền chặt. Kết hợp chúng lại để có được Chiếc quạt Tình yêu và Hạnh phúc.")</f>
        <v>Ngọn nến tàn, nhưng tình cảm vẫn bền chặt. Kết hợp chúng lại để có được Chiếc quạt Tình yêu và Hạnh phúc.</v>
      </c>
      <c r="H2288" s="8"/>
      <c r="I2288" s="8"/>
      <c r="J2288" s="8"/>
    </row>
    <row r="2289" ht="21.0" customHeight="1">
      <c r="A2289" s="6">
        <v>1.0</v>
      </c>
      <c r="B2289" s="6">
        <v>177.0</v>
      </c>
      <c r="C2289" s="6">
        <v>10.0</v>
      </c>
      <c r="D2289" s="23" t="s">
        <v>3371</v>
      </c>
      <c r="E2289" s="9" t="s">
        <v>3372</v>
      </c>
      <c r="F2289" s="8" t="str">
        <f>IFERROR(__xludf.DUMMYFUNCTION("GOOGLETRANSLATE(D2289,""zh-CN"",""vi"")"),"Quạt keo")</f>
        <v>Quạt keo</v>
      </c>
      <c r="G2289" s="8" t="str">
        <f>IFERROR(__xludf.DUMMYFUNCTION("GOOGLETRANSLATE(E2289,""zh-CN"",""vi"")"),"Cô nhẹ nhàng nâng chiếc quạt tròn lên để che đi lớp trang điểm lem luốc nước mắt. Sau đó, cô tạo ra một màn hình chiếu rực rỡ sắc màu lễ hội.")</f>
        <v>Cô nhẹ nhàng nâng chiếc quạt tròn lên để che đi lớp trang điểm lem luốc nước mắt. Sau đó, cô tạo ra một màn hình chiếu rực rỡ sắc màu lễ hội.</v>
      </c>
      <c r="H2289" s="8"/>
      <c r="I2289" s="8"/>
      <c r="J2289" s="8"/>
    </row>
    <row r="2290" ht="21.0" customHeight="1">
      <c r="A2290" s="6">
        <v>1.0</v>
      </c>
      <c r="B2290" s="6">
        <v>177.0</v>
      </c>
      <c r="C2290" s="6">
        <v>11.0</v>
      </c>
      <c r="D2290" s="25" t="s">
        <v>3373</v>
      </c>
      <c r="E2290" s="9" t="s">
        <v>3374</v>
      </c>
      <c r="F2290" s="8" t="str">
        <f>IFERROR(__xludf.DUMMYFUNCTION("GOOGLETRANSLATE(D2290,""zh-CN"",""vi"")"),"Màn hình hạnh phúc")</f>
        <v>Màn hình hạnh phúc</v>
      </c>
      <c r="G2290" s="8" t="str">
        <f>IFERROR(__xludf.DUMMYFUNCTION("GOOGLETRANSLATE(E2290,""zh-CN"",""vi"")"),"Việc tách biệt thị giác có thể không cắt đứt được cảm xúc. Hãy tổng hợp lại để có được rương kho báu.")</f>
        <v>Việc tách biệt thị giác có thể không cắt đứt được cảm xúc. Hãy tổng hợp lại để có được rương kho báu.</v>
      </c>
      <c r="H2290" s="8"/>
      <c r="I2290" s="8"/>
      <c r="J2290" s="8"/>
    </row>
    <row r="2291" ht="21.0" customHeight="1">
      <c r="A2291" s="6">
        <v>1.0</v>
      </c>
      <c r="B2291" s="6">
        <v>177.0</v>
      </c>
      <c r="C2291" s="6">
        <v>12.0</v>
      </c>
      <c r="D2291" s="23" t="s">
        <v>3375</v>
      </c>
      <c r="E2291" s="9" t="s">
        <v>3376</v>
      </c>
      <c r="F2291" s="8" t="str">
        <f>IFERROR(__xludf.DUMMYFUNCTION("GOOGLETRANSLATE(D2291,""zh-CN"",""vi"")"),"Buồng áp suất")</f>
        <v>Buồng áp suất</v>
      </c>
      <c r="G2291" s="8" t="str">
        <f>IFERROR(__xludf.DUMMYFUNCTION("GOOGLETRANSLATE(E2291,""zh-CN"",""vi"")"),"Minh Trư sắp kết hôn, với một đám rước dâu long trọng trong trang phục đỏ rực. (Hoàn thành đám rước để nhận được kiệu cưới.)")</f>
        <v>Minh Trư sắp kết hôn, với một đám rước dâu long trọng trong trang phục đỏ rực. (Hoàn thành đám rước để nhận được kiệu cưới.)</v>
      </c>
      <c r="H2291" s="8"/>
      <c r="I2291" s="8"/>
      <c r="J2291" s="8"/>
    </row>
    <row r="2292" ht="21.0" customHeight="1">
      <c r="A2292" s="6">
        <v>1.0</v>
      </c>
      <c r="B2292" s="6">
        <v>177.0</v>
      </c>
      <c r="C2292" s="6">
        <v>13.0</v>
      </c>
      <c r="D2292" s="23" t="s">
        <v>3377</v>
      </c>
      <c r="E2292" s="9" t="s">
        <v>3378</v>
      </c>
      <c r="F2292" s="8" t="str">
        <f>IFERROR(__xludf.DUMMYFUNCTION("GOOGLETRANSLATE(D2292,""zh-CN"",""vi"")"),"kiệu cưới")</f>
        <v>kiệu cưới</v>
      </c>
      <c r="G2292" s="8" t="str">
        <f>IFERROR(__xludf.DUMMYFUNCTION("GOOGLETRANSLATE(E2292,""zh-CN"",""vi"")"),"Hôm nay, nghi lễ tốt lành đã hoàn tất, và một cuộc hôn nhân hoàn hảo đã được thiết lập. (Cuộc hôn nhân đã đạt đến mức độ cao nhất.)")</f>
        <v>Hôm nay, nghi lễ tốt lành đã hoàn tất, và một cuộc hôn nhân hoàn hảo đã được thiết lập. (Cuộc hôn nhân đã đạt đến mức độ cao nhất.)</v>
      </c>
      <c r="H2292" s="8"/>
      <c r="I2292" s="8"/>
      <c r="J2292" s="8"/>
    </row>
    <row r="2293" ht="21.0" customHeight="1">
      <c r="A2293" s="6">
        <v>11.0</v>
      </c>
      <c r="B2293" s="6">
        <v>1038.0</v>
      </c>
      <c r="C2293" s="6">
        <v>1.0</v>
      </c>
      <c r="D2293" s="23" t="s">
        <v>3379</v>
      </c>
      <c r="E2293" s="9" t="s">
        <v>3380</v>
      </c>
      <c r="F2293" s="8" t="str">
        <f>IFERROR(__xludf.DUMMYFUNCTION("GOOGLETRANSLATE(D2293,""zh-CN"",""vi"")"),"Vé")</f>
        <v>Vé</v>
      </c>
      <c r="G2293" s="8" t="str">
        <f>IFERROR(__xludf.DUMMYFUNCTION("GOOGLETRANSLATE(E2293,""zh-CN"",""vi"")"),"Một mảnh giấy nhỏ, cánh cửa dẫn bạn đến gặp gỡ thần tượng. Ghép chúng lại để nhận được hai tấm vé.")</f>
        <v>Một mảnh giấy nhỏ, cánh cửa dẫn bạn đến gặp gỡ thần tượng. Ghép chúng lại để nhận được hai tấm vé.</v>
      </c>
      <c r="H2293" s="8"/>
      <c r="I2293" s="8"/>
      <c r="J2293" s="8"/>
    </row>
    <row r="2294" ht="21.0" customHeight="1">
      <c r="A2294" s="6">
        <v>11.0</v>
      </c>
      <c r="B2294" s="6">
        <v>1038.0</v>
      </c>
      <c r="C2294" s="6">
        <v>2.0</v>
      </c>
      <c r="D2294" s="23" t="s">
        <v>3381</v>
      </c>
      <c r="E2294" s="9" t="s">
        <v>3382</v>
      </c>
      <c r="F2294" s="8" t="str">
        <f>IFERROR(__xludf.DUMMYFUNCTION("GOOGLETRANSLATE(D2294,""zh-CN"",""vi"")"),"Hai vé")</f>
        <v>Hai vé</v>
      </c>
      <c r="G2294" s="8" t="str">
        <f>IFERROR(__xludf.DUMMYFUNCTION("GOOGLETRANSLATE(E2294,""zh-CN"",""vi"")"),"Việc theo đuổi thần tượng của mình chắc chắn sẽ thú vị hơn nhiều khi có bạn bè tốt! Hãy kết hợp chúng lại để tạo thành một chiếc gậy phát sáng.")</f>
        <v>Việc theo đuổi thần tượng của mình chắc chắn sẽ thú vị hơn nhiều khi có bạn bè tốt! Hãy kết hợp chúng lại để tạo thành một chiếc gậy phát sáng.</v>
      </c>
      <c r="H2294" s="8"/>
      <c r="I2294" s="8"/>
      <c r="J2294" s="8"/>
    </row>
    <row r="2295" ht="21.0" customHeight="1">
      <c r="A2295" s="6">
        <v>11.0</v>
      </c>
      <c r="B2295" s="6">
        <v>1038.0</v>
      </c>
      <c r="C2295" s="6">
        <v>3.0</v>
      </c>
      <c r="D2295" s="23" t="s">
        <v>3383</v>
      </c>
      <c r="E2295" s="9" t="s">
        <v>3384</v>
      </c>
      <c r="F2295" s="8" t="str">
        <f>IFERROR(__xludf.DUMMYFUNCTION("GOOGLETRANSLATE(D2295,""zh-CN"",""vi"")"),"Que phát sáng")</f>
        <v>Que phát sáng</v>
      </c>
      <c r="G2295" s="8" t="str">
        <f>IFERROR(__xludf.DUMMYFUNCTION("GOOGLETRANSLATE(E2295,""zh-CN"",""vi"")"),"Họ vẫy những que phát sáng trong tay, thể hiện niềm đam mê của mình. Âm thanh phát ra từ micro được tổng hợp.")</f>
        <v>Họ vẫy những que phát sáng trong tay, thể hiện niềm đam mê của mình. Âm thanh phát ra từ micro được tổng hợp.</v>
      </c>
      <c r="H2295" s="8"/>
      <c r="I2295" s="8"/>
      <c r="J2295" s="8"/>
    </row>
    <row r="2296" ht="21.0" customHeight="1">
      <c r="A2296" s="6">
        <v>11.0</v>
      </c>
      <c r="B2296" s="6">
        <v>1038.0</v>
      </c>
      <c r="C2296" s="6">
        <v>4.0</v>
      </c>
      <c r="D2296" s="23" t="s">
        <v>3385</v>
      </c>
      <c r="E2296" s="9" t="s">
        <v>3386</v>
      </c>
      <c r="F2296" s="8" t="str">
        <f>IFERROR(__xludf.DUMMYFUNCTION("GOOGLETRANSLATE(D2296,""zh-CN"",""vi"")"),"micro")</f>
        <v>micro</v>
      </c>
      <c r="G2296" s="8" t="str">
        <f>IFERROR(__xludf.DUMMYFUNCTION("GOOGLETRANSLATE(E2296,""zh-CN"",""vi"")"),"Hãy để giai điệu du dương lan tỏa xa hơn. Tổng hợp để tạo ra âm thanh.")</f>
        <v>Hãy để giai điệu du dương lan tỏa xa hơn. Tổng hợp để tạo ra âm thanh.</v>
      </c>
      <c r="H2296" s="8"/>
      <c r="I2296" s="8"/>
      <c r="J2296" s="8"/>
    </row>
    <row r="2297" ht="21.0" customHeight="1">
      <c r="A2297" s="6">
        <v>10.0</v>
      </c>
      <c r="B2297" s="6">
        <v>1038.0</v>
      </c>
      <c r="C2297" s="6">
        <v>5.0</v>
      </c>
      <c r="D2297" s="23" t="s">
        <v>3387</v>
      </c>
      <c r="E2297" s="9" t="s">
        <v>3388</v>
      </c>
      <c r="F2297" s="8" t="str">
        <f>IFERROR(__xludf.DUMMYFUNCTION("GOOGLETRANSLATE(D2297,""zh-CN"",""vi"")"),"Âm thanh")</f>
        <v>Âm thanh</v>
      </c>
      <c r="G2297" s="8" t="str">
        <f>IFERROR(__xludf.DUMMYFUNCTION("GOOGLETRANSLATE(E2297,""zh-CN"",""vi"")"),"Truyền tải giai điệu tuyệt đẹp đến mọi khán giả. Kết hợp hài hòa để tạo nên một không gian sân khấu rộng mở.")</f>
        <v>Truyền tải giai điệu tuyệt đẹp đến mọi khán giả. Kết hợp hài hòa để tạo nên một không gian sân khấu rộng mở.</v>
      </c>
      <c r="H2297" s="8"/>
      <c r="I2297" s="8"/>
      <c r="J2297" s="8"/>
    </row>
    <row r="2298" ht="21.0" customHeight="1">
      <c r="A2298" s="6">
        <v>10.0</v>
      </c>
      <c r="B2298" s="6">
        <v>1038.0</v>
      </c>
      <c r="C2298" s="6">
        <v>6.0</v>
      </c>
      <c r="D2298" s="23" t="s">
        <v>3389</v>
      </c>
      <c r="E2298" s="9" t="s">
        <v>3390</v>
      </c>
      <c r="F2298" s="8" t="str">
        <f>IFERROR(__xludf.DUMMYFUNCTION("GOOGLETRANSLATE(D2298,""zh-CN"",""vi"")"),"sân khấu trống")</f>
        <v>sân khấu trống</v>
      </c>
      <c r="G2298" s="8" t="str">
        <f>IFERROR(__xludf.DUMMYFUNCTION("GOOGLETRANSLATE(E2298,""zh-CN"",""vi"")"),"Không gian giờ đã trống trải, rất lý tưởng cho một vài buổi diễn tập nữa. Sau đó, sân khấu được dựng lên.")</f>
        <v>Không gian giờ đã trống trải, rất lý tưởng cho một vài buổi diễn tập nữa. Sau đó, sân khấu được dựng lên.</v>
      </c>
      <c r="H2298" s="8"/>
      <c r="I2298" s="8"/>
      <c r="J2298" s="8"/>
    </row>
    <row r="2299" ht="21.0" customHeight="1">
      <c r="A2299" s="6">
        <v>10.0</v>
      </c>
      <c r="B2299" s="6">
        <v>1038.0</v>
      </c>
      <c r="C2299" s="6">
        <v>7.0</v>
      </c>
      <c r="D2299" s="23" t="s">
        <v>3391</v>
      </c>
      <c r="E2299" s="9" t="s">
        <v>3392</v>
      </c>
      <c r="F2299" s="8" t="str">
        <f>IFERROR(__xludf.DUMMYFUNCTION("GOOGLETRANSLATE(D2299,""zh-CN"",""vi"")"),"Sân khấu hòa nhạc")</f>
        <v>Sân khấu hòa nhạc</v>
      </c>
      <c r="G2299" s="8" t="str">
        <f>IFERROR(__xludf.DUMMYFUNCTION("GOOGLETRANSLATE(E2299,""zh-CN"",""vi"")"),"Sân khấu đã sẵn sàng, buổi biểu diễn sắp bắt đầu. Hãy kết hợp các yếu tố để tạo nên một màn trình diễn nhỏ.")</f>
        <v>Sân khấu đã sẵn sàng, buổi biểu diễn sắp bắt đầu. Hãy kết hợp các yếu tố để tạo nên một màn trình diễn nhỏ.</v>
      </c>
      <c r="H2299" s="8"/>
      <c r="I2299" s="8"/>
      <c r="J2299" s="8"/>
    </row>
    <row r="2300" ht="21.0" customHeight="1">
      <c r="A2300" s="6">
        <v>10.0</v>
      </c>
      <c r="B2300" s="6">
        <v>1038.0</v>
      </c>
      <c r="C2300" s="6">
        <v>8.0</v>
      </c>
      <c r="D2300" s="23" t="s">
        <v>3393</v>
      </c>
      <c r="E2300" s="9" t="s">
        <v>3394</v>
      </c>
      <c r="F2300" s="8" t="str">
        <f>IFERROR(__xludf.DUMMYFUNCTION("GOOGLETRANSLATE(D2300,""zh-CN"",""vi"")"),"buổi biểu diễn nhỏ")</f>
        <v>buổi biểu diễn nhỏ</v>
      </c>
      <c r="G2300" s="8" t="str">
        <f>IFERROR(__xludf.DUMMYFUNCTION("GOOGLETRANSLATE(E2300,""zh-CN"",""vi"")"),"Dù địa điểm có nhỏ đến đâu, chúng ta cũng phải cống hiến hết mình. Một đêm của nhịp điệu và hòa âm.")</f>
        <v>Dù địa điểm có nhỏ đến đâu, chúng ta cũng phải cống hiến hết mình. Một đêm của nhịp điệu và hòa âm.</v>
      </c>
      <c r="H2300" s="8"/>
      <c r="I2300" s="8"/>
      <c r="J2300" s="8"/>
    </row>
    <row r="2301" ht="21.0" customHeight="1">
      <c r="A2301" s="6">
        <v>10.0</v>
      </c>
      <c r="B2301" s="6">
        <v>1038.0</v>
      </c>
      <c r="C2301" s="6">
        <v>9.0</v>
      </c>
      <c r="D2301" s="23" t="s">
        <v>3395</v>
      </c>
      <c r="E2301" s="9" t="s">
        <v>3396</v>
      </c>
      <c r="F2301" s="8" t="str">
        <f>IFERROR(__xludf.DUMMYFUNCTION("GOOGLETRANSLATE(D2301,""zh-CN"",""vi"")"),"Đêm nhịp điệu")</f>
        <v>Đêm nhịp điệu</v>
      </c>
      <c r="G2301" s="8" t="str">
        <f>IFERROR(__xludf.DUMMYFUNCTION("GOOGLETRANSLATE(E2301,""zh-CN"",""vi"")"),"Phương Đông và phương Tây hòa quyện, tạo nên một bản giao hưởng nhịp nhàng. Cùng nhau, họ tạo nên một đêm kỳ diệu về âm thanh.")</f>
        <v>Phương Đông và phương Tây hòa quyện, tạo nên một bản giao hưởng nhịp nhàng. Cùng nhau, họ tạo nên một đêm kỳ diệu về âm thanh.</v>
      </c>
      <c r="H2301" s="8"/>
      <c r="I2301" s="8"/>
      <c r="J2301" s="8"/>
    </row>
    <row r="2302" ht="21.0" customHeight="1">
      <c r="A2302" s="6">
        <v>10.0</v>
      </c>
      <c r="B2302" s="6">
        <v>1038.0</v>
      </c>
      <c r="C2302" s="6">
        <v>10.0</v>
      </c>
      <c r="D2302" s="23" t="s">
        <v>3397</v>
      </c>
      <c r="E2302" s="9" t="s">
        <v>3398</v>
      </c>
      <c r="F2302" s="8" t="str">
        <f>IFERROR(__xludf.DUMMYFUNCTION("GOOGLETRANSLATE(D2302,""zh-CN"",""vi"")"),"Đêm biển Sound")</f>
        <v>Đêm biển Sound</v>
      </c>
      <c r="G2302" s="8" t="str">
        <f>IFERROR(__xludf.DUMMYFUNCTION("GOOGLETRANSLATE(E2302,""zh-CN"",""vi"")"),"Hãy đắm mình trong biển âm nhạc và trải nghiệm một bữa tiệc âm nhạc tuyệt vời. (Đã được tổng hợp ở mức độ cao nhất.)")</f>
        <v>Hãy đắm mình trong biển âm nhạc và trải nghiệm một bữa tiệc âm nhạc tuyệt vời. (Đã được tổng hợp ở mức độ cao nhất.)</v>
      </c>
      <c r="H2302" s="8"/>
      <c r="I2302" s="8"/>
      <c r="J2302" s="8"/>
    </row>
    <row r="2303" ht="21.0" customHeight="1">
      <c r="A2303" s="6">
        <v>11.0</v>
      </c>
      <c r="B2303" s="6">
        <v>1039.0</v>
      </c>
      <c r="C2303" s="6">
        <v>1.0</v>
      </c>
      <c r="D2303" s="23" t="s">
        <v>3399</v>
      </c>
      <c r="E2303" s="9" t="s">
        <v>3400</v>
      </c>
      <c r="F2303" s="8" t="str">
        <f>IFERROR(__xludf.DUMMYFUNCTION("GOOGLETRANSLATE(D2303,""zh-CN"",""vi"")"),"Vé [V]")</f>
        <v>Vé [V]</v>
      </c>
      <c r="G2303" s="8" t="str">
        <f>IFERROR(__xludf.DUMMYFUNCTION("GOOGLETRANSLATE(E2303,""zh-CN"",""vi"")"),"Một mảnh giấy nhỏ, cánh cửa dẫn đến cuộc gặp gỡ với thần tượng của bạn. Kết hợp chúng để nhận được hai tấm vé [V].")</f>
        <v>Một mảnh giấy nhỏ, cánh cửa dẫn đến cuộc gặp gỡ với thần tượng của bạn. Kết hợp chúng để nhận được hai tấm vé [V].</v>
      </c>
      <c r="H2303" s="8"/>
      <c r="I2303" s="8"/>
      <c r="J2303" s="8"/>
    </row>
    <row r="2304" ht="21.0" customHeight="1">
      <c r="A2304" s="6">
        <v>11.0</v>
      </c>
      <c r="B2304" s="6">
        <v>1039.0</v>
      </c>
      <c r="C2304" s="6">
        <v>2.0</v>
      </c>
      <c r="D2304" s="23" t="s">
        <v>3401</v>
      </c>
      <c r="E2304" s="9" t="s">
        <v>3402</v>
      </c>
      <c r="F2304" s="8" t="str">
        <f>IFERROR(__xludf.DUMMYFUNCTION("GOOGLETRANSLATE(D2304,""zh-CN"",""vi"")"),"Hai vé [V]")</f>
        <v>Hai vé [V]</v>
      </c>
      <c r="G2304" s="8" t="str">
        <f>IFERROR(__xludf.DUMMYFUNCTION("GOOGLETRANSLATE(E2304,""zh-CN"",""vi"")"),"Theo đuổi thần tượng của bạn chắc chắn sẽ vui hơn nhiều khi có bạn bè tốt! Kết hợp các vật phẩm để nhận được gậy phát sáng [V].")</f>
        <v>Theo đuổi thần tượng của bạn chắc chắn sẽ vui hơn nhiều khi có bạn bè tốt! Kết hợp các vật phẩm để nhận được gậy phát sáng [V].</v>
      </c>
      <c r="H2304" s="8"/>
      <c r="I2304" s="8"/>
      <c r="J2304" s="8"/>
    </row>
    <row r="2305" ht="21.0" customHeight="1">
      <c r="A2305" s="6">
        <v>11.0</v>
      </c>
      <c r="B2305" s="6">
        <v>1039.0</v>
      </c>
      <c r="C2305" s="6">
        <v>3.0</v>
      </c>
      <c r="D2305" s="23" t="s">
        <v>3403</v>
      </c>
      <c r="E2305" s="9" t="s">
        <v>3404</v>
      </c>
      <c r="F2305" s="8" t="str">
        <f>IFERROR(__xludf.DUMMYFUNCTION("GOOGLETRANSLATE(D2305,""zh-CN"",""vi"")"),"Gậy phát sáng [V]")</f>
        <v>Gậy phát sáng [V]</v>
      </c>
      <c r="G2305" s="8" t="str">
        <f>IFERROR(__xludf.DUMMYFUNCTION("GOOGLETRANSLATE(E2305,""zh-CN"",""vi"")"),"Vẫy những que phát sáng trong tay, vì tình yêu dành cho nó. Tổng hợp để có được một chiếc micro [V].")</f>
        <v>Vẫy những que phát sáng trong tay, vì tình yêu dành cho nó. Tổng hợp để có được một chiếc micro [V].</v>
      </c>
      <c r="H2305" s="8"/>
      <c r="I2305" s="8"/>
      <c r="J2305" s="8"/>
    </row>
    <row r="2306" ht="21.0" customHeight="1">
      <c r="A2306" s="6">
        <v>11.0</v>
      </c>
      <c r="B2306" s="6">
        <v>1039.0</v>
      </c>
      <c r="C2306" s="6">
        <v>4.0</v>
      </c>
      <c r="D2306" s="23" t="s">
        <v>3405</v>
      </c>
      <c r="E2306" s="9" t="s">
        <v>3406</v>
      </c>
      <c r="F2306" s="8" t="str">
        <f>IFERROR(__xludf.DUMMYFUNCTION("GOOGLETRANSLATE(D2306,""zh-CN"",""vi"")"),"Micrô [V]")</f>
        <v>Micrô [V]</v>
      </c>
      <c r="G2306" s="8" t="str">
        <f>IFERROR(__xludf.DUMMYFUNCTION("GOOGLETRANSLATE(E2306,""zh-CN"",""vi"")"),"Hãy để giai điệu du dương lan tỏa xa hơn. Tổng hợp để tạo ra âm thanh [V].")</f>
        <v>Hãy để giai điệu du dương lan tỏa xa hơn. Tổng hợp để tạo ra âm thanh [V].</v>
      </c>
      <c r="H2306" s="8"/>
      <c r="I2306" s="8"/>
      <c r="J2306" s="8"/>
    </row>
    <row r="2307" ht="21.0" customHeight="1">
      <c r="A2307" s="6">
        <v>10.0</v>
      </c>
      <c r="B2307" s="6">
        <v>1039.0</v>
      </c>
      <c r="C2307" s="6">
        <v>5.0</v>
      </c>
      <c r="D2307" s="23" t="s">
        <v>3407</v>
      </c>
      <c r="E2307" s="9" t="s">
        <v>3408</v>
      </c>
      <c r="F2307" s="8" t="str">
        <f>IFERROR(__xludf.DUMMYFUNCTION("GOOGLETRANSLATE(D2307,""zh-CN"",""vi"")"),"Âm thanh [V]")</f>
        <v>Âm thanh [V]</v>
      </c>
      <c r="G2307" s="8" t="str">
        <f>IFERROR(__xludf.DUMMYFUNCTION("GOOGLETRANSLATE(E2307,""zh-CN"",""vi"")"),"Truyền tải giai điệu tuyệt đẹp đến mọi khán giả. Tổng hợp để tạo ra một sân khấu trống [V].")</f>
        <v>Truyền tải giai điệu tuyệt đẹp đến mọi khán giả. Tổng hợp để tạo ra một sân khấu trống [V].</v>
      </c>
      <c r="H2307" s="8"/>
      <c r="I2307" s="8"/>
      <c r="J2307" s="8"/>
    </row>
    <row r="2308" ht="21.0" customHeight="1">
      <c r="A2308" s="6">
        <v>10.0</v>
      </c>
      <c r="B2308" s="6">
        <v>1039.0</v>
      </c>
      <c r="C2308" s="6">
        <v>6.0</v>
      </c>
      <c r="D2308" s="23" t="s">
        <v>3409</v>
      </c>
      <c r="E2308" s="9" t="s">
        <v>3410</v>
      </c>
      <c r="F2308" s="8" t="str">
        <f>IFERROR(__xludf.DUMMYFUNCTION("GOOGLETRANSLATE(D2308,""zh-CN"",""vi"")"),"Một sân khấu trống [V]")</f>
        <v>Một sân khấu trống [V]</v>
      </c>
      <c r="G2308" s="8" t="str">
        <f>IFERROR(__xludf.DUMMYFUNCTION("GOOGLETRANSLATE(E2308,""zh-CN"",""vi"")"),"Không gian hiện giờ trống trải, hoàn hảo cho một vài buổi diễn tập nữa. Tổng hợp để có được sân khấu biểu diễn [V].")</f>
        <v>Không gian hiện giờ trống trải, hoàn hảo cho một vài buổi diễn tập nữa. Tổng hợp để có được sân khấu biểu diễn [V].</v>
      </c>
      <c r="H2308" s="8"/>
      <c r="I2308" s="8"/>
      <c r="J2308" s="8"/>
    </row>
    <row r="2309" ht="21.0" customHeight="1">
      <c r="A2309" s="6">
        <v>10.0</v>
      </c>
      <c r="B2309" s="6">
        <v>1039.0</v>
      </c>
      <c r="C2309" s="6">
        <v>7.0</v>
      </c>
      <c r="D2309" s="23" t="s">
        <v>3411</v>
      </c>
      <c r="E2309" s="9" t="s">
        <v>3412</v>
      </c>
      <c r="F2309" s="8" t="str">
        <f>IFERROR(__xludf.DUMMYFUNCTION("GOOGLETRANSLATE(D2309,""zh-CN"",""vi"")"),"Sân khấu hòa nhạc [V]")</f>
        <v>Sân khấu hòa nhạc [V]</v>
      </c>
      <c r="G2309" s="8" t="str">
        <f>IFERROR(__xludf.DUMMYFUNCTION("GOOGLETRANSLATE(E2309,""zh-CN"",""vi"")"),"Sân khấu đã sẵn sàng, và buổi biểu diễn sắp bắt đầu. Tổng hợp để có được một màn trình diễn nhỏ [V].")</f>
        <v>Sân khấu đã sẵn sàng, và buổi biểu diễn sắp bắt đầu. Tổng hợp để có được một màn trình diễn nhỏ [V].</v>
      </c>
      <c r="H2309" s="8"/>
      <c r="I2309" s="8"/>
      <c r="J2309" s="8"/>
    </row>
    <row r="2310" ht="21.0" customHeight="1">
      <c r="A2310" s="6">
        <v>10.0</v>
      </c>
      <c r="B2310" s="6">
        <v>1039.0</v>
      </c>
      <c r="C2310" s="6">
        <v>8.0</v>
      </c>
      <c r="D2310" s="23" t="s">
        <v>3413</v>
      </c>
      <c r="E2310" s="9" t="s">
        <v>3414</v>
      </c>
      <c r="F2310" s="8" t="str">
        <f>IFERROR(__xludf.DUMMYFUNCTION("GOOGLETRANSLATE(D2310,""zh-CN"",""vi"")"),"Hiệu năng nhỏ [V]")</f>
        <v>Hiệu năng nhỏ [V]</v>
      </c>
      <c r="G2310" s="8" t="str">
        <f>IFERROR(__xludf.DUMMYFUNCTION("GOOGLETRANSLATE(E2310,""zh-CN"",""vi"")"),"Dù địa điểm có nhỏ đến đâu, hãy cống hiến hết mình cho màn trình diễn. Kết hợp để tạo nên Đêm Nhịp Điệu [V].")</f>
        <v>Dù địa điểm có nhỏ đến đâu, hãy cống hiến hết mình cho màn trình diễn. Kết hợp để tạo nên Đêm Nhịp Điệu [V].</v>
      </c>
      <c r="H2310" s="8"/>
      <c r="I2310" s="8"/>
      <c r="J2310" s="8"/>
    </row>
    <row r="2311" ht="21.0" customHeight="1">
      <c r="A2311" s="6">
        <v>10.0</v>
      </c>
      <c r="B2311" s="6">
        <v>1039.0</v>
      </c>
      <c r="C2311" s="6">
        <v>9.0</v>
      </c>
      <c r="D2311" s="23" t="s">
        <v>3415</v>
      </c>
      <c r="E2311" s="9" t="s">
        <v>3416</v>
      </c>
      <c r="F2311" s="8" t="str">
        <f>IFERROR(__xludf.DUMMYFUNCTION("GOOGLETRANSLATE(D2311,""zh-CN"",""vi"")"),"Đêm Nhịp Điệu [V]")</f>
        <v>Đêm Nhịp Điệu [V]</v>
      </c>
      <c r="G2311" s="8" t="str">
        <f>IFERROR(__xludf.DUMMYFUNCTION("GOOGLETRANSLATE(E2311,""zh-CN"",""vi"")"),"Phương Đông gặp phương Tây, tạo nên một bản giao hưởng hài hòa. Được tổng hợp để tạo nên một đêm âm thanh [V].")</f>
        <v>Phương Đông gặp phương Tây, tạo nên một bản giao hưởng hài hòa. Được tổng hợp để tạo nên một đêm âm thanh [V].</v>
      </c>
      <c r="H2311" s="8"/>
      <c r="I2311" s="8"/>
      <c r="J2311" s="8"/>
    </row>
    <row r="2312" ht="21.0" customHeight="1">
      <c r="A2312" s="6">
        <v>10.0</v>
      </c>
      <c r="B2312" s="6">
        <v>1039.0</v>
      </c>
      <c r="C2312" s="6">
        <v>10.0</v>
      </c>
      <c r="D2312" s="23" t="s">
        <v>3417</v>
      </c>
      <c r="E2312" s="9" t="s">
        <v>3398</v>
      </c>
      <c r="F2312" s="8" t="str">
        <f>IFERROR(__xludf.DUMMYFUNCTION("GOOGLETRANSLATE(D2312,""zh-CN"",""vi"")"),"Đêm Âm Thanh [V]")</f>
        <v>Đêm Âm Thanh [V]</v>
      </c>
      <c r="G2312" s="8" t="str">
        <f>IFERROR(__xludf.DUMMYFUNCTION("GOOGLETRANSLATE(E2312,""zh-CN"",""vi"")"),"Hãy đắm mình trong biển âm nhạc và trải nghiệm một bữa tiệc âm nhạc tuyệt vời. (Đã được tổng hợp ở mức độ cao nhất.)")</f>
        <v>Hãy đắm mình trong biển âm nhạc và trải nghiệm một bữa tiệc âm nhạc tuyệt vời. (Đã được tổng hợp ở mức độ cao nhất.)</v>
      </c>
      <c r="H2312" s="8"/>
      <c r="I2312" s="8"/>
      <c r="J2312" s="8"/>
    </row>
    <row r="2313" ht="21.0" customHeight="1">
      <c r="A2313" s="6">
        <v>1.0</v>
      </c>
      <c r="B2313" s="6">
        <v>178.0</v>
      </c>
      <c r="C2313" s="6">
        <v>1.0</v>
      </c>
      <c r="D2313" s="23" t="s">
        <v>3418</v>
      </c>
      <c r="E2313" s="9" t="s">
        <v>3419</v>
      </c>
      <c r="F2313" s="8" t="str">
        <f>IFERROR(__xludf.DUMMYFUNCTION("GOOGLETRANSLATE(D2313,""zh-CN"",""vi"")"),"Tam giác")</f>
        <v>Tam giác</v>
      </c>
      <c r="G2313" s="8" t="str">
        <f>IFERROR(__xludf.DUMMYFUNCTION("GOOGLETRANSLATE(E2313,""zh-CN"",""vi"")"),"Âm vang trong trẻo, rõ ràng, đơn giản nhưng phi thường. Kết hợp các thành phần để tạo thành một chiếc kèn harmonica.")</f>
        <v>Âm vang trong trẻo, rõ ràng, đơn giản nhưng phi thường. Kết hợp các thành phần để tạo thành một chiếc kèn harmonica.</v>
      </c>
      <c r="H2313" s="8"/>
      <c r="I2313" s="8"/>
      <c r="J2313" s="8"/>
    </row>
    <row r="2314" ht="21.0" customHeight="1">
      <c r="A2314" s="6">
        <v>1.0</v>
      </c>
      <c r="B2314" s="6">
        <v>178.0</v>
      </c>
      <c r="C2314" s="6">
        <v>2.0</v>
      </c>
      <c r="D2314" s="23" t="s">
        <v>3420</v>
      </c>
      <c r="E2314" s="9" t="s">
        <v>3421</v>
      </c>
      <c r="F2314" s="8" t="str">
        <f>IFERROR(__xludf.DUMMYFUNCTION("GOOGLETRANSLATE(D2314,""zh-CN"",""vi"")"),"kèn harmonica")</f>
        <v>kèn harmonica</v>
      </c>
      <c r="G2314" s="8" t="str">
        <f>IFERROR(__xludf.DUMMYFUNCTION("GOOGLETRANSLATE(E2314,""zh-CN"",""vi"")"),"Nhỏ gọn và dễ mang theo, bạn có thể chơi ở bất cứ đâu. Kết hợp chúng lại để tạo thành một chiếc kèn clarinet.")</f>
        <v>Nhỏ gọn và dễ mang theo, bạn có thể chơi ở bất cứ đâu. Kết hợp chúng lại để tạo thành một chiếc kèn clarinet.</v>
      </c>
      <c r="H2314" s="8"/>
      <c r="I2314" s="8"/>
      <c r="J2314" s="8"/>
    </row>
    <row r="2315" ht="21.0" customHeight="1">
      <c r="A2315" s="6">
        <v>1.0</v>
      </c>
      <c r="B2315" s="6">
        <v>178.0</v>
      </c>
      <c r="C2315" s="6">
        <v>3.0</v>
      </c>
      <c r="D2315" s="23" t="s">
        <v>3422</v>
      </c>
      <c r="E2315" s="9" t="s">
        <v>3423</v>
      </c>
      <c r="F2315" s="8" t="str">
        <f>IFERROR(__xludf.DUMMYFUNCTION("GOOGLETRANSLATE(D2315,""zh-CN"",""vi"")"),"kèn clarinet")</f>
        <v>kèn clarinet</v>
      </c>
      <c r="G2315" s="8" t="str">
        <f>IFERROR(__xludf.DUMMYFUNCTION("GOOGLETRANSLATE(E2315,""zh-CN"",""vi"")"),"Đây không phải là loa phóng thanh, đây không phải là loa phóng thanh! Tôi sẽ nói lại hai lần vì điều này rất quan trọng! Hãy gộp chung để có được tài khoản nhỏ hơn.")</f>
        <v>Đây không phải là loa phóng thanh, đây không phải là loa phóng thanh! Tôi sẽ nói lại hai lần vì điều này rất quan trọng! Hãy gộp chung để có được tài khoản nhỏ hơn.</v>
      </c>
      <c r="H2315" s="8"/>
      <c r="I2315" s="8"/>
      <c r="J2315" s="8"/>
    </row>
    <row r="2316" ht="21.0" customHeight="1">
      <c r="A2316" s="6">
        <v>1.0</v>
      </c>
      <c r="B2316" s="6">
        <v>178.0</v>
      </c>
      <c r="C2316" s="6">
        <v>4.0</v>
      </c>
      <c r="D2316" s="23" t="s">
        <v>3424</v>
      </c>
      <c r="E2316" s="9" t="s">
        <v>3425</v>
      </c>
      <c r="F2316" s="8" t="str">
        <f>IFERROR(__xludf.DUMMYFUNCTION("GOOGLETRANSLATE(D2316,""zh-CN"",""vi"")"),"bé nhỏ")</f>
        <v>bé nhỏ</v>
      </c>
      <c r="G2316" s="8" t="str">
        <f>IFERROR(__xludf.DUMMYFUNCTION("GOOGLETRANSLATE(E2316,""zh-CN"",""vi"")"),"Những âm thanh vui tươi và du dương xua tan mọi nỗi buồn. Hãy kết hợp chúng để tạo thành một chiếc kèn saxophone.")</f>
        <v>Những âm thanh vui tươi và du dương xua tan mọi nỗi buồn. Hãy kết hợp chúng để tạo thành một chiếc kèn saxophone.</v>
      </c>
      <c r="H2316" s="8"/>
      <c r="I2316" s="8"/>
      <c r="J2316" s="8"/>
    </row>
    <row r="2317" ht="21.0" customHeight="1">
      <c r="A2317" s="6">
        <v>1.0</v>
      </c>
      <c r="B2317" s="6">
        <v>178.0</v>
      </c>
      <c r="C2317" s="6">
        <v>5.0</v>
      </c>
      <c r="D2317" s="23" t="s">
        <v>3426</v>
      </c>
      <c r="E2317" s="9" t="s">
        <v>3427</v>
      </c>
      <c r="F2317" s="8" t="str">
        <f>IFERROR(__xludf.DUMMYFUNCTION("GOOGLETRANSLATE(D2317,""zh-CN"",""vi"")"),"kèn saxophone")</f>
        <v>kèn saxophone</v>
      </c>
      <c r="G2317" s="8" t="str">
        <f>IFERROR(__xludf.DUMMYFUNCTION("GOOGLETRANSLATE(E2317,""zh-CN"",""vi"")"),"Ngoại hình tráng lệ, cảm giác đơn giản và cổ điển. Tất cả được kết hợp để tạo nên một cây đàn guitar.")</f>
        <v>Ngoại hình tráng lệ, cảm giác đơn giản và cổ điển. Tất cả được kết hợp để tạo nên một cây đàn guitar.</v>
      </c>
      <c r="H2317" s="8"/>
      <c r="I2317" s="8"/>
      <c r="J2317" s="8"/>
    </row>
    <row r="2318" ht="21.0" customHeight="1">
      <c r="A2318" s="6">
        <v>1.0</v>
      </c>
      <c r="B2318" s="6">
        <v>178.0</v>
      </c>
      <c r="C2318" s="6">
        <v>6.0</v>
      </c>
      <c r="D2318" s="23" t="s">
        <v>3428</v>
      </c>
      <c r="E2318" s="9" t="s">
        <v>3429</v>
      </c>
      <c r="F2318" s="8" t="str">
        <f>IFERROR(__xludf.DUMMYFUNCTION("GOOGLETRANSLATE(D2318,""zh-CN"",""vi"")"),"Đàn guitar")</f>
        <v>Đàn guitar</v>
      </c>
      <c r="G2318" s="8" t="str">
        <f>IFERROR(__xludf.DUMMYFUNCTION("GOOGLETRANSLATE(E2318,""zh-CN"",""vi"")"),"Hãy lập một ban nhạc, bắt đầu bằng việc học guitar. Sau đó học thêm cả violin.")</f>
        <v>Hãy lập một ban nhạc, bắt đầu bằng việc học guitar. Sau đó học thêm cả violin.</v>
      </c>
      <c r="H2318" s="8"/>
      <c r="I2318" s="8"/>
      <c r="J2318" s="8"/>
    </row>
    <row r="2319" ht="21.0" customHeight="1">
      <c r="A2319" s="6">
        <v>1.0</v>
      </c>
      <c r="B2319" s="6">
        <v>178.0</v>
      </c>
      <c r="C2319" s="6">
        <v>7.0</v>
      </c>
      <c r="D2319" s="23" t="s">
        <v>3430</v>
      </c>
      <c r="E2319" s="9" t="s">
        <v>3431</v>
      </c>
      <c r="F2319" s="8" t="str">
        <f>IFERROR(__xludf.DUMMYFUNCTION("GOOGLETRANSLATE(D2319,""zh-CN"",""vi"")"),"vĩ cầm")</f>
        <v>vĩ cầm</v>
      </c>
      <c r="G2319" s="8" t="str">
        <f>IFERROR(__xludf.DUMMYFUNCTION("GOOGLETRANSLATE(E2319,""zh-CN"",""vi"")"),"Thân đàn, dây đàn và vĩ kéo kết hợp với nhau tạo nên vẻ đẹp thanh lịch tuyệt vời. Kết hợp chúng lại để tạo thành một cây đàn hạc.")</f>
        <v>Thân đàn, dây đàn và vĩ kéo kết hợp với nhau tạo nên vẻ đẹp thanh lịch tuyệt vời. Kết hợp chúng lại để tạo thành một cây đàn hạc.</v>
      </c>
      <c r="H2319" s="8"/>
      <c r="I2319" s="8"/>
      <c r="J2319" s="8"/>
    </row>
    <row r="2320" ht="21.0" customHeight="1">
      <c r="A2320" s="6">
        <v>1.0</v>
      </c>
      <c r="B2320" s="6">
        <v>178.0</v>
      </c>
      <c r="C2320" s="6">
        <v>8.0</v>
      </c>
      <c r="D2320" s="23" t="s">
        <v>3432</v>
      </c>
      <c r="E2320" s="9" t="s">
        <v>3433</v>
      </c>
      <c r="F2320" s="8" t="str">
        <f>IFERROR(__xludf.DUMMYFUNCTION("GOOGLETRANSLATE(D2320,""zh-CN"",""vi"")"),"đàn hạc")</f>
        <v>đàn hạc</v>
      </c>
      <c r="G2320" s="8" t="str">
        <f>IFERROR(__xludf.DUMMYFUNCTION("GOOGLETRANSLATE(E2320,""zh-CN"",""vi"")"),"Chơi đàn hạc là bước đầu tiên để trở thành một nàng tiên. Hãy tổng hợp các nguyên liệu để có được một bàn phím điện tử.")</f>
        <v>Chơi đàn hạc là bước đầu tiên để trở thành một nàng tiên. Hãy tổng hợp các nguyên liệu để có được một bàn phím điện tử.</v>
      </c>
      <c r="H2320" s="8"/>
      <c r="I2320" s="8"/>
      <c r="J2320" s="8"/>
    </row>
    <row r="2321" ht="21.0" customHeight="1">
      <c r="A2321" s="6">
        <v>1.0</v>
      </c>
      <c r="B2321" s="6">
        <v>178.0</v>
      </c>
      <c r="C2321" s="6">
        <v>9.0</v>
      </c>
      <c r="D2321" s="23" t="s">
        <v>3434</v>
      </c>
      <c r="E2321" s="9" t="s">
        <v>3435</v>
      </c>
      <c r="F2321" s="8" t="str">
        <f>IFERROR(__xludf.DUMMYFUNCTION("GOOGLETRANSLATE(D2321,""zh-CN"",""vi"")"),"Bàn phím điện tử")</f>
        <v>Bàn phím điện tử</v>
      </c>
      <c r="G2321" s="8" t="str">
        <f>IFERROR(__xludf.DUMMYFUNCTION("GOOGLETRANSLATE(E2321,""zh-CN"",""vi"")"),"Một ban nhạc điện tử sẽ không trọn vẹn nếu thiếu tôi. Tôi chơi đàn accordion điện tử.")</f>
        <v>Một ban nhạc điện tử sẽ không trọn vẹn nếu thiếu tôi. Tôi chơi đàn accordion điện tử.</v>
      </c>
      <c r="H2321" s="8"/>
      <c r="I2321" s="8"/>
      <c r="J2321" s="8"/>
    </row>
    <row r="2322" ht="21.0" customHeight="1">
      <c r="A2322" s="6">
        <v>1.0</v>
      </c>
      <c r="B2322" s="6">
        <v>178.0</v>
      </c>
      <c r="C2322" s="6">
        <v>10.0</v>
      </c>
      <c r="D2322" s="23" t="s">
        <v>3436</v>
      </c>
      <c r="E2322" s="9" t="s">
        <v>3437</v>
      </c>
      <c r="F2322" s="8" t="str">
        <f>IFERROR(__xludf.DUMMYFUNCTION("GOOGLETRANSLATE(D2322,""zh-CN"",""vi"")"),"đàn accordion")</f>
        <v>đàn accordion</v>
      </c>
      <c r="G2322" s="8" t="str">
        <f>IFERROR(__xludf.DUMMYFUNCTION("GOOGLETRANSLATE(E2322,""zh-CN"",""vi"")"),"Hãy nắm bắt sự lãng mạn trong tầm tay bạn. Kết hợp các thành phần để tạo ra một cây đàn piano đứng.")</f>
        <v>Hãy nắm bắt sự lãng mạn trong tầm tay bạn. Kết hợp các thành phần để tạo ra một cây đàn piano đứng.</v>
      </c>
      <c r="H2322" s="8"/>
      <c r="I2322" s="8"/>
      <c r="J2322" s="8"/>
    </row>
    <row r="2323" ht="21.0" customHeight="1">
      <c r="A2323" s="6">
        <v>1.0</v>
      </c>
      <c r="B2323" s="6">
        <v>178.0</v>
      </c>
      <c r="C2323" s="6">
        <v>11.0</v>
      </c>
      <c r="D2323" s="23" t="s">
        <v>3438</v>
      </c>
      <c r="E2323" s="9" t="s">
        <v>3439</v>
      </c>
      <c r="F2323" s="8" t="str">
        <f>IFERROR(__xludf.DUMMYFUNCTION("GOOGLETRANSLATE(D2323,""zh-CN"",""vi"")"),"đàn piano đứng")</f>
        <v>đàn piano đứng</v>
      </c>
      <c r="G2323" s="8" t="str">
        <f>IFERROR(__xludf.DUMMYFUNCTION("GOOGLETRANSLATE(E2323,""zh-CN"",""vi"")"),"Một tập hợp các dây đàn rung động, tạo nên âm nhạc tuyệt vời. Khi kết hợp lại, chúng tạo thành một cây đàn piano lớn.")</f>
        <v>Một tập hợp các dây đàn rung động, tạo nên âm nhạc tuyệt vời. Khi kết hợp lại, chúng tạo thành một cây đàn piano lớn.</v>
      </c>
      <c r="H2323" s="8"/>
      <c r="I2323" s="8"/>
      <c r="J2323" s="8"/>
    </row>
    <row r="2324" ht="21.0" customHeight="1">
      <c r="A2324" s="6">
        <v>1.0</v>
      </c>
      <c r="B2324" s="6">
        <v>178.0</v>
      </c>
      <c r="C2324" s="6">
        <v>12.0</v>
      </c>
      <c r="D2324" s="23" t="s">
        <v>3440</v>
      </c>
      <c r="E2324" s="9" t="s">
        <v>3441</v>
      </c>
      <c r="F2324" s="8" t="str">
        <f>IFERROR(__xludf.DUMMYFUNCTION("GOOGLETRANSLATE(D2324,""zh-CN"",""vi"")"),"Đàn piano lớn")</f>
        <v>Đàn piano lớn</v>
      </c>
      <c r="G2324" s="8" t="str">
        <f>IFERROR(__xludf.DUMMYFUNCTION("GOOGLETRANSLATE(E2324,""zh-CN"",""vi"")"),"Luyện tập không ngừng sẽ tạo nên nghệ thuật. Tổng hợp và tạo ra một bộ trống.")</f>
        <v>Luyện tập không ngừng sẽ tạo nên nghệ thuật. Tổng hợp và tạo ra một bộ trống.</v>
      </c>
      <c r="H2324" s="8"/>
      <c r="I2324" s="8"/>
      <c r="J2324" s="8"/>
    </row>
    <row r="2325" ht="21.0" customHeight="1">
      <c r="A2325" s="6">
        <v>1.0</v>
      </c>
      <c r="B2325" s="6">
        <v>178.0</v>
      </c>
      <c r="C2325" s="6">
        <v>13.0</v>
      </c>
      <c r="D2325" s="23" t="s">
        <v>3442</v>
      </c>
      <c r="E2325" s="9" t="s">
        <v>3443</v>
      </c>
      <c r="F2325" s="8" t="str">
        <f>IFERROR(__xludf.DUMMYFUNCTION("GOOGLETRANSLATE(D2325,""zh-CN"",""vi"")"),"Bộ trống")</f>
        <v>Bộ trống</v>
      </c>
      <c r="G2325" s="8" t="str">
        <f>IFERROR(__xludf.DUMMYFUNCTION("GOOGLETRANSLATE(E2325,""zh-CN"",""vi"")"),"Tiếng trống là linh hồn của nhịp điệu. (Đã được tổng hợp ở mức độ cao nhất.)")</f>
        <v>Tiếng trống là linh hồn của nhịp điệu. (Đã được tổng hợp ở mức độ cao nhất.)</v>
      </c>
      <c r="H2325" s="8"/>
      <c r="I2325" s="8"/>
      <c r="J2325" s="8"/>
    </row>
    <row r="2326" ht="21.0" customHeight="1">
      <c r="A2326" s="6">
        <v>1.0</v>
      </c>
      <c r="B2326" s="6">
        <v>179.0</v>
      </c>
      <c r="C2326" s="6">
        <v>1.0</v>
      </c>
      <c r="D2326" s="23" t="s">
        <v>3444</v>
      </c>
      <c r="E2326" s="9" t="s">
        <v>3445</v>
      </c>
      <c r="F2326" s="8" t="str">
        <f>IFERROR(__xludf.DUMMYFUNCTION("GOOGLETRANSLATE(D2326,""zh-CN"",""vi"")"),"allegro")</f>
        <v>allegro</v>
      </c>
      <c r="G2326" s="8" t="str">
        <f>IFERROR(__xludf.DUMMYFUNCTION("GOOGLETRANSLATE(E2326,""zh-CN"",""vi"")"),"Với tiếng gõ của cái gõ, chúng ta sẽ không khoe khoang về bất cứ điều gì khác — chúng ta sẽ tạo ra âm thanh của một cây sáo xiao (một loại sáo Trung Quốc).")</f>
        <v>Với tiếng gõ của cái gõ, chúng ta sẽ không khoe khoang về bất cứ điều gì khác — chúng ta sẽ tạo ra âm thanh của một cây sáo xiao (một loại sáo Trung Quốc).</v>
      </c>
      <c r="H2326" s="8"/>
      <c r="I2326" s="8"/>
      <c r="J2326" s="8"/>
    </row>
    <row r="2327" ht="21.0" customHeight="1">
      <c r="A2327" s="6">
        <v>1.0</v>
      </c>
      <c r="B2327" s="6">
        <v>179.0</v>
      </c>
      <c r="C2327" s="6">
        <v>2.0</v>
      </c>
      <c r="D2327" s="9" t="s">
        <v>3446</v>
      </c>
      <c r="E2327" s="9" t="s">
        <v>3447</v>
      </c>
      <c r="F2327" s="8" t="str">
        <f>IFERROR(__xludf.DUMMYFUNCTION("GOOGLETRANSLATE(D2327,""zh-CN"",""vi"")"),"Xiao")</f>
        <v>Xiao</v>
      </c>
      <c r="G2327" s="8" t="str">
        <f>IFERROR(__xludf.DUMMYFUNCTION("GOOGLETRANSLATE(E2327,""zh-CN"",""vi"")"),"Âm thanh của cây sáo du dương, giai điệu vương vấn trong không khí. Kết hợp chúng lại để tạo thành một chiếc chũm chọe bằng đồng.")</f>
        <v>Âm thanh của cây sáo du dương, giai điệu vương vấn trong không khí. Kết hợp chúng lại để tạo thành một chiếc chũm chọe bằng đồng.</v>
      </c>
      <c r="H2327" s="8"/>
      <c r="I2327" s="8"/>
      <c r="J2327" s="8"/>
    </row>
    <row r="2328" ht="21.0" customHeight="1">
      <c r="A2328" s="6">
        <v>1.0</v>
      </c>
      <c r="B2328" s="6">
        <v>179.0</v>
      </c>
      <c r="C2328" s="6">
        <v>3.0</v>
      </c>
      <c r="D2328" s="23" t="s">
        <v>3448</v>
      </c>
      <c r="E2328" s="9" t="s">
        <v>3449</v>
      </c>
      <c r="F2328" s="8" t="str">
        <f>IFERROR(__xludf.DUMMYFUNCTION("GOOGLETRANSLATE(D2328,""zh-CN"",""vi"")"),"chũm chọe")</f>
        <v>chũm chọe</v>
      </c>
      <c r="G2328" s="8" t="str">
        <f>IFERROR(__xludf.DUMMYFUNCTION("GOOGLETRANSLATE(E2328,""zh-CN"",""vi"")"),"Tiếng chiêng và chũm chọe vang dội lập tức làm bừng sáng bầu không khí. Nhạc cụ được tạo ra là một chiếc xun (một loại nhạc cụ hơi cổ của Trung Quốc).")</f>
        <v>Tiếng chiêng và chũm chọe vang dội lập tức làm bừng sáng bầu không khí. Nhạc cụ được tạo ra là một chiếc xun (một loại nhạc cụ hơi cổ của Trung Quốc).</v>
      </c>
      <c r="H2328" s="8"/>
      <c r="I2328" s="8"/>
      <c r="J2328" s="8"/>
    </row>
    <row r="2329" ht="21.0" customHeight="1">
      <c r="A2329" s="6">
        <v>1.0</v>
      </c>
      <c r="B2329" s="6">
        <v>179.0</v>
      </c>
      <c r="C2329" s="6">
        <v>4.0</v>
      </c>
      <c r="D2329" s="23" t="s">
        <v>3450</v>
      </c>
      <c r="E2329" s="9" t="s">
        <v>3451</v>
      </c>
      <c r="F2329" s="8" t="str">
        <f>IFERROR(__xludf.DUMMYFUNCTION("GOOGLETRANSLATE(D2329,""zh-CN"",""vi"")"),"Xun")</f>
        <v>Xun</v>
      </c>
      <c r="G2329" s="8" t="str">
        <f>IFERROR(__xludf.DUMMYFUNCTION("GOOGLETRANSLATE(E2329,""zh-CN"",""vi"")"),"Âm nhạc cổ xưa dường như đến từ cả nghìn năm trước. Âm thanh của suona (một loại nhạc cụ hơi truyền thống của Trung Quốc) được tổng hợp lại.")</f>
        <v>Âm nhạc cổ xưa dường như đến từ cả nghìn năm trước. Âm thanh của suona (một loại nhạc cụ hơi truyền thống của Trung Quốc) được tổng hợp lại.</v>
      </c>
      <c r="H2329" s="8"/>
      <c r="I2329" s="8"/>
      <c r="J2329" s="8"/>
    </row>
    <row r="2330" ht="21.0" customHeight="1">
      <c r="A2330" s="6">
        <v>1.0</v>
      </c>
      <c r="B2330" s="6">
        <v>179.0</v>
      </c>
      <c r="C2330" s="6">
        <v>5.0</v>
      </c>
      <c r="D2330" s="23" t="s">
        <v>3452</v>
      </c>
      <c r="E2330" s="9" t="s">
        <v>3453</v>
      </c>
      <c r="F2330" s="8" t="str">
        <f>IFERROR(__xludf.DUMMYFUNCTION("GOOGLETRANSLATE(D2330,""zh-CN"",""vi"")"),"Suona")</f>
        <v>Suona</v>
      </c>
      <c r="G2330" s="8" t="str">
        <f>IFERROR(__xludf.DUMMYFUNCTION("GOOGLETRANSLATE(E2330,""zh-CN"",""vi"")"),"Trong tất cả các nhạc cụ, suona là loại nhạc cụ đứng đầu. Kết hợp chúng lại sẽ tạo thành hulusi (một loại sáo làm từ quả bầu khô).")</f>
        <v>Trong tất cả các nhạc cụ, suona là loại nhạc cụ đứng đầu. Kết hợp chúng lại sẽ tạo thành hulusi (một loại sáo làm từ quả bầu khô).</v>
      </c>
      <c r="H2330" s="8"/>
      <c r="I2330" s="8"/>
      <c r="J2330" s="8"/>
    </row>
    <row r="2331" ht="21.0" customHeight="1">
      <c r="A2331" s="6">
        <v>1.0</v>
      </c>
      <c r="B2331" s="6">
        <v>179.0</v>
      </c>
      <c r="C2331" s="6">
        <v>6.0</v>
      </c>
      <c r="D2331" s="23" t="s">
        <v>3454</v>
      </c>
      <c r="E2331" s="9" t="s">
        <v>3455</v>
      </c>
      <c r="F2331" s="8" t="str">
        <f>IFERROR(__xludf.DUMMYFUNCTION("GOOGLETRANSLATE(D2331,""zh-CN"",""vi"")"),"Hulusi")</f>
        <v>Hulusi</v>
      </c>
      <c r="G2331" s="8" t="str">
        <f>IFERROR(__xludf.DUMMYFUNCTION("GOOGLETRANSLATE(E2331,""zh-CN"",""vi"")"),"Một nhạc cụ tuyệt vời để cải thiện sức khỏe tim mạch. Tổng hợp để thu được đàn nhị.")</f>
        <v>Một nhạc cụ tuyệt vời để cải thiện sức khỏe tim mạch. Tổng hợp để thu được đàn nhị.</v>
      </c>
      <c r="H2331" s="8"/>
      <c r="I2331" s="8"/>
      <c r="J2331" s="8"/>
    </row>
    <row r="2332" ht="21.0" customHeight="1">
      <c r="A2332" s="6">
        <v>1.0</v>
      </c>
      <c r="B2332" s="6">
        <v>179.0</v>
      </c>
      <c r="C2332" s="6">
        <v>7.0</v>
      </c>
      <c r="D2332" s="23" t="s">
        <v>3456</v>
      </c>
      <c r="E2332" s="9" t="s">
        <v>3457</v>
      </c>
      <c r="F2332" s="8" t="str">
        <f>IFERROR(__xludf.DUMMYFUNCTION("GOOGLETRANSLATE(D2332,""zh-CN"",""vi"")"),"Erhu")</f>
        <v>Erhu</v>
      </c>
      <c r="G2332" s="8" t="str">
        <f>IFERROR(__xludf.DUMMYFUNCTION("GOOGLETRANSLATE(E2332,""zh-CN"",""vi"")"),"Một chiếc cần đàn thẳng đứng, hai dây nối liền hướng đông và tây. Kết hợp chúng lại để tạo thành đàn zhongruan.")</f>
        <v>Một chiếc cần đàn thẳng đứng, hai dây nối liền hướng đông và tây. Kết hợp chúng lại để tạo thành đàn zhongruan.</v>
      </c>
      <c r="H2332" s="8"/>
      <c r="I2332" s="8"/>
      <c r="J2332" s="8"/>
    </row>
    <row r="2333" ht="21.0" customHeight="1">
      <c r="A2333" s="6">
        <v>1.0</v>
      </c>
      <c r="B2333" s="6">
        <v>179.0</v>
      </c>
      <c r="C2333" s="6">
        <v>8.0</v>
      </c>
      <c r="D2333" s="23" t="s">
        <v>3458</v>
      </c>
      <c r="E2333" s="72" t="s">
        <v>3459</v>
      </c>
      <c r="F2333" s="8" t="str">
        <f>IFERROR(__xludf.DUMMYFUNCTION("GOOGLETRANSLATE(D2333,""zh-CN"",""vi"")"),"Zhongruan")</f>
        <v>Zhongruan</v>
      </c>
      <c r="G2333" s="8" t="str">
        <f>IFERROR(__xludf.DUMMYFUNCTION("GOOGLETRANSLATE(E2333,""zh-CN"",""vi"")"),"Một nhạc cụ cổ xưa trên lưng ngựa, được gảy và đánh, xoa dịu nỗi nhớ nhà. Kết hợp lại, bạn sẽ có một cây đàn tỳ bà.")</f>
        <v>Một nhạc cụ cổ xưa trên lưng ngựa, được gảy và đánh, xoa dịu nỗi nhớ nhà. Kết hợp lại, bạn sẽ có một cây đàn tỳ bà.</v>
      </c>
      <c r="H2333" s="8"/>
      <c r="I2333" s="8"/>
      <c r="J2333" s="8"/>
    </row>
    <row r="2334" ht="21.0" customHeight="1">
      <c r="A2334" s="6">
        <v>1.0</v>
      </c>
      <c r="B2334" s="6">
        <v>179.0</v>
      </c>
      <c r="C2334" s="6">
        <v>9.0</v>
      </c>
      <c r="D2334" s="23" t="s">
        <v>3460</v>
      </c>
      <c r="E2334" s="9" t="s">
        <v>3461</v>
      </c>
      <c r="F2334" s="8" t="str">
        <f>IFERROR(__xludf.DUMMYFUNCTION("GOOGLETRANSLATE(D2334,""zh-CN"",""vi"")"),"đàn luýt")</f>
        <v>đàn luýt</v>
      </c>
      <c r="G2334" s="8" t="str">
        <f>IFERROR(__xludf.DUMMYFUNCTION("GOOGLETRANSLATE(E2334,""zh-CN"",""vi"")"),"Giống như một chiếc bình bạc đột ngột vỡ tan, như dòng nước chảy xiết ào ạt tuôn trào. Kết hợp chúng lại để tạo thành một cây đàn tranh (guqin - một loại đàn tranh bảy dây).")</f>
        <v>Giống như một chiếc bình bạc đột ngột vỡ tan, như dòng nước chảy xiết ào ạt tuôn trào. Kết hợp chúng lại để tạo thành một cây đàn tranh (guqin - một loại đàn tranh bảy dây).</v>
      </c>
      <c r="H2334" s="8"/>
      <c r="I2334" s="8"/>
      <c r="J2334" s="8"/>
    </row>
    <row r="2335" ht="21.0" customHeight="1">
      <c r="A2335" s="6">
        <v>1.0</v>
      </c>
      <c r="B2335" s="6">
        <v>179.0</v>
      </c>
      <c r="C2335" s="6">
        <v>10.0</v>
      </c>
      <c r="D2335" s="23" t="s">
        <v>3462</v>
      </c>
      <c r="E2335" s="9" t="s">
        <v>3463</v>
      </c>
      <c r="F2335" s="8" t="str">
        <f>IFERROR(__xludf.DUMMYFUNCTION("GOOGLETRANSLATE(D2335,""zh-CN"",""vi"")"),"Đàn tranh")</f>
        <v>Đàn tranh</v>
      </c>
      <c r="G2335" s="8" t="str">
        <f>IFERROR(__xludf.DUMMYFUNCTION("GOOGLETRANSLATE(E2335,""zh-CN"",""vi"")"),"Được truyền cảm hứng, tôi chơi đàn tranh, rồi lắng nghe tiếng nước chảy và tiếng núi non hùng vĩ. Sự kết hợp này đã dẫn đến sự ra đời của cây đàn tranh (guzheng) Trung Quốc.")</f>
        <v>Được truyền cảm hứng, tôi chơi đàn tranh, rồi lắng nghe tiếng nước chảy và tiếng núi non hùng vĩ. Sự kết hợp này đã dẫn đến sự ra đời của cây đàn tranh (guzheng) Trung Quốc.</v>
      </c>
      <c r="H2335" s="8"/>
      <c r="I2335" s="8"/>
      <c r="J2335" s="8"/>
    </row>
    <row r="2336" ht="21.0" customHeight="1">
      <c r="A2336" s="6">
        <v>1.0</v>
      </c>
      <c r="B2336" s="6">
        <v>179.0</v>
      </c>
      <c r="C2336" s="6">
        <v>11.0</v>
      </c>
      <c r="D2336" s="23" t="s">
        <v>3464</v>
      </c>
      <c r="E2336" s="9" t="s">
        <v>3465</v>
      </c>
      <c r="F2336" s="8" t="str">
        <f>IFERROR(__xludf.DUMMYFUNCTION("GOOGLETRANSLATE(D2336,""zh-CN"",""vi"")"),"Đàn tranh")</f>
        <v>Đàn tranh</v>
      </c>
      <c r="G2336" s="8" t="str">
        <f>IFERROR(__xludf.DUMMYFUNCTION("GOOGLETRANSLATE(E2336,""zh-CN"",""vi"")"),"Âm thanh của đàn tranh vang lên, làm hài lòng cả tai và tim. Khi kết hợp lại, nó tạo thành một âm thanh trống lớn.")</f>
        <v>Âm thanh của đàn tranh vang lên, làm hài lòng cả tai và tim. Khi kết hợp lại, nó tạo thành một âm thanh trống lớn.</v>
      </c>
      <c r="H2336" s="8"/>
      <c r="I2336" s="8"/>
      <c r="J2336" s="8"/>
    </row>
    <row r="2337" ht="21.0" customHeight="1">
      <c r="A2337" s="6">
        <v>1.0</v>
      </c>
      <c r="B2337" s="6">
        <v>179.0</v>
      </c>
      <c r="C2337" s="6">
        <v>12.0</v>
      </c>
      <c r="D2337" s="23" t="s">
        <v>3466</v>
      </c>
      <c r="E2337" s="9" t="s">
        <v>3467</v>
      </c>
      <c r="F2337" s="8" t="str">
        <f>IFERROR(__xludf.DUMMYFUNCTION("GOOGLETRANSLATE(D2337,""zh-CN"",""vi"")"),"Trống lớn")</f>
        <v>Trống lớn</v>
      </c>
      <c r="G2337" s="8" t="str">
        <f>IFERROR(__xludf.DUMMYFUNCTION("GOOGLETRANSLATE(E2337,""zh-CN"",""vi"")"),"Hàng trăm triệu chiếc trống vang lên, vọng khắp phương Đông. Chúng cùng nhau tạo thành một dàn chuông ngân vang.")</f>
        <v>Hàng trăm triệu chiếc trống vang lên, vọng khắp phương Đông. Chúng cùng nhau tạo thành một dàn chuông ngân vang.</v>
      </c>
      <c r="H2337" s="8"/>
      <c r="I2337" s="8"/>
      <c r="J2337" s="8"/>
    </row>
    <row r="2338" ht="21.0" customHeight="1">
      <c r="A2338" s="6">
        <v>1.0</v>
      </c>
      <c r="B2338" s="6">
        <v>179.0</v>
      </c>
      <c r="C2338" s="6">
        <v>13.0</v>
      </c>
      <c r="D2338" s="23" t="s">
        <v>3468</v>
      </c>
      <c r="E2338" s="9" t="s">
        <v>3469</v>
      </c>
      <c r="F2338" s="8" t="str">
        <f>IFERROR(__xludf.DUMMYFUNCTION("GOOGLETRANSLATE(D2338,""zh-CN"",""vi"")"),"chuông")</f>
        <v>chuông</v>
      </c>
      <c r="G2338" s="8" t="str">
        <f>IFERROR(__xludf.DUMMYFUNCTION("GOOGLETRANSLATE(E2338,""zh-CN"",""vi"")"),"Những âm thanh cổ xưa của nó đã vang vọng suốt hàng thiên niên kỷ. Nó đã được tổng hợp ở mức độ cao nhất.")</f>
        <v>Những âm thanh cổ xưa của nó đã vang vọng suốt hàng thiên niên kỷ. Nó đã được tổng hợp ở mức độ cao nhất.</v>
      </c>
      <c r="H2338" s="8"/>
      <c r="I2338" s="8"/>
      <c r="J2338" s="8"/>
    </row>
    <row r="2339" ht="21.0" customHeight="1">
      <c r="A2339" s="6">
        <v>1.0</v>
      </c>
      <c r="B2339" s="6">
        <v>180.0</v>
      </c>
      <c r="C2339" s="6">
        <v>1.0</v>
      </c>
      <c r="D2339" s="23" t="s">
        <v>3470</v>
      </c>
      <c r="E2339" s="9" t="s">
        <v>3471</v>
      </c>
      <c r="F2339" s="8" t="str">
        <f>IFERROR(__xludf.DUMMYFUNCTION("GOOGLETRANSLATE(D2339,""zh-CN"",""vi"")"),"Hoa Nhỏ Màu Đỏ")</f>
        <v>Hoa Nhỏ Màu Đỏ</v>
      </c>
      <c r="G2339" s="8" t="str">
        <f>IFERROR(__xludf.DUMMYFUNCTION("GOOGLETRANSLATE(E2339,""zh-CN"",""vi"")"),"Đây là một bông hoa nhỏ màu đỏ dành cho bạn. Hãy kết hợp chúng lại để tạo thành một dải ruy băng gấp.")</f>
        <v>Đây là một bông hoa nhỏ màu đỏ dành cho bạn. Hãy kết hợp chúng lại để tạo thành một dải ruy băng gấp.</v>
      </c>
      <c r="H2339" s="8"/>
      <c r="I2339" s="8"/>
      <c r="J2339" s="8"/>
    </row>
    <row r="2340" ht="21.0" customHeight="1">
      <c r="A2340" s="6">
        <v>1.0</v>
      </c>
      <c r="B2340" s="6">
        <v>180.0</v>
      </c>
      <c r="C2340" s="6">
        <v>2.0</v>
      </c>
      <c r="D2340" s="23" t="s">
        <v>3472</v>
      </c>
      <c r="E2340" s="9" t="s">
        <v>3473</v>
      </c>
      <c r="F2340" s="8" t="str">
        <f>IFERROR(__xludf.DUMMYFUNCTION("GOOGLETRANSLATE(D2340,""zh-CN"",""vi"")"),"Dây ruy băng gấp")</f>
        <v>Dây ruy băng gấp</v>
      </c>
      <c r="G2340" s="8" t="str">
        <f>IFERROR(__xludf.DUMMYFUNCTION("GOOGLETRANSLATE(E2340,""zh-CN"",""vi"")"),"Giải thưởng sẽ được trao cho những người tham gia biểu diễn. Một huy hiệu rỗng sẽ được tạo ra bằng cách kết hợp các kết quả.")</f>
        <v>Giải thưởng sẽ được trao cho những người tham gia biểu diễn. Một huy hiệu rỗng sẽ được tạo ra bằng cách kết hợp các kết quả.</v>
      </c>
      <c r="H2340" s="8"/>
      <c r="I2340" s="8"/>
      <c r="J2340" s="8"/>
    </row>
    <row r="2341" ht="21.0" customHeight="1">
      <c r="A2341" s="6">
        <v>1.0</v>
      </c>
      <c r="B2341" s="6">
        <v>180.0</v>
      </c>
      <c r="C2341" s="6">
        <v>3.0</v>
      </c>
      <c r="D2341" s="23" t="s">
        <v>3474</v>
      </c>
      <c r="E2341" s="9" t="s">
        <v>3475</v>
      </c>
      <c r="F2341" s="8" t="str">
        <f>IFERROR(__xludf.DUMMYFUNCTION("GOOGLETRANSLATE(D2341,""zh-CN"",""vi"")"),"Huy hiệu khoét rỗng")</f>
        <v>Huy hiệu khoét rỗng</v>
      </c>
      <c r="G2341" s="8" t="str">
        <f>IFERROR(__xludf.DUMMYFUNCTION("GOOGLETRANSLATE(E2341,""zh-CN"",""vi"")"),"Huy chương có thiết kế đơn giản nhưng thể hiện lòng kính trọng. Hãy chế tác nó để có được một huy hiệu tròn.")</f>
        <v>Huy chương có thiết kế đơn giản nhưng thể hiện lòng kính trọng. Hãy chế tác nó để có được một huy hiệu tròn.</v>
      </c>
      <c r="H2341" s="8"/>
      <c r="I2341" s="8"/>
      <c r="J2341" s="8"/>
    </row>
    <row r="2342" ht="21.0" customHeight="1">
      <c r="A2342" s="6">
        <v>1.0</v>
      </c>
      <c r="B2342" s="6">
        <v>180.0</v>
      </c>
      <c r="C2342" s="6">
        <v>4.0</v>
      </c>
      <c r="D2342" s="23" t="s">
        <v>3476</v>
      </c>
      <c r="E2342" s="9" t="s">
        <v>3477</v>
      </c>
      <c r="F2342" s="8" t="str">
        <f>IFERROR(__xludf.DUMMYFUNCTION("GOOGLETRANSLATE(D2342,""zh-CN"",""vi"")"),"huy hiệu tròn")</f>
        <v>huy hiệu tròn</v>
      </c>
      <c r="G2342" s="8" t="str">
        <f>IFERROR(__xludf.DUMMYFUNCTION("GOOGLETRANSLATE(E2342,""zh-CN"",""vi"")"),"Hãy đeo nó lên cổ áo, trông rất ngầu đấy. Kết hợp chúng lại để có được Huy hiệu Người ngoài hành tinh.")</f>
        <v>Hãy đeo nó lên cổ áo, trông rất ngầu đấy. Kết hợp chúng lại để có được Huy hiệu Người ngoài hành tinh.</v>
      </c>
      <c r="H2342" s="8"/>
      <c r="I2342" s="8"/>
      <c r="J2342" s="8"/>
    </row>
    <row r="2343" ht="21.0" customHeight="1">
      <c r="A2343" s="6">
        <v>1.0</v>
      </c>
      <c r="B2343" s="6">
        <v>180.0</v>
      </c>
      <c r="C2343" s="6">
        <v>5.0</v>
      </c>
      <c r="D2343" s="23" t="s">
        <v>3478</v>
      </c>
      <c r="E2343" s="9" t="s">
        <v>3479</v>
      </c>
      <c r="F2343" s="8" t="str">
        <f>IFERROR(__xludf.DUMMYFUNCTION("GOOGLETRANSLATE(D2343,""zh-CN"",""vi"")"),"Huy hiệu người ngoài hành tinh")</f>
        <v>Huy hiệu người ngoài hành tinh</v>
      </c>
      <c r="G2343" s="8" t="str">
        <f>IFERROR(__xludf.DUMMYFUNCTION("GOOGLETRANSLATE(E2343,""zh-CN"",""vi"")"),"Một giải thưởng quý giá, mãi mãi xứng đáng được ghi nhớ. Hãy tổng hợp để nhận được huy hiệu ruy băng.")</f>
        <v>Một giải thưởng quý giá, mãi mãi xứng đáng được ghi nhớ. Hãy tổng hợp để nhận được huy hiệu ruy băng.</v>
      </c>
      <c r="H2343" s="8"/>
      <c r="I2343" s="8"/>
      <c r="J2343" s="8"/>
    </row>
    <row r="2344" ht="21.0" customHeight="1">
      <c r="A2344" s="6">
        <v>1.0</v>
      </c>
      <c r="B2344" s="6">
        <v>180.0</v>
      </c>
      <c r="C2344" s="6">
        <v>6.0</v>
      </c>
      <c r="D2344" s="23" t="s">
        <v>3480</v>
      </c>
      <c r="E2344" s="9" t="s">
        <v>3481</v>
      </c>
      <c r="F2344" s="8" t="str">
        <f>IFERROR(__xludf.DUMMYFUNCTION("GOOGLETRANSLATE(D2344,""zh-CN"",""vi"")"),"Huy hiệu ruy băng")</f>
        <v>Huy hiệu ruy băng</v>
      </c>
      <c r="G2344" s="8" t="str">
        <f>IFERROR(__xludf.DUMMYFUNCTION("GOOGLETRANSLATE(E2344,""zh-CN"",""vi"")"),"Nó vừa là huy hiệu, vừa là huân chương. Kết hợp chúng lại để tạo thành một chiếc cúp hình thanh.")</f>
        <v>Nó vừa là huy hiệu, vừa là huân chương. Kết hợp chúng lại để tạo thành một chiếc cúp hình thanh.</v>
      </c>
      <c r="H2344" s="8"/>
      <c r="I2344" s="8"/>
      <c r="J2344" s="8"/>
    </row>
    <row r="2345" ht="21.0" customHeight="1">
      <c r="A2345" s="6">
        <v>1.0</v>
      </c>
      <c r="B2345" s="6">
        <v>180.0</v>
      </c>
      <c r="C2345" s="6">
        <v>7.0</v>
      </c>
      <c r="D2345" s="23" t="s">
        <v>3482</v>
      </c>
      <c r="E2345" s="72" t="s">
        <v>3483</v>
      </c>
      <c r="F2345" s="8" t="str">
        <f>IFERROR(__xludf.DUMMYFUNCTION("GOOGLETRANSLATE(D2345,""zh-CN"",""vi"")"),"Cúp quán bar")</f>
        <v>Cúp quán bar</v>
      </c>
      <c r="G2345" s="8" t="str">
        <f>IFERROR(__xludf.DUMMYFUNCTION("GOOGLETRANSLATE(E2345,""zh-CN"",""vi"")"),"Những nhạc sĩ xuất sắc có thể nhận được giải thưởng vì sự xuất sắc. Hãy kết hợp các yếu tố để giành được chiếc cúp ngôi sao.")</f>
        <v>Những nhạc sĩ xuất sắc có thể nhận được giải thưởng vì sự xuất sắc. Hãy kết hợp các yếu tố để giành được chiếc cúp ngôi sao.</v>
      </c>
      <c r="H2345" s="8"/>
      <c r="I2345" s="8"/>
      <c r="J2345" s="8"/>
    </row>
    <row r="2346" ht="21.0" customHeight="1">
      <c r="A2346" s="6">
        <v>1.0</v>
      </c>
      <c r="B2346" s="6">
        <v>180.0</v>
      </c>
      <c r="C2346" s="6">
        <v>8.0</v>
      </c>
      <c r="D2346" s="23" t="s">
        <v>3484</v>
      </c>
      <c r="E2346" s="9" t="s">
        <v>3485</v>
      </c>
      <c r="F2346" s="8" t="str">
        <f>IFERROR(__xludf.DUMMYFUNCTION("GOOGLETRANSLATE(D2346,""zh-CN"",""vi"")"),"Cúp Ngôi Sao")</f>
        <v>Cúp Ngôi Sao</v>
      </c>
      <c r="G2346" s="8" t="str">
        <f>IFERROR(__xludf.DUMMYFUNCTION("GOOGLETRANSLATE(E2346,""zh-CN"",""vi"")"),"Hãy tiếp tục tiến về phía trước và trở thành một ngôi sao đang lên. Hãy chế tạo chiếc cúp pha lê.")</f>
        <v>Hãy tiếp tục tiến về phía trước và trở thành một ngôi sao đang lên. Hãy chế tạo chiếc cúp pha lê.</v>
      </c>
      <c r="H2346" s="8"/>
      <c r="I2346" s="8"/>
      <c r="J2346" s="8"/>
    </row>
    <row r="2347" ht="21.0" customHeight="1">
      <c r="A2347" s="6">
        <v>1.0</v>
      </c>
      <c r="B2347" s="6">
        <v>180.0</v>
      </c>
      <c r="C2347" s="6">
        <v>9.0</v>
      </c>
      <c r="D2347" s="23" t="s">
        <v>3486</v>
      </c>
      <c r="E2347" s="9" t="s">
        <v>3487</v>
      </c>
      <c r="F2347" s="8" t="str">
        <f>IFERROR(__xludf.DUMMYFUNCTION("GOOGLETRANSLATE(D2347,""zh-CN"",""vi"")"),"Cúp Pha lê")</f>
        <v>Cúp Pha lê</v>
      </c>
      <c r="G2347" s="8" t="str">
        <f>IFERROR(__xludf.DUMMYFUNCTION("GOOGLETRANSLATE(E2347,""zh-CN"",""vi"")"),"Thủy tinh rất dễ vỡ, hãy cẩn thận khi cầm nắm. Hãy chế tác để giành được chiếc cúp đồng.")</f>
        <v>Thủy tinh rất dễ vỡ, hãy cẩn thận khi cầm nắm. Hãy chế tác để giành được chiếc cúp đồng.</v>
      </c>
      <c r="H2347" s="8"/>
      <c r="I2347" s="8"/>
      <c r="J2347" s="8"/>
    </row>
    <row r="2348" ht="21.0" customHeight="1">
      <c r="A2348" s="6">
        <v>1.0</v>
      </c>
      <c r="B2348" s="6">
        <v>180.0</v>
      </c>
      <c r="C2348" s="6">
        <v>10.0</v>
      </c>
      <c r="D2348" s="23" t="s">
        <v>3488</v>
      </c>
      <c r="E2348" s="9" t="s">
        <v>3489</v>
      </c>
      <c r="F2348" s="8" t="str">
        <f>IFERROR(__xludf.DUMMYFUNCTION("GOOGLETRANSLATE(D2348,""zh-CN"",""vi"")"),"Cúp Đồng")</f>
        <v>Cúp Đồng</v>
      </c>
      <c r="G2348" s="8" t="str">
        <f>IFERROR(__xludf.DUMMYFUNCTION("GOOGLETRANSLATE(E2348,""zh-CN"",""vi"")"),"Việc giành được một vị trí đã là tuyệt vời rồi. Hãy kết hợp chúng để giành được chiếc cúp bạc.")</f>
        <v>Việc giành được một vị trí đã là tuyệt vời rồi. Hãy kết hợp chúng để giành được chiếc cúp bạc.</v>
      </c>
      <c r="H2348" s="8"/>
      <c r="I2348" s="8"/>
      <c r="J2348" s="8"/>
    </row>
    <row r="2349" ht="21.0" customHeight="1">
      <c r="A2349" s="6">
        <v>1.0</v>
      </c>
      <c r="B2349" s="6">
        <v>180.0</v>
      </c>
      <c r="C2349" s="6">
        <v>11.0</v>
      </c>
      <c r="D2349" s="23" t="s">
        <v>3490</v>
      </c>
      <c r="E2349" s="9" t="s">
        <v>3491</v>
      </c>
      <c r="F2349" s="8" t="str">
        <f>IFERROR(__xludf.DUMMYFUNCTION("GOOGLETRANSLATE(D2349,""zh-CN"",""vi"")"),"Cúp Bạc")</f>
        <v>Cúp Bạc</v>
      </c>
      <c r="G2349" s="8" t="str">
        <f>IFERROR(__xludf.DUMMYFUNCTION("GOOGLETRANSLATE(E2349,""zh-CN"",""vi"")"),"Hãy cố gắng hết sức, và chắc chắn lần sau bạn sẽ giành được giải nhất. Kết hợp các vật phẩm để giành cúp vàng.")</f>
        <v>Hãy cố gắng hết sức, và chắc chắn lần sau bạn sẽ giành được giải nhất. Kết hợp các vật phẩm để giành cúp vàng.</v>
      </c>
      <c r="H2349" s="8"/>
      <c r="I2349" s="8"/>
      <c r="J2349" s="8"/>
    </row>
    <row r="2350" ht="21.0" customHeight="1">
      <c r="A2350" s="6">
        <v>1.0</v>
      </c>
      <c r="B2350" s="6">
        <v>180.0</v>
      </c>
      <c r="C2350" s="6">
        <v>12.0</v>
      </c>
      <c r="D2350" s="23" t="s">
        <v>3492</v>
      </c>
      <c r="E2350" s="9" t="s">
        <v>3493</v>
      </c>
      <c r="F2350" s="8" t="str">
        <f>IFERROR(__xludf.DUMMYFUNCTION("GOOGLETRANSLATE(D2350,""zh-CN"",""vi"")"),"Cúp Vàng")</f>
        <v>Cúp Vàng</v>
      </c>
      <c r="G2350" s="8" t="str">
        <f>IFERROR(__xludf.DUMMYFUNCTION("GOOGLETRANSLATE(E2350,""zh-CN"",""vi"")"),"Một giải thưởng danh giá tượng trưng cho vinh dự và thành tựu. Synthetic đã nhận được cúp Giải thưởng Giọng ca Vàng.")</f>
        <v>Một giải thưởng danh giá tượng trưng cho vinh dự và thành tựu. Synthetic đã nhận được cúp Giải thưởng Giọng ca Vàng.</v>
      </c>
      <c r="H2350" s="8"/>
      <c r="I2350" s="8"/>
      <c r="J2350" s="8"/>
    </row>
    <row r="2351" ht="21.0" customHeight="1">
      <c r="A2351" s="6">
        <v>1.0</v>
      </c>
      <c r="B2351" s="6">
        <v>180.0</v>
      </c>
      <c r="C2351" s="6">
        <v>13.0</v>
      </c>
      <c r="D2351" s="23" t="s">
        <v>3494</v>
      </c>
      <c r="E2351" s="9" t="s">
        <v>3495</v>
      </c>
      <c r="F2351" s="8" t="str">
        <f>IFERROR(__xludf.DUMMYFUNCTION("GOOGLETRANSLATE(D2351,""zh-CN"",""vi"")"),"Cúp Giọng hát Vàng")</f>
        <v>Cúp Giọng hát Vàng</v>
      </c>
      <c r="G2351" s="8" t="str">
        <f>IFERROR(__xludf.DUMMYFUNCTION("GOOGLETRANSLATE(E2351,""zh-CN"",""vi"")"),"Chiếc cúp dễ thương nhất sẽ được trao cho chú thỏ nhỏ hát hay nhất. (Đã được nâng cấp lên cấp độ cao nhất.)")</f>
        <v>Chiếc cúp dễ thương nhất sẽ được trao cho chú thỏ nhỏ hát hay nhất. (Đã được nâng cấp lên cấp độ cao nhất.)</v>
      </c>
      <c r="H2351" s="8"/>
      <c r="I2351" s="8"/>
      <c r="J2351" s="8"/>
    </row>
    <row r="2352" ht="21.0" customHeight="1">
      <c r="A2352" s="6">
        <v>11.0</v>
      </c>
      <c r="B2352" s="6">
        <v>1040.0</v>
      </c>
      <c r="C2352" s="6">
        <v>1.0</v>
      </c>
      <c r="D2352" s="23" t="s">
        <v>3496</v>
      </c>
      <c r="E2352" s="9" t="s">
        <v>3497</v>
      </c>
      <c r="F2352" s="8" t="str">
        <f>IFERROR(__xludf.DUMMYFUNCTION("GOOGLETRANSLATE(D2352,""zh-CN"",""vi"")"),"thân cây")</f>
        <v>thân cây</v>
      </c>
      <c r="G2352" s="8" t="str">
        <f>IFERROR(__xludf.DUMMYFUNCTION("GOOGLETRANSLATE(E2352,""zh-CN"",""vi"")"),"Cây gỗ trơ trụi này đã bị đốn hạ từ lâu. Hãy chế tác nó để có được một gốc cây.")</f>
        <v>Cây gỗ trơ trụi này đã bị đốn hạ từ lâu. Hãy chế tác nó để có được một gốc cây.</v>
      </c>
      <c r="H2352" s="8"/>
      <c r="I2352" s="8"/>
      <c r="J2352" s="8"/>
    </row>
    <row r="2353" ht="21.0" customHeight="1">
      <c r="A2353" s="6">
        <v>11.0</v>
      </c>
      <c r="B2353" s="6">
        <v>1040.0</v>
      </c>
      <c r="C2353" s="6">
        <v>2.0</v>
      </c>
      <c r="D2353" s="23" t="s">
        <v>3498</v>
      </c>
      <c r="E2353" s="9" t="s">
        <v>3499</v>
      </c>
      <c r="F2353" s="8" t="str">
        <f>IFERROR(__xludf.DUMMYFUNCTION("GOOGLETRANSLATE(D2353,""zh-CN"",""vi"")"),"gốc cây")</f>
        <v>gốc cây</v>
      </c>
      <c r="G2353" s="8" t="str">
        <f>IFERROR(__xludf.DUMMYFUNCTION("GOOGLETRANSLATE(E2353,""zh-CN"",""vi"")"),"Mỗi vòng sinh trưởng tượng trưng cho một năm kỷ niệm. Hãy kết hợp chúng để tạo thành một bức tranh khắc gỗ.")</f>
        <v>Mỗi vòng sinh trưởng tượng trưng cho một năm kỷ niệm. Hãy kết hợp chúng để tạo thành một bức tranh khắc gỗ.</v>
      </c>
      <c r="H2353" s="8"/>
      <c r="I2353" s="8"/>
      <c r="J2353" s="8"/>
    </row>
    <row r="2354" ht="21.0" customHeight="1">
      <c r="A2354" s="6">
        <v>11.0</v>
      </c>
      <c r="B2354" s="6">
        <v>1040.0</v>
      </c>
      <c r="C2354" s="6">
        <v>3.0</v>
      </c>
      <c r="D2354" s="23" t="s">
        <v>3500</v>
      </c>
      <c r="E2354" s="9" t="s">
        <v>3501</v>
      </c>
      <c r="F2354" s="8" t="str">
        <f>IFERROR(__xludf.DUMMYFUNCTION("GOOGLETRANSLATE(D2354,""zh-CN"",""vi"")"),"Khắc gỗ")</f>
        <v>Khắc gỗ</v>
      </c>
      <c r="G2354" s="8" t="str">
        <f>IFERROR(__xludf.DUMMYFUNCTION("GOOGLETRANSLATE(E2354,""zh-CN"",""vi"")"),"Biến các sản phẩm tự nhiên thành tác phẩm nghệ thuật nhân tạo. Tổng hợp để tạo ra một chiếc bàn làm việc đơn giản.")</f>
        <v>Biến các sản phẩm tự nhiên thành tác phẩm nghệ thuật nhân tạo. Tổng hợp để tạo ra một chiếc bàn làm việc đơn giản.</v>
      </c>
      <c r="H2354" s="8"/>
      <c r="I2354" s="8"/>
      <c r="J2354" s="8"/>
    </row>
    <row r="2355" ht="21.0" customHeight="1">
      <c r="A2355" s="6">
        <v>11.0</v>
      </c>
      <c r="B2355" s="6">
        <v>1040.0</v>
      </c>
      <c r="C2355" s="6">
        <v>4.0</v>
      </c>
      <c r="D2355" s="23" t="s">
        <v>3502</v>
      </c>
      <c r="E2355" s="9" t="s">
        <v>3503</v>
      </c>
      <c r="F2355" s="8" t="str">
        <f>IFERROR(__xludf.DUMMYFUNCTION("GOOGLETRANSLATE(D2355,""zh-CN"",""vi"")"),"Bàn làm việc đơn giản")</f>
        <v>Bàn làm việc đơn giản</v>
      </c>
      <c r="G2355" s="8" t="str">
        <f>IFERROR(__xludf.DUMMYFUNCTION("GOOGLETRANSLATE(E2355,""zh-CN"",""vi"")"),"Hãy dựng một cái bàn, và bạn có thể bắt đầu chế tạo. Sau đó, chế tạo để có được một bàn làm việc của thợ thủ công.")</f>
        <v>Hãy dựng một cái bàn, và bạn có thể bắt đầu chế tạo. Sau đó, chế tạo để có được một bàn làm việc của thợ thủ công.</v>
      </c>
      <c r="H2355" s="8"/>
      <c r="I2355" s="8"/>
      <c r="J2355" s="8"/>
    </row>
    <row r="2356" ht="21.0" customHeight="1">
      <c r="A2356" s="6">
        <v>10.0</v>
      </c>
      <c r="B2356" s="6">
        <v>1040.0</v>
      </c>
      <c r="C2356" s="6">
        <v>5.0</v>
      </c>
      <c r="D2356" s="23" t="s">
        <v>3504</v>
      </c>
      <c r="E2356" s="9" t="s">
        <v>3505</v>
      </c>
      <c r="F2356" s="8" t="str">
        <f>IFERROR(__xludf.DUMMYFUNCTION("GOOGLETRANSLATE(D2356,""zh-CN"",""vi"")"),"Bàn làm việc của người thợ thủ công")</f>
        <v>Bàn làm việc của người thợ thủ công</v>
      </c>
      <c r="G2356" s="8" t="str">
        <f>IFERROR(__xludf.DUMMYFUNCTION("GOOGLETRANSLATE(E2356,""zh-CN"",""vi"")"),"Với tủ đựng đồ, sẽ có nhiều không gian lưu trữ hơn. (Điều này thường dẫn đến việc bàn làm việc trở nên lộn xộn.)")</f>
        <v>Với tủ đựng đồ, sẽ có nhiều không gian lưu trữ hơn. (Điều này thường dẫn đến việc bàn làm việc trở nên lộn xộn.)</v>
      </c>
      <c r="H2356" s="8"/>
      <c r="I2356" s="8"/>
      <c r="J2356" s="8"/>
    </row>
    <row r="2357" ht="21.0" customHeight="1">
      <c r="A2357" s="6">
        <v>10.0</v>
      </c>
      <c r="B2357" s="6">
        <v>1040.0</v>
      </c>
      <c r="C2357" s="6">
        <v>6.0</v>
      </c>
      <c r="D2357" s="23" t="s">
        <v>3506</v>
      </c>
      <c r="E2357" s="9" t="s">
        <v>3507</v>
      </c>
      <c r="F2357" s="8" t="str">
        <f>IFERROR(__xludf.DUMMYFUNCTION("GOOGLETRANSLATE(D2357,""zh-CN"",""vi"")"),"Bàn làm việc bừa bộn")</f>
        <v>Bàn làm việc bừa bộn</v>
      </c>
      <c r="G2357" s="8" t="str">
        <f>IFERROR(__xludf.DUMMYFUNCTION("GOOGLETRANSLATE(E2357,""zh-CN"",""vi"")"),"Nơi này chất đầy các dụng cụ khác nhau và cần được sắp xếp lại gấp. Hãy ghép chúng lại với nhau để tạo thành một ngôi nhà nhỏ hình tròn.")</f>
        <v>Nơi này chất đầy các dụng cụ khác nhau và cần được sắp xếp lại gấp. Hãy ghép chúng lại với nhau để tạo thành một ngôi nhà nhỏ hình tròn.</v>
      </c>
      <c r="H2357" s="8"/>
      <c r="I2357" s="8"/>
      <c r="J2357" s="8"/>
    </row>
    <row r="2358" ht="21.0" customHeight="1">
      <c r="A2358" s="6">
        <v>10.0</v>
      </c>
      <c r="B2358" s="6">
        <v>1040.0</v>
      </c>
      <c r="C2358" s="6">
        <v>7.0</v>
      </c>
      <c r="D2358" s="23" t="s">
        <v>3508</v>
      </c>
      <c r="E2358" s="9" t="s">
        <v>3509</v>
      </c>
      <c r="F2358" s="8" t="str">
        <f>IFERROR(__xludf.DUMMYFUNCTION("GOOGLETRANSLATE(D2358,""zh-CN"",""vi"")"),"Nhà tròn")</f>
        <v>Nhà tròn</v>
      </c>
      <c r="G2358" s="8" t="str">
        <f>IFERROR(__xludf.DUMMYFUNCTION("GOOGLETRANSLATE(E2358,""zh-CN"",""vi"")"),"Ngôi nhà hình quả sồi trông thật hấp dẫn từ xa. Hãy chế tạo nó để có được căn nhà nhỏ đơn giản.")</f>
        <v>Ngôi nhà hình quả sồi trông thật hấp dẫn từ xa. Hãy chế tạo nó để có được căn nhà nhỏ đơn giản.</v>
      </c>
      <c r="H2358" s="8"/>
      <c r="I2358" s="8"/>
      <c r="J2358" s="8"/>
    </row>
    <row r="2359" ht="21.0" customHeight="1">
      <c r="A2359" s="6">
        <v>10.0</v>
      </c>
      <c r="B2359" s="6">
        <v>1040.0</v>
      </c>
      <c r="C2359" s="6">
        <v>8.0</v>
      </c>
      <c r="D2359" s="23" t="s">
        <v>3510</v>
      </c>
      <c r="E2359" s="9" t="s">
        <v>3511</v>
      </c>
      <c r="F2359" s="8" t="str">
        <f>IFERROR(__xludf.DUMMYFUNCTION("GOOGLETRANSLATE(D2359,""zh-CN"",""vi"")"),"Ngôi nhà nhỏ đơn giản")</f>
        <v>Ngôi nhà nhỏ đơn giản</v>
      </c>
      <c r="G2359" s="8" t="str">
        <f>IFERROR(__xludf.DUMMYFUNCTION("GOOGLETRANSLATE(E2359,""zh-CN"",""vi"")"),"Mái nhà của ngôi nhà nhỏ vẫn chưa được lợp. Hãy cùng nhau xây dựng một ngôi nhà nhỏ xinh đẹp.")</f>
        <v>Mái nhà của ngôi nhà nhỏ vẫn chưa được lợp. Hãy cùng nhau xây dựng một ngôi nhà nhỏ xinh đẹp.</v>
      </c>
      <c r="H2359" s="8"/>
      <c r="I2359" s="8"/>
      <c r="J2359" s="8"/>
    </row>
    <row r="2360" ht="21.0" customHeight="1">
      <c r="A2360" s="6">
        <v>10.0</v>
      </c>
      <c r="B2360" s="6">
        <v>1040.0</v>
      </c>
      <c r="C2360" s="6">
        <v>9.0</v>
      </c>
      <c r="D2360" s="23" t="s">
        <v>3512</v>
      </c>
      <c r="E2360" s="9" t="s">
        <v>3513</v>
      </c>
      <c r="F2360" s="8" t="str">
        <f>IFERROR(__xludf.DUMMYFUNCTION("GOOGLETRANSLATE(D2360,""zh-CN"",""vi"")"),"Ngôi nhà nhỏ xinh đẹp")</f>
        <v>Ngôi nhà nhỏ xinh đẹp</v>
      </c>
      <c r="G2360" s="8" t="str">
        <f>IFERROR(__xludf.DUMMYFUNCTION("GOOGLETRANSLATE(E2360,""zh-CN"",""vi"")"),"Thêm mái nhà sẽ làm tăng gấp đôi vẻ sang trọng! Kết hợp chúng để tạo nên một ngôi nhà nhỏ ấm cúng.")</f>
        <v>Thêm mái nhà sẽ làm tăng gấp đôi vẻ sang trọng! Kết hợp chúng để tạo nên một ngôi nhà nhỏ ấm cúng.</v>
      </c>
      <c r="H2360" s="8"/>
      <c r="I2360" s="8"/>
      <c r="J2360" s="8"/>
    </row>
    <row r="2361" ht="21.0" customHeight="1">
      <c r="A2361" s="6">
        <v>10.0</v>
      </c>
      <c r="B2361" s="6">
        <v>1040.0</v>
      </c>
      <c r="C2361" s="6">
        <v>10.0</v>
      </c>
      <c r="D2361" s="23" t="s">
        <v>3514</v>
      </c>
      <c r="E2361" s="9" t="s">
        <v>3515</v>
      </c>
      <c r="F2361" s="8" t="str">
        <f>IFERROR(__xludf.DUMMYFUNCTION("GOOGLETRANSLATE(D2361,""zh-CN"",""vi"")"),"Ngôi nhà nhỏ ấm cúng")</f>
        <v>Ngôi nhà nhỏ ấm cúng</v>
      </c>
      <c r="G2361" s="8" t="str">
        <f>IFERROR(__xludf.DUMMYFUNCTION("GOOGLETRANSLATE(E2361,""zh-CN"",""vi"")"),"Một góc rừng, tràn đầy sức sống. (Đã được tổng hợp đến mức cao nhất.)")</f>
        <v>Một góc rừng, tràn đầy sức sống. (Đã được tổng hợp đến mức cao nhất.)</v>
      </c>
      <c r="H2361" s="8"/>
      <c r="I2361" s="8"/>
      <c r="J2361" s="8"/>
    </row>
    <row r="2362" ht="21.0" customHeight="1">
      <c r="A2362" s="6">
        <v>11.0</v>
      </c>
      <c r="B2362" s="6">
        <v>1041.0</v>
      </c>
      <c r="C2362" s="6">
        <v>1.0</v>
      </c>
      <c r="D2362" s="23" t="s">
        <v>3516</v>
      </c>
      <c r="E2362" s="9" t="s">
        <v>3517</v>
      </c>
      <c r="F2362" s="8" t="str">
        <f>IFERROR(__xludf.DUMMYFUNCTION("GOOGLETRANSLATE(D2362,""zh-CN"",""vi"")"),"Thân cây [V]")</f>
        <v>Thân cây [V]</v>
      </c>
      <c r="G2362" s="8" t="str">
        <f>IFERROR(__xludf.DUMMYFUNCTION("GOOGLETRANSLATE(E2362,""zh-CN"",""vi"")"),"Cây gỗ trơ trụi đã bị đốn hạ từ lâu. Hãy chế tác nó để có được một gốc cây [V].")</f>
        <v>Cây gỗ trơ trụi đã bị đốn hạ từ lâu. Hãy chế tác nó để có được một gốc cây [V].</v>
      </c>
      <c r="H2362" s="8"/>
      <c r="I2362" s="8"/>
      <c r="J2362" s="8"/>
    </row>
    <row r="2363" ht="21.0" customHeight="1">
      <c r="A2363" s="6">
        <v>11.0</v>
      </c>
      <c r="B2363" s="6">
        <v>1041.0</v>
      </c>
      <c r="C2363" s="6">
        <v>2.0</v>
      </c>
      <c r="D2363" s="23" t="s">
        <v>3518</v>
      </c>
      <c r="E2363" s="9" t="s">
        <v>3519</v>
      </c>
      <c r="F2363" s="8" t="str">
        <f>IFERROR(__xludf.DUMMYFUNCTION("GOOGLETRANSLATE(D2363,""zh-CN"",""vi"")"),"Gốc cây [V]")</f>
        <v>Gốc cây [V]</v>
      </c>
      <c r="G2363" s="8" t="str">
        <f>IFERROR(__xludf.DUMMYFUNCTION("GOOGLETRANSLATE(E2363,""zh-CN"",""vi"")"),"Mỗi vòng sinh trưởng tượng trưng cho một năm kỷ niệm. Tổng hợp để có được bản khắc gỗ [V].")</f>
        <v>Mỗi vòng sinh trưởng tượng trưng cho một năm kỷ niệm. Tổng hợp để có được bản khắc gỗ [V].</v>
      </c>
      <c r="H2363" s="8"/>
      <c r="I2363" s="8"/>
      <c r="J2363" s="8"/>
    </row>
    <row r="2364" ht="21.0" customHeight="1">
      <c r="A2364" s="6">
        <v>11.0</v>
      </c>
      <c r="B2364" s="6">
        <v>1041.0</v>
      </c>
      <c r="C2364" s="6">
        <v>3.0</v>
      </c>
      <c r="D2364" s="23" t="s">
        <v>3520</v>
      </c>
      <c r="E2364" s="9" t="s">
        <v>3521</v>
      </c>
      <c r="F2364" s="8" t="str">
        <f>IFERROR(__xludf.DUMMYFUNCTION("GOOGLETRANSLATE(D2364,""zh-CN"",""vi"")"),"Bản khắc gỗ [V]")</f>
        <v>Bản khắc gỗ [V]</v>
      </c>
      <c r="G2364" s="8" t="str">
        <f>IFERROR(__xludf.DUMMYFUNCTION("GOOGLETRANSLATE(E2364,""zh-CN"",""vi"")"),"Biến các sản phẩm tự nhiên thành tác phẩm nghệ thuật nhân tạo. Tổng hợp để có được một bàn làm việc đơn giản [V].")</f>
        <v>Biến các sản phẩm tự nhiên thành tác phẩm nghệ thuật nhân tạo. Tổng hợp để có được một bàn làm việc đơn giản [V].</v>
      </c>
      <c r="H2364" s="8"/>
      <c r="I2364" s="8"/>
      <c r="J2364" s="8"/>
    </row>
    <row r="2365" ht="21.0" customHeight="1">
      <c r="A2365" s="6">
        <v>11.0</v>
      </c>
      <c r="B2365" s="6">
        <v>1041.0</v>
      </c>
      <c r="C2365" s="6">
        <v>4.0</v>
      </c>
      <c r="D2365" s="23" t="s">
        <v>3522</v>
      </c>
      <c r="E2365" s="9" t="s">
        <v>3523</v>
      </c>
      <c r="F2365" s="8" t="str">
        <f>IFERROR(__xludf.DUMMYFUNCTION("GOOGLETRANSLATE(D2365,""zh-CN"",""vi"")"),"Bàn làm việc đơn giản [V]")</f>
        <v>Bàn làm việc đơn giản [V]</v>
      </c>
      <c r="G2365" s="8" t="str">
        <f>IFERROR(__xludf.DUMMYFUNCTION("GOOGLETRANSLATE(E2365,""zh-CN"",""vi"")"),"Thiết lập một cái bàn và bạn có thể tạo ra. Chế tạo Bàn làm việc của Thợ thủ công [V].")</f>
        <v>Thiết lập một cái bàn và bạn có thể tạo ra. Chế tạo Bàn làm việc của Thợ thủ công [V].</v>
      </c>
      <c r="H2365" s="8"/>
      <c r="I2365" s="8"/>
      <c r="J2365" s="8"/>
    </row>
    <row r="2366" ht="21.0" customHeight="1">
      <c r="A2366" s="6">
        <v>10.0</v>
      </c>
      <c r="B2366" s="6">
        <v>1041.0</v>
      </c>
      <c r="C2366" s="6">
        <v>5.0</v>
      </c>
      <c r="D2366" s="23" t="s">
        <v>3524</v>
      </c>
      <c r="E2366" s="9" t="s">
        <v>3525</v>
      </c>
      <c r="F2366" s="8" t="str">
        <f>IFERROR(__xludf.DUMMYFUNCTION("GOOGLETRANSLATE(D2366,""zh-CN"",""vi"")"),"Bàn làm việc của thợ thủ công [V]")</f>
        <v>Bàn làm việc của thợ thủ công [V]</v>
      </c>
      <c r="G2366" s="8" t="str">
        <f>IFERROR(__xludf.DUMMYFUNCTION("GOOGLETRANSLATE(E2366,""zh-CN"",""vi"")"),"Với tủ, sẽ có thêm không gian lưu trữ. Hãy tạo một bàn làm việc lộn xộn [V].")</f>
        <v>Với tủ, sẽ có thêm không gian lưu trữ. Hãy tạo một bàn làm việc lộn xộn [V].</v>
      </c>
      <c r="H2366" s="8"/>
      <c r="I2366" s="8"/>
      <c r="J2366" s="8"/>
    </row>
    <row r="2367" ht="21.0" customHeight="1">
      <c r="A2367" s="6">
        <v>10.0</v>
      </c>
      <c r="B2367" s="6">
        <v>1041.0</v>
      </c>
      <c r="C2367" s="6">
        <v>6.0</v>
      </c>
      <c r="D2367" s="23" t="s">
        <v>3526</v>
      </c>
      <c r="E2367" s="9" t="s">
        <v>3527</v>
      </c>
      <c r="F2367" s="8" t="str">
        <f>IFERROR(__xludf.DUMMYFUNCTION("GOOGLETRANSLATE(D2367,""zh-CN"",""vi"")"),"Bàn làm việc bừa bộn [V]")</f>
        <v>Bàn làm việc bừa bộn [V]</v>
      </c>
      <c r="G2367" s="8" t="str">
        <f>IFERROR(__xludf.DUMMYFUNCTION("GOOGLETRANSLATE(E2367,""zh-CN"",""vi"")"),"Nơi này chất đầy các dụng cụ khác nhau và cần được sắp xếp lại gấp. Hãy làm ngôi nhà nhỏ hình tròn [V].")</f>
        <v>Nơi này chất đầy các dụng cụ khác nhau và cần được sắp xếp lại gấp. Hãy làm ngôi nhà nhỏ hình tròn [V].</v>
      </c>
      <c r="H2367" s="8"/>
      <c r="I2367" s="8"/>
      <c r="J2367" s="8"/>
    </row>
    <row r="2368" ht="21.0" customHeight="1">
      <c r="A2368" s="6">
        <v>10.0</v>
      </c>
      <c r="B2368" s="6">
        <v>1041.0</v>
      </c>
      <c r="C2368" s="6">
        <v>7.0</v>
      </c>
      <c r="D2368" s="23" t="s">
        <v>3528</v>
      </c>
      <c r="E2368" s="9" t="s">
        <v>3529</v>
      </c>
      <c r="F2368" s="8" t="str">
        <f>IFERROR(__xludf.DUMMYFUNCTION("GOOGLETRANSLATE(D2368,""zh-CN"",""vi"")"),"Nhà tròn [V]")</f>
        <v>Nhà tròn [V]</v>
      </c>
      <c r="G2368" s="8" t="str">
        <f>IFERROR(__xludf.DUMMYFUNCTION("GOOGLETRANSLATE(E2368,""zh-CN"",""vi"")"),"Ngôi nhà hình quả sồi trông thật hấp dẫn từ xa. Hãy chế tạo nó để có được Ngôi nhà đơn giản [V].")</f>
        <v>Ngôi nhà hình quả sồi trông thật hấp dẫn từ xa. Hãy chế tạo nó để có được Ngôi nhà đơn giản [V].</v>
      </c>
      <c r="H2368" s="8"/>
      <c r="I2368" s="8"/>
      <c r="J2368" s="8"/>
    </row>
    <row r="2369" ht="21.0" customHeight="1">
      <c r="A2369" s="6">
        <v>10.0</v>
      </c>
      <c r="B2369" s="6">
        <v>1041.0</v>
      </c>
      <c r="C2369" s="6">
        <v>8.0</v>
      </c>
      <c r="D2369" s="23" t="s">
        <v>3530</v>
      </c>
      <c r="E2369" s="9" t="s">
        <v>3531</v>
      </c>
      <c r="F2369" s="8" t="str">
        <f>IFERROR(__xludf.DUMMYFUNCTION("GOOGLETRANSLATE(D2369,""zh-CN"",""vi"")"),"Nhà tranh đơn giản [V]")</f>
        <v>Nhà tranh đơn giản [V]</v>
      </c>
      <c r="G2369" s="8" t="str">
        <f>IFERROR(__xludf.DUMMYFUNCTION("GOOGLETRANSLATE(E2369,""zh-CN"",""vi"")"),"Mái nhà của căn nhà nhỏ vẫn chưa được lợp. Hãy xây một căn nhà nhỏ xinh đẹp [V].")</f>
        <v>Mái nhà của căn nhà nhỏ vẫn chưa được lợp. Hãy xây một căn nhà nhỏ xinh đẹp [V].</v>
      </c>
      <c r="H2369" s="8"/>
      <c r="I2369" s="8"/>
      <c r="J2369" s="8"/>
    </row>
    <row r="2370" ht="21.0" customHeight="1">
      <c r="A2370" s="6">
        <v>10.0</v>
      </c>
      <c r="B2370" s="6">
        <v>1041.0</v>
      </c>
      <c r="C2370" s="6">
        <v>9.0</v>
      </c>
      <c r="D2370" s="23" t="s">
        <v>3532</v>
      </c>
      <c r="E2370" s="9" t="s">
        <v>3533</v>
      </c>
      <c r="F2370" s="8" t="str">
        <f>IFERROR(__xludf.DUMMYFUNCTION("GOOGLETRANSLATE(D2370,""zh-CN"",""vi"")"),"Ngôi nhà nhỏ xinh xắn [V]")</f>
        <v>Ngôi nhà nhỏ xinh xắn [V]</v>
      </c>
      <c r="G2370" s="8" t="str">
        <f>IFERROR(__xludf.DUMMYFUNCTION("GOOGLETRANSLATE(E2370,""zh-CN"",""vi"")"),"Thêm mái nhà sẽ tăng gấp đôi mức độ tinh tế! Kết hợp để tạo thành một ngôi nhà nhỏ ấm cúng [V].")</f>
        <v>Thêm mái nhà sẽ tăng gấp đôi mức độ tinh tế! Kết hợp để tạo thành một ngôi nhà nhỏ ấm cúng [V].</v>
      </c>
      <c r="H2370" s="8"/>
      <c r="I2370" s="8"/>
      <c r="J2370" s="8"/>
    </row>
    <row r="2371" ht="21.0" customHeight="1">
      <c r="A2371" s="6">
        <v>10.0</v>
      </c>
      <c r="B2371" s="6">
        <v>1041.0</v>
      </c>
      <c r="C2371" s="6">
        <v>10.0</v>
      </c>
      <c r="D2371" s="23" t="s">
        <v>3534</v>
      </c>
      <c r="E2371" s="9" t="s">
        <v>3515</v>
      </c>
      <c r="F2371" s="8" t="str">
        <f>IFERROR(__xludf.DUMMYFUNCTION("GOOGLETRANSLATE(D2371,""zh-CN"",""vi"")"),"Ngôi nhà nhỏ ấm cúng [V]")</f>
        <v>Ngôi nhà nhỏ ấm cúng [V]</v>
      </c>
      <c r="G2371" s="8" t="str">
        <f>IFERROR(__xludf.DUMMYFUNCTION("GOOGLETRANSLATE(E2371,""zh-CN"",""vi"")"),"Một góc rừng, tràn đầy sức sống. (Đã được tổng hợp đến mức cao nhất.)")</f>
        <v>Một góc rừng, tràn đầy sức sống. (Đã được tổng hợp đến mức cao nhất.)</v>
      </c>
      <c r="H2371" s="8"/>
      <c r="I2371" s="8"/>
      <c r="J2371" s="8"/>
    </row>
    <row r="2372" ht="21.0" customHeight="1">
      <c r="A2372" s="6">
        <v>1.0</v>
      </c>
      <c r="B2372" s="6">
        <v>181.0</v>
      </c>
      <c r="C2372" s="6">
        <v>1.0</v>
      </c>
      <c r="D2372" s="23" t="s">
        <v>3535</v>
      </c>
      <c r="E2372" s="9" t="s">
        <v>3536</v>
      </c>
      <c r="F2372" s="8" t="str">
        <f>IFERROR(__xludf.DUMMYFUNCTION("GOOGLETRANSLATE(D2372,""zh-CN"",""vi"")"),"Chiếc nhẫn gỗ nhỏ")</f>
        <v>Chiếc nhẫn gỗ nhỏ</v>
      </c>
      <c r="G2372" s="8" t="str">
        <f>IFERROR(__xludf.DUMMYFUNCTION("GOOGLETRANSLATE(E2372,""zh-CN"",""vi"")"),"Sản phẩm được làm kém chất lượng, chưa hoàn thiện cần được đánh bóng thêm. Kết hợp chúng lại để tạo thành một chiếc nhẫn gỗ.")</f>
        <v>Sản phẩm được làm kém chất lượng, chưa hoàn thiện cần được đánh bóng thêm. Kết hợp chúng lại để tạo thành một chiếc nhẫn gỗ.</v>
      </c>
      <c r="H2372" s="8"/>
      <c r="I2372" s="8"/>
      <c r="J2372" s="8"/>
    </row>
    <row r="2373" ht="21.0" customHeight="1">
      <c r="A2373" s="6">
        <v>1.0</v>
      </c>
      <c r="B2373" s="6">
        <v>181.0</v>
      </c>
      <c r="C2373" s="6">
        <v>2.0</v>
      </c>
      <c r="D2373" s="23" t="s">
        <v>3537</v>
      </c>
      <c r="E2373" s="9" t="s">
        <v>3538</v>
      </c>
      <c r="F2373" s="8" t="str">
        <f>IFERROR(__xludf.DUMMYFUNCTION("GOOGLETRANSLATE(D2373,""zh-CN"",""vi"")"),"Vòng gỗ")</f>
        <v>Vòng gỗ</v>
      </c>
      <c r="G2373" s="8" t="str">
        <f>IFERROR(__xludf.DUMMYFUNCTION("GOOGLETRANSLATE(E2373,""zh-CN"",""vi"")"),"Những kỹ năng thủ công đơn giản có thể tạo ra những món đồ chơi thú vị. Hãy thử làm một con quay bằng gỗ.")</f>
        <v>Những kỹ năng thủ công đơn giản có thể tạo ra những món đồ chơi thú vị. Hãy thử làm một con quay bằng gỗ.</v>
      </c>
      <c r="H2373" s="8"/>
      <c r="I2373" s="8"/>
      <c r="J2373" s="8"/>
    </row>
    <row r="2374" ht="21.0" customHeight="1">
      <c r="A2374" s="6">
        <v>1.0</v>
      </c>
      <c r="B2374" s="6">
        <v>181.0</v>
      </c>
      <c r="C2374" s="6">
        <v>3.0</v>
      </c>
      <c r="D2374" s="23" t="s">
        <v>3539</v>
      </c>
      <c r="E2374" s="9" t="s">
        <v>3540</v>
      </c>
      <c r="F2374" s="8" t="str">
        <f>IFERROR(__xludf.DUMMYFUNCTION("GOOGLETRANSLATE(D2374,""zh-CN"",""vi"")"),"Đồ chơi quay bằng gỗ")</f>
        <v>Đồ chơi quay bằng gỗ</v>
      </c>
      <c r="G2374" s="8" t="str">
        <f>IFERROR(__xludf.DUMMYFUNCTION("GOOGLETRANSLATE(E2374,""zh-CN"",""vi"")"),"Đồ chơi con quay có thể giúp bạn giải trí cả ngày. Hãy tự chế tạo nó để có một chiếc xe hơi bằng gỗ.")</f>
        <v>Đồ chơi con quay có thể giúp bạn giải trí cả ngày. Hãy tự chế tạo nó để có một chiếc xe hơi bằng gỗ.</v>
      </c>
      <c r="H2374" s="8"/>
      <c r="I2374" s="8"/>
      <c r="J2374" s="8"/>
    </row>
    <row r="2375" ht="21.0" customHeight="1">
      <c r="A2375" s="6">
        <v>1.0</v>
      </c>
      <c r="B2375" s="6">
        <v>181.0</v>
      </c>
      <c r="C2375" s="6">
        <v>4.0</v>
      </c>
      <c r="D2375" s="23" t="s">
        <v>3541</v>
      </c>
      <c r="E2375" s="9" t="s">
        <v>3542</v>
      </c>
      <c r="F2375" s="8" t="str">
        <f>IFERROR(__xludf.DUMMYFUNCTION("GOOGLETRANSLATE(D2375,""zh-CN"",""vi"")"),"xe đẩy bằng gỗ")</f>
        <v>xe đẩy bằng gỗ</v>
      </c>
      <c r="G2375" s="8" t="str">
        <f>IFERROR(__xludf.DUMMYFUNCTION("GOOGLETRANSLATE(E2375,""zh-CN"",""vi"")"),"Tôi là người mới, vui lòng nhường đường cho các tài xế khác. Hãy làm con chim bằng gỗ.")</f>
        <v>Tôi là người mới, vui lòng nhường đường cho các tài xế khác. Hãy làm con chim bằng gỗ.</v>
      </c>
      <c r="H2375" s="8"/>
      <c r="I2375" s="8"/>
      <c r="J2375" s="8"/>
    </row>
    <row r="2376" ht="21.0" customHeight="1">
      <c r="A2376" s="6">
        <v>1.0</v>
      </c>
      <c r="B2376" s="6">
        <v>181.0</v>
      </c>
      <c r="C2376" s="6">
        <v>5.0</v>
      </c>
      <c r="D2376" s="23" t="s">
        <v>3543</v>
      </c>
      <c r="E2376" s="9" t="s">
        <v>3544</v>
      </c>
      <c r="F2376" s="8" t="str">
        <f>IFERROR(__xludf.DUMMYFUNCTION("GOOGLETRANSLATE(D2376,""zh-CN"",""vi"")"),"Điêu khắc chim bằng gỗ")</f>
        <v>Điêu khắc chim bằng gỗ</v>
      </c>
      <c r="G2376" s="8" t="str">
        <f>IFERROR(__xludf.DUMMYFUNCTION("GOOGLETRANSLATE(E2376,""zh-CN"",""vi"")"),"Hình dáng của nó rất chân thực, trông như thể nó có thể bay đi bất cứ lúc nào. Hãy chế tác nó để có được một con cú bằng gỗ.")</f>
        <v>Hình dáng của nó rất chân thực, trông như thể nó có thể bay đi bất cứ lúc nào. Hãy chế tác nó để có được một con cú bằng gỗ.</v>
      </c>
      <c r="H2376" s="8"/>
      <c r="I2376" s="8"/>
      <c r="J2376" s="8"/>
    </row>
    <row r="2377" ht="21.0" customHeight="1">
      <c r="A2377" s="6">
        <v>1.0</v>
      </c>
      <c r="B2377" s="6">
        <v>181.0</v>
      </c>
      <c r="C2377" s="6">
        <v>6.0</v>
      </c>
      <c r="D2377" s="23" t="s">
        <v>3545</v>
      </c>
      <c r="E2377" s="9" t="s">
        <v>3546</v>
      </c>
      <c r="F2377" s="8" t="str">
        <f>IFERROR(__xludf.DUMMYFUNCTION("GOOGLETRANSLATE(D2377,""zh-CN"",""vi"")"),"Điêu khắc cú bằng gỗ")</f>
        <v>Điêu khắc cú bằng gỗ</v>
      </c>
      <c r="G2377" s="8" t="str">
        <f>IFERROR(__xludf.DUMMYFUNCTION("GOOGLETRANSLATE(E2377,""zh-CN"",""vi"")"),"Mặc dù được chạm khắc từ gỗ, đôi mắt của nó vẫn toát lên vẻ sống động. Kết hợp các bộ phận để tạo thành tượng khỉ bằng gỗ.")</f>
        <v>Mặc dù được chạm khắc từ gỗ, đôi mắt của nó vẫn toát lên vẻ sống động. Kết hợp các bộ phận để tạo thành tượng khỉ bằng gỗ.</v>
      </c>
      <c r="H2377" s="8"/>
      <c r="I2377" s="8"/>
      <c r="J2377" s="8"/>
    </row>
    <row r="2378" ht="21.0" customHeight="1">
      <c r="A2378" s="6">
        <v>1.0</v>
      </c>
      <c r="B2378" s="6">
        <v>181.0</v>
      </c>
      <c r="C2378" s="6">
        <v>7.0</v>
      </c>
      <c r="D2378" s="23" t="s">
        <v>3547</v>
      </c>
      <c r="E2378" s="9" t="s">
        <v>3548</v>
      </c>
      <c r="F2378" s="8" t="str">
        <f>IFERROR(__xludf.DUMMYFUNCTION("GOOGLETRANSLATE(D2378,""zh-CN"",""vi"")"),"Điêu khắc khỉ bằng gỗ")</f>
        <v>Điêu khắc khỉ bằng gỗ</v>
      </c>
      <c r="G2378" s="8" t="str">
        <f>IFERROR(__xludf.DUMMYFUNCTION("GOOGLETRANSLATE(E2378,""zh-CN"",""vi"")"),"Nhảy nhót tung tăng, đó là sở trường của tôi. Kết hợp chúng lại để tạo thành một chú heo gỗ biết bay.")</f>
        <v>Nhảy nhót tung tăng, đó là sở trường của tôi. Kết hợp chúng lại để tạo thành một chú heo gỗ biết bay.</v>
      </c>
      <c r="H2378" s="8"/>
      <c r="I2378" s="8"/>
      <c r="J2378" s="8"/>
    </row>
    <row r="2379" ht="21.0" customHeight="1">
      <c r="A2379" s="6">
        <v>1.0</v>
      </c>
      <c r="B2379" s="6">
        <v>181.0</v>
      </c>
      <c r="C2379" s="6">
        <v>8.0</v>
      </c>
      <c r="D2379" s="23" t="s">
        <v>3549</v>
      </c>
      <c r="E2379" s="9" t="s">
        <v>3550</v>
      </c>
      <c r="F2379" s="8" t="str">
        <f>IFERROR(__xludf.DUMMYFUNCTION("GOOGLETRANSLATE(D2379,""zh-CN"",""vi"")"),"Con lợn gỗ biết bay")</f>
        <v>Con lợn gỗ biết bay</v>
      </c>
      <c r="G2379" s="8" t="str">
        <f>IFERROR(__xludf.DUMMYFUNCTION("GOOGLETRANSLATE(E2379,""zh-CN"",""vi"")"),"Tôi, một chú lợn, cũng mơ ước được bay. (Hãy làm một con nhím bằng gỗ.)")</f>
        <v>Tôi, một chú lợn, cũng mơ ước được bay. (Hãy làm một con nhím bằng gỗ.)</v>
      </c>
      <c r="H2379" s="8"/>
      <c r="I2379" s="8"/>
      <c r="J2379" s="8"/>
    </row>
    <row r="2380" ht="21.0" customHeight="1">
      <c r="A2380" s="6">
        <v>1.0</v>
      </c>
      <c r="B2380" s="6">
        <v>181.0</v>
      </c>
      <c r="C2380" s="6">
        <v>9.0</v>
      </c>
      <c r="D2380" s="23" t="s">
        <v>3551</v>
      </c>
      <c r="E2380" s="9" t="s">
        <v>3552</v>
      </c>
      <c r="F2380" s="8" t="str">
        <f>IFERROR(__xludf.DUMMYFUNCTION("GOOGLETRANSLATE(D2380,""zh-CN"",""vi"")"),"Nhím gỗ")</f>
        <v>Nhím gỗ</v>
      </c>
      <c r="G2380" s="8" t="str">
        <f>IFERROR(__xludf.DUMMYFUNCTION("GOOGLETRANSLATE(E2380,""zh-CN"",""vi"")"),"Một chú nhím nhỏ vừa tài năng lại vừa đáng yêu. Hãy chế tạo nó để có được một chiếc máy bay bằng gỗ.")</f>
        <v>Một chú nhím nhỏ vừa tài năng lại vừa đáng yêu. Hãy chế tạo nó để có được một chiếc máy bay bằng gỗ.</v>
      </c>
      <c r="H2380" s="8"/>
      <c r="I2380" s="8"/>
      <c r="J2380" s="8"/>
    </row>
    <row r="2381" ht="21.0" customHeight="1">
      <c r="A2381" s="6">
        <v>1.0</v>
      </c>
      <c r="B2381" s="6">
        <v>181.0</v>
      </c>
      <c r="C2381" s="6">
        <v>10.0</v>
      </c>
      <c r="D2381" s="23" t="s">
        <v>3553</v>
      </c>
      <c r="E2381" s="9" t="s">
        <v>3554</v>
      </c>
      <c r="F2381" s="8" t="str">
        <f>IFERROR(__xludf.DUMMYFUNCTION("GOOGLETRANSLATE(D2381,""zh-CN"",""vi"")"),"máy bay gỗ")</f>
        <v>máy bay gỗ</v>
      </c>
      <c r="G2381" s="8" t="str">
        <f>IFERROR(__xludf.DUMMYFUNCTION("GOOGLETRANSLATE(E2381,""zh-CN"",""vi"")"),"Dĩ nhiên, mô hình máy bay không thể cất cánh. Hãy kết hợp chúng lại để tạo thành một vòng quay ngựa gỗ.")</f>
        <v>Dĩ nhiên, mô hình máy bay không thể cất cánh. Hãy kết hợp chúng lại để tạo thành một vòng quay ngựa gỗ.</v>
      </c>
      <c r="H2381" s="8"/>
      <c r="I2381" s="8"/>
      <c r="J2381" s="8"/>
    </row>
    <row r="2382" ht="21.0" customHeight="1">
      <c r="A2382" s="6">
        <v>1.0</v>
      </c>
      <c r="B2382" s="6">
        <v>181.0</v>
      </c>
      <c r="C2382" s="6">
        <v>11.0</v>
      </c>
      <c r="D2382" s="23" t="s">
        <v>3555</v>
      </c>
      <c r="E2382" s="9" t="s">
        <v>3556</v>
      </c>
      <c r="F2382" s="8" t="str">
        <f>IFERROR(__xludf.DUMMYFUNCTION("GOOGLETRANSLATE(D2382,""zh-CN"",""vi"")"),"Vòng quay ngựa gỗ")</f>
        <v>Vòng quay ngựa gỗ</v>
      </c>
      <c r="G2382" s="8" t="str">
        <f>IFERROR(__xludf.DUMMYFUNCTION("GOOGLETRANSLATE(E2382,""zh-CN"",""vi"")"),"Một chiếc đu quay bằng gỗ? Đây là lần đầu tiên tôi thấy cái này. (Hãy chế tạo nó để có được một vòng đu quay bằng gỗ.)")</f>
        <v>Một chiếc đu quay bằng gỗ? Đây là lần đầu tiên tôi thấy cái này. (Hãy chế tạo nó để có được một vòng đu quay bằng gỗ.)</v>
      </c>
      <c r="H2382" s="8"/>
      <c r="I2382" s="8"/>
      <c r="J2382" s="8"/>
    </row>
    <row r="2383" ht="21.0" customHeight="1">
      <c r="A2383" s="6">
        <v>1.0</v>
      </c>
      <c r="B2383" s="6">
        <v>181.0</v>
      </c>
      <c r="C2383" s="6">
        <v>12.0</v>
      </c>
      <c r="D2383" s="23" t="s">
        <v>3557</v>
      </c>
      <c r="E2383" s="9" t="s">
        <v>3558</v>
      </c>
      <c r="F2383" s="8" t="str">
        <f>IFERROR(__xludf.DUMMYFUNCTION("GOOGLETRANSLATE(D2383,""zh-CN"",""vi"")"),"Vòng đu quay bằng gỗ")</f>
        <v>Vòng đu quay bằng gỗ</v>
      </c>
      <c r="G2383" s="8" t="str">
        <f>IFERROR(__xludf.DUMMYFUNCTION("GOOGLETRANSLATE(E2383,""zh-CN"",""vi"")"),"Chỉ cần nhìn vào mô hình thôi cũng đã thấy lãng mạn và hạnh phúc. Hãy chế tác nó để có được một chiếc cối xay gió bằng gỗ.")</f>
        <v>Chỉ cần nhìn vào mô hình thôi cũng đã thấy lãng mạn và hạnh phúc. Hãy chế tác nó để có được một chiếc cối xay gió bằng gỗ.</v>
      </c>
      <c r="H2383" s="8"/>
      <c r="I2383" s="8"/>
      <c r="J2383" s="8"/>
    </row>
    <row r="2384" ht="21.0" customHeight="1">
      <c r="A2384" s="6">
        <v>1.0</v>
      </c>
      <c r="B2384" s="6">
        <v>181.0</v>
      </c>
      <c r="C2384" s="6">
        <v>13.0</v>
      </c>
      <c r="D2384" s="23" t="s">
        <v>3559</v>
      </c>
      <c r="E2384" s="9" t="s">
        <v>3560</v>
      </c>
      <c r="F2384" s="8" t="str">
        <f>IFERROR(__xludf.DUMMYFUNCTION("GOOGLETRANSLATE(D2384,""zh-CN"",""vi"")"),"Cối xay gió bằng gỗ")</f>
        <v>Cối xay gió bằng gỗ</v>
      </c>
      <c r="G2384" s="8" t="str">
        <f>IFERROR(__xludf.DUMMYFUNCTION("GOOGLETRANSLATE(E2384,""zh-CN"",""vi"")"),"Hãy quay cối xay gió, và bạn sẽ được nghe những giai điệu tuyệt vời. (Ngay cả ở mức cao nhất.)")</f>
        <v>Hãy quay cối xay gió, và bạn sẽ được nghe những giai điệu tuyệt vời. (Ngay cả ở mức cao nhất.)</v>
      </c>
      <c r="H2384" s="8"/>
      <c r="I2384" s="8"/>
      <c r="J2384" s="8"/>
    </row>
    <row r="2385" ht="21.0" customHeight="1">
      <c r="A2385" s="6">
        <v>1.0</v>
      </c>
      <c r="B2385" s="6">
        <v>182.0</v>
      </c>
      <c r="C2385" s="6">
        <v>1.0</v>
      </c>
      <c r="D2385" s="23" t="s">
        <v>3561</v>
      </c>
      <c r="E2385" s="9" t="s">
        <v>3562</v>
      </c>
      <c r="F2385" s="8" t="str">
        <f>IFERROR(__xludf.DUMMYFUNCTION("GOOGLETRANSLATE(D2385,""zh-CN"",""vi"")"),"thìa nhỏ")</f>
        <v>thìa nhỏ</v>
      </c>
      <c r="G2385" s="8" t="str">
        <f>IFERROR(__xludf.DUMMYFUNCTION("GOOGLETRANSLATE(E2385,""zh-CN"",""vi"")"),"Thìa ăn dặm, được thiết kế đặc biệt cho trẻ sơ sinh. Có thể chế tạo thành một chiếc đĩa nhỏ sạch sẽ.")</f>
        <v>Thìa ăn dặm, được thiết kế đặc biệt cho trẻ sơ sinh. Có thể chế tạo thành một chiếc đĩa nhỏ sạch sẽ.</v>
      </c>
      <c r="H2385" s="8"/>
      <c r="I2385" s="8"/>
      <c r="J2385" s="8"/>
    </row>
    <row r="2386" ht="21.0" customHeight="1">
      <c r="A2386" s="6">
        <v>1.0</v>
      </c>
      <c r="B2386" s="6">
        <v>182.0</v>
      </c>
      <c r="C2386" s="6">
        <v>2.0</v>
      </c>
      <c r="D2386" s="23" t="s">
        <v>3563</v>
      </c>
      <c r="E2386" s="9" t="s">
        <v>3564</v>
      </c>
      <c r="F2386" s="8" t="str">
        <f>IFERROR(__xludf.DUMMYFUNCTION("GOOGLETRANSLATE(D2386,""zh-CN"",""vi"")"),"Đĩa nhỏ sạch")</f>
        <v>Đĩa nhỏ sạch</v>
      </c>
      <c r="G2386" s="8" t="str">
        <f>IFERROR(__xludf.DUMMYFUNCTION("GOOGLETRANSLATE(E2386,""zh-CN"",""vi"")"),"Rửa và chà thật kỹ cho đến khi sạch bong kin kít, phản chiếu ánh sáng! Kết hợp chúng lại để tạo thành một chiếc bát hình thỏ đáng yêu.")</f>
        <v>Rửa và chà thật kỹ cho đến khi sạch bong kin kít, phản chiếu ánh sáng! Kết hợp chúng lại để tạo thành một chiếc bát hình thỏ đáng yêu.</v>
      </c>
      <c r="H2386" s="8"/>
      <c r="I2386" s="8"/>
      <c r="J2386" s="8"/>
    </row>
    <row r="2387" ht="21.0" customHeight="1">
      <c r="A2387" s="6">
        <v>1.0</v>
      </c>
      <c r="B2387" s="6">
        <v>182.0</v>
      </c>
      <c r="C2387" s="6">
        <v>3.0</v>
      </c>
      <c r="D2387" s="23" t="s">
        <v>3565</v>
      </c>
      <c r="E2387" s="9" t="s">
        <v>3566</v>
      </c>
      <c r="F2387" s="8" t="str">
        <f>IFERROR(__xludf.DUMMYFUNCTION("GOOGLETRANSLATE(D2387,""zh-CN"",""vi"")"),"Bát hình thỏ dễ thương")</f>
        <v>Bát hình thỏ dễ thương</v>
      </c>
      <c r="G2387" s="8" t="str">
        <f>IFERROR(__xludf.DUMMYFUNCTION("GOOGLETRANSLATE(E2387,""zh-CN"",""vi"")"),"Phần tai nhọn thực chất là quai xách. Kết hợp chúng lại để tạo thành một chiếc cốc hình trái tim.")</f>
        <v>Phần tai nhọn thực chất là quai xách. Kết hợp chúng lại để tạo thành một chiếc cốc hình trái tim.</v>
      </c>
      <c r="H2387" s="8"/>
      <c r="I2387" s="8"/>
      <c r="J2387" s="8"/>
    </row>
    <row r="2388" ht="21.0" customHeight="1">
      <c r="A2388" s="6">
        <v>1.0</v>
      </c>
      <c r="B2388" s="6">
        <v>182.0</v>
      </c>
      <c r="C2388" s="6">
        <v>4.0</v>
      </c>
      <c r="D2388" s="23" t="s">
        <v>3567</v>
      </c>
      <c r="E2388" s="9" t="s">
        <v>3568</v>
      </c>
      <c r="F2388" s="8" t="str">
        <f>IFERROR(__xludf.DUMMYFUNCTION("GOOGLETRANSLATE(D2388,""zh-CN"",""vi"")"),"Cốc hình trái tim")</f>
        <v>Cốc hình trái tim</v>
      </c>
      <c r="G2388" s="8" t="str">
        <f>IFERROR(__xludf.DUMMYFUNCTION("GOOGLETRANSLATE(E2388,""zh-CN"",""vi"")"),"Chiếc cốc quý giá nhất của bé Nono, đừng để nó bị vỡ. Hãy chế tác nó để có được một chiếc bình sứ tinh xảo.")</f>
        <v>Chiếc cốc quý giá nhất của bé Nono, đừng để nó bị vỡ. Hãy chế tác nó để có được một chiếc bình sứ tinh xảo.</v>
      </c>
      <c r="H2388" s="8"/>
      <c r="I2388" s="8"/>
      <c r="J2388" s="8"/>
    </row>
    <row r="2389" ht="21.0" customHeight="1">
      <c r="A2389" s="6">
        <v>1.0</v>
      </c>
      <c r="B2389" s="6">
        <v>182.0</v>
      </c>
      <c r="C2389" s="6">
        <v>5.0</v>
      </c>
      <c r="D2389" s="23" t="s">
        <v>3569</v>
      </c>
      <c r="E2389" s="9" t="s">
        <v>3570</v>
      </c>
      <c r="F2389" s="8" t="str">
        <f>IFERROR(__xludf.DUMMYFUNCTION("GOOGLETRANSLATE(D2389,""zh-CN"",""vi"")"),"Bình sứ tinh xảo")</f>
        <v>Bình sứ tinh xảo</v>
      </c>
      <c r="G2389" s="8" t="str">
        <f>IFERROR(__xludf.DUMMYFUNCTION("GOOGLETRANSLATE(E2389,""zh-CN"",""vi"")"),"Nó hoàn toàn tương thích với các loài hoa khác. Kết hợp chúng để tạo nên một chậu cây cảnh đáng yêu.")</f>
        <v>Nó hoàn toàn tương thích với các loài hoa khác. Kết hợp chúng để tạo nên một chậu cây cảnh đáng yêu.</v>
      </c>
      <c r="H2389" s="8"/>
      <c r="I2389" s="8"/>
      <c r="J2389" s="8"/>
    </row>
    <row r="2390" ht="21.0" customHeight="1">
      <c r="A2390" s="6">
        <v>1.0</v>
      </c>
      <c r="B2390" s="6">
        <v>182.0</v>
      </c>
      <c r="C2390" s="6">
        <v>6.0</v>
      </c>
      <c r="D2390" s="23" t="s">
        <v>3571</v>
      </c>
      <c r="E2390" s="9" t="s">
        <v>3572</v>
      </c>
      <c r="F2390" s="8" t="str">
        <f>IFERROR(__xludf.DUMMYFUNCTION("GOOGLETRANSLATE(D2390,""zh-CN"",""vi"")"),"Những chậu cây cảnh dễ thương")</f>
        <v>Những chậu cây cảnh dễ thương</v>
      </c>
      <c r="G2390" s="8" t="str">
        <f>IFERROR(__xludf.DUMMYFUNCTION("GOOGLETRANSLATE(E2390,""zh-CN"",""vi"")"),"Những chiếc bát đựng thức ăn thừa cho thú cưng rất thích hợp để trồng hoa. Kết hợp chúng lại để tạo thành một chú thỏ nhỏ xinh xắn.")</f>
        <v>Những chiếc bát đựng thức ăn thừa cho thú cưng rất thích hợp để trồng hoa. Kết hợp chúng lại để tạo thành một chú thỏ nhỏ xinh xắn.</v>
      </c>
      <c r="H2390" s="8"/>
      <c r="I2390" s="8"/>
      <c r="J2390" s="8"/>
    </row>
    <row r="2391" ht="21.0" customHeight="1">
      <c r="A2391" s="6">
        <v>1.0</v>
      </c>
      <c r="B2391" s="6">
        <v>182.0</v>
      </c>
      <c r="C2391" s="6">
        <v>7.0</v>
      </c>
      <c r="D2391" s="23" t="s">
        <v>3573</v>
      </c>
      <c r="E2391" s="9" t="s">
        <v>3574</v>
      </c>
      <c r="F2391" s="8" t="str">
        <f>IFERROR(__xludf.DUMMYFUNCTION("GOOGLETRANSLATE(D2391,""zh-CN"",""vi"")"),"Chú thỏ nhỏ ngoan ngoãn")</f>
        <v>Chú thỏ nhỏ ngoan ngoãn</v>
      </c>
      <c r="G2391" s="8" t="str">
        <f>IFERROR(__xludf.DUMMYFUNCTION("GOOGLETRANSLATE(E2391,""zh-CN"",""vi"")"),"Đồ gốm trắng rất hợp với chú thỏ trắng. Kết hợp chúng lại để tạo thành một chú gấu đang vẫy tay.")</f>
        <v>Đồ gốm trắng rất hợp với chú thỏ trắng. Kết hợp chúng lại để tạo thành một chú gấu đang vẫy tay.</v>
      </c>
      <c r="H2391" s="8"/>
      <c r="I2391" s="8"/>
      <c r="J2391" s="8"/>
    </row>
    <row r="2392" ht="21.0" customHeight="1">
      <c r="A2392" s="6">
        <v>1.0</v>
      </c>
      <c r="B2392" s="6">
        <v>182.0</v>
      </c>
      <c r="C2392" s="6">
        <v>8.0</v>
      </c>
      <c r="D2392" s="23" t="s">
        <v>3575</v>
      </c>
      <c r="E2392" s="72" t="s">
        <v>3576</v>
      </c>
      <c r="F2392" s="8" t="str">
        <f>IFERROR(__xludf.DUMMYFUNCTION("GOOGLETRANSLATE(D2392,""zh-CN"",""vi"")"),"Gấu vẫy tay")</f>
        <v>Gấu vẫy tay</v>
      </c>
      <c r="G2392" s="8" t="str">
        <f>IFERROR(__xludf.DUMMYFUNCTION("GOOGLETRANSLATE(E2392,""zh-CN"",""vi"")"),"Chú gấu nhỏ thật lịch sự! Kết hợp chúng lại để có một chú mèo con đang nhào bột.")</f>
        <v>Chú gấu nhỏ thật lịch sự! Kết hợp chúng lại để có một chú mèo con đang nhào bột.</v>
      </c>
      <c r="H2392" s="8"/>
      <c r="I2392" s="8"/>
      <c r="J2392" s="8"/>
    </row>
    <row r="2393" ht="21.0" customHeight="1">
      <c r="A2393" s="6">
        <v>1.0</v>
      </c>
      <c r="B2393" s="6">
        <v>182.0</v>
      </c>
      <c r="C2393" s="6">
        <v>9.0</v>
      </c>
      <c r="D2393" s="23" t="s">
        <v>3577</v>
      </c>
      <c r="E2393" s="9" t="s">
        <v>3578</v>
      </c>
      <c r="F2393" s="8" t="str">
        <f>IFERROR(__xludf.DUMMYFUNCTION("GOOGLETRANSLATE(D2393,""zh-CN"",""vi"")"),"Mèo con đang nhào nặn")</f>
        <v>Mèo con đang nhào nặn</v>
      </c>
      <c r="G2393" s="8" t="str">
        <f>IFERROR(__xludf.DUMMYFUNCTION("GOOGLETRANSLATE(E2393,""zh-CN"",""vi"")"),"Đoán xem tôi đang làm gì? Tôi đang tổng hợp một con sóc tích trữ thức ăn.")</f>
        <v>Đoán xem tôi đang làm gì? Tôi đang tổng hợp một con sóc tích trữ thức ăn.</v>
      </c>
      <c r="H2393" s="8"/>
      <c r="I2393" s="8"/>
      <c r="J2393" s="8"/>
    </row>
    <row r="2394" ht="21.0" customHeight="1">
      <c r="A2394" s="6">
        <v>1.0</v>
      </c>
      <c r="B2394" s="6">
        <v>182.0</v>
      </c>
      <c r="C2394" s="6">
        <v>10.0</v>
      </c>
      <c r="D2394" s="23" t="s">
        <v>3579</v>
      </c>
      <c r="E2394" s="9" t="s">
        <v>3580</v>
      </c>
      <c r="F2394" s="8" t="str">
        <f>IFERROR(__xludf.DUMMYFUNCTION("GOOGLETRANSLATE(D2394,""zh-CN"",""vi"")"),"con sóc tích trữ thức ăn")</f>
        <v>con sóc tích trữ thức ăn</v>
      </c>
      <c r="G2394" s="8" t="str">
        <f>IFERROR(__xludf.DUMMYFUNCTION("GOOGLETRANSLATE(E2394,""zh-CN"",""vi"")"),"Tích trữ thức ăn là bản năng của sóc ~ Kết hợp chúng lại để có được một chú cún con đáng yêu.")</f>
        <v>Tích trữ thức ăn là bản năng của sóc ~ Kết hợp chúng lại để có được một chú cún con đáng yêu.</v>
      </c>
      <c r="H2394" s="8"/>
      <c r="I2394" s="8"/>
      <c r="J2394" s="8"/>
    </row>
    <row r="2395" ht="21.0" customHeight="1">
      <c r="A2395" s="6">
        <v>1.0</v>
      </c>
      <c r="B2395" s="6">
        <v>182.0</v>
      </c>
      <c r="C2395" s="6">
        <v>11.0</v>
      </c>
      <c r="D2395" s="23" t="s">
        <v>3581</v>
      </c>
      <c r="E2395" s="9" t="s">
        <v>3582</v>
      </c>
      <c r="F2395" s="8" t="str">
        <f>IFERROR(__xludf.DUMMYFUNCTION("GOOGLETRANSLATE(D2395,""zh-CN"",""vi"")"),"Chú chó con trong bó hoa")</f>
        <v>Chú chó con trong bó hoa</v>
      </c>
      <c r="G2395" s="8" t="str">
        <f>IFERROR(__xludf.DUMMYFUNCTION("GOOGLETRANSLATE(E2395,""zh-CN"",""vi"")"),"Đây là một chú cún bằng gốm sứ, và cũng là một quý ông đáng yêu. Kết hợp chúng lại để có được Anh em nhà hươu cao cổ.")</f>
        <v>Đây là một chú cún bằng gốm sứ, và cũng là một quý ông đáng yêu. Kết hợp chúng lại để có được Anh em nhà hươu cao cổ.</v>
      </c>
      <c r="H2395" s="8"/>
      <c r="I2395" s="8"/>
      <c r="J2395" s="8"/>
    </row>
    <row r="2396" ht="21.0" customHeight="1">
      <c r="A2396" s="6">
        <v>1.0</v>
      </c>
      <c r="B2396" s="6">
        <v>182.0</v>
      </c>
      <c r="C2396" s="6">
        <v>12.0</v>
      </c>
      <c r="D2396" s="23" t="s">
        <v>3583</v>
      </c>
      <c r="E2396" s="9" t="s">
        <v>3584</v>
      </c>
      <c r="F2396" s="8" t="str">
        <f>IFERROR(__xludf.DUMMYFUNCTION("GOOGLETRANSLATE(D2396,""zh-CN"",""vi"")"),"Anh em nhà hươu cao cổ")</f>
        <v>Anh em nhà hươu cao cổ</v>
      </c>
      <c r="G2396" s="8" t="str">
        <f>IFERROR(__xludf.DUMMYFUNCTION("GOOGLETRANSLATE(E2396,""zh-CN"",""vi"")"),"Kích thước khác nhau ư? Chắc bạn nhìn nhầm rồi. Kết hợp chúng lại để có được Gấu trúc cổ hoa.")</f>
        <v>Kích thước khác nhau ư? Chắc bạn nhìn nhầm rồi. Kết hợp chúng lại để có được Gấu trúc cổ hoa.</v>
      </c>
      <c r="H2396" s="8"/>
      <c r="I2396" s="8"/>
      <c r="J2396" s="8"/>
    </row>
    <row r="2397" ht="21.0" customHeight="1">
      <c r="A2397" s="6">
        <v>1.0</v>
      </c>
      <c r="B2397" s="6">
        <v>182.0</v>
      </c>
      <c r="C2397" s="6">
        <v>13.0</v>
      </c>
      <c r="D2397" s="23" t="s">
        <v>3585</v>
      </c>
      <c r="E2397" s="9" t="s">
        <v>3586</v>
      </c>
      <c r="F2397" s="8" t="str">
        <f>IFERROR(__xludf.DUMMYFUNCTION("GOOGLETRANSLATE(D2397,""zh-CN"",""vi"")"),"Gấu trúc cổ hoa")</f>
        <v>Gấu trúc cổ hoa</v>
      </c>
      <c r="G2397" s="8" t="str">
        <f>IFERROR(__xludf.DUMMYFUNCTION("GOOGLETRANSLATE(E2397,""zh-CN"",""vi"")"),"Bạn chưa từng thấy gấu trúc nào đeo hoa quanh cổ bao giờ sao? (Đã được tổng hợp đến cấp độ cao nhất.)")</f>
        <v>Bạn chưa từng thấy gấu trúc nào đeo hoa quanh cổ bao giờ sao? (Đã được tổng hợp đến cấp độ cao nhất.)</v>
      </c>
      <c r="H2397" s="8"/>
      <c r="I2397" s="8"/>
      <c r="J2397" s="8"/>
    </row>
    <row r="2398" ht="21.0" customHeight="1">
      <c r="A2398" s="6">
        <v>1.0</v>
      </c>
      <c r="B2398" s="6">
        <v>183.0</v>
      </c>
      <c r="C2398" s="6">
        <v>1.0</v>
      </c>
      <c r="D2398" s="23" t="s">
        <v>3587</v>
      </c>
      <c r="E2398" s="9" t="s">
        <v>3588</v>
      </c>
      <c r="F2398" s="8" t="str">
        <f>IFERROR(__xludf.DUMMYFUNCTION("GOOGLETRANSLATE(D2398,""zh-CN"",""vi"")"),"dây da")</f>
        <v>dây da</v>
      </c>
      <c r="G2398" s="8" t="str">
        <f>IFERROR(__xludf.DUMMYFUNCTION("GOOGLETRANSLATE(E2398,""zh-CN"",""vi"")"),"Hãy tận dụng tối đa những sợi dây buộc tóc thừa. Biến chúng thành những vòng da.")</f>
        <v>Hãy tận dụng tối đa những sợi dây buộc tóc thừa. Biến chúng thành những vòng da.</v>
      </c>
      <c r="H2398" s="8"/>
      <c r="I2398" s="8"/>
      <c r="J2398" s="8"/>
    </row>
    <row r="2399" ht="21.0" customHeight="1">
      <c r="A2399" s="6">
        <v>1.0</v>
      </c>
      <c r="B2399" s="6">
        <v>183.0</v>
      </c>
      <c r="C2399" s="6">
        <v>2.0</v>
      </c>
      <c r="D2399" s="23" t="s">
        <v>3589</v>
      </c>
      <c r="E2399" s="9" t="s">
        <v>3590</v>
      </c>
      <c r="F2399" s="8" t="str">
        <f>IFERROR(__xludf.DUMMYFUNCTION("GOOGLETRANSLATE(D2399,""zh-CN"",""vi"")"),"nhẫn da")</f>
        <v>nhẫn da</v>
      </c>
      <c r="G2399" s="8" t="str">
        <f>IFERROR(__xludf.DUMMYFUNCTION("GOOGLETRANSLATE(E2399,""zh-CN"",""vi"")"),"Này, mặt dây chuyền của tôi đâu? Hãy chế tạo nó để có được một tua rua bằng da.")</f>
        <v>Này, mặt dây chuyền của tôi đâu? Hãy chế tạo nó để có được một tua rua bằng da.</v>
      </c>
      <c r="H2399" s="8"/>
      <c r="I2399" s="8"/>
      <c r="J2399" s="8"/>
    </row>
    <row r="2400" ht="21.0" customHeight="1">
      <c r="A2400" s="6">
        <v>1.0</v>
      </c>
      <c r="B2400" s="6">
        <v>183.0</v>
      </c>
      <c r="C2400" s="6">
        <v>3.0</v>
      </c>
      <c r="D2400" s="23" t="s">
        <v>3591</v>
      </c>
      <c r="E2400" s="9" t="s">
        <v>3592</v>
      </c>
      <c r="F2400" s="8" t="str">
        <f>IFERROR(__xludf.DUMMYFUNCTION("GOOGLETRANSLATE(D2400,""zh-CN"",""vi"")"),"Tua rua bằng da")</f>
        <v>Tua rua bằng da</v>
      </c>
      <c r="G2400" s="8" t="str">
        <f>IFERROR(__xludf.DUMMYFUNCTION("GOOGLETRANSLATE(E2400,""zh-CN"",""vi"")"),"Cắt nó thành những tua rua sẽ làm cho nó trông ngầu hơn nhiều. Hãy chế tác nó để có được một trái tim bằng da.")</f>
        <v>Cắt nó thành những tua rua sẽ làm cho nó trông ngầu hơn nhiều. Hãy chế tác nó để có được một trái tim bằng da.</v>
      </c>
      <c r="H2400" s="8"/>
      <c r="I2400" s="8"/>
      <c r="J2400" s="8"/>
    </row>
    <row r="2401" ht="21.0" customHeight="1">
      <c r="A2401" s="6">
        <v>1.0</v>
      </c>
      <c r="B2401" s="6">
        <v>183.0</v>
      </c>
      <c r="C2401" s="6">
        <v>4.0</v>
      </c>
      <c r="D2401" s="23" t="s">
        <v>3593</v>
      </c>
      <c r="E2401" s="9" t="s">
        <v>3594</v>
      </c>
      <c r="F2401" s="8" t="str">
        <f>IFERROR(__xludf.DUMMYFUNCTION("GOOGLETRANSLATE(D2401,""zh-CN"",""vi"")"),"Trái tim da")</f>
        <v>Trái tim da</v>
      </c>
      <c r="G2401" s="8" t="str">
        <f>IFERROR(__xludf.DUMMYFUNCTION("GOOGLETRANSLATE(E2401,""zh-CN"",""vi"")"),"Cách làm rất đơn giản và đáng để học. Hãy làm theo hướng dẫn để có được một chiếc bánh donut bằng da.")</f>
        <v>Cách làm rất đơn giản và đáng để học. Hãy làm theo hướng dẫn để có được một chiếc bánh donut bằng da.</v>
      </c>
      <c r="H2401" s="8"/>
      <c r="I2401" s="8"/>
      <c r="J2401" s="8"/>
    </row>
    <row r="2402" ht="21.0" customHeight="1">
      <c r="A2402" s="6">
        <v>1.0</v>
      </c>
      <c r="B2402" s="6">
        <v>183.0</v>
      </c>
      <c r="C2402" s="6">
        <v>5.0</v>
      </c>
      <c r="D2402" s="23" t="s">
        <v>3595</v>
      </c>
      <c r="E2402" s="9" t="s">
        <v>3596</v>
      </c>
      <c r="F2402" s="8" t="str">
        <f>IFERROR(__xludf.DUMMYFUNCTION("GOOGLETRANSLATE(D2402,""zh-CN"",""vi"")"),"Bánh rán da")</f>
        <v>Bánh rán da</v>
      </c>
      <c r="G2402" s="8" t="str">
        <f>IFERROR(__xludf.DUMMYFUNCTION("GOOGLETRANSLATE(E2402,""zh-CN"",""vi"")"),"Nó trông thật dễ thương và tỏa hương thơm ngát. Hãy chế tác nó để có được mặt dây chuyền hình quả đào.")</f>
        <v>Nó trông thật dễ thương và tỏa hương thơm ngát. Hãy chế tác nó để có được mặt dây chuyền hình quả đào.</v>
      </c>
      <c r="H2402" s="8"/>
      <c r="I2402" s="8"/>
      <c r="J2402" s="8"/>
    </row>
    <row r="2403" ht="21.0" customHeight="1">
      <c r="A2403" s="6">
        <v>1.0</v>
      </c>
      <c r="B2403" s="6">
        <v>183.0</v>
      </c>
      <c r="C2403" s="6">
        <v>6.0</v>
      </c>
      <c r="D2403" s="23" t="s">
        <v>3597</v>
      </c>
      <c r="E2403" s="9" t="s">
        <v>3598</v>
      </c>
      <c r="F2403" s="8" t="str">
        <f>IFERROR(__xludf.DUMMYFUNCTION("GOOGLETRANSLATE(D2403,""zh-CN"",""vi"")"),"Mặt dây chuyền hình quả đào")</f>
        <v>Mặt dây chuyền hình quả đào</v>
      </c>
      <c r="G2403" s="8" t="str">
        <f>IFERROR(__xludf.DUMMYFUNCTION("GOOGLETRANSLATE(E2403,""zh-CN"",""vi"")"),"Buộc chặt sợi dây để nó không bị tuột nữa. Chế tạo phụ kiện màu cam.")</f>
        <v>Buộc chặt sợi dây để nó không bị tuột nữa. Chế tạo phụ kiện màu cam.</v>
      </c>
      <c r="H2403" s="8"/>
      <c r="I2403" s="8"/>
      <c r="J2403" s="8"/>
    </row>
    <row r="2404" ht="21.0" customHeight="1">
      <c r="A2404" s="6">
        <v>1.0</v>
      </c>
      <c r="B2404" s="6">
        <v>183.0</v>
      </c>
      <c r="C2404" s="6">
        <v>7.0</v>
      </c>
      <c r="D2404" s="23" t="s">
        <v>3599</v>
      </c>
      <c r="E2404" s="72" t="s">
        <v>3600</v>
      </c>
      <c r="F2404" s="8" t="str">
        <f>IFERROR(__xludf.DUMMYFUNCTION("GOOGLETRANSLATE(D2404,""zh-CN"",""vi"")"),"Phụ kiện màu cam")</f>
        <v>Phụ kiện màu cam</v>
      </c>
      <c r="G2404" s="8" t="str">
        <f>IFERROR(__xludf.DUMMYFUNCTION("GOOGLETRANSLATE(E2404,""zh-CN"",""vi"")"),"Những màu sắc rực rỡ sẽ ngay lập tức làm tâm trạng bạn tươi sáng hơn. Tổng hợp lại để có được một chú ngựa con bằng da thật.")</f>
        <v>Những màu sắc rực rỡ sẽ ngay lập tức làm tâm trạng bạn tươi sáng hơn. Tổng hợp lại để có được một chú ngựa con bằng da thật.</v>
      </c>
      <c r="H2404" s="8"/>
      <c r="I2404" s="8"/>
      <c r="J2404" s="8"/>
    </row>
    <row r="2405" ht="21.0" customHeight="1">
      <c r="A2405" s="6">
        <v>1.0</v>
      </c>
      <c r="B2405" s="6">
        <v>183.0</v>
      </c>
      <c r="C2405" s="6">
        <v>8.0</v>
      </c>
      <c r="D2405" s="23" t="s">
        <v>3601</v>
      </c>
      <c r="E2405" s="9" t="s">
        <v>3602</v>
      </c>
      <c r="F2405" s="8" t="str">
        <f>IFERROR(__xludf.DUMMYFUNCTION("GOOGLETRANSLATE(D2405,""zh-CN"",""vi"")"),"Da ngựa thật")</f>
        <v>Da ngựa thật</v>
      </c>
      <c r="G2405" s="8" t="str">
        <f>IFERROR(__xludf.DUMMYFUNCTION("GOOGLETRANSLATE(E2405,""zh-CN"",""vi"")"),"Được làm từ da thật, nó khá đắt tiền. Bạn có thể tổng hợp nó để có được Thỏ Hái Sao.")</f>
        <v>Được làm từ da thật, nó khá đắt tiền. Bạn có thể tổng hợp nó để có được Thỏ Hái Sao.</v>
      </c>
      <c r="H2405" s="8"/>
      <c r="I2405" s="8"/>
      <c r="J2405" s="8"/>
    </row>
    <row r="2406" ht="21.0" customHeight="1">
      <c r="A2406" s="6">
        <v>1.0</v>
      </c>
      <c r="B2406" s="6">
        <v>183.0</v>
      </c>
      <c r="C2406" s="6">
        <v>9.0</v>
      </c>
      <c r="D2406" s="23" t="s">
        <v>3603</v>
      </c>
      <c r="E2406" s="9" t="s">
        <v>3604</v>
      </c>
      <c r="F2406" s="8" t="str">
        <f>IFERROR(__xludf.DUMMYFUNCTION("GOOGLETRANSLATE(D2406,""zh-CN"",""vi"")"),"Thỏ chọn sao")</f>
        <v>Thỏ chọn sao</v>
      </c>
      <c r="G2406" s="8" t="str">
        <f>IFERROR(__xludf.DUMMYFUNCTION("GOOGLETRANSLATE(E2406,""zh-CN"",""vi"")"),"Đây, đây là một vài ngôi sao~ Ghép chúng lại để tạo thành một chú gấu 3D dễ thương.")</f>
        <v>Đây, đây là một vài ngôi sao~ Ghép chúng lại để tạo thành một chú gấu 3D dễ thương.</v>
      </c>
      <c r="H2406" s="8"/>
      <c r="I2406" s="8"/>
      <c r="J2406" s="8"/>
    </row>
    <row r="2407" ht="21.0" customHeight="1">
      <c r="A2407" s="6">
        <v>1.0</v>
      </c>
      <c r="B2407" s="6">
        <v>183.0</v>
      </c>
      <c r="C2407" s="6">
        <v>10.0</v>
      </c>
      <c r="D2407" s="23" t="s">
        <v>3605</v>
      </c>
      <c r="E2407" s="9" t="s">
        <v>3606</v>
      </c>
      <c r="F2407" s="8" t="str">
        <f>IFERROR(__xludf.DUMMYFUNCTION("GOOGLETRANSLATE(D2407,""zh-CN"",""vi"")"),"Gấu 3D dễ thương")</f>
        <v>Gấu 3D dễ thương</v>
      </c>
      <c r="G2407" s="8" t="str">
        <f>IFERROR(__xludf.DUMMYFUNCTION("GOOGLETRANSLATE(E2407,""zh-CN"",""vi"")"),"Dễ thương và đáng yêu, với phần đầu hình gấu. Kết hợp chúng lại để tạo thành một con khủng long 3D.")</f>
        <v>Dễ thương và đáng yêu, với phần đầu hình gấu. Kết hợp chúng lại để tạo thành một con khủng long 3D.</v>
      </c>
      <c r="H2407" s="8"/>
      <c r="I2407" s="8"/>
      <c r="J2407" s="8"/>
    </row>
    <row r="2408" ht="21.0" customHeight="1">
      <c r="A2408" s="6">
        <v>1.0</v>
      </c>
      <c r="B2408" s="6">
        <v>183.0</v>
      </c>
      <c r="C2408" s="6">
        <v>11.0</v>
      </c>
      <c r="D2408" s="23" t="s">
        <v>3607</v>
      </c>
      <c r="E2408" s="9" t="s">
        <v>3608</v>
      </c>
      <c r="F2408" s="8" t="str">
        <f>IFERROR(__xludf.DUMMYFUNCTION("GOOGLETRANSLATE(D2408,""zh-CN"",""vi"")"),"Khủng long 3D")</f>
        <v>Khủng long 3D</v>
      </c>
      <c r="G2408" s="8" t="str">
        <f>IFERROR(__xludf.DUMMYFUNCTION("GOOGLETRANSLATE(E2408,""zh-CN"",""vi"")"),"Khủng long bạo chúa Tyrannosaurus Rex, vị vua đáng yêu nhất của thế giới đồ da. Kết hợp để tạo thành chú tuần lộc 3D.")</f>
        <v>Khủng long bạo chúa Tyrannosaurus Rex, vị vua đáng yêu nhất của thế giới đồ da. Kết hợp để tạo thành chú tuần lộc 3D.</v>
      </c>
      <c r="H2408" s="8"/>
      <c r="I2408" s="8"/>
      <c r="J2408" s="8"/>
    </row>
    <row r="2409" ht="21.0" customHeight="1">
      <c r="A2409" s="6">
        <v>1.0</v>
      </c>
      <c r="B2409" s="6">
        <v>183.0</v>
      </c>
      <c r="C2409" s="6">
        <v>12.0</v>
      </c>
      <c r="D2409" s="23" t="s">
        <v>3609</v>
      </c>
      <c r="E2409" s="9" t="s">
        <v>3610</v>
      </c>
      <c r="F2409" s="8" t="str">
        <f>IFERROR(__xludf.DUMMYFUNCTION("GOOGLETRANSLATE(D2409,""zh-CN"",""vi"")"),"Hươu 3D")</f>
        <v>Hươu 3D</v>
      </c>
      <c r="G2409" s="8" t="str">
        <f>IFERROR(__xludf.DUMMYFUNCTION("GOOGLETRANSLATE(E2409,""zh-CN"",""vi"")"),"Đeo vòng cổ vào để tránh bị lạc. Kết hợp chúng lại để tạo thành một con búp bê thật ngầu.")</f>
        <v>Đeo vòng cổ vào để tránh bị lạc. Kết hợp chúng lại để tạo thành một con búp bê thật ngầu.</v>
      </c>
      <c r="H2409" s="8"/>
      <c r="I2409" s="8"/>
      <c r="J2409" s="8"/>
    </row>
    <row r="2410" ht="21.0" customHeight="1">
      <c r="A2410" s="6">
        <v>1.0</v>
      </c>
      <c r="B2410" s="6">
        <v>183.0</v>
      </c>
      <c r="C2410" s="6">
        <v>13.0</v>
      </c>
      <c r="D2410" s="23" t="s">
        <v>3611</v>
      </c>
      <c r="E2410" s="9" t="s">
        <v>3612</v>
      </c>
      <c r="F2410" s="8" t="str">
        <f>IFERROR(__xludf.DUMMYFUNCTION("GOOGLETRANSLATE(D2410,""zh-CN"",""vi"")"),"Búp bê tuyệt vời")</f>
        <v>Búp bê tuyệt vời</v>
      </c>
      <c r="G2410" s="8" t="str">
        <f>IFERROR(__xludf.DUMMYFUNCTION("GOOGLETRANSLATE(E2410,""zh-CN"",""vi"")"),"Một phụ kiện đa năng và là món đồ thời trang. Sản phẩm được chế tác với chất lượng cao nhất.")</f>
        <v>Một phụ kiện đa năng và là món đồ thời trang. Sản phẩm được chế tác với chất lượng cao nhất.</v>
      </c>
      <c r="H2410" s="8"/>
      <c r="I2410" s="8"/>
      <c r="J2410" s="8"/>
    </row>
    <row r="2411" ht="21.0" customHeight="1">
      <c r="A2411" s="6">
        <v>11.0</v>
      </c>
      <c r="B2411" s="6">
        <v>1042.0</v>
      </c>
      <c r="C2411" s="6">
        <v>1.0</v>
      </c>
      <c r="D2411" s="15" t="s">
        <v>3613</v>
      </c>
      <c r="E2411" s="9" t="s">
        <v>3614</v>
      </c>
      <c r="F2411" s="8" t="str">
        <f>IFERROR(__xludf.DUMMYFUNCTION("GOOGLETRANSLATE(D2411,""zh-CN"",""vi"")"),"Ảnh người nổi tiếng")</f>
        <v>Ảnh người nổi tiếng</v>
      </c>
      <c r="G2411" s="8" t="str">
        <f>IFERROR(__xludf.DUMMYFUNCTION("GOOGLETRANSLATE(E2411,""zh-CN"",""vi"")"),"Tôi muốn trở nên giống người đó. (Hoàn thành một album ảnh về một người nổi tiếng.)")</f>
        <v>Tôi muốn trở nên giống người đó. (Hoàn thành một album ảnh về một người nổi tiếng.)</v>
      </c>
      <c r="H2411" s="8"/>
      <c r="I2411" s="8"/>
      <c r="J2411" s="8"/>
    </row>
    <row r="2412" ht="21.0" customHeight="1">
      <c r="A2412" s="6">
        <v>11.0</v>
      </c>
      <c r="B2412" s="6">
        <v>1042.0</v>
      </c>
      <c r="C2412" s="6">
        <v>2.0</v>
      </c>
      <c r="D2412" s="15" t="s">
        <v>3615</v>
      </c>
      <c r="E2412" s="9" t="s">
        <v>3616</v>
      </c>
      <c r="F2412" s="8" t="str">
        <f>IFERROR(__xludf.DUMMYFUNCTION("GOOGLETRANSLATE(D2412,""zh-CN"",""vi"")"),"Album ảnh người nổi tiếng")</f>
        <v>Album ảnh người nổi tiếng</v>
      </c>
      <c r="G2412" s="8" t="str">
        <f>IFERROR(__xludf.DUMMYFUNCTION("GOOGLETRANSLATE(E2412,""zh-CN"",""vi"")"),"Hãy giữ gìn cẩn thận và đừng bao giờ cho ai mượn. Hãy tổng hợp các thành phần để tạo ra một tạp chí thời trang.")</f>
        <v>Hãy giữ gìn cẩn thận và đừng bao giờ cho ai mượn. Hãy tổng hợp các thành phần để tạo ra một tạp chí thời trang.</v>
      </c>
      <c r="H2412" s="8"/>
      <c r="I2412" s="8"/>
      <c r="J2412" s="8"/>
    </row>
    <row r="2413" ht="21.0" customHeight="1">
      <c r="A2413" s="6">
        <v>11.0</v>
      </c>
      <c r="B2413" s="6">
        <v>1042.0</v>
      </c>
      <c r="C2413" s="6">
        <v>3.0</v>
      </c>
      <c r="D2413" s="15" t="s">
        <v>3617</v>
      </c>
      <c r="E2413" s="9" t="s">
        <v>3618</v>
      </c>
      <c r="F2413" s="8" t="str">
        <f>IFERROR(__xludf.DUMMYFUNCTION("GOOGLETRANSLATE(D2413,""zh-CN"",""vi"")"),"Một tạp chí thời trang")</f>
        <v>Một tạp chí thời trang</v>
      </c>
      <c r="G2413" s="8" t="str">
        <f>IFERROR(__xludf.DUMMYFUNCTION("GOOGLETRANSLATE(E2413,""zh-CN"",""vi"")"),"Khi tôi còn nhỏ, các tạp chí thời trang là một thế giới hoàn toàn mới. (Điều này ám chỉ việc thu thập nhiều tạp chí thời trang thông qua một quá trình gọi là ""tổng hợp"".)")</f>
        <v>Khi tôi còn nhỏ, các tạp chí thời trang là một thế giới hoàn toàn mới. (Điều này ám chỉ việc thu thập nhiều tạp chí thời trang thông qua một quá trình gọi là "tổng hợp".)</v>
      </c>
      <c r="H2413" s="8"/>
      <c r="I2413" s="8"/>
      <c r="J2413" s="8"/>
    </row>
    <row r="2414" ht="21.0" customHeight="1">
      <c r="A2414" s="6">
        <v>11.0</v>
      </c>
      <c r="B2414" s="6">
        <v>1042.0</v>
      </c>
      <c r="C2414" s="6">
        <v>4.0</v>
      </c>
      <c r="D2414" s="15" t="s">
        <v>3619</v>
      </c>
      <c r="E2414" s="9" t="s">
        <v>3620</v>
      </c>
      <c r="F2414" s="8" t="str">
        <f>IFERROR(__xludf.DUMMYFUNCTION("GOOGLETRANSLATE(D2414,""zh-CN"",""vi"")"),"Nhiều tạp chí thời trang")</f>
        <v>Nhiều tạp chí thời trang</v>
      </c>
      <c r="G2414" s="8" t="str">
        <f>IFERROR(__xludf.DUMMYFUNCTION("GOOGLETRANSLATE(E2414,""zh-CN"",""vi"")"),"Đó là nơi tôi học được về thời trang của người nổi tiếng. (Tổng hợp để thu được một viên thuốc.)")</f>
        <v>Đó là nơi tôi học được về thời trang của người nổi tiếng. (Tổng hợp để thu được một viên thuốc.)</v>
      </c>
      <c r="H2414" s="8"/>
      <c r="I2414" s="8"/>
      <c r="J2414" s="8"/>
    </row>
    <row r="2415" ht="21.0" customHeight="1">
      <c r="A2415" s="6">
        <v>10.0</v>
      </c>
      <c r="B2415" s="6">
        <v>1042.0</v>
      </c>
      <c r="C2415" s="6">
        <v>5.0</v>
      </c>
      <c r="D2415" s="15" t="s">
        <v>3621</v>
      </c>
      <c r="E2415" s="9" t="s">
        <v>3622</v>
      </c>
      <c r="F2415" s="8" t="str">
        <f>IFERROR(__xludf.DUMMYFUNCTION("GOOGLETRANSLATE(D2415,""zh-CN"",""vi"")"),"phẳng")</f>
        <v>phẳng</v>
      </c>
      <c r="G2415" s="8" t="str">
        <f>IFERROR(__xludf.DUMMYFUNCTION("GOOGLETRANSLATE(E2415,""zh-CN"",""vi"")"),"Sau khi có internet, tôi đã tìm hiểu về thời trang trực tuyến. Sau đó, tôi đã tự chế tạo một chiếc tivi.")</f>
        <v>Sau khi có internet, tôi đã tìm hiểu về thời trang trực tuyến. Sau đó, tôi đã tự chế tạo một chiếc tivi.</v>
      </c>
      <c r="H2415" s="8"/>
      <c r="I2415" s="8"/>
      <c r="J2415" s="8"/>
    </row>
    <row r="2416" ht="21.0" customHeight="1">
      <c r="A2416" s="6">
        <v>10.0</v>
      </c>
      <c r="B2416" s="6">
        <v>1042.0</v>
      </c>
      <c r="C2416" s="6">
        <v>6.0</v>
      </c>
      <c r="D2416" s="15" t="s">
        <v>3623</v>
      </c>
      <c r="E2416" s="9" t="s">
        <v>3624</v>
      </c>
      <c r="F2416" s="8" t="str">
        <f>IFERROR(__xludf.DUMMYFUNCTION("GOOGLETRANSLATE(D2416,""zh-CN"",""vi"")"),"Tivi")</f>
        <v>Tivi</v>
      </c>
      <c r="G2416" s="8" t="str">
        <f>IFERROR(__xludf.DUMMYFUNCTION("GOOGLETRANSLATE(E2416,""zh-CN"",""vi"")"),"Việc mặc quần áo từ các chương trình truyền hình ra ngoài đời thực thường dẫn đến thảm họa. (Sau đó, đoạn văn đột ngột chuyển sang một chủ đề dường như không liên quan: ""Tổng hợp để có được một tủ quần áo."")")</f>
        <v>Việc mặc quần áo từ các chương trình truyền hình ra ngoài đời thực thường dẫn đến thảm họa. (Sau đó, đoạn văn đột ngột chuyển sang một chủ đề dường như không liên quan: "Tổng hợp để có được một tủ quần áo.")</v>
      </c>
      <c r="H2416" s="8"/>
      <c r="I2416" s="8"/>
      <c r="J2416" s="8"/>
    </row>
    <row r="2417" ht="21.0" customHeight="1">
      <c r="A2417" s="6">
        <v>10.0</v>
      </c>
      <c r="B2417" s="6">
        <v>1042.0</v>
      </c>
      <c r="C2417" s="6">
        <v>7.0</v>
      </c>
      <c r="D2417" s="15" t="s">
        <v>3625</v>
      </c>
      <c r="E2417" s="9" t="s">
        <v>3626</v>
      </c>
      <c r="F2417" s="8" t="str">
        <f>IFERROR(__xludf.DUMMYFUNCTION("GOOGLETRANSLATE(D2417,""zh-CN"",""vi"")"),"Bàn trang điểm")</f>
        <v>Bàn trang điểm</v>
      </c>
      <c r="G2417" s="8" t="str">
        <f>IFERROR(__xludf.DUMMYFUNCTION("GOOGLETRANSLATE(E2417,""zh-CN"",""vi"")"),"Dù bạn có xem bao nhiêu ảnh quần áo trực tuyến đi chăng nữa, không gì sánh bằng việc thử chúng trực tiếp. Hãy xây dựng một tủ quần áo đẳng cấp.")</f>
        <v>Dù bạn có xem bao nhiêu ảnh quần áo trực tuyến đi chăng nữa, không gì sánh bằng việc thử chúng trực tiếp. Hãy xây dựng một tủ quần áo đẳng cấp.</v>
      </c>
      <c r="H2417" s="8"/>
      <c r="I2417" s="8"/>
      <c r="J2417" s="8"/>
    </row>
    <row r="2418" ht="21.0" customHeight="1">
      <c r="A2418" s="6">
        <v>10.0</v>
      </c>
      <c r="B2418" s="6">
        <v>1042.0</v>
      </c>
      <c r="C2418" s="6">
        <v>8.0</v>
      </c>
      <c r="D2418" s="15" t="s">
        <v>3627</v>
      </c>
      <c r="E2418" s="9" t="s">
        <v>3628</v>
      </c>
      <c r="F2418" s="8" t="str">
        <f>IFERROR(__xludf.DUMMYFUNCTION("GOOGLETRANSLATE(D2418,""zh-CN"",""vi"")"),"Bàn trang điểm cao cấp")</f>
        <v>Bàn trang điểm cao cấp</v>
      </c>
      <c r="G2418" s="8" t="str">
        <f>IFERROR(__xludf.DUMMYFUNCTION("GOOGLETRANSLATE(E2418,""zh-CN"",""vi"")"),"Tôi đã thử 10.000 bộ trang phục, nhưng chỉ mua rất ít. Tôi đã kết hợp chúng lại để tạo nên một sàn diễn thời trang.")</f>
        <v>Tôi đã thử 10.000 bộ trang phục, nhưng chỉ mua rất ít. Tôi đã kết hợp chúng lại để tạo nên một sàn diễn thời trang.</v>
      </c>
      <c r="H2418" s="8"/>
      <c r="I2418" s="8"/>
      <c r="J2418" s="8"/>
    </row>
    <row r="2419" ht="21.0" customHeight="1">
      <c r="A2419" s="6">
        <v>10.0</v>
      </c>
      <c r="B2419" s="6">
        <v>1042.0</v>
      </c>
      <c r="C2419" s="6">
        <v>9.0</v>
      </c>
      <c r="D2419" s="15" t="s">
        <v>3629</v>
      </c>
      <c r="E2419" s="9" t="s">
        <v>3630</v>
      </c>
      <c r="F2419" s="8" t="str">
        <f>IFERROR(__xludf.DUMMYFUNCTION("GOOGLETRANSLATE(D2419,""zh-CN"",""vi"")"),"đường băng")</f>
        <v>đường băng</v>
      </c>
      <c r="G2419" s="8" t="str">
        <f>IFERROR(__xludf.DUMMYFUNCTION("GOOGLETRANSLATE(E2419,""zh-CN"",""vi"")"),"""Khi lớn lên, tôi cũng muốn trở thành người mẫu."" (Đây là một phép ẩn dụ cho việc đạt được vẻ ngoài đẳng cấp trên sàn catwalk.)")</f>
        <v>"Khi lớn lên, tôi cũng muốn trở thành người mẫu." (Đây là một phép ẩn dụ cho việc đạt được vẻ ngoài đẳng cấp trên sàn catwalk.)</v>
      </c>
      <c r="H2419" s="8"/>
      <c r="I2419" s="8"/>
      <c r="J2419" s="8"/>
    </row>
    <row r="2420" ht="21.0" customHeight="1">
      <c r="A2420" s="6">
        <v>10.0</v>
      </c>
      <c r="B2420" s="6">
        <v>1042.0</v>
      </c>
      <c r="C2420" s="6">
        <v>10.0</v>
      </c>
      <c r="D2420" s="15" t="s">
        <v>3631</v>
      </c>
      <c r="E2420" s="9" t="s">
        <v>3632</v>
      </c>
      <c r="F2420" s="8" t="str">
        <f>IFERROR(__xludf.DUMMYFUNCTION("GOOGLETRANSLATE(D2420,""zh-CN"",""vi"")"),"Đường băng cao cấp")</f>
        <v>Đường băng cao cấp</v>
      </c>
      <c r="G2420" s="8" t="str">
        <f>IFERROR(__xludf.DUMMYFUNCTION("GOOGLETRANSLATE(E2420,""zh-CN"",""vi"")"),"Tôi muốn bước lên sân khấu này, bởi vì nó quá rực rỡ. (Đã được tổng hợp ở mức độ cao nhất.)")</f>
        <v>Tôi muốn bước lên sân khấu này, bởi vì nó quá rực rỡ. (Đã được tổng hợp ở mức độ cao nhất.)</v>
      </c>
      <c r="H2420" s="8"/>
      <c r="I2420" s="8"/>
      <c r="J2420" s="8"/>
    </row>
    <row r="2421" ht="21.0" customHeight="1">
      <c r="A2421" s="6">
        <v>11.0</v>
      </c>
      <c r="B2421" s="6">
        <v>1043.0</v>
      </c>
      <c r="C2421" s="6">
        <v>1.0</v>
      </c>
      <c r="D2421" s="15" t="s">
        <v>3633</v>
      </c>
      <c r="E2421" s="9" t="s">
        <v>3634</v>
      </c>
      <c r="F2421" s="8" t="str">
        <f>IFERROR(__xludf.DUMMYFUNCTION("GOOGLETRANSLATE(D2421,""zh-CN"",""vi"")"),"Ảnh người nổi tiếng [V]")</f>
        <v>Ảnh người nổi tiếng [V]</v>
      </c>
      <c r="G2421" s="8" t="str">
        <f>IFERROR(__xludf.DUMMYFUNCTION("GOOGLETRANSLATE(E2421,""zh-CN"",""vi"")"),"Tôi muốn trở nên giống người đó. Tổng hợp để có được một album ảnh người nổi tiếng [V].")</f>
        <v>Tôi muốn trở nên giống người đó. Tổng hợp để có được một album ảnh người nổi tiếng [V].</v>
      </c>
      <c r="H2421" s="8"/>
      <c r="I2421" s="8"/>
      <c r="J2421" s="8"/>
    </row>
    <row r="2422" ht="21.0" customHeight="1">
      <c r="A2422" s="6">
        <v>11.0</v>
      </c>
      <c r="B2422" s="6">
        <v>1043.0</v>
      </c>
      <c r="C2422" s="6">
        <v>2.0</v>
      </c>
      <c r="D2422" s="15" t="s">
        <v>3635</v>
      </c>
      <c r="E2422" s="9" t="s">
        <v>3636</v>
      </c>
      <c r="F2422" s="8" t="str">
        <f>IFERROR(__xludf.DUMMYFUNCTION("GOOGLETRANSLATE(D2422,""zh-CN"",""vi"")"),"Album ảnh người nổi tiếng [V]")</f>
        <v>Album ảnh người nổi tiếng [V]</v>
      </c>
      <c r="G2422" s="8" t="str">
        <f>IFERROR(__xludf.DUMMYFUNCTION("GOOGLETRANSLATE(E2422,""zh-CN"",""vi"")"),"Hãy giữ nó an toàn và đừng bao giờ chia sẻ với người khác. Tổng hợp để có được một tạp chí thời trang [V].")</f>
        <v>Hãy giữ nó an toàn và đừng bao giờ chia sẻ với người khác. Tổng hợp để có được một tạp chí thời trang [V].</v>
      </c>
      <c r="H2422" s="8"/>
      <c r="I2422" s="8"/>
      <c r="J2422" s="8"/>
    </row>
    <row r="2423" ht="21.0" customHeight="1">
      <c r="A2423" s="6">
        <v>11.0</v>
      </c>
      <c r="B2423" s="6">
        <v>1043.0</v>
      </c>
      <c r="C2423" s="6">
        <v>3.0</v>
      </c>
      <c r="D2423" s="15" t="s">
        <v>3637</v>
      </c>
      <c r="E2423" s="9" t="s">
        <v>3638</v>
      </c>
      <c r="F2423" s="8" t="str">
        <f>IFERROR(__xludf.DUMMYFUNCTION("GOOGLETRANSLATE(D2423,""zh-CN"",""vi"")"),"Một tạp chí thời trang [V]")</f>
        <v>Một tạp chí thời trang [V]</v>
      </c>
      <c r="G2423" s="8" t="str">
        <f>IFERROR(__xludf.DUMMYFUNCTION("GOOGLETRANSLATE(E2423,""zh-CN"",""vi"")"),"Khi tôi còn nhỏ, các tạp chí thời trang là một thế giới mới. Tổng hợp để có được nhiều tạp chí thời trang [V].")</f>
        <v>Khi tôi còn nhỏ, các tạp chí thời trang là một thế giới mới. Tổng hợp để có được nhiều tạp chí thời trang [V].</v>
      </c>
      <c r="H2423" s="8"/>
      <c r="I2423" s="8"/>
      <c r="J2423" s="8"/>
    </row>
    <row r="2424" ht="21.0" customHeight="1">
      <c r="A2424" s="6">
        <v>11.0</v>
      </c>
      <c r="B2424" s="6">
        <v>1043.0</v>
      </c>
      <c r="C2424" s="6">
        <v>4.0</v>
      </c>
      <c r="D2424" s="15" t="s">
        <v>3639</v>
      </c>
      <c r="E2424" s="9" t="s">
        <v>3640</v>
      </c>
      <c r="F2424" s="8" t="str">
        <f>IFERROR(__xludf.DUMMYFUNCTION("GOOGLETRANSLATE(D2424,""zh-CN"",""vi"")"),"Nhiều tạp chí thời trang [V]")</f>
        <v>Nhiều tạp chí thời trang [V]</v>
      </c>
      <c r="G2424" s="8" t="str">
        <f>IFERROR(__xludf.DUMMYFUNCTION("GOOGLETRANSLATE(E2424,""zh-CN"",""vi"")"),"Đó là nơi tôi học được về thời trang của người nổi tiếng. Tổng hợp để có được một viên thuốc [V].")</f>
        <v>Đó là nơi tôi học được về thời trang của người nổi tiếng. Tổng hợp để có được một viên thuốc [V].</v>
      </c>
      <c r="H2424" s="8"/>
      <c r="I2424" s="8"/>
      <c r="J2424" s="8"/>
    </row>
    <row r="2425" ht="21.0" customHeight="1">
      <c r="A2425" s="6">
        <v>10.0</v>
      </c>
      <c r="B2425" s="6">
        <v>1043.0</v>
      </c>
      <c r="C2425" s="6">
        <v>5.0</v>
      </c>
      <c r="D2425" s="15" t="s">
        <v>3641</v>
      </c>
      <c r="E2425" s="9" t="s">
        <v>3642</v>
      </c>
      <c r="F2425" s="8" t="str">
        <f>IFERROR(__xludf.DUMMYFUNCTION("GOOGLETRANSLATE(D2425,""zh-CN"",""vi"")"),"Viên nén [V]")</f>
        <v>Viên nén [V]</v>
      </c>
      <c r="G2425" s="8" t="str">
        <f>IFERROR(__xludf.DUMMYFUNCTION("GOOGLETRANSLATE(E2425,""zh-CN"",""vi"")"),"Sau khi có truy cập internet, tôi đã tìm hiểu về thời trang trực tuyến. Tôi đã tổng hợp một chiếc tivi [V].")</f>
        <v>Sau khi có truy cập internet, tôi đã tìm hiểu về thời trang trực tuyến. Tôi đã tổng hợp một chiếc tivi [V].</v>
      </c>
      <c r="H2425" s="8"/>
      <c r="I2425" s="8"/>
      <c r="J2425" s="8"/>
    </row>
    <row r="2426" ht="21.0" customHeight="1">
      <c r="A2426" s="6">
        <v>10.0</v>
      </c>
      <c r="B2426" s="6">
        <v>1043.0</v>
      </c>
      <c r="C2426" s="6">
        <v>6.0</v>
      </c>
      <c r="D2426" s="15" t="s">
        <v>3643</v>
      </c>
      <c r="E2426" s="9" t="s">
        <v>3644</v>
      </c>
      <c r="F2426" s="8" t="str">
        <f>IFERROR(__xludf.DUMMYFUNCTION("GOOGLETRANSLATE(D2426,""zh-CN"",""vi"")"),"Truyền hình [V]")</f>
        <v>Truyền hình [V]</v>
      </c>
      <c r="G2426" s="8" t="str">
        <f>IFERROR(__xludf.DUMMYFUNCTION("GOOGLETRANSLATE(E2426,""zh-CN"",""vi"")"),"Việc mặc quần áo từ các chương trình truyền hình ra ngoài đời thực thường dẫn đến thảm họa. Hãy tổng hợp để có được một tủ quần áo [V].")</f>
        <v>Việc mặc quần áo từ các chương trình truyền hình ra ngoài đời thực thường dẫn đến thảm họa. Hãy tổng hợp để có được một tủ quần áo [V].</v>
      </c>
      <c r="H2426" s="8"/>
      <c r="I2426" s="8"/>
      <c r="J2426" s="8"/>
    </row>
    <row r="2427" ht="21.0" customHeight="1">
      <c r="A2427" s="6">
        <v>10.0</v>
      </c>
      <c r="B2427" s="6">
        <v>1043.0</v>
      </c>
      <c r="C2427" s="6">
        <v>7.0</v>
      </c>
      <c r="D2427" s="15" t="s">
        <v>3645</v>
      </c>
      <c r="E2427" s="9" t="s">
        <v>3646</v>
      </c>
      <c r="F2427" s="8" t="str">
        <f>IFERROR(__xludf.DUMMYFUNCTION("GOOGLETRANSLATE(D2427,""zh-CN"",""vi"")"),"Quầy quần áo [V]")</f>
        <v>Quầy quần áo [V]</v>
      </c>
      <c r="G2427" s="8" t="str">
        <f>IFERROR(__xludf.DUMMYFUNCTION("GOOGLETRANSLATE(E2427,""zh-CN"",""vi"")"),"Dù bạn có xem đồ trực tuyến bao nhiêu đi nữa, không gì sánh bằng việc thử trực tiếp. Tổng hợp để có được một tủ quần áo cao cấp [V].")</f>
        <v>Dù bạn có xem đồ trực tuyến bao nhiêu đi nữa, không gì sánh bằng việc thử trực tiếp. Tổng hợp để có được một tủ quần áo cao cấp [V].</v>
      </c>
      <c r="H2427" s="8"/>
      <c r="I2427" s="8"/>
      <c r="J2427" s="8"/>
    </row>
    <row r="2428" ht="21.0" customHeight="1">
      <c r="A2428" s="6">
        <v>10.0</v>
      </c>
      <c r="B2428" s="6">
        <v>1043.0</v>
      </c>
      <c r="C2428" s="6">
        <v>8.0</v>
      </c>
      <c r="D2428" s="15" t="s">
        <v>3647</v>
      </c>
      <c r="E2428" s="9" t="s">
        <v>3648</v>
      </c>
      <c r="F2428" s="8" t="str">
        <f>IFERROR(__xludf.DUMMYFUNCTION("GOOGLETRANSLATE(D2428,""zh-CN"",""vi"")"),"Bàn trang điểm cao cấp [V]")</f>
        <v>Bàn trang điểm cao cấp [V]</v>
      </c>
      <c r="G2428" s="8" t="str">
        <f>IFERROR(__xludf.DUMMYFUNCTION("GOOGLETRANSLATE(E2428,""zh-CN"",""vi"")"),"Tôi đã thử 10.000 bộ trang phục, nhưng chỉ mua rất ít. Tôi đã tổng hợp một sàn diễn thời trang [V].")</f>
        <v>Tôi đã thử 10.000 bộ trang phục, nhưng chỉ mua rất ít. Tôi đã tổng hợp một sàn diễn thời trang [V].</v>
      </c>
      <c r="H2428" s="8"/>
      <c r="I2428" s="8"/>
      <c r="J2428" s="8"/>
    </row>
    <row r="2429" ht="21.0" customHeight="1">
      <c r="A2429" s="6">
        <v>10.0</v>
      </c>
      <c r="B2429" s="6">
        <v>1043.0</v>
      </c>
      <c r="C2429" s="6">
        <v>9.0</v>
      </c>
      <c r="D2429" s="15" t="s">
        <v>3649</v>
      </c>
      <c r="E2429" s="9" t="s">
        <v>3650</v>
      </c>
      <c r="F2429" s="8" t="str">
        <f>IFERROR(__xludf.DUMMYFUNCTION("GOOGLETRANSLATE(D2429,""zh-CN"",""vi"")"),"Đường băng [V]")</f>
        <v>Đường băng [V]</v>
      </c>
      <c r="G2429" s="8" t="str">
        <f>IFERROR(__xludf.DUMMYFUNCTION("GOOGLETRANSLATE(E2429,""zh-CN"",""vi"")"),"""Khi lớn lên, tôi cũng muốn trở thành người mẫu."" Tổng hợp để đạt được đẳng cấp sàn catwalk cao cấp [V].")</f>
        <v>"Khi lớn lên, tôi cũng muốn trở thành người mẫu." Tổng hợp để đạt được đẳng cấp sàn catwalk cao cấp [V].</v>
      </c>
      <c r="H2429" s="8"/>
      <c r="I2429" s="8"/>
      <c r="J2429" s="8"/>
    </row>
    <row r="2430" ht="21.0" customHeight="1">
      <c r="A2430" s="6">
        <v>10.0</v>
      </c>
      <c r="B2430" s="6">
        <v>1043.0</v>
      </c>
      <c r="C2430" s="6">
        <v>10.0</v>
      </c>
      <c r="D2430" s="15" t="s">
        <v>3651</v>
      </c>
      <c r="E2430" s="9" t="s">
        <v>3632</v>
      </c>
      <c r="F2430" s="8" t="str">
        <f>IFERROR(__xludf.DUMMYFUNCTION("GOOGLETRANSLATE(D2430,""zh-CN"",""vi"")"),"Sàn catwalk cao cấp [V]")</f>
        <v>Sàn catwalk cao cấp [V]</v>
      </c>
      <c r="G2430" s="8" t="str">
        <f>IFERROR(__xludf.DUMMYFUNCTION("GOOGLETRANSLATE(E2430,""zh-CN"",""vi"")"),"Tôi muốn bước lên sân khấu này, bởi vì nó quá rực rỡ. (Đã được tổng hợp ở mức độ cao nhất.)")</f>
        <v>Tôi muốn bước lên sân khấu này, bởi vì nó quá rực rỡ. (Đã được tổng hợp ở mức độ cao nhất.)</v>
      </c>
      <c r="H2430" s="8"/>
      <c r="I2430" s="8"/>
      <c r="J2430" s="8"/>
    </row>
    <row r="2431" ht="21.0" customHeight="1">
      <c r="A2431" s="6">
        <v>1.0</v>
      </c>
      <c r="B2431" s="6">
        <v>184.0</v>
      </c>
      <c r="C2431" s="6">
        <v>1.0</v>
      </c>
      <c r="D2431" s="15" t="s">
        <v>3652</v>
      </c>
      <c r="E2431" s="9" t="s">
        <v>3653</v>
      </c>
      <c r="F2431" s="8" t="str">
        <f>IFERROR(__xludf.DUMMYFUNCTION("GOOGLETRANSLATE(D2431,""zh-CN"",""vi"")"),"Áo tank top đơn giản")</f>
        <v>Áo tank top đơn giản</v>
      </c>
      <c r="G2431" s="8" t="str">
        <f>IFERROR(__xludf.DUMMYFUNCTION("GOOGLETRANSLATE(E2431,""zh-CN"",""vi"")"),"Một chiếc áo hai dây đơn giản, màu trơn, hoàn hảo để mặc ở nhà và không dễ bị bẩn. Hãy tự may để có được một chiếc áo hai dây màu hồng.")</f>
        <v>Một chiếc áo hai dây đơn giản, màu trơn, hoàn hảo để mặc ở nhà và không dễ bị bẩn. Hãy tự may để có được một chiếc áo hai dây màu hồng.</v>
      </c>
      <c r="H2431" s="8"/>
      <c r="I2431" s="8"/>
      <c r="J2431" s="8"/>
    </row>
    <row r="2432" ht="21.0" customHeight="1">
      <c r="A2432" s="6">
        <v>1.0</v>
      </c>
      <c r="B2432" s="6">
        <v>184.0</v>
      </c>
      <c r="C2432" s="6">
        <v>2.0</v>
      </c>
      <c r="D2432" s="15" t="s">
        <v>3654</v>
      </c>
      <c r="E2432" s="9" t="s">
        <v>3655</v>
      </c>
      <c r="F2432" s="8" t="str">
        <f>IFERROR(__xludf.DUMMYFUNCTION("GOOGLETRANSLATE(D2432,""zh-CN"",""vi"")"),"áo hai dây màu hồng")</f>
        <v>áo hai dây màu hồng</v>
      </c>
      <c r="G2432" s="8" t="str">
        <f>IFERROR(__xludf.DUMMYFUNCTION("GOOGLETRANSLATE(E2432,""zh-CN"",""vi"")"),"Một chiếc áo hai dây màu hồng thể hiện tâm hồn nữ tính. Hãy may nó để có được một chiếc áo nỉ họa tiết hoa.")</f>
        <v>Một chiếc áo hai dây màu hồng thể hiện tâm hồn nữ tính. Hãy may nó để có được một chiếc áo nỉ họa tiết hoa.</v>
      </c>
      <c r="H2432" s="8"/>
      <c r="I2432" s="8"/>
      <c r="J2432" s="8"/>
    </row>
    <row r="2433" ht="21.0" customHeight="1">
      <c r="A2433" s="6">
        <v>1.0</v>
      </c>
      <c r="B2433" s="6">
        <v>184.0</v>
      </c>
      <c r="C2433" s="6">
        <v>3.0</v>
      </c>
      <c r="D2433" s="15" t="s">
        <v>3656</v>
      </c>
      <c r="E2433" s="9" t="s">
        <v>3657</v>
      </c>
      <c r="F2433" s="8" t="str">
        <f>IFERROR(__xludf.DUMMYFUNCTION("GOOGLETRANSLATE(D2433,""zh-CN"",""vi"")"),"Áo nỉ hoa")</f>
        <v>Áo nỉ hoa</v>
      </c>
      <c r="G2433" s="8" t="str">
        <f>IFERROR(__xludf.DUMMYFUNCTION("GOOGLETRANSLATE(E2433,""zh-CN"",""vi"")"),"Áo hoodie rộng rãi và thoải mái. Được thiết kế để tạo nên chiếc áo hoodie hình thỏ.")</f>
        <v>Áo hoodie rộng rãi và thoải mái. Được thiết kế để tạo nên chiếc áo hoodie hình thỏ.</v>
      </c>
      <c r="H2433" s="8"/>
      <c r="I2433" s="8"/>
      <c r="J2433" s="8"/>
    </row>
    <row r="2434" ht="21.0" customHeight="1">
      <c r="A2434" s="6">
        <v>1.0</v>
      </c>
      <c r="B2434" s="6">
        <v>184.0</v>
      </c>
      <c r="C2434" s="6">
        <v>4.0</v>
      </c>
      <c r="D2434" s="15" t="s">
        <v>3658</v>
      </c>
      <c r="E2434" s="9" t="s">
        <v>3659</v>
      </c>
      <c r="F2434" s="8" t="str">
        <f>IFERROR(__xludf.DUMMYFUNCTION("GOOGLETRANSLATE(D2434,""zh-CN"",""vi"")"),"Áo hoodie hình thỏ")</f>
        <v>Áo hoodie hình thỏ</v>
      </c>
      <c r="G2434" s="8" t="str">
        <f>IFERROR(__xludf.DUMMYFUNCTION("GOOGLETRANSLATE(E2434,""zh-CN"",""vi"")"),"Áo hoodie có hình chú thỏ đáng yêu thêu trên ngực. Kết hợp các mảnh ghép để tạo thành áo hoodie hình gấu.")</f>
        <v>Áo hoodie có hình chú thỏ đáng yêu thêu trên ngực. Kết hợp các mảnh ghép để tạo thành áo hoodie hình gấu.</v>
      </c>
      <c r="H2434" s="8"/>
      <c r="I2434" s="8"/>
      <c r="J2434" s="8"/>
    </row>
    <row r="2435" ht="21.0" customHeight="1">
      <c r="A2435" s="6">
        <v>1.0</v>
      </c>
      <c r="B2435" s="6">
        <v>184.0</v>
      </c>
      <c r="C2435" s="6">
        <v>5.0</v>
      </c>
      <c r="D2435" s="15" t="s">
        <v>3660</v>
      </c>
      <c r="E2435" s="9" t="s">
        <v>3661</v>
      </c>
      <c r="F2435" s="8" t="str">
        <f>IFERROR(__xludf.DUMMYFUNCTION("GOOGLETRANSLATE(D2435,""zh-CN"",""vi"")"),"Áo hoodie hình gấu")</f>
        <v>Áo hoodie hình gấu</v>
      </c>
      <c r="G2435" s="8" t="str">
        <f>IFERROR(__xludf.DUMMYFUNCTION("GOOGLETRANSLATE(E2435,""zh-CN"",""vi"")"),"Chú gấu trông ngây thơ và buồn ngủ. Kết hợp chúng lại để có được Áo Hoodie hình Gấu đi mua sắm.")</f>
        <v>Chú gấu trông ngây thơ và buồn ngủ. Kết hợp chúng lại để có được Áo Hoodie hình Gấu đi mua sắm.</v>
      </c>
      <c r="H2435" s="8"/>
      <c r="I2435" s="8"/>
      <c r="J2435" s="8"/>
    </row>
    <row r="2436" ht="21.0" customHeight="1">
      <c r="A2436" s="6">
        <v>1.0</v>
      </c>
      <c r="B2436" s="6">
        <v>184.0</v>
      </c>
      <c r="C2436" s="6">
        <v>6.0</v>
      </c>
      <c r="D2436" s="15" t="s">
        <v>3662</v>
      </c>
      <c r="E2436" s="9" t="s">
        <v>3663</v>
      </c>
      <c r="F2436" s="8" t="str">
        <f>IFERROR(__xludf.DUMMYFUNCTION("GOOGLETRANSLATE(D2436,""zh-CN"",""vi"")"),"Áo hoodie đi mua sắm hình gấu")</f>
        <v>Áo hoodie đi mua sắm hình gấu</v>
      </c>
      <c r="G2436" s="8" t="str">
        <f>IFERROR(__xludf.DUMMYFUNCTION("GOOGLETRANSLATE(E2436,""zh-CN"",""vi"")"),"Với chiếc túi nhỏ yêu quý trên tay, đã đến lúc đi mua sắm rồi! (Tự tay may bộ đồ thủy thủ.)")</f>
        <v>Với chiếc túi nhỏ yêu quý trên tay, đã đến lúc đi mua sắm rồi! (Tự tay may bộ đồ thủy thủ.)</v>
      </c>
      <c r="H2436" s="8"/>
      <c r="I2436" s="8"/>
      <c r="J2436" s="8"/>
    </row>
    <row r="2437" ht="21.0" customHeight="1">
      <c r="A2437" s="6">
        <v>1.0</v>
      </c>
      <c r="B2437" s="6">
        <v>184.0</v>
      </c>
      <c r="C2437" s="6">
        <v>7.0</v>
      </c>
      <c r="D2437" s="15" t="s">
        <v>3664</v>
      </c>
      <c r="E2437" s="9" t="s">
        <v>3665</v>
      </c>
      <c r="F2437" s="8" t="str">
        <f>IFERROR(__xludf.DUMMYFUNCTION("GOOGLETRANSLATE(D2437,""zh-CN"",""vi"")"),"Bộ đồ thủy thủ trẻ em")</f>
        <v>Bộ đồ thủy thủ trẻ em</v>
      </c>
      <c r="G2437" s="8" t="str">
        <f>IFERROR(__xludf.DUMMYFUNCTION("GOOGLETRANSLATE(E2437,""zh-CN"",""vi"")"),"Những chú mèo hiền lành, những chiếc lá rụng trên khuôn viên trường và những bài thuyết trình đầy năng lượng... tất cả hòa quyện tạo nên một màu sắc kẹo ngọt tiên phong.")</f>
        <v>Những chú mèo hiền lành, những chiếc lá rụng trên khuôn viên trường và những bài thuyết trình đầy năng lượng... tất cả hòa quyện tạo nên một màu sắc kẹo ngọt tiên phong.</v>
      </c>
      <c r="H2437" s="8"/>
      <c r="I2437" s="8"/>
      <c r="J2437" s="8"/>
    </row>
    <row r="2438" ht="21.0" customHeight="1">
      <c r="A2438" s="6">
        <v>1.0</v>
      </c>
      <c r="B2438" s="6">
        <v>184.0</v>
      </c>
      <c r="C2438" s="6">
        <v>8.0</v>
      </c>
      <c r="D2438" s="15" t="s">
        <v>3666</v>
      </c>
      <c r="E2438" s="9" t="s">
        <v>3667</v>
      </c>
      <c r="F2438" s="8" t="str">
        <f>IFERROR(__xludf.DUMMYFUNCTION("GOOGLETRANSLATE(D2438,""zh-CN"",""vi"")"),"Màu kẹo tiên phong")</f>
        <v>Màu kẹo tiên phong</v>
      </c>
      <c r="G2438" s="8" t="str">
        <f>IFERROR(__xludf.DUMMYFUNCTION("GOOGLETRANSLATE(E2438,""zh-CN"",""vi"")"),"Chính vì tinh thần nổi loạn đó, cô ấy đã chọn trở thành một viên kẹo rực rỡ. Tổng hợp lại để có được Romantic Lolita.")</f>
        <v>Chính vì tinh thần nổi loạn đó, cô ấy đã chọn trở thành một viên kẹo rực rỡ. Tổng hợp lại để có được Romantic Lolita.</v>
      </c>
      <c r="H2438" s="8"/>
      <c r="I2438" s="8"/>
      <c r="J2438" s="8"/>
    </row>
    <row r="2439" ht="21.0" customHeight="1">
      <c r="A2439" s="6">
        <v>1.0</v>
      </c>
      <c r="B2439" s="6">
        <v>184.0</v>
      </c>
      <c r="C2439" s="6">
        <v>9.0</v>
      </c>
      <c r="D2439" s="15" t="s">
        <v>3668</v>
      </c>
      <c r="E2439" s="9" t="s">
        <v>3669</v>
      </c>
      <c r="F2439" s="8" t="str">
        <f>IFERROR(__xludf.DUMMYFUNCTION("GOOGLETRANSLATE(D2439,""zh-CN"",""vi"")"),"Lolita ngọt ngào")</f>
        <v>Lolita ngọt ngào</v>
      </c>
      <c r="G2439" s="8" t="str">
        <f>IFERROR(__xludf.DUMMYFUNCTION("GOOGLETRANSLATE(E2439,""zh-CN"",""vi"")"),"Cuộc sống của một cô gái trẻ ngọt ngào như mật ong. (Tự tay may một chiếc váy tulip kiểu Hàn Quốc.)")</f>
        <v>Cuộc sống của một cô gái trẻ ngọt ngào như mật ong. (Tự tay may một chiếc váy tulip kiểu Hàn Quốc.)</v>
      </c>
      <c r="H2439" s="8"/>
      <c r="I2439" s="8"/>
      <c r="J2439" s="8"/>
    </row>
    <row r="2440" ht="21.0" customHeight="1">
      <c r="A2440" s="6">
        <v>1.0</v>
      </c>
      <c r="B2440" s="6">
        <v>184.0</v>
      </c>
      <c r="C2440" s="6">
        <v>10.0</v>
      </c>
      <c r="D2440" s="15" t="s">
        <v>3670</v>
      </c>
      <c r="E2440" s="9" t="s">
        <v>3671</v>
      </c>
      <c r="F2440" s="8" t="str">
        <f>IFERROR(__xludf.DUMMYFUNCTION("GOOGLETRANSLATE(D2440,""zh-CN"",""vi"")"),"váy hoa tulip kiểu Hàn Quốc")</f>
        <v>váy hoa tulip kiểu Hàn Quốc</v>
      </c>
      <c r="G2440" s="8" t="str">
        <f>IFERROR(__xludf.DUMMYFUNCTION("GOOGLETRANSLATE(E2440,""zh-CN"",""vi"")"),"Cô ấy tự tin khoe vẻ đẹp trưởng thành của mình, từ đó trở thành một người có sức ảnh hưởng trên mạng xã hội trong lĩnh vực thời trang.")</f>
        <v>Cô ấy tự tin khoe vẻ đẹp trưởng thành của mình, từ đó trở thành một người có sức ảnh hưởng trên mạng xã hội trong lĩnh vực thời trang.</v>
      </c>
      <c r="H2440" s="8"/>
      <c r="I2440" s="8"/>
      <c r="J2440" s="8"/>
    </row>
    <row r="2441" ht="21.0" customHeight="1">
      <c r="A2441" s="6">
        <v>1.0</v>
      </c>
      <c r="B2441" s="6">
        <v>184.0</v>
      </c>
      <c r="C2441" s="6">
        <v>11.0</v>
      </c>
      <c r="D2441" s="15" t="s">
        <v>3672</v>
      </c>
      <c r="E2441" s="9" t="s">
        <v>3673</v>
      </c>
      <c r="F2441" s="8" t="str">
        <f>IFERROR(__xludf.DUMMYFUNCTION("GOOGLETRANSLATE(D2441,""zh-CN"",""vi"")"),"Những người có tầm ảnh hưởng trong lĩnh vực thời trang")</f>
        <v>Những người có tầm ảnh hưởng trong lĩnh vực thời trang</v>
      </c>
      <c r="G2441" s="8" t="str">
        <f>IFERROR(__xludf.DUMMYFUNCTION("GOOGLETRANSLATE(E2441,""zh-CN"",""vi"")"),"Tại CityWalk, bạn sẽ là người nổi bật nhất khu phố! Tự tay may một chiếc sườn xám kiểu Thượng Hải.")</f>
        <v>Tại CityWalk, bạn sẽ là người nổi bật nhất khu phố! Tự tay may một chiếc sườn xám kiểu Thượng Hải.</v>
      </c>
      <c r="H2441" s="8"/>
      <c r="I2441" s="8"/>
      <c r="J2441" s="8"/>
    </row>
    <row r="2442" ht="21.0" customHeight="1">
      <c r="A2442" s="6">
        <v>1.0</v>
      </c>
      <c r="B2442" s="6">
        <v>184.0</v>
      </c>
      <c r="C2442" s="6">
        <v>12.0</v>
      </c>
      <c r="D2442" s="15" t="s">
        <v>3674</v>
      </c>
      <c r="E2442" s="9" t="s">
        <v>3675</v>
      </c>
      <c r="F2442" s="8" t="str">
        <f>IFERROR(__xludf.DUMMYFUNCTION("GOOGLETRANSLATE(D2442,""zh-CN"",""vi"")"),"Áo sườn xám Đường Thượng Hải")</f>
        <v>Áo sườn xám Đường Thượng Hải</v>
      </c>
      <c r="G2442" s="8" t="str">
        <f>IFERROR(__xludf.DUMMYFUNCTION("GOOGLETRANSLATE(E2442,""zh-CN"",""vi"")"),"Khi khoác lên mình bộ trang phục này, bạn sẽ cảm thấy mình như một người phụ nữ hiện đại đến từ một thời đại đã qua. Bạn có thể tạo nên một tác phẩm kết hợp hoàn hảo giữa phong cách cung đình cổ điển.")</f>
        <v>Khi khoác lên mình bộ trang phục này, bạn sẽ cảm thấy mình như một người phụ nữ hiện đại đến từ một thời đại đã qua. Bạn có thể tạo nên một tác phẩm kết hợp hoàn hảo giữa phong cách cung đình cổ điển.</v>
      </c>
      <c r="H2442" s="8"/>
      <c r="I2442" s="8"/>
      <c r="J2442" s="8"/>
    </row>
    <row r="2443" ht="21.0" customHeight="1">
      <c r="A2443" s="6">
        <v>1.0</v>
      </c>
      <c r="B2443" s="6">
        <v>184.0</v>
      </c>
      <c r="C2443" s="6">
        <v>13.0</v>
      </c>
      <c r="D2443" s="15" t="s">
        <v>3676</v>
      </c>
      <c r="E2443" s="9" t="s">
        <v>3677</v>
      </c>
      <c r="F2443" s="8" t="str">
        <f>IFERROR(__xludf.DUMMYFUNCTION("GOOGLETRANSLATE(D2443,""zh-CN"",""vi"")"),"Trang phục cung điện cổ")</f>
        <v>Trang phục cung điện cổ</v>
      </c>
      <c r="G2443" s="8" t="str">
        <f>IFERROR(__xludf.DUMMYFUNCTION("GOOGLETRANSLATE(E2443,""zh-CN"",""vi"")"),"Khi khiêu vũ một mình dưới ánh trăng, nàng càng trở nên xinh đẹp hơn. (Đã được tổng hợp đến mức độ cao nhất.)")</f>
        <v>Khi khiêu vũ một mình dưới ánh trăng, nàng càng trở nên xinh đẹp hơn. (Đã được tổng hợp đến mức độ cao nhất.)</v>
      </c>
      <c r="H2443" s="8"/>
      <c r="I2443" s="8"/>
      <c r="J2443" s="8"/>
    </row>
    <row r="2444" ht="21.0" customHeight="1">
      <c r="A2444" s="6">
        <v>1.0</v>
      </c>
      <c r="B2444" s="6">
        <v>185.0</v>
      </c>
      <c r="C2444" s="6">
        <v>1.0</v>
      </c>
      <c r="D2444" s="15" t="s">
        <v>3678</v>
      </c>
      <c r="E2444" s="9" t="s">
        <v>3679</v>
      </c>
      <c r="F2444" s="8" t="str">
        <f>IFERROR(__xludf.DUMMYFUNCTION("GOOGLETRANSLATE(D2444,""zh-CN"",""vi"")"),"Áo phông đơn giản")</f>
        <v>Áo phông đơn giản</v>
      </c>
      <c r="G2444" s="8" t="str">
        <f>IFERROR(__xludf.DUMMYFUNCTION("GOOGLETRANSLATE(E2444,""zh-CN"",""vi"")"),"Loại vải đơn giản nhất, nhưng cực kỳ bền. Hãy tự may để có được một chiếc áo sơ mi kẻ caro.")</f>
        <v>Loại vải đơn giản nhất, nhưng cực kỳ bền. Hãy tự may để có được một chiếc áo sơ mi kẻ caro.</v>
      </c>
      <c r="H2444" s="8"/>
      <c r="I2444" s="8"/>
      <c r="J2444" s="8"/>
    </row>
    <row r="2445" ht="21.0" customHeight="1">
      <c r="A2445" s="6">
        <v>1.0</v>
      </c>
      <c r="B2445" s="6">
        <v>185.0</v>
      </c>
      <c r="C2445" s="6">
        <v>2.0</v>
      </c>
      <c r="D2445" s="9" t="s">
        <v>3680</v>
      </c>
      <c r="E2445" s="9" t="s">
        <v>3681</v>
      </c>
      <c r="F2445" s="8" t="str">
        <f>IFERROR(__xludf.DUMMYFUNCTION("GOOGLETRANSLATE(D2445,""zh-CN"",""vi"")"),"áo sơ mi kẻ caro")</f>
        <v>áo sơ mi kẻ caro</v>
      </c>
      <c r="G2445" s="8" t="str">
        <f>IFERROR(__xludf.DUMMYFUNCTION("GOOGLETRANSLATE(E2445,""zh-CN"",""vi"")"),"Đây là bộ trang phục kinh điển dành cho dân công nghệ: nếu bạn không biết mặc gì, thì đây chính là lựa chọn hoàn hảo. Bạn có thể tự may một chiếc áo nỉ có mũ.")</f>
        <v>Đây là bộ trang phục kinh điển dành cho dân công nghệ: nếu bạn không biết mặc gì, thì đây chính là lựa chọn hoàn hảo. Bạn có thể tự may một chiếc áo nỉ có mũ.</v>
      </c>
      <c r="H2445" s="8"/>
      <c r="I2445" s="8"/>
      <c r="J2445" s="8"/>
    </row>
    <row r="2446" ht="21.0" customHeight="1">
      <c r="A2446" s="6">
        <v>1.0</v>
      </c>
      <c r="B2446" s="6">
        <v>185.0</v>
      </c>
      <c r="C2446" s="6">
        <v>3.0</v>
      </c>
      <c r="D2446" s="9" t="s">
        <v>3682</v>
      </c>
      <c r="E2446" s="9" t="s">
        <v>3683</v>
      </c>
      <c r="F2446" s="8" t="str">
        <f>IFERROR(__xludf.DUMMYFUNCTION("GOOGLETRANSLATE(D2446,""zh-CN"",""vi"")"),"áo nỉ có mũ")</f>
        <v>áo nỉ có mũ</v>
      </c>
      <c r="G2446" s="8" t="str">
        <f>IFERROR(__xludf.DUMMYFUNCTION("GOOGLETRANSLATE(E2446,""zh-CN"",""vi"")"),"Giá thành cao, chất lượng tuyệt vời và chống thấm nước. Có thể tự may để tạo thành một bộ áo hoodie.")</f>
        <v>Giá thành cao, chất lượng tuyệt vời và chống thấm nước. Có thể tự may để tạo thành một bộ áo hoodie.</v>
      </c>
      <c r="H2446" s="8"/>
      <c r="I2446" s="8"/>
      <c r="J2446" s="8"/>
    </row>
    <row r="2447" ht="21.0" customHeight="1">
      <c r="A2447" s="6">
        <v>1.0</v>
      </c>
      <c r="B2447" s="6">
        <v>185.0</v>
      </c>
      <c r="C2447" s="6">
        <v>4.0</v>
      </c>
      <c r="D2447" s="15" t="s">
        <v>3684</v>
      </c>
      <c r="E2447" s="9" t="s">
        <v>3685</v>
      </c>
      <c r="F2447" s="8" t="str">
        <f>IFERROR(__xludf.DUMMYFUNCTION("GOOGLETRANSLATE(D2447,""zh-CN"",""vi"")"),"Bộ áo nỉ có mũ")</f>
        <v>Bộ áo nỉ có mũ</v>
      </c>
      <c r="G2447" s="8" t="str">
        <f>IFERROR(__xludf.DUMMYFUNCTION("GOOGLETRANSLATE(E2447,""zh-CN"",""vi"")"),"Thêm quần tây sẽ làm cho bộ trang phục trông thời trang và sành điệu hơn. Kết hợp cả bộ để tạo thành một bộ vest hoàn chỉnh.")</f>
        <v>Thêm quần tây sẽ làm cho bộ trang phục trông thời trang và sành điệu hơn. Kết hợp cả bộ để tạo thành một bộ vest hoàn chỉnh.</v>
      </c>
      <c r="H2447" s="8"/>
      <c r="I2447" s="8"/>
      <c r="J2447" s="8"/>
    </row>
    <row r="2448" ht="21.0" customHeight="1">
      <c r="A2448" s="6">
        <v>1.0</v>
      </c>
      <c r="B2448" s="6">
        <v>185.0</v>
      </c>
      <c r="C2448" s="6">
        <v>5.0</v>
      </c>
      <c r="D2448" s="15" t="s">
        <v>3686</v>
      </c>
      <c r="E2448" s="9" t="s">
        <v>3687</v>
      </c>
      <c r="F2448" s="8" t="str">
        <f>IFERROR(__xludf.DUMMYFUNCTION("GOOGLETRANSLATE(D2448,""zh-CN"",""vi"")"),"bộ đồ")</f>
        <v>bộ đồ</v>
      </c>
      <c r="G2448" s="8" t="str">
        <f>IFERROR(__xludf.DUMMYFUNCTION("GOOGLETRANSLATE(E2448,""zh-CN"",""vi"")"),"Trang phục trang trọng. Có thể phối áo khoác và quần jeans.")</f>
        <v>Trang phục trang trọng. Có thể phối áo khoác và quần jeans.</v>
      </c>
      <c r="H2448" s="8"/>
      <c r="I2448" s="8"/>
      <c r="J2448" s="8"/>
    </row>
    <row r="2449" ht="21.0" customHeight="1">
      <c r="A2449" s="6">
        <v>1.0</v>
      </c>
      <c r="B2449" s="6">
        <v>185.0</v>
      </c>
      <c r="C2449" s="6">
        <v>6.0</v>
      </c>
      <c r="D2449" s="15" t="s">
        <v>3688</v>
      </c>
      <c r="E2449" s="9" t="s">
        <v>3689</v>
      </c>
      <c r="F2449" s="8" t="str">
        <f>IFERROR(__xludf.DUMMYFUNCTION("GOOGLETRANSLATE(D2449,""zh-CN"",""vi"")"),"Áo khoác denim")</f>
        <v>Áo khoác denim</v>
      </c>
      <c r="G2449" s="8" t="str">
        <f>IFERROR(__xludf.DUMMYFUNCTION("GOOGLETRANSLATE(E2449,""zh-CN"",""vi"")"),"Cuối tuần rồi, thời gian để mặc đồ thoải mái và vui chơi thôi. Hãy kết hợp các nguyên liệu để có được Hoàng tử Kỳ nghỉ.")</f>
        <v>Cuối tuần rồi, thời gian để mặc đồ thoải mái và vui chơi thôi. Hãy kết hợp các nguyên liệu để có được Hoàng tử Kỳ nghỉ.</v>
      </c>
      <c r="H2449" s="8"/>
      <c r="I2449" s="8"/>
      <c r="J2449" s="8"/>
    </row>
    <row r="2450" ht="21.0" customHeight="1">
      <c r="A2450" s="6">
        <v>1.0</v>
      </c>
      <c r="B2450" s="6">
        <v>185.0</v>
      </c>
      <c r="C2450" s="6">
        <v>7.0</v>
      </c>
      <c r="D2450" s="15" t="s">
        <v>3690</v>
      </c>
      <c r="E2450" s="9" t="s">
        <v>3691</v>
      </c>
      <c r="F2450" s="8" t="str">
        <f>IFERROR(__xludf.DUMMYFUNCTION("GOOGLETRANSLATE(D2450,""zh-CN"",""vi"")"),"hoàng tử nghỉ dưỡng")</f>
        <v>hoàng tử nghỉ dưỡng</v>
      </c>
      <c r="G2450" s="8" t="str">
        <f>IFERROR(__xludf.DUMMYFUNCTION("GOOGLETRANSLATE(E2450,""zh-CN"",""vi"")"),"Tôi có quần áo rồi, nhưng còn trang viên và du thuyền của tôi thì sao? Hãy tổng hợp lại để có được một người đàn ông lực lưỡng.")</f>
        <v>Tôi có quần áo rồi, nhưng còn trang viên và du thuyền của tôi thì sao? Hãy tổng hợp lại để có được một người đàn ông lực lưỡng.</v>
      </c>
      <c r="H2450" s="8"/>
      <c r="I2450" s="8"/>
      <c r="J2450" s="8"/>
    </row>
    <row r="2451" ht="21.0" customHeight="1">
      <c r="A2451" s="6">
        <v>1.0</v>
      </c>
      <c r="B2451" s="6">
        <v>185.0</v>
      </c>
      <c r="C2451" s="6">
        <v>8.0</v>
      </c>
      <c r="D2451" s="15" t="s">
        <v>3692</v>
      </c>
      <c r="E2451" s="72" t="s">
        <v>3693</v>
      </c>
      <c r="F2451" s="8" t="str">
        <f>IFERROR(__xludf.DUMMYFUNCTION("GOOGLETRANSLATE(D2451,""zh-CN"",""vi"")"),"những người đàn ông lực lưỡng")</f>
        <v>những người đàn ông lực lưỡng</v>
      </c>
      <c r="G2451" s="8" t="str">
        <f>IFERROR(__xludf.DUMMYFUNCTION("GOOGLETRANSLATE(E2451,""zh-CN"",""vi"")"),"Một dáng người kiên quyết đứng trên con đường mòn trên núi. (Sự khéo léo trong chế tác tạo ra những bộ quần áo lao động bền chắc.)")</f>
        <v>Một dáng người kiên quyết đứng trên con đường mòn trên núi. (Sự khéo léo trong chế tác tạo ra những bộ quần áo lao động bền chắc.)</v>
      </c>
      <c r="H2451" s="8"/>
      <c r="I2451" s="8"/>
      <c r="J2451" s="8"/>
    </row>
    <row r="2452" ht="21.0" customHeight="1">
      <c r="A2452" s="6">
        <v>1.0</v>
      </c>
      <c r="B2452" s="6">
        <v>185.0</v>
      </c>
      <c r="C2452" s="6">
        <v>9.0</v>
      </c>
      <c r="D2452" s="15" t="s">
        <v>3694</v>
      </c>
      <c r="E2452" s="9" t="s">
        <v>3695</v>
      </c>
      <c r="F2452" s="8" t="str">
        <f>IFERROR(__xludf.DUMMYFUNCTION("GOOGLETRANSLATE(D2452,""zh-CN"",""vi"")"),"Quần áo lao động bền chắc")</f>
        <v>Quần áo lao động bền chắc</v>
      </c>
      <c r="G2452" s="8" t="str">
        <f>IFERROR(__xludf.DUMMYFUNCTION("GOOGLETRANSLATE(E2452,""zh-CN"",""vi"")"),"Quần áo có thể chịu được gió và mưa là quần áo tốt. (Kết hợp để tạo nên một hình ảnh tuổi trẻ nghệ thuật, giàu cảm xúc.)")</f>
        <v>Quần áo có thể chịu được gió và mưa là quần áo tốt. (Kết hợp để tạo nên một hình ảnh tuổi trẻ nghệ thuật, giàu cảm xúc.)</v>
      </c>
      <c r="H2452" s="8"/>
      <c r="I2452" s="8"/>
      <c r="J2452" s="8"/>
    </row>
    <row r="2453" ht="21.0" customHeight="1">
      <c r="A2453" s="6">
        <v>1.0</v>
      </c>
      <c r="B2453" s="6">
        <v>185.0</v>
      </c>
      <c r="C2453" s="6">
        <v>10.0</v>
      </c>
      <c r="D2453" s="15" t="s">
        <v>3696</v>
      </c>
      <c r="E2453" s="9" t="s">
        <v>3697</v>
      </c>
      <c r="F2453" s="8" t="str">
        <f>IFERROR(__xludf.DUMMYFUNCTION("GOOGLETRANSLATE(D2453,""zh-CN"",""vi"")"),"Thanh niên nghệ thuật")</f>
        <v>Thanh niên nghệ thuật</v>
      </c>
      <c r="G2453" s="8" t="str">
        <f>IFERROR(__xludf.DUMMYFUNCTION("GOOGLETRANSLATE(E2453,""zh-CN"",""vi"")"),"Hướng mặt lên trời, ở góc 45 độ, nước mắt chảy dài trên khuôn mặt. Tổng hợp lại để có được một ngôi sao hàng đầu.")</f>
        <v>Hướng mặt lên trời, ở góc 45 độ, nước mắt chảy dài trên khuôn mặt. Tổng hợp lại để có được một ngôi sao hàng đầu.</v>
      </c>
      <c r="H2453" s="8"/>
      <c r="I2453" s="8"/>
      <c r="J2453" s="8"/>
    </row>
    <row r="2454" ht="21.0" customHeight="1">
      <c r="A2454" s="6">
        <v>1.0</v>
      </c>
      <c r="B2454" s="6">
        <v>185.0</v>
      </c>
      <c r="C2454" s="6">
        <v>11.0</v>
      </c>
      <c r="D2454" s="15" t="s">
        <v>3698</v>
      </c>
      <c r="E2454" s="9" t="s">
        <v>3699</v>
      </c>
      <c r="F2454" s="8" t="str">
        <f>IFERROR(__xludf.DUMMYFUNCTION("GOOGLETRANSLATE(D2454,""zh-CN"",""vi"")"),"Những ngôi sao lớn")</f>
        <v>Những ngôi sao lớn</v>
      </c>
      <c r="G2454" s="8" t="str">
        <f>IFERROR(__xludf.DUMMYFUNCTION("GOOGLETRANSLATE(E2454,""zh-CN"",""vi"")"),"Người ta nói rằng toàn bộ trang phục được may đo riêng. Hình thức tổng hợp này tạo nên vẻ ngoài quý tộc Anh.")</f>
        <v>Người ta nói rằng toàn bộ trang phục được may đo riêng. Hình thức tổng hợp này tạo nên vẻ ngoài quý tộc Anh.</v>
      </c>
      <c r="H2454" s="8"/>
      <c r="I2454" s="8"/>
      <c r="J2454" s="8"/>
    </row>
    <row r="2455" ht="21.0" customHeight="1">
      <c r="A2455" s="6">
        <v>1.0</v>
      </c>
      <c r="B2455" s="6">
        <v>185.0</v>
      </c>
      <c r="C2455" s="6">
        <v>12.0</v>
      </c>
      <c r="D2455" s="15" t="s">
        <v>3700</v>
      </c>
      <c r="E2455" s="9" t="s">
        <v>3701</v>
      </c>
      <c r="F2455" s="8" t="str">
        <f>IFERROR(__xludf.DUMMYFUNCTION("GOOGLETRANSLATE(D2455,""zh-CN"",""vi"")"),"giới quý tộc Anh")</f>
        <v>giới quý tộc Anh</v>
      </c>
      <c r="G2455" s="8" t="str">
        <f>IFERROR(__xludf.DUMMYFUNCTION("GOOGLETRANSLATE(E2455,""zh-CN"",""vi"")"),"Nó sẽ khiến vô số cô gái trẻ say đắm và vô số phụ nữ phải hét lên vì sung sướng. Hãy kết hợp để có được một người đàn ông lịch lãm và tinh tế.")</f>
        <v>Nó sẽ khiến vô số cô gái trẻ say đắm và vô số phụ nữ phải hét lên vì sung sướng. Hãy kết hợp để có được một người đàn ông lịch lãm và tinh tế.</v>
      </c>
      <c r="H2455" s="8"/>
      <c r="I2455" s="8"/>
      <c r="J2455" s="8"/>
    </row>
    <row r="2456" ht="21.0" customHeight="1">
      <c r="A2456" s="6">
        <v>1.0</v>
      </c>
      <c r="B2456" s="6">
        <v>185.0</v>
      </c>
      <c r="C2456" s="6">
        <v>13.0</v>
      </c>
      <c r="D2456" s="15" t="s">
        <v>3702</v>
      </c>
      <c r="E2456" s="9" t="s">
        <v>3703</v>
      </c>
      <c r="F2456" s="8" t="str">
        <f>IFERROR(__xludf.DUMMYFUNCTION("GOOGLETRANSLATE(D2456,""zh-CN"",""vi"")"),"Sang trọng và tinh tế")</f>
        <v>Sang trọng và tinh tế</v>
      </c>
      <c r="G2456" s="8" t="str">
        <f>IFERROR(__xludf.DUMMYFUNCTION("GOOGLETRANSLATE(E2456,""zh-CN"",""vi"")"),"Một kẻ lưu manh có văn hóa, một tên lưu manh có học thức cao, và một tên lưu manh tuân thủ pháp luật. Tất cả những yếu tố này đã được kết hợp ở mức độ cao nhất.")</f>
        <v>Một kẻ lưu manh có văn hóa, một tên lưu manh có học thức cao, và một tên lưu manh tuân thủ pháp luật. Tất cả những yếu tố này đã được kết hợp ở mức độ cao nhất.</v>
      </c>
      <c r="H2456" s="8"/>
      <c r="I2456" s="8"/>
      <c r="J2456" s="8"/>
    </row>
    <row r="2457" ht="21.0" customHeight="1">
      <c r="A2457" s="6">
        <v>1.0</v>
      </c>
      <c r="B2457" s="6">
        <v>186.0</v>
      </c>
      <c r="C2457" s="6">
        <v>1.0</v>
      </c>
      <c r="D2457" s="23" t="s">
        <v>3704</v>
      </c>
      <c r="E2457" s="9" t="s">
        <v>3705</v>
      </c>
      <c r="F2457" s="8" t="str">
        <f>IFERROR(__xludf.DUMMYFUNCTION("GOOGLETRANSLATE(D2457,""zh-CN"",""vi"")"),"Mũ đầu cá")</f>
        <v>Mũ đầu cá</v>
      </c>
      <c r="G2457" s="8" t="str">
        <f>IFERROR(__xludf.DUMMYFUNCTION("GOOGLETRANSLATE(E2457,""zh-CN"",""vi"")"),"Khi cả nhóm cùng đeo chúng vào, cảm giác như bước vào một thế giới dưới nước. Kết hợp chúng lại để có được Ma Halloween.")</f>
        <v>Khi cả nhóm cùng đeo chúng vào, cảm giác như bước vào một thế giới dưới nước. Kết hợp chúng lại để có được Ma Halloween.</v>
      </c>
      <c r="H2457" s="8"/>
      <c r="I2457" s="8"/>
      <c r="J2457" s="8"/>
    </row>
    <row r="2458" ht="21.0" customHeight="1">
      <c r="A2458" s="6">
        <v>1.0</v>
      </c>
      <c r="B2458" s="6">
        <v>186.0</v>
      </c>
      <c r="C2458" s="6">
        <v>2.0</v>
      </c>
      <c r="D2458" s="23" t="s">
        <v>3706</v>
      </c>
      <c r="E2458" s="9" t="s">
        <v>3707</v>
      </c>
      <c r="F2458" s="8" t="str">
        <f>IFERROR(__xludf.DUMMYFUNCTION("GOOGLETRANSLATE(D2458,""zh-CN"",""vi"")"),"Ma quỷ Halloween")</f>
        <v>Ma quỷ Halloween</v>
      </c>
      <c r="G2458" s="8" t="str">
        <f>IFERROR(__xludf.DUMMYFUNCTION("GOOGLETRANSLATE(E2458,""zh-CN"",""vi"")"),"Tôi đến đây rồi~ Tôi đến đây rồi~~~ Tổng hợp để có được bé mũm mĩm đáng yêu.")</f>
        <v>Tôi đến đây rồi~ Tôi đến đây rồi~~~ Tổng hợp để có được bé mũm mĩm đáng yêu.</v>
      </c>
      <c r="H2458" s="8"/>
      <c r="I2458" s="8"/>
      <c r="J2458" s="8"/>
    </row>
    <row r="2459" ht="21.0" customHeight="1">
      <c r="A2459" s="6">
        <v>1.0</v>
      </c>
      <c r="B2459" s="6">
        <v>186.0</v>
      </c>
      <c r="C2459" s="6">
        <v>3.0</v>
      </c>
      <c r="D2459" s="23" t="s">
        <v>3708</v>
      </c>
      <c r="E2459" s="9" t="s">
        <v>3709</v>
      </c>
      <c r="F2459" s="8" t="str">
        <f>IFERROR(__xludf.DUMMYFUNCTION("GOOGLETRANSLATE(D2459,""zh-CN"",""vi"")"),"Béo dễ thương")</f>
        <v>Béo dễ thương</v>
      </c>
      <c r="G2459" s="8" t="str">
        <f>IFERROR(__xludf.DUMMYFUNCTION("GOOGLETRANSLATE(E2459,""zh-CN"",""vi"")"),"Đó là một ngày vô tư lự. (Kết quả là) một vụ bắt cóc bởi người ngoài hành tinh.")</f>
        <v>Đó là một ngày vô tư lự. (Kết quả là) một vụ bắt cóc bởi người ngoài hành tinh.</v>
      </c>
      <c r="H2459" s="8"/>
      <c r="I2459" s="8"/>
      <c r="J2459" s="8"/>
    </row>
    <row r="2460" ht="21.0" customHeight="1">
      <c r="A2460" s="6">
        <v>1.0</v>
      </c>
      <c r="B2460" s="6">
        <v>186.0</v>
      </c>
      <c r="C2460" s="6">
        <v>4.0</v>
      </c>
      <c r="D2460" s="23" t="s">
        <v>3710</v>
      </c>
      <c r="E2460" s="9" t="s">
        <v>3711</v>
      </c>
      <c r="F2460" s="8" t="str">
        <f>IFERROR(__xludf.DUMMYFUNCTION("GOOGLETRANSLATE(D2460,""zh-CN"",""vi"")"),"Vụ bắt cóc bởi người ngoài hành tinh")</f>
        <v>Vụ bắt cóc bởi người ngoài hành tinh</v>
      </c>
      <c r="G2460" s="8" t="str">
        <f>IFERROR(__xludf.DUMMYFUNCTION("GOOGLETRANSLATE(E2460,""zh-CN"",""vi"")"),"Ôi không! Tôi bị người ngoài hành tinh bắt cóc rồi! Cứu tôi với! (Tổng hợp để trở thành Bậc thầy Trái cây.)")</f>
        <v>Ôi không! Tôi bị người ngoài hành tinh bắt cóc rồi! Cứu tôi với! (Tổng hợp để trở thành Bậc thầy Trái cây.)</v>
      </c>
      <c r="H2460" s="8"/>
      <c r="I2460" s="8"/>
      <c r="J2460" s="8"/>
    </row>
    <row r="2461" ht="21.0" customHeight="1">
      <c r="A2461" s="6">
        <v>1.0</v>
      </c>
      <c r="B2461" s="6">
        <v>186.0</v>
      </c>
      <c r="C2461" s="6">
        <v>5.0</v>
      </c>
      <c r="D2461" s="23" t="s">
        <v>3712</v>
      </c>
      <c r="E2461" s="9" t="s">
        <v>3713</v>
      </c>
      <c r="F2461" s="8" t="str">
        <f>IFERROR(__xludf.DUMMYFUNCTION("GOOGLETRANSLATE(D2461,""zh-CN"",""vi"")"),"Chuyên gia về trái cây")</f>
        <v>Chuyên gia về trái cây</v>
      </c>
      <c r="G2461" s="8" t="str">
        <f>IFERROR(__xludf.DUMMYFUNCTION("GOOGLETRANSLATE(E2461,""zh-CN"",""vi"")"),"Tôi là một quả chuối, bạn là một quả táo. Chúng ta đã trốn thoát khỏi vườn cây ăn quả. (Ghép chúng lại để tạo thành một sinh vật kỳ lạ, khác thường.)")</f>
        <v>Tôi là một quả chuối, bạn là một quả táo. Chúng ta đã trốn thoát khỏi vườn cây ăn quả. (Ghép chúng lại để tạo thành một sinh vật kỳ lạ, khác thường.)</v>
      </c>
      <c r="H2461" s="8"/>
      <c r="I2461" s="8"/>
      <c r="J2461" s="8"/>
    </row>
    <row r="2462" ht="21.0" customHeight="1">
      <c r="A2462" s="6">
        <v>1.0</v>
      </c>
      <c r="B2462" s="6">
        <v>186.0</v>
      </c>
      <c r="C2462" s="6">
        <v>6.0</v>
      </c>
      <c r="D2462" s="23" t="s">
        <v>3714</v>
      </c>
      <c r="E2462" s="9" t="s">
        <v>3715</v>
      </c>
      <c r="F2462" s="8" t="str">
        <f>IFERROR(__xludf.DUMMYFUNCTION("GOOGLETRANSLATE(D2462,""zh-CN"",""vi"")"),"Kỳ lạ và khác thường")</f>
        <v>Kỳ lạ và khác thường</v>
      </c>
      <c r="G2462" s="8" t="str">
        <f>IFERROR(__xludf.DUMMYFUNCTION("GOOGLETRANSLATE(E2462,""zh-CN"",""vi"")"),"Trang phục kỳ lạ và quái dị, tôi không biết nó là cái gì. Kết hợp chúng lại để có được chú ếch con.")</f>
        <v>Trang phục kỳ lạ và quái dị, tôi không biết nó là cái gì. Kết hợp chúng lại để có được chú ếch con.</v>
      </c>
      <c r="H2462" s="8"/>
      <c r="I2462" s="8"/>
      <c r="J2462" s="8"/>
    </row>
    <row r="2463" ht="21.0" customHeight="1">
      <c r="A2463" s="6">
        <v>1.0</v>
      </c>
      <c r="B2463" s="6">
        <v>186.0</v>
      </c>
      <c r="C2463" s="6">
        <v>7.0</v>
      </c>
      <c r="D2463" s="23" t="s">
        <v>3716</v>
      </c>
      <c r="E2463" s="72" t="s">
        <v>3717</v>
      </c>
      <c r="F2463" s="8" t="str">
        <f>IFERROR(__xludf.DUMMYFUNCTION("GOOGLETRANSLATE(D2463,""zh-CN"",""vi"")"),"Bán ếch con")</f>
        <v>Bán ếch con</v>
      </c>
      <c r="G2463" s="8" t="str">
        <f>IFERROR(__xludf.DUMMYFUNCTION("GOOGLETRANSLATE(E2463,""zh-CN"",""vi"")"),"Bán ếch! Bán ếch! 3 nhân dân tệ mỗi con, 3 con 10 nhân dân tệ. Ghép chúng lại để được một con ong nhỏ.")</f>
        <v>Bán ếch! Bán ếch! 3 nhân dân tệ mỗi con, 3 con 10 nhân dân tệ. Ghép chúng lại để được một con ong nhỏ.</v>
      </c>
      <c r="H2463" s="8"/>
      <c r="I2463" s="8"/>
      <c r="J2463" s="8"/>
    </row>
    <row r="2464" ht="21.0" customHeight="1">
      <c r="A2464" s="6">
        <v>1.0</v>
      </c>
      <c r="B2464" s="6">
        <v>186.0</v>
      </c>
      <c r="C2464" s="6">
        <v>8.0</v>
      </c>
      <c r="D2464" s="23" t="s">
        <v>3718</v>
      </c>
      <c r="E2464" s="9" t="s">
        <v>3719</v>
      </c>
      <c r="F2464" s="8" t="str">
        <f>IFERROR(__xludf.DUMMYFUNCTION("GOOGLETRANSLATE(D2464,""zh-CN"",""vi"")"),"Một chú ong nhỏ")</f>
        <v>Một chú ong nhỏ</v>
      </c>
      <c r="G2464" s="8" t="str">
        <f>IFERROR(__xludf.DUMMYFUNCTION("GOOGLETRANSLATE(E2464,""zh-CN"",""vi"")"),"Đôi khi tôi ước mình có thể là một chú ong nhỏ vô tư lự. (Hãy tạo một con vịt biết đi.)")</f>
        <v>Đôi khi tôi ước mình có thể là một chú ong nhỏ vô tư lự. (Hãy tạo một con vịt biết đi.)</v>
      </c>
      <c r="H2464" s="8"/>
      <c r="I2464" s="8"/>
      <c r="J2464" s="8"/>
    </row>
    <row r="2465" ht="21.0" customHeight="1">
      <c r="A2465" s="6">
        <v>1.0</v>
      </c>
      <c r="B2465" s="6">
        <v>186.0</v>
      </c>
      <c r="C2465" s="6">
        <v>9.0</v>
      </c>
      <c r="D2465" s="23" t="s">
        <v>3720</v>
      </c>
      <c r="E2465" s="9" t="s">
        <v>3721</v>
      </c>
      <c r="F2465" s="8" t="str">
        <f>IFERROR(__xludf.DUMMYFUNCTION("GOOGLETRANSLATE(D2465,""zh-CN"",""vi"")"),"bước đi kiểu vịt")</f>
        <v>bước đi kiểu vịt</v>
      </c>
      <c r="G2465" s="8" t="str">
        <f>IFERROR(__xludf.DUMMYFUNCTION("GOOGLETRANSLATE(E2465,""zh-CN"",""vi"")"),"Con vịt biết đi và kêu quạc quạc. Kết hợp chúng để có được Khủng long tái sinh.")</f>
        <v>Con vịt biết đi và kêu quạc quạc. Kết hợp chúng để có được Khủng long tái sinh.</v>
      </c>
      <c r="H2465" s="8"/>
      <c r="I2465" s="8"/>
      <c r="J2465" s="8"/>
    </row>
    <row r="2466" ht="21.0" customHeight="1">
      <c r="A2466" s="6">
        <v>1.0</v>
      </c>
      <c r="B2466" s="6">
        <v>186.0</v>
      </c>
      <c r="C2466" s="6">
        <v>10.0</v>
      </c>
      <c r="D2466" s="23" t="s">
        <v>3722</v>
      </c>
      <c r="E2466" s="9" t="s">
        <v>3723</v>
      </c>
      <c r="F2466" s="8" t="str">
        <f>IFERROR(__xludf.DUMMYFUNCTION("GOOGLETRANSLATE(D2466,""zh-CN"",""vi"")"),"Khủng long trở lại")</f>
        <v>Khủng long trở lại</v>
      </c>
      <c r="G2466" s="8" t="str">
        <f>IFERROR(__xludf.DUMMYFUNCTION("GOOGLETRANSLATE(E2466,""zh-CN"",""vi"")"),"Hỡi các sinh vật Trái Đất, vua của các loài bò sát đã trở lại! Hãy chế tạo để có được bộ đồ ngủ hình gấu.")</f>
        <v>Hỡi các sinh vật Trái Đất, vua của các loài bò sát đã trở lại! Hãy chế tạo để có được bộ đồ ngủ hình gấu.</v>
      </c>
      <c r="H2466" s="8"/>
      <c r="I2466" s="8"/>
      <c r="J2466" s="8"/>
    </row>
    <row r="2467" ht="21.0" customHeight="1">
      <c r="A2467" s="6">
        <v>1.0</v>
      </c>
      <c r="B2467" s="6">
        <v>186.0</v>
      </c>
      <c r="C2467" s="6">
        <v>11.0</v>
      </c>
      <c r="D2467" s="23" t="s">
        <v>3724</v>
      </c>
      <c r="E2467" s="9" t="s">
        <v>3725</v>
      </c>
      <c r="F2467" s="8" t="str">
        <f>IFERROR(__xludf.DUMMYFUNCTION("GOOGLETRANSLATE(D2467,""zh-CN"",""vi"")"),"Bộ đồ ngủ hình gấu")</f>
        <v>Bộ đồ ngủ hình gấu</v>
      </c>
      <c r="G2467" s="8" t="str">
        <f>IFERROR(__xludf.DUMMYFUNCTION("GOOGLETRANSLATE(E2467,""zh-CN"",""vi"")"),"Tôi là một chú gấu nhỏ, một chú Winnie the Pooh đang ngủ gật. Kết hợp chúng lại để có được bộ đồ ngủ hình cá mập.")</f>
        <v>Tôi là một chú gấu nhỏ, một chú Winnie the Pooh đang ngủ gật. Kết hợp chúng lại để có được bộ đồ ngủ hình cá mập.</v>
      </c>
      <c r="H2467" s="8"/>
      <c r="I2467" s="8"/>
      <c r="J2467" s="8"/>
    </row>
    <row r="2468" ht="21.0" customHeight="1">
      <c r="A2468" s="6">
        <v>1.0</v>
      </c>
      <c r="B2468" s="6">
        <v>186.0</v>
      </c>
      <c r="C2468" s="6">
        <v>12.0</v>
      </c>
      <c r="D2468" s="23" t="s">
        <v>3726</v>
      </c>
      <c r="E2468" s="9" t="s">
        <v>3727</v>
      </c>
      <c r="F2468" s="8" t="str">
        <f>IFERROR(__xludf.DUMMYFUNCTION("GOOGLETRANSLATE(D2468,""zh-CN"",""vi"")"),"Bộ đồ ngủ hình cá mập")</f>
        <v>Bộ đồ ngủ hình cá mập</v>
      </c>
      <c r="G2468" s="8" t="str">
        <f>IFERROR(__xludf.DUMMYFUNCTION("GOOGLETRANSLATE(E2468,""zh-CN"",""vi"")"),"Trong giấc mơ, tôi là một con cá mập nhỏ giữa đại dương bao la. (Tổng hợp để có được Phù thủy Ma thuật)")</f>
        <v>Trong giấc mơ, tôi là một con cá mập nhỏ giữa đại dương bao la. (Tổng hợp để có được Phù thủy Ma thuật)</v>
      </c>
      <c r="H2468" s="8"/>
      <c r="I2468" s="8"/>
      <c r="J2468" s="8"/>
    </row>
    <row r="2469" ht="21.0" customHeight="1">
      <c r="A2469" s="6">
        <v>1.0</v>
      </c>
      <c r="B2469" s="6">
        <v>186.0</v>
      </c>
      <c r="C2469" s="6">
        <v>13.0</v>
      </c>
      <c r="D2469" s="15" t="s">
        <v>3728</v>
      </c>
      <c r="E2469" s="9" t="s">
        <v>3729</v>
      </c>
      <c r="F2469" s="8" t="str">
        <f>IFERROR(__xludf.DUMMYFUNCTION("GOOGLETRANSLATE(D2469,""zh-CN"",""vi"")"),"Phù thủy ma thuật")</f>
        <v>Phù thủy ma thuật</v>
      </c>
      <c r="G2469" s="8" t="str">
        <f>IFERROR(__xludf.DUMMYFUNCTION("GOOGLETRANSLATE(E2469,""zh-CN"",""vi"")"),"Móng vuốt dơi, sương tháng bảy, cỏ ba lá—Thuốc Sủi Bọt đã thành công! Nó đã được tổng hợp đến cấp độ cao nhất.")</f>
        <v>Móng vuốt dơi, sương tháng bảy, cỏ ba lá—Thuốc Sủi Bọt đã thành công! Nó đã được tổng hợp đến cấp độ cao nhất.</v>
      </c>
      <c r="H2469" s="8"/>
      <c r="I2469" s="8"/>
      <c r="J2469" s="8"/>
    </row>
    <row r="2470" ht="21.0" customHeight="1">
      <c r="A2470" s="6">
        <v>11.0</v>
      </c>
      <c r="B2470" s="6">
        <v>1044.0</v>
      </c>
      <c r="C2470" s="6">
        <v>1.0</v>
      </c>
      <c r="D2470" s="15" t="s">
        <v>3730</v>
      </c>
      <c r="E2470" s="9" t="s">
        <v>3731</v>
      </c>
      <c r="F2470" s="8" t="str">
        <f>IFERROR(__xludf.DUMMYFUNCTION("GOOGLETRANSLATE(D2470,""zh-CN"",""vi"")"),"giày trượt patin")</f>
        <v>giày trượt patin</v>
      </c>
      <c r="G2470" s="8" t="str">
        <f>IFERROR(__xludf.DUMMYFUNCTION("GOOGLETRANSLATE(E2470,""zh-CN"",""vi"")"),"Đi bộ chậm hơn lướt. Kết hợp cả hai để tạo thành một chiếc xe trượt tuyết.")</f>
        <v>Đi bộ chậm hơn lướt. Kết hợp cả hai để tạo thành một chiếc xe trượt tuyết.</v>
      </c>
      <c r="H2470" s="8"/>
      <c r="I2470" s="8"/>
      <c r="J2470" s="8"/>
    </row>
    <row r="2471" ht="21.0" customHeight="1">
      <c r="A2471" s="6">
        <v>11.0</v>
      </c>
      <c r="B2471" s="6">
        <v>1044.0</v>
      </c>
      <c r="C2471" s="6">
        <v>2.0</v>
      </c>
      <c r="D2471" s="15" t="s">
        <v>3732</v>
      </c>
      <c r="E2471" s="9" t="s">
        <v>3733</v>
      </c>
      <c r="F2471" s="8" t="str">
        <f>IFERROR(__xludf.DUMMYFUNCTION("GOOGLETRANSLATE(D2471,""zh-CN"",""vi"")"),"xe trượt tuyết")</f>
        <v>xe trượt tuyết</v>
      </c>
      <c r="G2471" s="8" t="str">
        <f>IFERROR(__xludf.DUMMYFUNCTION("GOOGLETRANSLATE(E2471,""zh-CN"",""vi"")"),"Hãy tận hưởng cảm giác phấn khích khi lao xuống từ độ cao lớn. Tự chế tạo một chiếc xe trượt tuyết.")</f>
        <v>Hãy tận hưởng cảm giác phấn khích khi lao xuống từ độ cao lớn. Tự chế tạo một chiếc xe trượt tuyết.</v>
      </c>
      <c r="H2471" s="8"/>
      <c r="I2471" s="8"/>
      <c r="J2471" s="8"/>
    </row>
    <row r="2472" ht="21.0" customHeight="1">
      <c r="A2472" s="6">
        <v>11.0</v>
      </c>
      <c r="B2472" s="6">
        <v>1044.0</v>
      </c>
      <c r="C2472" s="6">
        <v>3.0</v>
      </c>
      <c r="D2472" s="15" t="s">
        <v>3734</v>
      </c>
      <c r="E2472" s="9" t="s">
        <v>3735</v>
      </c>
      <c r="F2472" s="8" t="str">
        <f>IFERROR(__xludf.DUMMYFUNCTION("GOOGLETRANSLATE(D2472,""zh-CN"",""vi"")"),"xe trượt tuyết")</f>
        <v>xe trượt tuyết</v>
      </c>
      <c r="G2472" s="8" t="str">
        <f>IFERROR(__xludf.DUMMYFUNCTION("GOOGLETRANSLATE(E2472,""zh-CN"",""vi"")"),"Tôi đã có cỗ xe, nhưng những chú chó kéo xe trượt tuyết của tôi đâu? Hãy chế tạo Cỗ xe Băng và Tuyết.")</f>
        <v>Tôi đã có cỗ xe, nhưng những chú chó kéo xe trượt tuyết của tôi đâu? Hãy chế tạo Cỗ xe Băng và Tuyết.</v>
      </c>
      <c r="H2472" s="8"/>
      <c r="I2472" s="8"/>
      <c r="J2472" s="8"/>
    </row>
    <row r="2473" ht="21.0" customHeight="1">
      <c r="A2473" s="6">
        <v>11.0</v>
      </c>
      <c r="B2473" s="6">
        <v>1044.0</v>
      </c>
      <c r="C2473" s="6">
        <v>4.0</v>
      </c>
      <c r="D2473" s="15" t="s">
        <v>3736</v>
      </c>
      <c r="E2473" s="9" t="s">
        <v>3737</v>
      </c>
      <c r="F2473" s="8" t="str">
        <f>IFERROR(__xludf.DUMMYFUNCTION("GOOGLETRANSLATE(D2473,""zh-CN"",""vi"")"),"Xe ngựa chở băng và tuyết")</f>
        <v>Xe ngựa chở băng và tuyết</v>
      </c>
      <c r="G2473" s="8" t="str">
        <f>IFERROR(__xludf.DUMMYFUNCTION("GOOGLETRANSLATE(E2473,""zh-CN"",""vi"")"),"Hãy lên cỗ xe này và đến dự vũ hội của hoàng tử! Kết hợp chúng để có được Xe buýt Băng.")</f>
        <v>Hãy lên cỗ xe này và đến dự vũ hội của hoàng tử! Kết hợp chúng để có được Xe buýt Băng.</v>
      </c>
      <c r="H2473" s="8"/>
      <c r="I2473" s="8"/>
      <c r="J2473" s="8"/>
    </row>
    <row r="2474" ht="21.0" customHeight="1">
      <c r="A2474" s="6">
        <v>10.0</v>
      </c>
      <c r="B2474" s="6">
        <v>1044.0</v>
      </c>
      <c r="C2474" s="6">
        <v>5.0</v>
      </c>
      <c r="D2474" s="15" t="s">
        <v>3738</v>
      </c>
      <c r="E2474" s="9" t="s">
        <v>3739</v>
      </c>
      <c r="F2474" s="8" t="str">
        <f>IFERROR(__xludf.DUMMYFUNCTION("GOOGLETRANSLATE(D2474,""zh-CN"",""vi"")"),"Xe buýt băng tuyết")</f>
        <v>Xe buýt băng tuyết</v>
      </c>
      <c r="G2474" s="8" t="str">
        <f>IFERROR(__xludf.DUMMYFUNCTION("GOOGLETRANSLATE(E2474,""zh-CN"",""vi"")"),"Bằng chứng về công nghệ cực kỳ tiên tiến của Vương quốc Mùa đông. Tổng hợp để có được Đoàn tàu Băng và Tuyết.")</f>
        <v>Bằng chứng về công nghệ cực kỳ tiên tiến của Vương quốc Mùa đông. Tổng hợp để có được Đoàn tàu Băng và Tuyết.</v>
      </c>
      <c r="H2474" s="8"/>
      <c r="I2474" s="8"/>
      <c r="J2474" s="8"/>
    </row>
    <row r="2475" ht="21.0" customHeight="1">
      <c r="A2475" s="6">
        <v>10.0</v>
      </c>
      <c r="B2475" s="6">
        <v>1044.0</v>
      </c>
      <c r="C2475" s="6">
        <v>6.0</v>
      </c>
      <c r="D2475" s="15" t="s">
        <v>3740</v>
      </c>
      <c r="E2475" s="9" t="s">
        <v>3741</v>
      </c>
      <c r="F2475" s="8" t="str">
        <f>IFERROR(__xludf.DUMMYFUNCTION("GOOGLETRANSLATE(D2475,""zh-CN"",""vi"")"),"Tàu băng và tuyết")</f>
        <v>Tàu băng và tuyết</v>
      </c>
      <c r="G2475" s="8" t="str">
        <f>IFERROR(__xludf.DUMMYFUNCTION("GOOGLETRANSLATE(E2475,""zh-CN"",""vi"")"),"Một đoàn tàu hơi nước có khả năng hoạt động trong nhiệt độ đóng băng. Hãy chế tạo nó để có được Đoàn tàu Thỏ Vui Vẻ.")</f>
        <v>Một đoàn tàu hơi nước có khả năng hoạt động trong nhiệt độ đóng băng. Hãy chế tạo nó để có được Đoàn tàu Thỏ Vui Vẻ.</v>
      </c>
      <c r="H2475" s="8"/>
      <c r="I2475" s="8"/>
      <c r="J2475" s="8"/>
    </row>
    <row r="2476" ht="21.0" customHeight="1">
      <c r="A2476" s="6">
        <v>10.0</v>
      </c>
      <c r="B2476" s="6">
        <v>1044.0</v>
      </c>
      <c r="C2476" s="6">
        <v>7.0</v>
      </c>
      <c r="D2476" s="15" t="s">
        <v>3742</v>
      </c>
      <c r="E2476" s="9" t="s">
        <v>3743</v>
      </c>
      <c r="F2476" s="8" t="str">
        <f>IFERROR(__xludf.DUMMYFUNCTION("GOOGLETRANSLATE(D2476,""zh-CN"",""vi"")"),"Tàu Thỏ Vui Vẻ")</f>
        <v>Tàu Thỏ Vui Vẻ</v>
      </c>
      <c r="G2476" s="8" t="str">
        <f>IFERROR(__xludf.DUMMYFUNCTION("GOOGLETRANSLATE(E2476,""zh-CN"",""vi"")"),"Được thiết kế dành riêng cho trẻ em, bộ đồ chơi này tràn đầy niềm vui hồn nhiên. Kết hợp chúng lại để có được Đoàn tàu tuần lộc nhanh nhẹn.")</f>
        <v>Được thiết kế dành riêng cho trẻ em, bộ đồ chơi này tràn đầy niềm vui hồn nhiên. Kết hợp chúng lại để có được Đoàn tàu tuần lộc nhanh nhẹn.</v>
      </c>
      <c r="H2476" s="8"/>
      <c r="I2476" s="8"/>
      <c r="J2476" s="8"/>
    </row>
    <row r="2477" ht="21.0" customHeight="1">
      <c r="A2477" s="6">
        <v>10.0</v>
      </c>
      <c r="B2477" s="6">
        <v>1044.0</v>
      </c>
      <c r="C2477" s="6">
        <v>8.0</v>
      </c>
      <c r="D2477" s="15" t="s">
        <v>3744</v>
      </c>
      <c r="E2477" s="9" t="s">
        <v>3745</v>
      </c>
      <c r="F2477" s="8" t="str">
        <f>IFERROR(__xludf.DUMMYFUNCTION("GOOGLETRANSLATE(D2477,""zh-CN"",""vi"")"),"Tàu tuần lộc nhanh")</f>
        <v>Tàu tuần lộc nhanh</v>
      </c>
      <c r="G2477" s="8" t="str">
        <f>IFERROR(__xludf.DUMMYFUNCTION("GOOGLETRANSLATE(E2477,""zh-CN"",""vi"")"),"Dẫn dắt hành khách trong chuyến hành trình xuyên qua khung cảnh hùng vĩ và ngoạn mục của phương Bắc. Tổng hợp để có được Đoàn tàu Tuyết thần kỳ.")</f>
        <v>Dẫn dắt hành khách trong chuyến hành trình xuyên qua khung cảnh hùng vĩ và ngoạn mục của phương Bắc. Tổng hợp để có được Đoàn tàu Tuyết thần kỳ.</v>
      </c>
      <c r="H2477" s="8"/>
      <c r="I2477" s="8"/>
      <c r="J2477" s="8"/>
    </row>
    <row r="2478" ht="21.0" customHeight="1">
      <c r="A2478" s="6">
        <v>10.0</v>
      </c>
      <c r="B2478" s="6">
        <v>1044.0</v>
      </c>
      <c r="C2478" s="6">
        <v>9.0</v>
      </c>
      <c r="D2478" s="15" t="s">
        <v>3746</v>
      </c>
      <c r="E2478" s="9" t="s">
        <v>3747</v>
      </c>
      <c r="F2478" s="8" t="str">
        <f>IFERROR(__xludf.DUMMYFUNCTION("GOOGLETRANSLATE(D2478,""zh-CN"",""vi"")"),"Tàu Tuyết Kỳ Diệu")</f>
        <v>Tàu Tuyết Kỳ Diệu</v>
      </c>
      <c r="G2478" s="8" t="str">
        <f>IFERROR(__xludf.DUMMYFUNCTION("GOOGLETRANSLATE(E2478,""zh-CN"",""vi"")"),"Một sản phẩm của công nghệ tiên tiến và phép thuật từ Xứ sở Tuyết. Tổng hợp để có được Đoàn tàu Đặc biệt của Xứ sở Tuyết.")</f>
        <v>Một sản phẩm của công nghệ tiên tiến và phép thuật từ Xứ sở Tuyết. Tổng hợp để có được Đoàn tàu Đặc biệt của Xứ sở Tuyết.</v>
      </c>
      <c r="H2478" s="8"/>
      <c r="I2478" s="8"/>
      <c r="J2478" s="8"/>
    </row>
    <row r="2479" ht="21.0" customHeight="1">
      <c r="A2479" s="6">
        <v>10.0</v>
      </c>
      <c r="B2479" s="6">
        <v>1044.0</v>
      </c>
      <c r="C2479" s="6">
        <v>10.0</v>
      </c>
      <c r="D2479" s="15" t="s">
        <v>3748</v>
      </c>
      <c r="E2479" s="9" t="s">
        <v>3749</v>
      </c>
      <c r="F2479" s="8" t="str">
        <f>IFERROR(__xludf.DUMMYFUNCTION("GOOGLETRANSLATE(D2479,""zh-CN"",""vi"")"),"Chuyến tàu đặc biệt vùng tuyết")</f>
        <v>Chuyến tàu đặc biệt vùng tuyết</v>
      </c>
      <c r="G2479" s="8" t="str">
        <f>IFERROR(__xludf.DUMMYFUNCTION("GOOGLETRANSLATE(E2479,""zh-CN"",""vi"")"),"Đoàn tàu hoàng gia là đỉnh cao của công nghệ và phép thuật. Nó đã được tổng hợp đến mức độ cao nhất.")</f>
        <v>Đoàn tàu hoàng gia là đỉnh cao của công nghệ và phép thuật. Nó đã được tổng hợp đến mức độ cao nhất.</v>
      </c>
      <c r="H2479" s="8"/>
      <c r="I2479" s="8"/>
      <c r="J2479" s="8"/>
    </row>
    <row r="2480" ht="21.0" customHeight="1">
      <c r="A2480" s="6">
        <v>11.0</v>
      </c>
      <c r="B2480" s="6">
        <v>1045.0</v>
      </c>
      <c r="C2480" s="6">
        <v>1.0</v>
      </c>
      <c r="D2480" s="15" t="s">
        <v>3750</v>
      </c>
      <c r="E2480" s="9" t="s">
        <v>3751</v>
      </c>
      <c r="F2480" s="8" t="str">
        <f>IFERROR(__xludf.DUMMYFUNCTION("GOOGLETRANSLATE(D2480,""zh-CN"",""vi"")"),"Giày trượt patin [V]")</f>
        <v>Giày trượt patin [V]</v>
      </c>
      <c r="G2480" s="8" t="str">
        <f>IFERROR(__xludf.DUMMYFUNCTION("GOOGLETRANSLATE(E2480,""zh-CN"",""vi"")"),"Đi bộ không nhanh bằng lướt. Kết hợp để tạo thành một chiếc xe trượt tuyết [V].")</f>
        <v>Đi bộ không nhanh bằng lướt. Kết hợp để tạo thành một chiếc xe trượt tuyết [V].</v>
      </c>
      <c r="H2480" s="8"/>
      <c r="I2480" s="8"/>
      <c r="J2480" s="8"/>
    </row>
    <row r="2481" ht="21.0" customHeight="1">
      <c r="A2481" s="6">
        <v>11.0</v>
      </c>
      <c r="B2481" s="6">
        <v>1045.0</v>
      </c>
      <c r="C2481" s="6">
        <v>2.0</v>
      </c>
      <c r="D2481" s="15" t="s">
        <v>3752</v>
      </c>
      <c r="E2481" s="9" t="s">
        <v>3753</v>
      </c>
      <c r="F2481" s="8" t="str">
        <f>IFERROR(__xludf.DUMMYFUNCTION("GOOGLETRANSLATE(D2481,""zh-CN"",""vi"")"),"Xe trượt tuyết [V]")</f>
        <v>Xe trượt tuyết [V]</v>
      </c>
      <c r="G2481" s="8" t="str">
        <f>IFERROR(__xludf.DUMMYFUNCTION("GOOGLETRANSLATE(E2481,""zh-CN"",""vi"")"),"Tận hưởng cảm giác hồi hộp khi lao xuống từ độ cao lớn. Tổng hợp để có được một chiếc xe trượt tuyết [V].")</f>
        <v>Tận hưởng cảm giác hồi hộp khi lao xuống từ độ cao lớn. Tổng hợp để có được một chiếc xe trượt tuyết [V].</v>
      </c>
      <c r="H2481" s="8"/>
      <c r="I2481" s="8"/>
      <c r="J2481" s="8"/>
    </row>
    <row r="2482" ht="21.0" customHeight="1">
      <c r="A2482" s="6">
        <v>11.0</v>
      </c>
      <c r="B2482" s="6">
        <v>1045.0</v>
      </c>
      <c r="C2482" s="6">
        <v>3.0</v>
      </c>
      <c r="D2482" s="15" t="s">
        <v>3754</v>
      </c>
      <c r="E2482" s="9" t="s">
        <v>3755</v>
      </c>
      <c r="F2482" s="8" t="str">
        <f>IFERROR(__xludf.DUMMYFUNCTION("GOOGLETRANSLATE(D2482,""zh-CN"",""vi"")"),"Xe trượt tuyết [V]")</f>
        <v>Xe trượt tuyết [V]</v>
      </c>
      <c r="G2482" s="8" t="str">
        <f>IFERROR(__xludf.DUMMYFUNCTION("GOOGLETRANSLATE(E2482,""zh-CN"",""vi"")"),"Tôi có cỗ xe, nhưng chó kéo xe trượt tuyết của tôi đâu? Chế tạo Cỗ xe Băng và Tuyết [V].")</f>
        <v>Tôi có cỗ xe, nhưng chó kéo xe trượt tuyết của tôi đâu? Chế tạo Cỗ xe Băng và Tuyết [V].</v>
      </c>
      <c r="H2482" s="8"/>
      <c r="I2482" s="8"/>
      <c r="J2482" s="8"/>
    </row>
    <row r="2483" ht="21.0" customHeight="1">
      <c r="A2483" s="6">
        <v>11.0</v>
      </c>
      <c r="B2483" s="6">
        <v>1045.0</v>
      </c>
      <c r="C2483" s="6">
        <v>4.0</v>
      </c>
      <c r="D2483" s="15" t="s">
        <v>3756</v>
      </c>
      <c r="E2483" s="9" t="s">
        <v>3757</v>
      </c>
      <c r="F2483" s="8" t="str">
        <f>IFERROR(__xludf.DUMMYFUNCTION("GOOGLETRANSLATE(D2483,""zh-CN"",""vi"")"),"Xe ngựa băng tuyết [V]")</f>
        <v>Xe ngựa băng tuyết [V]</v>
      </c>
      <c r="G2483" s="8" t="str">
        <f>IFERROR(__xludf.DUMMYFUNCTION("GOOGLETRANSLATE(E2483,""zh-CN"",""vi"")"),"Hãy lên cỗ xe này và đến dự vũ hội của hoàng tử! Kết hợp để có được Xe buýt Băng [V].")</f>
        <v>Hãy lên cỗ xe này và đến dự vũ hội của hoàng tử! Kết hợp để có được Xe buýt Băng [V].</v>
      </c>
      <c r="H2483" s="8"/>
      <c r="I2483" s="8"/>
      <c r="J2483" s="8"/>
    </row>
    <row r="2484" ht="21.0" customHeight="1">
      <c r="A2484" s="6">
        <v>10.0</v>
      </c>
      <c r="B2484" s="6">
        <v>1045.0</v>
      </c>
      <c r="C2484" s="6">
        <v>5.0</v>
      </c>
      <c r="D2484" s="15" t="s">
        <v>3758</v>
      </c>
      <c r="E2484" s="9" t="s">
        <v>3759</v>
      </c>
      <c r="F2484" s="8" t="str">
        <f>IFERROR(__xludf.DUMMYFUNCTION("GOOGLETRANSLATE(D2484,""zh-CN"",""vi"")"),"Xe buýt băng tuyết [V]")</f>
        <v>Xe buýt băng tuyết [V]</v>
      </c>
      <c r="G2484" s="8" t="str">
        <f>IFERROR(__xludf.DUMMYFUNCTION("GOOGLETRANSLATE(E2484,""zh-CN"",""vi"")"),"Bằng chứng về công nghệ tiên tiến vượt bậc của Vương quốc Mùa đông. Tổng hợp để có được Đoàn tàu Băng và Tuyết [V].")</f>
        <v>Bằng chứng về công nghệ tiên tiến vượt bậc của Vương quốc Mùa đông. Tổng hợp để có được Đoàn tàu Băng và Tuyết [V].</v>
      </c>
      <c r="H2484" s="8"/>
      <c r="I2484" s="8"/>
      <c r="J2484" s="8"/>
    </row>
    <row r="2485" ht="21.0" customHeight="1">
      <c r="A2485" s="6">
        <v>10.0</v>
      </c>
      <c r="B2485" s="6">
        <v>1045.0</v>
      </c>
      <c r="C2485" s="6">
        <v>6.0</v>
      </c>
      <c r="D2485" s="15" t="s">
        <v>3760</v>
      </c>
      <c r="E2485" s="9" t="s">
        <v>3761</v>
      </c>
      <c r="F2485" s="8" t="str">
        <f>IFERROR(__xludf.DUMMYFUNCTION("GOOGLETRANSLATE(D2485,""zh-CN"",""vi"")"),"Tàu Băng và Tuyết [V]")</f>
        <v>Tàu Băng và Tuyết [V]</v>
      </c>
      <c r="G2485" s="8" t="str">
        <f>IFERROR(__xludf.DUMMYFUNCTION("GOOGLETRANSLATE(E2485,""zh-CN"",""vi"")"),"Một đoàn tàu hơi nước có khả năng hoạt động trong nhiệt độ đóng băng. Hãy chế tạo nó để có được Đoàn tàu Thỏ Hạnh phúc [V].")</f>
        <v>Một đoàn tàu hơi nước có khả năng hoạt động trong nhiệt độ đóng băng. Hãy chế tạo nó để có được Đoàn tàu Thỏ Hạnh phúc [V].</v>
      </c>
      <c r="H2485" s="8"/>
      <c r="I2485" s="8"/>
      <c r="J2485" s="8"/>
    </row>
    <row r="2486" ht="21.0" customHeight="1">
      <c r="A2486" s="6">
        <v>10.0</v>
      </c>
      <c r="B2486" s="6">
        <v>1045.0</v>
      </c>
      <c r="C2486" s="6">
        <v>7.0</v>
      </c>
      <c r="D2486" s="15" t="s">
        <v>3762</v>
      </c>
      <c r="E2486" s="9" t="s">
        <v>3763</v>
      </c>
      <c r="F2486" s="8" t="str">
        <f>IFERROR(__xludf.DUMMYFUNCTION("GOOGLETRANSLATE(D2486,""zh-CN"",""vi"")"),"Chuyến tàu thỏ hạnh phúc [V]")</f>
        <v>Chuyến tàu thỏ hạnh phúc [V]</v>
      </c>
      <c r="G2486" s="8" t="str">
        <f>IFERROR(__xludf.DUMMYFUNCTION("GOOGLETRANSLATE(E2486,""zh-CN"",""vi"")"),"Được thiết kế đặc biệt dành cho trẻ em, tràn đầy niềm vui hồn nhiên. Kết hợp để có được Đoàn tàu tuần lộc nhanh [V].")</f>
        <v>Được thiết kế đặc biệt dành cho trẻ em, tràn đầy niềm vui hồn nhiên. Kết hợp để có được Đoàn tàu tuần lộc nhanh [V].</v>
      </c>
      <c r="H2486" s="8"/>
      <c r="I2486" s="8"/>
      <c r="J2486" s="8"/>
    </row>
    <row r="2487" ht="21.0" customHeight="1">
      <c r="A2487" s="6">
        <v>10.0</v>
      </c>
      <c r="B2487" s="6">
        <v>1045.0</v>
      </c>
      <c r="C2487" s="6">
        <v>8.0</v>
      </c>
      <c r="D2487" s="15" t="s">
        <v>3764</v>
      </c>
      <c r="E2487" s="9" t="s">
        <v>3765</v>
      </c>
      <c r="F2487" s="8" t="str">
        <f>IFERROR(__xludf.DUMMYFUNCTION("GOOGLETRANSLATE(D2487,""zh-CN"",""vi"")"),"Tàu tuần lộc nhanh [V]")</f>
        <v>Tàu tuần lộc nhanh [V]</v>
      </c>
      <c r="G2487" s="8" t="str">
        <f>IFERROR(__xludf.DUMMYFUNCTION("GOOGLETRANSLATE(E2487,""zh-CN"",""vi"")"),"Dẫn dắt hành khách trong một cuộc hành trình xuyên qua khung cảnh hùng vĩ và ngoạn mục của phương Bắc. Tổng hợp để có được Tàu Tuyết Thần Kỳ [V].")</f>
        <v>Dẫn dắt hành khách trong một cuộc hành trình xuyên qua khung cảnh hùng vĩ và ngoạn mục của phương Bắc. Tổng hợp để có được Tàu Tuyết Thần Kỳ [V].</v>
      </c>
      <c r="H2487" s="8"/>
      <c r="I2487" s="8"/>
      <c r="J2487" s="8"/>
    </row>
    <row r="2488" ht="21.0" customHeight="1">
      <c r="A2488" s="6">
        <v>10.0</v>
      </c>
      <c r="B2488" s="6">
        <v>1045.0</v>
      </c>
      <c r="C2488" s="6">
        <v>9.0</v>
      </c>
      <c r="D2488" s="15" t="s">
        <v>3766</v>
      </c>
      <c r="E2488" s="9" t="s">
        <v>3767</v>
      </c>
      <c r="F2488" s="8" t="str">
        <f>IFERROR(__xludf.DUMMYFUNCTION("GOOGLETRANSLATE(D2488,""zh-CN"",""vi"")"),"Tàu Tuyết Kỳ Diệu [V]")</f>
        <v>Tàu Tuyết Kỳ Diệu [V]</v>
      </c>
      <c r="G2488" s="8" t="str">
        <f>IFERROR(__xludf.DUMMYFUNCTION("GOOGLETRANSLATE(E2488,""zh-CN"",""vi"")"),"Một sản phẩm của công nghệ tiên tiến và phép thuật của Xứ sở Tuyết. Tổng hợp để có được Tàu hỏa đặc biệt của Xứ sở Tuyết [V].")</f>
        <v>Một sản phẩm của công nghệ tiên tiến và phép thuật của Xứ sở Tuyết. Tổng hợp để có được Tàu hỏa đặc biệt của Xứ sở Tuyết [V].</v>
      </c>
      <c r="H2488" s="8"/>
      <c r="I2488" s="8"/>
      <c r="J2488" s="8"/>
    </row>
    <row r="2489" ht="21.0" customHeight="1">
      <c r="A2489" s="6">
        <v>10.0</v>
      </c>
      <c r="B2489" s="6">
        <v>1045.0</v>
      </c>
      <c r="C2489" s="6">
        <v>10.0</v>
      </c>
      <c r="D2489" s="15" t="s">
        <v>3768</v>
      </c>
      <c r="E2489" s="9" t="s">
        <v>3749</v>
      </c>
      <c r="F2489" s="8" t="str">
        <f>IFERROR(__xludf.DUMMYFUNCTION("GOOGLETRANSLATE(D2489,""zh-CN"",""vi"")"),"Chuyến tàu tốc hành vùng tuyết [V]")</f>
        <v>Chuyến tàu tốc hành vùng tuyết [V]</v>
      </c>
      <c r="G2489" s="8" t="str">
        <f>IFERROR(__xludf.DUMMYFUNCTION("GOOGLETRANSLATE(E2489,""zh-CN"",""vi"")"),"Đoàn tàu hoàng gia là đỉnh cao của công nghệ và phép thuật. Nó đã được tổng hợp đến mức độ cao nhất.")</f>
        <v>Đoàn tàu hoàng gia là đỉnh cao của công nghệ và phép thuật. Nó đã được tổng hợp đến mức độ cao nhất.</v>
      </c>
      <c r="H2489" s="8"/>
      <c r="I2489" s="8"/>
      <c r="J2489" s="8"/>
    </row>
    <row r="2490" ht="21.0" customHeight="1">
      <c r="A2490" s="6">
        <v>1.0</v>
      </c>
      <c r="B2490" s="6">
        <v>187.0</v>
      </c>
      <c r="C2490" s="6">
        <v>1.0</v>
      </c>
      <c r="D2490" s="15" t="s">
        <v>3769</v>
      </c>
      <c r="E2490" s="9" t="s">
        <v>3770</v>
      </c>
      <c r="F2490" s="8" t="str">
        <f>IFERROR(__xludf.DUMMYFUNCTION("GOOGLETRANSLATE(D2490,""zh-CN"",""vi"")"),"cà phê nóng")</f>
        <v>cà phê nóng</v>
      </c>
      <c r="G2490" s="8" t="str">
        <f>IFERROR(__xludf.DUMMYFUNCTION("GOOGLETRANSLATE(E2490,""zh-CN"",""vi"")"),"Một tách cà phê nóng sẽ sưởi ấm bạn suốt mùa đông. Hãy tự tay pha chế cà phê hình khối mèo.")</f>
        <v>Một tách cà phê nóng sẽ sưởi ấm bạn suốt mùa đông. Hãy tự tay pha chế cà phê hình khối mèo.</v>
      </c>
      <c r="H2490" s="8"/>
      <c r="I2490" s="8"/>
      <c r="J2490" s="8"/>
    </row>
    <row r="2491" ht="21.0" customHeight="1">
      <c r="A2491" s="6">
        <v>1.0</v>
      </c>
      <c r="B2491" s="6">
        <v>187.0</v>
      </c>
      <c r="C2491" s="6">
        <v>2.0</v>
      </c>
      <c r="D2491" s="15" t="s">
        <v>3771</v>
      </c>
      <c r="E2491" s="9" t="s">
        <v>3772</v>
      </c>
      <c r="F2491" s="8" t="str">
        <f>IFERROR(__xludf.DUMMYFUNCTION("GOOGLETRANSLATE(D2491,""zh-CN"",""vi"")"),"Cà phê đường hình mèo")</f>
        <v>Cà phê đường hình mèo</v>
      </c>
      <c r="G2491" s="8" t="str">
        <f>IFERROR(__xludf.DUMMYFUNCTION("GOOGLETRANSLATE(E2491,""zh-CN"",""vi"")"),"Nếu thấy quá đắng, hãy thêm một viên đường hình mèo. Kết hợp cả hai để có Cà phê Nấm.")</f>
        <v>Nếu thấy quá đắng, hãy thêm một viên đường hình mèo. Kết hợp cả hai để có Cà phê Nấm.</v>
      </c>
      <c r="H2491" s="8"/>
      <c r="I2491" s="8"/>
      <c r="J2491" s="8"/>
    </row>
    <row r="2492" ht="21.0" customHeight="1">
      <c r="A2492" s="6">
        <v>1.0</v>
      </c>
      <c r="B2492" s="6">
        <v>187.0</v>
      </c>
      <c r="C2492" s="6">
        <v>3.0</v>
      </c>
      <c r="D2492" s="15" t="s">
        <v>3773</v>
      </c>
      <c r="E2492" s="9" t="s">
        <v>3774</v>
      </c>
      <c r="F2492" s="8" t="str">
        <f>IFERROR(__xludf.DUMMYFUNCTION("GOOGLETRANSLATE(D2492,""zh-CN"",""vi"")"),"Cà phê nấm")</f>
        <v>Cà phê nấm</v>
      </c>
      <c r="G2492" s="8" t="str">
        <f>IFERROR(__xludf.DUMMYFUNCTION("GOOGLETRANSLATE(E2492,""zh-CN"",""vi"")"),"Một sự kết hợp tuyệt vời giữa phương Đông và phương Tây; người ta nói rằng nếu thêm nấm Linh Chi (Ganoderma lucidum) thì sẽ ngon hơn nữa. Kết hợp chúng để tạo ra cà phê bánh bao.")</f>
        <v>Một sự kết hợp tuyệt vời giữa phương Đông và phương Tây; người ta nói rằng nếu thêm nấm Linh Chi (Ganoderma lucidum) thì sẽ ngon hơn nữa. Kết hợp chúng để tạo ra cà phê bánh bao.</v>
      </c>
      <c r="H2492" s="8"/>
      <c r="I2492" s="8"/>
      <c r="J2492" s="8"/>
    </row>
    <row r="2493" ht="21.0" customHeight="1">
      <c r="A2493" s="6">
        <v>1.0</v>
      </c>
      <c r="B2493" s="6">
        <v>187.0</v>
      </c>
      <c r="C2493" s="6">
        <v>4.0</v>
      </c>
      <c r="D2493" s="15" t="s">
        <v>3775</v>
      </c>
      <c r="E2493" s="9" t="s">
        <v>3776</v>
      </c>
      <c r="F2493" s="8" t="str">
        <f>IFERROR(__xludf.DUMMYFUNCTION("GOOGLETRANSLATE(D2493,""zh-CN"",""vi"")"),"Cà phê bánh bao")</f>
        <v>Cà phê bánh bao</v>
      </c>
      <c r="G2493" s="8" t="str">
        <f>IFERROR(__xludf.DUMMYFUNCTION("GOOGLETRANSLATE(E2493,""zh-CN"",""vi"")"),"Những chiếc bánh bao này dễ thương quá, chắc bạn không nỡ ăn chúng, phải không? Kết hợp chúng lại để làm món fondue sô cô la.")</f>
        <v>Những chiếc bánh bao này dễ thương quá, chắc bạn không nỡ ăn chúng, phải không? Kết hợp chúng lại để làm món fondue sô cô la.</v>
      </c>
      <c r="H2493" s="8"/>
      <c r="I2493" s="8"/>
      <c r="J2493" s="8"/>
    </row>
    <row r="2494" ht="21.0" customHeight="1">
      <c r="A2494" s="6">
        <v>1.0</v>
      </c>
      <c r="B2494" s="6">
        <v>187.0</v>
      </c>
      <c r="C2494" s="6">
        <v>5.0</v>
      </c>
      <c r="D2494" s="15" t="s">
        <v>3777</v>
      </c>
      <c r="E2494" s="9" t="s">
        <v>3778</v>
      </c>
      <c r="F2494" s="8" t="str">
        <f>IFERROR(__xludf.DUMMYFUNCTION("GOOGLETRANSLATE(D2494,""zh-CN"",""vi"")"),"Fondue sô cô la")</f>
        <v>Fondue sô cô la</v>
      </c>
      <c r="G2494" s="8" t="str">
        <f>IFERROR(__xludf.DUMMYFUNCTION("GOOGLETRANSLATE(E2494,""zh-CN"",""vi"")"),"Món này thường được ăn kèm với các món ăn thịnh soạn, vì vậy nó rất giàu calo. Bạn có thể tự làm món fondue kem.")</f>
        <v>Món này thường được ăn kèm với các món ăn thịnh soạn, vì vậy nó rất giàu calo. Bạn có thể tự làm món fondue kem.</v>
      </c>
      <c r="H2494" s="8"/>
      <c r="I2494" s="8"/>
      <c r="J2494" s="8"/>
    </row>
    <row r="2495" ht="21.0" customHeight="1">
      <c r="A2495" s="6">
        <v>1.0</v>
      </c>
      <c r="B2495" s="6">
        <v>187.0</v>
      </c>
      <c r="C2495" s="6">
        <v>6.0</v>
      </c>
      <c r="D2495" s="15" t="s">
        <v>3779</v>
      </c>
      <c r="E2495" s="9" t="s">
        <v>3780</v>
      </c>
      <c r="F2495" s="8" t="str">
        <f>IFERROR(__xludf.DUMMYFUNCTION("GOOGLETRANSLATE(D2495,""zh-CN"",""vi"")"),"Kem fondue")</f>
        <v>Kem fondue</v>
      </c>
      <c r="G2495" s="8" t="str">
        <f>IFERROR(__xludf.DUMMYFUNCTION("GOOGLETRANSLATE(E2495,""zh-CN"",""vi"")"),"Trải nghiệm sự tương phản kỳ lạ giữa băng và lửa. Kết hợp chúng để tạo ra Lẩu Kẹo Màu Sắc.")</f>
        <v>Trải nghiệm sự tương phản kỳ lạ giữa băng và lửa. Kết hợp chúng để tạo ra Lẩu Kẹo Màu Sắc.</v>
      </c>
      <c r="H2495" s="8"/>
      <c r="I2495" s="8"/>
      <c r="J2495" s="8"/>
    </row>
    <row r="2496" ht="21.0" customHeight="1">
      <c r="A2496" s="6">
        <v>1.0</v>
      </c>
      <c r="B2496" s="6">
        <v>187.0</v>
      </c>
      <c r="C2496" s="6">
        <v>7.0</v>
      </c>
      <c r="D2496" s="15" t="s">
        <v>3781</v>
      </c>
      <c r="E2496" s="9" t="s">
        <v>3782</v>
      </c>
      <c r="F2496" s="8" t="str">
        <f>IFERROR(__xludf.DUMMYFUNCTION("GOOGLETRANSLATE(D2496,""zh-CN"",""vi"")"),"Lẩu kẹo nhiều màu sắc")</f>
        <v>Lẩu kẹo nhiều màu sắc</v>
      </c>
      <c r="G2496" s="8" t="str">
        <f>IFERROR(__xludf.DUMMYFUNCTION("GOOGLETRANSLATE(E2496,""zh-CN"",""vi"")"),"Nghe nói ăn kèm nước chấm sẽ ngon hơn, nhưng đó chỉ là lời đồn. Kết hợp các nguyên liệu để tạo thành Lẩu Trà Sữa Nhiều Màu Sắc.")</f>
        <v>Nghe nói ăn kèm nước chấm sẽ ngon hơn, nhưng đó chỉ là lời đồn. Kết hợp các nguyên liệu để tạo thành Lẩu Trà Sữa Nhiều Màu Sắc.</v>
      </c>
      <c r="H2496" s="8"/>
      <c r="I2496" s="8"/>
      <c r="J2496" s="8"/>
    </row>
    <row r="2497" ht="21.0" customHeight="1">
      <c r="A2497" s="6">
        <v>1.0</v>
      </c>
      <c r="B2497" s="6">
        <v>187.0</v>
      </c>
      <c r="C2497" s="6">
        <v>8.0</v>
      </c>
      <c r="D2497" s="15" t="s">
        <v>3783</v>
      </c>
      <c r="E2497" s="9" t="s">
        <v>3784</v>
      </c>
      <c r="F2497" s="8" t="str">
        <f>IFERROR(__xludf.DUMMYFUNCTION("GOOGLETRANSLATE(D2497,""zh-CN"",""vi"")"),"Lẩu trà sữa nhiều màu sắc")</f>
        <v>Lẩu trà sữa nhiều màu sắc</v>
      </c>
      <c r="G2497" s="8" t="str">
        <f>IFERROR(__xludf.DUMMYFUNCTION("GOOGLETRANSLATE(E2497,""zh-CN"",""vi"")"),"Lẩu trà sữa chỉ được một số ít người ưa thích. Từ đó, người ta có thể chế biến thành món lẩu suối nước nóng.")</f>
        <v>Lẩu trà sữa chỉ được một số ít người ưa thích. Từ đó, người ta có thể chế biến thành món lẩu suối nước nóng.</v>
      </c>
      <c r="H2497" s="8"/>
      <c r="I2497" s="8"/>
      <c r="J2497" s="8"/>
    </row>
    <row r="2498" ht="21.0" customHeight="1">
      <c r="A2498" s="6">
        <v>1.0</v>
      </c>
      <c r="B2498" s="6">
        <v>187.0</v>
      </c>
      <c r="C2498" s="6">
        <v>9.0</v>
      </c>
      <c r="D2498" s="15" t="s">
        <v>3785</v>
      </c>
      <c r="E2498" s="9" t="s">
        <v>3786</v>
      </c>
      <c r="F2498" s="8" t="str">
        <f>IFERROR(__xludf.DUMMYFUNCTION("GOOGLETRANSLATE(D2498,""zh-CN"",""vi"")"),"tắm suối nước nóng, lẩu")</f>
        <v>tắm suối nước nóng, lẩu</v>
      </c>
      <c r="G2498" s="8" t="str">
        <f>IFERROR(__xludf.DUMMYFUNCTION("GOOGLETRANSLATE(E2498,""zh-CN"",""vi"")"),"Con ngỗng đang tận hưởng một bồn tắm thoải mái, không hề hay biết điều gì đó không ổn. Một chiếc bánh kem hình con mèo đã được tạo ra thông qua quá trình tổng hợp.")</f>
        <v>Con ngỗng đang tận hưởng một bồn tắm thoải mái, không hề hay biết điều gì đó không ổn. Một chiếc bánh kem hình con mèo đã được tạo ra thông qua quá trình tổng hợp.</v>
      </c>
      <c r="H2498" s="8"/>
      <c r="I2498" s="8"/>
      <c r="J2498" s="8"/>
    </row>
    <row r="2499" ht="21.0" customHeight="1">
      <c r="A2499" s="6">
        <v>1.0</v>
      </c>
      <c r="B2499" s="6">
        <v>187.0</v>
      </c>
      <c r="C2499" s="6">
        <v>10.0</v>
      </c>
      <c r="D2499" s="15" t="s">
        <v>3787</v>
      </c>
      <c r="E2499" s="9" t="s">
        <v>3788</v>
      </c>
      <c r="F2499" s="8" t="str">
        <f>IFERROR(__xludf.DUMMYFUNCTION("GOOGLETRANSLATE(D2499,""zh-CN"",""vi"")"),"Bánh kem hình mèo")</f>
        <v>Bánh kem hình mèo</v>
      </c>
      <c r="G2499" s="8" t="str">
        <f>IFERROR(__xludf.DUMMYFUNCTION("GOOGLETRANSLATE(E2499,""zh-CN"",""vi"")"),"Tương truyền rằng một số người ở Vương quốc Mùa Đông sinh năm Mèo. Kết hợp chúng lại để được một con Thỏ và một chiếc bánh dâu tây.")</f>
        <v>Tương truyền rằng một số người ở Vương quốc Mùa Đông sinh năm Mèo. Kết hợp chúng lại để được một con Thỏ và một chiếc bánh dâu tây.</v>
      </c>
      <c r="H2499" s="8"/>
      <c r="I2499" s="8"/>
      <c r="J2499" s="8"/>
    </row>
    <row r="2500" ht="21.0" customHeight="1">
      <c r="A2500" s="6">
        <v>1.0</v>
      </c>
      <c r="B2500" s="6">
        <v>187.0</v>
      </c>
      <c r="C2500" s="6">
        <v>11.0</v>
      </c>
      <c r="D2500" s="15" t="s">
        <v>3789</v>
      </c>
      <c r="E2500" s="9" t="s">
        <v>3790</v>
      </c>
      <c r="F2500" s="8" t="str">
        <f>IFERROR(__xludf.DUMMYFUNCTION("GOOGLETRANSLATE(D2500,""zh-CN"",""vi"")"),"Bánh thỏ và dâu tây")</f>
        <v>Bánh thỏ và dâu tây</v>
      </c>
      <c r="G2500" s="8" t="str">
        <f>IFERROR(__xludf.DUMMYFUNCTION("GOOGLETRANSLATE(E2500,""zh-CN"",""vi"")"),"Màu hồng và hình ảnh chú thỏ tượng trưng cho sự thuần khiết, vẻ đẹp và những giấc mơ trở thành hiện thực. Hãy kết hợp chúng để tạo nên một chiếc bánh mousse hình gấu.")</f>
        <v>Màu hồng và hình ảnh chú thỏ tượng trưng cho sự thuần khiết, vẻ đẹp và những giấc mơ trở thành hiện thực. Hãy kết hợp chúng để tạo nên một chiếc bánh mousse hình gấu.</v>
      </c>
      <c r="H2500" s="8"/>
      <c r="I2500" s="8"/>
      <c r="J2500" s="8"/>
    </row>
    <row r="2501" ht="21.0" customHeight="1">
      <c r="A2501" s="6">
        <v>1.0</v>
      </c>
      <c r="B2501" s="6">
        <v>187.0</v>
      </c>
      <c r="C2501" s="6">
        <v>12.0</v>
      </c>
      <c r="D2501" s="15" t="s">
        <v>3791</v>
      </c>
      <c r="E2501" s="9" t="s">
        <v>3792</v>
      </c>
      <c r="F2501" s="8" t="str">
        <f>IFERROR(__xludf.DUMMYFUNCTION("GOOGLETRANSLATE(D2501,""zh-CN"",""vi"")"),"Bánh mousse hình gấu")</f>
        <v>Bánh mousse hình gấu</v>
      </c>
      <c r="G2501" s="8" t="str">
        <f>IFERROR(__xludf.DUMMYFUNCTION("GOOGLETRANSLATE(E2501,""zh-CN"",""vi"")"),"Mong rằng đứa trẻ sẽ khỏe mạnh và cường tráng như một chú gấu. Kết hợp các nguyên liệu để tạo thành Bánh trái cây hình con ngỗng.")</f>
        <v>Mong rằng đứa trẻ sẽ khỏe mạnh và cường tráng như một chú gấu. Kết hợp các nguyên liệu để tạo thành Bánh trái cây hình con ngỗng.</v>
      </c>
      <c r="H2501" s="8"/>
      <c r="I2501" s="8"/>
      <c r="J2501" s="8"/>
    </row>
    <row r="2502" ht="21.0" customHeight="1">
      <c r="A2502" s="6">
        <v>1.0</v>
      </c>
      <c r="B2502" s="6">
        <v>187.0</v>
      </c>
      <c r="C2502" s="6">
        <v>13.0</v>
      </c>
      <c r="D2502" s="15" t="s">
        <v>3793</v>
      </c>
      <c r="E2502" s="9" t="s">
        <v>3794</v>
      </c>
      <c r="F2502" s="8" t="str">
        <f>IFERROR(__xludf.DUMMYFUNCTION("GOOGLETRANSLATE(D2502,""zh-CN"",""vi"")"),"Bánh trái cây ngỗng")</f>
        <v>Bánh trái cây ngỗng</v>
      </c>
      <c r="G2502" s="8" t="str">
        <f>IFERROR(__xludf.DUMMYFUNCTION("GOOGLETRANSLATE(E2502,""zh-CN"",""vi"")"),"Dành tặng tất cả những người chơi yêu thích thể loại này. Đã được hoàn thiện đến mức độ cao nhất.")</f>
        <v>Dành tặng tất cả những người chơi yêu thích thể loại này. Đã được hoàn thiện đến mức độ cao nhất.</v>
      </c>
      <c r="H2502" s="8"/>
      <c r="I2502" s="8"/>
      <c r="J2502" s="8"/>
    </row>
    <row r="2503" ht="21.0" customHeight="1">
      <c r="A2503" s="6">
        <v>1.0</v>
      </c>
      <c r="B2503" s="6">
        <v>188.0</v>
      </c>
      <c r="C2503" s="6">
        <v>1.0</v>
      </c>
      <c r="D2503" s="15" t="s">
        <v>3795</v>
      </c>
      <c r="E2503" s="9" t="s">
        <v>3796</v>
      </c>
      <c r="F2503" s="8" t="str">
        <f>IFERROR(__xludf.DUMMYFUNCTION("GOOGLETRANSLATE(D2503,""zh-CN"",""vi"")"),"Lê đông lạnh")</f>
        <v>Lê đông lạnh</v>
      </c>
      <c r="G2503" s="8" t="str">
        <f>IFERROR(__xludf.DUMMYFUNCTION("GOOGLETRANSLATE(E2503,""zh-CN"",""vi"")"),"Mát lạnh và ngọt ngào, mỗi lần một miếng, bạn sẽ muốn ăn thêm nữa. Kết hợp chúng lại để tạo thành xiên táo gai ngào đường.")</f>
        <v>Mát lạnh và ngọt ngào, mỗi lần một miếng, bạn sẽ muốn ăn thêm nữa. Kết hợp chúng lại để tạo thành xiên táo gai ngào đường.</v>
      </c>
      <c r="H2503" s="8"/>
      <c r="I2503" s="8"/>
      <c r="J2503" s="8"/>
    </row>
    <row r="2504" ht="21.0" customHeight="1">
      <c r="A2504" s="6">
        <v>1.0</v>
      </c>
      <c r="B2504" s="6">
        <v>188.0</v>
      </c>
      <c r="C2504" s="6">
        <v>2.0</v>
      </c>
      <c r="D2504" s="15" t="s">
        <v>3797</v>
      </c>
      <c r="E2504" s="9" t="s">
        <v>3798</v>
      </c>
      <c r="F2504" s="8" t="str">
        <f>IFERROR(__xludf.DUMMYFUNCTION("GOOGLETRANSLATE(D2504,""zh-CN"",""vi"")"),"Táo gai kẹo")</f>
        <v>Táo gai kẹo</v>
      </c>
      <c r="G2504" s="8" t="str">
        <f>IFERROR(__xludf.DUMMYFUNCTION("GOOGLETRANSLATE(E2504,""zh-CN"",""vi"")"),"Bán táo gai ngào đường! 3 nhân dân tệ một xiên, 10 nhân dân tệ ba xiên. Ghép chúng lại thành một ổ bánh mì lớn.")</f>
        <v>Bán táo gai ngào đường! 3 nhân dân tệ một xiên, 10 nhân dân tệ ba xiên. Ghép chúng lại thành một ổ bánh mì lớn.</v>
      </c>
      <c r="H2504" s="8"/>
      <c r="I2504" s="8"/>
      <c r="J2504" s="8"/>
    </row>
    <row r="2505" ht="21.0" customHeight="1">
      <c r="A2505" s="6">
        <v>1.0</v>
      </c>
      <c r="B2505" s="6">
        <v>188.0</v>
      </c>
      <c r="C2505" s="6">
        <v>3.0</v>
      </c>
      <c r="D2505" s="15" t="s">
        <v>3799</v>
      </c>
      <c r="E2505" s="9" t="s">
        <v>3800</v>
      </c>
      <c r="F2505" s="8" t="str">
        <f>IFERROR(__xludf.DUMMYFUNCTION("GOOGLETRANSLATE(D2505,""zh-CN"",""vi"")"),"Bánh mì lớn")</f>
        <v>Bánh mì lớn</v>
      </c>
      <c r="G2505" s="8" t="str">
        <f>IFERROR(__xludf.DUMMYFUNCTION("GOOGLETRANSLATE(E2505,""zh-CN"",""vi"")"),"Cắt đôi ra, nhúng vào lượng mứt vừa đủ, rồi cắn vào! Kết hợp các nguyên liệu để có được một chiếc xúc xích thơm ngon.")</f>
        <v>Cắt đôi ra, nhúng vào lượng mứt vừa đủ, rồi cắn vào! Kết hợp các nguyên liệu để có được một chiếc xúc xích thơm ngon.</v>
      </c>
      <c r="H2505" s="8"/>
      <c r="I2505" s="8"/>
      <c r="J2505" s="8"/>
    </row>
    <row r="2506" ht="21.0" customHeight="1">
      <c r="A2506" s="6">
        <v>1.0</v>
      </c>
      <c r="B2506" s="6">
        <v>188.0</v>
      </c>
      <c r="C2506" s="6">
        <v>4.0</v>
      </c>
      <c r="D2506" s="15" t="s">
        <v>3801</v>
      </c>
      <c r="E2506" s="9" t="s">
        <v>3802</v>
      </c>
      <c r="F2506" s="8" t="str">
        <f>IFERROR(__xludf.DUMMYFUNCTION("GOOGLETRANSLATE(D2506,""zh-CN"",""vi"")"),"Xúc xích tẩm gia vị")</f>
        <v>Xúc xích tẩm gia vị</v>
      </c>
      <c r="G2506" s="8" t="str">
        <f>IFERROR(__xludf.DUMMYFUNCTION("GOOGLETRANSLATE(E2506,""zh-CN"",""vi"")"),"Nhét xúc xích vào bánh mì cuộn phết bơ – ngon tuyệt cú mèo! Kết hợp chúng lại để có được Gấu Sô Cô La Đen.")</f>
        <v>Nhét xúc xích vào bánh mì cuộn phết bơ – ngon tuyệt cú mèo! Kết hợp chúng lại để có được Gấu Sô Cô La Đen.</v>
      </c>
      <c r="H2506" s="8"/>
      <c r="I2506" s="8"/>
      <c r="J2506" s="8"/>
    </row>
    <row r="2507" ht="21.0" customHeight="1">
      <c r="A2507" s="6">
        <v>1.0</v>
      </c>
      <c r="B2507" s="6">
        <v>188.0</v>
      </c>
      <c r="C2507" s="6">
        <v>5.0</v>
      </c>
      <c r="D2507" s="15" t="s">
        <v>3803</v>
      </c>
      <c r="E2507" s="9" t="s">
        <v>3804</v>
      </c>
      <c r="F2507" s="8" t="str">
        <f>IFERROR(__xludf.DUMMYFUNCTION("GOOGLETRANSLATE(D2507,""zh-CN"",""vi"")"),"Gấu Sô Cô La Đen")</f>
        <v>Gấu Sô Cô La Đen</v>
      </c>
      <c r="G2507" s="8" t="str">
        <f>IFERROR(__xludf.DUMMYFUNCTION("GOOGLETRANSLATE(E2507,""zh-CN"",""vi"")"),"Nó có vị hơi đắng, có thể hạ huyết áp và có đặc tính chống oxy hóa. Nó có thể được dùng để tổng hợp búp bê Nga xếp lồng nhau.")</f>
        <v>Nó có vị hơi đắng, có thể hạ huyết áp và có đặc tính chống oxy hóa. Nó có thể được dùng để tổng hợp búp bê Nga xếp lồng nhau.</v>
      </c>
      <c r="H2507" s="8"/>
      <c r="I2507" s="8"/>
      <c r="J2507" s="8"/>
    </row>
    <row r="2508" ht="21.0" customHeight="1">
      <c r="A2508" s="6">
        <v>1.0</v>
      </c>
      <c r="B2508" s="6">
        <v>188.0</v>
      </c>
      <c r="C2508" s="6">
        <v>6.0</v>
      </c>
      <c r="D2508" s="15" t="s">
        <v>3805</v>
      </c>
      <c r="E2508" s="9" t="s">
        <v>3806</v>
      </c>
      <c r="F2508" s="8" t="str">
        <f>IFERROR(__xludf.DUMMYFUNCTION("GOOGLETRANSLATE(D2508,""zh-CN"",""vi"")"),"Búp bê lồng nhau Nga")</f>
        <v>Búp bê lồng nhau Nga</v>
      </c>
      <c r="G2508" s="8" t="str">
        <f>IFERROR(__xludf.DUMMYFUNCTION("GOOGLETRANSLATE(E2508,""zh-CN"",""vi"")"),"Người ta nói họ là chị em... và cùng tổng hợp các loại tinh chất nấm.")</f>
        <v>Người ta nói họ là chị em... và cùng tổng hợp các loại tinh chất nấm.</v>
      </c>
      <c r="H2508" s="8"/>
      <c r="I2508" s="8"/>
      <c r="J2508" s="8"/>
    </row>
    <row r="2509" ht="21.0" customHeight="1">
      <c r="A2509" s="6">
        <v>1.0</v>
      </c>
      <c r="B2509" s="6">
        <v>188.0</v>
      </c>
      <c r="C2509" s="6">
        <v>7.0</v>
      </c>
      <c r="D2509" s="15" t="s">
        <v>3807</v>
      </c>
      <c r="E2509" s="9" t="s">
        <v>3808</v>
      </c>
      <c r="F2509" s="8" t="str">
        <f>IFERROR(__xludf.DUMMYFUNCTION("GOOGLETRANSLATE(D2509,""zh-CN"",""vi"")"),"Tiên nấm")</f>
        <v>Tiên nấm</v>
      </c>
      <c r="G2509" s="8" t="str">
        <f>IFERROR(__xludf.DUMMYFUNCTION("GOOGLETRANSLATE(E2509,""zh-CN"",""vi"")"),"Nhiều kẻ có ý đồ xấu đang nhắm đến nó. Hãy tổng hợp lại để có được nhân sâm non.")</f>
        <v>Nhiều kẻ có ý đồ xấu đang nhắm đến nó. Hãy tổng hợp lại để có được nhân sâm non.</v>
      </c>
      <c r="H2509" s="8"/>
      <c r="I2509" s="8"/>
      <c r="J2509" s="8"/>
    </row>
    <row r="2510" ht="21.0" customHeight="1">
      <c r="A2510" s="6">
        <v>1.0</v>
      </c>
      <c r="B2510" s="6">
        <v>188.0</v>
      </c>
      <c r="C2510" s="6">
        <v>8.0</v>
      </c>
      <c r="D2510" s="15" t="s">
        <v>3809</v>
      </c>
      <c r="E2510" s="9" t="s">
        <v>3810</v>
      </c>
      <c r="F2510" s="8" t="str">
        <f>IFERROR(__xludf.DUMMYFUNCTION("GOOGLETRANSLATE(D2510,""zh-CN"",""vi"")"),"Nhân sâm Baby")</f>
        <v>Nhân sâm Baby</v>
      </c>
      <c r="G2510" s="8" t="str">
        <f>IFERROR(__xludf.DUMMYFUNCTION("GOOGLETRANSLATE(E2510,""zh-CN"",""vi"")"),"Bố cục trong khu trồng trọt nhằm ngăn nó thoát ra ngoài. Hãy chế tạo nó để nhận được rương kho báu băng giá.")</f>
        <v>Bố cục trong khu trồng trọt nhằm ngăn nó thoát ra ngoài. Hãy chế tạo nó để nhận được rương kho báu băng giá.</v>
      </c>
      <c r="H2510" s="8"/>
      <c r="I2510" s="8"/>
      <c r="J2510" s="8"/>
    </row>
    <row r="2511" ht="21.0" customHeight="1">
      <c r="A2511" s="6">
        <v>1.0</v>
      </c>
      <c r="B2511" s="6">
        <v>188.0</v>
      </c>
      <c r="C2511" s="6">
        <v>9.0</v>
      </c>
      <c r="D2511" s="15" t="s">
        <v>3811</v>
      </c>
      <c r="E2511" s="9" t="s">
        <v>3812</v>
      </c>
      <c r="F2511" s="8" t="str">
        <f>IFERROR(__xludf.DUMMYFUNCTION("GOOGLETRANSLATE(D2511,""zh-CN"",""vi"")"),"Rương kho báu băng giá")</f>
        <v>Rương kho báu băng giá</v>
      </c>
      <c r="G2511" s="8" t="str">
        <f>IFERROR(__xludf.DUMMYFUNCTION("GOOGLETRANSLATE(E2511,""zh-CN"",""vi"")"),"Tôi càng tò mò hơn về kỹ thuật chế tác của một nghìn năm trước. Chúng ta đã tổng hợp được một con hổ răng kiếm đông lạnh.")</f>
        <v>Tôi càng tò mò hơn về kỹ thuật chế tác của một nghìn năm trước. Chúng ta đã tổng hợp được một con hổ răng kiếm đông lạnh.</v>
      </c>
      <c r="H2511" s="8"/>
      <c r="I2511" s="8"/>
      <c r="J2511" s="8"/>
    </row>
    <row r="2512" ht="21.0" customHeight="1">
      <c r="A2512" s="6">
        <v>1.0</v>
      </c>
      <c r="B2512" s="6">
        <v>188.0</v>
      </c>
      <c r="C2512" s="6">
        <v>10.0</v>
      </c>
      <c r="D2512" s="15" t="s">
        <v>3813</v>
      </c>
      <c r="E2512" s="9" t="s">
        <v>3814</v>
      </c>
      <c r="F2512" s="8" t="str">
        <f>IFERROR(__xludf.DUMMYFUNCTION("GOOGLETRANSLATE(D2512,""zh-CN"",""vi"")"),"Hổ răng kiếm bị đóng băng")</f>
        <v>Hổ răng kiếm bị đóng băng</v>
      </c>
      <c r="G2512" s="8" t="str">
        <f>IFERROR(__xludf.DUMMYFUNCTION("GOOGLETRANSLATE(E2512,""zh-CN"",""vi"")"),"Nó cung cấp bằng chứng mạnh mẽ cho nghiên cứu cổ sinh vật học. Một con voi ma mút đông lạnh đã được tổng hợp.")</f>
        <v>Nó cung cấp bằng chứng mạnh mẽ cho nghiên cứu cổ sinh vật học. Một con voi ma mút đông lạnh đã được tổng hợp.</v>
      </c>
      <c r="H2512" s="8"/>
      <c r="I2512" s="8"/>
      <c r="J2512" s="8"/>
    </row>
    <row r="2513" ht="21.0" customHeight="1">
      <c r="A2513" s="6">
        <v>1.0</v>
      </c>
      <c r="B2513" s="6">
        <v>188.0</v>
      </c>
      <c r="C2513" s="6">
        <v>11.0</v>
      </c>
      <c r="D2513" s="15" t="s">
        <v>3815</v>
      </c>
      <c r="E2513" s="9" t="s">
        <v>3816</v>
      </c>
      <c r="F2513" s="8" t="str">
        <f>IFERROR(__xludf.DUMMYFUNCTION("GOOGLETRANSLATE(D2513,""zh-CN"",""vi"")"),"Voi ma mút đóng băng")</f>
        <v>Voi ma mút đóng băng</v>
      </c>
      <c r="G2513" s="8" t="str">
        <f>IFERROR(__xludf.DUMMYFUNCTION("GOOGLETRANSLATE(E2513,""zh-CN"",""vi"")"),"Có lẽ những sinh vật cổ đại đã tuyệt chủng có thể được hồi sinh thông qua phương pháp này. Tổng hợp để thu được khủng long đóng băng.")</f>
        <v>Có lẽ những sinh vật cổ đại đã tuyệt chủng có thể được hồi sinh thông qua phương pháp này. Tổng hợp để thu được khủng long đóng băng.</v>
      </c>
      <c r="H2513" s="8"/>
      <c r="I2513" s="8"/>
      <c r="J2513" s="8"/>
    </row>
    <row r="2514" ht="21.0" customHeight="1">
      <c r="A2514" s="6">
        <v>1.0</v>
      </c>
      <c r="B2514" s="6">
        <v>188.0</v>
      </c>
      <c r="C2514" s="6">
        <v>12.0</v>
      </c>
      <c r="D2514" s="15" t="s">
        <v>3817</v>
      </c>
      <c r="E2514" s="9" t="s">
        <v>3818</v>
      </c>
      <c r="F2514" s="8" t="str">
        <f>IFERROR(__xludf.DUMMYFUNCTION("GOOGLETRANSLATE(D2514,""zh-CN"",""vi"")"),"Khủng long băng giá")</f>
        <v>Khủng long băng giá</v>
      </c>
      <c r="G2514" s="8" t="str">
        <f>IFERROR(__xludf.DUMMYFUNCTION("GOOGLETRANSLATE(E2514,""zh-CN"",""vi"")"),"Đây là nguồn gốc của Công viên kỷ Jura. Tổng hợp để thu được một đĩa bay đóng băng.")</f>
        <v>Đây là nguồn gốc của Công viên kỷ Jura. Tổng hợp để thu được một đĩa bay đóng băng.</v>
      </c>
      <c r="H2514" s="8"/>
      <c r="I2514" s="8"/>
      <c r="J2514" s="8"/>
    </row>
    <row r="2515" ht="21.0" customHeight="1">
      <c r="A2515" s="6">
        <v>1.0</v>
      </c>
      <c r="B2515" s="6">
        <v>188.0</v>
      </c>
      <c r="C2515" s="6">
        <v>13.0</v>
      </c>
      <c r="D2515" s="15" t="s">
        <v>3819</v>
      </c>
      <c r="E2515" s="9" t="s">
        <v>3820</v>
      </c>
      <c r="F2515" s="8" t="str">
        <f>IFERROR(__xludf.DUMMYFUNCTION("GOOGLETRANSLATE(D2515,""zh-CN"",""vi"")"),"UFO đóng băng")</f>
        <v>UFO đóng băng</v>
      </c>
      <c r="G2515" s="8" t="str">
        <f>IFERROR(__xludf.DUMMYFUNCTION("GOOGLETRANSLATE(E2515,""zh-CN"",""vi"")"),"Việc tìm kiếm công nghệ đằng sau UFO đã dẫn đến nhiều câu chuyện hơn nữa. (Đã được tổng hợp ở mức độ cao nhất.)")</f>
        <v>Việc tìm kiếm công nghệ đằng sau UFO đã dẫn đến nhiều câu chuyện hơn nữa. (Đã được tổng hợp ở mức độ cao nhất.)</v>
      </c>
      <c r="H2515" s="8"/>
      <c r="I2515" s="8"/>
      <c r="J2515" s="8"/>
    </row>
    <row r="2516" ht="21.0" customHeight="1">
      <c r="A2516" s="6">
        <v>1.0</v>
      </c>
      <c r="B2516" s="6">
        <v>189.0</v>
      </c>
      <c r="C2516" s="6">
        <v>1.0</v>
      </c>
      <c r="D2516" s="15" t="s">
        <v>3821</v>
      </c>
      <c r="E2516" s="9" t="s">
        <v>3822</v>
      </c>
      <c r="F2516" s="8" t="str">
        <f>IFERROR(__xludf.DUMMYFUNCTION("GOOGLETRANSLATE(D2516,""zh-CN"",""vi"")"),"Người tuyết nhỏ")</f>
        <v>Người tuyết nhỏ</v>
      </c>
      <c r="G2516" s="8" t="str">
        <f>IFERROR(__xludf.DUMMYFUNCTION("GOOGLETRANSLATE(E2516,""zh-CN"",""vi"")"),"Ai đã tạo ra người tuyết nhỏ này, và thậm chí còn quàng khăn cho nó nữa? Hãy ghép chúng lại để có được người tuyết nhỏ được khoác lên mình bộ quần áo mới.")</f>
        <v>Ai đã tạo ra người tuyết nhỏ này, và thậm chí còn quàng khăn cho nó nữa? Hãy ghép chúng lại để có được người tuyết nhỏ được khoác lên mình bộ quần áo mới.</v>
      </c>
      <c r="H2516" s="8"/>
      <c r="I2516" s="8"/>
      <c r="J2516" s="8"/>
    </row>
    <row r="2517" ht="21.0" customHeight="1">
      <c r="A2517" s="6">
        <v>1.0</v>
      </c>
      <c r="B2517" s="6">
        <v>189.0</v>
      </c>
      <c r="C2517" s="6">
        <v>2.0</v>
      </c>
      <c r="D2517" s="15" t="s">
        <v>3823</v>
      </c>
      <c r="E2517" s="9" t="s">
        <v>3824</v>
      </c>
      <c r="F2517" s="8" t="str">
        <f>IFERROR(__xludf.DUMMYFUNCTION("GOOGLETRANSLATE(D2517,""zh-CN"",""vi"")"),"Người tuyết nhỏ mặc quần áo mới")</f>
        <v>Người tuyết nhỏ mặc quần áo mới</v>
      </c>
      <c r="G2517" s="8" t="str">
        <f>IFERROR(__xludf.DUMMYFUNCTION("GOOGLETRANSLATE(E2517,""zh-CN"",""vi"")"),"Tết Nguyên Đán đã đến! Người tuyết nhỏ đã được mặc quần áo mới. (Kết hợp các yếu tố để tạo thành người trượt tuyết.)")</f>
        <v>Tết Nguyên Đán đã đến! Người tuyết nhỏ đã được mặc quần áo mới. (Kết hợp các yếu tố để tạo thành người trượt tuyết.)</v>
      </c>
      <c r="H2517" s="8"/>
      <c r="I2517" s="8"/>
      <c r="J2517" s="8"/>
    </row>
    <row r="2518" ht="21.0" customHeight="1">
      <c r="A2518" s="6">
        <v>1.0</v>
      </c>
      <c r="B2518" s="6">
        <v>189.0</v>
      </c>
      <c r="C2518" s="6">
        <v>3.0</v>
      </c>
      <c r="D2518" s="15" t="s">
        <v>3825</v>
      </c>
      <c r="E2518" s="9" t="s">
        <v>3826</v>
      </c>
      <c r="F2518" s="8" t="str">
        <f>IFERROR(__xludf.DUMMYFUNCTION("GOOGLETRANSLATE(D2518,""zh-CN"",""vi"")"),"người trượt tuyết")</f>
        <v>người trượt tuyết</v>
      </c>
      <c r="G2518" s="8" t="str">
        <f>IFERROR(__xludf.DUMMYFUNCTION("GOOGLETRANSLATE(E2518,""zh-CN"",""vi"")"),"Các vận động viên đến vùng đất tuyết để tập luyện, phấn đấu đạt kết quả tốt. Họ đã tổng hợp và tạo ra Sói Xám hung ác.")</f>
        <v>Các vận động viên đến vùng đất tuyết để tập luyện, phấn đấu đạt kết quả tốt. Họ đã tổng hợp và tạo ra Sói Xám hung ác.</v>
      </c>
      <c r="H2518" s="8"/>
      <c r="I2518" s="8"/>
      <c r="J2518" s="8"/>
    </row>
    <row r="2519" ht="21.0" customHeight="1">
      <c r="A2519" s="6">
        <v>1.0</v>
      </c>
      <c r="B2519" s="6">
        <v>189.0</v>
      </c>
      <c r="C2519" s="6">
        <v>4.0</v>
      </c>
      <c r="D2519" s="15" t="s">
        <v>3827</v>
      </c>
      <c r="E2519" s="9" t="s">
        <v>3828</v>
      </c>
      <c r="F2519" s="8" t="str">
        <f>IFERROR(__xludf.DUMMYFUNCTION("GOOGLETRANSLATE(D2519,""zh-CN"",""vi"")"),"Sói Xấu Xa")</f>
        <v>Sói Xấu Xa</v>
      </c>
      <c r="G2519" s="8" t="str">
        <f>IFERROR(__xludf.DUMMYFUNCTION("GOOGLETRANSLATE(E2519,""zh-CN"",""vi"")"),"Tôi là Sói Xám hung ác, tiếp theo tôi phải làm gì đây? Kết hợp chúng lại để có được Cô bé quàng khăn đỏ.")</f>
        <v>Tôi là Sói Xám hung ác, tiếp theo tôi phải làm gì đây? Kết hợp chúng lại để có được Cô bé quàng khăn đỏ.</v>
      </c>
      <c r="H2519" s="8"/>
      <c r="I2519" s="8"/>
      <c r="J2519" s="8"/>
    </row>
    <row r="2520" ht="21.0" customHeight="1">
      <c r="A2520" s="6">
        <v>1.0</v>
      </c>
      <c r="B2520" s="6">
        <v>189.0</v>
      </c>
      <c r="C2520" s="6">
        <v>5.0</v>
      </c>
      <c r="D2520" s="15" t="s">
        <v>3829</v>
      </c>
      <c r="E2520" s="9" t="s">
        <v>3830</v>
      </c>
      <c r="F2520" s="8" t="str">
        <f>IFERROR(__xludf.DUMMYFUNCTION("GOOGLETRANSLATE(D2520,""zh-CN"",""vi"")"),"Cô bé quàng khăn đỏ")</f>
        <v>Cô bé quàng khăn đỏ</v>
      </c>
      <c r="G2520" s="8" t="str">
        <f>IFERROR(__xludf.DUMMYFUNCTION("GOOGLETRANSLATE(E2520,""zh-CN"",""vi"")"),"Tôi là Cô bé quàng khăn đỏ, và tôi phải cầm súng săn lên và bắt con sói xám, đúng không? (Ghép hình để có được Chiến binh Viking)")</f>
        <v>Tôi là Cô bé quàng khăn đỏ, và tôi phải cầm súng săn lên và bắt con sói xám, đúng không? (Ghép hình để có được Chiến binh Viking)</v>
      </c>
      <c r="H2520" s="8"/>
      <c r="I2520" s="8"/>
      <c r="J2520" s="8"/>
    </row>
    <row r="2521" ht="21.0" customHeight="1">
      <c r="A2521" s="6">
        <v>1.0</v>
      </c>
      <c r="B2521" s="6">
        <v>189.0</v>
      </c>
      <c r="C2521" s="6">
        <v>6.0</v>
      </c>
      <c r="D2521" s="15" t="s">
        <v>3831</v>
      </c>
      <c r="E2521" s="9" t="s">
        <v>3832</v>
      </c>
      <c r="F2521" s="8" t="str">
        <f>IFERROR(__xludf.DUMMYFUNCTION("GOOGLETRANSLATE(D2521,""zh-CN"",""vi"")"),"Chiến binh Viking")</f>
        <v>Chiến binh Viking</v>
      </c>
      <c r="G2521" s="8" t="str">
        <f>IFERROR(__xludf.DUMMYFUNCTION("GOOGLETRANSLATE(E2521,""zh-CN"",""vi"")"),"Anh em ơi, hãy hoàn thành công việc này và cùng nhau thưởng thức rượu ngon và thịt hảo hạng! Tổng hợp để có được Phi công Mùa Đông.")</f>
        <v>Anh em ơi, hãy hoàn thành công việc này và cùng nhau thưởng thức rượu ngon và thịt hảo hạng! Tổng hợp để có được Phi công Mùa Đông.</v>
      </c>
      <c r="H2521" s="8"/>
      <c r="I2521" s="8"/>
      <c r="J2521" s="8"/>
    </row>
    <row r="2522" ht="21.0" customHeight="1">
      <c r="A2522" s="6">
        <v>1.0</v>
      </c>
      <c r="B2522" s="6">
        <v>189.0</v>
      </c>
      <c r="C2522" s="6">
        <v>7.0</v>
      </c>
      <c r="D2522" s="15" t="s">
        <v>3833</v>
      </c>
      <c r="E2522" s="9" t="s">
        <v>3834</v>
      </c>
      <c r="F2522" s="8" t="str">
        <f>IFERROR(__xludf.DUMMYFUNCTION("GOOGLETRANSLATE(D2522,""zh-CN"",""vi"")"),"Phi công mùa đông")</f>
        <v>Phi công mùa đông</v>
      </c>
      <c r="G2522" s="8" t="str">
        <f>IFERROR(__xludf.DUMMYFUNCTION("GOOGLETRANSLATE(E2522,""zh-CN"",""vi"")"),"Các phi công có thích đồ ăn vùng tuyết không? Tổng hợp để có được Nhà thám hiểm vùng cực.")</f>
        <v>Các phi công có thích đồ ăn vùng tuyết không? Tổng hợp để có được Nhà thám hiểm vùng cực.</v>
      </c>
      <c r="H2522" s="8"/>
      <c r="I2522" s="8"/>
      <c r="J2522" s="8"/>
    </row>
    <row r="2523" ht="21.0" customHeight="1">
      <c r="A2523" s="6">
        <v>1.0</v>
      </c>
      <c r="B2523" s="6">
        <v>189.0</v>
      </c>
      <c r="C2523" s="6">
        <v>8.0</v>
      </c>
      <c r="D2523" s="15" t="s">
        <v>3835</v>
      </c>
      <c r="E2523" s="9" t="s">
        <v>3836</v>
      </c>
      <c r="F2523" s="8" t="str">
        <f>IFERROR(__xludf.DUMMYFUNCTION("GOOGLETRANSLATE(D2523,""zh-CN"",""vi"")"),"nhà thám hiểm vùng cực")</f>
        <v>nhà thám hiểm vùng cực</v>
      </c>
      <c r="G2523" s="8" t="str">
        <f>IFERROR(__xludf.DUMMYFUNCTION("GOOGLETRANSLATE(E2523,""zh-CN"",""vi"")"),"Bất chấp cái lạnh thấu xương, những chiến binh dũng cảm đến đây để khám phá những bí mật cổ xưa. Kết hợp chúng lại để có được Nian Beast đáng yêu.")</f>
        <v>Bất chấp cái lạnh thấu xương, những chiến binh dũng cảm đến đây để khám phá những bí mật cổ xưa. Kết hợp chúng lại để có được Nian Beast đáng yêu.</v>
      </c>
      <c r="H2523" s="8"/>
      <c r="I2523" s="8"/>
      <c r="J2523" s="8"/>
    </row>
    <row r="2524" ht="21.0" customHeight="1">
      <c r="A2524" s="6">
        <v>1.0</v>
      </c>
      <c r="B2524" s="6">
        <v>189.0</v>
      </c>
      <c r="C2524" s="6">
        <v>9.0</v>
      </c>
      <c r="D2524" s="15" t="s">
        <v>3837</v>
      </c>
      <c r="E2524" s="9" t="s">
        <v>3838</v>
      </c>
      <c r="F2524" s="8" t="str">
        <f>IFERROR(__xludf.DUMMYFUNCTION("GOOGLETRANSLATE(D2524,""zh-CN"",""vi"")"),"Quái thú Nian đáng yêu")</f>
        <v>Quái thú Nian đáng yêu</v>
      </c>
      <c r="G2524" s="8" t="str">
        <f>IFERROR(__xludf.DUMMYFUNCTION("GOOGLETRANSLATE(E2524,""zh-CN"",""vi"")"),"Đứa bé đáng yêu quá! Bé sẽ nhận được rất nhiều kẹo trong dịp Tết Nguyên Đán! Kết hợp chúng lại để có được Người Tuyết Bí Ẩn.")</f>
        <v>Đứa bé đáng yêu quá! Bé sẽ nhận được rất nhiều kẹo trong dịp Tết Nguyên Đán! Kết hợp chúng lại để có được Người Tuyết Bí Ẩn.</v>
      </c>
      <c r="H2524" s="8"/>
      <c r="I2524" s="8"/>
      <c r="J2524" s="8"/>
    </row>
    <row r="2525" ht="21.0" customHeight="1">
      <c r="A2525" s="6">
        <v>1.0</v>
      </c>
      <c r="B2525" s="6">
        <v>189.0</v>
      </c>
      <c r="C2525" s="6">
        <v>10.0</v>
      </c>
      <c r="D2525" s="15" t="s">
        <v>3839</v>
      </c>
      <c r="E2525" s="9" t="s">
        <v>3840</v>
      </c>
      <c r="F2525" s="8" t="str">
        <f>IFERROR(__xludf.DUMMYFUNCTION("GOOGLETRANSLATE(D2525,""zh-CN"",""vi"")"),"Người tuyết Yeti bí ẩn")</f>
        <v>Người tuyết Yeti bí ẩn</v>
      </c>
      <c r="G2525" s="8" t="str">
        <f>IFERROR(__xludf.DUMMYFUNCTION("GOOGLETRANSLATE(E2525,""zh-CN"",""vi"")"),"Người tuyết Yeti của Núi Đen đã đến rồi! Hãy giao nộp tất cả kẹo! Kết hợp chúng lại để có được Pháp sư phương Bắc.")</f>
        <v>Người tuyết Yeti của Núi Đen đã đến rồi! Hãy giao nộp tất cả kẹo! Kết hợp chúng lại để có được Pháp sư phương Bắc.</v>
      </c>
      <c r="H2525" s="8"/>
      <c r="I2525" s="8"/>
      <c r="J2525" s="8"/>
    </row>
    <row r="2526" ht="21.0" customHeight="1">
      <c r="A2526" s="6">
        <v>1.0</v>
      </c>
      <c r="B2526" s="6">
        <v>189.0</v>
      </c>
      <c r="C2526" s="6">
        <v>11.0</v>
      </c>
      <c r="D2526" s="15" t="s">
        <v>3841</v>
      </c>
      <c r="E2526" s="9" t="s">
        <v>3842</v>
      </c>
      <c r="F2526" s="8" t="str">
        <f>IFERROR(__xludf.DUMMYFUNCTION("GOOGLETRANSLATE(D2526,""zh-CN"",""vi"")"),"Thầy pháp phương Bắc")</f>
        <v>Thầy pháp phương Bắc</v>
      </c>
      <c r="G2526" s="8" t="str">
        <f>IFERROR(__xludf.DUMMYFUNCTION("GOOGLETRANSLATE(E2526,""zh-CN"",""vi"")"),"Các pháp sư có thể giao tiếp với các linh hồn của Vương quốc Tuyết và cầu nguyện để có được sức mạnh. Họ có thể tổng hợp và sở hữu Công chúa Vương quốc Tuyết.")</f>
        <v>Các pháp sư có thể giao tiếp với các linh hồn của Vương quốc Tuyết và cầu nguyện để có được sức mạnh. Họ có thể tổng hợp và sở hữu Công chúa Vương quốc Tuyết.</v>
      </c>
      <c r="H2526" s="8"/>
      <c r="I2526" s="8"/>
      <c r="J2526" s="8"/>
    </row>
    <row r="2527" ht="21.0" customHeight="1">
      <c r="A2527" s="6">
        <v>1.0</v>
      </c>
      <c r="B2527" s="6">
        <v>189.0</v>
      </c>
      <c r="C2527" s="6">
        <v>12.0</v>
      </c>
      <c r="D2527" s="15" t="s">
        <v>3843</v>
      </c>
      <c r="E2527" s="9" t="s">
        <v>3844</v>
      </c>
      <c r="F2527" s="8" t="str">
        <f>IFERROR(__xludf.DUMMYFUNCTION("GOOGLETRANSLATE(D2527,""zh-CN"",""vi"")"),"Công chúa Tuyết")</f>
        <v>Công chúa Tuyết</v>
      </c>
      <c r="G2527" s="8" t="str">
        <f>IFERROR(__xludf.DUMMYFUNCTION("GOOGLETRANSLATE(E2527,""zh-CN"",""vi"")"),"Xinh đẹp, thanh lịch và cao quý, nàng được vô số người yêu mến. Tổng hợp để có được Linh Hồn Mùa Đông.")</f>
        <v>Xinh đẹp, thanh lịch và cao quý, nàng được vô số người yêu mến. Tổng hợp để có được Linh Hồn Mùa Đông.</v>
      </c>
      <c r="H2527" s="8"/>
      <c r="I2527" s="8"/>
      <c r="J2527" s="8"/>
    </row>
    <row r="2528" ht="21.0" customHeight="1">
      <c r="A2528" s="6">
        <v>1.0</v>
      </c>
      <c r="B2528" s="6">
        <v>189.0</v>
      </c>
      <c r="C2528" s="6">
        <v>13.0</v>
      </c>
      <c r="D2528" s="15" t="s">
        <v>3845</v>
      </c>
      <c r="E2528" s="9" t="s">
        <v>3846</v>
      </c>
      <c r="F2528" s="8" t="str">
        <f>IFERROR(__xludf.DUMMYFUNCTION("GOOGLETRANSLATE(D2528,""zh-CN"",""vi"")"),"Tinh thần mùa đông")</f>
        <v>Tinh thần mùa đông</v>
      </c>
      <c r="G2528" s="8" t="str">
        <f>IFERROR(__xludf.DUMMYFUNCTION("GOOGLETRANSLATE(E2528,""zh-CN"",""vi"")"),"Bậc thầy thực sự của Xứ sở Tuyết, mạnh mẽ nhưng lại thích ngủ nướng. Đã đạt đến cấp độ tổng hợp cao nhất.")</f>
        <v>Bậc thầy thực sự của Xứ sở Tuyết, mạnh mẽ nhưng lại thích ngủ nướng. Đã đạt đến cấp độ tổng hợp cao nhất.</v>
      </c>
      <c r="H2528" s="8"/>
      <c r="I2528" s="8"/>
      <c r="J2528" s="8"/>
    </row>
    <row r="2529" ht="21.0" customHeight="1">
      <c r="A2529" s="6">
        <v>11.0</v>
      </c>
      <c r="B2529" s="6">
        <v>1046.0</v>
      </c>
      <c r="C2529" s="6">
        <v>1.0</v>
      </c>
      <c r="D2529" s="15" t="s">
        <v>3847</v>
      </c>
      <c r="E2529" s="9" t="s">
        <v>3848</v>
      </c>
      <c r="F2529" s="8" t="str">
        <f>IFERROR(__xludf.DUMMYFUNCTION("GOOGLETRANSLATE(D2529,""zh-CN"",""vi"")"),"kẹo gậy Giáng sinh")</f>
        <v>kẹo gậy Giáng sinh</v>
      </c>
      <c r="G2529" s="8" t="str">
        <f>IFERROR(__xludf.DUMMYFUNCTION("GOOGLETRANSLATE(E2529,""zh-CN"",""vi"")"),"Liệu kẹo sẽ ngon hơn nếu bạn buộc thêm ruy băng? Hãy tự làm vòng hoa Giáng sinh bằng kẹo.")</f>
        <v>Liệu kẹo sẽ ngon hơn nếu bạn buộc thêm ruy băng? Hãy tự làm vòng hoa Giáng sinh bằng kẹo.</v>
      </c>
      <c r="H2529" s="8"/>
      <c r="I2529" s="8"/>
      <c r="J2529" s="8"/>
    </row>
    <row r="2530" ht="21.0" customHeight="1">
      <c r="A2530" s="6">
        <v>11.0</v>
      </c>
      <c r="B2530" s="6">
        <v>1046.0</v>
      </c>
      <c r="C2530" s="6">
        <v>2.0</v>
      </c>
      <c r="D2530" s="15" t="s">
        <v>3849</v>
      </c>
      <c r="E2530" s="9" t="s">
        <v>3850</v>
      </c>
      <c r="F2530" s="8" t="str">
        <f>IFERROR(__xludf.DUMMYFUNCTION("GOOGLETRANSLATE(D2530,""zh-CN"",""vi"")"),"vòng hoa Giáng sinh kẹo")</f>
        <v>vòng hoa Giáng sinh kẹo</v>
      </c>
      <c r="G2530" s="8" t="str">
        <f>IFERROR(__xludf.DUMMYFUNCTION("GOOGLETRANSLATE(E2530,""zh-CN"",""vi"")"),"Trang trí những chiếc bánh nhỏ và ăn chúng khi bạn đói. Chế tạo chúng để nhận được Kẹo Người Tuyết Giáng Sinh.")</f>
        <v>Trang trí những chiếc bánh nhỏ và ăn chúng khi bạn đói. Chế tạo chúng để nhận được Kẹo Người Tuyết Giáng Sinh.</v>
      </c>
      <c r="H2530" s="8"/>
      <c r="I2530" s="8"/>
      <c r="J2530" s="8"/>
    </row>
    <row r="2531" ht="21.0" customHeight="1">
      <c r="A2531" s="6">
        <v>11.0</v>
      </c>
      <c r="B2531" s="6">
        <v>1046.0</v>
      </c>
      <c r="C2531" s="6">
        <v>3.0</v>
      </c>
      <c r="D2531" s="15" t="s">
        <v>3851</v>
      </c>
      <c r="E2531" s="9" t="s">
        <v>3852</v>
      </c>
      <c r="F2531" s="8" t="str">
        <f>IFERROR(__xludf.DUMMYFUNCTION("GOOGLETRANSLATE(D2531,""zh-CN"",""vi"")"),"Người tuyết Giáng sinh Cây thông Đường")</f>
        <v>Người tuyết Giáng sinh Cây thông Đường</v>
      </c>
      <c r="G2531" s="8" t="str">
        <f>IFERROR(__xludf.DUMMYFUNCTION("GOOGLETRANSLATE(E2531,""zh-CN"",""vi"")"),"Một cây thông hình ngôi sao và một người tuyết tạo nên bầu không khí lễ hội gấp đôi. Kết hợp chúng lại để có một ngôi nhà nhỏ xinh xắn đầy kẹo.")</f>
        <v>Một cây thông hình ngôi sao và một người tuyết tạo nên bầu không khí lễ hội gấp đôi. Kết hợp chúng lại để có một ngôi nhà nhỏ xinh xắn đầy kẹo.</v>
      </c>
      <c r="H2531" s="8"/>
      <c r="I2531" s="8"/>
      <c r="J2531" s="8"/>
    </row>
    <row r="2532" ht="21.0" customHeight="1">
      <c r="A2532" s="6">
        <v>11.0</v>
      </c>
      <c r="B2532" s="6">
        <v>1046.0</v>
      </c>
      <c r="C2532" s="6">
        <v>4.0</v>
      </c>
      <c r="D2532" s="15" t="s">
        <v>3853</v>
      </c>
      <c r="E2532" s="9" t="s">
        <v>3854</v>
      </c>
      <c r="F2532" s="8" t="str">
        <f>IFERROR(__xludf.DUMMYFUNCTION("GOOGLETRANSLATE(D2532,""zh-CN"",""vi"")"),"Kẹo Ngôi Nhà Nhỏ")</f>
        <v>Kẹo Ngôi Nhà Nhỏ</v>
      </c>
      <c r="G2532" s="8" t="str">
        <f>IFERROR(__xludf.DUMMYFUNCTION("GOOGLETRANSLATE(E2532,""zh-CN"",""vi"")"),"Những viên ngọc trai trên mái nhà lấp lánh, nhưng chúng quá ngọt! Hãy kết hợp chúng để tạo thành Ngôi nhà Bánh quy và Kẹo.")</f>
        <v>Những viên ngọc trai trên mái nhà lấp lánh, nhưng chúng quá ngọt! Hãy kết hợp chúng để tạo thành Ngôi nhà Bánh quy và Kẹo.</v>
      </c>
      <c r="H2532" s="8"/>
      <c r="I2532" s="8"/>
      <c r="J2532" s="8"/>
    </row>
    <row r="2533" ht="21.0" customHeight="1">
      <c r="A2533" s="6">
        <v>10.0</v>
      </c>
      <c r="B2533" s="6">
        <v>1046.0</v>
      </c>
      <c r="C2533" s="6">
        <v>5.0</v>
      </c>
      <c r="D2533" s="15" t="s">
        <v>3855</v>
      </c>
      <c r="E2533" s="9" t="s">
        <v>3856</v>
      </c>
      <c r="F2533" s="8" t="str">
        <f>IFERROR(__xludf.DUMMYFUNCTION("GOOGLETRANSLATE(D2533,""zh-CN"",""vi"")"),"Nhà bánh quy và kẹo")</f>
        <v>Nhà bánh quy và kẹo</v>
      </c>
      <c r="G2533" s="8" t="str">
        <f>IFERROR(__xludf.DUMMYFUNCTION("GOOGLETRANSLATE(E2533,""zh-CN"",""vi"")"),"Nó đẹp mắt và bổ dưỡng. Kết hợp chúng lại để tạo thành Ngôi nhà kẹo nam việt quất.")</f>
        <v>Nó đẹp mắt và bổ dưỡng. Kết hợp chúng lại để tạo thành Ngôi nhà kẹo nam việt quất.</v>
      </c>
      <c r="H2533" s="8"/>
      <c r="I2533" s="8"/>
      <c r="J2533" s="8"/>
    </row>
    <row r="2534" ht="21.0" customHeight="1">
      <c r="A2534" s="6">
        <v>10.0</v>
      </c>
      <c r="B2534" s="6">
        <v>1046.0</v>
      </c>
      <c r="C2534" s="6">
        <v>6.0</v>
      </c>
      <c r="D2534" s="15" t="s">
        <v>3857</v>
      </c>
      <c r="E2534" s="9" t="s">
        <v>3858</v>
      </c>
      <c r="F2534" s="8" t="str">
        <f>IFERROR(__xludf.DUMMYFUNCTION("GOOGLETRANSLATE(D2534,""zh-CN"",""vi"")"),"Ngôi nhà kẹo nam việt quất")</f>
        <v>Ngôi nhà kẹo nam việt quất</v>
      </c>
      <c r="G2534" s="8" t="str">
        <f>IFERROR(__xludf.DUMMYFUNCTION("GOOGLETRANSLATE(E2534,""zh-CN"",""vi"")"),"Quả nam việt quất làm tăng thêm hương vị thơm ngon! Kết hợp chúng để tạo thành Ngôi nhà kẹo cuộn bánh.")</f>
        <v>Quả nam việt quất làm tăng thêm hương vị thơm ngon! Kết hợp chúng để tạo thành Ngôi nhà kẹo cuộn bánh.</v>
      </c>
      <c r="H2534" s="8"/>
      <c r="I2534" s="8"/>
      <c r="J2534" s="8"/>
    </row>
    <row r="2535" ht="21.0" customHeight="1">
      <c r="A2535" s="6">
        <v>10.0</v>
      </c>
      <c r="B2535" s="6">
        <v>1046.0</v>
      </c>
      <c r="C2535" s="6">
        <v>7.0</v>
      </c>
      <c r="D2535" s="15" t="s">
        <v>3859</v>
      </c>
      <c r="E2535" s="9" t="s">
        <v>3860</v>
      </c>
      <c r="F2535" s="8" t="str">
        <f>IFERROR(__xludf.DUMMYFUNCTION("GOOGLETRANSLATE(D2535,""zh-CN"",""vi"")"),"Nhà kẹo cuộn bánh")</f>
        <v>Nhà kẹo cuộn bánh</v>
      </c>
      <c r="G2535" s="8" t="str">
        <f>IFERROR(__xludf.DUMMYFUNCTION("GOOGLETRANSLATE(E2535,""zh-CN"",""vi"")"),"Lớp vỏ kẹo cứng bên ngoài, phần ruột bánh mềm xốp bên trong. Kết hợp chúng lại để tạo nên một ngôi nhà hình ngôi sao Giáng sinh.")</f>
        <v>Lớp vỏ kẹo cứng bên ngoài, phần ruột bánh mềm xốp bên trong. Kết hợp chúng lại để tạo nên một ngôi nhà hình ngôi sao Giáng sinh.</v>
      </c>
      <c r="H2535" s="8"/>
      <c r="I2535" s="8"/>
      <c r="J2535" s="8"/>
    </row>
    <row r="2536" ht="21.0" customHeight="1">
      <c r="A2536" s="6">
        <v>10.0</v>
      </c>
      <c r="B2536" s="6">
        <v>1046.0</v>
      </c>
      <c r="C2536" s="6">
        <v>8.0</v>
      </c>
      <c r="D2536" s="15" t="s">
        <v>3861</v>
      </c>
      <c r="E2536" s="9" t="s">
        <v>3862</v>
      </c>
      <c r="F2536" s="8" t="str">
        <f>IFERROR(__xludf.DUMMYFUNCTION("GOOGLETRANSLATE(D2536,""zh-CN"",""vi"")"),"Ngôi nhà ngôi sao Giáng sinh")</f>
        <v>Ngôi nhà ngôi sao Giáng sinh</v>
      </c>
      <c r="G2536" s="8" t="str">
        <f>IFERROR(__xludf.DUMMYFUNCTION("GOOGLETRANSLATE(E2536,""zh-CN"",""vi"")"),"Giáng sinh đang đến gần, hãy cùng nhau hòa mình vào không khí lễ hội nào! Hãy tự tay làm một ngôi nhà bánh gừng Giáng sinh.")</f>
        <v>Giáng sinh đang đến gần, hãy cùng nhau hòa mình vào không khí lễ hội nào! Hãy tự tay làm một ngôi nhà bánh gừng Giáng sinh.</v>
      </c>
      <c r="H2536" s="8"/>
      <c r="I2536" s="8"/>
      <c r="J2536" s="8"/>
    </row>
    <row r="2537" ht="21.0" customHeight="1">
      <c r="A2537" s="6">
        <v>10.0</v>
      </c>
      <c r="B2537" s="6">
        <v>1046.0</v>
      </c>
      <c r="C2537" s="6">
        <v>9.0</v>
      </c>
      <c r="D2537" s="15" t="s">
        <v>3863</v>
      </c>
      <c r="E2537" s="9" t="s">
        <v>3864</v>
      </c>
      <c r="F2537" s="8" t="str">
        <f>IFERROR(__xludf.DUMMYFUNCTION("GOOGLETRANSLATE(D2537,""zh-CN"",""vi"")"),"Ngôi nhà bánh gừng Giáng sinh")</f>
        <v>Ngôi nhà bánh gừng Giáng sinh</v>
      </c>
      <c r="G2537" s="8" t="str">
        <f>IFERROR(__xludf.DUMMYFUNCTION("GOOGLETRANSLATE(E2537,""zh-CN"",""vi"")"),"Những người lớn bất cẩn đã quên mất chiếc bánh gừng trên mái nhà. Hãy chế tạo nó để có được Ngôi nhà Tuần lộc Giáng sinh.")</f>
        <v>Những người lớn bất cẩn đã quên mất chiếc bánh gừng trên mái nhà. Hãy chế tạo nó để có được Ngôi nhà Tuần lộc Giáng sinh.</v>
      </c>
      <c r="H2537" s="8"/>
      <c r="I2537" s="8"/>
      <c r="J2537" s="8"/>
    </row>
    <row r="2538" ht="21.0" customHeight="1">
      <c r="A2538" s="6">
        <v>10.0</v>
      </c>
      <c r="B2538" s="6">
        <v>1046.0</v>
      </c>
      <c r="C2538" s="6">
        <v>10.0</v>
      </c>
      <c r="D2538" s="15" t="s">
        <v>3865</v>
      </c>
      <c r="E2538" s="9" t="s">
        <v>3866</v>
      </c>
      <c r="F2538" s="8" t="str">
        <f>IFERROR(__xludf.DUMMYFUNCTION("GOOGLETRANSLATE(D2538,""zh-CN"",""vi"")"),"Ngôi nhà tuần lộc Giáng sinh")</f>
        <v>Ngôi nhà tuần lộc Giáng sinh</v>
      </c>
      <c r="G2538" s="8" t="str">
        <f>IFERROR(__xludf.DUMMYFUNCTION("GOOGLETRANSLATE(E2538,""zh-CN"",""vi"")"),"Không khí Giáng sinh đang tràn ngập; ông già Noel chắc chắn sẽ đến thăm! (Đã được tổng hợp ở mức độ cao nhất.)")</f>
        <v>Không khí Giáng sinh đang tràn ngập; ông già Noel chắc chắn sẽ đến thăm! (Đã được tổng hợp ở mức độ cao nhất.)</v>
      </c>
      <c r="H2538" s="8"/>
      <c r="I2538" s="8"/>
      <c r="J2538" s="8"/>
    </row>
    <row r="2539" ht="21.0" customHeight="1">
      <c r="A2539" s="6">
        <v>1.0</v>
      </c>
      <c r="B2539" s="6">
        <v>190.0</v>
      </c>
      <c r="C2539" s="6">
        <v>1.0</v>
      </c>
      <c r="D2539" s="15" t="s">
        <v>3867</v>
      </c>
      <c r="E2539" s="9" t="s">
        <v>3868</v>
      </c>
      <c r="F2539" s="8" t="str">
        <f>IFERROR(__xludf.DUMMYFUNCTION("GOOGLETRANSLATE(D2539,""zh-CN"",""vi"")"),"Lõi Apple")</f>
        <v>Lõi Apple</v>
      </c>
      <c r="G2539" s="8" t="str">
        <f>IFERROR(__xludf.DUMMYFUNCTION("GOOGLETRANSLATE(E2539,""zh-CN"",""vi"")"),"Gieo hạt giống, và năm sau sẽ thu hoạch được một cây đầy táo! Tổng hợp để có được quả táo còn thiếu.")</f>
        <v>Gieo hạt giống, và năm sau sẽ thu hoạch được một cây đầy táo! Tổng hợp để có được quả táo còn thiếu.</v>
      </c>
      <c r="H2539" s="8"/>
      <c r="I2539" s="8"/>
      <c r="J2539" s="8"/>
    </row>
    <row r="2540" ht="21.0" customHeight="1">
      <c r="A2540" s="6">
        <v>1.0</v>
      </c>
      <c r="B2540" s="6">
        <v>190.0</v>
      </c>
      <c r="C2540" s="6">
        <v>2.0</v>
      </c>
      <c r="D2540" s="15" t="s">
        <v>3869</v>
      </c>
      <c r="E2540" s="9" t="s">
        <v>3870</v>
      </c>
      <c r="F2540" s="8" t="str">
        <f>IFERROR(__xludf.DUMMYFUNCTION("GOOGLETRANSLATE(D2540,""zh-CN"",""vi"")"),"Apple với một khoảng trống")</f>
        <v>Apple với một khoảng trống</v>
      </c>
      <c r="G2540" s="8" t="str">
        <f>IFERROR(__xludf.DUMMYFUNCTION("GOOGLETRANSLATE(E2540,""zh-CN"",""vi"")"),"Ai đã lấy trộm quả táo của tôi? Hãy kết hợp chúng lại để có được một quả táo Giáng sinh.")</f>
        <v>Ai đã lấy trộm quả táo của tôi? Hãy kết hợp chúng lại để có được một quả táo Giáng sinh.</v>
      </c>
      <c r="H2540" s="8"/>
      <c r="I2540" s="8"/>
      <c r="J2540" s="8"/>
    </row>
    <row r="2541" ht="21.0" customHeight="1">
      <c r="A2541" s="6">
        <v>1.0</v>
      </c>
      <c r="B2541" s="6">
        <v>190.0</v>
      </c>
      <c r="C2541" s="6">
        <v>3.0</v>
      </c>
      <c r="D2541" s="15" t="s">
        <v>3871</v>
      </c>
      <c r="E2541" s="9" t="s">
        <v>3872</v>
      </c>
      <c r="F2541" s="8" t="str">
        <f>IFERROR(__xludf.DUMMYFUNCTION("GOOGLETRANSLATE(D2541,""zh-CN"",""vi"")"),"Táo Giáng Sinh")</f>
        <v>Táo Giáng Sinh</v>
      </c>
      <c r="G2541" s="8" t="str">
        <f>IFERROR(__xludf.DUMMYFUNCTION("GOOGLETRANSLATE(E2541,""zh-CN"",""vi"")"),"Một phiên bản thu nhỏ của mũ ông già Noel, dành riêng cho táo! Hãy chế tạo nó để có được một quả táo nở hoa.")</f>
        <v>Một phiên bản thu nhỏ của mũ ông già Noel, dành riêng cho táo! Hãy chế tạo nó để có được một quả táo nở hoa.</v>
      </c>
      <c r="H2541" s="8"/>
      <c r="I2541" s="8"/>
      <c r="J2541" s="8"/>
    </row>
    <row r="2542" ht="21.0" customHeight="1">
      <c r="A2542" s="6">
        <v>1.0</v>
      </c>
      <c r="B2542" s="6">
        <v>190.0</v>
      </c>
      <c r="C2542" s="6">
        <v>4.0</v>
      </c>
      <c r="D2542" s="15" t="s">
        <v>3873</v>
      </c>
      <c r="E2542" s="9" t="s">
        <v>3874</v>
      </c>
      <c r="F2542" s="8" t="str">
        <f>IFERROR(__xludf.DUMMYFUNCTION("GOOGLETRANSLATE(D2542,""zh-CN"",""vi"")"),"Táo ra hoa")</f>
        <v>Táo ra hoa</v>
      </c>
      <c r="G2542" s="8" t="str">
        <f>IFERROR(__xludf.DUMMYFUNCTION("GOOGLETRANSLATE(E2542,""zh-CN"",""vi"")"),"Loại táo đầu tiên trên thế giới có thể nở hoa. Tổng hợp lại để tạo thành búp bê táo.")</f>
        <v>Loại táo đầu tiên trên thế giới có thể nở hoa. Tổng hợp lại để tạo thành búp bê táo.</v>
      </c>
      <c r="H2542" s="8"/>
      <c r="I2542" s="8"/>
      <c r="J2542" s="8"/>
    </row>
    <row r="2543" ht="21.0" customHeight="1">
      <c r="A2543" s="6">
        <v>1.0</v>
      </c>
      <c r="B2543" s="6">
        <v>190.0</v>
      </c>
      <c r="C2543" s="6">
        <v>5.0</v>
      </c>
      <c r="D2543" s="15" t="s">
        <v>3875</v>
      </c>
      <c r="E2543" s="9" t="s">
        <v>3876</v>
      </c>
      <c r="F2543" s="8" t="str">
        <f>IFERROR(__xludf.DUMMYFUNCTION("GOOGLETRANSLATE(D2543,""zh-CN"",""vi"")"),"Búp bê táo")</f>
        <v>Búp bê táo</v>
      </c>
      <c r="G2543" s="8" t="str">
        <f>IFERROR(__xludf.DUMMYFUNCTION("GOOGLETRANSLATE(E2543,""zh-CN"",""vi"")"),"Trời ơi! Quả táo hình như bị đột biến rồi! Hãy tổng hợp lại để có một quả táo con.")</f>
        <v>Trời ơi! Quả táo hình như bị đột biến rồi! Hãy tổng hợp lại để có một quả táo con.</v>
      </c>
      <c r="H2543" s="8"/>
      <c r="I2543" s="8"/>
      <c r="J2543" s="8"/>
    </row>
    <row r="2544" ht="21.0" customHeight="1">
      <c r="A2544" s="6">
        <v>1.0</v>
      </c>
      <c r="B2544" s="6">
        <v>190.0</v>
      </c>
      <c r="C2544" s="6">
        <v>6.0</v>
      </c>
      <c r="D2544" s="15" t="s">
        <v>3877</v>
      </c>
      <c r="E2544" s="9" t="s">
        <v>3878</v>
      </c>
      <c r="F2544" s="8" t="str">
        <f>IFERROR(__xludf.DUMMYFUNCTION("GOOGLETRANSLATE(D2544,""zh-CN"",""vi"")"),"Khối táo")</f>
        <v>Khối táo</v>
      </c>
      <c r="G2544" s="8" t="str">
        <f>IFERROR(__xludf.DUMMYFUNCTION("GOOGLETRANSLATE(E2544,""zh-CN"",""vi"")"),"Con búp bê xấu xí đã biến thành một em bé táo đáng yêu. Kết hợp chúng lại để có được một Cô Bé Táo.")</f>
        <v>Con búp bê xấu xí đã biến thành một em bé táo đáng yêu. Kết hợp chúng lại để có được một Cô Bé Táo.</v>
      </c>
      <c r="H2544" s="8"/>
      <c r="I2544" s="8"/>
      <c r="J2544" s="8"/>
    </row>
    <row r="2545" ht="21.0" customHeight="1">
      <c r="A2545" s="6">
        <v>1.0</v>
      </c>
      <c r="B2545" s="6">
        <v>190.0</v>
      </c>
      <c r="C2545" s="6">
        <v>7.0</v>
      </c>
      <c r="D2545" s="15" t="s">
        <v>3879</v>
      </c>
      <c r="E2545" s="9" t="s">
        <v>3880</v>
      </c>
      <c r="F2545" s="8" t="str">
        <f>IFERROR(__xludf.DUMMYFUNCTION("GOOGLETRANSLATE(D2545,""zh-CN"",""vi"")"),"Cô gái táo")</f>
        <v>Cô gái táo</v>
      </c>
      <c r="G2545" s="8" t="str">
        <f>IFERROR(__xludf.DUMMYFUNCTION("GOOGLETRANSLATE(E2545,""zh-CN"",""vi"")"),"Lắc chuông để triệu hồi ông già Noel. Kết hợp chúng để có được Cô gái có sừng.")</f>
        <v>Lắc chuông để triệu hồi ông già Noel. Kết hợp chúng để có được Cô gái có sừng.</v>
      </c>
      <c r="H2545" s="8"/>
      <c r="I2545" s="8"/>
      <c r="J2545" s="8"/>
    </row>
    <row r="2546" ht="21.0" customHeight="1">
      <c r="A2546" s="6">
        <v>1.0</v>
      </c>
      <c r="B2546" s="6">
        <v>190.0</v>
      </c>
      <c r="C2546" s="6">
        <v>8.0</v>
      </c>
      <c r="D2546" s="15" t="s">
        <v>3881</v>
      </c>
      <c r="E2546" s="9" t="s">
        <v>3882</v>
      </c>
      <c r="F2546" s="8" t="str">
        <f>IFERROR(__xludf.DUMMYFUNCTION("GOOGLETRANSLATE(D2546,""zh-CN"",""vi"")"),"Cô gái sừng hươu")</f>
        <v>Cô gái sừng hươu</v>
      </c>
      <c r="G2546" s="8" t="str">
        <f>IFERROR(__xludf.DUMMYFUNCTION("GOOGLETRANSLATE(E2546,""zh-CN"",""vi"")"),"Tôi không phải là quả táo cũng không phải là con nai. Hãy kết hợp các thành phần để có được Cô gái mang tất Giáng sinh.")</f>
        <v>Tôi không phải là quả táo cũng không phải là con nai. Hãy kết hợp các thành phần để có được Cô gái mang tất Giáng sinh.</v>
      </c>
      <c r="H2546" s="8"/>
      <c r="I2546" s="8"/>
      <c r="J2546" s="8"/>
    </row>
    <row r="2547" ht="21.0" customHeight="1">
      <c r="A2547" s="6">
        <v>1.0</v>
      </c>
      <c r="B2547" s="6">
        <v>190.0</v>
      </c>
      <c r="C2547" s="6">
        <v>9.0</v>
      </c>
      <c r="D2547" s="15" t="s">
        <v>3883</v>
      </c>
      <c r="E2547" s="9" t="s">
        <v>3884</v>
      </c>
      <c r="F2547" s="8" t="str">
        <f>IFERROR(__xludf.DUMMYFUNCTION("GOOGLETRANSLATE(D2547,""zh-CN"",""vi"")"),"Cô gái mang tất Giáng sinh")</f>
        <v>Cô gái mang tất Giáng sinh</v>
      </c>
      <c r="G2547" s="8" t="str">
        <f>IFERROR(__xludf.DUMMYFUNCTION("GOOGLETRANSLATE(E2547,""zh-CN"",""vi"")"),"Cô bé đã lén trốn trong chiếc tất và làm ông già Noel giật mình. Kết hợp chúng lại để có được Cô bé Hộp Quà.")</f>
        <v>Cô bé đã lén trốn trong chiếc tất và làm ông già Noel giật mình. Kết hợp chúng lại để có được Cô bé Hộp Quà.</v>
      </c>
      <c r="H2547" s="8"/>
      <c r="I2547" s="8"/>
      <c r="J2547" s="8"/>
    </row>
    <row r="2548" ht="21.0" customHeight="1">
      <c r="A2548" s="6">
        <v>1.0</v>
      </c>
      <c r="B2548" s="6">
        <v>190.0</v>
      </c>
      <c r="C2548" s="6">
        <v>10.0</v>
      </c>
      <c r="D2548" s="15" t="s">
        <v>3885</v>
      </c>
      <c r="E2548" s="9" t="s">
        <v>3886</v>
      </c>
      <c r="F2548" s="8" t="str">
        <f>IFERROR(__xludf.DUMMYFUNCTION("GOOGLETRANSLATE(D2548,""zh-CN"",""vi"")"),"Cô gái hộp quà")</f>
        <v>Cô gái hộp quà</v>
      </c>
      <c r="G2548" s="8" t="str">
        <f>IFERROR(__xludf.DUMMYFUNCTION("GOOGLETRANSLATE(E2548,""zh-CN"",""vi"")"),"Để tôi xem trong hộp quà có gì nào... Ghép chúng lại để được Cô gái Người tuyết.")</f>
        <v>Để tôi xem trong hộp quà có gì nào... Ghép chúng lại để được Cô gái Người tuyết.</v>
      </c>
      <c r="H2548" s="8"/>
      <c r="I2548" s="8"/>
      <c r="J2548" s="8"/>
    </row>
    <row r="2549" ht="21.0" customHeight="1">
      <c r="A2549" s="6">
        <v>1.0</v>
      </c>
      <c r="B2549" s="6">
        <v>190.0</v>
      </c>
      <c r="C2549" s="6">
        <v>11.0</v>
      </c>
      <c r="D2549" s="15" t="s">
        <v>3887</v>
      </c>
      <c r="E2549" s="9" t="s">
        <v>3888</v>
      </c>
      <c r="F2549" s="8" t="str">
        <f>IFERROR(__xludf.DUMMYFUNCTION("GOOGLETRANSLATE(D2549,""zh-CN"",""vi"")"),"Cô gái người tuyết")</f>
        <v>Cô gái người tuyết</v>
      </c>
      <c r="G2549" s="8" t="str">
        <f>IFERROR(__xludf.DUMMYFUNCTION("GOOGLETRANSLATE(E2549,""zh-CN"",""vi"")"),"Hãy mặc nó vào, và bạn sẽ là người chiến thắng tuyệt đối trong trò chơi trốn tìm. Chế tạo nó để có được Cô gái Tuần lộc.")</f>
        <v>Hãy mặc nó vào, và bạn sẽ là người chiến thắng tuyệt đối trong trò chơi trốn tìm. Chế tạo nó để có được Cô gái Tuần lộc.</v>
      </c>
      <c r="H2549" s="8"/>
      <c r="I2549" s="8"/>
      <c r="J2549" s="8"/>
    </row>
    <row r="2550" ht="21.0" customHeight="1">
      <c r="A2550" s="6">
        <v>1.0</v>
      </c>
      <c r="B2550" s="6">
        <v>190.0</v>
      </c>
      <c r="C2550" s="6">
        <v>12.0</v>
      </c>
      <c r="D2550" s="15" t="s">
        <v>3889</v>
      </c>
      <c r="E2550" s="9" t="s">
        <v>3890</v>
      </c>
      <c r="F2550" s="8" t="str">
        <f>IFERROR(__xludf.DUMMYFUNCTION("GOOGLETRANSLATE(D2550,""zh-CN"",""vi"")"),"Cô gái hươu")</f>
        <v>Cô gái hươu</v>
      </c>
      <c r="G2550" s="8" t="str">
        <f>IFERROR(__xludf.DUMMYFUNCTION("GOOGLETRANSLATE(E2550,""zh-CN"",""vi"")"),"Hãy mặc trang phục linh vật và hòa mình vào không khí bóc quà. Kết hợp các vật phẩm để tạo thành ông già Noel.")</f>
        <v>Hãy mặc trang phục linh vật và hòa mình vào không khí bóc quà. Kết hợp các vật phẩm để tạo thành ông già Noel.</v>
      </c>
      <c r="H2550" s="8"/>
      <c r="I2550" s="8"/>
      <c r="J2550" s="8"/>
    </row>
    <row r="2551" ht="21.0" customHeight="1">
      <c r="A2551" s="6">
        <v>1.0</v>
      </c>
      <c r="B2551" s="6">
        <v>190.0</v>
      </c>
      <c r="C2551" s="6">
        <v>13.0</v>
      </c>
      <c r="D2551" s="15" t="s">
        <v>3891</v>
      </c>
      <c r="E2551" s="9" t="s">
        <v>3892</v>
      </c>
      <c r="F2551" s="8" t="str">
        <f>IFERROR(__xludf.DUMMYFUNCTION("GOOGLETRANSLATE(D2551,""zh-CN"",""vi"")"),"Ông già Noel")</f>
        <v>Ông già Noel</v>
      </c>
      <c r="G2551" s="8" t="str">
        <f>IFERROR(__xludf.DUMMYFUNCTION("GOOGLETRANSLATE(E2551,""zh-CN"",""vi"")"),"Một ngày nữa lại hóa thân thành ông già Noel. (Cấp độ 100)")</f>
        <v>Một ngày nữa lại hóa thân thành ông già Noel. (Cấp độ 100)</v>
      </c>
      <c r="H2551" s="8"/>
      <c r="I2551" s="8"/>
      <c r="J2551" s="8"/>
    </row>
    <row r="2552" ht="21.0" customHeight="1">
      <c r="A2552" s="6">
        <v>1.0</v>
      </c>
      <c r="B2552" s="6">
        <v>191.0</v>
      </c>
      <c r="C2552" s="6">
        <v>1.0</v>
      </c>
      <c r="D2552" s="15" t="s">
        <v>3893</v>
      </c>
      <c r="E2552" s="9" t="s">
        <v>3894</v>
      </c>
      <c r="F2552" s="8" t="str">
        <f>IFERROR(__xludf.DUMMYFUNCTION("GOOGLETRANSLATE(D2552,""zh-CN"",""vi"")"),"Làm giàu trong một tháng")</f>
        <v>Làm giàu trong một tháng</v>
      </c>
      <c r="G2552" s="8" t="str">
        <f>IFERROR(__xludf.DUMMYFUNCTION("GOOGLETRANSLATE(E2552,""zh-CN"",""vi"")"),"Tôi nhận được cả một túi tiền lì xì. Tôi đã tổng hợp chúng để tạo ra Tháng Hai Lãng Mạn.")</f>
        <v>Tôi nhận được cả một túi tiền lì xì. Tôi đã tổng hợp chúng để tạo ra Tháng Hai Lãng Mạn.</v>
      </c>
      <c r="H2552" s="8"/>
      <c r="I2552" s="8"/>
      <c r="J2552" s="8"/>
    </row>
    <row r="2553" ht="21.0" customHeight="1">
      <c r="A2553" s="6">
        <v>1.0</v>
      </c>
      <c r="B2553" s="6">
        <v>191.0</v>
      </c>
      <c r="C2553" s="6">
        <v>2.0</v>
      </c>
      <c r="D2553" s="15" t="s">
        <v>3895</v>
      </c>
      <c r="E2553" s="9" t="s">
        <v>3896</v>
      </c>
      <c r="F2553" s="8" t="str">
        <f>IFERROR(__xludf.DUMMYFUNCTION("GOOGLETRANSLATE(D2553,""zh-CN"",""vi"")"),"Tháng Hai lãng mạn")</f>
        <v>Tháng Hai lãng mạn</v>
      </c>
      <c r="G2553" s="8" t="str">
        <f>IFERROR(__xludf.DUMMYFUNCTION("GOOGLETRANSLATE(E2553,""zh-CN"",""vi"")"),"Những bông hoa tuyệt đẹp nở rộ trong mùa lãng mạn này. Hãy tổng hợp và rèn luyện sức khỏe trong tháng Ba.")</f>
        <v>Những bông hoa tuyệt đẹp nở rộ trong mùa lãng mạn này. Hãy tổng hợp và rèn luyện sức khỏe trong tháng Ba.</v>
      </c>
      <c r="H2553" s="8"/>
      <c r="I2553" s="8"/>
      <c r="J2553" s="8"/>
    </row>
    <row r="2554" ht="21.0" customHeight="1">
      <c r="A2554" s="6">
        <v>1.0</v>
      </c>
      <c r="B2554" s="6">
        <v>191.0</v>
      </c>
      <c r="C2554" s="6">
        <v>3.0</v>
      </c>
      <c r="D2554" s="15" t="s">
        <v>3897</v>
      </c>
      <c r="E2554" s="9" t="s">
        <v>3898</v>
      </c>
      <c r="F2554" s="8" t="str">
        <f>IFERROR(__xludf.DUMMYFUNCTION("GOOGLETRANSLATE(D2554,""zh-CN"",""vi"")"),"Ba tháng tập luyện thể dục")</f>
        <v>Ba tháng tập luyện thể dục</v>
      </c>
      <c r="G2554" s="8" t="str">
        <f>IFERROR(__xludf.DUMMYFUNCTION("GOOGLETRANSLATE(E2554,""zh-CN"",""vi"")"),"Để có vóc dáng hoàn hảo, hãy bắt đầu tập thể dục! Kết hợp các bài tập để có một chuyến đi chơi mùa xuân vào tháng Tư.")</f>
        <v>Để có vóc dáng hoàn hảo, hãy bắt đầu tập thể dục! Kết hợp các bài tập để có một chuyến đi chơi mùa xuân vào tháng Tư.</v>
      </c>
      <c r="H2554" s="8"/>
      <c r="I2554" s="8"/>
      <c r="J2554" s="8"/>
    </row>
    <row r="2555" ht="21.0" customHeight="1">
      <c r="A2555" s="6">
        <v>1.0</v>
      </c>
      <c r="B2555" s="6">
        <v>191.0</v>
      </c>
      <c r="C2555" s="6">
        <v>4.0</v>
      </c>
      <c r="D2555" s="15" t="s">
        <v>3899</v>
      </c>
      <c r="E2555" s="9" t="s">
        <v>3900</v>
      </c>
      <c r="F2555" s="8" t="str">
        <f>IFERROR(__xludf.DUMMYFUNCTION("GOOGLETRANSLATE(D2555,""zh-CN"",""vi"")"),"Chuyến đi chơi mùa xuân vào tháng Tư")</f>
        <v>Chuyến đi chơi mùa xuân vào tháng Tư</v>
      </c>
      <c r="G2555" s="8" t="str">
        <f>IFERROR(__xludf.DUMMYFUNCTION("GOOGLETRANSLATE(E2555,""zh-CN"",""vi"")"),"Mùa xuân là thời điểm lý tưởng cho những buổi dã ngoại. (Được thiết kế để kỷ niệm Ngày Lao động vào tháng Năm.)")</f>
        <v>Mùa xuân là thời điểm lý tưởng cho những buổi dã ngoại. (Được thiết kế để kỷ niệm Ngày Lao động vào tháng Năm.)</v>
      </c>
      <c r="H2555" s="8"/>
      <c r="I2555" s="8"/>
      <c r="J2555" s="8"/>
    </row>
    <row r="2556" ht="21.0" customHeight="1">
      <c r="A2556" s="6">
        <v>1.0</v>
      </c>
      <c r="B2556" s="6">
        <v>191.0</v>
      </c>
      <c r="C2556" s="6">
        <v>5.0</v>
      </c>
      <c r="D2556" s="15" t="s">
        <v>3901</v>
      </c>
      <c r="E2556" s="9" t="s">
        <v>3902</v>
      </c>
      <c r="F2556" s="8" t="str">
        <f>IFERROR(__xludf.DUMMYFUNCTION("GOOGLETRANSLATE(D2556,""zh-CN"",""vi"")"),"Ngày Lao động tháng Năm")</f>
        <v>Ngày Lao động tháng Năm</v>
      </c>
      <c r="G2556" s="8" t="str">
        <f>IFERROR(__xludf.DUMMYFUNCTION("GOOGLETRANSLATE(E2556,""zh-CN"",""vi"")"),"Tháng Năm là tháng tràn đầy năng lượng, và hôm nay lại là một ngày bận rộn nữa. Hãy tổng hợp lại để có được sự ngây thơ hồn nhiên của trẻ thơ trong tháng Sáu.")</f>
        <v>Tháng Năm là tháng tràn đầy năng lượng, và hôm nay lại là một ngày bận rộn nữa. Hãy tổng hợp lại để có được sự ngây thơ hồn nhiên của trẻ thơ trong tháng Sáu.</v>
      </c>
      <c r="H2556" s="8"/>
      <c r="I2556" s="8"/>
      <c r="J2556" s="8"/>
    </row>
    <row r="2557" ht="21.0" customHeight="1">
      <c r="A2557" s="6">
        <v>1.0</v>
      </c>
      <c r="B2557" s="6">
        <v>191.0</v>
      </c>
      <c r="C2557" s="6">
        <v>6.0</v>
      </c>
      <c r="D2557" s="15" t="s">
        <v>3903</v>
      </c>
      <c r="E2557" s="9" t="s">
        <v>3904</v>
      </c>
      <c r="F2557" s="8" t="str">
        <f>IFERROR(__xludf.DUMMYFUNCTION("GOOGLETRANSLATE(D2557,""zh-CN"",""vi"")"),"Sự ngây thơ hồn nhiên của trẻ thơ vào tháng Sáu")</f>
        <v>Sự ngây thơ hồn nhiên của trẻ thơ vào tháng Sáu</v>
      </c>
      <c r="G2557" s="8" t="str">
        <f>IFERROR(__xludf.DUMMYFUNCTION("GOOGLETRANSLATE(E2557,""zh-CN"",""vi"")"),"Người lớn cũng ăn mừng Ngày Thiếu nhi. Hãy tổng hợp các vật phẩm để mở khóa sự kiện Phiêu lưu tháng Bảy.")</f>
        <v>Người lớn cũng ăn mừng Ngày Thiếu nhi. Hãy tổng hợp các vật phẩm để mở khóa sự kiện Phiêu lưu tháng Bảy.</v>
      </c>
      <c r="H2557" s="8"/>
      <c r="I2557" s="8"/>
      <c r="J2557" s="8"/>
    </row>
    <row r="2558" ht="21.0" customHeight="1">
      <c r="A2558" s="6">
        <v>1.0</v>
      </c>
      <c r="B2558" s="6">
        <v>191.0</v>
      </c>
      <c r="C2558" s="6">
        <v>7.0</v>
      </c>
      <c r="D2558" s="15" t="s">
        <v>3905</v>
      </c>
      <c r="E2558" s="9" t="s">
        <v>3906</v>
      </c>
      <c r="F2558" s="8" t="str">
        <f>IFERROR(__xludf.DUMMYFUNCTION("GOOGLETRANSLATE(D2558,""zh-CN"",""vi"")"),"Cuộc phiêu lưu tháng Bảy")</f>
        <v>Cuộc phiêu lưu tháng Bảy</v>
      </c>
      <c r="G2558" s="8" t="str">
        <f>IFERROR(__xludf.DUMMYFUNCTION("GOOGLETRANSLATE(E2558,""zh-CN"",""vi"")"),"Hãy bắt đầu một cuộc phiêu lưu trên đại dương, thật tuyệt vời! Kết hợp các vật phẩm để nhận được vật phẩm Lễ hội Thất Tích (tháng 8).")</f>
        <v>Hãy bắt đầu một cuộc phiêu lưu trên đại dương, thật tuyệt vời! Kết hợp các vật phẩm để nhận được vật phẩm Lễ hội Thất Tích (tháng 8).</v>
      </c>
      <c r="H2558" s="8"/>
      <c r="I2558" s="8"/>
      <c r="J2558" s="8"/>
    </row>
    <row r="2559" ht="21.0" customHeight="1">
      <c r="A2559" s="6">
        <v>1.0</v>
      </c>
      <c r="B2559" s="6">
        <v>191.0</v>
      </c>
      <c r="C2559" s="6">
        <v>8.0</v>
      </c>
      <c r="D2559" s="15" t="s">
        <v>3907</v>
      </c>
      <c r="E2559" s="9" t="s">
        <v>3908</v>
      </c>
      <c r="F2559" s="8" t="str">
        <f>IFERROR(__xludf.DUMMYFUNCTION("GOOGLETRANSLATE(D2559,""zh-CN"",""vi"")"),"Lễ hội Thất Tích vào tháng Tám")</f>
        <v>Lễ hội Thất Tích vào tháng Tám</v>
      </c>
      <c r="G2559" s="8" t="str">
        <f>IFERROR(__xludf.DUMMYFUNCTION("GOOGLETRANSLATE(E2559,""zh-CN"",""vi"")"),"Cầu Chim Chích xuất hiện trên bức bình phong, biểu tượng của Lễ hội Thất Tích, thời điểm để bày tỏ tình cảm sâu sắc. Cùng nhau, chúng ta có thể tận hưởng niềm vui của tháng Chín.")</f>
        <v>Cầu Chim Chích xuất hiện trên bức bình phong, biểu tượng của Lễ hội Thất Tích, thời điểm để bày tỏ tình cảm sâu sắc. Cùng nhau, chúng ta có thể tận hưởng niềm vui của tháng Chín.</v>
      </c>
      <c r="H2559" s="8"/>
      <c r="I2559" s="8"/>
      <c r="J2559" s="8"/>
    </row>
    <row r="2560" ht="21.0" customHeight="1">
      <c r="A2560" s="6">
        <v>1.0</v>
      </c>
      <c r="B2560" s="6">
        <v>191.0</v>
      </c>
      <c r="C2560" s="6">
        <v>9.0</v>
      </c>
      <c r="D2560" s="15" t="s">
        <v>3909</v>
      </c>
      <c r="E2560" s="9" t="s">
        <v>3910</v>
      </c>
      <c r="F2560" s="8" t="str">
        <f>IFERROR(__xludf.DUMMYFUNCTION("GOOGLETRANSLATE(D2560,""zh-CN"",""vi"")"),"Tận hưởng tháng Chín")</f>
        <v>Tận hưởng tháng Chín</v>
      </c>
      <c r="G2560" s="8" t="str">
        <f>IFERROR(__xludf.DUMMYFUNCTION("GOOGLETRANSLATE(E2560,""zh-CN"",""vi"")"),"Hãy tận hưởng âm nhạc, tận hưởng tháng Chín. Hãy tổng kết tinh hoa nghề của tháng Mười.")</f>
        <v>Hãy tận hưởng âm nhạc, tận hưởng tháng Chín. Hãy tổng kết tinh hoa nghề của tháng Mười.</v>
      </c>
      <c r="H2560" s="8"/>
      <c r="I2560" s="8"/>
      <c r="J2560" s="8"/>
    </row>
    <row r="2561" ht="21.0" customHeight="1">
      <c r="A2561" s="6">
        <v>1.0</v>
      </c>
      <c r="B2561" s="6">
        <v>191.0</v>
      </c>
      <c r="C2561" s="6">
        <v>10.0</v>
      </c>
      <c r="D2561" s="15" t="s">
        <v>3911</v>
      </c>
      <c r="E2561" s="9" t="s">
        <v>3912</v>
      </c>
      <c r="F2561" s="8" t="str">
        <f>IFERROR(__xludf.DUMMYFUNCTION("GOOGLETRANSLATE(D2561,""zh-CN"",""vi"")"),"Nghề thủ công trong tháng Mười")</f>
        <v>Nghề thủ công trong tháng Mười</v>
      </c>
      <c r="G2561" s="8" t="str">
        <f>IFERROR(__xludf.DUMMYFUNCTION("GOOGLETRANSLATE(E2561,""zh-CN"",""vi"")"),"Điều kỳ diệu nảy sinh từ sự kết hợp giữa trí tuệ và tay nghề. Sự tổng hợp này mang đến xu hướng cho tháng Mười Một.")</f>
        <v>Điều kỳ diệu nảy sinh từ sự kết hợp giữa trí tuệ và tay nghề. Sự tổng hợp này mang đến xu hướng cho tháng Mười Một.</v>
      </c>
      <c r="H2561" s="8"/>
      <c r="I2561" s="8"/>
      <c r="J2561" s="8"/>
    </row>
    <row r="2562" ht="21.0" customHeight="1">
      <c r="A2562" s="6">
        <v>1.0</v>
      </c>
      <c r="B2562" s="6">
        <v>191.0</v>
      </c>
      <c r="C2562" s="6">
        <v>11.0</v>
      </c>
      <c r="D2562" s="15" t="s">
        <v>3913</v>
      </c>
      <c r="E2562" s="9" t="s">
        <v>3914</v>
      </c>
      <c r="F2562" s="8" t="str">
        <f>IFERROR(__xludf.DUMMYFUNCTION("GOOGLETRANSLATE(D2562,""zh-CN"",""vi"")"),"Xu hướng tháng 11")</f>
        <v>Xu hướng tháng 11</v>
      </c>
      <c r="G2562" s="8" t="str">
        <f>IFERROR(__xludf.DUMMYFUNCTION("GOOGLETRANSLATE(E2562,""zh-CN"",""vi"")"),"Những sự kết hợp được trau chuốt tỉ mỉ, hãy trở thành người dẫn đầu xu hướng trong kỷ nguyên mới. Tổng hợp để tạo nên ""Tháng Mười Hai Tuyết Trắng"".")</f>
        <v>Những sự kết hợp được trau chuốt tỉ mỉ, hãy trở thành người dẫn đầu xu hướng trong kỷ nguyên mới. Tổng hợp để tạo nên "Tháng Mười Hai Tuyết Trắng".</v>
      </c>
      <c r="H2562" s="8"/>
      <c r="I2562" s="8"/>
      <c r="J2562" s="8"/>
    </row>
    <row r="2563" ht="21.0" customHeight="1">
      <c r="A2563" s="6">
        <v>1.0</v>
      </c>
      <c r="B2563" s="6">
        <v>191.0</v>
      </c>
      <c r="C2563" s="6">
        <v>12.0</v>
      </c>
      <c r="D2563" s="15" t="s">
        <v>3915</v>
      </c>
      <c r="E2563" s="9" t="s">
        <v>3916</v>
      </c>
      <c r="F2563" s="8" t="str">
        <f>IFERROR(__xludf.DUMMYFUNCTION("GOOGLETRANSLATE(D2563,""zh-CN"",""vi"")"),"Tháng 12 có tuyết")</f>
        <v>Tháng 12 có tuyết</v>
      </c>
      <c r="G2563" s="8" t="str">
        <f>IFERROR(__xludf.DUMMYFUNCTION("GOOGLETRANSLATE(E2563,""zh-CN"",""vi"")"),"Một chuyến tàu chở phép thuật băng giá du hành đến một vùng đất tuyết bí ẩn. Kết hợp các phép thuật để có được một Năm Rồng thịnh vượng.")</f>
        <v>Một chuyến tàu chở phép thuật băng giá du hành đến một vùng đất tuyết bí ẩn. Kết hợp các phép thuật để có được một Năm Rồng thịnh vượng.</v>
      </c>
      <c r="H2563" s="8"/>
      <c r="I2563" s="8"/>
      <c r="J2563" s="8"/>
    </row>
    <row r="2564" ht="21.0" customHeight="1">
      <c r="A2564" s="6">
        <v>1.0</v>
      </c>
      <c r="B2564" s="6">
        <v>191.0</v>
      </c>
      <c r="C2564" s="6">
        <v>13.0</v>
      </c>
      <c r="D2564" s="15" t="s">
        <v>3917</v>
      </c>
      <c r="E2564" s="9" t="s">
        <v>3918</v>
      </c>
      <c r="F2564" s="8" t="str">
        <f>IFERROR(__xludf.DUMMYFUNCTION("GOOGLETRANSLATE(D2564,""zh-CN"",""vi"")"),"Chúc mừng năm Rồng")</f>
        <v>Chúc mừng năm Rồng</v>
      </c>
      <c r="G2564" s="8" t="str">
        <f>IFERROR(__xludf.DUMMYFUNCTION("GOOGLETRANSLATE(E2564,""zh-CN"",""vi"")"),"Thỏ Ngọc tiễn biệt năm cũ, mang đến may mắn; Rồng Vàng chào đón năm mới, đảm bảo an ninh và bình an. (Đã được tổng hợp đến cấp độ cao nhất.)")</f>
        <v>Thỏ Ngọc tiễn biệt năm cũ, mang đến may mắn; Rồng Vàng chào đón năm mới, đảm bảo an ninh và bình an. (Đã được tổng hợp đến cấp độ cao nhất.)</v>
      </c>
      <c r="H2564" s="8"/>
      <c r="I2564" s="8"/>
      <c r="J2564" s="8"/>
    </row>
    <row r="2565" ht="21.0" customHeight="1">
      <c r="A2565" s="6">
        <v>11.0</v>
      </c>
      <c r="B2565" s="6">
        <v>1047.0</v>
      </c>
      <c r="C2565" s="6">
        <v>1.0</v>
      </c>
      <c r="D2565" s="15" t="s">
        <v>3919</v>
      </c>
      <c r="E2565" s="9" t="s">
        <v>3920</v>
      </c>
      <c r="F2565" s="8" t="str">
        <f>IFERROR(__xludf.DUMMYFUNCTION("GOOGLETRANSLATE(D2565,""zh-CN"",""vi"")"),"Kem viên")</f>
        <v>Kem viên</v>
      </c>
      <c r="G2565" s="8" t="str">
        <f>IFERROR(__xludf.DUMMYFUNCTION("GOOGLETRANSLATE(E2565,""zh-CN"",""vi"")"),"Trông thật hấp dẫn! Kết hợp chúng lại để tạo thành một cây kem ốc quế.")</f>
        <v>Trông thật hấp dẫn! Kết hợp chúng lại để tạo thành một cây kem ốc quế.</v>
      </c>
      <c r="H2565" s="8"/>
      <c r="I2565" s="8"/>
      <c r="J2565" s="8"/>
    </row>
    <row r="2566" ht="21.0" customHeight="1">
      <c r="A2566" s="6">
        <v>11.0</v>
      </c>
      <c r="B2566" s="6">
        <v>1047.0</v>
      </c>
      <c r="C2566" s="6">
        <v>2.0</v>
      </c>
      <c r="D2566" s="15" t="s">
        <v>3921</v>
      </c>
      <c r="E2566" s="9" t="s">
        <v>3922</v>
      </c>
      <c r="F2566" s="8" t="str">
        <f>IFERROR(__xludf.DUMMYFUNCTION("GOOGLETRANSLATE(D2566,""zh-CN"",""vi"")"),"ốc quế kem")</f>
        <v>ốc quế kem</v>
      </c>
      <c r="G2566" s="8" t="str">
        <f>IFERROR(__xludf.DUMMYFUNCTION("GOOGLETRANSLATE(E2566,""zh-CN"",""vi"")"),"Kem tươi, bánh pudding, sô cô la và anh đào! Kết hợp chúng để tạo ra món kem hình động vật.")</f>
        <v>Kem tươi, bánh pudding, sô cô la và anh đào! Kết hợp chúng để tạo ra món kem hình động vật.</v>
      </c>
      <c r="H2566" s="8"/>
      <c r="I2566" s="8"/>
      <c r="J2566" s="8"/>
    </row>
    <row r="2567" ht="21.0" customHeight="1">
      <c r="A2567" s="6">
        <v>11.0</v>
      </c>
      <c r="B2567" s="6">
        <v>1047.0</v>
      </c>
      <c r="C2567" s="6">
        <v>3.0</v>
      </c>
      <c r="D2567" s="15" t="s">
        <v>3923</v>
      </c>
      <c r="E2567" s="9" t="s">
        <v>3924</v>
      </c>
      <c r="F2567" s="8" t="str">
        <f>IFERROR(__xludf.DUMMYFUNCTION("GOOGLETRANSLATE(D2567,""zh-CN"",""vi"")"),"Kem hình động vật")</f>
        <v>Kem hình động vật</v>
      </c>
      <c r="G2567" s="8" t="str">
        <f>IFERROR(__xludf.DUMMYFUNCTION("GOOGLETRANSLATE(E2567,""zh-CN"",""vi"")"),"Chú ếch và người bạn thân Yoyo. Kết hợp chúng lại để tạo thành một tháp kem.")</f>
        <v>Chú ếch và người bạn thân Yoyo. Kết hợp chúng lại để tạo thành một tháp kem.</v>
      </c>
      <c r="H2567" s="8"/>
      <c r="I2567" s="8"/>
      <c r="J2567" s="8"/>
    </row>
    <row r="2568" ht="21.0" customHeight="1">
      <c r="A2568" s="6">
        <v>11.0</v>
      </c>
      <c r="B2568" s="6">
        <v>1047.0</v>
      </c>
      <c r="C2568" s="6">
        <v>4.0</v>
      </c>
      <c r="D2568" s="15" t="s">
        <v>3925</v>
      </c>
      <c r="E2568" s="9" t="s">
        <v>3926</v>
      </c>
      <c r="F2568" s="8" t="str">
        <f>IFERROR(__xludf.DUMMYFUNCTION("GOOGLETRANSLATE(D2568,""zh-CN"",""vi"")"),"Tháp kem")</f>
        <v>Tháp kem</v>
      </c>
      <c r="G2568" s="8" t="str">
        <f>IFERROR(__xludf.DUMMYFUNCTION("GOOGLETRANSLATE(E2568,""zh-CN"",""vi"")"),"Có hình dạng như một tòa tháp cao, lớp vỏ ngoài của nó giòn tan một cách đặc biệt. Kết hợp chúng lại để tạo thành một cửa hàng kem.")</f>
        <v>Có hình dạng như một tòa tháp cao, lớp vỏ ngoài của nó giòn tan một cách đặc biệt. Kết hợp chúng lại để tạo thành một cửa hàng kem.</v>
      </c>
      <c r="H2568" s="8"/>
      <c r="I2568" s="8"/>
      <c r="J2568" s="8"/>
    </row>
    <row r="2569" ht="21.0" customHeight="1">
      <c r="A2569" s="6">
        <v>10.0</v>
      </c>
      <c r="B2569" s="6">
        <v>1047.0</v>
      </c>
      <c r="C2569" s="6">
        <v>5.0</v>
      </c>
      <c r="D2569" s="15" t="s">
        <v>3927</v>
      </c>
      <c r="E2569" s="9" t="s">
        <v>3928</v>
      </c>
      <c r="F2569" s="8" t="str">
        <f>IFERROR(__xludf.DUMMYFUNCTION("GOOGLETRANSLATE(D2569,""zh-CN"",""vi"")"),"Cửa hàng kem")</f>
        <v>Cửa hàng kem</v>
      </c>
      <c r="G2569" s="8" t="str">
        <f>IFERROR(__xludf.DUMMYFUNCTION("GOOGLETRANSLATE(E2569,""zh-CN"",""vi"")"),"Nhìn kìa, nhìn kìa! Kem đang được bán! Kết hợp các vật phẩm để có được Cửa hàng Kem.")</f>
        <v>Nhìn kìa, nhìn kìa! Kem đang được bán! Kết hợp các vật phẩm để có được Cửa hàng Kem.</v>
      </c>
      <c r="H2569" s="8"/>
      <c r="I2569" s="8"/>
      <c r="J2569" s="8"/>
    </row>
    <row r="2570" ht="21.0" customHeight="1">
      <c r="A2570" s="6">
        <v>10.0</v>
      </c>
      <c r="B2570" s="6">
        <v>1047.0</v>
      </c>
      <c r="C2570" s="6">
        <v>6.0</v>
      </c>
      <c r="D2570" s="15" t="s">
        <v>3929</v>
      </c>
      <c r="E2570" s="9" t="s">
        <v>3930</v>
      </c>
      <c r="F2570" s="8" t="str">
        <f>IFERROR(__xludf.DUMMYFUNCTION("GOOGLETRANSLATE(D2570,""zh-CN"",""vi"")"),"Cửa hàng kem")</f>
        <v>Cửa hàng kem</v>
      </c>
      <c r="G2570" s="8" t="str">
        <f>IFERROR(__xludf.DUMMYFUNCTION("GOOGLETRANSLATE(E2570,""zh-CN"",""vi"")"),"Đừng nấu nướng bên trong, nếu không tường sẽ tan chảy! Hãy chế tạo Ngôi nhà Kem.")</f>
        <v>Đừng nấu nướng bên trong, nếu không tường sẽ tan chảy! Hãy chế tạo Ngôi nhà Kem.</v>
      </c>
      <c r="H2570" s="8"/>
      <c r="I2570" s="8"/>
      <c r="J2570" s="8"/>
    </row>
    <row r="2571" ht="21.0" customHeight="1">
      <c r="A2571" s="6">
        <v>10.0</v>
      </c>
      <c r="B2571" s="6">
        <v>1047.0</v>
      </c>
      <c r="C2571" s="6">
        <v>7.0</v>
      </c>
      <c r="D2571" s="15" t="s">
        <v>3931</v>
      </c>
      <c r="E2571" s="9" t="s">
        <v>3932</v>
      </c>
      <c r="F2571" s="8" t="str">
        <f>IFERROR(__xludf.DUMMYFUNCTION("GOOGLETRANSLATE(D2571,""zh-CN"",""vi"")"),"Cửa hàng kem")</f>
        <v>Cửa hàng kem</v>
      </c>
      <c r="G2571" s="8" t="str">
        <f>IFERROR(__xludf.DUMMYFUNCTION("GOOGLETRANSLATE(E2571,""zh-CN"",""vi"")"),"Cư dân của Vương quốc Mộng mơ sống trong những ngôi nhà này. Hãy tổng hợp chúng để có được Biệt thự Kem.")</f>
        <v>Cư dân của Vương quốc Mộng mơ sống trong những ngôi nhà này. Hãy tổng hợp chúng để có được Biệt thự Kem.</v>
      </c>
      <c r="H2571" s="8"/>
      <c r="I2571" s="8"/>
      <c r="J2571" s="8"/>
    </row>
    <row r="2572" ht="21.0" customHeight="1">
      <c r="A2572" s="6">
        <v>10.0</v>
      </c>
      <c r="B2572" s="6">
        <v>1047.0</v>
      </c>
      <c r="C2572" s="6">
        <v>8.0</v>
      </c>
      <c r="D2572" s="15" t="s">
        <v>3933</v>
      </c>
      <c r="E2572" s="9" t="s">
        <v>3934</v>
      </c>
      <c r="F2572" s="8" t="str">
        <f>IFERROR(__xludf.DUMMYFUNCTION("GOOGLETRANSLATE(D2572,""zh-CN"",""vi"")"),"Lâu đài kem")</f>
        <v>Lâu đài kem</v>
      </c>
      <c r="G2572" s="8" t="str">
        <f>IFERROR(__xludf.DUMMYFUNCTION("GOOGLETRANSLATE(E2572,""zh-CN"",""vi"")"),"Một câu hỏi: Bạn không sợ bị ma ám sao? Hãy tổng hợp để có được Lâu đài Kem.")</f>
        <v>Một câu hỏi: Bạn không sợ bị ma ám sao? Hãy tổng hợp để có được Lâu đài Kem.</v>
      </c>
      <c r="H2572" s="8"/>
      <c r="I2572" s="8"/>
      <c r="J2572" s="8"/>
    </row>
    <row r="2573" ht="21.0" customHeight="1">
      <c r="A2573" s="6">
        <v>10.0</v>
      </c>
      <c r="B2573" s="6">
        <v>1047.0</v>
      </c>
      <c r="C2573" s="6">
        <v>9.0</v>
      </c>
      <c r="D2573" s="15" t="s">
        <v>3935</v>
      </c>
      <c r="E2573" s="9" t="s">
        <v>3936</v>
      </c>
      <c r="F2573" s="8" t="str">
        <f>IFERROR(__xludf.DUMMYFUNCTION("GOOGLETRANSLATE(D2573,""zh-CN"",""vi"")"),"Lâu đài kem")</f>
        <v>Lâu đài kem</v>
      </c>
      <c r="G2573" s="8" t="str">
        <f>IFERROR(__xludf.DUMMYFUNCTION("GOOGLETRANSLATE(E2573,""zh-CN"",""vi"")"),"Có rất nhiều địa điểm thú vị bên trong! Hãy kết hợp chúng lại để tạo thành Lâu đài Kem.")</f>
        <v>Có rất nhiều địa điểm thú vị bên trong! Hãy kết hợp chúng lại để tạo thành Lâu đài Kem.</v>
      </c>
      <c r="H2573" s="8"/>
      <c r="I2573" s="8"/>
      <c r="J2573" s="8"/>
    </row>
    <row r="2574" ht="21.0" customHeight="1">
      <c r="A2574" s="6">
        <v>10.0</v>
      </c>
      <c r="B2574" s="6">
        <v>1047.0</v>
      </c>
      <c r="C2574" s="6">
        <v>10.0</v>
      </c>
      <c r="D2574" s="15" t="s">
        <v>3937</v>
      </c>
      <c r="E2574" s="9" t="s">
        <v>3938</v>
      </c>
      <c r="F2574" s="8" t="str">
        <f>IFERROR(__xludf.DUMMYFUNCTION("GOOGLETRANSLATE(D2574,""zh-CN"",""vi"")"),"Lâu đài kem")</f>
        <v>Lâu đài kem</v>
      </c>
      <c r="G2574" s="8" t="str">
        <f>IFERROR(__xludf.DUMMYFUNCTION("GOOGLETRANSLATE(E2574,""zh-CN"",""vi"")"),"Đây là lâu đài trong mơ của mọi đứa trẻ, màu sắc của nó là màu sắc của trí tưởng tượng. Nó đã được hoàn thiện đến mức độ cao nhất.")</f>
        <v>Đây là lâu đài trong mơ của mọi đứa trẻ, màu sắc của nó là màu sắc của trí tưởng tượng. Nó đã được hoàn thiện đến mức độ cao nhất.</v>
      </c>
      <c r="H2574" s="8"/>
      <c r="I2574" s="8"/>
      <c r="J2574" s="8"/>
    </row>
    <row r="2575" ht="21.0" customHeight="1">
      <c r="A2575" s="6">
        <v>11.0</v>
      </c>
      <c r="B2575" s="6">
        <v>1048.0</v>
      </c>
      <c r="C2575" s="6">
        <v>1.0</v>
      </c>
      <c r="D2575" s="15" t="s">
        <v>3939</v>
      </c>
      <c r="E2575" s="9" t="s">
        <v>3940</v>
      </c>
      <c r="F2575" s="8" t="str">
        <f>IFERROR(__xludf.DUMMYFUNCTION("GOOGLETRANSLATE(D2575,""zh-CN"",""vi"")"),"Muỗng múc kem [V]")</f>
        <v>Muỗng múc kem [V]</v>
      </c>
      <c r="G2575" s="8" t="str">
        <f>IFERROR(__xludf.DUMMYFUNCTION("GOOGLETRANSLATE(E2575,""zh-CN"",""vi"")"),"Trông thật hấp dẫn! Hãy làm một cây kem ốc quế [V].")</f>
        <v>Trông thật hấp dẫn! Hãy làm một cây kem ốc quế [V].</v>
      </c>
      <c r="H2575" s="8"/>
      <c r="I2575" s="8"/>
      <c r="J2575" s="8"/>
    </row>
    <row r="2576" ht="21.0" customHeight="1">
      <c r="A2576" s="6">
        <v>11.0</v>
      </c>
      <c r="B2576" s="6">
        <v>1048.0</v>
      </c>
      <c r="C2576" s="6">
        <v>2.0</v>
      </c>
      <c r="D2576" s="15" t="s">
        <v>3941</v>
      </c>
      <c r="E2576" s="9" t="s">
        <v>3942</v>
      </c>
      <c r="F2576" s="8" t="str">
        <f>IFERROR(__xludf.DUMMYFUNCTION("GOOGLETRANSLATE(D2576,""zh-CN"",""vi"")"),"Ốc quế kem [V]")</f>
        <v>Ốc quế kem [V]</v>
      </c>
      <c r="G2576" s="8" t="str">
        <f>IFERROR(__xludf.DUMMYFUNCTION("GOOGLETRANSLATE(E2576,""zh-CN"",""vi"")"),"Kem tươi, bánh pudding, sô cô la và anh đào! Kết hợp để tạo ra kem hình động vật [V].")</f>
        <v>Kem tươi, bánh pudding, sô cô la và anh đào! Kết hợp để tạo ra kem hình động vật [V].</v>
      </c>
      <c r="H2576" s="8"/>
      <c r="I2576" s="8"/>
      <c r="J2576" s="8"/>
    </row>
    <row r="2577" ht="21.0" customHeight="1">
      <c r="A2577" s="6">
        <v>11.0</v>
      </c>
      <c r="B2577" s="6">
        <v>1048.0</v>
      </c>
      <c r="C2577" s="6">
        <v>3.0</v>
      </c>
      <c r="D2577" s="15" t="s">
        <v>3943</v>
      </c>
      <c r="E2577" s="9" t="s">
        <v>3944</v>
      </c>
      <c r="F2577" s="8" t="str">
        <f>IFERROR(__xludf.DUMMYFUNCTION("GOOGLETRANSLATE(D2577,""zh-CN"",""vi"")"),"Kem hình động vật [V]")</f>
        <v>Kem hình động vật [V]</v>
      </c>
      <c r="G2577" s="8" t="str">
        <f>IFERROR(__xludf.DUMMYFUNCTION("GOOGLETRANSLATE(E2577,""zh-CN"",""vi"")"),"Chú ếch và người bạn thân nhất của nó là Yoyo. Kết hợp chúng lại để tạo thành một tháp kem [V].")</f>
        <v>Chú ếch và người bạn thân nhất của nó là Yoyo. Kết hợp chúng lại để tạo thành một tháp kem [V].</v>
      </c>
      <c r="H2577" s="8"/>
      <c r="I2577" s="8"/>
      <c r="J2577" s="8"/>
    </row>
    <row r="2578" ht="21.0" customHeight="1">
      <c r="A2578" s="6">
        <v>11.0</v>
      </c>
      <c r="B2578" s="6">
        <v>1048.0</v>
      </c>
      <c r="C2578" s="6">
        <v>4.0</v>
      </c>
      <c r="D2578" s="15" t="s">
        <v>3945</v>
      </c>
      <c r="E2578" s="9" t="s">
        <v>3946</v>
      </c>
      <c r="F2578" s="8" t="str">
        <f>IFERROR(__xludf.DUMMYFUNCTION("GOOGLETRANSLATE(D2578,""zh-CN"",""vi"")"),"Tháp kem [V]")</f>
        <v>Tháp kem [V]</v>
      </c>
      <c r="G2578" s="8" t="str">
        <f>IFERROR(__xludf.DUMMYFUNCTION("GOOGLETRANSLATE(E2578,""zh-CN"",""vi"")"),"Có hình dạng như một tòa tháp cao, với lớp vỏ ngoài giòn tan đặc biệt. Chế tạo nó để có được Cửa hàng Kem [V].")</f>
        <v>Có hình dạng như một tòa tháp cao, với lớp vỏ ngoài giòn tan đặc biệt. Chế tạo nó để có được Cửa hàng Kem [V].</v>
      </c>
      <c r="H2578" s="8"/>
      <c r="I2578" s="8"/>
      <c r="J2578" s="8"/>
    </row>
    <row r="2579" ht="21.0" customHeight="1">
      <c r="A2579" s="6">
        <v>10.0</v>
      </c>
      <c r="B2579" s="6">
        <v>1048.0</v>
      </c>
      <c r="C2579" s="6">
        <v>5.0</v>
      </c>
      <c r="D2579" s="15" t="s">
        <v>3947</v>
      </c>
      <c r="E2579" s="9" t="s">
        <v>3948</v>
      </c>
      <c r="F2579" s="8" t="str">
        <f>IFERROR(__xludf.DUMMYFUNCTION("GOOGLETRANSLATE(D2579,""zh-CN"",""vi"")"),"Cửa hàng kem [V]")</f>
        <v>Cửa hàng kem [V]</v>
      </c>
      <c r="G2579" s="8" t="str">
        <f>IFERROR(__xludf.DUMMYFUNCTION("GOOGLETRANSLATE(E2579,""zh-CN"",""vi"")"),"Nhìn kìa, nhìn kìa! Kem đang được bán! Kết hợp để có được Quán Kem [V].")</f>
        <v>Nhìn kìa, nhìn kìa! Kem đang được bán! Kết hợp để có được Quán Kem [V].</v>
      </c>
      <c r="H2579" s="8"/>
      <c r="I2579" s="8"/>
      <c r="J2579" s="8"/>
    </row>
    <row r="2580" ht="21.0" customHeight="1">
      <c r="A2580" s="6">
        <v>10.0</v>
      </c>
      <c r="B2580" s="6">
        <v>1048.0</v>
      </c>
      <c r="C2580" s="6">
        <v>6.0</v>
      </c>
      <c r="D2580" s="15" t="s">
        <v>3949</v>
      </c>
      <c r="E2580" s="9" t="s">
        <v>3950</v>
      </c>
      <c r="F2580" s="8" t="str">
        <f>IFERROR(__xludf.DUMMYFUNCTION("GOOGLETRANSLATE(D2580,""zh-CN"",""vi"")"),"Quán kem [V]")</f>
        <v>Quán kem [V]</v>
      </c>
      <c r="G2580" s="8" t="str">
        <f>IFERROR(__xludf.DUMMYFUNCTION("GOOGLETRANSLATE(E2580,""zh-CN"",""vi"")"),"Đừng nấu nướng bên trong, nếu không tường sẽ tan chảy! Chế tạo Ngôi nhà Kem [V].")</f>
        <v>Đừng nấu nướng bên trong, nếu không tường sẽ tan chảy! Chế tạo Ngôi nhà Kem [V].</v>
      </c>
      <c r="H2580" s="8"/>
      <c r="I2580" s="8"/>
      <c r="J2580" s="8"/>
    </row>
    <row r="2581" ht="21.0" customHeight="1">
      <c r="A2581" s="6">
        <v>10.0</v>
      </c>
      <c r="B2581" s="6">
        <v>1048.0</v>
      </c>
      <c r="C2581" s="6">
        <v>7.0</v>
      </c>
      <c r="D2581" s="15" t="s">
        <v>3951</v>
      </c>
      <c r="E2581" s="9" t="s">
        <v>3952</v>
      </c>
      <c r="F2581" s="8" t="str">
        <f>IFERROR(__xludf.DUMMYFUNCTION("GOOGLETRANSLATE(D2581,""zh-CN"",""vi"")"),"Cửa hàng kem [V]")</f>
        <v>Cửa hàng kem [V]</v>
      </c>
      <c r="G2581" s="8" t="str">
        <f>IFERROR(__xludf.DUMMYFUNCTION("GOOGLETRANSLATE(E2581,""zh-CN"",""vi"")"),"Cư dân của Vương quốc Giấc mơ sống trong những ngôi nhà này. Tổng hợp để có được Biệt thự Kem [V].")</f>
        <v>Cư dân của Vương quốc Giấc mơ sống trong những ngôi nhà này. Tổng hợp để có được Biệt thự Kem [V].</v>
      </c>
      <c r="H2581" s="8"/>
      <c r="I2581" s="8"/>
      <c r="J2581" s="8"/>
    </row>
    <row r="2582" ht="21.0" customHeight="1">
      <c r="A2582" s="6">
        <v>10.0</v>
      </c>
      <c r="B2582" s="6">
        <v>1048.0</v>
      </c>
      <c r="C2582" s="6">
        <v>8.0</v>
      </c>
      <c r="D2582" s="15" t="s">
        <v>3953</v>
      </c>
      <c r="E2582" s="9" t="s">
        <v>3954</v>
      </c>
      <c r="F2582" s="8" t="str">
        <f>IFERROR(__xludf.DUMMYFUNCTION("GOOGLETRANSLATE(D2582,""zh-CN"",""vi"")"),"Biệt thự kem [V]")</f>
        <v>Biệt thự kem [V]</v>
      </c>
      <c r="G2582" s="8" t="str">
        <f>IFERROR(__xludf.DUMMYFUNCTION("GOOGLETRANSLATE(E2582,""zh-CN"",""vi"")"),"Một câu hỏi: Bạn không sợ bị ma ám sao? Tổng hợp để có được Biệt thự Kem [V].")</f>
        <v>Một câu hỏi: Bạn không sợ bị ma ám sao? Tổng hợp để có được Biệt thự Kem [V].</v>
      </c>
      <c r="H2582" s="8"/>
      <c r="I2582" s="8"/>
      <c r="J2582" s="8"/>
    </row>
    <row r="2583" ht="21.0" customHeight="1">
      <c r="A2583" s="6">
        <v>10.0</v>
      </c>
      <c r="B2583" s="6">
        <v>1048.0</v>
      </c>
      <c r="C2583" s="6">
        <v>9.0</v>
      </c>
      <c r="D2583" s="15" t="s">
        <v>3955</v>
      </c>
      <c r="E2583" s="9" t="s">
        <v>3956</v>
      </c>
      <c r="F2583" s="8" t="str">
        <f>IFERROR(__xludf.DUMMYFUNCTION("GOOGLETRANSLATE(D2583,""zh-CN"",""vi"")"),"Lâu đài kem [V]")</f>
        <v>Lâu đài kem [V]</v>
      </c>
      <c r="G2583" s="8" t="str">
        <f>IFERROR(__xludf.DUMMYFUNCTION("GOOGLETRANSLATE(E2583,""zh-CN"",""vi"")"),"Có rất nhiều địa điểm thú vị bên trong! Kết hợp chúng lại để tạo thành Lâu đài Kem [V].")</f>
        <v>Có rất nhiều địa điểm thú vị bên trong! Kết hợp chúng lại để tạo thành Lâu đài Kem [V].</v>
      </c>
      <c r="H2583" s="8"/>
      <c r="I2583" s="8"/>
      <c r="J2583" s="8"/>
    </row>
    <row r="2584" ht="21.0" customHeight="1">
      <c r="A2584" s="6">
        <v>10.0</v>
      </c>
      <c r="B2584" s="6">
        <v>1048.0</v>
      </c>
      <c r="C2584" s="6">
        <v>10.0</v>
      </c>
      <c r="D2584" s="15" t="s">
        <v>3957</v>
      </c>
      <c r="E2584" s="9" t="s">
        <v>3938</v>
      </c>
      <c r="F2584" s="8" t="str">
        <f>IFERROR(__xludf.DUMMYFUNCTION("GOOGLETRANSLATE(D2584,""zh-CN"",""vi"")"),"Lâu đài kem [V]")</f>
        <v>Lâu đài kem [V]</v>
      </c>
      <c r="G2584" s="8" t="str">
        <f>IFERROR(__xludf.DUMMYFUNCTION("GOOGLETRANSLATE(E2584,""zh-CN"",""vi"")"),"Đây là lâu đài trong mơ của mọi đứa trẻ, màu sắc của nó là màu sắc của trí tưởng tượng. Nó đã được hoàn thiện đến mức độ cao nhất.")</f>
        <v>Đây là lâu đài trong mơ của mọi đứa trẻ, màu sắc của nó là màu sắc của trí tưởng tượng. Nó đã được hoàn thiện đến mức độ cao nhất.</v>
      </c>
      <c r="H2584" s="8"/>
      <c r="I2584" s="8"/>
      <c r="J2584" s="8"/>
    </row>
    <row r="2585" ht="21.0" customHeight="1">
      <c r="A2585" s="6">
        <v>1.0</v>
      </c>
      <c r="B2585" s="6">
        <v>192.0</v>
      </c>
      <c r="C2585" s="6">
        <v>1.0</v>
      </c>
      <c r="D2585" s="15" t="s">
        <v>3958</v>
      </c>
      <c r="E2585" s="9" t="s">
        <v>3959</v>
      </c>
      <c r="F2585" s="8" t="str">
        <f>IFERROR(__xludf.DUMMYFUNCTION("GOOGLETRANSLATE(D2585,""zh-CN"",""vi"")"),"Một trận đấu")</f>
        <v>Một trận đấu</v>
      </c>
      <c r="G2585" s="8" t="str">
        <f>IFERROR(__xludf.DUMMYFUNCTION("GOOGLETRANSLATE(E2585,""zh-CN"",""vi"")"),"Đừng đánh giá thấp nó; nó có thể thắp sáng cả một không gian. Kết hợp chúng lại để tạo thành một bó diêm.")</f>
        <v>Đừng đánh giá thấp nó; nó có thể thắp sáng cả một không gian. Kết hợp chúng lại để tạo thành một bó diêm.</v>
      </c>
      <c r="H2585" s="8"/>
      <c r="I2585" s="8"/>
      <c r="J2585" s="8"/>
    </row>
    <row r="2586" ht="21.0" customHeight="1">
      <c r="A2586" s="6">
        <v>1.0</v>
      </c>
      <c r="B2586" s="6">
        <v>192.0</v>
      </c>
      <c r="C2586" s="6">
        <v>2.0</v>
      </c>
      <c r="D2586" s="15" t="s">
        <v>3960</v>
      </c>
      <c r="E2586" s="9" t="s">
        <v>3961</v>
      </c>
      <c r="F2586" s="8" t="str">
        <f>IFERROR(__xludf.DUMMYFUNCTION("GOOGLETRANSLATE(D2586,""zh-CN"",""vi"")"),"Một hộp diêm")</f>
        <v>Một hộp diêm</v>
      </c>
      <c r="G2586" s="8" t="str">
        <f>IFERROR(__xludf.DUMMYFUNCTION("GOOGLETRANSLATE(E2586,""zh-CN"",""vi"")"),"Nó có thể phát ra ánh sáng nhiều màu sắc. Kết hợp chúng lại để tạo thành những ngọn nến nhỏ.")</f>
        <v>Nó có thể phát ra ánh sáng nhiều màu sắc. Kết hợp chúng lại để tạo thành những ngọn nến nhỏ.</v>
      </c>
      <c r="H2586" s="8"/>
      <c r="I2586" s="8"/>
      <c r="J2586" s="8"/>
    </row>
    <row r="2587" ht="21.0" customHeight="1">
      <c r="A2587" s="6">
        <v>1.0</v>
      </c>
      <c r="B2587" s="6">
        <v>192.0</v>
      </c>
      <c r="C2587" s="6">
        <v>3.0</v>
      </c>
      <c r="D2587" s="15" t="s">
        <v>3962</v>
      </c>
      <c r="E2587" s="9" t="s">
        <v>3963</v>
      </c>
      <c r="F2587" s="8" t="str">
        <f>IFERROR(__xludf.DUMMYFUNCTION("GOOGLETRANSLATE(D2587,""zh-CN"",""vi"")"),"nến nhỏ")</f>
        <v>nến nhỏ</v>
      </c>
      <c r="G2587" s="8" t="str">
        <f>IFERROR(__xludf.DUMMYFUNCTION("GOOGLETRANSLATE(E2587,""zh-CN"",""vi"")"),"Vậy là đủ để hoàn thành bài tập về nhà hôm nay rồi. Hãy làm một cây nến lớn.")</f>
        <v>Vậy là đủ để hoàn thành bài tập về nhà hôm nay rồi. Hãy làm một cây nến lớn.</v>
      </c>
      <c r="H2587" s="8"/>
      <c r="I2587" s="8"/>
      <c r="J2587" s="8"/>
    </row>
    <row r="2588" ht="21.0" customHeight="1">
      <c r="A2588" s="6">
        <v>1.0</v>
      </c>
      <c r="B2588" s="6">
        <v>192.0</v>
      </c>
      <c r="C2588" s="6">
        <v>4.0</v>
      </c>
      <c r="D2588" s="15" t="s">
        <v>3964</v>
      </c>
      <c r="E2588" s="9" t="s">
        <v>3965</v>
      </c>
      <c r="F2588" s="8" t="str">
        <f>IFERROR(__xludf.DUMMYFUNCTION("GOOGLETRANSLATE(D2588,""zh-CN"",""vi"")"),"cây nến lớn")</f>
        <v>cây nến lớn</v>
      </c>
      <c r="G2588" s="8" t="str">
        <f>IFERROR(__xludf.DUMMYFUNCTION("GOOGLETRANSLATE(E2588,""zh-CN"",""vi"")"),"Nó có thể dùng được cả tháng, chỉ cần cẩn thận với sáp nến. Hãy nhóm một đống lửa trại.")</f>
        <v>Nó có thể dùng được cả tháng, chỉ cần cẩn thận với sáp nến. Hãy nhóm một đống lửa trại.</v>
      </c>
      <c r="H2588" s="8"/>
      <c r="I2588" s="8"/>
      <c r="J2588" s="8"/>
    </row>
    <row r="2589" ht="21.0" customHeight="1">
      <c r="A2589" s="6">
        <v>1.0</v>
      </c>
      <c r="B2589" s="6">
        <v>192.0</v>
      </c>
      <c r="C2589" s="6">
        <v>5.0</v>
      </c>
      <c r="D2589" s="15" t="s">
        <v>3966</v>
      </c>
      <c r="E2589" s="9" t="s">
        <v>3967</v>
      </c>
      <c r="F2589" s="8" t="str">
        <f>IFERROR(__xludf.DUMMYFUNCTION("GOOGLETRANSLATE(D2589,""zh-CN"",""vi"")"),"lửa trại")</f>
        <v>lửa trại</v>
      </c>
      <c r="G2589" s="8" t="str">
        <f>IFERROR(__xludf.DUMMYFUNCTION("GOOGLETRANSLATE(E2589,""zh-CN"",""vi"")"),"Sáng sủa và ấm áp, nó luôn mang lại cảm giác an toàn. Hãy tự tay làm một chiếc lò than.")</f>
        <v>Sáng sủa và ấm áp, nó luôn mang lại cảm giác an toàn. Hãy tự tay làm một chiếc lò than.</v>
      </c>
      <c r="H2589" s="8"/>
      <c r="I2589" s="8"/>
      <c r="J2589" s="8"/>
    </row>
    <row r="2590" ht="21.0" customHeight="1">
      <c r="A2590" s="6">
        <v>1.0</v>
      </c>
      <c r="B2590" s="6">
        <v>192.0</v>
      </c>
      <c r="C2590" s="6">
        <v>6.0</v>
      </c>
      <c r="D2590" s="15" t="s">
        <v>3968</v>
      </c>
      <c r="E2590" s="9" t="s">
        <v>3969</v>
      </c>
      <c r="F2590" s="8" t="str">
        <f>IFERROR(__xludf.DUMMYFUNCTION("GOOGLETRANSLATE(D2590,""zh-CN"",""vi"")"),"lò than")</f>
        <v>lò than</v>
      </c>
      <c r="G2590" s="8" t="str">
        <f>IFERROR(__xludf.DUMMYFUNCTION("GOOGLETRANSLATE(E2590,""zh-CN"",""vi"")"),"Nó nhỏ gọn, rất tiện lợi để sưởi ấm bằng lửa. Hãy chế tạo nó để có được một cái bếp.")</f>
        <v>Nó nhỏ gọn, rất tiện lợi để sưởi ấm bằng lửa. Hãy chế tạo nó để có được một cái bếp.</v>
      </c>
      <c r="H2590" s="8"/>
      <c r="I2590" s="8"/>
      <c r="J2590" s="8"/>
    </row>
    <row r="2591" ht="21.0" customHeight="1">
      <c r="A2591" s="6">
        <v>1.0</v>
      </c>
      <c r="B2591" s="6">
        <v>192.0</v>
      </c>
      <c r="C2591" s="6">
        <v>7.0</v>
      </c>
      <c r="D2591" s="15" t="s">
        <v>3970</v>
      </c>
      <c r="E2591" s="9" t="s">
        <v>3971</v>
      </c>
      <c r="F2591" s="8" t="str">
        <f>IFERROR(__xludf.DUMMYFUNCTION("GOOGLETRANSLATE(D2591,""zh-CN"",""vi"")"),"cái lò")</f>
        <v>cái lò</v>
      </c>
      <c r="G2591" s="8" t="str">
        <f>IFERROR(__xludf.DUMMYFUNCTION("GOOGLETRANSLATE(E2591,""zh-CN"",""vi"")"),"Ngay cả trong gió mạnh, nó cũng khó mà tắt được. Hãy chế tạo nó để có được một lò sưởi.")</f>
        <v>Ngay cả trong gió mạnh, nó cũng khó mà tắt được. Hãy chế tạo nó để có được một lò sưởi.</v>
      </c>
      <c r="H2591" s="8"/>
      <c r="I2591" s="8"/>
      <c r="J2591" s="8"/>
    </row>
    <row r="2592" ht="21.0" customHeight="1">
      <c r="A2592" s="6">
        <v>1.0</v>
      </c>
      <c r="B2592" s="6">
        <v>192.0</v>
      </c>
      <c r="C2592" s="6">
        <v>8.0</v>
      </c>
      <c r="D2592" s="15" t="s">
        <v>3972</v>
      </c>
      <c r="E2592" s="9" t="s">
        <v>3973</v>
      </c>
      <c r="F2592" s="8" t="str">
        <f>IFERROR(__xludf.DUMMYFUNCTION("GOOGLETRANSLATE(D2592,""zh-CN"",""vi"")"),"lò vi sóng")</f>
        <v>lò vi sóng</v>
      </c>
      <c r="G2592" s="8" t="str">
        <f>IFERROR(__xludf.DUMMYFUNCTION("GOOGLETRANSLATE(E2592,""zh-CN"",""vi"")"),"Nó đã bầu bạn với chúng ta qua vô số đêm đông. Hãy chế tạo nó để có được một lò sưởi và một con mèo.")</f>
        <v>Nó đã bầu bạn với chúng ta qua vô số đêm đông. Hãy chế tạo nó để có được một lò sưởi và một con mèo.</v>
      </c>
      <c r="H2592" s="8"/>
      <c r="I2592" s="8"/>
      <c r="J2592" s="8"/>
    </row>
    <row r="2593" ht="21.0" customHeight="1">
      <c r="A2593" s="6">
        <v>1.0</v>
      </c>
      <c r="B2593" s="6">
        <v>192.0</v>
      </c>
      <c r="C2593" s="6">
        <v>9.0</v>
      </c>
      <c r="D2593" s="15" t="s">
        <v>3974</v>
      </c>
      <c r="E2593" s="9" t="s">
        <v>3975</v>
      </c>
      <c r="F2593" s="8" t="str">
        <f>IFERROR(__xludf.DUMMYFUNCTION("GOOGLETRANSLATE(D2593,""zh-CN"",""vi"")"),"Bếp lò và Mèo")</f>
        <v>Bếp lò và Mèo</v>
      </c>
      <c r="G2593" s="8" t="str">
        <f>IFERROR(__xludf.DUMMYFUNCTION("GOOGLETRANSLATE(E2593,""zh-CN"",""vi"")"),"Con mèo cũng đang nằm trên lò sưởi để sưởi ấm. Hãy chế tạo nó để có được một lò sưởi.")</f>
        <v>Con mèo cũng đang nằm trên lò sưởi để sưởi ấm. Hãy chế tạo nó để có được một lò sưởi.</v>
      </c>
      <c r="H2593" s="8"/>
      <c r="I2593" s="8"/>
      <c r="J2593" s="8"/>
    </row>
    <row r="2594" ht="21.0" customHeight="1">
      <c r="A2594" s="6">
        <v>1.0</v>
      </c>
      <c r="B2594" s="6">
        <v>192.0</v>
      </c>
      <c r="C2594" s="6">
        <v>10.0</v>
      </c>
      <c r="D2594" s="15" t="s">
        <v>3976</v>
      </c>
      <c r="E2594" s="9" t="s">
        <v>3977</v>
      </c>
      <c r="F2594" s="8" t="str">
        <f>IFERROR(__xludf.DUMMYFUNCTION("GOOGLETRANSLATE(D2594,""zh-CN"",""vi"")"),"lò sưởi")</f>
        <v>lò sưởi</v>
      </c>
      <c r="G2594" s="8" t="str">
        <f>IFERROR(__xludf.DUMMYFUNCTION("GOOGLETRANSLATE(E2594,""zh-CN"",""vi"")"),"Nó là một yếu tố ổn định trong bão tuyết. Sở hữu nó mang lại sự an tâm. Hãy chế tạo nó để có được một lò sưởi Giáng sinh.")</f>
        <v>Nó là một yếu tố ổn định trong bão tuyết. Sở hữu nó mang lại sự an tâm. Hãy chế tạo nó để có được một lò sưởi Giáng sinh.</v>
      </c>
      <c r="H2594" s="8"/>
      <c r="I2594" s="8"/>
      <c r="J2594" s="8"/>
    </row>
    <row r="2595" ht="21.0" customHeight="1">
      <c r="A2595" s="6">
        <v>1.0</v>
      </c>
      <c r="B2595" s="6">
        <v>192.0</v>
      </c>
      <c r="C2595" s="6">
        <v>11.0</v>
      </c>
      <c r="D2595" s="15" t="s">
        <v>3978</v>
      </c>
      <c r="E2595" s="9" t="s">
        <v>3979</v>
      </c>
      <c r="F2595" s="8" t="str">
        <f>IFERROR(__xludf.DUMMYFUNCTION("GOOGLETRANSLATE(D2595,""zh-CN"",""vi"")"),"Lò sưởi Giáng sinh")</f>
        <v>Lò sưởi Giáng sinh</v>
      </c>
      <c r="G2595" s="8" t="str">
        <f>IFERROR(__xludf.DUMMYFUNCTION("GOOGLETRANSLATE(E2595,""zh-CN"",""vi"")"),"Các bé ơi, hãy đến nhận quà nào! Ghép chúng lại để nhận được Fireside Chat.")</f>
        <v>Các bé ơi, hãy đến nhận quà nào! Ghép chúng lại để nhận được Fireside Chat.</v>
      </c>
      <c r="H2595" s="8"/>
      <c r="I2595" s="8"/>
      <c r="J2595" s="8"/>
    </row>
    <row r="2596" ht="21.0" customHeight="1">
      <c r="A2596" s="6">
        <v>1.0</v>
      </c>
      <c r="B2596" s="6">
        <v>192.0</v>
      </c>
      <c r="C2596" s="6">
        <v>12.0</v>
      </c>
      <c r="D2596" s="15" t="s">
        <v>3980</v>
      </c>
      <c r="E2596" s="9" t="s">
        <v>3981</v>
      </c>
      <c r="F2596" s="8" t="str">
        <f>IFERROR(__xludf.DUMMYFUNCTION("GOOGLETRANSLATE(D2596,""zh-CN"",""vi"")"),"Trò chuyện bên lò sưởi")</f>
        <v>Trò chuyện bên lò sưởi</v>
      </c>
      <c r="G2596" s="8" t="str">
        <f>IFERROR(__xludf.DUMMYFUNCTION("GOOGLETRANSLATE(E2596,""zh-CN"",""vi"")"),"""Các chị em ơi, anh chàng tặng quà cho chúng ta lần trước ấy..."" Hãy kết hợp các thành phần để có được Winter Gathering.")</f>
        <v>"Các chị em ơi, anh chàng tặng quà cho chúng ta lần trước ấy..." Hãy kết hợp các thành phần để có được Winter Gathering.</v>
      </c>
      <c r="H2596" s="8"/>
      <c r="I2596" s="8"/>
      <c r="J2596" s="8"/>
    </row>
    <row r="2597" ht="21.0" customHeight="1">
      <c r="A2597" s="6">
        <v>1.0</v>
      </c>
      <c r="B2597" s="6">
        <v>192.0</v>
      </c>
      <c r="C2597" s="6">
        <v>13.0</v>
      </c>
      <c r="D2597" s="15" t="s">
        <v>3982</v>
      </c>
      <c r="E2597" s="9" t="s">
        <v>3983</v>
      </c>
      <c r="F2597" s="8" t="str">
        <f>IFERROR(__xludf.DUMMYFUNCTION("GOOGLETRANSLATE(D2597,""zh-CN"",""vi"")"),"Cuộc tụ họp mùa đông")</f>
        <v>Cuộc tụ họp mùa đông</v>
      </c>
      <c r="G2597" s="8" t="str">
        <f>IFERROR(__xludf.DUMMYFUNCTION("GOOGLETRANSLATE(E2597,""zh-CN"",""vi"")"),"Trà nóng, cà phê, bánh ngọt, hoa tươi, mèo, những lời thì thầm... tất cả hòa quyện tạo nên một trải nghiệm tuyệt vời nhất.")</f>
        <v>Trà nóng, cà phê, bánh ngọt, hoa tươi, mèo, những lời thì thầm... tất cả hòa quyện tạo nên một trải nghiệm tuyệt vời nhất.</v>
      </c>
      <c r="H2597" s="8"/>
      <c r="I2597" s="8"/>
      <c r="J2597" s="8"/>
    </row>
    <row r="2598" ht="21.0" customHeight="1">
      <c r="A2598" s="6">
        <v>1.0</v>
      </c>
      <c r="B2598" s="6">
        <v>193.0</v>
      </c>
      <c r="C2598" s="6">
        <v>1.0</v>
      </c>
      <c r="D2598" s="15" t="s">
        <v>3984</v>
      </c>
      <c r="E2598" s="9" t="s">
        <v>3985</v>
      </c>
      <c r="F2598" s="8" t="str">
        <f>IFERROR(__xludf.DUMMYFUNCTION("GOOGLETRANSLATE(D2598,""zh-CN"",""vi"")"),"Chậu rửa chân bằng nhựa rỗng")</f>
        <v>Chậu rửa chân bằng nhựa rỗng</v>
      </c>
      <c r="G2598" s="8" t="str">
        <f>IFERROR(__xludf.DUMMYFUNCTION("GOOGLETRANSLATE(E2598,""zh-CN"",""vi"")"),"Một chậu rửa chân bằng nhựa rỗng. Tổng hợp các thành phần để tạo thành một chậu rửa chân bằng nhựa đầy.")</f>
        <v>Một chậu rửa chân bằng nhựa rỗng. Tổng hợp các thành phần để tạo thành một chậu rửa chân bằng nhựa đầy.</v>
      </c>
      <c r="H2598" s="8"/>
      <c r="I2598" s="8"/>
      <c r="J2598" s="8"/>
    </row>
    <row r="2599" ht="21.0" customHeight="1">
      <c r="A2599" s="6">
        <v>1.0</v>
      </c>
      <c r="B2599" s="6">
        <v>193.0</v>
      </c>
      <c r="C2599" s="6">
        <v>2.0</v>
      </c>
      <c r="D2599" s="15" t="s">
        <v>3986</v>
      </c>
      <c r="E2599" s="9" t="s">
        <v>3987</v>
      </c>
      <c r="F2599" s="8" t="str">
        <f>IFERROR(__xludf.DUMMYFUNCTION("GOOGLETRANSLATE(D2599,""zh-CN"",""vi"")"),"Đầy những chậu rửa chân bằng nhựa")</f>
        <v>Đầy những chậu rửa chân bằng nhựa</v>
      </c>
      <c r="G2599" s="8" t="str">
        <f>IFERROR(__xludf.DUMMYFUNCTION("GOOGLETRANSLATE(E2599,""zh-CN"",""vi"")"),"Một chậu ngâm chân bằng nhựa chứa đầy nước. Hãy chế tạo nó để có được một chậu ngâm chân bằng gỗ.")</f>
        <v>Một chậu ngâm chân bằng nhựa chứa đầy nước. Hãy chế tạo nó để có được một chậu ngâm chân bằng gỗ.</v>
      </c>
      <c r="H2599" s="8"/>
      <c r="I2599" s="8"/>
      <c r="J2599" s="8"/>
    </row>
    <row r="2600" ht="21.0" customHeight="1">
      <c r="A2600" s="6">
        <v>1.0</v>
      </c>
      <c r="B2600" s="6">
        <v>193.0</v>
      </c>
      <c r="C2600" s="6">
        <v>3.0</v>
      </c>
      <c r="D2600" s="15" t="s">
        <v>3988</v>
      </c>
      <c r="E2600" s="9" t="s">
        <v>3989</v>
      </c>
      <c r="F2600" s="8" t="str">
        <f>IFERROR(__xludf.DUMMYFUNCTION("GOOGLETRANSLATE(D2600,""zh-CN"",""vi"")"),"Chậu ngâm chân bằng gỗ")</f>
        <v>Chậu ngâm chân bằng gỗ</v>
      </c>
      <c r="G2600" s="8" t="str">
        <f>IFERROR(__xludf.DUMMYFUNCTION("GOOGLETRANSLATE(E2600,""zh-CN"",""vi"")"),"Đung đưa nhẹ nhàng, đung đưa nhẹ nhàng. Kết hợp các thành phần để tạo ra một chậu ngâm chân thông minh.")</f>
        <v>Đung đưa nhẹ nhàng, đung đưa nhẹ nhàng. Kết hợp các thành phần để tạo ra một chậu ngâm chân thông minh.</v>
      </c>
      <c r="H2600" s="8"/>
      <c r="I2600" s="8"/>
      <c r="J2600" s="8"/>
    </row>
    <row r="2601" ht="21.0" customHeight="1">
      <c r="A2601" s="6">
        <v>1.0</v>
      </c>
      <c r="B2601" s="6">
        <v>193.0</v>
      </c>
      <c r="C2601" s="6">
        <v>4.0</v>
      </c>
      <c r="D2601" s="15" t="s">
        <v>3990</v>
      </c>
      <c r="E2601" s="9" t="s">
        <v>3991</v>
      </c>
      <c r="F2601" s="8" t="str">
        <f>IFERROR(__xludf.DUMMYFUNCTION("GOOGLETRANSLATE(D2601,""zh-CN"",""vi"")"),"Bồn ngâm chân thông minh")</f>
        <v>Bồn ngâm chân thông minh</v>
      </c>
      <c r="G2601" s="8" t="str">
        <f>IFERROR(__xludf.DUMMYFUNCTION("GOOGLETRANSLATE(E2601,""zh-CN"",""vi"")"),"Công nghệ thay đổi cuộc sống; hãy tận hưởng liệu pháp ngâm chân thư giãn và chăm sóc sức khỏe dễ chịu. Kết hợp các thành phần để tạo thành bồn tắm thông thường.")</f>
        <v>Công nghệ thay đổi cuộc sống; hãy tận hưởng liệu pháp ngâm chân thư giãn và chăm sóc sức khỏe dễ chịu. Kết hợp các thành phần để tạo thành bồn tắm thông thường.</v>
      </c>
      <c r="H2601" s="8"/>
      <c r="I2601" s="8"/>
      <c r="J2601" s="8"/>
    </row>
    <row r="2602" ht="21.0" customHeight="1">
      <c r="A2602" s="6">
        <v>1.0</v>
      </c>
      <c r="B2602" s="6">
        <v>193.0</v>
      </c>
      <c r="C2602" s="6">
        <v>5.0</v>
      </c>
      <c r="D2602" s="15" t="s">
        <v>3992</v>
      </c>
      <c r="E2602" s="9" t="s">
        <v>3993</v>
      </c>
      <c r="F2602" s="8" t="str">
        <f>IFERROR(__xludf.DUMMYFUNCTION("GOOGLETRANSLATE(D2602,""zh-CN"",""vi"")"),"Bồn tắm thông thường")</f>
        <v>Bồn tắm thông thường</v>
      </c>
      <c r="G2602" s="8" t="str">
        <f>IFERROR(__xludf.DUMMYFUNCTION("GOOGLETRANSLATE(E2602,""zh-CN"",""vi"")"),"Sau một ngày dài mệt mỏi, điều thư giãn nhất chính là ngâm mình trong bồn tắm. Hãy tự tay thiết kế một chiếc bồn tắm sang trọng.")</f>
        <v>Sau một ngày dài mệt mỏi, điều thư giãn nhất chính là ngâm mình trong bồn tắm. Hãy tự tay thiết kế một chiếc bồn tắm sang trọng.</v>
      </c>
      <c r="H2602" s="8"/>
      <c r="I2602" s="8"/>
      <c r="J2602" s="8"/>
    </row>
    <row r="2603" ht="21.0" customHeight="1">
      <c r="A2603" s="6">
        <v>1.0</v>
      </c>
      <c r="B2603" s="6">
        <v>193.0</v>
      </c>
      <c r="C2603" s="6">
        <v>6.0</v>
      </c>
      <c r="D2603" s="15" t="s">
        <v>3994</v>
      </c>
      <c r="E2603" s="9" t="s">
        <v>3995</v>
      </c>
      <c r="F2603" s="8" t="str">
        <f>IFERROR(__xludf.DUMMYFUNCTION("GOOGLETRANSLATE(D2603,""zh-CN"",""vi"")"),"Bồn tắm sang trọng")</f>
        <v>Bồn tắm sang trọng</v>
      </c>
      <c r="G2603" s="8" t="str">
        <f>IFERROR(__xludf.DUMMYFUNCTION("GOOGLETRANSLATE(E2603,""zh-CN"",""vi"")"),"Sẽ hoàn hảo nếu thiếu một con vịt bơm hơi bằng cao su. Hãy tổng hợp nó để tạo ra một suối nước nóng tự nhiên.")</f>
        <v>Sẽ hoàn hảo nếu thiếu một con vịt bơm hơi bằng cao su. Hãy tổng hợp nó để tạo ra một suối nước nóng tự nhiên.</v>
      </c>
      <c r="H2603" s="8"/>
      <c r="I2603" s="8"/>
      <c r="J2603" s="8"/>
    </row>
    <row r="2604" ht="21.0" customHeight="1">
      <c r="A2604" s="6">
        <v>1.0</v>
      </c>
      <c r="B2604" s="6">
        <v>193.0</v>
      </c>
      <c r="C2604" s="6">
        <v>7.0</v>
      </c>
      <c r="D2604" s="15" t="s">
        <v>3996</v>
      </c>
      <c r="E2604" s="9" t="s">
        <v>3997</v>
      </c>
      <c r="F2604" s="8" t="str">
        <f>IFERROR(__xludf.DUMMYFUNCTION("GOOGLETRANSLATE(D2604,""zh-CN"",""vi"")"),"suối nước nóng tự nhiên")</f>
        <v>suối nước nóng tự nhiên</v>
      </c>
      <c r="G2604" s="8" t="str">
        <f>IFERROR(__xludf.DUMMYFUNCTION("GOOGLETRANSLATE(E2604,""zh-CN"",""vi"")"),"Một món quà từ thiên nhiên, bồn tắm suối nước nóng tự nhiên! Kết hợp các thành phần để tạo ra một bồn tắm bằng gỗ riêng tư.")</f>
        <v>Một món quà từ thiên nhiên, bồn tắm suối nước nóng tự nhiên! Kết hợp các thành phần để tạo ra một bồn tắm bằng gỗ riêng tư.</v>
      </c>
      <c r="H2604" s="8"/>
      <c r="I2604" s="8"/>
      <c r="J2604" s="8"/>
    </row>
    <row r="2605" ht="21.0" customHeight="1">
      <c r="A2605" s="6">
        <v>1.0</v>
      </c>
      <c r="B2605" s="6">
        <v>193.0</v>
      </c>
      <c r="C2605" s="6">
        <v>8.0</v>
      </c>
      <c r="D2605" s="15" t="s">
        <v>3998</v>
      </c>
      <c r="E2605" s="9" t="s">
        <v>3999</v>
      </c>
      <c r="F2605" s="8" t="str">
        <f>IFERROR(__xludf.DUMMYFUNCTION("GOOGLETRANSLATE(D2605,""zh-CN"",""vi"")"),"Phòng tắm riêng bằng gỗ")</f>
        <v>Phòng tắm riêng bằng gỗ</v>
      </c>
      <c r="G2605" s="8" t="str">
        <f>IFERROR(__xludf.DUMMYFUNCTION("GOOGLETRANSLATE(E2605,""zh-CN"",""vi"")"),"Rộng rãi và thư giãn. Kết hợp để có được bồn tắm đá riêng tư.")</f>
        <v>Rộng rãi và thư giãn. Kết hợp để có được bồn tắm đá riêng tư.</v>
      </c>
      <c r="H2605" s="8"/>
      <c r="I2605" s="8"/>
      <c r="J2605" s="8"/>
    </row>
    <row r="2606" ht="21.0" customHeight="1">
      <c r="A2606" s="6">
        <v>1.0</v>
      </c>
      <c r="B2606" s="6">
        <v>193.0</v>
      </c>
      <c r="C2606" s="6">
        <v>9.0</v>
      </c>
      <c r="D2606" s="15" t="s">
        <v>4000</v>
      </c>
      <c r="E2606" s="9" t="s">
        <v>4001</v>
      </c>
      <c r="F2606" s="8" t="str">
        <f>IFERROR(__xludf.DUMMYFUNCTION("GOOGLETRANSLATE(D2606,""zh-CN"",""vi"")"),"Phòng tắm riêng bằng đá")</f>
        <v>Phòng tắm riêng bằng đá</v>
      </c>
      <c r="G2606" s="8" t="str">
        <f>IFERROR(__xludf.DUMMYFUNCTION("GOOGLETRANSLATE(E2606,""zh-CN"",""vi"")"),"Môi trường ở đây rất dễ chịu, thậm chí còn có cả những người phục vụ là động vật đáng yêu. Hãy tự tay thiết kế bồn tắm đá kiểu cổ điển.")</f>
        <v>Môi trường ở đây rất dễ chịu, thậm chí còn có cả những người phục vụ là động vật đáng yêu. Hãy tự tay thiết kế bồn tắm đá kiểu cổ điển.</v>
      </c>
      <c r="H2606" s="8"/>
      <c r="I2606" s="8"/>
      <c r="J2606" s="8"/>
    </row>
    <row r="2607" ht="21.0" customHeight="1">
      <c r="A2607" s="6">
        <v>1.0</v>
      </c>
      <c r="B2607" s="6">
        <v>193.0</v>
      </c>
      <c r="C2607" s="6">
        <v>10.0</v>
      </c>
      <c r="D2607" s="15" t="s">
        <v>4002</v>
      </c>
      <c r="E2607" s="9" t="s">
        <v>4003</v>
      </c>
      <c r="F2607" s="8" t="str">
        <f>IFERROR(__xludf.DUMMYFUNCTION("GOOGLETRANSLATE(D2607,""zh-CN"",""vi"")"),"Bồn tắm đá kiểu cổ điển")</f>
        <v>Bồn tắm đá kiểu cổ điển</v>
      </c>
      <c r="G2607" s="8" t="str">
        <f>IFERROR(__xludf.DUMMYFUNCTION("GOOGLETRANSLATE(E2607,""zh-CN"",""vi"")"),"Suối nước nóng gần gũi với thiên nhiên đôi khi còn thư giãn hơn cả suối nước nóng thông thường. Hãy cùng nhau tạo ra một khu vực tắm suối nước nóng tự nhiên trên núi.")</f>
        <v>Suối nước nóng gần gũi với thiên nhiên đôi khi còn thư giãn hơn cả suối nước nóng thông thường. Hãy cùng nhau tạo ra một khu vực tắm suối nước nóng tự nhiên trên núi.</v>
      </c>
      <c r="H2607" s="8"/>
      <c r="I2607" s="8"/>
      <c r="J2607" s="8"/>
    </row>
    <row r="2608" ht="21.0" customHeight="1">
      <c r="A2608" s="6">
        <v>1.0</v>
      </c>
      <c r="B2608" s="6">
        <v>193.0</v>
      </c>
      <c r="C2608" s="6">
        <v>11.0</v>
      </c>
      <c r="D2608" s="15" t="s">
        <v>4004</v>
      </c>
      <c r="E2608" s="9" t="s">
        <v>4005</v>
      </c>
      <c r="F2608" s="8" t="str">
        <f>IFERROR(__xludf.DUMMYFUNCTION("GOOGLETRANSLATE(D2608,""zh-CN"",""vi"")"),"Bãi tắm tự nhiên vùng núi và hoang dã")</f>
        <v>Bãi tắm tự nhiên vùng núi và hoang dã</v>
      </c>
      <c r="G2608" s="8" t="str">
        <f>IFERROR(__xludf.DUMMYFUNCTION("GOOGLETRANSLATE(E2608,""zh-CN"",""vi"")"),"Thỉnh thoảng, bạn có thể bắt gặp những động vật nhỏ và tắm cùng chúng. Kết hợp chúng lại để có được Bồn tắm Hoa Anh Đào Tháng Tư.")</f>
        <v>Thỉnh thoảng, bạn có thể bắt gặp những động vật nhỏ và tắm cùng chúng. Kết hợp chúng lại để có được Bồn tắm Hoa Anh Đào Tháng Tư.</v>
      </c>
      <c r="H2608" s="8"/>
      <c r="I2608" s="8"/>
      <c r="J2608" s="8"/>
    </row>
    <row r="2609" ht="21.0" customHeight="1">
      <c r="A2609" s="6">
        <v>1.0</v>
      </c>
      <c r="B2609" s="6">
        <v>193.0</v>
      </c>
      <c r="C2609" s="6">
        <v>12.0</v>
      </c>
      <c r="D2609" s="15" t="s">
        <v>4006</v>
      </c>
      <c r="E2609" s="9" t="s">
        <v>4007</v>
      </c>
      <c r="F2609" s="8" t="str">
        <f>IFERROR(__xludf.DUMMYFUNCTION("GOOGLETRANSLATE(D2609,""zh-CN"",""vi"")"),"Hoa anh đào nở vào tháng Tư tại nhà tắm công cộng.")</f>
        <v>Hoa anh đào nở vào tháng Tư tại nhà tắm công cộng.</v>
      </c>
      <c r="G2609" s="8" t="str">
        <f>IFERROR(__xludf.DUMMYFUNCTION("GOOGLETRANSLATE(E2609,""zh-CN"",""vi"")"),"Hơi nước bốc lên, những cánh hoa bay lượn trong không trung—một thiên đường trần gian. Kết hợp các thành phần để có được Khu Tắm Tuyết Nghìn Núi.")</f>
        <v>Hơi nước bốc lên, những cánh hoa bay lượn trong không trung—một thiên đường trần gian. Kết hợp các thành phần để có được Khu Tắm Tuyết Nghìn Núi.</v>
      </c>
      <c r="H2609" s="8"/>
      <c r="I2609" s="8"/>
      <c r="J2609" s="8"/>
    </row>
    <row r="2610" ht="21.0" customHeight="1">
      <c r="A2610" s="6">
        <v>1.0</v>
      </c>
      <c r="B2610" s="6">
        <v>193.0</v>
      </c>
      <c r="C2610" s="6">
        <v>13.0</v>
      </c>
      <c r="D2610" s="15" t="s">
        <v>4008</v>
      </c>
      <c r="E2610" s="9" t="s">
        <v>4009</v>
      </c>
      <c r="F2610" s="8" t="str">
        <f>IFERROR(__xludf.DUMMYFUNCTION("GOOGLETRANSLATE(D2610,""zh-CN"",""vi"")"),"Tuyết rơi trên bãi biển Thousand Mountains")</f>
        <v>Tuyết rơi trên bãi biển Thousand Mountains</v>
      </c>
      <c r="G2610" s="8" t="str">
        <f>IFERROR(__xludf.DUMMYFUNCTION("GOOGLETRANSLATE(E2610,""zh-CN"",""vi"")"),"Những ngọn núi và khu rừng được khoác lên mình tấm áo trắng tinh khôi, và hơi ấm của không khí bao trùm vẻ đẹp của thế giới. (Điều này đã được tổng hợp đến mức cao nhất.)")</f>
        <v>Những ngọn núi và khu rừng được khoác lên mình tấm áo trắng tinh khôi, và hơi ấm của không khí bao trùm vẻ đẹp của thế giới. (Điều này đã được tổng hợp đến mức cao nhất.)</v>
      </c>
      <c r="H2610" s="8"/>
      <c r="I2610" s="8"/>
      <c r="J2610" s="8"/>
    </row>
    <row r="2611" ht="21.0" customHeight="1">
      <c r="A2611" s="6">
        <v>1.0</v>
      </c>
      <c r="B2611" s="6">
        <v>194.0</v>
      </c>
      <c r="C2611" s="6">
        <v>1.0</v>
      </c>
      <c r="D2611" s="15" t="s">
        <v>4010</v>
      </c>
      <c r="E2611" s="9" t="s">
        <v>4011</v>
      </c>
      <c r="F2611" s="8" t="str">
        <f>IFERROR(__xludf.DUMMYFUNCTION("GOOGLETRANSLATE(D2611,""zh-CN"",""vi"")"),"Momo, người luôn ở trên giường.")</f>
        <v>Momo, người luôn ở trên giường.</v>
      </c>
      <c r="G2611" s="8" t="str">
        <f>IFERROR(__xludf.DUMMYFUNCTION("GOOGLETRANSLATE(E2611,""zh-CN"",""vi"")"),"Ugh~~ Mới 8 giờ thôi, cho mình ngủ thêm chút nữa đã~~ Tổng hợp để có được Cá Sấu Ngủ.")</f>
        <v>Ugh~~ Mới 8 giờ thôi, cho mình ngủ thêm chút nữa đã~~ Tổng hợp để có được Cá Sấu Ngủ.</v>
      </c>
      <c r="H2611" s="8"/>
      <c r="I2611" s="8"/>
      <c r="J2611" s="8"/>
    </row>
    <row r="2612" ht="21.0" customHeight="1">
      <c r="A2612" s="6">
        <v>1.0</v>
      </c>
      <c r="B2612" s="6">
        <v>194.0</v>
      </c>
      <c r="C2612" s="6">
        <v>2.0</v>
      </c>
      <c r="D2612" s="15" t="s">
        <v>4012</v>
      </c>
      <c r="E2612" s="9" t="s">
        <v>4013</v>
      </c>
      <c r="F2612" s="8" t="str">
        <f>IFERROR(__xludf.DUMMYFUNCTION("GOOGLETRANSLATE(D2612,""zh-CN"",""vi"")"),"cá sấu con đang ngủ")</f>
        <v>cá sấu con đang ngủ</v>
      </c>
      <c r="G2612" s="8" t="str">
        <f>IFERROR(__xludf.DUMMYFUNCTION("GOOGLETRANSLATE(E2612,""zh-CN"",""vi"")"),"Dòng sông, bơi lội, vui vẻ, hehehe... tổng hợp lại thành đỉnh cao mang đến những giấc mơ đẹp.")</f>
        <v>Dòng sông, bơi lội, vui vẻ, hehehe... tổng hợp lại thành đỉnh cao mang đến những giấc mơ đẹp.</v>
      </c>
      <c r="H2612" s="8"/>
      <c r="I2612" s="8"/>
      <c r="J2612" s="8"/>
    </row>
    <row r="2613" ht="21.0" customHeight="1">
      <c r="A2613" s="6">
        <v>1.0</v>
      </c>
      <c r="B2613" s="6">
        <v>194.0</v>
      </c>
      <c r="C2613" s="6">
        <v>3.0</v>
      </c>
      <c r="D2613" s="15" t="s">
        <v>4014</v>
      </c>
      <c r="E2613" s="9" t="s">
        <v>4015</v>
      </c>
      <c r="F2613" s="8" t="str">
        <f>IFERROR(__xludf.DUMMYFUNCTION("GOOGLETRANSLATE(D2613,""zh-CN"",""vi"")"),"Chúc ngủ ngon, Fengfeng")</f>
        <v>Chúc ngủ ngon, Fengfeng</v>
      </c>
      <c r="G2613" s="8" t="str">
        <f>IFERROR(__xludf.DUMMYFUNCTION("GOOGLETRANSLATE(E2613,""zh-CN"",""vi"")"),"Những cánh hoa là chiếc giường yêu thích của Fengfeng. Hãy kết hợp chúng lại để tạo thành một chú ếch nhỏ biết chơi nhạc.")</f>
        <v>Những cánh hoa là chiếc giường yêu thích của Fengfeng. Hãy kết hợp chúng lại để tạo thành một chú ếch nhỏ biết chơi nhạc.</v>
      </c>
      <c r="H2613" s="8"/>
      <c r="I2613" s="8"/>
      <c r="J2613" s="8"/>
    </row>
    <row r="2614" ht="21.0" customHeight="1">
      <c r="A2614" s="6">
        <v>1.0</v>
      </c>
      <c r="B2614" s="6">
        <v>194.0</v>
      </c>
      <c r="C2614" s="6">
        <v>4.0</v>
      </c>
      <c r="D2614" s="15" t="s">
        <v>4016</v>
      </c>
      <c r="E2614" s="9" t="s">
        <v>4017</v>
      </c>
      <c r="F2614" s="8" t="str">
        <f>IFERROR(__xludf.DUMMYFUNCTION("GOOGLETRANSLATE(D2614,""zh-CN"",""vi"")"),"Chú ếch nhỏ đang chơi đùa")</f>
        <v>Chú ếch nhỏ đang chơi đùa</v>
      </c>
      <c r="G2614" s="8" t="str">
        <f>IFERROR(__xludf.DUMMYFUNCTION("GOOGLETRANSLATE(E2614,""zh-CN"",""vi"")"),"Tôi phải trở thành bậc thầy đá! Ta-da! Tổng hợp để Qiqi đeo miếng che mắt.")</f>
        <v>Tôi phải trở thành bậc thầy đá! Ta-da! Tổng hợp để Qiqi đeo miếng che mắt.</v>
      </c>
      <c r="H2614" s="8"/>
      <c r="I2614" s="8"/>
      <c r="J2614" s="8"/>
    </row>
    <row r="2615" ht="21.0" customHeight="1">
      <c r="A2615" s="6">
        <v>1.0</v>
      </c>
      <c r="B2615" s="6">
        <v>194.0</v>
      </c>
      <c r="C2615" s="6">
        <v>5.0</v>
      </c>
      <c r="D2615" s="15" t="s">
        <v>4018</v>
      </c>
      <c r="E2615" s="9" t="s">
        <v>4019</v>
      </c>
      <c r="F2615" s="8" t="str">
        <f>IFERROR(__xludf.DUMMYFUNCTION("GOOGLETRANSLATE(D2615,""zh-CN"",""vi"")"),"Qiqi đeo miếng che mắt")</f>
        <v>Qiqi đeo miếng che mắt</v>
      </c>
      <c r="G2615" s="8" t="str">
        <f>IFERROR(__xludf.DUMMYFUNCTION("GOOGLETRANSLATE(E2615,""zh-CN"",""vi"")"),"Có vẻ như nó đang ngủ rất ngon giấc? Hãy ghép các mảnh lại để có được hình ảnh chú bé đang đọc sách.")</f>
        <v>Có vẻ như nó đang ngủ rất ngon giấc? Hãy ghép các mảnh lại để có được hình ảnh chú bé đang đọc sách.</v>
      </c>
      <c r="H2615" s="8"/>
      <c r="I2615" s="8"/>
      <c r="J2615" s="8"/>
    </row>
    <row r="2616" ht="21.0" customHeight="1">
      <c r="A2616" s="6">
        <v>1.0</v>
      </c>
      <c r="B2616" s="6">
        <v>194.0</v>
      </c>
      <c r="C2616" s="6">
        <v>6.0</v>
      </c>
      <c r="D2616" s="15" t="s">
        <v>4020</v>
      </c>
      <c r="E2616" s="9" t="s">
        <v>4021</v>
      </c>
      <c r="F2616" s="8" t="str">
        <f>IFERROR(__xludf.DUMMYFUNCTION("GOOGLETRANSLATE(D2616,""zh-CN"",""vi"")"),"Xiao Zhuang đang đọc sách")</f>
        <v>Xiao Zhuang đang đọc sách</v>
      </c>
      <c r="G2616" s="8" t="str">
        <f>IFERROR(__xludf.DUMMYFUNCTION("GOOGLETRANSLATE(E2616,""zh-CN"",""vi"")"),"Ngày mai tôi sẽ kể câu chuyện này cho người bạn thân nhất của mình nghe. (Về việc tạo ra một con nhím vừa vặn hoàn hảo trong chiếc chăn của nó.)")</f>
        <v>Ngày mai tôi sẽ kể câu chuyện này cho người bạn thân nhất của mình nghe. (Về việc tạo ra một con nhím vừa vặn hoàn hảo trong chiếc chăn của nó.)</v>
      </c>
      <c r="H2616" s="8"/>
      <c r="I2616" s="8"/>
      <c r="J2616" s="8"/>
    </row>
    <row r="2617" ht="21.0" customHeight="1">
      <c r="A2617" s="6">
        <v>1.0</v>
      </c>
      <c r="B2617" s="6">
        <v>194.0</v>
      </c>
      <c r="C2617" s="6">
        <v>7.0</v>
      </c>
      <c r="D2617" s="15" t="s">
        <v>4022</v>
      </c>
      <c r="E2617" s="9" t="s">
        <v>4023</v>
      </c>
      <c r="F2617" s="8" t="str">
        <f>IFERROR(__xludf.DUMMYFUNCTION("GOOGLETRANSLATE(D2617,""zh-CN"",""vi"")"),"Một chú nhím với chiếc chăn vừa vặn.")</f>
        <v>Một chú nhím với chiếc chăn vừa vặn.</v>
      </c>
      <c r="G2617" s="8" t="str">
        <f>IFERROR(__xludf.DUMMYFUNCTION("GOOGLETRANSLATE(E2617,""zh-CN"",""vi"")"),"Cuối cùng nó cũng tìm được một chiếc chăn bông không dễ rách. Sau đó, nó đã kết tinh Jiajia thành một chiếc gối tình yêu.")</f>
        <v>Cuối cùng nó cũng tìm được một chiếc chăn bông không dễ rách. Sau đó, nó đã kết tinh Jiajia thành một chiếc gối tình yêu.</v>
      </c>
      <c r="H2617" s="8"/>
      <c r="I2617" s="8"/>
      <c r="J2617" s="8"/>
    </row>
    <row r="2618" ht="21.0" customHeight="1">
      <c r="A2618" s="6">
        <v>1.0</v>
      </c>
      <c r="B2618" s="6">
        <v>194.0</v>
      </c>
      <c r="C2618" s="6">
        <v>8.0</v>
      </c>
      <c r="D2618" s="15" t="s">
        <v>4024</v>
      </c>
      <c r="E2618" s="9" t="s">
        <v>4025</v>
      </c>
      <c r="F2618" s="8" t="str">
        <f>IFERROR(__xludf.DUMMYFUNCTION("GOOGLETRANSLATE(D2618,""zh-CN"",""vi"")"),"Jiajia thích gối")</f>
        <v>Jiajia thích gối</v>
      </c>
      <c r="G2618" s="8" t="str">
        <f>IFERROR(__xludf.DUMMYFUNCTION("GOOGLETRANSLATE(E2618,""zh-CN"",""vi"")"),"Hãy kết hợp những ngọn núi phô mai, những dòng sông phô mai, những con đường phô mai... để tạo ra một chú tanuki biết chơi trò chơi điện tử.")</f>
        <v>Hãy kết hợp những ngọn núi phô mai, những dòng sông phô mai, những con đường phô mai... để tạo ra một chú tanuki biết chơi trò chơi điện tử.</v>
      </c>
      <c r="H2618" s="8"/>
      <c r="I2618" s="8"/>
      <c r="J2618" s="8"/>
    </row>
    <row r="2619" ht="21.0" customHeight="1">
      <c r="A2619" s="6">
        <v>1.0</v>
      </c>
      <c r="B2619" s="6">
        <v>194.0</v>
      </c>
      <c r="C2619" s="6">
        <v>9.0</v>
      </c>
      <c r="D2619" s="15" t="s">
        <v>4026</v>
      </c>
      <c r="E2619" s="9" t="s">
        <v>4027</v>
      </c>
      <c r="F2619" s="8" t="str">
        <f>IFERROR(__xludf.DUMMYFUNCTION("GOOGLETRANSLATE(D2619,""zh-CN"",""vi"")"),"Tanuki chơi trò chơi điện tử")</f>
        <v>Tanuki chơi trò chơi điện tử</v>
      </c>
      <c r="G2619" s="8" t="str">
        <f>IFERROR(__xludf.DUMMYFUNCTION("GOOGLETRANSLATE(E2619,""zh-CN"",""vi"")"),"Ban đêm là thời gian để chúng ta thư giãn! Hãy tổng hợp để có được Lala, người có thể leo lên mặt trăng.")</f>
        <v>Ban đêm là thời gian để chúng ta thư giãn! Hãy tổng hợp để có được Lala, người có thể leo lên mặt trăng.</v>
      </c>
      <c r="H2619" s="8"/>
      <c r="I2619" s="8"/>
      <c r="J2619" s="8"/>
    </row>
    <row r="2620" ht="21.0" customHeight="1">
      <c r="A2620" s="6">
        <v>1.0</v>
      </c>
      <c r="B2620" s="6">
        <v>194.0</v>
      </c>
      <c r="C2620" s="6">
        <v>10.0</v>
      </c>
      <c r="D2620" s="15" t="s">
        <v>4028</v>
      </c>
      <c r="E2620" s="9" t="s">
        <v>4029</v>
      </c>
      <c r="F2620" s="8" t="str">
        <f>IFERROR(__xludf.DUMMYFUNCTION("GOOGLETRANSLATE(D2620,""zh-CN"",""vi"")"),"Lala leo lên mặt trăng")</f>
        <v>Lala leo lên mặt trăng</v>
      </c>
      <c r="G2620" s="8" t="str">
        <f>IFERROR(__xludf.DUMMYFUNCTION("GOOGLETRANSLATE(E2620,""zh-CN"",""vi"")"),"Ánh trăng vàng rực rỡ có vị như thế nào? (Đây là một phép ẩn dụ cho một doanh nghiệp nhỏ cho phép mọi người thức suốt đêm xem phim truyền hình.)")</f>
        <v>Ánh trăng vàng rực rỡ có vị như thế nào? (Đây là một phép ẩn dụ cho một doanh nghiệp nhỏ cho phép mọi người thức suốt đêm xem phim truyền hình.)</v>
      </c>
      <c r="H2620" s="8"/>
      <c r="I2620" s="8"/>
      <c r="J2620" s="8"/>
    </row>
    <row r="2621" ht="21.0" customHeight="1">
      <c r="A2621" s="6">
        <v>1.0</v>
      </c>
      <c r="B2621" s="6">
        <v>194.0</v>
      </c>
      <c r="C2621" s="6">
        <v>11.0</v>
      </c>
      <c r="D2621" s="15" t="s">
        <v>4030</v>
      </c>
      <c r="E2621" s="9" t="s">
        <v>4031</v>
      </c>
      <c r="F2621" s="8" t="str">
        <f>IFERROR(__xludf.DUMMYFUNCTION("GOOGLETRANSLATE(D2621,""zh-CN"",""vi"")"),"Các doanh nghiệp nhỏ thức khuya xem phim truyền hình")</f>
        <v>Các doanh nghiệp nhỏ thức khuya xem phim truyền hình</v>
      </c>
      <c r="G2621" s="8" t="str">
        <f>IFERROR(__xludf.DUMMYFUNCTION("GOOGLETRANSLATE(E2621,""zh-CN"",""vi"")"),"Thật tuyệt khi không phải đi làm ngày mai. (Tổng hợp để có được một con cừu hiền lành.)")</f>
        <v>Thật tuyệt khi không phải đi làm ngày mai. (Tổng hợp để có được một con cừu hiền lành.)</v>
      </c>
      <c r="H2621" s="8"/>
      <c r="I2621" s="8"/>
      <c r="J2621" s="8"/>
    </row>
    <row r="2622" ht="21.0" customHeight="1">
      <c r="A2622" s="6">
        <v>1.0</v>
      </c>
      <c r="B2622" s="6">
        <v>194.0</v>
      </c>
      <c r="C2622" s="6">
        <v>12.0</v>
      </c>
      <c r="D2622" s="15" t="s">
        <v>4032</v>
      </c>
      <c r="E2622" s="9" t="s">
        <v>4033</v>
      </c>
      <c r="F2622" s="8" t="str">
        <f>IFERROR(__xludf.DUMMYFUNCTION("GOOGLETRANSLATE(D2622,""zh-CN"",""vi"")"),"Con cừu hiền lành")</f>
        <v>Con cừu hiền lành</v>
      </c>
      <c r="G2622" s="8" t="str">
        <f>IFERROR(__xludf.DUMMYFUNCTION("GOOGLETRANSLATE(E2622,""zh-CN"",""vi"")"),"Tôi bước vào giấc mơ của con cừu, và con cừu lại bước vào giấc mơ của tôi? Kết hợp lại để có được một em bé đi cùng Totoro.")</f>
        <v>Tôi bước vào giấc mơ của con cừu, và con cừu lại bước vào giấc mơ của tôi? Kết hợp lại để có được một em bé đi cùng Totoro.</v>
      </c>
      <c r="H2622" s="8"/>
      <c r="I2622" s="8"/>
      <c r="J2622" s="8"/>
    </row>
    <row r="2623" ht="21.0" customHeight="1">
      <c r="A2623" s="6">
        <v>1.0</v>
      </c>
      <c r="B2623" s="6">
        <v>194.0</v>
      </c>
      <c r="C2623" s="6">
        <v>13.0</v>
      </c>
      <c r="D2623" s="15" t="s">
        <v>4034</v>
      </c>
      <c r="E2623" s="9" t="s">
        <v>4035</v>
      </c>
      <c r="F2623" s="8" t="str">
        <f>IFERROR(__xludf.DUMMYFUNCTION("GOOGLETRANSLATE(D2623,""zh-CN"",""vi"")"),"Em bé với Totoro")</f>
        <v>Em bé với Totoro</v>
      </c>
      <c r="G2623" s="8" t="str">
        <f>IFERROR(__xludf.DUMMYFUNCTION("GOOGLETRANSLATE(E2623,""zh-CN"",""vi"")"),"Hãy ngủ say như thế này, mãi mãi. (Đã được tổng hợp đến mức cao nhất.)")</f>
        <v>Hãy ngủ say như thế này, mãi mãi. (Đã được tổng hợp đến mức cao nhất.)</v>
      </c>
      <c r="H2623" s="8"/>
      <c r="I2623" s="8"/>
      <c r="J2623" s="8"/>
    </row>
    <row r="2624" ht="21.0" customHeight="1">
      <c r="A2624" s="6">
        <v>11.0</v>
      </c>
      <c r="B2624" s="6">
        <v>1049.0</v>
      </c>
      <c r="C2624" s="6">
        <v>1.0</v>
      </c>
      <c r="D2624" s="15" t="s">
        <v>4036</v>
      </c>
      <c r="E2624" s="9" t="s">
        <v>4037</v>
      </c>
      <c r="F2624" s="8" t="str">
        <f>IFERROR(__xludf.DUMMYFUNCTION("GOOGLETRANSLATE(D2624,""zh-CN"",""vi"")"),"Hộp giấy dễ thương")</f>
        <v>Hộp giấy dễ thương</v>
      </c>
      <c r="G2624" s="8" t="str">
        <f>IFERROR(__xludf.DUMMYFUNCTION("GOOGLETRANSLATE(E2624,""zh-CN"",""vi"")"),"Ai lại nỡ mở một chiếc hộp bìa cứng đáng yêu như thế chứ? Hãy kết hợp chúng lại để tạo thành một hộp quà năm mới.")</f>
        <v>Ai lại nỡ mở một chiếc hộp bìa cứng đáng yêu như thế chứ? Hãy kết hợp chúng lại để tạo thành một hộp quà năm mới.</v>
      </c>
      <c r="H2624" s="8"/>
      <c r="I2624" s="8"/>
      <c r="J2624" s="8"/>
    </row>
    <row r="2625" ht="21.0" customHeight="1">
      <c r="A2625" s="6">
        <v>11.0</v>
      </c>
      <c r="B2625" s="6">
        <v>1049.0</v>
      </c>
      <c r="C2625" s="6">
        <v>2.0</v>
      </c>
      <c r="D2625" s="15" t="s">
        <v>4038</v>
      </c>
      <c r="E2625" s="9" t="s">
        <v>4039</v>
      </c>
      <c r="F2625" s="8" t="str">
        <f>IFERROR(__xludf.DUMMYFUNCTION("GOOGLETRANSLATE(D2625,""zh-CN"",""vi"")"),"Hộp quà năm mới")</f>
        <v>Hộp quà năm mới</v>
      </c>
      <c r="G2625" s="8" t="str">
        <f>IFERROR(__xludf.DUMMYFUNCTION("GOOGLETRANSLATE(E2625,""zh-CN"",""vi"")"),"Nút thắt đỏ tượng trưng cho những lời chúc phúc trong năm mới. Hãy chế tác nó để nhận được một hộp nhựa màu cam.")</f>
        <v>Nút thắt đỏ tượng trưng cho những lời chúc phúc trong năm mới. Hãy chế tác nó để nhận được một hộp nhựa màu cam.</v>
      </c>
      <c r="H2625" s="8"/>
      <c r="I2625" s="8"/>
      <c r="J2625" s="8"/>
    </row>
    <row r="2626" ht="21.0" customHeight="1">
      <c r="A2626" s="6">
        <v>11.0</v>
      </c>
      <c r="B2626" s="6">
        <v>1049.0</v>
      </c>
      <c r="C2626" s="6">
        <v>3.0</v>
      </c>
      <c r="D2626" s="15" t="s">
        <v>4040</v>
      </c>
      <c r="E2626" s="9" t="s">
        <v>4041</v>
      </c>
      <c r="F2626" s="8" t="str">
        <f>IFERROR(__xludf.DUMMYFUNCTION("GOOGLETRANSLATE(D2626,""zh-CN"",""vi"")"),"hộp nhựa màu cam")</f>
        <v>hộp nhựa màu cam</v>
      </c>
      <c r="G2626" s="8" t="str">
        <f>IFERROR(__xludf.DUMMYFUNCTION("GOOGLETRANSLATE(E2626,""zh-CN"",""vi"")"),"Tôi đoán xem, đó là đồ ăn vặt hay búp bê? Kết hợp cả hai để có một chiếc hộp nhựa di động.")</f>
        <v>Tôi đoán xem, đó là đồ ăn vặt hay búp bê? Kết hợp cả hai để có một chiếc hộp nhựa di động.</v>
      </c>
      <c r="H2626" s="8"/>
      <c r="I2626" s="8"/>
      <c r="J2626" s="8"/>
    </row>
    <row r="2627" ht="21.0" customHeight="1">
      <c r="A2627" s="6">
        <v>11.0</v>
      </c>
      <c r="B2627" s="6">
        <v>1049.0</v>
      </c>
      <c r="C2627" s="6">
        <v>4.0</v>
      </c>
      <c r="D2627" s="15" t="s">
        <v>4042</v>
      </c>
      <c r="E2627" s="9" t="s">
        <v>4043</v>
      </c>
      <c r="F2627" s="8" t="str">
        <f>IFERROR(__xludf.DUMMYFUNCTION("GOOGLETRANSLATE(D2627,""zh-CN"",""vi"")"),"Hộp nhựa cầm tay")</f>
        <v>Hộp nhựa cầm tay</v>
      </c>
      <c r="G2627" s="8" t="str">
        <f>IFERROR(__xludf.DUMMYFUNCTION("GOOGLETRANSLATE(E2627,""zh-CN"",""vi"")"),"Trong những ngày lễ và lễ hội, điều tôi mong chờ nhất là mang nó đến đây! Hãy chế tạo nó để có được một chiếc hộp nhựa có bánh xe.")</f>
        <v>Trong những ngày lễ và lễ hội, điều tôi mong chờ nhất là mang nó đến đây! Hãy chế tạo nó để có được một chiếc hộp nhựa có bánh xe.</v>
      </c>
      <c r="H2627" s="8"/>
      <c r="I2627" s="8"/>
      <c r="J2627" s="8"/>
    </row>
    <row r="2628" ht="21.0" customHeight="1">
      <c r="A2628" s="6">
        <v>10.0</v>
      </c>
      <c r="B2628" s="6">
        <v>1049.0</v>
      </c>
      <c r="C2628" s="6">
        <v>5.0</v>
      </c>
      <c r="D2628" s="15" t="s">
        <v>4044</v>
      </c>
      <c r="E2628" s="9" t="s">
        <v>4045</v>
      </c>
      <c r="F2628" s="8" t="str">
        <f>IFERROR(__xludf.DUMMYFUNCTION("GOOGLETRANSLATE(D2628,""zh-CN"",""vi"")"),"Xe đẩy hàng hóa năm mới")</f>
        <v>Xe đẩy hàng hóa năm mới</v>
      </c>
      <c r="G2628" s="8" t="str">
        <f>IFERROR(__xludf.DUMMYFUNCTION("GOOGLETRANSLATE(E2628,""zh-CN"",""vi"")"),"Bạn có thể nhìn thấy lờ mờ bên trong qua bao bì! Kết hợp chúng lại để tạo thành một giỏ hàng mua sắm cho năm mới.")</f>
        <v>Bạn có thể nhìn thấy lờ mờ bên trong qua bao bì! Kết hợp chúng lại để tạo thành một giỏ hàng mua sắm cho năm mới.</v>
      </c>
      <c r="H2628" s="8"/>
      <c r="I2628" s="8"/>
      <c r="J2628" s="8"/>
    </row>
    <row r="2629" ht="21.0" customHeight="1">
      <c r="A2629" s="6">
        <v>10.0</v>
      </c>
      <c r="B2629" s="6">
        <v>1049.0</v>
      </c>
      <c r="C2629" s="6">
        <v>6.0</v>
      </c>
      <c r="D2629" s="15" t="s">
        <v>4046</v>
      </c>
      <c r="E2629" s="9" t="s">
        <v>4047</v>
      </c>
      <c r="F2629" s="8" t="str">
        <f>IFERROR(__xludf.DUMMYFUNCTION("GOOGLETRANSLATE(D2629,""zh-CN"",""vi"")"),"Giỏ hàng năm mới")</f>
        <v>Giỏ hàng năm mới</v>
      </c>
      <c r="G2629" s="8" t="str">
        <f>IFERROR(__xludf.DUMMYFUNCTION("GOOGLETRANSLATE(E2629,""zh-CN"",""vi"")"),"Tha hồ mua sắm tại trung tâm thương mại và tận hưởng không khí lễ hội cuối năm! Kết hợp các mặt hàng để nhận được một chiếc xe đẩy hai bánh.")</f>
        <v>Tha hồ mua sắm tại trung tâm thương mại và tận hưởng không khí lễ hội cuối năm! Kết hợp các mặt hàng để nhận được một chiếc xe đẩy hai bánh.</v>
      </c>
      <c r="H2629" s="8"/>
      <c r="I2629" s="8"/>
      <c r="J2629" s="8"/>
    </row>
    <row r="2630" ht="21.0" customHeight="1">
      <c r="A2630" s="6">
        <v>10.0</v>
      </c>
      <c r="B2630" s="6">
        <v>1049.0</v>
      </c>
      <c r="C2630" s="6">
        <v>7.0</v>
      </c>
      <c r="D2630" s="15" t="s">
        <v>4048</v>
      </c>
      <c r="E2630" s="9" t="s">
        <v>4049</v>
      </c>
      <c r="F2630" s="8" t="str">
        <f>IFERROR(__xludf.DUMMYFUNCTION("GOOGLETRANSLATE(D2630,""zh-CN"",""vi"")"),"Xe đẩy hai bánh")</f>
        <v>Xe đẩy hai bánh</v>
      </c>
      <c r="G2630" s="8" t="str">
        <f>IFERROR(__xludf.DUMMYFUNCTION("GOOGLETRANSLATE(E2630,""zh-CN"",""vi"")"),"Ưu đãi đặc biệt cuối năm, chỉ 5 nhân dân tệ/món! Kết hợp nhiều món để nhận ngay xe đẩy hàng hóa đón năm mới.")</f>
        <v>Ưu đãi đặc biệt cuối năm, chỉ 5 nhân dân tệ/món! Kết hợp nhiều món để nhận ngay xe đẩy hàng hóa đón năm mới.</v>
      </c>
      <c r="H2630" s="8"/>
      <c r="I2630" s="8"/>
      <c r="J2630" s="8"/>
    </row>
    <row r="2631" ht="21.0" customHeight="1">
      <c r="A2631" s="6">
        <v>10.0</v>
      </c>
      <c r="B2631" s="6">
        <v>1049.0</v>
      </c>
      <c r="C2631" s="6">
        <v>8.0</v>
      </c>
      <c r="D2631" s="15" t="s">
        <v>4050</v>
      </c>
      <c r="E2631" s="9" t="s">
        <v>4051</v>
      </c>
      <c r="F2631" s="8" t="str">
        <f>IFERROR(__xludf.DUMMYFUNCTION("GOOGLETRANSLATE(D2631,""zh-CN"",""vi"")"),"Các gian hàng bán đồ Tết Nguyên Đán")</f>
        <v>Các gian hàng bán đồ Tết Nguyên Đán</v>
      </c>
      <c r="G2631" s="8" t="str">
        <f>IFERROR(__xludf.DUMMYFUNCTION("GOOGLETRANSLATE(E2631,""zh-CN"",""vi"")"),"Bánh rán và nem cuốn mới làm. Ngon tuyệt! Kết hợp chúng lại để tạo thành một xe ba bánh chở hàng đón năm mới.")</f>
        <v>Bánh rán và nem cuốn mới làm. Ngon tuyệt! Kết hợp chúng lại để tạo thành một xe ba bánh chở hàng đón năm mới.</v>
      </c>
      <c r="H2631" s="8"/>
      <c r="I2631" s="8"/>
      <c r="J2631" s="8"/>
    </row>
    <row r="2632" ht="21.0" customHeight="1">
      <c r="A2632" s="6">
        <v>10.0</v>
      </c>
      <c r="B2632" s="6">
        <v>1049.0</v>
      </c>
      <c r="C2632" s="6">
        <v>9.0</v>
      </c>
      <c r="D2632" s="15" t="s">
        <v>4052</v>
      </c>
      <c r="E2632" s="9" t="s">
        <v>4053</v>
      </c>
      <c r="F2632" s="8" t="str">
        <f>IFERROR(__xludf.DUMMYFUNCTION("GOOGLETRANSLATE(D2632,""zh-CN"",""vi"")"),"xe ba bánh chở hàng Tết Nguyên đán")</f>
        <v>xe ba bánh chở hàng Tết Nguyên đán</v>
      </c>
      <c r="G2632" s="8" t="str">
        <f>IFERROR(__xludf.DUMMYFUNCTION("GOOGLETRANSLATE(E2632,""zh-CN"",""vi"")"),"Bát ăn cuối cùng trước năm mới, đừng bỏ lỡ! Kết hợp các vật phẩm để nhận được Xe buýt ẩm thực năm mới.")</f>
        <v>Bát ăn cuối cùng trước năm mới, đừng bỏ lỡ! Kết hợp các vật phẩm để nhận được Xe buýt ẩm thực năm mới.</v>
      </c>
      <c r="H2632" s="8"/>
      <c r="I2632" s="8"/>
      <c r="J2632" s="8"/>
    </row>
    <row r="2633" ht="21.0" customHeight="1">
      <c r="A2633" s="6">
        <v>10.0</v>
      </c>
      <c r="B2633" s="6">
        <v>1049.0</v>
      </c>
      <c r="C2633" s="6">
        <v>10.0</v>
      </c>
      <c r="D2633" s="15" t="s">
        <v>4054</v>
      </c>
      <c r="E2633" s="9" t="s">
        <v>4055</v>
      </c>
      <c r="F2633" s="8" t="str">
        <f>IFERROR(__xludf.DUMMYFUNCTION("GOOGLETRANSLATE(D2633,""zh-CN"",""vi"")"),"Xe buýt chở hàng hóa và thực phẩm đón năm mới")</f>
        <v>Xe buýt chở hàng hóa và thực phẩm đón năm mới</v>
      </c>
      <c r="G2633" s="8" t="str">
        <f>IFERROR(__xludf.DUMMYFUNCTION("GOOGLETRANSLATE(E2633,""zh-CN"",""vi"")"),"Hương thơm nồng nàn kích thích vị giác. Kết hợp chúng lại để tạo thành một chiếc xe tải nhỏ chở hàng hóa đón năm mới.")</f>
        <v>Hương thơm nồng nàn kích thích vị giác. Kết hợp chúng lại để tạo thành một chiếc xe tải nhỏ chở hàng hóa đón năm mới.</v>
      </c>
      <c r="H2633" s="8"/>
      <c r="I2633" s="8"/>
      <c r="J2633" s="8"/>
    </row>
    <row r="2634" ht="21.0" customHeight="1">
      <c r="A2634" s="6">
        <v>10.0</v>
      </c>
      <c r="B2634" s="6">
        <v>1049.0</v>
      </c>
      <c r="C2634" s="6">
        <v>11.0</v>
      </c>
      <c r="D2634" s="15" t="s">
        <v>4056</v>
      </c>
      <c r="E2634" s="9" t="s">
        <v>4057</v>
      </c>
      <c r="F2634" s="8" t="str">
        <f>IFERROR(__xludf.DUMMYFUNCTION("GOOGLETRANSLATE(D2634,""zh-CN"",""vi"")"),"Xe tải chở hàng năm mới")</f>
        <v>Xe tải chở hàng năm mới</v>
      </c>
      <c r="G2634" s="8" t="str">
        <f>IFERROR(__xludf.DUMMYFUNCTION("GOOGLETRANSLATE(E2634,""zh-CN"",""vi"")"),"Đây không chỉ là vận chuyển hàng hóa năm mới, mà còn là vận chuyển niềm hạnh phúc. Kết hợp cả hai để có được một chiếc xe tải chở hàng năm mới.")</f>
        <v>Đây không chỉ là vận chuyển hàng hóa năm mới, mà còn là vận chuyển niềm hạnh phúc. Kết hợp cả hai để có được một chiếc xe tải chở hàng năm mới.</v>
      </c>
      <c r="H2634" s="8"/>
      <c r="I2634" s="8"/>
      <c r="J2634" s="8"/>
    </row>
    <row r="2635" ht="21.0" customHeight="1">
      <c r="A2635" s="6">
        <v>10.0</v>
      </c>
      <c r="B2635" s="6">
        <v>1049.0</v>
      </c>
      <c r="C2635" s="6">
        <v>12.0</v>
      </c>
      <c r="D2635" s="15" t="s">
        <v>4058</v>
      </c>
      <c r="E2635" s="9" t="s">
        <v>4059</v>
      </c>
      <c r="F2635" s="8" t="str">
        <f>IFERROR(__xludf.DUMMYFUNCTION("GOOGLETRANSLATE(D2635,""zh-CN"",""vi"")"),"Xe tải chở hàng năm mới")</f>
        <v>Xe tải chở hàng năm mới</v>
      </c>
      <c r="G2635" s="8" t="str">
        <f>IFERROR(__xludf.DUMMYFUNCTION("GOOGLETRANSLATE(E2635,""zh-CN"",""vi"")"),"Pháo hoa và pháo nổ vang vọng, chúc mọi người một năm mới hạnh phúc! (Đã được nâng cấp lên cấp độ cao nhất.)")</f>
        <v>Pháo hoa và pháo nổ vang vọng, chúc mọi người một năm mới hạnh phúc! (Đã được nâng cấp lên cấp độ cao nhất.)</v>
      </c>
      <c r="H2635" s="8"/>
      <c r="I2635" s="8"/>
      <c r="J2635" s="8"/>
    </row>
    <row r="2636" ht="21.0" customHeight="1">
      <c r="A2636" s="6">
        <v>11.0</v>
      </c>
      <c r="B2636" s="6">
        <v>1050.0</v>
      </c>
      <c r="C2636" s="6">
        <v>1.0</v>
      </c>
      <c r="D2636" s="15" t="s">
        <v>4060</v>
      </c>
      <c r="E2636" s="9" t="s">
        <v>4061</v>
      </c>
      <c r="F2636" s="8" t="str">
        <f>IFERROR(__xludf.DUMMYFUNCTION("GOOGLETRANSLATE(D2636,""zh-CN"",""vi"")"),"Hộp bìa cứng dễ thương [V]")</f>
        <v>Hộp bìa cứng dễ thương [V]</v>
      </c>
      <c r="G2636" s="8" t="str">
        <f>IFERROR(__xludf.DUMMYFUNCTION("GOOGLETRANSLATE(E2636,""zh-CN"",""vi"")"),"Ai mà nỡ mở một chiếc hộp bìa cứng đáng yêu như thế này chứ? Kết hợp để nhận được hộp quà năm mới [V]")</f>
        <v>Ai mà nỡ mở một chiếc hộp bìa cứng đáng yêu như thế này chứ? Kết hợp để nhận được hộp quà năm mới [V]</v>
      </c>
      <c r="H2636" s="8"/>
      <c r="I2636" s="8"/>
      <c r="J2636" s="8"/>
    </row>
    <row r="2637" ht="21.0" customHeight="1">
      <c r="A2637" s="6">
        <v>11.0</v>
      </c>
      <c r="B2637" s="6">
        <v>1050.0</v>
      </c>
      <c r="C2637" s="6">
        <v>2.0</v>
      </c>
      <c r="D2637" s="15" t="s">
        <v>4062</v>
      </c>
      <c r="E2637" s="9" t="s">
        <v>4063</v>
      </c>
      <c r="F2637" s="8" t="str">
        <f>IFERROR(__xludf.DUMMYFUNCTION("GOOGLETRANSLATE(D2637,""zh-CN"",""vi"")"),"Hộp quà năm mới [V]")</f>
        <v>Hộp quà năm mới [V]</v>
      </c>
      <c r="G2637" s="8" t="str">
        <f>IFERROR(__xludf.DUMMYFUNCTION("GOOGLETRANSLATE(E2637,""zh-CN"",""vi"")"),"Nút thắt đỏ, mong chờ những lời chúc năm mới. Chế tạo để có được một hộp nhựa màu cam [V].")</f>
        <v>Nút thắt đỏ, mong chờ những lời chúc năm mới. Chế tạo để có được một hộp nhựa màu cam [V].</v>
      </c>
      <c r="H2637" s="8"/>
      <c r="I2637" s="8"/>
      <c r="J2637" s="8"/>
    </row>
    <row r="2638" ht="21.0" customHeight="1">
      <c r="A2638" s="6">
        <v>11.0</v>
      </c>
      <c r="B2638" s="6">
        <v>1050.0</v>
      </c>
      <c r="C2638" s="6">
        <v>3.0</v>
      </c>
      <c r="D2638" s="15" t="s">
        <v>4064</v>
      </c>
      <c r="E2638" s="9" t="s">
        <v>4065</v>
      </c>
      <c r="F2638" s="8" t="str">
        <f>IFERROR(__xludf.DUMMYFUNCTION("GOOGLETRANSLATE(D2638,""zh-CN"",""vi"")"),"Hộp nhựa màu cam [V]")</f>
        <v>Hộp nhựa màu cam [V]</v>
      </c>
      <c r="G2638" s="8" t="str">
        <f>IFERROR(__xludf.DUMMYFUNCTION("GOOGLETRANSLATE(E2638,""zh-CN"",""vi"")"),"Để tôi đoán xem, đó là đồ ăn vặt hay búp bê? Chế tạo để có được một hộp nhựa di động [V]")</f>
        <v>Để tôi đoán xem, đó là đồ ăn vặt hay búp bê? Chế tạo để có được một hộp nhựa di động [V]</v>
      </c>
      <c r="H2638" s="8"/>
      <c r="I2638" s="8"/>
      <c r="J2638" s="8"/>
    </row>
    <row r="2639" ht="21.0" customHeight="1">
      <c r="A2639" s="6">
        <v>11.0</v>
      </c>
      <c r="B2639" s="6">
        <v>1050.0</v>
      </c>
      <c r="C2639" s="6">
        <v>4.0</v>
      </c>
      <c r="D2639" s="15" t="s">
        <v>4066</v>
      </c>
      <c r="E2639" s="9" t="s">
        <v>4067</v>
      </c>
      <c r="F2639" s="8" t="str">
        <f>IFERROR(__xludf.DUMMYFUNCTION("GOOGLETRANSLATE(D2639,""zh-CN"",""vi"")"),"Hộp nhựa di động [V]")</f>
        <v>Hộp nhựa di động [V]</v>
      </c>
      <c r="G2639" s="8" t="str">
        <f>IFERROR(__xludf.DUMMYFUNCTION("GOOGLETRANSLATE(E2639,""zh-CN"",""vi"")"),"Trong những ngày lễ và lễ hội, điều tôi mong chờ nhất là được mang nó về nhà! Chế tạo một hộp nhựa có bánh xe [V]")</f>
        <v>Trong những ngày lễ và lễ hội, điều tôi mong chờ nhất là được mang nó về nhà! Chế tạo một hộp nhựa có bánh xe [V]</v>
      </c>
      <c r="H2639" s="8"/>
      <c r="I2639" s="8"/>
      <c r="J2639" s="8"/>
    </row>
    <row r="2640" ht="21.0" customHeight="1">
      <c r="A2640" s="6">
        <v>10.0</v>
      </c>
      <c r="B2640" s="6">
        <v>1050.0</v>
      </c>
      <c r="C2640" s="6">
        <v>5.0</v>
      </c>
      <c r="D2640" s="15" t="s">
        <v>4068</v>
      </c>
      <c r="E2640" s="9" t="s">
        <v>4069</v>
      </c>
      <c r="F2640" s="8" t="str">
        <f>IFERROR(__xludf.DUMMYFUNCTION("GOOGLETRANSLATE(D2640,""zh-CN"",""vi"")"),"Giỏ hàng mua sắm đồ dùng năm mới [V]")</f>
        <v>Giỏ hàng mua sắm đồ dùng năm mới [V]</v>
      </c>
      <c r="G2640" s="8" t="str">
        <f>IFERROR(__xludf.DUMMYFUNCTION("GOOGLETRANSLATE(E2640,""zh-CN"",""vi"")"),"Bạn có thể nhìn thấy lờ mờ bên trong qua bao bì! Kết hợp các mặt hàng để có giỏ hàng năm mới [V]")</f>
        <v>Bạn có thể nhìn thấy lờ mờ bên trong qua bao bì! Kết hợp các mặt hàng để có giỏ hàng năm mới [V]</v>
      </c>
      <c r="H2640" s="8"/>
      <c r="I2640" s="8"/>
      <c r="J2640" s="8"/>
    </row>
    <row r="2641" ht="21.0" customHeight="1">
      <c r="A2641" s="6">
        <v>10.0</v>
      </c>
      <c r="B2641" s="6">
        <v>1050.0</v>
      </c>
      <c r="C2641" s="6">
        <v>6.0</v>
      </c>
      <c r="D2641" s="15" t="s">
        <v>4070</v>
      </c>
      <c r="E2641" s="9" t="s">
        <v>4071</v>
      </c>
      <c r="F2641" s="8" t="str">
        <f>IFERROR(__xludf.DUMMYFUNCTION("GOOGLETRANSLATE(D2641,""zh-CN"",""vi"")"),"Giỏ hàng mua sắm năm mới [V]")</f>
        <v>Giỏ hàng mua sắm năm mới [V]</v>
      </c>
      <c r="G2641" s="8" t="str">
        <f>IFERROR(__xludf.DUMMYFUNCTION("GOOGLETRANSLATE(E2641,""zh-CN"",""vi"")"),"Tha hồ mua sắm ở trung tâm thương mại và tận hưởng mùa mua sắm cuối năm! Chế tạo một chiếc xe đẩy hai bánh [V]")</f>
        <v>Tha hồ mua sắm ở trung tâm thương mại và tận hưởng mùa mua sắm cuối năm! Chế tạo một chiếc xe đẩy hai bánh [V]</v>
      </c>
      <c r="H2641" s="8"/>
      <c r="I2641" s="8"/>
      <c r="J2641" s="8"/>
    </row>
    <row r="2642" ht="21.0" customHeight="1">
      <c r="A2642" s="6">
        <v>10.0</v>
      </c>
      <c r="B2642" s="6">
        <v>1050.0</v>
      </c>
      <c r="C2642" s="6">
        <v>7.0</v>
      </c>
      <c r="D2642" s="15" t="s">
        <v>4072</v>
      </c>
      <c r="E2642" s="9" t="s">
        <v>4073</v>
      </c>
      <c r="F2642" s="8" t="str">
        <f>IFERROR(__xludf.DUMMYFUNCTION("GOOGLETRANSLATE(D2642,""zh-CN"",""vi"")"),"Xe đẩy hai bánh [V]")</f>
        <v>Xe đẩy hai bánh [V]</v>
      </c>
      <c r="G2642" s="8" t="str">
        <f>IFERROR(__xludf.DUMMYFUNCTION("GOOGLETRANSLATE(E2642,""zh-CN"",""vi"")"),"Ưu đãi đặc biệt cuối năm, chỉ 5 nhân dân tệ mỗi món! Kết hợp nhiều món để nhận được xe đẩy hàng hóa Tết Nguyên Đán [V].")</f>
        <v>Ưu đãi đặc biệt cuối năm, chỉ 5 nhân dân tệ mỗi món! Kết hợp nhiều món để nhận được xe đẩy hàng hóa Tết Nguyên Đán [V].</v>
      </c>
      <c r="H2642" s="8"/>
      <c r="I2642" s="8"/>
      <c r="J2642" s="8"/>
    </row>
    <row r="2643" ht="21.0" customHeight="1">
      <c r="A2643" s="6">
        <v>10.0</v>
      </c>
      <c r="B2643" s="6">
        <v>1050.0</v>
      </c>
      <c r="C2643" s="6">
        <v>8.0</v>
      </c>
      <c r="D2643" s="15" t="s">
        <v>4074</v>
      </c>
      <c r="E2643" s="9" t="s">
        <v>4075</v>
      </c>
      <c r="F2643" s="8" t="str">
        <f>IFERROR(__xludf.DUMMYFUNCTION("GOOGLETRANSLATE(D2643,""zh-CN"",""vi"")"),"Gian hàng hàng hóa năm mới [V]")</f>
        <v>Gian hàng hàng hóa năm mới [V]</v>
      </c>
      <c r="G2643" s="8" t="str">
        <f>IFERROR(__xludf.DUMMYFUNCTION("GOOGLETRANSLATE(E2643,""zh-CN"",""vi"")"),"Bánh rán và nem cuốn mới làm. Ngon tuyệt! Kết hợp chúng lại để có được một chiếc xe ba bánh chở hàng Tết [V].")</f>
        <v>Bánh rán và nem cuốn mới làm. Ngon tuyệt! Kết hợp chúng lại để có được một chiếc xe ba bánh chở hàng Tết [V].</v>
      </c>
      <c r="H2643" s="8"/>
      <c r="I2643" s="8"/>
      <c r="J2643" s="8"/>
    </row>
    <row r="2644" ht="21.0" customHeight="1">
      <c r="A2644" s="6">
        <v>10.0</v>
      </c>
      <c r="B2644" s="6">
        <v>1050.0</v>
      </c>
      <c r="C2644" s="6">
        <v>9.0</v>
      </c>
      <c r="D2644" s="15" t="s">
        <v>4076</v>
      </c>
      <c r="E2644" s="9" t="s">
        <v>4077</v>
      </c>
      <c r="F2644" s="8" t="str">
        <f>IFERROR(__xludf.DUMMYFUNCTION("GOOGLETRANSLATE(D2644,""zh-CN"",""vi"")"),"Xe ba bánh chở hàng năm mới [V]")</f>
        <v>Xe ba bánh chở hàng năm mới [V]</v>
      </c>
      <c r="G2644" s="8" t="str">
        <f>IFERROR(__xludf.DUMMYFUNCTION("GOOGLETRANSLATE(E2644,""zh-CN"",""vi"")"),"Bát cuối cùng trước năm mới, đừng bỏ lỡ! (Thu thập để nhận Xe buýt ẩm thực năm mới [V])")</f>
        <v>Bát cuối cùng trước năm mới, đừng bỏ lỡ! (Thu thập để nhận Xe buýt ẩm thực năm mới [V])</v>
      </c>
      <c r="H2644" s="8"/>
      <c r="I2644" s="8"/>
      <c r="J2644" s="8"/>
    </row>
    <row r="2645" ht="21.0" customHeight="1">
      <c r="A2645" s="6">
        <v>10.0</v>
      </c>
      <c r="B2645" s="6">
        <v>1050.0</v>
      </c>
      <c r="C2645" s="6">
        <v>10.0</v>
      </c>
      <c r="D2645" s="15" t="s">
        <v>4078</v>
      </c>
      <c r="E2645" s="9" t="s">
        <v>4079</v>
      </c>
      <c r="F2645" s="8" t="str">
        <f>IFERROR(__xludf.DUMMYFUNCTION("GOOGLETRANSLATE(D2645,""zh-CN"",""vi"")"),"Xe buýt ẩm thực Tết Nguyên Đán [V]")</f>
        <v>Xe buýt ẩm thực Tết Nguyên Đán [V]</v>
      </c>
      <c r="G2645" s="8" t="str">
        <f>IFERROR(__xludf.DUMMYFUNCTION("GOOGLETRANSLATE(E2645,""zh-CN"",""vi"")"),"Hương thơm nồng nàn kích thích vị giác. Kết hợp để có được xe tải nhỏ chở hàng năm mới [V]")</f>
        <v>Hương thơm nồng nàn kích thích vị giác. Kết hợp để có được xe tải nhỏ chở hàng năm mới [V]</v>
      </c>
      <c r="H2645" s="8"/>
      <c r="I2645" s="8"/>
      <c r="J2645" s="8"/>
    </row>
    <row r="2646" ht="21.0" customHeight="1">
      <c r="A2646" s="6">
        <v>10.0</v>
      </c>
      <c r="B2646" s="6">
        <v>1050.0</v>
      </c>
      <c r="C2646" s="6">
        <v>11.0</v>
      </c>
      <c r="D2646" s="15" t="s">
        <v>4080</v>
      </c>
      <c r="E2646" s="9" t="s">
        <v>4081</v>
      </c>
      <c r="F2646" s="8" t="str">
        <f>IFERROR(__xludf.DUMMYFUNCTION("GOOGLETRANSLATE(D2646,""zh-CN"",""vi"")"),"Xe chở hàng năm mới [V]")</f>
        <v>Xe chở hàng năm mới [V]</v>
      </c>
      <c r="G2646" s="8" t="str">
        <f>IFERROR(__xludf.DUMMYFUNCTION("GOOGLETRANSLATE(E2646,""zh-CN"",""vi"")"),"Đây không chỉ là vận chuyển hàng hóa năm mới, mà còn là vận chuyển niềm hạnh phúc. Tổng hợp để có được Xe chở hàng năm mới [V].")</f>
        <v>Đây không chỉ là vận chuyển hàng hóa năm mới, mà còn là vận chuyển niềm hạnh phúc. Tổng hợp để có được Xe chở hàng năm mới [V].</v>
      </c>
      <c r="H2646" s="8"/>
      <c r="I2646" s="8"/>
      <c r="J2646" s="8"/>
    </row>
    <row r="2647" ht="21.0" customHeight="1">
      <c r="A2647" s="6">
        <v>10.0</v>
      </c>
      <c r="B2647" s="6">
        <v>1050.0</v>
      </c>
      <c r="C2647" s="6">
        <v>12.0</v>
      </c>
      <c r="D2647" s="15" t="s">
        <v>4082</v>
      </c>
      <c r="E2647" s="9" t="s">
        <v>4059</v>
      </c>
      <c r="F2647" s="8" t="str">
        <f>IFERROR(__xludf.DUMMYFUNCTION("GOOGLETRANSLATE(D2647,""zh-CN"",""vi"")"),"Xe chở hàng năm mới [V]")</f>
        <v>Xe chở hàng năm mới [V]</v>
      </c>
      <c r="G2647" s="8" t="str">
        <f>IFERROR(__xludf.DUMMYFUNCTION("GOOGLETRANSLATE(E2647,""zh-CN"",""vi"")"),"Pháo hoa và pháo nổ vang vọng, chúc mọi người một năm mới hạnh phúc! (Đã được nâng cấp lên cấp độ cao nhất.)")</f>
        <v>Pháo hoa và pháo nổ vang vọng, chúc mọi người một năm mới hạnh phúc! (Đã được nâng cấp lên cấp độ cao nhất.)</v>
      </c>
      <c r="H2647" s="8"/>
      <c r="I2647" s="8"/>
      <c r="J2647" s="8"/>
    </row>
    <row r="2648" ht="21.0" customHeight="1">
      <c r="A2648" s="6">
        <v>1.0</v>
      </c>
      <c r="B2648" s="6">
        <v>195.0</v>
      </c>
      <c r="C2648" s="6">
        <v>1.0</v>
      </c>
      <c r="D2648" s="15" t="s">
        <v>4083</v>
      </c>
      <c r="E2648" s="9" t="s">
        <v>4084</v>
      </c>
      <c r="F2648" s="8" t="str">
        <f>IFERROR(__xludf.DUMMYFUNCTION("GOOGLETRANSLATE(D2648,""zh-CN"",""vi"")"),"Kẹo sữa hình thỏ gấp")</f>
        <v>Kẹo sữa hình thỏ gấp</v>
      </c>
      <c r="G2648" s="8" t="str">
        <f>IFERROR(__xludf.DUMMYFUNCTION("GOOGLETRANSLATE(E2648,""zh-CN"",""vi"")"),"Loại kẹo này có kết cấu hơi cứng nhưng rất ngọt. Có thể kết hợp chúng để tạo ra những viên kẹo dẻo theo chủ đề hoạt hình.")</f>
        <v>Loại kẹo này có kết cấu hơi cứng nhưng rất ngọt. Có thể kết hợp chúng để tạo ra những viên kẹo dẻo theo chủ đề hoạt hình.</v>
      </c>
      <c r="H2648" s="8"/>
      <c r="I2648" s="8"/>
      <c r="J2648" s="8"/>
    </row>
    <row r="2649" ht="21.0" customHeight="1">
      <c r="A2649" s="6">
        <v>1.0</v>
      </c>
      <c r="B2649" s="6">
        <v>195.0</v>
      </c>
      <c r="C2649" s="6">
        <v>2.0</v>
      </c>
      <c r="D2649" s="15" t="s">
        <v>4085</v>
      </c>
      <c r="E2649" s="9" t="s">
        <v>4086</v>
      </c>
      <c r="F2649" s="8" t="str">
        <f>IFERROR(__xludf.DUMMYFUNCTION("GOOGLETRANSLATE(D2649,""zh-CN"",""vi"")"),"Kẹo dẻo hoạt hình")</f>
        <v>Kẹo dẻo hoạt hình</v>
      </c>
      <c r="G2649" s="8" t="str">
        <f>IFERROR(__xludf.DUMMYFUNCTION("GOOGLETRANSLATE(E2649,""zh-CN"",""vi"")"),"Liệu có ai đủ can đảm để ăn nó không? (Tổng hợp để thu được bánh bao mè.)")</f>
        <v>Liệu có ai đủ can đảm để ăn nó không? (Tổng hợp để thu được bánh bao mè.)</v>
      </c>
      <c r="H2649" s="8"/>
      <c r="I2649" s="8"/>
      <c r="J2649" s="8"/>
    </row>
    <row r="2650" ht="21.0" customHeight="1">
      <c r="A2650" s="6">
        <v>1.0</v>
      </c>
      <c r="B2650" s="6">
        <v>195.0</v>
      </c>
      <c r="C2650" s="6">
        <v>3.0</v>
      </c>
      <c r="D2650" s="15" t="s">
        <v>4087</v>
      </c>
      <c r="E2650" s="9" t="s">
        <v>4088</v>
      </c>
      <c r="F2650" s="8" t="str">
        <f>IFERROR(__xludf.DUMMYFUNCTION("GOOGLETRANSLATE(D2650,""zh-CN"",""vi"")"),"Bánh gạo nếp mè")</f>
        <v>Bánh gạo nếp mè</v>
      </c>
      <c r="G2650" s="8" t="str">
        <f>IFERROR(__xludf.DUMMYFUNCTION("GOOGLETRANSLATE(E2650,""zh-CN"",""vi"")"),"Ăn từng cái một có hơi tàn nhẫn không? Hãy kết hợp chúng lại để được bánh bao.")</f>
        <v>Ăn từng cái một có hơi tàn nhẫn không? Hãy kết hợp chúng lại để được bánh bao.</v>
      </c>
      <c r="H2650" s="8"/>
      <c r="I2650" s="8"/>
      <c r="J2650" s="8"/>
    </row>
    <row r="2651" ht="21.0" customHeight="1">
      <c r="A2651" s="6">
        <v>1.0</v>
      </c>
      <c r="B2651" s="6">
        <v>195.0</v>
      </c>
      <c r="C2651" s="6">
        <v>4.0</v>
      </c>
      <c r="D2651" s="15" t="s">
        <v>4089</v>
      </c>
      <c r="E2651" s="9" t="s">
        <v>4090</v>
      </c>
      <c r="F2651" s="8" t="str">
        <f>IFERROR(__xludf.DUMMYFUNCTION("GOOGLETRANSLATE(D2651,""zh-CN"",""vi"")"),"bánh bao")</f>
        <v>bánh bao</v>
      </c>
      <c r="G2651" s="8" t="str">
        <f>IFERROR(__xludf.DUMMYFUNCTION("GOOGLETRANSLATE(E2651,""zh-CN"",""vi"")"),"Hạnh phúc là được cùng gia đình làm bánh bao. (Ghép lại để được bánh hoành thánh.)")</f>
        <v>Hạnh phúc là được cùng gia đình làm bánh bao. (Ghép lại để được bánh hoành thánh.)</v>
      </c>
      <c r="H2651" s="8"/>
      <c r="I2651" s="8"/>
      <c r="J2651" s="8"/>
    </row>
    <row r="2652" ht="21.0" customHeight="1">
      <c r="A2652" s="6">
        <v>1.0</v>
      </c>
      <c r="B2652" s="6">
        <v>195.0</v>
      </c>
      <c r="C2652" s="6">
        <v>5.0</v>
      </c>
      <c r="D2652" s="15" t="s">
        <v>4091</v>
      </c>
      <c r="E2652" s="9" t="s">
        <v>4092</v>
      </c>
      <c r="F2652" s="8" t="str">
        <f>IFERROR(__xludf.DUMMYFUNCTION("GOOGLETRANSLATE(D2652,""zh-CN"",""vi"")"),"ravioli")</f>
        <v>ravioli</v>
      </c>
      <c r="G2652" s="8" t="str">
        <f>IFERROR(__xludf.DUMMYFUNCTION("GOOGLETRANSLATE(E2652,""zh-CN"",""vi"")"),"Thêm hành lá thái nhỏ vào, món ăn trông vô cùng hấp dẫn. Trộn đều để có được bánh gạo rang.")</f>
        <v>Thêm hành lá thái nhỏ vào, món ăn trông vô cùng hấp dẫn. Trộn đều để có được bánh gạo rang.</v>
      </c>
      <c r="H2652" s="8"/>
      <c r="I2652" s="8"/>
      <c r="J2652" s="8"/>
    </row>
    <row r="2653" ht="21.0" customHeight="1">
      <c r="A2653" s="6">
        <v>1.0</v>
      </c>
      <c r="B2653" s="6">
        <v>195.0</v>
      </c>
      <c r="C2653" s="6">
        <v>6.0</v>
      </c>
      <c r="D2653" s="15" t="s">
        <v>4093</v>
      </c>
      <c r="E2653" s="9" t="s">
        <v>4094</v>
      </c>
      <c r="F2653" s="8" t="str">
        <f>IFERROR(__xludf.DUMMYFUNCTION("GOOGLETRANSLATE(D2653,""zh-CN"",""vi"")"),"bánh gạo nướng")</f>
        <v>bánh gạo nướng</v>
      </c>
      <c r="G2653" s="8" t="str">
        <f>IFERROR(__xludf.DUMMYFUNCTION("GOOGLETRANSLATE(E2653,""zh-CN"",""vi"")"),"Con đầu lòng là con mèo, con thứ hai là con gấu, và con thứ ba là con bánh bao. Kết hợp chúng lại sẽ được bánh gạo nếp đường nâu.")</f>
        <v>Con đầu lòng là con mèo, con thứ hai là con gấu, và con thứ ba là con bánh bao. Kết hợp chúng lại sẽ được bánh gạo nếp đường nâu.</v>
      </c>
      <c r="H2653" s="8"/>
      <c r="I2653" s="8"/>
      <c r="J2653" s="8"/>
    </row>
    <row r="2654" ht="21.0" customHeight="1">
      <c r="A2654" s="6">
        <v>1.0</v>
      </c>
      <c r="B2654" s="6">
        <v>195.0</v>
      </c>
      <c r="C2654" s="6">
        <v>7.0</v>
      </c>
      <c r="D2654" s="15" t="s">
        <v>4095</v>
      </c>
      <c r="E2654" s="9" t="s">
        <v>4096</v>
      </c>
      <c r="F2654" s="8" t="str">
        <f>IFERROR(__xludf.DUMMYFUNCTION("GOOGLETRANSLATE(D2654,""zh-CN"",""vi"")"),"bánh gạo nếp đường nâu")</f>
        <v>bánh gạo nếp đường nâu</v>
      </c>
      <c r="G2654" s="8" t="str">
        <f>IFERROR(__xludf.DUMMYFUNCTION("GOOGLETRANSLATE(E2654,""zh-CN"",""vi"")"),"Ngọt và dai, một khi đã cắn một miếng, bạn sẽ không muốn dừng lại. Kết hợp các nguyên liệu để làm nem cuốn.")</f>
        <v>Ngọt và dai, một khi đã cắn một miếng, bạn sẽ không muốn dừng lại. Kết hợp các nguyên liệu để làm nem cuốn.</v>
      </c>
      <c r="H2654" s="8"/>
      <c r="I2654" s="8"/>
      <c r="J2654" s="8"/>
    </row>
    <row r="2655" ht="21.0" customHeight="1">
      <c r="A2655" s="6">
        <v>1.0</v>
      </c>
      <c r="B2655" s="6">
        <v>195.0</v>
      </c>
      <c r="C2655" s="6">
        <v>8.0</v>
      </c>
      <c r="D2655" s="15" t="s">
        <v>4097</v>
      </c>
      <c r="E2655" s="9" t="s">
        <v>4098</v>
      </c>
      <c r="F2655" s="8" t="str">
        <f>IFERROR(__xludf.DUMMYFUNCTION("GOOGLETRANSLATE(D2655,""zh-CN"",""vi"")"),"Nem rán")</f>
        <v>Nem rán</v>
      </c>
      <c r="G2655" s="8" t="str">
        <f>IFERROR(__xludf.DUMMYFUNCTION("GOOGLETRANSLATE(E2655,""zh-CN"",""vi"")"),"Nem rán giòn là món ăn khoái khẩu của những trẻ em kén ăn. Kết hợp chúng lại để tạo thành bánh nhân lòng đỏ trứng.")</f>
        <v>Nem rán giòn là món ăn khoái khẩu của những trẻ em kén ăn. Kết hợp chúng lại để tạo thành bánh nhân lòng đỏ trứng.</v>
      </c>
      <c r="H2655" s="8"/>
      <c r="I2655" s="8"/>
      <c r="J2655" s="8"/>
    </row>
    <row r="2656" ht="21.0" customHeight="1">
      <c r="A2656" s="6">
        <v>1.0</v>
      </c>
      <c r="B2656" s="6">
        <v>195.0</v>
      </c>
      <c r="C2656" s="6">
        <v>9.0</v>
      </c>
      <c r="D2656" s="15" t="s">
        <v>4099</v>
      </c>
      <c r="E2656" s="9" t="s">
        <v>4100</v>
      </c>
      <c r="F2656" s="8" t="str">
        <f>IFERROR(__xludf.DUMMYFUNCTION("GOOGLETRANSLATE(D2656,""zh-CN"",""vi"")"),"bánh ngọt lòng đỏ trứng")</f>
        <v>bánh ngọt lòng đỏ trứng</v>
      </c>
      <c r="G2656" s="8" t="str">
        <f>IFERROR(__xludf.DUMMYFUNCTION("GOOGLETRANSLATE(E2656,""zh-CN"",""vi"")"),"Có lợn con, hươu con và gấu con. Kết hợp chúng lại để được bánh gạo nếp.")</f>
        <v>Có lợn con, hươu con và gấu con. Kết hợp chúng lại để được bánh gạo nếp.</v>
      </c>
      <c r="H2656" s="8"/>
      <c r="I2656" s="8"/>
      <c r="J2656" s="8"/>
    </row>
    <row r="2657" ht="21.0" customHeight="1">
      <c r="A2657" s="6">
        <v>1.0</v>
      </c>
      <c r="B2657" s="6">
        <v>195.0</v>
      </c>
      <c r="C2657" s="6">
        <v>10.0</v>
      </c>
      <c r="D2657" s="15" t="s">
        <v>4101</v>
      </c>
      <c r="E2657" s="9" t="s">
        <v>4102</v>
      </c>
      <c r="F2657" s="8" t="str">
        <f>IFERROR(__xludf.DUMMYFUNCTION("GOOGLETRANSLATE(D2657,""zh-CN"",""vi"")"),"bánh gạo nếp")</f>
        <v>bánh gạo nếp</v>
      </c>
      <c r="G2657" s="8" t="str">
        <f>IFERROR(__xludf.DUMMYFUNCTION("GOOGLETRANSLATE(E2657,""zh-CN"",""vi"")"),"Hổ và những người bạn của cậu ấy tạo thành Gia đình Bánh Xì Dầu. Kết hợp chúng lại để có được Đầu Sư Tử Kho.")</f>
        <v>Hổ và những người bạn của cậu ấy tạo thành Gia đình Bánh Xì Dầu. Kết hợp chúng lại để có được Đầu Sư Tử Kho.</v>
      </c>
      <c r="H2657" s="8"/>
      <c r="I2657" s="8"/>
      <c r="J2657" s="8"/>
    </row>
    <row r="2658" ht="21.0" customHeight="1">
      <c r="A2658" s="6">
        <v>1.0</v>
      </c>
      <c r="B2658" s="6">
        <v>195.0</v>
      </c>
      <c r="C2658" s="6">
        <v>11.0</v>
      </c>
      <c r="D2658" s="15" t="s">
        <v>4103</v>
      </c>
      <c r="E2658" s="9" t="s">
        <v>4104</v>
      </c>
      <c r="F2658" s="8" t="str">
        <f>IFERROR(__xludf.DUMMYFUNCTION("GOOGLETRANSLATE(D2658,""zh-CN"",""vi"")"),"Đầu sư tử hầm")</f>
        <v>Đầu sư tử hầm</v>
      </c>
      <c r="G2658" s="8" t="str">
        <f>IFERROR(__xludf.DUMMYFUNCTION("GOOGLETRANSLATE(E2658,""zh-CN"",""vi"")"),"Thịt viên đầu sư tử đích thực là loại được ướp trong nước sốt đậm đà. (Tổng hợp để thu được thịt đã ướp.)")</f>
        <v>Thịt viên đầu sư tử đích thực là loại được ướp trong nước sốt đậm đà. (Tổng hợp để thu được thịt đã ướp.)</v>
      </c>
      <c r="H2658" s="8"/>
      <c r="I2658" s="8"/>
      <c r="J2658" s="8"/>
    </row>
    <row r="2659" ht="21.0" customHeight="1">
      <c r="A2659" s="6">
        <v>1.0</v>
      </c>
      <c r="B2659" s="6">
        <v>195.0</v>
      </c>
      <c r="C2659" s="6">
        <v>12.0</v>
      </c>
      <c r="D2659" s="15" t="s">
        <v>4105</v>
      </c>
      <c r="E2659" s="9" t="s">
        <v>4106</v>
      </c>
      <c r="F2659" s="8" t="str">
        <f>IFERROR(__xludf.DUMMYFUNCTION("GOOGLETRANSLATE(D2659,""zh-CN"",""vi"")"),"thịt hun khói")</f>
        <v>thịt hun khói</v>
      </c>
      <c r="G2659" s="8" t="str">
        <f>IFERROR(__xludf.DUMMYFUNCTION("GOOGLETRANSLATE(E2659,""zh-CN"",""vi"")"),"Một món ăn truyền thống và thơm ngon, được nhiều người yêu thích. Kết hợp các nguyên liệu để tạo nên một bữa tiệc hải sản thịnh soạn.")</f>
        <v>Một món ăn truyền thống và thơm ngon, được nhiều người yêu thích. Kết hợp các nguyên liệu để tạo nên một bữa tiệc hải sản thịnh soạn.</v>
      </c>
      <c r="H2659" s="8"/>
      <c r="I2659" s="8"/>
      <c r="J2659" s="8"/>
    </row>
    <row r="2660" ht="21.0" customHeight="1">
      <c r="A2660" s="6">
        <v>1.0</v>
      </c>
      <c r="B2660" s="6">
        <v>195.0</v>
      </c>
      <c r="C2660" s="6">
        <v>13.0</v>
      </c>
      <c r="D2660" s="15" t="s">
        <v>4107</v>
      </c>
      <c r="E2660" s="9" t="s">
        <v>4108</v>
      </c>
      <c r="F2660" s="8" t="str">
        <f>IFERROR(__xludf.DUMMYFUNCTION("GOOGLETRANSLATE(D2660,""zh-CN"",""vi"")"),"Tiệc hải sản")</f>
        <v>Tiệc hải sản</v>
      </c>
      <c r="G2660" s="8" t="str">
        <f>IFERROR(__xludf.DUMMYFUNCTION("GOOGLETRANSLATE(E2660,""zh-CN"",""vi"")"),"Vài con cua và một đĩa tôm là đủ để tạo nên không khí cho bữa tối đêm giao thừa. Kết hợp chúng lại để có món chính.")</f>
        <v>Vài con cua và một đĩa tôm là đủ để tạo nên không khí cho bữa tối đêm giao thừa. Kết hợp chúng lại để có món chính.</v>
      </c>
      <c r="H2660" s="8"/>
      <c r="I2660" s="8"/>
      <c r="J2660" s="8"/>
    </row>
    <row r="2661" ht="21.0" customHeight="1">
      <c r="A2661" s="6">
        <v>1.0</v>
      </c>
      <c r="B2661" s="6">
        <v>195.0</v>
      </c>
      <c r="C2661" s="6">
        <v>14.0</v>
      </c>
      <c r="D2661" s="15" t="s">
        <v>4109</v>
      </c>
      <c r="E2661" s="9" t="s">
        <v>4110</v>
      </c>
      <c r="F2661" s="8" t="str">
        <f>IFERROR(__xludf.DUMMYFUNCTION("GOOGLETRANSLATE(D2661,""zh-CN"",""vi"")"),"món chính")</f>
        <v>món chính</v>
      </c>
      <c r="G2661" s="8" t="str">
        <f>IFERROR(__xludf.DUMMYFUNCTION("GOOGLETRANSLATE(E2661,""zh-CN"",""vi"")"),"Bụng tôi trống rỗng chỉ vì chúng! Mong chúng sẽ mang lại cho tôi sự sung túc năm này qua năm khác.")</f>
        <v>Bụng tôi trống rỗng chỉ vì chúng! Mong chúng sẽ mang lại cho tôi sự sung túc năm này qua năm khác.</v>
      </c>
      <c r="H2661" s="8"/>
      <c r="I2661" s="8"/>
      <c r="J2661" s="8"/>
    </row>
    <row r="2662" ht="21.0" customHeight="1">
      <c r="A2662" s="6">
        <v>1.0</v>
      </c>
      <c r="B2662" s="6">
        <v>195.0</v>
      </c>
      <c r="C2662" s="6">
        <v>15.0</v>
      </c>
      <c r="D2662" s="15" t="s">
        <v>4111</v>
      </c>
      <c r="E2662" s="9" t="s">
        <v>4112</v>
      </c>
      <c r="F2662" s="8" t="str">
        <f>IFERROR(__xludf.DUMMYFUNCTION("GOOGLETRANSLATE(D2662,""zh-CN"",""vi"")"),"Chúc bạn luôn dồi dào tài lộc mỗi năm.")</f>
        <v>Chúc bạn luôn dồi dào tài lộc mỗi năm.</v>
      </c>
      <c r="G2662" s="8" t="str">
        <f>IFERROR(__xludf.DUMMYFUNCTION("GOOGLETRANSLATE(E2662,""zh-CN"",""vi"")"),"Tôi hy vọng mỗi năm sẽ có tiền dư và ngày càng giàu có hơn! (Cấp độ 1 đã được tổng hợp.)")</f>
        <v>Tôi hy vọng mỗi năm sẽ có tiền dư và ngày càng giàu có hơn! (Cấp độ 1 đã được tổng hợp.)</v>
      </c>
      <c r="H2662" s="8"/>
      <c r="I2662" s="8"/>
      <c r="J2662" s="8"/>
    </row>
    <row r="2663" ht="21.0" customHeight="1">
      <c r="A2663" s="6">
        <v>1.0</v>
      </c>
      <c r="B2663" s="6">
        <v>196.0</v>
      </c>
      <c r="C2663" s="6">
        <v>1.0</v>
      </c>
      <c r="D2663" s="15" t="s">
        <v>4113</v>
      </c>
      <c r="E2663" s="9" t="s">
        <v>4114</v>
      </c>
      <c r="F2663" s="8" t="str">
        <f>IFERROR(__xludf.DUMMYFUNCTION("GOOGLETRANSLATE(D2663,""zh-CN"",""vi"")"),"Tem bưu chính năm Rồng")</f>
        <v>Tem bưu chính năm Rồng</v>
      </c>
      <c r="G2663" s="8" t="str">
        <f>IFERROR(__xludf.DUMMYFUNCTION("GOOGLETRANSLATE(E2663,""zh-CN"",""vi"")"),"Sưu tầm tem giúp tiết kiệm thời gian. Ghép các tem lại để nhận được bộ nhãn dán Năm Rồng.")</f>
        <v>Sưu tầm tem giúp tiết kiệm thời gian. Ghép các tem lại để nhận được bộ nhãn dán Năm Rồng.</v>
      </c>
      <c r="H2663" s="8"/>
      <c r="I2663" s="8"/>
      <c r="J2663" s="8"/>
    </row>
    <row r="2664" ht="21.0" customHeight="1">
      <c r="A2664" s="6">
        <v>1.0</v>
      </c>
      <c r="B2664" s="6">
        <v>196.0</v>
      </c>
      <c r="C2664" s="6">
        <v>2.0</v>
      </c>
      <c r="D2664" s="15" t="s">
        <v>4115</v>
      </c>
      <c r="E2664" s="9" t="s">
        <v>4116</v>
      </c>
      <c r="F2664" s="8" t="str">
        <f>IFERROR(__xludf.DUMMYFUNCTION("GOOGLETRANSLATE(D2664,""zh-CN"",""vi"")"),"Hình dán Năm Rồng")</f>
        <v>Hình dán Năm Rồng</v>
      </c>
      <c r="G2664" s="8" t="str">
        <f>IFERROR(__xludf.DUMMYFUNCTION("GOOGLETRANSLATE(E2664,""zh-CN"",""vi"")"),"Nếu dán nó lên trán, liệu nó có mọc đuôi và sừng không? Hãy tự làm đôi tất hình Rồng.")</f>
        <v>Nếu dán nó lên trán, liệu nó có mọc đuôi và sừng không? Hãy tự làm đôi tất hình Rồng.</v>
      </c>
      <c r="H2664" s="8"/>
      <c r="I2664" s="8"/>
      <c r="J2664" s="8"/>
    </row>
    <row r="2665" ht="21.0" customHeight="1">
      <c r="A2665" s="6">
        <v>1.0</v>
      </c>
      <c r="B2665" s="6">
        <v>196.0</v>
      </c>
      <c r="C2665" s="6">
        <v>3.0</v>
      </c>
      <c r="D2665" s="15" t="s">
        <v>4117</v>
      </c>
      <c r="E2665" s="9" t="s">
        <v>4118</v>
      </c>
      <c r="F2665" s="8" t="str">
        <f>IFERROR(__xludf.DUMMYFUNCTION("GOOGLETRANSLATE(D2665,""zh-CN"",""vi"")"),"Vớ năm Rồng")</f>
        <v>Vớ năm Rồng</v>
      </c>
      <c r="G2665" s="8" t="str">
        <f>IFERROR(__xludf.DUMMYFUNCTION("GOOGLETRANSLATE(E2665,""zh-CN"",""vi"")"),"Năm 2024, một năm mới tràn đầy hy vọng! Kết hợp các vật phẩm để nhận được móc khóa Năm Rồng.")</f>
        <v>Năm 2024, một năm mới tràn đầy hy vọng! Kết hợp các vật phẩm để nhận được móc khóa Năm Rồng.</v>
      </c>
      <c r="H2665" s="8"/>
      <c r="I2665" s="8"/>
      <c r="J2665" s="8"/>
    </row>
    <row r="2666" ht="21.0" customHeight="1">
      <c r="A2666" s="6">
        <v>1.0</v>
      </c>
      <c r="B2666" s="6">
        <v>196.0</v>
      </c>
      <c r="C2666" s="6">
        <v>4.0</v>
      </c>
      <c r="D2666" s="15" t="s">
        <v>4119</v>
      </c>
      <c r="E2666" s="9" t="s">
        <v>4120</v>
      </c>
      <c r="F2666" s="8" t="str">
        <f>IFERROR(__xludf.DUMMYFUNCTION("GOOGLETRANSLATE(D2666,""zh-CN"",""vi"")"),"Móc khóa năm Rồng")</f>
        <v>Móc khóa năm Rồng</v>
      </c>
      <c r="G2666" s="8" t="str">
        <f>IFERROR(__xludf.DUMMYFUNCTION("GOOGLETRANSLATE(E2666,""zh-CN"",""vi"")"),"Vô cùng dễ thương, nó luôn khiến người nhìn phải trầm trồ. Kết hợp chúng lại để có được chiếc kẹp tóc Năm Rồng.")</f>
        <v>Vô cùng dễ thương, nó luôn khiến người nhìn phải trầm trồ. Kết hợp chúng lại để có được chiếc kẹp tóc Năm Rồng.</v>
      </c>
      <c r="H2666" s="8"/>
      <c r="I2666" s="8"/>
      <c r="J2666" s="8"/>
    </row>
    <row r="2667" ht="21.0" customHeight="1">
      <c r="A2667" s="6">
        <v>1.0</v>
      </c>
      <c r="B2667" s="6">
        <v>196.0</v>
      </c>
      <c r="C2667" s="6">
        <v>5.0</v>
      </c>
      <c r="D2667" s="15" t="s">
        <v>4121</v>
      </c>
      <c r="E2667" s="9" t="s">
        <v>4122</v>
      </c>
      <c r="F2667" s="8" t="str">
        <f>IFERROR(__xludf.DUMMYFUNCTION("GOOGLETRANSLATE(D2667,""zh-CN"",""vi"")"),"Kẹp tóc năm Rồng")</f>
        <v>Kẹp tóc năm Rồng</v>
      </c>
      <c r="G2667" s="8" t="str">
        <f>IFERROR(__xludf.DUMMYFUNCTION("GOOGLETRANSLATE(E2667,""zh-CN"",""vi"")"),"Giờ thì sừng sẽ thực sự mọc rồi! Kết hợp chúng lại để có được vỏ cốc hình Rồng.")</f>
        <v>Giờ thì sừng sẽ thực sự mọc rồi! Kết hợp chúng lại để có được vỏ cốc hình Rồng.</v>
      </c>
      <c r="H2667" s="8"/>
      <c r="I2667" s="8"/>
      <c r="J2667" s="8"/>
    </row>
    <row r="2668" ht="21.0" customHeight="1">
      <c r="A2668" s="6">
        <v>1.0</v>
      </c>
      <c r="B2668" s="6">
        <v>196.0</v>
      </c>
      <c r="C2668" s="6">
        <v>6.0</v>
      </c>
      <c r="D2668" s="15" t="s">
        <v>4123</v>
      </c>
      <c r="E2668" s="9" t="s">
        <v>4124</v>
      </c>
      <c r="F2668" s="8" t="str">
        <f>IFERROR(__xludf.DUMMYFUNCTION("GOOGLETRANSLATE(D2668,""zh-CN"",""vi"")"),"Ống lót cốc hình Rồng năm")</f>
        <v>Ống lót cốc hình Rồng năm</v>
      </c>
      <c r="G2668" s="8" t="str">
        <f>IFERROR(__xludf.DUMMYFUNCTION("GOOGLETRANSLATE(E2668,""zh-CN"",""vi"")"),"Ngay cả việc uống nước cũng cảm thấy như một phần của năm mới. Kết hợp chúng lại để có được lịch Năm Rồng.")</f>
        <v>Ngay cả việc uống nước cũng cảm thấy như một phần của năm mới. Kết hợp chúng lại để có được lịch Năm Rồng.</v>
      </c>
      <c r="H2668" s="8"/>
      <c r="I2668" s="8"/>
      <c r="J2668" s="8"/>
    </row>
    <row r="2669" ht="21.0" customHeight="1">
      <c r="A2669" s="6">
        <v>1.0</v>
      </c>
      <c r="B2669" s="6">
        <v>196.0</v>
      </c>
      <c r="C2669" s="6">
        <v>7.0</v>
      </c>
      <c r="D2669" s="15" t="s">
        <v>4125</v>
      </c>
      <c r="E2669" s="9" t="s">
        <v>4126</v>
      </c>
      <c r="F2669" s="8" t="str">
        <f>IFERROR(__xludf.DUMMYFUNCTION("GOOGLETRANSLATE(D2669,""zh-CN"",""vi"")"),"Lịch năm Rồng")</f>
        <v>Lịch năm Rồng</v>
      </c>
      <c r="G2669" s="8" t="str">
        <f>IFERROR(__xludf.DUMMYFUNCTION("GOOGLETRANSLATE(E2669,""zh-CN"",""vi"")"),"Ngày tháng trôi qua, từng trang sách nối tiếp nhau. Hãy ghép chúng lại để có được chiếc ví Năm Rồng.")</f>
        <v>Ngày tháng trôi qua, từng trang sách nối tiếp nhau. Hãy ghép chúng lại để có được chiếc ví Năm Rồng.</v>
      </c>
      <c r="H2669" s="8"/>
      <c r="I2669" s="8"/>
      <c r="J2669" s="8"/>
    </row>
    <row r="2670" ht="21.0" customHeight="1">
      <c r="A2670" s="6">
        <v>1.0</v>
      </c>
      <c r="B2670" s="6">
        <v>196.0</v>
      </c>
      <c r="C2670" s="6">
        <v>8.0</v>
      </c>
      <c r="D2670" s="15" t="s">
        <v>4127</v>
      </c>
      <c r="E2670" s="9" t="s">
        <v>4128</v>
      </c>
      <c r="F2670" s="8" t="str">
        <f>IFERROR(__xludf.DUMMYFUNCTION("GOOGLETRANSLATE(D2670,""zh-CN"",""vi"")"),"Ví năm Rồng")</f>
        <v>Ví năm Rồng</v>
      </c>
      <c r="G2670" s="8" t="str">
        <f>IFERROR(__xludf.DUMMYFUNCTION("GOOGLETRANSLATE(E2670,""zh-CN"",""vi"")"),"Miệng rồng chứa vàng ẩn giấu, tượng trưng cho sự giàu có sung túc. Kết hợp chúng để có được chiếc túi vải hình Rồng năm mới.")</f>
        <v>Miệng rồng chứa vàng ẩn giấu, tượng trưng cho sự giàu có sung túc. Kết hợp chúng để có được chiếc túi vải hình Rồng năm mới.</v>
      </c>
      <c r="H2670" s="8"/>
      <c r="I2670" s="8"/>
      <c r="J2670" s="8"/>
    </row>
    <row r="2671" ht="21.0" customHeight="1">
      <c r="A2671" s="6">
        <v>1.0</v>
      </c>
      <c r="B2671" s="6">
        <v>196.0</v>
      </c>
      <c r="C2671" s="6">
        <v>9.0</v>
      </c>
      <c r="D2671" s="15" t="s">
        <v>4129</v>
      </c>
      <c r="E2671" s="9" t="s">
        <v>4130</v>
      </c>
      <c r="F2671" s="8" t="str">
        <f>IFERROR(__xludf.DUMMYFUNCTION("GOOGLETRANSLATE(D2671,""zh-CN"",""vi"")"),"Túi vải họa tiết Rồng năm mới")</f>
        <v>Túi vải họa tiết Rồng năm mới</v>
      </c>
      <c r="G2671" s="8" t="str">
        <f>IFERROR(__xludf.DUMMYFUNCTION("GOOGLETRANSLATE(E2671,""zh-CN"",""vi"")"),"Rồng là loài vật may mắn mang lại tài lộc! Kết hợp chúng để có được chiếc mũ Năm Rồng.")</f>
        <v>Rồng là loài vật may mắn mang lại tài lộc! Kết hợp chúng để có được chiếc mũ Năm Rồng.</v>
      </c>
      <c r="H2671" s="8"/>
      <c r="I2671" s="8"/>
      <c r="J2671" s="8"/>
    </row>
    <row r="2672" ht="21.0" customHeight="1">
      <c r="A2672" s="6">
        <v>1.0</v>
      </c>
      <c r="B2672" s="6">
        <v>196.0</v>
      </c>
      <c r="C2672" s="6">
        <v>10.0</v>
      </c>
      <c r="D2672" s="15" t="s">
        <v>4131</v>
      </c>
      <c r="E2672" s="9" t="s">
        <v>4132</v>
      </c>
      <c r="F2672" s="8" t="str">
        <f>IFERROR(__xludf.DUMMYFUNCTION("GOOGLETRANSLATE(D2672,""zh-CN"",""vi"")"),"Mũ năm Rồng")</f>
        <v>Mũ năm Rồng</v>
      </c>
      <c r="G2672" s="8" t="str">
        <f>IFERROR(__xludf.DUMMYFUNCTION("GOOGLETRANSLATE(E2672,""zh-CN"",""vi"")"),"Trẻ em nào cũng muốn trở thành rồng. Hãy kết hợp chúng lại để tạo thành một chiếc gối hình rồng đáng yêu.")</f>
        <v>Trẻ em nào cũng muốn trở thành rồng. Hãy kết hợp chúng lại để tạo thành một chiếc gối hình rồng đáng yêu.</v>
      </c>
      <c r="H2672" s="8"/>
      <c r="I2672" s="8"/>
      <c r="J2672" s="8"/>
    </row>
    <row r="2673" ht="21.0" customHeight="1">
      <c r="A2673" s="6">
        <v>1.0</v>
      </c>
      <c r="B2673" s="6">
        <v>196.0</v>
      </c>
      <c r="C2673" s="6">
        <v>11.0</v>
      </c>
      <c r="D2673" s="15" t="s">
        <v>4133</v>
      </c>
      <c r="E2673" s="9" t="s">
        <v>4134</v>
      </c>
      <c r="F2673" s="8" t="str">
        <f>IFERROR(__xludf.DUMMYFUNCTION("GOOGLETRANSLATE(D2673,""zh-CN"",""vi"")"),"Gối hình rồng dễ thương")</f>
        <v>Gối hình rồng dễ thương</v>
      </c>
      <c r="G2673" s="8" t="str">
        <f>IFERROR(__xludf.DUMMYFUNCTION("GOOGLETRANSLATE(E2673,""zh-CN"",""vi"")"),"Bạn có mơ thấy những chú rồng nhỏ dễ thương không? Hãy kết hợp chúng để tạo ra một chiếc áo len chủ đề rồng.")</f>
        <v>Bạn có mơ thấy những chú rồng nhỏ dễ thương không? Hãy kết hợp chúng để tạo ra một chiếc áo len chủ đề rồng.</v>
      </c>
      <c r="H2673" s="8"/>
      <c r="I2673" s="8"/>
      <c r="J2673" s="8"/>
    </row>
    <row r="2674" ht="21.0" customHeight="1">
      <c r="A2674" s="6">
        <v>1.0</v>
      </c>
      <c r="B2674" s="6">
        <v>196.0</v>
      </c>
      <c r="C2674" s="6">
        <v>12.0</v>
      </c>
      <c r="D2674" s="15" t="s">
        <v>4135</v>
      </c>
      <c r="E2674" s="9" t="s">
        <v>4136</v>
      </c>
      <c r="F2674" s="8" t="str">
        <f>IFERROR(__xludf.DUMMYFUNCTION("GOOGLETRANSLATE(D2674,""zh-CN"",""vi"")"),"Áo len năm Rồng")</f>
        <v>Áo len năm Rồng</v>
      </c>
      <c r="G2674" s="8" t="str">
        <f>IFERROR(__xludf.DUMMYFUNCTION("GOOGLETRANSLATE(E2674,""zh-CN"",""vi"")"),"Chúc bạn có một cuộc sống thịnh vượng và hạnh phúc! Kết hợp các vật phẩm để nhận được Kho báu Năm Rồng.")</f>
        <v>Chúc bạn có một cuộc sống thịnh vượng và hạnh phúc! Kết hợp các vật phẩm để nhận được Kho báu Năm Rồng.</v>
      </c>
      <c r="H2674" s="8"/>
      <c r="I2674" s="8"/>
      <c r="J2674" s="8"/>
    </row>
    <row r="2675" ht="21.0" customHeight="1">
      <c r="A2675" s="6">
        <v>1.0</v>
      </c>
      <c r="B2675" s="6">
        <v>196.0</v>
      </c>
      <c r="C2675" s="6">
        <v>13.0</v>
      </c>
      <c r="D2675" s="15" t="s">
        <v>4137</v>
      </c>
      <c r="E2675" s="9" t="s">
        <v>4138</v>
      </c>
      <c r="F2675" s="8" t="str">
        <f>IFERROR(__xludf.DUMMYFUNCTION("GOOGLETRANSLATE(D2675,""zh-CN"",""vi"")"),"Tiểu bảo vật năm Rồng")</f>
        <v>Tiểu bảo vật năm Rồng</v>
      </c>
      <c r="G2675" s="8" t="str">
        <f>IFERROR(__xludf.DUMMYFUNCTION("GOOGLETRANSLATE(E2675,""zh-CN"",""vi"")"),"Một tuổi thơ vui vẻ hòa quyện với một năm mới hạnh phúc. Kết hợp chúng lại để có được một Em bé Rồng năm mới.")</f>
        <v>Một tuổi thơ vui vẻ hòa quyện với một năm mới hạnh phúc. Kết hợp chúng lại để có được một Em bé Rồng năm mới.</v>
      </c>
      <c r="H2675" s="8"/>
      <c r="I2675" s="8"/>
      <c r="J2675" s="8"/>
    </row>
    <row r="2676" ht="21.0" customHeight="1">
      <c r="A2676" s="6">
        <v>1.0</v>
      </c>
      <c r="B2676" s="6">
        <v>196.0</v>
      </c>
      <c r="C2676" s="6">
        <v>14.0</v>
      </c>
      <c r="D2676" s="15" t="s">
        <v>4139</v>
      </c>
      <c r="E2676" s="9" t="s">
        <v>4140</v>
      </c>
      <c r="F2676" s="8" t="str">
        <f>IFERROR(__xludf.DUMMYFUNCTION("GOOGLETRANSLATE(D2676,""zh-CN"",""vi"")"),"Rồng con bé nhỏ")</f>
        <v>Rồng con bé nhỏ</v>
      </c>
      <c r="G2676" s="8" t="str">
        <f>IFERROR(__xludf.DUMMYFUNCTION("GOOGLETRANSLATE(E2676,""zh-CN"",""vi"")"),"Chúc mừng năm mới âm lịch! Chúc bạn thịnh vượng và may mắn! Tặng tôi lì xì đỏ nhé! (Tổng hợp để được Tiểu Long Nhân)")</f>
        <v>Chúc mừng năm mới âm lịch! Chúc bạn thịnh vượng và may mắn! Tặng tôi lì xì đỏ nhé! (Tổng hợp để được Tiểu Long Nhân)</v>
      </c>
      <c r="H2676" s="8"/>
      <c r="I2676" s="8"/>
      <c r="J2676" s="8"/>
    </row>
    <row r="2677" ht="21.0" customHeight="1">
      <c r="A2677" s="6">
        <v>1.0</v>
      </c>
      <c r="B2677" s="6">
        <v>196.0</v>
      </c>
      <c r="C2677" s="6">
        <v>15.0</v>
      </c>
      <c r="D2677" s="15" t="s">
        <v>4141</v>
      </c>
      <c r="E2677" s="9" t="s">
        <v>4142</v>
      </c>
      <c r="F2677" s="8" t="str">
        <f>IFERROR(__xludf.DUMMYFUNCTION("GOOGLETRANSLATE(D2677,""zh-CN"",""vi"")"),"Người Rồng Nhỏ")</f>
        <v>Người Rồng Nhỏ</v>
      </c>
      <c r="G2677" s="8" t="str">
        <f>IFERROR(__xludf.DUMMYFUNCTION("GOOGLETRANSLATE(E2677,""zh-CN"",""vi"")"),"Chú rồng nhỏ, cư dân của công viên, đang ở đây để chào đón mọi người trong sân. Chú đã được tổng hợp đến cấp độ cao nhất.")</f>
        <v>Chú rồng nhỏ, cư dân của công viên, đang ở đây để chào đón mọi người trong sân. Chú đã được tổng hợp đến cấp độ cao nhất.</v>
      </c>
      <c r="H2677" s="8"/>
      <c r="I2677" s="8"/>
      <c r="J2677" s="8"/>
    </row>
    <row r="2678" ht="21.0" customHeight="1">
      <c r="A2678" s="6">
        <v>1.0</v>
      </c>
      <c r="B2678" s="6">
        <v>197.0</v>
      </c>
      <c r="C2678" s="6">
        <v>1.0</v>
      </c>
      <c r="D2678" s="15" t="s">
        <v>4143</v>
      </c>
      <c r="E2678" s="9" t="s">
        <v>4144</v>
      </c>
      <c r="F2678" s="8" t="str">
        <f>IFERROR(__xludf.DUMMYFUNCTION("GOOGLETRANSLATE(D2678,""zh-CN"",""vi"")"),"rồng")</f>
        <v>rồng</v>
      </c>
      <c r="G2678" s="8" t="str">
        <f>IFERROR(__xludf.DUMMYFUNCTION("GOOGLETRANSLATE(E2678,""zh-CN"",""vi"")"),"Rồng và phượng hoàng may mắn. Kết hợp để tạo thành ngựa.")</f>
        <v>Rồng và phượng hoàng may mắn. Kết hợp để tạo thành ngựa.</v>
      </c>
      <c r="H2678" s="8"/>
      <c r="I2678" s="8"/>
      <c r="J2678" s="8"/>
    </row>
    <row r="2679" ht="21.0" customHeight="1">
      <c r="A2679" s="6">
        <v>1.0</v>
      </c>
      <c r="B2679" s="6">
        <v>197.0</v>
      </c>
      <c r="C2679" s="6">
        <v>2.0</v>
      </c>
      <c r="D2679" s="15" t="s">
        <v>4145</v>
      </c>
      <c r="E2679" s="9" t="s">
        <v>4146</v>
      </c>
      <c r="F2679" s="8" t="str">
        <f>IFERROR(__xludf.DUMMYFUNCTION("GOOGLETRANSLATE(D2679,""zh-CN"",""vi"")"),"ngựa")</f>
        <v>ngựa</v>
      </c>
      <c r="G2679" s="8" t="str">
        <f>IFERROR(__xludf.DUMMYFUNCTION("GOOGLETRANSLATE(E2679,""zh-CN"",""vi"")"),"Thành công đã được đảm bảo. Sản phẩm tổng hợp đã được tinh chế.")</f>
        <v>Thành công đã được đảm bảo. Sản phẩm tổng hợp đã được tinh chế.</v>
      </c>
      <c r="H2679" s="8"/>
      <c r="I2679" s="8"/>
      <c r="J2679" s="8"/>
    </row>
    <row r="2680" ht="21.0" customHeight="1">
      <c r="A2680" s="6">
        <v>1.0</v>
      </c>
      <c r="B2680" s="6">
        <v>197.0</v>
      </c>
      <c r="C2680" s="6">
        <v>3.0</v>
      </c>
      <c r="D2680" s="15" t="s">
        <v>4147</v>
      </c>
      <c r="E2680" s="9" t="s">
        <v>4148</v>
      </c>
      <c r="F2680" s="8" t="str">
        <f>IFERROR(__xludf.DUMMYFUNCTION("GOOGLETRANSLATE(D2680,""zh-CN"",""vi"")"),"Tinh chế")</f>
        <v>Tinh chế</v>
      </c>
      <c r="G2680" s="8" t="str">
        <f>IFERROR(__xludf.DUMMYFUNCTION("GOOGLETRANSLATE(E2680,""zh-CN"",""vi"")"),"Nơi nào có ý chí, nơi đó có con đường. Thông qua sự tổng hợp, người ta đạt được thần tính.")</f>
        <v>Nơi nào có ý chí, nơi đó có con đường. Thông qua sự tổng hợp, người ta đạt được thần tính.</v>
      </c>
      <c r="H2680" s="8"/>
      <c r="I2680" s="8"/>
      <c r="J2680" s="8"/>
    </row>
    <row r="2681" ht="21.0" customHeight="1">
      <c r="A2681" s="6">
        <v>1.0</v>
      </c>
      <c r="B2681" s="6">
        <v>197.0</v>
      </c>
      <c r="C2681" s="6">
        <v>4.0</v>
      </c>
      <c r="D2681" s="15" t="s">
        <v>4149</v>
      </c>
      <c r="E2681" s="9" t="s">
        <v>4150</v>
      </c>
      <c r="F2681" s="8" t="str">
        <f>IFERROR(__xludf.DUMMYFUNCTION("GOOGLETRANSLATE(D2681,""zh-CN"",""vi"")"),"chúa")</f>
        <v>chúa</v>
      </c>
      <c r="G2681" s="8" t="str">
        <f>IFERROR(__xludf.DUMMYFUNCTION("GOOGLETRANSLATE(E2681,""zh-CN"",""vi"")"),"Phép tính khéo léo. Cộng lại, cho ra kết quả mười nghìn.")</f>
        <v>Phép tính khéo léo. Cộng lại, cho ra kết quả mười nghìn.</v>
      </c>
      <c r="H2681" s="8"/>
      <c r="I2681" s="8"/>
      <c r="J2681" s="8"/>
    </row>
    <row r="2682" ht="21.0" customHeight="1">
      <c r="A2682" s="6">
        <v>1.0</v>
      </c>
      <c r="B2682" s="6">
        <v>197.0</v>
      </c>
      <c r="C2682" s="6">
        <v>5.0</v>
      </c>
      <c r="D2682" s="15" t="s">
        <v>4151</v>
      </c>
      <c r="E2682" s="9" t="s">
        <v>4152</v>
      </c>
      <c r="F2682" s="8" t="str">
        <f>IFERROR(__xludf.DUMMYFUNCTION("GOOGLETRANSLATE(D2682,""zh-CN"",""vi"")"),"Mười nghìn")</f>
        <v>Mười nghìn</v>
      </c>
      <c r="G2682" s="8" t="str">
        <f>IFERROR(__xludf.DUMMYFUNCTION("GOOGLETRANSLATE(E2682,""zh-CN"",""vi"")"),"Mọi thứ đều được đổi mới. Điều này đạt được thông qua quá trình tổng hợp.")</f>
        <v>Mọi thứ đều được đổi mới. Điều này đạt được thông qua quá trình tổng hợp.</v>
      </c>
      <c r="H2682" s="8"/>
      <c r="I2682" s="8"/>
      <c r="J2682" s="8"/>
    </row>
    <row r="2683" ht="21.0" customHeight="1">
      <c r="A2683" s="6">
        <v>1.0</v>
      </c>
      <c r="B2683" s="6">
        <v>197.0</v>
      </c>
      <c r="C2683" s="6">
        <v>6.0</v>
      </c>
      <c r="D2683" s="15" t="s">
        <v>4153</v>
      </c>
      <c r="E2683" s="9" t="s">
        <v>4154</v>
      </c>
      <c r="F2683" s="8" t="str">
        <f>IFERROR(__xludf.DUMMYFUNCTION("GOOGLETRANSLATE(D2683,""zh-CN"",""vi"")"),"điều")</f>
        <v>điều</v>
      </c>
      <c r="G2683" s="8" t="str">
        <f>IFERROR(__xludf.DUMMYFUNCTION("GOOGLETRANSLATE(E2683,""zh-CN"",""vi"")"),"Đạt được hiệu quả gấp đôi với một nửa công sức. Tổng hợp để thu được...")</f>
        <v>Đạt được hiệu quả gấp đôi với một nửa công sức. Tổng hợp để thu được...</v>
      </c>
      <c r="H2683" s="8"/>
      <c r="I2683" s="8"/>
      <c r="J2683" s="8"/>
    </row>
    <row r="2684" ht="21.0" customHeight="1">
      <c r="A2684" s="6">
        <v>1.0</v>
      </c>
      <c r="B2684" s="6">
        <v>197.0</v>
      </c>
      <c r="C2684" s="6">
        <v>7.0</v>
      </c>
      <c r="D2684" s="15" t="s">
        <v>4155</v>
      </c>
      <c r="E2684" s="9" t="s">
        <v>4156</v>
      </c>
      <c r="F2684" s="8" t="str">
        <f>IFERROR(__xludf.DUMMYFUNCTION("GOOGLETRANSLATE(D2684,""zh-CN"",""vi"")"),"giống")</f>
        <v>giống</v>
      </c>
      <c r="G2684" s="8" t="str">
        <f>IFERROR(__xludf.DUMMYFUNCTION("GOOGLETRANSLATE(E2684,""zh-CN"",""vi"")"),"Giống như việc thêm cánh cho một con hổ. Kết quả mong muốn đạt được thông qua quá trình tổng hợp.")</f>
        <v>Giống như việc thêm cánh cho một con hổ. Kết quả mong muốn đạt được thông qua quá trình tổng hợp.</v>
      </c>
      <c r="H2684" s="8"/>
      <c r="I2684" s="8"/>
      <c r="J2684" s="8"/>
    </row>
    <row r="2685" ht="21.0" customHeight="1">
      <c r="A2685" s="6">
        <v>1.0</v>
      </c>
      <c r="B2685" s="6">
        <v>197.0</v>
      </c>
      <c r="C2685" s="6">
        <v>8.0</v>
      </c>
      <c r="D2685" s="15" t="s">
        <v>4157</v>
      </c>
      <c r="E2685" s="9" t="s">
        <v>4158</v>
      </c>
      <c r="F2685" s="8" t="str">
        <f>IFERROR(__xludf.DUMMYFUNCTION("GOOGLETRANSLATE(D2685,""zh-CN"",""vi"")"),"nghĩa")</f>
        <v>nghĩa</v>
      </c>
      <c r="G2685" s="8" t="str">
        <f>IFERROR(__xludf.DUMMYFUNCTION("GOOGLETRANSLATE(E2685,""zh-CN"",""vi"")"),"Tràn đầy sức sống và tinh thần phấn chấn. Kết quả tốt đạt được nhờ sự tổng hợp.")</f>
        <v>Tràn đầy sức sống và tinh thần phấn chấn. Kết quả tốt đạt được nhờ sự tổng hợp.</v>
      </c>
      <c r="H2685" s="8"/>
      <c r="I2685" s="8"/>
      <c r="J2685" s="8"/>
    </row>
    <row r="2686" ht="21.0" customHeight="1">
      <c r="A2686" s="6">
        <v>1.0</v>
      </c>
      <c r="B2686" s="6">
        <v>197.0</v>
      </c>
      <c r="C2686" s="6">
        <v>9.0</v>
      </c>
      <c r="D2686" s="15" t="s">
        <v>4159</v>
      </c>
      <c r="E2686" s="9" t="s">
        <v>4160</v>
      </c>
      <c r="F2686" s="8" t="str">
        <f>IFERROR(__xludf.DUMMYFUNCTION("GOOGLETRANSLATE(D2686,""zh-CN"",""vi"")"),"Tốt")</f>
        <v>Tốt</v>
      </c>
      <c r="G2686" s="8" t="str">
        <f>IFERROR(__xludf.DUMMYFUNCTION("GOOGLETRANSLATE(E2686,""zh-CN"",""vi"")"),"Lòng tốt và sự hào phóng. Sự hòa hợp mang lại may mắn.")</f>
        <v>Lòng tốt và sự hào phóng. Sự hòa hợp mang lại may mắn.</v>
      </c>
      <c r="H2686" s="8"/>
      <c r="I2686" s="8"/>
      <c r="J2686" s="8"/>
    </row>
    <row r="2687" ht="21.0" customHeight="1">
      <c r="A2687" s="6">
        <v>1.0</v>
      </c>
      <c r="B2687" s="6">
        <v>197.0</v>
      </c>
      <c r="C2687" s="6">
        <v>10.0</v>
      </c>
      <c r="D2687" s="15" t="s">
        <v>4161</v>
      </c>
      <c r="E2687" s="9" t="s">
        <v>4162</v>
      </c>
      <c r="F2687" s="8" t="str">
        <f>IFERROR(__xludf.DUMMYFUNCTION("GOOGLETRANSLATE(D2687,""zh-CN"",""vi"")"),"chuyên chở")</f>
        <v>chuyên chở</v>
      </c>
      <c r="G2687" s="8" t="str">
        <f>IFERROR(__xludf.DUMMYFUNCTION("GOOGLETRANSLATE(E2687,""zh-CN"",""vi"")"),"Khi thời điểm thích hợp đến, nó sẽ đến. Hãy tổng hợp và đạt được kết quả mong muốn.")</f>
        <v>Khi thời điểm thích hợp đến, nó sẽ đến. Hãy tổng hợp và đạt được kết quả mong muốn.</v>
      </c>
      <c r="H2687" s="8"/>
      <c r="I2687" s="8"/>
      <c r="J2687" s="8"/>
    </row>
    <row r="2688" ht="21.0" customHeight="1">
      <c r="A2688" s="6">
        <v>1.0</v>
      </c>
      <c r="B2688" s="6">
        <v>197.0</v>
      </c>
      <c r="C2688" s="6">
        <v>11.0</v>
      </c>
      <c r="D2688" s="15" t="s">
        <v>4163</v>
      </c>
      <c r="E2688" s="9" t="s">
        <v>4164</v>
      </c>
      <c r="F2688" s="8" t="str">
        <f>IFERROR(__xludf.DUMMYFUNCTION("GOOGLETRANSLATE(D2688,""zh-CN"",""vi"")"),"khi")</f>
        <v>khi</v>
      </c>
      <c r="G2688" s="8" t="str">
        <f>IFERROR(__xludf.DUMMYFUNCTION("GOOGLETRANSLATE(E2688,""zh-CN"",""vi"")"),"Tài năng và năng lực đương đại. Được tổng hợp để tạo nên người đứng đầu.")</f>
        <v>Tài năng và năng lực đương đại. Được tổng hợp để tạo nên người đứng đầu.</v>
      </c>
      <c r="H2688" s="8"/>
      <c r="I2688" s="8"/>
      <c r="J2688" s="8"/>
    </row>
    <row r="2689" ht="21.0" customHeight="1">
      <c r="A2689" s="6">
        <v>1.0</v>
      </c>
      <c r="B2689" s="6">
        <v>197.0</v>
      </c>
      <c r="C2689" s="6">
        <v>12.0</v>
      </c>
      <c r="D2689" s="15" t="s">
        <v>4165</v>
      </c>
      <c r="E2689" s="9" t="s">
        <v>4166</v>
      </c>
      <c r="F2689" s="8" t="str">
        <f>IFERROR(__xludf.DUMMYFUNCTION("GOOGLETRANSLATE(D2689,""zh-CN"",""vi"")"),"cái đầu")</f>
        <v>cái đầu</v>
      </c>
      <c r="G2689" s="8" t="str">
        <f>IFERROR(__xludf.DUMMYFUNCTION("GOOGLETRANSLATE(E2689,""zh-CN"",""vi"")"),"Một tài năng đầy triển vọng. (Đã nhiều năm trôi qua kể từ đầu năm.)")</f>
        <v>Một tài năng đầy triển vọng. (Đã nhiều năm trôi qua kể từ đầu năm.)</v>
      </c>
      <c r="H2689" s="8"/>
      <c r="I2689" s="8"/>
      <c r="J2689" s="8"/>
    </row>
    <row r="2690" ht="21.0" customHeight="1">
      <c r="A2690" s="6">
        <v>1.0</v>
      </c>
      <c r="B2690" s="6">
        <v>197.0</v>
      </c>
      <c r="C2690" s="6">
        <v>13.0</v>
      </c>
      <c r="D2690" s="15" t="s">
        <v>4167</v>
      </c>
      <c r="E2690" s="9" t="s">
        <v>4168</v>
      </c>
      <c r="F2690" s="8" t="str">
        <f>IFERROR(__xludf.DUMMYFUNCTION("GOOGLETRANSLATE(D2690,""zh-CN"",""vi"")"),"tuổi")</f>
        <v>tuổi</v>
      </c>
      <c r="G2690" s="8" t="str">
        <f>IFERROR(__xludf.DUMMYFUNCTION("GOOGLETRANSLATE(E2690,""zh-CN"",""vi"")"),"Một năm bội thu. Đây là kết quả của những nỗ lực của chúng ta.")</f>
        <v>Một năm bội thu. Đây là kết quả của những nỗ lực của chúng ta.</v>
      </c>
      <c r="H2690" s="8"/>
      <c r="I2690" s="8"/>
      <c r="J2690" s="8"/>
    </row>
    <row r="2691" ht="21.0" customHeight="1">
      <c r="A2691" s="6">
        <v>1.0</v>
      </c>
      <c r="B2691" s="6">
        <v>197.0</v>
      </c>
      <c r="C2691" s="6">
        <v>14.0</v>
      </c>
      <c r="D2691" s="23" t="s">
        <v>4169</v>
      </c>
      <c r="E2691" s="9" t="s">
        <v>4170</v>
      </c>
      <c r="F2691" s="8" t="str">
        <f>IFERROR(__xludf.DUMMYFUNCTION("GOOGLETRANSLATE(D2691,""zh-CN"",""vi"")"),"Hiện nay")</f>
        <v>Hiện nay</v>
      </c>
      <c r="G2691" s="8" t="str">
        <f>IFERROR(__xludf.DUMMYFUNCTION("GOOGLETRANSLATE(E2691,""zh-CN"",""vi"")"),"Mọi chuyện giờ đã khác. Triều đại đã được thống nhất và thiết lập vững chắc.")</f>
        <v>Mọi chuyện giờ đã khác. Triều đại đã được thống nhất và thiết lập vững chắc.</v>
      </c>
      <c r="H2691" s="8"/>
      <c r="I2691" s="8"/>
      <c r="J2691" s="8"/>
    </row>
    <row r="2692" ht="21.0" customHeight="1">
      <c r="A2692" s="6">
        <v>1.0</v>
      </c>
      <c r="B2692" s="6">
        <v>197.0</v>
      </c>
      <c r="C2692" s="6">
        <v>15.0</v>
      </c>
      <c r="D2692" s="23" t="s">
        <v>4171</v>
      </c>
      <c r="E2692" s="9" t="s">
        <v>4172</v>
      </c>
      <c r="F2692" s="8" t="str">
        <f>IFERROR(__xludf.DUMMYFUNCTION("GOOGLETRANSLATE(D2692,""zh-CN"",""vi"")"),"đối với")</f>
        <v>đối với</v>
      </c>
      <c r="G2692" s="8" t="str">
        <f>IFERROR(__xludf.DUMMYFUNCTION("GOOGLETRANSLATE(E2692,""zh-CN"",""vi"")"),"Tràn đầy sức sống tuổi trẻ. Đã được tổng hợp đến mức độ cao nhất.")</f>
        <v>Tràn đầy sức sống tuổi trẻ. Đã được tổng hợp đến mức độ cao nhất.</v>
      </c>
      <c r="H2692" s="8"/>
      <c r="I2692" s="8"/>
      <c r="J2692" s="8"/>
    </row>
    <row r="2693" ht="21.0" customHeight="1">
      <c r="A2693" s="6">
        <v>11.0</v>
      </c>
      <c r="B2693" s="6">
        <v>1051.0</v>
      </c>
      <c r="C2693" s="6">
        <v>1.0</v>
      </c>
      <c r="D2693" s="15" t="s">
        <v>4173</v>
      </c>
      <c r="E2693" s="9" t="s">
        <v>4174</v>
      </c>
      <c r="F2693" s="8" t="str">
        <f>IFERROR(__xludf.DUMMYFUNCTION("GOOGLETRANSLATE(D2693,""zh-CN"",""vi"")"),"báo cáo trắng")</f>
        <v>báo cáo trắng</v>
      </c>
      <c r="G2693" s="8" t="str">
        <f>IFERROR(__xludf.DUMMYFUNCTION("GOOGLETRANSLATE(E2693,""zh-CN"",""vi"")"),"Một tờ giấy trắng tinh, nhẹ và thoáng. Kết hợp chúng lại để tạo nên một chiếc lá gió bằng nghệ thuật gấp giấy origami.")</f>
        <v>Một tờ giấy trắng tinh, nhẹ và thoáng. Kết hợp chúng lại để tạo nên một chiếc lá gió bằng nghệ thuật gấp giấy origami.</v>
      </c>
      <c r="H2693" s="8"/>
      <c r="I2693" s="8"/>
      <c r="J2693" s="8"/>
    </row>
    <row r="2694" ht="21.0" customHeight="1">
      <c r="A2694" s="6">
        <v>11.0</v>
      </c>
      <c r="B2694" s="6">
        <v>1051.0</v>
      </c>
      <c r="C2694" s="6">
        <v>2.0</v>
      </c>
      <c r="D2694" s="15" t="s">
        <v>4175</v>
      </c>
      <c r="E2694" s="9" t="s">
        <v>4176</v>
      </c>
      <c r="F2694" s="8" t="str">
        <f>IFERROR(__xludf.DUMMYFUNCTION("GOOGLETRANSLATE(D2694,""zh-CN"",""vi"")"),"Nghệ thuật gấp giấy lá gió")</f>
        <v>Nghệ thuật gấp giấy lá gió</v>
      </c>
      <c r="G2694" s="8" t="str">
        <f>IFERROR(__xludf.DUMMYFUNCTION("GOOGLETRANSLATE(E2694,""zh-CN"",""vi"")"),"Hai cánh quạt vẫn chưa quay. Hãy kết hợp chúng lại để tạo thành một cối xay gió đơn giản.")</f>
        <v>Hai cánh quạt vẫn chưa quay. Hãy kết hợp chúng lại để tạo thành một cối xay gió đơn giản.</v>
      </c>
      <c r="H2694" s="8"/>
      <c r="I2694" s="8"/>
      <c r="J2694" s="8"/>
    </row>
    <row r="2695" ht="21.0" customHeight="1">
      <c r="A2695" s="6">
        <v>11.0</v>
      </c>
      <c r="B2695" s="6">
        <v>1051.0</v>
      </c>
      <c r="C2695" s="6">
        <v>3.0</v>
      </c>
      <c r="D2695" s="15" t="s">
        <v>4177</v>
      </c>
      <c r="E2695" s="9" t="s">
        <v>4178</v>
      </c>
      <c r="F2695" s="8" t="str">
        <f>IFERROR(__xludf.DUMMYFUNCTION("GOOGLETRANSLATE(D2695,""zh-CN"",""vi"")"),"Cối xay gió đơn giản")</f>
        <v>Cối xay gió đơn giản</v>
      </c>
      <c r="G2695" s="8" t="str">
        <f>IFERROR(__xludf.DUMMYFUNCTION("GOOGLETRANSLATE(E2695,""zh-CN"",""vi"")"),"Nó quay trong gió, thật thú vị! Hãy kết hợp chúng lại để tạo thành một chiếc chong chóng hoa nhỏ.")</f>
        <v>Nó quay trong gió, thật thú vị! Hãy kết hợp chúng lại để tạo thành một chiếc chong chóng hoa nhỏ.</v>
      </c>
      <c r="H2695" s="8"/>
      <c r="I2695" s="8"/>
      <c r="J2695" s="8"/>
    </row>
    <row r="2696" ht="21.0" customHeight="1">
      <c r="A2696" s="6">
        <v>11.0</v>
      </c>
      <c r="B2696" s="6">
        <v>1051.0</v>
      </c>
      <c r="C2696" s="6">
        <v>4.0</v>
      </c>
      <c r="D2696" s="73" t="s">
        <v>4179</v>
      </c>
      <c r="E2696" s="9" t="s">
        <v>4180</v>
      </c>
      <c r="F2696" s="8" t="str">
        <f>IFERROR(__xludf.DUMMYFUNCTION("GOOGLETRANSLATE(D2696,""zh-CN"",""vi"")"),"Cối xay gió Hoa Nhỏ")</f>
        <v>Cối xay gió Hoa Nhỏ</v>
      </c>
      <c r="G2696" s="8" t="str">
        <f>IFERROR(__xludf.DUMMYFUNCTION("GOOGLETRANSLATE(E2696,""zh-CN"",""vi"")"),"Khi chuyển động theo chiều gió, nó trông giống như một cầu vồng rực rỡ. Kết hợp chúng lại để tạo thành một chiếc cối xay gió hoạt hình.")</f>
        <v>Khi chuyển động theo chiều gió, nó trông giống như một cầu vồng rực rỡ. Kết hợp chúng lại để tạo thành một chiếc cối xay gió hoạt hình.</v>
      </c>
      <c r="H2696" s="8"/>
      <c r="I2696" s="8"/>
      <c r="J2696" s="8"/>
    </row>
    <row r="2697" ht="21.0" customHeight="1">
      <c r="A2697" s="6">
        <v>10.0</v>
      </c>
      <c r="B2697" s="6">
        <v>1051.0</v>
      </c>
      <c r="C2697" s="6">
        <v>5.0</v>
      </c>
      <c r="D2697" s="15" t="s">
        <v>4181</v>
      </c>
      <c r="E2697" s="9" t="s">
        <v>4182</v>
      </c>
      <c r="F2697" s="8" t="str">
        <f>IFERROR(__xludf.DUMMYFUNCTION("GOOGLETRANSLATE(D2697,""zh-CN"",""vi"")"),"Cối xay gió hoạt hình")</f>
        <v>Cối xay gió hoạt hình</v>
      </c>
      <c r="G2697" s="8" t="str">
        <f>IFERROR(__xludf.DUMMYFUNCTION("GOOGLETRANSLATE(E2697,""zh-CN"",""vi"")"),"Cối xay gió hình gấu dễ thương là món đồ chơi yêu thích của trẻ em. Kết hợp chúng lại để tạo thành một chiếc cối xay gió bảy cánh theo phong cách hoạt hình.")</f>
        <v>Cối xay gió hình gấu dễ thương là món đồ chơi yêu thích của trẻ em. Kết hợp chúng lại để tạo thành một chiếc cối xay gió bảy cánh theo phong cách hoạt hình.</v>
      </c>
      <c r="H2697" s="8"/>
      <c r="I2697" s="8"/>
      <c r="J2697" s="8"/>
    </row>
    <row r="2698" ht="21.0" customHeight="1">
      <c r="A2698" s="6">
        <v>10.0</v>
      </c>
      <c r="B2698" s="6">
        <v>1051.0</v>
      </c>
      <c r="C2698" s="6">
        <v>6.0</v>
      </c>
      <c r="D2698" s="15" t="s">
        <v>4183</v>
      </c>
      <c r="E2698" s="9" t="s">
        <v>4184</v>
      </c>
      <c r="F2698" s="8" t="str">
        <f>IFERROR(__xludf.DUMMYFUNCTION("GOOGLETRANSLATE(D2698,""zh-CN"",""vi"")"),"Cối xay gió bảy cánh trong phim hoạt hình")</f>
        <v>Cối xay gió bảy cánh trong phim hoạt hình</v>
      </c>
      <c r="G2698" s="8" t="str">
        <f>IFERROR(__xludf.DUMMYFUNCTION("GOOGLETRANSLATE(E2698,""zh-CN"",""vi"")"),"Bảy chiếc cánh, quay nhanh hơn nữa! Kết hợp chúng lại để có được Cối xay gió thần kỳ.")</f>
        <v>Bảy chiếc cánh, quay nhanh hơn nữa! Kết hợp chúng lại để có được Cối xay gió thần kỳ.</v>
      </c>
      <c r="H2698" s="8"/>
      <c r="I2698" s="8"/>
      <c r="J2698" s="8"/>
    </row>
    <row r="2699" ht="21.0" customHeight="1">
      <c r="A2699" s="6">
        <v>10.0</v>
      </c>
      <c r="B2699" s="6">
        <v>1051.0</v>
      </c>
      <c r="C2699" s="6">
        <v>7.0</v>
      </c>
      <c r="D2699" s="15" t="s">
        <v>4185</v>
      </c>
      <c r="E2699" s="9" t="s">
        <v>4186</v>
      </c>
      <c r="F2699" s="8" t="str">
        <f>IFERROR(__xludf.DUMMYFUNCTION("GOOGLETRANSLATE(D2699,""zh-CN"",""vi"")"),"Cây đũa thần và cối xay gió")</f>
        <v>Cây đũa thần và cối xay gió</v>
      </c>
      <c r="G2699" s="8" t="str">
        <f>IFERROR(__xludf.DUMMYFUNCTION("GOOGLETRANSLATE(E2699,""zh-CN"",""vi"")"),"Nó trông giống như một cây đũa phép hình chú thỏ thần kỳ có thể triệu hồi gió. Kết hợp chúng lại để có được Cối xay gió hình thỏ.")</f>
        <v>Nó trông giống như một cây đũa phép hình chú thỏ thần kỳ có thể triệu hồi gió. Kết hợp chúng lại để có được Cối xay gió hình thỏ.</v>
      </c>
      <c r="H2699" s="8"/>
      <c r="I2699" s="8"/>
      <c r="J2699" s="8"/>
    </row>
    <row r="2700" ht="21.0" customHeight="1">
      <c r="A2700" s="6">
        <v>10.0</v>
      </c>
      <c r="B2700" s="6">
        <v>1051.0</v>
      </c>
      <c r="C2700" s="6">
        <v>8.0</v>
      </c>
      <c r="D2700" s="15" t="s">
        <v>4187</v>
      </c>
      <c r="E2700" s="9" t="s">
        <v>4188</v>
      </c>
      <c r="F2700" s="8" t="str">
        <f>IFERROR(__xludf.DUMMYFUNCTION("GOOGLETRANSLATE(D2700,""zh-CN"",""vi"")"),"Cối xay gió hình thỏ")</f>
        <v>Cối xay gió hình thỏ</v>
      </c>
      <c r="G2700" s="8" t="str">
        <f>IFERROR(__xludf.DUMMYFUNCTION("GOOGLETRANSLATE(E2700,""zh-CN"",""vi"")"),"Không phải cối xay gió chuyển động, cũng không phải gió chuyển động, mà chính trái tim mới chuyển động. Kết hợp các thành phần để tạo thành biểu ngữ treo hình cối xay gió.")</f>
        <v>Không phải cối xay gió chuyển động, cũng không phải gió chuyển động, mà chính trái tim mới chuyển động. Kết hợp các thành phần để tạo thành biểu ngữ treo hình cối xay gió.</v>
      </c>
      <c r="H2700" s="8"/>
      <c r="I2700" s="8"/>
      <c r="J2700" s="8"/>
    </row>
    <row r="2701" ht="21.0" customHeight="1">
      <c r="A2701" s="6">
        <v>10.0</v>
      </c>
      <c r="B2701" s="6">
        <v>1051.0</v>
      </c>
      <c r="C2701" s="6">
        <v>9.0</v>
      </c>
      <c r="D2701" s="15" t="s">
        <v>4189</v>
      </c>
      <c r="E2701" s="9" t="s">
        <v>4190</v>
      </c>
      <c r="F2701" s="8" t="str">
        <f>IFERROR(__xludf.DUMMYFUNCTION("GOOGLETRANSLATE(D2701,""zh-CN"",""vi"")"),"Biểu ngữ treo hình cối xay gió")</f>
        <v>Biểu ngữ treo hình cối xay gió</v>
      </c>
      <c r="G2701" s="8" t="str">
        <f>IFERROR(__xludf.DUMMYFUNCTION("GOOGLETRANSLATE(E2701,""zh-CN"",""vi"")"),"Những lá cờ phấp phới trong gió, tràn đầy sức sống. Hãy kết hợp chúng lại để tạo nên Cối xay gió mùa xuân.")</f>
        <v>Những lá cờ phấp phới trong gió, tràn đầy sức sống. Hãy kết hợp chúng lại để tạo nên Cối xay gió mùa xuân.</v>
      </c>
      <c r="H2701" s="8"/>
      <c r="I2701" s="8"/>
      <c r="J2701" s="8"/>
    </row>
    <row r="2702" ht="21.0" customHeight="1">
      <c r="A2702" s="6">
        <v>10.0</v>
      </c>
      <c r="B2702" s="6">
        <v>1051.0</v>
      </c>
      <c r="C2702" s="6">
        <v>10.0</v>
      </c>
      <c r="D2702" s="15" t="s">
        <v>4191</v>
      </c>
      <c r="E2702" s="9" t="s">
        <v>4192</v>
      </c>
      <c r="F2702" s="8" t="str">
        <f>IFERROR(__xludf.DUMMYFUNCTION("GOOGLETRANSLATE(D2702,""zh-CN"",""vi"")"),"Cối xay gió lớn Dương Xuân")</f>
        <v>Cối xay gió lớn Dương Xuân</v>
      </c>
      <c r="G2702" s="8" t="str">
        <f>IFERROR(__xludf.DUMMYFUNCTION("GOOGLETRANSLATE(E2702,""zh-CN"",""vi"")"),"""Chim chóc và chim ác ở thành phố miền núi hân hoan, những vần thơ tuyệt đẹp vang lên cùng làn gió xuân."" Đây là sự tổng kết đạt đến đỉnh cao nhất.")</f>
        <v>"Chim chóc và chim ác ở thành phố miền núi hân hoan, những vần thơ tuyệt đẹp vang lên cùng làn gió xuân." Đây là sự tổng kết đạt đến đỉnh cao nhất.</v>
      </c>
      <c r="H2702" s="8"/>
      <c r="I2702" s="8"/>
      <c r="J2702" s="8"/>
    </row>
    <row r="2703" ht="21.0" customHeight="1">
      <c r="A2703" s="6">
        <v>11.0</v>
      </c>
      <c r="B2703" s="6">
        <v>1052.0</v>
      </c>
      <c r="C2703" s="6">
        <v>1.0</v>
      </c>
      <c r="D2703" s="15" t="s">
        <v>4193</v>
      </c>
      <c r="E2703" s="9" t="s">
        <v>4194</v>
      </c>
      <c r="F2703" s="8" t="str">
        <f>IFERROR(__xludf.DUMMYFUNCTION("GOOGLETRANSLATE(D2703,""zh-CN"",""vi"")"),"Sách trắng [V]")</f>
        <v>Sách trắng [V]</v>
      </c>
      <c r="G2703" s="8" t="str">
        <f>IFERROR(__xludf.DUMMYFUNCTION("GOOGLETRANSLATE(E2703,""zh-CN"",""vi"")"),"Một tờ giấy trắng, nhẹ và thoáng. Kết hợp lại để tạo thành Lá Gió Origami [V].")</f>
        <v>Một tờ giấy trắng, nhẹ và thoáng. Kết hợp lại để tạo thành Lá Gió Origami [V].</v>
      </c>
      <c r="H2703" s="8"/>
      <c r="I2703" s="8"/>
      <c r="J2703" s="8"/>
    </row>
    <row r="2704" ht="21.0" customHeight="1">
      <c r="A2704" s="6">
        <v>11.0</v>
      </c>
      <c r="B2704" s="6">
        <v>1052.0</v>
      </c>
      <c r="C2704" s="6">
        <v>2.0</v>
      </c>
      <c r="D2704" s="15" t="s">
        <v>4195</v>
      </c>
      <c r="E2704" s="9" t="s">
        <v>4196</v>
      </c>
      <c r="F2704" s="8" t="str">
        <f>IFERROR(__xludf.DUMMYFUNCTION("GOOGLETRANSLATE(D2704,""zh-CN"",""vi"")"),"Những chiếc lá origami uốn lượn theo gió [V]")</f>
        <v>Những chiếc lá origami uốn lượn theo gió [V]</v>
      </c>
      <c r="G2704" s="8" t="str">
        <f>IFERROR(__xludf.DUMMYFUNCTION("GOOGLETRANSLATE(E2704,""zh-CN"",""vi"")"),"Hai cánh quạt vẫn chưa quay. Kết hợp chúng lại để tạo thành một cối xay gió đơn giản [V].")</f>
        <v>Hai cánh quạt vẫn chưa quay. Kết hợp chúng lại để tạo thành một cối xay gió đơn giản [V].</v>
      </c>
      <c r="H2704" s="8"/>
      <c r="I2704" s="8"/>
      <c r="J2704" s="8"/>
    </row>
    <row r="2705" ht="21.0" customHeight="1">
      <c r="A2705" s="6">
        <v>11.0</v>
      </c>
      <c r="B2705" s="6">
        <v>1052.0</v>
      </c>
      <c r="C2705" s="6">
        <v>3.0</v>
      </c>
      <c r="D2705" s="15" t="s">
        <v>4197</v>
      </c>
      <c r="E2705" s="9" t="s">
        <v>4198</v>
      </c>
      <c r="F2705" s="8" t="str">
        <f>IFERROR(__xludf.DUMMYFUNCTION("GOOGLETRANSLATE(D2705,""zh-CN"",""vi"")"),"Cối xay gió đơn giản [V]")</f>
        <v>Cối xay gió đơn giản [V]</v>
      </c>
      <c r="G2705" s="8" t="str">
        <f>IFERROR(__xludf.DUMMYFUNCTION("GOOGLETRANSLATE(E2705,""zh-CN"",""vi"")"),"Nó có thể quay trong gió, thật thú vị! Kết hợp chúng lại để tạo thành một cối xay gió nhỏ [V].")</f>
        <v>Nó có thể quay trong gió, thật thú vị! Kết hợp chúng lại để tạo thành một cối xay gió nhỏ [V].</v>
      </c>
      <c r="H2705" s="8"/>
      <c r="I2705" s="8"/>
      <c r="J2705" s="8"/>
    </row>
    <row r="2706" ht="21.0" customHeight="1">
      <c r="A2706" s="6">
        <v>11.0</v>
      </c>
      <c r="B2706" s="6">
        <v>1052.0</v>
      </c>
      <c r="C2706" s="6">
        <v>4.0</v>
      </c>
      <c r="D2706" s="15" t="s">
        <v>4199</v>
      </c>
      <c r="E2706" s="9" t="s">
        <v>4200</v>
      </c>
      <c r="F2706" s="8" t="str">
        <f>IFERROR(__xludf.DUMMYFUNCTION("GOOGLETRANSLATE(D2706,""zh-CN"",""vi"")"),"Cối xay gió Hoa Nhỏ [V]")</f>
        <v>Cối xay gió Hoa Nhỏ [V]</v>
      </c>
      <c r="G2706" s="8" t="str">
        <f>IFERROR(__xludf.DUMMYFUNCTION("GOOGLETRANSLATE(E2706,""zh-CN"",""vi"")"),"Khi chuyển động theo gió, nó trông giống như một cầu vồng rực rỡ. Kết hợp để có được cối xay gió hoạt hình [V].")</f>
        <v>Khi chuyển động theo gió, nó trông giống như một cầu vồng rực rỡ. Kết hợp để có được cối xay gió hoạt hình [V].</v>
      </c>
      <c r="H2706" s="8"/>
      <c r="I2706" s="8"/>
      <c r="J2706" s="8"/>
    </row>
    <row r="2707" ht="21.0" customHeight="1">
      <c r="A2707" s="6">
        <v>10.0</v>
      </c>
      <c r="B2707" s="6">
        <v>1052.0</v>
      </c>
      <c r="C2707" s="6">
        <v>5.0</v>
      </c>
      <c r="D2707" s="15" t="s">
        <v>4201</v>
      </c>
      <c r="E2707" s="9" t="s">
        <v>4202</v>
      </c>
      <c r="F2707" s="8" t="str">
        <f>IFERROR(__xludf.DUMMYFUNCTION("GOOGLETRANSLATE(D2707,""zh-CN"",""vi"")"),"Cối xay gió hoạt hình [V]")</f>
        <v>Cối xay gió hoạt hình [V]</v>
      </c>
      <c r="G2707" s="8" t="str">
        <f>IFERROR(__xludf.DUMMYFUNCTION("GOOGLETRANSLATE(E2707,""zh-CN"",""vi"")"),"Cối xay gió hình gấu nhỏ dễ thương được trẻ em yêu thích. Kết hợp chúng để có được Cối xay gió bảy cánh hoạt hình [V].")</f>
        <v>Cối xay gió hình gấu nhỏ dễ thương được trẻ em yêu thích. Kết hợp chúng để có được Cối xay gió bảy cánh hoạt hình [V].</v>
      </c>
      <c r="H2707" s="8"/>
      <c r="I2707" s="8"/>
      <c r="J2707" s="8"/>
    </row>
    <row r="2708" ht="21.0" customHeight="1">
      <c r="A2708" s="6">
        <v>10.0</v>
      </c>
      <c r="B2708" s="6">
        <v>1052.0</v>
      </c>
      <c r="C2708" s="6">
        <v>6.0</v>
      </c>
      <c r="D2708" s="15" t="s">
        <v>4203</v>
      </c>
      <c r="E2708" s="9" t="s">
        <v>4204</v>
      </c>
      <c r="F2708" s="8" t="str">
        <f>IFERROR(__xludf.DUMMYFUNCTION("GOOGLETRANSLATE(D2708,""zh-CN"",""vi"")"),"Cối xay gió bảy cánh hoạt hình [V]")</f>
        <v>Cối xay gió bảy cánh hoạt hình [V]</v>
      </c>
      <c r="G2708" s="8" t="str">
        <f>IFERROR(__xludf.DUMMYFUNCTION("GOOGLETRANSLATE(E2708,""zh-CN"",""vi"")"),"Bảy cánh, quay nhanh hơn nữa! Kết hợp để có được Cối xay gió Gậy phép thuật [V].")</f>
        <v>Bảy cánh, quay nhanh hơn nữa! Kết hợp để có được Cối xay gió Gậy phép thuật [V].</v>
      </c>
      <c r="H2708" s="8"/>
      <c r="I2708" s="8"/>
      <c r="J2708" s="8"/>
    </row>
    <row r="2709" ht="21.0" customHeight="1">
      <c r="A2709" s="6">
        <v>10.0</v>
      </c>
      <c r="B2709" s="6">
        <v>1052.0</v>
      </c>
      <c r="C2709" s="6">
        <v>7.0</v>
      </c>
      <c r="D2709" s="15" t="s">
        <v>4205</v>
      </c>
      <c r="E2709" s="9" t="s">
        <v>4206</v>
      </c>
      <c r="F2709" s="8" t="str">
        <f>IFERROR(__xludf.DUMMYFUNCTION("GOOGLETRANSLATE(D2709,""zh-CN"",""vi"")"),"Cây đũa thần và cối xay gió [V]")</f>
        <v>Cây đũa thần và cối xay gió [V]</v>
      </c>
      <c r="G2709" s="8" t="str">
        <f>IFERROR(__xludf.DUMMYFUNCTION("GOOGLETRANSLATE(E2709,""zh-CN"",""vi"")"),"Nó trông giống như một cây đũa phép hình thỏ thần kỳ có thể triệu hồi gió. Kết hợp chúng để có được Cối xay gió hình thỏ [V].")</f>
        <v>Nó trông giống như một cây đũa phép hình thỏ thần kỳ có thể triệu hồi gió. Kết hợp chúng để có được Cối xay gió hình thỏ [V].</v>
      </c>
      <c r="H2709" s="8"/>
      <c r="I2709" s="8"/>
      <c r="J2709" s="8"/>
    </row>
    <row r="2710" ht="21.0" customHeight="1">
      <c r="A2710" s="6">
        <v>10.0</v>
      </c>
      <c r="B2710" s="6">
        <v>1052.0</v>
      </c>
      <c r="C2710" s="6">
        <v>8.0</v>
      </c>
      <c r="D2710" s="15" t="s">
        <v>4207</v>
      </c>
      <c r="E2710" s="9" t="s">
        <v>4208</v>
      </c>
      <c r="F2710" s="8" t="str">
        <f>IFERROR(__xludf.DUMMYFUNCTION("GOOGLETRANSLATE(D2710,""zh-CN"",""vi"")"),"Cối xay gió thỏ [V]")</f>
        <v>Cối xay gió thỏ [V]</v>
      </c>
      <c r="G2710" s="8" t="str">
        <f>IFERROR(__xludf.DUMMYFUNCTION("GOOGLETRANSLATE(E2710,""zh-CN"",""vi"")"),"Không phải cối xay gió chuyển động, cũng không phải gió chuyển động, mà chính trái tim mới chuyển động. Hãy chế tạo cối xay gió lớn với những lá cờ treo [V].")</f>
        <v>Không phải cối xay gió chuyển động, cũng không phải gió chuyển động, mà chính trái tim mới chuyển động. Hãy chế tạo cối xay gió lớn với những lá cờ treo [V].</v>
      </c>
      <c r="H2710" s="8"/>
      <c r="I2710" s="8"/>
      <c r="J2710" s="8"/>
    </row>
    <row r="2711" ht="21.0" customHeight="1">
      <c r="A2711" s="6">
        <v>10.0</v>
      </c>
      <c r="B2711" s="6">
        <v>1052.0</v>
      </c>
      <c r="C2711" s="6">
        <v>9.0</v>
      </c>
      <c r="D2711" s="15" t="s">
        <v>4209</v>
      </c>
      <c r="E2711" s="9" t="s">
        <v>4210</v>
      </c>
      <c r="F2711" s="8" t="str">
        <f>IFERROR(__xludf.DUMMYFUNCTION("GOOGLETRANSLATE(D2711,""zh-CN"",""vi"")"),"Treo biểu ngữ và cối xay gió [V]")</f>
        <v>Treo biểu ngữ và cối xay gió [V]</v>
      </c>
      <c r="G2711" s="8" t="str">
        <f>IFERROR(__xludf.DUMMYFUNCTION("GOOGLETRANSLATE(E2711,""zh-CN"",""vi"")"),"Những lá cờ phấp phới trong gió, tràn đầy sức sống. Tổng hợp để có được Cối xay gió mùa xuân [V].")</f>
        <v>Những lá cờ phấp phới trong gió, tràn đầy sức sống. Tổng hợp để có được Cối xay gió mùa xuân [V].</v>
      </c>
      <c r="H2711" s="8"/>
      <c r="I2711" s="8"/>
      <c r="J2711" s="8"/>
    </row>
    <row r="2712" ht="21.0" customHeight="1">
      <c r="A2712" s="6">
        <v>10.0</v>
      </c>
      <c r="B2712" s="6">
        <v>1052.0</v>
      </c>
      <c r="C2712" s="6">
        <v>10.0</v>
      </c>
      <c r="D2712" s="15" t="s">
        <v>4211</v>
      </c>
      <c r="E2712" s="9" t="s">
        <v>4192</v>
      </c>
      <c r="F2712" s="8" t="str">
        <f>IFERROR(__xludf.DUMMYFUNCTION("GOOGLETRANSLATE(D2712,""zh-CN"",""vi"")"),"Cối xay gió Dương Xuân [V]")</f>
        <v>Cối xay gió Dương Xuân [V]</v>
      </c>
      <c r="G2712" s="8" t="str">
        <f>IFERROR(__xludf.DUMMYFUNCTION("GOOGLETRANSLATE(E2712,""zh-CN"",""vi"")"),"""Chim chóc và chim ác ở thành phố miền núi hân hoan, những vần thơ tuyệt đẹp vang lên cùng làn gió xuân."" Đây là sự tổng kết đạt đến đỉnh cao nhất.")</f>
        <v>"Chim chóc và chim ác ở thành phố miền núi hân hoan, những vần thơ tuyệt đẹp vang lên cùng làn gió xuân." Đây là sự tổng kết đạt đến đỉnh cao nhất.</v>
      </c>
      <c r="H2712" s="8"/>
      <c r="I2712" s="8"/>
      <c r="J2712" s="8"/>
    </row>
    <row r="2713" ht="21.0" customHeight="1">
      <c r="A2713" s="6">
        <v>1.0</v>
      </c>
      <c r="B2713" s="6">
        <v>198.0</v>
      </c>
      <c r="C2713" s="6">
        <v>1.0</v>
      </c>
      <c r="D2713" s="15" t="s">
        <v>4212</v>
      </c>
      <c r="E2713" s="9" t="s">
        <v>4213</v>
      </c>
      <c r="F2713" s="8" t="str">
        <f>IFERROR(__xludf.DUMMYFUNCTION("GOOGLETRANSLATE(D2713,""zh-CN"",""vi"")"),"Một hạt giống")</f>
        <v>Một hạt giống</v>
      </c>
      <c r="G2713" s="8" t="str">
        <f>IFERROR(__xludf.DUMMYFUNCTION("GOOGLETRANSLATE(E2713,""zh-CN"",""vi"")"),"Nó rất nhỏ, nhưng lại chứa đựng nguồn năng lượng vô tận. Hãy tổng hợp nó để thu được một mầm cây nhỏ.")</f>
        <v>Nó rất nhỏ, nhưng lại chứa đựng nguồn năng lượng vô tận. Hãy tổng hợp nó để thu được một mầm cây nhỏ.</v>
      </c>
      <c r="H2713" s="8"/>
      <c r="I2713" s="8"/>
      <c r="J2713" s="8"/>
    </row>
    <row r="2714" ht="21.0" customHeight="1">
      <c r="A2714" s="6">
        <v>1.0</v>
      </c>
      <c r="B2714" s="6">
        <v>198.0</v>
      </c>
      <c r="C2714" s="6">
        <v>2.0</v>
      </c>
      <c r="D2714" s="15" t="s">
        <v>4214</v>
      </c>
      <c r="E2714" s="9" t="s">
        <v>4215</v>
      </c>
      <c r="F2714" s="8" t="str">
        <f>IFERROR(__xludf.DUMMYFUNCTION("GOOGLETRANSLATE(D2714,""zh-CN"",""vi"")"),"một nụ nhỏ")</f>
        <v>một nụ nhỏ</v>
      </c>
      <c r="G2714" s="8" t="str">
        <f>IFERROR(__xludf.DUMMYFUNCTION("GOOGLETRANSLATE(E2714,""zh-CN"",""vi"")"),"Tôi tự hỏi nó sẽ nở ra loại hoa gì nhỉ? (Khi chế tạo sẽ thu được một bông hoa nhỏ hình gò.)")</f>
        <v>Tôi tự hỏi nó sẽ nở ra loại hoa gì nhỉ? (Khi chế tạo sẽ thu được một bông hoa nhỏ hình gò.)</v>
      </c>
      <c r="H2714" s="8"/>
      <c r="I2714" s="8"/>
      <c r="J2714" s="8"/>
    </row>
    <row r="2715" ht="21.0" customHeight="1">
      <c r="A2715" s="6">
        <v>1.0</v>
      </c>
      <c r="B2715" s="6">
        <v>198.0</v>
      </c>
      <c r="C2715" s="6">
        <v>3.0</v>
      </c>
      <c r="D2715" s="15" t="s">
        <v>4216</v>
      </c>
      <c r="E2715" s="9" t="s">
        <v>4217</v>
      </c>
      <c r="F2715" s="8" t="str">
        <f>IFERROR(__xludf.DUMMYFUNCTION("GOOGLETRANSLATE(D2715,""zh-CN"",""vi"")"),"Những bông hoa nhỏ trên một gò đất")</f>
        <v>Những bông hoa nhỏ trên một gò đất</v>
      </c>
      <c r="G2715" s="8" t="str">
        <f>IFERROR(__xludf.DUMMYFUNCTION("GOOGLETRANSLATE(E2715,""zh-CN"",""vi"")"),"Những bông hoa mọc tự do và không bị gò bó. Kết hợp lại để tạo thành một luống hoa tròn màu đỏ.")</f>
        <v>Những bông hoa mọc tự do và không bị gò bó. Kết hợp lại để tạo thành một luống hoa tròn màu đỏ.</v>
      </c>
      <c r="H2715" s="8"/>
      <c r="I2715" s="8"/>
      <c r="J2715" s="8"/>
    </row>
    <row r="2716" ht="21.0" customHeight="1">
      <c r="A2716" s="6">
        <v>1.0</v>
      </c>
      <c r="B2716" s="6">
        <v>198.0</v>
      </c>
      <c r="C2716" s="6">
        <v>4.0</v>
      </c>
      <c r="D2716" s="15" t="s">
        <v>4218</v>
      </c>
      <c r="E2716" s="9" t="s">
        <v>4219</v>
      </c>
      <c r="F2716" s="8" t="str">
        <f>IFERROR(__xludf.DUMMYFUNCTION("GOOGLETRANSLATE(D2716,""zh-CN"",""vi"")"),"Luống hoa tròn màu đỏ")</f>
        <v>Luống hoa tròn màu đỏ</v>
      </c>
      <c r="G2716" s="8" t="str">
        <f>IFERROR(__xludf.DUMMYFUNCTION("GOOGLETRANSLATE(E2716,""zh-CN"",""vi"")"),"Một bông hoa nhỏ màu đỏ, đơn giản nhưng đẹp. Kết hợp chúng để tạo thành một luống hoa hình vuông mang chủ đề băng và lửa.")</f>
        <v>Một bông hoa nhỏ màu đỏ, đơn giản nhưng đẹp. Kết hợp chúng để tạo thành một luống hoa hình vuông mang chủ đề băng và lửa.</v>
      </c>
      <c r="H2716" s="8"/>
      <c r="I2716" s="8"/>
      <c r="J2716" s="8"/>
    </row>
    <row r="2717" ht="21.0" customHeight="1">
      <c r="A2717" s="6">
        <v>1.0</v>
      </c>
      <c r="B2717" s="6">
        <v>198.0</v>
      </c>
      <c r="C2717" s="6">
        <v>5.0</v>
      </c>
      <c r="D2717" s="15" t="s">
        <v>4220</v>
      </c>
      <c r="E2717" s="9" t="s">
        <v>4221</v>
      </c>
      <c r="F2717" s="8" t="str">
        <f>IFERROR(__xludf.DUMMYFUNCTION("GOOGLETRANSLATE(D2717,""zh-CN"",""vi"")"),"Luống hoa hình vuông băng và lửa")</f>
        <v>Luống hoa hình vuông băng và lửa</v>
      </c>
      <c r="G2717" s="8" t="str">
        <f>IFERROR(__xludf.DUMMYFUNCTION("GOOGLETRANSLATE(E2717,""zh-CN"",""vi"")"),"Tặng một chậu cho người yêu và một chậu cho bạn bè. Kết hợp chúng lại để tạo thành một luống hoa hình vuông màu xanh dương.")</f>
        <v>Tặng một chậu cho người yêu và một chậu cho bạn bè. Kết hợp chúng lại để tạo thành một luống hoa hình vuông màu xanh dương.</v>
      </c>
      <c r="H2717" s="8"/>
      <c r="I2717" s="8"/>
      <c r="J2717" s="8"/>
    </row>
    <row r="2718" ht="21.0" customHeight="1">
      <c r="A2718" s="6">
        <v>1.0</v>
      </c>
      <c r="B2718" s="6">
        <v>198.0</v>
      </c>
      <c r="C2718" s="6">
        <v>6.0</v>
      </c>
      <c r="D2718" s="15" t="s">
        <v>4222</v>
      </c>
      <c r="E2718" s="9" t="s">
        <v>4223</v>
      </c>
      <c r="F2718" s="8" t="str">
        <f>IFERROR(__xludf.DUMMYFUNCTION("GOOGLETRANSLATE(D2718,""zh-CN"",""vi"")"),"Luống hoa vuông màu xanh dương")</f>
        <v>Luống hoa vuông màu xanh dương</v>
      </c>
      <c r="G2718" s="8" t="str">
        <f>IFERROR(__xludf.DUMMYFUNCTION("GOOGLETRANSLATE(E2718,""zh-CN"",""vi"")"),"Hoa lục bình xanh luôn mang lại cảm giác yên bình. Hãy kết hợp chúng để tạo thành một luống hoa hình vuông màu đỏ.")</f>
        <v>Hoa lục bình xanh luôn mang lại cảm giác yên bình. Hãy kết hợp chúng để tạo thành một luống hoa hình vuông màu đỏ.</v>
      </c>
      <c r="H2718" s="8"/>
      <c r="I2718" s="8"/>
      <c r="J2718" s="8"/>
    </row>
    <row r="2719" ht="21.0" customHeight="1">
      <c r="A2719" s="6">
        <v>1.0</v>
      </c>
      <c r="B2719" s="6">
        <v>198.0</v>
      </c>
      <c r="C2719" s="6">
        <v>7.0</v>
      </c>
      <c r="D2719" s="15" t="s">
        <v>4224</v>
      </c>
      <c r="E2719" s="9" t="s">
        <v>4225</v>
      </c>
      <c r="F2719" s="8" t="str">
        <f>IFERROR(__xludf.DUMMYFUNCTION("GOOGLETRANSLATE(D2719,""zh-CN"",""vi"")"),"Luống hoa vuông màu đỏ")</f>
        <v>Luống hoa vuông màu đỏ</v>
      </c>
      <c r="G2719" s="8" t="str">
        <f>IFERROR(__xludf.DUMMYFUNCTION("GOOGLETRANSLATE(E2719,""zh-CN"",""vi"")"),"Ba bông hoa nhỏ màu đỏ, tươi sáng nhưng không lòe loẹt. Kết hợp chúng để tạo thành một luống hoa ba màu hình chữ nhật.")</f>
        <v>Ba bông hoa nhỏ màu đỏ, tươi sáng nhưng không lòe loẹt. Kết hợp chúng để tạo thành một luống hoa ba màu hình chữ nhật.</v>
      </c>
      <c r="H2719" s="8"/>
      <c r="I2719" s="8"/>
      <c r="J2719" s="8"/>
    </row>
    <row r="2720" ht="21.0" customHeight="1">
      <c r="A2720" s="6">
        <v>1.0</v>
      </c>
      <c r="B2720" s="6">
        <v>198.0</v>
      </c>
      <c r="C2720" s="6">
        <v>8.0</v>
      </c>
      <c r="D2720" s="15" t="s">
        <v>4226</v>
      </c>
      <c r="E2720" s="9" t="s">
        <v>4227</v>
      </c>
      <c r="F2720" s="8" t="str">
        <f>IFERROR(__xludf.DUMMYFUNCTION("GOOGLETRANSLATE(D2720,""zh-CN"",""vi"")"),"Luống hoa ba màu hình chữ nhật")</f>
        <v>Luống hoa ba màu hình chữ nhật</v>
      </c>
      <c r="G2720" s="8" t="str">
        <f>IFERROR(__xludf.DUMMYFUNCTION("GOOGLETRANSLATE(E2720,""zh-CN"",""vi"")"),"Hoa tulip đỏ, vàng và cam tượng trưng cho ba cảm xúc khác nhau. Hãy kết hợp chúng để tạo thành một luống hoa hình chữ nhật màu trắng.")</f>
        <v>Hoa tulip đỏ, vàng và cam tượng trưng cho ba cảm xúc khác nhau. Hãy kết hợp chúng để tạo thành một luống hoa hình chữ nhật màu trắng.</v>
      </c>
      <c r="H2720" s="8"/>
      <c r="I2720" s="8"/>
      <c r="J2720" s="8"/>
    </row>
    <row r="2721" ht="21.0" customHeight="1">
      <c r="A2721" s="6">
        <v>1.0</v>
      </c>
      <c r="B2721" s="6">
        <v>198.0</v>
      </c>
      <c r="C2721" s="6">
        <v>9.0</v>
      </c>
      <c r="D2721" s="15" t="s">
        <v>4228</v>
      </c>
      <c r="E2721" s="9" t="s">
        <v>4229</v>
      </c>
      <c r="F2721" s="8" t="str">
        <f>IFERROR(__xludf.DUMMYFUNCTION("GOOGLETRANSLATE(D2721,""zh-CN"",""vi"")"),"Luống hoa hình chữ nhật màu trắng")</f>
        <v>Luống hoa hình chữ nhật màu trắng</v>
      </c>
      <c r="G2721" s="8" t="str">
        <f>IFERROR(__xludf.DUMMYFUNCTION("GOOGLETRANSLATE(E2721,""zh-CN"",""vi"")"),"Những bông hoa trắng tinh khôi xua tan mọi muộn phiền. Hãy kết hợp chúng để tạo thành một luống hoa đôi hình chữ nhật.")</f>
        <v>Những bông hoa trắng tinh khôi xua tan mọi muộn phiền. Hãy kết hợp chúng để tạo thành một luống hoa đôi hình chữ nhật.</v>
      </c>
      <c r="H2721" s="8"/>
      <c r="I2721" s="8"/>
      <c r="J2721" s="8"/>
    </row>
    <row r="2722" ht="21.0" customHeight="1">
      <c r="A2722" s="6">
        <v>1.0</v>
      </c>
      <c r="B2722" s="6">
        <v>198.0</v>
      </c>
      <c r="C2722" s="6">
        <v>10.0</v>
      </c>
      <c r="D2722" s="15" t="s">
        <v>4230</v>
      </c>
      <c r="E2722" s="9" t="s">
        <v>4231</v>
      </c>
      <c r="F2722" s="8" t="str">
        <f>IFERROR(__xludf.DUMMYFUNCTION("GOOGLETRANSLATE(D2722,""zh-CN"",""vi"")"),"Luống hoa đôi hình chữ nhật")</f>
        <v>Luống hoa đôi hình chữ nhật</v>
      </c>
      <c r="G2722" s="8" t="str">
        <f>IFERROR(__xludf.DUMMYFUNCTION("GOOGLETRANSLATE(E2722,""zh-CN"",""vi"")"),"Một luống hoa bằng gỗ hình chữ nhật nở rộ với hai loại hoa khác nhau. Kết hợp chúng để tạo nên ""Luống hoa đầy màu sắc"".")</f>
        <v>Một luống hoa bằng gỗ hình chữ nhật nở rộ với hai loại hoa khác nhau. Kết hợp chúng để tạo nên "Luống hoa đầy màu sắc".</v>
      </c>
      <c r="H2722" s="8"/>
      <c r="I2722" s="8"/>
      <c r="J2722" s="8"/>
    </row>
    <row r="2723" ht="21.0" customHeight="1">
      <c r="A2723" s="6">
        <v>1.0</v>
      </c>
      <c r="B2723" s="6">
        <v>198.0</v>
      </c>
      <c r="C2723" s="6">
        <v>11.0</v>
      </c>
      <c r="D2723" s="15" t="s">
        <v>4232</v>
      </c>
      <c r="E2723" s="9" t="s">
        <v>4233</v>
      </c>
      <c r="F2723" s="8" t="str">
        <f>IFERROR(__xludf.DUMMYFUNCTION("GOOGLETRANSLATE(D2723,""zh-CN"",""vi"")"),"Sân thượng hoa đầy màu sắc")</f>
        <v>Sân thượng hoa đầy màu sắc</v>
      </c>
      <c r="G2723" s="8" t="str">
        <f>IFERROR(__xludf.DUMMYFUNCTION("GOOGLETRANSLATE(E2723,""zh-CN"",""vi"")"),"Hàng loạt loài hoa rực rỡ sắc màu nở rộ cùng một lúc. Hãy kết hợp chúng để tạo nên Vườn Hoa Hương Tháng Tư.")</f>
        <v>Hàng loạt loài hoa rực rỡ sắc màu nở rộ cùng một lúc. Hãy kết hợp chúng để tạo nên Vườn Hoa Hương Tháng Tư.</v>
      </c>
      <c r="H2723" s="8"/>
      <c r="I2723" s="8"/>
      <c r="J2723" s="8"/>
    </row>
    <row r="2724" ht="21.0" customHeight="1">
      <c r="A2724" s="6">
        <v>1.0</v>
      </c>
      <c r="B2724" s="6">
        <v>198.0</v>
      </c>
      <c r="C2724" s="6">
        <v>12.0</v>
      </c>
      <c r="D2724" s="15" t="s">
        <v>4234</v>
      </c>
      <c r="E2724" s="9" t="s">
        <v>4235</v>
      </c>
      <c r="F2724" s="8" t="str">
        <f>IFERROR(__xludf.DUMMYFUNCTION("GOOGLETRANSLATE(D2724,""zh-CN"",""vi"")"),"Hương thơm tháng Tư tràn ngập sân thượng trồng hoa.")</f>
        <v>Hương thơm tháng Tư tràn ngập sân thượng trồng hoa.</v>
      </c>
      <c r="G2724" s="8" t="str">
        <f>IFERROR(__xludf.DUMMYFUNCTION("GOOGLETRANSLATE(E2724,""zh-CN"",""vi"")"),"Hoa rực rỡ, bướm bay lượn – cứ như một xứ sở thần tiên vậy. Kết hợp chúng lại để có được Vũ Khí Bóng Múa của Hằng Nga.")</f>
        <v>Hoa rực rỡ, bướm bay lượn – cứ như một xứ sở thần tiên vậy. Kết hợp chúng lại để có được Vũ Khí Bóng Múa của Hằng Nga.</v>
      </c>
      <c r="H2724" s="8"/>
      <c r="I2724" s="8"/>
      <c r="J2724" s="8"/>
    </row>
    <row r="2725" ht="21.0" customHeight="1">
      <c r="A2725" s="6">
        <v>1.0</v>
      </c>
      <c r="B2725" s="6">
        <v>198.0</v>
      </c>
      <c r="C2725" s="6">
        <v>13.0</v>
      </c>
      <c r="D2725" s="15" t="s">
        <v>4236</v>
      </c>
      <c r="E2725" s="9" t="s">
        <v>4237</v>
      </c>
      <c r="F2725" s="8" t="str">
        <f>IFERROR(__xludf.DUMMYFUNCTION("GOOGLETRANSLATE(D2725,""zh-CN"",""vi"")"),"Chang'e nhảy múa với một cái bóng rõ nét.")</f>
        <v>Chang'e nhảy múa với một cái bóng rõ nét.</v>
      </c>
      <c r="G2725" s="8" t="str">
        <f>IFERROR(__xludf.DUMMYFUNCTION("GOOGLETRANSLATE(E2725,""zh-CN"",""vi"")"),"Dưới ánh trăng lạnh lẽo, một người phụ nữ xinh đẹp nhảy múa một mình trên sân thượng phủ đầy hoa. Nàng thương xót ai? (Đã được tổng hợp đến mức cao nhất.)")</f>
        <v>Dưới ánh trăng lạnh lẽo, một người phụ nữ xinh đẹp nhảy múa một mình trên sân thượng phủ đầy hoa. Nàng thương xót ai? (Đã được tổng hợp đến mức cao nhất.)</v>
      </c>
      <c r="H2725" s="8"/>
      <c r="I2725" s="8"/>
      <c r="J2725" s="8"/>
    </row>
    <row r="2726" ht="21.0" customHeight="1">
      <c r="A2726" s="6">
        <v>1.0</v>
      </c>
      <c r="B2726" s="6">
        <v>199.0</v>
      </c>
      <c r="C2726" s="6">
        <v>1.0</v>
      </c>
      <c r="D2726" s="15" t="s">
        <v>4238</v>
      </c>
      <c r="E2726" s="9" t="s">
        <v>4239</v>
      </c>
      <c r="F2726" s="8" t="str">
        <f>IFERROR(__xludf.DUMMYFUNCTION("GOOGLETRANSLATE(D2726,""zh-CN"",""vi"")"),"Một cành cây")</f>
        <v>Một cành cây</v>
      </c>
      <c r="G2726" s="8" t="str">
        <f>IFERROR(__xludf.DUMMYFUNCTION("GOOGLETRANSLATE(E2726,""zh-CN"",""vi"")"),"Những cành cây bình thường, tốt hơn hết nên dùng làm củi? Hãy chế tác chúng để có được một tấm ván.")</f>
        <v>Những cành cây bình thường, tốt hơn hết nên dùng làm củi? Hãy chế tác chúng để có được một tấm ván.</v>
      </c>
      <c r="H2726" s="8"/>
      <c r="I2726" s="8"/>
      <c r="J2726" s="8"/>
    </row>
    <row r="2727" ht="21.0" customHeight="1">
      <c r="A2727" s="6">
        <v>1.0</v>
      </c>
      <c r="B2727" s="6">
        <v>199.0</v>
      </c>
      <c r="C2727" s="6">
        <v>2.0</v>
      </c>
      <c r="D2727" s="15" t="s">
        <v>4240</v>
      </c>
      <c r="E2727" s="9" t="s">
        <v>4241</v>
      </c>
      <c r="F2727" s="8" t="str">
        <f>IFERROR(__xludf.DUMMYFUNCTION("GOOGLETRANSLATE(D2727,""zh-CN"",""vi"")"),"Một tấm ván gỗ")</f>
        <v>Một tấm ván gỗ</v>
      </c>
      <c r="G2727" s="8" t="str">
        <f>IFERROR(__xludf.DUMMYFUNCTION("GOOGLETRANSLATE(E2727,""zh-CN"",""vi"")"),"Ngồi lên chỗ này không được vững lắm. Hãy làm một sợi dây và một tấm ván.")</f>
        <v>Ngồi lên chỗ này không được vững lắm. Hãy làm một sợi dây và một tấm ván.</v>
      </c>
      <c r="H2727" s="8"/>
      <c r="I2727" s="8"/>
      <c r="J2727" s="8"/>
    </row>
    <row r="2728" ht="21.0" customHeight="1">
      <c r="A2728" s="6">
        <v>1.0</v>
      </c>
      <c r="B2728" s="6">
        <v>199.0</v>
      </c>
      <c r="C2728" s="6">
        <v>3.0</v>
      </c>
      <c r="D2728" s="15" t="s">
        <v>4242</v>
      </c>
      <c r="E2728" s="9" t="s">
        <v>4243</v>
      </c>
      <c r="F2728" s="8" t="str">
        <f>IFERROR(__xludf.DUMMYFUNCTION("GOOGLETRANSLATE(D2728,""zh-CN"",""vi"")"),"Dây thừng và ván gỗ")</f>
        <v>Dây thừng và ván gỗ</v>
      </c>
      <c r="G2728" s="8" t="str">
        <f>IFERROR(__xludf.DUMMYFUNCTION("GOOGLETRANSLATE(E2728,""zh-CN"",""vi"")"),"Với dây thừng, những tấm ván có thể được sử dụng theo nhiều cách hơn. Hãy chế tạo chúng để tạo thành một chiếc ghế đu.")</f>
        <v>Với dây thừng, những tấm ván có thể được sử dụng theo nhiều cách hơn. Hãy chế tạo chúng để tạo thành một chiếc ghế đu.</v>
      </c>
      <c r="H2728" s="8"/>
      <c r="I2728" s="8"/>
      <c r="J2728" s="8"/>
    </row>
    <row r="2729" ht="21.0" customHeight="1">
      <c r="A2729" s="6">
        <v>1.0</v>
      </c>
      <c r="B2729" s="6">
        <v>199.0</v>
      </c>
      <c r="C2729" s="6">
        <v>4.0</v>
      </c>
      <c r="D2729" s="15" t="s">
        <v>4244</v>
      </c>
      <c r="E2729" s="9" t="s">
        <v>4245</v>
      </c>
      <c r="F2729" s="8" t="str">
        <f>IFERROR(__xludf.DUMMYFUNCTION("GOOGLETRANSLATE(D2729,""zh-CN"",""vi"")"),"Ghế xích đu")</f>
        <v>Ghế xích đu</v>
      </c>
      <c r="G2729" s="8" t="str">
        <f>IFERROR(__xludf.DUMMYFUNCTION("GOOGLETRANSLATE(E2729,""zh-CN"",""vi"")"),"Cuối cùng thì tôi cũng có thể ngồi thoải mái và vững vàng trên đó rồi! (Tự làm một chiếc xích đu đơn giản.)")</f>
        <v>Cuối cùng thì tôi cũng có thể ngồi thoải mái và vững vàng trên đó rồi! (Tự làm một chiếc xích đu đơn giản.)</v>
      </c>
      <c r="H2729" s="8"/>
      <c r="I2729" s="8"/>
      <c r="J2729" s="8"/>
    </row>
    <row r="2730" ht="21.0" customHeight="1">
      <c r="A2730" s="6">
        <v>1.0</v>
      </c>
      <c r="B2730" s="6">
        <v>199.0</v>
      </c>
      <c r="C2730" s="6">
        <v>5.0</v>
      </c>
      <c r="D2730" s="15" t="s">
        <v>4246</v>
      </c>
      <c r="E2730" s="9" t="s">
        <v>4247</v>
      </c>
      <c r="F2730" s="8" t="str">
        <f>IFERROR(__xludf.DUMMYFUNCTION("GOOGLETRANSLATE(D2730,""zh-CN"",""vi"")"),"Xích đu đơn giản")</f>
        <v>Xích đu đơn giản</v>
      </c>
      <c r="G2730" s="8" t="str">
        <f>IFERROR(__xludf.DUMMYFUNCTION("GOOGLETRANSLATE(E2730,""zh-CN"",""vi"")"),"Bằng cách buộc nó vào một thân cây chắc chắn, bạn có thể đu xa hơn. Hãy chế tạo nó để có được một chiếc xích đu dây leo bằng gỗ.")</f>
        <v>Bằng cách buộc nó vào một thân cây chắc chắn, bạn có thể đu xa hơn. Hãy chế tạo nó để có được một chiếc xích đu dây leo bằng gỗ.</v>
      </c>
      <c r="H2730" s="8"/>
      <c r="I2730" s="8"/>
      <c r="J2730" s="8"/>
    </row>
    <row r="2731" ht="21.0" customHeight="1">
      <c r="A2731" s="6">
        <v>1.0</v>
      </c>
      <c r="B2731" s="6">
        <v>199.0</v>
      </c>
      <c r="C2731" s="6">
        <v>6.0</v>
      </c>
      <c r="D2731" s="15" t="s">
        <v>4248</v>
      </c>
      <c r="E2731" s="9" t="s">
        <v>4249</v>
      </c>
      <c r="F2731" s="8" t="str">
        <f>IFERROR(__xludf.DUMMYFUNCTION("GOOGLETRANSLATE(D2731,""zh-CN"",""vi"")"),"Xích đu mây gỗ")</f>
        <v>Xích đu mây gỗ</v>
      </c>
      <c r="G2731" s="8" t="str">
        <f>IFERROR(__xludf.DUMMYFUNCTION("GOOGLETRANSLATE(E2731,""zh-CN"",""vi"")"),"Thay thế dây thừng bằng dây leo sẽ tăng thêm độ chắc chắn và mang lại cảm giác tự nhiên. Kết hợp chúng để tạo thành một chiếc xích đu đứng.")</f>
        <v>Thay thế dây thừng bằng dây leo sẽ tăng thêm độ chắc chắn và mang lại cảm giác tự nhiên. Kết hợp chúng để tạo thành một chiếc xích đu đứng.</v>
      </c>
      <c r="H2731" s="8"/>
      <c r="I2731" s="8"/>
      <c r="J2731" s="8"/>
    </row>
    <row r="2732" ht="21.0" customHeight="1">
      <c r="A2732" s="6">
        <v>1.0</v>
      </c>
      <c r="B2732" s="6">
        <v>199.0</v>
      </c>
      <c r="C2732" s="6">
        <v>7.0</v>
      </c>
      <c r="D2732" s="15" t="s">
        <v>4250</v>
      </c>
      <c r="E2732" s="9" t="s">
        <v>4251</v>
      </c>
      <c r="F2732" s="8" t="str">
        <f>IFERROR(__xludf.DUMMYFUNCTION("GOOGLETRANSLATE(D2732,""zh-CN"",""vi"")"),"Xích đu đứng")</f>
        <v>Xích đu đứng</v>
      </c>
      <c r="G2732" s="8" t="str">
        <f>IFERROR(__xludf.DUMMYFUNCTION("GOOGLETRANSLATE(E2732,""zh-CN"",""vi"")"),"Cấu trúc thẳng đứng ổn định hơn và có thể chứa được nhiều trẻ em. (Hãy tự làm chiếc xích đu hình dây leo.)")</f>
        <v>Cấu trúc thẳng đứng ổn định hơn và có thể chứa được nhiều trẻ em. (Hãy tự làm chiếc xích đu hình dây leo.)</v>
      </c>
      <c r="H2732" s="8"/>
      <c r="I2732" s="8"/>
      <c r="J2732" s="8"/>
    </row>
    <row r="2733" ht="21.0" customHeight="1">
      <c r="A2733" s="6">
        <v>1.0</v>
      </c>
      <c r="B2733" s="6">
        <v>199.0</v>
      </c>
      <c r="C2733" s="6">
        <v>8.0</v>
      </c>
      <c r="D2733" s="15" t="s">
        <v>4252</v>
      </c>
      <c r="E2733" s="9" t="s">
        <v>4253</v>
      </c>
      <c r="F2733" s="8" t="str">
        <f>IFERROR(__xludf.DUMMYFUNCTION("GOOGLETRANSLATE(D2733,""zh-CN"",""vi"")"),"Những dây leo xanh quấn quanh chiếc xích đu")</f>
        <v>Những dây leo xanh quấn quanh chiếc xích đu</v>
      </c>
      <c r="G2733" s="8" t="str">
        <f>IFERROR(__xludf.DUMMYFUNCTION("GOOGLETRANSLATE(E2733,""zh-CN"",""vi"")"),"Đôi khi, các loài động vật nhỏ cũng nghỉ ngơi trên đó. (Làm chiếc xích đu hình hoa lá xanh)")</f>
        <v>Đôi khi, các loài động vật nhỏ cũng nghỉ ngơi trên đó. (Làm chiếc xích đu hình hoa lá xanh)</v>
      </c>
      <c r="H2733" s="8"/>
      <c r="I2733" s="8"/>
      <c r="J2733" s="8"/>
    </row>
    <row r="2734" ht="21.0" customHeight="1">
      <c r="A2734" s="6">
        <v>1.0</v>
      </c>
      <c r="B2734" s="6">
        <v>199.0</v>
      </c>
      <c r="C2734" s="6">
        <v>9.0</v>
      </c>
      <c r="D2734" s="15" t="s">
        <v>4254</v>
      </c>
      <c r="E2734" s="9" t="s">
        <v>4255</v>
      </c>
      <c r="F2734" s="8" t="str">
        <f>IFERROR(__xludf.DUMMYFUNCTION("GOOGLETRANSLATE(D2734,""zh-CN"",""vi"")"),"Những chiếc lá xanh và những bông hoa nhỏ đung đưa.")</f>
        <v>Những chiếc lá xanh và những bông hoa nhỏ đung đưa.</v>
      </c>
      <c r="G2734" s="8" t="str">
        <f>IFERROR(__xludf.DUMMYFUNCTION("GOOGLETRANSLATE(E2734,""zh-CN"",""vi"")"),"Những bông hoa màu vàng nhạt và hương thơm dịu nhẹ mang lại sự bình yên cho tâm hồn. Hãy chế tác chúng để có được một chiếc xích đu màu hồng.")</f>
        <v>Những bông hoa màu vàng nhạt và hương thơm dịu nhẹ mang lại sự bình yên cho tâm hồn. Hãy chế tác chúng để có được một chiếc xích đu màu hồng.</v>
      </c>
      <c r="H2734" s="8"/>
      <c r="I2734" s="8"/>
      <c r="J2734" s="8"/>
    </row>
    <row r="2735" ht="21.0" customHeight="1">
      <c r="A2735" s="6">
        <v>1.0</v>
      </c>
      <c r="B2735" s="6">
        <v>199.0</v>
      </c>
      <c r="C2735" s="6">
        <v>10.0</v>
      </c>
      <c r="D2735" s="15" t="s">
        <v>4256</v>
      </c>
      <c r="E2735" s="9" t="s">
        <v>4257</v>
      </c>
      <c r="F2735" s="8" t="str">
        <f>IFERROR(__xludf.DUMMYFUNCTION("GOOGLETRANSLATE(D2735,""zh-CN"",""vi"")"),"Ghế xích đu màu hồng")</f>
        <v>Ghế xích đu màu hồng</v>
      </c>
      <c r="G2735" s="8" t="str">
        <f>IFERROR(__xludf.DUMMYFUNCTION("GOOGLETRANSLATE(E2735,""zh-CN"",""vi"")"),"Ẩn mình trong một trang viên hẻo lánh giữa thiên nhiên là một chiếc xích đu như thế này. (Hướng dẫn làm xích đu hoa hồng màu hồng và xanh dương)")</f>
        <v>Ẩn mình trong một trang viên hẻo lánh giữa thiên nhiên là một chiếc xích đu như thế này. (Hướng dẫn làm xích đu hoa hồng màu hồng và xanh dương)</v>
      </c>
      <c r="H2735" s="8"/>
      <c r="I2735" s="8"/>
      <c r="J2735" s="8"/>
    </row>
    <row r="2736" ht="21.0" customHeight="1">
      <c r="A2736" s="6">
        <v>1.0</v>
      </c>
      <c r="B2736" s="6">
        <v>199.0</v>
      </c>
      <c r="C2736" s="6">
        <v>11.0</v>
      </c>
      <c r="D2736" s="15" t="s">
        <v>4258</v>
      </c>
      <c r="E2736" s="9" t="s">
        <v>4259</v>
      </c>
      <c r="F2736" s="8" t="str">
        <f>IFERROR(__xludf.DUMMYFUNCTION("GOOGLETRANSLATE(D2736,""zh-CN"",""vi"")"),"xích đu hoa hồng màu hồng và xanh")</f>
        <v>xích đu hoa hồng màu hồng và xanh</v>
      </c>
      <c r="G2736" s="8" t="str">
        <f>IFERROR(__xludf.DUMMYFUNCTION("GOOGLETRANSLATE(E2736,""zh-CN"",""vi"")"),"Niềm đam mê và sự thanh bình hòa quyện hoàn hảo. Kết hợp cả hai để tạo nên Chiếc Xích Đu Rải Hoa.")</f>
        <v>Niềm đam mê và sự thanh bình hòa quyện hoàn hảo. Kết hợp cả hai để tạo nên Chiếc Xích Đu Rải Hoa.</v>
      </c>
      <c r="H2736" s="8"/>
      <c r="I2736" s="8"/>
      <c r="J2736" s="8"/>
    </row>
    <row r="2737" ht="21.0" customHeight="1">
      <c r="A2737" s="6">
        <v>1.0</v>
      </c>
      <c r="B2737" s="6">
        <v>199.0</v>
      </c>
      <c r="C2737" s="6">
        <v>12.0</v>
      </c>
      <c r="D2737" s="15" t="s">
        <v>4260</v>
      </c>
      <c r="E2737" s="9" t="s">
        <v>4261</v>
      </c>
      <c r="F2737" s="8" t="str">
        <f>IFERROR(__xludf.DUMMYFUNCTION("GOOGLETRANSLATE(D2737,""zh-CN"",""vi"")"),"Chiếc xích đu phủ đầy hoa")</f>
        <v>Chiếc xích đu phủ đầy hoa</v>
      </c>
      <c r="G2737" s="8" t="str">
        <f>IFERROR(__xludf.DUMMYFUNCTION("GOOGLETRANSLATE(E2737,""zh-CN"",""vi"")"),"Dù là yêu tinh hay thần thánh, nó đều nằm yên bình trong nôi của mình. Kết hợp các thành phần để có được Xích đu Giấc mơ Mùa xuân.")</f>
        <v>Dù là yêu tinh hay thần thánh, nó đều nằm yên bình trong nôi của mình. Kết hợp các thành phần để có được Xích đu Giấc mơ Mùa xuân.</v>
      </c>
      <c r="H2737" s="8"/>
      <c r="I2737" s="8"/>
      <c r="J2737" s="8"/>
    </row>
    <row r="2738" ht="21.0" customHeight="1">
      <c r="A2738" s="6">
        <v>1.0</v>
      </c>
      <c r="B2738" s="6">
        <v>199.0</v>
      </c>
      <c r="C2738" s="6">
        <v>13.0</v>
      </c>
      <c r="D2738" s="15" t="s">
        <v>4262</v>
      </c>
      <c r="E2738" s="9" t="s">
        <v>4263</v>
      </c>
      <c r="F2738" s="8" t="str">
        <f>IFERROR(__xludf.DUMMYFUNCTION("GOOGLETRANSLATE(D2738,""zh-CN"",""vi"")"),"Xích đu giấc mơ mùa xuân")</f>
        <v>Xích đu giấc mơ mùa xuân</v>
      </c>
      <c r="G2738" s="8" t="str">
        <f>IFERROR(__xludf.DUMMYFUNCTION("GOOGLETRANSLATE(E2738,""zh-CN"",""vi"")"),"Ngủ trong đó giống như được đắm mình trong một giấc mơ bất tận về tiếng chim hót và hương hoa thơm ngát, một giấc mơ đã đạt đến đỉnh cao nhất.")</f>
        <v>Ngủ trong đó giống như được đắm mình trong một giấc mơ bất tận về tiếng chim hót và hương hoa thơm ngát, một giấc mơ đã đạt đến đỉnh cao nhất.</v>
      </c>
      <c r="H2738" s="8"/>
      <c r="I2738" s="8"/>
      <c r="J2738" s="8"/>
    </row>
    <row r="2739" ht="21.0" customHeight="1">
      <c r="A2739" s="6">
        <v>1.0</v>
      </c>
      <c r="B2739" s="6">
        <v>200.0</v>
      </c>
      <c r="C2739" s="6">
        <v>1.0</v>
      </c>
      <c r="D2739" s="73" t="s">
        <v>4264</v>
      </c>
      <c r="E2739" s="9" t="s">
        <v>4265</v>
      </c>
      <c r="F2739" s="8" t="str">
        <f>IFERROR(__xludf.DUMMYFUNCTION("GOOGLETRANSLATE(D2739,""zh-CN"",""vi"")"),"Gà con mới nở")</f>
        <v>Gà con mới nở</v>
      </c>
      <c r="G2739" s="8" t="str">
        <f>IFERROR(__xludf.DUMMYFUNCTION("GOOGLETRANSLATE(E2739,""zh-CN"",""vi"")"),"Sinh linh bé nhỏ vừa nở ra nắm giữ chìa khóa cho toàn bộ tương lai. Hãy tổng hợp để có được Chim Sẻ Tuyết.")</f>
        <v>Sinh linh bé nhỏ vừa nở ra nắm giữ chìa khóa cho toàn bộ tương lai. Hãy tổng hợp để có được Chim Sẻ Tuyết.</v>
      </c>
      <c r="H2739" s="8"/>
      <c r="I2739" s="8"/>
      <c r="J2739" s="8"/>
    </row>
    <row r="2740" ht="21.0" customHeight="1">
      <c r="A2740" s="6">
        <v>1.0</v>
      </c>
      <c r="B2740" s="6">
        <v>200.0</v>
      </c>
      <c r="C2740" s="6">
        <v>2.0</v>
      </c>
      <c r="D2740" s="15" t="s">
        <v>4266</v>
      </c>
      <c r="E2740" s="9" t="s">
        <v>4267</v>
      </c>
      <c r="F2740" s="8" t="str">
        <f>IFERROR(__xludf.DUMMYFUNCTION("GOOGLETRANSLATE(D2740,""zh-CN"",""vi"")"),"chim sẻ tuyết")</f>
        <v>chim sẻ tuyết</v>
      </c>
      <c r="G2740" s="8" t="str">
        <f>IFERROR(__xludf.DUMMYFUNCTION("GOOGLETRANSLATE(E2740,""zh-CN"",""vi"")"),"Với bộ lông trắng muốt hòa quyện hoàn hảo với mùa đông, việc tắm rửa có thể là một rắc rối? Hãy tìm hiểu cách tổng hợp để sở hữu một chú vẹt mào.")</f>
        <v>Với bộ lông trắng muốt hòa quyện hoàn hảo với mùa đông, việc tắm rửa có thể là một rắc rối? Hãy tìm hiểu cách tổng hợp để sở hữu một chú vẹt mào.</v>
      </c>
      <c r="H2740" s="8"/>
      <c r="I2740" s="8"/>
      <c r="J2740" s="8"/>
    </row>
    <row r="2741" ht="21.0" customHeight="1">
      <c r="A2741" s="6">
        <v>1.0</v>
      </c>
      <c r="B2741" s="6">
        <v>200.0</v>
      </c>
      <c r="C2741" s="6">
        <v>3.0</v>
      </c>
      <c r="D2741" s="15" t="s">
        <v>4268</v>
      </c>
      <c r="E2741" s="9" t="s">
        <v>4269</v>
      </c>
      <c r="F2741" s="8" t="str">
        <f>IFERROR(__xludf.DUMMYFUNCTION("GOOGLETRANSLATE(D2741,""zh-CN"",""vi"")"),"vẹt mào")</f>
        <v>vẹt mào</v>
      </c>
      <c r="G2741" s="8" t="str">
        <f>IFERROR(__xludf.DUMMYFUNCTION("GOOGLETRANSLATE(E2741,""zh-CN"",""vi"")"),"Thông minh, thân thiện, hoạt bát và là người bạn đồng hành tốt. Kết hợp các thành phần để có được Chim ác là mỏ đỏ xanh.")</f>
        <v>Thông minh, thân thiện, hoạt bát và là người bạn đồng hành tốt. Kết hợp các thành phần để có được Chim ác là mỏ đỏ xanh.</v>
      </c>
      <c r="H2741" s="8"/>
      <c r="I2741" s="8"/>
      <c r="J2741" s="8"/>
    </row>
    <row r="2742" ht="21.0" customHeight="1">
      <c r="A2742" s="6">
        <v>1.0</v>
      </c>
      <c r="B2742" s="6">
        <v>200.0</v>
      </c>
      <c r="C2742" s="6">
        <v>4.0</v>
      </c>
      <c r="D2742" s="15" t="s">
        <v>4270</v>
      </c>
      <c r="E2742" s="9" t="s">
        <v>4271</v>
      </c>
      <c r="F2742" s="8" t="str">
        <f>IFERROR(__xludf.DUMMYFUNCTION("GOOGLETRANSLATE(D2742,""zh-CN"",""vi"")"),"Chim ác là mỏ đỏ")</f>
        <v>Chim ác là mỏ đỏ</v>
      </c>
      <c r="G2742" s="8" t="str">
        <f>IFERROR(__xludf.DUMMYFUNCTION("GOOGLETRANSLATE(E2742,""zh-CN"",""vi"")"),"Đây là loài chim xanh huyền thoại, phục vụ cho Tây Vương Mẫu. Bạn có thể tổng hợp nó để có được chim gõ kiến.")</f>
        <v>Đây là loài chim xanh huyền thoại, phục vụ cho Tây Vương Mẫu. Bạn có thể tổng hợp nó để có được chim gõ kiến.</v>
      </c>
      <c r="H2742" s="8"/>
      <c r="I2742" s="8"/>
      <c r="J2742" s="8"/>
    </row>
    <row r="2743" ht="21.0" customHeight="1">
      <c r="A2743" s="6">
        <v>1.0</v>
      </c>
      <c r="B2743" s="6">
        <v>200.0</v>
      </c>
      <c r="C2743" s="6">
        <v>5.0</v>
      </c>
      <c r="D2743" s="15" t="s">
        <v>4272</v>
      </c>
      <c r="E2743" s="9" t="s">
        <v>4273</v>
      </c>
      <c r="F2743" s="8" t="str">
        <f>IFERROR(__xludf.DUMMYFUNCTION("GOOGLETRANSLATE(D2743,""zh-CN"",""vi"")"),"chim gõ kiến")</f>
        <v>chim gõ kiến</v>
      </c>
      <c r="G2743" s="8" t="str">
        <f>IFERROR(__xludf.DUMMYFUNCTION("GOOGLETRANSLATE(E2743,""zh-CN"",""vi"")"),"Nó ăn các loài gây hại và là một ""bác sĩ rừng"". Bạn có thể tổng hợp một con kakapo.")</f>
        <v>Nó ăn các loài gây hại và là một "bác sĩ rừng". Bạn có thể tổng hợp một con kakapo.</v>
      </c>
      <c r="H2743" s="8"/>
      <c r="I2743" s="8"/>
      <c r="J2743" s="8"/>
    </row>
    <row r="2744" ht="21.0" customHeight="1">
      <c r="A2744" s="6">
        <v>1.0</v>
      </c>
      <c r="B2744" s="6">
        <v>200.0</v>
      </c>
      <c r="C2744" s="6">
        <v>6.0</v>
      </c>
      <c r="D2744" s="74" t="s">
        <v>4274</v>
      </c>
      <c r="E2744" s="9" t="s">
        <v>4275</v>
      </c>
      <c r="F2744" s="8" t="str">
        <f>IFERROR(__xludf.DUMMYFUNCTION("GOOGLETRANSLATE(D2744,""zh-CN"",""vi"")"),"Kakapo")</f>
        <v>Kakapo</v>
      </c>
      <c r="G2744" s="8" t="str">
        <f>IFERROR(__xludf.DUMMYFUNCTION("GOOGLETRANSLATE(E2744,""zh-CN"",""vi"")"),"Loài vẹt lớn nhất và kỳ lạ nhất không thể bay. Kết hợp chúng để có được một con vịt uyên ương.")</f>
        <v>Loài vẹt lớn nhất và kỳ lạ nhất không thể bay. Kết hợp chúng để có được một con vịt uyên ương.</v>
      </c>
      <c r="H2744" s="8"/>
      <c r="I2744" s="8"/>
      <c r="J2744" s="8"/>
    </row>
    <row r="2745" ht="21.0" customHeight="1">
      <c r="A2745" s="6">
        <v>1.0</v>
      </c>
      <c r="B2745" s="6">
        <v>200.0</v>
      </c>
      <c r="C2745" s="6">
        <v>7.0</v>
      </c>
      <c r="D2745" s="15" t="s">
        <v>4276</v>
      </c>
      <c r="E2745" s="9" t="s">
        <v>4277</v>
      </c>
      <c r="F2745" s="8" t="str">
        <f>IFERROR(__xludf.DUMMYFUNCTION("GOOGLETRANSLATE(D2745,""zh-CN"",""vi"")"),"vịt uyên ương")</f>
        <v>vịt uyên ương</v>
      </c>
      <c r="G2745" s="8" t="str">
        <f>IFERROR(__xludf.DUMMYFUNCTION("GOOGLETRANSLATE(E2745,""zh-CN"",""vi"")"),"Bộ lông của chúng rực rỡ và đẹp mắt. Chúng rất trung thành với nhau. Có thể tạo ra một con vẹt bằng cách lai tạo chúng.")</f>
        <v>Bộ lông của chúng rực rỡ và đẹp mắt. Chúng rất trung thành với nhau. Có thể tạo ra một con vẹt bằng cách lai tạo chúng.</v>
      </c>
      <c r="H2745" s="8"/>
      <c r="I2745" s="8"/>
      <c r="J2745" s="8"/>
    </row>
    <row r="2746" ht="21.0" customHeight="1">
      <c r="A2746" s="6">
        <v>1.0</v>
      </c>
      <c r="B2746" s="6">
        <v>200.0</v>
      </c>
      <c r="C2746" s="6">
        <v>8.0</v>
      </c>
      <c r="D2746" s="15" t="s">
        <v>4278</v>
      </c>
      <c r="E2746" s="9" t="s">
        <v>4279</v>
      </c>
      <c r="F2746" s="8" t="str">
        <f>IFERROR(__xludf.DUMMYFUNCTION("GOOGLETRANSLATE(D2746,""zh-CN"",""vi"")"),"Con vẹt")</f>
        <v>Con vẹt</v>
      </c>
      <c r="G2746" s="8" t="str">
        <f>IFERROR(__xludf.DUMMYFUNCTION("GOOGLETRANSLATE(E2746,""zh-CN"",""vi"")"),"Lông mào của nó dựng đứng; trông nó có vẻ đang tức giận? (Cần chế tạo để có được một con chim toucan.)")</f>
        <v>Lông mào của nó dựng đứng; trông nó có vẻ đang tức giận? (Cần chế tạo để có được một con chim toucan.)</v>
      </c>
      <c r="H2746" s="8"/>
      <c r="I2746" s="8"/>
      <c r="J2746" s="8"/>
    </row>
    <row r="2747" ht="21.0" customHeight="1">
      <c r="A2747" s="6">
        <v>1.0</v>
      </c>
      <c r="B2747" s="6">
        <v>200.0</v>
      </c>
      <c r="C2747" s="6">
        <v>9.0</v>
      </c>
      <c r="D2747" s="15" t="s">
        <v>4280</v>
      </c>
      <c r="E2747" s="9" t="s">
        <v>4281</v>
      </c>
      <c r="F2747" s="8" t="str">
        <f>IFERROR(__xludf.DUMMYFUNCTION("GOOGLETRANSLATE(D2747,""zh-CN"",""vi"")"),"Chim toucan")</f>
        <v>Chim toucan</v>
      </c>
      <c r="G2747" s="8" t="str">
        <f>IFERROR(__xludf.DUMMYFUNCTION("GOOGLETRANSLATE(E2747,""zh-CN"",""vi"")"),"Với chiếc mỏ đẹp như vậy, chắc hẳn nó là một người sành ăn. (Tạo hình một con bồ nông)")</f>
        <v>Với chiếc mỏ đẹp như vậy, chắc hẳn nó là một người sành ăn. (Tạo hình một con bồ nông)</v>
      </c>
      <c r="H2747" s="8"/>
      <c r="I2747" s="8"/>
      <c r="J2747" s="8"/>
    </row>
    <row r="2748" ht="21.0" customHeight="1">
      <c r="A2748" s="6">
        <v>1.0</v>
      </c>
      <c r="B2748" s="6">
        <v>200.0</v>
      </c>
      <c r="C2748" s="6">
        <v>10.0</v>
      </c>
      <c r="D2748" s="15" t="s">
        <v>4282</v>
      </c>
      <c r="E2748" s="9" t="s">
        <v>4283</v>
      </c>
      <c r="F2748" s="8" t="str">
        <f>IFERROR(__xludf.DUMMYFUNCTION("GOOGLETRANSLATE(D2748,""zh-CN"",""vi"")"),"Chim bồ nông")</f>
        <v>Chim bồ nông</v>
      </c>
      <c r="G2748" s="8" t="str">
        <f>IFERROR(__xludf.DUMMYFUNCTION("GOOGLETRANSLATE(E2748,""zh-CN"",""vi"")"),"Hãy cẩn thận khi nó đo chiều cao của bạn; nó đang cố ăn thịt bạn đấy. (Hãy tạo hình một con đại bàng.)")</f>
        <v>Hãy cẩn thận khi nó đo chiều cao của bạn; nó đang cố ăn thịt bạn đấy. (Hãy tạo hình một con đại bàng.)</v>
      </c>
      <c r="H2748" s="8"/>
      <c r="I2748" s="8"/>
      <c r="J2748" s="8"/>
    </row>
    <row r="2749" ht="21.0" customHeight="1">
      <c r="A2749" s="6">
        <v>1.0</v>
      </c>
      <c r="B2749" s="6">
        <v>200.0</v>
      </c>
      <c r="C2749" s="6">
        <v>11.0</v>
      </c>
      <c r="D2749" s="15" t="s">
        <v>4284</v>
      </c>
      <c r="E2749" s="9" t="s">
        <v>4285</v>
      </c>
      <c r="F2749" s="8" t="str">
        <f>IFERROR(__xludf.DUMMYFUNCTION("GOOGLETRANSLATE(D2749,""zh-CN"",""vi"")"),"chim ưng")</f>
        <v>chim ưng</v>
      </c>
      <c r="G2749" s="8" t="str">
        <f>IFERROR(__xludf.DUMMYFUNCTION("GOOGLETRANSLATE(E2749,""zh-CN"",""vi"")"),"Một vận động viên cử tạ vô địch trong số các loài chim, sở hữu sức mạnh phi thường để tóm lấy con mồi. Tổng hợp lại để có được một con công.")</f>
        <v>Một vận động viên cử tạ vô địch trong số các loài chim, sở hữu sức mạnh phi thường để tóm lấy con mồi. Tổng hợp lại để có được một con công.</v>
      </c>
      <c r="H2749" s="8"/>
      <c r="I2749" s="8"/>
      <c r="J2749" s="8"/>
    </row>
    <row r="2750" ht="21.0" customHeight="1">
      <c r="A2750" s="6">
        <v>1.0</v>
      </c>
      <c r="B2750" s="6">
        <v>200.0</v>
      </c>
      <c r="C2750" s="6">
        <v>12.0</v>
      </c>
      <c r="D2750" s="15" t="s">
        <v>4286</v>
      </c>
      <c r="E2750" s="9" t="s">
        <v>4287</v>
      </c>
      <c r="F2750" s="8" t="str">
        <f>IFERROR(__xludf.DUMMYFUNCTION("GOOGLETRANSLATE(D2750,""zh-CN"",""vi"")"),"Con công")</f>
        <v>Con công</v>
      </c>
      <c r="G2750" s="8" t="str">
        <f>IFERROR(__xludf.DUMMYFUNCTION("GOOGLETRANSLATE(E2750,""zh-CN"",""vi"")"),"Chim công là một nghệ sĩ trong số các loài chim, khoác trên mình bộ áo choàng lông vũ đầy màu sắc. Kết hợp các thành phần để tạo thành chim hạc.")</f>
        <v>Chim công là một nghệ sĩ trong số các loài chim, khoác trên mình bộ áo choàng lông vũ đầy màu sắc. Kết hợp các thành phần để tạo thành chim hạc.</v>
      </c>
      <c r="H2750" s="8"/>
      <c r="I2750" s="8"/>
      <c r="J2750" s="8"/>
    </row>
    <row r="2751" ht="21.0" customHeight="1">
      <c r="A2751" s="6">
        <v>1.0</v>
      </c>
      <c r="B2751" s="6">
        <v>200.0</v>
      </c>
      <c r="C2751" s="6">
        <v>13.0</v>
      </c>
      <c r="D2751" s="15" t="s">
        <v>4288</v>
      </c>
      <c r="E2751" s="9" t="s">
        <v>4289</v>
      </c>
      <c r="F2751" s="8" t="str">
        <f>IFERROR(__xludf.DUMMYFUNCTION("GOOGLETRANSLATE(D2751,""zh-CN"",""vi"")"),"Cần cẩu")</f>
        <v>Cần cẩu</v>
      </c>
      <c r="G2751" s="8" t="str">
        <f>IFERROR(__xludf.DUMMYFUNCTION("GOOGLETRANSLATE(E2751,""zh-CN"",""vi"")"),"Lướt theo gió, vút thẳng lên tận mây xanh. (Đã được tổng hợp đến cấp độ cao nhất.)")</f>
        <v>Lướt theo gió, vút thẳng lên tận mây xanh. (Đã được tổng hợp đến cấp độ cao nhất.)</v>
      </c>
      <c r="H2751" s="8"/>
      <c r="I2751" s="8"/>
      <c r="J2751" s="8"/>
    </row>
    <row r="2752" ht="21.0" customHeight="1">
      <c r="A2752" s="6">
        <v>11.0</v>
      </c>
      <c r="B2752" s="6">
        <v>1053.0</v>
      </c>
      <c r="C2752" s="6">
        <v>1.0</v>
      </c>
      <c r="D2752" s="15" t="s">
        <v>4290</v>
      </c>
      <c r="E2752" s="9" t="s">
        <v>4291</v>
      </c>
      <c r="F2752" s="8" t="str">
        <f>IFERROR(__xludf.DUMMYFUNCTION("GOOGLETRANSLATE(D2752,""zh-CN"",""vi"")"),"Vải bọc")</f>
        <v>Vải bọc</v>
      </c>
      <c r="G2752" s="8" t="str">
        <f>IFERROR(__xludf.DUMMYFUNCTION("GOOGLETRANSLATE(E2752,""zh-CN"",""vi"")"),"Chỉ cần gấp lại, tất cả đồ đạc của bạn có thể được cất giữ bên trong. Kết hợp chúng lại để tạo thành một bó nhỏ gọn.")</f>
        <v>Chỉ cần gấp lại, tất cả đồ đạc của bạn có thể được cất giữ bên trong. Kết hợp chúng lại để tạo thành một bó nhỏ gọn.</v>
      </c>
      <c r="H2752" s="8"/>
      <c r="I2752" s="8"/>
      <c r="J2752" s="8"/>
    </row>
    <row r="2753" ht="21.0" customHeight="1">
      <c r="A2753" s="6">
        <v>11.0</v>
      </c>
      <c r="B2753" s="6">
        <v>1053.0</v>
      </c>
      <c r="C2753" s="6">
        <v>2.0</v>
      </c>
      <c r="D2753" s="15" t="s">
        <v>4292</v>
      </c>
      <c r="E2753" s="9" t="s">
        <v>4293</v>
      </c>
      <c r="F2753" s="8" t="str">
        <f>IFERROR(__xludf.DUMMYFUNCTION("GOOGLETRANSLATE(D2753,""zh-CN"",""vi"")"),"hành lý nhỏ")</f>
        <v>hành lý nhỏ</v>
      </c>
      <c r="G2753" s="8" t="str">
        <f>IFERROR(__xludf.DUMMYFUNCTION("GOOGLETRANSLATE(E2753,""zh-CN"",""vi"")"),"Một bó nhỏ nhưng trọng lượng tiền khá lớn. Kết hợp chúng lại để tạo thành một chiếc giỏ tròn.")</f>
        <v>Một bó nhỏ nhưng trọng lượng tiền khá lớn. Kết hợp chúng lại để tạo thành một chiếc giỏ tròn.</v>
      </c>
      <c r="H2753" s="8"/>
      <c r="I2753" s="8"/>
      <c r="J2753" s="8"/>
    </row>
    <row r="2754" ht="21.0" customHeight="1">
      <c r="A2754" s="6">
        <v>11.0</v>
      </c>
      <c r="B2754" s="6">
        <v>1053.0</v>
      </c>
      <c r="C2754" s="6">
        <v>3.0</v>
      </c>
      <c r="D2754" s="15" t="s">
        <v>4294</v>
      </c>
      <c r="E2754" s="9" t="s">
        <v>4295</v>
      </c>
      <c r="F2754" s="8" t="str">
        <f>IFERROR(__xludf.DUMMYFUNCTION("GOOGLETRANSLATE(D2754,""zh-CN"",""vi"")"),"Giỏ tròn")</f>
        <v>Giỏ tròn</v>
      </c>
      <c r="G2754" s="8" t="str">
        <f>IFERROR(__xludf.DUMMYFUNCTION("GOOGLETRANSLATE(E2754,""zh-CN"",""vi"")"),"Một góc nhỏ tràn ngập tinh thần mùa xuân. Hãy chế tác nó để có được một chiếc giỏ ba lô.")</f>
        <v>Một góc nhỏ tràn ngập tinh thần mùa xuân. Hãy chế tác nó để có được một chiếc giỏ ba lô.</v>
      </c>
      <c r="H2754" s="8"/>
      <c r="I2754" s="8"/>
      <c r="J2754" s="8"/>
    </row>
    <row r="2755" ht="21.0" customHeight="1">
      <c r="A2755" s="6">
        <v>11.0</v>
      </c>
      <c r="B2755" s="6">
        <v>1053.0</v>
      </c>
      <c r="C2755" s="6">
        <v>4.0</v>
      </c>
      <c r="D2755" s="15" t="s">
        <v>4296</v>
      </c>
      <c r="E2755" s="9" t="s">
        <v>4297</v>
      </c>
      <c r="F2755" s="8" t="str">
        <f>IFERROR(__xludf.DUMMYFUNCTION("GOOGLETRANSLATE(D2755,""zh-CN"",""vi"")"),"ba lô và giỏ")</f>
        <v>ba lô và giỏ</v>
      </c>
      <c r="G2755" s="8" t="str">
        <f>IFERROR(__xludf.DUMMYFUNCTION("GOOGLETRANSLATE(E2755,""zh-CN"",""vi"")"),"Chiếc giỏ đầy quả mọng dại là minh chứng cho một buổi chiều làm việc. Kết hợp chúng lại để tạo thành một thùng hàng.")</f>
        <v>Chiếc giỏ đầy quả mọng dại là minh chứng cho một buổi chiều làm việc. Kết hợp chúng lại để tạo thành một thùng hàng.</v>
      </c>
      <c r="H2755" s="8"/>
      <c r="I2755" s="8"/>
      <c r="J2755" s="8"/>
    </row>
    <row r="2756" ht="21.0" customHeight="1">
      <c r="A2756" s="6">
        <v>10.0</v>
      </c>
      <c r="B2756" s="6">
        <v>1053.0</v>
      </c>
      <c r="C2756" s="6">
        <v>5.0</v>
      </c>
      <c r="D2756" s="15" t="s">
        <v>4298</v>
      </c>
      <c r="E2756" s="9" t="s">
        <v>4299</v>
      </c>
      <c r="F2756" s="8" t="str">
        <f>IFERROR(__xludf.DUMMYFUNCTION("GOOGLETRANSLATE(D2756,""zh-CN"",""vi"")"),"Container hàng hóa")</f>
        <v>Container hàng hóa</v>
      </c>
      <c r="G2756" s="8" t="str">
        <f>IFERROR(__xludf.DUMMYFUNCTION("GOOGLETRANSLATE(E2756,""zh-CN"",""vi"")"),"Nơi đây tràn ngập tranh vẽ dân gian và thư pháp, bao gồm cả tác phẩm của một số bậc thầy. Kết hợp chúng lại để có được một con la chở hàng.")</f>
        <v>Nơi đây tràn ngập tranh vẽ dân gian và thư pháp, bao gồm cả tác phẩm của một số bậc thầy. Kết hợp chúng lại để có được một con la chở hàng.</v>
      </c>
      <c r="H2756" s="8"/>
      <c r="I2756" s="8"/>
      <c r="J2756" s="8"/>
    </row>
    <row r="2757" ht="21.0" customHeight="1">
      <c r="A2757" s="6">
        <v>10.0</v>
      </c>
      <c r="B2757" s="6">
        <v>1053.0</v>
      </c>
      <c r="C2757" s="6">
        <v>6.0</v>
      </c>
      <c r="D2757" s="15" t="s">
        <v>4300</v>
      </c>
      <c r="E2757" s="9" t="s">
        <v>4301</v>
      </c>
      <c r="F2757" s="8" t="str">
        <f>IFERROR(__xludf.DUMMYFUNCTION("GOOGLETRANSLATE(D2757,""zh-CN"",""vi"")"),"Những con la chở hàng hóa")</f>
        <v>Những con la chở hàng hóa</v>
      </c>
      <c r="G2757" s="8" t="str">
        <f>IFERROR(__xludf.DUMMYFUNCTION("GOOGLETRANSLATE(E2757,""zh-CN"",""vi"")"),"Sau khi kiếm được một ít bạc, tôi mua một con la để chở hàng. Sau đó, tôi ghép chúng lại thành một chiếc xe ngựa để vận chuyển hàng hóa.")</f>
        <v>Sau khi kiếm được một ít bạc, tôi mua một con la để chở hàng. Sau đó, tôi ghép chúng lại thành một chiếc xe ngựa để vận chuyển hàng hóa.</v>
      </c>
      <c r="H2757" s="8"/>
      <c r="I2757" s="8"/>
      <c r="J2757" s="8"/>
    </row>
    <row r="2758" ht="21.0" customHeight="1">
      <c r="A2758" s="6">
        <v>10.0</v>
      </c>
      <c r="B2758" s="6">
        <v>1053.0</v>
      </c>
      <c r="C2758" s="6">
        <v>7.0</v>
      </c>
      <c r="D2758" s="15" t="s">
        <v>4302</v>
      </c>
      <c r="E2758" s="9" t="s">
        <v>4303</v>
      </c>
      <c r="F2758" s="8" t="str">
        <f>IFERROR(__xludf.DUMMYFUNCTION("GOOGLETRANSLATE(D2758,""zh-CN"",""vi"")"),"Xe ngựa kéo chở hàng hóa")</f>
        <v>Xe ngựa kéo chở hàng hóa</v>
      </c>
      <c r="G2758" s="8" t="str">
        <f>IFERROR(__xludf.DUMMYFUNCTION("GOOGLETRANSLATE(E2758,""zh-CN"",""vi"")"),"Họ chất đầy hàng hóa trên một chiếc xe đẩy và bán chúng khắp cả nước. Sau đó, họ lập ra một cửa hàng tạp hóa nhỏ.")</f>
        <v>Họ chất đầy hàng hóa trên một chiếc xe đẩy và bán chúng khắp cả nước. Sau đó, họ lập ra một cửa hàng tạp hóa nhỏ.</v>
      </c>
      <c r="H2758" s="8"/>
      <c r="I2758" s="8"/>
      <c r="J2758" s="8"/>
    </row>
    <row r="2759" ht="21.0" customHeight="1">
      <c r="A2759" s="6">
        <v>10.0</v>
      </c>
      <c r="B2759" s="6">
        <v>1053.0</v>
      </c>
      <c r="C2759" s="6">
        <v>8.0</v>
      </c>
      <c r="D2759" s="15" t="s">
        <v>4304</v>
      </c>
      <c r="E2759" s="9" t="s">
        <v>4305</v>
      </c>
      <c r="F2759" s="8" t="str">
        <f>IFERROR(__xludf.DUMMYFUNCTION("GOOGLETRANSLATE(D2759,""zh-CN"",""vi"")"),"Quầy hàng tạp hóa")</f>
        <v>Quầy hàng tạp hóa</v>
      </c>
      <c r="G2759" s="8" t="str">
        <f>IFERROR(__xludf.DUMMYFUNCTION("GOOGLETRANSLATE(E2759,""zh-CN"",""vi"")"),"Nó cũng có một vị trí trong khu chợ nhộn nhịp. Kết hợp các thành phần để tạo thành Cửa hàng tạp hóa phía Nam.")</f>
        <v>Nó cũng có một vị trí trong khu chợ nhộn nhịp. Kết hợp các thành phần để tạo thành Cửa hàng tạp hóa phía Nam.</v>
      </c>
      <c r="H2759" s="8"/>
      <c r="I2759" s="8"/>
      <c r="J2759" s="8"/>
    </row>
    <row r="2760" ht="21.0" customHeight="1">
      <c r="A2760" s="6">
        <v>10.0</v>
      </c>
      <c r="B2760" s="6">
        <v>1053.0</v>
      </c>
      <c r="C2760" s="6">
        <v>9.0</v>
      </c>
      <c r="D2760" s="15" t="s">
        <v>4306</v>
      </c>
      <c r="E2760" s="9" t="s">
        <v>4307</v>
      </c>
      <c r="F2760" s="8" t="str">
        <f>IFERROR(__xludf.DUMMYFUNCTION("GOOGLETRANSLATE(D2760,""zh-CN"",""vi"")"),"Các cửa hàng tạp hóa miền Nam")</f>
        <v>Các cửa hàng tạp hóa miền Nam</v>
      </c>
      <c r="G2760" s="8" t="str">
        <f>IFERROR(__xludf.DUMMYFUNCTION("GOOGLETRANSLATE(E2760,""zh-CN"",""vi"")"),"Gia vị, vải vóc, quần áo—tất cả đều có sẵn. Kết hợp chúng lại để có được Baishige (百什阁).")</f>
        <v>Gia vị, vải vóc, quần áo—tất cả đều có sẵn. Kết hợp chúng lại để có được Baishige (百什阁).</v>
      </c>
      <c r="H2760" s="8"/>
      <c r="I2760" s="8"/>
      <c r="J2760" s="8"/>
    </row>
    <row r="2761" ht="21.0" customHeight="1">
      <c r="A2761" s="6">
        <v>10.0</v>
      </c>
      <c r="B2761" s="6">
        <v>1053.0</v>
      </c>
      <c r="C2761" s="6">
        <v>10.0</v>
      </c>
      <c r="D2761" s="15" t="s">
        <v>4308</v>
      </c>
      <c r="E2761" s="9" t="s">
        <v>4309</v>
      </c>
      <c r="F2761" s="8" t="str">
        <f>IFERROR(__xludf.DUMMYFUNCTION("GOOGLETRANSLATE(D2761,""zh-CN"",""vi"")"),"Baishige")</f>
        <v>Baishige</v>
      </c>
      <c r="G2761" s="8" t="str">
        <f>IFERROR(__xludf.DUMMYFUNCTION("GOOGLETRANSLATE(E2761,""zh-CN"",""vi"")"),"Sừng hươu phương Bắc, tơ tằm phương Nam... một sự kết hợp tuyệt vời. Tất cả được tổng hợp ở chất lượng cao nhất.")</f>
        <v>Sừng hươu phương Bắc, tơ tằm phương Nam... một sự kết hợp tuyệt vời. Tất cả được tổng hợp ở chất lượng cao nhất.</v>
      </c>
      <c r="H2761" s="8"/>
      <c r="I2761" s="8"/>
      <c r="J2761" s="8"/>
    </row>
    <row r="2762" ht="21.0" customHeight="1">
      <c r="A2762" s="6">
        <v>11.0</v>
      </c>
      <c r="B2762" s="6">
        <v>1054.0</v>
      </c>
      <c r="C2762" s="6">
        <v>1.0</v>
      </c>
      <c r="D2762" s="15" t="s">
        <v>4310</v>
      </c>
      <c r="E2762" s="9" t="s">
        <v>4311</v>
      </c>
      <c r="F2762" s="8" t="str">
        <f>IFERROR(__xludf.DUMMYFUNCTION("GOOGLETRANSLATE(D2762,""zh-CN"",""vi"")"),"Vải bọc [V]")</f>
        <v>Vải bọc [V]</v>
      </c>
      <c r="G2762" s="8" t="str">
        <f>IFERROR(__xludf.DUMMYFUNCTION("GOOGLETRANSLATE(E2762,""zh-CN"",""vi"")"),"Chỉ cần gấp lại, tất cả đồ đạc của bạn sẽ ở bên trong. Kết hợp chúng lại để tạo thành một bó nhỏ [V].")</f>
        <v>Chỉ cần gấp lại, tất cả đồ đạc của bạn sẽ ở bên trong. Kết hợp chúng lại để tạo thành một bó nhỏ [V].</v>
      </c>
      <c r="H2762" s="8"/>
      <c r="I2762" s="8"/>
      <c r="J2762" s="8"/>
    </row>
    <row r="2763" ht="21.0" customHeight="1">
      <c r="A2763" s="6">
        <v>11.0</v>
      </c>
      <c r="B2763" s="6">
        <v>1054.0</v>
      </c>
      <c r="C2763" s="6">
        <v>2.0</v>
      </c>
      <c r="D2763" s="15" t="s">
        <v>4312</v>
      </c>
      <c r="E2763" s="9" t="s">
        <v>4313</v>
      </c>
      <c r="F2763" s="8" t="str">
        <f>IFERROR(__xludf.DUMMYFUNCTION("GOOGLETRANSLATE(D2763,""zh-CN"",""vi"")"),"Gánh nặng nhỏ [V]")</f>
        <v>Gánh nặng nhỏ [V]</v>
      </c>
      <c r="G2763" s="8" t="str">
        <f>IFERROR(__xludf.DUMMYFUNCTION("GOOGLETRANSLATE(E2763,""zh-CN"",""vi"")"),"Một bó nhỏ nhưng nặng tiền. Kết hợp lại thành một cái giỏ tròn [V].")</f>
        <v>Một bó nhỏ nhưng nặng tiền. Kết hợp lại thành một cái giỏ tròn [V].</v>
      </c>
      <c r="H2763" s="8"/>
      <c r="I2763" s="8"/>
      <c r="J2763" s="8"/>
    </row>
    <row r="2764" ht="21.0" customHeight="1">
      <c r="A2764" s="6">
        <v>11.0</v>
      </c>
      <c r="B2764" s="6">
        <v>1054.0</v>
      </c>
      <c r="C2764" s="6">
        <v>3.0</v>
      </c>
      <c r="D2764" s="15" t="s">
        <v>4314</v>
      </c>
      <c r="E2764" s="9" t="s">
        <v>4315</v>
      </c>
      <c r="F2764" s="8" t="str">
        <f>IFERROR(__xludf.DUMMYFUNCTION("GOOGLETRANSLATE(D2764,""zh-CN"",""vi"")"),"Giỏ tròn [V]")</f>
        <v>Giỏ tròn [V]</v>
      </c>
      <c r="G2764" s="8" t="str">
        <f>IFERROR(__xludf.DUMMYFUNCTION("GOOGLETRANSLATE(E2764,""zh-CN"",""vi"")"),"Một góc nhỏ tràn ngập tinh thần mùa xuân. Hãy chế tác nó để có được giỏ ba lô [V].")</f>
        <v>Một góc nhỏ tràn ngập tinh thần mùa xuân. Hãy chế tác nó để có được giỏ ba lô [V].</v>
      </c>
      <c r="H2764" s="8"/>
      <c r="I2764" s="8"/>
      <c r="J2764" s="8"/>
    </row>
    <row r="2765" ht="21.0" customHeight="1">
      <c r="A2765" s="6">
        <v>11.0</v>
      </c>
      <c r="B2765" s="6">
        <v>1054.0</v>
      </c>
      <c r="C2765" s="6">
        <v>4.0</v>
      </c>
      <c r="D2765" s="15" t="s">
        <v>4316</v>
      </c>
      <c r="E2765" s="9" t="s">
        <v>4317</v>
      </c>
      <c r="F2765" s="8" t="str">
        <f>IFERROR(__xludf.DUMMYFUNCTION("GOOGLETRANSLATE(D2765,""zh-CN"",""vi"")"),"Ba lô và giỏ [V]")</f>
        <v>Ba lô và giỏ [V]</v>
      </c>
      <c r="G2765" s="8" t="str">
        <f>IFERROR(__xludf.DUMMYFUNCTION("GOOGLETRANSLATE(E2765,""zh-CN"",""vi"")"),"Chiếc giỏ đầy quả mọng dại là minh chứng cho một buổi chiều làm việc. Chế tạo một thùng hàng [V].")</f>
        <v>Chiếc giỏ đầy quả mọng dại là minh chứng cho một buổi chiều làm việc. Chế tạo một thùng hàng [V].</v>
      </c>
      <c r="H2765" s="8"/>
      <c r="I2765" s="8"/>
      <c r="J2765" s="8"/>
    </row>
    <row r="2766" ht="21.0" customHeight="1">
      <c r="A2766" s="6">
        <v>10.0</v>
      </c>
      <c r="B2766" s="6">
        <v>1054.0</v>
      </c>
      <c r="C2766" s="6">
        <v>5.0</v>
      </c>
      <c r="D2766" s="15" t="s">
        <v>4318</v>
      </c>
      <c r="E2766" s="9" t="s">
        <v>4319</v>
      </c>
      <c r="F2766" s="8" t="str">
        <f>IFERROR(__xludf.DUMMYFUNCTION("GOOGLETRANSLATE(D2766,""zh-CN"",""vi"")"),"cáng chở hàng [V]")</f>
        <v>cáng chở hàng [V]</v>
      </c>
      <c r="G2766" s="8" t="str">
        <f>IFERROR(__xludf.DUMMYFUNCTION("GOOGLETRANSLATE(E2766,""zh-CN"",""vi"")"),"Nơi đây tràn ngập tranh vẽ dân gian và thư pháp, bao gồm cả một số kiệt tác. Kết hợp chúng lại để có được một con la chở hàng [V].")</f>
        <v>Nơi đây tràn ngập tranh vẽ dân gian và thư pháp, bao gồm cả một số kiệt tác. Kết hợp chúng lại để có được một con la chở hàng [V].</v>
      </c>
      <c r="H2766" s="8"/>
      <c r="I2766" s="8"/>
      <c r="J2766" s="8"/>
    </row>
    <row r="2767" ht="21.0" customHeight="1">
      <c r="A2767" s="6">
        <v>10.0</v>
      </c>
      <c r="B2767" s="6">
        <v>1054.0</v>
      </c>
      <c r="C2767" s="6">
        <v>6.0</v>
      </c>
      <c r="D2767" s="15" t="s">
        <v>4320</v>
      </c>
      <c r="E2767" s="9" t="s">
        <v>4321</v>
      </c>
      <c r="F2767" s="8" t="str">
        <f>IFERROR(__xludf.DUMMYFUNCTION("GOOGLETRANSLATE(D2767,""zh-CN"",""vi"")"),"Những con la chở hàng [V]")</f>
        <v>Những con la chở hàng [V]</v>
      </c>
      <c r="G2767" s="8" t="str">
        <f>IFERROR(__xludf.DUMMYFUNCTION("GOOGLETRANSLATE(E2767,""zh-CN"",""vi"")"),"Sau khi kiếm được một ít bạc, trước tiên tôi mua một con la để chở hàng. Sau đó, tôi kết hợp chúng lại để có được một chiếc xe ngựa để vận chuyển hàng hóa [V].")</f>
        <v>Sau khi kiếm được một ít bạc, trước tiên tôi mua một con la để chở hàng. Sau đó, tôi kết hợp chúng lại để có được một chiếc xe ngựa để vận chuyển hàng hóa [V].</v>
      </c>
      <c r="H2767" s="8"/>
      <c r="I2767" s="8"/>
      <c r="J2767" s="8"/>
    </row>
    <row r="2768" ht="21.0" customHeight="1">
      <c r="A2768" s="6">
        <v>10.0</v>
      </c>
      <c r="B2768" s="6">
        <v>1054.0</v>
      </c>
      <c r="C2768" s="6">
        <v>7.0</v>
      </c>
      <c r="D2768" s="15" t="s">
        <v>4322</v>
      </c>
      <c r="E2768" s="9" t="s">
        <v>4323</v>
      </c>
      <c r="F2768" s="8" t="str">
        <f>IFERROR(__xludf.DUMMYFUNCTION("GOOGLETRANSLATE(D2768,""zh-CN"",""vi"")"),"Xe ngựa kéo chở hàng hóa [V]")</f>
        <v>Xe ngựa kéo chở hàng hóa [V]</v>
      </c>
      <c r="G2768" s="8" t="str">
        <f>IFERROR(__xludf.DUMMYFUNCTION("GOOGLETRANSLATE(E2768,""zh-CN"",""vi"")"),"Mang theo một chiếc xe chở đầy hàng hóa, họ bán chúng khắp cả nước. Tổng hợp để có được một quầy hàng tạp hóa [V].")</f>
        <v>Mang theo một chiếc xe chở đầy hàng hóa, họ bán chúng khắp cả nước. Tổng hợp để có được một quầy hàng tạp hóa [V].</v>
      </c>
      <c r="H2768" s="8"/>
      <c r="I2768" s="8"/>
      <c r="J2768" s="8"/>
    </row>
    <row r="2769" ht="21.0" customHeight="1">
      <c r="A2769" s="6">
        <v>10.0</v>
      </c>
      <c r="B2769" s="6">
        <v>1054.0</v>
      </c>
      <c r="C2769" s="6">
        <v>8.0</v>
      </c>
      <c r="D2769" s="15" t="s">
        <v>4324</v>
      </c>
      <c r="E2769" s="9" t="s">
        <v>4325</v>
      </c>
      <c r="F2769" s="8" t="str">
        <f>IFERROR(__xludf.DUMMYFUNCTION("GOOGLETRANSLATE(D2769,""zh-CN"",""vi"")"),"Quầy hàng tạp hóa [V]")</f>
        <v>Quầy hàng tạp hóa [V]</v>
      </c>
      <c r="G2769" s="8" t="str">
        <f>IFERROR(__xludf.DUMMYFUNCTION("GOOGLETRANSLATE(E2769,""zh-CN"",""vi"")"),"Nó cũng có một vị trí trong khu chợ nhộn nhịp. Tổng hợp để có được Cửa hàng tổng hợp phía Nam [V].")</f>
        <v>Nó cũng có một vị trí trong khu chợ nhộn nhịp. Tổng hợp để có được Cửa hàng tổng hợp phía Nam [V].</v>
      </c>
      <c r="H2769" s="8"/>
      <c r="I2769" s="8"/>
      <c r="J2769" s="8"/>
    </row>
    <row r="2770" ht="21.0" customHeight="1">
      <c r="A2770" s="6">
        <v>10.0</v>
      </c>
      <c r="B2770" s="6">
        <v>1054.0</v>
      </c>
      <c r="C2770" s="6">
        <v>9.0</v>
      </c>
      <c r="D2770" s="15" t="s">
        <v>4326</v>
      </c>
      <c r="E2770" s="9" t="s">
        <v>4327</v>
      </c>
      <c r="F2770" s="8" t="str">
        <f>IFERROR(__xludf.DUMMYFUNCTION("GOOGLETRANSLATE(D2770,""zh-CN"",""vi"")"),"Cửa hàng tổng hợp phía Nam [V]")</f>
        <v>Cửa hàng tổng hợp phía Nam [V]</v>
      </c>
      <c r="G2770" s="8" t="str">
        <f>IFERROR(__xludf.DUMMYFUNCTION("GOOGLETRANSLATE(E2770,""zh-CN"",""vi"")"),"Gia vị thực phẩm, vải vóc, quần áo—tất cả đều có sẵn. Kết hợp chúng để có được Baishige [V].")</f>
        <v>Gia vị thực phẩm, vải vóc, quần áo—tất cả đều có sẵn. Kết hợp chúng để có được Baishige [V].</v>
      </c>
      <c r="H2770" s="8"/>
      <c r="I2770" s="8"/>
      <c r="J2770" s="8"/>
    </row>
    <row r="2771" ht="21.0" customHeight="1">
      <c r="A2771" s="6">
        <v>10.0</v>
      </c>
      <c r="B2771" s="6">
        <v>1054.0</v>
      </c>
      <c r="C2771" s="6">
        <v>10.0</v>
      </c>
      <c r="D2771" s="15" t="s">
        <v>4328</v>
      </c>
      <c r="E2771" s="9" t="s">
        <v>4309</v>
      </c>
      <c r="F2771" s="8" t="str">
        <f>IFERROR(__xludf.DUMMYFUNCTION("GOOGLETRANSLATE(D2771,""zh-CN"",""vi"")"),"Baishige [V]")</f>
        <v>Baishige [V]</v>
      </c>
      <c r="G2771" s="8" t="str">
        <f>IFERROR(__xludf.DUMMYFUNCTION("GOOGLETRANSLATE(E2771,""zh-CN"",""vi"")"),"Sừng hươu phương Bắc, tơ tằm phương Nam... một sự kết hợp tuyệt vời. Tất cả được tổng hợp ở chất lượng cao nhất.")</f>
        <v>Sừng hươu phương Bắc, tơ tằm phương Nam... một sự kết hợp tuyệt vời. Tất cả được tổng hợp ở chất lượng cao nhất.</v>
      </c>
      <c r="H2771" s="8"/>
      <c r="I2771" s="8"/>
      <c r="J2771" s="8"/>
    </row>
    <row r="2772" ht="21.0" customHeight="1">
      <c r="A2772" s="6">
        <v>1.0</v>
      </c>
      <c r="B2772" s="6">
        <v>223.0</v>
      </c>
      <c r="C2772" s="6">
        <v>1.0</v>
      </c>
      <c r="D2772" s="15" t="s">
        <v>4329</v>
      </c>
      <c r="E2772" s="9" t="s">
        <v>4330</v>
      </c>
      <c r="F2772" s="8" t="str">
        <f>IFERROR(__xludf.DUMMYFUNCTION("GOOGLETRANSLATE(D2772,""zh-CN"",""vi"")"),"vải")</f>
        <v>vải</v>
      </c>
      <c r="G2772" s="8" t="str">
        <f>IFERROR(__xludf.DUMMYFUNCTION("GOOGLETRANSLATE(E2772,""zh-CN"",""vi"")"),"Vải và quần áo chỉ được tách rời bằng một kỹ thuật cắt ma thuật. Kết hợp chúng lại để tạo thành một chiếc áo choàng Terminalia chebula.")</f>
        <v>Vải và quần áo chỉ được tách rời bằng một kỹ thuật cắt ma thuật. Kết hợp chúng lại để tạo thành một chiếc áo choàng Terminalia chebula.</v>
      </c>
      <c r="H2772" s="8"/>
      <c r="I2772" s="8"/>
      <c r="J2772" s="8"/>
    </row>
    <row r="2773" ht="21.0" customHeight="1">
      <c r="A2773" s="6">
        <v>1.0</v>
      </c>
      <c r="B2773" s="6">
        <v>223.0</v>
      </c>
      <c r="C2773" s="6">
        <v>2.0</v>
      </c>
      <c r="D2773" s="15" t="s">
        <v>4331</v>
      </c>
      <c r="E2773" s="9" t="s">
        <v>4332</v>
      </c>
      <c r="F2773" s="8" t="str">
        <f>IFERROR(__xludf.DUMMYFUNCTION("GOOGLETRANSLATE(D2773,""zh-CN"",""vi"")"),"Terminalia chebula")</f>
        <v>Terminalia chebula</v>
      </c>
      <c r="G2773" s="8" t="str">
        <f>IFERROR(__xludf.DUMMYFUNCTION("GOOGLETRANSLATE(E2773,""zh-CN"",""vi"")"),"Một vật dụng cổ xưa thiết yếu cho những ngày hè oi bức. Được chế tác để tạo ra quần áo bằng vải lanh thô.")</f>
        <v>Một vật dụng cổ xưa thiết yếu cho những ngày hè oi bức. Được chế tác để tạo ra quần áo bằng vải lanh thô.</v>
      </c>
      <c r="H2773" s="8"/>
      <c r="I2773" s="8"/>
      <c r="J2773" s="8"/>
    </row>
    <row r="2774" ht="21.0" customHeight="1">
      <c r="A2774" s="6">
        <v>1.0</v>
      </c>
      <c r="B2774" s="6">
        <v>223.0</v>
      </c>
      <c r="C2774" s="6">
        <v>3.0</v>
      </c>
      <c r="D2774" s="15" t="s">
        <v>4333</v>
      </c>
      <c r="E2774" s="9" t="s">
        <v>4334</v>
      </c>
      <c r="F2774" s="8" t="str">
        <f>IFERROR(__xludf.DUMMYFUNCTION("GOOGLETRANSLATE(D2774,""zh-CN"",""vi"")"),"quần áo vải lanh thô")</f>
        <v>quần áo vải lanh thô</v>
      </c>
      <c r="G2774" s="8" t="str">
        <f>IFERROR(__xludf.DUMMYFUNCTION("GOOGLETRANSLATE(E2774,""zh-CN"",""vi"")"),"Nó được làm bằng cách khâu tạm hai nửa cuộn vải thô lại với nhau, ưu tiên tính tiết kiệm chi phí. Có thể kết hợp chúng để tạo thành một chiếc áo choàng gấm.")</f>
        <v>Nó được làm bằng cách khâu tạm hai nửa cuộn vải thô lại với nhau, ưu tiên tính tiết kiệm chi phí. Có thể kết hợp chúng để tạo thành một chiếc áo choàng gấm.</v>
      </c>
      <c r="H2774" s="8"/>
      <c r="I2774" s="8"/>
      <c r="J2774" s="8"/>
    </row>
    <row r="2775" ht="21.0" customHeight="1">
      <c r="A2775" s="6">
        <v>1.0</v>
      </c>
      <c r="B2775" s="6">
        <v>223.0</v>
      </c>
      <c r="C2775" s="6">
        <v>4.0</v>
      </c>
      <c r="D2775" s="15" t="s">
        <v>4335</v>
      </c>
      <c r="E2775" s="9" t="s">
        <v>4336</v>
      </c>
      <c r="F2775" s="8" t="str">
        <f>IFERROR(__xludf.DUMMYFUNCTION("GOOGLETRANSLATE(D2775,""zh-CN"",""vi"")"),"Áo choàng gấm")</f>
        <v>Áo choàng gấm</v>
      </c>
      <c r="G2775" s="8" t="str">
        <f>IFERROR(__xludf.DUMMYFUNCTION("GOOGLETRANSLATE(E2775,""zh-CN"",""vi"")"),"Vải gấm cao cấp nhất xứng đáng với tay nghề tinh xảo. Hãy kết hợp các thành phần để tạo nên ""Người phụ nữ trong chiếc áo lụa"".")</f>
        <v>Vải gấm cao cấp nhất xứng đáng với tay nghề tinh xảo. Hãy kết hợp các thành phần để tạo nên "Người phụ nữ trong chiếc áo lụa".</v>
      </c>
      <c r="H2775" s="8"/>
      <c r="I2775" s="8"/>
      <c r="J2775" s="8"/>
    </row>
    <row r="2776" ht="21.0" customHeight="1">
      <c r="A2776" s="6">
        <v>1.0</v>
      </c>
      <c r="B2776" s="6">
        <v>223.0</v>
      </c>
      <c r="C2776" s="6">
        <v>5.0</v>
      </c>
      <c r="D2776" s="15" t="s">
        <v>4337</v>
      </c>
      <c r="E2776" s="9" t="s">
        <v>4338</v>
      </c>
      <c r="F2776" s="8" t="str">
        <f>IFERROR(__xludf.DUMMYFUNCTION("GOOGLETRANSLATE(D2776,""zh-CN"",""vi"")"),"Luo Yiminnv")</f>
        <v>Luo Yiminnv</v>
      </c>
      <c r="G2776" s="8" t="str">
        <f>IFERROR(__xludf.DUMMYFUNCTION("GOOGLETRANSLATE(E2776,""zh-CN"",""vi"")"),"Phong cách thời thượng này phổ biến đến nỗi hầu như ai trên phố cũng sở hữu một chiếc. Kết hợp chúng lại để tạo nên một quý cô theo phong cách nhà Đường.")</f>
        <v>Phong cách thời thượng này phổ biến đến nỗi hầu như ai trên phố cũng sở hữu một chiếc. Kết hợp chúng lại để tạo nên một quý cô theo phong cách nhà Đường.</v>
      </c>
      <c r="H2776" s="8"/>
      <c r="I2776" s="8"/>
      <c r="J2776" s="8"/>
    </row>
    <row r="2777" ht="21.0" customHeight="1">
      <c r="A2777" s="6">
        <v>1.0</v>
      </c>
      <c r="B2777" s="6">
        <v>223.0</v>
      </c>
      <c r="C2777" s="6">
        <v>6.0</v>
      </c>
      <c r="D2777" s="15" t="s">
        <v>4339</v>
      </c>
      <c r="E2777" s="9" t="s">
        <v>4340</v>
      </c>
      <c r="F2777" s="8" t="str">
        <f>IFERROR(__xludf.DUMMYFUNCTION("GOOGLETRANSLATE(D2777,""zh-CN"",""vi"")"),"Quý bà thời nhà Đường")</f>
        <v>Quý bà thời nhà Đường</v>
      </c>
      <c r="G2777" s="8" t="str">
        <f>IFERROR(__xludf.DUMMYFUNCTION("GOOGLETRANSLATE(E2777,""zh-CN"",""vi"")"),"Trang phục tinh tế và lối trang điểm duyên dáng bổ sung cho nhau một cách hoàn hảo. Kết hợp lại, chúng tạo nên hình ảnh một quý cô cầm quạt.")</f>
        <v>Trang phục tinh tế và lối trang điểm duyên dáng bổ sung cho nhau một cách hoàn hảo. Kết hợp lại, chúng tạo nên hình ảnh một quý cô cầm quạt.</v>
      </c>
      <c r="H2777" s="8"/>
      <c r="I2777" s="8"/>
      <c r="J2777" s="8"/>
    </row>
    <row r="2778" ht="21.0" customHeight="1">
      <c r="A2778" s="6">
        <v>1.0</v>
      </c>
      <c r="B2778" s="6">
        <v>223.0</v>
      </c>
      <c r="C2778" s="6">
        <v>7.0</v>
      </c>
      <c r="D2778" s="15" t="s">
        <v>4341</v>
      </c>
      <c r="E2778" s="9" t="s">
        <v>4342</v>
      </c>
      <c r="F2778" s="8" t="str">
        <f>IFERROR(__xludf.DUMMYFUNCTION("GOOGLETRANSLATE(D2778,""zh-CN"",""vi"")"),"Người phụ nữ cầm quạt")</f>
        <v>Người phụ nữ cầm quạt</v>
      </c>
      <c r="G2778" s="8" t="str">
        <f>IFERROR(__xludf.DUMMYFUNCTION("GOOGLETRANSLATE(E2778,""zh-CN"",""vi"")"),"Với một cái chạm nhẹ nhàng của chiếc quạt lụa, mỗi chuyển động và tư thế tĩnh lặng của cô đều toát lên vẻ đẹp thi vị. Kết hợp các mảnh ghép để có được bức tranh Cô gái cầm ô.")</f>
        <v>Với một cái chạm nhẹ nhàng của chiếc quạt lụa, mỗi chuyển động và tư thế tĩnh lặng của cô đều toát lên vẻ đẹp thi vị. Kết hợp các mảnh ghép để có được bức tranh Cô gái cầm ô.</v>
      </c>
      <c r="H2778" s="8"/>
      <c r="I2778" s="8"/>
      <c r="J2778" s="8"/>
    </row>
    <row r="2779" ht="21.0" customHeight="1">
      <c r="A2779" s="6">
        <v>1.0</v>
      </c>
      <c r="B2779" s="6">
        <v>223.0</v>
      </c>
      <c r="C2779" s="6">
        <v>8.0</v>
      </c>
      <c r="D2779" s="15" t="s">
        <v>4343</v>
      </c>
      <c r="E2779" s="9" t="s">
        <v>4344</v>
      </c>
      <c r="F2779" s="8" t="str">
        <f>IFERROR(__xludf.DUMMYFUNCTION("GOOGLETRANSLATE(D2779,""zh-CN"",""vi"")"),"Cô gái cầm ô")</f>
        <v>Cô gái cầm ô</v>
      </c>
      <c r="G2779" s="8" t="str">
        <f>IFERROR(__xludf.DUMMYFUNCTION("GOOGLETRANSLATE(E2779,""zh-CN"",""vi"")"),"Kem chống nắng, bí quyết làm đẹp vượt thời gian. Các thành phần tổng hợp mang lại vẻ ngoài dịu dàng và tinh tế cho người phụ nữ.")</f>
        <v>Kem chống nắng, bí quyết làm đẹp vượt thời gian. Các thành phần tổng hợp mang lại vẻ ngoài dịu dàng và tinh tế cho người phụ nữ.</v>
      </c>
      <c r="H2779" s="8"/>
      <c r="I2779" s="8"/>
      <c r="J2779" s="8"/>
    </row>
    <row r="2780" ht="21.0" customHeight="1">
      <c r="A2780" s="6">
        <v>1.0</v>
      </c>
      <c r="B2780" s="6">
        <v>223.0</v>
      </c>
      <c r="C2780" s="6">
        <v>9.0</v>
      </c>
      <c r="D2780" s="15" t="s">
        <v>4345</v>
      </c>
      <c r="E2780" s="9" t="s">
        <v>4346</v>
      </c>
      <c r="F2780" s="8" t="str">
        <f>IFERROR(__xludf.DUMMYFUNCTION("GOOGLETRANSLATE(D2780,""zh-CN"",""vi"")"),"quý cô trẻ dịu dàng")</f>
        <v>quý cô trẻ dịu dàng</v>
      </c>
      <c r="G2780" s="8" t="str">
        <f>IFERROR(__xludf.DUMMYFUNCTION("GOOGLETRANSLATE(E2780,""zh-CN"",""vi"")"),"Một đóa hoa tươi điểm tô trên thái dương nàng còn đẹp hơn cả ngàn viên ngọc quý. Kết hợp chúng lại tạo nên một người phụ nữ vô cùng xinh đẹp.")</f>
        <v>Một đóa hoa tươi điểm tô trên thái dương nàng còn đẹp hơn cả ngàn viên ngọc quý. Kết hợp chúng lại tạo nên một người phụ nữ vô cùng xinh đẹp.</v>
      </c>
      <c r="H2780" s="8"/>
      <c r="I2780" s="8"/>
      <c r="J2780" s="8"/>
    </row>
    <row r="2781" ht="21.0" customHeight="1">
      <c r="A2781" s="6">
        <v>1.0</v>
      </c>
      <c r="B2781" s="6">
        <v>223.0</v>
      </c>
      <c r="C2781" s="6">
        <v>10.0</v>
      </c>
      <c r="D2781" s="15" t="s">
        <v>4347</v>
      </c>
      <c r="E2781" s="9" t="s">
        <v>4348</v>
      </c>
      <c r="F2781" s="8" t="str">
        <f>IFERROR(__xludf.DUMMYFUNCTION("GOOGLETRANSLATE(D2781,""zh-CN"",""vi"")"),"Quý bà thanh lịch")</f>
        <v>Quý bà thanh lịch</v>
      </c>
      <c r="G2781" s="8" t="str">
        <f>IFERROR(__xludf.DUMMYFUNCTION("GOOGLETRANSLATE(E2781,""zh-CN"",""vi"")"),"Đôi mắt nàng sáng lấp lánh như sao trời, nụ cười dịu dàng như làn gió xuân, nàng khoác lên mình bộ áo choàng lộng lẫy, và sở hữu phong thái thanh lịch. Tất cả hòa quyện lại tạo nên hình ảnh Nữ hoàng Thanh lịch.")</f>
        <v>Đôi mắt nàng sáng lấp lánh như sao trời, nụ cười dịu dàng như làn gió xuân, nàng khoác lên mình bộ áo choàng lộng lẫy, và sở hữu phong thái thanh lịch. Tất cả hòa quyện lại tạo nên hình ảnh Nữ hoàng Thanh lịch.</v>
      </c>
      <c r="H2781" s="8"/>
      <c r="I2781" s="8"/>
      <c r="J2781" s="8"/>
    </row>
    <row r="2782" ht="21.0" customHeight="1">
      <c r="A2782" s="6">
        <v>1.0</v>
      </c>
      <c r="B2782" s="6">
        <v>223.0</v>
      </c>
      <c r="C2782" s="6">
        <v>11.0</v>
      </c>
      <c r="D2782" s="15" t="s">
        <v>4349</v>
      </c>
      <c r="E2782" s="9" t="s">
        <v>4350</v>
      </c>
      <c r="F2782" s="8" t="str">
        <f>IFERROR(__xludf.DUMMYFUNCTION("GOOGLETRANSLATE(D2782,""zh-CN"",""vi"")"),"Cung điện Trung tâm trang nhã")</f>
        <v>Cung điện Trung tâm trang nhã</v>
      </c>
      <c r="G2782" s="8" t="str">
        <f>IFERROR(__xludf.DUMMYFUNCTION("GOOGLETRANSLATE(E2782,""zh-CN"",""vi"")"),"Thanh lịch và trang trọng, duyên dáng và tinh tế. Kết hợp lại, ta có Phi Tiên Đôn Hoàng.")</f>
        <v>Thanh lịch và trang trọng, duyên dáng và tinh tế. Kết hợp lại, ta có Phi Tiên Đôn Hoàng.</v>
      </c>
      <c r="H2782" s="8"/>
      <c r="I2782" s="8"/>
      <c r="J2782" s="8"/>
    </row>
    <row r="2783" ht="21.0" customHeight="1">
      <c r="A2783" s="6">
        <v>1.0</v>
      </c>
      <c r="B2783" s="6">
        <v>223.0</v>
      </c>
      <c r="C2783" s="6">
        <v>12.0</v>
      </c>
      <c r="D2783" s="15" t="s">
        <v>4351</v>
      </c>
      <c r="E2783" s="9" t="s">
        <v>4352</v>
      </c>
      <c r="F2783" s="8" t="str">
        <f>IFERROR(__xludf.DUMMYFUNCTION("GOOGLETRANSLATE(D2783,""zh-CN"",""vi"")"),"Tiên bay Đôn Hoàng")</f>
        <v>Tiên bay Đôn Hoàng</v>
      </c>
      <c r="G2783" s="8" t="str">
        <f>IFERROR(__xludf.DUMMYFUNCTION("GOOGLETRANSLATE(E2783,""zh-CN"",""vi"")"),"Dáng người nàng thanh tú và nhẹ nhàng, tựa như một vị thần. Kết hợp lại, bạn sẽ có được Nữ thần Áo choàng Cầu vồng.")</f>
        <v>Dáng người nàng thanh tú và nhẹ nhàng, tựa như một vị thần. Kết hợp lại, bạn sẽ có được Nữ thần Áo choàng Cầu vồng.</v>
      </c>
      <c r="H2783" s="8"/>
      <c r="I2783" s="8"/>
      <c r="J2783" s="8"/>
    </row>
    <row r="2784" ht="21.0" customHeight="1">
      <c r="A2784" s="6">
        <v>1.0</v>
      </c>
      <c r="B2784" s="6">
        <v>223.0</v>
      </c>
      <c r="C2784" s="6">
        <v>13.0</v>
      </c>
      <c r="D2784" s="15" t="s">
        <v>4353</v>
      </c>
      <c r="E2784" s="9" t="s">
        <v>4354</v>
      </c>
      <c r="F2784" s="8" t="str">
        <f>IFERROR(__xludf.DUMMYFUNCTION("GOOGLETRANSLATE(D2784,""zh-CN"",""vi"")"),"Nữ thần áo choàng cầu vồng")</f>
        <v>Nữ thần áo choàng cầu vồng</v>
      </c>
      <c r="G2784" s="8" t="str">
        <f>IFERROR(__xludf.DUMMYFUNCTION("GOOGLETRANSLATE(E2784,""zh-CN"",""vi"")"),"Nữ thần trong bộ áo choàng lông vũ, tôi chỉ từng thấy nàng trong giấc mơ. (Đã được tổng hợp đến cấp độ cao nhất.)")</f>
        <v>Nữ thần trong bộ áo choàng lông vũ, tôi chỉ từng thấy nàng trong giấc mơ. (Đã được tổng hợp đến cấp độ cao nhất.)</v>
      </c>
      <c r="H2784" s="8"/>
      <c r="I2784" s="8"/>
      <c r="J2784" s="8"/>
    </row>
    <row r="2785" ht="21.0" customHeight="1">
      <c r="A2785" s="6">
        <v>1.0</v>
      </c>
      <c r="B2785" s="6">
        <v>224.0</v>
      </c>
      <c r="C2785" s="6">
        <v>1.0</v>
      </c>
      <c r="D2785" s="15" t="s">
        <v>4355</v>
      </c>
      <c r="E2785" s="9" t="s">
        <v>4356</v>
      </c>
      <c r="F2785" s="8" t="str">
        <f>IFERROR(__xludf.DUMMYFUNCTION("GOOGLETRANSLATE(D2785,""zh-CN"",""vi"")"),"Bốn đèn chiếu sáng góc")</f>
        <v>Bốn đèn chiếu sáng góc</v>
      </c>
      <c r="G2785" s="8" t="str">
        <f>IFERROR(__xludf.DUMMYFUNCTION("GOOGLETRANSLATE(E2785,""zh-CN"",""vi"")"),"Ánh sáng yếu ớt xua tan bóng tối. Hãy tự tay làm một chiếc bình hoa màu pastel.")</f>
        <v>Ánh sáng yếu ớt xua tan bóng tối. Hãy tự tay làm một chiếc bình hoa màu pastel.</v>
      </c>
      <c r="H2785" s="8"/>
      <c r="I2785" s="8"/>
      <c r="J2785" s="8"/>
    </row>
    <row r="2786" ht="21.0" customHeight="1">
      <c r="A2786" s="6">
        <v>1.0</v>
      </c>
      <c r="B2786" s="6">
        <v>224.0</v>
      </c>
      <c r="C2786" s="6">
        <v>2.0</v>
      </c>
      <c r="D2786" s="15" t="s">
        <v>4357</v>
      </c>
      <c r="E2786" s="9" t="s">
        <v>4358</v>
      </c>
      <c r="F2786" s="8" t="str">
        <f>IFERROR(__xludf.DUMMYFUNCTION("GOOGLETRANSLATE(D2786,""zh-CN"",""vi"")"),"Bình hoa màu pastel")</f>
        <v>Bình hoa màu pastel</v>
      </c>
      <c r="G2786" s="8" t="str">
        <f>IFERROR(__xludf.DUMMYFUNCTION("GOOGLETRANSLATE(E2786,""zh-CN"",""vi"")"),"Những bông hoa rực rỡ và tươi đẹp; dù được đặt ở đâu, mùa xuân cũng hiện diện khắp nơi. Kết hợp chúng để tạo nên một chiếc bình sứ men lam trắng với những họa tiết thư pháp và hội họa.")</f>
        <v>Những bông hoa rực rỡ và tươi đẹp; dù được đặt ở đâu, mùa xuân cũng hiện diện khắp nơi. Kết hợp chúng để tạo nên một chiếc bình sứ men lam trắng với những họa tiết thư pháp và hội họa.</v>
      </c>
      <c r="H2786" s="8"/>
      <c r="I2786" s="8"/>
      <c r="J2786" s="8"/>
    </row>
    <row r="2787" ht="21.0" customHeight="1">
      <c r="A2787" s="6">
        <v>1.0</v>
      </c>
      <c r="B2787" s="6">
        <v>224.0</v>
      </c>
      <c r="C2787" s="6">
        <v>3.0</v>
      </c>
      <c r="D2787" s="15" t="s">
        <v>4359</v>
      </c>
      <c r="E2787" s="9" t="s">
        <v>4360</v>
      </c>
      <c r="F2787" s="8" t="str">
        <f>IFERROR(__xludf.DUMMYFUNCTION("GOOGLETRANSLATE(D2787,""zh-CN"",""vi"")"),"Bình sứ men lam trắng có chữ thư pháp và tranh vẽ")</f>
        <v>Bình sứ men lam trắng có chữ thư pháp và tranh vẽ</v>
      </c>
      <c r="G2787" s="8" t="str">
        <f>IFERROR(__xludf.DUMMYFUNCTION("GOOGLETRANSLATE(E2787,""zh-CN"",""vi"")"),"Chiếc bình sứ thanh lịch, chữ viết và tranh vẽ đơn giản, không cầu kỳ. Kết hợp chúng lại tạo thành một lư hương gỗ đàn hương.")</f>
        <v>Chiếc bình sứ thanh lịch, chữ viết và tranh vẽ đơn giản, không cầu kỳ. Kết hợp chúng lại tạo thành một lư hương gỗ đàn hương.</v>
      </c>
      <c r="H2787" s="8"/>
      <c r="I2787" s="8"/>
      <c r="J2787" s="8"/>
    </row>
    <row r="2788" ht="21.0" customHeight="1">
      <c r="A2788" s="6">
        <v>1.0</v>
      </c>
      <c r="B2788" s="6">
        <v>224.0</v>
      </c>
      <c r="C2788" s="6">
        <v>4.0</v>
      </c>
      <c r="D2788" s="15" t="s">
        <v>4361</v>
      </c>
      <c r="E2788" s="9" t="s">
        <v>4362</v>
      </c>
      <c r="F2788" s="8" t="str">
        <f>IFERROR(__xludf.DUMMYFUNCTION("GOOGLETRANSLATE(D2788,""zh-CN"",""vi"")"),"lư hương gỗ đàn hương")</f>
        <v>lư hương gỗ đàn hương</v>
      </c>
      <c r="G2788" s="8" t="str">
        <f>IFERROR(__xludf.DUMMYFUNCTION("GOOGLETRANSLATE(E2788,""zh-CN"",""vi"")"),"Khi khói cuộn lên, một cảm giác bình yên bao trùm lấy tôi. Tôi đã tổng hợp được Bát Tiên Bảng.")</f>
        <v>Khi khói cuộn lên, một cảm giác bình yên bao trùm lấy tôi. Tôi đã tổng hợp được Bát Tiên Bảng.</v>
      </c>
      <c r="H2788" s="8"/>
      <c r="I2788" s="8"/>
      <c r="J2788" s="8"/>
    </row>
    <row r="2789" ht="21.0" customHeight="1">
      <c r="A2789" s="6">
        <v>1.0</v>
      </c>
      <c r="B2789" s="6">
        <v>224.0</v>
      </c>
      <c r="C2789" s="6">
        <v>5.0</v>
      </c>
      <c r="D2789" s="15" t="s">
        <v>4363</v>
      </c>
      <c r="E2789" s="9" t="s">
        <v>4364</v>
      </c>
      <c r="F2789" s="8" t="str">
        <f>IFERROR(__xludf.DUMMYFUNCTION("GOOGLETRANSLATE(D2789,""zh-CN"",""vi"")"),"Bảng Tám Vị Tiên")</f>
        <v>Bảng Tám Vị Tiên</v>
      </c>
      <c r="G2789" s="8" t="str">
        <f>IFERROR(__xludf.DUMMYFUNCTION("GOOGLETRANSLATE(E2789,""zh-CN"",""vi"")"),"Truyền thuyết kể rằng đây là chiếc bàn mà Tám vị Tiên đã ngồi quanh khi vượt biển, tượng trưng cho sự may mắn. Kết hợp chúng lại để có được Giá đỡ Gương.")</f>
        <v>Truyền thuyết kể rằng đây là chiếc bàn mà Tám vị Tiên đã ngồi quanh khi vượt biển, tượng trưng cho sự may mắn. Kết hợp chúng lại để có được Giá đỡ Gương.</v>
      </c>
      <c r="H2789" s="8"/>
      <c r="I2789" s="8"/>
      <c r="J2789" s="8"/>
    </row>
    <row r="2790" ht="21.0" customHeight="1">
      <c r="A2790" s="6">
        <v>1.0</v>
      </c>
      <c r="B2790" s="6">
        <v>224.0</v>
      </c>
      <c r="C2790" s="6">
        <v>6.0</v>
      </c>
      <c r="D2790" s="15" t="s">
        <v>4365</v>
      </c>
      <c r="E2790" s="9" t="s">
        <v>4366</v>
      </c>
      <c r="F2790" s="8" t="str">
        <f>IFERROR(__xludf.DUMMYFUNCTION("GOOGLETRANSLATE(D2790,""zh-CN"",""vi"")"),"bàn trang điểm")</f>
        <v>bàn trang điểm</v>
      </c>
      <c r="G2790" s="8" t="str">
        <f>IFERROR(__xludf.DUMMYFUNCTION("GOOGLETRANSLATE(E2790,""zh-CN"",""vi"")"),"Một chiếc gương đồng nhẵn bóng phản chiếu dấu ấn thời gian. Một chiếc bàn trang điểm được tạo ra thông qua sự tổng hợp.")</f>
        <v>Một chiếc gương đồng nhẵn bóng phản chiếu dấu ấn thời gian. Một chiếc bàn trang điểm được tạo ra thông qua sự tổng hợp.</v>
      </c>
      <c r="H2790" s="8"/>
      <c r="I2790" s="8"/>
      <c r="J2790" s="8"/>
    </row>
    <row r="2791" ht="21.0" customHeight="1">
      <c r="A2791" s="6">
        <v>1.0</v>
      </c>
      <c r="B2791" s="6">
        <v>224.0</v>
      </c>
      <c r="C2791" s="6">
        <v>7.0</v>
      </c>
      <c r="D2791" s="15" t="s">
        <v>4367</v>
      </c>
      <c r="E2791" s="9" t="s">
        <v>4368</v>
      </c>
      <c r="F2791" s="8" t="str">
        <f>IFERROR(__xludf.DUMMYFUNCTION("GOOGLETRANSLATE(D2791,""zh-CN"",""vi"")"),"bàn trang điểm")</f>
        <v>bàn trang điểm</v>
      </c>
      <c r="G2791" s="8" t="str">
        <f>IFERROR(__xludf.DUMMYFUNCTION("GOOGLETRANSLATE(E2791,""zh-CN"",""vi"")"),"Chứng kiến ​​vẻ đẹp và nỗi buồn của nhiều thế hệ phụ nữ. Kết hợp các yếu tố để tạo nên một bức bình phong bằng gỗ nguyên khối.")</f>
        <v>Chứng kiến ​​vẻ đẹp và nỗi buồn của nhiều thế hệ phụ nữ. Kết hợp các yếu tố để tạo nên một bức bình phong bằng gỗ nguyên khối.</v>
      </c>
      <c r="H2791" s="8"/>
      <c r="I2791" s="8"/>
      <c r="J2791" s="8"/>
    </row>
    <row r="2792" ht="21.0" customHeight="1">
      <c r="A2792" s="6">
        <v>1.0</v>
      </c>
      <c r="B2792" s="6">
        <v>224.0</v>
      </c>
      <c r="C2792" s="6">
        <v>8.0</v>
      </c>
      <c r="D2792" s="15" t="s">
        <v>4369</v>
      </c>
      <c r="E2792" s="9" t="s">
        <v>4370</v>
      </c>
      <c r="F2792" s="8" t="str">
        <f>IFERROR(__xludf.DUMMYFUNCTION("GOOGLETRANSLATE(D2792,""zh-CN"",""vi"")"),"Bình phong gấp bằng gỗ nguyên khối")</f>
        <v>Bình phong gấp bằng gỗ nguyên khối</v>
      </c>
      <c r="G2792" s="8" t="str">
        <f>IFERROR(__xludf.DUMMYFUNCTION("GOOGLETRANSLATE(E2792,""zh-CN"",""vi"")"),"""Những tấm bình phong màu ngọc lục bảo và những tấm rèm lụa che khuất mặt trước và mặt sau, những tay áo phấp phới trong gió, xua tan mùi hương của con dấu."" Tổng hợp lại để có được chiếc bàn thoang thoảng mùi mực.")</f>
        <v>"Những tấm bình phong màu ngọc lục bảo và những tấm rèm lụa che khuất mặt trước và mặt sau, những tay áo phấp phới trong gió, xua tan mùi hương của con dấu." Tổng hợp lại để có được chiếc bàn thoang thoảng mùi mực.</v>
      </c>
      <c r="H2792" s="8"/>
      <c r="I2792" s="8"/>
      <c r="J2792" s="8"/>
    </row>
    <row r="2793" ht="21.0" customHeight="1">
      <c r="A2793" s="6">
        <v>1.0</v>
      </c>
      <c r="B2793" s="6">
        <v>224.0</v>
      </c>
      <c r="C2793" s="6">
        <v>9.0</v>
      </c>
      <c r="D2793" s="15" t="s">
        <v>4371</v>
      </c>
      <c r="E2793" s="9" t="s">
        <v>4372</v>
      </c>
      <c r="F2793" s="8" t="str">
        <f>IFERROR(__xludf.DUMMYFUNCTION("GOOGLETRANSLATE(D2793,""zh-CN"",""vi"")"),"Bàn làm việc có mùi mực")</f>
        <v>Bàn làm việc có mùi mực</v>
      </c>
      <c r="G2793" s="8" t="str">
        <f>IFERROR(__xludf.DUMMYFUNCTION("GOOGLETRANSLATE(E2793,""zh-CN"",""vi"")"),"Chiếc bàn chất đầy thư pháp và tranh vẽ phản ánh gu thẩm mỹ tinh tế của chủ nhân. Kết hợp chúng lại tạo nên một chiếc ghế của bậc thầy.")</f>
        <v>Chiếc bàn chất đầy thư pháp và tranh vẽ phản ánh gu thẩm mỹ tinh tế của chủ nhân. Kết hợp chúng lại tạo nên một chiếc ghế của bậc thầy.</v>
      </c>
      <c r="H2793" s="8"/>
      <c r="I2793" s="8"/>
      <c r="J2793" s="8"/>
    </row>
    <row r="2794" ht="21.0" customHeight="1">
      <c r="A2794" s="6">
        <v>1.0</v>
      </c>
      <c r="B2794" s="6">
        <v>224.0</v>
      </c>
      <c r="C2794" s="6">
        <v>10.0</v>
      </c>
      <c r="D2794" s="15" t="s">
        <v>4373</v>
      </c>
      <c r="E2794" s="9" t="s">
        <v>4374</v>
      </c>
      <c r="F2794" s="8" t="str">
        <f>IFERROR(__xludf.DUMMYFUNCTION("GOOGLETRANSLATE(D2794,""zh-CN"",""vi"")"),"Ghế Đại Trưởng lão")</f>
        <v>Ghế Đại Trưởng lão</v>
      </c>
      <c r="G2794" s="8" t="str">
        <f>IFERROR(__xludf.DUMMYFUNCTION("GOOGLETRANSLATE(E2794,""zh-CN"",""vi"")"),"Chứng kiến ​​sự kế vị và luân chuyển quyền lực. Tự tay chế tác chiếc tủ quần áo chạm khắc.")</f>
        <v>Chứng kiến ​​sự kế vị và luân chuyển quyền lực. Tự tay chế tác chiếc tủ quần áo chạm khắc.</v>
      </c>
      <c r="H2794" s="8"/>
      <c r="I2794" s="8"/>
      <c r="J2794" s="8"/>
    </row>
    <row r="2795" ht="21.0" customHeight="1">
      <c r="A2795" s="6">
        <v>1.0</v>
      </c>
      <c r="B2795" s="6">
        <v>224.0</v>
      </c>
      <c r="C2795" s="6">
        <v>11.0</v>
      </c>
      <c r="D2795" s="15" t="s">
        <v>4375</v>
      </c>
      <c r="E2795" s="9" t="s">
        <v>4376</v>
      </c>
      <c r="F2795" s="8" t="str">
        <f>IFERROR(__xludf.DUMMYFUNCTION("GOOGLETRANSLATE(D2795,""zh-CN"",""vi"")"),"Tủ quần áo chạm khắc")</f>
        <v>Tủ quần áo chạm khắc</v>
      </c>
      <c r="G2795" s="8" t="str">
        <f>IFERROR(__xludf.DUMMYFUNCTION("GOOGLETRANSLATE(E2795,""zh-CN"",""vi"")"),"Tủ quần áo của phụ nữ sẽ không bao giờ hoàn chỉnh nếu thiếu một món đồ hoàn hảo. (Hãy tự tay làm một thùng hoa oải hương.)")</f>
        <v>Tủ quần áo của phụ nữ sẽ không bao giờ hoàn chỉnh nếu thiếu một món đồ hoàn hảo. (Hãy tự tay làm một thùng hoa oải hương.)</v>
      </c>
      <c r="H2795" s="8"/>
      <c r="I2795" s="8"/>
      <c r="J2795" s="8"/>
    </row>
    <row r="2796" ht="21.0" customHeight="1">
      <c r="A2796" s="6">
        <v>1.0</v>
      </c>
      <c r="B2796" s="6">
        <v>224.0</v>
      </c>
      <c r="C2796" s="6">
        <v>12.0</v>
      </c>
      <c r="D2796" s="15" t="s">
        <v>4377</v>
      </c>
      <c r="E2796" s="9" t="s">
        <v>4378</v>
      </c>
      <c r="F2796" s="8" t="str">
        <f>IFERROR(__xludf.DUMMYFUNCTION("GOOGLETRANSLATE(D2796,""zh-CN"",""vi"")"),"Thùng hoa oải hương")</f>
        <v>Thùng hoa oải hương</v>
      </c>
      <c r="G2796" s="8" t="str">
        <f>IFERROR(__xludf.DUMMYFUNCTION("GOOGLETRANSLATE(E2796,""zh-CN"",""vi"")"),"Tắm nước có thể xua tan mệt mỏi sau một ngày dài. Hãy chế tạo để có được vật trang trí tường hình thác nước.")</f>
        <v>Tắm nước có thể xua tan mệt mỏi sau một ngày dài. Hãy chế tạo để có được vật trang trí tường hình thác nước.</v>
      </c>
      <c r="H2796" s="8"/>
      <c r="I2796" s="8"/>
      <c r="J2796" s="8"/>
    </row>
    <row r="2797" ht="21.0" customHeight="1">
      <c r="A2797" s="6">
        <v>1.0</v>
      </c>
      <c r="B2797" s="6">
        <v>224.0</v>
      </c>
      <c r="C2797" s="6">
        <v>13.0</v>
      </c>
      <c r="D2797" s="75" t="s">
        <v>4379</v>
      </c>
      <c r="E2797" s="19" t="s">
        <v>4380</v>
      </c>
      <c r="F2797" s="8" t="str">
        <f>IFERROR(__xludf.DUMMYFUNCTION("GOOGLETRANSLATE(D2797,""zh-CN"",""vi"")"),"Trang trí tường thác nước")</f>
        <v>Trang trí tường thác nước</v>
      </c>
      <c r="G2797" s="8" t="str">
        <f>IFERROR(__xludf.DUMMYFUNCTION("GOOGLETRANSLATE(E2797,""zh-CN"",""vi"")"),"Những vật trang trí tường trang nhã toát lên vẻ quý phái thầm lặng. (Đã được tổng hợp ở cấp độ cao nhất.)")</f>
        <v>Những vật trang trí tường trang nhã toát lên vẻ quý phái thầm lặng. (Đã được tổng hợp ở cấp độ cao nhất.)</v>
      </c>
      <c r="H2797" s="8"/>
      <c r="I2797" s="8"/>
      <c r="J2797" s="8"/>
    </row>
    <row r="2798" ht="21.0" customHeight="1">
      <c r="A2798" s="6">
        <v>1.0</v>
      </c>
      <c r="B2798" s="6">
        <v>225.0</v>
      </c>
      <c r="C2798" s="6">
        <v>1.0</v>
      </c>
      <c r="D2798" s="15" t="s">
        <v>4381</v>
      </c>
      <c r="E2798" s="9" t="s">
        <v>4382</v>
      </c>
      <c r="F2798" s="8" t="str">
        <f>IFERROR(__xludf.DUMMYFUNCTION("GOOGLETRANSLATE(D2798,""zh-CN"",""vi"")"),"bát gỗ nhỏ")</f>
        <v>bát gỗ nhỏ</v>
      </c>
      <c r="G2798" s="8" t="str">
        <f>IFERROR(__xludf.DUMMYFUNCTION("GOOGLETRANSLATE(E2798,""zh-CN"",""vi"")"),"Mặc dù được làm bằng gỗ, nó lại chắc chắn như thép. Hãy chế tạo nó để có được một hộp đựng thức ăn đơn giản.")</f>
        <v>Mặc dù được làm bằng gỗ, nó lại chắc chắn như thép. Hãy chế tạo nó để có được một hộp đựng thức ăn đơn giản.</v>
      </c>
      <c r="H2798" s="8"/>
      <c r="I2798" s="8"/>
      <c r="J2798" s="8"/>
    </row>
    <row r="2799" ht="21.0" customHeight="1">
      <c r="A2799" s="6">
        <v>1.0</v>
      </c>
      <c r="B2799" s="6">
        <v>225.0</v>
      </c>
      <c r="C2799" s="6">
        <v>2.0</v>
      </c>
      <c r="D2799" s="15" t="s">
        <v>4383</v>
      </c>
      <c r="E2799" s="9" t="s">
        <v>4384</v>
      </c>
      <c r="F2799" s="8" t="str">
        <f>IFERROR(__xludf.DUMMYFUNCTION("GOOGLETRANSLATE(D2799,""zh-CN"",""vi"")"),"Hộp đựng thức ăn đơn giản")</f>
        <v>Hộp đựng thức ăn đơn giản</v>
      </c>
      <c r="G2799" s="8" t="str">
        <f>IFERROR(__xludf.DUMMYFUNCTION("GOOGLETRANSLATE(E2799,""zh-CN"",""vi"")"),"Thêm một nắp gỗ sẽ giúp ngăn súp bị đổ ra ngoài. Tự tay làm chiếc hộp đựng thức ăn này sẽ tạo nên một sản phẩm tuyệt vời.")</f>
        <v>Thêm một nắp gỗ sẽ giúp ngăn súp bị đổ ra ngoài. Tự tay làm chiếc hộp đựng thức ăn này sẽ tạo nên một sản phẩm tuyệt vời.</v>
      </c>
      <c r="H2799" s="8"/>
      <c r="I2799" s="8"/>
      <c r="J2799" s="8"/>
    </row>
    <row r="2800" ht="21.0" customHeight="1">
      <c r="A2800" s="6">
        <v>1.0</v>
      </c>
      <c r="B2800" s="6">
        <v>225.0</v>
      </c>
      <c r="C2800" s="6">
        <v>3.0</v>
      </c>
      <c r="D2800" s="15" t="s">
        <v>4385</v>
      </c>
      <c r="E2800" s="9" t="s">
        <v>4386</v>
      </c>
      <c r="F2800" s="8" t="str">
        <f>IFERROR(__xludf.DUMMYFUNCTION("GOOGLETRANSLATE(D2800,""zh-CN"",""vi"")"),"Hộp đựng thức ăn hảo hạng")</f>
        <v>Hộp đựng thức ăn hảo hạng</v>
      </c>
      <c r="G2800" s="8" t="str">
        <f>IFERROR(__xludf.DUMMYFUNCTION("GOOGLETRANSLATE(E2800,""zh-CN"",""vi"")"),"Hộp cơm này rất trang nhã, thậm chí còn làm tăng thêm hương thơm của cơm. Kết hợp chúng lại để tạo thành một hộp cơm họa tiết hoa mộc lan.")</f>
        <v>Hộp cơm này rất trang nhã, thậm chí còn làm tăng thêm hương thơm của cơm. Kết hợp chúng lại để tạo thành một hộp cơm họa tiết hoa mộc lan.</v>
      </c>
      <c r="H2800" s="8"/>
      <c r="I2800" s="8"/>
      <c r="J2800" s="8"/>
    </row>
    <row r="2801" ht="21.0" customHeight="1">
      <c r="A2801" s="6">
        <v>1.0</v>
      </c>
      <c r="B2801" s="6">
        <v>225.0</v>
      </c>
      <c r="C2801" s="6">
        <v>4.0</v>
      </c>
      <c r="D2801" s="15" t="s">
        <v>4387</v>
      </c>
      <c r="E2801" s="9" t="s">
        <v>4388</v>
      </c>
      <c r="F2801" s="8" t="str">
        <f>IFERROR(__xludf.DUMMYFUNCTION("GOOGLETRANSLATE(D2801,""zh-CN"",""vi"")"),"Hộp đựng thực phẩm họa tiết hoa mộc lan")</f>
        <v>Hộp đựng thực phẩm họa tiết hoa mộc lan</v>
      </c>
      <c r="G2801" s="8" t="str">
        <f>IFERROR(__xludf.DUMMYFUNCTION("GOOGLETRANSLATE(E2801,""zh-CN"",""vi"")"),"Họa tiết hoa mộc lan chạm khắc trên gỗ toát lên vẻ đẹp mộc mạc. Kết hợp chúng để tạo thành một hộp đựng thực phẩm kiểu truyền thống có tay cầm.")</f>
        <v>Họa tiết hoa mộc lan chạm khắc trên gỗ toát lên vẻ đẹp mộc mạc. Kết hợp chúng để tạo thành một hộp đựng thực phẩm kiểu truyền thống có tay cầm.</v>
      </c>
      <c r="H2801" s="8"/>
      <c r="I2801" s="8"/>
      <c r="J2801" s="8"/>
    </row>
    <row r="2802" ht="21.0" customHeight="1">
      <c r="A2802" s="6">
        <v>1.0</v>
      </c>
      <c r="B2802" s="6">
        <v>225.0</v>
      </c>
      <c r="C2802" s="6">
        <v>5.0</v>
      </c>
      <c r="D2802" s="15" t="s">
        <v>4389</v>
      </c>
      <c r="E2802" s="9" t="s">
        <v>4390</v>
      </c>
      <c r="F2802" s="8" t="str">
        <f>IFERROR(__xludf.DUMMYFUNCTION("GOOGLETRANSLATE(D2802,""zh-CN"",""vi"")"),"Hộp đựng thức ăn có tay cầm truyền thống")</f>
        <v>Hộp đựng thức ăn có tay cầm truyền thống</v>
      </c>
      <c r="G2802" s="8" t="str">
        <f>IFERROR(__xludf.DUMMYFUNCTION("GOOGLETRANSLATE(E2802,""zh-CN"",""vi"")"),"Hộp đựng thức ăn không có nắp sẽ không thể giữ được những món ngon bên trong. Hãy tự chế tạo để có được một hộp đựng thức ăn tròn sang trọng.")</f>
        <v>Hộp đựng thức ăn không có nắp sẽ không thể giữ được những món ngon bên trong. Hãy tự chế tạo để có được một hộp đựng thức ăn tròn sang trọng.</v>
      </c>
      <c r="H2802" s="8"/>
      <c r="I2802" s="8"/>
      <c r="J2802" s="8"/>
    </row>
    <row r="2803" ht="21.0" customHeight="1">
      <c r="A2803" s="6">
        <v>1.0</v>
      </c>
      <c r="B2803" s="6">
        <v>225.0</v>
      </c>
      <c r="C2803" s="6">
        <v>6.0</v>
      </c>
      <c r="D2803" s="15" t="s">
        <v>4391</v>
      </c>
      <c r="E2803" s="9" t="s">
        <v>4392</v>
      </c>
      <c r="F2803" s="8" t="str">
        <f>IFERROR(__xludf.DUMMYFUNCTION("GOOGLETRANSLATE(D2803,""zh-CN"",""vi"")"),"Hộp đựng thức ăn tròn sang trọng")</f>
        <v>Hộp đựng thức ăn tròn sang trọng</v>
      </c>
      <c r="G2803" s="8" t="str">
        <f>IFERROR(__xludf.DUMMYFUNCTION("GOOGLETRANSLATE(E2803,""zh-CN"",""vi"")"),"Ngay cả khi bạn đặt một bát súp vào bên trong, cũng sẽ không một giọt nào bị đổ. Kết hợp chúng lại để tạo thành một hộp đựng thức ăn hình cánh hoa được chạm khắc tinh xảo.")</f>
        <v>Ngay cả khi bạn đặt một bát súp vào bên trong, cũng sẽ không một giọt nào bị đổ. Kết hợp chúng lại để tạo thành một hộp đựng thức ăn hình cánh hoa được chạm khắc tinh xảo.</v>
      </c>
      <c r="H2803" s="8"/>
      <c r="I2803" s="8"/>
      <c r="J2803" s="8"/>
    </row>
    <row r="2804" ht="21.0" customHeight="1">
      <c r="A2804" s="6">
        <v>1.0</v>
      </c>
      <c r="B2804" s="6">
        <v>225.0</v>
      </c>
      <c r="C2804" s="6">
        <v>7.0</v>
      </c>
      <c r="D2804" s="15" t="s">
        <v>4393</v>
      </c>
      <c r="E2804" s="9" t="s">
        <v>4394</v>
      </c>
      <c r="F2804" s="8" t="str">
        <f>IFERROR(__xludf.DUMMYFUNCTION("GOOGLETRANSLATE(D2804,""zh-CN"",""vi"")"),"Hộp đựng thức ăn chạm khắc hình cánh hoa")</f>
        <v>Hộp đựng thức ăn chạm khắc hình cánh hoa</v>
      </c>
      <c r="G2804" s="8" t="str">
        <f>IFERROR(__xludf.DUMMYFUNCTION("GOOGLETRANSLATE(E2804,""zh-CN"",""vi"")"),"Một chiếc hộp gỗ chạm khắc tinh xảo có thể giữ trọn hương thơm của bánh ngọt. Kết hợp chúng lại để tạo thành Hộp Thực Phẩm Tứ Tượng.")</f>
        <v>Một chiếc hộp gỗ chạm khắc tinh xảo có thể giữ trọn hương thơm của bánh ngọt. Kết hợp chúng lại để tạo thành Hộp Thực Phẩm Tứ Tượng.</v>
      </c>
      <c r="H2804" s="8"/>
      <c r="I2804" s="8"/>
      <c r="J2804" s="8"/>
    </row>
    <row r="2805" ht="21.0" customHeight="1">
      <c r="A2805" s="6">
        <v>1.0</v>
      </c>
      <c r="B2805" s="6">
        <v>225.0</v>
      </c>
      <c r="C2805" s="6">
        <v>8.0</v>
      </c>
      <c r="D2805" s="15" t="s">
        <v>4395</v>
      </c>
      <c r="E2805" s="9" t="s">
        <v>4396</v>
      </c>
      <c r="F2805" s="8" t="str">
        <f>IFERROR(__xludf.DUMMYFUNCTION("GOOGLETRANSLATE(D2805,""zh-CN"",""vi"")"),"Hộp thức ăn bốn con voi")</f>
        <v>Hộp thức ăn bốn con voi</v>
      </c>
      <c r="G2805" s="8" t="str">
        <f>IFERROR(__xludf.DUMMYFUNCTION("GOOGLETRANSLATE(E2805,""zh-CN"",""vi"")"),"Nhúng phần giữa vào đường bột để có hương vị ngon hơn. Kết hợp lại để tạo thành hộp đựng thức ăn sáu ngăn.")</f>
        <v>Nhúng phần giữa vào đường bột để có hương vị ngon hơn. Kết hợp lại để tạo thành hộp đựng thức ăn sáu ngăn.</v>
      </c>
      <c r="H2805" s="8"/>
      <c r="I2805" s="8"/>
      <c r="J2805" s="8"/>
    </row>
    <row r="2806" ht="21.0" customHeight="1">
      <c r="A2806" s="6">
        <v>1.0</v>
      </c>
      <c r="B2806" s="6">
        <v>225.0</v>
      </c>
      <c r="C2806" s="6">
        <v>9.0</v>
      </c>
      <c r="D2806" s="15" t="s">
        <v>4397</v>
      </c>
      <c r="E2806" s="9" t="s">
        <v>4398</v>
      </c>
      <c r="F2806" s="8" t="str">
        <f>IFERROR(__xludf.DUMMYFUNCTION("GOOGLETRANSLATE(D2806,""zh-CN"",""vi"")"),"Hộp đựng thức ăn sáu ngăn")</f>
        <v>Hộp đựng thức ăn sáu ngăn</v>
      </c>
      <c r="G2806" s="8" t="str">
        <f>IFERROR(__xludf.DUMMYFUNCTION("GOOGLETRANSLATE(E2806,""zh-CN"",""vi"")"),"Sáu loại bánh ngọt, được tạo ra bởi sáu đầu bếp hàng đầu. Kết hợp chúng lại để tạo thành một hộp quà hình vuông chín ô.")</f>
        <v>Sáu loại bánh ngọt, được tạo ra bởi sáu đầu bếp hàng đầu. Kết hợp chúng lại để tạo thành một hộp quà hình vuông chín ô.</v>
      </c>
      <c r="H2806" s="8"/>
      <c r="I2806" s="8"/>
      <c r="J2806" s="8"/>
    </row>
    <row r="2807" ht="21.0" customHeight="1">
      <c r="A2807" s="6">
        <v>1.0</v>
      </c>
      <c r="B2807" s="6">
        <v>225.0</v>
      </c>
      <c r="C2807" s="6">
        <v>10.0</v>
      </c>
      <c r="D2807" s="15" t="s">
        <v>4399</v>
      </c>
      <c r="E2807" s="9" t="s">
        <v>4400</v>
      </c>
      <c r="F2807" s="8" t="str">
        <f>IFERROR(__xludf.DUMMYFUNCTION("GOOGLETRANSLATE(D2807,""zh-CN"",""vi"")"),"Hộp đựng thức ăn chín ngăn")</f>
        <v>Hộp đựng thức ăn chín ngăn</v>
      </c>
      <c r="G2807" s="8" t="str">
        <f>IFERROR(__xludf.DUMMYFUNCTION("GOOGLETRANSLATE(E2807,""zh-CN"",""vi"")"),"Mỗi ô vuông đại diện cho hương vị truyền thống của một vùng miền. Hãy kết hợp chúng để tạo thành một quầy bán đồ ăn vặt.")</f>
        <v>Mỗi ô vuông đại diện cho hương vị truyền thống của một vùng miền. Hãy kết hợp chúng để tạo thành một quầy bán đồ ăn vặt.</v>
      </c>
      <c r="H2807" s="8"/>
      <c r="I2807" s="8"/>
      <c r="J2807" s="8"/>
    </row>
    <row r="2808" ht="21.0" customHeight="1">
      <c r="A2808" s="6">
        <v>1.0</v>
      </c>
      <c r="B2808" s="6">
        <v>225.0</v>
      </c>
      <c r="C2808" s="6">
        <v>11.0</v>
      </c>
      <c r="D2808" s="15" t="s">
        <v>4401</v>
      </c>
      <c r="E2808" s="9" t="s">
        <v>4402</v>
      </c>
      <c r="F2808" s="8" t="str">
        <f>IFERROR(__xludf.DUMMYFUNCTION("GOOGLETRANSLATE(D2808,""zh-CN"",""vi"")"),"Quầy Dim Sum")</f>
        <v>Quầy Dim Sum</v>
      </c>
      <c r="G2808" s="8" t="str">
        <f>IFERROR(__xludf.DUMMYFUNCTION("GOOGLETRANSLATE(E2808,""zh-CN"",""vi"")"),"Tôi lỡ làm thừa quá nhiều, nên tôi sẽ dựng một quầy hàng. Kết hợp chúng lại để tạo thành một xe bán đồ ăn.")</f>
        <v>Tôi lỡ làm thừa quá nhiều, nên tôi sẽ dựng một quầy hàng. Kết hợp chúng lại để tạo thành một xe bán đồ ăn.</v>
      </c>
      <c r="H2808" s="8"/>
      <c r="I2808" s="8"/>
      <c r="J2808" s="8"/>
    </row>
    <row r="2809" ht="21.0" customHeight="1">
      <c r="A2809" s="6">
        <v>1.0</v>
      </c>
      <c r="B2809" s="6">
        <v>225.0</v>
      </c>
      <c r="C2809" s="6">
        <v>12.0</v>
      </c>
      <c r="D2809" s="15" t="s">
        <v>4403</v>
      </c>
      <c r="E2809" s="9" t="s">
        <v>4404</v>
      </c>
      <c r="F2809" s="8" t="str">
        <f>IFERROR(__xludf.DUMMYFUNCTION("GOOGLETRANSLATE(D2809,""zh-CN"",""vi"")"),"Xe đẩy thức ăn")</f>
        <v>Xe đẩy thức ăn</v>
      </c>
      <c r="G2809" s="8" t="str">
        <f>IFERROR(__xludf.DUMMYFUNCTION("GOOGLETRANSLATE(E2809,""zh-CN"",""vi"")"),"Mùi thơm của những món ăn ngon lan tỏa khắp các con phố và ngõ hẻm cùng với tiếng xe cộ. Sự kết hợp các nguyên liệu tạo nên một nhà hàng ẩm thực tinh tế.")</f>
        <v>Mùi thơm của những món ăn ngon lan tỏa khắp các con phố và ngõ hẻm cùng với tiếng xe cộ. Sự kết hợp các nguyên liệu tạo nên một nhà hàng ẩm thực tinh tế.</v>
      </c>
      <c r="H2809" s="8"/>
      <c r="I2809" s="8"/>
      <c r="J2809" s="8"/>
    </row>
    <row r="2810" ht="21.0" customHeight="1">
      <c r="A2810" s="6">
        <v>1.0</v>
      </c>
      <c r="B2810" s="6">
        <v>225.0</v>
      </c>
      <c r="C2810" s="6">
        <v>13.0</v>
      </c>
      <c r="D2810" s="15" t="s">
        <v>4405</v>
      </c>
      <c r="E2810" s="9" t="s">
        <v>4406</v>
      </c>
      <c r="F2810" s="8" t="str">
        <f>IFERROR(__xludf.DUMMYFUNCTION("GOOGLETRANSLATE(D2810,""zh-CN"",""vi"")"),"Đặc sản")</f>
        <v>Đặc sản</v>
      </c>
      <c r="G2810" s="8" t="str">
        <f>IFERROR(__xludf.DUMMYFUNCTION("GOOGLETRANSLATE(E2810,""zh-CN"",""vi"")"),"Những nhà hàng nổi tiếng nhất, cung cấp nhiều món ăn đặc sản vùng miền. (Đã được nâng cấp lên cấp độ cao nhất.)")</f>
        <v>Những nhà hàng nổi tiếng nhất, cung cấp nhiều món ăn đặc sản vùng miền. (Đã được nâng cấp lên cấp độ cao nhất.)</v>
      </c>
      <c r="H2810" s="8"/>
      <c r="I2810" s="8"/>
      <c r="J2810" s="8"/>
    </row>
    <row r="2811" ht="21.0" customHeight="1">
      <c r="A2811" s="6">
        <v>11.0</v>
      </c>
      <c r="B2811" s="6">
        <v>1056.0</v>
      </c>
      <c r="C2811" s="6">
        <v>1.0</v>
      </c>
      <c r="D2811" s="15" t="s">
        <v>4407</v>
      </c>
      <c r="E2811" s="9" t="s">
        <v>4408</v>
      </c>
      <c r="F2811" s="8" t="str">
        <f>IFERROR(__xludf.DUMMYFUNCTION("GOOGLETRANSLATE(D2811,""zh-CN"",""vi"")"),"Giỏ picnic trống")</f>
        <v>Giỏ picnic trống</v>
      </c>
      <c r="G2811" s="8" t="str">
        <f>IFERROR(__xludf.DUMMYFUNCTION("GOOGLETRANSLATE(E2811,""zh-CN"",""vi"")"),"Để tôi nghĩ xem, mình nên mang gì nhỉ? (Chuẩn bị một giỏ đồ ăn dã ngoại đầy đủ)")</f>
        <v>Để tôi nghĩ xem, mình nên mang gì nhỉ? (Chuẩn bị một giỏ đồ ăn dã ngoại đầy đủ)</v>
      </c>
      <c r="H2811" s="8"/>
      <c r="I2811" s="8"/>
      <c r="J2811" s="8"/>
    </row>
    <row r="2812" ht="21.0" customHeight="1">
      <c r="A2812" s="6">
        <v>11.0</v>
      </c>
      <c r="B2812" s="6">
        <v>1056.0</v>
      </c>
      <c r="C2812" s="6">
        <v>2.0</v>
      </c>
      <c r="D2812" s="15" t="s">
        <v>4409</v>
      </c>
      <c r="E2812" s="9" t="s">
        <v>4410</v>
      </c>
      <c r="F2812" s="8" t="str">
        <f>IFERROR(__xludf.DUMMYFUNCTION("GOOGLETRANSLATE(D2812,""zh-CN"",""vi"")"),"Một giỏ picnic đầy ắp")</f>
        <v>Một giỏ picnic đầy ắp</v>
      </c>
      <c r="G2812" s="8" t="str">
        <f>IFERROR(__xludf.DUMMYFUNCTION("GOOGLETRANSLATE(E2812,""zh-CN"",""vi"")"),"Hai chiếc bánh sandwich và một hộp bánh ngọt hương hoa mộc lan. Kết hợp chúng lại với nhau để tạo thành một tấm thảm dã ngoại.")</f>
        <v>Hai chiếc bánh sandwich và một hộp bánh ngọt hương hoa mộc lan. Kết hợp chúng lại với nhau để tạo thành một tấm thảm dã ngoại.</v>
      </c>
      <c r="H2812" s="8"/>
      <c r="I2812" s="8"/>
      <c r="J2812" s="8"/>
    </row>
    <row r="2813" ht="21.0" customHeight="1">
      <c r="A2813" s="6">
        <v>11.0</v>
      </c>
      <c r="B2813" s="6">
        <v>1056.0</v>
      </c>
      <c r="C2813" s="6">
        <v>3.0</v>
      </c>
      <c r="D2813" s="15" t="s">
        <v>4411</v>
      </c>
      <c r="E2813" s="9" t="s">
        <v>4412</v>
      </c>
      <c r="F2813" s="8" t="str">
        <f>IFERROR(__xludf.DUMMYFUNCTION("GOOGLETRANSLATE(D2813,""zh-CN"",""vi"")"),"Thảm dã ngoại")</f>
        <v>Thảm dã ngoại</v>
      </c>
      <c r="G2813" s="8" t="str">
        <f>IFERROR(__xludf.DUMMYFUNCTION("GOOGLETRANSLATE(E2813,""zh-CN"",""vi"")"),"Những cánh hoa đang rơi, thật đẹp! Hãy tự tay làm một tấm thảm dã ngoại thật xinh xắn.")</f>
        <v>Những cánh hoa đang rơi, thật đẹp! Hãy tự tay làm một tấm thảm dã ngoại thật xinh xắn.</v>
      </c>
      <c r="H2813" s="8"/>
      <c r="I2813" s="8"/>
      <c r="J2813" s="8"/>
    </row>
    <row r="2814" ht="21.0" customHeight="1">
      <c r="A2814" s="6">
        <v>11.0</v>
      </c>
      <c r="B2814" s="6">
        <v>1056.0</v>
      </c>
      <c r="C2814" s="6">
        <v>4.0</v>
      </c>
      <c r="D2814" s="15" t="s">
        <v>4413</v>
      </c>
      <c r="E2814" s="9" t="s">
        <v>4414</v>
      </c>
      <c r="F2814" s="8" t="str">
        <f>IFERROR(__xludf.DUMMYFUNCTION("GOOGLETRANSLATE(D2814,""zh-CN"",""vi"")"),"Thảm dã ngoại chất lượng cao")</f>
        <v>Thảm dã ngoại chất lượng cao</v>
      </c>
      <c r="G2814" s="8" t="str">
        <f>IFERROR(__xludf.DUMMYFUNCTION("GOOGLETRANSLATE(E2814,""zh-CN"",""vi"")"),"Đến giờ ăn trưa rồi, nghỉ giải lao thôi. (Chế tạo một chiếc xe nhà di động)")</f>
        <v>Đến giờ ăn trưa rồi, nghỉ giải lao thôi. (Chế tạo một chiếc xe nhà di động)</v>
      </c>
      <c r="H2814" s="8"/>
      <c r="I2814" s="8"/>
      <c r="J2814" s="8"/>
    </row>
    <row r="2815" ht="21.0" customHeight="1">
      <c r="A2815" s="6">
        <v>10.0</v>
      </c>
      <c r="B2815" s="6">
        <v>1056.0</v>
      </c>
      <c r="C2815" s="6">
        <v>5.0</v>
      </c>
      <c r="D2815" s="15" t="s">
        <v>4415</v>
      </c>
      <c r="E2815" s="9" t="s">
        <v>4416</v>
      </c>
      <c r="F2815" s="8" t="str">
        <f>IFERROR(__xludf.DUMMYFUNCTION("GOOGLETRANSLATE(D2815,""zh-CN"",""vi"")"),"Xe cắm trại")</f>
        <v>Xe cắm trại</v>
      </c>
      <c r="G2815" s="8" t="str">
        <f>IFERROR(__xludf.DUMMYFUNCTION("GOOGLETRANSLATE(E2815,""zh-CN"",""vi"")"),"Bên trong có bánh mì sandwich, chân máy ảnh, ghế xếp... kết hợp chúng lại để tạo thành một chiếc xe đẩy cắm trại chở được một nửa tải trọng.")</f>
        <v>Bên trong có bánh mì sandwich, chân máy ảnh, ghế xếp... kết hợp chúng lại để tạo thành một chiếc xe đẩy cắm trại chở được một nửa tải trọng.</v>
      </c>
      <c r="H2815" s="8"/>
      <c r="I2815" s="8"/>
      <c r="J2815" s="8"/>
    </row>
    <row r="2816" ht="21.0" customHeight="1">
      <c r="A2816" s="6">
        <v>10.0</v>
      </c>
      <c r="B2816" s="6">
        <v>1056.0</v>
      </c>
      <c r="C2816" s="6">
        <v>6.0</v>
      </c>
      <c r="D2816" s="15" t="s">
        <v>4417</v>
      </c>
      <c r="E2816" s="9" t="s">
        <v>4418</v>
      </c>
      <c r="F2816" s="8" t="str">
        <f>IFERROR(__xludf.DUMMYFUNCTION("GOOGLETRANSLATE(D2816,""zh-CN"",""vi"")"),"Xe cắm trại chở nửa tải")</f>
        <v>Xe cắm trại chở nửa tải</v>
      </c>
      <c r="G2816" s="8" t="str">
        <f>IFERROR(__xludf.DUMMYFUNCTION("GOOGLETRANSLATE(E2816,""zh-CN"",""vi"")"),"Nó còn có hệ thống âm thanh, máy chiếu và rất nhiều trò chơi cờ bàn... kết hợp tất cả lại để tạo thành một chiếc xe cắm trại đầy đủ tiện nghi.")</f>
        <v>Nó còn có hệ thống âm thanh, máy chiếu và rất nhiều trò chơi cờ bàn... kết hợp tất cả lại để tạo thành một chiếc xe cắm trại đầy đủ tiện nghi.</v>
      </c>
      <c r="H2816" s="8"/>
      <c r="I2816" s="8"/>
      <c r="J2816" s="8"/>
    </row>
    <row r="2817" ht="21.0" customHeight="1">
      <c r="A2817" s="6">
        <v>10.0</v>
      </c>
      <c r="B2817" s="6">
        <v>1056.0</v>
      </c>
      <c r="C2817" s="6">
        <v>7.0</v>
      </c>
      <c r="D2817" s="15" t="s">
        <v>4419</v>
      </c>
      <c r="E2817" s="9" t="s">
        <v>4420</v>
      </c>
      <c r="F2817" s="8" t="str">
        <f>IFERROR(__xludf.DUMMYFUNCTION("GOOGLETRANSLATE(D2817,""zh-CN"",""vi"")"),"Xe cắm trại đầy đủ tiện nghi")</f>
        <v>Xe cắm trại đầy đủ tiện nghi</v>
      </c>
      <c r="G2817" s="8" t="str">
        <f>IFERROR(__xludf.DUMMYFUNCTION("GOOGLETRANSLATE(E2817,""zh-CN"",""vi"")"),"Chiếc xe đã được chất đầy đồ; liệu họ có đang lên kế hoạch cho một chuyến phiêu lưu sinh tồn trong vùng hoang dã không? (Tự chế tạo một chiếc xe cắm trại cao cấp.)")</f>
        <v>Chiếc xe đã được chất đầy đồ; liệu họ có đang lên kế hoạch cho một chuyến phiêu lưu sinh tồn trong vùng hoang dã không? (Tự chế tạo một chiếc xe cắm trại cao cấp.)</v>
      </c>
      <c r="H2817" s="8"/>
      <c r="I2817" s="8"/>
      <c r="J2817" s="8"/>
    </row>
    <row r="2818" ht="21.0" customHeight="1">
      <c r="A2818" s="6">
        <v>10.0</v>
      </c>
      <c r="B2818" s="6">
        <v>1056.0</v>
      </c>
      <c r="C2818" s="6">
        <v>8.0</v>
      </c>
      <c r="D2818" s="15" t="s">
        <v>4421</v>
      </c>
      <c r="E2818" s="9" t="s">
        <v>4422</v>
      </c>
      <c r="F2818" s="8" t="str">
        <f>IFERROR(__xludf.DUMMYFUNCTION("GOOGLETRANSLATE(D2818,""zh-CN"",""vi"")"),"Xe cắm trại hạng sang")</f>
        <v>Xe cắm trại hạng sang</v>
      </c>
      <c r="G2818" s="8" t="str">
        <f>IFERROR(__xludf.DUMMYFUNCTION("GOOGLETRANSLATE(E2818,""zh-CN"",""vi"")"),"Trước khi chúng tôi đến khu cắm trại, một số người đã bắt đầu ăn rồi. (Dựng một khu cắm trại nhỏ.)")</f>
        <v>Trước khi chúng tôi đến khu cắm trại, một số người đã bắt đầu ăn rồi. (Dựng một khu cắm trại nhỏ.)</v>
      </c>
      <c r="H2818" s="8"/>
      <c r="I2818" s="8"/>
      <c r="J2818" s="8"/>
    </row>
    <row r="2819" ht="21.0" customHeight="1">
      <c r="A2819" s="6">
        <v>10.0</v>
      </c>
      <c r="B2819" s="6">
        <v>1056.0</v>
      </c>
      <c r="C2819" s="6">
        <v>9.0</v>
      </c>
      <c r="D2819" s="15" t="s">
        <v>4423</v>
      </c>
      <c r="E2819" s="9" t="s">
        <v>4424</v>
      </c>
      <c r="F2819" s="8" t="str">
        <f>IFERROR(__xludf.DUMMYFUNCTION("GOOGLETRANSLATE(D2819,""zh-CN"",""vi"")"),"Khu cắm trại")</f>
        <v>Khu cắm trại</v>
      </c>
      <c r="G2819" s="8" t="str">
        <f>IFERROR(__xludf.DUMMYFUNCTION("GOOGLETRANSLATE(E2819,""zh-CN"",""vi"")"),"Các chị em ơi, trước tiên chúng ta hãy tạo dáng và chụp ảnh nhé. Sau đó, chúng ta sẽ ghép các bức ảnh lại để có được bộ ảnh ""Gia đình đi cắm trại"" nhé.")</f>
        <v>Các chị em ơi, trước tiên chúng ta hãy tạo dáng và chụp ảnh nhé. Sau đó, chúng ta sẽ ghép các bức ảnh lại để có được bộ ảnh "Gia đình đi cắm trại" nhé.</v>
      </c>
      <c r="H2819" s="8"/>
      <c r="I2819" s="8"/>
      <c r="J2819" s="8"/>
    </row>
    <row r="2820" ht="21.0" customHeight="1">
      <c r="A2820" s="6">
        <v>10.0</v>
      </c>
      <c r="B2820" s="6">
        <v>1056.0</v>
      </c>
      <c r="C2820" s="6">
        <v>10.0</v>
      </c>
      <c r="D2820" s="15" t="s">
        <v>4425</v>
      </c>
      <c r="E2820" s="9" t="s">
        <v>4426</v>
      </c>
      <c r="F2820" s="8" t="str">
        <f>IFERROR(__xludf.DUMMYFUNCTION("GOOGLETRANSLATE(D2820,""zh-CN"",""vi"")"),"Thùng đồ cắm trại gia đình")</f>
        <v>Thùng đồ cắm trại gia đình</v>
      </c>
      <c r="G2820" s="8" t="str">
        <f>IFERROR(__xludf.DUMMYFUNCTION("GOOGLETRANSLATE(E2820,""zh-CN"",""vi"")"),"Ôi, lạnh quá! Chụp ảnh xong rồi thì quay lại xe thôi. (Ảnh đã được chỉnh chất lượng tối đa)")</f>
        <v>Ôi, lạnh quá! Chụp ảnh xong rồi thì quay lại xe thôi. (Ảnh đã được chỉnh chất lượng tối đa)</v>
      </c>
      <c r="H2820" s="8"/>
      <c r="I2820" s="8"/>
      <c r="J2820" s="8"/>
    </row>
    <row r="2821" ht="21.0" customHeight="1">
      <c r="A2821" s="6">
        <v>11.0</v>
      </c>
      <c r="B2821" s="6">
        <v>1057.0</v>
      </c>
      <c r="C2821" s="6">
        <v>1.0</v>
      </c>
      <c r="D2821" s="15" t="s">
        <v>4427</v>
      </c>
      <c r="E2821" s="9" t="s">
        <v>4428</v>
      </c>
      <c r="F2821" s="8" t="str">
        <f>IFERROR(__xludf.DUMMYFUNCTION("GOOGLETRANSLATE(D2821,""zh-CN"",""vi"")"),"Một giỏ picnic trống rỗng [V]")</f>
        <v>Một giỏ picnic trống rỗng [V]</v>
      </c>
      <c r="G2821" s="8" t="str">
        <f>IFERROR(__xludf.DUMMYFUNCTION("GOOGLETRANSLATE(E2821,""zh-CN"",""vi"")"),"Để tôi nghĩ xem, tôi nên mang gì nhỉ? Chuẩn bị một giỏ picnic đầy đủ [V]")</f>
        <v>Để tôi nghĩ xem, tôi nên mang gì nhỉ? Chuẩn bị một giỏ picnic đầy đủ [V]</v>
      </c>
      <c r="H2821" s="8"/>
      <c r="I2821" s="8"/>
      <c r="J2821" s="8"/>
    </row>
    <row r="2822" ht="21.0" customHeight="1">
      <c r="A2822" s="6">
        <v>11.0</v>
      </c>
      <c r="B2822" s="6">
        <v>1057.0</v>
      </c>
      <c r="C2822" s="6">
        <v>2.0</v>
      </c>
      <c r="D2822" s="15" t="s">
        <v>4429</v>
      </c>
      <c r="E2822" s="9" t="s">
        <v>4430</v>
      </c>
      <c r="F2822" s="8" t="str">
        <f>IFERROR(__xludf.DUMMYFUNCTION("GOOGLETRANSLATE(D2822,""zh-CN"",""vi"")"),"Một giỏ picnic đầy ắp [V]")</f>
        <v>Một giỏ picnic đầy ắp [V]</v>
      </c>
      <c r="G2822" s="8" t="str">
        <f>IFERROR(__xludf.DUMMYFUNCTION("GOOGLETRANSLATE(E2822,""zh-CN"",""vi"")"),"Hai chiếc bánh mì sandwich và một hộp bánh ngọt hương hoa mộc. Kết hợp chúng lại với nhau để tạo thành một tấm chiếu dã ngoại [V].")</f>
        <v>Hai chiếc bánh mì sandwich và một hộp bánh ngọt hương hoa mộc. Kết hợp chúng lại với nhau để tạo thành một tấm chiếu dã ngoại [V].</v>
      </c>
      <c r="H2822" s="8"/>
      <c r="I2822" s="8"/>
      <c r="J2822" s="8"/>
    </row>
    <row r="2823" ht="21.0" customHeight="1">
      <c r="A2823" s="6">
        <v>11.0</v>
      </c>
      <c r="B2823" s="6">
        <v>1057.0</v>
      </c>
      <c r="C2823" s="6">
        <v>3.0</v>
      </c>
      <c r="D2823" s="15" t="s">
        <v>4431</v>
      </c>
      <c r="E2823" s="9" t="s">
        <v>4432</v>
      </c>
      <c r="F2823" s="8" t="str">
        <f>IFERROR(__xludf.DUMMYFUNCTION("GOOGLETRANSLATE(D2823,""zh-CN"",""vi"")"),"Thảm dã ngoại [V]")</f>
        <v>Thảm dã ngoại [V]</v>
      </c>
      <c r="G2823" s="8" t="str">
        <f>IFERROR(__xludf.DUMMYFUNCTION("GOOGLETRANSLATE(E2823,""zh-CN"",""vi"")"),"Những cánh hoa đang rơi, thật đẹp! Hãy tự tay làm một tấm thảm dã ngoại chất lượng cao [V]")</f>
        <v>Những cánh hoa đang rơi, thật đẹp! Hãy tự tay làm một tấm thảm dã ngoại chất lượng cao [V]</v>
      </c>
      <c r="H2823" s="8"/>
      <c r="I2823" s="8"/>
      <c r="J2823" s="8"/>
    </row>
    <row r="2824" ht="21.0" customHeight="1">
      <c r="A2824" s="6">
        <v>11.0</v>
      </c>
      <c r="B2824" s="6">
        <v>1057.0</v>
      </c>
      <c r="C2824" s="6">
        <v>4.0</v>
      </c>
      <c r="D2824" s="15" t="s">
        <v>4433</v>
      </c>
      <c r="E2824" s="9" t="s">
        <v>4434</v>
      </c>
      <c r="F2824" s="8" t="str">
        <f>IFERROR(__xludf.DUMMYFUNCTION("GOOGLETRANSLATE(D2824,""zh-CN"",""vi"")"),"Thảm dã ngoại chất lượng cao [V]")</f>
        <v>Thảm dã ngoại chất lượng cao [V]</v>
      </c>
      <c r="G2824" s="8" t="str">
        <f>IFERROR(__xludf.DUMMYFUNCTION("GOOGLETRANSLATE(E2824,""zh-CN"",""vi"")"),"Đến giờ ăn trưa rồi, chúng ta nghỉ giải lao thôi. (Chế tạo một chiếc xe cắm trại [V])")</f>
        <v>Đến giờ ăn trưa rồi, chúng ta nghỉ giải lao thôi. (Chế tạo một chiếc xe cắm trại [V])</v>
      </c>
      <c r="H2824" s="8"/>
      <c r="I2824" s="8"/>
      <c r="J2824" s="8"/>
    </row>
    <row r="2825" ht="21.0" customHeight="1">
      <c r="A2825" s="6">
        <v>10.0</v>
      </c>
      <c r="B2825" s="6">
        <v>1057.0</v>
      </c>
      <c r="C2825" s="6">
        <v>5.0</v>
      </c>
      <c r="D2825" s="15" t="s">
        <v>4435</v>
      </c>
      <c r="E2825" s="9" t="s">
        <v>4436</v>
      </c>
      <c r="F2825" s="8" t="str">
        <f>IFERROR(__xludf.DUMMYFUNCTION("GOOGLETRANSLATE(D2825,""zh-CN"",""vi"")"),"Xe cắm trại [V]")</f>
        <v>Xe cắm trại [V]</v>
      </c>
      <c r="G2825" s="8" t="str">
        <f>IFERROR(__xludf.DUMMYFUNCTION("GOOGLETRANSLATE(E2825,""zh-CN"",""vi"")"),"Bên trong có bánh mì sandwich, giá ba chân, ghế gấp... kết hợp chúng lại để tạo thành một chiếc xe đẩy cắm trại chở nửa tải [V]")</f>
        <v>Bên trong có bánh mì sandwich, giá ba chân, ghế gấp... kết hợp chúng lại để tạo thành một chiếc xe đẩy cắm trại chở nửa tải [V]</v>
      </c>
      <c r="H2825" s="8"/>
      <c r="I2825" s="8"/>
      <c r="J2825" s="8"/>
    </row>
    <row r="2826" ht="21.0" customHeight="1">
      <c r="A2826" s="6">
        <v>10.0</v>
      </c>
      <c r="B2826" s="6">
        <v>1057.0</v>
      </c>
      <c r="C2826" s="6">
        <v>6.0</v>
      </c>
      <c r="D2826" s="15" t="s">
        <v>4437</v>
      </c>
      <c r="E2826" s="9" t="s">
        <v>4438</v>
      </c>
      <c r="F2826" s="8" t="str">
        <f>IFERROR(__xludf.DUMMYFUNCTION("GOOGLETRANSLATE(D2826,""zh-CN"",""vi"")"),"Xe cắm trại chở nửa tải [V]")</f>
        <v>Xe cắm trại chở nửa tải [V]</v>
      </c>
      <c r="G2826" s="8" t="str">
        <f>IFERROR(__xludf.DUMMYFUNCTION("GOOGLETRANSLATE(E2826,""zh-CN"",""vi"")"),"Nó cũng có hệ thống âm thanh, máy chiếu và một loạt trò chơi cờ bàn... kết hợp chúng lại để có một chiếc xe cắm trại đầy đủ tiện nghi [V]")</f>
        <v>Nó cũng có hệ thống âm thanh, máy chiếu và một loạt trò chơi cờ bàn... kết hợp chúng lại để có một chiếc xe cắm trại đầy đủ tiện nghi [V]</v>
      </c>
      <c r="H2826" s="8"/>
      <c r="I2826" s="8"/>
      <c r="J2826" s="8"/>
    </row>
    <row r="2827" ht="21.0" customHeight="1">
      <c r="A2827" s="6">
        <v>10.0</v>
      </c>
      <c r="B2827" s="6">
        <v>1057.0</v>
      </c>
      <c r="C2827" s="6">
        <v>7.0</v>
      </c>
      <c r="D2827" s="15" t="s">
        <v>4439</v>
      </c>
      <c r="E2827" s="9" t="s">
        <v>4440</v>
      </c>
      <c r="F2827" s="8" t="str">
        <f>IFERROR(__xludf.DUMMYFUNCTION("GOOGLETRANSLATE(D2827,""zh-CN"",""vi"")"),"Xe cắm trại đầy đủ tiện nghi [V]")</f>
        <v>Xe cắm trại đầy đủ tiện nghi [V]</v>
      </c>
      <c r="G2827" s="8" t="str">
        <f>IFERROR(__xludf.DUMMYFUNCTION("GOOGLETRANSLATE(E2827,""zh-CN"",""vi"")"),"Chiếc xe đã được chất đầy đồ; liệu họ có đang lên kế hoạch cho một cuộc phiêu lưu sinh tồn trong vùng hoang dã không? (Chế tạo một chiếc xe cắm trại cao cấp [V])")</f>
        <v>Chiếc xe đã được chất đầy đồ; liệu họ có đang lên kế hoạch cho một cuộc phiêu lưu sinh tồn trong vùng hoang dã không? (Chế tạo một chiếc xe cắm trại cao cấp [V])</v>
      </c>
      <c r="H2827" s="8"/>
      <c r="I2827" s="8"/>
      <c r="J2827" s="8"/>
    </row>
    <row r="2828" ht="21.0" customHeight="1">
      <c r="A2828" s="6">
        <v>10.0</v>
      </c>
      <c r="B2828" s="6">
        <v>1057.0</v>
      </c>
      <c r="C2828" s="6">
        <v>8.0</v>
      </c>
      <c r="D2828" s="15" t="s">
        <v>4441</v>
      </c>
      <c r="E2828" s="9" t="s">
        <v>4442</v>
      </c>
      <c r="F2828" s="8" t="str">
        <f>IFERROR(__xludf.DUMMYFUNCTION("GOOGLETRANSLATE(D2828,""zh-CN"",""vi"")"),"Xe cắm trại hạng sang [V]")</f>
        <v>Xe cắm trại hạng sang [V]</v>
      </c>
      <c r="G2828" s="8" t="str">
        <f>IFERROR(__xludf.DUMMYFUNCTION("GOOGLETRANSLATE(E2828,""zh-CN"",""vi"")"),"Trước khi chúng tôi đến khu cắm trại, một số người đã ăn rồi. (Dựng một khu cắm trại nhỏ [V])")</f>
        <v>Trước khi chúng tôi đến khu cắm trại, một số người đã ăn rồi. (Dựng một khu cắm trại nhỏ [V])</v>
      </c>
      <c r="H2828" s="8"/>
      <c r="I2828" s="8"/>
      <c r="J2828" s="8"/>
    </row>
    <row r="2829" ht="21.0" customHeight="1">
      <c r="A2829" s="6">
        <v>10.0</v>
      </c>
      <c r="B2829" s="6">
        <v>1057.0</v>
      </c>
      <c r="C2829" s="6">
        <v>9.0</v>
      </c>
      <c r="D2829" s="15" t="s">
        <v>4443</v>
      </c>
      <c r="E2829" s="9" t="s">
        <v>4444</v>
      </c>
      <c r="F2829" s="8" t="str">
        <f>IFERROR(__xludf.DUMMYFUNCTION("GOOGLETRANSLATE(D2829,""zh-CN"",""vi"")"),"Khu cắm trại [V]")</f>
        <v>Khu cắm trại [V]</v>
      </c>
      <c r="G2829" s="8" t="str">
        <f>IFERROR(__xludf.DUMMYFUNCTION("GOOGLETRANSLATE(E2829,""zh-CN"",""vi"")"),"Các chị em ơi, hãy tạo dáng và chụp ảnh trước nhé. Kết hợp chúng lại để có được Xô Gia đình Cắm trại [V]")</f>
        <v>Các chị em ơi, hãy tạo dáng và chụp ảnh trước nhé. Kết hợp chúng lại để có được Xô Gia đình Cắm trại [V]</v>
      </c>
      <c r="H2829" s="8"/>
      <c r="I2829" s="8"/>
      <c r="J2829" s="8"/>
    </row>
    <row r="2830" ht="21.0" customHeight="1">
      <c r="A2830" s="6">
        <v>10.0</v>
      </c>
      <c r="B2830" s="6">
        <v>1057.0</v>
      </c>
      <c r="C2830" s="6">
        <v>10.0</v>
      </c>
      <c r="D2830" s="15" t="s">
        <v>4445</v>
      </c>
      <c r="E2830" s="9" t="s">
        <v>4426</v>
      </c>
      <c r="F2830" s="8" t="str">
        <f>IFERROR(__xludf.DUMMYFUNCTION("GOOGLETRANSLATE(D2830,""zh-CN"",""vi"")"),"Thùng đồ dùng cắm trại cho gia đình [V]")</f>
        <v>Thùng đồ dùng cắm trại cho gia đình [V]</v>
      </c>
      <c r="G2830" s="8" t="str">
        <f>IFERROR(__xludf.DUMMYFUNCTION("GOOGLETRANSLATE(E2830,""zh-CN"",""vi"")"),"Ôi, lạnh quá! Chụp ảnh xong rồi thì quay lại xe thôi. (Ảnh đã được chỉnh chất lượng tối đa)")</f>
        <v>Ôi, lạnh quá! Chụp ảnh xong rồi thì quay lại xe thôi. (Ảnh đã được chỉnh chất lượng tối đa)</v>
      </c>
      <c r="H2830" s="8"/>
      <c r="I2830" s="8"/>
      <c r="J2830" s="8"/>
    </row>
    <row r="2831" ht="21.0" customHeight="1">
      <c r="A2831" s="6">
        <v>1.0</v>
      </c>
      <c r="B2831" s="6">
        <v>228.0</v>
      </c>
      <c r="C2831" s="6">
        <v>1.0</v>
      </c>
      <c r="D2831" s="73" t="s">
        <v>4446</v>
      </c>
      <c r="E2831" s="9" t="s">
        <v>4447</v>
      </c>
      <c r="F2831" s="8" t="str">
        <f>IFERROR(__xludf.DUMMYFUNCTION("GOOGLETRANSLATE(D2831,""zh-CN"",""vi"")"),"Vỏ chuối vỡ")</f>
        <v>Vỏ chuối vỡ</v>
      </c>
      <c r="G2831" s="8" t="str">
        <f>IFERROR(__xludf.DUMMYFUNCTION("GOOGLETRANSLATE(E2831,""zh-CN"",""vi"")"),"Đừng vứt vỏ chuối bừa bãi, chúng có thể khiến mọi người trượt ngã! (Gộp chung để lấy táo còn thừa)")</f>
        <v>Đừng vứt vỏ chuối bừa bãi, chúng có thể khiến mọi người trượt ngã! (Gộp chung để lấy táo còn thừa)</v>
      </c>
      <c r="H2831" s="8"/>
      <c r="I2831" s="8"/>
      <c r="J2831" s="8"/>
    </row>
    <row r="2832" ht="21.0" customHeight="1">
      <c r="A2832" s="6">
        <v>1.0</v>
      </c>
      <c r="B2832" s="6">
        <v>228.0</v>
      </c>
      <c r="C2832" s="6">
        <v>2.0</v>
      </c>
      <c r="D2832" s="15" t="s">
        <v>4448</v>
      </c>
      <c r="E2832" s="9" t="s">
        <v>4449</v>
      </c>
      <c r="F2832" s="8" t="str">
        <f>IFERROR(__xludf.DUMMYFUNCTION("GOOGLETRANSLATE(D2832,""zh-CN"",""vi"")"),"Táo còn thừa")</f>
        <v>Táo còn thừa</v>
      </c>
      <c r="G2832" s="8" t="str">
        <f>IFERROR(__xludf.DUMMYFUNCTION("GOOGLETRANSLATE(E2832,""zh-CN"",""vi"")"),"Chuột sẽ không phiền đâu. Bạn có thể tổng hợp vỏ trứng.")</f>
        <v>Chuột sẽ không phiền đâu. Bạn có thể tổng hợp vỏ trứng.</v>
      </c>
      <c r="H2832" s="8"/>
      <c r="I2832" s="8"/>
      <c r="J2832" s="8"/>
    </row>
    <row r="2833" ht="21.0" customHeight="1">
      <c r="A2833" s="6">
        <v>1.0</v>
      </c>
      <c r="B2833" s="6">
        <v>228.0</v>
      </c>
      <c r="C2833" s="6">
        <v>3.0</v>
      </c>
      <c r="D2833" s="15" t="s">
        <v>4450</v>
      </c>
      <c r="E2833" s="9" t="s">
        <v>4451</v>
      </c>
      <c r="F2833" s="8" t="str">
        <f>IFERROR(__xludf.DUMMYFUNCTION("GOOGLETRANSLATE(D2833,""zh-CN"",""vi"")"),"vỏ trứng")</f>
        <v>vỏ trứng</v>
      </c>
      <c r="G2833" s="8" t="str">
        <f>IFERROR(__xludf.DUMMYFUNCTION("GOOGLETRANSLATE(E2833,""zh-CN"",""vi"")"),"Các miếng dưa hấu không được cắt hoàn hảo. Hãy ghép chúng lại để có được phần dưa hấu còn thừa.")</f>
        <v>Các miếng dưa hấu không được cắt hoàn hảo. Hãy ghép chúng lại để có được phần dưa hấu còn thừa.</v>
      </c>
      <c r="H2833" s="8"/>
      <c r="I2833" s="8"/>
      <c r="J2833" s="8"/>
    </row>
    <row r="2834" ht="21.0" customHeight="1">
      <c r="A2834" s="6">
        <v>1.0</v>
      </c>
      <c r="B2834" s="6">
        <v>228.0</v>
      </c>
      <c r="C2834" s="6">
        <v>4.0</v>
      </c>
      <c r="D2834" s="15" t="s">
        <v>4452</v>
      </c>
      <c r="E2834" s="9" t="s">
        <v>4453</v>
      </c>
      <c r="F2834" s="8" t="str">
        <f>IFERROR(__xludf.DUMMYFUNCTION("GOOGLETRANSLATE(D2834,""zh-CN"",""vi"")"),"Dưa hấu còn thừa")</f>
        <v>Dưa hấu còn thừa</v>
      </c>
      <c r="G2834" s="8" t="str">
        <f>IFERROR(__xludf.DUMMYFUNCTION("GOOGLETRANSLATE(E2834,""zh-CN"",""vi"")"),"Vẫn còn khoảng một nửa phần thịt dưa hấu, hơi lãng phí một chút. Trộn chúng lại để được xương cá.")</f>
        <v>Vẫn còn khoảng một nửa phần thịt dưa hấu, hơi lãng phí một chút. Trộn chúng lại để được xương cá.</v>
      </c>
      <c r="H2834" s="8"/>
      <c r="I2834" s="8"/>
      <c r="J2834" s="8"/>
    </row>
    <row r="2835" ht="21.0" customHeight="1">
      <c r="A2835" s="6">
        <v>1.0</v>
      </c>
      <c r="B2835" s="6">
        <v>228.0</v>
      </c>
      <c r="C2835" s="6">
        <v>5.0</v>
      </c>
      <c r="D2835" s="15" t="s">
        <v>4454</v>
      </c>
      <c r="E2835" s="9" t="s">
        <v>4455</v>
      </c>
      <c r="F2835" s="8" t="str">
        <f>IFERROR(__xludf.DUMMYFUNCTION("GOOGLETRANSLATE(D2835,""zh-CN"",""vi"")"),"Xương cá")</f>
        <v>Xương cá</v>
      </c>
      <c r="G2835" s="8" t="str">
        <f>IFERROR(__xludf.DUMMYFUNCTION("GOOGLETRANSLATE(E2835,""zh-CN"",""vi"")"),"Chúng ăn sạch bong kin kít; lũ động vật nhỏ chẳng được ăn gì cả. (Thành phẩm là vụn bánh mì nướng.)")</f>
        <v>Chúng ăn sạch bong kin kít; lũ động vật nhỏ chẳng được ăn gì cả. (Thành phẩm là vụn bánh mì nướng.)</v>
      </c>
      <c r="H2835" s="8"/>
      <c r="I2835" s="8"/>
      <c r="J2835" s="8"/>
    </row>
    <row r="2836" ht="21.0" customHeight="1">
      <c r="A2836" s="6">
        <v>1.0</v>
      </c>
      <c r="B2836" s="6">
        <v>228.0</v>
      </c>
      <c r="C2836" s="6">
        <v>6.0</v>
      </c>
      <c r="D2836" s="15" t="s">
        <v>4456</v>
      </c>
      <c r="E2836" s="9" t="s">
        <v>4457</v>
      </c>
      <c r="F2836" s="8" t="str">
        <f>IFERROR(__xludf.DUMMYFUNCTION("GOOGLETRANSLATE(D2836,""zh-CN"",""vi"")"),"Vụn bánh mì nướng")</f>
        <v>Vụn bánh mì nướng</v>
      </c>
      <c r="G2836" s="8" t="str">
        <f>IFERROR(__xludf.DUMMYFUNCTION("GOOGLETRANSLATE(E2836,""zh-CN"",""vi"")"),"Với một chút nước sốt, nó vẫn ăn được. (Vỏ sữa có thể thu được thông qua việc chế tạo.)")</f>
        <v>Với một chút nước sốt, nó vẫn ăn được. (Vỏ sữa có thể thu được thông qua việc chế tạo.)</v>
      </c>
      <c r="H2836" s="8"/>
      <c r="I2836" s="8"/>
      <c r="J2836" s="8"/>
    </row>
    <row r="2837" ht="21.0" customHeight="1">
      <c r="A2837" s="6">
        <v>1.0</v>
      </c>
      <c r="B2837" s="6">
        <v>228.0</v>
      </c>
      <c r="C2837" s="6">
        <v>7.0</v>
      </c>
      <c r="D2837" s="15" t="s">
        <v>4458</v>
      </c>
      <c r="E2837" s="9" t="s">
        <v>4459</v>
      </c>
      <c r="F2837" s="8" t="str">
        <f>IFERROR(__xludf.DUMMYFUNCTION("GOOGLETRANSLATE(D2837,""zh-CN"",""vi"")"),"Vỏ sữa")</f>
        <v>Vỏ sữa</v>
      </c>
      <c r="G2837" s="8" t="str">
        <f>IFERROR(__xludf.DUMMYFUNCTION("GOOGLETRANSLATE(E2837,""zh-CN"",""vi"")"),"Sẽ thật tuyệt nếu chúng ta có thể thu thập toàn bộ sữa bên trong vỏ trứng. (Lá rau thối có thể được tổng hợp từ chất này.)")</f>
        <v>Sẽ thật tuyệt nếu chúng ta có thể thu thập toàn bộ sữa bên trong vỏ trứng. (Lá rau thối có thể được tổng hợp từ chất này.)</v>
      </c>
      <c r="H2837" s="8"/>
      <c r="I2837" s="8"/>
      <c r="J2837" s="8"/>
    </row>
    <row r="2838" ht="21.0" customHeight="1">
      <c r="A2838" s="6">
        <v>1.0</v>
      </c>
      <c r="B2838" s="6">
        <v>228.0</v>
      </c>
      <c r="C2838" s="6">
        <v>8.0</v>
      </c>
      <c r="D2838" s="15" t="s">
        <v>4460</v>
      </c>
      <c r="E2838" s="9" t="s">
        <v>4461</v>
      </c>
      <c r="F2838" s="8" t="str">
        <f>IFERROR(__xludf.DUMMYFUNCTION("GOOGLETRANSLATE(D2838,""zh-CN"",""vi"")"),"Lá rau thối")</f>
        <v>Lá rau thối</v>
      </c>
      <c r="G2838" s="8" t="str">
        <f>IFERROR(__xludf.DUMMYFUNCTION("GOOGLETRANSLATE(E2838,""zh-CN"",""vi"")"),"Có vẻ như nơi này đã bị sâu bệnh phá hoại. Khi chế tạo, chỉ thu được những chai rượu rỗng.")</f>
        <v>Có vẻ như nơi này đã bị sâu bệnh phá hoại. Khi chế tạo, chỉ thu được những chai rượu rỗng.</v>
      </c>
      <c r="H2838" s="8"/>
      <c r="I2838" s="8"/>
      <c r="J2838" s="8"/>
    </row>
    <row r="2839" ht="21.0" customHeight="1">
      <c r="A2839" s="6">
        <v>1.0</v>
      </c>
      <c r="B2839" s="6">
        <v>228.0</v>
      </c>
      <c r="C2839" s="6">
        <v>9.0</v>
      </c>
      <c r="D2839" s="15" t="s">
        <v>4462</v>
      </c>
      <c r="E2839" s="9" t="s">
        <v>4463</v>
      </c>
      <c r="F2839" s="8" t="str">
        <f>IFERROR(__xludf.DUMMYFUNCTION("GOOGLETRANSLATE(D2839,""zh-CN"",""vi"")"),"chai rượu rỗng")</f>
        <v>chai rượu rỗng</v>
      </c>
      <c r="G2839" s="8" t="str">
        <f>IFERROR(__xludf.DUMMYFUNCTION("GOOGLETRANSLATE(E2839,""zh-CN"",""vi"")"),"Hãy cẩn thận với những mảnh vỡ có thể gây thương tích. Hãy chế tạo lại chiếc đèn pin bị vỡ.")</f>
        <v>Hãy cẩn thận với những mảnh vỡ có thể gây thương tích. Hãy chế tạo lại chiếc đèn pin bị vỡ.</v>
      </c>
      <c r="H2839" s="8"/>
      <c r="I2839" s="8"/>
      <c r="J2839" s="8"/>
    </row>
    <row r="2840" ht="21.0" customHeight="1">
      <c r="A2840" s="6">
        <v>1.0</v>
      </c>
      <c r="B2840" s="6">
        <v>228.0</v>
      </c>
      <c r="C2840" s="6">
        <v>10.0</v>
      </c>
      <c r="D2840" s="15" t="s">
        <v>4464</v>
      </c>
      <c r="E2840" s="9" t="s">
        <v>4465</v>
      </c>
      <c r="F2840" s="8" t="str">
        <f>IFERROR(__xludf.DUMMYFUNCTION("GOOGLETRANSLATE(D2840,""zh-CN"",""vi"")"),"Đèn pin bị hỏng")</f>
        <v>Đèn pin bị hỏng</v>
      </c>
      <c r="G2840" s="8" t="str">
        <f>IFERROR(__xludf.DUMMYFUNCTION("GOOGLETRANSLATE(E2840,""zh-CN"",""vi"")"),"Hãy thu thập chúng, đừng để chúng ở ngoài tự nhiên. Hãy chế tác chúng để làm áo mưa vá.")</f>
        <v>Hãy thu thập chúng, đừng để chúng ở ngoài tự nhiên. Hãy chế tác chúng để làm áo mưa vá.</v>
      </c>
      <c r="H2840" s="8"/>
      <c r="I2840" s="8"/>
      <c r="J2840" s="8"/>
    </row>
    <row r="2841" ht="21.0" customHeight="1">
      <c r="A2841" s="6">
        <v>1.0</v>
      </c>
      <c r="B2841" s="6">
        <v>228.0</v>
      </c>
      <c r="C2841" s="6">
        <v>11.0</v>
      </c>
      <c r="D2841" s="15" t="s">
        <v>4466</v>
      </c>
      <c r="E2841" s="9" t="s">
        <v>4467</v>
      </c>
      <c r="F2841" s="8" t="str">
        <f>IFERROR(__xludf.DUMMYFUNCTION("GOOGLETRANSLATE(D2841,""zh-CN"",""vi"")"),"Một chiếc áo mưa đã được vá lại.")</f>
        <v>Một chiếc áo mưa đã được vá lại.</v>
      </c>
      <c r="G2841" s="8" t="str">
        <f>IFERROR(__xludf.DUMMYFUNCTION("GOOGLETRANSLATE(E2841,""zh-CN"",""vi"")"),"Có lẽ nó vẫn còn hữu ích, nhỉ? Bạn có thể chế tạo một cái túi ngủ cũ.")</f>
        <v>Có lẽ nó vẫn còn hữu ích, nhỉ? Bạn có thể chế tạo một cái túi ngủ cũ.</v>
      </c>
      <c r="H2841" s="8"/>
      <c r="I2841" s="8"/>
      <c r="J2841" s="8"/>
    </row>
    <row r="2842" ht="21.0" customHeight="1">
      <c r="A2842" s="6">
        <v>1.0</v>
      </c>
      <c r="B2842" s="6">
        <v>228.0</v>
      </c>
      <c r="C2842" s="6">
        <v>12.0</v>
      </c>
      <c r="D2842" s="15" t="s">
        <v>4468</v>
      </c>
      <c r="E2842" s="9" t="s">
        <v>4469</v>
      </c>
      <c r="F2842" s="8" t="str">
        <f>IFERROR(__xludf.DUMMYFUNCTION("GOOGLETRANSLATE(D2842,""zh-CN"",""vi"")"),"Túi ngủ cũ")</f>
        <v>Túi ngủ cũ</v>
      </c>
      <c r="G2842" s="8" t="str">
        <f>IFERROR(__xludf.DUMMYFUNCTION("GOOGLETRANSLATE(E2842,""zh-CN"",""vi"")"),"Nó vẫn có thể sử dụng được sau khi rửa sạch. Hãy chế tạo nó để có được một chiếc vỉ nướng rỉ sét.")</f>
        <v>Nó vẫn có thể sử dụng được sau khi rửa sạch. Hãy chế tạo nó để có được một chiếc vỉ nướng rỉ sét.</v>
      </c>
      <c r="H2842" s="8"/>
      <c r="I2842" s="8"/>
      <c r="J2842" s="8"/>
    </row>
    <row r="2843" ht="21.0" customHeight="1">
      <c r="A2843" s="6">
        <v>1.0</v>
      </c>
      <c r="B2843" s="6">
        <v>228.0</v>
      </c>
      <c r="C2843" s="6">
        <v>13.0</v>
      </c>
      <c r="D2843" s="15" t="s">
        <v>4470</v>
      </c>
      <c r="E2843" s="9" t="s">
        <v>4471</v>
      </c>
      <c r="F2843" s="8" t="str">
        <f>IFERROR(__xludf.DUMMYFUNCTION("GOOGLETRANSLATE(D2843,""zh-CN"",""vi"")"),"Lò nướng thịt bị gỉ sét")</f>
        <v>Lò nướng thịt bị gỉ sét</v>
      </c>
      <c r="G2843" s="8" t="str">
        <f>IFERROR(__xludf.DUMMYFUNCTION("GOOGLETRANSLATE(E2843,""zh-CN"",""vi"")"),"Món ăn nướng này có thực sự ăn được không? (Đã được tổng hợp đến mức độ cao nhất.)")</f>
        <v>Món ăn nướng này có thực sự ăn được không? (Đã được tổng hợp đến mức độ cao nhất.)</v>
      </c>
      <c r="H2843" s="8"/>
      <c r="I2843" s="8"/>
      <c r="J2843" s="8"/>
    </row>
    <row r="2844" ht="21.0" customHeight="1">
      <c r="A2844" s="6">
        <v>1.0</v>
      </c>
      <c r="B2844" s="6">
        <v>229.0</v>
      </c>
      <c r="C2844" s="6">
        <v>1.0</v>
      </c>
      <c r="D2844" s="15" t="s">
        <v>4472</v>
      </c>
      <c r="E2844" s="9" t="s">
        <v>4473</v>
      </c>
      <c r="F2844" s="8" t="str">
        <f>IFERROR(__xludf.DUMMYFUNCTION("GOOGLETRANSLATE(D2844,""zh-CN"",""vi"")"),"ghế tròn")</f>
        <v>ghế tròn</v>
      </c>
      <c r="G2844" s="8" t="str">
        <f>IFERROR(__xludf.DUMMYFUNCTION("GOOGLETRANSLATE(E2844,""zh-CN"",""vi"")"),"Một chiếc ghế dài bằng gỗ đơn giản. Hãy chế tác nó để có được một chiếc ghế có tựa lưng.")</f>
        <v>Một chiếc ghế dài bằng gỗ đơn giản. Hãy chế tác nó để có được một chiếc ghế có tựa lưng.</v>
      </c>
      <c r="H2844" s="8"/>
      <c r="I2844" s="8"/>
      <c r="J2844" s="8"/>
    </row>
    <row r="2845" ht="21.0" customHeight="1">
      <c r="A2845" s="6">
        <v>1.0</v>
      </c>
      <c r="B2845" s="6">
        <v>229.0</v>
      </c>
      <c r="C2845" s="6">
        <v>2.0</v>
      </c>
      <c r="D2845" s="15" t="s">
        <v>4474</v>
      </c>
      <c r="E2845" s="9" t="s">
        <v>4475</v>
      </c>
      <c r="F2845" s="8" t="str">
        <f>IFERROR(__xludf.DUMMYFUNCTION("GOOGLETRANSLATE(D2845,""zh-CN"",""vi"")"),"Ghế tựa lưng")</f>
        <v>Ghế tựa lưng</v>
      </c>
      <c r="G2845" s="8" t="str">
        <f>IFERROR(__xludf.DUMMYFUNCTION("GOOGLETRANSLATE(E2845,""zh-CN"",""vi"")"),"Chiếc ghế gỗ có tựa lưng tạo cảm giác rất thoải mái khi ngồi. (Được chế tác để tạo ra chiếc ghế màu xanh và trắng)")</f>
        <v>Chiếc ghế gỗ có tựa lưng tạo cảm giác rất thoải mái khi ngồi. (Được chế tác để tạo ra chiếc ghế màu xanh và trắng)</v>
      </c>
      <c r="H2845" s="8"/>
      <c r="I2845" s="8"/>
      <c r="J2845" s="8"/>
    </row>
    <row r="2846" ht="21.0" customHeight="1">
      <c r="A2846" s="6">
        <v>1.0</v>
      </c>
      <c r="B2846" s="6">
        <v>229.0</v>
      </c>
      <c r="C2846" s="6">
        <v>3.0</v>
      </c>
      <c r="D2846" s="15" t="s">
        <v>4476</v>
      </c>
      <c r="E2846" s="9" t="s">
        <v>4477</v>
      </c>
      <c r="F2846" s="8" t="str">
        <f>IFERROR(__xludf.DUMMYFUNCTION("GOOGLETRANSLATE(D2846,""zh-CN"",""vi"")"),"Ghế màu xanh và trắng")</f>
        <v>Ghế màu xanh và trắng</v>
      </c>
      <c r="G2846" s="8" t="str">
        <f>IFERROR(__xludf.DUMMYFUNCTION("GOOGLETRANSLATE(E2846,""zh-CN"",""vi"")"),"Một chiếc ghế trông như đến từ thế giới truyện tranh. Kết hợp chúng lại để có được chiếc ghế hình quả dưa hấu.")</f>
        <v>Một chiếc ghế trông như đến từ thế giới truyện tranh. Kết hợp chúng lại để có được chiếc ghế hình quả dưa hấu.</v>
      </c>
      <c r="H2846" s="8"/>
      <c r="I2846" s="8"/>
      <c r="J2846" s="8"/>
    </row>
    <row r="2847" ht="21.0" customHeight="1">
      <c r="A2847" s="6">
        <v>1.0</v>
      </c>
      <c r="B2847" s="6">
        <v>229.0</v>
      </c>
      <c r="C2847" s="6">
        <v>4.0</v>
      </c>
      <c r="D2847" s="15" t="s">
        <v>4478</v>
      </c>
      <c r="E2847" s="9" t="s">
        <v>4479</v>
      </c>
      <c r="F2847" s="8" t="str">
        <f>IFERROR(__xludf.DUMMYFUNCTION("GOOGLETRANSLATE(D2847,""zh-CN"",""vi"")"),"Ghế dưa hấu")</f>
        <v>Ghế dưa hấu</v>
      </c>
      <c r="G2847" s="8" t="str">
        <f>IFERROR(__xludf.DUMMYFUNCTION("GOOGLETRANSLATE(E2847,""zh-CN"",""vi"")"),"Đừng để trẻ em ngồi lên đó, nếu không chúng sẽ bị ăn thịt. Hãy tự làm một chiếc ghế hình quả dứa.")</f>
        <v>Đừng để trẻ em ngồi lên đó, nếu không chúng sẽ bị ăn thịt. Hãy tự làm một chiếc ghế hình quả dứa.</v>
      </c>
      <c r="H2847" s="8"/>
      <c r="I2847" s="8"/>
      <c r="J2847" s="8"/>
    </row>
    <row r="2848" ht="21.0" customHeight="1">
      <c r="A2848" s="6">
        <v>1.0</v>
      </c>
      <c r="B2848" s="6">
        <v>229.0</v>
      </c>
      <c r="C2848" s="6">
        <v>5.0</v>
      </c>
      <c r="D2848" s="15" t="s">
        <v>4480</v>
      </c>
      <c r="E2848" s="9" t="s">
        <v>4481</v>
      </c>
      <c r="F2848" s="8" t="str">
        <f>IFERROR(__xludf.DUMMYFUNCTION("GOOGLETRANSLATE(D2848,""zh-CN"",""vi"")"),"Ghế dứa")</f>
        <v>Ghế dứa</v>
      </c>
      <c r="G2848" s="8" t="str">
        <f>IFERROR(__xludf.DUMMYFUNCTION("GOOGLETRANSLATE(E2848,""zh-CN"",""vi"")"),"Ghế của Vương quốc Trái cây. Chế tạo Ghế Xương rồng.")</f>
        <v>Ghế của Vương quốc Trái cây. Chế tạo Ghế Xương rồng.</v>
      </c>
      <c r="H2848" s="8"/>
      <c r="I2848" s="8"/>
      <c r="J2848" s="8"/>
    </row>
    <row r="2849" ht="21.0" customHeight="1">
      <c r="A2849" s="6">
        <v>1.0</v>
      </c>
      <c r="B2849" s="6">
        <v>229.0</v>
      </c>
      <c r="C2849" s="6">
        <v>6.0</v>
      </c>
      <c r="D2849" s="15" t="s">
        <v>4482</v>
      </c>
      <c r="E2849" s="9" t="s">
        <v>4483</v>
      </c>
      <c r="F2849" s="8" t="str">
        <f>IFERROR(__xludf.DUMMYFUNCTION("GOOGLETRANSLATE(D2849,""zh-CN"",""vi"")"),"ghế xương rồng")</f>
        <v>ghế xương rồng</v>
      </c>
      <c r="G2849" s="8" t="str">
        <f>IFERROR(__xludf.DUMMYFUNCTION("GOOGLETRANSLATE(E2849,""zh-CN"",""vi"")"),"Tôi nghi ngờ chẳng ai dám ngồi lên đó, phải không? Bạn có thể tự làm một chiếc ghế từ quả bí ngô.")</f>
        <v>Tôi nghi ngờ chẳng ai dám ngồi lên đó, phải không? Bạn có thể tự làm một chiếc ghế từ quả bí ngô.</v>
      </c>
      <c r="H2849" s="8"/>
      <c r="I2849" s="8"/>
      <c r="J2849" s="8"/>
    </row>
    <row r="2850" ht="21.0" customHeight="1">
      <c r="A2850" s="6">
        <v>1.0</v>
      </c>
      <c r="B2850" s="6">
        <v>229.0</v>
      </c>
      <c r="C2850" s="6">
        <v>7.0</v>
      </c>
      <c r="D2850" s="15" t="s">
        <v>4484</v>
      </c>
      <c r="E2850" s="9" t="s">
        <v>4485</v>
      </c>
      <c r="F2850" s="8" t="str">
        <f>IFERROR(__xludf.DUMMYFUNCTION("GOOGLETRANSLATE(D2850,""zh-CN"",""vi"")"),"Ghế bí ngô")</f>
        <v>Ghế bí ngô</v>
      </c>
      <c r="G2850" s="8" t="str">
        <f>IFERROR(__xludf.DUMMYFUNCTION("GOOGLETRANSLATE(E2850,""zh-CN"",""vi"")"),"Trốn trong đó, tôi như thể đã quên mất cả thế giới. (Thiết kế ghế hình chim hồng hạc)")</f>
        <v>Trốn trong đó, tôi như thể đã quên mất cả thế giới. (Thiết kế ghế hình chim hồng hạc)</v>
      </c>
      <c r="H2850" s="8"/>
      <c r="I2850" s="8"/>
      <c r="J2850" s="8"/>
    </row>
    <row r="2851" ht="21.0" customHeight="1">
      <c r="A2851" s="6">
        <v>1.0</v>
      </c>
      <c r="B2851" s="6">
        <v>229.0</v>
      </c>
      <c r="C2851" s="6">
        <v>8.0</v>
      </c>
      <c r="D2851" s="15" t="s">
        <v>4486</v>
      </c>
      <c r="E2851" s="9" t="s">
        <v>4487</v>
      </c>
      <c r="F2851" s="8" t="str">
        <f>IFERROR(__xludf.DUMMYFUNCTION("GOOGLETRANSLATE(D2851,""zh-CN"",""vi"")"),"Ghế Flamingo")</f>
        <v>Ghế Flamingo</v>
      </c>
      <c r="G2851" s="8" t="str">
        <f>IFERROR(__xludf.DUMMYFUNCTION("GOOGLETRANSLATE(E2851,""zh-CN"",""vi"")"),"Món đồ yêu thích của các nghệ sĩ. Tổng hợp lại để tạo ra chiếc ghế bánh quy bơ.")</f>
        <v>Món đồ yêu thích của các nghệ sĩ. Tổng hợp lại để tạo ra chiếc ghế bánh quy bơ.</v>
      </c>
      <c r="H2851" s="8"/>
      <c r="I2851" s="8"/>
      <c r="J2851" s="8"/>
    </row>
    <row r="2852" ht="21.0" customHeight="1">
      <c r="A2852" s="6">
        <v>1.0</v>
      </c>
      <c r="B2852" s="6">
        <v>229.0</v>
      </c>
      <c r="C2852" s="6">
        <v>9.0</v>
      </c>
      <c r="D2852" s="15" t="s">
        <v>4488</v>
      </c>
      <c r="E2852" s="9" t="s">
        <v>4489</v>
      </c>
      <c r="F2852" s="8" t="str">
        <f>IFERROR(__xludf.DUMMYFUNCTION("GOOGLETRANSLATE(D2852,""zh-CN"",""vi"")"),"Ghế bánh quy bơ")</f>
        <v>Ghế bánh quy bơ</v>
      </c>
      <c r="G2852" s="8" t="str">
        <f>IFERROR(__xludf.DUMMYFUNCTION("GOOGLETRANSLATE(E2852,""zh-CN"",""vi"")"),"Ngọt ngào và ngon tuyệt, khiến tôi chảy nước miếng. (Làm một chiếc ghế bằng bánh quy kẹp.)")</f>
        <v>Ngọt ngào và ngon tuyệt, khiến tôi chảy nước miếng. (Làm một chiếc ghế bằng bánh quy kẹp.)</v>
      </c>
      <c r="H2852" s="8"/>
      <c r="I2852" s="8"/>
      <c r="J2852" s="8"/>
    </row>
    <row r="2853" ht="21.0" customHeight="1">
      <c r="A2853" s="6">
        <v>1.0</v>
      </c>
      <c r="B2853" s="6">
        <v>229.0</v>
      </c>
      <c r="C2853" s="6">
        <v>10.0</v>
      </c>
      <c r="D2853" s="15" t="s">
        <v>4490</v>
      </c>
      <c r="E2853" s="9" t="s">
        <v>4491</v>
      </c>
      <c r="F2853" s="8" t="str">
        <f>IFERROR(__xludf.DUMMYFUNCTION("GOOGLETRANSLATE(D2853,""zh-CN"",""vi"")"),"Ghế kẹp")</f>
        <v>Ghế kẹp</v>
      </c>
      <c r="G2853" s="8" t="str">
        <f>IFERROR(__xludf.DUMMYFUNCTION("GOOGLETRANSLATE(E2853,""zh-CN"",""vi"")"),"Sao không giữ nó an toàn trong bụng mình nhỉ? (Tổng hợp để có được Ghế Dây Leo Xanh Tự Nhiên)")</f>
        <v>Sao không giữ nó an toàn trong bụng mình nhỉ? (Tổng hợp để có được Ghế Dây Leo Xanh Tự Nhiên)</v>
      </c>
      <c r="H2853" s="8"/>
      <c r="I2853" s="8"/>
      <c r="J2853" s="8"/>
    </row>
    <row r="2854" ht="21.0" customHeight="1">
      <c r="A2854" s="6">
        <v>1.0</v>
      </c>
      <c r="B2854" s="6">
        <v>229.0</v>
      </c>
      <c r="C2854" s="6">
        <v>11.0</v>
      </c>
      <c r="D2854" s="15" t="s">
        <v>4492</v>
      </c>
      <c r="E2854" s="9" t="s">
        <v>4493</v>
      </c>
      <c r="F2854" s="8" t="str">
        <f>IFERROR(__xludf.DUMMYFUNCTION("GOOGLETRANSLATE(D2854,""zh-CN"",""vi"")"),"Ghế dài hoa tử đằng xanh tự nhiên")</f>
        <v>Ghế dài hoa tử đằng xanh tự nhiên</v>
      </c>
      <c r="G2854" s="8" t="str">
        <f>IFERROR(__xludf.DUMMYFUNCTION("GOOGLETRANSLATE(E2854,""zh-CN"",""vi"")"),"Dây leo xanh mướt, một chút thiên nhiên. Tự tay làm chiếc ghế dài trang trí bằng hoa hồng và dây leo xanh.")</f>
        <v>Dây leo xanh mướt, một chút thiên nhiên. Tự tay làm chiếc ghế dài trang trí bằng hoa hồng và dây leo xanh.</v>
      </c>
      <c r="H2854" s="8"/>
      <c r="I2854" s="8"/>
      <c r="J2854" s="8"/>
    </row>
    <row r="2855" ht="21.0" customHeight="1">
      <c r="A2855" s="6">
        <v>1.0</v>
      </c>
      <c r="B2855" s="6">
        <v>229.0</v>
      </c>
      <c r="C2855" s="6">
        <v>12.0</v>
      </c>
      <c r="D2855" s="15" t="s">
        <v>4494</v>
      </c>
      <c r="E2855" s="9" t="s">
        <v>4495</v>
      </c>
      <c r="F2855" s="8" t="str">
        <f>IFERROR(__xludf.DUMMYFUNCTION("GOOGLETRANSLATE(D2855,""zh-CN"",""vi"")"),"Ghế dài hoa tử đằng xanh hoa hồng")</f>
        <v>Ghế dài hoa tử đằng xanh hoa hồng</v>
      </c>
      <c r="G2855" s="8" t="str">
        <f>IFERROR(__xludf.DUMMYFUNCTION("GOOGLETRANSLATE(E2855,""zh-CN"",""vi"")"),"Những chùm hoa màu hồng tô điểm thêm vẻ quyến rũ độc đáo. (Hãy tự tay làm chiếc ghế tựa hương hoa mộc tê.)")</f>
        <v>Những chùm hoa màu hồng tô điểm thêm vẻ quyến rũ độc đáo. (Hãy tự tay làm chiếc ghế tựa hương hoa mộc tê.)</v>
      </c>
      <c r="H2855" s="8"/>
      <c r="I2855" s="8"/>
      <c r="J2855" s="8"/>
    </row>
    <row r="2856" ht="21.0" customHeight="1">
      <c r="A2856" s="6">
        <v>1.0</v>
      </c>
      <c r="B2856" s="6">
        <v>229.0</v>
      </c>
      <c r="C2856" s="6">
        <v>13.0</v>
      </c>
      <c r="D2856" s="15" t="s">
        <v>4496</v>
      </c>
      <c r="E2856" s="9" t="s">
        <v>4497</v>
      </c>
      <c r="F2856" s="8" t="str">
        <f>IFERROR(__xludf.DUMMYFUNCTION("GOOGLETRANSLATE(D2856,""zh-CN"",""vi"")"),"Ghế tựa có hương hoa mộc tê")</f>
        <v>Ghế tựa có hương hoa mộc tê</v>
      </c>
      <c r="G2856" s="8" t="str">
        <f>IFERROR(__xludf.DUMMYFUNCTION("GOOGLETRANSLATE(E2856,""zh-CN"",""vi"")"),"Thật dễ chịu khi được ngắm trăng và biển! (Đã được tổng hợp đến mức độ cao nhất.)")</f>
        <v>Thật dễ chịu khi được ngắm trăng và biển! (Đã được tổng hợp đến mức độ cao nhất.)</v>
      </c>
      <c r="H2856" s="8"/>
      <c r="I2856" s="8"/>
      <c r="J2856" s="8"/>
    </row>
    <row r="2857" ht="21.0" customHeight="1">
      <c r="A2857" s="6">
        <v>1.0</v>
      </c>
      <c r="B2857" s="6">
        <v>230.0</v>
      </c>
      <c r="C2857" s="6">
        <v>1.0</v>
      </c>
      <c r="D2857" s="15" t="s">
        <v>4498</v>
      </c>
      <c r="E2857" s="9" t="s">
        <v>4499</v>
      </c>
      <c r="F2857" s="8" t="str">
        <f>IFERROR(__xludf.DUMMYFUNCTION("GOOGLETRANSLATE(D2857,""zh-CN"",""vi"")"),"Đĩa bay dành cho người lớn")</f>
        <v>Đĩa bay dành cho người lớn</v>
      </c>
      <c r="G2857" s="8" t="str">
        <f>IFERROR(__xludf.DUMMYFUNCTION("GOOGLETRANSLATE(E2857,""zh-CN"",""vi"")"),"Thực ra, niềm vui không nằm ở chính trò chơi. (Mà là ở việc kết hợp các vật phẩm để tạo thành quân mạt chược.)")</f>
        <v>Thực ra, niềm vui không nằm ở chính trò chơi. (Mà là ở việc kết hợp các vật phẩm để tạo thành quân mạt chược.)</v>
      </c>
      <c r="H2857" s="8"/>
      <c r="I2857" s="8"/>
      <c r="J2857" s="8"/>
    </row>
    <row r="2858" ht="21.0" customHeight="1">
      <c r="A2858" s="6">
        <v>1.0</v>
      </c>
      <c r="B2858" s="6">
        <v>230.0</v>
      </c>
      <c r="C2858" s="6">
        <v>2.0</v>
      </c>
      <c r="D2858" s="15" t="s">
        <v>4500</v>
      </c>
      <c r="E2858" s="9" t="s">
        <v>4501</v>
      </c>
      <c r="F2858" s="8" t="str">
        <f>IFERROR(__xludf.DUMMYFUNCTION("GOOGLETRANSLATE(D2858,""zh-CN"",""vi"")"),"Mạt chược")</f>
        <v>Mạt chược</v>
      </c>
      <c r="G2858" s="8" t="str">
        <f>IFERROR(__xludf.DUMMYFUNCTION("GOOGLETRANSLATE(E2858,""zh-CN"",""vi"")"),"Tôi còn tò mò hơn nữa về cách họ gian lận trong thời gian tắt đèn? Họ đã tổng hợp các khối.")</f>
        <v>Tôi còn tò mò hơn nữa về cách họ gian lận trong thời gian tắt đèn? Họ đã tổng hợp các khối.</v>
      </c>
      <c r="H2858" s="8"/>
      <c r="I2858" s="8"/>
      <c r="J2858" s="8"/>
    </row>
    <row r="2859" ht="21.0" customHeight="1">
      <c r="A2859" s="6">
        <v>1.0</v>
      </c>
      <c r="B2859" s="6">
        <v>230.0</v>
      </c>
      <c r="C2859" s="6">
        <v>3.0</v>
      </c>
      <c r="D2859" s="15" t="s">
        <v>4502</v>
      </c>
      <c r="E2859" s="9" t="s">
        <v>4503</v>
      </c>
      <c r="F2859" s="8" t="str">
        <f>IFERROR(__xludf.DUMMYFUNCTION("GOOGLETRANSLATE(D2859,""zh-CN"",""vi"")"),"Khối xây dựng")</f>
        <v>Khối xây dựng</v>
      </c>
      <c r="G2859" s="8" t="str">
        <f>IFERROR(__xludf.DUMMYFUNCTION("GOOGLETRANSLATE(E2859,""zh-CN"",""vi"")"),"Ai ngã sẽ phải uống ba chén rượu làm hình phạt! Kết hợp các quân bài để được UNO.")</f>
        <v>Ai ngã sẽ phải uống ba chén rượu làm hình phạt! Kết hợp các quân bài để được UNO.</v>
      </c>
      <c r="H2859" s="8"/>
      <c r="I2859" s="8"/>
      <c r="J2859" s="8"/>
    </row>
    <row r="2860" ht="21.0" customHeight="1">
      <c r="A2860" s="6">
        <v>1.0</v>
      </c>
      <c r="B2860" s="6">
        <v>230.0</v>
      </c>
      <c r="C2860" s="6">
        <v>4.0</v>
      </c>
      <c r="D2860" s="15" t="s">
        <v>4504</v>
      </c>
      <c r="E2860" s="9" t="s">
        <v>4505</v>
      </c>
      <c r="F2860" s="8" t="str">
        <f>IFERROR(__xludf.DUMMYFUNCTION("GOOGLETRANSLATE(D2860,""zh-CN"",""vi"")"),"Liên Hợp Quốc")</f>
        <v>Liên Hợp Quốc</v>
      </c>
      <c r="G2860" s="8" t="str">
        <f>IFERROR(__xludf.DUMMYFUNCTION("GOOGLETRANSLATE(E2860,""zh-CN"",""vi"")"),"Điều thú vị hơn cả chính trò chơi là biểu cảm của những người chơi khác. Hợp nhất để thắng trò chơi Monopoly.")</f>
        <v>Điều thú vị hơn cả chính trò chơi là biểu cảm của những người chơi khác. Hợp nhất để thắng trò chơi Monopoly.</v>
      </c>
      <c r="H2860" s="8"/>
      <c r="I2860" s="8"/>
      <c r="J2860" s="8"/>
    </row>
    <row r="2861" ht="21.0" customHeight="1">
      <c r="A2861" s="6">
        <v>1.0</v>
      </c>
      <c r="B2861" s="6">
        <v>230.0</v>
      </c>
      <c r="C2861" s="6">
        <v>5.0</v>
      </c>
      <c r="D2861" s="15" t="s">
        <v>4506</v>
      </c>
      <c r="E2861" s="9" t="s">
        <v>4507</v>
      </c>
      <c r="F2861" s="8" t="str">
        <f>IFERROR(__xludf.DUMMYFUNCTION("GOOGLETRANSLATE(D2861,""zh-CN"",""vi"")"),"Độc quyền")</f>
        <v>Độc quyền</v>
      </c>
      <c r="G2861" s="8" t="str">
        <f>IFERROR(__xludf.DUMMYFUNCTION("GOOGLETRANSLATE(E2861,""zh-CN"",""vi"")"),"Cả thế giới này là của tôi! Kết hợp để có được Cờ Bay.")</f>
        <v>Cả thế giới này là của tôi! Kết hợp để có được Cờ Bay.</v>
      </c>
      <c r="H2861" s="8"/>
      <c r="I2861" s="8"/>
      <c r="J2861" s="8"/>
    </row>
    <row r="2862" ht="21.0" customHeight="1">
      <c r="A2862" s="6">
        <v>1.0</v>
      </c>
      <c r="B2862" s="6">
        <v>230.0</v>
      </c>
      <c r="C2862" s="6">
        <v>6.0</v>
      </c>
      <c r="D2862" s="15" t="s">
        <v>4508</v>
      </c>
      <c r="E2862" s="9" t="s">
        <v>4509</v>
      </c>
      <c r="F2862" s="8" t="str">
        <f>IFERROR(__xludf.DUMMYFUNCTION("GOOGLETRANSLATE(D2862,""zh-CN"",""vi"")"),"Ludo")</f>
        <v>Ludo</v>
      </c>
      <c r="G2862" s="8" t="str">
        <f>IFERROR(__xludf.DUMMYFUNCTION("GOOGLETRANSLATE(E2862,""zh-CN"",""vi"")"),"Để tôi tung xúc xắc được số 6! Kết hợp các xúc xắc để có trò chơi xé bảng tên.")</f>
        <v>Để tôi tung xúc xắc được số 6! Kết hợp các xúc xắc để có trò chơi xé bảng tên.</v>
      </c>
      <c r="H2862" s="8"/>
      <c r="I2862" s="8"/>
      <c r="J2862" s="8"/>
    </row>
    <row r="2863" ht="21.0" customHeight="1">
      <c r="A2863" s="6">
        <v>1.0</v>
      </c>
      <c r="B2863" s="6">
        <v>230.0</v>
      </c>
      <c r="C2863" s="6">
        <v>7.0</v>
      </c>
      <c r="D2863" s="15" t="s">
        <v>4510</v>
      </c>
      <c r="E2863" s="9" t="s">
        <v>4511</v>
      </c>
      <c r="F2863" s="8" t="str">
        <f>IFERROR(__xludf.DUMMYFUNCTION("GOOGLETRANSLATE(D2863,""zh-CN"",""vi"")"),"Xé thẻ tên")</f>
        <v>Xé thẻ tên</v>
      </c>
      <c r="G2863" s="8" t="str">
        <f>IFERROR(__xludf.DUMMYFUNCTION("GOOGLETRANSLATE(E2863,""zh-CN"",""vi"")"),"Rất có thể sẽ phá hủy tình bạn. Tổng hợp để thu được hình ảnh bầu trời đầy sao.")</f>
        <v>Rất có thể sẽ phá hủy tình bạn. Tổng hợp để thu được hình ảnh bầu trời đầy sao.</v>
      </c>
      <c r="H2863" s="8"/>
      <c r="I2863" s="8"/>
      <c r="J2863" s="8"/>
    </row>
    <row r="2864" ht="21.0" customHeight="1">
      <c r="A2864" s="6">
        <v>1.0</v>
      </c>
      <c r="B2864" s="6">
        <v>230.0</v>
      </c>
      <c r="C2864" s="6">
        <v>8.0</v>
      </c>
      <c r="D2864" s="15" t="s">
        <v>4512</v>
      </c>
      <c r="E2864" s="9" t="s">
        <v>4513</v>
      </c>
      <c r="F2864" s="8" t="str">
        <f>IFERROR(__xludf.DUMMYFUNCTION("GOOGLETRANSLATE(D2864,""zh-CN"",""vi"")"),"Quan sát bầu trời đầy sao")</f>
        <v>Quan sát bầu trời đầy sao</v>
      </c>
      <c r="G2864" s="8" t="str">
        <f>IFERROR(__xludf.DUMMYFUNCTION("GOOGLETRANSLATE(E2864,""zh-CN"",""vi"")"),"Thời tiết lạnh nhưng bầu trời đầy sao rất đẹp. (Tóm tắt để xem một bộ phim)")</f>
        <v>Thời tiết lạnh nhưng bầu trời đầy sao rất đẹp. (Tóm tắt để xem một bộ phim)</v>
      </c>
      <c r="H2864" s="8"/>
      <c r="I2864" s="8"/>
      <c r="J2864" s="8"/>
    </row>
    <row r="2865" ht="21.0" customHeight="1">
      <c r="A2865" s="6">
        <v>1.0</v>
      </c>
      <c r="B2865" s="6">
        <v>230.0</v>
      </c>
      <c r="C2865" s="6">
        <v>9.0</v>
      </c>
      <c r="D2865" s="15" t="s">
        <v>4514</v>
      </c>
      <c r="E2865" s="9" t="s">
        <v>4515</v>
      </c>
      <c r="F2865" s="8" t="str">
        <f>IFERROR(__xludf.DUMMYFUNCTION("GOOGLETRANSLATE(D2865,""zh-CN"",""vi"")"),"Xem phim")</f>
        <v>Xem phim</v>
      </c>
      <c r="G2865" s="8" t="str">
        <f>IFERROR(__xludf.DUMMYFUNCTION("GOOGLETRANSLATE(E2865,""zh-CN"",""vi"")"),"Việc xem phim thực sự là về bầu không khí. (Tiếp theo là một câu không liên quan về việc tìm kiếm kịch bản trò chơi trinh thám giết người.)")</f>
        <v>Việc xem phim thực sự là về bầu không khí. (Tiếp theo là một câu không liên quan về việc tìm kiếm kịch bản trò chơi trinh thám giết người.)</v>
      </c>
      <c r="H2865" s="8"/>
      <c r="I2865" s="8"/>
      <c r="J2865" s="8"/>
    </row>
    <row r="2866" ht="21.0" customHeight="1">
      <c r="A2866" s="6">
        <v>1.0</v>
      </c>
      <c r="B2866" s="6">
        <v>230.0</v>
      </c>
      <c r="C2866" s="6">
        <v>10.0</v>
      </c>
      <c r="D2866" s="15" t="s">
        <v>4516</v>
      </c>
      <c r="E2866" s="9" t="s">
        <v>4517</v>
      </c>
      <c r="F2866" s="8" t="str">
        <f>IFERROR(__xludf.DUMMYFUNCTION("GOOGLETRANSLATE(D2866,""zh-CN"",""vi"")"),"Kịch bản phim trinh thám giết người")</f>
        <v>Kịch bản phim trinh thám giết người</v>
      </c>
      <c r="G2866" s="8" t="str">
        <f>IFERROR(__xludf.DUMMYFUNCTION("GOOGLETRANSLATE(E2866,""zh-CN"",""vi"")"),"Tôi là một chàng trai trẻ vui vẻ và lạc quan. (Lấy cảm hứng từ trò chơi Dungeons &amp; Dragons)")</f>
        <v>Tôi là một chàng trai trẻ vui vẻ và lạc quan. (Lấy cảm hứng từ trò chơi Dungeons &amp; Dragons)</v>
      </c>
      <c r="H2866" s="8"/>
      <c r="I2866" s="8"/>
      <c r="J2866" s="8"/>
    </row>
    <row r="2867" ht="21.0" customHeight="1">
      <c r="A2867" s="6">
        <v>1.0</v>
      </c>
      <c r="B2867" s="6">
        <v>230.0</v>
      </c>
      <c r="C2867" s="6">
        <v>11.0</v>
      </c>
      <c r="D2867" s="15" t="s">
        <v>4518</v>
      </c>
      <c r="E2867" s="9" t="s">
        <v>4519</v>
      </c>
      <c r="F2867" s="8" t="str">
        <f>IFERROR(__xludf.DUMMYFUNCTION("GOOGLETRANSLATE(D2867,""zh-CN"",""vi"")"),"Dungeons &amp; Dragons")</f>
        <v>Dungeons &amp; Dragons</v>
      </c>
      <c r="G2867" s="8" t="str">
        <f>IFERROR(__xludf.DUMMYFUNCTION("GOOGLETRANSLATE(E2867,""zh-CN"",""vi"")"),"Tôi là một hiệp sĩ thánh chiến với kỹ năng trộm cắp xuất sắc. (Chế tạo: Tiệc trà)")</f>
        <v>Tôi là một hiệp sĩ thánh chiến với kỹ năng trộm cắp xuất sắc. (Chế tạo: Tiệc trà)</v>
      </c>
      <c r="H2867" s="8"/>
      <c r="I2867" s="8"/>
      <c r="J2867" s="8"/>
    </row>
    <row r="2868" ht="21.0" customHeight="1">
      <c r="A2868" s="6">
        <v>1.0</v>
      </c>
      <c r="B2868" s="6">
        <v>230.0</v>
      </c>
      <c r="C2868" s="6">
        <v>12.0</v>
      </c>
      <c r="D2868" s="15" t="s">
        <v>4520</v>
      </c>
      <c r="E2868" s="9" t="s">
        <v>4521</v>
      </c>
      <c r="F2868" s="8" t="str">
        <f>IFERROR(__xludf.DUMMYFUNCTION("GOOGLETRANSLATE(D2868,""zh-CN"",""vi"")"),"tiệc trà")</f>
        <v>tiệc trà</v>
      </c>
      <c r="G2868" s="8" t="str">
        <f>IFERROR(__xludf.DUMMYFUNCTION("GOOGLETRANSLATE(E2868,""zh-CN"",""vi"")"),"Này, anh chàng lần trước rủ cậu đi xem phim giờ ra sao rồi? (Kết hợp các nguyên liệu để có một bữa lẩu)")</f>
        <v>Này, anh chàng lần trước rủ cậu đi xem phim giờ ra sao rồi? (Kết hợp các nguyên liệu để có một bữa lẩu)</v>
      </c>
      <c r="H2868" s="8"/>
      <c r="I2868" s="8"/>
      <c r="J2868" s="8"/>
    </row>
    <row r="2869" ht="21.0" customHeight="1">
      <c r="A2869" s="6">
        <v>1.0</v>
      </c>
      <c r="B2869" s="6">
        <v>230.0</v>
      </c>
      <c r="C2869" s="6">
        <v>13.0</v>
      </c>
      <c r="D2869" s="15" t="s">
        <v>4522</v>
      </c>
      <c r="E2869" s="9" t="s">
        <v>4523</v>
      </c>
      <c r="F2869" s="8" t="str">
        <f>IFERROR(__xludf.DUMMYFUNCTION("GOOGLETRANSLATE(D2869,""zh-CN"",""vi"")"),"Tụ họp lẩu")</f>
        <v>Tụ họp lẩu</v>
      </c>
      <c r="G2869" s="8" t="str">
        <f>IFERROR(__xludf.DUMMYFUNCTION("GOOGLETRANSLATE(E2869,""zh-CN"",""vi"")"),"Thường thì, giữa làn hơi nước oi bức, mọi người cởi bỏ những chiếc khẩu trang thường ngày của mình. (Công nghệ đã được tổng hợp đến mức cao nhất.)")</f>
        <v>Thường thì, giữa làn hơi nước oi bức, mọi người cởi bỏ những chiếc khẩu trang thường ngày của mình. (Công nghệ đã được tổng hợp đến mức cao nhất.)</v>
      </c>
      <c r="H2869" s="8"/>
      <c r="I2869" s="8"/>
      <c r="J2869" s="8"/>
    </row>
    <row r="2870" ht="21.0" customHeight="1">
      <c r="A2870" s="6">
        <v>11.0</v>
      </c>
      <c r="B2870" s="6">
        <v>1058.0</v>
      </c>
      <c r="C2870" s="6">
        <v>1.0</v>
      </c>
      <c r="D2870" s="15" t="s">
        <v>4524</v>
      </c>
      <c r="E2870" s="9" t="s">
        <v>4525</v>
      </c>
      <c r="F2870" s="8" t="str">
        <f>IFERROR(__xludf.DUMMYFUNCTION("GOOGLETRANSLATE(D2870,""zh-CN"",""vi"")"),"xô gỗ")</f>
        <v>xô gỗ</v>
      </c>
      <c r="G2870" s="8" t="str">
        <f>IFERROR(__xludf.DUMMYFUNCTION("GOOGLETRANSLATE(E2870,""zh-CN"",""vi"")"),"Một chiếc xô lớn đầy nước, dùng để uống và giặt giũ. Hãy chế tạo nó để có được một chiếc xô sắt.")</f>
        <v>Một chiếc xô lớn đầy nước, dùng để uống và giặt giũ. Hãy chế tạo nó để có được một chiếc xô sắt.</v>
      </c>
      <c r="H2870" s="8"/>
      <c r="I2870" s="8"/>
      <c r="J2870" s="8"/>
    </row>
    <row r="2871" ht="21.0" customHeight="1">
      <c r="A2871" s="6">
        <v>11.0</v>
      </c>
      <c r="B2871" s="6">
        <v>1058.0</v>
      </c>
      <c r="C2871" s="6">
        <v>2.0</v>
      </c>
      <c r="D2871" s="15" t="s">
        <v>4526</v>
      </c>
      <c r="E2871" s="9" t="s">
        <v>4527</v>
      </c>
      <c r="F2871" s="8" t="str">
        <f>IFERROR(__xludf.DUMMYFUNCTION("GOOGLETRANSLATE(D2871,""zh-CN"",""vi"")"),"Xô sắt")</f>
        <v>Xô sắt</v>
      </c>
      <c r="G2871" s="8" t="str">
        <f>IFERROR(__xludf.DUMMYFUNCTION("GOOGLETRANSLATE(E2871,""zh-CN"",""vi"")"),"Một chiếc xô sắt, chống nứt vỡ. Hãy chế tạo nó để có được một chiếc bồn tắm hoạt hình.")</f>
        <v>Một chiếc xô sắt, chống nứt vỡ. Hãy chế tạo nó để có được một chiếc bồn tắm hoạt hình.</v>
      </c>
      <c r="H2871" s="8"/>
      <c r="I2871" s="8"/>
      <c r="J2871" s="8"/>
    </row>
    <row r="2872" ht="21.0" customHeight="1">
      <c r="A2872" s="6">
        <v>11.0</v>
      </c>
      <c r="B2872" s="6">
        <v>1058.0</v>
      </c>
      <c r="C2872" s="6">
        <v>3.0</v>
      </c>
      <c r="D2872" s="15" t="s">
        <v>4528</v>
      </c>
      <c r="E2872" s="9" t="s">
        <v>4529</v>
      </c>
      <c r="F2872" s="8" t="str">
        <f>IFERROR(__xludf.DUMMYFUNCTION("GOOGLETRANSLATE(D2872,""zh-CN"",""vi"")"),"Bồn tắm hoạt hình")</f>
        <v>Bồn tắm hoạt hình</v>
      </c>
      <c r="G2872" s="8" t="str">
        <f>IFERROR(__xludf.DUMMYFUNCTION("GOOGLETRANSLATE(E2872,""zh-CN"",""vi"")"),"Tắm rửa sạch sẽ, một ngày thật đẹp! Hãy tự tay làm một chiếc bồn tắm hình cánh hoa.")</f>
        <v>Tắm rửa sạch sẽ, một ngày thật đẹp! Hãy tự tay làm một chiếc bồn tắm hình cánh hoa.</v>
      </c>
      <c r="H2872" s="8"/>
      <c r="I2872" s="8"/>
      <c r="J2872" s="8"/>
    </row>
    <row r="2873" ht="21.0" customHeight="1">
      <c r="A2873" s="6">
        <v>11.0</v>
      </c>
      <c r="B2873" s="6">
        <v>1058.0</v>
      </c>
      <c r="C2873" s="6">
        <v>4.0</v>
      </c>
      <c r="D2873" s="15" t="s">
        <v>4530</v>
      </c>
      <c r="E2873" s="9" t="s">
        <v>4531</v>
      </c>
      <c r="F2873" s="8" t="str">
        <f>IFERROR(__xludf.DUMMYFUNCTION("GOOGLETRANSLATE(D2873,""zh-CN"",""vi"")"),"Bồn tắm hình cánh hoa")</f>
        <v>Bồn tắm hình cánh hoa</v>
      </c>
      <c r="G2873" s="8" t="str">
        <f>IFERROR(__xludf.DUMMYFUNCTION("GOOGLETRANSLATE(E2873,""zh-CN"",""vi"")"),"Chơi đùa trong bồn tắm chính là bản chất của một tuổi thơ hạnh phúc! (Kết hợp các bộ phận để tạo thành một bể bơi một tầng)")</f>
        <v>Chơi đùa trong bồn tắm chính là bản chất của một tuổi thơ hạnh phúc! (Kết hợp các bộ phận để tạo thành một bể bơi một tầng)</v>
      </c>
      <c r="H2873" s="8"/>
      <c r="I2873" s="8"/>
      <c r="J2873" s="8"/>
    </row>
    <row r="2874" ht="21.0" customHeight="1">
      <c r="A2874" s="6">
        <v>10.0</v>
      </c>
      <c r="B2874" s="6">
        <v>1058.0</v>
      </c>
      <c r="C2874" s="6">
        <v>5.0</v>
      </c>
      <c r="D2874" s="9" t="s">
        <v>4532</v>
      </c>
      <c r="E2874" s="9" t="s">
        <v>4533</v>
      </c>
      <c r="F2874" s="8" t="str">
        <f>IFERROR(__xludf.DUMMYFUNCTION("GOOGLETRANSLATE(D2874,""zh-CN"",""vi"")"),"Hồ bơi một tầng")</f>
        <v>Hồ bơi một tầng</v>
      </c>
      <c r="G2874" s="8" t="str">
        <f>IFERROR(__xludf.DUMMYFUNCTION("GOOGLETRANSLATE(E2874,""zh-CN"",""vi"")"),"Tôi đã lập một thỏa thuận với bạn bè để tổ chức cuộc thi té nước! (Tự chế tạo một bể bơi hai tầng)")</f>
        <v>Tôi đã lập một thỏa thuận với bạn bè để tổ chức cuộc thi té nước! (Tự chế tạo một bể bơi hai tầng)</v>
      </c>
      <c r="H2874" s="8"/>
      <c r="I2874" s="8"/>
      <c r="J2874" s="8"/>
    </row>
    <row r="2875" ht="21.0" customHeight="1">
      <c r="A2875" s="6">
        <v>10.0</v>
      </c>
      <c r="B2875" s="6">
        <v>1058.0</v>
      </c>
      <c r="C2875" s="6">
        <v>6.0</v>
      </c>
      <c r="D2875" s="15" t="s">
        <v>4534</v>
      </c>
      <c r="E2875" s="9" t="s">
        <v>4535</v>
      </c>
      <c r="F2875" s="8" t="str">
        <f>IFERROR(__xludf.DUMMYFUNCTION("GOOGLETRANSLATE(D2875,""zh-CN"",""vi"")"),"Hồ bơi hai lớp")</f>
        <v>Hồ bơi hai lớp</v>
      </c>
      <c r="G2875" s="8" t="str">
        <f>IFERROR(__xludf.DUMMYFUNCTION("GOOGLETRANSLATE(E2875,""zh-CN"",""vi"")"),"Tôi luôn tò mò, liệu tầng hai có bị dột không? (Thiết kế một bể bơi sang trọng)")</f>
        <v>Tôi luôn tò mò, liệu tầng hai có bị dột không? (Thiết kế một bể bơi sang trọng)</v>
      </c>
      <c r="H2875" s="8"/>
      <c r="I2875" s="8"/>
      <c r="J2875" s="8"/>
    </row>
    <row r="2876" ht="21.0" customHeight="1">
      <c r="A2876" s="6">
        <v>10.0</v>
      </c>
      <c r="B2876" s="6">
        <v>1058.0</v>
      </c>
      <c r="C2876" s="6">
        <v>7.0</v>
      </c>
      <c r="D2876" s="15" t="s">
        <v>4536</v>
      </c>
      <c r="E2876" s="9" t="s">
        <v>4537</v>
      </c>
      <c r="F2876" s="8" t="str">
        <f>IFERROR(__xludf.DUMMYFUNCTION("GOOGLETRANSLATE(D2876,""zh-CN"",""vi"")"),"Hồ bơi tuyệt đẹp")</f>
        <v>Hồ bơi tuyệt đẹp</v>
      </c>
      <c r="G2876" s="8" t="str">
        <f>IFERROR(__xludf.DUMMYFUNCTION("GOOGLETRANSLATE(E2876,""zh-CN"",""vi"")"),"Tôi thích kem bán ở gần đây! (Ghép lại để có được một bể bơi cao cấp)")</f>
        <v>Tôi thích kem bán ở gần đây! (Ghép lại để có được một bể bơi cao cấp)</v>
      </c>
      <c r="H2876" s="8"/>
      <c r="I2876" s="8"/>
      <c r="J2876" s="8"/>
    </row>
    <row r="2877" ht="21.0" customHeight="1">
      <c r="A2877" s="6">
        <v>10.0</v>
      </c>
      <c r="B2877" s="6">
        <v>1058.0</v>
      </c>
      <c r="C2877" s="6">
        <v>8.0</v>
      </c>
      <c r="D2877" s="15" t="s">
        <v>4538</v>
      </c>
      <c r="E2877" s="9" t="s">
        <v>4539</v>
      </c>
      <c r="F2877" s="8" t="str">
        <f>IFERROR(__xludf.DUMMYFUNCTION("GOOGLETRANSLATE(D2877,""zh-CN"",""vi"")"),"Hồ bơi cao cấp")</f>
        <v>Hồ bơi cao cấp</v>
      </c>
      <c r="G2877" s="8" t="str">
        <f>IFERROR(__xludf.DUMMYFUNCTION("GOOGLETRANSLATE(E2877,""zh-CN"",""vi"")"),"Hồ bơi ngoài trời trên sân thượng là địa điểm chụp ảnh được nhiều người yêu thích. (Hoàn thành quy trình để mở khóa hồ bơi VIP.)")</f>
        <v>Hồ bơi ngoài trời trên sân thượng là địa điểm chụp ảnh được nhiều người yêu thích. (Hoàn thành quy trình để mở khóa hồ bơi VIP.)</v>
      </c>
      <c r="H2877" s="8"/>
      <c r="I2877" s="8"/>
      <c r="J2877" s="8"/>
    </row>
    <row r="2878" ht="21.0" customHeight="1">
      <c r="A2878" s="6">
        <v>10.0</v>
      </c>
      <c r="B2878" s="6">
        <v>1058.0</v>
      </c>
      <c r="C2878" s="6">
        <v>9.0</v>
      </c>
      <c r="D2878" s="15" t="s">
        <v>4540</v>
      </c>
      <c r="E2878" s="9" t="s">
        <v>4541</v>
      </c>
      <c r="F2878" s="8" t="str">
        <f>IFERROR(__xludf.DUMMYFUNCTION("GOOGLETRANSLATE(D2878,""zh-CN"",""vi"")"),"Hồ bơi VIP")</f>
        <v>Hồ bơi VIP</v>
      </c>
      <c r="G2878" s="8" t="str">
        <f>IFERROR(__xludf.DUMMYFUNCTION("GOOGLETRANSLATE(E2878,""zh-CN"",""vi"")"),"Các đặt chỗ đã được đặt trước sáu tháng. (Hoàn tất việc mua lại một bể bơi sang trọng.)")</f>
        <v>Các đặt chỗ đã được đặt trước sáu tháng. (Hoàn tất việc mua lại một bể bơi sang trọng.)</v>
      </c>
      <c r="H2878" s="8"/>
      <c r="I2878" s="8"/>
      <c r="J2878" s="8"/>
    </row>
    <row r="2879" ht="21.0" customHeight="1">
      <c r="A2879" s="6">
        <v>10.0</v>
      </c>
      <c r="B2879" s="6">
        <v>1058.0</v>
      </c>
      <c r="C2879" s="6">
        <v>10.0</v>
      </c>
      <c r="D2879" s="15" t="s">
        <v>4542</v>
      </c>
      <c r="E2879" s="9" t="s">
        <v>4543</v>
      </c>
      <c r="F2879" s="8" t="str">
        <f>IFERROR(__xludf.DUMMYFUNCTION("GOOGLETRANSLATE(D2879,""zh-CN"",""vi"")"),"Hồ bơi sang trọng")</f>
        <v>Hồ bơi sang trọng</v>
      </c>
      <c r="G2879" s="8" t="str">
        <f>IFERROR(__xludf.DUMMYFUNCTION("GOOGLETRANSLATE(E2879,""zh-CN"",""vi"")"),"Tận hưởng toàn cảnh thành phố từ hồ bơi trên tầng thượng của tòa nhà cao tầng. (Đã đạt cấp độ tối đa)")</f>
        <v>Tận hưởng toàn cảnh thành phố từ hồ bơi trên tầng thượng của tòa nhà cao tầng. (Đã đạt cấp độ tối đa)</v>
      </c>
      <c r="H2879" s="8"/>
      <c r="I2879" s="8"/>
      <c r="J2879" s="8"/>
    </row>
    <row r="2880" ht="21.0" customHeight="1">
      <c r="A2880" s="6">
        <v>11.0</v>
      </c>
      <c r="B2880" s="6">
        <v>1059.0</v>
      </c>
      <c r="C2880" s="6">
        <v>1.0</v>
      </c>
      <c r="D2880" s="15" t="s">
        <v>4544</v>
      </c>
      <c r="E2880" s="9" t="s">
        <v>4545</v>
      </c>
      <c r="F2880" s="8" t="str">
        <f>IFERROR(__xludf.DUMMYFUNCTION("GOOGLETRANSLATE(D2880,""zh-CN"",""vi"")"),"Thùng gỗ [V]")</f>
        <v>Thùng gỗ [V]</v>
      </c>
      <c r="G2880" s="8" t="str">
        <f>IFERROR(__xludf.DUMMYFUNCTION("GOOGLETRANSLATE(E2880,""zh-CN"",""vi"")"),"Một cái xô lớn đầy nước, dùng để uống và giặt giũ. Chế tạo nó để có được Xô Sắt [V].")</f>
        <v>Một cái xô lớn đầy nước, dùng để uống và giặt giũ. Chế tạo nó để có được Xô Sắt [V].</v>
      </c>
      <c r="H2880" s="8"/>
      <c r="I2880" s="8"/>
      <c r="J2880" s="8"/>
    </row>
    <row r="2881" ht="21.0" customHeight="1">
      <c r="A2881" s="6">
        <v>11.0</v>
      </c>
      <c r="B2881" s="6">
        <v>1059.0</v>
      </c>
      <c r="C2881" s="6">
        <v>2.0</v>
      </c>
      <c r="D2881" s="15" t="s">
        <v>4546</v>
      </c>
      <c r="E2881" s="9" t="s">
        <v>4547</v>
      </c>
      <c r="F2881" s="8" t="str">
        <f>IFERROR(__xludf.DUMMYFUNCTION("GOOGLETRANSLATE(D2881,""zh-CN"",""vi"")"),"Xô sắt [V]")</f>
        <v>Xô sắt [V]</v>
      </c>
      <c r="G2881" s="8" t="str">
        <f>IFERROR(__xludf.DUMMYFUNCTION("GOOGLETRANSLATE(E2881,""zh-CN"",""vi"")"),"Một cái xô sắt, chống nứt. Chế tạo nó để có được một bồn tắm hoạt hình [V].")</f>
        <v>Một cái xô sắt, chống nứt. Chế tạo nó để có được một bồn tắm hoạt hình [V].</v>
      </c>
      <c r="H2881" s="8"/>
      <c r="I2881" s="8"/>
      <c r="J2881" s="8"/>
    </row>
    <row r="2882" ht="21.0" customHeight="1">
      <c r="A2882" s="6">
        <v>11.0</v>
      </c>
      <c r="B2882" s="6">
        <v>1059.0</v>
      </c>
      <c r="C2882" s="6">
        <v>3.0</v>
      </c>
      <c r="D2882" s="15" t="s">
        <v>4548</v>
      </c>
      <c r="E2882" s="9" t="s">
        <v>4549</v>
      </c>
      <c r="F2882" s="8" t="str">
        <f>IFERROR(__xludf.DUMMYFUNCTION("GOOGLETRANSLATE(D2882,""zh-CN"",""vi"")"),"Bồn tắm hoạt hình [V]")</f>
        <v>Bồn tắm hoạt hình [V]</v>
      </c>
      <c r="G2882" s="8" t="str">
        <f>IFERROR(__xludf.DUMMYFUNCTION("GOOGLETRANSLATE(E2882,""zh-CN"",""vi"")"),"Rửa mặt đi, rửa mặt đi, một ngày thật đẹp! ~Tự tay làm bồn tắm hình cánh hoa [V]")</f>
        <v>Rửa mặt đi, rửa mặt đi, một ngày thật đẹp! ~Tự tay làm bồn tắm hình cánh hoa [V]</v>
      </c>
      <c r="H2882" s="8"/>
      <c r="I2882" s="8"/>
      <c r="J2882" s="8"/>
    </row>
    <row r="2883" ht="21.0" customHeight="1">
      <c r="A2883" s="6">
        <v>11.0</v>
      </c>
      <c r="B2883" s="6">
        <v>1059.0</v>
      </c>
      <c r="C2883" s="6">
        <v>4.0</v>
      </c>
      <c r="D2883" s="15" t="s">
        <v>4550</v>
      </c>
      <c r="E2883" s="9" t="s">
        <v>4551</v>
      </c>
      <c r="F2883" s="8" t="str">
        <f>IFERROR(__xludf.DUMMYFUNCTION("GOOGLETRANSLATE(D2883,""zh-CN"",""vi"")"),"Bồn tắm hình cánh hoa [V]")</f>
        <v>Bồn tắm hình cánh hoa [V]</v>
      </c>
      <c r="G2883" s="8" t="str">
        <f>IFERROR(__xludf.DUMMYFUNCTION("GOOGLETRANSLATE(E2883,""zh-CN"",""vi"")"),"Chơi đùa trong bồn tắm—đó chính là niềm vui của tuổi thơ! (Thiết kế một bể bơi một tầng [V])")</f>
        <v>Chơi đùa trong bồn tắm—đó chính là niềm vui của tuổi thơ! (Thiết kế một bể bơi một tầng [V])</v>
      </c>
      <c r="H2883" s="8"/>
      <c r="I2883" s="8"/>
      <c r="J2883" s="8"/>
    </row>
    <row r="2884" ht="21.0" customHeight="1">
      <c r="A2884" s="6">
        <v>10.0</v>
      </c>
      <c r="B2884" s="6">
        <v>1059.0</v>
      </c>
      <c r="C2884" s="6">
        <v>5.0</v>
      </c>
      <c r="D2884" s="9" t="s">
        <v>4552</v>
      </c>
      <c r="E2884" s="9" t="s">
        <v>4553</v>
      </c>
      <c r="F2884" s="8" t="str">
        <f>IFERROR(__xludf.DUMMYFUNCTION("GOOGLETRANSLATE(D2884,""zh-CN"",""vi"")"),"Hồ bơi một tầng [V]")</f>
        <v>Hồ bơi một tầng [V]</v>
      </c>
      <c r="G2884" s="8" t="str">
        <f>IFERROR(__xludf.DUMMYFUNCTION("GOOGLETRANSLATE(E2884,""zh-CN"",""vi"")"),"Tôi đã lập giao ước với bạn bè để tổ chức cuộc thi té nước! (Chế tạo một bể bơi hai tầng!) [V]")</f>
        <v>Tôi đã lập giao ước với bạn bè để tổ chức cuộc thi té nước! (Chế tạo một bể bơi hai tầng!) [V]</v>
      </c>
      <c r="H2884" s="8"/>
      <c r="I2884" s="8"/>
      <c r="J2884" s="8"/>
    </row>
    <row r="2885" ht="21.0" customHeight="1">
      <c r="A2885" s="6">
        <v>10.0</v>
      </c>
      <c r="B2885" s="6">
        <v>1059.0</v>
      </c>
      <c r="C2885" s="6">
        <v>6.0</v>
      </c>
      <c r="D2885" s="15" t="s">
        <v>4554</v>
      </c>
      <c r="E2885" s="9" t="s">
        <v>4555</v>
      </c>
      <c r="F2885" s="8" t="str">
        <f>IFERROR(__xludf.DUMMYFUNCTION("GOOGLETRANSLATE(D2885,""zh-CN"",""vi"")"),"Hồ bơi hai tầng [V]")</f>
        <v>Hồ bơi hai tầng [V]</v>
      </c>
      <c r="G2885" s="8" t="str">
        <f>IFERROR(__xludf.DUMMYFUNCTION("GOOGLETRANSLATE(E2885,""zh-CN"",""vi"")"),"Tôi luôn tò mò, liệu tầng hai có bị rò rỉ không? (Đang xây một bể bơi đẹp [V])")</f>
        <v>Tôi luôn tò mò, liệu tầng hai có bị rò rỉ không? (Đang xây một bể bơi đẹp [V])</v>
      </c>
      <c r="H2885" s="8"/>
      <c r="I2885" s="8"/>
      <c r="J2885" s="8"/>
    </row>
    <row r="2886" ht="21.0" customHeight="1">
      <c r="A2886" s="6">
        <v>10.0</v>
      </c>
      <c r="B2886" s="6">
        <v>1059.0</v>
      </c>
      <c r="C2886" s="6">
        <v>7.0</v>
      </c>
      <c r="D2886" s="15" t="s">
        <v>4556</v>
      </c>
      <c r="E2886" s="9" t="s">
        <v>4557</v>
      </c>
      <c r="F2886" s="8" t="str">
        <f>IFERROR(__xludf.DUMMYFUNCTION("GOOGLETRANSLATE(D2886,""zh-CN"",""vi"")"),"Hồ bơi tuyệt đẹp [V]")</f>
        <v>Hồ bơi tuyệt đẹp [V]</v>
      </c>
      <c r="G2886" s="8" t="str">
        <f>IFERROR(__xludf.DUMMYFUNCTION("GOOGLETRANSLATE(E2886,""zh-CN"",""vi"")"),"Tôi thích kem bán ở gần đây! (Ghép lại để có được một bể bơi cao cấp [V])")</f>
        <v>Tôi thích kem bán ở gần đây! (Ghép lại để có được một bể bơi cao cấp [V])</v>
      </c>
      <c r="H2886" s="8"/>
      <c r="I2886" s="8"/>
      <c r="J2886" s="8"/>
    </row>
    <row r="2887" ht="21.0" customHeight="1">
      <c r="A2887" s="6">
        <v>10.0</v>
      </c>
      <c r="B2887" s="6">
        <v>1059.0</v>
      </c>
      <c r="C2887" s="6">
        <v>8.0</v>
      </c>
      <c r="D2887" s="15" t="s">
        <v>4558</v>
      </c>
      <c r="E2887" s="9" t="s">
        <v>4559</v>
      </c>
      <c r="F2887" s="8" t="str">
        <f>IFERROR(__xludf.DUMMYFUNCTION("GOOGLETRANSLATE(D2887,""zh-CN"",""vi"")"),"Hồ bơi cao cấp [V]")</f>
        <v>Hồ bơi cao cấp [V]</v>
      </c>
      <c r="G2887" s="8" t="str">
        <f>IFERROR(__xludf.DUMMYFUNCTION("GOOGLETRANSLATE(E2887,""zh-CN"",""vi"")"),"Hồ bơi ngoài trời trên sân thượng là địa điểm chụp ảnh được ưa chuộng. Tổng hợp để có được hồ bơi VIP [V].")</f>
        <v>Hồ bơi ngoài trời trên sân thượng là địa điểm chụp ảnh được ưa chuộng. Tổng hợp để có được hồ bơi VIP [V].</v>
      </c>
      <c r="H2887" s="8"/>
      <c r="I2887" s="8"/>
      <c r="J2887" s="8"/>
    </row>
    <row r="2888" ht="21.0" customHeight="1">
      <c r="A2888" s="6">
        <v>10.0</v>
      </c>
      <c r="B2888" s="6">
        <v>1059.0</v>
      </c>
      <c r="C2888" s="6">
        <v>9.0</v>
      </c>
      <c r="D2888" s="15" t="s">
        <v>4560</v>
      </c>
      <c r="E2888" s="9" t="s">
        <v>4561</v>
      </c>
      <c r="F2888" s="8" t="str">
        <f>IFERROR(__xludf.DUMMYFUNCTION("GOOGLETRANSLATE(D2888,""zh-CN"",""vi"")"),"Hồ bơi VIP [V]")</f>
        <v>Hồ bơi VIP [V]</v>
      </c>
      <c r="G2888" s="8" t="str">
        <f>IFERROR(__xludf.DUMMYFUNCTION("GOOGLETRANSLATE(E2888,""zh-CN"",""vi"")"),"Các đặt chỗ đã được đặt trước sáu tháng. [Tổng hợp để có được một bể bơi sang trọng. [V]]")</f>
        <v>Các đặt chỗ đã được đặt trước sáu tháng. [Tổng hợp để có được một bể bơi sang trọng. [V]]</v>
      </c>
      <c r="H2888" s="8"/>
      <c r="I2888" s="8"/>
      <c r="J2888" s="8"/>
    </row>
    <row r="2889" ht="21.0" customHeight="1">
      <c r="A2889" s="6">
        <v>10.0</v>
      </c>
      <c r="B2889" s="6">
        <v>1059.0</v>
      </c>
      <c r="C2889" s="6">
        <v>10.0</v>
      </c>
      <c r="D2889" s="15" t="s">
        <v>4562</v>
      </c>
      <c r="E2889" s="9" t="s">
        <v>4543</v>
      </c>
      <c r="F2889" s="8" t="str">
        <f>IFERROR(__xludf.DUMMYFUNCTION("GOOGLETRANSLATE(D2889,""zh-CN"",""vi"")"),"Hồ bơi sang trọng [V]")</f>
        <v>Hồ bơi sang trọng [V]</v>
      </c>
      <c r="G2889" s="8" t="str">
        <f>IFERROR(__xludf.DUMMYFUNCTION("GOOGLETRANSLATE(E2889,""zh-CN"",""vi"")"),"Tận hưởng toàn cảnh thành phố từ hồ bơi trên tầng thượng của tòa nhà cao tầng. (Đã đạt cấp độ tối đa)")</f>
        <v>Tận hưởng toàn cảnh thành phố từ hồ bơi trên tầng thượng của tòa nhà cao tầng. (Đã đạt cấp độ tối đa)</v>
      </c>
      <c r="H2889" s="8"/>
      <c r="I2889" s="8"/>
      <c r="J2889" s="8"/>
    </row>
    <row r="2890" ht="21.0" customHeight="1">
      <c r="A2890" s="6">
        <v>1.0</v>
      </c>
      <c r="B2890" s="6">
        <v>231.0</v>
      </c>
      <c r="C2890" s="6">
        <v>1.0</v>
      </c>
      <c r="D2890" s="15" t="s">
        <v>4563</v>
      </c>
      <c r="E2890" s="9" t="s">
        <v>4564</v>
      </c>
      <c r="F2890" s="8" t="str">
        <f>IFERROR(__xludf.DUMMYFUNCTION("GOOGLETRANSLATE(D2890,""zh-CN"",""vi"")"),"đầu tai silicon")</f>
        <v>đầu tai silicon</v>
      </c>
      <c r="G2890" s="8" t="str">
        <f>IFERROR(__xludf.DUMMYFUNCTION("GOOGLETRANSLATE(E2890,""zh-CN"",""vi"")"),"Vật dụng thiết yếu để ngăn ngừa nhiễm trùng tai. Được chế tạo để làm ống thở oxy khi bơi.")</f>
        <v>Vật dụng thiết yếu để ngăn ngừa nhiễm trùng tai. Được chế tạo để làm ống thở oxy khi bơi.</v>
      </c>
      <c r="H2890" s="8"/>
      <c r="I2890" s="8"/>
      <c r="J2890" s="8"/>
    </row>
    <row r="2891" ht="21.0" customHeight="1">
      <c r="A2891" s="6">
        <v>1.0</v>
      </c>
      <c r="B2891" s="6">
        <v>231.0</v>
      </c>
      <c r="C2891" s="6">
        <v>2.0</v>
      </c>
      <c r="D2891" s="15" t="s">
        <v>4565</v>
      </c>
      <c r="E2891" s="9" t="s">
        <v>4566</v>
      </c>
      <c r="F2891" s="8" t="str">
        <f>IFERROR(__xludf.DUMMYFUNCTION("GOOGLETRANSLATE(D2891,""zh-CN"",""vi"")"),"Ống thở oxy khi bơi")</f>
        <v>Ống thở oxy khi bơi</v>
      </c>
      <c r="G2891" s="8" t="str">
        <f>IFERROR(__xludf.DUMMYFUNCTION("GOOGLETRANSLATE(E2891,""zh-CN"",""vi"")"),"Với nó, bạn có thể thoải mái tận hưởng khung cảnh dưới nước và tự tạo một chiếc băng đô bơi lội.")</f>
        <v>Với nó, bạn có thể thoải mái tận hưởng khung cảnh dưới nước và tự tạo một chiếc băng đô bơi lội.</v>
      </c>
      <c r="H2891" s="8"/>
      <c r="I2891" s="8"/>
      <c r="J2891" s="8"/>
    </row>
    <row r="2892" ht="21.0" customHeight="1">
      <c r="A2892" s="6">
        <v>1.0</v>
      </c>
      <c r="B2892" s="6">
        <v>231.0</v>
      </c>
      <c r="C2892" s="6">
        <v>3.0</v>
      </c>
      <c r="D2892" s="15" t="s">
        <v>4567</v>
      </c>
      <c r="E2892" s="9" t="s">
        <v>4568</v>
      </c>
      <c r="F2892" s="8" t="str">
        <f>IFERROR(__xludf.DUMMYFUNCTION("GOOGLETRANSLATE(D2892,""zh-CN"",""vi"")"),"băng đô bơi")</f>
        <v>băng đô bơi</v>
      </c>
      <c r="G2892" s="8" t="str">
        <f>IFERROR(__xludf.DUMMYFUNCTION("GOOGLETRANSLATE(E2892,""zh-CN"",""vi"")"),"Tôi là một con cua, một con cua nhanh nhẹn. (Kính bơi hình thỏ thủ công)")</f>
        <v>Tôi là một con cua, một con cua nhanh nhẹn. (Kính bơi hình thỏ thủ công)</v>
      </c>
      <c r="H2892" s="8"/>
      <c r="I2892" s="8"/>
      <c r="J2892" s="8"/>
    </row>
    <row r="2893" ht="21.0" customHeight="1">
      <c r="A2893" s="6">
        <v>1.0</v>
      </c>
      <c r="B2893" s="6">
        <v>231.0</v>
      </c>
      <c r="C2893" s="6">
        <v>4.0</v>
      </c>
      <c r="D2893" s="15" t="s">
        <v>4569</v>
      </c>
      <c r="E2893" s="9" t="s">
        <v>4570</v>
      </c>
      <c r="F2893" s="8" t="str">
        <f>IFERROR(__xludf.DUMMYFUNCTION("GOOGLETRANSLATE(D2893,""zh-CN"",""vi"")"),"Kính bơi hình thỏ")</f>
        <v>Kính bơi hình thỏ</v>
      </c>
      <c r="G2893" s="8" t="str">
        <f>IFERROR(__xludf.DUMMYFUNCTION("GOOGLETRANSLATE(E2893,""zh-CN"",""vi"")"),"Đeo nó sẽ khiến bạn trông như mọc thêm hai cái sừng. Kết hợp các bộ phận để có được mũ bơi Hakimi.")</f>
        <v>Đeo nó sẽ khiến bạn trông như mọc thêm hai cái sừng. Kết hợp các bộ phận để có được mũ bơi Hakimi.</v>
      </c>
      <c r="H2893" s="8"/>
      <c r="I2893" s="8"/>
      <c r="J2893" s="8"/>
    </row>
    <row r="2894" ht="21.0" customHeight="1">
      <c r="A2894" s="6">
        <v>1.0</v>
      </c>
      <c r="B2894" s="6">
        <v>231.0</v>
      </c>
      <c r="C2894" s="6">
        <v>5.0</v>
      </c>
      <c r="D2894" s="15" t="s">
        <v>4571</v>
      </c>
      <c r="E2894" s="9" t="s">
        <v>4572</v>
      </c>
      <c r="F2894" s="8" t="str">
        <f>IFERROR(__xludf.DUMMYFUNCTION("GOOGLETRANSLATE(D2894,""zh-CN"",""vi"")"),"Mũ bơi Hakimi")</f>
        <v>Mũ bơi Hakimi</v>
      </c>
      <c r="G2894" s="8" t="str">
        <f>IFERROR(__xludf.DUMMYFUNCTION("GOOGLETRANSLATE(E2894,""zh-CN"",""vi"")"),"Chú mèo con giờ đã có thể đi câu cá ngoài biển rồi! Hãy ghép chúng lại để có được quần bơi.")</f>
        <v>Chú mèo con giờ đã có thể đi câu cá ngoài biển rồi! Hãy ghép chúng lại để có được quần bơi.</v>
      </c>
      <c r="H2894" s="8"/>
      <c r="I2894" s="8"/>
      <c r="J2894" s="8"/>
    </row>
    <row r="2895" ht="21.0" customHeight="1">
      <c r="A2895" s="6">
        <v>1.0</v>
      </c>
      <c r="B2895" s="6">
        <v>231.0</v>
      </c>
      <c r="C2895" s="6">
        <v>6.0</v>
      </c>
      <c r="D2895" s="15" t="s">
        <v>4573</v>
      </c>
      <c r="E2895" s="9" t="s">
        <v>4574</v>
      </c>
      <c r="F2895" s="8" t="str">
        <f>IFERROR(__xludf.DUMMYFUNCTION("GOOGLETRANSLATE(D2895,""zh-CN"",""vi"")"),"quần bơi")</f>
        <v>quần bơi</v>
      </c>
      <c r="G2895" s="8" t="str">
        <f>IFERROR(__xludf.DUMMYFUNCTION("GOOGLETRANSLATE(E2895,""zh-CN"",""vi"")"),"Mát mẻ, thoáng khí và thoải mái. Được tổng hợp để tạo ra quần short đi biển.")</f>
        <v>Mát mẻ, thoáng khí và thoải mái. Được tổng hợp để tạo ra quần short đi biển.</v>
      </c>
      <c r="H2895" s="8"/>
      <c r="I2895" s="8"/>
      <c r="J2895" s="8"/>
    </row>
    <row r="2896" ht="21.0" customHeight="1">
      <c r="A2896" s="6">
        <v>1.0</v>
      </c>
      <c r="B2896" s="6">
        <v>231.0</v>
      </c>
      <c r="C2896" s="6">
        <v>7.0</v>
      </c>
      <c r="D2896" s="15" t="s">
        <v>4575</v>
      </c>
      <c r="E2896" s="9" t="s">
        <v>4576</v>
      </c>
      <c r="F2896" s="8" t="str">
        <f>IFERROR(__xludf.DUMMYFUNCTION("GOOGLETRANSLATE(D2896,""zh-CN"",""vi"")"),"quần short đi biển")</f>
        <v>quần short đi biển</v>
      </c>
      <c r="G2896" s="8" t="str">
        <f>IFERROR(__xludf.DUMMYFUNCTION("GOOGLETRANSLATE(E2896,""zh-CN"",""vi"")"),"Mặc bộ đồ này mang lại cảm giác như đang ở trên một bãi biển mùa hè nóng bỏng. (Thành phẩm là một bộ bikini hai mảnh.)")</f>
        <v>Mặc bộ đồ này mang lại cảm giác như đang ở trên một bãi biển mùa hè nóng bỏng. (Thành phẩm là một bộ bikini hai mảnh.)</v>
      </c>
      <c r="H2896" s="8"/>
      <c r="I2896" s="8"/>
      <c r="J2896" s="8"/>
    </row>
    <row r="2897" ht="21.0" customHeight="1">
      <c r="A2897" s="6">
        <v>1.0</v>
      </c>
      <c r="B2897" s="6">
        <v>231.0</v>
      </c>
      <c r="C2897" s="6">
        <v>8.0</v>
      </c>
      <c r="D2897" s="15" t="s">
        <v>4577</v>
      </c>
      <c r="E2897" s="9" t="s">
        <v>4578</v>
      </c>
      <c r="F2897" s="8" t="str">
        <f>IFERROR(__xludf.DUMMYFUNCTION("GOOGLETRANSLATE(D2897,""zh-CN"",""vi"")"),"Bộ đồ bơi hai mảnh")</f>
        <v>Bộ đồ bơi hai mảnh</v>
      </c>
      <c r="G2897" s="8" t="str">
        <f>IFERROR(__xludf.DUMMYFUNCTION("GOOGLETRANSLATE(E2897,""zh-CN"",""vi"")"),"Hãy khoe trọn vẹn vẻ đẹp hình thể của bạn! Kết hợp các thành phần để tạo thành bộ đồ bơi liền thân.")</f>
        <v>Hãy khoe trọn vẹn vẻ đẹp hình thể của bạn! Kết hợp các thành phần để tạo thành bộ đồ bơi liền thân.</v>
      </c>
      <c r="H2897" s="8"/>
      <c r="I2897" s="8"/>
      <c r="J2897" s="8"/>
    </row>
    <row r="2898" ht="21.0" customHeight="1">
      <c r="A2898" s="6">
        <v>1.0</v>
      </c>
      <c r="B2898" s="6">
        <v>231.0</v>
      </c>
      <c r="C2898" s="6">
        <v>9.0</v>
      </c>
      <c r="D2898" s="15" t="s">
        <v>4579</v>
      </c>
      <c r="E2898" s="9" t="s">
        <v>4580</v>
      </c>
      <c r="F2898" s="8" t="str">
        <f>IFERROR(__xludf.DUMMYFUNCTION("GOOGLETRANSLATE(D2898,""zh-CN"",""vi"")"),"Bộ đồ bơi liền thân")</f>
        <v>Bộ đồ bơi liền thân</v>
      </c>
      <c r="G2898" s="8" t="str">
        <f>IFERROR(__xludf.DUMMYFUNCTION("GOOGLETRANSLATE(E2898,""zh-CN"",""vi"")"),"Bộ đồ bơi màu hồng, tựa như một bông hoa giữa đại dương. Hãy tự tay chế tác để có được một bộ đồ lặn đáng yêu.")</f>
        <v>Bộ đồ bơi màu hồng, tựa như một bông hoa giữa đại dương. Hãy tự tay chế tác để có được một bộ đồ lặn đáng yêu.</v>
      </c>
      <c r="H2898" s="8"/>
      <c r="I2898" s="8"/>
      <c r="J2898" s="8"/>
    </row>
    <row r="2899" ht="21.0" customHeight="1">
      <c r="A2899" s="6">
        <v>1.0</v>
      </c>
      <c r="B2899" s="6">
        <v>231.0</v>
      </c>
      <c r="C2899" s="6">
        <v>10.0</v>
      </c>
      <c r="D2899" s="15" t="s">
        <v>4581</v>
      </c>
      <c r="E2899" s="9" t="s">
        <v>4582</v>
      </c>
      <c r="F2899" s="8" t="str">
        <f>IFERROR(__xludf.DUMMYFUNCTION("GOOGLETRANSLATE(D2899,""zh-CN"",""vi"")"),"Bộ đồ lặn dễ thương")</f>
        <v>Bộ đồ lặn dễ thương</v>
      </c>
      <c r="G2899" s="8" t="str">
        <f>IFERROR(__xludf.DUMMYFUNCTION("GOOGLETRANSLATE(E2899,""zh-CN"",""vi"")"),"Đại dương bí ẩn, ta đến đây! Hãy chế tạo bộ đồ phiêu lưu dưới đáy biển sâu.")</f>
        <v>Đại dương bí ẩn, ta đến đây! Hãy chế tạo bộ đồ phiêu lưu dưới đáy biển sâu.</v>
      </c>
      <c r="H2899" s="8"/>
      <c r="I2899" s="8"/>
      <c r="J2899" s="8"/>
    </row>
    <row r="2900" ht="21.0" customHeight="1">
      <c r="A2900" s="6">
        <v>1.0</v>
      </c>
      <c r="B2900" s="6">
        <v>231.0</v>
      </c>
      <c r="C2900" s="6">
        <v>11.0</v>
      </c>
      <c r="D2900" s="15" t="s">
        <v>4583</v>
      </c>
      <c r="E2900" s="9" t="s">
        <v>4584</v>
      </c>
      <c r="F2900" s="8" t="str">
        <f>IFERROR(__xludf.DUMMYFUNCTION("GOOGLETRANSLATE(D2900,""zh-CN"",""vi"")"),"Bộ đồ thám hiểm biển sâu")</f>
        <v>Bộ đồ thám hiểm biển sâu</v>
      </c>
      <c r="G2900" s="8" t="str">
        <f>IFERROR(__xludf.DUMMYFUNCTION("GOOGLETRANSLATE(E2900,""zh-CN"",""vi"")"),"Tương truyền rằng những sinh vật cổ đại vẫn còn tồn tại ở đáy biển sâu! Hãy chế tạo chúng để có được bộ đồ lặn hình thỏ.")</f>
        <v>Tương truyền rằng những sinh vật cổ đại vẫn còn tồn tại ở đáy biển sâu! Hãy chế tạo chúng để có được bộ đồ lặn hình thỏ.</v>
      </c>
      <c r="H2900" s="8"/>
      <c r="I2900" s="8"/>
      <c r="J2900" s="8"/>
    </row>
    <row r="2901" ht="21.0" customHeight="1">
      <c r="A2901" s="6">
        <v>1.0</v>
      </c>
      <c r="B2901" s="6">
        <v>231.0</v>
      </c>
      <c r="C2901" s="6">
        <v>12.0</v>
      </c>
      <c r="D2901" s="15" t="s">
        <v>4585</v>
      </c>
      <c r="E2901" s="9" t="s">
        <v>4586</v>
      </c>
      <c r="F2901" s="8" t="str">
        <f>IFERROR(__xludf.DUMMYFUNCTION("GOOGLETRANSLATE(D2901,""zh-CN"",""vi"")"),"Bộ đồ lặn hình thỏ")</f>
        <v>Bộ đồ lặn hình thỏ</v>
      </c>
      <c r="G2901" s="8" t="str">
        <f>IFERROR(__xludf.DUMMYFUNCTION("GOOGLETRANSLATE(E2901,""zh-CN"",""vi"")"),"Nó cho phép người ta di chuyển tự do trên biển như thể đang ở trên mặt đất bằng phẳng. Tổng hợp lại để tạo ra bộ đồ lặn hiện đại.")</f>
        <v>Nó cho phép người ta di chuyển tự do trên biển như thể đang ở trên mặt đất bằng phẳng. Tổng hợp lại để tạo ra bộ đồ lặn hiện đại.</v>
      </c>
      <c r="H2901" s="8"/>
      <c r="I2901" s="8"/>
      <c r="J2901" s="8"/>
    </row>
    <row r="2902" ht="21.0" customHeight="1">
      <c r="A2902" s="6">
        <v>1.0</v>
      </c>
      <c r="B2902" s="6">
        <v>231.0</v>
      </c>
      <c r="C2902" s="6">
        <v>13.0</v>
      </c>
      <c r="D2902" s="15" t="s">
        <v>4587</v>
      </c>
      <c r="E2902" s="9" t="s">
        <v>4588</v>
      </c>
      <c r="F2902" s="8" t="str">
        <f>IFERROR(__xludf.DUMMYFUNCTION("GOOGLETRANSLATE(D2902,""zh-CN"",""vi"")"),"Bộ đồ lặn tương lai")</f>
        <v>Bộ đồ lặn tương lai</v>
      </c>
      <c r="G2902" s="8" t="str">
        <f>IFERROR(__xludf.DUMMYFUNCTION("GOOGLETRANSLATE(E2902,""zh-CN"",""vi"")"),"Đã đến lúc biến đại dương thành ngôi nhà thứ hai của chúng ta! (Được tổng hợp ở cấp độ cao nhất)")</f>
        <v>Đã đến lúc biến đại dương thành ngôi nhà thứ hai của chúng ta! (Được tổng hợp ở cấp độ cao nhất)</v>
      </c>
      <c r="H2902" s="8"/>
      <c r="I2902" s="8"/>
      <c r="J2902" s="8"/>
    </row>
    <row r="2903" ht="21.0" customHeight="1">
      <c r="A2903" s="6">
        <v>1.0</v>
      </c>
      <c r="B2903" s="6">
        <v>232.0</v>
      </c>
      <c r="C2903" s="6">
        <v>1.0</v>
      </c>
      <c r="D2903" s="15" t="s">
        <v>4589</v>
      </c>
      <c r="E2903" s="9" t="s">
        <v>4590</v>
      </c>
      <c r="F2903" s="8" t="str">
        <f>IFERROR(__xludf.DUMMYFUNCTION("GOOGLETRANSLATE(D2903,""zh-CN"",""vi"")"),"vũng bùn")</f>
        <v>vũng bùn</v>
      </c>
      <c r="G2903" s="8" t="str">
        <f>IFERROR(__xludf.DUMMYFUNCTION("GOOGLETRANSLATE(E2903,""zh-CN"",""vi"")"),"Xuất hiện vào những ngày mưa. Tổng hợp lại để tạo thành một vũng nước cỏ nông.")</f>
        <v>Xuất hiện vào những ngày mưa. Tổng hợp lại để tạo thành một vũng nước cỏ nông.</v>
      </c>
      <c r="H2903" s="8"/>
      <c r="I2903" s="8"/>
      <c r="J2903" s="8"/>
    </row>
    <row r="2904" ht="21.0" customHeight="1">
      <c r="A2904" s="6">
        <v>1.0</v>
      </c>
      <c r="B2904" s="6">
        <v>232.0</v>
      </c>
      <c r="C2904" s="6">
        <v>2.0</v>
      </c>
      <c r="D2904" s="15" t="s">
        <v>4591</v>
      </c>
      <c r="E2904" s="9" t="s">
        <v>4592</v>
      </c>
      <c r="F2904" s="8" t="str">
        <f>IFERROR(__xludf.DUMMYFUNCTION("GOOGLETRANSLATE(D2904,""zh-CN"",""vi"")"),"Vũng nước Asakusa")</f>
        <v>Vũng nước Asakusa</v>
      </c>
      <c r="G2904" s="8" t="str">
        <f>IFERROR(__xludf.DUMMYFUNCTION("GOOGLETRANSLATE(E2904,""zh-CN"",""vi"")"),"Trời mưa thường xuyên, và cỏ mọc um tùm xung quanh. (Hãy tạo một dòng suối/vũng nước trên núi.)")</f>
        <v>Trời mưa thường xuyên, và cỏ mọc um tùm xung quanh. (Hãy tạo một dòng suối/vũng nước trên núi.)</v>
      </c>
      <c r="H2904" s="8"/>
      <c r="I2904" s="8"/>
      <c r="J2904" s="8"/>
    </row>
    <row r="2905" ht="21.0" customHeight="1">
      <c r="A2905" s="6">
        <v>1.0</v>
      </c>
      <c r="B2905" s="6">
        <v>232.0</v>
      </c>
      <c r="C2905" s="6">
        <v>3.0</v>
      </c>
      <c r="D2905" s="15" t="s">
        <v>4593</v>
      </c>
      <c r="E2905" s="9" t="s">
        <v>4594</v>
      </c>
      <c r="F2905" s="8" t="str">
        <f>IFERROR(__xludf.DUMMYFUNCTION("GOOGLETRANSLATE(D2905,""zh-CN"",""vi"")"),"Núi và hố nước hoang dã")</f>
        <v>Núi và hố nước hoang dã</v>
      </c>
      <c r="G2905" s="8" t="str">
        <f>IFERROR(__xludf.DUMMYFUNCTION("GOOGLETRANSLATE(E2905,""zh-CN"",""vi"")"),"Một vũng nước lâu đời trên núi, nơi thỉnh thoảng các loài động vật đến uống nước. (Hãy tạo một vũng nước hình hoa sen.)")</f>
        <v>Một vũng nước lâu đời trên núi, nơi thỉnh thoảng các loài động vật đến uống nước. (Hãy tạo một vũng nước hình hoa sen.)</v>
      </c>
      <c r="H2905" s="8"/>
      <c r="I2905" s="8"/>
      <c r="J2905" s="8"/>
    </row>
    <row r="2906" ht="21.0" customHeight="1">
      <c r="A2906" s="6">
        <v>1.0</v>
      </c>
      <c r="B2906" s="6">
        <v>232.0</v>
      </c>
      <c r="C2906" s="6">
        <v>4.0</v>
      </c>
      <c r="D2906" s="15" t="s">
        <v>4595</v>
      </c>
      <c r="E2906" s="9" t="s">
        <v>4596</v>
      </c>
      <c r="F2906" s="8" t="str">
        <f>IFERROR(__xludf.DUMMYFUNCTION("GOOGLETRANSLATE(D2906,""zh-CN"",""vi"")"),"Ao sen")</f>
        <v>Ao sen</v>
      </c>
      <c r="G2906" s="8" t="str">
        <f>IFERROR(__xludf.DUMMYFUNCTION("GOOGLETRANSLATE(E2906,""zh-CN"",""vi"")"),"Con chim làm rơi một hạt giống, và một cái cây mọc lên. (Hãy tạo ra vũng nước hình con vịt kêu từ đó.)")</f>
        <v>Con chim làm rơi một hạt giống, và một cái cây mọc lên. (Hãy tạo ra vũng nước hình con vịt kêu từ đó.)</v>
      </c>
      <c r="H2906" s="8"/>
      <c r="I2906" s="8"/>
      <c r="J2906" s="8"/>
    </row>
    <row r="2907" ht="21.0" customHeight="1">
      <c r="A2907" s="6">
        <v>1.0</v>
      </c>
      <c r="B2907" s="6">
        <v>232.0</v>
      </c>
      <c r="C2907" s="6">
        <v>5.0</v>
      </c>
      <c r="D2907" s="15" t="s">
        <v>4597</v>
      </c>
      <c r="E2907" s="9" t="s">
        <v>4598</v>
      </c>
      <c r="F2907" s="8" t="str">
        <f>IFERROR(__xludf.DUMMYFUNCTION("GOOGLETRANSLATE(D2907,""zh-CN"",""vi"")"),"Vũng nước Guagua")</f>
        <v>Vũng nước Guagua</v>
      </c>
      <c r="G2907" s="8" t="str">
        <f>IFERROR(__xludf.DUMMYFUNCTION("GOOGLETRANSLATE(E2907,""zh-CN"",""vi"")"),"Cuộc phiêu lưu ở Guagua bắt đầu từ đây. Hãy kết hợp các bộ phận để tạo thành một bể bơi bơm hơi.")</f>
        <v>Cuộc phiêu lưu ở Guagua bắt đầu từ đây. Hãy kết hợp các bộ phận để tạo thành một bể bơi bơm hơi.</v>
      </c>
      <c r="H2907" s="8"/>
      <c r="I2907" s="8"/>
      <c r="J2907" s="8"/>
    </row>
    <row r="2908" ht="21.0" customHeight="1">
      <c r="A2908" s="6">
        <v>1.0</v>
      </c>
      <c r="B2908" s="6">
        <v>232.0</v>
      </c>
      <c r="C2908" s="6">
        <v>6.0</v>
      </c>
      <c r="D2908" s="15" t="s">
        <v>4599</v>
      </c>
      <c r="E2908" s="9" t="s">
        <v>4600</v>
      </c>
      <c r="F2908" s="8" t="str">
        <f>IFERROR(__xludf.DUMMYFUNCTION("GOOGLETRANSLATE(D2908,""zh-CN"",""vi"")"),"Hồ bơi bơm hơi")</f>
        <v>Hồ bơi bơm hơi</v>
      </c>
      <c r="G2908" s="8" t="str">
        <f>IFERROR(__xludf.DUMMYFUNCTION("GOOGLETRANSLATE(E2908,""zh-CN"",""vi"")"),"Nó có thể được xây dựng nhanh chóng ngay cả ngoài trời. Hãy chế tạo nó để có được một bể bơi hình thỏ.")</f>
        <v>Nó có thể được xây dựng nhanh chóng ngay cả ngoài trời. Hãy chế tạo nó để có được một bể bơi hình thỏ.</v>
      </c>
      <c r="H2908" s="8"/>
      <c r="I2908" s="8"/>
      <c r="J2908" s="8"/>
    </row>
    <row r="2909" ht="21.0" customHeight="1">
      <c r="A2909" s="6">
        <v>1.0</v>
      </c>
      <c r="B2909" s="6">
        <v>232.0</v>
      </c>
      <c r="C2909" s="6">
        <v>7.0</v>
      </c>
      <c r="D2909" s="15" t="s">
        <v>4601</v>
      </c>
      <c r="E2909" s="9" t="s">
        <v>4602</v>
      </c>
      <c r="F2909" s="8" t="str">
        <f>IFERROR(__xludf.DUMMYFUNCTION("GOOGLETRANSLATE(D2909,""zh-CN"",""vi"")"),"Hồ bơi Thỏ")</f>
        <v>Hồ bơi Thỏ</v>
      </c>
      <c r="G2909" s="8" t="str">
        <f>IFERROR(__xludf.DUMMYFUNCTION("GOOGLETRANSLATE(E2909,""zh-CN"",""vi"")"),"Hồ bơi có hình dạng giống đầu thỏ. Kết hợp chúng lại để tạo thành hồ bơi hình tròn đôi.")</f>
        <v>Hồ bơi có hình dạng giống đầu thỏ. Kết hợp chúng lại để tạo thành hồ bơi hình tròn đôi.</v>
      </c>
      <c r="H2909" s="8"/>
      <c r="I2909" s="8"/>
      <c r="J2909" s="8"/>
    </row>
    <row r="2910" ht="21.0" customHeight="1">
      <c r="A2910" s="6">
        <v>1.0</v>
      </c>
      <c r="B2910" s="6">
        <v>232.0</v>
      </c>
      <c r="C2910" s="6">
        <v>8.0</v>
      </c>
      <c r="D2910" s="15" t="s">
        <v>4603</v>
      </c>
      <c r="E2910" s="9" t="s">
        <v>4604</v>
      </c>
      <c r="F2910" s="8" t="str">
        <f>IFERROR(__xludf.DUMMYFUNCTION("GOOGLETRANSLATE(D2910,""zh-CN"",""vi"")"),"Hồ bơi đôi hình tròn")</f>
        <v>Hồ bơi đôi hình tròn</v>
      </c>
      <c r="G2910" s="8" t="str">
        <f>IFERROR(__xludf.DUMMYFUNCTION("GOOGLETRANSLATE(E2910,""zh-CN"",""vi"")"),"Hình dạng bo tròn rất được ưa chuộng. Có thể tạo ra một bể bơi hình cánh hoa bằng sứ trắng từ hình dạng này.")</f>
        <v>Hình dạng bo tròn rất được ưa chuộng. Có thể tạo ra một bể bơi hình cánh hoa bằng sứ trắng từ hình dạng này.</v>
      </c>
      <c r="H2910" s="8"/>
      <c r="I2910" s="8"/>
      <c r="J2910" s="8"/>
    </row>
    <row r="2911" ht="21.0" customHeight="1">
      <c r="A2911" s="6">
        <v>1.0</v>
      </c>
      <c r="B2911" s="6">
        <v>232.0</v>
      </c>
      <c r="C2911" s="6">
        <v>9.0</v>
      </c>
      <c r="D2911" s="15" t="s">
        <v>4605</v>
      </c>
      <c r="E2911" s="9" t="s">
        <v>4606</v>
      </c>
      <c r="F2911" s="8" t="str">
        <f>IFERROR(__xludf.DUMMYFUNCTION("GOOGLETRANSLATE(D2911,""zh-CN"",""vi"")"),"Hồ cánh hoa bằng sứ trắng")</f>
        <v>Hồ cánh hoa bằng sứ trắng</v>
      </c>
      <c r="G2911" s="8" t="str">
        <f>IFERROR(__xludf.DUMMYFUNCTION("GOOGLETRANSLATE(E2911,""zh-CN"",""vi"")"),"Một không gian hoàn hảo để một người tận hưởng trọn vẹn sự riêng tư. Hãy tự tay chế tạo để có được một hồ bơi dễ thương.")</f>
        <v>Một không gian hoàn hảo để một người tận hưởng trọn vẹn sự riêng tư. Hãy tự tay chế tạo để có được một hồ bơi dễ thương.</v>
      </c>
      <c r="H2911" s="8"/>
      <c r="I2911" s="8"/>
      <c r="J2911" s="8"/>
    </row>
    <row r="2912" ht="21.0" customHeight="1">
      <c r="A2912" s="6">
        <v>1.0</v>
      </c>
      <c r="B2912" s="6">
        <v>232.0</v>
      </c>
      <c r="C2912" s="6">
        <v>10.0</v>
      </c>
      <c r="D2912" s="15" t="s">
        <v>4607</v>
      </c>
      <c r="E2912" s="9" t="s">
        <v>4608</v>
      </c>
      <c r="F2912" s="8" t="str">
        <f>IFERROR(__xludf.DUMMYFUNCTION("GOOGLETRANSLATE(D2912,""zh-CN"",""vi"")"),"Hồ bơi Kawaii")</f>
        <v>Hồ bơi Kawaii</v>
      </c>
      <c r="G2912" s="8" t="str">
        <f>IFERROR(__xludf.DUMMYFUNCTION("GOOGLETRANSLATE(E2912,""zh-CN"",""vi"")"),"Cảm giác như được quay trở lại tuổi thơ. Kết hợp các thành phần để tạo ra một bể bơi hai lớp hình dáng dễ thương.")</f>
        <v>Cảm giác như được quay trở lại tuổi thơ. Kết hợp các thành phần để tạo ra một bể bơi hai lớp hình dáng dễ thương.</v>
      </c>
      <c r="H2912" s="8"/>
      <c r="I2912" s="8"/>
      <c r="J2912" s="8"/>
    </row>
    <row r="2913" ht="21.0" customHeight="1">
      <c r="A2913" s="6">
        <v>1.0</v>
      </c>
      <c r="B2913" s="6">
        <v>232.0</v>
      </c>
      <c r="C2913" s="6">
        <v>11.0</v>
      </c>
      <c r="D2913" s="15" t="s">
        <v>4609</v>
      </c>
      <c r="E2913" s="9" t="s">
        <v>4610</v>
      </c>
      <c r="F2913" s="8" t="str">
        <f>IFERROR(__xludf.DUMMYFUNCTION("GOOGLETRANSLATE(D2913,""zh-CN"",""vi"")"),"Hồ bơi hai lớp kiểu kawaii")</f>
        <v>Hồ bơi hai lớp kiểu kawaii</v>
      </c>
      <c r="G2913" s="8" t="str">
        <f>IFERROR(__xludf.DUMMYFUNCTION("GOOGLETRANSLATE(E2913,""zh-CN"",""vi"")"),"Chú vịt vàng nhỏ và quả bóng, hai món đồ chơi tuyệt vời mang lại niềm vui. Kết hợp chúng để có được ""Hồ Hương Thơm Tháng Hai"".")</f>
        <v>Chú vịt vàng nhỏ và quả bóng, hai món đồ chơi tuyệt vời mang lại niềm vui. Kết hợp chúng để có được "Hồ Hương Thơm Tháng Hai".</v>
      </c>
      <c r="H2913" s="8"/>
      <c r="I2913" s="8"/>
      <c r="J2913" s="8"/>
    </row>
    <row r="2914" ht="21.0" customHeight="1">
      <c r="A2914" s="6">
        <v>1.0</v>
      </c>
      <c r="B2914" s="6">
        <v>232.0</v>
      </c>
      <c r="C2914" s="6">
        <v>12.0</v>
      </c>
      <c r="D2914" s="15" t="s">
        <v>4611</v>
      </c>
      <c r="E2914" s="9" t="s">
        <v>4612</v>
      </c>
      <c r="F2914" s="8" t="str">
        <f>IFERROR(__xludf.DUMMYFUNCTION("GOOGLETRANSLATE(D2914,""zh-CN"",""vi"")"),"Hồ nước thơm ngát tháng Hai")</f>
        <v>Hồ nước thơm ngát tháng Hai</v>
      </c>
      <c r="G2914" s="8" t="str">
        <f>IFERROR(__xludf.DUMMYFUNCTION("GOOGLETRANSLATE(E2914,""zh-CN"",""vi"")"),"Giống như một phi tần hoàng gia thời xưa đang tắm ở đây. Tổng hợp để có được Hồ Trăng Sao trong Hồ.")</f>
        <v>Giống như một phi tần hoàng gia thời xưa đang tắm ở đây. Tổng hợp để có được Hồ Trăng Sao trong Hồ.</v>
      </c>
      <c r="H2914" s="8"/>
      <c r="I2914" s="8"/>
      <c r="J2914" s="8"/>
    </row>
    <row r="2915" ht="21.0" customHeight="1">
      <c r="A2915" s="6">
        <v>1.0</v>
      </c>
      <c r="B2915" s="6">
        <v>232.0</v>
      </c>
      <c r="C2915" s="6">
        <v>13.0</v>
      </c>
      <c r="D2915" s="15" t="s">
        <v>4613</v>
      </c>
      <c r="E2915" s="9" t="s">
        <v>4614</v>
      </c>
      <c r="F2915" s="8" t="str">
        <f>IFERROR(__xludf.DUMMYFUNCTION("GOOGLETRANSLATE(D2915,""zh-CN"",""vi"")"),"Hồ Sao và Trăng trong hồ bơi")</f>
        <v>Hồ Sao và Trăng trong hồ bơi</v>
      </c>
      <c r="G2915" s="8" t="str">
        <f>IFERROR(__xludf.DUMMYFUNCTION("GOOGLETRANSLATE(E2915,""zh-CN"",""vi"")"),"Các vì sao và mặt trăng vẫn tĩnh lặng, hòa quyện không thể phân biệt giữa bầu trời và mặt nước. (Đã được tổng hợp đến cấp độ cao nhất)")</f>
        <v>Các vì sao và mặt trăng vẫn tĩnh lặng, hòa quyện không thể phân biệt giữa bầu trời và mặt nước. (Đã được tổng hợp đến cấp độ cao nhất)</v>
      </c>
      <c r="H2915" s="8"/>
      <c r="I2915" s="8"/>
      <c r="J2915" s="8"/>
    </row>
    <row r="2916" ht="21.0" customHeight="1">
      <c r="A2916" s="6">
        <v>1.0</v>
      </c>
      <c r="B2916" s="6">
        <v>233.0</v>
      </c>
      <c r="C2916" s="6">
        <v>1.0</v>
      </c>
      <c r="D2916" s="15" t="s">
        <v>4615</v>
      </c>
      <c r="E2916" s="9" t="s">
        <v>4616</v>
      </c>
      <c r="F2916" s="8" t="str">
        <f>IFERROR(__xludf.DUMMYFUNCTION("GOOGLETRANSLATE(D2916,""zh-CN"",""vi"")"),"ghế nằm bãi biển")</f>
        <v>ghế nằm bãi biển</v>
      </c>
      <c r="G2916" s="8" t="str">
        <f>IFERROR(__xludf.DUMMYFUNCTION("GOOGLETRANSLATE(E2916,""zh-CN"",""vi"")"),"Hãy tận hưởng ánh nắng mặt trời, kỳ nghỉ là để vui chơi thỏa thích! Kết hợp các vật dụng để tạo thành tấm bạt nhún nước.")</f>
        <v>Hãy tận hưởng ánh nắng mặt trời, kỳ nghỉ là để vui chơi thỏa thích! Kết hợp các vật dụng để tạo thành tấm bạt nhún nước.</v>
      </c>
      <c r="H2916" s="8"/>
      <c r="I2916" s="8"/>
      <c r="J2916" s="8"/>
    </row>
    <row r="2917" ht="21.0" customHeight="1">
      <c r="A2917" s="6">
        <v>1.0</v>
      </c>
      <c r="B2917" s="6">
        <v>233.0</v>
      </c>
      <c r="C2917" s="6">
        <v>2.0</v>
      </c>
      <c r="D2917" s="15" t="s">
        <v>4617</v>
      </c>
      <c r="E2917" s="9" t="s">
        <v>4618</v>
      </c>
      <c r="F2917" s="8" t="str">
        <f>IFERROR(__xludf.DUMMYFUNCTION("GOOGLETRANSLATE(D2917,""zh-CN"",""vi"")"),"Bạt nhún nước")</f>
        <v>Bạt nhún nước</v>
      </c>
      <c r="G2917" s="8" t="str">
        <f>IFERROR(__xludf.DUMMYFUNCTION("GOOGLETRANSLATE(E2917,""zh-CN"",""vi"")"),"Nhảy nhót và bật nhảy thật là vui! Kết hợp chúng lại để tạo thành một chiếc xe đạp nước.")</f>
        <v>Nhảy nhót và bật nhảy thật là vui! Kết hợp chúng lại để tạo thành một chiếc xe đạp nước.</v>
      </c>
      <c r="H2917" s="8"/>
      <c r="I2917" s="8"/>
      <c r="J2917" s="8"/>
    </row>
    <row r="2918" ht="21.0" customHeight="1">
      <c r="A2918" s="6">
        <v>1.0</v>
      </c>
      <c r="B2918" s="6">
        <v>233.0</v>
      </c>
      <c r="C2918" s="6">
        <v>3.0</v>
      </c>
      <c r="D2918" s="15" t="s">
        <v>4619</v>
      </c>
      <c r="E2918" s="9" t="s">
        <v>4620</v>
      </c>
      <c r="F2918" s="8" t="str">
        <f>IFERROR(__xludf.DUMMYFUNCTION("GOOGLETRANSLATE(D2918,""zh-CN"",""vi"")"),"xe đạp nước")</f>
        <v>xe đạp nước</v>
      </c>
      <c r="G2918" s="8" t="str">
        <f>IFERROR(__xludf.DUMMYFUNCTION("GOOGLETRANSLATE(E2918,""zh-CN"",""vi"")"),"Cưỡi, cưỡi, cưỡi. (Làm một miếng đệm xốp.)")</f>
        <v>Cưỡi, cưỡi, cưỡi. (Làm một miếng đệm xốp.)</v>
      </c>
      <c r="H2918" s="8"/>
      <c r="I2918" s="8"/>
      <c r="J2918" s="8"/>
    </row>
    <row r="2919" ht="21.0" customHeight="1">
      <c r="A2919" s="6">
        <v>1.0</v>
      </c>
      <c r="B2919" s="6">
        <v>233.0</v>
      </c>
      <c r="C2919" s="6">
        <v>4.0</v>
      </c>
      <c r="D2919" s="15" t="s">
        <v>4621</v>
      </c>
      <c r="E2919" s="9" t="s">
        <v>4622</v>
      </c>
      <c r="F2919" s="8" t="str">
        <f>IFERROR(__xludf.DUMMYFUNCTION("GOOGLETRANSLATE(D2919,""zh-CN"",""vi"")"),"miếng mút xốp")</f>
        <v>miếng mút xốp</v>
      </c>
      <c r="G2919" s="8" t="str">
        <f>IFERROR(__xludf.DUMMYFUNCTION("GOOGLETRANSLATE(E2919,""zh-CN"",""vi"")"),"Các tính năng an toàn đảm bảo không xảy ra thương tích. Một chiếc tàu đệm khí có thể được chế tạo từ đầu.")</f>
        <v>Các tính năng an toàn đảm bảo không xảy ra thương tích. Một chiếc tàu đệm khí có thể được chế tạo từ đầu.</v>
      </c>
      <c r="H2919" s="8"/>
      <c r="I2919" s="8"/>
      <c r="J2919" s="8"/>
    </row>
    <row r="2920" ht="21.0" customHeight="1">
      <c r="A2920" s="6">
        <v>1.0</v>
      </c>
      <c r="B2920" s="6">
        <v>233.0</v>
      </c>
      <c r="C2920" s="6">
        <v>5.0</v>
      </c>
      <c r="D2920" s="15" t="s">
        <v>4623</v>
      </c>
      <c r="E2920" s="9" t="s">
        <v>4624</v>
      </c>
      <c r="F2920" s="8" t="str">
        <f>IFERROR(__xludf.DUMMYFUNCTION("GOOGLETRANSLATE(D2920,""zh-CN"",""vi"")"),"tàu đệm khí")</f>
        <v>tàu đệm khí</v>
      </c>
      <c r="G2920" s="8" t="str">
        <f>IFERROR(__xludf.DUMMYFUNCTION("GOOGLETRANSLATE(E2920,""zh-CN"",""vi"")"),"Bạn muốn đua trên mặt nước? Hãy kết hợp các vật phẩm để tạo ra những vòng xoay trên nước!")</f>
        <v>Bạn muốn đua trên mặt nước? Hãy kết hợp các vật phẩm để tạo ra những vòng xoay trên nước!</v>
      </c>
      <c r="H2920" s="8"/>
      <c r="I2920" s="8"/>
      <c r="J2920" s="8"/>
    </row>
    <row r="2921" ht="21.0" customHeight="1">
      <c r="A2921" s="6">
        <v>1.0</v>
      </c>
      <c r="B2921" s="6">
        <v>233.0</v>
      </c>
      <c r="C2921" s="6">
        <v>6.0</v>
      </c>
      <c r="D2921" s="15" t="s">
        <v>4625</v>
      </c>
      <c r="E2921" s="9" t="s">
        <v>4626</v>
      </c>
      <c r="F2921" s="8" t="str">
        <f>IFERROR(__xludf.DUMMYFUNCTION("GOOGLETRANSLATE(D2921,""zh-CN"",""vi"")"),"Xoay tròn trên mặt nước")</f>
        <v>Xoay tròn trên mặt nước</v>
      </c>
      <c r="G2921" s="8" t="str">
        <f>IFERROR(__xludf.DUMMYFUNCTION("GOOGLETRANSLATE(E2921,""zh-CN"",""vi"")"),"Cần thiết cho các cấp độ khó; những người có khả năng thể thao kém nên thận trọng. Chế tạo để có được Ngỗng Nước.")</f>
        <v>Cần thiết cho các cấp độ khó; những người có khả năng thể thao kém nên thận trọng. Chế tạo để có được Ngỗng Nước.</v>
      </c>
      <c r="H2921" s="8"/>
      <c r="I2921" s="8"/>
      <c r="J2921" s="8"/>
    </row>
    <row r="2922" ht="21.0" customHeight="1">
      <c r="A2922" s="6">
        <v>1.0</v>
      </c>
      <c r="B2922" s="6">
        <v>233.0</v>
      </c>
      <c r="C2922" s="6">
        <v>7.0</v>
      </c>
      <c r="D2922" s="15" t="s">
        <v>4627</v>
      </c>
      <c r="E2922" s="9" t="s">
        <v>4628</v>
      </c>
      <c r="F2922" s="8" t="str">
        <f>IFERROR(__xludf.DUMMYFUNCTION("GOOGLETRANSLATE(D2922,""zh-CN"",""vi"")"),"Ngỗng nước")</f>
        <v>Ngỗng nước</v>
      </c>
      <c r="G2922" s="8" t="str">
        <f>IFERROR(__xludf.DUMMYFUNCTION("GOOGLETRANSLATE(E2922,""zh-CN"",""vi"")"),"Một họ hàng của Ngựa Nước, đó là Ngỗng Nước. Kết hợp chúng để có được Đài phun nước Cá Voi.")</f>
        <v>Một họ hàng của Ngựa Nước, đó là Ngỗng Nước. Kết hợp chúng để có được Đài phun nước Cá Voi.</v>
      </c>
      <c r="H2922" s="8"/>
      <c r="I2922" s="8"/>
      <c r="J2922" s="8"/>
    </row>
    <row r="2923" ht="21.0" customHeight="1">
      <c r="A2923" s="6">
        <v>1.0</v>
      </c>
      <c r="B2923" s="6">
        <v>233.0</v>
      </c>
      <c r="C2923" s="6">
        <v>8.0</v>
      </c>
      <c r="D2923" s="15" t="s">
        <v>4629</v>
      </c>
      <c r="E2923" s="9" t="s">
        <v>4630</v>
      </c>
      <c r="F2923" s="8" t="str">
        <f>IFERROR(__xludf.DUMMYFUNCTION("GOOGLETRANSLATE(D2923,""zh-CN"",""vi"")"),"Đài phun nước Cá voi")</f>
        <v>Đài phun nước Cá voi</v>
      </c>
      <c r="G2923" s="8" t="str">
        <f>IFERROR(__xludf.DUMMYFUNCTION("GOOGLETRANSLATE(E2923,""zh-CN"",""vi"")"),"Đài phun nước được thiết kế độc đáo mang lại cảm giác mát mẻ sảng khoái. Kết hợp chúng để tạo thành một đường trượt nước.")</f>
        <v>Đài phun nước được thiết kế độc đáo mang lại cảm giác mát mẻ sảng khoái. Kết hợp chúng để tạo thành một đường trượt nước.</v>
      </c>
      <c r="H2923" s="8"/>
      <c r="I2923" s="8"/>
      <c r="J2923" s="8"/>
    </row>
    <row r="2924" ht="21.0" customHeight="1">
      <c r="A2924" s="6">
        <v>1.0</v>
      </c>
      <c r="B2924" s="6">
        <v>233.0</v>
      </c>
      <c r="C2924" s="6">
        <v>9.0</v>
      </c>
      <c r="D2924" s="15" t="s">
        <v>4631</v>
      </c>
      <c r="E2924" s="9" t="s">
        <v>4632</v>
      </c>
      <c r="F2924" s="8" t="str">
        <f>IFERROR(__xludf.DUMMYFUNCTION("GOOGLETRANSLATE(D2924,""zh-CN"",""vi"")"),"cầu trượt nước")</f>
        <v>cầu trượt nước</v>
      </c>
      <c r="G2924" s="8" t="str">
        <f>IFERROR(__xludf.DUMMYFUNCTION("GOOGLETRANSLATE(E2924,""zh-CN"",""vi"")"),"Lao nhanh xuống nước dưới tác động của trọng lực! Hãy chế tạo để có được Cầu Trượt Vịt.")</f>
        <v>Lao nhanh xuống nước dưới tác động của trọng lực! Hãy chế tạo để có được Cầu Trượt Vịt.</v>
      </c>
      <c r="H2924" s="8"/>
      <c r="I2924" s="8"/>
      <c r="J2924" s="8"/>
    </row>
    <row r="2925" ht="21.0" customHeight="1">
      <c r="A2925" s="6">
        <v>1.0</v>
      </c>
      <c r="B2925" s="6">
        <v>233.0</v>
      </c>
      <c r="C2925" s="6">
        <v>10.0</v>
      </c>
      <c r="D2925" s="15" t="s">
        <v>4633</v>
      </c>
      <c r="E2925" s="9" t="s">
        <v>4634</v>
      </c>
      <c r="F2925" s="8" t="str">
        <f>IFERROR(__xludf.DUMMYFUNCTION("GOOGLETRANSLATE(D2925,""zh-CN"",""vi"")"),"Cầu trượt vịt")</f>
        <v>Cầu trượt vịt</v>
      </c>
      <c r="G2925" s="8" t="str">
        <f>IFERROR(__xludf.DUMMYFUNCTION("GOOGLETRANSLATE(E2925,""zh-CN"",""vi"")"),"Thiết kế chú vịt đáng yêu đặc biệt thu hút trẻ em. Kết hợp chúng để có được Ống Lướt Sóng Thỏ.")</f>
        <v>Thiết kế chú vịt đáng yêu đặc biệt thu hút trẻ em. Kết hợp chúng để có được Ống Lướt Sóng Thỏ.</v>
      </c>
      <c r="H2925" s="8"/>
      <c r="I2925" s="8"/>
      <c r="J2925" s="8"/>
    </row>
    <row r="2926" ht="21.0" customHeight="1">
      <c r="A2926" s="6">
        <v>1.0</v>
      </c>
      <c r="B2926" s="6">
        <v>233.0</v>
      </c>
      <c r="C2926" s="6">
        <v>11.0</v>
      </c>
      <c r="D2926" s="15" t="s">
        <v>4635</v>
      </c>
      <c r="E2926" s="9" t="s">
        <v>4636</v>
      </c>
      <c r="F2926" s="8" t="str">
        <f>IFERROR(__xludf.DUMMYFUNCTION("GOOGLETRANSLATE(D2926,""zh-CN"",""vi"")"),"Ống lướt sóng hình thỏ")</f>
        <v>Ống lướt sóng hình thỏ</v>
      </c>
      <c r="G2926" s="8" t="str">
        <f>IFERROR(__xludf.DUMMYFUNCTION("GOOGLETRANSLATE(E2926,""zh-CN"",""vi"")"),"Thỏ rất thích lướt sóng! Cậu ấy thích chơi với môn thể thao này! Kết hợp chúng lại để có được Ống Lướt Sóng Vương Quốc Biển.")</f>
        <v>Thỏ rất thích lướt sóng! Cậu ấy thích chơi với môn thể thao này! Kết hợp chúng lại để có được Ống Lướt Sóng Vương Quốc Biển.</v>
      </c>
      <c r="H2926" s="8"/>
      <c r="I2926" s="8"/>
      <c r="J2926" s="8"/>
    </row>
    <row r="2927" ht="21.0" customHeight="1">
      <c r="A2927" s="6">
        <v>1.0</v>
      </c>
      <c r="B2927" s="6">
        <v>233.0</v>
      </c>
      <c r="C2927" s="6">
        <v>12.0</v>
      </c>
      <c r="D2927" s="15" t="s">
        <v>4637</v>
      </c>
      <c r="E2927" s="9" t="s">
        <v>4638</v>
      </c>
      <c r="F2927" s="8" t="str">
        <f>IFERROR(__xludf.DUMMYFUNCTION("GOOGLETRANSLATE(D2927,""zh-CN"",""vi"")"),"Sea Kingdom Surfing Pipe")</f>
        <v>Sea Kingdom Surfing Pipe</v>
      </c>
      <c r="G2927" s="8" t="str">
        <f>IFERROR(__xludf.DUMMYFUNCTION("GOOGLETRANSLATE(E2927,""zh-CN"",""vi"")"),"Đây là những kỷ niệm đẹp nhất của mùa hè~ Tổng hợp để nhận được Ống Lướt Sóng Trái Tim Đại Dương")</f>
        <v>Đây là những kỷ niệm đẹp nhất của mùa hè~ Tổng hợp để nhận được Ống Lướt Sóng Trái Tim Đại Dương</v>
      </c>
      <c r="H2927" s="8"/>
      <c r="I2927" s="8"/>
      <c r="J2927" s="8"/>
    </row>
    <row r="2928" ht="21.0" customHeight="1">
      <c r="A2928" s="6">
        <v>1.0</v>
      </c>
      <c r="B2928" s="6">
        <v>233.0</v>
      </c>
      <c r="C2928" s="6">
        <v>13.0</v>
      </c>
      <c r="D2928" s="15" t="s">
        <v>4639</v>
      </c>
      <c r="E2928" s="9" t="s">
        <v>4640</v>
      </c>
      <c r="F2928" s="8" t="str">
        <f>IFERROR(__xludf.DUMMYFUNCTION("GOOGLETRANSLATE(D2928,""zh-CN"",""vi"")"),"Ống lướt sóng Ocean Heart")</f>
        <v>Ống lướt sóng Ocean Heart</v>
      </c>
      <c r="G2928" s="8" t="str">
        <f>IFERROR(__xludf.DUMMYFUNCTION("GOOGLETRANSLATE(E2928,""zh-CN"",""vi"")"),"Nhiều năm sau, tôi vẫn còn nhớ niềm vui ấy. (Đã được tổng hợp đến mức cao nhất)")</f>
        <v>Nhiều năm sau, tôi vẫn còn nhớ niềm vui ấy. (Đã được tổng hợp đến mức cao nhất)</v>
      </c>
      <c r="H2928" s="8"/>
      <c r="I2928" s="8"/>
      <c r="J2928" s="8"/>
    </row>
    <row r="2929" ht="21.0" customHeight="1">
      <c r="A2929" s="6">
        <v>11.0</v>
      </c>
      <c r="B2929" s="6">
        <v>1060.0</v>
      </c>
      <c r="C2929" s="6">
        <v>1.0</v>
      </c>
      <c r="D2929" s="15" t="s">
        <v>4641</v>
      </c>
      <c r="E2929" s="9" t="s">
        <v>4642</v>
      </c>
      <c r="F2929" s="8" t="str">
        <f>IFERROR(__xludf.DUMMYFUNCTION("GOOGLETRANSLATE(D2929,""zh-CN"",""vi"")"),"thìa")</f>
        <v>thìa</v>
      </c>
      <c r="G2929" s="8" t="str">
        <f>IFERROR(__xludf.DUMMYFUNCTION("GOOGLETRANSLATE(E2929,""zh-CN"",""vi"")"),"Nó có thể được dùng để múc kem xay nhuyễn. Nó cũng có thể được chế tạo thành thìa hoặc bát.")</f>
        <v>Nó có thể được dùng để múc kem xay nhuyễn. Nó cũng có thể được chế tạo thành thìa hoặc bát.</v>
      </c>
      <c r="H2929" s="8"/>
      <c r="I2929" s="8"/>
      <c r="J2929" s="8"/>
    </row>
    <row r="2930" ht="21.0" customHeight="1">
      <c r="A2930" s="6">
        <v>11.0</v>
      </c>
      <c r="B2930" s="6">
        <v>1060.0</v>
      </c>
      <c r="C2930" s="6">
        <v>2.0</v>
      </c>
      <c r="D2930" s="15" t="s">
        <v>4643</v>
      </c>
      <c r="E2930" s="9" t="s">
        <v>4644</v>
      </c>
      <c r="F2930" s="8" t="str">
        <f>IFERROR(__xludf.DUMMYFUNCTION("GOOGLETRANSLATE(D2930,""zh-CN"",""vi"")"),"thìa và bát")</f>
        <v>thìa và bát</v>
      </c>
      <c r="G2930" s="8" t="str">
        <f>IFERROR(__xludf.DUMMYFUNCTION("GOOGLETRANSLATE(E2930,""zh-CN"",""vi"")"),"Nó có thể được dùng để đựng kem đá bào. Nó cũng có thể được chế tạo thành tủ đông kem.")</f>
        <v>Nó có thể được dùng để đựng kem đá bào. Nó cũng có thể được chế tạo thành tủ đông kem.</v>
      </c>
      <c r="H2930" s="8"/>
      <c r="I2930" s="8"/>
      <c r="J2930" s="8"/>
    </row>
    <row r="2931" ht="21.0" customHeight="1">
      <c r="A2931" s="6">
        <v>11.0</v>
      </c>
      <c r="B2931" s="6">
        <v>1060.0</v>
      </c>
      <c r="C2931" s="6">
        <v>3.0</v>
      </c>
      <c r="D2931" s="15" t="s">
        <v>4645</v>
      </c>
      <c r="E2931" s="9" t="s">
        <v>4646</v>
      </c>
      <c r="F2931" s="8" t="str">
        <f>IFERROR(__xludf.DUMMYFUNCTION("GOOGLETRANSLATE(D2931,""zh-CN"",""vi"")"),"Tủ trưng bày kem")</f>
        <v>Tủ trưng bày kem</v>
      </c>
      <c r="G2931" s="8" t="str">
        <f>IFERROR(__xludf.DUMMYFUNCTION("GOOGLETRANSLATE(E2931,""zh-CN"",""vi"")"),"Trẻ em rất thích tụ tập cùng nhau, và có quá nhiều kem đến nỗi chúng không thể ăn hết! Bạn thậm chí có thể kết hợp nó vào một tủ làm kem cao cấp.")</f>
        <v>Trẻ em rất thích tụ tập cùng nhau, và có quá nhiều kem đến nỗi chúng không thể ăn hết! Bạn thậm chí có thể kết hợp nó vào một tủ làm kem cao cấp.</v>
      </c>
      <c r="H2931" s="8"/>
      <c r="I2931" s="8"/>
      <c r="J2931" s="8"/>
    </row>
    <row r="2932" ht="21.0" customHeight="1">
      <c r="A2932" s="6">
        <v>11.0</v>
      </c>
      <c r="B2932" s="6">
        <v>1060.0</v>
      </c>
      <c r="C2932" s="6">
        <v>4.0</v>
      </c>
      <c r="D2932" s="15" t="s">
        <v>4647</v>
      </c>
      <c r="E2932" s="9" t="s">
        <v>4648</v>
      </c>
      <c r="F2932" s="8" t="str">
        <f>IFERROR(__xludf.DUMMYFUNCTION("GOOGLETRANSLATE(D2932,""zh-CN"",""vi"")"),"Tủ trưng bày kem cao cấp")</f>
        <v>Tủ trưng bày kem cao cấp</v>
      </c>
      <c r="G2932" s="8" t="str">
        <f>IFERROR(__xludf.DUMMYFUNCTION("GOOGLETRANSLATE(E2932,""zh-CN"",""vi"")"),"Nhiều hương vị, tự do kết hợp, món tráng miệng thơm ngon. Máy làm kem đa năng.")</f>
        <v>Nhiều hương vị, tự do kết hợp, món tráng miệng thơm ngon. Máy làm kem đa năng.</v>
      </c>
      <c r="H2932" s="8"/>
      <c r="I2932" s="8"/>
      <c r="J2932" s="8"/>
    </row>
    <row r="2933" ht="21.0" customHeight="1">
      <c r="A2933" s="6">
        <v>10.0</v>
      </c>
      <c r="B2933" s="6">
        <v>1060.0</v>
      </c>
      <c r="C2933" s="6">
        <v>5.0</v>
      </c>
      <c r="D2933" s="9" t="s">
        <v>4649</v>
      </c>
      <c r="E2933" s="9" t="s">
        <v>4650</v>
      </c>
      <c r="F2933" s="8" t="str">
        <f>IFERROR(__xludf.DUMMYFUNCTION("GOOGLETRANSLATE(D2933,""zh-CN"",""vi"")"),"Máy làm kem")</f>
        <v>Máy làm kem</v>
      </c>
      <c r="G2933" s="8" t="str">
        <f>IFERROR(__xludf.DUMMYFUNCTION("GOOGLETRANSLATE(E2933,""zh-CN"",""vi"")"),"Tôi muốn học kỹ thuật chạm khắc những họa tiết tinh xảo. (Tôi muốn xây một quầy bán kem.)")</f>
        <v>Tôi muốn học kỹ thuật chạm khắc những họa tiết tinh xảo. (Tôi muốn xây một quầy bán kem.)</v>
      </c>
      <c r="H2933" s="8"/>
      <c r="I2933" s="8"/>
      <c r="J2933" s="8"/>
    </row>
    <row r="2934" ht="21.0" customHeight="1">
      <c r="A2934" s="6">
        <v>10.0</v>
      </c>
      <c r="B2934" s="6">
        <v>1060.0</v>
      </c>
      <c r="C2934" s="6">
        <v>6.0</v>
      </c>
      <c r="D2934" s="15" t="s">
        <v>4651</v>
      </c>
      <c r="E2934" s="9" t="s">
        <v>4652</v>
      </c>
      <c r="F2934" s="8" t="str">
        <f>IFERROR(__xludf.DUMMYFUNCTION("GOOGLETRANSLATE(D2934,""zh-CN"",""vi"")"),"Quầy kem")</f>
        <v>Quầy kem</v>
      </c>
      <c r="G2934" s="8" t="str">
        <f>IFERROR(__xludf.DUMMYFUNCTION("GOOGLETRANSLATE(E2934,""zh-CN"",""vi"")"),"Chúng thường được đặt gần cổng trường và đông đúc nhất vào giờ tan học. Chúng có thể được kết hợp thành các xe bán kem.")</f>
        <v>Chúng thường được đặt gần cổng trường và đông đúc nhất vào giờ tan học. Chúng có thể được kết hợp thành các xe bán kem.</v>
      </c>
      <c r="H2934" s="8"/>
      <c r="I2934" s="8"/>
      <c r="J2934" s="8"/>
    </row>
    <row r="2935" ht="21.0" customHeight="1">
      <c r="A2935" s="6">
        <v>10.0</v>
      </c>
      <c r="B2935" s="6">
        <v>1060.0</v>
      </c>
      <c r="C2935" s="6">
        <v>7.0</v>
      </c>
      <c r="D2935" s="15" t="s">
        <v>4653</v>
      </c>
      <c r="E2935" s="9" t="s">
        <v>4654</v>
      </c>
      <c r="F2935" s="8" t="str">
        <f>IFERROR(__xludf.DUMMYFUNCTION("GOOGLETRANSLATE(D2935,""zh-CN"",""vi"")"),"Quầy kem")</f>
        <v>Quầy kem</v>
      </c>
      <c r="G2935" s="8" t="str">
        <f>IFERROR(__xludf.DUMMYFUNCTION("GOOGLETRANSLATE(E2935,""zh-CN"",""vi"")"),"Di động, chắc chắn sẽ dẫn đến một cuộc đấu trí với các quan chức quản lý thành phố. Có thể được chế tạo thành một chiếc xe ba bánh theo chủ đề kem.")</f>
        <v>Di động, chắc chắn sẽ dẫn đến một cuộc đấu trí với các quan chức quản lý thành phố. Có thể được chế tạo thành một chiếc xe ba bánh theo chủ đề kem.</v>
      </c>
      <c r="H2935" s="8"/>
      <c r="I2935" s="8"/>
      <c r="J2935" s="8"/>
    </row>
    <row r="2936" ht="21.0" customHeight="1">
      <c r="A2936" s="6">
        <v>10.0</v>
      </c>
      <c r="B2936" s="6">
        <v>1060.0</v>
      </c>
      <c r="C2936" s="6">
        <v>8.0</v>
      </c>
      <c r="D2936" s="15" t="s">
        <v>4655</v>
      </c>
      <c r="E2936" s="9" t="s">
        <v>4656</v>
      </c>
      <c r="F2936" s="8" t="str">
        <f>IFERROR(__xludf.DUMMYFUNCTION("GOOGLETRANSLATE(D2936,""zh-CN"",""vi"")"),"Xe ba bánh bán kem")</f>
        <v>Xe ba bánh bán kem</v>
      </c>
      <c r="G2936" s="8" t="str">
        <f>IFERROR(__xludf.DUMMYFUNCTION("GOOGLETRANSLATE(E2936,""zh-CN"",""vi"")"),"Điểm mấu chốt là chiếc loa phóng thanh, phát đi thông điệp khắp các đường phố và ngõ hẻm. Nó có thể được kết hợp thành một chiếc xe buýt bán kem lưu động.")</f>
        <v>Điểm mấu chốt là chiếc loa phóng thanh, phát đi thông điệp khắp các đường phố và ngõ hẻm. Nó có thể được kết hợp thành một chiếc xe buýt bán kem lưu động.</v>
      </c>
      <c r="H2936" s="8"/>
      <c r="I2936" s="8"/>
      <c r="J2936" s="8"/>
    </row>
    <row r="2937" ht="21.0" customHeight="1">
      <c r="A2937" s="6">
        <v>10.0</v>
      </c>
      <c r="B2937" s="6">
        <v>1060.0</v>
      </c>
      <c r="C2937" s="6">
        <v>9.0</v>
      </c>
      <c r="D2937" s="15" t="s">
        <v>4657</v>
      </c>
      <c r="E2937" s="9" t="s">
        <v>4658</v>
      </c>
      <c r="F2937" s="8" t="str">
        <f>IFERROR(__xludf.DUMMYFUNCTION("GOOGLETRANSLATE(D2937,""zh-CN"",""vi"")"),"Xe buýt kem")</f>
        <v>Xe buýt kem</v>
      </c>
      <c r="G2937" s="8" t="str">
        <f>IFERROR(__xludf.DUMMYFUNCTION("GOOGLETRANSLATE(E2937,""zh-CN"",""vi"")"),"Trong cái nóng oi bức của mùa hè, nó hấp dẫn như nước giữa sa mạc. (Có thể tạo hình thành Pikachu mini kem)")</f>
        <v>Trong cái nóng oi bức của mùa hè, nó hấp dẫn như nước giữa sa mạc. (Có thể tạo hình thành Pikachu mini kem)</v>
      </c>
      <c r="H2937" s="8"/>
      <c r="I2937" s="8"/>
      <c r="J2937" s="8"/>
    </row>
    <row r="2938" ht="21.0" customHeight="1">
      <c r="A2938" s="6">
        <v>10.0</v>
      </c>
      <c r="B2938" s="6">
        <v>1060.0</v>
      </c>
      <c r="C2938" s="6">
        <v>10.0</v>
      </c>
      <c r="D2938" s="15" t="s">
        <v>4659</v>
      </c>
      <c r="E2938" s="9" t="s">
        <v>4660</v>
      </c>
      <c r="F2938" s="8" t="str">
        <f>IFERROR(__xludf.DUMMYFUNCTION("GOOGLETRANSLATE(D2938,""zh-CN"",""vi"")"),"Kem Pikachu")</f>
        <v>Kem Pikachu</v>
      </c>
      <c r="G2938" s="8" t="str">
        <f>IFERROR(__xludf.DUMMYFUNCTION("GOOGLETRANSLATE(E2938,""zh-CN"",""vi"")"),"Chiếc xe, như một thứ bước ra từ giấc mơ, là sự hoàn thiện tuổi thơ của tôi. (Đã được tổng hợp đến mức cao nhất.)")</f>
        <v>Chiếc xe, như một thứ bước ra từ giấc mơ, là sự hoàn thiện tuổi thơ của tôi. (Đã được tổng hợp đến mức cao nhất.)</v>
      </c>
      <c r="H2938" s="8"/>
      <c r="I2938" s="8"/>
      <c r="J2938" s="8"/>
    </row>
    <row r="2939" ht="21.0" customHeight="1">
      <c r="A2939" s="6">
        <v>11.0</v>
      </c>
      <c r="B2939" s="6">
        <v>1061.0</v>
      </c>
      <c r="C2939" s="6">
        <v>1.0</v>
      </c>
      <c r="D2939" s="15" t="s">
        <v>4661</v>
      </c>
      <c r="E2939" s="9" t="s">
        <v>4662</v>
      </c>
      <c r="F2939" s="8" t="str">
        <f>IFERROR(__xludf.DUMMYFUNCTION("GOOGLETRANSLATE(D2939,""zh-CN"",""vi"")"),"Muỗng [V]")</f>
        <v>Muỗng [V]</v>
      </c>
      <c r="G2939" s="8" t="str">
        <f>IFERROR(__xludf.DUMMYFUNCTION("GOOGLETRANSLATE(E2939,""zh-CN"",""vi"")"),"Nó có thể được dùng để múc kem xay nhuyễn. Nó có thể được chế tạo thành thìa/bát [V].")</f>
        <v>Nó có thể được dùng để múc kem xay nhuyễn. Nó có thể được chế tạo thành thìa/bát [V].</v>
      </c>
      <c r="H2939" s="8"/>
      <c r="I2939" s="8"/>
      <c r="J2939" s="8"/>
    </row>
    <row r="2940" ht="21.0" customHeight="1">
      <c r="A2940" s="6">
        <v>11.0</v>
      </c>
      <c r="B2940" s="6">
        <v>1061.0</v>
      </c>
      <c r="C2940" s="6">
        <v>2.0</v>
      </c>
      <c r="D2940" s="15" t="s">
        <v>4663</v>
      </c>
      <c r="E2940" s="9" t="s">
        <v>4664</v>
      </c>
      <c r="F2940" s="8" t="str">
        <f>IFERROR(__xludf.DUMMYFUNCTION("GOOGLETRANSLATE(D2940,""zh-CN"",""vi"")"),"Thìa và bát [V]")</f>
        <v>Thìa và bát [V]</v>
      </c>
      <c r="G2940" s="8" t="str">
        <f>IFERROR(__xludf.DUMMYFUNCTION("GOOGLETRANSLATE(E2940,""zh-CN"",""vi"")"),"Máy bán kem tự phục vụ rất phổ biến trong các nhà hàng. [V] (Đây là loại máy bán kem có thể kết hợp với các máy bán kem khác.)")</f>
        <v>Máy bán kem tự phục vụ rất phổ biến trong các nhà hàng. [V] (Đây là loại máy bán kem có thể kết hợp với các máy bán kem khác.)</v>
      </c>
      <c r="H2940" s="8"/>
      <c r="I2940" s="8"/>
      <c r="J2940" s="8"/>
    </row>
    <row r="2941" ht="21.0" customHeight="1">
      <c r="A2941" s="6">
        <v>11.0</v>
      </c>
      <c r="B2941" s="6">
        <v>1061.0</v>
      </c>
      <c r="C2941" s="6">
        <v>3.0</v>
      </c>
      <c r="D2941" s="15" t="s">
        <v>4665</v>
      </c>
      <c r="E2941" s="9" t="s">
        <v>4666</v>
      </c>
      <c r="F2941" s="8" t="str">
        <f>IFERROR(__xludf.DUMMYFUNCTION("GOOGLETRANSLATE(D2941,""zh-CN"",""vi"")"),"Tủ trưng bày kem [V]")</f>
        <v>Tủ trưng bày kem [V]</v>
      </c>
      <c r="G2941" s="8" t="str">
        <f>IFERROR(__xludf.DUMMYFUNCTION("GOOGLETRANSLATE(E2941,""zh-CN"",""vi"")"),"Trẻ em rất thích tụ tập ở đây, và kem còn thừa có thể được kết hợp để tạo ra một tủ đông kem cao cấp! [V]")</f>
        <v>Trẻ em rất thích tụ tập ở đây, và kem còn thừa có thể được kết hợp để tạo ra một tủ đông kem cao cấp! [V]</v>
      </c>
      <c r="H2941" s="8"/>
      <c r="I2941" s="8"/>
      <c r="J2941" s="8"/>
    </row>
    <row r="2942" ht="21.0" customHeight="1">
      <c r="A2942" s="6">
        <v>11.0</v>
      </c>
      <c r="B2942" s="6">
        <v>1061.0</v>
      </c>
      <c r="C2942" s="6">
        <v>4.0</v>
      </c>
      <c r="D2942" s="15" t="s">
        <v>4667</v>
      </c>
      <c r="E2942" s="9" t="s">
        <v>4668</v>
      </c>
      <c r="F2942" s="8" t="str">
        <f>IFERROR(__xludf.DUMMYFUNCTION("GOOGLETRANSLATE(D2942,""zh-CN"",""vi"")"),"Tủ trưng bày kem cao cấp [V]")</f>
        <v>Tủ trưng bày kem cao cấp [V]</v>
      </c>
      <c r="G2942" s="8" t="str">
        <f>IFERROR(__xludf.DUMMYFUNCTION("GOOGLETRANSLATE(E2942,""zh-CN"",""vi"")"),"Nhiều hương vị, có thể kết hợp tùy thích, món tráng miệng thơm ngon. Máy làm kem kết hợp [V]")</f>
        <v>Nhiều hương vị, có thể kết hợp tùy thích, món tráng miệng thơm ngon. Máy làm kem kết hợp [V]</v>
      </c>
      <c r="H2942" s="8"/>
      <c r="I2942" s="8"/>
      <c r="J2942" s="8"/>
    </row>
    <row r="2943" ht="21.0" customHeight="1">
      <c r="A2943" s="6">
        <v>10.0</v>
      </c>
      <c r="B2943" s="6">
        <v>1061.0</v>
      </c>
      <c r="C2943" s="6">
        <v>5.0</v>
      </c>
      <c r="D2943" s="9" t="s">
        <v>4669</v>
      </c>
      <c r="E2943" s="9" t="s">
        <v>4670</v>
      </c>
      <c r="F2943" s="8" t="str">
        <f>IFERROR(__xludf.DUMMYFUNCTION("GOOGLETRANSLATE(D2943,""zh-CN"",""vi"")"),"Máy làm kem [V]")</f>
        <v>Máy làm kem [V]</v>
      </c>
      <c r="G2943" s="8" t="str">
        <f>IFERROR(__xludf.DUMMYFUNCTION("GOOGLETRANSLATE(E2943,""zh-CN"",""vi"")"),"Tôi muốn học kỹ thuật chạm khắc hoa văn phức tạp. (Có thể dùng để làm quầy kem [V])")</f>
        <v>Tôi muốn học kỹ thuật chạm khắc hoa văn phức tạp. (Có thể dùng để làm quầy kem [V])</v>
      </c>
      <c r="H2943" s="8"/>
      <c r="I2943" s="8"/>
      <c r="J2943" s="8"/>
    </row>
    <row r="2944" ht="21.0" customHeight="1">
      <c r="A2944" s="6">
        <v>10.0</v>
      </c>
      <c r="B2944" s="6">
        <v>1061.0</v>
      </c>
      <c r="C2944" s="6">
        <v>6.0</v>
      </c>
      <c r="D2944" s="15" t="s">
        <v>4671</v>
      </c>
      <c r="E2944" s="9" t="s">
        <v>4672</v>
      </c>
      <c r="F2944" s="8" t="str">
        <f>IFERROR(__xludf.DUMMYFUNCTION("GOOGLETRANSLATE(D2944,""zh-CN"",""vi"")"),"Quầy kem [V]")</f>
        <v>Quầy kem [V]</v>
      </c>
      <c r="G2944" s="8" t="str">
        <f>IFERROR(__xludf.DUMMYFUNCTION("GOOGLETRANSLATE(E2944,""zh-CN"",""vi"")"),"Nó thường nằm gần cổng trường và đông đúc nhất vào giờ tan học. Nó có thể được chế tạo thành một quầy kem [V].")</f>
        <v>Nó thường nằm gần cổng trường và đông đúc nhất vào giờ tan học. Nó có thể được chế tạo thành một quầy kem [V].</v>
      </c>
      <c r="H2944" s="8"/>
      <c r="I2944" s="8"/>
      <c r="J2944" s="8"/>
    </row>
    <row r="2945" ht="21.0" customHeight="1">
      <c r="A2945" s="6">
        <v>10.0</v>
      </c>
      <c r="B2945" s="6">
        <v>1061.0</v>
      </c>
      <c r="C2945" s="6">
        <v>7.0</v>
      </c>
      <c r="D2945" s="15" t="s">
        <v>4673</v>
      </c>
      <c r="E2945" s="9" t="s">
        <v>4674</v>
      </c>
      <c r="F2945" s="8" t="str">
        <f>IFERROR(__xludf.DUMMYFUNCTION("GOOGLETRANSLATE(D2945,""zh-CN"",""vi"")"),"Quầy kem [V]")</f>
        <v>Quầy kem [V]</v>
      </c>
      <c r="G2945" s="8" t="str">
        <f>IFERROR(__xludf.DUMMYFUNCTION("GOOGLETRANSLATE(E2945,""zh-CN"",""vi"")"),"Nó có tính di động, vì vậy bạn chắc chắn sẽ phải thông minh hơn các quan chức quản lý thành phố. Nó có thể được chế tạo thành một chiếc xe ba bánh theo chủ đề kem. [V]")</f>
        <v>Nó có tính di động, vì vậy bạn chắc chắn sẽ phải thông minh hơn các quan chức quản lý thành phố. Nó có thể được chế tạo thành một chiếc xe ba bánh theo chủ đề kem. [V]</v>
      </c>
      <c r="H2945" s="8"/>
      <c r="I2945" s="8"/>
      <c r="J2945" s="8"/>
    </row>
    <row r="2946" ht="21.0" customHeight="1">
      <c r="A2946" s="6">
        <v>10.0</v>
      </c>
      <c r="B2946" s="6">
        <v>1061.0</v>
      </c>
      <c r="C2946" s="6">
        <v>8.0</v>
      </c>
      <c r="D2946" s="15" t="s">
        <v>4675</v>
      </c>
      <c r="E2946" s="9" t="s">
        <v>4676</v>
      </c>
      <c r="F2946" s="8" t="str">
        <f>IFERROR(__xludf.DUMMYFUNCTION("GOOGLETRANSLATE(D2946,""zh-CN"",""vi"")"),"Xe ba bánh bán kem [V]")</f>
        <v>Xe ba bánh bán kem [V]</v>
      </c>
      <c r="G2946" s="8" t="str">
        <f>IFERROR(__xludf.DUMMYFUNCTION("GOOGLETRANSLATE(E2946,""zh-CN"",""vi"")"),"Cốt lõi là chiếc loa phóng thanh, phát đi thông điệp của nó khắp các đường phố và ngõ hẻm. Nó có thể được kết hợp thành một chiếc xe buýt bán kem [V].")</f>
        <v>Cốt lõi là chiếc loa phóng thanh, phát đi thông điệp của nó khắp các đường phố và ngõ hẻm. Nó có thể được kết hợp thành một chiếc xe buýt bán kem [V].</v>
      </c>
      <c r="H2946" s="8"/>
      <c r="I2946" s="8"/>
      <c r="J2946" s="8"/>
    </row>
    <row r="2947" ht="21.0" customHeight="1">
      <c r="A2947" s="6">
        <v>10.0</v>
      </c>
      <c r="B2947" s="6">
        <v>1061.0</v>
      </c>
      <c r="C2947" s="6">
        <v>9.0</v>
      </c>
      <c r="D2947" s="15" t="s">
        <v>4677</v>
      </c>
      <c r="E2947" s="9" t="s">
        <v>4678</v>
      </c>
      <c r="F2947" s="8" t="str">
        <f>IFERROR(__xludf.DUMMYFUNCTION("GOOGLETRANSLATE(D2947,""zh-CN"",""vi"")"),"Xe buýt kem [V]")</f>
        <v>Xe buýt kem [V]</v>
      </c>
      <c r="G2947" s="8" t="str">
        <f>IFERROR(__xludf.DUMMYFUNCTION("GOOGLETRANSLATE(E2947,""zh-CN"",""vi"")"),"Trong cái nóng oi bức của mùa hè, nó hấp dẫn như nước giữa sa mạc. (Có thể chế tạo thành Ice Cream Mini P.E.K.K.A. [V])")</f>
        <v>Trong cái nóng oi bức của mùa hè, nó hấp dẫn như nước giữa sa mạc. (Có thể chế tạo thành Ice Cream Mini P.E.K.K.A. [V])</v>
      </c>
      <c r="H2947" s="8"/>
      <c r="I2947" s="8"/>
      <c r="J2947" s="8"/>
    </row>
    <row r="2948" ht="21.0" customHeight="1">
      <c r="A2948" s="6">
        <v>10.0</v>
      </c>
      <c r="B2948" s="6">
        <v>1061.0</v>
      </c>
      <c r="C2948" s="6">
        <v>10.0</v>
      </c>
      <c r="D2948" s="15" t="s">
        <v>4679</v>
      </c>
      <c r="E2948" s="9" t="s">
        <v>4660</v>
      </c>
      <c r="F2948" s="8" t="str">
        <f>IFERROR(__xludf.DUMMYFUNCTION("GOOGLETRANSLATE(D2948,""zh-CN"",""vi"")"),"Kem Mini Pikachu [V]")</f>
        <v>Kem Mini Pikachu [V]</v>
      </c>
      <c r="G2948" s="8" t="str">
        <f>IFERROR(__xludf.DUMMYFUNCTION("GOOGLETRANSLATE(E2948,""zh-CN"",""vi"")"),"Chiếc xe, như một thứ bước ra từ giấc mơ, là sự hoàn thiện tuổi thơ của tôi. (Đã được tổng hợp đến mức cao nhất.)")</f>
        <v>Chiếc xe, như một thứ bước ra từ giấc mơ, là sự hoàn thiện tuổi thơ của tôi. (Đã được tổng hợp đến mức cao nhất.)</v>
      </c>
      <c r="H2948" s="8"/>
      <c r="I2948" s="8"/>
      <c r="J2948" s="8"/>
    </row>
    <row r="2949" ht="21.0" customHeight="1">
      <c r="A2949" s="6">
        <v>1.0</v>
      </c>
      <c r="B2949" s="6">
        <v>234.0</v>
      </c>
      <c r="C2949" s="6">
        <v>1.0</v>
      </c>
      <c r="D2949" s="15" t="s">
        <v>4680</v>
      </c>
      <c r="E2949" s="9" t="s">
        <v>4681</v>
      </c>
      <c r="F2949" s="8" t="str">
        <f>IFERROR(__xludf.DUMMYFUNCTION("GOOGLETRANSLATE(D2949,""zh-CN"",""vi"")"),"ly rỗng")</f>
        <v>ly rỗng</v>
      </c>
      <c r="G2949" s="8" t="str">
        <f>IFERROR(__xludf.DUMMYFUNCTION("GOOGLETRANSLATE(E2949,""zh-CN"",""vi"")"),"Ngoài việc có thể dùng để lấy nhựa, nó dường như không có công dụng nào khác. Nó có thể được dùng để làm nước ép trái cây họ cam quýt.")</f>
        <v>Ngoài việc có thể dùng để lấy nhựa, nó dường như không có công dụng nào khác. Nó có thể được dùng để làm nước ép trái cây họ cam quýt.</v>
      </c>
      <c r="H2949" s="8"/>
      <c r="I2949" s="8"/>
      <c r="J2949" s="8"/>
    </row>
    <row r="2950" ht="21.0" customHeight="1">
      <c r="A2950" s="6">
        <v>1.0</v>
      </c>
      <c r="B2950" s="6">
        <v>234.0</v>
      </c>
      <c r="C2950" s="6">
        <v>2.0</v>
      </c>
      <c r="D2950" s="15" t="s">
        <v>4682</v>
      </c>
      <c r="E2950" s="9" t="s">
        <v>4683</v>
      </c>
      <c r="F2950" s="8" t="str">
        <f>IFERROR(__xludf.DUMMYFUNCTION("GOOGLETRANSLATE(D2950,""zh-CN"",""vi"")"),"Nước ép cam quýt")</f>
        <v>Nước ép cam quýt</v>
      </c>
      <c r="G2950" s="8" t="str">
        <f>IFERROR(__xludf.DUMMYFUNCTION("GOOGLETRANSLATE(E2950,""zh-CN"",""vi"")"),"Ngoài phần nước ép, đừng quên phần thịt quả! Bạn có thể dùng nó để làm nước cốt chanh.")</f>
        <v>Ngoài phần nước ép, đừng quên phần thịt quả! Bạn có thể dùng nó để làm nước cốt chanh.</v>
      </c>
      <c r="H2950" s="8"/>
      <c r="I2950" s="8"/>
      <c r="J2950" s="8"/>
    </row>
    <row r="2951" ht="21.0" customHeight="1">
      <c r="A2951" s="6">
        <v>1.0</v>
      </c>
      <c r="B2951" s="6">
        <v>234.0</v>
      </c>
      <c r="C2951" s="6">
        <v>3.0</v>
      </c>
      <c r="D2951" s="15" t="s">
        <v>4684</v>
      </c>
      <c r="E2951" s="9" t="s">
        <v>4685</v>
      </c>
      <c r="F2951" s="8" t="str">
        <f>IFERROR(__xludf.DUMMYFUNCTION("GOOGLETRANSLATE(D2951,""zh-CN"",""vi"")"),"nước cốt chanh")</f>
        <v>nước cốt chanh</v>
      </c>
      <c r="G2951" s="8" t="str">
        <f>IFERROR(__xludf.DUMMYFUNCTION("GOOGLETRANSLATE(E2951,""zh-CN"",""vi"")"),"Hương vị chua cay đặc biệt của nó có thể chỉ hấp dẫn một số ít người. Nó có thể được dùng để làm nước ép anh đào.")</f>
        <v>Hương vị chua cay đặc biệt của nó có thể chỉ hấp dẫn một số ít người. Nó có thể được dùng để làm nước ép anh đào.</v>
      </c>
      <c r="H2951" s="8"/>
      <c r="I2951" s="8"/>
      <c r="J2951" s="8"/>
    </row>
    <row r="2952" ht="21.0" customHeight="1">
      <c r="A2952" s="6">
        <v>1.0</v>
      </c>
      <c r="B2952" s="6">
        <v>234.0</v>
      </c>
      <c r="C2952" s="6">
        <v>4.0</v>
      </c>
      <c r="D2952" s="15" t="s">
        <v>4686</v>
      </c>
      <c r="E2952" s="9" t="s">
        <v>4687</v>
      </c>
      <c r="F2952" s="8" t="str">
        <f>IFERROR(__xludf.DUMMYFUNCTION("GOOGLETRANSLATE(D2952,""zh-CN"",""vi"")"),"nước ép anh đào")</f>
        <v>nước ép anh đào</v>
      </c>
      <c r="G2952" s="8" t="str">
        <f>IFERROR(__xludf.DUMMYFUNCTION("GOOGLETRANSLATE(E2952,""zh-CN"",""vi"")"),"Tôi không biết nó có ngon hay không, nhưng chắc hẳn nó rất đắt. Nó có thể được dùng để làm nước ép dâu tây.")</f>
        <v>Tôi không biết nó có ngon hay không, nhưng chắc hẳn nó rất đắt. Nó có thể được dùng để làm nước ép dâu tây.</v>
      </c>
      <c r="H2952" s="8"/>
      <c r="I2952" s="8"/>
      <c r="J2952" s="8"/>
    </row>
    <row r="2953" ht="21.0" customHeight="1">
      <c r="A2953" s="6">
        <v>1.0</v>
      </c>
      <c r="B2953" s="6">
        <v>234.0</v>
      </c>
      <c r="C2953" s="6">
        <v>5.0</v>
      </c>
      <c r="D2953" s="15" t="s">
        <v>4688</v>
      </c>
      <c r="E2953" s="9" t="s">
        <v>4689</v>
      </c>
      <c r="F2953" s="8" t="str">
        <f>IFERROR(__xludf.DUMMYFUNCTION("GOOGLETRANSLATE(D2953,""zh-CN"",""vi"")"),"nước ép dâu tây")</f>
        <v>nước ép dâu tây</v>
      </c>
      <c r="G2953" s="8" t="str">
        <f>IFERROR(__xludf.DUMMYFUNCTION("GOOGLETRANSLATE(E2953,""zh-CN"",""vi"")"),"Dâu tây ngọt khá phổ biến. Chúng có thể được dùng để làm nước ép dưa hấu.")</f>
        <v>Dâu tây ngọt khá phổ biến. Chúng có thể được dùng để làm nước ép dưa hấu.</v>
      </c>
      <c r="H2953" s="8"/>
      <c r="I2953" s="8"/>
      <c r="J2953" s="8"/>
    </row>
    <row r="2954" ht="21.0" customHeight="1">
      <c r="A2954" s="6">
        <v>1.0</v>
      </c>
      <c r="B2954" s="6">
        <v>234.0</v>
      </c>
      <c r="C2954" s="6">
        <v>6.0</v>
      </c>
      <c r="D2954" s="15" t="s">
        <v>4690</v>
      </c>
      <c r="E2954" s="9" t="s">
        <v>4691</v>
      </c>
      <c r="F2954" s="8" t="str">
        <f>IFERROR(__xludf.DUMMYFUNCTION("GOOGLETRANSLATE(D2954,""zh-CN"",""vi"")"),"Nước ép dưa hấu")</f>
        <v>Nước ép dưa hấu</v>
      </c>
      <c r="G2954" s="8" t="str">
        <f>IFERROR(__xludf.DUMMYFUNCTION("GOOGLETRANSLATE(E2954,""zh-CN"",""vi"")"),"Một thức uống không thể thiếu để giải nhiệt trong những ngày hè nóng bức. Có thể dùng để làm nước ép việt quất.")</f>
        <v>Một thức uống không thể thiếu để giải nhiệt trong những ngày hè nóng bức. Có thể dùng để làm nước ép việt quất.</v>
      </c>
      <c r="H2954" s="8"/>
      <c r="I2954" s="8"/>
      <c r="J2954" s="8"/>
    </row>
    <row r="2955" ht="21.0" customHeight="1">
      <c r="A2955" s="6">
        <v>1.0</v>
      </c>
      <c r="B2955" s="6">
        <v>234.0</v>
      </c>
      <c r="C2955" s="6">
        <v>7.0</v>
      </c>
      <c r="D2955" s="15" t="s">
        <v>4692</v>
      </c>
      <c r="E2955" s="9" t="s">
        <v>4693</v>
      </c>
      <c r="F2955" s="8" t="str">
        <f>IFERROR(__xludf.DUMMYFUNCTION("GOOGLETRANSLATE(D2955,""zh-CN"",""vi"")"),"Nước ép việt quất")</f>
        <v>Nước ép việt quất</v>
      </c>
      <c r="G2955" s="8" t="str">
        <f>IFERROR(__xludf.DUMMYFUNCTION("GOOGLETRANSLATE(E2955,""zh-CN"",""vi"")"),"Nó vừa có vị ngọt vừa có vị chua, cực kỳ sảng khoái và giải khát. Nó có thể được dùng để làm nước ép nho.")</f>
        <v>Nó vừa có vị ngọt vừa có vị chua, cực kỳ sảng khoái và giải khát. Nó có thể được dùng để làm nước ép nho.</v>
      </c>
      <c r="H2955" s="8"/>
      <c r="I2955" s="8"/>
      <c r="J2955" s="8"/>
    </row>
    <row r="2956" ht="21.0" customHeight="1">
      <c r="A2956" s="6">
        <v>1.0</v>
      </c>
      <c r="B2956" s="6">
        <v>234.0</v>
      </c>
      <c r="C2956" s="6">
        <v>8.0</v>
      </c>
      <c r="D2956" s="15" t="s">
        <v>4694</v>
      </c>
      <c r="E2956" s="9" t="s">
        <v>4695</v>
      </c>
      <c r="F2956" s="8" t="str">
        <f>IFERROR(__xludf.DUMMYFUNCTION("GOOGLETRANSLATE(D2956,""zh-CN"",""vi"")"),"nước ép nho")</f>
        <v>nước ép nho</v>
      </c>
      <c r="G2956" s="8" t="str">
        <f>IFERROR(__xludf.DUMMYFUNCTION("GOOGLETRANSLATE(E2956,""zh-CN"",""vi"")"),"Tôi rất sợ gặp phải nho chua; chỉ cần một ngụm thôi là... khoan đã, nó biến thành nước ép dứa rồi!")</f>
        <v>Tôi rất sợ gặp phải nho chua; chỉ cần một ngụm thôi là... khoan đã, nó biến thành nước ép dứa rồi!</v>
      </c>
      <c r="H2956" s="8"/>
      <c r="I2956" s="8"/>
      <c r="J2956" s="8"/>
    </row>
    <row r="2957" ht="21.0" customHeight="1">
      <c r="A2957" s="6">
        <v>1.0</v>
      </c>
      <c r="B2957" s="6">
        <v>234.0</v>
      </c>
      <c r="C2957" s="6">
        <v>9.0</v>
      </c>
      <c r="D2957" s="15" t="s">
        <v>4696</v>
      </c>
      <c r="E2957" s="9" t="s">
        <v>4697</v>
      </c>
      <c r="F2957" s="8" t="str">
        <f>IFERROR(__xludf.DUMMYFUNCTION("GOOGLETRANSLATE(D2957,""zh-CN"",""vi"")"),"Nước ép dứa")</f>
        <v>Nước ép dứa</v>
      </c>
      <c r="G2957" s="8" t="str">
        <f>IFERROR(__xludf.DUMMYFUNCTION("GOOGLETRANSLATE(E2957,""zh-CN"",""vi"")"),"Tôi thích uống nước ép dứa, và tôi còn thích ăn dứa cắt miếng hơn nữa. Dứa có thể được dùng để làm nước ép tươi ngon cho mọi mùa.")</f>
        <v>Tôi thích uống nước ép dứa, và tôi còn thích ăn dứa cắt miếng hơn nữa. Dứa có thể được dùng để làm nước ép tươi ngon cho mọi mùa.</v>
      </c>
      <c r="H2957" s="8"/>
      <c r="I2957" s="8"/>
      <c r="J2957" s="8"/>
    </row>
    <row r="2958" ht="21.0" customHeight="1">
      <c r="A2958" s="6">
        <v>1.0</v>
      </c>
      <c r="B2958" s="6">
        <v>234.0</v>
      </c>
      <c r="C2958" s="6">
        <v>10.0</v>
      </c>
      <c r="D2958" s="15" t="s">
        <v>4698</v>
      </c>
      <c r="E2958" s="9" t="s">
        <v>4699</v>
      </c>
      <c r="F2958" s="8" t="str">
        <f>IFERROR(__xludf.DUMMYFUNCTION("GOOGLETRANSLATE(D2958,""zh-CN"",""vi"")"),"Nước ép tươi cho mọi mùa")</f>
        <v>Nước ép tươi cho mọi mùa</v>
      </c>
      <c r="G2958" s="8" t="str">
        <f>IFERROR(__xludf.DUMMYFUNCTION("GOOGLETRANSLATE(E2958,""zh-CN"",""vi"")"),"Được làm từ nhiều loại trái cây và phủ đầy đá bào. Có thể dùng để làm rượu trái cây tươi mát và sảng khoái.")</f>
        <v>Được làm từ nhiều loại trái cây và phủ đầy đá bào. Có thể dùng để làm rượu trái cây tươi mát và sảng khoái.</v>
      </c>
      <c r="H2958" s="8"/>
      <c r="I2958" s="8"/>
      <c r="J2958" s="8"/>
    </row>
    <row r="2959" ht="21.0" customHeight="1">
      <c r="A2959" s="6">
        <v>1.0</v>
      </c>
      <c r="B2959" s="6">
        <v>234.0</v>
      </c>
      <c r="C2959" s="6">
        <v>11.0</v>
      </c>
      <c r="D2959" s="15" t="s">
        <v>4700</v>
      </c>
      <c r="E2959" s="9" t="s">
        <v>4701</v>
      </c>
      <c r="F2959" s="8" t="str">
        <f>IFERROR(__xludf.DUMMYFUNCTION("GOOGLETRANSLATE(D2959,""zh-CN"",""vi"")"),"Rượu trái cây tươi mát và sảng khoái")</f>
        <v>Rượu trái cây tươi mát và sảng khoái</v>
      </c>
      <c r="G2959" s="8" t="str">
        <f>IFERROR(__xludf.DUMMYFUNCTION("GOOGLETRANSLATE(E2959,""zh-CN"",""vi"")"),"Trong cái nóng oi bức này, hãy nhâm nhi một ly! (Không thích hợp cho trẻ em.) Có thể dùng để làm siro trái cây giải khát mùa hè.")</f>
        <v>Trong cái nóng oi bức này, hãy nhâm nhi một ly! (Không thích hợp cho trẻ em.) Có thể dùng để làm siro trái cây giải khát mùa hè.</v>
      </c>
      <c r="H2959" s="8"/>
      <c r="I2959" s="8"/>
      <c r="J2959" s="8"/>
    </row>
    <row r="2960" ht="21.0" customHeight="1">
      <c r="A2960" s="6">
        <v>1.0</v>
      </c>
      <c r="B2960" s="6">
        <v>234.0</v>
      </c>
      <c r="C2960" s="6">
        <v>12.0</v>
      </c>
      <c r="D2960" s="15" t="s">
        <v>4702</v>
      </c>
      <c r="E2960" s="9" t="s">
        <v>4703</v>
      </c>
      <c r="F2960" s="8" t="str">
        <f>IFERROR(__xludf.DUMMYFUNCTION("GOOGLETRANSLATE(D2960,""zh-CN"",""vi"")"),"Nước ép trái cây mát lạnh mùa hè")</f>
        <v>Nước ép trái cây mát lạnh mùa hè</v>
      </c>
      <c r="G2960" s="8" t="str">
        <f>IFERROR(__xludf.DUMMYFUNCTION("GOOGLETRANSLATE(E2960,""zh-CN"",""vi"")"),"Nước ép trái cây tự nhiên được chiết xuất từ ​​những loại trái cây chất lượng cao rất tốt cho sức khỏe và thơm ngon. Có thể dùng để làm nước ép đào.")</f>
        <v>Nước ép trái cây tự nhiên được chiết xuất từ ​​những loại trái cây chất lượng cao rất tốt cho sức khỏe và thơm ngon. Có thể dùng để làm nước ép đào.</v>
      </c>
      <c r="H2960" s="8"/>
      <c r="I2960" s="8"/>
      <c r="J2960" s="8"/>
    </row>
    <row r="2961" ht="21.0" customHeight="1">
      <c r="A2961" s="6">
        <v>1.0</v>
      </c>
      <c r="B2961" s="6">
        <v>234.0</v>
      </c>
      <c r="C2961" s="6">
        <v>13.0</v>
      </c>
      <c r="D2961" s="15" t="s">
        <v>4704</v>
      </c>
      <c r="E2961" s="9" t="s">
        <v>4705</v>
      </c>
      <c r="F2961" s="8" t="str">
        <f>IFERROR(__xludf.DUMMYFUNCTION("GOOGLETRANSLATE(D2961,""zh-CN"",""vi"")"),"Quả đào giống như mật hoa mùa xuân.")</f>
        <v>Quả đào giống như mật hoa mùa xuân.</v>
      </c>
      <c r="G2961" s="8" t="str">
        <f>IFERROR(__xludf.DUMMYFUNCTION("GOOGLETRANSLATE(E2961,""zh-CN"",""vi"")"),"Đây không chỉ đơn thuần là việc uống nước ép; mà còn là về tâm trạng, về lối sống. (Đã được tổng hợp đến mức độ cao nhất.)")</f>
        <v>Đây không chỉ đơn thuần là việc uống nước ép; mà còn là về tâm trạng, về lối sống. (Đã được tổng hợp đến mức độ cao nhất.)</v>
      </c>
      <c r="H2961" s="8"/>
      <c r="I2961" s="8"/>
      <c r="J2961" s="8"/>
    </row>
    <row r="2962" ht="21.0" customHeight="1">
      <c r="A2962" s="6">
        <v>1.0</v>
      </c>
      <c r="B2962" s="6">
        <v>235.0</v>
      </c>
      <c r="C2962" s="6">
        <v>1.0</v>
      </c>
      <c r="D2962" s="15" t="s">
        <v>4706</v>
      </c>
      <c r="E2962" s="9" t="s">
        <v>4707</v>
      </c>
      <c r="F2962" s="8" t="str">
        <f>IFERROR(__xludf.DUMMYFUNCTION("GOOGLETRANSLATE(D2962,""zh-CN"",""vi"")"),"Kem que màu hồng")</f>
        <v>Kem que màu hồng</v>
      </c>
      <c r="G2962" s="8" t="str">
        <f>IFERROR(__xludf.DUMMYFUNCTION("GOOGLETRANSLATE(E2962,""zh-CN"",""vi"")"),"Đơn giản và ngon miệng! Có thể làm thành kẹo que cầu vồng.")</f>
        <v>Đơn giản và ngon miệng! Có thể làm thành kẹo que cầu vồng.</v>
      </c>
      <c r="H2962" s="8"/>
      <c r="I2962" s="8"/>
      <c r="J2962" s="8"/>
    </row>
    <row r="2963" ht="21.0" customHeight="1">
      <c r="A2963" s="6">
        <v>1.0</v>
      </c>
      <c r="B2963" s="6">
        <v>235.0</v>
      </c>
      <c r="C2963" s="6">
        <v>2.0</v>
      </c>
      <c r="D2963" s="15" t="s">
        <v>4708</v>
      </c>
      <c r="E2963" s="9" t="s">
        <v>4709</v>
      </c>
      <c r="F2963" s="8" t="str">
        <f>IFERROR(__xludf.DUMMYFUNCTION("GOOGLETRANSLATE(D2963,""zh-CN"",""vi"")"),"Kem que kẹo cầu vồng")</f>
        <v>Kem que kẹo cầu vồng</v>
      </c>
      <c r="G2963" s="8" t="str">
        <f>IFERROR(__xludf.DUMMYFUNCTION("GOOGLETRANSLATE(E2963,""zh-CN"",""vi"")"),"Nó rất ngọt, vì vậy những người có chế độ ăn kiêng đặc biệt không nên ăn. Nó có thể được dùng để làm kem que ba màu.")</f>
        <v>Nó rất ngọt, vì vậy những người có chế độ ăn kiêng đặc biệt không nên ăn. Nó có thể được dùng để làm kem que ba màu.</v>
      </c>
      <c r="H2963" s="8"/>
      <c r="I2963" s="8"/>
      <c r="J2963" s="8"/>
    </row>
    <row r="2964" ht="21.0" customHeight="1">
      <c r="A2964" s="6">
        <v>1.0</v>
      </c>
      <c r="B2964" s="6">
        <v>235.0</v>
      </c>
      <c r="C2964" s="6">
        <v>3.0</v>
      </c>
      <c r="D2964" s="15" t="s">
        <v>4710</v>
      </c>
      <c r="E2964" s="9" t="s">
        <v>4711</v>
      </c>
      <c r="F2964" s="8" t="str">
        <f>IFERROR(__xludf.DUMMYFUNCTION("GOOGLETRANSLATE(D2964,""zh-CN"",""vi"")"),"Kem que ba màu")</f>
        <v>Kem que ba màu</v>
      </c>
      <c r="G2964" s="8" t="str">
        <f>IFERROR(__xludf.DUMMYFUNCTION("GOOGLETRANSLATE(E2964,""zh-CN"",""vi"")"),"Ba kết cấu khác nhau, bạn sẽ muốn thưởng thức tất cả trong một miếng. Có thể kết hợp thành kem que phủ sô cô la.")</f>
        <v>Ba kết cấu khác nhau, bạn sẽ muốn thưởng thức tất cả trong một miếng. Có thể kết hợp thành kem que phủ sô cô la.</v>
      </c>
      <c r="H2964" s="8"/>
      <c r="I2964" s="8"/>
      <c r="J2964" s="8"/>
    </row>
    <row r="2965" ht="21.0" customHeight="1">
      <c r="A2965" s="6">
        <v>1.0</v>
      </c>
      <c r="B2965" s="6">
        <v>235.0</v>
      </c>
      <c r="C2965" s="6">
        <v>4.0</v>
      </c>
      <c r="D2965" s="15" t="s">
        <v>4712</v>
      </c>
      <c r="E2965" s="9" t="s">
        <v>4713</v>
      </c>
      <c r="F2965" s="8" t="str">
        <f>IFERROR(__xludf.DUMMYFUNCTION("GOOGLETRANSLATE(D2965,""zh-CN"",""vi"")"),"Kem que phủ sô cô la")</f>
        <v>Kem que phủ sô cô la</v>
      </c>
      <c r="G2965" s="8" t="str">
        <f>IFERROR(__xludf.DUMMYFUNCTION("GOOGLETRANSLATE(E2965,""zh-CN"",""vi"")"),"Tôi thích lớp vỏ giòn bên ngoài; nó mỏng nhưng chắc và có vị ngọt. Có thể dùng nó để làm kem béo ngậy.")</f>
        <v>Tôi thích lớp vỏ giòn bên ngoài; nó mỏng nhưng chắc và có vị ngọt. Có thể dùng nó để làm kem béo ngậy.</v>
      </c>
      <c r="H2965" s="8"/>
      <c r="I2965" s="8"/>
      <c r="J2965" s="8"/>
    </row>
    <row r="2966" ht="21.0" customHeight="1">
      <c r="A2966" s="6">
        <v>1.0</v>
      </c>
      <c r="B2966" s="6">
        <v>235.0</v>
      </c>
      <c r="C2966" s="6">
        <v>5.0</v>
      </c>
      <c r="D2966" s="15" t="s">
        <v>4714</v>
      </c>
      <c r="E2966" s="9" t="s">
        <v>4715</v>
      </c>
      <c r="F2966" s="8" t="str">
        <f>IFERROR(__xludf.DUMMYFUNCTION("GOOGLETRANSLATE(D2966,""zh-CN"",""vi"")"),"Kem béo ngậy")</f>
        <v>Kem béo ngậy</v>
      </c>
      <c r="G2966" s="8" t="str">
        <f>IFERROR(__xludf.DUMMYFUNCTION("GOOGLETRANSLATE(E2966,""zh-CN"",""vi"")"),"Khi được phủ kem, nó tạo nên một sự bùng nổ hương vị. Có thể dùng để làm kem que dưa hấu.")</f>
        <v>Khi được phủ kem, nó tạo nên một sự bùng nổ hương vị. Có thể dùng để làm kem que dưa hấu.</v>
      </c>
      <c r="H2966" s="8"/>
      <c r="I2966" s="8"/>
      <c r="J2966" s="8"/>
    </row>
    <row r="2967" ht="21.0" customHeight="1">
      <c r="A2967" s="6">
        <v>1.0</v>
      </c>
      <c r="B2967" s="6">
        <v>235.0</v>
      </c>
      <c r="C2967" s="6">
        <v>6.0</v>
      </c>
      <c r="D2967" s="15" t="s">
        <v>4716</v>
      </c>
      <c r="E2967" s="9" t="s">
        <v>4717</v>
      </c>
      <c r="F2967" s="8" t="str">
        <f>IFERROR(__xludf.DUMMYFUNCTION("GOOGLETRANSLATE(D2967,""zh-CN"",""vi"")"),"Kem que dưa hấu")</f>
        <v>Kem que dưa hấu</v>
      </c>
      <c r="G2967" s="8" t="str">
        <f>IFERROR(__xludf.DUMMYFUNCTION("GOOGLETRANSLATE(E2967,""zh-CN"",""vi"")"),"Vỏ dưa hấu sẽ có vị như thế nào? Có thể dùng nó để làm kem que hình gấu ngộ nghĩnh.")</f>
        <v>Vỏ dưa hấu sẽ có vị như thế nào? Có thể dùng nó để làm kem que hình gấu ngộ nghĩnh.</v>
      </c>
      <c r="H2967" s="8"/>
      <c r="I2967" s="8"/>
      <c r="J2967" s="8"/>
    </row>
    <row r="2968" ht="21.0" customHeight="1">
      <c r="A2968" s="6">
        <v>1.0</v>
      </c>
      <c r="B2968" s="6">
        <v>235.0</v>
      </c>
      <c r="C2968" s="6">
        <v>7.0</v>
      </c>
      <c r="D2968" s="15" t="s">
        <v>4718</v>
      </c>
      <c r="E2968" s="9" t="s">
        <v>4719</v>
      </c>
      <c r="F2968" s="8" t="str">
        <f>IFERROR(__xludf.DUMMYFUNCTION("GOOGLETRANSLATE(D2968,""zh-CN"",""vi"")"),"Kem que hình gấu ngốc nghếch")</f>
        <v>Kem que hình gấu ngốc nghếch</v>
      </c>
      <c r="G2968" s="8" t="str">
        <f>IFERROR(__xludf.DUMMYFUNCTION("GOOGLETRANSLATE(E2968,""zh-CN"",""vi"")"),"Cắn một miếng là thấy hơi cứng; một số người có thể thích điều đó. Nó có thể được dùng để làm kem que sầu riêng.")</f>
        <v>Cắn một miếng là thấy hơi cứng; một số người có thể thích điều đó. Nó có thể được dùng để làm kem que sầu riêng.</v>
      </c>
      <c r="H2968" s="8"/>
      <c r="I2968" s="8"/>
      <c r="J2968" s="8"/>
    </row>
    <row r="2969" ht="21.0" customHeight="1">
      <c r="A2969" s="6">
        <v>1.0</v>
      </c>
      <c r="B2969" s="6">
        <v>235.0</v>
      </c>
      <c r="C2969" s="6">
        <v>8.0</v>
      </c>
      <c r="D2969" s="15" t="s">
        <v>4720</v>
      </c>
      <c r="E2969" s="9" t="s">
        <v>4721</v>
      </c>
      <c r="F2969" s="8" t="str">
        <f>IFERROR(__xludf.DUMMYFUNCTION("GOOGLETRANSLATE(D2969,""zh-CN"",""vi"")"),"Kem que sầu riêng")</f>
        <v>Kem que sầu riêng</v>
      </c>
      <c r="G2969" s="8" t="str">
        <f>IFERROR(__xludf.DUMMYFUNCTION("GOOGLETRANSLATE(E2969,""zh-CN"",""vi"")"),"Một loại kem que bổ dưỡng. Có thể dùng để làm kem Yeti.")</f>
        <v>Một loại kem que bổ dưỡng. Có thể dùng để làm kem Yeti.</v>
      </c>
      <c r="H2969" s="8"/>
      <c r="I2969" s="8"/>
      <c r="J2969" s="8"/>
    </row>
    <row r="2970" ht="21.0" customHeight="1">
      <c r="A2970" s="6">
        <v>1.0</v>
      </c>
      <c r="B2970" s="6">
        <v>235.0</v>
      </c>
      <c r="C2970" s="6">
        <v>9.0</v>
      </c>
      <c r="D2970" s="15" t="s">
        <v>4722</v>
      </c>
      <c r="E2970" s="9" t="s">
        <v>4723</v>
      </c>
      <c r="F2970" s="8" t="str">
        <f>IFERROR(__xludf.DUMMYFUNCTION("GOOGLETRANSLATE(D2970,""zh-CN"",""vi"")"),"Kem Yeti")</f>
        <v>Kem Yeti</v>
      </c>
      <c r="G2970" s="8" t="str">
        <f>IFERROR(__xludf.DUMMYFUNCTION("GOOGLETRANSLATE(E2970,""zh-CN"",""vi"")"),"Nó được gọi là Yeti, nhưng trông giống Olaf hơn; bọn trẻ đang tranh nhau mua nó. Nó có thể được chế biến thành kem Twin Snow King.")</f>
        <v>Nó được gọi là Yeti, nhưng trông giống Olaf hơn; bọn trẻ đang tranh nhau mua nó. Nó có thể được chế biến thành kem Twin Snow King.</v>
      </c>
      <c r="H2970" s="8"/>
      <c r="I2970" s="8"/>
      <c r="J2970" s="8"/>
    </row>
    <row r="2971" ht="21.0" customHeight="1">
      <c r="A2971" s="6">
        <v>1.0</v>
      </c>
      <c r="B2971" s="6">
        <v>235.0</v>
      </c>
      <c r="C2971" s="6">
        <v>10.0</v>
      </c>
      <c r="D2971" s="15" t="s">
        <v>4724</v>
      </c>
      <c r="E2971" s="9" t="s">
        <v>4725</v>
      </c>
      <c r="F2971" s="8" t="str">
        <f>IFERROR(__xludf.DUMMYFUNCTION("GOOGLETRANSLATE(D2971,""zh-CN"",""vi"")"),"Kem Twin Snow King")</f>
        <v>Kem Twin Snow King</v>
      </c>
      <c r="G2971" s="8" t="str">
        <f>IFERROR(__xludf.DUMMYFUNCTION("GOOGLETRANSLATE(E2971,""zh-CN"",""vi"")"),"Một loại có tên là Tuantuan, loại kia có tên là Nuannuan. Chúng có thể được kết hợp để tạo thành kem ba loại hoa.")</f>
        <v>Một loại có tên là Tuantuan, loại kia có tên là Nuannuan. Chúng có thể được kết hợp để tạo thành kem ba loại hoa.</v>
      </c>
      <c r="H2971" s="8"/>
      <c r="I2971" s="8"/>
      <c r="J2971" s="8"/>
    </row>
    <row r="2972" ht="21.0" customHeight="1">
      <c r="A2972" s="6">
        <v>1.0</v>
      </c>
      <c r="B2972" s="6">
        <v>235.0</v>
      </c>
      <c r="C2972" s="6">
        <v>11.0</v>
      </c>
      <c r="D2972" s="15" t="s">
        <v>4726</v>
      </c>
      <c r="E2972" s="9" t="s">
        <v>4727</v>
      </c>
      <c r="F2972" s="8" t="str">
        <f>IFERROR(__xludf.DUMMYFUNCTION("GOOGLETRANSLATE(D2972,""zh-CN"",""vi"")"),"Kem Ba Hoa")</f>
        <v>Kem Ba Hoa</v>
      </c>
      <c r="G2972" s="8" t="str">
        <f>IFERROR(__xludf.DUMMYFUNCTION("GOOGLETRANSLATE(E2972,""zh-CN"",""vi"")"),"Thực ra, đó là gấu và mèo đang tranh giành kem. (Có thể kết hợp để tạo ra món kem trái cây nhiều màu sắc.)")</f>
        <v>Thực ra, đó là gấu và mèo đang tranh giành kem. (Có thể kết hợp để tạo ra món kem trái cây nhiều màu sắc.)</v>
      </c>
      <c r="H2972" s="8"/>
      <c r="I2972" s="8"/>
      <c r="J2972" s="8"/>
    </row>
    <row r="2973" ht="21.0" customHeight="1">
      <c r="A2973" s="6">
        <v>1.0</v>
      </c>
      <c r="B2973" s="6">
        <v>235.0</v>
      </c>
      <c r="C2973" s="6">
        <v>12.0</v>
      </c>
      <c r="D2973" s="15" t="s">
        <v>4728</v>
      </c>
      <c r="E2973" s="9" t="s">
        <v>4729</v>
      </c>
      <c r="F2973" s="8" t="str">
        <f>IFERROR(__xludf.DUMMYFUNCTION("GOOGLETRANSLATE(D2973,""zh-CN"",""vi"")"),"Kem trái cây nhiều màu sắc")</f>
        <v>Kem trái cây nhiều màu sắc</v>
      </c>
      <c r="G2973" s="8" t="str">
        <f>IFERROR(__xludf.DUMMYFUNCTION("GOOGLETRANSLATE(E2973,""zh-CN"",""vi"")"),"Sự kết hợp của nhiều loại trái cây tạo nên hương vị ngọt ngào tự nhiên. Chúng có thể được kết hợp để tạo ra món kem gợi nhớ tuổi thơ.")</f>
        <v>Sự kết hợp của nhiều loại trái cây tạo nên hương vị ngọt ngào tự nhiên. Chúng có thể được kết hợp để tạo ra món kem gợi nhớ tuổi thơ.</v>
      </c>
      <c r="H2973" s="8"/>
      <c r="I2973" s="8"/>
      <c r="J2973" s="8"/>
    </row>
    <row r="2974" ht="21.0" customHeight="1">
      <c r="A2974" s="6">
        <v>1.0</v>
      </c>
      <c r="B2974" s="6">
        <v>235.0</v>
      </c>
      <c r="C2974" s="6">
        <v>13.0</v>
      </c>
      <c r="D2974" s="15" t="s">
        <v>4730</v>
      </c>
      <c r="E2974" s="9" t="s">
        <v>4731</v>
      </c>
      <c r="F2974" s="8" t="str">
        <f>IFERROR(__xludf.DUMMYFUNCTION("GOOGLETRANSLATE(D2974,""zh-CN"",""vi"")"),"Kem giấc mơ tuổi thơ")</f>
        <v>Kem giấc mơ tuổi thơ</v>
      </c>
      <c r="G2974" s="8" t="str">
        <f>IFERROR(__xludf.DUMMYFUNCTION("GOOGLETRANSLATE(E2974,""zh-CN"",""vi"")"),"Tuổi thơ như mơ, tươi đẹp và không thể lấy lại được ấy... (giờ đây đang ở đỉnh cao nhất)")</f>
        <v>Tuổi thơ như mơ, tươi đẹp và không thể lấy lại được ấy... (giờ đây đang ở đỉnh cao nhất)</v>
      </c>
      <c r="H2974" s="8"/>
      <c r="I2974" s="8"/>
      <c r="J2974" s="8"/>
    </row>
    <row r="2975" ht="21.0" customHeight="1">
      <c r="A2975" s="6">
        <v>1.0</v>
      </c>
      <c r="B2975" s="6">
        <v>236.0</v>
      </c>
      <c r="C2975" s="6">
        <v>1.0</v>
      </c>
      <c r="D2975" s="15" t="s">
        <v>4732</v>
      </c>
      <c r="E2975" s="9" t="s">
        <v>4733</v>
      </c>
      <c r="F2975" s="8" t="str">
        <f>IFERROR(__xludf.DUMMYFUNCTION("GOOGLETRANSLATE(D2975,""zh-CN"",""vi"")"),"Lá")</f>
        <v>Lá</v>
      </c>
      <c r="G2975" s="8" t="str">
        <f>IFERROR(__xludf.DUMMYFUNCTION("GOOGLETRANSLATE(E2975,""zh-CN"",""vi"")"),"Không nên kỳ vọng những chiếc lá nhặt từ mặt đất có sức mạnh như quạt lá chuối. Chúng có thể được kết hợp lại để tạo thành một chiếc quạt tròn.")</f>
        <v>Không nên kỳ vọng những chiếc lá nhặt từ mặt đất có sức mạnh như quạt lá chuối. Chúng có thể được kết hợp lại để tạo thành một chiếc quạt tròn.</v>
      </c>
      <c r="H2975" s="8"/>
      <c r="I2975" s="8"/>
      <c r="J2975" s="8"/>
    </row>
    <row r="2976" ht="21.0" customHeight="1">
      <c r="A2976" s="6">
        <v>1.0</v>
      </c>
      <c r="B2976" s="6">
        <v>236.0</v>
      </c>
      <c r="C2976" s="6">
        <v>2.0</v>
      </c>
      <c r="D2976" s="15" t="s">
        <v>4734</v>
      </c>
      <c r="E2976" s="9" t="s">
        <v>4735</v>
      </c>
      <c r="F2976" s="8" t="str">
        <f>IFERROR(__xludf.DUMMYFUNCTION("GOOGLETRANSLATE(D2976,""zh-CN"",""vi"")"),"Quạt tròn")</f>
        <v>Quạt tròn</v>
      </c>
      <c r="G2976" s="8" t="str">
        <f>IFERROR(__xludf.DUMMYFUNCTION("GOOGLETRANSLATE(E2976,""zh-CN"",""vi"")"),"Một đám mây trôi qua, che khuất ánh nắng hè gay gắt. (Có thể dùng để làm quạt lá cọ.)")</f>
        <v>Một đám mây trôi qua, che khuất ánh nắng hè gay gắt. (Có thể dùng để làm quạt lá cọ.)</v>
      </c>
      <c r="H2976" s="8"/>
      <c r="I2976" s="8"/>
      <c r="J2976" s="8"/>
    </row>
    <row r="2977" ht="21.0" customHeight="1">
      <c r="A2977" s="6">
        <v>1.0</v>
      </c>
      <c r="B2977" s="6">
        <v>236.0</v>
      </c>
      <c r="C2977" s="6">
        <v>3.0</v>
      </c>
      <c r="D2977" s="15" t="s">
        <v>4736</v>
      </c>
      <c r="E2977" s="9" t="s">
        <v>4737</v>
      </c>
      <c r="F2977" s="8" t="str">
        <f>IFERROR(__xludf.DUMMYFUNCTION("GOOGLETRANSLATE(D2977,""zh-CN"",""vi"")"),"quạt lá cọ")</f>
        <v>quạt lá cọ</v>
      </c>
      <c r="G2977" s="8" t="str">
        <f>IFERROR(__xludf.DUMMYFUNCTION("GOOGLETRANSLATE(E2977,""zh-CN"",""vi"")"),"Gió mát dễ chịu, nhưng quạt cho mệt. (Có thể kết hợp thành quạt xếp)")</f>
        <v>Gió mát dễ chịu, nhưng quạt cho mệt. (Có thể kết hợp thành quạt xếp)</v>
      </c>
      <c r="H2977" s="8"/>
      <c r="I2977" s="8"/>
      <c r="J2977" s="8"/>
    </row>
    <row r="2978" ht="21.0" customHeight="1">
      <c r="A2978" s="6">
        <v>1.0</v>
      </c>
      <c r="B2978" s="6">
        <v>236.0</v>
      </c>
      <c r="C2978" s="6">
        <v>4.0</v>
      </c>
      <c r="D2978" s="15" t="s">
        <v>4738</v>
      </c>
      <c r="E2978" s="9" t="s">
        <v>4739</v>
      </c>
      <c r="F2978" s="8" t="str">
        <f>IFERROR(__xludf.DUMMYFUNCTION("GOOGLETRANSLATE(D2978,""zh-CN"",""vi"")"),"Quạt gấp")</f>
        <v>Quạt gấp</v>
      </c>
      <c r="G2978" s="8" t="str">
        <f>IFERROR(__xludf.DUMMYFUNCTION("GOOGLETRANSLATE(E2978,""zh-CN"",""vi"")"),"Quan trọng hơn cả tính thực dụng là mong muốn về một vẻ ngoài tinh tế, trang nhã. Một chiếc quạt điện cầm tay có thể được tạo ra từ những yếu tố đó.")</f>
        <v>Quan trọng hơn cả tính thực dụng là mong muốn về một vẻ ngoài tinh tế, trang nhã. Một chiếc quạt điện cầm tay có thể được tạo ra từ những yếu tố đó.</v>
      </c>
      <c r="H2978" s="8"/>
      <c r="I2978" s="8"/>
      <c r="J2978" s="8"/>
    </row>
    <row r="2979" ht="21.0" customHeight="1">
      <c r="A2979" s="6">
        <v>1.0</v>
      </c>
      <c r="B2979" s="6">
        <v>236.0</v>
      </c>
      <c r="C2979" s="6">
        <v>5.0</v>
      </c>
      <c r="D2979" s="15" t="s">
        <v>4740</v>
      </c>
      <c r="E2979" s="9" t="s">
        <v>4741</v>
      </c>
      <c r="F2979" s="8" t="str">
        <f>IFERROR(__xludf.DUMMYFUNCTION("GOOGLETRANSLATE(D2979,""zh-CN"",""vi"")"),"quạt điện cầm tay")</f>
        <v>quạt điện cầm tay</v>
      </c>
      <c r="G2979" s="8" t="str">
        <f>IFERROR(__xludf.DUMMYFUNCTION("GOOGLETRANSLATE(E2979,""zh-CN"",""vi"")"),"Nhỏ gọn và tiện dụng mọi lúc. Có thể kết hợp thành quạt đứng.")</f>
        <v>Nhỏ gọn và tiện dụng mọi lúc. Có thể kết hợp thành quạt đứng.</v>
      </c>
      <c r="H2979" s="8"/>
      <c r="I2979" s="8"/>
      <c r="J2979" s="8"/>
    </row>
    <row r="2980" ht="21.0" customHeight="1">
      <c r="A2980" s="6">
        <v>1.0</v>
      </c>
      <c r="B2980" s="6">
        <v>236.0</v>
      </c>
      <c r="C2980" s="6">
        <v>6.0</v>
      </c>
      <c r="D2980" s="15" t="s">
        <v>4742</v>
      </c>
      <c r="E2980" s="9" t="s">
        <v>4743</v>
      </c>
      <c r="F2980" s="8" t="str">
        <f>IFERROR(__xludf.DUMMYFUNCTION("GOOGLETRANSLATE(D2980,""zh-CN"",""vi"")"),"Quạt điện đứng")</f>
        <v>Quạt điện đứng</v>
      </c>
      <c r="G2980" s="8" t="str">
        <f>IFERROR(__xludf.DUMMYFUNCTION("GOOGLETRANSLATE(E2980,""zh-CN"",""vi"")"),"Được ru ngủ bởi tiếng gió và tiếng côn trùng. (Có thể tự chế tạo một chiếc quạt điện cầm tay.)")</f>
        <v>Được ru ngủ bởi tiếng gió và tiếng côn trùng. (Có thể tự chế tạo một chiếc quạt điện cầm tay.)</v>
      </c>
      <c r="H2980" s="8"/>
      <c r="I2980" s="8"/>
      <c r="J2980" s="8"/>
    </row>
    <row r="2981" ht="21.0" customHeight="1">
      <c r="A2981" s="6">
        <v>1.0</v>
      </c>
      <c r="B2981" s="6">
        <v>236.0</v>
      </c>
      <c r="C2981" s="6">
        <v>7.0</v>
      </c>
      <c r="D2981" s="15" t="s">
        <v>4744</v>
      </c>
      <c r="E2981" s="9" t="s">
        <v>4745</v>
      </c>
      <c r="F2981" s="8" t="str">
        <f>IFERROR(__xludf.DUMMYFUNCTION("GOOGLETRANSLATE(D2981,""zh-CN"",""vi"")"),"quạt điện cầm tay")</f>
        <v>quạt điện cầm tay</v>
      </c>
      <c r="G2981" s="8" t="str">
        <f>IFERROR(__xludf.DUMMYFUNCTION("GOOGLETRANSLATE(E2981,""zh-CN"",""vi"")"),"Nó có thể dễ dàng được triển khai đến nhiều địa điểm khác nhau. Nó cũng có thể được sử dụng như một máy bán đồ uống lạnh.")</f>
        <v>Nó có thể dễ dàng được triển khai đến nhiều địa điểm khác nhau. Nó cũng có thể được sử dụng như một máy bán đồ uống lạnh.</v>
      </c>
      <c r="H2981" s="8"/>
      <c r="I2981" s="8"/>
      <c r="J2981" s="8"/>
    </row>
    <row r="2982" ht="21.0" customHeight="1">
      <c r="A2982" s="6">
        <v>1.0</v>
      </c>
      <c r="B2982" s="6">
        <v>236.0</v>
      </c>
      <c r="C2982" s="6">
        <v>8.0</v>
      </c>
      <c r="D2982" s="15" t="s">
        <v>4746</v>
      </c>
      <c r="E2982" s="9" t="s">
        <v>4747</v>
      </c>
      <c r="F2982" s="8" t="str">
        <f>IFERROR(__xludf.DUMMYFUNCTION("GOOGLETRANSLATE(D2982,""zh-CN"",""vi"")"),"Máy làm đồ uống lạnh")</f>
        <v>Máy làm đồ uống lạnh</v>
      </c>
      <c r="G2982" s="8" t="str">
        <f>IFERROR(__xludf.DUMMYFUNCTION("GOOGLETRANSLATE(E2982,""zh-CN"",""vi"")"),"Nước ép dưa hấu và nước ép cam sẽ có màu gì khi trộn với nhau? (Đây là câu hỏi từ một nhà sản xuất đồ uống cao cấp.)")</f>
        <v>Nước ép dưa hấu và nước ép cam sẽ có màu gì khi trộn với nhau? (Đây là câu hỏi từ một nhà sản xuất đồ uống cao cấp.)</v>
      </c>
      <c r="H2982" s="8"/>
      <c r="I2982" s="8"/>
      <c r="J2982" s="8"/>
    </row>
    <row r="2983" ht="21.0" customHeight="1">
      <c r="A2983" s="6">
        <v>1.0</v>
      </c>
      <c r="B2983" s="6">
        <v>236.0</v>
      </c>
      <c r="C2983" s="6">
        <v>9.0</v>
      </c>
      <c r="D2983" s="15" t="s">
        <v>4748</v>
      </c>
      <c r="E2983" s="9" t="s">
        <v>4749</v>
      </c>
      <c r="F2983" s="8" t="str">
        <f>IFERROR(__xludf.DUMMYFUNCTION("GOOGLETRANSLATE(D2983,""zh-CN"",""vi"")"),"Máy làm đồ uống lạnh cao cấp")</f>
        <v>Máy làm đồ uống lạnh cao cấp</v>
      </c>
      <c r="G2983" s="8" t="str">
        <f>IFERROR(__xludf.DUMMYFUNCTION("GOOGLETRANSLATE(E2983,""zh-CN"",""vi"")"),"Đây là vật dụng không thể thiếu cho trẻ em! Một máy hút ẩm dễ cháy.")</f>
        <v>Đây là vật dụng không thể thiếu cho trẻ em! Một máy hút ẩm dễ cháy.</v>
      </c>
      <c r="H2983" s="8"/>
      <c r="I2983" s="8"/>
      <c r="J2983" s="8"/>
    </row>
    <row r="2984" ht="21.0" customHeight="1">
      <c r="A2984" s="6">
        <v>1.0</v>
      </c>
      <c r="B2984" s="6">
        <v>236.0</v>
      </c>
      <c r="C2984" s="6">
        <v>10.0</v>
      </c>
      <c r="D2984" s="15" t="s">
        <v>4750</v>
      </c>
      <c r="E2984" s="9" t="s">
        <v>4751</v>
      </c>
      <c r="F2984" s="8" t="str">
        <f>IFERROR(__xludf.DUMMYFUNCTION("GOOGLETRANSLATE(D2984,""zh-CN"",""vi"")"),"máy hút ẩm")</f>
        <v>máy hút ẩm</v>
      </c>
      <c r="G2984" s="8" t="str">
        <f>IFERROR(__xludf.DUMMYFUNCTION("GOOGLETRANSLATE(E2984,""zh-CN"",""vi"")"),"Tạo môi trường sống tốt hơn trong nhà. (Máy làm đá)")</f>
        <v>Tạo môi trường sống tốt hơn trong nhà. (Máy làm đá)</v>
      </c>
      <c r="H2984" s="8"/>
      <c r="I2984" s="8"/>
      <c r="J2984" s="8"/>
    </row>
    <row r="2985" ht="21.0" customHeight="1">
      <c r="A2985" s="6">
        <v>1.0</v>
      </c>
      <c r="B2985" s="6">
        <v>236.0</v>
      </c>
      <c r="C2985" s="6">
        <v>11.0</v>
      </c>
      <c r="D2985" s="15" t="s">
        <v>4752</v>
      </c>
      <c r="E2985" s="9" t="s">
        <v>4753</v>
      </c>
      <c r="F2985" s="8" t="str">
        <f>IFERROR(__xludf.DUMMYFUNCTION("GOOGLETRANSLATE(D2985,""zh-CN"",""vi"")"),"máy làm đá")</f>
        <v>máy làm đá</v>
      </c>
      <c r="G2985" s="8" t="str">
        <f>IFERROR(__xludf.DUMMYFUNCTION("GOOGLETRANSLATE(E2985,""zh-CN"",""vi"")"),"Đá là một thứ tuyệt vời; nó có thể giữ lạnh đồ uống, chữa sốt... và thậm chí còn có thể được dùng để làm máy điều hòa không khí.")</f>
        <v>Đá là một thứ tuyệt vời; nó có thể giữ lạnh đồ uống, chữa sốt... và thậm chí còn có thể được dùng để làm máy điều hòa không khí.</v>
      </c>
      <c r="H2985" s="8"/>
      <c r="I2985" s="8"/>
      <c r="J2985" s="8"/>
    </row>
    <row r="2986" ht="21.0" customHeight="1">
      <c r="A2986" s="6">
        <v>1.0</v>
      </c>
      <c r="B2986" s="6">
        <v>236.0</v>
      </c>
      <c r="C2986" s="6">
        <v>12.0</v>
      </c>
      <c r="D2986" s="15" t="s">
        <v>4754</v>
      </c>
      <c r="E2986" s="9" t="s">
        <v>4755</v>
      </c>
      <c r="F2986" s="8" t="str">
        <f>IFERROR(__xludf.DUMMYFUNCTION("GOOGLETRANSLATE(D2986,""zh-CN"",""vi"")"),"máy điều hòa không khí")</f>
        <v>máy điều hòa không khí</v>
      </c>
      <c r="G2986" s="8" t="str">
        <f>IFERROR(__xludf.DUMMYFUNCTION("GOOGLETRANSLATE(E2986,""zh-CN"",""vi"")"),"Thiết bị tuyệt vời này đã khiến bọn trẻ thích thú. Nó có thể được chế tạo thành một chiếc máy điều hòa hình hoa hồng trông giống như một con thỏ.")</f>
        <v>Thiết bị tuyệt vời này đã khiến bọn trẻ thích thú. Nó có thể được chế tạo thành một chiếc máy điều hòa hình hoa hồng trông giống như một con thỏ.</v>
      </c>
      <c r="H2986" s="8"/>
      <c r="I2986" s="8"/>
      <c r="J2986" s="8"/>
    </row>
    <row r="2987" ht="21.0" customHeight="1">
      <c r="A2987" s="6">
        <v>1.0</v>
      </c>
      <c r="B2987" s="6">
        <v>236.0</v>
      </c>
      <c r="C2987" s="6">
        <v>13.0</v>
      </c>
      <c r="D2987" s="15" t="s">
        <v>4756</v>
      </c>
      <c r="E2987" s="9" t="s">
        <v>4757</v>
      </c>
      <c r="F2987" s="8" t="str">
        <f>IFERROR(__xludf.DUMMYFUNCTION("GOOGLETRANSLATE(D2987,""zh-CN"",""vi"")"),"Máy điều hòa không khí Rabbit's Rose")</f>
        <v>Máy điều hòa không khí Rabbit's Rose</v>
      </c>
      <c r="G2987" s="8" t="str">
        <f>IFERROR(__xludf.DUMMYFUNCTION("GOOGLETRANSLATE(E2987,""zh-CN"",""vi"")"),"Sản phẩm này không chỉ làm mát mà còn có hiệu ứng ánh sáng và ánh sáng xung quanh. Nó được chế tạo ở mức độ cao nhất.")</f>
        <v>Sản phẩm này không chỉ làm mát mà còn có hiệu ứng ánh sáng và ánh sáng xung quanh. Nó được chế tạo ở mức độ cao nhất.</v>
      </c>
      <c r="H2987" s="8"/>
      <c r="I2987" s="8"/>
      <c r="J2987" s="8"/>
    </row>
    <row r="2988" ht="21.0" customHeight="1">
      <c r="A2988" s="6">
        <v>11.0</v>
      </c>
      <c r="B2988" s="6">
        <v>1062.0</v>
      </c>
      <c r="C2988" s="6">
        <v>1.0</v>
      </c>
      <c r="D2988" s="15" t="s">
        <v>4758</v>
      </c>
      <c r="E2988" s="9" t="s">
        <v>4759</v>
      </c>
      <c r="F2988" s="8" t="str">
        <f>IFERROR(__xludf.DUMMYFUNCTION("GOOGLETRANSLATE(D2988,""zh-CN"",""vi"")"),"Thứ tự thăng thiên")</f>
        <v>Thứ tự thăng thiên</v>
      </c>
      <c r="G2988" s="8" t="str">
        <f>IFERROR(__xludf.DUMMYFUNCTION("GOOGLETRANSLATE(E2988,""zh-CN"",""vi"")"),"""Ai sở hữu thẻ bài này có thể trở thành đệ tử ngoại môn của môn phái chúng ta."" Kết hợp hai thẻ bài này sẽ tạo thành một tấm bảng môn phái.")</f>
        <v>"Ai sở hữu thẻ bài này có thể trở thành đệ tử ngoại môn của môn phái chúng ta." Kết hợp hai thẻ bài này sẽ tạo thành một tấm bảng môn phái.</v>
      </c>
      <c r="H2988" s="8"/>
      <c r="I2988" s="8"/>
      <c r="J2988" s="8"/>
    </row>
    <row r="2989" ht="21.0" customHeight="1">
      <c r="A2989" s="6">
        <v>11.0</v>
      </c>
      <c r="B2989" s="6">
        <v>1062.0</v>
      </c>
      <c r="C2989" s="6">
        <v>2.0</v>
      </c>
      <c r="D2989" s="15" t="s">
        <v>4760</v>
      </c>
      <c r="E2989" s="9" t="s">
        <v>4761</v>
      </c>
      <c r="F2989" s="8" t="str">
        <f>IFERROR(__xludf.DUMMYFUNCTION("GOOGLETRANSLATE(D2989,""zh-CN"",""vi"")"),"Tấm bia cổng bất tử")</f>
        <v>Tấm bia cổng bất tử</v>
      </c>
      <c r="G2989" s="8" t="str">
        <f>IFERROR(__xludf.DUMMYFUNCTION("GOOGLETRANSLATE(E2989,""zh-CN"",""vi"")"),"Những chân lý vĩ đại nhất thường là những chân lý đơn giản nhất, và điều đó cũng đúng với các tấm bia đá. Một cánh cổng núi đơn giản có thể được tạo ra bằng cách kết hợp chúng.")</f>
        <v>Những chân lý vĩ đại nhất thường là những chân lý đơn giản nhất, và điều đó cũng đúng với các tấm bia đá. Một cánh cổng núi đơn giản có thể được tạo ra bằng cách kết hợp chúng.</v>
      </c>
      <c r="H2989" s="8"/>
      <c r="I2989" s="8"/>
      <c r="J2989" s="8"/>
    </row>
    <row r="2990" ht="21.0" customHeight="1">
      <c r="A2990" s="6">
        <v>11.0</v>
      </c>
      <c r="B2990" s="6">
        <v>1062.0</v>
      </c>
      <c r="C2990" s="6">
        <v>3.0</v>
      </c>
      <c r="D2990" s="15" t="s">
        <v>4762</v>
      </c>
      <c r="E2990" s="9" t="s">
        <v>4763</v>
      </c>
      <c r="F2990" s="8" t="str">
        <f>IFERROR(__xludf.DUMMYFUNCTION("GOOGLETRANSLATE(D2990,""zh-CN"",""vi"")"),"Cổng núi đơn giản")</f>
        <v>Cổng núi đơn giản</v>
      </c>
      <c r="G2990" s="8" t="str">
        <f>IFERROR(__xludf.DUMMYFUNCTION("GOOGLETRANSLATE(E2990,""zh-CN"",""vi"")"),"Không ai có thể ngờ rằng đây lại là lối vào của một môn phái thiên giới. Kết hợp chúng lại sẽ tạo thành một cổng môn phái thông thường.")</f>
        <v>Không ai có thể ngờ rằng đây lại là lối vào của một môn phái thiên giới. Kết hợp chúng lại sẽ tạo thành một cổng môn phái thông thường.</v>
      </c>
      <c r="H2990" s="8"/>
      <c r="I2990" s="8"/>
      <c r="J2990" s="8"/>
    </row>
    <row r="2991" ht="21.0" customHeight="1">
      <c r="A2991" s="6">
        <v>11.0</v>
      </c>
      <c r="B2991" s="6">
        <v>1062.0</v>
      </c>
      <c r="C2991" s="6">
        <v>4.0</v>
      </c>
      <c r="D2991" s="15" t="s">
        <v>4764</v>
      </c>
      <c r="E2991" s="9" t="s">
        <v>4765</v>
      </c>
      <c r="F2991" s="8" t="str">
        <f>IFERROR(__xludf.DUMMYFUNCTION("GOOGLETRANSLATE(D2991,""zh-CN"",""vi"")"),"Cổng núi bình thường")</f>
        <v>Cổng núi bình thường</v>
      </c>
      <c r="G2991" s="8" t="str">
        <f>IFERROR(__xludf.DUMMYFUNCTION("GOOGLETRANSLATE(E2991,""zh-CN"",""vi"")"),"Không có gì đặc biệt, hoàn toàn bình thường. Kết hợp lại, chúng tạo thành cổng núi chính thức.")</f>
        <v>Không có gì đặc biệt, hoàn toàn bình thường. Kết hợp lại, chúng tạo thành cổng núi chính thức.</v>
      </c>
      <c r="H2991" s="8"/>
      <c r="I2991" s="8"/>
      <c r="J2991" s="8"/>
    </row>
    <row r="2992" ht="21.0" customHeight="1">
      <c r="A2992" s="6">
        <v>10.0</v>
      </c>
      <c r="B2992" s="6">
        <v>1062.0</v>
      </c>
      <c r="C2992" s="6">
        <v>5.0</v>
      </c>
      <c r="D2992" s="9" t="s">
        <v>4766</v>
      </c>
      <c r="E2992" s="9" t="s">
        <v>4767</v>
      </c>
      <c r="F2992" s="8" t="str">
        <f>IFERROR(__xludf.DUMMYFUNCTION("GOOGLETRANSLATE(D2992,""zh-CN"",""vi"")"),"Cổng núi chính thức")</f>
        <v>Cổng núi chính thức</v>
      </c>
      <c r="G2992" s="8" t="str">
        <f>IFERROR(__xludf.DUMMYFUNCTION("GOOGLETRANSLATE(E2992,""zh-CN"",""vi"")"),"Hàng năm, nhiều trẻ em đến đây để kiểm nghiệm nguồn gốc tâm linh của mình. Việc tổng hợp các yếu tố này sẽ tạo ra một cánh cổng núi cổ xưa.")</f>
        <v>Hàng năm, nhiều trẻ em đến đây để kiểm nghiệm nguồn gốc tâm linh của mình. Việc tổng hợp các yếu tố này sẽ tạo ra một cánh cổng núi cổ xưa.</v>
      </c>
      <c r="H2992" s="8"/>
      <c r="I2992" s="8"/>
      <c r="J2992" s="8"/>
    </row>
    <row r="2993" ht="21.0" customHeight="1">
      <c r="A2993" s="6">
        <v>10.0</v>
      </c>
      <c r="B2993" s="6">
        <v>1062.0</v>
      </c>
      <c r="C2993" s="6">
        <v>6.0</v>
      </c>
      <c r="D2993" s="15" t="s">
        <v>4768</v>
      </c>
      <c r="E2993" s="9" t="s">
        <v>4769</v>
      </c>
      <c r="F2993" s="8" t="str">
        <f>IFERROR(__xludf.DUMMYFUNCTION("GOOGLETRANSLATE(D2993,""zh-CN"",""vi"")"),"Cổng núi cổ")</f>
        <v>Cổng núi cổ</v>
      </c>
      <c r="G2993" s="8" t="str">
        <f>IFERROR(__xludf.DUMMYFUNCTION("GOOGLETRANSLATE(E2993,""zh-CN"",""vi"")"),"Chỉ khi vượt qua bài kiểm tra, người ta mới có thể chính thức gia nhập Tiên Môn. Hợp nhất những thứ này sẽ tạo ra Môn phái Thanh Sơn.")</f>
        <v>Chỉ khi vượt qua bài kiểm tra, người ta mới có thể chính thức gia nhập Tiên Môn. Hợp nhất những thứ này sẽ tạo ra Môn phái Thanh Sơn.</v>
      </c>
      <c r="H2993" s="8"/>
      <c r="I2993" s="8"/>
      <c r="J2993" s="8"/>
    </row>
    <row r="2994" ht="21.0" customHeight="1">
      <c r="A2994" s="6">
        <v>10.0</v>
      </c>
      <c r="B2994" s="6">
        <v>1062.0</v>
      </c>
      <c r="C2994" s="6">
        <v>7.0</v>
      </c>
      <c r="D2994" s="15" t="s">
        <v>4770</v>
      </c>
      <c r="E2994" s="9" t="s">
        <v>4771</v>
      </c>
      <c r="F2994" s="8" t="str">
        <f>IFERROR(__xludf.DUMMYFUNCTION("GOOGLETRANSLATE(D2994,""zh-CN"",""vi"")"),"Cổng núi trang nhã")</f>
        <v>Cổng núi trang nhã</v>
      </c>
      <c r="G2994" s="8" t="str">
        <f>IFERROR(__xludf.DUMMYFUNCTION("GOOGLETRANSLATE(E2994,""zh-CN"",""vi"")"),"Các sứ giả cư ngụ tại đây quyền lực đến nỗi ngay cả hoàng đế cũng không dám xúc phạm họ. (Kết hợp lại, có thể thu được cổng đền cổ.)")</f>
        <v>Các sứ giả cư ngụ tại đây quyền lực đến nỗi ngay cả hoàng đế cũng không dám xúc phạm họ. (Kết hợp lại, có thể thu được cổng đền cổ.)</v>
      </c>
      <c r="H2994" s="8"/>
      <c r="I2994" s="8"/>
      <c r="J2994" s="8"/>
    </row>
    <row r="2995" ht="21.0" customHeight="1">
      <c r="A2995" s="6">
        <v>10.0</v>
      </c>
      <c r="B2995" s="6">
        <v>1062.0</v>
      </c>
      <c r="C2995" s="6">
        <v>8.0</v>
      </c>
      <c r="D2995" s="15" t="s">
        <v>4772</v>
      </c>
      <c r="E2995" s="9" t="s">
        <v>4773</v>
      </c>
      <c r="F2995" s="8" t="str">
        <f>IFERROR(__xludf.DUMMYFUNCTION("GOOGLETRANSLATE(D2995,""zh-CN"",""vi"")"),"Cổng núi đền cổ")</f>
        <v>Cổng núi đền cổ</v>
      </c>
      <c r="G2995" s="8" t="str">
        <f>IFERROR(__xludf.DUMMYFUNCTION("GOOGLETRANSLATE(E2995,""zh-CN"",""vi"")"),"Nội thất chính của đại sảnh vừa cổ kính vừa tráng lệ. Kết hợp chúng sẽ tạo thành một cánh cổng núi xuyên không gian.")</f>
        <v>Nội thất chính của đại sảnh vừa cổ kính vừa tráng lệ. Kết hợp chúng sẽ tạo thành một cánh cổng núi xuyên không gian.</v>
      </c>
      <c r="H2995" s="8"/>
      <c r="I2995" s="8"/>
      <c r="J2995" s="8"/>
    </row>
    <row r="2996" ht="21.0" customHeight="1">
      <c r="A2996" s="6">
        <v>10.0</v>
      </c>
      <c r="B2996" s="6">
        <v>1062.0</v>
      </c>
      <c r="C2996" s="6">
        <v>9.0</v>
      </c>
      <c r="D2996" s="15" t="s">
        <v>4774</v>
      </c>
      <c r="E2996" s="9" t="s">
        <v>4775</v>
      </c>
      <c r="F2996" s="8" t="str">
        <f>IFERROR(__xludf.DUMMYFUNCTION("GOOGLETRANSLATE(D2996,""zh-CN"",""vi"")"),"Cổng núi xuyên biên giới")</f>
        <v>Cổng núi xuyên biên giới</v>
      </c>
      <c r="G2996" s="8" t="str">
        <f>IFERROR(__xludf.DUMMYFUNCTION("GOOGLETRANSLATE(E2996,""zh-CN"",""vi"")"),"Chỉ khi vượt qua nhiều lớp công sự phòng thủ, người ta mới có thể đến được lối vào thực sự. Việc chế tạo những công trình này sẽ tạo ra Cổng Núi Treo.")</f>
        <v>Chỉ khi vượt qua nhiều lớp công sự phòng thủ, người ta mới có thể đến được lối vào thực sự. Việc chế tạo những công trình này sẽ tạo ra Cổng Núi Treo.</v>
      </c>
      <c r="H2996" s="8"/>
      <c r="I2996" s="8"/>
      <c r="J2996" s="8"/>
    </row>
    <row r="2997" ht="21.0" customHeight="1">
      <c r="A2997" s="6">
        <v>10.0</v>
      </c>
      <c r="B2997" s="6">
        <v>1062.0</v>
      </c>
      <c r="C2997" s="6">
        <v>10.0</v>
      </c>
      <c r="D2997" s="15" t="s">
        <v>4776</v>
      </c>
      <c r="E2997" s="9" t="s">
        <v>4777</v>
      </c>
      <c r="F2997" s="8" t="str">
        <f>IFERROR(__xludf.DUMMYFUNCTION("GOOGLETRANSLATE(D2997,""zh-CN"",""vi"")"),"Cổng Núi Treo")</f>
        <v>Cổng Núi Treo</v>
      </c>
      <c r="G2997" s="8" t="str">
        <f>IFERROR(__xludf.DUMMYFUNCTION("GOOGLETRANSLATE(E2997,""zh-CN"",""vi"")"),"Điềm tĩnh ngự trị trên cao giữa bầu trời, nó tượng trưng cho sự siêu việt và cao quý của cõi bất tử. Nó đã được tổng hợp đến cấp độ cao nhất.")</f>
        <v>Điềm tĩnh ngự trị trên cao giữa bầu trời, nó tượng trưng cho sự siêu việt và cao quý của cõi bất tử. Nó đã được tổng hợp đến cấp độ cao nhất.</v>
      </c>
      <c r="H2997" s="8"/>
      <c r="I2997" s="8"/>
      <c r="J2997" s="8"/>
    </row>
    <row r="2998" ht="21.0" customHeight="1">
      <c r="A2998" s="6">
        <v>11.0</v>
      </c>
      <c r="B2998" s="6">
        <v>1063.0</v>
      </c>
      <c r="C2998" s="6">
        <v>1.0</v>
      </c>
      <c r="D2998" s="15" t="s">
        <v>4778</v>
      </c>
      <c r="E2998" s="9" t="s">
        <v>4779</v>
      </c>
      <c r="F2998" s="8" t="str">
        <f>IFERROR(__xludf.DUMMYFUNCTION("GOOGLETRANSLATE(D2998,""zh-CN"",""vi"")"),"Thứ tự thăng thiên [V]")</f>
        <v>Thứ tự thăng thiên [V]</v>
      </c>
      <c r="G2998" s="8" t="str">
        <f>IFERROR(__xludf.DUMMYFUNCTION("GOOGLETRANSLATE(E2998,""zh-CN"",""vi"")"),"“Ai nắm giữ vật này có thể trở thành đệ tử ngoại môn của giáo phái chúng ta.” Kết hợp những thứ này sẽ tạo thành một tấm bảng giáo phái. [V]")</f>
        <v>“Ai nắm giữ vật này có thể trở thành đệ tử ngoại môn của giáo phái chúng ta.” Kết hợp những thứ này sẽ tạo thành một tấm bảng giáo phái. [V]</v>
      </c>
      <c r="H2998" s="8"/>
      <c r="I2998" s="8"/>
      <c r="J2998" s="8"/>
    </row>
    <row r="2999" ht="21.0" customHeight="1">
      <c r="A2999" s="6">
        <v>11.0</v>
      </c>
      <c r="B2999" s="6">
        <v>1063.0</v>
      </c>
      <c r="C2999" s="6">
        <v>2.0</v>
      </c>
      <c r="D2999" s="15" t="s">
        <v>4780</v>
      </c>
      <c r="E2999" s="9" t="s">
        <v>4781</v>
      </c>
      <c r="F2999" s="8" t="str">
        <f>IFERROR(__xludf.DUMMYFUNCTION("GOOGLETRANSLATE(D2999,""zh-CN"",""vi"")"),"Tấm bia giáo phái bất tử [V]")</f>
        <v>Tấm bia giáo phái bất tử [V]</v>
      </c>
      <c r="G2999" s="8" t="str">
        <f>IFERROR(__xludf.DUMMYFUNCTION("GOOGLETRANSLATE(E2999,""zh-CN"",""vi"")"),"Những chân lý vĩ đại nhất là những chân lý đơn giản nhất, và điều đó cũng đúng với các tấm bia đá. Một cánh cổng núi đơn giản có thể được tạo ra bằng cách kết hợp các yếu tố này. [V]")</f>
        <v>Những chân lý vĩ đại nhất là những chân lý đơn giản nhất, và điều đó cũng đúng với các tấm bia đá. Một cánh cổng núi đơn giản có thể được tạo ra bằng cách kết hợp các yếu tố này. [V]</v>
      </c>
      <c r="H2999" s="8"/>
      <c r="I2999" s="8"/>
      <c r="J2999" s="8"/>
    </row>
    <row r="3000" ht="21.0" customHeight="1">
      <c r="A3000" s="6">
        <v>11.0</v>
      </c>
      <c r="B3000" s="6">
        <v>1063.0</v>
      </c>
      <c r="C3000" s="6">
        <v>3.0</v>
      </c>
      <c r="D3000" s="15" t="s">
        <v>4782</v>
      </c>
      <c r="E3000" s="9" t="s">
        <v>4783</v>
      </c>
      <c r="F3000" s="8" t="str">
        <f>IFERROR(__xludf.DUMMYFUNCTION("GOOGLETRANSLATE(D3000,""zh-CN"",""vi"")"),"Cổng núi đơn giản [V]")</f>
        <v>Cổng núi đơn giản [V]</v>
      </c>
      <c r="G3000" s="8" t="str">
        <f>IFERROR(__xludf.DUMMYFUNCTION("GOOGLETRANSLATE(E3000,""zh-CN"",""vi"")"),"Không ai có thể ngờ rằng đây lại là lối vào của một tông phái thiên giới. Chế tạo vật phẩm này sẽ tạo ra một cổng tông phái thông thường. [V]")</f>
        <v>Không ai có thể ngờ rằng đây lại là lối vào của một tông phái thiên giới. Chế tạo vật phẩm này sẽ tạo ra một cổng tông phái thông thường. [V]</v>
      </c>
      <c r="H3000" s="8"/>
      <c r="I3000" s="8"/>
      <c r="J3000" s="8"/>
    </row>
    <row r="3001" ht="21.0" customHeight="1">
      <c r="A3001" s="6">
        <v>11.0</v>
      </c>
      <c r="B3001" s="6">
        <v>1063.0</v>
      </c>
      <c r="C3001" s="6">
        <v>4.0</v>
      </c>
      <c r="D3001" s="15" t="s">
        <v>4784</v>
      </c>
      <c r="E3001" s="9" t="s">
        <v>4785</v>
      </c>
      <c r="F3001" s="8" t="str">
        <f>IFERROR(__xludf.DUMMYFUNCTION("GOOGLETRANSLATE(D3001,""zh-CN"",""vi"")"),"Cổng núi bình thường [V]")</f>
        <v>Cổng núi bình thường [V]</v>
      </c>
      <c r="G3001" s="8" t="str">
        <f>IFERROR(__xludf.DUMMYFUNCTION("GOOGLETRANSLATE(E3001,""zh-CN"",""vi"")"),"Không có gì đặc biệt, hoàn toàn bình thường. Kết hợp lại, chúng tạo thành cổng núi chính thức [V].")</f>
        <v>Không có gì đặc biệt, hoàn toàn bình thường. Kết hợp lại, chúng tạo thành cổng núi chính thức [V].</v>
      </c>
      <c r="H3001" s="8"/>
      <c r="I3001" s="8"/>
      <c r="J3001" s="8"/>
    </row>
    <row r="3002" ht="21.0" customHeight="1">
      <c r="A3002" s="6">
        <v>10.0</v>
      </c>
      <c r="B3002" s="6">
        <v>1063.0</v>
      </c>
      <c r="C3002" s="6">
        <v>5.0</v>
      </c>
      <c r="D3002" s="9" t="s">
        <v>4786</v>
      </c>
      <c r="E3002" s="9" t="s">
        <v>4787</v>
      </c>
      <c r="F3002" s="8" t="str">
        <f>IFERROR(__xludf.DUMMYFUNCTION("GOOGLETRANSLATE(D3002,""zh-CN"",""vi"")"),"Cổng núi chính thức [V]")</f>
        <v>Cổng núi chính thức [V]</v>
      </c>
      <c r="G3002" s="8" t="str">
        <f>IFERROR(__xludf.DUMMYFUNCTION("GOOGLETRANSLATE(E3002,""zh-CN"",""vi"")"),"Hàng năm, nhiều trẻ em đến đây để kiểm tra nguồn gốc tâm linh của mình. Tổng hợp những điều này sẽ tạo ra một cánh cổng núi cổ xưa [V].")</f>
        <v>Hàng năm, nhiều trẻ em đến đây để kiểm tra nguồn gốc tâm linh của mình. Tổng hợp những điều này sẽ tạo ra một cánh cổng núi cổ xưa [V].</v>
      </c>
      <c r="H3002" s="8"/>
      <c r="I3002" s="8"/>
      <c r="J3002" s="8"/>
    </row>
    <row r="3003" ht="21.0" customHeight="1">
      <c r="A3003" s="6">
        <v>10.0</v>
      </c>
      <c r="B3003" s="6">
        <v>1063.0</v>
      </c>
      <c r="C3003" s="6">
        <v>6.0</v>
      </c>
      <c r="D3003" s="15" t="s">
        <v>4788</v>
      </c>
      <c r="E3003" s="9" t="s">
        <v>4789</v>
      </c>
      <c r="F3003" s="8" t="str">
        <f>IFERROR(__xludf.DUMMYFUNCTION("GOOGLETRANSLATE(D3003,""zh-CN"",""vi"")"),"Cổng núi cổ kính và mộc mạc [V]")</f>
        <v>Cổng núi cổ kính và mộc mạc [V]</v>
      </c>
      <c r="G3003" s="8" t="str">
        <f>IFERROR(__xludf.DUMMYFUNCTION("GOOGLETRANSLATE(E3003,""zh-CN"",""vi"")"),"Chỉ khi vượt qua bài kiểm tra, người ta mới có thể chính thức gia nhập Tiên Môn. Tổng hợp những thứ này sẽ tạo ra Môn phái Thanh Sơn [V].")</f>
        <v>Chỉ khi vượt qua bài kiểm tra, người ta mới có thể chính thức gia nhập Tiên Môn. Tổng hợp những thứ này sẽ tạo ra Môn phái Thanh Sơn [V].</v>
      </c>
      <c r="H3003" s="8"/>
      <c r="I3003" s="8"/>
      <c r="J3003" s="8"/>
    </row>
    <row r="3004" ht="21.0" customHeight="1">
      <c r="A3004" s="6">
        <v>10.0</v>
      </c>
      <c r="B3004" s="6">
        <v>1063.0</v>
      </c>
      <c r="C3004" s="6">
        <v>7.0</v>
      </c>
      <c r="D3004" s="15" t="s">
        <v>4790</v>
      </c>
      <c r="E3004" s="9" t="s">
        <v>4791</v>
      </c>
      <c r="F3004" s="8" t="str">
        <f>IFERROR(__xludf.DUMMYFUNCTION("GOOGLETRANSLATE(D3004,""zh-CN"",""vi"")"),"Cổng núi trang nhã [V]")</f>
        <v>Cổng núi trang nhã [V]</v>
      </c>
      <c r="G3004" s="8" t="str">
        <f>IFERROR(__xludf.DUMMYFUNCTION("GOOGLETRANSLATE(E3004,""zh-CN"",""vi"")"),"Các sứ giả cư trú ở đây quyền lực đến nỗi ngay cả hoàng đế cũng không dám xúc phạm họ. (Kết hợp lại, có thể có được cổng đền cổ. [V])")</f>
        <v>Các sứ giả cư trú ở đây quyền lực đến nỗi ngay cả hoàng đế cũng không dám xúc phạm họ. (Kết hợp lại, có thể có được cổng đền cổ. [V])</v>
      </c>
      <c r="H3004" s="8"/>
      <c r="I3004" s="8"/>
      <c r="J3004" s="8"/>
    </row>
    <row r="3005" ht="21.0" customHeight="1">
      <c r="A3005" s="6">
        <v>10.0</v>
      </c>
      <c r="B3005" s="6">
        <v>1063.0</v>
      </c>
      <c r="C3005" s="6">
        <v>8.0</v>
      </c>
      <c r="D3005" s="15" t="s">
        <v>4792</v>
      </c>
      <c r="E3005" s="9" t="s">
        <v>4793</v>
      </c>
      <c r="F3005" s="8" t="str">
        <f>IFERROR(__xludf.DUMMYFUNCTION("GOOGLETRANSLATE(D3005,""zh-CN"",""vi"")"),"Cổng đền cổ [V]")</f>
        <v>Cổng đền cổ [V]</v>
      </c>
      <c r="G3005" s="8" t="str">
        <f>IFERROR(__xludf.DUMMYFUNCTION("GOOGLETRANSLATE(E3005,""zh-CN"",""vi"")"),"Các đồ trang trí của đại sảnh vừa cổ kính vừa tráng lệ. (Kết hợp lại, chúng tạo thành một cánh cổng xuyên không gian. [V])")</f>
        <v>Các đồ trang trí của đại sảnh vừa cổ kính vừa tráng lệ. (Kết hợp lại, chúng tạo thành một cánh cổng xuyên không gian. [V])</v>
      </c>
      <c r="H3005" s="8"/>
      <c r="I3005" s="8"/>
      <c r="J3005" s="8"/>
    </row>
    <row r="3006" ht="21.0" customHeight="1">
      <c r="A3006" s="6">
        <v>10.0</v>
      </c>
      <c r="B3006" s="6">
        <v>1063.0</v>
      </c>
      <c r="C3006" s="6">
        <v>9.0</v>
      </c>
      <c r="D3006" s="15" t="s">
        <v>4794</v>
      </c>
      <c r="E3006" s="9" t="s">
        <v>4795</v>
      </c>
      <c r="F3006" s="8" t="str">
        <f>IFERROR(__xludf.DUMMYFUNCTION("GOOGLETRANSLATE(D3006,""zh-CN"",""vi"")"),"Cổng núi xuyên biên giới [V]")</f>
        <v>Cổng núi xuyên biên giới [V]</v>
      </c>
      <c r="G3006" s="8" t="str">
        <f>IFERROR(__xludf.DUMMYFUNCTION("GOOGLETRANSLATE(E3006,""zh-CN"",""vi"")"),"Chỉ bằng cách vượt qua các lớp trận pháp bảo vệ, người ta mới có thể đến được lối vào thực sự. Việc chế tạo tổ hợp này sẽ tạo ra Cổng Núi Treo [V].")</f>
        <v>Chỉ bằng cách vượt qua các lớp trận pháp bảo vệ, người ta mới có thể đến được lối vào thực sự. Việc chế tạo tổ hợp này sẽ tạo ra Cổng Núi Treo [V].</v>
      </c>
      <c r="H3006" s="8"/>
      <c r="I3006" s="8"/>
      <c r="J3006" s="8"/>
    </row>
    <row r="3007" ht="21.0" customHeight="1">
      <c r="A3007" s="6">
        <v>10.0</v>
      </c>
      <c r="B3007" s="6">
        <v>1063.0</v>
      </c>
      <c r="C3007" s="6">
        <v>10.0</v>
      </c>
      <c r="D3007" s="15" t="s">
        <v>4796</v>
      </c>
      <c r="E3007" s="9" t="s">
        <v>4777</v>
      </c>
      <c r="F3007" s="8" t="str">
        <f>IFERROR(__xludf.DUMMYFUNCTION("GOOGLETRANSLATE(D3007,""zh-CN"",""vi"")"),"Cổng Núi Treo [V]")</f>
        <v>Cổng Núi Treo [V]</v>
      </c>
      <c r="G3007" s="8" t="str">
        <f>IFERROR(__xludf.DUMMYFUNCTION("GOOGLETRANSLATE(E3007,""zh-CN"",""vi"")"),"Điềm tĩnh ngự trị trên cao giữa bầu trời, nó tượng trưng cho sự siêu việt và cao quý của cõi bất tử. Nó đã được tổng hợp đến cấp độ cao nhất.")</f>
        <v>Điềm tĩnh ngự trị trên cao giữa bầu trời, nó tượng trưng cho sự siêu việt và cao quý của cõi bất tử. Nó đã được tổng hợp đến cấp độ cao nhất.</v>
      </c>
      <c r="H3007" s="8"/>
      <c r="I3007" s="8"/>
      <c r="J3007" s="8"/>
    </row>
    <row r="3008" ht="21.0" customHeight="1">
      <c r="A3008" s="6">
        <v>1.0</v>
      </c>
      <c r="B3008" s="6">
        <v>237.0</v>
      </c>
      <c r="C3008" s="6">
        <v>1.0</v>
      </c>
      <c r="D3008" s="15" t="s">
        <v>4797</v>
      </c>
      <c r="E3008" s="9" t="s">
        <v>4798</v>
      </c>
      <c r="F3008" s="8" t="str">
        <f>IFERROR(__xludf.DUMMYFUNCTION("GOOGLETRANSLATE(D3008,""zh-CN"",""vi"")"),"lọ thuốc")</f>
        <v>lọ thuốc</v>
      </c>
      <c r="G3008" s="8" t="str">
        <f>IFERROR(__xludf.DUMMYFUNCTION("GOOGLETRANSLATE(E3008,""zh-CN"",""vi"")"),"Nó có thể làm chậm tốc độ suy giảm dược tính của các loại thuốc, cho phép bảo quản lâu dài. Nó có thể được tổng hợp để tạo ra Vòng tay Ruyi.")</f>
        <v>Nó có thể làm chậm tốc độ suy giảm dược tính của các loại thuốc, cho phép bảo quản lâu dài. Nó có thể được tổng hợp để tạo ra Vòng tay Ruyi.</v>
      </c>
      <c r="H3008" s="8"/>
      <c r="I3008" s="8"/>
      <c r="J3008" s="8"/>
    </row>
    <row r="3009" ht="21.0" customHeight="1">
      <c r="A3009" s="6">
        <v>1.0</v>
      </c>
      <c r="B3009" s="6">
        <v>237.0</v>
      </c>
      <c r="C3009" s="6">
        <v>2.0</v>
      </c>
      <c r="D3009" s="15" t="s">
        <v>4799</v>
      </c>
      <c r="E3009" s="9" t="s">
        <v>4800</v>
      </c>
      <c r="F3009" s="8" t="str">
        <f>IFERROR(__xludf.DUMMYFUNCTION("GOOGLETRANSLATE(D3009,""zh-CN"",""vi"")"),"Vòng tay Ruyi")</f>
        <v>Vòng tay Ruyi</v>
      </c>
      <c r="G3009" s="8" t="str">
        <f>IFERROR(__xludf.DUMMYFUNCTION("GOOGLETRANSLATE(E3009,""zh-CN"",""vi"")"),"Nó có thể tự do thay đổi kích thước, trở thành một công cụ ma thuật tuyệt vời để trừ tà và giữ trong nhà. Khi kết hợp lại, nó tạo thành một chiếc đèn cháy mãi không ngừng.")</f>
        <v>Nó có thể tự do thay đổi kích thước, trở thành một công cụ ma thuật tuyệt vời để trừ tà và giữ trong nhà. Khi kết hợp lại, nó tạo thành một chiếc đèn cháy mãi không ngừng.</v>
      </c>
      <c r="H3009" s="8"/>
      <c r="I3009" s="8"/>
      <c r="J3009" s="8"/>
    </row>
    <row r="3010" ht="21.0" customHeight="1">
      <c r="A3010" s="6">
        <v>1.0</v>
      </c>
      <c r="B3010" s="6">
        <v>237.0</v>
      </c>
      <c r="C3010" s="6">
        <v>3.0</v>
      </c>
      <c r="D3010" s="15" t="s">
        <v>4801</v>
      </c>
      <c r="E3010" s="9" t="s">
        <v>4802</v>
      </c>
      <c r="F3010" s="8" t="str">
        <f>IFERROR(__xludf.DUMMYFUNCTION("GOOGLETRANSLATE(D3010,""zh-CN"",""vi"")"),"Đèn vĩnh cửu")</f>
        <v>Đèn vĩnh cửu</v>
      </c>
      <c r="G3010" s="8" t="str">
        <f>IFERROR(__xludf.DUMMYFUNCTION("GOOGLETRANSLATE(E3010,""zh-CN"",""vi"")"),"Ngọn lửa tím thiêu đốt thế giới, ánh sáng của chúng tỏa sáng vĩnh cửu. Sự tổng hợp của chúng tạo ra Gương Âm Dương.")</f>
        <v>Ngọn lửa tím thiêu đốt thế giới, ánh sáng của chúng tỏa sáng vĩnh cửu. Sự tổng hợp của chúng tạo ra Gương Âm Dương.</v>
      </c>
      <c r="H3010" s="8"/>
      <c r="I3010" s="8"/>
      <c r="J3010" s="8"/>
    </row>
    <row r="3011" ht="21.0" customHeight="1">
      <c r="A3011" s="6">
        <v>1.0</v>
      </c>
      <c r="B3011" s="6">
        <v>237.0</v>
      </c>
      <c r="C3011" s="6">
        <v>4.0</v>
      </c>
      <c r="D3011" s="15" t="s">
        <v>4803</v>
      </c>
      <c r="E3011" s="9" t="s">
        <v>4804</v>
      </c>
      <c r="F3011" s="8" t="str">
        <f>IFERROR(__xludf.DUMMYFUNCTION("GOOGLETRANSLATE(D3011,""zh-CN"",""vi"")"),"Gương Âm Dương")</f>
        <v>Gương Âm Dương</v>
      </c>
      <c r="G3011" s="8" t="str">
        <f>IFERROR(__xludf.DUMMYFUNCTION("GOOGLETRANSLATE(E3011,""zh-CN"",""vi"")"),"Phân biệt Âm Dương, và chiêm nghiệm những bí mật của trời cao. Hợp nhất để có được Mặt nạ Ngàn Mặt.")</f>
        <v>Phân biệt Âm Dương, và chiêm nghiệm những bí mật của trời cao. Hợp nhất để có được Mặt nạ Ngàn Mặt.</v>
      </c>
      <c r="H3011" s="8"/>
      <c r="I3011" s="8"/>
      <c r="J3011" s="8"/>
    </row>
    <row r="3012" ht="21.0" customHeight="1">
      <c r="A3012" s="6">
        <v>1.0</v>
      </c>
      <c r="B3012" s="6">
        <v>237.0</v>
      </c>
      <c r="C3012" s="6">
        <v>5.0</v>
      </c>
      <c r="D3012" s="9" t="s">
        <v>4805</v>
      </c>
      <c r="E3012" s="9" t="s">
        <v>4806</v>
      </c>
      <c r="F3012" s="8" t="str">
        <f>IFERROR(__xludf.DUMMYFUNCTION("GOOGLETRANSLATE(D3012,""zh-CN"",""vi"")"),"Ngàn Khuôn Mặt")</f>
        <v>Ngàn Khuôn Mặt</v>
      </c>
      <c r="G3012" s="8" t="str">
        <f>IFERROR(__xludf.DUMMYFUNCTION("GOOGLETRANSLATE(E3012,""zh-CN"",""vi"")"),"Đoán xem ai đang ở dưới lớp da đó! (Quá trình tổng hợp này sẽ tạo ra một chiếc đèn tráng men)")</f>
        <v>Đoán xem ai đang ở dưới lớp da đó! (Quá trình tổng hợp này sẽ tạo ra một chiếc đèn tráng men)</v>
      </c>
      <c r="H3012" s="8"/>
      <c r="I3012" s="8"/>
      <c r="J3012" s="8"/>
    </row>
    <row r="3013" ht="21.0" customHeight="1">
      <c r="A3013" s="6">
        <v>1.0</v>
      </c>
      <c r="B3013" s="6">
        <v>237.0</v>
      </c>
      <c r="C3013" s="6">
        <v>6.0</v>
      </c>
      <c r="D3013" s="15" t="s">
        <v>4807</v>
      </c>
      <c r="E3013" s="9" t="s">
        <v>4808</v>
      </c>
      <c r="F3013" s="8" t="str">
        <f>IFERROR(__xludf.DUMMYFUNCTION("GOOGLETRANSLATE(D3013,""zh-CN"",""vi"")"),"Đèn pha lê")</f>
        <v>Đèn pha lê</v>
      </c>
      <c r="G3013" s="8" t="str">
        <f>IFERROR(__xludf.DUMMYFUNCTION("GOOGLETRANSLATE(E3013,""zh-CN"",""vi"")"),"Một chiếc cốc nhỏ, chứa đựng nguồn nước vô tận, có khả năng lật đổ trời đất. Kết hợp lại, nó tạo thành chiếc quạt lá chuối.")</f>
        <v>Một chiếc cốc nhỏ, chứa đựng nguồn nước vô tận, có khả năng lật đổ trời đất. Kết hợp lại, nó tạo thành chiếc quạt lá chuối.</v>
      </c>
      <c r="H3013" s="8"/>
      <c r="I3013" s="8"/>
      <c r="J3013" s="8"/>
    </row>
    <row r="3014" ht="21.0" customHeight="1">
      <c r="A3014" s="6">
        <v>1.0</v>
      </c>
      <c r="B3014" s="6">
        <v>237.0</v>
      </c>
      <c r="C3014" s="6">
        <v>7.0</v>
      </c>
      <c r="D3014" s="15" t="s">
        <v>4809</v>
      </c>
      <c r="E3014" s="9" t="s">
        <v>4810</v>
      </c>
      <c r="F3014" s="8" t="str">
        <f>IFERROR(__xludf.DUMMYFUNCTION("GOOGLETRANSLATE(D3014,""zh-CN"",""vi"")"),"Quạt lá chuối")</f>
        <v>Quạt lá chuối</v>
      </c>
      <c r="G3014" s="8" t="str">
        <f>IFERROR(__xludf.DUMMYFUNCTION("GOOGLETRANSLATE(E3014,""zh-CN"",""vi"")"),"Một bảo vật thuộc tính gió, có khả năng khắc chế hiệu quả nhất các bảo vật ma thuật thuộc tính lửa. Có thể chế tạo nó để có được Chiếc Ô Xanh.")</f>
        <v>Một bảo vật thuộc tính gió, có khả năng khắc chế hiệu quả nhất các bảo vật ma thuật thuộc tính lửa. Có thể chế tạo nó để có được Chiếc Ô Xanh.</v>
      </c>
      <c r="H3014" s="8"/>
      <c r="I3014" s="8"/>
      <c r="J3014" s="8"/>
    </row>
    <row r="3015" ht="21.0" customHeight="1">
      <c r="A3015" s="6">
        <v>1.0</v>
      </c>
      <c r="B3015" s="6">
        <v>237.0</v>
      </c>
      <c r="C3015" s="6">
        <v>8.0</v>
      </c>
      <c r="D3015" s="15" t="s">
        <v>4811</v>
      </c>
      <c r="E3015" s="9" t="s">
        <v>4812</v>
      </c>
      <c r="F3015" s="8" t="str">
        <f>IFERROR(__xludf.DUMMYFUNCTION("GOOGLETRANSLATE(D3015,""zh-CN"",""vi"")"),"Ô dù xanh")</f>
        <v>Ô dù xanh</v>
      </c>
      <c r="G3015" s="8" t="str">
        <f>IFERROR(__xludf.DUMMYFUNCTION("GOOGLETRANSLATE(E3015,""zh-CN"",""vi"")"),"Xuất phát từ bầu trời xanh thẳm, nó có thể dẫn dắt sức mạnh bí ẩn và khó lường. Khi kết hợp lại, nó tạo thành Bàn cờ Trời Đất.")</f>
        <v>Xuất phát từ bầu trời xanh thẳm, nó có thể dẫn dắt sức mạnh bí ẩn và khó lường. Khi kết hợp lại, nó tạo thành Bàn cờ Trời Đất.</v>
      </c>
      <c r="H3015" s="8"/>
      <c r="I3015" s="8"/>
      <c r="J3015" s="8"/>
    </row>
    <row r="3016" ht="21.0" customHeight="1">
      <c r="A3016" s="6">
        <v>1.0</v>
      </c>
      <c r="B3016" s="6">
        <v>237.0</v>
      </c>
      <c r="C3016" s="6">
        <v>9.0</v>
      </c>
      <c r="D3016" s="15" t="s">
        <v>4813</v>
      </c>
      <c r="E3016" s="9" t="s">
        <v>4814</v>
      </c>
      <c r="F3016" s="8" t="str">
        <f>IFERROR(__xludf.DUMMYFUNCTION("GOOGLETRANSLATE(D3016,""zh-CN"",""vi"")"),"Bàn cờ Trời Đất")</f>
        <v>Bàn cờ Trời Đất</v>
      </c>
      <c r="G3016" s="8" t="str">
        <f>IFERROR(__xludf.DUMMYFUNCTION("GOOGLETRANSLATE(E3016,""zh-CN"",""vi"")"),"Lấy trời đất làm bàn cờ và muôn loài làm quân cờ, bằng cách kết hợp chúng lại, người ta có thể tạo ra được đài sen.")</f>
        <v>Lấy trời đất làm bàn cờ và muôn loài làm quân cờ, bằng cách kết hợp chúng lại, người ta có thể tạo ra được đài sen.</v>
      </c>
      <c r="H3016" s="8"/>
      <c r="I3016" s="8"/>
      <c r="J3016" s="8"/>
    </row>
    <row r="3017" ht="21.0" customHeight="1">
      <c r="A3017" s="6">
        <v>1.0</v>
      </c>
      <c r="B3017" s="6">
        <v>237.0</v>
      </c>
      <c r="C3017" s="6">
        <v>10.0</v>
      </c>
      <c r="D3017" s="15" t="s">
        <v>4815</v>
      </c>
      <c r="E3017" s="9" t="s">
        <v>4816</v>
      </c>
      <c r="F3017" s="8" t="str">
        <f>IFERROR(__xludf.DUMMYFUNCTION("GOOGLETRANSLATE(D3017,""zh-CN"",""vi"")"),"Ghế sen")</f>
        <v>Ghế sen</v>
      </c>
      <c r="G3017" s="8" t="str">
        <f>IFERROR(__xludf.DUMMYFUNCTION("GOOGLETRANSLATE(E3017,""zh-CN"",""vi"")"),"Bay xa ngàn dặm trong nháy mắt, một kỳ tích biến hình, một phương tiện di chuyển đa năng xuất sắc. Kết hợp lại, nó tạo thành đàn tranh Phục Hi (một loại đàn tranh).")</f>
        <v>Bay xa ngàn dặm trong nháy mắt, một kỳ tích biến hình, một phương tiện di chuyển đa năng xuất sắc. Kết hợp lại, nó tạo thành đàn tranh Phục Hi (một loại đàn tranh).</v>
      </c>
      <c r="H3017" s="8"/>
      <c r="I3017" s="8"/>
      <c r="J3017" s="8"/>
    </row>
    <row r="3018" ht="21.0" customHeight="1">
      <c r="A3018" s="6">
        <v>1.0</v>
      </c>
      <c r="B3018" s="6">
        <v>237.0</v>
      </c>
      <c r="C3018" s="6">
        <v>11.0</v>
      </c>
      <c r="D3018" s="15" t="s">
        <v>4817</v>
      </c>
      <c r="E3018" s="9" t="s">
        <v>4818</v>
      </c>
      <c r="F3018" s="8" t="str">
        <f>IFERROR(__xludf.DUMMYFUNCTION("GOOGLETRANSLATE(D3018,""zh-CN"",""vi"")"),"Phục Hi Tần")</f>
        <v>Phục Hi Tần</v>
      </c>
      <c r="G3018" s="8" t="str">
        <f>IFERROR(__xludf.DUMMYFUNCTION("GOOGLETRANSLATE(E3018,""zh-CN"",""vi"")"),"Những tiếng gầm vang dội xua đuổi ma quỷ và trừ tà—chính là thần khí của Hoàng đế! Có thể tổng hợp nó để tạo ra Lò Luyện Lão Tử.")</f>
        <v>Những tiếng gầm vang dội xua đuổi ma quỷ và trừ tà—chính là thần khí của Hoàng đế! Có thể tổng hợp nó để tạo ra Lò Luyện Lão Tử.</v>
      </c>
      <c r="H3018" s="8"/>
      <c r="I3018" s="8"/>
      <c r="J3018" s="8"/>
    </row>
    <row r="3019" ht="21.0" customHeight="1">
      <c r="A3019" s="6">
        <v>1.0</v>
      </c>
      <c r="B3019" s="6">
        <v>237.0</v>
      </c>
      <c r="C3019" s="6">
        <v>12.0</v>
      </c>
      <c r="D3019" s="15" t="s">
        <v>4819</v>
      </c>
      <c r="E3019" s="9" t="s">
        <v>4820</v>
      </c>
      <c r="F3019" s="8" t="str">
        <f>IFERROR(__xludf.DUMMYFUNCTION("GOOGLETRANSLATE(D3019,""zh-CN"",""vi"")"),"Lò luyện kim Lao Jun")</f>
        <v>Lò luyện kim Lao Jun</v>
      </c>
      <c r="G3019" s="8" t="str">
        <f>IFERROR(__xludf.DUMMYFUNCTION("GOOGLETRANSLATE(E3019,""zh-CN"",""vi"")"),"Là một trong những bảo vật có khả năng đàn áp thế giới, nó giúp tăng cường cả chất lượng và số lượng của các loại thần dược! Tổng hợp nó sẽ tạo ra Xe Bảy Hương.")</f>
        <v>Là một trong những bảo vật có khả năng đàn áp thế giới, nó giúp tăng cường cả chất lượng và số lượng của các loại thần dược! Tổng hợp nó sẽ tạo ra Xe Bảy Hương.</v>
      </c>
      <c r="H3019" s="8"/>
      <c r="I3019" s="8"/>
      <c r="J3019" s="8"/>
    </row>
    <row r="3020" ht="21.0" customHeight="1">
      <c r="A3020" s="6">
        <v>1.0</v>
      </c>
      <c r="B3020" s="6">
        <v>237.0</v>
      </c>
      <c r="C3020" s="6">
        <v>13.0</v>
      </c>
      <c r="D3020" s="15" t="s">
        <v>4821</v>
      </c>
      <c r="E3020" s="9" t="s">
        <v>4822</v>
      </c>
      <c r="F3020" s="8" t="str">
        <f>IFERROR(__xludf.DUMMYFUNCTION("GOOGLETRANSLATE(D3020,""zh-CN"",""vi"")"),"Xe đẩy nước hoa Seven")</f>
        <v>Xe đẩy nước hoa Seven</v>
      </c>
      <c r="G3020" s="8" t="str">
        <f>IFERROR(__xludf.DUMMYFUNCTION("GOOGLETRANSLATE(E3020,""zh-CN"",""vi"")"),"Đây là một trong những bảo vật trấn áp cõi giới, được sử dụng để xua đuổi tà ma, mang lại may mắn và khám phá kho báu, điều bí ẩn. Nó đã được tổng hợp đến cấp độ cao nhất.")</f>
        <v>Đây là một trong những bảo vật trấn áp cõi giới, được sử dụng để xua đuổi tà ma, mang lại may mắn và khám phá kho báu, điều bí ẩn. Nó đã được tổng hợp đến cấp độ cao nhất.</v>
      </c>
      <c r="H3020" s="8"/>
      <c r="I3020" s="8"/>
      <c r="J3020" s="8"/>
    </row>
    <row r="3021" ht="21.0" customHeight="1">
      <c r="A3021" s="6">
        <v>1.0</v>
      </c>
      <c r="B3021" s="6">
        <v>238.0</v>
      </c>
      <c r="C3021" s="6">
        <v>1.0</v>
      </c>
      <c r="D3021" s="9" t="s">
        <v>4823</v>
      </c>
      <c r="E3021" s="9" t="s">
        <v>4824</v>
      </c>
      <c r="F3021" s="8" t="str">
        <f>IFERROR(__xludf.DUMMYFUNCTION("GOOGLETRANSLATE(D3021,""zh-CN"",""vi"")"),"Dịch Kỳ Đan")</f>
        <v>Dịch Kỳ Đan</v>
      </c>
      <c r="G3021" s="8" t="str">
        <f>IFERROR(__xludf.DUMMYFUNCTION("GOOGLETRANSLATE(E3021,""zh-CN"",""vi"")"),"Nó điều hòa khí huyết, giúp con người sống thọ. Khi kết hợp lại, nó tạo thành Viên thuốc Tinh Hoa Dưỡng Thể.")</f>
        <v>Nó điều hòa khí huyết, giúp con người sống thọ. Khi kết hợp lại, nó tạo thành Viên thuốc Tinh Hoa Dưỡng Thể.</v>
      </c>
      <c r="H3021" s="8"/>
      <c r="I3021" s="8"/>
      <c r="J3021" s="8"/>
    </row>
    <row r="3022" ht="21.0" customHeight="1">
      <c r="A3022" s="6">
        <v>1.0</v>
      </c>
      <c r="B3022" s="6">
        <v>238.0</v>
      </c>
      <c r="C3022" s="6">
        <v>2.0</v>
      </c>
      <c r="D3022" s="9" t="s">
        <v>4825</v>
      </c>
      <c r="E3022" s="9" t="s">
        <v>4826</v>
      </c>
      <c r="F3022" s="8" t="str">
        <f>IFERROR(__xludf.DUMMYFUNCTION("GOOGLETRANSLATE(D3022,""zh-CN"",""vi"")"),"Peiyuan Dan")</f>
        <v>Peiyuan Dan</v>
      </c>
      <c r="G3022" s="8" t="str">
        <f>IFERROR(__xludf.DUMMYFUNCTION("GOOGLETRANSLATE(E3022,""zh-CN"",""vi"")"),"Củng cố nền tảng và bồi bổ sinh lực, tăng tốc độ tu luyện của người tu. Việc tổng hợp các thành phần này tạo ra Viên thuốc Khai mở kinh mạch.")</f>
        <v>Củng cố nền tảng và bồi bổ sinh lực, tăng tốc độ tu luyện của người tu. Việc tổng hợp các thành phần này tạo ra Viên thuốc Khai mở kinh mạch.</v>
      </c>
      <c r="H3022" s="8"/>
      <c r="I3022" s="8"/>
      <c r="J3022" s="8"/>
    </row>
    <row r="3023" ht="21.0" customHeight="1">
      <c r="A3023" s="6">
        <v>1.0</v>
      </c>
      <c r="B3023" s="6">
        <v>238.0</v>
      </c>
      <c r="C3023" s="6">
        <v>3.0</v>
      </c>
      <c r="D3023" s="9" t="s">
        <v>4827</v>
      </c>
      <c r="E3023" s="9" t="s">
        <v>4828</v>
      </c>
      <c r="F3023" s="8" t="str">
        <f>IFERROR(__xludf.DUMMYFUNCTION("GOOGLETRANSLATE(D3023,""zh-CN"",""vi"")"),"Tongmai Dan")</f>
        <v>Tongmai Dan</v>
      </c>
      <c r="G3023" s="8" t="str">
        <f>IFERROR(__xludf.DUMMYFUNCTION("GOOGLETRANSLATE(E3023,""zh-CN"",""vi"")"),"Nó giúp người tu luyện khai thông kinh mạch và hoàn thiện năng lực. Việc tổng hợp nó sẽ tạo ra một viên thuốc giải độc.")</f>
        <v>Nó giúp người tu luyện khai thông kinh mạch và hoàn thiện năng lực. Việc tổng hợp nó sẽ tạo ra một viên thuốc giải độc.</v>
      </c>
      <c r="H3023" s="8"/>
      <c r="I3023" s="8"/>
      <c r="J3023" s="8"/>
    </row>
    <row r="3024" ht="21.0" customHeight="1">
      <c r="A3024" s="6">
        <v>1.0</v>
      </c>
      <c r="B3024" s="6">
        <v>238.0</v>
      </c>
      <c r="C3024" s="6">
        <v>4.0</v>
      </c>
      <c r="D3024" s="9" t="s">
        <v>4829</v>
      </c>
      <c r="E3024" s="9" t="s">
        <v>4830</v>
      </c>
      <c r="F3024" s="8" t="str">
        <f>IFERROR(__xludf.DUMMYFUNCTION("GOOGLETRANSLATE(D3024,""zh-CN"",""vi"")"),"Thuốc giải độc")</f>
        <v>Thuốc giải độc</v>
      </c>
      <c r="G3024" s="8" t="str">
        <f>IFERROR(__xludf.DUMMYFUNCTION("GOOGLETRANSLATE(E3024,""zh-CN"",""vi"")"),"Nó có thể xua tan khí độc và sương mù nguy hiểm, trở thành vật phẩm thiết yếu khi đi du hành. Chế tạo nó sẽ thu được Viên thuốc xây dựng nền tảng tinh hoa mặt trăng.")</f>
        <v>Nó có thể xua tan khí độc và sương mù nguy hiểm, trở thành vật phẩm thiết yếu khi đi du hành. Chế tạo nó sẽ thu được Viên thuốc xây dựng nền tảng tinh hoa mặt trăng.</v>
      </c>
      <c r="H3024" s="8"/>
      <c r="I3024" s="8"/>
      <c r="J3024" s="8"/>
    </row>
    <row r="3025" ht="21.0" customHeight="1">
      <c r="A3025" s="6">
        <v>1.0</v>
      </c>
      <c r="B3025" s="6">
        <v>238.0</v>
      </c>
      <c r="C3025" s="6">
        <v>5.0</v>
      </c>
      <c r="D3025" s="9" t="s">
        <v>4831</v>
      </c>
      <c r="E3025" s="9" t="s">
        <v>4832</v>
      </c>
      <c r="F3025" s="8" t="str">
        <f>IFERROR(__xludf.DUMMYFUNCTION("GOOGLETRANSLATE(D3025,""zh-CN"",""vi"")"),"Quỹ Moonlight Foundation - Xây dựng Elixir")</f>
        <v>Quỹ Moonlight Foundation - Xây dựng Elixir</v>
      </c>
      <c r="G3025" s="8" t="str">
        <f>IFERROR(__xludf.DUMMYFUNCTION("GOOGLETRANSLATE(E3025,""zh-CN"",""vi"")"),"Nó chứa đựng sức mạnh của ánh trăng, giúp người tu luyện rèn giũa nền tảng Đạo. Khi kết hợp lại, nó tạo ra Băng Tâm Đan.")</f>
        <v>Nó chứa đựng sức mạnh của ánh trăng, giúp người tu luyện rèn giũa nền tảng Đạo. Khi kết hợp lại, nó tạo ra Băng Tâm Đan.</v>
      </c>
      <c r="H3025" s="8"/>
      <c r="I3025" s="8"/>
      <c r="J3025" s="8"/>
    </row>
    <row r="3026" ht="21.0" customHeight="1">
      <c r="A3026" s="6">
        <v>1.0</v>
      </c>
      <c r="B3026" s="6">
        <v>238.0</v>
      </c>
      <c r="C3026" s="6">
        <v>6.0</v>
      </c>
      <c r="D3026" s="9" t="s">
        <v>4833</v>
      </c>
      <c r="E3026" s="9" t="s">
        <v>4834</v>
      </c>
      <c r="F3026" s="8" t="str">
        <f>IFERROR(__xludf.DUMMYFUNCTION("GOOGLETRANSLATE(D3026,""zh-CN"",""vi"")"),"Bingxin Đan")</f>
        <v>Bingxin Đan</v>
      </c>
      <c r="G3026" s="8" t="str">
        <f>IFERROR(__xludf.DUMMYFUNCTION("GOOGLETRANSLATE(E3026,""zh-CN"",""vi"")"),"Hãy giữ tâm trí bình tĩnh và đừng để bị ảo tưởng đánh lừa. Kết hợp những điều này sẽ tạo ra Viên thuốc Luyện Thể Sấm Tím.")</f>
        <v>Hãy giữ tâm trí bình tĩnh và đừng để bị ảo tưởng đánh lừa. Kết hợp những điều này sẽ tạo ra Viên thuốc Luyện Thể Sấm Tím.</v>
      </c>
      <c r="H3026" s="8"/>
      <c r="I3026" s="8"/>
      <c r="J3026" s="8"/>
    </row>
    <row r="3027" ht="21.0" customHeight="1">
      <c r="A3027" s="6">
        <v>1.0</v>
      </c>
      <c r="B3027" s="6">
        <v>238.0</v>
      </c>
      <c r="C3027" s="6">
        <v>7.0</v>
      </c>
      <c r="D3027" s="9" t="s">
        <v>4835</v>
      </c>
      <c r="E3027" s="9" t="s">
        <v>4836</v>
      </c>
      <c r="F3027" s="8" t="str">
        <f>IFERROR(__xludf.DUMMYFUNCTION("GOOGLETRANSLATE(D3027,""zh-CN"",""vi"")"),"Viên thuốc rèn luyện thể chất sấm sét tím")</f>
        <v>Viên thuốc rèn luyện thể chất sấm sét tím</v>
      </c>
      <c r="G3027" s="8" t="str">
        <f>IFERROR(__xludf.DUMMYFUNCTION("GOOGLETRANSLATE(E3027,""zh-CN"",""vi"")"),"Sử dụng sức mạnh của sấm sét để tôi luyện cơ thể, quá trình này rất đau đớn. Tổng hợp lại sẽ tạo ra Kim Đan Chín Chu kỳ.")</f>
        <v>Sử dụng sức mạnh của sấm sét để tôi luyện cơ thể, quá trình này rất đau đớn. Tổng hợp lại sẽ tạo ra Kim Đan Chín Chu kỳ.</v>
      </c>
      <c r="H3027" s="8"/>
      <c r="I3027" s="8"/>
      <c r="J3027" s="8"/>
    </row>
    <row r="3028" ht="21.0" customHeight="1">
      <c r="A3028" s="6">
        <v>1.0</v>
      </c>
      <c r="B3028" s="6">
        <v>238.0</v>
      </c>
      <c r="C3028" s="6">
        <v>8.0</v>
      </c>
      <c r="D3028" s="9" t="s">
        <v>4837</v>
      </c>
      <c r="E3028" s="9" t="s">
        <v>4838</v>
      </c>
      <c r="F3028" s="8" t="str">
        <f>IFERROR(__xludf.DUMMYFUNCTION("GOOGLETRANSLATE(D3028,""zh-CN"",""vi"")"),"Chín lượt Kim Đan")</f>
        <v>Chín lượt Kim Đan</v>
      </c>
      <c r="G3028" s="8" t="str">
        <f>IFERROR(__xludf.DUMMYFUNCTION("GOOGLETRANSLATE(E3028,""zh-CN"",""vi"")"),"Khi sử dụng trong quá trình đột phá lên giai đoạn Kim Đan, nó có thể tạo thành Kim Đan thượng phẩm. Có thể kết hợp với các nguyên liệu khác để có được Niết Bàn Đan.")</f>
        <v>Khi sử dụng trong quá trình đột phá lên giai đoạn Kim Đan, nó có thể tạo thành Kim Đan thượng phẩm. Có thể kết hợp với các nguyên liệu khác để có được Niết Bàn Đan.</v>
      </c>
      <c r="H3028" s="8"/>
      <c r="I3028" s="8"/>
      <c r="J3028" s="8"/>
    </row>
    <row r="3029" ht="21.0" customHeight="1">
      <c r="A3029" s="6">
        <v>1.0</v>
      </c>
      <c r="B3029" s="6">
        <v>238.0</v>
      </c>
      <c r="C3029" s="6">
        <v>9.0</v>
      </c>
      <c r="D3029" s="9" t="s">
        <v>4839</v>
      </c>
      <c r="E3029" s="9" t="s">
        <v>4840</v>
      </c>
      <c r="F3029" s="8" t="str">
        <f>IFERROR(__xludf.DUMMYFUNCTION("GOOGLETRANSLATE(D3029,""zh-CN"",""vi"")"),"viên thuốc niết bàn")</f>
        <v>viên thuốc niết bàn</v>
      </c>
      <c r="G3029" s="8" t="str">
        <f>IFERROR(__xludf.DUMMYFUNCTION("GOOGLETRANSLATE(E3029,""zh-CN"",""vi"")"),"Khi dùng lúc cận kề cái chết, nó ban phước lành tái sinh và đột phá trong tu luyện! Kết hợp lại, ta thu được Ngọc Mỹ Nhân và Băng Băng Đan.")</f>
        <v>Khi dùng lúc cận kề cái chết, nó ban phước lành tái sinh và đột phá trong tu luyện! Kết hợp lại, ta thu được Ngọc Mỹ Nhân và Băng Băng Đan.</v>
      </c>
      <c r="H3029" s="8"/>
      <c r="I3029" s="8"/>
      <c r="J3029" s="8"/>
    </row>
    <row r="3030" ht="21.0" customHeight="1">
      <c r="A3030" s="6">
        <v>1.0</v>
      </c>
      <c r="B3030" s="6">
        <v>238.0</v>
      </c>
      <c r="C3030" s="6">
        <v>10.0</v>
      </c>
      <c r="D3030" s="9" t="s">
        <v>4841</v>
      </c>
      <c r="E3030" s="9" t="s">
        <v>4842</v>
      </c>
      <c r="F3030" s="8" t="str">
        <f>IFERROR(__xludf.DUMMYFUNCTION("GOOGLETRANSLATE(D3030,""zh-CN"",""vi"")"),"Tinh chất dưỡng da mặt ngọc bích và băng giá")</f>
        <v>Tinh chất dưỡng da mặt ngọc bích và băng giá</v>
      </c>
      <c r="G3030" s="8" t="str">
        <f>IFERROR(__xludf.DUMMYFUNCTION("GOOGLETRANSLATE(E3030,""zh-CN"",""vi"")"),"Giữ gìn vẻ ngoài trẻ trung và thoát khỏi sự tàn phá của thời gian. Việc kết hợp các thành phần này sẽ tạo ra Kim Đan Tiên Kim Thân.")</f>
        <v>Giữ gìn vẻ ngoài trẻ trung và thoát khỏi sự tàn phá của thời gian. Việc kết hợp các thành phần này sẽ tạo ra Kim Đan Tiên Kim Thân.</v>
      </c>
      <c r="H3030" s="8"/>
      <c r="I3030" s="8"/>
      <c r="J3030" s="8"/>
    </row>
    <row r="3031" ht="21.0" customHeight="1">
      <c r="A3031" s="6">
        <v>1.0</v>
      </c>
      <c r="B3031" s="6">
        <v>238.0</v>
      </c>
      <c r="C3031" s="6">
        <v>11.0</v>
      </c>
      <c r="D3031" s="9" t="s">
        <v>4843</v>
      </c>
      <c r="E3031" s="9" t="s">
        <v>4844</v>
      </c>
      <c r="F3031" s="8" t="str">
        <f>IFERROR(__xludf.DUMMYFUNCTION("GOOGLETRANSLATE(D3031,""zh-CN"",""vi"")"),"Kim Thân Tiên Viên")</f>
        <v>Kim Thân Tiên Viên</v>
      </c>
      <c r="G3031" s="8" t="str">
        <f>IFERROR(__xludf.DUMMYFUNCTION("GOOGLETRANSLATE(E3031,""zh-CN"",""vi"")"),"Năng lượng dương tối thượng rèn nên một thân thể vàng bất diệt. Kết hợp lại, nó tạo ra Thiên Nguyên Giác Đan.")</f>
        <v>Năng lượng dương tối thượng rèn nên một thân thể vàng bất diệt. Kết hợp lại, nó tạo ra Thiên Nguyên Giác Đan.</v>
      </c>
      <c r="H3031" s="8"/>
      <c r="I3031" s="8"/>
      <c r="J3031" s="8"/>
    </row>
    <row r="3032" ht="21.0" customHeight="1">
      <c r="A3032" s="6">
        <v>1.0</v>
      </c>
      <c r="B3032" s="6">
        <v>238.0</v>
      </c>
      <c r="C3032" s="6">
        <v>12.0</v>
      </c>
      <c r="D3032" s="9" t="s">
        <v>4845</v>
      </c>
      <c r="E3032" s="9" t="s">
        <v>4846</v>
      </c>
      <c r="F3032" s="8" t="str">
        <f>IFERROR(__xludf.DUMMYFUNCTION("GOOGLETRANSLATE(D3032,""zh-CN"",""vi"")"),"Viên thuốc giác ngộ Thiên Nguyên")</f>
        <v>Viên thuốc giác ngộ Thiên Nguyên</v>
      </c>
      <c r="G3032" s="8" t="str">
        <f>IFERROR(__xludf.DUMMYFUNCTION("GOOGLETRANSLATE(E3032,""zh-CN"",""vi"")"),"Một ý nghĩ có thể tạo ra đại dương, một ý nghĩ khác có thể tạo nên dãy núi. Kết hợp chúng lại để có được Tam Hoa Thần Dược.")</f>
        <v>Một ý nghĩ có thể tạo ra đại dương, một ý nghĩ khác có thể tạo nên dãy núi. Kết hợp chúng lại để có được Tam Hoa Thần Dược.</v>
      </c>
      <c r="H3032" s="8"/>
      <c r="I3032" s="8"/>
      <c r="J3032" s="8"/>
    </row>
    <row r="3033" ht="21.0" customHeight="1">
      <c r="A3033" s="6">
        <v>1.0</v>
      </c>
      <c r="B3033" s="6">
        <v>238.0</v>
      </c>
      <c r="C3033" s="6">
        <v>13.0</v>
      </c>
      <c r="D3033" s="9" t="s">
        <v>4847</v>
      </c>
      <c r="E3033" s="9" t="s">
        <v>4848</v>
      </c>
      <c r="F3033" s="8" t="str">
        <f>IFERROR(__xludf.DUMMYFUNCTION("GOOGLETRANSLATE(D3033,""zh-CN"",""vi"")"),"Viên thuốc chuyển hóa thần thánh ba hoa")</f>
        <v>Viên thuốc chuyển hóa thần thánh ba hoa</v>
      </c>
      <c r="G3033" s="8" t="str">
        <f>IFERROR(__xludf.DUMMYFUNCTION("GOOGLETRANSLATE(E3033,""zh-CN"",""vi"")"),"Khi tinh túy, năng lượng và linh hồn đạt đến sự hoàn hảo trọn vẹn, người ta có thể chuyển hóa thành linh hồn. Điều này đã được tổng hợp đến cấp độ cao nhất.")</f>
        <v>Khi tinh túy, năng lượng và linh hồn đạt đến sự hoàn hảo trọn vẹn, người ta có thể chuyển hóa thành linh hồn. Điều này đã được tổng hợp đến cấp độ cao nhất.</v>
      </c>
      <c r="H3033" s="8"/>
      <c r="I3033" s="8"/>
      <c r="J3033" s="8"/>
    </row>
    <row r="3034" ht="21.0" customHeight="1">
      <c r="A3034" s="6">
        <v>1.0</v>
      </c>
      <c r="B3034" s="6">
        <v>239.0</v>
      </c>
      <c r="C3034" s="6">
        <v>1.0</v>
      </c>
      <c r="D3034" s="15" t="s">
        <v>4849</v>
      </c>
      <c r="E3034" s="9" t="s">
        <v>4850</v>
      </c>
      <c r="F3034" s="8" t="str">
        <f>IFERROR(__xludf.DUMMYFUNCTION("GOOGLETRANSLATE(D3034,""zh-CN"",""vi"")"),"Tằm tim băng")</f>
        <v>Tằm tim băng</v>
      </c>
      <c r="G3034" s="8" t="str">
        <f>IFERROR(__xludf.DUMMYFUNCTION("GOOGLETRANSLATE(E3034,""zh-CN"",""vi"")"),"Giáo phái này nuôi dưỡng một số lượng lớn linh thú; tơ của chúng có thể được dùng để chế tạo giáp mềm, có thể kết hợp lại để tạo ra Bướm Tâm Mê.")</f>
        <v>Giáo phái này nuôi dưỡng một số lượng lớn linh thú; tơ của chúng có thể được dùng để chế tạo giáp mềm, có thể kết hợp lại để tạo ra Bướm Tâm Mê.</v>
      </c>
      <c r="H3034" s="8"/>
      <c r="I3034" s="8"/>
      <c r="J3034" s="8"/>
    </row>
    <row r="3035" ht="21.0" customHeight="1">
      <c r="A3035" s="6">
        <v>1.0</v>
      </c>
      <c r="B3035" s="6">
        <v>239.0</v>
      </c>
      <c r="C3035" s="6">
        <v>2.0</v>
      </c>
      <c r="D3035" s="15" t="s">
        <v>4851</v>
      </c>
      <c r="E3035" s="9" t="s">
        <v>4852</v>
      </c>
      <c r="F3035" s="8" t="str">
        <f>IFERROR(__xludf.DUMMYFUNCTION("GOOGLETRANSLATE(D3035,""zh-CN"",""vi"")"),"Con bướm quyến rũ")</f>
        <v>Con bướm quyến rũ</v>
      </c>
      <c r="G3035" s="8" t="str">
        <f>IFERROR(__xludf.DUMMYFUNCTION("GOOGLETRANSLATE(E3035,""zh-CN"",""vi"")"),"Bột của nó là nguyên liệu thiết yếu để sản xuất thuốc gây ảo giác. Nó có thể được tổng hợp để tạo ra các chất có hình dạng giống phân tử.")</f>
        <v>Bột của nó là nguyên liệu thiết yếu để sản xuất thuốc gây ảo giác. Nó có thể được tổng hợp để tạo ra các chất có hình dạng giống phân tử.</v>
      </c>
      <c r="H3035" s="8"/>
      <c r="I3035" s="8"/>
      <c r="J3035" s="8"/>
    </row>
    <row r="3036" ht="21.0" customHeight="1">
      <c r="A3036" s="6">
        <v>1.0</v>
      </c>
      <c r="B3036" s="6">
        <v>239.0</v>
      </c>
      <c r="C3036" s="6">
        <v>3.0</v>
      </c>
      <c r="D3036" s="15" t="s">
        <v>4853</v>
      </c>
      <c r="E3036" s="9" t="s">
        <v>4854</v>
      </c>
      <c r="F3036" s="8" t="str">
        <f>IFERROR(__xludf.DUMMYFUNCTION("GOOGLETRANSLATE(D3036,""zh-CN"",""vi"")"),"Công nhân chuột chũi")</f>
        <v>Công nhân chuột chũi</v>
      </c>
      <c r="G3036" s="8" t="str">
        <f>IFERROR(__xludf.DUMMYFUNCTION("GOOGLETRANSLATE(E3036,""zh-CN"",""vi"")"),"Dưới sự kiểm soát của Tiên Giáo, chúng đã xây dựng nhiều thành phố và đèo. Có thể nhận được một Nhạc Sĩ Mèo bằng cách kết hợp chúng.")</f>
        <v>Dưới sự kiểm soát của Tiên Giáo, chúng đã xây dựng nhiều thành phố và đèo. Có thể nhận được một Nhạc Sĩ Mèo bằng cách kết hợp chúng.</v>
      </c>
      <c r="H3036" s="8"/>
      <c r="I3036" s="8"/>
      <c r="J3036" s="8"/>
    </row>
    <row r="3037" ht="21.0" customHeight="1">
      <c r="A3037" s="6">
        <v>1.0</v>
      </c>
      <c r="B3037" s="6">
        <v>239.0</v>
      </c>
      <c r="C3037" s="6">
        <v>4.0</v>
      </c>
      <c r="D3037" s="15" t="s">
        <v>4855</v>
      </c>
      <c r="E3037" s="9" t="s">
        <v>4856</v>
      </c>
      <c r="F3037" s="8" t="str">
        <f>IFERROR(__xludf.DUMMYFUNCTION("GOOGLETRANSLATE(D3037,""zh-CN"",""vi"")"),"Nhạc sĩ mèo")</f>
        <v>Nhạc sĩ mèo</v>
      </c>
      <c r="G3037" s="8" t="str">
        <f>IFERROR(__xludf.DUMMYFUNCTION("GOOGLETRANSLATE(E3037,""zh-CN"",""vi"")"),"Là những linh thú được thuê phổ biến nhất tại các địa điểm giải trí, chúng có thể chơi đàn tranh và khá nổi tiếng. Chúng có thể được kết hợp để tạo thành một người hầu hình thỏ.")</f>
        <v>Là những linh thú được thuê phổ biến nhất tại các địa điểm giải trí, chúng có thể chơi đàn tranh và khá nổi tiếng. Chúng có thể được kết hợp để tạo thành một người hầu hình thỏ.</v>
      </c>
      <c r="H3037" s="8"/>
      <c r="I3037" s="8"/>
      <c r="J3037" s="8"/>
    </row>
    <row r="3038" ht="21.0" customHeight="1">
      <c r="A3038" s="6">
        <v>1.0</v>
      </c>
      <c r="B3038" s="6">
        <v>239.0</v>
      </c>
      <c r="C3038" s="6">
        <v>5.0</v>
      </c>
      <c r="D3038" s="15" t="s">
        <v>4857</v>
      </c>
      <c r="E3038" s="9" t="s">
        <v>4858</v>
      </c>
      <c r="F3038" s="8" t="str">
        <f>IFERROR(__xludf.DUMMYFUNCTION("GOOGLETRANSLATE(D3038,""zh-CN"",""vi"")"),"Người hầu thỏ")</f>
        <v>Người hầu thỏ</v>
      </c>
      <c r="G3038" s="8" t="str">
        <f>IFERROR(__xludf.DUMMYFUNCTION("GOOGLETRANSLATE(E3038,""zh-CN"",""vi"")"),"Những người hầu gái được các gia đình quý tộc sủng ái nhất. Có thể kết hợp chúng để tạo ra Cua Vàng.")</f>
        <v>Những người hầu gái được các gia đình quý tộc sủng ái nhất. Có thể kết hợp chúng để tạo ra Cua Vàng.</v>
      </c>
      <c r="H3038" s="8"/>
      <c r="I3038" s="8"/>
      <c r="J3038" s="8"/>
    </row>
    <row r="3039" ht="21.0" customHeight="1">
      <c r="A3039" s="6">
        <v>1.0</v>
      </c>
      <c r="B3039" s="6">
        <v>239.0</v>
      </c>
      <c r="C3039" s="6">
        <v>6.0</v>
      </c>
      <c r="D3039" s="15" t="s">
        <v>4859</v>
      </c>
      <c r="E3039" s="9" t="s">
        <v>4860</v>
      </c>
      <c r="F3039" s="8" t="str">
        <f>IFERROR(__xludf.DUMMYFUNCTION("GOOGLETRANSLATE(D3039,""zh-CN"",""vi"")"),"Cua Vàng")</f>
        <v>Cua Vàng</v>
      </c>
      <c r="G3039" s="8" t="str">
        <f>IFERROR(__xludf.DUMMYFUNCTION("GOOGLETRANSLATE(E3039,""zh-CN"",""vi"")"),"Càng của nó là nguyên liệu tuyệt vời để chế tạo các vật phẩm ma thuật bằng kim loại. Việc chế tạo chúng sẽ tạo ra Rùa Già.")</f>
        <v>Càng của nó là nguyên liệu tuyệt vời để chế tạo các vật phẩm ma thuật bằng kim loại. Việc chế tạo chúng sẽ tạo ra Rùa Già.</v>
      </c>
      <c r="H3039" s="8"/>
      <c r="I3039" s="8"/>
      <c r="J3039" s="8"/>
    </row>
    <row r="3040" ht="21.0" customHeight="1">
      <c r="A3040" s="6">
        <v>1.0</v>
      </c>
      <c r="B3040" s="6">
        <v>239.0</v>
      </c>
      <c r="C3040" s="6">
        <v>7.0</v>
      </c>
      <c r="D3040" s="15" t="s">
        <v>4861</v>
      </c>
      <c r="E3040" s="9" t="s">
        <v>4862</v>
      </c>
      <c r="F3040" s="8" t="str">
        <f>IFERROR(__xludf.DUMMYFUNCTION("GOOGLETRANSLATE(D3040,""zh-CN"",""vi"")"),"con rùa già")</f>
        <v>con rùa già</v>
      </c>
      <c r="G3040" s="8" t="str">
        <f>IFERROR(__xludf.DUMMYFUNCTION("GOOGLETRANSLATE(E3040,""zh-CN"",""vi"")"),"Rùa già, rùa già, biết tất cả mọi thứ từ thiên văn học đến địa lý. Kết hợp chúng lại sẽ tạo ra một nàng tiên sứa.")</f>
        <v>Rùa già, rùa già, biết tất cả mọi thứ từ thiên văn học đến địa lý. Kết hợp chúng lại sẽ tạo ra một nàng tiên sứa.</v>
      </c>
      <c r="H3040" s="8"/>
      <c r="I3040" s="8"/>
      <c r="J3040" s="8"/>
    </row>
    <row r="3041" ht="21.0" customHeight="1">
      <c r="A3041" s="6">
        <v>1.0</v>
      </c>
      <c r="B3041" s="6">
        <v>239.0</v>
      </c>
      <c r="C3041" s="6">
        <v>8.0</v>
      </c>
      <c r="D3041" s="15" t="s">
        <v>4863</v>
      </c>
      <c r="E3041" s="9" t="s">
        <v>4864</v>
      </c>
      <c r="F3041" s="8" t="str">
        <f>IFERROR(__xludf.DUMMYFUNCTION("GOOGLETRANSLATE(D3041,""zh-CN"",""vi"")"),"Tiên sứa")</f>
        <v>Tiên sứa</v>
      </c>
      <c r="G3041" s="8" t="str">
        <f>IFERROR(__xludf.DUMMYFUNCTION("GOOGLETRANSLATE(E3041,""zh-CN"",""vi"")"),"Mặc dù trên danh nghĩa là bất tử, nhưng thực chất hắn là một con quỷ. Hắn được các nữ tu sĩ săn đón nhờ phép thuật làm đẹp da. Hắn có thể được tổng hợp để tạo ra Bạch Dược Khỉ.")</f>
        <v>Mặc dù trên danh nghĩa là bất tử, nhưng thực chất hắn là một con quỷ. Hắn được các nữ tu sĩ săn đón nhờ phép thuật làm đẹp da. Hắn có thể được tổng hợp để tạo ra Bạch Dược Khỉ.</v>
      </c>
      <c r="H3041" s="8"/>
      <c r="I3041" s="8"/>
      <c r="J3041" s="8"/>
    </row>
    <row r="3042" ht="21.0" customHeight="1">
      <c r="A3042" s="6">
        <v>1.0</v>
      </c>
      <c r="B3042" s="6">
        <v>239.0</v>
      </c>
      <c r="C3042" s="6">
        <v>9.0</v>
      </c>
      <c r="D3042" s="15" t="s">
        <v>4865</v>
      </c>
      <c r="E3042" s="9" t="s">
        <v>4866</v>
      </c>
      <c r="F3042" s="8" t="str">
        <f>IFERROR(__xludf.DUMMYFUNCTION("GOOGLETRANSLATE(D3042,""zh-CN"",""vi"")"),"Khỉ thuốc trắng")</f>
        <v>Khỉ thuốc trắng</v>
      </c>
      <c r="G3042" s="8" t="str">
        <f>IFERROR(__xludf.DUMMYFUNCTION("GOOGLETRANSLATE(E3042,""zh-CN"",""vi"")"),"Một người hầu hạ cấp thấp trong phòng luyện kim của giáo phái, thành thạo việc nhận biết hàng trăm loại thảo dược và quản lý các trường năng lượng linh lực. Kết hợp những kỹ năng này có thể tạo ra một Phượng Hoàng Xanh.")</f>
        <v>Một người hầu hạ cấp thấp trong phòng luyện kim của giáo phái, thành thạo việc nhận biết hàng trăm loại thảo dược và quản lý các trường năng lượng linh lực. Kết hợp những kỹ năng này có thể tạo ra một Phượng Hoàng Xanh.</v>
      </c>
      <c r="H3042" s="8"/>
      <c r="I3042" s="8"/>
      <c r="J3042" s="8"/>
    </row>
    <row r="3043" ht="21.0" customHeight="1">
      <c r="A3043" s="6">
        <v>1.0</v>
      </c>
      <c r="B3043" s="6">
        <v>239.0</v>
      </c>
      <c r="C3043" s="6">
        <v>10.0</v>
      </c>
      <c r="D3043" s="15" t="s">
        <v>4867</v>
      </c>
      <c r="E3043" s="9" t="s">
        <v>4868</v>
      </c>
      <c r="F3043" s="8" t="str">
        <f>IFERROR(__xludf.DUMMYFUNCTION("GOOGLETRANSLATE(D3043,""zh-CN"",""vi"")"),"Phượng Hoàng Xanh")</f>
        <v>Phượng Hoàng Xanh</v>
      </c>
      <c r="G3043" s="8" t="str">
        <f>IFERROR(__xludf.DUMMYFUNCTION("GOOGLETRANSLATE(E3043,""zh-CN"",""vi"")"),"Một loài thú thần thánh được các tu sĩ thèm muốn, bay vút qua bầu trời với tốc độ hàng nghìn dặm mỗi ngày. Hợp nhất nó sẽ tạo ra Ếch Bách Bảo.")</f>
        <v>Một loài thú thần thánh được các tu sĩ thèm muốn, bay vút qua bầu trời với tốc độ hàng nghìn dặm mỗi ngày. Hợp nhất nó sẽ tạo ra Ếch Bách Bảo.</v>
      </c>
      <c r="H3043" s="8"/>
      <c r="I3043" s="8"/>
      <c r="J3043" s="8"/>
    </row>
    <row r="3044" ht="21.0" customHeight="1">
      <c r="A3044" s="6">
        <v>1.0</v>
      </c>
      <c r="B3044" s="6">
        <v>239.0</v>
      </c>
      <c r="C3044" s="6">
        <v>11.0</v>
      </c>
      <c r="D3044" s="15" t="s">
        <v>4869</v>
      </c>
      <c r="E3044" s="9" t="s">
        <v>4870</v>
      </c>
      <c r="F3044" s="8" t="str">
        <f>IFERROR(__xludf.DUMMYFUNCTION("GOOGLETRANSLATE(D3044,""zh-CN"",""vi"")"),"Bạch Bảo Qua")</f>
        <v>Bạch Bảo Qua</v>
      </c>
      <c r="G3044" s="8" t="str">
        <f>IFERROR(__xludf.DUMMYFUNCTION("GOOGLETRANSLATE(E3044,""zh-CN"",""vi"")"),"Một loài thú thần thoại được các tu sĩ thèm muốn, có khả năng phát hiện dấu vết của các bảo vật gần đó. Tổng hợp nó sẽ tạo ra Tiểu Kỳ Công Khí.")</f>
        <v>Một loài thú thần thoại được các tu sĩ thèm muốn, có khả năng phát hiện dấu vết của các bảo vật gần đó. Tổng hợp nó sẽ tạo ra Tiểu Kỳ Công Khí.</v>
      </c>
      <c r="H3044" s="8"/>
      <c r="I3044" s="8"/>
      <c r="J3044" s="8"/>
    </row>
    <row r="3045" ht="21.0" customHeight="1">
      <c r="A3045" s="6">
        <v>1.0</v>
      </c>
      <c r="B3045" s="6">
        <v>239.0</v>
      </c>
      <c r="C3045" s="6">
        <v>12.0</v>
      </c>
      <c r="D3045" s="15" t="s">
        <v>4871</v>
      </c>
      <c r="E3045" s="9" t="s">
        <v>4872</v>
      </c>
      <c r="F3045" s="8" t="str">
        <f>IFERROR(__xludf.DUMMYFUNCTION("GOOGLETRANSLATE(D3045,""zh-CN"",""vi"")"),"Tiểu Kiều Kỳ")</f>
        <v>Tiểu Kiều Kỳ</v>
      </c>
      <c r="G3045" s="8" t="str">
        <f>IFERROR(__xludf.DUMMYFUNCTION("GOOGLETRANSLATE(E3045,""zh-CN"",""vi"")"),"Một loài thú thần thoại cổ xưa, báu vật của gia tộc. Hình dạng trưởng thành của nó có thể hủy diệt trời đất. Hợp nhất nó sẽ tạo ra một con cáo chín đuôi.")</f>
        <v>Một loài thú thần thoại cổ xưa, báu vật của gia tộc. Hình dạng trưởng thành của nó có thể hủy diệt trời đất. Hợp nhất nó sẽ tạo ra một con cáo chín đuôi.</v>
      </c>
      <c r="H3045" s="8"/>
      <c r="I3045" s="8"/>
      <c r="J3045" s="8"/>
    </row>
    <row r="3046" ht="21.0" customHeight="1">
      <c r="A3046" s="6">
        <v>1.0</v>
      </c>
      <c r="B3046" s="6">
        <v>239.0</v>
      </c>
      <c r="C3046" s="6">
        <v>13.0</v>
      </c>
      <c r="D3046" s="15" t="s">
        <v>4873</v>
      </c>
      <c r="E3046" s="9" t="s">
        <v>4874</v>
      </c>
      <c r="F3046" s="8" t="str">
        <f>IFERROR(__xludf.DUMMYFUNCTION("GOOGLETRANSLATE(D3046,""zh-CN"",""vi"")"),"Cáo chín đuôi")</f>
        <v>Cáo chín đuôi</v>
      </c>
      <c r="G3046" s="8" t="str">
        <f>IFERROR(__xludf.DUMMYFUNCTION("GOOGLETRANSLATE(E3046,""zh-CN"",""vi"")"),"Một loài thú thần thoại cổ xưa, với chín đuôi và chín mạng sống, sự xuất hiện của nó thường là điềm báo lớn cho trời đất. (Đã được tổng hợp đến cấp độ cao nhất.)")</f>
        <v>Một loài thú thần thoại cổ xưa, với chín đuôi và chín mạng sống, sự xuất hiện của nó thường là điềm báo lớn cho trời đất. (Đã được tổng hợp đến cấp độ cao nhất.)</v>
      </c>
      <c r="H3046" s="8"/>
      <c r="I3046" s="8"/>
      <c r="J3046" s="8"/>
    </row>
    <row r="3047" ht="21.0" customHeight="1">
      <c r="A3047" s="6">
        <v>11.0</v>
      </c>
      <c r="B3047" s="6">
        <v>1065.0</v>
      </c>
      <c r="C3047" s="6">
        <v>1.0</v>
      </c>
      <c r="D3047" s="15" t="s">
        <v>4875</v>
      </c>
      <c r="E3047" s="9" t="s">
        <v>4876</v>
      </c>
      <c r="F3047" s="8" t="str">
        <f>IFERROR(__xludf.DUMMYFUNCTION("GOOGLETRANSLATE(D3047,""zh-CN"",""vi"")"),"Áp phích quảng cáo")</f>
        <v>Áp phích quảng cáo</v>
      </c>
      <c r="G3047" s="8" t="str">
        <f>IFERROR(__xludf.DUMMYFUNCTION("GOOGLETRANSLATE(E3047,""zh-CN"",""vi"")"),"Hãy tham gia hội học sinh và phục vụ mọi người! Kết hợp các vật phẩm để nhận được biển báo đường phố quảng cáo.")</f>
        <v>Hãy tham gia hội học sinh và phục vụ mọi người! Kết hợp các vật phẩm để nhận được biển báo đường phố quảng cáo.</v>
      </c>
      <c r="H3047" s="8"/>
      <c r="I3047" s="8"/>
      <c r="J3047" s="8"/>
    </row>
    <row r="3048" ht="21.0" customHeight="1">
      <c r="A3048" s="6">
        <v>11.0</v>
      </c>
      <c r="B3048" s="6">
        <v>1065.0</v>
      </c>
      <c r="C3048" s="6">
        <v>2.0</v>
      </c>
      <c r="D3048" s="15" t="s">
        <v>4877</v>
      </c>
      <c r="E3048" s="9" t="s">
        <v>4878</v>
      </c>
      <c r="F3048" s="8" t="str">
        <f>IFERROR(__xludf.DUMMYFUNCTION("GOOGLETRANSLATE(D3048,""zh-CN"",""vi"")"),"Biển báo đường phố quảng cáo")</f>
        <v>Biển báo đường phố quảng cáo</v>
      </c>
      <c r="G3048" s="8" t="str">
        <f>IFERROR(__xludf.DUMMYFUNCTION("GOOGLETRANSLATE(E3048,""zh-CN"",""vi"")"),"Hội đồng học sinh ở đây, các câu lạc bộ ở đằng kia, tòa nhà giảng dạy ở đây~ Kết hợp chúng lại để tạo thành biển báo sự kiện.")</f>
        <v>Hội đồng học sinh ở đây, các câu lạc bộ ở đằng kia, tòa nhà giảng dạy ở đây~ Kết hợp chúng lại để tạo thành biển báo sự kiện.</v>
      </c>
      <c r="H3048" s="8"/>
      <c r="I3048" s="8"/>
      <c r="J3048" s="8"/>
    </row>
    <row r="3049" ht="21.0" customHeight="1">
      <c r="A3049" s="6">
        <v>11.0</v>
      </c>
      <c r="B3049" s="6">
        <v>1065.0</v>
      </c>
      <c r="C3049" s="6">
        <v>3.0</v>
      </c>
      <c r="D3049" s="15" t="s">
        <v>4879</v>
      </c>
      <c r="E3049" s="9" t="s">
        <v>4880</v>
      </c>
      <c r="F3049" s="8" t="str">
        <f>IFERROR(__xludf.DUMMYFUNCTION("GOOGLETRANSLATE(D3049,""zh-CN"",""vi"")"),"Biển báo đường sự kiện")</f>
        <v>Biển báo đường sự kiện</v>
      </c>
      <c r="G3049" s="8" t="str">
        <f>IFERROR(__xludf.DUMMYFUNCTION("GOOGLETRANSLATE(E3049,""zh-CN"",""vi"")"),"Bản đồ trường học rất dễ nhận biết~ Kết hợp chúng lại để tạo thành giá đỡ áp phích gấp gọn.")</f>
        <v>Bản đồ trường học rất dễ nhận biết~ Kết hợp chúng lại để tạo thành giá đỡ áp phích gấp gọn.</v>
      </c>
      <c r="H3049" s="8"/>
      <c r="I3049" s="8"/>
      <c r="J3049" s="8"/>
    </row>
    <row r="3050" ht="21.0" customHeight="1">
      <c r="A3050" s="6">
        <v>11.0</v>
      </c>
      <c r="B3050" s="6">
        <v>1065.0</v>
      </c>
      <c r="C3050" s="6">
        <v>4.0</v>
      </c>
      <c r="D3050" s="15" t="s">
        <v>4881</v>
      </c>
      <c r="E3050" s="9" t="s">
        <v>4882</v>
      </c>
      <c r="F3050" s="8" t="str">
        <f>IFERROR(__xludf.DUMMYFUNCTION("GOOGLETRANSLATE(D3050,""zh-CN"",""vi"")"),"Giá đỡ áp phích gấp gọn")</f>
        <v>Giá đỡ áp phích gấp gọn</v>
      </c>
      <c r="G3050" s="8" t="str">
        <f>IFERROR(__xludf.DUMMYFUNCTION("GOOGLETRANSLATE(E3050,""zh-CN"",""vi"")"),"Các nữ sinh viên năm cuối xinh đẹp và các nam sinh viên năm cuối điển trai đang chờ bạn hợp tác cùng~ Kết hợp họ để tạo thành bảng tuyển dụng.")</f>
        <v>Các nữ sinh viên năm cuối xinh đẹp và các nam sinh viên năm cuối điển trai đang chờ bạn hợp tác cùng~ Kết hợp họ để tạo thành bảng tuyển dụng.</v>
      </c>
      <c r="H3050" s="8"/>
      <c r="I3050" s="8"/>
      <c r="J3050" s="8"/>
    </row>
    <row r="3051" ht="21.0" customHeight="1">
      <c r="A3051" s="6">
        <v>10.0</v>
      </c>
      <c r="B3051" s="6">
        <v>1065.0</v>
      </c>
      <c r="C3051" s="6">
        <v>5.0</v>
      </c>
      <c r="D3051" s="15" t="s">
        <v>4883</v>
      </c>
      <c r="E3051" s="9" t="s">
        <v>4884</v>
      </c>
      <c r="F3051" s="8" t="str">
        <f>IFERROR(__xludf.DUMMYFUNCTION("GOOGLETRANSLATE(D3051,""zh-CN"",""vi"")"),"Bảng tuyển dụng")</f>
        <v>Bảng tuyển dụng</v>
      </c>
      <c r="G3051" s="8" t="str">
        <f>IFERROR(__xludf.DUMMYFUNCTION("GOOGLETRANSLATE(E3051,""zh-CN"",""vi"")"),"Mỗi sinh viên mới đều nhận được sự chào đón nồng nhiệt và sự quan tâm từ các sinh viên khóa trên. (Sau đó, họ đã lập ra một bộ đếm tuyển sinh.)")</f>
        <v>Mỗi sinh viên mới đều nhận được sự chào đón nồng nhiệt và sự quan tâm từ các sinh viên khóa trên. (Sau đó, họ đã lập ra một bộ đếm tuyển sinh.)</v>
      </c>
      <c r="H3051" s="8"/>
      <c r="I3051" s="8"/>
      <c r="J3051" s="8"/>
    </row>
    <row r="3052" ht="21.0" customHeight="1">
      <c r="A3052" s="6">
        <v>10.0</v>
      </c>
      <c r="B3052" s="6">
        <v>1065.0</v>
      </c>
      <c r="C3052" s="6">
        <v>6.0</v>
      </c>
      <c r="D3052" s="15" t="s">
        <v>4885</v>
      </c>
      <c r="E3052" s="9" t="s">
        <v>4886</v>
      </c>
      <c r="F3052" s="8" t="str">
        <f>IFERROR(__xludf.DUMMYFUNCTION("GOOGLETRANSLATE(D3052,""zh-CN"",""vi"")"),"Quầy tuyển dụng")</f>
        <v>Quầy tuyển dụng</v>
      </c>
      <c r="G3052" s="8" t="str">
        <f>IFERROR(__xludf.DUMMYFUNCTION("GOOGLETRANSLATE(E3052,""zh-CN"",""vi"")"),"Trên bàn có xếp chồng các phiếu khảo sát. (Hoàn thành dữ liệu để có được số lượng người tham gia.)")</f>
        <v>Trên bàn có xếp chồng các phiếu khảo sát. (Hoàn thành dữ liệu để có được số lượng người tham gia.)</v>
      </c>
      <c r="H3052" s="8"/>
      <c r="I3052" s="8"/>
      <c r="J3052" s="8"/>
    </row>
    <row r="3053" ht="21.0" customHeight="1">
      <c r="A3053" s="6">
        <v>10.0</v>
      </c>
      <c r="B3053" s="6">
        <v>1065.0</v>
      </c>
      <c r="C3053" s="6">
        <v>7.0</v>
      </c>
      <c r="D3053" s="15" t="s">
        <v>4887</v>
      </c>
      <c r="E3053" s="9" t="s">
        <v>4888</v>
      </c>
      <c r="F3053" s="8" t="str">
        <f>IFERROR(__xludf.DUMMYFUNCTION("GOOGLETRANSLATE(D3053,""zh-CN"",""vi"")"),"Quầy tuyển dụng")</f>
        <v>Quầy tuyển dụng</v>
      </c>
      <c r="G3053" s="8" t="str">
        <f>IFERROR(__xludf.DUMMYFUNCTION("GOOGLETRANSLATE(E3053,""zh-CN"",""vi"")"),"Hãy điền vào bảng câu hỏi và bạn sẽ nhận được một món quà miễn phí! Kết hợp chúng để nhận được Ban công Tuyển dụng")</f>
        <v>Hãy điền vào bảng câu hỏi và bạn sẽ nhận được một món quà miễn phí! Kết hợp chúng để nhận được Ban công Tuyển dụng</v>
      </c>
      <c r="H3053" s="8"/>
      <c r="I3053" s="8"/>
      <c r="J3053" s="8"/>
    </row>
    <row r="3054" ht="21.0" customHeight="1">
      <c r="A3054" s="6">
        <v>10.0</v>
      </c>
      <c r="B3054" s="6">
        <v>1065.0</v>
      </c>
      <c r="C3054" s="6">
        <v>8.0</v>
      </c>
      <c r="D3054" s="15" t="s">
        <v>4889</v>
      </c>
      <c r="E3054" s="9" t="s">
        <v>4890</v>
      </c>
      <c r="F3054" s="8" t="str">
        <f>IFERROR(__xludf.DUMMYFUNCTION("GOOGLETRANSLATE(D3054,""zh-CN"",""vi"")"),"Tuyển dụng nhân viên mới để trực ban công")</f>
        <v>Tuyển dụng nhân viên mới để trực ban công</v>
      </c>
      <c r="G3054" s="8" t="str">
        <f>IFERROR(__xludf.DUMMYFUNCTION("GOOGLETRANSLATE(E3054,""zh-CN"",""vi"")"),"Trong cái nóng oi bức của mùa hè, bạn có thể nghỉ ngơi thoải mái bên trong. Hãy chế tạo nó để có được một nơi trú mưa dành cho tân binh.")</f>
        <v>Trong cái nóng oi bức của mùa hè, bạn có thể nghỉ ngơi thoải mái bên trong. Hãy chế tạo nó để có được một nơi trú mưa dành cho tân binh.</v>
      </c>
      <c r="H3054" s="8"/>
      <c r="I3054" s="8"/>
      <c r="J3054" s="8"/>
    </row>
    <row r="3055" ht="21.0" customHeight="1">
      <c r="A3055" s="6">
        <v>10.0</v>
      </c>
      <c r="B3055" s="6">
        <v>1065.0</v>
      </c>
      <c r="C3055" s="6">
        <v>9.0</v>
      </c>
      <c r="D3055" s="15" t="s">
        <v>4891</v>
      </c>
      <c r="E3055" s="9" t="s">
        <v>4892</v>
      </c>
      <c r="F3055" s="8" t="str">
        <f>IFERROR(__xludf.DUMMYFUNCTION("GOOGLETRANSLATE(D3055,""zh-CN"",""vi"")"),"Nơi trú mưa dành cho tuyển dụng")</f>
        <v>Nơi trú mưa dành cho tuyển dụng</v>
      </c>
      <c r="G3055" s="8" t="str">
        <f>IFERROR(__xludf.DUMMYFUNCTION("GOOGLETRANSLATE(E3055,""zh-CN"",""vi"")"),"Trời đã tạnh mưa, nhưng sinh viên mới sẽ đến từ đâu? (Tổng hợp để tạo thành một gian tuyển sinh)")</f>
        <v>Trời đã tạnh mưa, nhưng sinh viên mới sẽ đến từ đâu? (Tổng hợp để tạo thành một gian tuyển sinh)</v>
      </c>
      <c r="H3055" s="8"/>
      <c r="I3055" s="8"/>
      <c r="J3055" s="8"/>
    </row>
    <row r="3056" ht="21.0" customHeight="1">
      <c r="A3056" s="6">
        <v>10.0</v>
      </c>
      <c r="B3056" s="6">
        <v>1065.0</v>
      </c>
      <c r="C3056" s="6">
        <v>10.0</v>
      </c>
      <c r="D3056" s="15" t="s">
        <v>4893</v>
      </c>
      <c r="E3056" s="9" t="s">
        <v>4894</v>
      </c>
      <c r="F3056" s="8" t="str">
        <f>IFERROR(__xludf.DUMMYFUNCTION("GOOGLETRANSLATE(D3056,""zh-CN"",""vi"")"),"Gian hàng tuyển dụng")</f>
        <v>Gian hàng tuyển dụng</v>
      </c>
      <c r="G3056" s="8" t="str">
        <f>IFERROR(__xludf.DUMMYFUNCTION("GOOGLETRANSLATE(E3056,""zh-CN"",""vi"")"),"Được sản xuất bởi câu lạc bộ giàu có nhất, nó chứa đầy những thiết bị thú vị. (Đã được tổng hợp ở mức độ cao nhất.)")</f>
        <v>Được sản xuất bởi câu lạc bộ giàu có nhất, nó chứa đầy những thiết bị thú vị. (Đã được tổng hợp ở mức độ cao nhất.)</v>
      </c>
      <c r="H3056" s="8"/>
      <c r="I3056" s="8"/>
      <c r="J3056" s="8"/>
    </row>
    <row r="3057" ht="21.0" customHeight="1">
      <c r="A3057" s="6">
        <v>11.0</v>
      </c>
      <c r="B3057" s="6">
        <v>1066.0</v>
      </c>
      <c r="C3057" s="6">
        <v>1.0</v>
      </c>
      <c r="D3057" s="15" t="s">
        <v>4895</v>
      </c>
      <c r="E3057" s="9" t="s">
        <v>4896</v>
      </c>
      <c r="F3057" s="8" t="str">
        <f>IFERROR(__xludf.DUMMYFUNCTION("GOOGLETRANSLATE(D3057,""zh-CN"",""vi"")"),"Áp phích quảng cáo [V]")</f>
        <v>Áp phích quảng cáo [V]</v>
      </c>
      <c r="G3057" s="8" t="str">
        <f>IFERROR(__xludf.DUMMYFUNCTION("GOOGLETRANSLATE(E3057,""zh-CN"",""vi"")"),"Hãy tham gia hội đồng học sinh và phục vụ mọi người! Hãy làm những biển báo quảng bá đường phố! [V]")</f>
        <v>Hãy tham gia hội đồng học sinh và phục vụ mọi người! Hãy làm những biển báo quảng bá đường phố! [V]</v>
      </c>
      <c r="H3057" s="8"/>
      <c r="I3057" s="8"/>
      <c r="J3057" s="8"/>
    </row>
    <row r="3058" ht="21.0" customHeight="1">
      <c r="A3058" s="6">
        <v>11.0</v>
      </c>
      <c r="B3058" s="6">
        <v>1066.0</v>
      </c>
      <c r="C3058" s="6">
        <v>2.0</v>
      </c>
      <c r="D3058" s="15" t="s">
        <v>4897</v>
      </c>
      <c r="E3058" s="9" t="s">
        <v>4898</v>
      </c>
      <c r="F3058" s="8" t="str">
        <f>IFERROR(__xludf.DUMMYFUNCTION("GOOGLETRANSLATE(D3058,""zh-CN"",""vi"")"),"Biển báo đường phố quảng cáo [V]")</f>
        <v>Biển báo đường phố quảng cáo [V]</v>
      </c>
      <c r="G3058" s="8" t="str">
        <f>IFERROR(__xludf.DUMMYFUNCTION("GOOGLETRANSLATE(E3058,""zh-CN"",""vi"")"),"Hội đồng học sinh ở đây, các câu lạc bộ ở đằng kia, tòa nhà giảng dạy ở đây~ Kết hợp chúng lại để có được biển chỉ dẫn sự kiện [V]")</f>
        <v>Hội đồng học sinh ở đây, các câu lạc bộ ở đằng kia, tòa nhà giảng dạy ở đây~ Kết hợp chúng lại để có được biển chỉ dẫn sự kiện [V]</v>
      </c>
      <c r="H3058" s="8"/>
      <c r="I3058" s="8"/>
      <c r="J3058" s="8"/>
    </row>
    <row r="3059" ht="21.0" customHeight="1">
      <c r="A3059" s="6">
        <v>11.0</v>
      </c>
      <c r="B3059" s="6">
        <v>1066.0</v>
      </c>
      <c r="C3059" s="6">
        <v>3.0</v>
      </c>
      <c r="D3059" s="15" t="s">
        <v>4899</v>
      </c>
      <c r="E3059" s="9" t="s">
        <v>4900</v>
      </c>
      <c r="F3059" s="8" t="str">
        <f>IFERROR(__xludf.DUMMYFUNCTION("GOOGLETRANSLATE(D3059,""zh-CN"",""vi"")"),"Biển báo đường sự kiện [V]")</f>
        <v>Biển báo đường sự kiện [V]</v>
      </c>
      <c r="G3059" s="8" t="str">
        <f>IFERROR(__xludf.DUMMYFUNCTION("GOOGLETRANSLATE(E3059,""zh-CN"",""vi"")"),"Bản đồ trường học rất dễ nhận biết~ Kết hợp các yếu tố để tạo thành giá đỡ áp phích gấp gọn [V]")</f>
        <v>Bản đồ trường học rất dễ nhận biết~ Kết hợp các yếu tố để tạo thành giá đỡ áp phích gấp gọn [V]</v>
      </c>
      <c r="H3059" s="8"/>
      <c r="I3059" s="8"/>
      <c r="J3059" s="8"/>
    </row>
    <row r="3060" ht="21.0" customHeight="1">
      <c r="A3060" s="6">
        <v>11.0</v>
      </c>
      <c r="B3060" s="6">
        <v>1066.0</v>
      </c>
      <c r="C3060" s="6">
        <v>4.0</v>
      </c>
      <c r="D3060" s="15" t="s">
        <v>4901</v>
      </c>
      <c r="E3060" s="9" t="s">
        <v>4902</v>
      </c>
      <c r="F3060" s="8" t="str">
        <f>IFERROR(__xludf.DUMMYFUNCTION("GOOGLETRANSLATE(D3060,""zh-CN"",""vi"")"),"Giá đỡ áp phích gấp gọn [V]")</f>
        <v>Giá đỡ áp phích gấp gọn [V]</v>
      </c>
      <c r="G3060" s="8" t="str">
        <f>IFERROR(__xludf.DUMMYFUNCTION("GOOGLETRANSLATE(E3060,""zh-CN"",""vi"")"),"Các nữ tiền bối xinh đẹp và nam tiền bối điển trai đang chờ bạn làm việc cùng~ Kết hợp họ để tạo thành bảng tuyển dụng [V]")</f>
        <v>Các nữ tiền bối xinh đẹp và nam tiền bối điển trai đang chờ bạn làm việc cùng~ Kết hợp họ để tạo thành bảng tuyển dụng [V]</v>
      </c>
      <c r="H3060" s="8"/>
      <c r="I3060" s="8"/>
      <c r="J3060" s="8"/>
    </row>
    <row r="3061" ht="21.0" customHeight="1">
      <c r="A3061" s="6">
        <v>10.0</v>
      </c>
      <c r="B3061" s="6">
        <v>1066.0</v>
      </c>
      <c r="C3061" s="6">
        <v>5.0</v>
      </c>
      <c r="D3061" s="15" t="s">
        <v>4903</v>
      </c>
      <c r="E3061" s="9" t="s">
        <v>4904</v>
      </c>
      <c r="F3061" s="8" t="str">
        <f>IFERROR(__xludf.DUMMYFUNCTION("GOOGLETRANSLATE(D3061,""zh-CN"",""vi"")"),"Bộ phận tuyển dụng [V]")</f>
        <v>Bộ phận tuyển dụng [V]</v>
      </c>
      <c r="G3061" s="8" t="str">
        <f>IFERROR(__xludf.DUMMYFUNCTION("GOOGLETRANSLATE(E3061,""zh-CN"",""vi"")"),"Mỗi tân sinh viên đều nhận được sự chào đón nồng nhiệt và sự quan tâm từ các sinh viên khóa trên. [Tổng hợp để có được bộ đếm tuyển dụng [V]]")</f>
        <v>Mỗi tân sinh viên đều nhận được sự chào đón nồng nhiệt và sự quan tâm từ các sinh viên khóa trên. [Tổng hợp để có được bộ đếm tuyển dụng [V]]</v>
      </c>
      <c r="H3061" s="8"/>
      <c r="I3061" s="8"/>
      <c r="J3061" s="8"/>
    </row>
    <row r="3062" ht="21.0" customHeight="1">
      <c r="A3062" s="6">
        <v>10.0</v>
      </c>
      <c r="B3062" s="6">
        <v>1066.0</v>
      </c>
      <c r="C3062" s="6">
        <v>6.0</v>
      </c>
      <c r="D3062" s="15" t="s">
        <v>4905</v>
      </c>
      <c r="E3062" s="9" t="s">
        <v>4906</v>
      </c>
      <c r="F3062" s="8" t="str">
        <f>IFERROR(__xludf.DUMMYFUNCTION("GOOGLETRANSLATE(D3062,""zh-CN"",""vi"")"),"Bộ đếm tuyển dụng [V]")</f>
        <v>Bộ đếm tuyển dụng [V]</v>
      </c>
      <c r="G3062" s="8" t="str">
        <f>IFERROR(__xludf.DUMMYFUNCTION("GOOGLETRANSLATE(E3062,""zh-CN"",""vi"")"),"Các chồng phiếu khảo sát được trải ra trên bàn. (Tổng hợp để có được bộ đếm tuyển dụng [V])")</f>
        <v>Các chồng phiếu khảo sát được trải ra trên bàn. (Tổng hợp để có được bộ đếm tuyển dụng [V])</v>
      </c>
      <c r="H3062" s="8"/>
      <c r="I3062" s="8"/>
      <c r="J3062" s="8"/>
    </row>
    <row r="3063" ht="21.0" customHeight="1">
      <c r="A3063" s="6">
        <v>10.0</v>
      </c>
      <c r="B3063" s="6">
        <v>1066.0</v>
      </c>
      <c r="C3063" s="6">
        <v>7.0</v>
      </c>
      <c r="D3063" s="15" t="s">
        <v>4907</v>
      </c>
      <c r="E3063" s="9" t="s">
        <v>4908</v>
      </c>
      <c r="F3063" s="8" t="str">
        <f>IFERROR(__xludf.DUMMYFUNCTION("GOOGLETRANSLATE(D3063,""zh-CN"",""vi"")"),"Bộ đếm tuyển dụng [V]")</f>
        <v>Bộ đếm tuyển dụng [V]</v>
      </c>
      <c r="G3063" s="8" t="str">
        <f>IFERROR(__xludf.DUMMYFUNCTION("GOOGLETRANSLATE(E3063,""zh-CN"",""vi"")"),"Điền vào bảng câu hỏi và bạn sẽ nhận được một món quà miễn phí! Kết hợp chúng để nhận được Ban công Tuyển dụng [V]")</f>
        <v>Điền vào bảng câu hỏi và bạn sẽ nhận được một món quà miễn phí! Kết hợp chúng để nhận được Ban công Tuyển dụng [V]</v>
      </c>
      <c r="H3063" s="8"/>
      <c r="I3063" s="8"/>
      <c r="J3063" s="8"/>
    </row>
    <row r="3064" ht="21.0" customHeight="1">
      <c r="A3064" s="6">
        <v>10.0</v>
      </c>
      <c r="B3064" s="6">
        <v>1066.0</v>
      </c>
      <c r="C3064" s="6">
        <v>8.0</v>
      </c>
      <c r="D3064" s="15" t="s">
        <v>4909</v>
      </c>
      <c r="E3064" s="9" t="s">
        <v>4910</v>
      </c>
      <c r="F3064" s="8" t="str">
        <f>IFERROR(__xludf.DUMMYFUNCTION("GOOGLETRANSLATE(D3064,""zh-CN"",""vi"")"),"Tuyển dụng nhân viên mới cho một mái che ban công [V]")</f>
        <v>Tuyển dụng nhân viên mới cho một mái che ban công [V]</v>
      </c>
      <c r="G3064" s="8" t="str">
        <f>IFERROR(__xludf.DUMMYFUNCTION("GOOGLETRANSLATE(E3064,""zh-CN"",""vi"")"),"Vào một ngày hè nóng nực, bạn có thể nghỉ ngơi thoải mái bên trong. Chế tạo một mái che mưa để chiêu mộ [V].")</f>
        <v>Vào một ngày hè nóng nực, bạn có thể nghỉ ngơi thoải mái bên trong. Chế tạo một mái che mưa để chiêu mộ [V].</v>
      </c>
      <c r="H3064" s="8"/>
      <c r="I3064" s="8"/>
      <c r="J3064" s="8"/>
    </row>
    <row r="3065" ht="21.0" customHeight="1">
      <c r="A3065" s="6">
        <v>10.0</v>
      </c>
      <c r="B3065" s="6">
        <v>1066.0</v>
      </c>
      <c r="C3065" s="6">
        <v>9.0</v>
      </c>
      <c r="D3065" s="15" t="s">
        <v>4911</v>
      </c>
      <c r="E3065" s="9" t="s">
        <v>4912</v>
      </c>
      <c r="F3065" s="8" t="str">
        <f>IFERROR(__xludf.DUMMYFUNCTION("GOOGLETRANSLATE(D3065,""zh-CN"",""vi"")"),"Tuyển dụng nhân viên mới cho mái che mưa [V]")</f>
        <v>Tuyển dụng nhân viên mới cho mái che mưa [V]</v>
      </c>
      <c r="G3065" s="8" t="str">
        <f>IFERROR(__xludf.DUMMYFUNCTION("GOOGLETRANSLATE(E3065,""zh-CN"",""vi"")"),"Trời đã tạnh mưa, nhưng sinh viên mới sẽ đến từ đâu? (Hoàn thành gian hàng tuyển sinh [V])")</f>
        <v>Trời đã tạnh mưa, nhưng sinh viên mới sẽ đến từ đâu? (Hoàn thành gian hàng tuyển sinh [V])</v>
      </c>
      <c r="H3065" s="8"/>
      <c r="I3065" s="8"/>
      <c r="J3065" s="8"/>
    </row>
    <row r="3066" ht="21.0" customHeight="1">
      <c r="A3066" s="6">
        <v>10.0</v>
      </c>
      <c r="B3066" s="6">
        <v>1066.0</v>
      </c>
      <c r="C3066" s="6">
        <v>10.0</v>
      </c>
      <c r="D3066" s="15" t="s">
        <v>4913</v>
      </c>
      <c r="E3066" s="9" t="s">
        <v>4894</v>
      </c>
      <c r="F3066" s="8" t="str">
        <f>IFERROR(__xludf.DUMMYFUNCTION("GOOGLETRANSLATE(D3066,""zh-CN"",""vi"")"),"Gian hàng tuyển dụng [V]")</f>
        <v>Gian hàng tuyển dụng [V]</v>
      </c>
      <c r="G3066" s="8" t="str">
        <f>IFERROR(__xludf.DUMMYFUNCTION("GOOGLETRANSLATE(E3066,""zh-CN"",""vi"")"),"Được sản xuất bởi câu lạc bộ giàu có nhất, nó chứa đầy những thiết bị thú vị. (Đã được tổng hợp ở mức độ cao nhất.)")</f>
        <v>Được sản xuất bởi câu lạc bộ giàu có nhất, nó chứa đầy những thiết bị thú vị. (Đã được tổng hợp ở mức độ cao nhất.)</v>
      </c>
      <c r="H3066" s="8"/>
      <c r="I3066" s="8"/>
      <c r="J3066" s="8"/>
    </row>
    <row r="3067" ht="21.0" customHeight="1">
      <c r="A3067" s="6">
        <v>1.0</v>
      </c>
      <c r="B3067" s="6">
        <v>242.0</v>
      </c>
      <c r="C3067" s="6">
        <v>1.0</v>
      </c>
      <c r="D3067" s="15" t="s">
        <v>4914</v>
      </c>
      <c r="E3067" s="9" t="s">
        <v>4915</v>
      </c>
      <c r="F3067" s="8" t="str">
        <f>IFERROR(__xludf.DUMMYFUNCTION("GOOGLETRANSLATE(D3067,""zh-CN"",""vi"")"),"bút chì")</f>
        <v>bút chì</v>
      </c>
      <c r="G3067" s="8" t="str">
        <f>IFERROR(__xludf.DUMMYFUNCTION("GOOGLETRANSLATE(E3067,""zh-CN"",""vi"")"),"Những dụng cụ cơ bản để tạo nên phong cảnh đẹp. Tự chế tạo bút chì bấm.")</f>
        <v>Những dụng cụ cơ bản để tạo nên phong cảnh đẹp. Tự chế tạo bút chì bấm.</v>
      </c>
      <c r="H3067" s="8"/>
      <c r="I3067" s="8"/>
      <c r="J3067" s="8"/>
    </row>
    <row r="3068" ht="21.0" customHeight="1">
      <c r="A3068" s="6">
        <v>1.0</v>
      </c>
      <c r="B3068" s="6">
        <v>242.0</v>
      </c>
      <c r="C3068" s="6">
        <v>2.0</v>
      </c>
      <c r="D3068" s="15" t="s">
        <v>4916</v>
      </c>
      <c r="E3068" s="9" t="s">
        <v>4917</v>
      </c>
      <c r="F3068" s="8" t="str">
        <f>IFERROR(__xludf.DUMMYFUNCTION("GOOGLETRANSLATE(D3068,""zh-CN"",""vi"")"),"Bút chì cơ khí")</f>
        <v>Bút chì cơ khí</v>
      </c>
      <c r="G3068" s="8" t="str">
        <f>IFERROR(__xludf.DUMMYFUNCTION("GOOGLETRANSLATE(E3068,""zh-CN"",""vi"")"),"Âm thanh đáng sợ nhất chính là tiếng ""cạch"". (Quá trình chế tạo sẽ cho ra cục tẩy hình ếch.)")</f>
        <v>Âm thanh đáng sợ nhất chính là tiếng "cạch". (Quá trình chế tạo sẽ cho ra cục tẩy hình ếch.)</v>
      </c>
      <c r="H3068" s="8"/>
      <c r="I3068" s="8"/>
      <c r="J3068" s="8"/>
    </row>
    <row r="3069" ht="21.0" customHeight="1">
      <c r="A3069" s="6">
        <v>1.0</v>
      </c>
      <c r="B3069" s="6">
        <v>242.0</v>
      </c>
      <c r="C3069" s="6">
        <v>3.0</v>
      </c>
      <c r="D3069" s="15" t="s">
        <v>4918</v>
      </c>
      <c r="E3069" s="9" t="s">
        <v>4919</v>
      </c>
      <c r="F3069" s="8" t="str">
        <f>IFERROR(__xludf.DUMMYFUNCTION("GOOGLETRANSLATE(D3069,""zh-CN"",""vi"")"),"Tẩy Guagua")</f>
        <v>Tẩy Guagua</v>
      </c>
      <c r="G3069" s="8" t="str">
        <f>IFERROR(__xludf.DUMMYFUNCTION("GOOGLETRANSLATE(E3069,""zh-CN"",""vi"")"),"Cục tẩy kêu cót két phát ra âm thanh khi bạn tẩy! Kết hợp nó lại để tạo thành kéo.")</f>
        <v>Cục tẩy kêu cót két phát ra âm thanh khi bạn tẩy! Kết hợp nó lại để tạo thành kéo.</v>
      </c>
      <c r="H3069" s="8"/>
      <c r="I3069" s="8"/>
      <c r="J3069" s="8"/>
    </row>
    <row r="3070" ht="21.0" customHeight="1">
      <c r="A3070" s="6">
        <v>1.0</v>
      </c>
      <c r="B3070" s="6">
        <v>242.0</v>
      </c>
      <c r="C3070" s="6">
        <v>4.0</v>
      </c>
      <c r="D3070" s="15" t="s">
        <v>4920</v>
      </c>
      <c r="E3070" s="9" t="s">
        <v>4921</v>
      </c>
      <c r="F3070" s="8" t="str">
        <f>IFERROR(__xludf.DUMMYFUNCTION("GOOGLETRANSLATE(D3070,""zh-CN"",""vi"")"),"Kéo")</f>
        <v>Kéo</v>
      </c>
      <c r="G3070" s="8" t="str">
        <f>IFERROR(__xludf.DUMMYFUNCTION("GOOGLETRANSLATE(E3070,""zh-CN"",""vi"")"),"Cắt giấy và thể hiện sự sáng tạo của bạn. Ghép các mảnh giấy lại với nhau để tạo thành một chiếc thước kẻ.")</f>
        <v>Cắt giấy và thể hiện sự sáng tạo của bạn. Ghép các mảnh giấy lại với nhau để tạo thành một chiếc thước kẻ.</v>
      </c>
      <c r="H3070" s="8"/>
      <c r="I3070" s="8"/>
      <c r="J3070" s="8"/>
    </row>
    <row r="3071" ht="21.0" customHeight="1">
      <c r="A3071" s="6">
        <v>1.0</v>
      </c>
      <c r="B3071" s="6">
        <v>242.0</v>
      </c>
      <c r="C3071" s="6">
        <v>5.0</v>
      </c>
      <c r="D3071" s="15" t="s">
        <v>4922</v>
      </c>
      <c r="E3071" s="9" t="s">
        <v>4923</v>
      </c>
      <c r="F3071" s="8" t="str">
        <f>IFERROR(__xludf.DUMMYFUNCTION("GOOGLETRANSLATE(D3071,""zh-CN"",""vi"")"),"cái thước kẻ")</f>
        <v>cái thước kẻ</v>
      </c>
      <c r="G3071" s="8" t="str">
        <f>IFERROR(__xludf.DUMMYFUNCTION("GOOGLETRANSLATE(E3071,""zh-CN"",""vi"")"),"Đo chiều dài giúp giải quyết vấn đề. Một công cụ kết hợp để đo góc.")</f>
        <v>Đo chiều dài giúp giải quyết vấn đề. Một công cụ kết hợp để đo góc.</v>
      </c>
      <c r="H3071" s="8"/>
      <c r="I3071" s="8"/>
      <c r="J3071" s="8"/>
    </row>
    <row r="3072" ht="21.0" customHeight="1">
      <c r="A3072" s="6">
        <v>1.0</v>
      </c>
      <c r="B3072" s="6">
        <v>242.0</v>
      </c>
      <c r="C3072" s="6">
        <v>6.0</v>
      </c>
      <c r="D3072" s="15" t="s">
        <v>4924</v>
      </c>
      <c r="E3072" s="9" t="s">
        <v>4925</v>
      </c>
      <c r="F3072" s="8" t="str">
        <f>IFERROR(__xludf.DUMMYFUNCTION("GOOGLETRANSLATE(D3072,""zh-CN"",""vi"")"),"Thước đo góc")</f>
        <v>Thước đo góc</v>
      </c>
      <c r="G3072" s="8" t="str">
        <f>IFERROR(__xludf.DUMMYFUNCTION("GOOGLETRANSLATE(E3072,""zh-CN"",""vi"")"),"Đã đến lúc giải lại câu đố hình tam giác. Kết hợp các thành phần để tạo thành một chiếc compa.")</f>
        <v>Đã đến lúc giải lại câu đố hình tam giác. Kết hợp các thành phần để tạo thành một chiếc compa.</v>
      </c>
      <c r="H3072" s="8"/>
      <c r="I3072" s="8"/>
      <c r="J3072" s="8"/>
    </row>
    <row r="3073" ht="21.0" customHeight="1">
      <c r="A3073" s="6">
        <v>1.0</v>
      </c>
      <c r="B3073" s="6">
        <v>242.0</v>
      </c>
      <c r="C3073" s="6">
        <v>7.0</v>
      </c>
      <c r="D3073" s="15" t="s">
        <v>4926</v>
      </c>
      <c r="E3073" s="9" t="s">
        <v>4927</v>
      </c>
      <c r="F3073" s="8" t="str">
        <f>IFERROR(__xludf.DUMMYFUNCTION("GOOGLETRANSLATE(D3073,""zh-CN"",""vi"")"),"la bàn")</f>
        <v>la bàn</v>
      </c>
      <c r="G3073" s="8" t="str">
        <f>IFERROR(__xludf.DUMMYFUNCTION("GOOGLETRANSLATE(E3073,""zh-CN"",""vi"")"),"Nếu ruột bút bị hỏng, đó sẽ là một vấn đề. Hãy tự chế tạo một cuốn sổ tay từ ruột bút đó.")</f>
        <v>Nếu ruột bút bị hỏng, đó sẽ là một vấn đề. Hãy tự chế tạo một cuốn sổ tay từ ruột bút đó.</v>
      </c>
      <c r="H3073" s="8"/>
      <c r="I3073" s="8"/>
      <c r="J3073" s="8"/>
    </row>
    <row r="3074" ht="21.0" customHeight="1">
      <c r="A3074" s="6">
        <v>1.0</v>
      </c>
      <c r="B3074" s="6">
        <v>242.0</v>
      </c>
      <c r="C3074" s="6">
        <v>8.0</v>
      </c>
      <c r="D3074" s="15" t="s">
        <v>4928</v>
      </c>
      <c r="E3074" s="9" t="s">
        <v>4929</v>
      </c>
      <c r="F3074" s="8" t="str">
        <f>IFERROR(__xludf.DUMMYFUNCTION("GOOGLETRANSLATE(D3074,""zh-CN"",""vi"")"),"sổ tay")</f>
        <v>sổ tay</v>
      </c>
      <c r="G3074" s="8" t="str">
        <f>IFERROR(__xludf.DUMMYFUNCTION("GOOGLETRANSLATE(E3074,""zh-CN"",""vi"")"),"Ẩn sâu trong những trang giấy mỏng manh của cuốn sổ tay là những bí mật thâm sâu. (Hoàn thành quy trình để nhận được một chiếc dập ghim.)")</f>
        <v>Ẩn sâu trong những trang giấy mỏng manh của cuốn sổ tay là những bí mật thâm sâu. (Hoàn thành quy trình để nhận được một chiếc dập ghim.)</v>
      </c>
      <c r="H3074" s="8"/>
      <c r="I3074" s="8"/>
      <c r="J3074" s="8"/>
    </row>
    <row r="3075" ht="21.0" customHeight="1">
      <c r="A3075" s="6">
        <v>1.0</v>
      </c>
      <c r="B3075" s="6">
        <v>242.0</v>
      </c>
      <c r="C3075" s="6">
        <v>9.0</v>
      </c>
      <c r="D3075" s="15" t="s">
        <v>4930</v>
      </c>
      <c r="E3075" s="9" t="s">
        <v>4931</v>
      </c>
      <c r="F3075" s="8" t="str">
        <f>IFERROR(__xludf.DUMMYFUNCTION("GOOGLETRANSLATE(D3075,""zh-CN"",""vi"")"),"máy dập ghim")</f>
        <v>máy dập ghim</v>
      </c>
      <c r="G3075" s="8" t="str">
        <f>IFERROR(__xludf.DUMMYFUNCTION("GOOGLETRANSLATE(E3075,""zh-CN"",""vi"")"),"Niềm vui khi sử dụng chiếc dập ghim không chỉ nằm ở chính chiếc dập ghim. Hãy tự tay làm một chiếc hộp đựng bút chì.")</f>
        <v>Niềm vui khi sử dụng chiếc dập ghim không chỉ nằm ở chính chiếc dập ghim. Hãy tự tay làm một chiếc hộp đựng bút chì.</v>
      </c>
      <c r="H3075" s="8"/>
      <c r="I3075" s="8"/>
      <c r="J3075" s="8"/>
    </row>
    <row r="3076" ht="21.0" customHeight="1">
      <c r="A3076" s="6">
        <v>1.0</v>
      </c>
      <c r="B3076" s="6">
        <v>242.0</v>
      </c>
      <c r="C3076" s="6">
        <v>10.0</v>
      </c>
      <c r="D3076" s="15" t="s">
        <v>4932</v>
      </c>
      <c r="E3076" s="9" t="s">
        <v>4933</v>
      </c>
      <c r="F3076" s="8" t="str">
        <f>IFERROR(__xludf.DUMMYFUNCTION("GOOGLETRANSLATE(D3076,""zh-CN"",""vi"")"),"hộp bút chì")</f>
        <v>hộp bút chì</v>
      </c>
      <c r="G3076" s="8" t="str">
        <f>IFERROR(__xludf.DUMMYFUNCTION("GOOGLETRANSLATE(E3076,""zh-CN"",""vi"")"),"Chúng ta không thể so sánh văn phòng phẩm với thành tích học tập! Hãy kết hợp chúng lại để có được một chiếc máy tính.")</f>
        <v>Chúng ta không thể so sánh văn phòng phẩm với thành tích học tập! Hãy kết hợp chúng lại để có được một chiếc máy tính.</v>
      </c>
      <c r="H3076" s="8"/>
      <c r="I3076" s="8"/>
      <c r="J3076" s="8"/>
    </row>
    <row r="3077" ht="21.0" customHeight="1">
      <c r="A3077" s="6">
        <v>1.0</v>
      </c>
      <c r="B3077" s="6">
        <v>242.0</v>
      </c>
      <c r="C3077" s="6">
        <v>11.0</v>
      </c>
      <c r="D3077" s="15" t="s">
        <v>4934</v>
      </c>
      <c r="E3077" s="9" t="s">
        <v>4935</v>
      </c>
      <c r="F3077" s="8" t="str">
        <f>IFERROR(__xludf.DUMMYFUNCTION("GOOGLETRANSLATE(D3077,""zh-CN"",""vi"")"),"máy tính")</f>
        <v>máy tính</v>
      </c>
      <c r="G3077" s="8" t="str">
        <f>IFERROR(__xludf.DUMMYFUNCTION("GOOGLETRANSLATE(E3077,""zh-CN"",""vi"")"),"Mặc dù tôi có nó, nhưng tôi không thể sử dụng nó trong kỳ thi. Tôi đã tổng hợp nó để có được một chiếc cặp sách.")</f>
        <v>Mặc dù tôi có nó, nhưng tôi không thể sử dụng nó trong kỳ thi. Tôi đã tổng hợp nó để có được một chiếc cặp sách.</v>
      </c>
      <c r="H3077" s="8"/>
      <c r="I3077" s="8"/>
      <c r="J3077" s="8"/>
    </row>
    <row r="3078" ht="21.0" customHeight="1">
      <c r="A3078" s="6">
        <v>1.0</v>
      </c>
      <c r="B3078" s="6">
        <v>242.0</v>
      </c>
      <c r="C3078" s="6">
        <v>12.0</v>
      </c>
      <c r="D3078" s="15" t="s">
        <v>4936</v>
      </c>
      <c r="E3078" s="9" t="s">
        <v>4937</v>
      </c>
      <c r="F3078" s="8" t="str">
        <f>IFERROR(__xludf.DUMMYFUNCTION("GOOGLETRANSLATE(D3078,""zh-CN"",""vi"")"),"cái túi")</f>
        <v>cái túi</v>
      </c>
      <c r="G3078" s="8" t="str">
        <f>IFERROR(__xludf.DUMMYFUNCTION("GOOGLETRANSLATE(E3078,""zh-CN"",""vi"")"),"Một chiếc ba lô thật ngầu sẽ giúp bạn trở thành người nổi bật trong lớp. (Hãy tự làm một chiếc bảng đen nhỏ.)")</f>
        <v>Một chiếc ba lô thật ngầu sẽ giúp bạn trở thành người nổi bật trong lớp. (Hãy tự làm một chiếc bảng đen nhỏ.)</v>
      </c>
      <c r="H3078" s="8"/>
      <c r="I3078" s="8"/>
      <c r="J3078" s="8"/>
    </row>
    <row r="3079" ht="21.0" customHeight="1">
      <c r="A3079" s="6">
        <v>1.0</v>
      </c>
      <c r="B3079" s="6">
        <v>242.0</v>
      </c>
      <c r="C3079" s="6">
        <v>13.0</v>
      </c>
      <c r="D3079" s="15" t="s">
        <v>4938</v>
      </c>
      <c r="E3079" s="9" t="s">
        <v>4939</v>
      </c>
      <c r="F3079" s="8" t="str">
        <f>IFERROR(__xludf.DUMMYFUNCTION("GOOGLETRANSLATE(D3079,""zh-CN"",""vi"")"),"bảng đen nhỏ")</f>
        <v>bảng đen nhỏ</v>
      </c>
      <c r="G3079" s="8" t="str">
        <f>IFERROR(__xludf.DUMMYFUNCTION("GOOGLETRANSLATE(E3079,""zh-CN"",""vi"")"),"Đôi khi, bảng đen cũng có thể trở thành nơi để vẽ nguệch ngoạc và phác họa. (Đã được tổng hợp đến mức cao nhất)")</f>
        <v>Đôi khi, bảng đen cũng có thể trở thành nơi để vẽ nguệch ngoạc và phác họa. (Đã được tổng hợp đến mức cao nhất)</v>
      </c>
      <c r="H3079" s="8"/>
      <c r="I3079" s="8"/>
      <c r="J3079" s="8"/>
    </row>
    <row r="3080" ht="21.0" customHeight="1">
      <c r="A3080" s="6">
        <v>1.0</v>
      </c>
      <c r="B3080" s="6">
        <v>243.0</v>
      </c>
      <c r="C3080" s="6">
        <v>1.0</v>
      </c>
      <c r="D3080" s="9" t="s">
        <v>4940</v>
      </c>
      <c r="E3080" s="9" t="s">
        <v>4941</v>
      </c>
      <c r="F3080" s="8" t="str">
        <f>IFERROR(__xludf.DUMMYFUNCTION("GOOGLETRANSLATE(D3080,""zh-CN"",""vi"")"),"Dao củ cải")</f>
        <v>Dao củ cải</v>
      </c>
      <c r="G3080" s="8" t="str">
        <f>IFERROR(__xludf.DUMMYFUNCTION("GOOGLETRANSLATE(E3080,""zh-CN"",""vi"")"),"Một món đồ chơi rất an toàn và khá được trẻ em yêu thích. Có thể ghép các bộ phận lại để tạo thành máy nghe nhạc Walkman.")</f>
        <v>Một món đồ chơi rất an toàn và khá được trẻ em yêu thích. Có thể ghép các bộ phận lại để tạo thành máy nghe nhạc Walkman.</v>
      </c>
      <c r="H3080" s="8"/>
      <c r="I3080" s="8"/>
      <c r="J3080" s="8"/>
    </row>
    <row r="3081" ht="21.0" customHeight="1">
      <c r="A3081" s="6">
        <v>1.0</v>
      </c>
      <c r="B3081" s="6">
        <v>243.0</v>
      </c>
      <c r="C3081" s="6">
        <v>2.0</v>
      </c>
      <c r="D3081" s="9" t="s">
        <v>4942</v>
      </c>
      <c r="E3081" s="9" t="s">
        <v>4943</v>
      </c>
      <c r="F3081" s="8" t="str">
        <f>IFERROR(__xludf.DUMMYFUNCTION("GOOGLETRANSLATE(D3081,""zh-CN"",""vi"")"),"Máy nghe nhạc Walkman")</f>
        <v>Máy nghe nhạc Walkman</v>
      </c>
      <c r="G3081" s="8" t="str">
        <f>IFERROR(__xludf.DUMMYFUNCTION("GOOGLETRANSLATE(E3081,""zh-CN"",""vi"")"),"Một trong số ít thiết bị điện tử được phép sử dụng ở trường. (Được dùng để làm đồ thủ công bằng đất sét.)")</f>
        <v>Một trong số ít thiết bị điện tử được phép sử dụng ở trường. (Được dùng để làm đồ thủ công bằng đất sét.)</v>
      </c>
      <c r="H3081" s="8"/>
      <c r="I3081" s="8"/>
      <c r="J3081" s="8"/>
    </row>
    <row r="3082" ht="21.0" customHeight="1">
      <c r="A3082" s="6">
        <v>1.0</v>
      </c>
      <c r="B3082" s="6">
        <v>243.0</v>
      </c>
      <c r="C3082" s="6">
        <v>3.0</v>
      </c>
      <c r="D3082" s="9" t="s">
        <v>4944</v>
      </c>
      <c r="E3082" s="9" t="s">
        <v>4945</v>
      </c>
      <c r="F3082" s="8" t="str">
        <f>IFERROR(__xludf.DUMMYFUNCTION("GOOGLETRANSLATE(D3082,""zh-CN"",""vi"")"),"Đất sét thủ công")</f>
        <v>Đất sét thủ công</v>
      </c>
      <c r="G3082" s="8" t="str">
        <f>IFERROR(__xludf.DUMMYFUNCTION("GOOGLETRANSLATE(E3082,""zh-CN"",""vi"")"),"Hãy xem tôi tạo ra một con quái vật nhỏ! Kết hợp chúng lại để tạo thành một cuốn truyện tranh đen trắng.")</f>
        <v>Hãy xem tôi tạo ra một con quái vật nhỏ! Kết hợp chúng lại để tạo thành một cuốn truyện tranh đen trắng.</v>
      </c>
      <c r="H3082" s="8"/>
      <c r="I3082" s="8"/>
      <c r="J3082" s="8"/>
    </row>
    <row r="3083" ht="21.0" customHeight="1">
      <c r="A3083" s="6">
        <v>1.0</v>
      </c>
      <c r="B3083" s="6">
        <v>243.0</v>
      </c>
      <c r="C3083" s="6">
        <v>4.0</v>
      </c>
      <c r="D3083" s="9" t="s">
        <v>4946</v>
      </c>
      <c r="E3083" s="9" t="s">
        <v>4947</v>
      </c>
      <c r="F3083" s="8" t="str">
        <f>IFERROR(__xludf.DUMMYFUNCTION("GOOGLETRANSLATE(D3083,""zh-CN"",""vi"")"),"Truyện tranh đen trắng")</f>
        <v>Truyện tranh đen trắng</v>
      </c>
      <c r="G3083" s="8" t="str">
        <f>IFERROR(__xludf.DUMMYFUNCTION("GOOGLETRANSLATE(E3083,""zh-CN"",""vi"")"),"Những đường nét tinh tế thể hiện cảm xúc mãnh liệt. Hãy kết hợp chúng để tạo nên một chiếc kính vạn hoa đồ chơi.")</f>
        <v>Những đường nét tinh tế thể hiện cảm xúc mãnh liệt. Hãy kết hợp chúng để tạo nên một chiếc kính vạn hoa đồ chơi.</v>
      </c>
      <c r="H3083" s="8"/>
      <c r="I3083" s="8"/>
      <c r="J3083" s="8"/>
    </row>
    <row r="3084" ht="21.0" customHeight="1">
      <c r="A3084" s="6">
        <v>1.0</v>
      </c>
      <c r="B3084" s="6">
        <v>243.0</v>
      </c>
      <c r="C3084" s="6">
        <v>5.0</v>
      </c>
      <c r="D3084" s="9" t="s">
        <v>4948</v>
      </c>
      <c r="E3084" s="9" t="s">
        <v>4949</v>
      </c>
      <c r="F3084" s="8" t="str">
        <f>IFERROR(__xludf.DUMMYFUNCTION("GOOGLETRANSLATE(D3084,""zh-CN"",""vi"")"),"Kính vạn hoa đồ chơi")</f>
        <v>Kính vạn hoa đồ chơi</v>
      </c>
      <c r="G3084" s="8" t="str">
        <f>IFERROR(__xludf.DUMMYFUNCTION("GOOGLETRANSLATE(E3084,""zh-CN"",""vi"")"),"Một thế giới rực rỡ, đầy màu sắc hiện ra trước mắt bạn. Hãy kết hợp chúng để tạo thành một chiếc yo-yo.")</f>
        <v>Một thế giới rực rỡ, đầy màu sắc hiện ra trước mắt bạn. Hãy kết hợp chúng để tạo thành một chiếc yo-yo.</v>
      </c>
      <c r="H3084" s="8"/>
      <c r="I3084" s="8"/>
      <c r="J3084" s="8"/>
    </row>
    <row r="3085" ht="21.0" customHeight="1">
      <c r="A3085" s="6">
        <v>1.0</v>
      </c>
      <c r="B3085" s="6">
        <v>243.0</v>
      </c>
      <c r="C3085" s="6">
        <v>6.0</v>
      </c>
      <c r="D3085" s="9" t="s">
        <v>4950</v>
      </c>
      <c r="E3085" s="9" t="s">
        <v>4951</v>
      </c>
      <c r="F3085" s="8" t="str">
        <f>IFERROR(__xludf.DUMMYFUNCTION("GOOGLETRANSLATE(D3085,""zh-CN"",""vi"")"),"Yo-yo")</f>
        <v>Yo-yo</v>
      </c>
      <c r="G3085" s="8" t="str">
        <f>IFERROR(__xludf.DUMMYFUNCTION("GOOGLETRANSLATE(E3085,""zh-CN"",""vi"")"),"Bọn trẻ tin chắc rằng có một con quái vật thần thoại trú ngụ bên trong. Chúng đã kết hợp các bộ phận này để tạo ra những con quay.")</f>
        <v>Bọn trẻ tin chắc rằng có một con quái vật thần thoại trú ngụ bên trong. Chúng đã kết hợp các bộ phận này để tạo ra những con quay.</v>
      </c>
      <c r="H3085" s="8"/>
      <c r="I3085" s="8"/>
      <c r="J3085" s="8"/>
    </row>
    <row r="3086" ht="21.0" customHeight="1">
      <c r="A3086" s="6">
        <v>1.0</v>
      </c>
      <c r="B3086" s="6">
        <v>243.0</v>
      </c>
      <c r="C3086" s="6">
        <v>7.0</v>
      </c>
      <c r="D3086" s="9" t="s">
        <v>4952</v>
      </c>
      <c r="E3086" s="9" t="s">
        <v>4953</v>
      </c>
      <c r="F3086" s="8" t="str">
        <f>IFERROR(__xludf.DUMMYFUNCTION("GOOGLETRANSLATE(D3086,""zh-CN"",""vi"")"),"Con quay")</f>
        <v>Con quay</v>
      </c>
      <c r="G3086" s="8" t="str">
        <f>IFERROR(__xludf.DUMMYFUNCTION("GOOGLETRANSLATE(E3086,""zh-CN"",""vi"")"),"Đây là đồ chơi nhóm! Hãy cùng nhau lắp ráp để có được một chiếc vợt bắt côn trùng.")</f>
        <v>Đây là đồ chơi nhóm! Hãy cùng nhau lắp ráp để có được một chiếc vợt bắt côn trùng.</v>
      </c>
      <c r="H3086" s="8"/>
      <c r="I3086" s="8"/>
      <c r="J3086" s="8"/>
    </row>
    <row r="3087" ht="21.0" customHeight="1">
      <c r="A3087" s="6">
        <v>1.0</v>
      </c>
      <c r="B3087" s="6">
        <v>243.0</v>
      </c>
      <c r="C3087" s="6">
        <v>8.0</v>
      </c>
      <c r="D3087" s="9" t="s">
        <v>4954</v>
      </c>
      <c r="E3087" s="9" t="s">
        <v>4955</v>
      </c>
      <c r="F3087" s="8" t="str">
        <f>IFERROR(__xludf.DUMMYFUNCTION("GOOGLETRANSLATE(D3087,""zh-CN"",""vi"")"),"Màn chống côn trùng")</f>
        <v>Màn chống côn trùng</v>
      </c>
      <c r="G3087" s="8" t="str">
        <f>IFERROR(__xludf.DUMMYFUNCTION("GOOGLETRANSLATE(E3087,""zh-CN"",""vi"")"),"Đừng đánh bắt cá quá mức, hãy bảo vệ thiên nhiên! (Chế tạo khối Rubik)")</f>
        <v>Đừng đánh bắt cá quá mức, hãy bảo vệ thiên nhiên! (Chế tạo khối Rubik)</v>
      </c>
      <c r="H3087" s="8"/>
      <c r="I3087" s="8"/>
      <c r="J3087" s="8"/>
    </row>
    <row r="3088" ht="21.0" customHeight="1">
      <c r="A3088" s="6">
        <v>1.0</v>
      </c>
      <c r="B3088" s="6">
        <v>243.0</v>
      </c>
      <c r="C3088" s="6">
        <v>9.0</v>
      </c>
      <c r="D3088" s="9" t="s">
        <v>4956</v>
      </c>
      <c r="E3088" s="9" t="s">
        <v>4957</v>
      </c>
      <c r="F3088" s="8" t="str">
        <f>IFERROR(__xludf.DUMMYFUNCTION("GOOGLETRANSLATE(D3088,""zh-CN"",""vi"")"),"khối rubik")</f>
        <v>khối rubik</v>
      </c>
      <c r="G3088" s="8" t="str">
        <f>IFERROR(__xludf.DUMMYFUNCTION("GOOGLETRANSLATE(E3088,""zh-CN"",""vi"")"),"Những món đồ chơi nhỏ giúp rèn luyện trí thông minh. Kết hợp chúng lại để tạo thành một máy chơi pinball không gian.")</f>
        <v>Những món đồ chơi nhỏ giúp rèn luyện trí thông minh. Kết hợp chúng lại để tạo thành một máy chơi pinball không gian.</v>
      </c>
      <c r="H3088" s="8"/>
      <c r="I3088" s="8"/>
      <c r="J3088" s="8"/>
    </row>
    <row r="3089" ht="21.0" customHeight="1">
      <c r="A3089" s="6">
        <v>1.0</v>
      </c>
      <c r="B3089" s="6">
        <v>243.0</v>
      </c>
      <c r="C3089" s="6">
        <v>10.0</v>
      </c>
      <c r="D3089" s="9" t="s">
        <v>4958</v>
      </c>
      <c r="E3089" s="9" t="s">
        <v>4959</v>
      </c>
      <c r="F3089" s="8" t="str">
        <f>IFERROR(__xludf.DUMMYFUNCTION("GOOGLETRANSLATE(D3089,""zh-CN"",""vi"")"),"Máy chơi pinball không gian")</f>
        <v>Máy chơi pinball không gian</v>
      </c>
      <c r="G3089" s="8" t="str">
        <f>IFERROR(__xludf.DUMMYFUNCTION("GOOGLETRANSLATE(E3089,""zh-CN"",""vi"")"),"Ta sẽ trở thành Vua Cướp Biển Không Gian! Tổng hợp để có được Mê Cung Kỹ Thuật Số.")</f>
        <v>Ta sẽ trở thành Vua Cướp Biển Không Gian! Tổng hợp để có được Mê Cung Kỹ Thuật Số.</v>
      </c>
      <c r="H3089" s="8"/>
      <c r="I3089" s="8"/>
      <c r="J3089" s="8"/>
    </row>
    <row r="3090" ht="21.0" customHeight="1">
      <c r="A3090" s="6">
        <v>1.0</v>
      </c>
      <c r="B3090" s="6">
        <v>243.0</v>
      </c>
      <c r="C3090" s="6">
        <v>11.0</v>
      </c>
      <c r="D3090" s="9" t="s">
        <v>4960</v>
      </c>
      <c r="E3090" s="9" t="s">
        <v>4961</v>
      </c>
      <c r="F3090" s="8" t="str">
        <f>IFERROR(__xludf.DUMMYFUNCTION("GOOGLETRANSLATE(D3090,""zh-CN"",""vi"")"),"Mê cung số")</f>
        <v>Mê cung số</v>
      </c>
      <c r="G3090" s="8" t="str">
        <f>IFERROR(__xludf.DUMMYFUNCTION("GOOGLETRANSLATE(E3090,""zh-CN"",""vi"")"),"Trò chơi này kiểm tra trí thông minh của bạn và có sức hấp dẫn độc đáo. Hãy chế tác các vật phẩm để làm đồ gốm.")</f>
        <v>Trò chơi này kiểm tra trí thông minh của bạn và có sức hấp dẫn độc đáo. Hãy chế tác các vật phẩm để làm đồ gốm.</v>
      </c>
      <c r="H3090" s="8"/>
      <c r="I3090" s="8"/>
      <c r="J3090" s="8"/>
    </row>
    <row r="3091" ht="21.0" customHeight="1">
      <c r="A3091" s="6">
        <v>1.0</v>
      </c>
      <c r="B3091" s="6">
        <v>243.0</v>
      </c>
      <c r="C3091" s="6">
        <v>12.0</v>
      </c>
      <c r="D3091" s="9" t="s">
        <v>4962</v>
      </c>
      <c r="E3091" s="9" t="s">
        <v>4963</v>
      </c>
      <c r="F3091" s="8" t="str">
        <f>IFERROR(__xludf.DUMMYFUNCTION("GOOGLETRANSLATE(D3091,""zh-CN"",""vi"")"),"Làm đồ gốm")</f>
        <v>Làm đồ gốm</v>
      </c>
      <c r="G3091" s="8" t="str">
        <f>IFERROR(__xludf.DUMMYFUNCTION("GOOGLETRANSLATE(E3091,""zh-CN"",""vi"")"),"Hãy sáng tạo một cách thư thái, thảnh thơi và vô tư. Chế tạo những tấm thẻ bài để chiến đấu.")</f>
        <v>Hãy sáng tạo một cách thư thái, thảnh thơi và vô tư. Chế tạo những tấm thẻ bài để chiến đấu.</v>
      </c>
      <c r="H3091" s="8"/>
      <c r="I3091" s="8"/>
      <c r="J3091" s="8"/>
    </row>
    <row r="3092" ht="21.0" customHeight="1">
      <c r="A3092" s="6">
        <v>1.0</v>
      </c>
      <c r="B3092" s="6">
        <v>243.0</v>
      </c>
      <c r="C3092" s="6">
        <v>13.0</v>
      </c>
      <c r="D3092" s="9" t="s">
        <v>4964</v>
      </c>
      <c r="E3092" s="9" t="s">
        <v>4965</v>
      </c>
      <c r="F3092" s="8" t="str">
        <f>IFERROR(__xludf.DUMMYFUNCTION("GOOGLETRANSLATE(D3092,""zh-CN"",""vi"")"),"Trận chiến thẻ bài")</f>
        <v>Trận chiến thẻ bài</v>
      </c>
      <c r="G3092" s="8" t="str">
        <f>IFERROR(__xludf.DUMMYFUNCTION("GOOGLETRANSLATE(E3092,""zh-CN"",""vi"")"),"Đây có lẽ là một trong những trò chơi phổ biến nhất đối với trẻ em~ (Đã được tổng hợp đến cấp độ cao nhất)")</f>
        <v>Đây có lẽ là một trong những trò chơi phổ biến nhất đối với trẻ em~ (Đã được tổng hợp đến cấp độ cao nhất)</v>
      </c>
      <c r="H3092" s="8"/>
      <c r="I3092" s="8"/>
      <c r="J3092" s="8"/>
    </row>
    <row r="3093" ht="21.0" customHeight="1">
      <c r="A3093" s="6">
        <v>1.0</v>
      </c>
      <c r="B3093" s="6">
        <v>244.0</v>
      </c>
      <c r="C3093" s="6">
        <v>1.0</v>
      </c>
      <c r="D3093" s="15" t="s">
        <v>4966</v>
      </c>
      <c r="E3093" s="9" t="s">
        <v>4967</v>
      </c>
      <c r="F3093" s="8" t="str">
        <f>IFERROR(__xludf.DUMMYFUNCTION("GOOGLETRANSLATE(D3093,""zh-CN"",""vi"")"),"câu lạc bộ ngủ")</f>
        <v>câu lạc bộ ngủ</v>
      </c>
      <c r="G3093" s="8" t="str">
        <f>IFERROR(__xludf.DUMMYFUNCTION("GOOGLETRANSLATE(E3093,""zh-CN"",""vi"")"),"Các hoạt động của câu lạc bộ xoay quanh việc ai có thể ngủ thiếp đi nhanh nhất và ngủ ngon nhất! (Tổng hợp để có được Câu lạc bộ Bói toán)")</f>
        <v>Các hoạt động của câu lạc bộ xoay quanh việc ai có thể ngủ thiếp đi nhanh nhất và ngủ ngon nhất! (Tổng hợp để có được Câu lạc bộ Bói toán)</v>
      </c>
      <c r="H3093" s="8"/>
      <c r="I3093" s="8"/>
      <c r="J3093" s="8"/>
    </row>
    <row r="3094" ht="21.0" customHeight="1">
      <c r="A3094" s="6">
        <v>1.0</v>
      </c>
      <c r="B3094" s="6">
        <v>244.0</v>
      </c>
      <c r="C3094" s="6">
        <v>2.0</v>
      </c>
      <c r="D3094" s="15" t="s">
        <v>4968</v>
      </c>
      <c r="E3094" s="9" t="s">
        <v>4969</v>
      </c>
      <c r="F3094" s="8" t="str">
        <f>IFERROR(__xludf.DUMMYFUNCTION("GOOGLETRANSLATE(D3094,""zh-CN"",""vi"")"),"Hội bói toán")</f>
        <v>Hội bói toán</v>
      </c>
      <c r="G3094" s="8" t="str">
        <f>IFERROR(__xludf.DUMMYFUNCTION("GOOGLETRANSLATE(E3094,""zh-CN"",""vi"")"),"Crystal, crystal, hãy xuất hiện nhanh lên~~~ Tổng hợp để có được Hội Thôi miên")</f>
        <v>Crystal, crystal, hãy xuất hiện nhanh lên~~~ Tổng hợp để có được Hội Thôi miên</v>
      </c>
      <c r="H3094" s="8"/>
      <c r="I3094" s="8"/>
      <c r="J3094" s="8"/>
    </row>
    <row r="3095" ht="21.0" customHeight="1">
      <c r="A3095" s="6">
        <v>1.0</v>
      </c>
      <c r="B3095" s="6">
        <v>244.0</v>
      </c>
      <c r="C3095" s="6">
        <v>3.0</v>
      </c>
      <c r="D3095" s="15" t="s">
        <v>4970</v>
      </c>
      <c r="E3095" s="9" t="s">
        <v>4971</v>
      </c>
      <c r="F3095" s="8" t="str">
        <f>IFERROR(__xludf.DUMMYFUNCTION("GOOGLETRANSLATE(D3095,""zh-CN"",""vi"")"),"Câu lạc bộ thôi miên")</f>
        <v>Câu lạc bộ thôi miên</v>
      </c>
      <c r="G3095" s="8" t="str">
        <f>IFERROR(__xludf.DUMMYFUNCTION("GOOGLETRANSLATE(E3095,""zh-CN"",""vi"")"),"Hãy nhìn đồng hồ và thư giãn từ từ. (Hội Chế Tạo Thuốc)")</f>
        <v>Hãy nhìn đồng hồ và thư giãn từ từ. (Hội Chế Tạo Thuốc)</v>
      </c>
      <c r="H3095" s="8"/>
      <c r="I3095" s="8"/>
      <c r="J3095" s="8"/>
    </row>
    <row r="3096" ht="21.0" customHeight="1">
      <c r="A3096" s="6">
        <v>1.0</v>
      </c>
      <c r="B3096" s="6">
        <v>244.0</v>
      </c>
      <c r="C3096" s="6">
        <v>4.0</v>
      </c>
      <c r="D3096" s="15" t="s">
        <v>4972</v>
      </c>
      <c r="E3096" s="9" t="s">
        <v>4973</v>
      </c>
      <c r="F3096" s="8" t="str">
        <f>IFERROR(__xludf.DUMMYFUNCTION("GOOGLETRANSLATE(D3096,""zh-CN"",""vi"")"),"Câu lạc bộ Pha chế Thuốc")</f>
        <v>Câu lạc bộ Pha chế Thuốc</v>
      </c>
      <c r="G3096" s="8" t="str">
        <f>IFERROR(__xludf.DUMMYFUNCTION("GOOGLETRANSLATE(E3096,""zh-CN"",""vi"")"),"Mặc dù một lượng lớn đã được sản xuất theo công thức cổ xưa, nhưng không ai dám uống nó. (Sau đó, văn bản đột ngột chuyển sang một chủ đề dường như không liên quan: đạt được hội pháp sư thông qua quá trình tổng hợp.)")</f>
        <v>Mặc dù một lượng lớn đã được sản xuất theo công thức cổ xưa, nhưng không ai dám uống nó. (Sau đó, văn bản đột ngột chuyển sang một chủ đề dường như không liên quan: đạt được hội pháp sư thông qua quá trình tổng hợp.)</v>
      </c>
      <c r="H3096" s="8"/>
      <c r="I3096" s="8"/>
      <c r="J3096" s="8"/>
    </row>
    <row r="3097" ht="21.0" customHeight="1">
      <c r="A3097" s="6">
        <v>1.0</v>
      </c>
      <c r="B3097" s="6">
        <v>244.0</v>
      </c>
      <c r="C3097" s="6">
        <v>5.0</v>
      </c>
      <c r="D3097" s="15" t="s">
        <v>4974</v>
      </c>
      <c r="E3097" s="9" t="s">
        <v>4975</v>
      </c>
      <c r="F3097" s="8" t="str">
        <f>IFERROR(__xludf.DUMMYFUNCTION("GOOGLETRANSLATE(D3097,""zh-CN"",""vi"")"),"Hội phù thủy")</f>
        <v>Hội phù thủy</v>
      </c>
      <c r="G3097" s="8" t="str">
        <f>IFERROR(__xludf.DUMMYFUNCTION("GOOGLETRANSLATE(E3097,""zh-CN"",""vi"")"),"Một nửa là nhập vai, và nửa còn lại là thực sự muốn trở thành pháp sư. (Đây là tóm tắt một bộ phim/series truyền hình tokusatsu.)")</f>
        <v>Một nửa là nhập vai, và nửa còn lại là thực sự muốn trở thành pháp sư. (Đây là tóm tắt một bộ phim/series truyền hình tokusatsu.)</v>
      </c>
      <c r="H3097" s="8"/>
      <c r="I3097" s="8"/>
      <c r="J3097" s="8"/>
    </row>
    <row r="3098" ht="21.0" customHeight="1">
      <c r="A3098" s="6">
        <v>1.0</v>
      </c>
      <c r="B3098" s="6">
        <v>244.0</v>
      </c>
      <c r="C3098" s="6">
        <v>6.0</v>
      </c>
      <c r="D3098" s="15" t="s">
        <v>4976</v>
      </c>
      <c r="E3098" s="9" t="s">
        <v>4977</v>
      </c>
      <c r="F3098" s="8" t="str">
        <f>IFERROR(__xludf.DUMMYFUNCTION("GOOGLETRANSLATE(D3098,""zh-CN"",""vi"")"),"Công ty Tokusatsu (Hiệu ứng đặc biệt)")</f>
        <v>Công ty Tokusatsu (Hiệu ứng đặc biệt)</v>
      </c>
      <c r="G3098" s="8" t="str">
        <f>IFERROR(__xludf.DUMMYFUNCTION("GOOGLETRANSLATE(E3098,""zh-CN"",""vi"")"),"Luôn đeo một chiếc thắt lưng kỳ lạ và tạo dáng kỳ quặc. (Thu thập và sở hữu Câu lạc bộ Máy bay Giấy)")</f>
        <v>Luôn đeo một chiếc thắt lưng kỳ lạ và tạo dáng kỳ quặc. (Thu thập và sở hữu Câu lạc bộ Máy bay Giấy)</v>
      </c>
      <c r="H3098" s="8"/>
      <c r="I3098" s="8"/>
      <c r="J3098" s="8"/>
    </row>
    <row r="3099" ht="21.0" customHeight="1">
      <c r="A3099" s="6">
        <v>1.0</v>
      </c>
      <c r="B3099" s="6">
        <v>244.0</v>
      </c>
      <c r="C3099" s="6">
        <v>7.0</v>
      </c>
      <c r="D3099" s="15" t="s">
        <v>4978</v>
      </c>
      <c r="E3099" s="9" t="s">
        <v>4979</v>
      </c>
      <c r="F3099" s="8" t="str">
        <f>IFERROR(__xludf.DUMMYFUNCTION("GOOGLETRANSLATE(D3099,""zh-CN"",""vi"")"),"Câu lạc bộ máy bay giấy")</f>
        <v>Câu lạc bộ máy bay giấy</v>
      </c>
      <c r="G3099" s="8" t="str">
        <f>IFERROR(__xludf.DUMMYFUNCTION("GOOGLETRANSLATE(E3099,""zh-CN"",""vi"")"),"Mục tiêu của họ là tạo ra những chiếc máy bay giấy đủ lớn để một người có thể đứng lên. (Sự thâu tóm tổng hợp của cơ quan thám tử)")</f>
        <v>Mục tiêu của họ là tạo ra những chiếc máy bay giấy đủ lớn để một người có thể đứng lên. (Sự thâu tóm tổng hợp của cơ quan thám tử)</v>
      </c>
      <c r="H3099" s="8"/>
      <c r="I3099" s="8"/>
      <c r="J3099" s="8"/>
    </row>
    <row r="3100" ht="21.0" customHeight="1">
      <c r="A3100" s="6">
        <v>1.0</v>
      </c>
      <c r="B3100" s="6">
        <v>244.0</v>
      </c>
      <c r="C3100" s="6">
        <v>8.0</v>
      </c>
      <c r="D3100" s="15" t="s">
        <v>4980</v>
      </c>
      <c r="E3100" s="9" t="s">
        <v>4981</v>
      </c>
      <c r="F3100" s="8" t="str">
        <f>IFERROR(__xludf.DUMMYFUNCTION("GOOGLETRANSLATE(D3100,""zh-CN"",""vi"")"),"Cơ quan thám tử")</f>
        <v>Cơ quan thám tử</v>
      </c>
      <c r="G3100" s="8" t="str">
        <f>IFERROR(__xludf.DUMMYFUNCTION("GOOGLETRANSLATE(E3100,""zh-CN"",""vi"")"),"Đa số họ là fan của một bộ anime trinh thám nào đó. (Câu không liên quan ""tổng hợp để có được câu lạc bộ trò chơi điện tử"" có vẻ không liên quan và có thể đề cập đến một chủ đề riêng biệt.)")</f>
        <v>Đa số họ là fan của một bộ anime trinh thám nào đó. (Câu không liên quan "tổng hợp để có được câu lạc bộ trò chơi điện tử" có vẻ không liên quan và có thể đề cập đến một chủ đề riêng biệt.)</v>
      </c>
      <c r="H3100" s="8"/>
      <c r="I3100" s="8"/>
      <c r="J3100" s="8"/>
    </row>
    <row r="3101" ht="21.0" customHeight="1">
      <c r="A3101" s="6">
        <v>1.0</v>
      </c>
      <c r="B3101" s="6">
        <v>244.0</v>
      </c>
      <c r="C3101" s="6">
        <v>9.0</v>
      </c>
      <c r="D3101" s="15" t="s">
        <v>4982</v>
      </c>
      <c r="E3101" s="9" t="s">
        <v>4983</v>
      </c>
      <c r="F3101" s="8" t="str">
        <f>IFERROR(__xludf.DUMMYFUNCTION("GOOGLETRANSLATE(D3101,""zh-CN"",""vi"")"),"Câu lạc bộ trò chơi điện tử")</f>
        <v>Câu lạc bộ trò chơi điện tử</v>
      </c>
      <c r="G3101" s="8" t="str">
        <f>IFERROR(__xludf.DUMMYFUNCTION("GOOGLETRANSLATE(E3101,""zh-CN"",""vi"")"),"Đây có lẽ là một trong những câu lạc bộ có nhiều thành viên nhất. (Tổng hợp để có được Câu lạc bộ Heikyu)")</f>
        <v>Đây có lẽ là một trong những câu lạc bộ có nhiều thành viên nhất. (Tổng hợp để có được Câu lạc bộ Heikyu)</v>
      </c>
      <c r="H3101" s="8"/>
      <c r="I3101" s="8"/>
      <c r="J3101" s="8"/>
    </row>
    <row r="3102" ht="21.0" customHeight="1">
      <c r="A3102" s="6">
        <v>1.0</v>
      </c>
      <c r="B3102" s="6">
        <v>244.0</v>
      </c>
      <c r="C3102" s="6">
        <v>10.0</v>
      </c>
      <c r="D3102" s="15" t="s">
        <v>4984</v>
      </c>
      <c r="E3102" s="9" t="s">
        <v>4985</v>
      </c>
      <c r="F3102" s="8" t="str">
        <f>IFERROR(__xludf.DUMMYFUNCTION("GOOGLETRANSLATE(D3102,""zh-CN"",""vi"")"),"bingshitshe")</f>
        <v>bingshitshe</v>
      </c>
      <c r="G3102" s="8" t="str">
        <f>IFERROR(__xludf.DUMMYFUNCTION("GOOGLETRANSLATE(E3102,""zh-CN"",""vi"")"),"Chỉ cần có lòng dũng cảm và thể chất cường tráng là đủ để tham gia. (Tổng hợp để có được Hội UFO)")</f>
        <v>Chỉ cần có lòng dũng cảm và thể chất cường tráng là đủ để tham gia. (Tổng hợp để có được Hội UFO)</v>
      </c>
      <c r="H3102" s="8"/>
      <c r="I3102" s="8"/>
      <c r="J3102" s="8"/>
    </row>
    <row r="3103" ht="21.0" customHeight="1">
      <c r="A3103" s="6">
        <v>1.0</v>
      </c>
      <c r="B3103" s="6">
        <v>244.0</v>
      </c>
      <c r="C3103" s="6">
        <v>11.0</v>
      </c>
      <c r="D3103" s="15" t="s">
        <v>4986</v>
      </c>
      <c r="E3103" s="9" t="s">
        <v>4987</v>
      </c>
      <c r="F3103" s="8" t="str">
        <f>IFERROR(__xludf.DUMMYFUNCTION("GOOGLETRANSLATE(D3103,""zh-CN"",""vi"")"),"Hội UFO")</f>
        <v>Hội UFO</v>
      </c>
      <c r="G3103" s="8" t="str">
        <f>IFERROR(__xludf.DUMMYFUNCTION("GOOGLETRANSLATE(E3103,""zh-CN"",""vi"")"),"Người ta nói rằng những bức ảnh UFO được thu thập bằng nhiều phương pháp khác nhau. (Hình ảnh dường như là sự kết hợp của nhiều hình ảnh do một công ty sáng tạo/phát minh tạo ra.)")</f>
        <v>Người ta nói rằng những bức ảnh UFO được thu thập bằng nhiều phương pháp khác nhau. (Hình ảnh dường như là sự kết hợp của nhiều hình ảnh do một công ty sáng tạo/phát minh tạo ra.)</v>
      </c>
      <c r="H3103" s="8"/>
      <c r="I3103" s="8"/>
      <c r="J3103" s="8"/>
    </row>
    <row r="3104" ht="21.0" customHeight="1">
      <c r="A3104" s="6">
        <v>1.0</v>
      </c>
      <c r="B3104" s="6">
        <v>244.0</v>
      </c>
      <c r="C3104" s="6">
        <v>12.0</v>
      </c>
      <c r="D3104" s="15" t="s">
        <v>4988</v>
      </c>
      <c r="E3104" s="9" t="s">
        <v>4989</v>
      </c>
      <c r="F3104" s="8" t="str">
        <f>IFERROR(__xludf.DUMMYFUNCTION("GOOGLETRANSLATE(D3104,""zh-CN"",""vi"")"),"Hội Phát minh và Sáng tạo")</f>
        <v>Hội Phát minh và Sáng tạo</v>
      </c>
      <c r="G3104" s="8" t="str">
        <f>IFERROR(__xludf.DUMMYFUNCTION("GOOGLETRANSLATE(E3104,""zh-CN"",""vi"")"),"Họ luôn nghĩ ra những thiết bị thực sự kỳ quái. (Hội Nghiên cứu Tổng hợp và Dị thường)")</f>
        <v>Họ luôn nghĩ ra những thiết bị thực sự kỳ quái. (Hội Nghiên cứu Tổng hợp và Dị thường)</v>
      </c>
      <c r="H3104" s="8"/>
      <c r="I3104" s="8"/>
      <c r="J3104" s="8"/>
    </row>
    <row r="3105" ht="21.0" customHeight="1">
      <c r="A3105" s="6">
        <v>1.0</v>
      </c>
      <c r="B3105" s="6">
        <v>244.0</v>
      </c>
      <c r="C3105" s="6">
        <v>13.0</v>
      </c>
      <c r="D3105" s="15" t="s">
        <v>4990</v>
      </c>
      <c r="E3105" s="9" t="s">
        <v>4991</v>
      </c>
      <c r="F3105" s="8" t="str">
        <f>IFERROR(__xludf.DUMMYFUNCTION("GOOGLETRANSLATE(D3105,""zh-CN"",""vi"")"),"Hội Nghiên cứu Bất thường")</f>
        <v>Hội Nghiên cứu Bất thường</v>
      </c>
      <c r="G3105" s="8" t="str">
        <f>IFERROR(__xludf.DUMMYFUNCTION("GOOGLETRANSLATE(E3105,""zh-CN"",""vi"")"),"Đây là một công ty liên kết với Hiệp hội UFO và chuyên nghiên cứu các hiện tượng dị thường. (Được tổng hợp ở cấp độ cao nhất)")</f>
        <v>Đây là một công ty liên kết với Hiệp hội UFO và chuyên nghiên cứu các hiện tượng dị thường. (Được tổng hợp ở cấp độ cao nhất)</v>
      </c>
      <c r="H3105" s="8"/>
      <c r="I3105" s="8"/>
      <c r="J3105" s="8"/>
    </row>
    <row r="3106" ht="21.0" customHeight="1">
      <c r="A3106" s="6">
        <v>11.0</v>
      </c>
      <c r="B3106" s="6">
        <v>1067.0</v>
      </c>
      <c r="C3106" s="6">
        <v>1.0</v>
      </c>
      <c r="D3106" s="15" t="s">
        <v>4992</v>
      </c>
      <c r="E3106" s="9" t="s">
        <v>4993</v>
      </c>
      <c r="F3106" s="8" t="str">
        <f>IFERROR(__xludf.DUMMYFUNCTION("GOOGLETRANSLATE(D3106,""zh-CN"",""vi"")"),"Biển báo công trình")</f>
        <v>Biển báo công trình</v>
      </c>
      <c r="G3106" s="8" t="str">
        <f>IFERROR(__xludf.DUMMYFUNCTION("GOOGLETRANSLATE(E3106,""zh-CN"",""vi"")"),"Khu đất đã được mua và đang chờ xây dựng. (Công tác khai thác gỗ đang được tiến hành.)")</f>
        <v>Khu đất đã được mua và đang chờ xây dựng. (Công tác khai thác gỗ đang được tiến hành.)</v>
      </c>
      <c r="H3106" s="8"/>
      <c r="I3106" s="8"/>
      <c r="J3106" s="8"/>
    </row>
    <row r="3107" ht="21.0" customHeight="1">
      <c r="A3107" s="6">
        <v>11.0</v>
      </c>
      <c r="B3107" s="6">
        <v>1067.0</v>
      </c>
      <c r="C3107" s="6">
        <v>2.0</v>
      </c>
      <c r="D3107" s="15" t="s">
        <v>4994</v>
      </c>
      <c r="E3107" s="9" t="s">
        <v>4995</v>
      </c>
      <c r="F3107" s="8" t="str">
        <f>IFERROR(__xludf.DUMMYFUNCTION("GOOGLETRANSLATE(D3107,""zh-CN"",""vi"")"),"Trong quá trình ghi nhật ký")</f>
        <v>Trong quá trình ghi nhật ký</v>
      </c>
      <c r="G3107" s="8" t="str">
        <f>IFERROR(__xludf.DUMMYFUNCTION("GOOGLETRANSLATE(E3107,""zh-CN"",""vi"")"),"Một tòa nhà cao chọc trời mọc lên từ mặt đất—thực hiện quá trình tổng hợp để tạo ra khung gỗ.")</f>
        <v>Một tòa nhà cao chọc trời mọc lên từ mặt đất—thực hiện quá trình tổng hợp để tạo ra khung gỗ.</v>
      </c>
      <c r="H3107" s="8"/>
      <c r="I3107" s="8"/>
      <c r="J3107" s="8"/>
    </row>
    <row r="3108" ht="21.0" customHeight="1">
      <c r="A3108" s="6">
        <v>11.0</v>
      </c>
      <c r="B3108" s="6">
        <v>1067.0</v>
      </c>
      <c r="C3108" s="6">
        <v>3.0</v>
      </c>
      <c r="D3108" s="15" t="s">
        <v>4996</v>
      </c>
      <c r="E3108" s="9" t="s">
        <v>4997</v>
      </c>
      <c r="F3108" s="8" t="str">
        <f>IFERROR(__xludf.DUMMYFUNCTION("GOOGLETRANSLATE(D3108,""zh-CN"",""vi"")"),"khung gỗ")</f>
        <v>khung gỗ</v>
      </c>
      <c r="G3108" s="8" t="str">
        <f>IFERROR(__xludf.DUMMYFUNCTION("GOOGLETRANSLATE(E3108,""zh-CN"",""vi"")"),"Nó vẫn đang trong giai đoạn đầu; chưa rõ nó sẽ là cái gì. Việc chế tạo nó sẽ tạo ra một ngôi nhà gỗ nhỏ.")</f>
        <v>Nó vẫn đang trong giai đoạn đầu; chưa rõ nó sẽ là cái gì. Việc chế tạo nó sẽ tạo ra một ngôi nhà gỗ nhỏ.</v>
      </c>
      <c r="H3108" s="8"/>
      <c r="I3108" s="8"/>
      <c r="J3108" s="8"/>
    </row>
    <row r="3109" ht="21.0" customHeight="1">
      <c r="A3109" s="6">
        <v>11.0</v>
      </c>
      <c r="B3109" s="6">
        <v>1067.0</v>
      </c>
      <c r="C3109" s="6">
        <v>4.0</v>
      </c>
      <c r="D3109" s="15" t="s">
        <v>4998</v>
      </c>
      <c r="E3109" s="9" t="s">
        <v>4999</v>
      </c>
      <c r="F3109" s="8" t="str">
        <f>IFERROR(__xludf.DUMMYFUNCTION("GOOGLETRANSLATE(D3109,""zh-CN"",""vi"")"),"nhà gỗ")</f>
        <v>nhà gỗ</v>
      </c>
      <c r="G3109" s="8" t="str">
        <f>IFERROR(__xludf.DUMMYFUNCTION("GOOGLETRANSLATE(E3109,""zh-CN"",""vi"")"),"Một ngôi nhà nhỏ đơn giản, có thể ở được. Kết hợp các bộ phận để tạo thành một cửa hàng tiện lợi.")</f>
        <v>Một ngôi nhà nhỏ đơn giản, có thể ở được. Kết hợp các bộ phận để tạo thành một cửa hàng tiện lợi.</v>
      </c>
      <c r="H3109" s="8"/>
      <c r="I3109" s="8"/>
      <c r="J3109" s="8"/>
    </row>
    <row r="3110" ht="21.0" customHeight="1">
      <c r="A3110" s="6">
        <v>10.0</v>
      </c>
      <c r="B3110" s="6">
        <v>1067.0</v>
      </c>
      <c r="C3110" s="6">
        <v>5.0</v>
      </c>
      <c r="D3110" s="15" t="s">
        <v>5000</v>
      </c>
      <c r="E3110" s="9" t="s">
        <v>5001</v>
      </c>
      <c r="F3110" s="8" t="str">
        <f>IFERROR(__xludf.DUMMYFUNCTION("GOOGLETRANSLATE(D3110,""zh-CN"",""vi"")"),"cửa hàng tiện lợi")</f>
        <v>cửa hàng tiện lợi</v>
      </c>
      <c r="G3110" s="8" t="str">
        <f>IFERROR(__xludf.DUMMYFUNCTION("GOOGLETRANSLATE(E3110,""zh-CN"",""vi"")"),"Đồ uống lạnh, xúc xích nướng, đồ ăn vặt, hộp cơm bento—tất cả những gì bạn muốn. Kết hợp chúng lại để tạo nên một quán ramen.")</f>
        <v>Đồ uống lạnh, xúc xích nướng, đồ ăn vặt, hộp cơm bento—tất cả những gì bạn muốn. Kết hợp chúng lại để tạo nên một quán ramen.</v>
      </c>
      <c r="H3110" s="8"/>
      <c r="I3110" s="8"/>
      <c r="J3110" s="8"/>
    </row>
    <row r="3111" ht="21.0" customHeight="1">
      <c r="A3111" s="6">
        <v>10.0</v>
      </c>
      <c r="B3111" s="6">
        <v>1067.0</v>
      </c>
      <c r="C3111" s="6">
        <v>6.0</v>
      </c>
      <c r="D3111" s="15" t="s">
        <v>5002</v>
      </c>
      <c r="E3111" s="9" t="s">
        <v>5003</v>
      </c>
      <c r="F3111" s="8" t="str">
        <f>IFERROR(__xludf.DUMMYFUNCTION("GOOGLETRANSLATE(D3111,""zh-CN"",""vi"")"),"Quán mì ramen")</f>
        <v>Quán mì ramen</v>
      </c>
      <c r="G3111" s="8" t="str">
        <f>IFERROR(__xludf.DUMMYFUNCTION("GOOGLETRANSLATE(E3111,""zh-CN"",""vi"")"),"""Ông chủ, cho tôi một bát mì ramen tonkotsu ạ."" (Đây là một đoạn câu và không thể dịch trực tiếp.)")</f>
        <v>"Ông chủ, cho tôi một bát mì ramen tonkotsu ạ." (Đây là một đoạn câu và không thể dịch trực tiếp.)</v>
      </c>
      <c r="H3111" s="8"/>
      <c r="I3111" s="8"/>
      <c r="J3111" s="8"/>
    </row>
    <row r="3112" ht="21.0" customHeight="1">
      <c r="A3112" s="6">
        <v>10.0</v>
      </c>
      <c r="B3112" s="6">
        <v>1067.0</v>
      </c>
      <c r="C3112" s="6">
        <v>7.0</v>
      </c>
      <c r="D3112" s="15" t="s">
        <v>5004</v>
      </c>
      <c r="E3112" s="9" t="s">
        <v>5005</v>
      </c>
      <c r="F3112" s="8" t="str">
        <f>IFERROR(__xludf.DUMMYFUNCTION("GOOGLETRANSLATE(D3112,""zh-CN"",""vi"")"),"Khách sạn năm sao sang trọng")</f>
        <v>Khách sạn năm sao sang trọng</v>
      </c>
      <c r="G3112" s="8" t="str">
        <f>IFERROR(__xludf.DUMMYFUNCTION("GOOGLETRANSLATE(E3112,""zh-CN"",""vi"")"),"Vẫn phải là khách sạn mà chúng ta thường ở thôi~ Tổng hợp lại để có được công viên giải trí")</f>
        <v>Vẫn phải là khách sạn mà chúng ta thường ở thôi~ Tổng hợp lại để có được công viên giải trí</v>
      </c>
      <c r="H3112" s="8"/>
      <c r="I3112" s="8"/>
      <c r="J3112" s="8"/>
    </row>
    <row r="3113" ht="21.0" customHeight="1">
      <c r="A3113" s="6">
        <v>10.0</v>
      </c>
      <c r="B3113" s="6">
        <v>1067.0</v>
      </c>
      <c r="C3113" s="6">
        <v>8.0</v>
      </c>
      <c r="D3113" s="15" t="s">
        <v>5006</v>
      </c>
      <c r="E3113" s="9" t="s">
        <v>5007</v>
      </c>
      <c r="F3113" s="8" t="str">
        <f>IFERROR(__xludf.DUMMYFUNCTION("GOOGLETRANSLATE(D3113,""zh-CN"",""vi"")"),"công viên giải trí")</f>
        <v>công viên giải trí</v>
      </c>
      <c r="G3113" s="8" t="str">
        <f>IFERROR(__xludf.DUMMYFUNCTION("GOOGLETRANSLATE(E3113,""zh-CN"",""vi"")"),"Điều này cho phép bạn tái hiện lại cảnh chiếu phim riêng tư từ một cuốn tiểu thuyết tình cảm về CEO. Bạn có thể mô phỏng theo Universal Studios.")</f>
        <v>Điều này cho phép bạn tái hiện lại cảnh chiếu phim riêng tư từ một cuốn tiểu thuyết tình cảm về CEO. Bạn có thể mô phỏng theo Universal Studios.</v>
      </c>
      <c r="H3113" s="8"/>
      <c r="I3113" s="8"/>
      <c r="J3113" s="8"/>
    </row>
    <row r="3114" ht="21.0" customHeight="1">
      <c r="A3114" s="6">
        <v>10.0</v>
      </c>
      <c r="B3114" s="6">
        <v>1067.0</v>
      </c>
      <c r="C3114" s="6">
        <v>9.0</v>
      </c>
      <c r="D3114" s="15" t="s">
        <v>5008</v>
      </c>
      <c r="E3114" s="9" t="s">
        <v>5009</v>
      </c>
      <c r="F3114" s="8" t="str">
        <f>IFERROR(__xludf.DUMMYFUNCTION("GOOGLETRANSLATE(D3114,""zh-CN"",""vi"")"),"Universal Studios")</f>
        <v>Universal Studios</v>
      </c>
      <c r="G3114" s="8" t="str">
        <f>IFERROR(__xludf.DUMMYFUNCTION("GOOGLETRANSLATE(E3114,""zh-CN"",""vi"")"),"Cảm giác như bước vào một loạt thế giới kỳ ảo~ Tổng hợp để sở hữu hòn đảo nghỉ dưỡng riêng của bạn")</f>
        <v>Cảm giác như bước vào một loạt thế giới kỳ ảo~ Tổng hợp để sở hữu hòn đảo nghỉ dưỡng riêng của bạn</v>
      </c>
      <c r="H3114" s="8"/>
      <c r="I3114" s="8"/>
      <c r="J3114" s="8"/>
    </row>
    <row r="3115" ht="21.0" customHeight="1">
      <c r="A3115" s="6">
        <v>10.0</v>
      </c>
      <c r="B3115" s="6">
        <v>1067.0</v>
      </c>
      <c r="C3115" s="6">
        <v>10.0</v>
      </c>
      <c r="D3115" s="15" t="s">
        <v>5010</v>
      </c>
      <c r="E3115" s="9" t="s">
        <v>5011</v>
      </c>
      <c r="F3115" s="8" t="str">
        <f>IFERROR(__xludf.DUMMYFUNCTION("GOOGLETRANSLATE(D3115,""zh-CN"",""vi"")"),"Đảo nghỉ dưỡng tư nhân")</f>
        <v>Đảo nghỉ dưỡng tư nhân</v>
      </c>
      <c r="G3115" s="8" t="str">
        <f>IFERROR(__xludf.DUMMYFUNCTION("GOOGLETRANSLATE(E3115,""zh-CN"",""vi"")"),"Nắng, cát, sóng, nhưng không có thuyền trưởng già nào cả~ (Đã được tổng hợp đến cấp độ cao nhất)")</f>
        <v>Nắng, cát, sóng, nhưng không có thuyền trưởng già nào cả~ (Đã được tổng hợp đến cấp độ cao nhất)</v>
      </c>
      <c r="H3115" s="8"/>
      <c r="I3115" s="8"/>
      <c r="J3115" s="8"/>
    </row>
    <row r="3116" ht="21.0" customHeight="1">
      <c r="A3116" s="6">
        <v>11.0</v>
      </c>
      <c r="B3116" s="6">
        <v>1068.0</v>
      </c>
      <c r="C3116" s="6">
        <v>1.0</v>
      </c>
      <c r="D3116" s="15" t="s">
        <v>5012</v>
      </c>
      <c r="E3116" s="9" t="s">
        <v>5013</v>
      </c>
      <c r="F3116" s="8" t="str">
        <f>IFERROR(__xludf.DUMMYFUNCTION("GOOGLETRANSLATE(D3116,""zh-CN"",""vi"")"),"Biển báo công trình [V]")</f>
        <v>Biển báo công trình [V]</v>
      </c>
      <c r="G3116" s="8" t="str">
        <f>IFERROR(__xludf.DUMMYFUNCTION("GOOGLETRANSLATE(E3116,""zh-CN"",""vi"")"),"Đất đã được mua và đang chờ xây dựng. [V] (Dự án hiện đang trong quá trình khai thác gỗ.)")</f>
        <v>Đất đã được mua và đang chờ xây dựng. [V] (Dự án hiện đang trong quá trình khai thác gỗ.)</v>
      </c>
      <c r="H3116" s="8"/>
      <c r="I3116" s="8"/>
      <c r="J3116" s="8"/>
    </row>
    <row r="3117" ht="21.0" customHeight="1">
      <c r="A3117" s="6">
        <v>11.0</v>
      </c>
      <c r="B3117" s="6">
        <v>1068.0</v>
      </c>
      <c r="C3117" s="6">
        <v>2.0</v>
      </c>
      <c r="D3117" s="15" t="s">
        <v>5014</v>
      </c>
      <c r="E3117" s="9" t="s">
        <v>5015</v>
      </c>
      <c r="F3117" s="8" t="str">
        <f>IFERROR(__xludf.DUMMYFUNCTION("GOOGLETRANSLATE(D3117,""zh-CN"",""vi"")"),"Ghi nhật ký [V]")</f>
        <v>Ghi nhật ký [V]</v>
      </c>
      <c r="G3117" s="8" t="str">
        <f>IFERROR(__xludf.DUMMYFUNCTION("GOOGLETRANSLATE(E3117,""zh-CN"",""vi"")"),"Một tòa nhà cao chót vót mọc lên từ mặt đất—tổng hợp để có được khung gỗ [V].")</f>
        <v>Một tòa nhà cao chót vót mọc lên từ mặt đất—tổng hợp để có được khung gỗ [V].</v>
      </c>
      <c r="H3117" s="8"/>
      <c r="I3117" s="8"/>
      <c r="J3117" s="8"/>
    </row>
    <row r="3118" ht="21.0" customHeight="1">
      <c r="A3118" s="6">
        <v>11.0</v>
      </c>
      <c r="B3118" s="6">
        <v>1068.0</v>
      </c>
      <c r="C3118" s="6">
        <v>3.0</v>
      </c>
      <c r="D3118" s="15" t="s">
        <v>5016</v>
      </c>
      <c r="E3118" s="9" t="s">
        <v>5017</v>
      </c>
      <c r="F3118" s="8" t="str">
        <f>IFERROR(__xludf.DUMMYFUNCTION("GOOGLETRANSLATE(D3118,""zh-CN"",""vi"")"),"Khung gỗ [V]")</f>
        <v>Khung gỗ [V]</v>
      </c>
      <c r="G3118" s="8" t="str">
        <f>IFERROR(__xludf.DUMMYFUNCTION("GOOGLETRANSLATE(E3118,""zh-CN"",""vi"")"),"Nó vẫn còn ở giai đoạn đầu; chưa rõ nó dự định xây dựng cái gì. Việc chế tạo nó sẽ tạo ra một căn nhà nhỏ [V].")</f>
        <v>Nó vẫn còn ở giai đoạn đầu; chưa rõ nó dự định xây dựng cái gì. Việc chế tạo nó sẽ tạo ra một căn nhà nhỏ [V].</v>
      </c>
      <c r="H3118" s="8"/>
      <c r="I3118" s="8"/>
      <c r="J3118" s="8"/>
    </row>
    <row r="3119" ht="21.0" customHeight="1">
      <c r="A3119" s="6">
        <v>11.0</v>
      </c>
      <c r="B3119" s="6">
        <v>1068.0</v>
      </c>
      <c r="C3119" s="6">
        <v>4.0</v>
      </c>
      <c r="D3119" s="15" t="s">
        <v>5018</v>
      </c>
      <c r="E3119" s="9" t="s">
        <v>5019</v>
      </c>
      <c r="F3119" s="8" t="str">
        <f>IFERROR(__xludf.DUMMYFUNCTION("GOOGLETRANSLATE(D3119,""zh-CN"",""vi"")"),"Căn nhà nhỏ [V]")</f>
        <v>Căn nhà nhỏ [V]</v>
      </c>
      <c r="G3119" s="8" t="str">
        <f>IFERROR(__xludf.DUMMYFUNCTION("GOOGLETRANSLATE(E3119,""zh-CN"",""vi"")"),"Một ngôi nhà nhỏ đơn giản, đủ tiện nghi để sinh sống. Hãy chế tạo nó để có được một cửa hàng tiện lợi [V].")</f>
        <v>Một ngôi nhà nhỏ đơn giản, đủ tiện nghi để sinh sống. Hãy chế tạo nó để có được một cửa hàng tiện lợi [V].</v>
      </c>
      <c r="H3119" s="8"/>
      <c r="I3119" s="8"/>
      <c r="J3119" s="8"/>
    </row>
    <row r="3120" ht="21.0" customHeight="1">
      <c r="A3120" s="6">
        <v>10.0</v>
      </c>
      <c r="B3120" s="6">
        <v>1068.0</v>
      </c>
      <c r="C3120" s="6">
        <v>5.0</v>
      </c>
      <c r="D3120" s="15" t="s">
        <v>5020</v>
      </c>
      <c r="E3120" s="9" t="s">
        <v>5021</v>
      </c>
      <c r="F3120" s="8" t="str">
        <f>IFERROR(__xludf.DUMMYFUNCTION("GOOGLETRANSLATE(D3120,""zh-CN"",""vi"")"),"Cửa hàng tiện lợi [V]")</f>
        <v>Cửa hàng tiện lợi [V]</v>
      </c>
      <c r="G3120" s="8" t="str">
        <f>IFERROR(__xludf.DUMMYFUNCTION("GOOGLETRANSLATE(E3120,""zh-CN"",""vi"")"),"Đồ uống lạnh, xúc xích nướng, đồ ăn nhẹ, hộp cơm bento—tất cả mọi thứ bạn có thể muốn. Kết hợp lại để có được một quán ramen [V].")</f>
        <v>Đồ uống lạnh, xúc xích nướng, đồ ăn nhẹ, hộp cơm bento—tất cả mọi thứ bạn có thể muốn. Kết hợp lại để có được một quán ramen [V].</v>
      </c>
      <c r="H3120" s="8"/>
      <c r="I3120" s="8"/>
      <c r="J3120" s="8"/>
    </row>
    <row r="3121" ht="21.0" customHeight="1">
      <c r="A3121" s="6">
        <v>10.0</v>
      </c>
      <c r="B3121" s="6">
        <v>1068.0</v>
      </c>
      <c r="C3121" s="6">
        <v>6.0</v>
      </c>
      <c r="D3121" s="15" t="s">
        <v>5022</v>
      </c>
      <c r="E3121" s="9" t="s">
        <v>5023</v>
      </c>
      <c r="F3121" s="8" t="str">
        <f>IFERROR(__xludf.DUMMYFUNCTION("GOOGLETRANSLATE(D3121,""zh-CN"",""vi"")"),"Quán Ramen [V]")</f>
        <v>Quán Ramen [V]</v>
      </c>
      <c r="G3121" s="8" t="str">
        <f>IFERROR(__xludf.DUMMYFUNCTION("GOOGLETRANSLATE(E3121,""zh-CN"",""vi"")"),"""Ông chủ, cho tôi một bát mì ramen tonkotsu."" (Hoàn thành quá trình tổng hợp để có được một khách sạn năm sao sang trọng [V])")</f>
        <v>"Ông chủ, cho tôi một bát mì ramen tonkotsu." (Hoàn thành quá trình tổng hợp để có được một khách sạn năm sao sang trọng [V])</v>
      </c>
      <c r="H3121" s="8"/>
      <c r="I3121" s="8"/>
      <c r="J3121" s="8"/>
    </row>
    <row r="3122" ht="21.0" customHeight="1">
      <c r="A3122" s="6">
        <v>10.0</v>
      </c>
      <c r="B3122" s="6">
        <v>1068.0</v>
      </c>
      <c r="C3122" s="6">
        <v>7.0</v>
      </c>
      <c r="D3122" s="15" t="s">
        <v>5024</v>
      </c>
      <c r="E3122" s="9" t="s">
        <v>5025</v>
      </c>
      <c r="F3122" s="8" t="str">
        <f>IFERROR(__xludf.DUMMYFUNCTION("GOOGLETRANSLATE(D3122,""zh-CN"",""vi"")"),"Khách sạn năm sao sang trọng [V]")</f>
        <v>Khách sạn năm sao sang trọng [V]</v>
      </c>
      <c r="G3122" s="8" t="str">
        <f>IFERROR(__xludf.DUMMYFUNCTION("GOOGLETRANSLATE(E3122,""zh-CN"",""vi"")"),"Vẫn phải là khách sạn mà chúng ta thường ở~ Tổng hợp lại để có được công viên giải trí [V]")</f>
        <v>Vẫn phải là khách sạn mà chúng ta thường ở~ Tổng hợp lại để có được công viên giải trí [V]</v>
      </c>
      <c r="H3122" s="8"/>
      <c r="I3122" s="8"/>
      <c r="J3122" s="8"/>
    </row>
    <row r="3123" ht="21.0" customHeight="1">
      <c r="A3123" s="6">
        <v>10.0</v>
      </c>
      <c r="B3123" s="6">
        <v>1068.0</v>
      </c>
      <c r="C3123" s="6">
        <v>8.0</v>
      </c>
      <c r="D3123" s="15" t="s">
        <v>5026</v>
      </c>
      <c r="E3123" s="9" t="s">
        <v>5027</v>
      </c>
      <c r="F3123" s="8" t="str">
        <f>IFERROR(__xludf.DUMMYFUNCTION("GOOGLETRANSLATE(D3123,""zh-CN"",""vi"")"),"Công viên giải trí [V]")</f>
        <v>Công viên giải trí [V]</v>
      </c>
      <c r="G3123" s="8" t="str">
        <f>IFERROR(__xludf.DUMMYFUNCTION("GOOGLETRANSLATE(E3123,""zh-CN"",""vi"")"),"Điều này cho phép bạn tái hiện lại cảnh trong một cuốn tiểu thuyết tình cảm của CEO, nơi ai đó thuê toàn bộ một rạp hát. Kết hợp các vật phẩm để có được Universal Studios [V].")</f>
        <v>Điều này cho phép bạn tái hiện lại cảnh trong một cuốn tiểu thuyết tình cảm của CEO, nơi ai đó thuê toàn bộ một rạp hát. Kết hợp các vật phẩm để có được Universal Studios [V].</v>
      </c>
      <c r="H3123" s="8"/>
      <c r="I3123" s="8"/>
      <c r="J3123" s="8"/>
    </row>
    <row r="3124" ht="21.0" customHeight="1">
      <c r="A3124" s="6">
        <v>10.0</v>
      </c>
      <c r="B3124" s="6">
        <v>1068.0</v>
      </c>
      <c r="C3124" s="6">
        <v>9.0</v>
      </c>
      <c r="D3124" s="15" t="s">
        <v>5028</v>
      </c>
      <c r="E3124" s="9" t="s">
        <v>5029</v>
      </c>
      <c r="F3124" s="8" t="str">
        <f>IFERROR(__xludf.DUMMYFUNCTION("GOOGLETRANSLATE(D3124,""zh-CN"",""vi"")"),"Universal Studios [V]")</f>
        <v>Universal Studios [V]</v>
      </c>
      <c r="G3124" s="8" t="str">
        <f>IFERROR(__xludf.DUMMYFUNCTION("GOOGLETRANSLATE(E3124,""zh-CN"",""vi"")"),"Cảm giác như bước vào một loạt thế giới khác vậy~ Tổng hợp để có được một hòn đảo nghỉ dưỡng riêng tư [V]")</f>
        <v>Cảm giác như bước vào một loạt thế giới khác vậy~ Tổng hợp để có được một hòn đảo nghỉ dưỡng riêng tư [V]</v>
      </c>
      <c r="H3124" s="8"/>
      <c r="I3124" s="8"/>
      <c r="J3124" s="8"/>
    </row>
    <row r="3125" ht="21.0" customHeight="1">
      <c r="A3125" s="6">
        <v>10.0</v>
      </c>
      <c r="B3125" s="6">
        <v>1068.0</v>
      </c>
      <c r="C3125" s="6">
        <v>10.0</v>
      </c>
      <c r="D3125" s="15" t="s">
        <v>5030</v>
      </c>
      <c r="E3125" s="9" t="s">
        <v>5011</v>
      </c>
      <c r="F3125" s="8" t="str">
        <f>IFERROR(__xludf.DUMMYFUNCTION("GOOGLETRANSLATE(D3125,""zh-CN"",""vi"")"),"Đảo nghỉ dưỡng tư nhân [V]")</f>
        <v>Đảo nghỉ dưỡng tư nhân [V]</v>
      </c>
      <c r="G3125" s="8" t="str">
        <f>IFERROR(__xludf.DUMMYFUNCTION("GOOGLETRANSLATE(E3125,""zh-CN"",""vi"")"),"Nắng, cát, sóng, nhưng không có thuyền trưởng già nào cả~ (Đã được tổng hợp đến cấp độ cao nhất)")</f>
        <v>Nắng, cát, sóng, nhưng không có thuyền trưởng già nào cả~ (Đã được tổng hợp đến cấp độ cao nhất)</v>
      </c>
      <c r="H3125" s="8"/>
      <c r="I3125" s="8"/>
      <c r="J3125" s="8"/>
    </row>
    <row r="3126" ht="21.0" customHeight="1">
      <c r="A3126" s="6">
        <v>1.0</v>
      </c>
      <c r="B3126" s="6">
        <v>245.0</v>
      </c>
      <c r="C3126" s="6">
        <v>1.0</v>
      </c>
      <c r="D3126" s="67" t="s">
        <v>5031</v>
      </c>
      <c r="E3126" s="9" t="s">
        <v>5032</v>
      </c>
      <c r="F3126" s="8" t="str">
        <f>IFERROR(__xludf.DUMMYFUNCTION("GOOGLETRANSLATE(D3126,""zh-CN"",""vi"")"),"dép vải")</f>
        <v>dép vải</v>
      </c>
      <c r="G3126" s="8" t="str">
        <f>IFERROR(__xludf.DUMMYFUNCTION("GOOGLETRANSLATE(E3126,""zh-CN"",""vi"")"),"Mềm mại và thơm ngát. Hãy tự tay làm những đôi sandal họa tiết hoa.")</f>
        <v>Mềm mại và thơm ngát. Hãy tự tay làm những đôi sandal họa tiết hoa.</v>
      </c>
      <c r="H3126" s="8"/>
      <c r="I3126" s="8"/>
      <c r="J3126" s="8"/>
    </row>
    <row r="3127" ht="21.0" customHeight="1">
      <c r="A3127" s="6">
        <v>1.0</v>
      </c>
      <c r="B3127" s="6">
        <v>245.0</v>
      </c>
      <c r="C3127" s="6">
        <v>2.0</v>
      </c>
      <c r="D3127" s="67" t="s">
        <v>5033</v>
      </c>
      <c r="E3127" s="9" t="s">
        <v>5034</v>
      </c>
      <c r="F3127" s="8" t="str">
        <f>IFERROR(__xludf.DUMMYFUNCTION("GOOGLETRANSLATE(D3127,""zh-CN"",""vi"")"),"Sandal hoa")</f>
        <v>Sandal hoa</v>
      </c>
      <c r="G3127" s="8" t="str">
        <f>IFERROR(__xludf.DUMMYFUNCTION("GOOGLETRANSLATE(E3127,""zh-CN"",""vi"")"),"Bông hoa nhỏ màu đỏ rất được các bé gái yêu thích. Hãy khéo tay làm ra những đôi sandal giản dị từ bông hoa này.")</f>
        <v>Bông hoa nhỏ màu đỏ rất được các bé gái yêu thích. Hãy khéo tay làm ra những đôi sandal giản dị từ bông hoa này.</v>
      </c>
      <c r="H3127" s="8"/>
      <c r="I3127" s="8"/>
      <c r="J3127" s="8"/>
    </row>
    <row r="3128" ht="21.0" customHeight="1">
      <c r="A3128" s="6">
        <v>1.0</v>
      </c>
      <c r="B3128" s="6">
        <v>245.0</v>
      </c>
      <c r="C3128" s="6">
        <v>3.0</v>
      </c>
      <c r="D3128" s="67" t="s">
        <v>5035</v>
      </c>
      <c r="E3128" s="9" t="s">
        <v>5036</v>
      </c>
      <c r="F3128" s="8" t="str">
        <f>IFERROR(__xludf.DUMMYFUNCTION("GOOGLETRANSLATE(D3128,""zh-CN"",""vi"")"),"dép xăng đan thông thường")</f>
        <v>dép xăng đan thông thường</v>
      </c>
      <c r="G3128" s="8" t="str">
        <f>IFERROR(__xludf.DUMMYFUNCTION("GOOGLETRANSLATE(E3128,""zh-CN"",""vi"")"),"Những đôi giày đơn giản nhưng đầy phong cách. Được chế tác từ chất liệu da mềm mại.")</f>
        <v>Những đôi giày đơn giản nhưng đầy phong cách. Được chế tác từ chất liệu da mềm mại.</v>
      </c>
      <c r="H3128" s="8"/>
      <c r="I3128" s="8"/>
      <c r="J3128" s="8"/>
    </row>
    <row r="3129" ht="21.0" customHeight="1">
      <c r="A3129" s="6">
        <v>1.0</v>
      </c>
      <c r="B3129" s="6">
        <v>245.0</v>
      </c>
      <c r="C3129" s="6">
        <v>4.0</v>
      </c>
      <c r="D3129" s="67" t="s">
        <v>5037</v>
      </c>
      <c r="E3129" s="9" t="s">
        <v>5038</v>
      </c>
      <c r="F3129" s="8" t="str">
        <f>IFERROR(__xludf.DUMMYFUNCTION("GOOGLETRANSLATE(D3129,""zh-CN"",""vi"")"),"Sandal da mềm")</f>
        <v>Sandal da mềm</v>
      </c>
      <c r="G3129" s="8" t="str">
        <f>IFERROR(__xludf.DUMMYFUNCTION("GOOGLETRANSLATE(E3129,""zh-CN"",""vi"")"),"Chúng cực kỳ thoải mái và thoáng mát khi mang. (Được thiết kế để trở thành giày công sở thường ngày)")</f>
        <v>Chúng cực kỳ thoải mái và thoáng mát khi mang. (Được thiết kế để trở thành giày công sở thường ngày)</v>
      </c>
      <c r="H3129" s="8"/>
      <c r="I3129" s="8"/>
      <c r="J3129" s="8"/>
    </row>
    <row r="3130" ht="21.0" customHeight="1">
      <c r="A3130" s="6">
        <v>1.0</v>
      </c>
      <c r="B3130" s="6">
        <v>245.0</v>
      </c>
      <c r="C3130" s="6">
        <v>5.0</v>
      </c>
      <c r="D3130" s="67" t="s">
        <v>5039</v>
      </c>
      <c r="E3130" s="9" t="s">
        <v>5040</v>
      </c>
      <c r="F3130" s="8" t="str">
        <f>IFERROR(__xludf.DUMMYFUNCTION("GOOGLETRANSLATE(D3130,""zh-CN"",""vi"")"),"Giày công sở thường ngày")</f>
        <v>Giày công sở thường ngày</v>
      </c>
      <c r="G3130" s="8" t="str">
        <f>IFERROR(__xludf.DUMMYFUNCTION("GOOGLETRANSLATE(E3130,""zh-CN"",""vi"")"),"Đây là đôi giày bạn cần để khoe với mọi người. Hãy chế tạo chúng để có được Giày Nơ.")</f>
        <v>Đây là đôi giày bạn cần để khoe với mọi người. Hãy chế tạo chúng để có được Giày Nơ.</v>
      </c>
      <c r="H3130" s="8"/>
      <c r="I3130" s="8"/>
      <c r="J3130" s="8"/>
    </row>
    <row r="3131" ht="21.0" customHeight="1">
      <c r="A3131" s="6">
        <v>1.0</v>
      </c>
      <c r="B3131" s="6">
        <v>245.0</v>
      </c>
      <c r="C3131" s="6">
        <v>6.0</v>
      </c>
      <c r="D3131" s="67" t="s">
        <v>5041</v>
      </c>
      <c r="E3131" s="9" t="s">
        <v>5042</v>
      </c>
      <c r="F3131" s="8" t="str">
        <f>IFERROR(__xludf.DUMMYFUNCTION("GOOGLETRANSLATE(D3131,""zh-CN"",""vi"")"),"Giày bệt thắt nơ")</f>
        <v>Giày bệt thắt nơ</v>
      </c>
      <c r="G3131" s="8" t="str">
        <f>IFERROR(__xludf.DUMMYFUNCTION("GOOGLETRANSLATE(E3131,""zh-CN"",""vi"")"),"Những đôi giày toát lên vẻ thanh lịch tinh tế. Được chế tác từ da thật cao cấp.")</f>
        <v>Những đôi giày toát lên vẻ thanh lịch tinh tế. Được chế tác từ da thật cao cấp.</v>
      </c>
      <c r="H3131" s="8"/>
      <c r="I3131" s="8"/>
      <c r="J3131" s="8"/>
    </row>
    <row r="3132" ht="21.0" customHeight="1">
      <c r="A3132" s="6">
        <v>1.0</v>
      </c>
      <c r="B3132" s="6">
        <v>245.0</v>
      </c>
      <c r="C3132" s="6">
        <v>7.0</v>
      </c>
      <c r="D3132" s="67" t="s">
        <v>5043</v>
      </c>
      <c r="E3132" s="9" t="s">
        <v>5044</v>
      </c>
      <c r="F3132" s="8" t="str">
        <f>IFERROR(__xludf.DUMMYFUNCTION("GOOGLETRANSLATE(D3132,""zh-CN"",""vi"")"),"Giày lười da thật")</f>
        <v>Giày lười da thật</v>
      </c>
      <c r="G3132" s="8" t="str">
        <f>IFERROR(__xludf.DUMMYFUNCTION("GOOGLETRANSLATE(E3132,""zh-CN"",""vi"")"),"Đôi giày hoàn hảo cho đồng phục nữ sinh! Tự tay thiết kế những đôi giày cao cấp.")</f>
        <v>Đôi giày hoàn hảo cho đồng phục nữ sinh! Tự tay thiết kế những đôi giày cao cấp.</v>
      </c>
      <c r="H3132" s="8"/>
      <c r="I3132" s="8"/>
      <c r="J3132" s="8"/>
    </row>
    <row r="3133" ht="21.0" customHeight="1">
      <c r="A3133" s="6">
        <v>1.0</v>
      </c>
      <c r="B3133" s="6">
        <v>245.0</v>
      </c>
      <c r="C3133" s="6">
        <v>8.0</v>
      </c>
      <c r="D3133" s="67" t="s">
        <v>5045</v>
      </c>
      <c r="E3133" s="9" t="s">
        <v>5046</v>
      </c>
      <c r="F3133" s="8" t="str">
        <f>IFERROR(__xludf.DUMMYFUNCTION("GOOGLETRANSLATE(D3133,""zh-CN"",""vi"")"),"Giày đơn cao cấp")</f>
        <v>Giày đơn cao cấp</v>
      </c>
      <c r="G3133" s="8" t="str">
        <f>IFERROR(__xludf.DUMMYFUNCTION("GOOGLETRANSLATE(E3133,""zh-CN"",""vi"")"),"Màu đen tượng trưng cho sự thanh lịch và quý phái. (Tổng hợp để tạo ra giày cao gót xẻ tà)")</f>
        <v>Màu đen tượng trưng cho sự thanh lịch và quý phái. (Tổng hợp để tạo ra giày cao gót xẻ tà)</v>
      </c>
      <c r="H3133" s="8"/>
      <c r="I3133" s="8"/>
      <c r="J3133" s="8"/>
    </row>
    <row r="3134" ht="21.0" customHeight="1">
      <c r="A3134" s="6">
        <v>1.0</v>
      </c>
      <c r="B3134" s="6">
        <v>245.0</v>
      </c>
      <c r="C3134" s="6">
        <v>9.0</v>
      </c>
      <c r="D3134" s="67" t="s">
        <v>5047</v>
      </c>
      <c r="E3134" s="9" t="s">
        <v>5048</v>
      </c>
      <c r="F3134" s="8" t="str">
        <f>IFERROR(__xludf.DUMMYFUNCTION("GOOGLETRANSLATE(D3134,""zh-CN"",""vi"")"),"Giày cao gót Slash")</f>
        <v>Giày cao gót Slash</v>
      </c>
      <c r="G3134" s="8" t="str">
        <f>IFERROR(__xludf.DUMMYFUNCTION("GOOGLETRANSLATE(E3134,""zh-CN"",""vi"")"),"Giày cao gót màu hồng, thêm chút lấp lánh như đá quý~ Kết hợp để có được đôi giày cao gót lấp lánh như bầu trời sao.")</f>
        <v>Giày cao gót màu hồng, thêm chút lấp lánh như đá quý~ Kết hợp để có được đôi giày cao gót lấp lánh như bầu trời sao.</v>
      </c>
      <c r="H3134" s="8"/>
      <c r="I3134" s="8"/>
      <c r="J3134" s="8"/>
    </row>
    <row r="3135" ht="21.0" customHeight="1">
      <c r="A3135" s="6">
        <v>1.0</v>
      </c>
      <c r="B3135" s="6">
        <v>245.0</v>
      </c>
      <c r="C3135" s="6">
        <v>10.0</v>
      </c>
      <c r="D3135" s="67" t="s">
        <v>5049</v>
      </c>
      <c r="E3135" s="9" t="s">
        <v>5050</v>
      </c>
      <c r="F3135" s="8" t="str">
        <f>IFERROR(__xludf.DUMMYFUNCTION("GOOGLETRANSLATE(D3135,""zh-CN"",""vi"")"),"Giày cao gót bầu trời sao")</f>
        <v>Giày cao gót bầu trời sao</v>
      </c>
      <c r="G3135" s="8" t="str">
        <f>IFERROR(__xludf.DUMMYFUNCTION("GOOGLETRANSLATE(E3135,""zh-CN"",""vi"")"),"Sự kết hợp màu đỏ và đen toát lên vẻ gợi cảm và thanh lịch ~ Kết hợp chúng để tạo nên đôi giày cao gót vải tweed.")</f>
        <v>Sự kết hợp màu đỏ và đen toát lên vẻ gợi cảm và thanh lịch ~ Kết hợp chúng để tạo nên đôi giày cao gót vải tweed.</v>
      </c>
      <c r="H3135" s="8"/>
      <c r="I3135" s="8"/>
      <c r="J3135" s="8"/>
    </row>
    <row r="3136" ht="21.0" customHeight="1">
      <c r="A3136" s="6">
        <v>1.0</v>
      </c>
      <c r="B3136" s="6">
        <v>245.0</v>
      </c>
      <c r="C3136" s="6">
        <v>11.0</v>
      </c>
      <c r="D3136" s="67" t="s">
        <v>5051</v>
      </c>
      <c r="E3136" s="9" t="s">
        <v>5052</v>
      </c>
      <c r="F3136" s="8" t="str">
        <f>IFERROR(__xludf.DUMMYFUNCTION("GOOGLETRANSLATE(D3136,""zh-CN"",""vi"")"),"giày cao gót vải tweed")</f>
        <v>giày cao gót vải tweed</v>
      </c>
      <c r="G3136" s="8" t="str">
        <f>IFERROR(__xludf.DUMMYFUNCTION("GOOGLETRANSLATE(E3136,""zh-CN"",""vi"")"),"Một đôi giày mang đậm phong cách nghệ thuật. (Được chế tác để có phần gót cao với khóa vuông)")</f>
        <v>Một đôi giày mang đậm phong cách nghệ thuật. (Được chế tác để có phần gót cao với khóa vuông)</v>
      </c>
      <c r="H3136" s="8"/>
      <c r="I3136" s="8"/>
      <c r="J3136" s="8"/>
    </row>
    <row r="3137" ht="21.0" customHeight="1">
      <c r="A3137" s="6">
        <v>1.0</v>
      </c>
      <c r="B3137" s="6">
        <v>245.0</v>
      </c>
      <c r="C3137" s="6">
        <v>12.0</v>
      </c>
      <c r="D3137" s="67" t="s">
        <v>5053</v>
      </c>
      <c r="E3137" s="9" t="s">
        <v>5054</v>
      </c>
      <c r="F3137" s="8" t="str">
        <f>IFERROR(__xludf.DUMMYFUNCTION("GOOGLETRANSLATE(D3137,""zh-CN"",""vi"")"),"giày cao gót khóa vuông")</f>
        <v>giày cao gót khóa vuông</v>
      </c>
      <c r="G3137" s="8" t="str">
        <f>IFERROR(__xludf.DUMMYFUNCTION("GOOGLETRANSLATE(E3137,""zh-CN"",""vi"")"),"Thiết kế độc đáo của chúng phản ánh gu thẩm mỹ tinh tế của chủ nhân. Kết hợp chúng lại để tạo thành đôi giày cao gót pha lê.")</f>
        <v>Thiết kế độc đáo của chúng phản ánh gu thẩm mỹ tinh tế của chủ nhân. Kết hợp chúng lại để tạo thành đôi giày cao gót pha lê.</v>
      </c>
      <c r="H3137" s="8"/>
      <c r="I3137" s="8"/>
      <c r="J3137" s="8"/>
    </row>
    <row r="3138" ht="21.0" customHeight="1">
      <c r="A3138" s="6">
        <v>1.0</v>
      </c>
      <c r="B3138" s="6">
        <v>245.0</v>
      </c>
      <c r="C3138" s="6">
        <v>13.0</v>
      </c>
      <c r="D3138" s="67" t="s">
        <v>5055</v>
      </c>
      <c r="E3138" s="9" t="s">
        <v>5056</v>
      </c>
      <c r="F3138" s="8" t="str">
        <f>IFERROR(__xludf.DUMMYFUNCTION("GOOGLETRANSLATE(D3138,""zh-CN"",""vi"")"),"Giày cao gót đính pha lê")</f>
        <v>Giày cao gót đính pha lê</v>
      </c>
      <c r="G3138" s="8" t="str">
        <f>IFERROR(__xludf.DUMMYFUNCTION("GOOGLETRANSLATE(E3138,""zh-CN"",""vi"")"),"Mặc nó sẽ khiến bạn cảm thấy như một nàng công chúa bước ra từ truyện cổ tích~ (Đã được tổng hợp đến cấp độ cao nhất)")</f>
        <v>Mặc nó sẽ khiến bạn cảm thấy như một nàng công chúa bước ra từ truyện cổ tích~ (Đã được tổng hợp đến cấp độ cao nhất)</v>
      </c>
      <c r="H3138" s="8"/>
      <c r="I3138" s="8"/>
      <c r="J3138" s="8"/>
    </row>
    <row r="3139" ht="21.0" customHeight="1">
      <c r="A3139" s="6">
        <v>1.0</v>
      </c>
      <c r="B3139" s="6">
        <v>246.0</v>
      </c>
      <c r="C3139" s="6">
        <v>1.0</v>
      </c>
      <c r="D3139" s="9" t="s">
        <v>5057</v>
      </c>
      <c r="E3139" s="9" t="s">
        <v>5058</v>
      </c>
      <c r="F3139" s="8" t="str">
        <f>IFERROR(__xludf.DUMMYFUNCTION("GOOGLETRANSLATE(D3139,""zh-CN"",""vi"")"),"Kẹp tóc sang trọng")</f>
        <v>Kẹp tóc sang trọng</v>
      </c>
      <c r="G3139" s="8" t="str">
        <f>IFERROR(__xludf.DUMMYFUNCTION("GOOGLETRANSLATE(E3139,""zh-CN"",""vi"")"),"Nó trông rất tinh tế và có kết cấu mềm mại. Một thỏi son môi cao cấp đã được tổng hợp từ nó.")</f>
        <v>Nó trông rất tinh tế và có kết cấu mềm mại. Một thỏi son môi cao cấp đã được tổng hợp từ nó.</v>
      </c>
      <c r="H3139" s="8"/>
      <c r="I3139" s="8"/>
      <c r="J3139" s="8"/>
    </row>
    <row r="3140" ht="21.0" customHeight="1">
      <c r="A3140" s="6">
        <v>1.0</v>
      </c>
      <c r="B3140" s="6">
        <v>246.0</v>
      </c>
      <c r="C3140" s="6">
        <v>2.0</v>
      </c>
      <c r="D3140" s="9" t="s">
        <v>5059</v>
      </c>
      <c r="E3140" s="9" t="s">
        <v>5060</v>
      </c>
      <c r="F3140" s="8" t="str">
        <f>IFERROR(__xludf.DUMMYFUNCTION("GOOGLETRANSLATE(D3140,""zh-CN"",""vi"")"),"Son môi cao cấp")</f>
        <v>Son môi cao cấp</v>
      </c>
      <c r="G3140" s="8" t="str">
        <f>IFERROR(__xludf.DUMMYFUNCTION("GOOGLETRANSLATE(E3140,""zh-CN"",""vi"")"),"Tôi đã quen với nó và thấy nó dễ sử dụng, nhưng tôi chưa so sánh nó với các phần mềm khác. (Điều này liên quan đến việc tổng hợp nước hoa cao cấp.)")</f>
        <v>Tôi đã quen với nó và thấy nó dễ sử dụng, nhưng tôi chưa so sánh nó với các phần mềm khác. (Điều này liên quan đến việc tổng hợp nước hoa cao cấp.)</v>
      </c>
      <c r="H3140" s="8"/>
      <c r="I3140" s="8"/>
      <c r="J3140" s="8"/>
    </row>
    <row r="3141" ht="21.0" customHeight="1">
      <c r="A3141" s="6">
        <v>1.0</v>
      </c>
      <c r="B3141" s="6">
        <v>246.0</v>
      </c>
      <c r="C3141" s="6">
        <v>3.0</v>
      </c>
      <c r="D3141" s="9" t="s">
        <v>5061</v>
      </c>
      <c r="E3141" s="9" t="s">
        <v>5062</v>
      </c>
      <c r="F3141" s="8" t="str">
        <f>IFERROR(__xludf.DUMMYFUNCTION("GOOGLETRANSLATE(D3141,""zh-CN"",""vi"")"),"Nước hoa cao cấp")</f>
        <v>Nước hoa cao cấp</v>
      </c>
      <c r="G3141" s="8" t="str">
        <f>IFERROR(__xludf.DUMMYFUNCTION("GOOGLETRANSLATE(E3141,""zh-CN"",""vi"")"),"Mùi hương lưu giữ lâu và dễ chịu tự nhiên. Một loại nước hoa cao cấp được sản xuất tổng hợp.")</f>
        <v>Mùi hương lưu giữ lâu và dễ chịu tự nhiên. Một loại nước hoa cao cấp được sản xuất tổng hợp.</v>
      </c>
      <c r="H3141" s="8"/>
      <c r="I3141" s="8"/>
      <c r="J3141" s="8"/>
    </row>
    <row r="3142" ht="21.0" customHeight="1">
      <c r="A3142" s="6">
        <v>1.0</v>
      </c>
      <c r="B3142" s="6">
        <v>246.0</v>
      </c>
      <c r="C3142" s="6">
        <v>4.0</v>
      </c>
      <c r="D3142" s="9" t="s">
        <v>5063</v>
      </c>
      <c r="E3142" s="9" t="s">
        <v>5064</v>
      </c>
      <c r="F3142" s="8" t="str">
        <f>IFERROR(__xludf.DUMMYFUNCTION("GOOGLETRANSLATE(D3142,""zh-CN"",""vi"")"),"Nước hoa cao cấp")</f>
        <v>Nước hoa cao cấp</v>
      </c>
      <c r="G3142" s="8" t="str">
        <f>IFERROR(__xludf.DUMMYFUNCTION("GOOGLETRANSLATE(E3142,""zh-CN"",""vi"")"),"Loại lăn khử mùi thông thường, chỉ khác là dạng xịt. (Được chế tạo để có được những chiếc túi xách hàng hiệu cao cấp.)")</f>
        <v>Loại lăn khử mùi thông thường, chỉ khác là dạng xịt. (Được chế tạo để có được những chiếc túi xách hàng hiệu cao cấp.)</v>
      </c>
      <c r="H3142" s="8"/>
      <c r="I3142" s="8"/>
      <c r="J3142" s="8"/>
    </row>
    <row r="3143" ht="21.0" customHeight="1">
      <c r="A3143" s="6">
        <v>1.0</v>
      </c>
      <c r="B3143" s="6">
        <v>246.0</v>
      </c>
      <c r="C3143" s="6">
        <v>5.0</v>
      </c>
      <c r="D3143" s="9" t="s">
        <v>5065</v>
      </c>
      <c r="E3143" s="9" t="s">
        <v>5066</v>
      </c>
      <c r="F3143" s="8" t="str">
        <f>IFERROR(__xludf.DUMMYFUNCTION("GOOGLETRANSLATE(D3143,""zh-CN"",""vi"")"),"Túi xách sang trọng")</f>
        <v>Túi xách sang trọng</v>
      </c>
      <c r="G3143" s="8" t="str">
        <f>IFERROR(__xludf.DUMMYFUNCTION("GOOGLETRANSLATE(E3143,""zh-CN"",""vi"")"),"Tôi có cả một tủ đầy những chiếc vòng cổ khác nhau mà tôi đeo mỗi ngày. Tôi có thể chế tác chúng để tạo ra một chiếc vòng cổ sang trọng.")</f>
        <v>Tôi có cả một tủ đầy những chiếc vòng cổ khác nhau mà tôi đeo mỗi ngày. Tôi có thể chế tác chúng để tạo ra một chiếc vòng cổ sang trọng.</v>
      </c>
      <c r="H3143" s="8"/>
      <c r="I3143" s="8"/>
      <c r="J3143" s="8"/>
    </row>
    <row r="3144" ht="21.0" customHeight="1">
      <c r="A3144" s="6">
        <v>1.0</v>
      </c>
      <c r="B3144" s="6">
        <v>246.0</v>
      </c>
      <c r="C3144" s="6">
        <v>6.0</v>
      </c>
      <c r="D3144" s="9" t="s">
        <v>5067</v>
      </c>
      <c r="E3144" s="9" t="s">
        <v>5068</v>
      </c>
      <c r="F3144" s="8" t="str">
        <f>IFERROR(__xludf.DUMMYFUNCTION("GOOGLETRANSLATE(D3144,""zh-CN"",""vi"")"),"Dây chuyền sang trọng")</f>
        <v>Dây chuyền sang trọng</v>
      </c>
      <c r="G3144" s="8" t="str">
        <f>IFERROR(__xludf.DUMMYFUNCTION("GOOGLETRANSLATE(E3144,""zh-CN"",""vi"")"),"Khi tâm trạng không tốt, tôi sẽ thay ba đôi bông tai mỗi ngày. (Đây là cách nói ví von về việc chế tác những đôi bông tai cao cấp.)")</f>
        <v>Khi tâm trạng không tốt, tôi sẽ thay ba đôi bông tai mỗi ngày. (Đây là cách nói ví von về việc chế tác những đôi bông tai cao cấp.)</v>
      </c>
      <c r="H3144" s="8"/>
      <c r="I3144" s="8"/>
      <c r="J3144" s="8"/>
    </row>
    <row r="3145" ht="21.0" customHeight="1">
      <c r="A3145" s="6">
        <v>1.0</v>
      </c>
      <c r="B3145" s="6">
        <v>246.0</v>
      </c>
      <c r="C3145" s="6">
        <v>7.0</v>
      </c>
      <c r="D3145" s="9" t="s">
        <v>5069</v>
      </c>
      <c r="E3145" s="9" t="s">
        <v>5070</v>
      </c>
      <c r="F3145" s="8" t="str">
        <f>IFERROR(__xludf.DUMMYFUNCTION("GOOGLETRANSLATE(D3145,""zh-CN"",""vi"")"),"Bông tai sang trọng")</f>
        <v>Bông tai sang trọng</v>
      </c>
      <c r="G3145" s="8" t="str">
        <f>IFERROR(__xludf.DUMMYFUNCTION("GOOGLETRANSLATE(E3145,""zh-CN"",""vi"")"),"Người ta nói những viên ngọc lục bảo trên đó rất quý giá, nhưng ai quan tâm chứ? Hãy tổng hợp chúng để có được một chiếc nhẫn kim cương sang trọng.")</f>
        <v>Người ta nói những viên ngọc lục bảo trên đó rất quý giá, nhưng ai quan tâm chứ? Hãy tổng hợp chúng để có được một chiếc nhẫn kim cương sang trọng.</v>
      </c>
      <c r="H3145" s="8"/>
      <c r="I3145" s="8"/>
      <c r="J3145" s="8"/>
    </row>
    <row r="3146" ht="21.0" customHeight="1">
      <c r="A3146" s="6">
        <v>1.0</v>
      </c>
      <c r="B3146" s="6">
        <v>246.0</v>
      </c>
      <c r="C3146" s="6">
        <v>8.0</v>
      </c>
      <c r="D3146" s="9" t="s">
        <v>5071</v>
      </c>
      <c r="E3146" s="9" t="s">
        <v>5072</v>
      </c>
      <c r="F3146" s="8" t="str">
        <f>IFERROR(__xludf.DUMMYFUNCTION("GOOGLETRANSLATE(D3146,""zh-CN"",""vi"")"),"Nhẫn kim cương sang trọng")</f>
        <v>Nhẫn kim cương sang trọng</v>
      </c>
      <c r="G3146" s="8" t="str">
        <f>IFERROR(__xludf.DUMMYFUNCTION("GOOGLETRANSLATE(E3146,""zh-CN"",""vi"")"),"Theo yêu cầu của tôi, nó đã được tạo hình thành hình một chú thỏ. Sau đó, hình dạng này được sử dụng để tổng hợp thành những chiếc kính mắt cao cấp.")</f>
        <v>Theo yêu cầu của tôi, nó đã được tạo hình thành hình một chú thỏ. Sau đó, hình dạng này được sử dụng để tổng hợp thành những chiếc kính mắt cao cấp.</v>
      </c>
      <c r="H3146" s="8"/>
      <c r="I3146" s="8"/>
      <c r="J3146" s="8"/>
    </row>
    <row r="3147" ht="21.0" customHeight="1">
      <c r="A3147" s="6">
        <v>1.0</v>
      </c>
      <c r="B3147" s="6">
        <v>246.0</v>
      </c>
      <c r="C3147" s="6">
        <v>9.0</v>
      </c>
      <c r="D3147" s="9" t="s">
        <v>5073</v>
      </c>
      <c r="E3147" s="9" t="s">
        <v>5074</v>
      </c>
      <c r="F3147" s="8" t="str">
        <f>IFERROR(__xludf.DUMMYFUNCTION("GOOGLETRANSLATE(D3147,""zh-CN"",""vi"")"),"Kính mắt cao cấp")</f>
        <v>Kính mắt cao cấp</v>
      </c>
      <c r="G3147" s="8" t="str">
        <f>IFERROR(__xludf.DUMMYFUNCTION("GOOGLETRANSLATE(E3147,""zh-CN"",""vi"")"),"Mỗi khi cảm thấy buồn, tôi thường đeo chiếc kính này và lái xe đi dạo. (Chế tác chiếc kính này sẽ cho ra Trâm cài Cành Vàng và Lá Ngọc.)")</f>
        <v>Mỗi khi cảm thấy buồn, tôi thường đeo chiếc kính này và lái xe đi dạo. (Chế tác chiếc kính này sẽ cho ra Trâm cài Cành Vàng và Lá Ngọc.)</v>
      </c>
      <c r="H3147" s="8"/>
      <c r="I3147" s="8"/>
      <c r="J3147" s="8"/>
    </row>
    <row r="3148" ht="21.0" customHeight="1">
      <c r="A3148" s="6">
        <v>1.0</v>
      </c>
      <c r="B3148" s="6">
        <v>246.0</v>
      </c>
      <c r="C3148" s="6">
        <v>10.0</v>
      </c>
      <c r="D3148" s="9" t="s">
        <v>5075</v>
      </c>
      <c r="E3148" s="9" t="s">
        <v>5076</v>
      </c>
      <c r="F3148" s="8" t="str">
        <f>IFERROR(__xludf.DUMMYFUNCTION("GOOGLETRANSLATE(D3148,""zh-CN"",""vi"")"),"Trâm cài áo hình cành vàng lá ngọc bích")</f>
        <v>Trâm cài áo hình cành vàng lá ngọc bích</v>
      </c>
      <c r="G3148" s="8" t="str">
        <f>IFERROR(__xludf.DUMMYFUNCTION("GOOGLETRANSLATE(E3148,""zh-CN"",""vi"")"),"Tôi sẽ đeo nó trong những dịp trang trọng, nhưng cá nhân tôi không thích nó lắm. (Chiếc đồng hồ Romantic Universe được chế tạo trong game.)")</f>
        <v>Tôi sẽ đeo nó trong những dịp trang trọng, nhưng cá nhân tôi không thích nó lắm. (Chiếc đồng hồ Romantic Universe được chế tạo trong game.)</v>
      </c>
      <c r="H3148" s="8"/>
      <c r="I3148" s="8"/>
      <c r="J3148" s="8"/>
    </row>
    <row r="3149" ht="21.0" customHeight="1">
      <c r="A3149" s="6">
        <v>1.0</v>
      </c>
      <c r="B3149" s="6">
        <v>246.0</v>
      </c>
      <c r="C3149" s="6">
        <v>11.0</v>
      </c>
      <c r="D3149" s="9" t="s">
        <v>5077</v>
      </c>
      <c r="E3149" s="9" t="s">
        <v>5078</v>
      </c>
      <c r="F3149" s="8" t="str">
        <f>IFERROR(__xludf.DUMMYFUNCTION("GOOGLETRANSLATE(D3149,""zh-CN"",""vi"")"),"Đồng hồ thế giới lãng mạn")</f>
        <v>Đồng hồ thế giới lãng mạn</v>
      </c>
      <c r="G3149" s="8" t="str">
        <f>IFERROR(__xludf.DUMMYFUNCTION("GOOGLETRANSLATE(E3149,""zh-CN"",""vi"")"),"Mặc dù thiết kế không quá nổi bật, nhưng chất lượng chế tác lại vô cùng tinh xảo. Mặt dây chuyền Forest Heart được tạo ra thông qua quá trình chế tác.")</f>
        <v>Mặc dù thiết kế không quá nổi bật, nhưng chất lượng chế tác lại vô cùng tinh xảo. Mặt dây chuyền Forest Heart được tạo ra thông qua quá trình chế tác.</v>
      </c>
      <c r="H3149" s="8"/>
      <c r="I3149" s="8"/>
      <c r="J3149" s="8"/>
    </row>
    <row r="3150" ht="21.0" customHeight="1">
      <c r="A3150" s="6">
        <v>1.0</v>
      </c>
      <c r="B3150" s="6">
        <v>246.0</v>
      </c>
      <c r="C3150" s="6">
        <v>12.0</v>
      </c>
      <c r="D3150" s="9" t="s">
        <v>5079</v>
      </c>
      <c r="E3150" s="9" t="s">
        <v>5080</v>
      </c>
      <c r="F3150" s="8" t="str">
        <f>IFERROR(__xludf.DUMMYFUNCTION("GOOGLETRANSLATE(D3150,""zh-CN"",""vi"")"),"Mặt dây chuyền Trái tim của khu rừng")</f>
        <v>Mặt dây chuyền Trái tim của khu rừng</v>
      </c>
      <c r="G3150" s="8" t="str">
        <f>IFERROR(__xludf.DUMMYFUNCTION("GOOGLETRANSLATE(E3150,""zh-CN"",""vi"")"),"Nó dường như chứa đựng sức mạnh của cả một khu rừng. Hãy kết hợp để có được bộ trang phục thời trang cao cấp Trend Night Haute Couture.")</f>
        <v>Nó dường như chứa đựng sức mạnh của cả một khu rừng. Hãy kết hợp để có được bộ trang phục thời trang cao cấp Trend Night Haute Couture.</v>
      </c>
      <c r="H3150" s="8"/>
      <c r="I3150" s="8"/>
      <c r="J3150" s="8"/>
    </row>
    <row r="3151" ht="21.0" customHeight="1">
      <c r="A3151" s="6">
        <v>1.0</v>
      </c>
      <c r="B3151" s="6">
        <v>246.0</v>
      </c>
      <c r="C3151" s="6">
        <v>13.0</v>
      </c>
      <c r="D3151" s="9" t="s">
        <v>5081</v>
      </c>
      <c r="E3151" s="9" t="s">
        <v>5082</v>
      </c>
      <c r="F3151" s="8" t="str">
        <f>IFERROR(__xludf.DUMMYFUNCTION("GOOGLETRANSLATE(D3151,""zh-CN"",""vi"")"),"Thời trang cao cấp ban đêm đầy xu hướng")</f>
        <v>Thời trang cao cấp ban đêm đầy xu hướng</v>
      </c>
      <c r="G3151" s="8" t="str">
        <f>IFERROR(__xludf.DUMMYFUNCTION("GOOGLETRANSLATE(E3151,""zh-CN"",""vi"")"),"Những bộ trang phục may đo riêng mà tôi mặc trong tuần lễ thời trang vừa qua đã trở thành tâm điểm chú ý—chúng đã được nâng cấp lên chất lượng cao nhất.")</f>
        <v>Những bộ trang phục may đo riêng mà tôi mặc trong tuần lễ thời trang vừa qua đã trở thành tâm điểm chú ý—chúng đã được nâng cấp lên chất lượng cao nhất.</v>
      </c>
      <c r="H3151" s="8"/>
      <c r="I3151" s="8"/>
      <c r="J3151" s="8"/>
    </row>
    <row r="3152" ht="21.0" customHeight="1">
      <c r="A3152" s="6">
        <v>1.0</v>
      </c>
      <c r="B3152" s="6">
        <v>247.0</v>
      </c>
      <c r="C3152" s="6">
        <v>1.0</v>
      </c>
      <c r="D3152" s="15" t="s">
        <v>5083</v>
      </c>
      <c r="E3152" s="9" t="s">
        <v>5084</v>
      </c>
      <c r="F3152" s="8" t="str">
        <f>IFERROR(__xludf.DUMMYFUNCTION("GOOGLETRANSLATE(D3152,""zh-CN"",""vi"")"),"Thư mời dự tiệc")</f>
        <v>Thư mời dự tiệc</v>
      </c>
      <c r="G3152" s="8" t="str">
        <f>IFERROR(__xludf.DUMMYFUNCTION("GOOGLETRANSLATE(E3152,""zh-CN"",""vi"")"),"""Bạn được trân trọng mời tham dự một buổi tiệc riêng tư, sang trọng."" (Tổng hợp để có được mẫu vẽ móng Icy Pure Desire Nail Art)")</f>
        <v>"Bạn được trân trọng mời tham dự một buổi tiệc riêng tư, sang trọng." (Tổng hợp để có được mẫu vẽ móng Icy Pure Desire Nail Art)</v>
      </c>
      <c r="H3152" s="8"/>
      <c r="I3152" s="8"/>
      <c r="J3152" s="8"/>
    </row>
    <row r="3153" ht="21.0" customHeight="1">
      <c r="A3153" s="6">
        <v>1.0</v>
      </c>
      <c r="B3153" s="6">
        <v>247.0</v>
      </c>
      <c r="C3153" s="6">
        <v>2.0</v>
      </c>
      <c r="D3153" s="9" t="s">
        <v>5085</v>
      </c>
      <c r="E3153" s="9" t="s">
        <v>5086</v>
      </c>
      <c r="F3153" s="8" t="str">
        <f>IFERROR(__xludf.DUMMYFUNCTION("GOOGLETRANSLATE(D3153,""zh-CN"",""vi"")"),"Nghệ thuật vẽ móng Icy Pure Desire")</f>
        <v>Nghệ thuật vẽ móng Icy Pure Desire</v>
      </c>
      <c r="G3153" s="8" t="str">
        <f>IFERROR(__xludf.DUMMYFUNCTION("GOOGLETRANSLATE(E3153,""zh-CN"",""vi"")"),"Khi buồn chán, hãy đi làm móng tay đắt tiền nhất. (Nghi lễ trà đạo)")</f>
        <v>Khi buồn chán, hãy đi làm móng tay đắt tiền nhất. (Nghi lễ trà đạo)</v>
      </c>
      <c r="H3153" s="8"/>
      <c r="I3153" s="8"/>
      <c r="J3153" s="8"/>
    </row>
    <row r="3154" ht="21.0" customHeight="1">
      <c r="A3154" s="6">
        <v>1.0</v>
      </c>
      <c r="B3154" s="6">
        <v>247.0</v>
      </c>
      <c r="C3154" s="6">
        <v>3.0</v>
      </c>
      <c r="D3154" s="15" t="s">
        <v>5087</v>
      </c>
      <c r="E3154" s="9" t="s">
        <v>5088</v>
      </c>
      <c r="F3154" s="8" t="str">
        <f>IFERROR(__xludf.DUMMYFUNCTION("GOOGLETRANSLATE(D3154,""zh-CN"",""vi"")"),"Trà đạo")</f>
        <v>Trà đạo</v>
      </c>
      <c r="G3154" s="8" t="str">
        <f>IFERROR(__xludf.DUMMYFUNCTION("GOOGLETRANSLATE(E3154,""zh-CN"",""vi"")"),"Cậu ấy không học hành nghiêm túc, nhưng lại rất giỏi chơi đùa. (Cậu ấy có thể tổng hợp các loài hoa để tạo thành một bó hoa.)")</f>
        <v>Cậu ấy không học hành nghiêm túc, nhưng lại rất giỏi chơi đùa. (Cậu ấy có thể tổng hợp các loài hoa để tạo thành một bó hoa.)</v>
      </c>
      <c r="H3154" s="8"/>
      <c r="I3154" s="8"/>
      <c r="J3154" s="8"/>
    </row>
    <row r="3155" ht="21.0" customHeight="1">
      <c r="A3155" s="6">
        <v>1.0</v>
      </c>
      <c r="B3155" s="6">
        <v>247.0</v>
      </c>
      <c r="C3155" s="6">
        <v>4.0</v>
      </c>
      <c r="D3155" s="15" t="s">
        <v>5089</v>
      </c>
      <c r="E3155" s="9" t="s">
        <v>5090</v>
      </c>
      <c r="F3155" s="8" t="str">
        <f>IFERROR(__xludf.DUMMYFUNCTION("GOOGLETRANSLATE(D3155,""zh-CN"",""vi"")"),"Cắm hoa")</f>
        <v>Cắm hoa</v>
      </c>
      <c r="G3155" s="8" t="str">
        <f>IFERROR(__xludf.DUMMYFUNCTION("GOOGLETRANSLATE(E3155,""zh-CN"",""vi"")"),"Lớp học cắm hoa, giờ thì ngủ bù thôi~ (Đồ thủ công để đi mua sắm)")</f>
        <v>Lớp học cắm hoa, giờ thì ngủ bù thôi~ (Đồ thủ công để đi mua sắm)</v>
      </c>
      <c r="H3155" s="8"/>
      <c r="I3155" s="8"/>
      <c r="J3155" s="8"/>
    </row>
    <row r="3156" ht="21.0" customHeight="1">
      <c r="A3156" s="6">
        <v>1.0</v>
      </c>
      <c r="B3156" s="6">
        <v>247.0</v>
      </c>
      <c r="C3156" s="6">
        <v>5.0</v>
      </c>
      <c r="D3156" s="15" t="s">
        <v>5091</v>
      </c>
      <c r="E3156" s="9" t="s">
        <v>5092</v>
      </c>
      <c r="F3156" s="8" t="str">
        <f>IFERROR(__xludf.DUMMYFUNCTION("GOOGLETRANSLATE(D3156,""zh-CN"",""vi"")"),"Mua sắm")</f>
        <v>Mua sắm</v>
      </c>
      <c r="G3156" s="8" t="str">
        <f>IFERROR(__xludf.DUMMYFUNCTION("GOOGLETRANSLATE(E3156,""zh-CN"",""vi"")"),"Tôi muốn mọi thứ trừ hai thứ này. Làm đồ thủ công sẽ cho tôi một bồn tắm bong bóng.")</f>
        <v>Tôi muốn mọi thứ trừ hai thứ này. Làm đồ thủ công sẽ cho tôi một bồn tắm bong bóng.</v>
      </c>
      <c r="H3156" s="8"/>
      <c r="I3156" s="8"/>
      <c r="J3156" s="8"/>
    </row>
    <row r="3157" ht="21.0" customHeight="1">
      <c r="A3157" s="6">
        <v>1.0</v>
      </c>
      <c r="B3157" s="6">
        <v>247.0</v>
      </c>
      <c r="C3157" s="6">
        <v>6.0</v>
      </c>
      <c r="D3157" s="15" t="s">
        <v>5093</v>
      </c>
      <c r="E3157" s="9" t="s">
        <v>5094</v>
      </c>
      <c r="F3157" s="8" t="str">
        <f>IFERROR(__xludf.DUMMYFUNCTION("GOOGLETRANSLATE(D3157,""zh-CN"",""vi"")"),"tắm bọt")</f>
        <v>tắm bọt</v>
      </c>
      <c r="G3157" s="8" t="str">
        <f>IFERROR(__xludf.DUMMYFUNCTION("GOOGLETRANSLATE(E3157,""zh-CN"",""vi"")"),"Tắm bồn trong khi xem TV thật thư giãn! (Ghép lại để có được High Ball)")</f>
        <v>Tắm bồn trong khi xem TV thật thư giãn! (Ghép lại để có được High Ball)</v>
      </c>
      <c r="H3157" s="8"/>
      <c r="I3157" s="8"/>
      <c r="J3157" s="8"/>
    </row>
    <row r="3158" ht="21.0" customHeight="1">
      <c r="A3158" s="6">
        <v>1.0</v>
      </c>
      <c r="B3158" s="6">
        <v>247.0</v>
      </c>
      <c r="C3158" s="6">
        <v>7.0</v>
      </c>
      <c r="D3158" s="15" t="s">
        <v>5095</v>
      </c>
      <c r="E3158" s="9" t="s">
        <v>5096</v>
      </c>
      <c r="F3158" s="8" t="str">
        <f>IFERROR(__xludf.DUMMYFUNCTION("GOOGLETRANSLATE(D3158,""zh-CN"",""vi"")"),"Quả bóng cao cấp")</f>
        <v>Quả bóng cao cấp</v>
      </c>
      <c r="G3158" s="8" t="str">
        <f>IFERROR(__xludf.DUMMYFUNCTION("GOOGLETRANSLATE(E3158,""zh-CN"",""vi"")"),"Khi có hứng, tôi có thể đến một bữa tiệc khiêu vũ, rồi chặn những người mới tham gia. (Đây là một cơ chế trong game cho phép bạn tạo ra các buổi hòa nhạc.)")</f>
        <v>Khi có hứng, tôi có thể đến một bữa tiệc khiêu vũ, rồi chặn những người mới tham gia. (Đây là một cơ chế trong game cho phép bạn tạo ra các buổi hòa nhạc.)</v>
      </c>
      <c r="H3158" s="8"/>
      <c r="I3158" s="8"/>
      <c r="J3158" s="8"/>
    </row>
    <row r="3159" ht="21.0" customHeight="1">
      <c r="A3159" s="6">
        <v>1.0</v>
      </c>
      <c r="B3159" s="6">
        <v>247.0</v>
      </c>
      <c r="C3159" s="6">
        <v>8.0</v>
      </c>
      <c r="D3159" s="15" t="s">
        <v>5097</v>
      </c>
      <c r="E3159" s="9" t="s">
        <v>5098</v>
      </c>
      <c r="F3159" s="8" t="str">
        <f>IFERROR(__xludf.DUMMYFUNCTION("GOOGLETRANSLATE(D3159,""zh-CN"",""vi"")"),"buổi hòa nhạc")</f>
        <v>buổi hòa nhạc</v>
      </c>
      <c r="G3159" s="8" t="str">
        <f>IFERROR(__xludf.DUMMYFUNCTION("GOOGLETRANSLATE(E3159,""zh-CN"",""vi"")"),"Chất lượng giấc ngủ trong suốt buổi hòa nhạc tốt hơn đáng kể so với bình thường. (Thu thập tổng hợp các bộ sưu tập nghệ thuật)")</f>
        <v>Chất lượng giấc ngủ trong suốt buổi hòa nhạc tốt hơn đáng kể so với bình thường. (Thu thập tổng hợp các bộ sưu tập nghệ thuật)</v>
      </c>
      <c r="H3159" s="8"/>
      <c r="I3159" s="8"/>
      <c r="J3159" s="8"/>
    </row>
    <row r="3160" ht="21.0" customHeight="1">
      <c r="A3160" s="6">
        <v>1.0</v>
      </c>
      <c r="B3160" s="6">
        <v>247.0</v>
      </c>
      <c r="C3160" s="6">
        <v>9.0</v>
      </c>
      <c r="D3160" s="15" t="s">
        <v>5099</v>
      </c>
      <c r="E3160" s="9" t="s">
        <v>5100</v>
      </c>
      <c r="F3160" s="8" t="str">
        <f>IFERROR(__xludf.DUMMYFUNCTION("GOOGLETRANSLATE(D3160,""zh-CN"",""vi"")"),"Bộ sưu tập nghệ thuật")</f>
        <v>Bộ sưu tập nghệ thuật</v>
      </c>
      <c r="G3160" s="8" t="str">
        <f>IFERROR(__xludf.DUMMYFUNCTION("GOOGLETRANSLATE(E3160,""zh-CN"",""vi"")"),"Tôi không hiểu về nghệ thuật; tôi chỉ thích cảm giác hồi hộp khi tham gia đấu giá. (Hãy tự tay kết một bó hoa lãng mạn khổng lồ.)")</f>
        <v>Tôi không hiểu về nghệ thuật; tôi chỉ thích cảm giác hồi hộp khi tham gia đấu giá. (Hãy tự tay kết một bó hoa lãng mạn khổng lồ.)</v>
      </c>
      <c r="H3160" s="8"/>
      <c r="I3160" s="8"/>
      <c r="J3160" s="8"/>
    </row>
    <row r="3161" ht="21.0" customHeight="1">
      <c r="A3161" s="6">
        <v>1.0</v>
      </c>
      <c r="B3161" s="6">
        <v>247.0</v>
      </c>
      <c r="C3161" s="6">
        <v>10.0</v>
      </c>
      <c r="D3161" s="15" t="s">
        <v>5101</v>
      </c>
      <c r="E3161" s="9" t="s">
        <v>5102</v>
      </c>
      <c r="F3161" s="8" t="str">
        <f>IFERROR(__xludf.DUMMYFUNCTION("GOOGLETRANSLATE(D3161,""zh-CN"",""vi"")"),"Bó hoa lãng mạn khổng lồ")</f>
        <v>Bó hoa lãng mạn khổng lồ</v>
      </c>
      <c r="G3161" s="8" t="str">
        <f>IFERROR(__xludf.DUMMYFUNCTION("GOOGLETRANSLATE(E3161,""zh-CN"",""vi"")"),"Đây là một điều hiếm hoi mà tôi thấy thú vị. Tổng hợp lại để tạo ra Trà chiều của các chị em.")</f>
        <v>Đây là một điều hiếm hoi mà tôi thấy thú vị. Tổng hợp lại để tạo ra Trà chiều của các chị em.</v>
      </c>
      <c r="H3161" s="8"/>
      <c r="I3161" s="8"/>
      <c r="J3161" s="8"/>
    </row>
    <row r="3162" ht="21.0" customHeight="1">
      <c r="A3162" s="6">
        <v>1.0</v>
      </c>
      <c r="B3162" s="6">
        <v>247.0</v>
      </c>
      <c r="C3162" s="6">
        <v>11.0</v>
      </c>
      <c r="D3162" s="15" t="s">
        <v>5103</v>
      </c>
      <c r="E3162" s="9" t="s">
        <v>5104</v>
      </c>
      <c r="F3162" s="8" t="str">
        <f>IFERROR(__xludf.DUMMYFUNCTION("GOOGLETRANSLATE(D3162,""zh-CN"",""vi"")"),"Trà chiều của các chị em")</f>
        <v>Trà chiều của các chị em</v>
      </c>
      <c r="G3162" s="8" t="str">
        <f>IFERROR(__xludf.DUMMYFUNCTION("GOOGLETRANSLATE(E3162,""zh-CN"",""vi"")"),"Các cô gái trong nhóm bạn của tôi hào hứng bàn tán về những sự kiện mới nhất trên thế giới. Thậm chí họ còn kiếm được một kỳ nghỉ ở biển.")</f>
        <v>Các cô gái trong nhóm bạn của tôi hào hứng bàn tán về những sự kiện mới nhất trên thế giới. Thậm chí họ còn kiếm được một kỳ nghỉ ở biển.</v>
      </c>
      <c r="H3162" s="8"/>
      <c r="I3162" s="8"/>
      <c r="J3162" s="8"/>
    </row>
    <row r="3163" ht="21.0" customHeight="1">
      <c r="A3163" s="6">
        <v>1.0</v>
      </c>
      <c r="B3163" s="6">
        <v>247.0</v>
      </c>
      <c r="C3163" s="6">
        <v>12.0</v>
      </c>
      <c r="D3163" s="9" t="s">
        <v>5105</v>
      </c>
      <c r="E3163" s="9" t="s">
        <v>5106</v>
      </c>
      <c r="F3163" s="8" t="str">
        <f>IFERROR(__xludf.DUMMYFUNCTION("GOOGLETRANSLATE(D3163,""zh-CN"",""vi"")"),"kỳ nghỉ biển")</f>
        <v>kỳ nghỉ biển</v>
      </c>
      <c r="G3163" s="8" t="str">
        <f>IFERROR(__xludf.DUMMYFUNCTION("GOOGLETRANSLATE(E3163,""zh-CN"",""vi"")"),"Cảm thấy mệt mỏi? Chỉ cần lên máy bay và đi nghỉ mát! Hãy cùng tạo nên thảm đỏ Tuần lễ thời trang.")</f>
        <v>Cảm thấy mệt mỏi? Chỉ cần lên máy bay và đi nghỉ mát! Hãy cùng tạo nên thảm đỏ Tuần lễ thời trang.</v>
      </c>
      <c r="H3163" s="8"/>
      <c r="I3163" s="8"/>
      <c r="J3163" s="8"/>
    </row>
    <row r="3164" ht="21.0" customHeight="1">
      <c r="A3164" s="6">
        <v>1.0</v>
      </c>
      <c r="B3164" s="6">
        <v>247.0</v>
      </c>
      <c r="C3164" s="6">
        <v>13.0</v>
      </c>
      <c r="D3164" s="15" t="s">
        <v>5107</v>
      </c>
      <c r="E3164" s="9" t="s">
        <v>5108</v>
      </c>
      <c r="F3164" s="8" t="str">
        <f>IFERROR(__xludf.DUMMYFUNCTION("GOOGLETRANSLATE(D3164,""zh-CN"",""vi"")"),"Thảm đỏ Tuần lễ thời trang")</f>
        <v>Thảm đỏ Tuần lễ thời trang</v>
      </c>
      <c r="G3164" s="8" t="str">
        <f>IFERROR(__xludf.DUMMYFUNCTION("GOOGLETRANSLATE(E3164,""zh-CN"",""vi"")"),"Tại Tuần lễ Thời trang, tôi là ngôi sao nổi bật nhất! (Đã đạt cấp độ tối đa)")</f>
        <v>Tại Tuần lễ Thời trang, tôi là ngôi sao nổi bật nhất! (Đã đạt cấp độ tối đa)</v>
      </c>
      <c r="H3164" s="8"/>
      <c r="I3164" s="8"/>
      <c r="J3164" s="8"/>
    </row>
    <row r="3165" ht="21.0" customHeight="1">
      <c r="A3165" s="6">
        <v>11.0</v>
      </c>
      <c r="B3165" s="6">
        <v>1069.0</v>
      </c>
      <c r="C3165" s="6">
        <v>1.0</v>
      </c>
      <c r="D3165" s="15" t="s">
        <v>5109</v>
      </c>
      <c r="E3165" s="9" t="s">
        <v>5110</v>
      </c>
      <c r="F3165" s="8" t="str">
        <f>IFERROR(__xludf.DUMMYFUNCTION("GOOGLETRANSLATE(D3165,""zh-CN"",""vi"")"),"Hạt bí ngô")</f>
        <v>Hạt bí ngô</v>
      </c>
      <c r="G3165" s="8" t="str">
        <f>IFERROR(__xludf.DUMMYFUNCTION("GOOGLETRANSLATE(E3165,""zh-CN"",""vi"")"),"Gieo hạt hôm nay, gặt hái ngày mai. Hãy tạo ra một quả bí ngô chín mọng.")</f>
        <v>Gieo hạt hôm nay, gặt hái ngày mai. Hãy tạo ra một quả bí ngô chín mọng.</v>
      </c>
      <c r="H3165" s="8"/>
      <c r="I3165" s="8"/>
      <c r="J3165" s="8"/>
    </row>
    <row r="3166" ht="21.0" customHeight="1">
      <c r="A3166" s="6">
        <v>11.0</v>
      </c>
      <c r="B3166" s="6">
        <v>1069.0</v>
      </c>
      <c r="C3166" s="6">
        <v>2.0</v>
      </c>
      <c r="D3166" s="15" t="s">
        <v>5111</v>
      </c>
      <c r="E3166" s="9" t="s">
        <v>5112</v>
      </c>
      <c r="F3166" s="8" t="str">
        <f>IFERROR(__xludf.DUMMYFUNCTION("GOOGLETRANSLATE(D3166,""zh-CN"",""vi"")"),"quả bí ngô chín")</f>
        <v>quả bí ngô chín</v>
      </c>
      <c r="G3166" s="8" t="str">
        <f>IFERROR(__xludf.DUMMYFUNCTION("GOOGLETRANSLATE(E3166,""zh-CN"",""vi"")"),"Bí ngô chín có thể ăn được hoặc dùng để làm đồ thủ công. Hãy khéo léo tạo ra một chiếc đèn lồng bí ngô.")</f>
        <v>Bí ngô chín có thể ăn được hoặc dùng để làm đồ thủ công. Hãy khéo léo tạo ra một chiếc đèn lồng bí ngô.</v>
      </c>
      <c r="H3166" s="8"/>
      <c r="I3166" s="8"/>
      <c r="J3166" s="8"/>
    </row>
    <row r="3167" ht="21.0" customHeight="1">
      <c r="A3167" s="6">
        <v>11.0</v>
      </c>
      <c r="B3167" s="6">
        <v>1069.0</v>
      </c>
      <c r="C3167" s="6">
        <v>3.0</v>
      </c>
      <c r="D3167" s="15" t="s">
        <v>5113</v>
      </c>
      <c r="E3167" s="9" t="s">
        <v>5114</v>
      </c>
      <c r="F3167" s="8" t="str">
        <f>IFERROR(__xludf.DUMMYFUNCTION("GOOGLETRANSLATE(D3167,""zh-CN"",""vi"")"),"Đèn lồng bí ngô")</f>
        <v>Đèn lồng bí ngô</v>
      </c>
      <c r="G3167" s="8" t="str">
        <f>IFERROR(__xludf.DUMMYFUNCTION("GOOGLETRANSLATE(E3167,""zh-CN"",""vi"")"),"Một chiếc đèn lồng bí ngô mang đậm không khí Giáng sinh. Hãy chế tạo nó để có được một chiếc đèn lồng bí ngô đôi.")</f>
        <v>Một chiếc đèn lồng bí ngô mang đậm không khí Giáng sinh. Hãy chế tạo nó để có được một chiếc đèn lồng bí ngô đôi.</v>
      </c>
      <c r="H3167" s="8"/>
      <c r="I3167" s="8"/>
      <c r="J3167" s="8"/>
    </row>
    <row r="3168" ht="21.0" customHeight="1">
      <c r="A3168" s="6">
        <v>11.0</v>
      </c>
      <c r="B3168" s="6">
        <v>1069.0</v>
      </c>
      <c r="C3168" s="6">
        <v>4.0</v>
      </c>
      <c r="D3168" s="15" t="s">
        <v>5115</v>
      </c>
      <c r="E3168" s="9" t="s">
        <v>5116</v>
      </c>
      <c r="F3168" s="8" t="str">
        <f>IFERROR(__xludf.DUMMYFUNCTION("GOOGLETRANSLATE(D3168,""zh-CN"",""vi"")"),"Đèn lồng bí ngô hai tầng")</f>
        <v>Đèn lồng bí ngô hai tầng</v>
      </c>
      <c r="G3168" s="8" t="str">
        <f>IFERROR(__xludf.DUMMYFUNCTION("GOOGLETRANSLATE(E3168,""zh-CN"",""vi"")"),"Hai quả bí ngô với biểu cảm trái ngược nhau tạo nên một bầu không khí kỳ lạ. Kết hợp chúng lại để tạo thành một quả bí ngô và một hồn ma.")</f>
        <v>Hai quả bí ngô với biểu cảm trái ngược nhau tạo nên một bầu không khí kỳ lạ. Kết hợp chúng lại để tạo thành một quả bí ngô và một hồn ma.</v>
      </c>
      <c r="H3168" s="8"/>
      <c r="I3168" s="8"/>
      <c r="J3168" s="8"/>
    </row>
    <row r="3169" ht="21.0" customHeight="1">
      <c r="A3169" s="6">
        <v>10.0</v>
      </c>
      <c r="B3169" s="6">
        <v>1069.0</v>
      </c>
      <c r="C3169" s="6">
        <v>5.0</v>
      </c>
      <c r="D3169" s="15" t="s">
        <v>5117</v>
      </c>
      <c r="E3169" s="9" t="s">
        <v>5118</v>
      </c>
      <c r="F3169" s="8" t="str">
        <f>IFERROR(__xludf.DUMMYFUNCTION("GOOGLETRANSLATE(D3169,""zh-CN"",""vi"")"),"Bí ngô và ma quỷ")</f>
        <v>Bí ngô và ma quỷ</v>
      </c>
      <c r="G3169" s="8" t="str">
        <f>IFERROR(__xludf.DUMMYFUNCTION("GOOGLETRANSLATE(E3169,""zh-CN"",""vi"")"),"Khi đi ngang qua, bạn sẽ cảm nhận được một luồng gió lạnh. Quá trình chế tạo sẽ tạo ra Quả bí ngô quỷ.")</f>
        <v>Khi đi ngang qua, bạn sẽ cảm nhận được một luồng gió lạnh. Quá trình chế tạo sẽ tạo ra Quả bí ngô quỷ.</v>
      </c>
      <c r="H3169" s="8"/>
      <c r="I3169" s="8"/>
      <c r="J3169" s="8"/>
    </row>
    <row r="3170" ht="21.0" customHeight="1">
      <c r="A3170" s="6">
        <v>10.0</v>
      </c>
      <c r="B3170" s="6">
        <v>1069.0</v>
      </c>
      <c r="C3170" s="6">
        <v>6.0</v>
      </c>
      <c r="D3170" s="15" t="s">
        <v>5119</v>
      </c>
      <c r="E3170" s="9" t="s">
        <v>5120</v>
      </c>
      <c r="F3170" s="8" t="str">
        <f>IFERROR(__xludf.DUMMYFUNCTION("GOOGLETRANSLATE(D3170,""zh-CN"",""vi"")"),"Bí ngô quỷ")</f>
        <v>Bí ngô quỷ</v>
      </c>
      <c r="G3170" s="8" t="str">
        <f>IFERROR(__xludf.DUMMYFUNCTION("GOOGLETRANSLATE(E3170,""zh-CN"",""vi"")"),"Một chiếc đèn trang trí tuyệt vời cho những căn phòng kín. Hãy chế tạo nó để có được Phù thủy Bí ngô.")</f>
        <v>Một chiếc đèn trang trí tuyệt vời cho những căn phòng kín. Hãy chế tạo nó để có được Phù thủy Bí ngô.</v>
      </c>
      <c r="H3170" s="8"/>
      <c r="I3170" s="8"/>
      <c r="J3170" s="8"/>
    </row>
    <row r="3171" ht="21.0" customHeight="1">
      <c r="A3171" s="6">
        <v>10.0</v>
      </c>
      <c r="B3171" s="6">
        <v>1069.0</v>
      </c>
      <c r="C3171" s="6">
        <v>7.0</v>
      </c>
      <c r="D3171" s="15" t="s">
        <v>5121</v>
      </c>
      <c r="E3171" s="9" t="s">
        <v>5122</v>
      </c>
      <c r="F3171" s="8" t="str">
        <f>IFERROR(__xludf.DUMMYFUNCTION("GOOGLETRANSLATE(D3171,""zh-CN"",""vi"")"),"Phù thủy bí ngô")</f>
        <v>Phù thủy bí ngô</v>
      </c>
      <c r="G3171" s="8" t="str">
        <f>IFERROR(__xludf.DUMMYFUNCTION("GOOGLETRANSLATE(E3171,""zh-CN"",""vi"")"),"Người ta nói rằng sau khi tháo bỏ chiếc mũ bí ngô, bên trong nó sẽ rỗng. Bạn có thể kết hợp tạo ra một quả bí ngô và một con mèo đen.")</f>
        <v>Người ta nói rằng sau khi tháo bỏ chiếc mũ bí ngô, bên trong nó sẽ rỗng. Bạn có thể kết hợp tạo ra một quả bí ngô và một con mèo đen.</v>
      </c>
      <c r="H3171" s="8"/>
      <c r="I3171" s="8"/>
      <c r="J3171" s="8"/>
    </row>
    <row r="3172" ht="21.0" customHeight="1">
      <c r="A3172" s="6">
        <v>10.0</v>
      </c>
      <c r="B3172" s="6">
        <v>1069.0</v>
      </c>
      <c r="C3172" s="6">
        <v>8.0</v>
      </c>
      <c r="D3172" s="15" t="s">
        <v>5123</v>
      </c>
      <c r="E3172" s="9" t="s">
        <v>5124</v>
      </c>
      <c r="F3172" s="8" t="str">
        <f>IFERROR(__xludf.DUMMYFUNCTION("GOOGLETRANSLATE(D3172,""zh-CN"",""vi"")"),"Bí ngô và Mèo đen")</f>
        <v>Bí ngô và Mèo đen</v>
      </c>
      <c r="G3172" s="8" t="str">
        <f>IFERROR(__xludf.DUMMYFUNCTION("GOOGLETRANSLATE(E3172,""zh-CN"",""vi"")"),"Mèo đen và bí ngô là sự kết hợp hoàn hảo cho lễ Halloween. Hãy kết hợp chúng để tạo ra một hộp nhạc hình bí ngô.")</f>
        <v>Mèo đen và bí ngô là sự kết hợp hoàn hảo cho lễ Halloween. Hãy kết hợp chúng để tạo ra một hộp nhạc hình bí ngô.</v>
      </c>
      <c r="H3172" s="8"/>
      <c r="I3172" s="8"/>
      <c r="J3172" s="8"/>
    </row>
    <row r="3173" ht="21.0" customHeight="1">
      <c r="A3173" s="6">
        <v>10.0</v>
      </c>
      <c r="B3173" s="6">
        <v>1069.0</v>
      </c>
      <c r="C3173" s="6">
        <v>9.0</v>
      </c>
      <c r="D3173" s="15" t="s">
        <v>5125</v>
      </c>
      <c r="E3173" s="9" t="s">
        <v>5126</v>
      </c>
      <c r="F3173" s="8" t="str">
        <f>IFERROR(__xludf.DUMMYFUNCTION("GOOGLETRANSLATE(D3173,""zh-CN"",""vi"")"),"Hộp nhạc hình quả bí ngô")</f>
        <v>Hộp nhạc hình quả bí ngô</v>
      </c>
      <c r="G3173" s="8" t="str">
        <f>IFERROR(__xludf.DUMMYFUNCTION("GOOGLETRANSLATE(E3173,""zh-CN"",""vi"")"),"Một giai điệu buồn man mác vang lên... Kết hợp chúng lại để tạo thành cỗ xe bí ngô.")</f>
        <v>Một giai điệu buồn man mác vang lên... Kết hợp chúng lại để tạo thành cỗ xe bí ngô.</v>
      </c>
      <c r="H3173" s="8"/>
      <c r="I3173" s="8"/>
      <c r="J3173" s="8"/>
    </row>
    <row r="3174" ht="21.0" customHeight="1">
      <c r="A3174" s="6">
        <v>10.0</v>
      </c>
      <c r="B3174" s="6">
        <v>1069.0</v>
      </c>
      <c r="C3174" s="6">
        <v>10.0</v>
      </c>
      <c r="D3174" s="15" t="s">
        <v>5127</v>
      </c>
      <c r="E3174" s="9" t="s">
        <v>5128</v>
      </c>
      <c r="F3174" s="8" t="str">
        <f>IFERROR(__xludf.DUMMYFUNCTION("GOOGLETRANSLATE(D3174,""zh-CN"",""vi"")"),"Xe ngựa bí ngô")</f>
        <v>Xe ngựa bí ngô</v>
      </c>
      <c r="G3174" s="8" t="str">
        <f>IFERROR(__xludf.DUMMYFUNCTION("GOOGLETRANSLATE(E3174,""zh-CN"",""vi"")"),"Tối nay là đêm diễn của các hồn ma! (Đã được tổng hợp ở mức độ cao nhất)")</f>
        <v>Tối nay là đêm diễn của các hồn ma! (Đã được tổng hợp ở mức độ cao nhất)</v>
      </c>
      <c r="H3174" s="8"/>
      <c r="I3174" s="8"/>
      <c r="J3174" s="8"/>
    </row>
    <row r="3175" ht="21.0" customHeight="1">
      <c r="A3175" s="6">
        <v>11.0</v>
      </c>
      <c r="B3175" s="6">
        <v>1070.0</v>
      </c>
      <c r="C3175" s="6">
        <v>1.0</v>
      </c>
      <c r="D3175" s="15" t="s">
        <v>5129</v>
      </c>
      <c r="E3175" s="9" t="s">
        <v>5130</v>
      </c>
      <c r="F3175" s="8" t="str">
        <f>IFERROR(__xludf.DUMMYFUNCTION("GOOGLETRANSLATE(D3175,""zh-CN"",""vi"")"),"Hạt bí ngô [V]")</f>
        <v>Hạt bí ngô [V]</v>
      </c>
      <c r="G3175" s="8" t="str">
        <f>IFERROR(__xludf.DUMMYFUNCTION("GOOGLETRANSLATE(E3175,""zh-CN"",""vi"")"),"Gieo hạt hôm nay, gặt hái ngày mai. Chế tạo một quả bí ngô chín [V].")</f>
        <v>Gieo hạt hôm nay, gặt hái ngày mai. Chế tạo một quả bí ngô chín [V].</v>
      </c>
      <c r="H3175" s="8"/>
      <c r="I3175" s="8"/>
      <c r="J3175" s="8"/>
    </row>
    <row r="3176" ht="21.0" customHeight="1">
      <c r="A3176" s="6">
        <v>11.0</v>
      </c>
      <c r="B3176" s="6">
        <v>1070.0</v>
      </c>
      <c r="C3176" s="6">
        <v>2.0</v>
      </c>
      <c r="D3176" s="15" t="s">
        <v>5131</v>
      </c>
      <c r="E3176" s="9" t="s">
        <v>5132</v>
      </c>
      <c r="F3176" s="8" t="str">
        <f>IFERROR(__xludf.DUMMYFUNCTION("GOOGLETRANSLATE(D3176,""zh-CN"",""vi"")"),"Bí ngô chín [V]")</f>
        <v>Bí ngô chín [V]</v>
      </c>
      <c r="G3176" s="8" t="str">
        <f>IFERROR(__xludf.DUMMYFUNCTION("GOOGLETRANSLATE(E3176,""zh-CN"",""vi"")"),"Một quả bí ngô chín có thể ăn được hoặc dùng để làm đồ thủ công. Hãy chế tác nó để có được một chiếc đèn lồng bí ngô [V].")</f>
        <v>Một quả bí ngô chín có thể ăn được hoặc dùng để làm đồ thủ công. Hãy chế tác nó để có được một chiếc đèn lồng bí ngô [V].</v>
      </c>
      <c r="H3176" s="8"/>
      <c r="I3176" s="8"/>
      <c r="J3176" s="8"/>
    </row>
    <row r="3177" ht="21.0" customHeight="1">
      <c r="A3177" s="6">
        <v>11.0</v>
      </c>
      <c r="B3177" s="6">
        <v>1070.0</v>
      </c>
      <c r="C3177" s="6">
        <v>3.0</v>
      </c>
      <c r="D3177" s="15" t="s">
        <v>5133</v>
      </c>
      <c r="E3177" s="9" t="s">
        <v>5134</v>
      </c>
      <c r="F3177" s="8" t="str">
        <f>IFERROR(__xludf.DUMMYFUNCTION("GOOGLETRANSLATE(D3177,""zh-CN"",""vi"")"),"Đèn lồng bí ngô [V]")</f>
        <v>Đèn lồng bí ngô [V]</v>
      </c>
      <c r="G3177" s="8" t="str">
        <f>IFERROR(__xludf.DUMMYFUNCTION("GOOGLETRANSLATE(E3177,""zh-CN"",""vi"")"),"Một chiếc đèn lồng bí ngô mang đậm không khí Giáng sinh. Hãy chế tạo nó để có được một chiếc đèn lồng bí ngô đôi [V].")</f>
        <v>Một chiếc đèn lồng bí ngô mang đậm không khí Giáng sinh. Hãy chế tạo nó để có được một chiếc đèn lồng bí ngô đôi [V].</v>
      </c>
      <c r="H3177" s="8"/>
      <c r="I3177" s="8"/>
      <c r="J3177" s="8"/>
    </row>
    <row r="3178" ht="21.0" customHeight="1">
      <c r="A3178" s="6">
        <v>11.0</v>
      </c>
      <c r="B3178" s="6">
        <v>1070.0</v>
      </c>
      <c r="C3178" s="6">
        <v>4.0</v>
      </c>
      <c r="D3178" s="15" t="s">
        <v>5135</v>
      </c>
      <c r="E3178" s="9" t="s">
        <v>5136</v>
      </c>
      <c r="F3178" s="8" t="str">
        <f>IFERROR(__xludf.DUMMYFUNCTION("GOOGLETRANSLATE(D3178,""zh-CN"",""vi"")"),"Đèn lồng bí ngô hai lớp [V]")</f>
        <v>Đèn lồng bí ngô hai lớp [V]</v>
      </c>
      <c r="G3178" s="8" t="str">
        <f>IFERROR(__xludf.DUMMYFUNCTION("GOOGLETRANSLATE(E3178,""zh-CN"",""vi"")"),"Hai quả bí ngô với biểu cảm khác nhau tạo nên một bầu không khí kỳ lạ. Kết hợp chúng để có được một quả bí ngô và một hồn ma [V].")</f>
        <v>Hai quả bí ngô với biểu cảm khác nhau tạo nên một bầu không khí kỳ lạ. Kết hợp chúng để có được một quả bí ngô và một hồn ma [V].</v>
      </c>
      <c r="H3178" s="8"/>
      <c r="I3178" s="8"/>
      <c r="J3178" s="8"/>
    </row>
    <row r="3179" ht="21.0" customHeight="1">
      <c r="A3179" s="6">
        <v>10.0</v>
      </c>
      <c r="B3179" s="6">
        <v>1070.0</v>
      </c>
      <c r="C3179" s="6">
        <v>5.0</v>
      </c>
      <c r="D3179" s="15" t="s">
        <v>5137</v>
      </c>
      <c r="E3179" s="9" t="s">
        <v>5138</v>
      </c>
      <c r="F3179" s="8" t="str">
        <f>IFERROR(__xludf.DUMMYFUNCTION("GOOGLETRANSLATE(D3179,""zh-CN"",""vi"")"),"Bí ngô và ma quỷ [V]")</f>
        <v>Bí ngô và ma quỷ [V]</v>
      </c>
      <c r="G3179" s="8" t="str">
        <f>IFERROR(__xludf.DUMMYFUNCTION("GOOGLETRANSLATE(E3179,""zh-CN"",""vi"")"),"Khi đi ngang qua, bạn sẽ cảm thấy một luồng gió lạnh. Chế tạo Quả bí ngô quỷ [V].")</f>
        <v>Khi đi ngang qua, bạn sẽ cảm thấy một luồng gió lạnh. Chế tạo Quả bí ngô quỷ [V].</v>
      </c>
      <c r="H3179" s="8"/>
      <c r="I3179" s="8"/>
      <c r="J3179" s="8"/>
    </row>
    <row r="3180" ht="21.0" customHeight="1">
      <c r="A3180" s="6">
        <v>10.0</v>
      </c>
      <c r="B3180" s="6">
        <v>1070.0</v>
      </c>
      <c r="C3180" s="6">
        <v>6.0</v>
      </c>
      <c r="D3180" s="15" t="s">
        <v>5139</v>
      </c>
      <c r="E3180" s="9" t="s">
        <v>5140</v>
      </c>
      <c r="F3180" s="8" t="str">
        <f>IFERROR(__xludf.DUMMYFUNCTION("GOOGLETRANSLATE(D3180,""zh-CN"",""vi"")"),"Bí Ngô Quỷ [V]")</f>
        <v>Bí Ngô Quỷ [V]</v>
      </c>
      <c r="G3180" s="8" t="str">
        <f>IFERROR(__xludf.DUMMYFUNCTION("GOOGLETRANSLATE(E3180,""zh-CN"",""vi"")"),"Một vật dụng chiếu sáng hoàn hảo để trang trí một căn phòng bí mật. Hãy chế tạo nó để có được Phù thủy Bí ngô [V].")</f>
        <v>Một vật dụng chiếu sáng hoàn hảo để trang trí một căn phòng bí mật. Hãy chế tạo nó để có được Phù thủy Bí ngô [V].</v>
      </c>
      <c r="H3180" s="8"/>
      <c r="I3180" s="8"/>
      <c r="J3180" s="8"/>
    </row>
    <row r="3181" ht="21.0" customHeight="1">
      <c r="A3181" s="6">
        <v>10.0</v>
      </c>
      <c r="B3181" s="6">
        <v>1070.0</v>
      </c>
      <c r="C3181" s="6">
        <v>7.0</v>
      </c>
      <c r="D3181" s="15" t="s">
        <v>5141</v>
      </c>
      <c r="E3181" s="9" t="s">
        <v>5142</v>
      </c>
      <c r="F3181" s="8" t="str">
        <f>IFERROR(__xludf.DUMMYFUNCTION("GOOGLETRANSLATE(D3181,""zh-CN"",""vi"")"),"Phù thủy bí ngô [V]")</f>
        <v>Phù thủy bí ngô [V]</v>
      </c>
      <c r="G3181" s="8" t="str">
        <f>IFERROR(__xludf.DUMMYFUNCTION("GOOGLETRANSLATE(E3181,""zh-CN"",""vi"")"),"Người ta nói rằng sau khi tháo bỏ chiếc mũ đội đầu hình quả bí ngô, bên trong nó sẽ rỗng. Chế tạo nó sẽ cho ra một quả bí ngô và một con mèo đen [V].")</f>
        <v>Người ta nói rằng sau khi tháo bỏ chiếc mũ đội đầu hình quả bí ngô, bên trong nó sẽ rỗng. Chế tạo nó sẽ cho ra một quả bí ngô và một con mèo đen [V].</v>
      </c>
      <c r="H3181" s="8"/>
      <c r="I3181" s="8"/>
      <c r="J3181" s="8"/>
    </row>
    <row r="3182" ht="21.0" customHeight="1">
      <c r="A3182" s="6">
        <v>10.0</v>
      </c>
      <c r="B3182" s="6">
        <v>1070.0</v>
      </c>
      <c r="C3182" s="6">
        <v>8.0</v>
      </c>
      <c r="D3182" s="15" t="s">
        <v>5143</v>
      </c>
      <c r="E3182" s="9" t="s">
        <v>5144</v>
      </c>
      <c r="F3182" s="8" t="str">
        <f>IFERROR(__xludf.DUMMYFUNCTION("GOOGLETRANSLATE(D3182,""zh-CN"",""vi"")"),"Bí ngô và Mèo đen [V]")</f>
        <v>Bí ngô và Mèo đen [V]</v>
      </c>
      <c r="G3182" s="8" t="str">
        <f>IFERROR(__xludf.DUMMYFUNCTION("GOOGLETRANSLATE(E3182,""zh-CN"",""vi"")"),"Mèo đen và bí ngô là sự kết hợp hoàn hảo cho Halloween. Hãy kết hợp chúng lại với nhau để có được hộp nhạc hình bí ngô [V].")</f>
        <v>Mèo đen và bí ngô là sự kết hợp hoàn hảo cho Halloween. Hãy kết hợp chúng lại với nhau để có được hộp nhạc hình bí ngô [V].</v>
      </c>
      <c r="H3182" s="8"/>
      <c r="I3182" s="8"/>
      <c r="J3182" s="8"/>
    </row>
    <row r="3183" ht="21.0" customHeight="1">
      <c r="A3183" s="6">
        <v>10.0</v>
      </c>
      <c r="B3183" s="6">
        <v>1070.0</v>
      </c>
      <c r="C3183" s="6">
        <v>9.0</v>
      </c>
      <c r="D3183" s="15" t="s">
        <v>5145</v>
      </c>
      <c r="E3183" s="9" t="s">
        <v>5146</v>
      </c>
      <c r="F3183" s="8" t="str">
        <f>IFERROR(__xludf.DUMMYFUNCTION("GOOGLETRANSLATE(D3183,""zh-CN"",""vi"")"),"Hộp nhạc bí ngô [V]")</f>
        <v>Hộp nhạc bí ngô [V]</v>
      </c>
      <c r="G3183" s="8" t="str">
        <f>IFERROR(__xludf.DUMMYFUNCTION("GOOGLETRANSLATE(E3183,""zh-CN"",""vi"")"),"Một giai điệu buồn man mác vang lên... Kết hợp chúng để có được Xe ngựa bí ngô [V]")</f>
        <v>Một giai điệu buồn man mác vang lên... Kết hợp chúng để có được Xe ngựa bí ngô [V]</v>
      </c>
      <c r="H3183" s="8"/>
      <c r="I3183" s="8"/>
      <c r="J3183" s="8"/>
    </row>
    <row r="3184" ht="21.0" customHeight="1">
      <c r="A3184" s="6">
        <v>10.0</v>
      </c>
      <c r="B3184" s="6">
        <v>1070.0</v>
      </c>
      <c r="C3184" s="6">
        <v>10.0</v>
      </c>
      <c r="D3184" s="15" t="s">
        <v>5147</v>
      </c>
      <c r="E3184" s="9" t="s">
        <v>5148</v>
      </c>
      <c r="F3184" s="8" t="str">
        <f>IFERROR(__xludf.DUMMYFUNCTION("GOOGLETRANSLATE(D3184,""zh-CN"",""vi"")"),"Xe ngựa bí ngô [V]")</f>
        <v>Xe ngựa bí ngô [V]</v>
      </c>
      <c r="G3184" s="8" t="str">
        <f>IFERROR(__xludf.DUMMYFUNCTION("GOOGLETRANSLATE(E3184,""zh-CN"",""vi"")"),"Đêm nay là lễ hội của ma quỷ và quái vật~ (Đã được tổng hợp đến cấp độ cao nhất)")</f>
        <v>Đêm nay là lễ hội của ma quỷ và quái vật~ (Đã được tổng hợp đến cấp độ cao nhất)</v>
      </c>
      <c r="H3184" s="8"/>
      <c r="I3184" s="8"/>
      <c r="J3184" s="8"/>
    </row>
    <row r="3185" ht="21.0" customHeight="1">
      <c r="A3185" s="6">
        <v>1.0</v>
      </c>
      <c r="B3185" s="6">
        <v>248.0</v>
      </c>
      <c r="C3185" s="6">
        <v>1.0</v>
      </c>
      <c r="D3185" s="67" t="s">
        <v>5149</v>
      </c>
      <c r="E3185" s="9" t="s">
        <v>5150</v>
      </c>
      <c r="F3185" s="8" t="str">
        <f>IFERROR(__xludf.DUMMYFUNCTION("GOOGLETRANSLATE(D3185,""zh-CN"",""vi"")"),"Nến hình đầu lâu")</f>
        <v>Nến hình đầu lâu</v>
      </c>
      <c r="G3185" s="8" t="str">
        <f>IFERROR(__xludf.DUMMYFUNCTION("GOOGLETRANSLATE(E3185,""zh-CN"",""vi"")"),"Ngọn lửa màu tím tạo nên một bầu không khí kỳ lạ. Kết hợp chúng để có được Khinh khí cầu Mặt Ma.")</f>
        <v>Ngọn lửa màu tím tạo nên một bầu không khí kỳ lạ. Kết hợp chúng để có được Khinh khí cầu Mặt Ma.</v>
      </c>
      <c r="H3185" s="8"/>
      <c r="I3185" s="8"/>
      <c r="J3185" s="8"/>
    </row>
    <row r="3186" ht="21.0" customHeight="1">
      <c r="A3186" s="6">
        <v>1.0</v>
      </c>
      <c r="B3186" s="6">
        <v>248.0</v>
      </c>
      <c r="C3186" s="6">
        <v>2.0</v>
      </c>
      <c r="D3186" s="67" t="s">
        <v>5151</v>
      </c>
      <c r="E3186" s="9" t="s">
        <v>5152</v>
      </c>
      <c r="F3186" s="8" t="str">
        <f>IFERROR(__xludf.DUMMYFUNCTION("GOOGLETRANSLATE(D3186,""zh-CN"",""vi"")"),"Bóng bay hình mặt ma")</f>
        <v>Bóng bay hình mặt ma</v>
      </c>
      <c r="G3186" s="8" t="str">
        <f>IFERROR(__xludf.DUMMYFUNCTION("GOOGLETRANSLATE(E3186,""zh-CN"",""vi"")"),"Biểu cảm cường điệu của nó cho thấy nó bị ma ám. Kết hợp các thành phần để tạo thành Người rơm bí ngô.")</f>
        <v>Biểu cảm cường điệu của nó cho thấy nó bị ma ám. Kết hợp các thành phần để tạo thành Người rơm bí ngô.</v>
      </c>
      <c r="H3186" s="8"/>
      <c r="I3186" s="8"/>
      <c r="J3186" s="8"/>
    </row>
    <row r="3187" ht="21.0" customHeight="1">
      <c r="A3187" s="6">
        <v>1.0</v>
      </c>
      <c r="B3187" s="6">
        <v>248.0</v>
      </c>
      <c r="C3187" s="6">
        <v>3.0</v>
      </c>
      <c r="D3187" s="67" t="s">
        <v>5153</v>
      </c>
      <c r="E3187" s="9" t="s">
        <v>5154</v>
      </c>
      <c r="F3187" s="8" t="str">
        <f>IFERROR(__xludf.DUMMYFUNCTION("GOOGLETRANSLATE(D3187,""zh-CN"",""vi"")"),"Người rơm bí ngô")</f>
        <v>Người rơm bí ngô</v>
      </c>
      <c r="G3187" s="8" t="str">
        <f>IFERROR(__xludf.DUMMYFUNCTION("GOOGLETRANSLATE(E3187,""zh-CN"",""vi"")"),"Một vật dụng được thiết kế đặc biệt để hù dọa người khác, thể hiện hiệu ứng thung lũng kỳ lạ mạnh mẽ. Hãy chế tạo nó để có được một biển báo giao thông rùng rợn.")</f>
        <v>Một vật dụng được thiết kế đặc biệt để hù dọa người khác, thể hiện hiệu ứng thung lũng kỳ lạ mạnh mẽ. Hãy chế tạo nó để có được một biển báo giao thông rùng rợn.</v>
      </c>
      <c r="H3187" s="8"/>
      <c r="I3187" s="8"/>
      <c r="J3187" s="8"/>
    </row>
    <row r="3188" ht="21.0" customHeight="1">
      <c r="A3188" s="6">
        <v>1.0</v>
      </c>
      <c r="B3188" s="6">
        <v>248.0</v>
      </c>
      <c r="C3188" s="6">
        <v>4.0</v>
      </c>
      <c r="D3188" s="67" t="s">
        <v>5155</v>
      </c>
      <c r="E3188" s="9" t="s">
        <v>5156</v>
      </c>
      <c r="F3188" s="8" t="str">
        <f>IFERROR(__xludf.DUMMYFUNCTION("GOOGLETRANSLATE(D3188,""zh-CN"",""vi"")"),"biển báo đường phố kỳ lạ")</f>
        <v>biển báo đường phố kỳ lạ</v>
      </c>
      <c r="G3188" s="8" t="str">
        <f>IFERROR(__xludf.DUMMYFUNCTION("GOOGLETRANSLATE(E3188,""zh-CN"",""vi"")"),"Dường như đây là tên một địa danh có từ vài trăm năm trước. (Hình ảnh mờ ảo này được tạo ra bằng phương pháp tổng hợp.)")</f>
        <v>Dường như đây là tên một địa danh có từ vài trăm năm trước. (Hình ảnh mờ ảo này được tạo ra bằng phương pháp tổng hợp.)</v>
      </c>
      <c r="H3188" s="8"/>
      <c r="I3188" s="8"/>
      <c r="J3188" s="8"/>
    </row>
    <row r="3189" ht="21.0" customHeight="1">
      <c r="A3189" s="6">
        <v>1.0</v>
      </c>
      <c r="B3189" s="6">
        <v>248.0</v>
      </c>
      <c r="C3189" s="6">
        <v>5.0</v>
      </c>
      <c r="D3189" s="67" t="s">
        <v>5157</v>
      </c>
      <c r="E3189" s="9" t="s">
        <v>5158</v>
      </c>
      <c r="F3189" s="8" t="str">
        <f>IFERROR(__xludf.DUMMYFUNCTION("GOOGLETRANSLATE(D3189,""zh-CN"",""vi"")"),"Ảnh ma")</f>
        <v>Ảnh ma</v>
      </c>
      <c r="G3189" s="8" t="str">
        <f>IFERROR(__xludf.DUMMYFUNCTION("GOOGLETRANSLATE(E3189,""zh-CN"",""vi"")"),"Một bức ảnh trống, dường như chứa đựng điều gì đó, đã được ghép lại để tạo thành một bức tranh cuộn treo tường kỳ lạ.")</f>
        <v>Một bức ảnh trống, dường như chứa đựng điều gì đó, đã được ghép lại để tạo thành một bức tranh cuộn treo tường kỳ lạ.</v>
      </c>
      <c r="H3189" s="8"/>
      <c r="I3189" s="8"/>
      <c r="J3189" s="8"/>
    </row>
    <row r="3190" ht="21.0" customHeight="1">
      <c r="A3190" s="6">
        <v>1.0</v>
      </c>
      <c r="B3190" s="6">
        <v>248.0</v>
      </c>
      <c r="C3190" s="6">
        <v>6.0</v>
      </c>
      <c r="D3190" s="67" t="s">
        <v>5159</v>
      </c>
      <c r="E3190" s="9" t="s">
        <v>5160</v>
      </c>
      <c r="F3190" s="8" t="str">
        <f>IFERROR(__xludf.DUMMYFUNCTION("GOOGLETRANSLATE(D3190,""zh-CN"",""vi"")"),"tranh tường kỳ dị")</f>
        <v>tranh tường kỳ dị</v>
      </c>
      <c r="G3190" s="8" t="str">
        <f>IFERROR(__xludf.DUMMYFUNCTION("GOOGLETRANSLATE(E3190,""zh-CN"",""vi"")"),"Người trong bức tranh đang theo dõi tôi khi tôi không để ý sao? Tôi có thể tạo ra một bộ giáp sống được không?")</f>
        <v>Người trong bức tranh đang theo dõi tôi khi tôi không để ý sao? Tôi có thể tạo ra một bộ giáp sống được không?</v>
      </c>
      <c r="H3190" s="8"/>
      <c r="I3190" s="8"/>
      <c r="J3190" s="8"/>
    </row>
    <row r="3191" ht="21.0" customHeight="1">
      <c r="A3191" s="6">
        <v>1.0</v>
      </c>
      <c r="B3191" s="6">
        <v>248.0</v>
      </c>
      <c r="C3191" s="6">
        <v>7.0</v>
      </c>
      <c r="D3191" s="67" t="s">
        <v>5161</v>
      </c>
      <c r="E3191" s="9" t="s">
        <v>5162</v>
      </c>
      <c r="F3191" s="8" t="str">
        <f>IFERROR(__xludf.DUMMYFUNCTION("GOOGLETRANSLATE(D3191,""zh-CN"",""vi"")"),"Một bộ giáp sống?")</f>
        <v>Một bộ giáp sống?</v>
      </c>
      <c r="G3191" s="8" t="str">
        <f>IFERROR(__xludf.DUMMYFUNCTION("GOOGLETRANSLATE(E3191,""zh-CN"",""vi"")"),"Bộ giáp này ban đầu có phải ở góc này không? (Được chế tạo để có được Ghế sofa ma)")</f>
        <v>Bộ giáp này ban đầu có phải ở góc này không? (Được chế tạo để có được Ghế sofa ma)</v>
      </c>
      <c r="H3191" s="8"/>
      <c r="I3191" s="8"/>
      <c r="J3191" s="8"/>
    </row>
    <row r="3192" ht="21.0" customHeight="1">
      <c r="A3192" s="6">
        <v>1.0</v>
      </c>
      <c r="B3192" s="6">
        <v>248.0</v>
      </c>
      <c r="C3192" s="6">
        <v>8.0</v>
      </c>
      <c r="D3192" s="67" t="s">
        <v>5163</v>
      </c>
      <c r="E3192" s="9" t="s">
        <v>5164</v>
      </c>
      <c r="F3192" s="8" t="str">
        <f>IFERROR(__xludf.DUMMYFUNCTION("GOOGLETRANSLATE(D3192,""zh-CN"",""vi"")"),"Ghế sofa ma")</f>
        <v>Ghế sofa ma</v>
      </c>
      <c r="G3192" s="8" t="str">
        <f>IFERROR(__xludf.DUMMYFUNCTION("GOOGLETRANSLATE(E3192,""zh-CN"",""vi"")"),"Cảm hứng mách bảo tôi đừng nằm xuống. Tôi đã kết hợp nhiều yếu tố để tạo ra một cái cây khô héo kỳ lạ.")</f>
        <v>Cảm hứng mách bảo tôi đừng nằm xuống. Tôi đã kết hợp nhiều yếu tố để tạo ra một cái cây khô héo kỳ lạ.</v>
      </c>
      <c r="H3192" s="8"/>
      <c r="I3192" s="8"/>
      <c r="J3192" s="8"/>
    </row>
    <row r="3193" ht="21.0" customHeight="1">
      <c r="A3193" s="6">
        <v>1.0</v>
      </c>
      <c r="B3193" s="6">
        <v>248.0</v>
      </c>
      <c r="C3193" s="6">
        <v>9.0</v>
      </c>
      <c r="D3193" s="67" t="s">
        <v>5165</v>
      </c>
      <c r="E3193" s="9" t="s">
        <v>5166</v>
      </c>
      <c r="F3193" s="8" t="str">
        <f>IFERROR(__xludf.DUMMYFUNCTION("GOOGLETRANSLATE(D3193,""zh-CN"",""vi"")"),"cây chết kỳ dị")</f>
        <v>cây chết kỳ dị</v>
      </c>
      <c r="G3193" s="8" t="str">
        <f>IFERROR(__xludf.DUMMYFUNCTION("GOOGLETRANSLATE(E3193,""zh-CN"",""vi"")"),"Không cần tác động từ bên ngoài, nó tự đung đưa. Chiếc nồi súp kỳ lạ này được chế tạo thông qua quá trình tạo dựng.")</f>
        <v>Không cần tác động từ bên ngoài, nó tự đung đưa. Chiếc nồi súp kỳ lạ này được chế tạo thông qua quá trình tạo dựng.</v>
      </c>
      <c r="H3193" s="8"/>
      <c r="I3193" s="8"/>
      <c r="J3193" s="8"/>
    </row>
    <row r="3194" ht="21.0" customHeight="1">
      <c r="A3194" s="6">
        <v>1.0</v>
      </c>
      <c r="B3194" s="6">
        <v>248.0</v>
      </c>
      <c r="C3194" s="6">
        <v>10.0</v>
      </c>
      <c r="D3194" s="67" t="s">
        <v>5167</v>
      </c>
      <c r="E3194" s="9" t="s">
        <v>5168</v>
      </c>
      <c r="F3194" s="8" t="str">
        <f>IFERROR(__xludf.DUMMYFUNCTION("GOOGLETRANSLATE(D3194,""zh-CN"",""vi"")"),"Nồi súp kỳ lạ")</f>
        <v>Nồi súp kỳ lạ</v>
      </c>
      <c r="G3194" s="8" t="str">
        <f>IFERROR(__xludf.DUMMYFUNCTION("GOOGLETRANSLATE(E3194,""zh-CN"",""vi"")"),"Một con mắt kỳ dị, nhấp nháy xuất hiện trong chiếc nồi. (Đây là một phần của văn bản dài hơn, có lẽ là sự tổng hợp các đoạn văn từ nhiều nguồn khác nhau.)")</f>
        <v>Một con mắt kỳ dị, nhấp nháy xuất hiện trong chiếc nồi. (Đây là một phần của văn bản dài hơn, có lẽ là sự tổng hợp các đoạn văn từ nhiều nguồn khác nhau.)</v>
      </c>
      <c r="H3194" s="8"/>
      <c r="I3194" s="8"/>
      <c r="J3194" s="8"/>
    </row>
    <row r="3195" ht="21.0" customHeight="1">
      <c r="A3195" s="6">
        <v>1.0</v>
      </c>
      <c r="B3195" s="6">
        <v>248.0</v>
      </c>
      <c r="C3195" s="6">
        <v>11.0</v>
      </c>
      <c r="D3195" s="67" t="s">
        <v>5169</v>
      </c>
      <c r="E3195" s="9" t="s">
        <v>5170</v>
      </c>
      <c r="F3195" s="8" t="str">
        <f>IFERROR(__xludf.DUMMYFUNCTION("GOOGLETRANSLATE(D3195,""zh-CN"",""vi"")"),"Bàn nghi lễ ma thuật đen")</f>
        <v>Bàn nghi lễ ma thuật đen</v>
      </c>
      <c r="G3195" s="8" t="str">
        <f>IFERROR(__xludf.DUMMYFUNCTION("GOOGLETRANSLATE(E3195,""zh-CN"",""vi"")"),"Tôi có linh cảm rằng việc di chuyển cái bàn này sẽ gây ra chuyện không hay. (Được chế tạo để lấy Bia mộ vô danh)")</f>
        <v>Tôi có linh cảm rằng việc di chuyển cái bàn này sẽ gây ra chuyện không hay. (Được chế tạo để lấy Bia mộ vô danh)</v>
      </c>
      <c r="H3195" s="8"/>
      <c r="I3195" s="8"/>
      <c r="J3195" s="8"/>
    </row>
    <row r="3196" ht="21.0" customHeight="1">
      <c r="A3196" s="6">
        <v>1.0</v>
      </c>
      <c r="B3196" s="6">
        <v>248.0</v>
      </c>
      <c r="C3196" s="6">
        <v>12.0</v>
      </c>
      <c r="D3196" s="67" t="s">
        <v>5171</v>
      </c>
      <c r="E3196" s="9" t="s">
        <v>5172</v>
      </c>
      <c r="F3196" s="8" t="str">
        <f>IFERROR(__xludf.DUMMYFUNCTION("GOOGLETRANSLATE(D3196,""zh-CN"",""vi"")"),"Bia mộ không có dấu hiệu")</f>
        <v>Bia mộ không có dấu hiệu</v>
      </c>
      <c r="G3196" s="8" t="str">
        <f>IFERROR(__xludf.DUMMYFUNCTION("GOOGLETRANSLATE(E3196,""zh-CN"",""vi"")"),"Trong dinh thự ma quái, có một bia mộ vô danh. Hãy chế tạo một chiếc quan tài rung chuyển.")</f>
        <v>Trong dinh thự ma quái, có một bia mộ vô danh. Hãy chế tạo một chiếc quan tài rung chuyển.</v>
      </c>
      <c r="H3196" s="8"/>
      <c r="I3196" s="8"/>
      <c r="J3196" s="8"/>
    </row>
    <row r="3197" ht="21.0" customHeight="1">
      <c r="A3197" s="6">
        <v>1.0</v>
      </c>
      <c r="B3197" s="6">
        <v>248.0</v>
      </c>
      <c r="C3197" s="6">
        <v>13.0</v>
      </c>
      <c r="D3197" s="67" t="s">
        <v>5173</v>
      </c>
      <c r="E3197" s="9" t="s">
        <v>5174</v>
      </c>
      <c r="F3197" s="8" t="str">
        <f>IFERROR(__xludf.DUMMYFUNCTION("GOOGLETRANSLATE(D3197,""zh-CN"",""vi"")"),"Chiếc quan tài rung chuyển")</f>
        <v>Chiếc quan tài rung chuyển</v>
      </c>
      <c r="G3197" s="8" t="str">
        <f>IFERROR(__xludf.DUMMYFUNCTION("GOOGLETRANSLATE(E3197,""zh-CN"",""vi"")"),"Chiếc quan tài đang cử động! Bên trong còn sống hay đã chết?! (Được tổng hợp ở cấp độ cao nhất)")</f>
        <v>Chiếc quan tài đang cử động! Bên trong còn sống hay đã chết?! (Được tổng hợp ở cấp độ cao nhất)</v>
      </c>
      <c r="H3197" s="8"/>
      <c r="I3197" s="8"/>
      <c r="J3197" s="8"/>
    </row>
    <row r="3198" ht="21.0" customHeight="1">
      <c r="A3198" s="6">
        <v>1.0</v>
      </c>
      <c r="B3198" s="6">
        <v>249.0</v>
      </c>
      <c r="C3198" s="6">
        <v>1.0</v>
      </c>
      <c r="D3198" s="9" t="s">
        <v>5175</v>
      </c>
      <c r="E3198" s="9" t="s">
        <v>5176</v>
      </c>
      <c r="F3198" s="8" t="str">
        <f>IFERROR(__xludf.DUMMYFUNCTION("GOOGLETRANSLATE(D3198,""zh-CN"",""vi"")"),"Kẹo cao su ma nhỏ")</f>
        <v>Kẹo cao su ma nhỏ</v>
      </c>
      <c r="G3198" s="8" t="str">
        <f>IFERROR(__xludf.DUMMYFUNCTION("GOOGLETRANSLATE(E3198,""zh-CN"",""vi"")"),"Tôi không biết nó có vị như thế nào nên không dám thử. (Bánh quy hình con dơi được làm bằng cách kết hợp các nguyên liệu này.)")</f>
        <v>Tôi không biết nó có vị như thế nào nên không dám thử. (Bánh quy hình con dơi được làm bằng cách kết hợp các nguyên liệu này.)</v>
      </c>
      <c r="H3198" s="8"/>
      <c r="I3198" s="8"/>
      <c r="J3198" s="8"/>
    </row>
    <row r="3199" ht="21.0" customHeight="1">
      <c r="A3199" s="6">
        <v>1.0</v>
      </c>
      <c r="B3199" s="6">
        <v>249.0</v>
      </c>
      <c r="C3199" s="6">
        <v>2.0</v>
      </c>
      <c r="D3199" s="9" t="s">
        <v>5177</v>
      </c>
      <c r="E3199" s="9" t="s">
        <v>5178</v>
      </c>
      <c r="F3199" s="8" t="str">
        <f>IFERROR(__xludf.DUMMYFUNCTION("GOOGLETRANSLATE(D3199,""zh-CN"",""vi"")"),"Bánh quy hình dơi")</f>
        <v>Bánh quy hình dơi</v>
      </c>
      <c r="G3199" s="8" t="str">
        <f>IFERROR(__xludf.DUMMYFUNCTION("GOOGLETRANSLATE(E3199,""zh-CN"",""vi"")"),"Những chiếc bánh quy có hình dáng dễ thương và hương vị thơm ngon. Hãy chế tác chúng để có được Bánh quy hình đầu lâu.")</f>
        <v>Những chiếc bánh quy có hình dáng dễ thương và hương vị thơm ngon. Hãy chế tác chúng để có được Bánh quy hình đầu lâu.</v>
      </c>
      <c r="H3199" s="8"/>
      <c r="I3199" s="8"/>
      <c r="J3199" s="8"/>
    </row>
    <row r="3200" ht="21.0" customHeight="1">
      <c r="A3200" s="6">
        <v>1.0</v>
      </c>
      <c r="B3200" s="6">
        <v>249.0</v>
      </c>
      <c r="C3200" s="6">
        <v>3.0</v>
      </c>
      <c r="D3200" s="9" t="s">
        <v>5179</v>
      </c>
      <c r="E3200" s="9" t="s">
        <v>5180</v>
      </c>
      <c r="F3200" s="8" t="str">
        <f>IFERROR(__xludf.DUMMYFUNCTION("GOOGLETRANSLATE(D3200,""zh-CN"",""vi"")"),"Bánh quy hình đầu lâu")</f>
        <v>Bánh quy hình đầu lâu</v>
      </c>
      <c r="G3200" s="8" t="str">
        <f>IFERROR(__xludf.DUMMYFUNCTION("GOOGLETRANSLATE(E3200,""zh-CN"",""vi"")"),"Có lẽ nó có thể được dùng để diệt chuột. Hãy chế tạo nó để có được một cây kẹo hình gậy.")</f>
        <v>Có lẽ nó có thể được dùng để diệt chuột. Hãy chế tạo nó để có được một cây kẹo hình gậy.</v>
      </c>
      <c r="H3200" s="8"/>
      <c r="I3200" s="8"/>
      <c r="J3200" s="8"/>
    </row>
    <row r="3201" ht="21.0" customHeight="1">
      <c r="A3201" s="6">
        <v>1.0</v>
      </c>
      <c r="B3201" s="6">
        <v>249.0</v>
      </c>
      <c r="C3201" s="6">
        <v>4.0</v>
      </c>
      <c r="D3201" s="9" t="s">
        <v>5181</v>
      </c>
      <c r="E3201" s="9" t="s">
        <v>5182</v>
      </c>
      <c r="F3201" s="8" t="str">
        <f>IFERROR(__xludf.DUMMYFUNCTION("GOOGLETRANSLATE(D3201,""zh-CN"",""vi"")"),"Kẹo que")</f>
        <v>Kẹo que</v>
      </c>
      <c r="G3201" s="8" t="str">
        <f>IFERROR(__xludf.DUMMYFUNCTION("GOOGLETRANSLATE(E3201,""zh-CN"",""vi"")"),"Có thể thu thập nguyên liệu này. Chế tạo nó sẽ tạo ra kẹo mút Halloween.")</f>
        <v>Có thể thu thập nguyên liệu này. Chế tạo nó sẽ tạo ra kẹo mút Halloween.</v>
      </c>
      <c r="H3201" s="8"/>
      <c r="I3201" s="8"/>
      <c r="J3201" s="8"/>
    </row>
    <row r="3202" ht="21.0" customHeight="1">
      <c r="A3202" s="6">
        <v>1.0</v>
      </c>
      <c r="B3202" s="6">
        <v>249.0</v>
      </c>
      <c r="C3202" s="6">
        <v>5.0</v>
      </c>
      <c r="D3202" s="9" t="s">
        <v>5183</v>
      </c>
      <c r="E3202" s="9" t="s">
        <v>5184</v>
      </c>
      <c r="F3202" s="8" t="str">
        <f>IFERROR(__xludf.DUMMYFUNCTION("GOOGLETRANSLATE(D3202,""zh-CN"",""vi"")"),"Kẹo mút Halloween")</f>
        <v>Kẹo mút Halloween</v>
      </c>
      <c r="G3202" s="8" t="str">
        <f>IFERROR(__xludf.DUMMYFUNCTION("GOOGLETRANSLATE(E3202,""zh-CN"",""vi"")"),"Nó có mùi thơm ngọt ngào, nhưng tôi không dám ăn. Chế tạo nó sẽ cho ra Kẹo Tiêu Chảy.")</f>
        <v>Nó có mùi thơm ngọt ngào, nhưng tôi không dám ăn. Chế tạo nó sẽ cho ra Kẹo Tiêu Chảy.</v>
      </c>
      <c r="H3202" s="8"/>
      <c r="I3202" s="8"/>
      <c r="J3202" s="8"/>
    </row>
    <row r="3203" ht="21.0" customHeight="1">
      <c r="A3203" s="6">
        <v>1.0</v>
      </c>
      <c r="B3203" s="6">
        <v>249.0</v>
      </c>
      <c r="C3203" s="6">
        <v>6.0</v>
      </c>
      <c r="D3203" s="9" t="s">
        <v>5185</v>
      </c>
      <c r="E3203" s="9" t="s">
        <v>5186</v>
      </c>
      <c r="F3203" s="8" t="str">
        <f>IFERROR(__xludf.DUMMYFUNCTION("GOOGLETRANSLATE(D3203,""zh-CN"",""vi"")"),"Kẹo trị tiêu chảy")</f>
        <v>Kẹo trị tiêu chảy</v>
      </c>
      <c r="G3203" s="8" t="str">
        <f>IFERROR(__xludf.DUMMYFUNCTION("GOOGLETRANSLATE(E3203,""zh-CN"",""vi"")"),"Tôi có linh cảm rằng ăn cái này chắc chắn sẽ bị tiêu chảy. (Một chiếc bánh đáng ngờ được tạo ra thông qua quá trình tổng hợp.)")</f>
        <v>Tôi có linh cảm rằng ăn cái này chắc chắn sẽ bị tiêu chảy. (Một chiếc bánh đáng ngờ được tạo ra thông qua quá trình tổng hợp.)</v>
      </c>
      <c r="H3203" s="8"/>
      <c r="I3203" s="8"/>
      <c r="J3203" s="8"/>
    </row>
    <row r="3204" ht="21.0" customHeight="1">
      <c r="A3204" s="6">
        <v>1.0</v>
      </c>
      <c r="B3204" s="6">
        <v>249.0</v>
      </c>
      <c r="C3204" s="6">
        <v>7.0</v>
      </c>
      <c r="D3204" s="9" t="s">
        <v>5187</v>
      </c>
      <c r="E3204" s="9" t="s">
        <v>5188</v>
      </c>
      <c r="F3204" s="8" t="str">
        <f>IFERROR(__xludf.DUMMYFUNCTION("GOOGLETRANSLATE(D3204,""zh-CN"",""vi"")"),"Bánh đáng ngờ")</f>
        <v>Bánh đáng ngờ</v>
      </c>
      <c r="G3204" s="8" t="str">
        <f>IFERROR(__xludf.DUMMYFUNCTION("GOOGLETRANSLATE(E3204,""zh-CN"",""vi"")"),"Chiếc bánh này có vẻ đáng ngờ; tôi sẽ tặng nó cho người mà tôi không ưa. (Nguyên liệu: Bánh Thuốc Phép Thuật)")</f>
        <v>Chiếc bánh này có vẻ đáng ngờ; tôi sẽ tặng nó cho người mà tôi không ưa. (Nguyên liệu: Bánh Thuốc Phép Thuật)</v>
      </c>
      <c r="H3204" s="8"/>
      <c r="I3204" s="8"/>
      <c r="J3204" s="8"/>
    </row>
    <row r="3205" ht="21.0" customHeight="1">
      <c r="A3205" s="6">
        <v>1.0</v>
      </c>
      <c r="B3205" s="6">
        <v>249.0</v>
      </c>
      <c r="C3205" s="6">
        <v>8.0</v>
      </c>
      <c r="D3205" s="9" t="s">
        <v>5189</v>
      </c>
      <c r="E3205" s="9" t="s">
        <v>5190</v>
      </c>
      <c r="F3205" s="8" t="str">
        <f>IFERROR(__xludf.DUMMYFUNCTION("GOOGLETRANSLATE(D3205,""zh-CN"",""vi"")"),"Bánh thuốc phù thủy")</f>
        <v>Bánh thuốc phù thủy</v>
      </c>
      <c r="G3205" s="8" t="str">
        <f>IFERROR(__xludf.DUMMYFUNCTION("GOOGLETRANSLATE(E3205,""zh-CN"",""vi"")"),"Ăn cái bánh này xong tôi có biến thành mèo không? (Làm bánh rán hình mạng nhện)")</f>
        <v>Ăn cái bánh này xong tôi có biến thành mèo không? (Làm bánh rán hình mạng nhện)</v>
      </c>
      <c r="H3205" s="8"/>
      <c r="I3205" s="8"/>
      <c r="J3205" s="8"/>
    </row>
    <row r="3206" ht="21.0" customHeight="1">
      <c r="A3206" s="6">
        <v>1.0</v>
      </c>
      <c r="B3206" s="6">
        <v>249.0</v>
      </c>
      <c r="C3206" s="6">
        <v>9.0</v>
      </c>
      <c r="D3206" s="9" t="s">
        <v>5191</v>
      </c>
      <c r="E3206" s="9" t="s">
        <v>5192</v>
      </c>
      <c r="F3206" s="8" t="str">
        <f>IFERROR(__xludf.DUMMYFUNCTION("GOOGLETRANSLATE(D3206,""zh-CN"",""vi"")"),"Bánh rán mạng nhện")</f>
        <v>Bánh rán mạng nhện</v>
      </c>
      <c r="G3206" s="8" t="str">
        <f>IFERROR(__xludf.DUMMYFUNCTION("GOOGLETRANSLATE(E3206,""zh-CN"",""vi"")"),"Con nhện sô cô la trông cực kỳ giống thật! Kết hợp chúng lại để tạo ra Kem Xâm Lược Bóng Tối.")</f>
        <v>Con nhện sô cô la trông cực kỳ giống thật! Kết hợp chúng lại để tạo ra Kem Xâm Lược Bóng Tối.</v>
      </c>
      <c r="H3206" s="8"/>
      <c r="I3206" s="8"/>
      <c r="J3206" s="8"/>
    </row>
    <row r="3207" ht="21.0" customHeight="1">
      <c r="A3207" s="6">
        <v>1.0</v>
      </c>
      <c r="B3207" s="6">
        <v>249.0</v>
      </c>
      <c r="C3207" s="6">
        <v>10.0</v>
      </c>
      <c r="D3207" s="9" t="s">
        <v>5193</v>
      </c>
      <c r="E3207" s="9" t="s">
        <v>5194</v>
      </c>
      <c r="F3207" s="8" t="str">
        <f>IFERROR(__xludf.DUMMYFUNCTION("GOOGLETRANSLATE(D3207,""zh-CN"",""vi"")"),"Bóng tối buông xuống, kem")</f>
        <v>Bóng tối buông xuống, kem</v>
      </c>
      <c r="G3207" s="8" t="str">
        <f>IFERROR(__xludf.DUMMYFUNCTION("GOOGLETRANSLATE(E3207,""zh-CN"",""vi"")"),"Một miếng cắn, một hồn ma nhỏ; ngọt ngào và sảng khoái. Kết hợp các nguyên liệu để tạo thành Bánh mì Cthulhu.")</f>
        <v>Một miếng cắn, một hồn ma nhỏ; ngọt ngào và sảng khoái. Kết hợp các nguyên liệu để tạo thành Bánh mì Cthulhu.</v>
      </c>
      <c r="H3207" s="8"/>
      <c r="I3207" s="8"/>
      <c r="J3207" s="8"/>
    </row>
    <row r="3208" ht="21.0" customHeight="1">
      <c r="A3208" s="6">
        <v>1.0</v>
      </c>
      <c r="B3208" s="6">
        <v>249.0</v>
      </c>
      <c r="C3208" s="6">
        <v>11.0</v>
      </c>
      <c r="D3208" s="9" t="s">
        <v>5195</v>
      </c>
      <c r="E3208" s="9" t="s">
        <v>5196</v>
      </c>
      <c r="F3208" s="8" t="str">
        <f>IFERROR(__xludf.DUMMYFUNCTION("GOOGLETRANSLATE(D3208,""zh-CN"",""vi"")"),"Bánh mì kẹp Cthulhu")</f>
        <v>Bánh mì kẹp Cthulhu</v>
      </c>
      <c r="G3208" s="8" t="str">
        <f>IFERROR(__xludf.DUMMYFUNCTION("GOOGLETRANSLATE(E3208,""zh-CN"",""vi"")"),"Tôi đã nhìn thấy một chiếc bánh sandwich không thể tả nổi. (Hãy chế tạo nó để có được một xiên thịt nướng ma quái.)")</f>
        <v>Tôi đã nhìn thấy một chiếc bánh sandwich không thể tả nổi. (Hãy chế tạo nó để có được một xiên thịt nướng ma quái.)</v>
      </c>
      <c r="H3208" s="8"/>
      <c r="I3208" s="8"/>
      <c r="J3208" s="8"/>
    </row>
    <row r="3209" ht="21.0" customHeight="1">
      <c r="A3209" s="6">
        <v>1.0</v>
      </c>
      <c r="B3209" s="6">
        <v>249.0</v>
      </c>
      <c r="C3209" s="6">
        <v>12.0</v>
      </c>
      <c r="D3209" s="9" t="s">
        <v>5197</v>
      </c>
      <c r="E3209" s="9" t="s">
        <v>5198</v>
      </c>
      <c r="F3209" s="8" t="str">
        <f>IFERROR(__xludf.DUMMYFUNCTION("GOOGLETRANSLATE(D3209,""zh-CN"",""vi"")"),"Xiên nướng ma quái")</f>
        <v>Xiên nướng ma quái</v>
      </c>
      <c r="G3209" s="8" t="str">
        <f>IFERROR(__xludf.DUMMYFUNCTION("GOOGLETRANSLATE(E3209,""zh-CN"",""vi"")"),"Thật bất ngờ, nó có vị ngon tuyệt vời. Kết hợp chúng lại để tạo thành một Gói Quà Kẹo Halloween.")</f>
        <v>Thật bất ngờ, nó có vị ngon tuyệt vời. Kết hợp chúng lại để tạo thành một Gói Quà Kẹo Halloween.</v>
      </c>
      <c r="H3209" s="8"/>
      <c r="I3209" s="8"/>
      <c r="J3209" s="8"/>
    </row>
    <row r="3210" ht="21.0" customHeight="1">
      <c r="A3210" s="6">
        <v>1.0</v>
      </c>
      <c r="B3210" s="6">
        <v>249.0</v>
      </c>
      <c r="C3210" s="6">
        <v>13.0</v>
      </c>
      <c r="D3210" s="9" t="s">
        <v>5199</v>
      </c>
      <c r="E3210" s="9" t="s">
        <v>5200</v>
      </c>
      <c r="F3210" s="8" t="str">
        <f>IFERROR(__xludf.DUMMYFUNCTION("GOOGLETRANSLATE(D3210,""zh-CN"",""vi"")"),"Hộp quà kẹo Halloween")</f>
        <v>Hộp quà kẹo Halloween</v>
      </c>
      <c r="G3210" s="8" t="str">
        <f>IFERROR(__xludf.DUMMYFUNCTION("GOOGLETRANSLATE(E3210,""zh-CN"",""vi"")"),"Tất cả những loại kẹo độc đáo mà bạn muốn đều có ở đây! (Loại cao cấp nhất đã được tổng hợp)")</f>
        <v>Tất cả những loại kẹo độc đáo mà bạn muốn đều có ở đây! (Loại cao cấp nhất đã được tổng hợp)</v>
      </c>
      <c r="H3210" s="8"/>
      <c r="I3210" s="8"/>
      <c r="J3210" s="8"/>
    </row>
    <row r="3211" ht="21.0" customHeight="1">
      <c r="A3211" s="6">
        <v>1.0</v>
      </c>
      <c r="B3211" s="6">
        <v>250.0</v>
      </c>
      <c r="C3211" s="6">
        <v>1.0</v>
      </c>
      <c r="D3211" s="15" t="s">
        <v>5201</v>
      </c>
      <c r="E3211" s="9" t="s">
        <v>5202</v>
      </c>
      <c r="F3211" s="8" t="str">
        <f>IFERROR(__xludf.DUMMYFUNCTION("GOOGLETRANSLATE(D3211,""zh-CN"",""vi"")"),"Con Dơi Nhỏ")</f>
        <v>Con Dơi Nhỏ</v>
      </c>
      <c r="G3211" s="8" t="str">
        <f>IFERROR(__xludf.DUMMYFUNCTION("GOOGLETRANSLATE(E3211,""zh-CN"",""vi"")"),"Đó có thể là một điệp viên. Hãy tổng hợp lại để tạo ra một hồn ma nhỏ.")</f>
        <v>Đó có thể là một điệp viên. Hãy tổng hợp lại để tạo ra một hồn ma nhỏ.</v>
      </c>
      <c r="H3211" s="8"/>
      <c r="I3211" s="8"/>
      <c r="J3211" s="8"/>
    </row>
    <row r="3212" ht="21.0" customHeight="1">
      <c r="A3212" s="6">
        <v>1.0</v>
      </c>
      <c r="B3212" s="6">
        <v>250.0</v>
      </c>
      <c r="C3212" s="6">
        <v>2.0</v>
      </c>
      <c r="D3212" s="15" t="s">
        <v>5203</v>
      </c>
      <c r="E3212" s="9" t="s">
        <v>5204</v>
      </c>
      <c r="F3212" s="8" t="str">
        <f>IFERROR(__xludf.DUMMYFUNCTION("GOOGLETRANSLATE(D3212,""zh-CN"",""vi"")"),"hồn ma nhỏ")</f>
        <v>hồn ma nhỏ</v>
      </c>
      <c r="G3212" s="8" t="str">
        <f>IFERROR(__xludf.DUMMYFUNCTION("GOOGLETRANSLATE(E3212,""zh-CN"",""vi"")"),"Nó vô hình đối với người thường; họ chỉ cảm nhận được một cơn gió lạnh thoảng qua. Tổng hợp để có được một Tiểu Ma.")</f>
        <v>Nó vô hình đối với người thường; họ chỉ cảm nhận được một cơn gió lạnh thoảng qua. Tổng hợp để có được một Tiểu Ma.</v>
      </c>
      <c r="H3212" s="8"/>
      <c r="I3212" s="8"/>
      <c r="J3212" s="8"/>
    </row>
    <row r="3213" ht="21.0" customHeight="1">
      <c r="A3213" s="6">
        <v>1.0</v>
      </c>
      <c r="B3213" s="6">
        <v>250.0</v>
      </c>
      <c r="C3213" s="6">
        <v>3.0</v>
      </c>
      <c r="D3213" s="15" t="s">
        <v>5205</v>
      </c>
      <c r="E3213" s="9" t="s">
        <v>5206</v>
      </c>
      <c r="F3213" s="8" t="str">
        <f>IFERROR(__xludf.DUMMYFUNCTION("GOOGLETRANSLATE(D3213,""zh-CN"",""vi"")"),"Quỷ Nhỏ")</f>
        <v>Quỷ Nhỏ</v>
      </c>
      <c r="G3213" s="8" t="str">
        <f>IFERROR(__xludf.DUMMYFUNCTION("GOOGLETRANSLATE(E3213,""zh-CN"",""vi"")"),"Đó là con quỷ trong tim tôi, luôn nghĩ về bạn. (Tổng hợp để có được Tiên Hoa Nhỏ)")</f>
        <v>Đó là con quỷ trong tim tôi, luôn nghĩ về bạn. (Tổng hợp để có được Tiên Hoa Nhỏ)</v>
      </c>
      <c r="H3213" s="8"/>
      <c r="I3213" s="8"/>
      <c r="J3213" s="8"/>
    </row>
    <row r="3214" ht="21.0" customHeight="1">
      <c r="A3214" s="6">
        <v>1.0</v>
      </c>
      <c r="B3214" s="6">
        <v>250.0</v>
      </c>
      <c r="C3214" s="6">
        <v>4.0</v>
      </c>
      <c r="D3214" s="15" t="s">
        <v>5207</v>
      </c>
      <c r="E3214" s="9" t="s">
        <v>5208</v>
      </c>
      <c r="F3214" s="8" t="str">
        <f>IFERROR(__xludf.DUMMYFUNCTION("GOOGLETRANSLATE(D3214,""zh-CN"",""vi"")"),"Nàng tiên hoa nhỏ")</f>
        <v>Nàng tiên hoa nhỏ</v>
      </c>
      <c r="G3214" s="8" t="str">
        <f>IFERROR(__xludf.DUMMYFUNCTION("GOOGLETRANSLATE(E3214,""zh-CN"",""vi"")"),"Ngoại hình dễ thương, nhưng tính cách tinh quái và thích chơi khăm. Một con quái vật nhỏ được tạo ra thông qua quá trình tổng hợp.")</f>
        <v>Ngoại hình dễ thương, nhưng tính cách tinh quái và thích chơi khăm. Một con quái vật nhỏ được tạo ra thông qua quá trình tổng hợp.</v>
      </c>
      <c r="H3214" s="8"/>
      <c r="I3214" s="8"/>
      <c r="J3214" s="8"/>
    </row>
    <row r="3215" ht="21.0" customHeight="1">
      <c r="A3215" s="6">
        <v>1.0</v>
      </c>
      <c r="B3215" s="6">
        <v>250.0</v>
      </c>
      <c r="C3215" s="6">
        <v>5.0</v>
      </c>
      <c r="D3215" s="15" t="s">
        <v>5209</v>
      </c>
      <c r="E3215" s="9" t="s">
        <v>5210</v>
      </c>
      <c r="F3215" s="8" t="str">
        <f>IFERROR(__xludf.DUMMYFUNCTION("GOOGLETRANSLATE(D3215,""zh-CN"",""vi"")"),"Quái vật nhỏ")</f>
        <v>Quái vật nhỏ</v>
      </c>
      <c r="G3215" s="8" t="str">
        <f>IFERROR(__xludf.DUMMYFUNCTION("GOOGLETRANSLATE(E3215,""zh-CN"",""vi"")"),"Cô ấy có tính cách tốt và thích được vuốt ve. Bạn có thể tổng hợp cô ấy để có được một xác ướp.")</f>
        <v>Cô ấy có tính cách tốt và thích được vuốt ve. Bạn có thể tổng hợp cô ấy để có được một xác ướp.</v>
      </c>
      <c r="H3215" s="8"/>
      <c r="I3215" s="8"/>
      <c r="J3215" s="8"/>
    </row>
    <row r="3216" ht="21.0" customHeight="1">
      <c r="A3216" s="6">
        <v>1.0</v>
      </c>
      <c r="B3216" s="6">
        <v>250.0</v>
      </c>
      <c r="C3216" s="6">
        <v>6.0</v>
      </c>
      <c r="D3216" s="15" t="s">
        <v>5211</v>
      </c>
      <c r="E3216" s="9" t="s">
        <v>5212</v>
      </c>
      <c r="F3216" s="8" t="str">
        <f>IFERROR(__xludf.DUMMYFUNCTION("GOOGLETRANSLATE(D3216,""zh-CN"",""vi"")"),"xác ướp")</f>
        <v>xác ướp</v>
      </c>
      <c r="G3216" s="8" t="str">
        <f>IFERROR(__xludf.DUMMYFUNCTION("GOOGLETRANSLATE(E3216,""zh-CN"",""vi"")"),"Di chuyển chậm chạp và nói một thứ ngôn ngữ Ai Cập cổ đại khó hiểu. Một phù thủy tập sự được tạo ra thông qua quá trình tổng hợp.")</f>
        <v>Di chuyển chậm chạp và nói một thứ ngôn ngữ Ai Cập cổ đại khó hiểu. Một phù thủy tập sự được tạo ra thông qua quá trình tổng hợp.</v>
      </c>
      <c r="H3216" s="8"/>
      <c r="I3216" s="8"/>
      <c r="J3216" s="8"/>
    </row>
    <row r="3217" ht="21.0" customHeight="1">
      <c r="A3217" s="6">
        <v>1.0</v>
      </c>
      <c r="B3217" s="6">
        <v>250.0</v>
      </c>
      <c r="C3217" s="6">
        <v>7.0</v>
      </c>
      <c r="D3217" s="15" t="s">
        <v>5213</v>
      </c>
      <c r="E3217" s="9" t="s">
        <v>5214</v>
      </c>
      <c r="F3217" s="8" t="str">
        <f>IFERROR(__xludf.DUMMYFUNCTION("GOOGLETRANSLATE(D3217,""zh-CN"",""vi"")"),"Phù thủy tập sự")</f>
        <v>Phù thủy tập sự</v>
      </c>
      <c r="G3217" s="8" t="str">
        <f>IFERROR(__xludf.DUMMYFUNCTION("GOOGLETRANSLATE(E3217,""zh-CN"",""vi"")"),"Cô ấy thích thử nghiệm với các loại thuốc, tạm thời biến người ta thành những con vật nhỏ. Cô ấy đã tạo ra một cô gái người sói bằng phương pháp tổng hợp.")</f>
        <v>Cô ấy thích thử nghiệm với các loại thuốc, tạm thời biến người ta thành những con vật nhỏ. Cô ấy đã tạo ra một cô gái người sói bằng phương pháp tổng hợp.</v>
      </c>
      <c r="H3217" s="8"/>
      <c r="I3217" s="8"/>
      <c r="J3217" s="8"/>
    </row>
    <row r="3218" ht="21.0" customHeight="1">
      <c r="A3218" s="6">
        <v>1.0</v>
      </c>
      <c r="B3218" s="6">
        <v>250.0</v>
      </c>
      <c r="C3218" s="6">
        <v>8.0</v>
      </c>
      <c r="D3218" s="15" t="s">
        <v>5215</v>
      </c>
      <c r="E3218" s="9" t="s">
        <v>5216</v>
      </c>
      <c r="F3218" s="8" t="str">
        <f>IFERROR(__xludf.DUMMYFUNCTION("GOOGLETRANSLATE(D3218,""zh-CN"",""vi"")"),"cô gái người sói")</f>
        <v>cô gái người sói</v>
      </c>
      <c r="G3218" s="8" t="str">
        <f>IFERROR(__xludf.DUMMYFUNCTION("GOOGLETRANSLATE(E3218,""zh-CN"",""vi"")"),"Cô gái chỉ đang đi dạo vào đêm khuya, và cuối cùng lại trở thành như thế này. (Tổng hợp để có được một cô hầu gái ma cà rồng.)")</f>
        <v>Cô gái chỉ đang đi dạo vào đêm khuya, và cuối cùng lại trở thành như thế này. (Tổng hợp để có được một cô hầu gái ma cà rồng.)</v>
      </c>
      <c r="H3218" s="8"/>
      <c r="I3218" s="8"/>
      <c r="J3218" s="8"/>
    </row>
    <row r="3219" ht="21.0" customHeight="1">
      <c r="A3219" s="6">
        <v>1.0</v>
      </c>
      <c r="B3219" s="6">
        <v>250.0</v>
      </c>
      <c r="C3219" s="6">
        <v>9.0</v>
      </c>
      <c r="D3219" s="15" t="s">
        <v>5217</v>
      </c>
      <c r="E3219" s="9" t="s">
        <v>5218</v>
      </c>
      <c r="F3219" s="8" t="str">
        <f>IFERROR(__xludf.DUMMYFUNCTION("GOOGLETRANSLATE(D3219,""zh-CN"",""vi"")"),"Cô hầu gái ma cà rồng")</f>
        <v>Cô hầu gái ma cà rồng</v>
      </c>
      <c r="G3219" s="8" t="str">
        <f>IFERROR(__xludf.DUMMYFUNCTION("GOOGLETRANSLATE(E3219,""zh-CN"",""vi"")"),"Cô ấy là người hầu gái giỏi nhất thế giới! Chỉ cần hiến máu thường xuyên để tổng hợp cô ấy thành Cô Dâu Ma.")</f>
        <v>Cô ấy là người hầu gái giỏi nhất thế giới! Chỉ cần hiến máu thường xuyên để tổng hợp cô ấy thành Cô Dâu Ma.</v>
      </c>
      <c r="H3219" s="8"/>
      <c r="I3219" s="8"/>
      <c r="J3219" s="8"/>
    </row>
    <row r="3220" ht="21.0" customHeight="1">
      <c r="A3220" s="6">
        <v>1.0</v>
      </c>
      <c r="B3220" s="6">
        <v>250.0</v>
      </c>
      <c r="C3220" s="6">
        <v>10.0</v>
      </c>
      <c r="D3220" s="15" t="s">
        <v>5219</v>
      </c>
      <c r="E3220" s="9" t="s">
        <v>5220</v>
      </c>
      <c r="F3220" s="8" t="str">
        <f>IFERROR(__xludf.DUMMYFUNCTION("GOOGLETRANSLATE(D3220,""zh-CN"",""vi"")"),"Cô dâu ma")</f>
        <v>Cô dâu ma</v>
      </c>
      <c r="G3220" s="8" t="str">
        <f>IFERROR(__xludf.DUMMYFUNCTION("GOOGLETRANSLATE(E3220,""zh-CN"",""vi"")"),"Dù thân thể tàn phế, ta vẫn muốn tìm được tình yêu đích thực~ Tổng hợp để có được Thần Chết Nhỏ")</f>
        <v>Dù thân thể tàn phế, ta vẫn muốn tìm được tình yêu đích thực~ Tổng hợp để có được Thần Chết Nhỏ</v>
      </c>
      <c r="H3220" s="8"/>
      <c r="I3220" s="8"/>
      <c r="J3220" s="8"/>
    </row>
    <row r="3221" ht="21.0" customHeight="1">
      <c r="A3221" s="6">
        <v>1.0</v>
      </c>
      <c r="B3221" s="6">
        <v>250.0</v>
      </c>
      <c r="C3221" s="6">
        <v>11.0</v>
      </c>
      <c r="D3221" s="15" t="s">
        <v>5221</v>
      </c>
      <c r="E3221" s="9" t="s">
        <v>5222</v>
      </c>
      <c r="F3221" s="8" t="str">
        <f>IFERROR(__xludf.DUMMYFUNCTION("GOOGLETRANSLATE(D3221,""zh-CN"",""vi"")"),"cái chết nhỏ")</f>
        <v>cái chết nhỏ</v>
      </c>
      <c r="G3221" s="8" t="str">
        <f>IFERROR(__xludf.DUMMYFUNCTION("GOOGLETRANSLATE(E3221,""zh-CN"",""vi"")"),"Công việc thật sự vất vả, thỉnh thoảng mình cần nghỉ ngơi~ Tổng hợp để có được Thuyền trưởng Ma")</f>
        <v>Công việc thật sự vất vả, thỉnh thoảng mình cần nghỉ ngơi~ Tổng hợp để có được Thuyền trưởng Ma</v>
      </c>
      <c r="H3221" s="8"/>
      <c r="I3221" s="8"/>
      <c r="J3221" s="8"/>
    </row>
    <row r="3222" ht="21.0" customHeight="1">
      <c r="A3222" s="6">
        <v>1.0</v>
      </c>
      <c r="B3222" s="6">
        <v>250.0</v>
      </c>
      <c r="C3222" s="6">
        <v>12.0</v>
      </c>
      <c r="D3222" s="15" t="s">
        <v>5223</v>
      </c>
      <c r="E3222" s="9" t="s">
        <v>5224</v>
      </c>
      <c r="F3222" s="8" t="str">
        <f>IFERROR(__xludf.DUMMYFUNCTION("GOOGLETRANSLATE(D3222,""zh-CN"",""vi"")"),"Thuyền trưởng ma")</f>
        <v>Thuyền trưởng ma</v>
      </c>
      <c r="G3222" s="8" t="str">
        <f>IFERROR(__xludf.DUMMYFUNCTION("GOOGLETRANSLATE(E3222,""zh-CN"",""vi"")"),"Suốt nhiều thế kỷ, nỗi ám ảnh về việc tìm kiếm những kho báu bí ẩn đã duy trì nó. (Tổng hợp để có được Bá tước Ma cà rồng)")</f>
        <v>Suốt nhiều thế kỷ, nỗi ám ảnh về việc tìm kiếm những kho báu bí ẩn đã duy trì nó. (Tổng hợp để có được Bá tước Ma cà rồng)</v>
      </c>
      <c r="H3222" s="8"/>
      <c r="I3222" s="8"/>
      <c r="J3222" s="8"/>
    </row>
    <row r="3223" ht="21.0" customHeight="1">
      <c r="A3223" s="6">
        <v>1.0</v>
      </c>
      <c r="B3223" s="6">
        <v>250.0</v>
      </c>
      <c r="C3223" s="6">
        <v>13.0</v>
      </c>
      <c r="D3223" s="15" t="s">
        <v>5225</v>
      </c>
      <c r="E3223" s="9" t="s">
        <v>5226</v>
      </c>
      <c r="F3223" s="8" t="str">
        <f>IFERROR(__xludf.DUMMYFUNCTION("GOOGLETRANSLATE(D3223,""zh-CN"",""vi"")"),"Bá tước ma cà rồng")</f>
        <v>Bá tước ma cà rồng</v>
      </c>
      <c r="G3223" s="8" t="str">
        <f>IFERROR(__xludf.DUMMYFUNCTION("GOOGLETRANSLATE(E3223,""zh-CN"",""vi"")"),"Một quý ông đẹp trai, giàu có và rất dịu dàng với các cô gái~ (Đã được nâng cấp lên cấp độ cao nhất)")</f>
        <v>Một quý ông đẹp trai, giàu có và rất dịu dàng với các cô gái~ (Đã được nâng cấp lên cấp độ cao nhất)</v>
      </c>
      <c r="H3223" s="8"/>
      <c r="I3223" s="8"/>
      <c r="J3223" s="8"/>
    </row>
    <row r="3224" ht="21.0" customHeight="1">
      <c r="A3224" s="6">
        <v>11.0</v>
      </c>
      <c r="B3224" s="6">
        <v>1071.0</v>
      </c>
      <c r="C3224" s="6">
        <v>1.0</v>
      </c>
      <c r="D3224" s="15" t="s">
        <v>5227</v>
      </c>
      <c r="E3224" s="9" t="s">
        <v>5228</v>
      </c>
      <c r="F3224" s="8" t="str">
        <f>IFERROR(__xludf.DUMMYFUNCTION("GOOGLETRANSLATE(D3224,""zh-CN"",""vi"")"),"cờ xiếc")</f>
        <v>cờ xiếc</v>
      </c>
      <c r="G3224" s="8" t="str">
        <f>IFERROR(__xludf.DUMMYFUNCTION("GOOGLETRANSLATE(E3224,""zh-CN"",""vi"")"),"Mỗi khi lá cờ này được giương lên, có nghĩa là gánh xiếc sắp đến! (Chế tạo để nhận hộp vật phẩm)")</f>
        <v>Mỗi khi lá cờ này được giương lên, có nghĩa là gánh xiếc sắp đến! (Chế tạo để nhận hộp vật phẩm)</v>
      </c>
      <c r="H3224" s="8"/>
      <c r="I3224" s="8"/>
      <c r="J3224" s="8"/>
    </row>
    <row r="3225" ht="21.0" customHeight="1">
      <c r="A3225" s="6">
        <v>11.0</v>
      </c>
      <c r="B3225" s="6">
        <v>1071.0</v>
      </c>
      <c r="C3225" s="6">
        <v>2.0</v>
      </c>
      <c r="D3225" s="15" t="s">
        <v>5229</v>
      </c>
      <c r="E3225" s="9" t="s">
        <v>5230</v>
      </c>
      <c r="F3225" s="8" t="str">
        <f>IFERROR(__xludf.DUMMYFUNCTION("GOOGLETRANSLATE(D3225,""zh-CN"",""vi"")"),"hộp đạo cụ")</f>
        <v>hộp đạo cụ</v>
      </c>
      <c r="G3225" s="8" t="str">
        <f>IFERROR(__xludf.DUMMYFUNCTION("GOOGLETRANSLATE(E3225,""zh-CN"",""vi"")"),"Nó chứa các quân bài được sử dụng trong các buổi biểu diễn của chú hề. Kết hợp chúng để nhận được một hộp vật phẩm.")</f>
        <v>Nó chứa các quân bài được sử dụng trong các buổi biểu diễn của chú hề. Kết hợp chúng để nhận được một hộp vật phẩm.</v>
      </c>
      <c r="H3225" s="8"/>
      <c r="I3225" s="8"/>
      <c r="J3225" s="8"/>
    </row>
    <row r="3226" ht="21.0" customHeight="1">
      <c r="A3226" s="6">
        <v>11.0</v>
      </c>
      <c r="B3226" s="6">
        <v>1071.0</v>
      </c>
      <c r="C3226" s="6">
        <v>3.0</v>
      </c>
      <c r="D3226" s="15" t="s">
        <v>5231</v>
      </c>
      <c r="E3226" s="9" t="s">
        <v>5232</v>
      </c>
      <c r="F3226" s="8" t="str">
        <f>IFERROR(__xludf.DUMMYFUNCTION("GOOGLETRANSLATE(D3226,""zh-CN"",""vi"")"),"Hộp đạo cụ")</f>
        <v>Hộp đạo cụ</v>
      </c>
      <c r="G3226" s="8" t="str">
        <f>IFERROR(__xludf.DUMMYFUNCTION("GOOGLETRANSLATE(E3226,""zh-CN"",""vi"")"),"Bên cạnh bài tây, còn có các đạo cụ ảo thuật. Kết hợp chúng lại để tạo thành một hộp đạo cụ cao cấp.")</f>
        <v>Bên cạnh bài tây, còn có các đạo cụ ảo thuật. Kết hợp chúng lại để tạo thành một hộp đạo cụ cao cấp.</v>
      </c>
      <c r="H3226" s="8"/>
      <c r="I3226" s="8"/>
      <c r="J3226" s="8"/>
    </row>
    <row r="3227" ht="21.0" customHeight="1">
      <c r="A3227" s="6">
        <v>11.0</v>
      </c>
      <c r="B3227" s="6">
        <v>1071.0</v>
      </c>
      <c r="C3227" s="6">
        <v>4.0</v>
      </c>
      <c r="D3227" s="15" t="s">
        <v>5233</v>
      </c>
      <c r="E3227" s="9" t="s">
        <v>5234</v>
      </c>
      <c r="F3227" s="8" t="str">
        <f>IFERROR(__xludf.DUMMYFUNCTION("GOOGLETRANSLATE(D3227,""zh-CN"",""vi"")"),"Hộp đạo cụ cao cấp")</f>
        <v>Hộp đạo cụ cao cấp</v>
      </c>
      <c r="G3227" s="8" t="str">
        <f>IFERROR(__xludf.DUMMYFUNCTION("GOOGLETRANSLATE(E3227,""zh-CN"",""vi"")"),"Các đạo cụ bên trong có thể gây bất ngờ cho khán giả. Hãy kết hợp chúng để tạo thành một quầy bán vé.")</f>
        <v>Các đạo cụ bên trong có thể gây bất ngờ cho khán giả. Hãy kết hợp chúng để tạo thành một quầy bán vé.</v>
      </c>
      <c r="H3227" s="8"/>
      <c r="I3227" s="8"/>
      <c r="J3227" s="8"/>
    </row>
    <row r="3228" ht="21.0" customHeight="1">
      <c r="A3228" s="6">
        <v>10.0</v>
      </c>
      <c r="B3228" s="6">
        <v>1071.0</v>
      </c>
      <c r="C3228" s="6">
        <v>5.0</v>
      </c>
      <c r="D3228" s="15" t="s">
        <v>5235</v>
      </c>
      <c r="E3228" s="9" t="s">
        <v>5236</v>
      </c>
      <c r="F3228" s="8" t="str">
        <f>IFERROR(__xludf.DUMMYFUNCTION("GOOGLETRANSLATE(D3228,""zh-CN"",""vi"")"),"Quầy bán vé")</f>
        <v>Quầy bán vé</v>
      </c>
      <c r="G3228" s="8" t="str">
        <f>IFERROR(__xludf.DUMMYFUNCTION("GOOGLETRANSLATE(E3228,""zh-CN"",""vi"")"),"Một hàng dài người chờ đợi, tất cả đều háo hức được xem màn trình diễn. (Tổng hợp để có được lối vào rạp xiếc.)")</f>
        <v>Một hàng dài người chờ đợi, tất cả đều háo hức được xem màn trình diễn. (Tổng hợp để có được lối vào rạp xiếc.)</v>
      </c>
      <c r="H3228" s="8"/>
      <c r="I3228" s="8"/>
      <c r="J3228" s="8"/>
    </row>
    <row r="3229" ht="21.0" customHeight="1">
      <c r="A3229" s="6">
        <v>10.0</v>
      </c>
      <c r="B3229" s="6">
        <v>1071.0</v>
      </c>
      <c r="C3229" s="6">
        <v>6.0</v>
      </c>
      <c r="D3229" s="15" t="s">
        <v>5237</v>
      </c>
      <c r="E3229" s="9" t="s">
        <v>5238</v>
      </c>
      <c r="F3229" s="8" t="str">
        <f>IFERROR(__xludf.DUMMYFUNCTION("GOOGLETRANSLATE(D3229,""zh-CN"",""vi"")"),"Lối vào rạp xiếc")</f>
        <v>Lối vào rạp xiếc</v>
      </c>
      <c r="G3229" s="8" t="str">
        <f>IFERROR(__xludf.DUMMYFUNCTION("GOOGLETRANSLATE(E3229,""zh-CN"",""vi"")"),"Biển chỉ dẫn ở lối vào chỉ hướng đến các khu vực biểu diễn khác nhau. Kết hợp chúng lại để có được toa xe của công viên giải trí.")</f>
        <v>Biển chỉ dẫn ở lối vào chỉ hướng đến các khu vực biểu diễn khác nhau. Kết hợp chúng lại để có được toa xe của công viên giải trí.</v>
      </c>
      <c r="H3229" s="8"/>
      <c r="I3229" s="8"/>
      <c r="J3229" s="8"/>
    </row>
    <row r="3230" ht="21.0" customHeight="1">
      <c r="A3230" s="6">
        <v>10.0</v>
      </c>
      <c r="B3230" s="6">
        <v>1071.0</v>
      </c>
      <c r="C3230" s="6">
        <v>7.0</v>
      </c>
      <c r="D3230" s="15" t="s">
        <v>5239</v>
      </c>
      <c r="E3230" s="9" t="s">
        <v>5240</v>
      </c>
      <c r="F3230" s="8" t="str">
        <f>IFERROR(__xludf.DUMMYFUNCTION("GOOGLETRANSLATE(D3230,""zh-CN"",""vi"")"),"toa xe giải trí")</f>
        <v>toa xe giải trí</v>
      </c>
      <c r="G3230" s="8" t="str">
        <f>IFERROR(__xludf.DUMMYFUNCTION("GOOGLETRANSLATE(E3230,""zh-CN"",""vi"")"),"Chọn ngẫu nhiên một khán giả để lên xe và tương tác với họ. Kết hợp họ lại để tạo thành một chiếc lều xiếc.")</f>
        <v>Chọn ngẫu nhiên một khán giả để lên xe và tương tác với họ. Kết hợp họ lại để tạo thành một chiếc lều xiếc.</v>
      </c>
      <c r="H3230" s="8"/>
      <c r="I3230" s="8"/>
      <c r="J3230" s="8"/>
    </row>
    <row r="3231" ht="21.0" customHeight="1">
      <c r="A3231" s="6">
        <v>10.0</v>
      </c>
      <c r="B3231" s="6">
        <v>1071.0</v>
      </c>
      <c r="C3231" s="6">
        <v>8.0</v>
      </c>
      <c r="D3231" s="15" t="s">
        <v>5241</v>
      </c>
      <c r="E3231" s="9" t="s">
        <v>5242</v>
      </c>
      <c r="F3231" s="8" t="str">
        <f>IFERROR(__xludf.DUMMYFUNCTION("GOOGLETRANSLATE(D3231,""zh-CN"",""vi"")"),"lều xiếc")</f>
        <v>lều xiếc</v>
      </c>
      <c r="G3231" s="8" t="str">
        <f>IFERROR(__xludf.DUMMYFUNCTION("GOOGLETRANSLATE(E3231,""zh-CN"",""vi"")"),"Đây là khu vực nghỉ ngơi dành cho đoàn xiếc và không mở cửa cho công chúng. Bạn có thể tự chế tạo lều xiếc.")</f>
        <v>Đây là khu vực nghỉ ngơi dành cho đoàn xiếc và không mở cửa cho công chúng. Bạn có thể tự chế tạo lều xiếc.</v>
      </c>
      <c r="H3231" s="8"/>
      <c r="I3231" s="8"/>
      <c r="J3231" s="8"/>
    </row>
    <row r="3232" ht="21.0" customHeight="1">
      <c r="A3232" s="6">
        <v>10.0</v>
      </c>
      <c r="B3232" s="6">
        <v>1071.0</v>
      </c>
      <c r="C3232" s="6">
        <v>9.0</v>
      </c>
      <c r="D3232" s="15" t="s">
        <v>5243</v>
      </c>
      <c r="E3232" s="9" t="s">
        <v>5244</v>
      </c>
      <c r="F3232" s="8" t="str">
        <f>IFERROR(__xludf.DUMMYFUNCTION("GOOGLETRANSLATE(D3232,""zh-CN"",""vi"")"),"Lều xiếc")</f>
        <v>Lều xiếc</v>
      </c>
      <c r="G3232" s="8" t="str">
        <f>IFERROR(__xludf.DUMMYFUNCTION("GOOGLETRANSLATE(E3232,""zh-CN"",""vi"")"),"Nó chứa đủ loại thiết bị tuyệt vời. Kết hợp chúng lại để tạo thành một chiếc lều biểu diễn xiếc.")</f>
        <v>Nó chứa đủ loại thiết bị tuyệt vời. Kết hợp chúng lại để tạo thành một chiếc lều biểu diễn xiếc.</v>
      </c>
      <c r="H3232" s="8"/>
      <c r="I3232" s="8"/>
      <c r="J3232" s="8"/>
    </row>
    <row r="3233" ht="21.0" customHeight="1">
      <c r="A3233" s="6">
        <v>10.0</v>
      </c>
      <c r="B3233" s="6">
        <v>1071.0</v>
      </c>
      <c r="C3233" s="6">
        <v>10.0</v>
      </c>
      <c r="D3233" s="15" t="s">
        <v>5245</v>
      </c>
      <c r="E3233" s="9" t="s">
        <v>5246</v>
      </c>
      <c r="F3233" s="8" t="str">
        <f>IFERROR(__xludf.DUMMYFUNCTION("GOOGLETRANSLATE(D3233,""zh-CN"",""vi"")"),"lều biểu diễn xiếc")</f>
        <v>lều biểu diễn xiếc</v>
      </c>
      <c r="G3233" s="8" t="str">
        <f>IFERROR(__xludf.DUMMYFUNCTION("GOOGLETRANSLATE(E3233,""zh-CN"",""vi"")"),"Địa điểm biểu diễn trong nhà, chương trình sắp bắt đầu rồi~ (Đã được nâng cấp lên cấp độ cao nhất)")</f>
        <v>Địa điểm biểu diễn trong nhà, chương trình sắp bắt đầu rồi~ (Đã được nâng cấp lên cấp độ cao nhất)</v>
      </c>
      <c r="H3233" s="8"/>
      <c r="I3233" s="8"/>
      <c r="J3233" s="8"/>
    </row>
    <row r="3234" ht="21.0" customHeight="1">
      <c r="A3234" s="6">
        <v>11.0</v>
      </c>
      <c r="B3234" s="6">
        <v>1072.0</v>
      </c>
      <c r="C3234" s="6">
        <v>1.0</v>
      </c>
      <c r="D3234" s="15" t="s">
        <v>5247</v>
      </c>
      <c r="E3234" s="9" t="s">
        <v>5248</v>
      </c>
      <c r="F3234" s="8" t="str">
        <f>IFERROR(__xludf.DUMMYFUNCTION("GOOGLETRANSLATE(D3234,""zh-CN"",""vi"")"),"Cờ xiếc [V]")</f>
        <v>Cờ xiếc [V]</v>
      </c>
      <c r="G3234" s="8" t="str">
        <f>IFERROR(__xludf.DUMMYFUNCTION("GOOGLETRANSLATE(E3234,""zh-CN"",""vi"")"),"Mỗi khi lá cờ này được giương lên, có nghĩa là gánh xiếc sắp đến! (Chế tạo để nhận hộp vật phẩm [V])")</f>
        <v>Mỗi khi lá cờ này được giương lên, có nghĩa là gánh xiếc sắp đến! (Chế tạo để nhận hộp vật phẩm [V])</v>
      </c>
      <c r="H3234" s="8"/>
      <c r="I3234" s="8"/>
      <c r="J3234" s="8"/>
    </row>
    <row r="3235" ht="21.0" customHeight="1">
      <c r="A3235" s="6">
        <v>11.0</v>
      </c>
      <c r="B3235" s="6">
        <v>1072.0</v>
      </c>
      <c r="C3235" s="6">
        <v>2.0</v>
      </c>
      <c r="D3235" s="15" t="s">
        <v>5249</v>
      </c>
      <c r="E3235" s="9" t="s">
        <v>5250</v>
      </c>
      <c r="F3235" s="8" t="str">
        <f>IFERROR(__xludf.DUMMYFUNCTION("GOOGLETRANSLATE(D3235,""zh-CN"",""vi"")"),"Hộp đạo cụ [V]")</f>
        <v>Hộp đạo cụ [V]</v>
      </c>
      <c r="G3235" s="8" t="str">
        <f>IFERROR(__xludf.DUMMYFUNCTION("GOOGLETRANSLATE(E3235,""zh-CN"",""vi"")"),"Nó chứa các quân bài được sử dụng trong các buổi biểu diễn của chú hề. Kết hợp chúng để nhận được hộp vật phẩm [V].")</f>
        <v>Nó chứa các quân bài được sử dụng trong các buổi biểu diễn của chú hề. Kết hợp chúng để nhận được hộp vật phẩm [V].</v>
      </c>
      <c r="H3235" s="8"/>
      <c r="I3235" s="8"/>
      <c r="J3235" s="8"/>
    </row>
    <row r="3236" ht="21.0" customHeight="1">
      <c r="A3236" s="6">
        <v>11.0</v>
      </c>
      <c r="B3236" s="6">
        <v>1072.0</v>
      </c>
      <c r="C3236" s="6">
        <v>3.0</v>
      </c>
      <c r="D3236" s="15" t="s">
        <v>5251</v>
      </c>
      <c r="E3236" s="9" t="s">
        <v>5252</v>
      </c>
      <c r="F3236" s="8" t="str">
        <f>IFERROR(__xludf.DUMMYFUNCTION("GOOGLETRANSLATE(D3236,""zh-CN"",""vi"")"),"Hộp vật phẩm[V]")</f>
        <v>Hộp vật phẩm[V]</v>
      </c>
      <c r="G3236" s="8" t="str">
        <f>IFERROR(__xludf.DUMMYFUNCTION("GOOGLETRANSLATE(E3236,""zh-CN"",""vi"")"),"Ngoài bài tây, còn có các đạo cụ ảo thuật. Kết hợp chúng để có được một hộp đạo cụ cao cấp [V].")</f>
        <v>Ngoài bài tây, còn có các đạo cụ ảo thuật. Kết hợp chúng để có được một hộp đạo cụ cao cấp [V].</v>
      </c>
      <c r="H3236" s="8"/>
      <c r="I3236" s="8"/>
      <c r="J3236" s="8"/>
    </row>
    <row r="3237" ht="21.0" customHeight="1">
      <c r="A3237" s="6">
        <v>11.0</v>
      </c>
      <c r="B3237" s="6">
        <v>1072.0</v>
      </c>
      <c r="C3237" s="6">
        <v>4.0</v>
      </c>
      <c r="D3237" s="15" t="s">
        <v>5253</v>
      </c>
      <c r="E3237" s="9" t="s">
        <v>5254</v>
      </c>
      <c r="F3237" s="8" t="str">
        <f>IFERROR(__xludf.DUMMYFUNCTION("GOOGLETRANSLATE(D3237,""zh-CN"",""vi"")"),"Hộp đạo cụ cao cấp [V]")</f>
        <v>Hộp đạo cụ cao cấp [V]</v>
      </c>
      <c r="G3237" s="8" t="str">
        <f>IFERROR(__xludf.DUMMYFUNCTION("GOOGLETRANSLATE(E3237,""zh-CN"",""vi"")"),"Các đạo cụ bên trong có thể gây bất ngờ cho khán giả. Kết hợp chúng để có được quầy bán vé [V].")</f>
        <v>Các đạo cụ bên trong có thể gây bất ngờ cho khán giả. Kết hợp chúng để có được quầy bán vé [V].</v>
      </c>
      <c r="H3237" s="8"/>
      <c r="I3237" s="8"/>
      <c r="J3237" s="8"/>
    </row>
    <row r="3238" ht="21.0" customHeight="1">
      <c r="A3238" s="6">
        <v>10.0</v>
      </c>
      <c r="B3238" s="6">
        <v>1072.0</v>
      </c>
      <c r="C3238" s="6">
        <v>5.0</v>
      </c>
      <c r="D3238" s="15" t="s">
        <v>5255</v>
      </c>
      <c r="E3238" s="9" t="s">
        <v>5256</v>
      </c>
      <c r="F3238" s="8" t="str">
        <f>IFERROR(__xludf.DUMMYFUNCTION("GOOGLETRANSLATE(D3238,""zh-CN"",""vi"")"),"Quầy bán vé [V]")</f>
        <v>Quầy bán vé [V]</v>
      </c>
      <c r="G3238" s="8" t="str">
        <f>IFERROR(__xludf.DUMMYFUNCTION("GOOGLETRANSLATE(E3238,""zh-CN"",""vi"")"),"Một hàng dài người chờ đợi, tất cả đều háo hức được xem màn trình diễn. [Tổng hợp để có được lối vào rạp xiếc [V]]")</f>
        <v>Một hàng dài người chờ đợi, tất cả đều háo hức được xem màn trình diễn. [Tổng hợp để có được lối vào rạp xiếc [V]]</v>
      </c>
      <c r="H3238" s="8"/>
      <c r="I3238" s="8"/>
      <c r="J3238" s="8"/>
    </row>
    <row r="3239" ht="21.0" customHeight="1">
      <c r="A3239" s="6">
        <v>10.0</v>
      </c>
      <c r="B3239" s="6">
        <v>1072.0</v>
      </c>
      <c r="C3239" s="6">
        <v>6.0</v>
      </c>
      <c r="D3239" s="15" t="s">
        <v>5257</v>
      </c>
      <c r="E3239" s="9" t="s">
        <v>5258</v>
      </c>
      <c r="F3239" s="8" t="str">
        <f>IFERROR(__xludf.DUMMYFUNCTION("GOOGLETRANSLATE(D3239,""zh-CN"",""vi"")"),"Lối vào rạp xiếc [V]")</f>
        <v>Lối vào rạp xiếc [V]</v>
      </c>
      <c r="G3239" s="8" t="str">
        <f>IFERROR(__xludf.DUMMYFUNCTION("GOOGLETRANSLATE(E3239,""zh-CN"",""vi"")"),"Biển chỉ dẫn ở lối vào chỉ hướng đến các buổi biểu diễn khác nhau. Kết hợp các vật phẩm để có được toa xe công viên giải trí [V].")</f>
        <v>Biển chỉ dẫn ở lối vào chỉ hướng đến các buổi biểu diễn khác nhau. Kết hợp các vật phẩm để có được toa xe công viên giải trí [V].</v>
      </c>
      <c r="H3239" s="8"/>
      <c r="I3239" s="8"/>
      <c r="J3239" s="8"/>
    </row>
    <row r="3240" ht="21.0" customHeight="1">
      <c r="A3240" s="6">
        <v>10.0</v>
      </c>
      <c r="B3240" s="6">
        <v>1072.0</v>
      </c>
      <c r="C3240" s="6">
        <v>7.0</v>
      </c>
      <c r="D3240" s="15" t="s">
        <v>5259</v>
      </c>
      <c r="E3240" s="9" t="s">
        <v>5260</v>
      </c>
      <c r="F3240" s="8" t="str">
        <f>IFERROR(__xludf.DUMMYFUNCTION("GOOGLETRANSLATE(D3240,""zh-CN"",""vi"")"),"Đi xe ngựa kéo [V]")</f>
        <v>Đi xe ngựa kéo [V]</v>
      </c>
      <c r="G3240" s="8" t="str">
        <f>IFERROR(__xludf.DUMMYFUNCTION("GOOGLETRANSLATE(E3240,""zh-CN"",""vi"")"),"Chọn ngẫu nhiên một khán giả để lên xe và tương tác. Kết hợp các vật phẩm để có được một chiếc lều xiếc [V].")</f>
        <v>Chọn ngẫu nhiên một khán giả để lên xe và tương tác. Kết hợp các vật phẩm để có được một chiếc lều xiếc [V].</v>
      </c>
      <c r="H3240" s="8"/>
      <c r="I3240" s="8"/>
      <c r="J3240" s="8"/>
    </row>
    <row r="3241" ht="21.0" customHeight="1">
      <c r="A3241" s="6">
        <v>10.0</v>
      </c>
      <c r="B3241" s="6">
        <v>1072.0</v>
      </c>
      <c r="C3241" s="6">
        <v>8.0</v>
      </c>
      <c r="D3241" s="15" t="s">
        <v>5261</v>
      </c>
      <c r="E3241" s="9" t="s">
        <v>5262</v>
      </c>
      <c r="F3241" s="8" t="str">
        <f>IFERROR(__xludf.DUMMYFUNCTION("GOOGLETRANSLATE(D3241,""zh-CN"",""vi"")"),"Lều xiếc [V]")</f>
        <v>Lều xiếc [V]</v>
      </c>
      <c r="G3241" s="8" t="str">
        <f>IFERROR(__xludf.DUMMYFUNCTION("GOOGLETRANSLATE(E3241,""zh-CN"",""vi"")"),"Đây là khu vực nghỉ ngơi dành cho đoàn xiếc và không mở cửa cho công chúng. Chế tạo lều xiếc [V].")</f>
        <v>Đây là khu vực nghỉ ngơi dành cho đoàn xiếc và không mở cửa cho công chúng. Chế tạo lều xiếc [V].</v>
      </c>
      <c r="H3241" s="8"/>
      <c r="I3241" s="8"/>
      <c r="J3241" s="8"/>
    </row>
    <row r="3242" ht="21.0" customHeight="1">
      <c r="A3242" s="6">
        <v>10.0</v>
      </c>
      <c r="B3242" s="6">
        <v>1072.0</v>
      </c>
      <c r="C3242" s="6">
        <v>9.0</v>
      </c>
      <c r="D3242" s="15" t="s">
        <v>5263</v>
      </c>
      <c r="E3242" s="9" t="s">
        <v>5264</v>
      </c>
      <c r="F3242" s="8" t="str">
        <f>IFERROR(__xludf.DUMMYFUNCTION("GOOGLETRANSLATE(D3242,""zh-CN"",""vi"")"),"Lều xiếc [V]")</f>
        <v>Lều xiếc [V]</v>
      </c>
      <c r="G3242" s="8" t="str">
        <f>IFERROR(__xludf.DUMMYFUNCTION("GOOGLETRANSLATE(E3242,""zh-CN"",""vi"")"),"Nó chứa đủ loại thiết bị tuyệt vời. Kết hợp chúng lại để tạo thành một lều biểu diễn xiếc [V].")</f>
        <v>Nó chứa đủ loại thiết bị tuyệt vời. Kết hợp chúng lại để tạo thành một lều biểu diễn xiếc [V].</v>
      </c>
      <c r="H3242" s="8"/>
      <c r="I3242" s="8"/>
      <c r="J3242" s="8"/>
    </row>
    <row r="3243" ht="21.0" customHeight="1">
      <c r="A3243" s="6">
        <v>10.0</v>
      </c>
      <c r="B3243" s="6">
        <v>1072.0</v>
      </c>
      <c r="C3243" s="6">
        <v>10.0</v>
      </c>
      <c r="D3243" s="15" t="s">
        <v>5265</v>
      </c>
      <c r="E3243" s="9" t="s">
        <v>5266</v>
      </c>
      <c r="F3243" s="8" t="str">
        <f>IFERROR(__xludf.DUMMYFUNCTION("GOOGLETRANSLATE(D3243,""zh-CN"",""vi"")"),"Lều biểu diễn xiếc [V]")</f>
        <v>Lều biểu diễn xiếc [V]</v>
      </c>
      <c r="G3243" s="8" t="str">
        <f>IFERROR(__xludf.DUMMYFUNCTION("GOOGLETRANSLATE(E3243,""zh-CN"",""vi"")"),"Địa điểm biểu diễn trong nhà, chương trình sắp bắt đầu rồi~ (Đã đạt cấp độ tối đa) [V]")</f>
        <v>Địa điểm biểu diễn trong nhà, chương trình sắp bắt đầu rồi~ (Đã đạt cấp độ tối đa) [V]</v>
      </c>
      <c r="H3243" s="8"/>
      <c r="I3243" s="8"/>
      <c r="J3243" s="8"/>
    </row>
    <row r="3244" ht="21.0" customHeight="1">
      <c r="A3244" s="6">
        <v>1.0</v>
      </c>
      <c r="B3244" s="6">
        <v>251.0</v>
      </c>
      <c r="C3244" s="6">
        <v>1.0</v>
      </c>
      <c r="D3244" s="15" t="s">
        <v>5267</v>
      </c>
      <c r="E3244" s="9" t="s">
        <v>5268</v>
      </c>
      <c r="F3244" s="8" t="str">
        <f>IFERROR(__xludf.DUMMYFUNCTION("GOOGLETRANSLATE(D3244,""zh-CN"",""vi"")"),"Lá bài Joker")</f>
        <v>Lá bài Joker</v>
      </c>
      <c r="G3244" s="8" t="str">
        <f>IFERROR(__xludf.DUMMYFUNCTION("GOOGLETRANSLATE(E3244,""zh-CN"",""vi"")"),"Bạn có thể thu thập và kết hợp các thẻ may mắn để nhận được mặt nạ chú hề.")</f>
        <v>Bạn có thể thu thập và kết hợp các thẻ may mắn để nhận được mặt nạ chú hề.</v>
      </c>
      <c r="H3244" s="8"/>
      <c r="I3244" s="8"/>
      <c r="J3244" s="8"/>
    </row>
    <row r="3245" ht="21.0" customHeight="1">
      <c r="A3245" s="6">
        <v>1.0</v>
      </c>
      <c r="B3245" s="6">
        <v>251.0</v>
      </c>
      <c r="C3245" s="6">
        <v>2.0</v>
      </c>
      <c r="D3245" s="15" t="s">
        <v>5269</v>
      </c>
      <c r="E3245" s="9" t="s">
        <v>5270</v>
      </c>
      <c r="F3245" s="8" t="str">
        <f>IFERROR(__xludf.DUMMYFUNCTION("GOOGLETRANSLATE(D3245,""zh-CN"",""vi"")"),"Mặt nạ chú hề")</f>
        <v>Mặt nạ chú hề</v>
      </c>
      <c r="G3245" s="8" t="str">
        <f>IFERROR(__xludf.DUMMYFUNCTION("GOOGLETRANSLATE(E3245,""zh-CN"",""vi"")"),"Hãy đeo mặt nạ và mang niềm vui đến cho người khác. Tự tay làm chiếc áo chú hề.")</f>
        <v>Hãy đeo mặt nạ và mang niềm vui đến cho người khác. Tự tay làm chiếc áo chú hề.</v>
      </c>
      <c r="H3245" s="8"/>
      <c r="I3245" s="8"/>
      <c r="J3245" s="8"/>
    </row>
    <row r="3246" ht="21.0" customHeight="1">
      <c r="A3246" s="6">
        <v>1.0</v>
      </c>
      <c r="B3246" s="6">
        <v>251.0</v>
      </c>
      <c r="C3246" s="6">
        <v>3.0</v>
      </c>
      <c r="D3246" s="15" t="s">
        <v>5271</v>
      </c>
      <c r="E3246" s="9" t="s">
        <v>5272</v>
      </c>
      <c r="F3246" s="8" t="str">
        <f>IFERROR(__xludf.DUMMYFUNCTION("GOOGLETRANSLATE(D3246,""zh-CN"",""vi"")"),"Áo chú hề")</f>
        <v>Áo chú hề</v>
      </c>
      <c r="G3246" s="8" t="str">
        <f>IFERROR(__xludf.DUMMYFUNCTION("GOOGLETRANSLATE(E3246,""zh-CN"",""vi"")"),"Thiết kế rất hài hước và thú vị. Kết hợp chúng lại để tạo thành một quả bóng xiếc.")</f>
        <v>Thiết kế rất hài hước và thú vị. Kết hợp chúng lại để tạo thành một quả bóng xiếc.</v>
      </c>
      <c r="H3246" s="8"/>
      <c r="I3246" s="8"/>
      <c r="J3246" s="8"/>
    </row>
    <row r="3247" ht="21.0" customHeight="1">
      <c r="A3247" s="6">
        <v>1.0</v>
      </c>
      <c r="B3247" s="6">
        <v>251.0</v>
      </c>
      <c r="C3247" s="6">
        <v>4.0</v>
      </c>
      <c r="D3247" s="15" t="s">
        <v>5273</v>
      </c>
      <c r="E3247" s="9" t="s">
        <v>5274</v>
      </c>
      <c r="F3247" s="8" t="str">
        <f>IFERROR(__xludf.DUMMYFUNCTION("GOOGLETRANSLATE(D3247,""zh-CN"",""vi"")"),"Rạp xiếc")</f>
        <v>Rạp xiếc</v>
      </c>
      <c r="G3247" s="8" t="str">
        <f>IFERROR(__xludf.DUMMYFUNCTION("GOOGLETRANSLATE(E3247,""zh-CN"",""vi"")"),"Một quả bóng đa năng có thể ném, bắt và giẫm lên. Kết hợp các quả bóng để tạo thành hộp chú hề.")</f>
        <v>Một quả bóng đa năng có thể ném, bắt và giẫm lên. Kết hợp các quả bóng để tạo thành hộp chú hề.</v>
      </c>
      <c r="H3247" s="8"/>
      <c r="I3247" s="8"/>
      <c r="J3247" s="8"/>
    </row>
    <row r="3248" ht="21.0" customHeight="1">
      <c r="A3248" s="6">
        <v>1.0</v>
      </c>
      <c r="B3248" s="6">
        <v>251.0</v>
      </c>
      <c r="C3248" s="6">
        <v>5.0</v>
      </c>
      <c r="D3248" s="15" t="s">
        <v>5275</v>
      </c>
      <c r="E3248" s="9" t="s">
        <v>5276</v>
      </c>
      <c r="F3248" s="8" t="str">
        <f>IFERROR(__xludf.DUMMYFUNCTION("GOOGLETRANSLATE(D3248,""zh-CN"",""vi"")"),"Hộp chú hề")</f>
        <v>Hộp chú hề</v>
      </c>
      <c r="G3248" s="8" t="str">
        <f>IFERROR(__xludf.DUMMYFUNCTION("GOOGLETRANSLATE(E3248,""zh-CN"",""vi"")"),"Mở ra làm tôi giật mình. Tôi ghép chúng lại để tạo thành một quả bóng hình chú hề.")</f>
        <v>Mở ra làm tôi giật mình. Tôi ghép chúng lại để tạo thành một quả bóng hình chú hề.</v>
      </c>
      <c r="H3248" s="8"/>
      <c r="I3248" s="8"/>
      <c r="J3248" s="8"/>
    </row>
    <row r="3249" ht="21.0" customHeight="1">
      <c r="A3249" s="6">
        <v>1.0</v>
      </c>
      <c r="B3249" s="6">
        <v>251.0</v>
      </c>
      <c r="C3249" s="6">
        <v>6.0</v>
      </c>
      <c r="D3249" s="15" t="s">
        <v>5277</v>
      </c>
      <c r="E3249" s="9" t="s">
        <v>5278</v>
      </c>
      <c r="F3249" s="8" t="str">
        <f>IFERROR(__xludf.DUMMYFUNCTION("GOOGLETRANSLATE(D3249,""zh-CN"",""vi"")"),"Bóng bay chú hề")</f>
        <v>Bóng bay chú hề</v>
      </c>
      <c r="G3249" s="8" t="str">
        <f>IFERROR(__xludf.DUMMYFUNCTION("GOOGLETRANSLATE(E3249,""zh-CN"",""vi"")"),"Nó mang lại niềm vui cho mọi người. Kết hợp các vật phẩm để có được Chiếc Mũ Thần Kỳ.")</f>
        <v>Nó mang lại niềm vui cho mọi người. Kết hợp các vật phẩm để có được Chiếc Mũ Thần Kỳ.</v>
      </c>
      <c r="H3249" s="8"/>
      <c r="I3249" s="8"/>
      <c r="J3249" s="8"/>
    </row>
    <row r="3250" ht="21.0" customHeight="1">
      <c r="A3250" s="6">
        <v>1.0</v>
      </c>
      <c r="B3250" s="6">
        <v>251.0</v>
      </c>
      <c r="C3250" s="6">
        <v>7.0</v>
      </c>
      <c r="D3250" s="15" t="s">
        <v>5279</v>
      </c>
      <c r="E3250" s="9" t="s">
        <v>5280</v>
      </c>
      <c r="F3250" s="8" t="str">
        <f>IFERROR(__xludf.DUMMYFUNCTION("GOOGLETRANSLATE(D3250,""zh-CN"",""vi"")"),"Chiếc mũ ma thuật")</f>
        <v>Chiếc mũ ma thuật</v>
      </c>
      <c r="G3250" s="8" t="str">
        <f>IFERROR(__xludf.DUMMYFUNCTION("GOOGLETRANSLATE(E3250,""zh-CN"",""vi"")"),"Đoán xem có bao nhiêu con thỏ bên trong? Ghép chúng lại để được Chiếc Kèn Kỳ Diệu.")</f>
        <v>Đoán xem có bao nhiêu con thỏ bên trong? Ghép chúng lại để được Chiếc Kèn Kỳ Diệu.</v>
      </c>
      <c r="H3250" s="8"/>
      <c r="I3250" s="8"/>
      <c r="J3250" s="8"/>
    </row>
    <row r="3251" ht="21.0" customHeight="1">
      <c r="A3251" s="6">
        <v>1.0</v>
      </c>
      <c r="B3251" s="6">
        <v>251.0</v>
      </c>
      <c r="C3251" s="6">
        <v>8.0</v>
      </c>
      <c r="D3251" s="15" t="s">
        <v>5281</v>
      </c>
      <c r="E3251" s="9" t="s">
        <v>5282</v>
      </c>
      <c r="F3251" s="8" t="str">
        <f>IFERROR(__xludf.DUMMYFUNCTION("GOOGLETRANSLATE(D3251,""zh-CN"",""vi"")"),"Chiếc kèn tuyệt vời")</f>
        <v>Chiếc kèn tuyệt vời</v>
      </c>
      <c r="G3251" s="8" t="str">
        <f>IFERROR(__xludf.DUMMYFUNCTION("GOOGLETRANSLATE(E3251,""zh-CN"",""vi"")"),"Hãy chơi một giai điệu vui tươi~ Kết hợp các thành phần để nhận được Chiếc ô chú hề")</f>
        <v>Hãy chơi một giai điệu vui tươi~ Kết hợp các thành phần để nhận được Chiếc ô chú hề</v>
      </c>
      <c r="H3251" s="8"/>
      <c r="I3251" s="8"/>
      <c r="J3251" s="8"/>
    </row>
    <row r="3252" ht="21.0" customHeight="1">
      <c r="A3252" s="6">
        <v>1.0</v>
      </c>
      <c r="B3252" s="6">
        <v>251.0</v>
      </c>
      <c r="C3252" s="6">
        <v>9.0</v>
      </c>
      <c r="D3252" s="15" t="s">
        <v>5283</v>
      </c>
      <c r="E3252" s="9" t="s">
        <v>5284</v>
      </c>
      <c r="F3252" s="8" t="str">
        <f>IFERROR(__xludf.DUMMYFUNCTION("GOOGLETRANSLATE(D3252,""zh-CN"",""vi"")"),"Ô dù chú hề")</f>
        <v>Ô dù chú hề</v>
      </c>
      <c r="G3252" s="8" t="str">
        <f>IFERROR(__xludf.DUMMYFUNCTION("GOOGLETRANSLATE(E3252,""zh-CN"",""vi"")"),"Khi mở ra, một bất ngờ thú vị đã xuất hiện. Sau khi lắp ráp, ta thu được một chiếc xe đạp một bánh.")</f>
        <v>Khi mở ra, một bất ngờ thú vị đã xuất hiện. Sau khi lắp ráp, ta thu được một chiếc xe đạp một bánh.</v>
      </c>
      <c r="H3252" s="8"/>
      <c r="I3252" s="8"/>
      <c r="J3252" s="8"/>
    </row>
    <row r="3253" ht="21.0" customHeight="1">
      <c r="A3253" s="6">
        <v>1.0</v>
      </c>
      <c r="B3253" s="6">
        <v>251.0</v>
      </c>
      <c r="C3253" s="6">
        <v>10.0</v>
      </c>
      <c r="D3253" s="15" t="s">
        <v>5285</v>
      </c>
      <c r="E3253" s="9" t="s">
        <v>5286</v>
      </c>
      <c r="F3253" s="8" t="str">
        <f>IFERROR(__xludf.DUMMYFUNCTION("GOOGLETRANSLATE(D3253,""zh-CN"",""vi"")"),"xe cút kít")</f>
        <v>xe cút kít</v>
      </c>
      <c r="G3253" s="8" t="str">
        <f>IFERROR(__xludf.DUMMYFUNCTION("GOOGLETRANSLATE(E3253,""zh-CN"",""vi"")"),"Một cỗ máy mà người thường khó điều khiển. Tổng hợp lại để có được một chiếc hộp ma thuật.")</f>
        <v>Một cỗ máy mà người thường khó điều khiển. Tổng hợp lại để có được một chiếc hộp ma thuật.</v>
      </c>
      <c r="H3253" s="8"/>
      <c r="I3253" s="8"/>
      <c r="J3253" s="8"/>
    </row>
    <row r="3254" ht="21.0" customHeight="1">
      <c r="A3254" s="6">
        <v>1.0</v>
      </c>
      <c r="B3254" s="6">
        <v>251.0</v>
      </c>
      <c r="C3254" s="6">
        <v>11.0</v>
      </c>
      <c r="D3254" s="15" t="s">
        <v>5287</v>
      </c>
      <c r="E3254" s="9" t="s">
        <v>5288</v>
      </c>
      <c r="F3254" s="8" t="str">
        <f>IFERROR(__xludf.DUMMYFUNCTION("GOOGLETRANSLATE(D3254,""zh-CN"",""vi"")"),"Hộp ma thuật")</f>
        <v>Hộp ma thuật</v>
      </c>
      <c r="G3254" s="8" t="str">
        <f>IFERROR(__xludf.DUMMYFUNCTION("GOOGLETRANSLATE(E3254,""zh-CN"",""vi"")"),"Nó giống như một chiều không gian khác; ngay cả khi bạn xé nó ra từng mảnh, những người bên trong cũng sẽ không bị tổn hại. Kết hợp chúng lại để tạo thành một con rối.")</f>
        <v>Nó giống như một chiều không gian khác; ngay cả khi bạn xé nó ra từng mảnh, những người bên trong cũng sẽ không bị tổn hại. Kết hợp chúng lại để tạo thành một con rối.</v>
      </c>
      <c r="H3254" s="8"/>
      <c r="I3254" s="8"/>
      <c r="J3254" s="8"/>
    </row>
    <row r="3255" ht="21.0" customHeight="1">
      <c r="A3255" s="6">
        <v>1.0</v>
      </c>
      <c r="B3255" s="6">
        <v>251.0</v>
      </c>
      <c r="C3255" s="6">
        <v>12.0</v>
      </c>
      <c r="D3255" s="15" t="s">
        <v>5289</v>
      </c>
      <c r="E3255" s="9" t="s">
        <v>5290</v>
      </c>
      <c r="F3255" s="8" t="str">
        <f>IFERROR(__xludf.DUMMYFUNCTION("GOOGLETRANSLATE(D3255,""zh-CN"",""vi"")"),"con rối")</f>
        <v>con rối</v>
      </c>
      <c r="G3255" s="8" t="str">
        <f>IFERROR(__xludf.DUMMYFUNCTION("GOOGLETRANSLATE(E3255,""zh-CN"",""vi"")"),"Một con rối biết đi, biết nói. Kết hợp chúng để có được chiếc xe đụng hình chú hề.")</f>
        <v>Một con rối biết đi, biết nói. Kết hợp chúng để có được chiếc xe đụng hình chú hề.</v>
      </c>
      <c r="H3255" s="8"/>
      <c r="I3255" s="8"/>
      <c r="J3255" s="8"/>
    </row>
    <row r="3256" ht="21.0" customHeight="1">
      <c r="A3256" s="6">
        <v>1.0</v>
      </c>
      <c r="B3256" s="6">
        <v>251.0</v>
      </c>
      <c r="C3256" s="6">
        <v>13.0</v>
      </c>
      <c r="D3256" s="15" t="s">
        <v>5291</v>
      </c>
      <c r="E3256" s="9" t="s">
        <v>5292</v>
      </c>
      <c r="F3256" s="8" t="str">
        <f>IFERROR(__xludf.DUMMYFUNCTION("GOOGLETRANSLATE(D3256,""zh-CN"",""vi"")"),"Xe đụng chú hề")</f>
        <v>Xe đụng chú hề</v>
      </c>
      <c r="G3256" s="8" t="str">
        <f>IFERROR(__xludf.DUMMYFUNCTION("GOOGLETRANSLATE(E3256,""zh-CN"",""vi"")"),"Nó phát ra tiếng cười giống như chú hề khi va chạm; âm thanh này khá dễ nhớ. (Đã được tổng hợp ở mức độ cao nhất.)")</f>
        <v>Nó phát ra tiếng cười giống như chú hề khi va chạm; âm thanh này khá dễ nhớ. (Đã được tổng hợp ở mức độ cao nhất.)</v>
      </c>
      <c r="H3256" s="8"/>
      <c r="I3256" s="8"/>
      <c r="J3256" s="8"/>
    </row>
    <row r="3257" ht="21.0" customHeight="1">
      <c r="A3257" s="6">
        <v>1.0</v>
      </c>
      <c r="B3257" s="6">
        <v>252.0</v>
      </c>
      <c r="C3257" s="6">
        <v>1.0</v>
      </c>
      <c r="D3257" s="15" t="s">
        <v>5293</v>
      </c>
      <c r="E3257" s="9" t="s">
        <v>5294</v>
      </c>
      <c r="F3257" s="8" t="str">
        <f>IFERROR(__xludf.DUMMYFUNCTION("GOOGLETRANSLATE(D3257,""zh-CN"",""vi"")"),"vé xiếc")</f>
        <v>vé xiếc</v>
      </c>
      <c r="G3257" s="8" t="str">
        <f>IFERROR(__xludf.DUMMYFUNCTION("GOOGLETRANSLATE(E3257,""zh-CN"",""vi"")"),"Một chuyến đi chơi trong ngày đến rạp xiếc! Bạn không thể rời đi trong suốt chuyến đi. Kết hợp các vật phẩm để tạo thành vòng lặp ba vòng.")</f>
        <v>Một chuyến đi chơi trong ngày đến rạp xiếc! Bạn không thể rời đi trong suốt chuyến đi. Kết hợp các vật phẩm để tạo thành vòng lặp ba vòng.</v>
      </c>
      <c r="H3257" s="8"/>
      <c r="I3257" s="8"/>
      <c r="J3257" s="8"/>
    </row>
    <row r="3258" ht="21.0" customHeight="1">
      <c r="A3258" s="6">
        <v>1.0</v>
      </c>
      <c r="B3258" s="6">
        <v>252.0</v>
      </c>
      <c r="C3258" s="6">
        <v>2.0</v>
      </c>
      <c r="D3258" s="15" t="s">
        <v>5295</v>
      </c>
      <c r="E3258" s="9" t="s">
        <v>5296</v>
      </c>
      <c r="F3258" s="8" t="str">
        <f>IFERROR(__xludf.DUMMYFUNCTION("GOOGLETRANSLATE(D3258,""zh-CN"",""vi"")"),"Ba vòng")</f>
        <v>Ba vòng</v>
      </c>
      <c r="G3258" s="8" t="str">
        <f>IFERROR(__xludf.DUMMYFUNCTION("GOOGLETRANSLATE(E3258,""zh-CN"",""vi"")"),"Nó có yêu cầu khá cao về thể hình; chỉ những người có vóc dáng mảnh mai mới có thể vượt qua. (Cần phải chế tạo một tấm bảng phi tiêu.)")</f>
        <v>Nó có yêu cầu khá cao về thể hình; chỉ những người có vóc dáng mảnh mai mới có thể vượt qua. (Cần phải chế tạo một tấm bảng phi tiêu.)</v>
      </c>
      <c r="H3258" s="8"/>
      <c r="I3258" s="8"/>
      <c r="J3258" s="8"/>
    </row>
    <row r="3259" ht="21.0" customHeight="1">
      <c r="A3259" s="6">
        <v>1.0</v>
      </c>
      <c r="B3259" s="6">
        <v>252.0</v>
      </c>
      <c r="C3259" s="6">
        <v>3.0</v>
      </c>
      <c r="D3259" s="9" t="s">
        <v>5297</v>
      </c>
      <c r="E3259" s="9" t="s">
        <v>5298</v>
      </c>
      <c r="F3259" s="8" t="str">
        <f>IFERROR(__xludf.DUMMYFUNCTION("GOOGLETRANSLATE(D3259,""zh-CN"",""vi"")"),"Phi tiêu")</f>
        <v>Phi tiêu</v>
      </c>
      <c r="G3259" s="8" t="str">
        <f>IFERROR(__xludf.DUMMYFUNCTION("GOOGLETRANSLATE(E3259,""zh-CN"",""vi"")"),"Trẻ em rất thích chơi với nó. Kết hợp các vật dụng để tạo thành ghế hình tên lửa.")</f>
        <v>Trẻ em rất thích chơi với nó. Kết hợp các vật dụng để tạo thành ghế hình tên lửa.</v>
      </c>
      <c r="H3259" s="8"/>
      <c r="I3259" s="8"/>
      <c r="J3259" s="8"/>
    </row>
    <row r="3260" ht="21.0" customHeight="1">
      <c r="A3260" s="6">
        <v>1.0</v>
      </c>
      <c r="B3260" s="6">
        <v>252.0</v>
      </c>
      <c r="C3260" s="6">
        <v>4.0</v>
      </c>
      <c r="D3260" s="15" t="s">
        <v>5299</v>
      </c>
      <c r="E3260" s="9" t="s">
        <v>5300</v>
      </c>
      <c r="F3260" s="8" t="str">
        <f>IFERROR(__xludf.DUMMYFUNCTION("GOOGLETRANSLATE(D3260,""zh-CN"",""vi"")"),"Ghế tên lửa")</f>
        <v>Ghế tên lửa</v>
      </c>
      <c r="G3260" s="8" t="str">
        <f>IFERROR(__xludf.DUMMYFUNCTION("GOOGLETRANSLATE(E3260,""zh-CN"",""vi"")"),"Nó chao đảo và lắc lư, như thể đang cưỡi tên lửa lên mặt trăng. Tổng hợp để có được Pháo Người.")</f>
        <v>Nó chao đảo và lắc lư, như thể đang cưỡi tên lửa lên mặt trăng. Tổng hợp để có được Pháo Người.</v>
      </c>
      <c r="H3260" s="8"/>
      <c r="I3260" s="8"/>
      <c r="J3260" s="8"/>
    </row>
    <row r="3261" ht="21.0" customHeight="1">
      <c r="A3261" s="6">
        <v>1.0</v>
      </c>
      <c r="B3261" s="6">
        <v>252.0</v>
      </c>
      <c r="C3261" s="6">
        <v>5.0</v>
      </c>
      <c r="D3261" s="15" t="s">
        <v>5301</v>
      </c>
      <c r="E3261" s="9" t="s">
        <v>5302</v>
      </c>
      <c r="F3261" s="8" t="str">
        <f>IFERROR(__xludf.DUMMYFUNCTION("GOOGLETRANSLATE(D3261,""zh-CN"",""vi"")"),"Pháo người")</f>
        <v>Pháo người</v>
      </c>
      <c r="G3261" s="8" t="str">
        <f>IFERROR(__xludf.DUMMYFUNCTION("GOOGLETRANSLATE(E3261,""zh-CN"",""vi"")"),"Chú hề lao vào đấu trường như một viên đạn đại bác. Kết hợp các bộ phận để tạo thành một quả bóng nảy.")</f>
        <v>Chú hề lao vào đấu trường như một viên đạn đại bác. Kết hợp các bộ phận để tạo thành một quả bóng nảy.</v>
      </c>
      <c r="H3261" s="8"/>
      <c r="I3261" s="8"/>
      <c r="J3261" s="8"/>
    </row>
    <row r="3262" ht="21.0" customHeight="1">
      <c r="A3262" s="6">
        <v>1.0</v>
      </c>
      <c r="B3262" s="6">
        <v>252.0</v>
      </c>
      <c r="C3262" s="6">
        <v>6.0</v>
      </c>
      <c r="D3262" s="15" t="s">
        <v>5303</v>
      </c>
      <c r="E3262" s="9" t="s">
        <v>5304</v>
      </c>
      <c r="F3262" s="8" t="str">
        <f>IFERROR(__xludf.DUMMYFUNCTION("GOOGLETRANSLATE(D3262,""zh-CN"",""vi"")"),"Quả bóng nảy")</f>
        <v>Quả bóng nảy</v>
      </c>
      <c r="G3262" s="8" t="str">
        <f>IFERROR(__xludf.DUMMYFUNCTION("GOOGLETRANSLATE(E3262,""zh-CN"",""vi"")"),"Họ nhảy rất cao và rất vui vẻ. (Bài kiểm tra sức mạnh dựa trên sự tổng hợp)")</f>
        <v>Họ nhảy rất cao và rất vui vẻ. (Bài kiểm tra sức mạnh dựa trên sự tổng hợp)</v>
      </c>
      <c r="H3262" s="8"/>
      <c r="I3262" s="8"/>
      <c r="J3262" s="8"/>
    </row>
    <row r="3263" ht="21.0" customHeight="1">
      <c r="A3263" s="6">
        <v>1.0</v>
      </c>
      <c r="B3263" s="6">
        <v>252.0</v>
      </c>
      <c r="C3263" s="6">
        <v>7.0</v>
      </c>
      <c r="D3263" s="15" t="s">
        <v>5305</v>
      </c>
      <c r="E3263" s="9" t="s">
        <v>5306</v>
      </c>
      <c r="F3263" s="8" t="str">
        <f>IFERROR(__xludf.DUMMYFUNCTION("GOOGLETRANSLATE(D3263,""zh-CN"",""vi"")"),"Kiểm tra sức mạnh")</f>
        <v>Kiểm tra sức mạnh</v>
      </c>
      <c r="G3263" s="8" t="str">
        <f>IFERROR(__xludf.DUMMYFUNCTION("GOOGLETRANSLATE(E3263,""zh-CN"",""vi"")"),"Tôi nghe nói có một món quà nhỏ sau khi đạt sức mạnh tối đa. (Tổng hợp để nhận được Đàn hạc hề)")</f>
        <v>Tôi nghe nói có một món quà nhỏ sau khi đạt sức mạnh tối đa. (Tổng hợp để nhận được Đàn hạc hề)</v>
      </c>
      <c r="H3263" s="8"/>
      <c r="I3263" s="8"/>
      <c r="J3263" s="8"/>
    </row>
    <row r="3264" ht="21.0" customHeight="1">
      <c r="A3264" s="6">
        <v>1.0</v>
      </c>
      <c r="B3264" s="6">
        <v>252.0</v>
      </c>
      <c r="C3264" s="6">
        <v>8.0</v>
      </c>
      <c r="D3264" s="15" t="s">
        <v>5307</v>
      </c>
      <c r="E3264" s="9" t="s">
        <v>5308</v>
      </c>
      <c r="F3264" s="8" t="str">
        <f>IFERROR(__xludf.DUMMYFUNCTION("GOOGLETRANSLATE(D3264,""zh-CN"",""vi"")"),"Đàn hạc hề")</f>
        <v>Đàn hạc hề</v>
      </c>
      <c r="G3264" s="8" t="str">
        <f>IFERROR(__xludf.DUMMYFUNCTION("GOOGLETRANSLATE(E3264,""zh-CN"",""vi"")"),"Bắn đạn theo một giai điệu bình thường sẽ tạo ra những âm thanh vui nhộn. Kết hợp chúng để tạo ra một chiếc xe hơi hình quả bóng bay.")</f>
        <v>Bắn đạn theo một giai điệu bình thường sẽ tạo ra những âm thanh vui nhộn. Kết hợp chúng để tạo ra một chiếc xe hơi hình quả bóng bay.</v>
      </c>
      <c r="H3264" s="8"/>
      <c r="I3264" s="8"/>
      <c r="J3264" s="8"/>
    </row>
    <row r="3265" ht="21.0" customHeight="1">
      <c r="A3265" s="6">
        <v>1.0</v>
      </c>
      <c r="B3265" s="6">
        <v>252.0</v>
      </c>
      <c r="C3265" s="6">
        <v>9.0</v>
      </c>
      <c r="D3265" s="15" t="s">
        <v>5309</v>
      </c>
      <c r="E3265" s="9" t="s">
        <v>5310</v>
      </c>
      <c r="F3265" s="8" t="str">
        <f>IFERROR(__xludf.DUMMYFUNCTION("GOOGLETRANSLATE(D3265,""zh-CN"",""vi"")"),"xe bóng bay")</f>
        <v>xe bóng bay</v>
      </c>
      <c r="G3265" s="8" t="str">
        <f>IFERROR(__xludf.DUMMYFUNCTION("GOOGLETRANSLATE(E3265,""zh-CN"",""vi"")"),"1 đổi 1, 5 đổi 10 ~ Kết hợp để có được chiếc thuyền bập bênh hình chú hề")</f>
        <v>1 đổi 1, 5 đổi 10 ~ Kết hợp để có được chiếc thuyền bập bênh hình chú hề</v>
      </c>
      <c r="H3265" s="8"/>
      <c r="I3265" s="8"/>
      <c r="J3265" s="8"/>
    </row>
    <row r="3266" ht="21.0" customHeight="1">
      <c r="A3266" s="6">
        <v>1.0</v>
      </c>
      <c r="B3266" s="6">
        <v>252.0</v>
      </c>
      <c r="C3266" s="6">
        <v>10.0</v>
      </c>
      <c r="D3266" s="15" t="s">
        <v>5311</v>
      </c>
      <c r="E3266" s="9" t="s">
        <v>5312</v>
      </c>
      <c r="F3266" s="8" t="str">
        <f>IFERROR(__xludf.DUMMYFUNCTION("GOOGLETRANSLATE(D3266,""zh-CN"",""vi"")"),"Chú hề lắc thuyền")</f>
        <v>Chú hề lắc thuyền</v>
      </c>
      <c r="G3266" s="8" t="str">
        <f>IFERROR(__xludf.DUMMYFUNCTION("GOOGLETRANSLATE(E3266,""zh-CN"",""vi"")"),"Khi ngồi lên, bạn sẽ có cảm giác như đang ở giữa một đại dương bao la. Kết hợp chúng lại để có được Vòng quay chú hề.")</f>
        <v>Khi ngồi lên, bạn sẽ có cảm giác như đang ở giữa một đại dương bao la. Kết hợp chúng lại để có được Vòng quay chú hề.</v>
      </c>
      <c r="H3266" s="8"/>
      <c r="I3266" s="8"/>
      <c r="J3266" s="8"/>
    </row>
    <row r="3267" ht="21.0" customHeight="1">
      <c r="A3267" s="6">
        <v>1.0</v>
      </c>
      <c r="B3267" s="6">
        <v>252.0</v>
      </c>
      <c r="C3267" s="6">
        <v>11.0</v>
      </c>
      <c r="D3267" s="15" t="s">
        <v>5313</v>
      </c>
      <c r="E3267" s="9" t="s">
        <v>5314</v>
      </c>
      <c r="F3267" s="8" t="str">
        <f>IFERROR(__xludf.DUMMYFUNCTION("GOOGLETRANSLATE(D3267,""zh-CN"",""vi"")"),"Vòng quay chú hề")</f>
        <v>Vòng quay chú hề</v>
      </c>
      <c r="G3267" s="8" t="str">
        <f>IFERROR(__xludf.DUMMYFUNCTION("GOOGLETRANSLATE(E3267,""zh-CN"",""vi"")"),"Đầy màu sắc, như thể đang du hành trên cầu vồng. Kết hợp các vật phẩm để tạo thành Vòng đu quay Bạch tuộc.")</f>
        <v>Đầy màu sắc, như thể đang du hành trên cầu vồng. Kết hợp các vật phẩm để tạo thành Vòng đu quay Bạch tuộc.</v>
      </c>
      <c r="H3267" s="8"/>
      <c r="I3267" s="8"/>
      <c r="J3267" s="8"/>
    </row>
    <row r="3268" ht="21.0" customHeight="1">
      <c r="A3268" s="6">
        <v>1.0</v>
      </c>
      <c r="B3268" s="6">
        <v>252.0</v>
      </c>
      <c r="C3268" s="6">
        <v>12.0</v>
      </c>
      <c r="D3268" s="15" t="s">
        <v>5315</v>
      </c>
      <c r="E3268" s="9" t="s">
        <v>5316</v>
      </c>
      <c r="F3268" s="8" t="str">
        <f>IFERROR(__xludf.DUMMYFUNCTION("GOOGLETRANSLATE(D3268,""zh-CN"",""vi"")"),"Vòng đu quay bạch tuộc")</f>
        <v>Vòng đu quay bạch tuộc</v>
      </c>
      <c r="G3268" s="8" t="str">
        <f>IFERROR(__xludf.DUMMYFUNCTION("GOOGLETRANSLATE(E3268,""zh-CN"",""vi"")"),"Những ánh đèn rực rỡ mang đến cho trẻ em khi ngồi trên đó một điều gì đó để khoe khoang. Kết hợp chúng lại để tạo thành Khinh khí cầu Chú hề.")</f>
        <v>Những ánh đèn rực rỡ mang đến cho trẻ em khi ngồi trên đó một điều gì đó để khoe khoang. Kết hợp chúng lại để tạo thành Khinh khí cầu Chú hề.</v>
      </c>
      <c r="H3268" s="8"/>
      <c r="I3268" s="8"/>
      <c r="J3268" s="8"/>
    </row>
    <row r="3269" ht="21.0" customHeight="1">
      <c r="A3269" s="6">
        <v>1.0</v>
      </c>
      <c r="B3269" s="6">
        <v>252.0</v>
      </c>
      <c r="C3269" s="6">
        <v>13.0</v>
      </c>
      <c r="D3269" s="15" t="s">
        <v>5317</v>
      </c>
      <c r="E3269" s="9" t="s">
        <v>5318</v>
      </c>
      <c r="F3269" s="8" t="str">
        <f>IFERROR(__xludf.DUMMYFUNCTION("GOOGLETRANSLATE(D3269,""zh-CN"",""vi"")"),"Khinh khí cầu chú hề")</f>
        <v>Khinh khí cầu chú hề</v>
      </c>
      <c r="G3269" s="8" t="str">
        <f>IFERROR(__xludf.DUMMYFUNCTION("GOOGLETRANSLATE(E3269,""zh-CN"",""vi"")"),"Khinh khí cầu chú hề vui vẻ thỉnh thoảng thả quà xuống! Nó đã được tổng hợp đến cấp độ cao nhất rồi.")</f>
        <v>Khinh khí cầu chú hề vui vẻ thỉnh thoảng thả quà xuống! Nó đã được tổng hợp đến cấp độ cao nhất rồi.</v>
      </c>
      <c r="H3269" s="8"/>
      <c r="I3269" s="8"/>
      <c r="J3269" s="8"/>
    </row>
    <row r="3270" ht="21.0" customHeight="1">
      <c r="A3270" s="6">
        <v>1.0</v>
      </c>
      <c r="B3270" s="6">
        <v>253.0</v>
      </c>
      <c r="C3270" s="6">
        <v>1.0</v>
      </c>
      <c r="D3270" s="15" t="s">
        <v>5319</v>
      </c>
      <c r="E3270" s="9" t="s">
        <v>5320</v>
      </c>
      <c r="F3270" s="8" t="str">
        <f>IFERROR(__xludf.DUMMYFUNCTION("GOOGLETRANSLATE(D3270,""zh-CN"",""vi"")"),"Chuột tung hứng")</f>
        <v>Chuột tung hứng</v>
      </c>
      <c r="G3270" s="8" t="str">
        <f>IFERROR(__xludf.DUMMYFUNCTION("GOOGLETRANSLATE(E3270,""zh-CN"",""vi"")"),"Những chuyển động của nó vô cùng nhanh nhẹn, khiến bạn luôn phải cảnh giác. Kết hợp chúng để có được một chiếc mũ ma thuật và một con chim bồ câu.")</f>
        <v>Những chuyển động của nó vô cùng nhanh nhẹn, khiến bạn luôn phải cảnh giác. Kết hợp chúng để có được một chiếc mũ ma thuật và một con chim bồ câu.</v>
      </c>
      <c r="H3270" s="8"/>
      <c r="I3270" s="8"/>
      <c r="J3270" s="8"/>
    </row>
    <row r="3271" ht="21.0" customHeight="1">
      <c r="A3271" s="6">
        <v>1.0</v>
      </c>
      <c r="B3271" s="6">
        <v>253.0</v>
      </c>
      <c r="C3271" s="6">
        <v>2.0</v>
      </c>
      <c r="D3271" s="15" t="s">
        <v>5321</v>
      </c>
      <c r="E3271" s="9" t="s">
        <v>5322</v>
      </c>
      <c r="F3271" s="8" t="str">
        <f>IFERROR(__xludf.DUMMYFUNCTION("GOOGLETRANSLATE(D3271,""zh-CN"",""vi"")"),"Chiếc mũ thần kỳ và chim bồ câu")</f>
        <v>Chiếc mũ thần kỳ và chim bồ câu</v>
      </c>
      <c r="G3271" s="8" t="str">
        <f>IFERROR(__xludf.DUMMYFUNCTION("GOOGLETRANSLATE(E3271,""zh-CN"",""vi"")"),"Nó có nhiều anh chị em giúp hoàn thành trò ảo thuật. Kết hợp lại để có được con mèo đi trên dây.")</f>
        <v>Nó có nhiều anh chị em giúp hoàn thành trò ảo thuật. Kết hợp lại để có được con mèo đi trên dây.</v>
      </c>
      <c r="H3271" s="8"/>
      <c r="I3271" s="8"/>
      <c r="J3271" s="8"/>
    </row>
    <row r="3272" ht="21.0" customHeight="1">
      <c r="A3272" s="6">
        <v>1.0</v>
      </c>
      <c r="B3272" s="6">
        <v>253.0</v>
      </c>
      <c r="C3272" s="6">
        <v>3.0</v>
      </c>
      <c r="D3272" s="15" t="s">
        <v>5323</v>
      </c>
      <c r="E3272" s="9" t="s">
        <v>5324</v>
      </c>
      <c r="F3272" s="8" t="str">
        <f>IFERROR(__xludf.DUMMYFUNCTION("GOOGLETRANSLATE(D3272,""zh-CN"",""vi"")"),"Con mèo đi trên dây")</f>
        <v>Con mèo đi trên dây</v>
      </c>
      <c r="G3272" s="8" t="str">
        <f>IFERROR(__xludf.DUMMYFUNCTION("GOOGLETRANSLATE(E3272,""zh-CN"",""vi"")"),"Con mèo đi lại như thể đang trên mặt đất bằng phẳng. Kết hợp các bước để có được một chú chó ngoan ngoãn với một chiếc vòng trên đầu.")</f>
        <v>Con mèo đi lại như thể đang trên mặt đất bằng phẳng. Kết hợp các bước để có được một chú chó ngoan ngoãn với một chiếc vòng trên đầu.</v>
      </c>
      <c r="H3272" s="8"/>
      <c r="I3272" s="8"/>
      <c r="J3272" s="8"/>
    </row>
    <row r="3273" ht="21.0" customHeight="1">
      <c r="A3273" s="6">
        <v>1.0</v>
      </c>
      <c r="B3273" s="6">
        <v>253.0</v>
      </c>
      <c r="C3273" s="6">
        <v>4.0</v>
      </c>
      <c r="D3273" s="15" t="s">
        <v>5325</v>
      </c>
      <c r="E3273" s="9" t="s">
        <v>5326</v>
      </c>
      <c r="F3273" s="8" t="str">
        <f>IFERROR(__xludf.DUMMYFUNCTION("GOOGLETRANSLATE(D3273,""zh-CN"",""vi"")"),"Con chó ngoan ngoãn bị đeo vòng cổ")</f>
        <v>Con chó ngoan ngoãn bị đeo vòng cổ</v>
      </c>
      <c r="G3273" s="8" t="str">
        <f>IFERROR(__xludf.DUMMYFUNCTION("GOOGLETRANSLATE(E3273,""zh-CN"",""vi"")"),"Nhiệm vụ của nó chỉ đơn giản là đứng yên trong tấm chăn của mình và làm cho du khách hài lòng. (Tổng hợp lại để có được một doanh nghiệp nhỏ khéo léo)")</f>
        <v>Nhiệm vụ của nó chỉ đơn giản là đứng yên trong tấm chăn của mình và làm cho du khách hài lòng. (Tổng hợp lại để có được một doanh nghiệp nhỏ khéo léo)</v>
      </c>
      <c r="H3273" s="8"/>
      <c r="I3273" s="8"/>
      <c r="J3273" s="8"/>
    </row>
    <row r="3274" ht="21.0" customHeight="1">
      <c r="A3274" s="6">
        <v>1.0</v>
      </c>
      <c r="B3274" s="6">
        <v>253.0</v>
      </c>
      <c r="C3274" s="6">
        <v>5.0</v>
      </c>
      <c r="D3274" s="15" t="s">
        <v>5327</v>
      </c>
      <c r="E3274" s="9" t="s">
        <v>5328</v>
      </c>
      <c r="F3274" s="8" t="str">
        <f>IFERROR(__xludf.DUMMYFUNCTION("GOOGLETRANSLATE(D3274,""zh-CN"",""vi"")"),"Chuyên gia về doanh nghiệp nhỏ")</f>
        <v>Chuyên gia về doanh nghiệp nhỏ</v>
      </c>
      <c r="G3274" s="8" t="str">
        <f>IFERROR(__xludf.DUMMYFUNCTION("GOOGLETRANSLATE(E3274,""zh-CN"",""vi"")"),"Ông ta phụ trách chơi bài với khách du lịch, nhưng chưa bao giờ thua. Ông ta là người tổng hợp những kỹ năng của Bạch Bạch, người có khiếu cảm thụ nhịp điệu tuyệt vời.")</f>
        <v>Ông ta phụ trách chơi bài với khách du lịch, nhưng chưa bao giờ thua. Ông ta là người tổng hợp những kỹ năng của Bạch Bạch, người có khiếu cảm thụ nhịp điệu tuyệt vời.</v>
      </c>
      <c r="H3274" s="8"/>
      <c r="I3274" s="8"/>
      <c r="J3274" s="8"/>
    </row>
    <row r="3275" ht="21.0" customHeight="1">
      <c r="A3275" s="6">
        <v>1.0</v>
      </c>
      <c r="B3275" s="6">
        <v>253.0</v>
      </c>
      <c r="C3275" s="6">
        <v>6.0</v>
      </c>
      <c r="D3275" s="15" t="s">
        <v>5329</v>
      </c>
      <c r="E3275" s="9" t="s">
        <v>5330</v>
      </c>
      <c r="F3275" s="8" t="str">
        <f>IFERROR(__xludf.DUMMYFUNCTION("GOOGLETRANSLATE(D3275,""zh-CN"",""vi"")"),"Bạch Bạch, người có năng khiếu âm nhạc xuất sắc.")</f>
        <v>Bạch Bạch, người có năng khiếu âm nhạc xuất sắc.</v>
      </c>
      <c r="G3275" s="8" t="str">
        <f>IFERROR(__xludf.DUMMYFUNCTION("GOOGLETRANSLATE(E3275,""zh-CN"",""vi"")"),"Công việc vất vả, thường đi kèm với một chút niềm vui để tạo nên không khí lễ hội. (Hoàn thành quy trình để nhận được chú gấu trúc nhỏ yêu cầu bạn mua bóng bay.)")</f>
        <v>Công việc vất vả, thường đi kèm với một chút niềm vui để tạo nên không khí lễ hội. (Hoàn thành quy trình để nhận được chú gấu trúc nhỏ yêu cầu bạn mua bóng bay.)</v>
      </c>
      <c r="H3275" s="8"/>
      <c r="I3275" s="8"/>
      <c r="J3275" s="8"/>
    </row>
    <row r="3276" ht="21.0" customHeight="1">
      <c r="A3276" s="6">
        <v>1.0</v>
      </c>
      <c r="B3276" s="6">
        <v>253.0</v>
      </c>
      <c r="C3276" s="6">
        <v>7.0</v>
      </c>
      <c r="D3276" s="15" t="s">
        <v>5331</v>
      </c>
      <c r="E3276" s="9" t="s">
        <v>5332</v>
      </c>
      <c r="F3276" s="8" t="str">
        <f>IFERROR(__xludf.DUMMYFUNCTION("GOOGLETRANSLATE(D3276,""zh-CN"",""vi"")"),"Xiao Huan, ai bảo cậu mua bóng bay vậy?")</f>
        <v>Xiao Huan, ai bảo cậu mua bóng bay vậy?</v>
      </c>
      <c r="G3276" s="8" t="str">
        <f>IFERROR(__xludf.DUMMYFUNCTION("GOOGLETRANSLATE(E3276,""zh-CN"",""vi"")"),"Nó vận hành một xe bán bóng bay trong công viên giải trí. Kết hợp chúng để có được chú khỉ đi xe đạp một bánh.")</f>
        <v>Nó vận hành một xe bán bóng bay trong công viên giải trí. Kết hợp chúng để có được chú khỉ đi xe đạp một bánh.</v>
      </c>
      <c r="H3276" s="8"/>
      <c r="I3276" s="8"/>
      <c r="J3276" s="8"/>
    </row>
    <row r="3277" ht="21.0" customHeight="1">
      <c r="A3277" s="6">
        <v>1.0</v>
      </c>
      <c r="B3277" s="6">
        <v>253.0</v>
      </c>
      <c r="C3277" s="6">
        <v>8.0</v>
      </c>
      <c r="D3277" s="15" t="s">
        <v>5333</v>
      </c>
      <c r="E3277" s="9" t="s">
        <v>5334</v>
      </c>
      <c r="F3277" s="8" t="str">
        <f>IFERROR(__xludf.DUMMYFUNCTION("GOOGLETRANSLATE(D3277,""zh-CN"",""vi"")"),"Khỉ đi xe đạp một bánh")</f>
        <v>Khỉ đi xe đạp một bánh</v>
      </c>
      <c r="G3277" s="8" t="str">
        <f>IFERROR(__xludf.DUMMYFUNCTION("GOOGLETRANSLATE(E3277,""zh-CN"",""vi"")"),"Vừa đạp xe vừa huýt sáo là một kỹ năng. (Kết hợp lại để có được Pipi đang buồn ngủ.)")</f>
        <v>Vừa đạp xe vừa huýt sáo là một kỹ năng. (Kết hợp lại để có được Pipi đang buồn ngủ.)</v>
      </c>
      <c r="H3277" s="8"/>
      <c r="I3277" s="8"/>
      <c r="J3277" s="8"/>
    </row>
    <row r="3278" ht="21.0" customHeight="1">
      <c r="A3278" s="6">
        <v>1.0</v>
      </c>
      <c r="B3278" s="6">
        <v>253.0</v>
      </c>
      <c r="C3278" s="6">
        <v>9.0</v>
      </c>
      <c r="D3278" s="15" t="s">
        <v>5335</v>
      </c>
      <c r="E3278" s="9" t="s">
        <v>5336</v>
      </c>
      <c r="F3278" s="8" t="str">
        <f>IFERROR(__xludf.DUMMYFUNCTION("GOOGLETRANSLATE(D3278,""zh-CN"",""vi"")"),"Pipi buồn ngủ")</f>
        <v>Pipi buồn ngủ</v>
      </c>
      <c r="G3278" s="8" t="str">
        <f>IFERROR(__xludf.DUMMYFUNCTION("GOOGLETRANSLATE(E3278,""zh-CN"",""vi"")"),"""Mình buồn ngủ quá,"" Pipi nghĩ. (Rồi họ tạo ra một Erhan đang nhảy múa.)")</f>
        <v>"Mình buồn ngủ quá," Pipi nghĩ. (Rồi họ tạo ra một Erhan đang nhảy múa.)</v>
      </c>
      <c r="H3278" s="8"/>
      <c r="I3278" s="8"/>
      <c r="J3278" s="8"/>
    </row>
    <row r="3279" ht="21.0" customHeight="1">
      <c r="A3279" s="6">
        <v>1.0</v>
      </c>
      <c r="B3279" s="6">
        <v>253.0</v>
      </c>
      <c r="C3279" s="6">
        <v>10.0</v>
      </c>
      <c r="D3279" s="15" t="s">
        <v>5337</v>
      </c>
      <c r="E3279" s="9" t="s">
        <v>5338</v>
      </c>
      <c r="F3279" s="8" t="str">
        <f>IFERROR(__xludf.DUMMYFUNCTION("GOOGLETRANSLATE(D3279,""zh-CN"",""vi"")"),"Cậu bé ngốc nghếch biết nhảy múa")</f>
        <v>Cậu bé ngốc nghếch biết nhảy múa</v>
      </c>
      <c r="G3279" s="8" t="str">
        <f>IFERROR(__xludf.DUMMYFUNCTION("GOOGLETRANSLATE(E3279,""zh-CN"",""vi"")"),"Mặc dù là một chú gấu, nhưng chú ấy có tính cách hiền lành và rất giỏi khiêu vũ. Bằng cách kết hợp chúng, bạn có thể tạo ra một Sherlock Holmes với bộ lông tuyệt đẹp.")</f>
        <v>Mặc dù là một chú gấu, nhưng chú ấy có tính cách hiền lành và rất giỏi khiêu vũ. Bằng cách kết hợp chúng, bạn có thể tạo ra một Sherlock Holmes với bộ lông tuyệt đẹp.</v>
      </c>
      <c r="H3279" s="8"/>
      <c r="I3279" s="8"/>
      <c r="J3279" s="8"/>
    </row>
    <row r="3280" ht="21.0" customHeight="1">
      <c r="A3280" s="6">
        <v>1.0</v>
      </c>
      <c r="B3280" s="6">
        <v>253.0</v>
      </c>
      <c r="C3280" s="6">
        <v>11.0</v>
      </c>
      <c r="D3280" s="15" t="s">
        <v>5339</v>
      </c>
      <c r="E3280" s="9" t="s">
        <v>5340</v>
      </c>
      <c r="F3280" s="8" t="str">
        <f>IFERROR(__xludf.DUMMYFUNCTION("GOOGLETRANSLATE(D3280,""zh-CN"",""vi"")"),"Benedict Cumberbatch với mái tóc được chải chuốt tỉ mỉ.")</f>
        <v>Benedict Cumberbatch với mái tóc được chải chuốt tỉ mỉ.</v>
      </c>
      <c r="G3280" s="8" t="str">
        <f>IFERROR(__xludf.DUMMYFUNCTION("GOOGLETRANSLATE(E3280,""zh-CN"",""vi"")"),"Bạn có thể vuốt ve bộ lông của nó; cảm giác thật tuyệt! Kết hợp chúng để có được Ma Sư Hổ Vương.")</f>
        <v>Bạn có thể vuốt ve bộ lông của nó; cảm giác thật tuyệt! Kết hợp chúng để có được Ma Sư Hổ Vương.</v>
      </c>
      <c r="H3280" s="8"/>
      <c r="I3280" s="8"/>
      <c r="J3280" s="8"/>
    </row>
    <row r="3281" ht="21.0" customHeight="1">
      <c r="A3281" s="6">
        <v>1.0</v>
      </c>
      <c r="B3281" s="6">
        <v>253.0</v>
      </c>
      <c r="C3281" s="6">
        <v>12.0</v>
      </c>
      <c r="D3281" s="15" t="s">
        <v>5341</v>
      </c>
      <c r="E3281" s="9" t="s">
        <v>5342</v>
      </c>
      <c r="F3281" s="8" t="str">
        <f>IFERROR(__xludf.DUMMYFUNCTION("GOOGLETRANSLATE(D3281,""zh-CN"",""vi"")"),"Vua Hổ, bậc thầy ma thuật")</f>
        <v>Vua Hổ, bậc thầy ma thuật</v>
      </c>
      <c r="G3281" s="8" t="str">
        <f>IFERROR(__xludf.DUMMYFUNCTION("GOOGLETRANSLATE(E3281,""zh-CN"",""vi"")"),"Một bậc thầy ảo thuật du hành khắp thế giới để học hỏi những kỹ năng mới, nổi tiếng toàn cầu! Hãy kết hợp các phép thuật để giành chiến thắng trong cuộc thi thổi bong bóng, Little Dudu!")</f>
        <v>Một bậc thầy ảo thuật du hành khắp thế giới để học hỏi những kỹ năng mới, nổi tiếng toàn cầu! Hãy kết hợp các phép thuật để giành chiến thắng trong cuộc thi thổi bong bóng, Little Dudu!</v>
      </c>
      <c r="H3281" s="8"/>
      <c r="I3281" s="8"/>
      <c r="J3281" s="8"/>
    </row>
    <row r="3282" ht="21.0" customHeight="1">
      <c r="A3282" s="6">
        <v>1.0</v>
      </c>
      <c r="B3282" s="6">
        <v>253.0</v>
      </c>
      <c r="C3282" s="6">
        <v>13.0</v>
      </c>
      <c r="D3282" s="15" t="s">
        <v>5343</v>
      </c>
      <c r="E3282" s="9" t="s">
        <v>5344</v>
      </c>
      <c r="F3282" s="8" t="str">
        <f>IFERROR(__xludf.DUMMYFUNCTION("GOOGLETRANSLATE(D3282,""zh-CN"",""vi"")"),"Nhà vô địch thổi bong bóng Little Dudu")</f>
        <v>Nhà vô địch thổi bong bóng Little Dudu</v>
      </c>
      <c r="G3282" s="8" t="str">
        <f>IFERROR(__xludf.DUMMYFUNCTION("GOOGLETRANSLATE(E3282,""zh-CN"",""vi"")"),"Một bậc thầy thổi bong bóng huyền thoại, người có thể thổi bong bóng cho mọi khán giả! (Được tổng hợp ở cấp độ cao nhất)")</f>
        <v>Một bậc thầy thổi bong bóng huyền thoại, người có thể thổi bong bóng cho mọi khán giả! (Được tổng hợp ở cấp độ cao nhất)</v>
      </c>
      <c r="H3282" s="8"/>
      <c r="I3282" s="8"/>
      <c r="J3282" s="8"/>
    </row>
    <row r="3283" ht="21.0" customHeight="1">
      <c r="A3283" s="6">
        <v>11.0</v>
      </c>
      <c r="B3283" s="58">
        <v>1073.0</v>
      </c>
      <c r="C3283" s="6">
        <v>1.0</v>
      </c>
      <c r="D3283" s="15" t="s">
        <v>5345</v>
      </c>
      <c r="E3283" s="9" t="s">
        <v>5346</v>
      </c>
      <c r="F3283" s="8" t="str">
        <f>IFERROR(__xludf.DUMMYFUNCTION("GOOGLETRANSLATE(D3283,""zh-CN"",""vi"")"),"Giấc mơ đồng quê")</f>
        <v>Giấc mơ đồng quê</v>
      </c>
      <c r="G3283" s="8" t="str">
        <f>IFERROR(__xludf.DUMMYFUNCTION("GOOGLETRANSLATE(E3283,""zh-CN"",""vi"")"),"Tận hưởng thời gian thư thái ở vùng quê. Tự tay làm các món tráng miệng để tạo nên trải nghiệm như trong mơ.")</f>
        <v>Tận hưởng thời gian thư thái ở vùng quê. Tự tay làm các món tráng miệng để tạo nên trải nghiệm như trong mơ.</v>
      </c>
      <c r="H3283" s="8"/>
      <c r="I3283" s="8"/>
      <c r="J3283" s="8"/>
    </row>
    <row r="3284" ht="21.0" customHeight="1">
      <c r="A3284" s="6">
        <v>11.0</v>
      </c>
      <c r="B3284" s="58">
        <v>1073.0</v>
      </c>
      <c r="C3284" s="6">
        <v>2.0</v>
      </c>
      <c r="D3284" s="15" t="s">
        <v>5347</v>
      </c>
      <c r="E3284" s="9" t="s">
        <v>5348</v>
      </c>
      <c r="F3284" s="8" t="str">
        <f>IFERROR(__xludf.DUMMYFUNCTION("GOOGLETRANSLATE(D3284,""zh-CN"",""vi"")"),"Giấc mơ tráng miệng")</f>
        <v>Giấc mơ tráng miệng</v>
      </c>
      <c r="G3284" s="8" t="str">
        <f>IFERROR(__xludf.DUMMYFUNCTION("GOOGLETRANSLATE(E3284,""zh-CN"",""vi"")"),"Hãy ăn thỏa thích các món tráng miệng! Tổng hợp để có được Giấc Mơ Quái Vật Nhỏ.")</f>
        <v>Hãy ăn thỏa thích các món tráng miệng! Tổng hợp để có được Giấc Mơ Quái Vật Nhỏ.</v>
      </c>
      <c r="H3284" s="8"/>
      <c r="I3284" s="8"/>
      <c r="J3284" s="8"/>
    </row>
    <row r="3285" ht="21.0" customHeight="1">
      <c r="A3285" s="6">
        <v>11.0</v>
      </c>
      <c r="B3285" s="58">
        <v>1073.0</v>
      </c>
      <c r="C3285" s="6">
        <v>3.0</v>
      </c>
      <c r="D3285" s="15" t="s">
        <v>5349</v>
      </c>
      <c r="E3285" s="9" t="s">
        <v>5350</v>
      </c>
      <c r="F3285" s="8" t="str">
        <f>IFERROR(__xludf.DUMMYFUNCTION("GOOGLETRANSLATE(D3285,""zh-CN"",""vi"")"),"Giấc mơ của Quái vật nhỏ")</f>
        <v>Giấc mơ của Quái vật nhỏ</v>
      </c>
      <c r="G3285" s="8" t="str">
        <f>IFERROR(__xludf.DUMMYFUNCTION("GOOGLETRANSLATE(E3285,""zh-CN"",""vi"")"),"Bắt giữ quái vật và tham gia vào các trận chiến quái vật! Tổng hợp vật phẩm để nhận được Giấc Mơ Trà Chiều.")</f>
        <v>Bắt giữ quái vật và tham gia vào các trận chiến quái vật! Tổng hợp vật phẩm để nhận được Giấc Mơ Trà Chiều.</v>
      </c>
      <c r="H3285" s="8"/>
      <c r="I3285" s="8"/>
      <c r="J3285" s="8"/>
    </row>
    <row r="3286" ht="21.0" customHeight="1">
      <c r="A3286" s="6">
        <v>11.0</v>
      </c>
      <c r="B3286" s="58">
        <v>1073.0</v>
      </c>
      <c r="C3286" s="6">
        <v>4.0</v>
      </c>
      <c r="D3286" s="15" t="s">
        <v>5351</v>
      </c>
      <c r="E3286" s="9" t="s">
        <v>5352</v>
      </c>
      <c r="F3286" s="8" t="str">
        <f>IFERROR(__xludf.DUMMYFUNCTION("GOOGLETRANSLATE(D3286,""zh-CN"",""vi"")"),"Giấc mơ trà chiều")</f>
        <v>Giấc mơ trà chiều</v>
      </c>
      <c r="G3286" s="8" t="str">
        <f>IFERROR(__xludf.DUMMYFUNCTION("GOOGLETRANSLATE(E3286,""zh-CN"",""vi"")"),"Uống trà chiều với các cô bạn thân và bàn luận về phim ảnh và chương trình truyền hình. Ghép các khối để tạo thành một mê cung kỳ ảo.")</f>
        <v>Uống trà chiều với các cô bạn thân và bàn luận về phim ảnh và chương trình truyền hình. Ghép các khối để tạo thành một mê cung kỳ ảo.</v>
      </c>
      <c r="H3286" s="8"/>
      <c r="I3286" s="8"/>
      <c r="J3286" s="8"/>
    </row>
    <row r="3287" ht="21.0" customHeight="1">
      <c r="A3287" s="6">
        <v>10.0</v>
      </c>
      <c r="B3287" s="58">
        <v>1073.0</v>
      </c>
      <c r="C3287" s="6">
        <v>5.0</v>
      </c>
      <c r="D3287" s="15" t="s">
        <v>5353</v>
      </c>
      <c r="E3287" s="9" t="s">
        <v>5354</v>
      </c>
      <c r="F3287" s="8" t="str">
        <f>IFERROR(__xludf.DUMMYFUNCTION("GOOGLETRANSLATE(D3287,""zh-CN"",""vi"")"),"Giấc mơ mê cung khối")</f>
        <v>Giấc mơ mê cung khối</v>
      </c>
      <c r="G3287" s="8" t="str">
        <f>IFERROR(__xludf.DUMMYFUNCTION("GOOGLETRANSLATE(E3287,""zh-CN"",""vi"")"),"Cuộc sống thường nhật cần một chút niềm vui thỉnh thoảng. Hãy kết hợp tất cả để biến giấc mơ phiêu lưu trên biển thành hiện thực.")</f>
        <v>Cuộc sống thường nhật cần một chút niềm vui thỉnh thoảng. Hãy kết hợp tất cả để biến giấc mơ phiêu lưu trên biển thành hiện thực.</v>
      </c>
      <c r="H3287" s="8"/>
      <c r="I3287" s="8"/>
      <c r="J3287" s="8"/>
    </row>
    <row r="3288" ht="21.0" customHeight="1">
      <c r="A3288" s="6">
        <v>10.0</v>
      </c>
      <c r="B3288" s="58">
        <v>1073.0</v>
      </c>
      <c r="C3288" s="6">
        <v>6.0</v>
      </c>
      <c r="D3288" s="15" t="s">
        <v>5355</v>
      </c>
      <c r="E3288" s="9" t="s">
        <v>5356</v>
      </c>
      <c r="F3288" s="8" t="str">
        <f>IFERROR(__xludf.DUMMYFUNCTION("GOOGLETRANSLATE(D3288,""zh-CN"",""vi"")"),"Giấc mơ phiêu lưu trên biển")</f>
        <v>Giấc mơ phiêu lưu trên biển</v>
      </c>
      <c r="G3288" s="8" t="str">
        <f>IFERROR(__xludf.DUMMYFUNCTION("GOOGLETRANSLATE(E3288,""zh-CN"",""vi"")"),"Những cơn gió mạnh, quái vật biển và sương mù—hãy kết hợp chúng lại để tạo nên một khung cảnh kỳ ảo đầy mê hoặc.")</f>
        <v>Những cơn gió mạnh, quái vật biển và sương mù—hãy kết hợp chúng lại để tạo nên một khung cảnh kỳ ảo đầy mê hoặc.</v>
      </c>
      <c r="H3288" s="8"/>
      <c r="I3288" s="8"/>
      <c r="J3288" s="8"/>
    </row>
    <row r="3289" ht="21.0" customHeight="1">
      <c r="A3289" s="6">
        <v>10.0</v>
      </c>
      <c r="B3289" s="58">
        <v>1073.0</v>
      </c>
      <c r="C3289" s="6">
        <v>7.0</v>
      </c>
      <c r="D3289" s="15" t="s">
        <v>5357</v>
      </c>
      <c r="E3289" s="9" t="s">
        <v>5358</v>
      </c>
      <c r="F3289" s="8" t="str">
        <f>IFERROR(__xludf.DUMMYFUNCTION("GOOGLETRANSLATE(D3289,""zh-CN"",""vi"")"),"Vùng đất mộng mơ kỳ lạ")</f>
        <v>Vùng đất mộng mơ kỳ lạ</v>
      </c>
      <c r="G3289" s="8" t="str">
        <f>IFERROR(__xludf.DUMMYFUNCTION("GOOGLETRANSLATE(E3289,""zh-CN"",""vi"")"),"Hãy đến với Vương quốc Kem, nơi mọi thứ đều được làm từ kem! Kết hợp các nguyên liệu để có được Vùng đất Mộng mơ Tiêu diệt Rồng Ác.")</f>
        <v>Hãy đến với Vương quốc Kem, nơi mọi thứ đều được làm từ kem! Kết hợp các nguyên liệu để có được Vùng đất Mộng mơ Tiêu diệt Rồng Ác.</v>
      </c>
      <c r="H3289" s="8"/>
      <c r="I3289" s="8"/>
      <c r="J3289" s="8"/>
    </row>
    <row r="3290" ht="21.0" customHeight="1">
      <c r="A3290" s="6">
        <v>10.0</v>
      </c>
      <c r="B3290" s="58">
        <v>1073.0</v>
      </c>
      <c r="C3290" s="6">
        <v>8.0</v>
      </c>
      <c r="D3290" s="15" t="s">
        <v>5359</v>
      </c>
      <c r="E3290" s="9" t="s">
        <v>5360</v>
      </c>
      <c r="F3290" s="8" t="str">
        <f>IFERROR(__xludf.DUMMYFUNCTION("GOOGLETRANSLATE(D3290,""zh-CN"",""vi"")"),"Ước mơ tiêu diệt con rồng độc ác")</f>
        <v>Ước mơ tiêu diệt con rồng độc ác</v>
      </c>
      <c r="G3290" s="8" t="str">
        <f>IFERROR(__xludf.DUMMYFUNCTION("GOOGLETRANSLATE(E3290,""zh-CN"",""vi"")"),"Đã đánh bại thành công con rồng độc ác và giành được lòng tin của nhân dân. Hợp nhất sức mạnh để đạt được ước mơ được lên ngôi vua.")</f>
        <v>Đã đánh bại thành công con rồng độc ác và giành được lòng tin của nhân dân. Hợp nhất sức mạnh để đạt được ước mơ được lên ngôi vua.</v>
      </c>
      <c r="H3290" s="8"/>
      <c r="I3290" s="8"/>
      <c r="J3290" s="8"/>
    </row>
    <row r="3291" ht="21.0" customHeight="1">
      <c r="A3291" s="6">
        <v>10.0</v>
      </c>
      <c r="B3291" s="58">
        <v>1073.0</v>
      </c>
      <c r="C3291" s="6">
        <v>9.0</v>
      </c>
      <c r="D3291" s="15" t="s">
        <v>5361</v>
      </c>
      <c r="E3291" s="9" t="s">
        <v>5362</v>
      </c>
      <c r="F3291" s="8" t="str">
        <f>IFERROR(__xludf.DUMMYFUNCTION("GOOGLETRANSLATE(D3291,""zh-CN"",""vi"")"),"Lên ngôi vua trong mơ")</f>
        <v>Lên ngôi vua trong mơ</v>
      </c>
      <c r="G3291" s="8" t="str">
        <f>IFERROR(__xludf.DUMMYFUNCTION("GOOGLETRANSLATE(E3291,""zh-CN"",""vi"")"),"Nhờ những thành tựu vĩ đại, ông ta trở thành vị vua tiếp theo. (Tổng hợp để có được Giấc Mơ Vượt Qua Mặt Trăng)")</f>
        <v>Nhờ những thành tựu vĩ đại, ông ta trở thành vị vua tiếp theo. (Tổng hợp để có được Giấc Mơ Vượt Qua Mặt Trăng)</v>
      </c>
      <c r="H3291" s="8"/>
      <c r="I3291" s="8"/>
      <c r="J3291" s="8"/>
    </row>
    <row r="3292" ht="21.0" customHeight="1">
      <c r="A3292" s="6">
        <v>10.0</v>
      </c>
      <c r="B3292" s="58">
        <v>1073.0</v>
      </c>
      <c r="C3292" s="6">
        <v>10.0</v>
      </c>
      <c r="D3292" s="15" t="s">
        <v>5363</v>
      </c>
      <c r="E3292" s="9" t="s">
        <v>5364</v>
      </c>
      <c r="F3292" s="8" t="str">
        <f>IFERROR(__xludf.DUMMYFUNCTION("GOOGLETRANSLATE(D3292,""zh-CN"",""vi"")"),"Vùng đất mộng mơ vượt ra ngoài mặt trăng")</f>
        <v>Vùng đất mộng mơ vượt ra ngoài mặt trăng</v>
      </c>
      <c r="G3292" s="8" t="str">
        <f>IFERROR(__xludf.DUMMYFUNCTION("GOOGLETRANSLATE(E3292,""zh-CN"",""vi"")"),"Nhiều thập kỷ trôi qua nhanh như chớp mắt, như một thoáng nhìn thấy mặt trăng. (Đã được tổng hợp đến cấp độ cao nhất)")</f>
        <v>Nhiều thập kỷ trôi qua nhanh như chớp mắt, như một thoáng nhìn thấy mặt trăng. (Đã được tổng hợp đến cấp độ cao nhất)</v>
      </c>
      <c r="H3292" s="8"/>
      <c r="I3292" s="8"/>
      <c r="J3292" s="8"/>
    </row>
    <row r="3293" ht="21.0" customHeight="1">
      <c r="A3293" s="6">
        <v>1.0</v>
      </c>
      <c r="B3293" s="6">
        <v>254.0</v>
      </c>
      <c r="C3293" s="6">
        <v>1.0</v>
      </c>
      <c r="D3293" s="15" t="s">
        <v>5365</v>
      </c>
      <c r="E3293" s="9" t="s">
        <v>5366</v>
      </c>
      <c r="F3293" s="8" t="str">
        <f>IFERROR(__xludf.DUMMYFUNCTION("GOOGLETRANSLATE(D3293,""zh-CN"",""vi"")"),"San hô con")</f>
        <v>San hô con</v>
      </c>
      <c r="G3293" s="8" t="str">
        <f>IFERROR(__xludf.DUMMYFUNCTION("GOOGLETRANSLATE(E3293,""zh-CN"",""vi"")"),"Chồi non đầu tiên của Ocean Baby. Tổng hợp để thu được Tiny Coral.")</f>
        <v>Chồi non đầu tiên của Ocean Baby. Tổng hợp để thu được Tiny Coral.</v>
      </c>
      <c r="H3293" s="8"/>
      <c r="I3293" s="8"/>
      <c r="J3293" s="8"/>
    </row>
    <row r="3294" ht="21.0" customHeight="1">
      <c r="A3294" s="6">
        <v>1.0</v>
      </c>
      <c r="B3294" s="6">
        <v>254.0</v>
      </c>
      <c r="C3294" s="6">
        <v>2.0</v>
      </c>
      <c r="D3294" s="15" t="s">
        <v>5367</v>
      </c>
      <c r="E3294" s="9" t="s">
        <v>5368</v>
      </c>
      <c r="F3294" s="8" t="str">
        <f>IFERROR(__xludf.DUMMYFUNCTION("GOOGLETRANSLATE(D3294,""zh-CN"",""vi"")"),"San hô nhỏ")</f>
        <v>San hô nhỏ</v>
      </c>
      <c r="G3294" s="8" t="str">
        <f>IFERROR(__xludf.DUMMYFUNCTION("GOOGLETRANSLATE(E3294,""zh-CN"",""vi"")"),"Những sinh vật nhỏ bé và tinh tế, kích thước bằng hạt đậu. Kết hợp chúng để có được San hô đôi.")</f>
        <v>Những sinh vật nhỏ bé và tinh tế, kích thước bằng hạt đậu. Kết hợp chúng để có được San hô đôi.</v>
      </c>
      <c r="H3294" s="8"/>
      <c r="I3294" s="8"/>
      <c r="J3294" s="8"/>
    </row>
    <row r="3295" ht="21.0" customHeight="1">
      <c r="A3295" s="6">
        <v>1.0</v>
      </c>
      <c r="B3295" s="6">
        <v>254.0</v>
      </c>
      <c r="C3295" s="6">
        <v>3.0</v>
      </c>
      <c r="D3295" s="15" t="s">
        <v>5369</v>
      </c>
      <c r="E3295" s="9" t="s">
        <v>5370</v>
      </c>
      <c r="F3295" s="8" t="str">
        <f>IFERROR(__xludf.DUMMYFUNCTION("GOOGLETRANSLATE(D3295,""zh-CN"",""vi"")"),"San hô đôi")</f>
        <v>San hô đôi</v>
      </c>
      <c r="G3295" s="8" t="str">
        <f>IFERROR(__xludf.DUMMYFUNCTION("GOOGLETRANSLATE(E3295,""zh-CN"",""vi"")"),"Những chị em dưới nước. Kết hợp để nhận được San hô lấp lánh.")</f>
        <v>Những chị em dưới nước. Kết hợp để nhận được San hô lấp lánh.</v>
      </c>
      <c r="H3295" s="8"/>
      <c r="I3295" s="8"/>
      <c r="J3295" s="8"/>
    </row>
    <row r="3296" ht="21.0" customHeight="1">
      <c r="A3296" s="6">
        <v>1.0</v>
      </c>
      <c r="B3296" s="6">
        <v>254.0</v>
      </c>
      <c r="C3296" s="6">
        <v>4.0</v>
      </c>
      <c r="D3296" s="15" t="s">
        <v>5371</v>
      </c>
      <c r="E3296" s="9" t="s">
        <v>5372</v>
      </c>
      <c r="F3296" s="8" t="str">
        <f>IFERROR(__xludf.DUMMYFUNCTION("GOOGLETRANSLATE(D3296,""zh-CN"",""vi"")"),"San hô sáng bóng")</f>
        <v>San hô sáng bóng</v>
      </c>
      <c r="G3296" s="8" t="str">
        <f>IFERROR(__xludf.DUMMYFUNCTION("GOOGLETRANSLATE(E3296,""zh-CN"",""vi"")"),"Rực rỡ. Tổng hợp để thu được San hô cầu vồng.")</f>
        <v>Rực rỡ. Tổng hợp để thu được San hô cầu vồng.</v>
      </c>
      <c r="H3296" s="8"/>
      <c r="I3296" s="8"/>
      <c r="J3296" s="8"/>
    </row>
    <row r="3297" ht="21.0" customHeight="1">
      <c r="A3297" s="6">
        <v>1.0</v>
      </c>
      <c r="B3297" s="6">
        <v>254.0</v>
      </c>
      <c r="C3297" s="6">
        <v>5.0</v>
      </c>
      <c r="D3297" s="15" t="s">
        <v>5373</v>
      </c>
      <c r="E3297" s="9" t="s">
        <v>5374</v>
      </c>
      <c r="F3297" s="8" t="str">
        <f>IFERROR(__xludf.DUMMYFUNCTION("GOOGLETRANSLATE(D3297,""zh-CN"",""vi"")"),"San hô nhiều màu sắc")</f>
        <v>San hô nhiều màu sắc</v>
      </c>
      <c r="G3297" s="8" t="str">
        <f>IFERROR(__xludf.DUMMYFUNCTION("GOOGLETRANSLATE(E3297,""zh-CN"",""vi"")"),"Kaz cắn một miếng. Kết hợp lại, chúng tạo thành San hô Búa.")</f>
        <v>Kaz cắn một miếng. Kết hợp lại, chúng tạo thành San hô Búa.</v>
      </c>
      <c r="H3297" s="8"/>
      <c r="I3297" s="8"/>
      <c r="J3297" s="8"/>
    </row>
    <row r="3298" ht="21.0" customHeight="1">
      <c r="A3298" s="6">
        <v>1.0</v>
      </c>
      <c r="B3298" s="6">
        <v>254.0</v>
      </c>
      <c r="C3298" s="6">
        <v>6.0</v>
      </c>
      <c r="D3298" s="15" t="s">
        <v>5375</v>
      </c>
      <c r="E3298" s="9" t="s">
        <v>5376</v>
      </c>
      <c r="F3298" s="8" t="str">
        <f>IFERROR(__xludf.DUMMYFUNCTION("GOOGLETRANSLATE(D3298,""zh-CN"",""vi"")"),"San hô búa")</f>
        <v>San hô búa</v>
      </c>
      <c r="G3298" s="8" t="str">
        <f>IFERROR(__xludf.DUMMYFUNCTION("GOOGLETRANSLATE(E3298,""zh-CN"",""vi"")"),"Khám phá những bí mật của đại dương. Tổng hợp để thu được san hô hình kèn.")</f>
        <v>Khám phá những bí mật của đại dương. Tổng hợp để thu được san hô hình kèn.</v>
      </c>
      <c r="H3298" s="8"/>
      <c r="I3298" s="8"/>
      <c r="J3298" s="8"/>
    </row>
    <row r="3299" ht="21.0" customHeight="1">
      <c r="A3299" s="6">
        <v>1.0</v>
      </c>
      <c r="B3299" s="6">
        <v>254.0</v>
      </c>
      <c r="C3299" s="6">
        <v>7.0</v>
      </c>
      <c r="D3299" s="15" t="s">
        <v>5377</v>
      </c>
      <c r="E3299" s="9" t="s">
        <v>5378</v>
      </c>
      <c r="F3299" s="8" t="str">
        <f>IFERROR(__xludf.DUMMYFUNCTION("GOOGLETRANSLATE(D3299,""zh-CN"",""vi"")"),"san hô kèn")</f>
        <v>san hô kèn</v>
      </c>
      <c r="G3299" s="8" t="str">
        <f>IFERROR(__xludf.DUMMYFUNCTION("GOOGLETRANSLATE(E3299,""zh-CN"",""vi"")"),"Thổi chiếc kèn nhỏ vui vẻ. Tạo hình san hô hình vỏ sò.")</f>
        <v>Thổi chiếc kèn nhỏ vui vẻ. Tạo hình san hô hình vỏ sò.</v>
      </c>
      <c r="H3299" s="8"/>
      <c r="I3299" s="8"/>
      <c r="J3299" s="8"/>
    </row>
    <row r="3300" ht="21.0" customHeight="1">
      <c r="A3300" s="6">
        <v>1.0</v>
      </c>
      <c r="B3300" s="6">
        <v>254.0</v>
      </c>
      <c r="C3300" s="6">
        <v>8.0</v>
      </c>
      <c r="D3300" s="15" t="s">
        <v>5379</v>
      </c>
      <c r="E3300" s="9" t="s">
        <v>5380</v>
      </c>
      <c r="F3300" s="8" t="str">
        <f>IFERROR(__xludf.DUMMYFUNCTION("GOOGLETRANSLATE(D3300,""zh-CN"",""vi"")"),"San hô sò điệp")</f>
        <v>San hô sò điệp</v>
      </c>
      <c r="G3300" s="8" t="str">
        <f>IFERROR(__xludf.DUMMYFUNCTION("GOOGLETRANSLATE(E3300,""zh-CN"",""vi"")"),"Thanh lịch và dịu nhẹ. Tổng hợp để thu được San hô Dứa.")</f>
        <v>Thanh lịch và dịu nhẹ. Tổng hợp để thu được San hô Dứa.</v>
      </c>
      <c r="H3300" s="8"/>
      <c r="I3300" s="8"/>
      <c r="J3300" s="8"/>
    </row>
    <row r="3301" ht="21.0" customHeight="1">
      <c r="A3301" s="6">
        <v>1.0</v>
      </c>
      <c r="B3301" s="6">
        <v>254.0</v>
      </c>
      <c r="C3301" s="6">
        <v>9.0</v>
      </c>
      <c r="D3301" s="15" t="s">
        <v>5381</v>
      </c>
      <c r="E3301" s="9" t="s">
        <v>5382</v>
      </c>
      <c r="F3301" s="8" t="str">
        <f>IFERROR(__xludf.DUMMYFUNCTION("GOOGLETRANSLATE(D3301,""zh-CN"",""vi"")"),"San hô dứa")</f>
        <v>San hô dứa</v>
      </c>
      <c r="G3301" s="8" t="str">
        <f>IFERROR(__xludf.DUMMYFUNCTION("GOOGLETRANSLATE(E3301,""zh-CN"",""vi"")"),"Nó trông vừa ngọt vừa chua. Hãy chế tác nó để thu được San hô Đá quý.")</f>
        <v>Nó trông vừa ngọt vừa chua. Hãy chế tác nó để thu được San hô Đá quý.</v>
      </c>
      <c r="H3301" s="8"/>
      <c r="I3301" s="8"/>
      <c r="J3301" s="8"/>
    </row>
    <row r="3302" ht="21.0" customHeight="1">
      <c r="A3302" s="6">
        <v>1.0</v>
      </c>
      <c r="B3302" s="6">
        <v>254.0</v>
      </c>
      <c r="C3302" s="6">
        <v>10.0</v>
      </c>
      <c r="D3302" s="15" t="s">
        <v>5383</v>
      </c>
      <c r="E3302" s="9" t="s">
        <v>5384</v>
      </c>
      <c r="F3302" s="8" t="str">
        <f>IFERROR(__xludf.DUMMYFUNCTION("GOOGLETRANSLATE(D3302,""zh-CN"",""vi"")"),"san hô quý")</f>
        <v>san hô quý</v>
      </c>
      <c r="G3302" s="8" t="str">
        <f>IFERROR(__xludf.DUMMYFUNCTION("GOOGLETRANSLATE(E3302,""zh-CN"",""vi"")"),"Rực rỡ và quyến rũ. Tổng hợp để thu được San hô sao chẻ đôi.")</f>
        <v>Rực rỡ và quyến rũ. Tổng hợp để thu được San hô sao chẻ đôi.</v>
      </c>
      <c r="H3302" s="8"/>
      <c r="I3302" s="8"/>
      <c r="J3302" s="8"/>
    </row>
    <row r="3303" ht="21.0" customHeight="1">
      <c r="A3303" s="6">
        <v>1.0</v>
      </c>
      <c r="B3303" s="6">
        <v>254.0</v>
      </c>
      <c r="C3303" s="6">
        <v>11.0</v>
      </c>
      <c r="D3303" s="15" t="s">
        <v>5385</v>
      </c>
      <c r="E3303" s="9" t="s">
        <v>5386</v>
      </c>
      <c r="F3303" s="8" t="str">
        <f>IFERROR(__xludf.DUMMYFUNCTION("GOOGLETRANSLATE(D3303,""zh-CN"",""vi"")"),"San hô sao chẻ đôi")</f>
        <v>San hô sao chẻ đôi</v>
      </c>
      <c r="G3303" s="8" t="str">
        <f>IFERROR(__xludf.DUMMYFUNCTION("GOOGLETRANSLATE(E3303,""zh-CN"",""vi"")"),"Thắp sáng những vì sao lấp lánh dưới đáy biển sâu. Chế tác nên San hô Hoa hướng dương.")</f>
        <v>Thắp sáng những vì sao lấp lánh dưới đáy biển sâu. Chế tác nên San hô Hoa hướng dương.</v>
      </c>
      <c r="H3303" s="8"/>
      <c r="I3303" s="8"/>
      <c r="J3303" s="8"/>
    </row>
    <row r="3304" ht="21.0" customHeight="1">
      <c r="A3304" s="6">
        <v>1.0</v>
      </c>
      <c r="B3304" s="6">
        <v>254.0</v>
      </c>
      <c r="C3304" s="6">
        <v>12.0</v>
      </c>
      <c r="D3304" s="15" t="s">
        <v>5387</v>
      </c>
      <c r="E3304" s="9" t="s">
        <v>5388</v>
      </c>
      <c r="F3304" s="8" t="str">
        <f>IFERROR(__xludf.DUMMYFUNCTION("GOOGLETRANSLATE(D3304,""zh-CN"",""vi"")"),"Hoa hướng dương san hô")</f>
        <v>Hoa hướng dương san hô</v>
      </c>
      <c r="G3304" s="8" t="str">
        <f>IFERROR(__xludf.DUMMYFUNCTION("GOOGLETRANSLATE(E3304,""zh-CN"",""vi"")"),"Một loài hoa nhỏ mọc hướng về phía mặt trời. Tổng hợp để thu được San hô Rạn Mơ Đại Dương.")</f>
        <v>Một loài hoa nhỏ mọc hướng về phía mặt trời. Tổng hợp để thu được San hô Rạn Mơ Đại Dương.</v>
      </c>
      <c r="H3304" s="8"/>
      <c r="I3304" s="8"/>
      <c r="J3304" s="8"/>
    </row>
    <row r="3305" ht="21.0" customHeight="1">
      <c r="A3305" s="6">
        <v>1.0</v>
      </c>
      <c r="B3305" s="6">
        <v>254.0</v>
      </c>
      <c r="C3305" s="6">
        <v>13.0</v>
      </c>
      <c r="D3305" s="9" t="s">
        <v>5389</v>
      </c>
      <c r="E3305" s="9" t="s">
        <v>5390</v>
      </c>
      <c r="F3305" s="8" t="str">
        <f>IFERROR(__xludf.DUMMYFUNCTION("GOOGLETRANSLATE(D3305,""zh-CN"",""vi"")"),"San hô rạn san hô Sea Dream")</f>
        <v>San hô rạn san hô Sea Dream</v>
      </c>
      <c r="G3305" s="8" t="str">
        <f>IFERROR(__xludf.DUMMYFUNCTION("GOOGLETRANSLATE(E3305,""zh-CN"",""vi"")"),"Giống như một vương quốc nhỏ bé giữa đại dương. Nó đã được tổng hợp đến mức độ cao nhất.")</f>
        <v>Giống như một vương quốc nhỏ bé giữa đại dương. Nó đã được tổng hợp đến mức độ cao nhất.</v>
      </c>
      <c r="H3305" s="8"/>
      <c r="I3305" s="8"/>
      <c r="J3305" s="8"/>
    </row>
    <row r="3306" ht="21.0" customHeight="1">
      <c r="A3306" s="6">
        <v>1.0</v>
      </c>
      <c r="B3306" s="6">
        <v>255.0</v>
      </c>
      <c r="C3306" s="6">
        <v>1.0</v>
      </c>
      <c r="D3306" s="15" t="s">
        <v>5391</v>
      </c>
      <c r="E3306" s="9" t="s">
        <v>5392</v>
      </c>
      <c r="F3306" s="8" t="str">
        <f>IFERROR(__xludf.DUMMYFUNCTION("GOOGLETRANSLATE(D3306,""zh-CN"",""vi"")"),"Hạng nhất riêng tư, Át Bích")</f>
        <v>Hạng nhất riêng tư, Át Bích</v>
      </c>
      <c r="G3306" s="8" t="str">
        <f>IFERROR(__xludf.DUMMYFUNCTION("GOOGLETRANSLATE(E3306,""zh-CN"",""vi"")"),"Binh nhất hạng A Bích báo cáo nhận nhiệm vụ! Kết hợp chúng để được Binh nhất hạng 2 Rô.")</f>
        <v>Binh nhất hạng A Bích báo cáo nhận nhiệm vụ! Kết hợp chúng để được Binh nhất hạng 2 Rô.</v>
      </c>
      <c r="H3306" s="8"/>
      <c r="I3306" s="8"/>
      <c r="J3306" s="8"/>
    </row>
    <row r="3307" ht="21.0" customHeight="1">
      <c r="A3307" s="6">
        <v>1.0</v>
      </c>
      <c r="B3307" s="6">
        <v>255.0</v>
      </c>
      <c r="C3307" s="6">
        <v>2.0</v>
      </c>
      <c r="D3307" s="15" t="s">
        <v>5393</v>
      </c>
      <c r="E3307" s="9" t="s">
        <v>5394</v>
      </c>
      <c r="F3307" s="8" t="str">
        <f>IFERROR(__xludf.DUMMYFUNCTION("GOOGLETRANSLATE(D3307,""zh-CN"",""vi"")"),"Hạng Nhất Riêng Tư, hạng 2 Kim Cương")</f>
        <v>Hạng Nhất Riêng Tư, hạng 2 Kim Cương</v>
      </c>
      <c r="G3307" s="8" t="str">
        <f>IFERROR(__xludf.DUMMYFUNCTION("GOOGLETRANSLATE(E3307,""zh-CN"",""vi"")"),"Lá bài 2 rô, hạng nhất, yêu cầu trở về đơn vị! Kết hợp chúng để được lá bài 3 chuồn, hạng nhất.")</f>
        <v>Lá bài 2 rô, hạng nhất, yêu cầu trở về đơn vị! Kết hợp chúng để được lá bài 3 chuồn, hạng nhất.</v>
      </c>
      <c r="H3307" s="8"/>
      <c r="I3307" s="8"/>
      <c r="J3307" s="8"/>
    </row>
    <row r="3308" ht="21.0" customHeight="1">
      <c r="A3308" s="6">
        <v>1.0</v>
      </c>
      <c r="B3308" s="6">
        <v>255.0</v>
      </c>
      <c r="C3308" s="6">
        <v>3.0</v>
      </c>
      <c r="D3308" s="15" t="s">
        <v>5395</v>
      </c>
      <c r="E3308" s="9" t="s">
        <v>5396</v>
      </c>
      <c r="F3308" s="8" t="str">
        <f>IFERROR(__xludf.DUMMYFUNCTION("GOOGLETRANSLATE(D3308,""zh-CN"",""vi"")"),"Hạng nhất, tàu Hoa Mai 3")</f>
        <v>Hạng nhất, tàu Hoa Mai 3</v>
      </c>
      <c r="G3308" s="8" t="str">
        <f>IFERROR(__xludf.DUMMYFUNCTION("GOOGLETRANSLATE(E3308,""zh-CN"",""vi"")"),"Binh nhất hạng 3 (Câu lạc bộ) yêu cầu chỉ thị! (Tổng hợp để đạt được Hạ sĩ hạng 4 (Trái tim))")</f>
        <v>Binh nhất hạng 3 (Câu lạc bộ) yêu cầu chỉ thị! (Tổng hợp để đạt được Hạ sĩ hạng 4 (Trái tim))</v>
      </c>
      <c r="H3308" s="8"/>
      <c r="I3308" s="8"/>
      <c r="J3308" s="8"/>
    </row>
    <row r="3309" ht="21.0" customHeight="1">
      <c r="A3309" s="6">
        <v>1.0</v>
      </c>
      <c r="B3309" s="6">
        <v>255.0</v>
      </c>
      <c r="C3309" s="6">
        <v>4.0</v>
      </c>
      <c r="D3309" s="15" t="s">
        <v>5397</v>
      </c>
      <c r="E3309" s="9" t="s">
        <v>5398</v>
      </c>
      <c r="F3309" s="8" t="str">
        <f>IFERROR(__xludf.DUMMYFUNCTION("GOOGLETRANSLATE(D3309,""zh-CN"",""vi"")"),"Hạ sĩ Trái Tim Đỏ")</f>
        <v>Hạ sĩ Trái Tim Đỏ</v>
      </c>
      <c r="G3309" s="8" t="str">
        <f>IFERROR(__xludf.DUMMYFUNCTION("GOOGLETRANSLATE(E3309,""zh-CN"",""vi"")"),"Hạ sĩ Cơ 4 đã sẵn sàng! Kết hợp chúng để có được Trung sĩ Bích 5.")</f>
        <v>Hạ sĩ Cơ 4 đã sẵn sàng! Kết hợp chúng để có được Trung sĩ Bích 5.</v>
      </c>
      <c r="H3309" s="8"/>
      <c r="I3309" s="8"/>
      <c r="J3309" s="8"/>
    </row>
    <row r="3310" ht="21.0" customHeight="1">
      <c r="A3310" s="6">
        <v>1.0</v>
      </c>
      <c r="B3310" s="6">
        <v>255.0</v>
      </c>
      <c r="C3310" s="6">
        <v>5.0</v>
      </c>
      <c r="D3310" s="15" t="s">
        <v>5399</v>
      </c>
      <c r="E3310" s="9" t="s">
        <v>5400</v>
      </c>
      <c r="F3310" s="8" t="str">
        <f>IFERROR(__xludf.DUMMYFUNCTION("GOOGLETRANSLATE(D3310,""zh-CN"",""vi"")"),"Trung sĩ của quân Năm Bích")</f>
        <v>Trung sĩ của quân Năm Bích</v>
      </c>
      <c r="G3310" s="8" t="str">
        <f>IFERROR(__xludf.DUMMYFUNCTION("GOOGLETRANSLATE(E3310,""zh-CN"",""vi"")"),"Trung sĩ 5 Bích đã sẵn sàng thực hiện mệnh lệnh! Kết hợp để có được Trung sĩ 6 Cơ.")</f>
        <v>Trung sĩ 5 Bích đã sẵn sàng thực hiện mệnh lệnh! Kết hợp để có được Trung sĩ 6 Cơ.</v>
      </c>
      <c r="H3310" s="8"/>
      <c r="I3310" s="8"/>
      <c r="J3310" s="8"/>
    </row>
    <row r="3311" ht="21.0" customHeight="1">
      <c r="A3311" s="6">
        <v>1.0</v>
      </c>
      <c r="B3311" s="6">
        <v>255.0</v>
      </c>
      <c r="C3311" s="6">
        <v>6.0</v>
      </c>
      <c r="D3311" s="15" t="s">
        <v>5401</v>
      </c>
      <c r="E3311" s="9" t="s">
        <v>5402</v>
      </c>
      <c r="F3311" s="8" t="str">
        <f>IFERROR(__xludf.DUMMYFUNCTION("GOOGLETRANSLATE(D3311,""zh-CN"",""vi"")"),"Trung sĩ Redheart 6")</f>
        <v>Trung sĩ Redheart 6</v>
      </c>
      <c r="G3311" s="8" t="str">
        <f>IFERROR(__xludf.DUMMYFUNCTION("GOOGLETRANSLATE(E3311,""zh-CN"",""vi"")"),"Trung sĩ Đỏ số 6 yêu cầu nhiệm vụ! Kết hợp lại, ta có Thiếu úy Câu lạc bộ số 7.")</f>
        <v>Trung sĩ Đỏ số 6 yêu cầu nhiệm vụ! Kết hợp lại, ta có Thiếu úy Câu lạc bộ số 7.</v>
      </c>
      <c r="H3311" s="8"/>
      <c r="I3311" s="8"/>
      <c r="J3311" s="8"/>
    </row>
    <row r="3312" ht="21.0" customHeight="1">
      <c r="A3312" s="6">
        <v>1.0</v>
      </c>
      <c r="B3312" s="6">
        <v>255.0</v>
      </c>
      <c r="C3312" s="6">
        <v>7.0</v>
      </c>
      <c r="D3312" s="15" t="s">
        <v>5403</v>
      </c>
      <c r="E3312" s="9" t="s">
        <v>5404</v>
      </c>
      <c r="F3312" s="8" t="str">
        <f>IFERROR(__xludf.DUMMYFUNCTION("GOOGLETRANSLATE(D3312,""zh-CN"",""vi"")"),"Trung úy số 7 của Mai Hoa")</f>
        <v>Trung úy số 7 của Mai Hoa</v>
      </c>
      <c r="G3312" s="8" t="str">
        <f>IFERROR(__xludf.DUMMYFUNCTION("GOOGLETRANSLATE(E3312,""zh-CN"",""vi"")"),"Trung úy thứ hai với lá bài 7 chuồn đang ra lệnh. Kết hợp chúng để có được trung úy với lá bài 8 cơ.")</f>
        <v>Trung úy thứ hai với lá bài 7 chuồn đang ra lệnh. Kết hợp chúng để có được trung úy với lá bài 8 cơ.</v>
      </c>
      <c r="H3312" s="8"/>
      <c r="I3312" s="8"/>
      <c r="J3312" s="8"/>
    </row>
    <row r="3313" ht="21.0" customHeight="1">
      <c r="A3313" s="6">
        <v>1.0</v>
      </c>
      <c r="B3313" s="6">
        <v>255.0</v>
      </c>
      <c r="C3313" s="6">
        <v>8.0</v>
      </c>
      <c r="D3313" s="15" t="s">
        <v>5405</v>
      </c>
      <c r="E3313" s="9" t="s">
        <v>5406</v>
      </c>
      <c r="F3313" s="8" t="str">
        <f>IFERROR(__xludf.DUMMYFUNCTION("GOOGLETRANSLATE(D3313,""zh-CN"",""vi"")"),"Trung úy Trái Tim Đỏ 8")</f>
        <v>Trung úy Trái Tim Đỏ 8</v>
      </c>
      <c r="G3313" s="8" t="str">
        <f>IFERROR(__xludf.DUMMYFUNCTION("GOOGLETRANSLATE(E3313,""zh-CN"",""vi"")"),"Trung úy với quân Cơ số 8, cầm ngọn giáo, và kết hợp chúng để có được thuyền trưởng với quân Bích số 9.")</f>
        <v>Trung úy với quân Cơ số 8, cầm ngọn giáo, và kết hợp chúng để có được thuyền trưởng với quân Bích số 9.</v>
      </c>
      <c r="H3313" s="8"/>
      <c r="I3313" s="8"/>
      <c r="J3313" s="8"/>
    </row>
    <row r="3314" ht="21.0" customHeight="1">
      <c r="A3314" s="6">
        <v>1.0</v>
      </c>
      <c r="B3314" s="6">
        <v>255.0</v>
      </c>
      <c r="C3314" s="6">
        <v>9.0</v>
      </c>
      <c r="D3314" s="15" t="s">
        <v>5407</v>
      </c>
      <c r="E3314" s="9" t="s">
        <v>5408</v>
      </c>
      <c r="F3314" s="8" t="str">
        <f>IFERROR(__xludf.DUMMYFUNCTION("GOOGLETRANSLATE(D3314,""zh-CN"",""vi"")"),"Đội trưởng của quân Chín Bích")</f>
        <v>Đội trưởng của quân Chín Bích</v>
      </c>
      <c r="G3314" s="8" t="str">
        <f>IFERROR(__xludf.DUMMYFUNCTION("GOOGLETRANSLATE(E3314,""zh-CN"",""vi"")"),"Lá bài Captain of 9 of Spades bảo vệ nguồn cung cấp và hậu cần quân sự. Kết hợp chúng để có được lá bài Captain of the 10 of Diamonds.")</f>
        <v>Lá bài Captain of 9 of Spades bảo vệ nguồn cung cấp và hậu cần quân sự. Kết hợp chúng để có được lá bài Captain of the 10 of Diamonds.</v>
      </c>
      <c r="H3314" s="8"/>
      <c r="I3314" s="8"/>
      <c r="J3314" s="8"/>
    </row>
    <row r="3315" ht="21.0" customHeight="1">
      <c r="A3315" s="6">
        <v>1.0</v>
      </c>
      <c r="B3315" s="6">
        <v>255.0</v>
      </c>
      <c r="C3315" s="6">
        <v>10.0</v>
      </c>
      <c r="D3315" s="15" t="s">
        <v>5409</v>
      </c>
      <c r="E3315" s="9" t="s">
        <v>5410</v>
      </c>
      <c r="F3315" s="8" t="str">
        <f>IFERROR(__xludf.DUMMYFUNCTION("GOOGLETRANSLATE(D3315,""zh-CN"",""vi"")"),"Đội trưởng khu 10")</f>
        <v>Đội trưởng khu 10</v>
      </c>
      <c r="G3315" s="8" t="str">
        <f>IFERROR(__xludf.DUMMYFUNCTION("GOOGLETRANSLATE(E3315,""zh-CN"",""vi"")"),"Đội trưởng Square 10 đã tập trung hoàn toàn, sẵn sàng khai hỏa. Kết hợp để có được Bộ trưởng Hoa Mai.")</f>
        <v>Đội trưởng Square 10 đã tập trung hoàn toàn, sẵn sàng khai hỏa. Kết hợp để có được Bộ trưởng Hoa Mai.</v>
      </c>
      <c r="H3315" s="8"/>
      <c r="I3315" s="8"/>
      <c r="J3315" s="8"/>
    </row>
    <row r="3316" ht="21.0" customHeight="1">
      <c r="A3316" s="6">
        <v>1.0</v>
      </c>
      <c r="B3316" s="6">
        <v>255.0</v>
      </c>
      <c r="C3316" s="6">
        <v>11.0</v>
      </c>
      <c r="D3316" s="15" t="s">
        <v>5411</v>
      </c>
      <c r="E3316" s="9" t="s">
        <v>5412</v>
      </c>
      <c r="F3316" s="8" t="str">
        <f>IFERROR(__xludf.DUMMYFUNCTION("GOOGLETRANSLATE(D3316,""zh-CN"",""vi"")"),"Bộ trưởng Hoa Mai")</f>
        <v>Bộ trưởng Hoa Mai</v>
      </c>
      <c r="G3316" s="8" t="str">
        <f>IFERROR(__xludf.DUMMYFUNCTION("GOOGLETRANSLATE(E3316,""zh-CN"",""vi"")"),"Bộ trưởng Bộ Chuồn đang nắm quyền kiểm soát tình hình. Hãy kết hợp các quân bài để có được quân Hậu Bích.")</f>
        <v>Bộ trưởng Bộ Chuồn đang nắm quyền kiểm soát tình hình. Hãy kết hợp các quân bài để có được quân Hậu Bích.</v>
      </c>
      <c r="H3316" s="8"/>
      <c r="I3316" s="8"/>
      <c r="J3316" s="8"/>
    </row>
    <row r="3317" ht="21.0" customHeight="1">
      <c r="A3317" s="6">
        <v>1.0</v>
      </c>
      <c r="B3317" s="6">
        <v>255.0</v>
      </c>
      <c r="C3317" s="6">
        <v>12.0</v>
      </c>
      <c r="D3317" s="15" t="s">
        <v>5413</v>
      </c>
      <c r="E3317" s="9" t="s">
        <v>5414</v>
      </c>
      <c r="F3317" s="8" t="str">
        <f>IFERROR(__xludf.DUMMYFUNCTION("GOOGLETRANSLATE(D3317,""zh-CN"",""vi"")"),"Nữ hoàng bích")</f>
        <v>Nữ hoàng bích</v>
      </c>
      <c r="G3317" s="8" t="str">
        <f>IFERROR(__xludf.DUMMYFUNCTION("GOOGLETRANSLATE(E3317,""zh-CN"",""vi"")"),"Nữ hoàng Bích toát lên vẻ quyến rũ khó cưỡng. Kết hợp chúng để có được Vua Cơ.")</f>
        <v>Nữ hoàng Bích toát lên vẻ quyến rũ khó cưỡng. Kết hợp chúng để có được Vua Cơ.</v>
      </c>
      <c r="H3317" s="8"/>
      <c r="I3317" s="8"/>
      <c r="J3317" s="8"/>
    </row>
    <row r="3318" ht="21.0" customHeight="1">
      <c r="A3318" s="6">
        <v>1.0</v>
      </c>
      <c r="B3318" s="6">
        <v>255.0</v>
      </c>
      <c r="C3318" s="6">
        <v>13.0</v>
      </c>
      <c r="D3318" s="15" t="s">
        <v>5415</v>
      </c>
      <c r="E3318" s="9" t="s">
        <v>5416</v>
      </c>
      <c r="F3318" s="8" t="str">
        <f>IFERROR(__xludf.DUMMYFUNCTION("GOOGLETRANSLATE(D3318,""zh-CN"",""vi"")"),"Vua Cơ")</f>
        <v>Vua Cơ</v>
      </c>
      <c r="G3318" s="8" t="str">
        <f>IFERROR(__xludf.DUMMYFUNCTION("GOOGLETRANSLATE(E3318,""zh-CN"",""vi"")"),"Vua Cơ có quyền lực vô hạn. (Đã được tổng hợp đến cấp độ cao nhất.)")</f>
        <v>Vua Cơ có quyền lực vô hạn. (Đã được tổng hợp đến cấp độ cao nhất.)</v>
      </c>
      <c r="H3318" s="8"/>
      <c r="I3318" s="8"/>
      <c r="J3318" s="8"/>
    </row>
    <row r="3319" ht="21.0" customHeight="1">
      <c r="A3319" s="6">
        <v>1.0</v>
      </c>
      <c r="B3319" s="6">
        <v>256.0</v>
      </c>
      <c r="C3319" s="6">
        <v>1.0</v>
      </c>
      <c r="D3319" s="15" t="s">
        <v>5417</v>
      </c>
      <c r="E3319" s="9" t="s">
        <v>5418</v>
      </c>
      <c r="F3319" s="8" t="str">
        <f>IFERROR(__xludf.DUMMYFUNCTION("GOOGLETRANSLATE(D3319,""zh-CN"",""vi"")"),"Những con hạc giấy kỳ diệu")</f>
        <v>Những con hạc giấy kỳ diệu</v>
      </c>
      <c r="G3319" s="8" t="str">
        <f>IFERROR(__xludf.DUMMYFUNCTION("GOOGLETRANSLATE(E3319,""zh-CN"",""vi"")"),"Một bộ hạc giấy origami có thể bay thật. Kết hợp chúng lại để có được Giày Bay.")</f>
        <v>Một bộ hạc giấy origami có thể bay thật. Kết hợp chúng lại để có được Giày Bay.</v>
      </c>
      <c r="H3319" s="8"/>
      <c r="I3319" s="8"/>
      <c r="J3319" s="8"/>
    </row>
    <row r="3320" ht="21.0" customHeight="1">
      <c r="A3320" s="6">
        <v>1.0</v>
      </c>
      <c r="B3320" s="6">
        <v>256.0</v>
      </c>
      <c r="C3320" s="6">
        <v>2.0</v>
      </c>
      <c r="D3320" s="15" t="s">
        <v>5419</v>
      </c>
      <c r="E3320" s="9" t="s">
        <v>5420</v>
      </c>
      <c r="F3320" s="8" t="str">
        <f>IFERROR(__xludf.DUMMYFUNCTION("GOOGLETRANSLATE(D3320,""zh-CN"",""vi"")"),"Giày khiêu vũ bay")</f>
        <v>Giày khiêu vũ bay</v>
      </c>
      <c r="G3320" s="8" t="str">
        <f>IFERROR(__xludf.DUMMYFUNCTION("GOOGLETRANSLATE(E3320,""zh-CN"",""vi"")"),"Nhảy và nhảy, bạn sẽ bay vút lên tận mây xanh. Kết hợp các nguyên liệu để tạo thành bút chì vẽ tự động.")</f>
        <v>Nhảy và nhảy, bạn sẽ bay vút lên tận mây xanh. Kết hợp các nguyên liệu để tạo thành bút chì vẽ tự động.</v>
      </c>
      <c r="H3320" s="8"/>
      <c r="I3320" s="8"/>
      <c r="J3320" s="8"/>
    </row>
    <row r="3321" ht="21.0" customHeight="1">
      <c r="A3321" s="6">
        <v>1.0</v>
      </c>
      <c r="B3321" s="6">
        <v>256.0</v>
      </c>
      <c r="C3321" s="6">
        <v>3.0</v>
      </c>
      <c r="D3321" s="15" t="s">
        <v>5421</v>
      </c>
      <c r="E3321" s="9" t="s">
        <v>5422</v>
      </c>
      <c r="F3321" s="8" t="str">
        <f>IFERROR(__xludf.DUMMYFUNCTION("GOOGLETRANSLATE(D3321,""zh-CN"",""vi"")"),"Bút chì vẽ tự động")</f>
        <v>Bút chì vẽ tự động</v>
      </c>
      <c r="G3321" s="8" t="str">
        <f>IFERROR(__xludf.DUMMYFUNCTION("GOOGLETRANSLATE(E3321,""zh-CN"",""vi"")"),"Đầu tiên, hãy hình dung nó trong đầu, và nó sẽ vẽ ra cho bạn. Kết hợp chúng lại để có được Chiếc Mũ Thần Kỳ.")</f>
        <v>Đầu tiên, hãy hình dung nó trong đầu, và nó sẽ vẽ ra cho bạn. Kết hợp chúng lại để có được Chiếc Mũ Thần Kỳ.</v>
      </c>
      <c r="H3321" s="8"/>
      <c r="I3321" s="8"/>
      <c r="J3321" s="8"/>
    </row>
    <row r="3322" ht="21.0" customHeight="1">
      <c r="A3322" s="6">
        <v>1.0</v>
      </c>
      <c r="B3322" s="6">
        <v>256.0</v>
      </c>
      <c r="C3322" s="6">
        <v>4.0</v>
      </c>
      <c r="D3322" s="15" t="s">
        <v>5423</v>
      </c>
      <c r="E3322" s="9" t="s">
        <v>5424</v>
      </c>
      <c r="F3322" s="8" t="str">
        <f>IFERROR(__xludf.DUMMYFUNCTION("GOOGLETRANSLATE(D3322,""zh-CN"",""vi"")"),"Chiếc mũ ma thuật")</f>
        <v>Chiếc mũ ma thuật</v>
      </c>
      <c r="G3322" s="8" t="str">
        <f>IFERROR(__xludf.DUMMYFUNCTION("GOOGLETRANSLATE(E3322,""zh-CN"",""vi"")"),"Người ta nói rằng nó chứa đựng phép thuật không gian. Khi kết hợp lại, nó tạo thành một chiếc ô.")</f>
        <v>Người ta nói rằng nó chứa đựng phép thuật không gian. Khi kết hợp lại, nó tạo thành một chiếc ô.</v>
      </c>
      <c r="H3322" s="8"/>
      <c r="I3322" s="8"/>
      <c r="J3322" s="8"/>
    </row>
    <row r="3323" ht="21.0" customHeight="1">
      <c r="A3323" s="6">
        <v>1.0</v>
      </c>
      <c r="B3323" s="6">
        <v>256.0</v>
      </c>
      <c r="C3323" s="6">
        <v>5.0</v>
      </c>
      <c r="D3323" s="15" t="s">
        <v>5425</v>
      </c>
      <c r="E3323" s="9" t="s">
        <v>5426</v>
      </c>
      <c r="F3323" s="8" t="str">
        <f>IFERROR(__xludf.DUMMYFUNCTION("GOOGLETRANSLATE(D3323,""zh-CN"",""vi"")"),"Chiếc ô")</f>
        <v>Chiếc ô</v>
      </c>
      <c r="G3323" s="8" t="str">
        <f>IFERROR(__xludf.DUMMYFUNCTION("GOOGLETRANSLATE(E3323,""zh-CN"",""vi"")"),"Một chiếc ô có thể mở ra để hứng mưa, đặc biệt là để chơi khăm. Kết hợp nó lại để tạo ra một chiếc tivi trong tương lai.")</f>
        <v>Một chiếc ô có thể mở ra để hứng mưa, đặc biệt là để chơi khăm. Kết hợp nó lại để tạo ra một chiếc tivi trong tương lai.</v>
      </c>
      <c r="H3323" s="8"/>
      <c r="I3323" s="8"/>
      <c r="J3323" s="8"/>
    </row>
    <row r="3324" ht="21.0" customHeight="1">
      <c r="A3324" s="6">
        <v>1.0</v>
      </c>
      <c r="B3324" s="6">
        <v>256.0</v>
      </c>
      <c r="C3324" s="6">
        <v>6.0</v>
      </c>
      <c r="D3324" s="15" t="s">
        <v>5427</v>
      </c>
      <c r="E3324" s="9" t="s">
        <v>5428</v>
      </c>
      <c r="F3324" s="8" t="str">
        <f>IFERROR(__xludf.DUMMYFUNCTION("GOOGLETRANSLATE(D3324,""zh-CN"",""vi"")"),"Truyền hình tương lai")</f>
        <v>Truyền hình tương lai</v>
      </c>
      <c r="G3324" s="8" t="str">
        <f>IFERROR(__xludf.DUMMYFUNCTION("GOOGLETRANSLATE(E3324,""zh-CN"",""vi"")"),"Một chiếc tivi chiếu những cảnh tượng tương lai, nhưng hình ảnh không chính xác. Hãy chế tạo Bánh xe Phiêu lưu.")</f>
        <v>Một chiếc tivi chiếu những cảnh tượng tương lai, nhưng hình ảnh không chính xác. Hãy chế tạo Bánh xe Phiêu lưu.</v>
      </c>
      <c r="H3324" s="8"/>
      <c r="I3324" s="8"/>
      <c r="J3324" s="8"/>
    </row>
    <row r="3325" ht="21.0" customHeight="1">
      <c r="A3325" s="6">
        <v>1.0</v>
      </c>
      <c r="B3325" s="6">
        <v>256.0</v>
      </c>
      <c r="C3325" s="6">
        <v>7.0</v>
      </c>
      <c r="D3325" s="15" t="s">
        <v>5429</v>
      </c>
      <c r="E3325" s="9" t="s">
        <v>5430</v>
      </c>
      <c r="F3325" s="8" t="str">
        <f>IFERROR(__xludf.DUMMYFUNCTION("GOOGLETRANSLATE(D3325,""zh-CN"",""vi"")"),"Bánh xe phiêu lưu")</f>
        <v>Bánh xe phiêu lưu</v>
      </c>
      <c r="G3325" s="8" t="str">
        <f>IFERROR(__xludf.DUMMYFUNCTION("GOOGLETRANSLATE(E3325,""zh-CN"",""vi"")"),"Xoay vô lăng thật mạnh, và nó sẽ di chuyển đến bất cứ nơi nào nó dừng lại. Kết hợp các bộ phận để nhận được Vương miện Lửa.")</f>
        <v>Xoay vô lăng thật mạnh, và nó sẽ di chuyển đến bất cứ nơi nào nó dừng lại. Kết hợp các bộ phận để nhận được Vương miện Lửa.</v>
      </c>
      <c r="H3325" s="8"/>
      <c r="I3325" s="8"/>
      <c r="J3325" s="8"/>
    </row>
    <row r="3326" ht="21.0" customHeight="1">
      <c r="A3326" s="6">
        <v>1.0</v>
      </c>
      <c r="B3326" s="6">
        <v>256.0</v>
      </c>
      <c r="C3326" s="6">
        <v>8.0</v>
      </c>
      <c r="D3326" s="15" t="s">
        <v>5431</v>
      </c>
      <c r="E3326" s="9" t="s">
        <v>5432</v>
      </c>
      <c r="F3326" s="8" t="str">
        <f>IFERROR(__xludf.DUMMYFUNCTION("GOOGLETRANSLATE(D3326,""zh-CN"",""vi"")"),"Vương miện lửa")</f>
        <v>Vương miện lửa</v>
      </c>
      <c r="G3326" s="8" t="str">
        <f>IFERROR(__xludf.DUMMYFUNCTION("GOOGLETRANSLATE(E3326,""zh-CN"",""vi"")"),"Khi đeo vào, nó sẽ ban cho bạn khả năng điều khiển sức mạnh của lửa, cho phép bạn tổng hợp và sở hữu Trái Tim Băng Giá.")</f>
        <v>Khi đeo vào, nó sẽ ban cho bạn khả năng điều khiển sức mạnh của lửa, cho phép bạn tổng hợp và sở hữu Trái Tim Băng Giá.</v>
      </c>
      <c r="H3326" s="8"/>
      <c r="I3326" s="8"/>
      <c r="J3326" s="8"/>
    </row>
    <row r="3327" ht="21.0" customHeight="1">
      <c r="A3327" s="6">
        <v>1.0</v>
      </c>
      <c r="B3327" s="6">
        <v>256.0</v>
      </c>
      <c r="C3327" s="6">
        <v>9.0</v>
      </c>
      <c r="D3327" s="15" t="s">
        <v>5433</v>
      </c>
      <c r="E3327" s="9" t="s">
        <v>5434</v>
      </c>
      <c r="F3327" s="8" t="str">
        <f>IFERROR(__xludf.DUMMYFUNCTION("GOOGLETRANSLATE(D3327,""zh-CN"",""vi"")"),"Trái Tim Băng Giá")</f>
        <v>Trái Tim Băng Giá</v>
      </c>
      <c r="G3327" s="8" t="str">
        <f>IFERROR(__xludf.DUMMYFUNCTION("GOOGLETRANSLATE(E3327,""zh-CN"",""vi"")"),"Bạn có thể tận dụng sức mạnh băng giá của nó để tổng hợp một Quả cầu Pha lê Tiên tri.")</f>
        <v>Bạn có thể tận dụng sức mạnh băng giá của nó để tổng hợp một Quả cầu Pha lê Tiên tri.</v>
      </c>
      <c r="H3327" s="8"/>
      <c r="I3327" s="8"/>
      <c r="J3327" s="8"/>
    </row>
    <row r="3328" ht="21.0" customHeight="1">
      <c r="A3328" s="6">
        <v>1.0</v>
      </c>
      <c r="B3328" s="6">
        <v>256.0</v>
      </c>
      <c r="C3328" s="6">
        <v>10.0</v>
      </c>
      <c r="D3328" s="15" t="s">
        <v>5435</v>
      </c>
      <c r="E3328" s="9" t="s">
        <v>5436</v>
      </c>
      <c r="F3328" s="8" t="str">
        <f>IFERROR(__xludf.DUMMYFUNCTION("GOOGLETRANSLATE(D3328,""zh-CN"",""vi"")"),"Quả cầu pha lê bói toán")</f>
        <v>Quả cầu pha lê bói toán</v>
      </c>
      <c r="G3328" s="8" t="str">
        <f>IFERROR(__xludf.DUMMYFUNCTION("GOOGLETRANSLATE(E3328,""zh-CN"",""vi"")"),"Xin hãy cho tôi biết lời giải của giả thuyết Goldbach? Làm thế nào để chế tạo Cung tên thần Cupid?")</f>
        <v>Xin hãy cho tôi biết lời giải của giả thuyết Goldbach? Làm thế nào để chế tạo Cung tên thần Cupid?</v>
      </c>
      <c r="H3328" s="8"/>
      <c r="I3328" s="8"/>
      <c r="J3328" s="8"/>
    </row>
    <row r="3329" ht="21.0" customHeight="1">
      <c r="A3329" s="6">
        <v>1.0</v>
      </c>
      <c r="B3329" s="6">
        <v>256.0</v>
      </c>
      <c r="C3329" s="6">
        <v>11.0</v>
      </c>
      <c r="D3329" s="15" t="s">
        <v>5437</v>
      </c>
      <c r="E3329" s="9" t="s">
        <v>5438</v>
      </c>
      <c r="F3329" s="8" t="str">
        <f>IFERROR(__xludf.DUMMYFUNCTION("GOOGLETRANSLATE(D3329,""zh-CN"",""vi"")"),"Cung của thần Cupid")</f>
        <v>Cung của thần Cupid</v>
      </c>
      <c r="G3329" s="8" t="str">
        <f>IFERROR(__xludf.DUMMYFUNCTION("GOOGLETRANSLATE(E3329,""zh-CN"",""vi"")"),"Mũi tên tình yêu xuyên thấu trái tim~ Kết hợp để tạo thành bùa bắt giấc mơ.")</f>
        <v>Mũi tên tình yêu xuyên thấu trái tim~ Kết hợp để tạo thành bùa bắt giấc mơ.</v>
      </c>
      <c r="H3329" s="8"/>
      <c r="I3329" s="8"/>
      <c r="J3329" s="8"/>
    </row>
    <row r="3330" ht="21.0" customHeight="1">
      <c r="A3330" s="6">
        <v>1.0</v>
      </c>
      <c r="B3330" s="6">
        <v>256.0</v>
      </c>
      <c r="C3330" s="6">
        <v>12.0</v>
      </c>
      <c r="D3330" s="15" t="s">
        <v>5439</v>
      </c>
      <c r="E3330" s="9" t="s">
        <v>5440</v>
      </c>
      <c r="F3330" s="8" t="str">
        <f>IFERROR(__xludf.DUMMYFUNCTION("GOOGLETRANSLATE(D3330,""zh-CN"",""vi"")"),"Kẻ bắt giấc mơ")</f>
        <v>Kẻ bắt giấc mơ</v>
      </c>
      <c r="G3330" s="8" t="str">
        <f>IFERROR(__xludf.DUMMYFUNCTION("GOOGLETRANSLATE(E3330,""zh-CN"",""vi"")"),"Nắm bắt giấc mơ, khám phá tiềm thức ~ Tổng hợp để tạo ra một thiết bị chiêm tinh.")</f>
        <v>Nắm bắt giấc mơ, khám phá tiềm thức ~ Tổng hợp để tạo ra một thiết bị chiêm tinh.</v>
      </c>
      <c r="H3330" s="8"/>
      <c r="I3330" s="8"/>
      <c r="J3330" s="8"/>
    </row>
    <row r="3331" ht="21.0" customHeight="1">
      <c r="A3331" s="6">
        <v>1.0</v>
      </c>
      <c r="B3331" s="6">
        <v>256.0</v>
      </c>
      <c r="C3331" s="6">
        <v>13.0</v>
      </c>
      <c r="D3331" s="15" t="s">
        <v>5441</v>
      </c>
      <c r="E3331" s="9" t="s">
        <v>5442</v>
      </c>
      <c r="F3331" s="8" t="str">
        <f>IFERROR(__xludf.DUMMYFUNCTION("GOOGLETRANSLATE(D3331,""zh-CN"",""vi"")"),"Chiêm tinh học")</f>
        <v>Chiêm tinh học</v>
      </c>
      <c r="G3331" s="8" t="str">
        <f>IFERROR(__xludf.DUMMYFUNCTION("GOOGLETRANSLATE(E3331,""zh-CN"",""vi"")"),"Sự biến đổi của các vì sao hé lộ những bí ẩn của vũ trụ. (Tổng hợp ở cấp độ cao nhất)")</f>
        <v>Sự biến đổi của các vì sao hé lộ những bí ẩn của vũ trụ. (Tổng hợp ở cấp độ cao nhất)</v>
      </c>
      <c r="H3331" s="8"/>
      <c r="I3331" s="8"/>
      <c r="J3331" s="8"/>
    </row>
    <row r="3332" ht="21.0" customHeight="1">
      <c r="A3332" s="6">
        <v>11.0</v>
      </c>
      <c r="B3332" s="6">
        <v>1074.0</v>
      </c>
      <c r="C3332" s="6">
        <v>1.0</v>
      </c>
      <c r="D3332" s="15" t="s">
        <v>5443</v>
      </c>
      <c r="E3332" s="9" t="s">
        <v>5444</v>
      </c>
      <c r="F3332" s="8" t="str">
        <f>IFERROR(__xludf.DUMMYFUNCTION("GOOGLETRANSLATE(D3332,""zh-CN"",""vi"")"),"Sách y học")</f>
        <v>Sách y học</v>
      </c>
      <c r="G3332" s="8" t="str">
        <f>IFERROR(__xludf.DUMMYFUNCTION("GOOGLETRANSLATE(E3332,""zh-CN"",""vi"")"),"Sách Nội Kinh Hoàng Đế có ghi rằng có thể chế tạo giỏ hái dược liệu bằng cách kết hợp các nguyên liệu khác nhau.")</f>
        <v>Sách Nội Kinh Hoàng Đế có ghi rằng có thể chế tạo giỏ hái dược liệu bằng cách kết hợp các nguyên liệu khác nhau.</v>
      </c>
      <c r="H3332" s="8"/>
      <c r="I3332" s="8"/>
      <c r="J3332" s="8"/>
    </row>
    <row r="3333" ht="21.0" customHeight="1">
      <c r="A3333" s="6">
        <v>11.0</v>
      </c>
      <c r="B3333" s="6">
        <v>1074.0</v>
      </c>
      <c r="C3333" s="6">
        <v>2.0</v>
      </c>
      <c r="D3333" s="15" t="s">
        <v>5445</v>
      </c>
      <c r="E3333" s="9" t="s">
        <v>5446</v>
      </c>
      <c r="F3333" s="8" t="str">
        <f>IFERROR(__xludf.DUMMYFUNCTION("GOOGLETRANSLATE(D3333,""zh-CN"",""vi"")"),"Giỏ đựng thảo dược")</f>
        <v>Giỏ đựng thảo dược</v>
      </c>
      <c r="G3333" s="8" t="str">
        <f>IFERROR(__xludf.DUMMYFUNCTION("GOOGLETRANSLATE(E3333,""zh-CN"",""vi"")"),"""Dưới gốc cây thông, tôi hỏi cậu bé: 'Sư phụ của cháu đi đâu hái thảo dược vậy?' Cậu bé trả lời."" (Tiếp theo đó là việc giành được lá cờ của phòng khám y tế.)")</f>
        <v>"Dưới gốc cây thông, tôi hỏi cậu bé: 'Sư phụ của cháu đi đâu hái thảo dược vậy?' Cậu bé trả lời." (Tiếp theo đó là việc giành được lá cờ của phòng khám y tế.)</v>
      </c>
      <c r="H3333" s="8"/>
      <c r="I3333" s="8"/>
      <c r="J3333" s="8"/>
    </row>
    <row r="3334" ht="21.0" customHeight="1">
      <c r="A3334" s="6">
        <v>11.0</v>
      </c>
      <c r="B3334" s="6">
        <v>1074.0</v>
      </c>
      <c r="C3334" s="6">
        <v>3.0</v>
      </c>
      <c r="D3334" s="15" t="s">
        <v>5447</v>
      </c>
      <c r="E3334" s="9" t="s">
        <v>5448</v>
      </c>
      <c r="F3334" s="8" t="str">
        <f>IFERROR(__xludf.DUMMYFUNCTION("GOOGLETRANSLATE(D3334,""zh-CN"",""vi"")"),"Cờ Hội trường Y tế")</f>
        <v>Cờ Hội trường Y tế</v>
      </c>
      <c r="G3334" s="8" t="str">
        <f>IFERROR(__xludf.DUMMYFUNCTION("GOOGLETRANSLATE(E3334,""zh-CN"",""vi"")"),"Chữa lành bệnh tật và cứu sống người, loại bỏ mầm bệnh. Hãy chế tạo Giỏ của Người Chữa Bệnh.")</f>
        <v>Chữa lành bệnh tật và cứu sống người, loại bỏ mầm bệnh. Hãy chế tạo Giỏ của Người Chữa Bệnh.</v>
      </c>
      <c r="H3334" s="8"/>
      <c r="I3334" s="8"/>
      <c r="J3334" s="8"/>
    </row>
    <row r="3335" ht="21.0" customHeight="1">
      <c r="A3335" s="6">
        <v>11.0</v>
      </c>
      <c r="B3335" s="6">
        <v>1074.0</v>
      </c>
      <c r="C3335" s="6">
        <v>4.0</v>
      </c>
      <c r="D3335" s="15" t="s">
        <v>5449</v>
      </c>
      <c r="E3335" s="9" t="s">
        <v>5450</v>
      </c>
      <c r="F3335" s="8" t="str">
        <f>IFERROR(__xludf.DUMMYFUNCTION("GOOGLETRANSLATE(D3335,""zh-CN"",""vi"")"),"Giỏ dụng cụ y tế")</f>
        <v>Giỏ dụng cụ y tế</v>
      </c>
      <c r="G3335" s="8" t="str">
        <f>IFERROR(__xludf.DUMMYFUNCTION("GOOGLETRANSLATE(E3335,""zh-CN"",""vi"")"),"Ông đi khắp nơi, chữa trị vô số bệnh tật. Ông đã chế tạo một chiếc bàn khám bệnh nhỏ gọn.")</f>
        <v>Ông đi khắp nơi, chữa trị vô số bệnh tật. Ông đã chế tạo một chiếc bàn khám bệnh nhỏ gọn.</v>
      </c>
      <c r="H3335" s="8"/>
      <c r="I3335" s="8"/>
      <c r="J3335" s="8"/>
    </row>
    <row r="3336" ht="21.0" customHeight="1">
      <c r="A3336" s="6">
        <v>10.0</v>
      </c>
      <c r="B3336" s="6">
        <v>1074.0</v>
      </c>
      <c r="C3336" s="6">
        <v>5.0</v>
      </c>
      <c r="D3336" s="15" t="s">
        <v>5451</v>
      </c>
      <c r="E3336" s="9" t="s">
        <v>5452</v>
      </c>
      <c r="F3336" s="8" t="str">
        <f>IFERROR(__xludf.DUMMYFUNCTION("GOOGLETRANSLATE(D3336,""zh-CN"",""vi"")"),"Bàn khám bệnh")</f>
        <v>Bàn khám bệnh</v>
      </c>
      <c r="G3336" s="8" t="str">
        <f>IFERROR(__xludf.DUMMYFUNCTION("GOOGLETRANSLATE(E3336,""zh-CN"",""vi"")"),"Việc đầu tiên cần làm khi bước vào là quan sát, lắng nghe, hỏi han và sờ nắn. (Điều này sẽ tạo nên một bảng khám bệnh tổng quát.)")</f>
        <v>Việc đầu tiên cần làm khi bước vào là quan sát, lắng nghe, hỏi han và sờ nắn. (Điều này sẽ tạo nên một bảng khám bệnh tổng quát.)</v>
      </c>
      <c r="H3336" s="8"/>
      <c r="I3336" s="8"/>
      <c r="J3336" s="8"/>
    </row>
    <row r="3337" ht="21.0" customHeight="1">
      <c r="A3337" s="6">
        <v>10.0</v>
      </c>
      <c r="B3337" s="6">
        <v>1074.0</v>
      </c>
      <c r="C3337" s="6">
        <v>6.0</v>
      </c>
      <c r="D3337" s="15" t="s">
        <v>5453</v>
      </c>
      <c r="E3337" s="9" t="s">
        <v>5454</v>
      </c>
      <c r="F3337" s="8" t="str">
        <f>IFERROR(__xludf.DUMMYFUNCTION("GOOGLETRANSLATE(D3337,""zh-CN"",""vi"")"),"Bàn khám bệnh")</f>
        <v>Bàn khám bệnh</v>
      </c>
      <c r="G3337" s="8" t="str">
        <f>IFERROR(__xludf.DUMMYFUNCTION("GOOGLETRANSLATE(E3337,""zh-CN"",""vi"")"),"Cung cấp nơi trú ẩn khỏi gió và mưa, cho phép tiến hành tư vấn ngay cả vào những ngày nhiều mây. Hãy thiết kế một bàn tư vấn.")</f>
        <v>Cung cấp nơi trú ẩn khỏi gió và mưa, cho phép tiến hành tư vấn ngay cả vào những ngày nhiều mây. Hãy thiết kế một bàn tư vấn.</v>
      </c>
      <c r="H3337" s="8"/>
      <c r="I3337" s="8"/>
      <c r="J3337" s="8"/>
    </row>
    <row r="3338" ht="21.0" customHeight="1">
      <c r="A3338" s="6">
        <v>10.0</v>
      </c>
      <c r="B3338" s="6">
        <v>1074.0</v>
      </c>
      <c r="C3338" s="6">
        <v>7.0</v>
      </c>
      <c r="D3338" s="15" t="s">
        <v>5455</v>
      </c>
      <c r="E3338" s="9" t="s">
        <v>5456</v>
      </c>
      <c r="F3338" s="8" t="str">
        <f>IFERROR(__xludf.DUMMYFUNCTION("GOOGLETRANSLATE(D3338,""zh-CN"",""vi"")"),"Bàn khám bệnh")</f>
        <v>Bàn khám bệnh</v>
      </c>
      <c r="G3338" s="8" t="str">
        <f>IFERROR(__xludf.DUMMYFUNCTION("GOOGLETRANSLATE(E3338,""zh-CN"",""vi"")"),"Bệnh nhân có thể được ngồi xuống để chẩn đoán chi tiết. (Việc này có thể được thực hiện bằng cách tổng hợp thuốc.)")</f>
        <v>Bệnh nhân có thể được ngồi xuống để chẩn đoán chi tiết. (Việc này có thể được thực hiện bằng cách tổng hợp thuốc.)</v>
      </c>
      <c r="H3338" s="8"/>
      <c r="I3338" s="8"/>
      <c r="J3338" s="8"/>
    </row>
    <row r="3339" ht="21.0" customHeight="1">
      <c r="A3339" s="6">
        <v>10.0</v>
      </c>
      <c r="B3339" s="6">
        <v>1074.0</v>
      </c>
      <c r="C3339" s="6">
        <v>8.0</v>
      </c>
      <c r="D3339" s="15" t="s">
        <v>5457</v>
      </c>
      <c r="E3339" s="9" t="s">
        <v>5458</v>
      </c>
      <c r="F3339" s="8" t="str">
        <f>IFERROR(__xludf.DUMMYFUNCTION("GOOGLETRANSLATE(D3339,""zh-CN"",""vi"")"),"nhà thuốc")</f>
        <v>nhà thuốc</v>
      </c>
      <c r="G3339" s="8" t="str">
        <f>IFERROR(__xludf.DUMMYFUNCTION("GOOGLETRANSLATE(E3339,""zh-CN"",""vi"")"),"Mùi thơm dễ chịu của các loại thảo mộc thoang thoảng từ hiệu thuốc. (Phòng khám nhỏ được tạo ra thông qua quá trình chế tạo)")</f>
        <v>Mùi thơm dễ chịu của các loại thảo mộc thoang thoảng từ hiệu thuốc. (Phòng khám nhỏ được tạo ra thông qua quá trình chế tạo)</v>
      </c>
      <c r="H3339" s="8"/>
      <c r="I3339" s="8"/>
      <c r="J3339" s="8"/>
    </row>
    <row r="3340" ht="21.0" customHeight="1">
      <c r="A3340" s="6">
        <v>10.0</v>
      </c>
      <c r="B3340" s="6">
        <v>1074.0</v>
      </c>
      <c r="C3340" s="6">
        <v>9.0</v>
      </c>
      <c r="D3340" s="15" t="s">
        <v>5459</v>
      </c>
      <c r="E3340" s="9" t="s">
        <v>5460</v>
      </c>
      <c r="F3340" s="8" t="str">
        <f>IFERROR(__xludf.DUMMYFUNCTION("GOOGLETRANSLATE(D3340,""zh-CN"",""vi"")"),"Phòng khám nhỏ")</f>
        <v>Phòng khám nhỏ</v>
      </c>
      <c r="G3340" s="8" t="str">
        <f>IFERROR(__xludf.DUMMYFUNCTION("GOOGLETRANSLATE(E3340,""zh-CN"",""vi"")"),"Phòng khám nhỏ bé này chất chứa một gánh nặng cảm xúc lớn. (Tổng hợp lại để có được một phòng khám lớn hơn)")</f>
        <v>Phòng khám nhỏ bé này chất chứa một gánh nặng cảm xúc lớn. (Tổng hợp lại để có được một phòng khám lớn hơn)</v>
      </c>
      <c r="H3340" s="8"/>
      <c r="I3340" s="8"/>
      <c r="J3340" s="8"/>
    </row>
    <row r="3341" ht="21.0" customHeight="1">
      <c r="A3341" s="6">
        <v>10.0</v>
      </c>
      <c r="B3341" s="6">
        <v>1074.0</v>
      </c>
      <c r="C3341" s="6">
        <v>10.0</v>
      </c>
      <c r="D3341" s="15" t="s">
        <v>5461</v>
      </c>
      <c r="E3341" s="76" t="s">
        <v>5462</v>
      </c>
      <c r="F3341" s="8" t="str">
        <f>IFERROR(__xludf.DUMMYFUNCTION("GOOGLETRANSLATE(D3341,""zh-CN"",""vi"")"),"Đại sảnh Y tế")</f>
        <v>Đại sảnh Y tế</v>
      </c>
      <c r="G3341" s="8" t="str">
        <f>IFERROR(__xludf.DUMMYFUNCTION("GOOGLETRANSLATE(E3341,""zh-CN"",""vi"")"),"Giá như không có bệnh tật nào trong dân chúng, thì sẽ không cần phải lo lắng về việc thuốc men bị phủ bụi trên các kệ hàng. (Đã được tổng hợp đến cấp độ cao nhất)")</f>
        <v>Giá như không có bệnh tật nào trong dân chúng, thì sẽ không cần phải lo lắng về việc thuốc men bị phủ bụi trên các kệ hàng. (Đã được tổng hợp đến cấp độ cao nhất)</v>
      </c>
      <c r="H3341" s="8"/>
      <c r="I3341" s="8"/>
      <c r="J3341" s="8"/>
    </row>
    <row r="3342" ht="21.0" customHeight="1">
      <c r="A3342" s="6">
        <v>11.0</v>
      </c>
      <c r="B3342" s="6">
        <v>1075.0</v>
      </c>
      <c r="C3342" s="6">
        <v>1.0</v>
      </c>
      <c r="D3342" s="15" t="s">
        <v>5463</v>
      </c>
      <c r="E3342" s="9" t="s">
        <v>5464</v>
      </c>
      <c r="F3342" s="8" t="str">
        <f>IFERROR(__xludf.DUMMYFUNCTION("GOOGLETRANSLATE(D3342,""zh-CN"",""vi"")"),"Sách Y học [V]")</f>
        <v>Sách Y học [V]</v>
      </c>
      <c r="G3342" s="8" t="str">
        <f>IFERROR(__xludf.DUMMYFUNCTION("GOOGLETRANSLATE(E3342,""zh-CN"",""vi"")"),"Hoàng Đế Nội Kinh nói rằng có thể thu thập một giỏ dược liệu bằng cách kết hợp các nguyên liệu khác nhau. [V]")</f>
        <v>Hoàng Đế Nội Kinh nói rằng có thể thu thập một giỏ dược liệu bằng cách kết hợp các nguyên liệu khác nhau. [V]</v>
      </c>
      <c r="H3342" s="8"/>
      <c r="I3342" s="8"/>
      <c r="J3342" s="8"/>
    </row>
    <row r="3343" ht="21.0" customHeight="1">
      <c r="A3343" s="6">
        <v>11.0</v>
      </c>
      <c r="B3343" s="6">
        <v>1075.0</v>
      </c>
      <c r="C3343" s="6">
        <v>2.0</v>
      </c>
      <c r="D3343" s="15" t="s">
        <v>5465</v>
      </c>
      <c r="E3343" s="9" t="s">
        <v>5466</v>
      </c>
      <c r="F3343" s="8" t="str">
        <f>IFERROR(__xludf.DUMMYFUNCTION("GOOGLETRANSLATE(D3343,""zh-CN"",""vi"")"),"Giỏ hái thảo dược [V]")</f>
        <v>Giỏ hái thảo dược [V]</v>
      </c>
      <c r="G3343" s="8" t="str">
        <f>IFERROR(__xludf.DUMMYFUNCTION("GOOGLETRANSLATE(E3343,""zh-CN"",""vi"")"),"""Dưới gốc cây thông, tôi hỏi cậu bé: 'Sư phụ của cháu đi đâu hái thảo dược vậy?' Cậu bé trả lời."" (Tiếp theo là một câu dường như không liên quan: ""Tổng hợp để có được lá cờ phòng khám [V]"")")</f>
        <v>"Dưới gốc cây thông, tôi hỏi cậu bé: 'Sư phụ của cháu đi đâu hái thảo dược vậy?' Cậu bé trả lời." (Tiếp theo là một câu dường như không liên quan: "Tổng hợp để có được lá cờ phòng khám [V]")</v>
      </c>
      <c r="H3343" s="8"/>
      <c r="I3343" s="8"/>
      <c r="J3343" s="8"/>
    </row>
    <row r="3344" ht="21.0" customHeight="1">
      <c r="A3344" s="6">
        <v>11.0</v>
      </c>
      <c r="B3344" s="6">
        <v>1075.0</v>
      </c>
      <c r="C3344" s="6">
        <v>3.0</v>
      </c>
      <c r="D3344" s="15" t="s">
        <v>5467</v>
      </c>
      <c r="E3344" s="9" t="s">
        <v>5468</v>
      </c>
      <c r="F3344" s="8" t="str">
        <f>IFERROR(__xludf.DUMMYFUNCTION("GOOGLETRANSLATE(D3344,""zh-CN"",""vi"")"),"Cờ phòng khám [V]")</f>
        <v>Cờ phòng khám [V]</v>
      </c>
      <c r="G3344" s="8" t="str">
        <f>IFERROR(__xludf.DUMMYFUNCTION("GOOGLETRANSLATE(E3344,""zh-CN"",""vi"")"),"Chữa lành bệnh tật và cứu sống, loại bỏ mầm bệnh. Chế tạo Giỏ của Thầy thuốc [V]")</f>
        <v>Chữa lành bệnh tật và cứu sống, loại bỏ mầm bệnh. Chế tạo Giỏ của Thầy thuốc [V]</v>
      </c>
      <c r="H3344" s="8"/>
      <c r="I3344" s="8"/>
      <c r="J3344" s="8"/>
    </row>
    <row r="3345" ht="21.0" customHeight="1">
      <c r="A3345" s="6">
        <v>11.0</v>
      </c>
      <c r="B3345" s="6">
        <v>1075.0</v>
      </c>
      <c r="C3345" s="6">
        <v>4.0</v>
      </c>
      <c r="D3345" s="15" t="s">
        <v>5469</v>
      </c>
      <c r="E3345" s="9" t="s">
        <v>5470</v>
      </c>
      <c r="F3345" s="8" t="str">
        <f>IFERROR(__xludf.DUMMYFUNCTION("GOOGLETRANSLATE(D3345,""zh-CN"",""vi"")"),"Ba lô y tế [V]")</f>
        <v>Ba lô y tế [V]</v>
      </c>
      <c r="G3345" s="8" t="str">
        <f>IFERROR(__xludf.DUMMYFUNCTION("GOOGLETRANSLATE(E3345,""zh-CN"",""vi"")"),"Ông đã đi khắp đất nước, chữa trị vô số bệnh tật. Ông đã biên soạn một bảng tư vấn y tế [V].")</f>
        <v>Ông đã đi khắp đất nước, chữa trị vô số bệnh tật. Ông đã biên soạn một bảng tư vấn y tế [V].</v>
      </c>
      <c r="H3345" s="8"/>
      <c r="I3345" s="8"/>
      <c r="J3345" s="8"/>
    </row>
    <row r="3346" ht="21.0" customHeight="1">
      <c r="A3346" s="6">
        <v>10.0</v>
      </c>
      <c r="B3346" s="6">
        <v>1075.0</v>
      </c>
      <c r="C3346" s="6">
        <v>5.0</v>
      </c>
      <c r="D3346" s="15" t="s">
        <v>5471</v>
      </c>
      <c r="E3346" s="9" t="s">
        <v>5472</v>
      </c>
      <c r="F3346" s="8" t="str">
        <f>IFERROR(__xludf.DUMMYFUNCTION("GOOGLETRANSLATE(D3346,""zh-CN"",""vi"")"),"Bàn khám bệnh [V]")</f>
        <v>Bàn khám bệnh [V]</v>
      </c>
      <c r="G3346" s="8" t="str">
        <f>IFERROR(__xludf.DUMMYFUNCTION("GOOGLETRANSLATE(E3346,""zh-CN"",""vi"")"),"Việc đầu tiên cần làm khi bước vào là quan sát, lắng nghe, hỏi han và sờ nắn. (Tổng hợp để có được một bàn khám bệnh lớn [V])")</f>
        <v>Việc đầu tiên cần làm khi bước vào là quan sát, lắng nghe, hỏi han và sờ nắn. (Tổng hợp để có được một bàn khám bệnh lớn [V])</v>
      </c>
      <c r="H3346" s="8"/>
      <c r="I3346" s="8"/>
      <c r="J3346" s="8"/>
    </row>
    <row r="3347" ht="21.0" customHeight="1">
      <c r="A3347" s="6">
        <v>10.0</v>
      </c>
      <c r="B3347" s="6">
        <v>1075.0</v>
      </c>
      <c r="C3347" s="6">
        <v>6.0</v>
      </c>
      <c r="D3347" s="15" t="s">
        <v>5473</v>
      </c>
      <c r="E3347" s="9" t="s">
        <v>5474</v>
      </c>
      <c r="F3347" s="8" t="str">
        <f>IFERROR(__xludf.DUMMYFUNCTION("GOOGLETRANSLATE(D3347,""zh-CN"",""vi"")"),"Bàn khám bệnh lớn [V]")</f>
        <v>Bàn khám bệnh lớn [V]</v>
      </c>
      <c r="G3347" s="8" t="str">
        <f>IFERROR(__xludf.DUMMYFUNCTION("GOOGLETRANSLATE(E3347,""zh-CN"",""vi"")"),"Nó che chắn gió và mưa, cho phép bạn tiến hành khám chữa bệnh ngay cả vào những ngày nhiều mây. Chế tạo bàn khám chữa bệnh [V].")</f>
        <v>Nó che chắn gió và mưa, cho phép bạn tiến hành khám chữa bệnh ngay cả vào những ngày nhiều mây. Chế tạo bàn khám chữa bệnh [V].</v>
      </c>
      <c r="H3347" s="8"/>
      <c r="I3347" s="8"/>
      <c r="J3347" s="8"/>
    </row>
    <row r="3348" ht="21.0" customHeight="1">
      <c r="A3348" s="6">
        <v>10.0</v>
      </c>
      <c r="B3348" s="6">
        <v>1075.0</v>
      </c>
      <c r="C3348" s="6">
        <v>7.0</v>
      </c>
      <c r="D3348" s="15" t="s">
        <v>5475</v>
      </c>
      <c r="E3348" s="9" t="s">
        <v>5476</v>
      </c>
      <c r="F3348" s="8" t="str">
        <f>IFERROR(__xludf.DUMMYFUNCTION("GOOGLETRANSLATE(D3348,""zh-CN"",""vi"")"),"Bàn tư vấn y tế [V]")</f>
        <v>Bàn tư vấn y tế [V]</v>
      </c>
      <c r="G3348" s="8" t="str">
        <f>IFERROR(__xludf.DUMMYFUNCTION("GOOGLETRANSLATE(E3348,""zh-CN"",""vi"")"),"Bệnh nhân có thể được ngồi xuống để chẩn đoán chi tiết. Tổng hợp để có được một hiệu thuốc [V].")</f>
        <v>Bệnh nhân có thể được ngồi xuống để chẩn đoán chi tiết. Tổng hợp để có được một hiệu thuốc [V].</v>
      </c>
      <c r="H3348" s="8"/>
      <c r="I3348" s="8"/>
      <c r="J3348" s="8"/>
    </row>
    <row r="3349" ht="21.0" customHeight="1">
      <c r="A3349" s="6">
        <v>10.0</v>
      </c>
      <c r="B3349" s="6">
        <v>1075.0</v>
      </c>
      <c r="C3349" s="6">
        <v>8.0</v>
      </c>
      <c r="D3349" s="15" t="s">
        <v>5477</v>
      </c>
      <c r="E3349" s="9" t="s">
        <v>5478</v>
      </c>
      <c r="F3349" s="8" t="str">
        <f>IFERROR(__xludf.DUMMYFUNCTION("GOOGLETRANSLATE(D3349,""zh-CN"",""vi"")"),"Dược phẩm [V]")</f>
        <v>Dược phẩm [V]</v>
      </c>
      <c r="G3349" s="8" t="str">
        <f>IFERROR(__xludf.DUMMYFUNCTION("GOOGLETRANSLATE(E3349,""zh-CN"",""vi"")"),"Một mùi hương thảo mộc dễ chịu thoang thoảng từ hiệu thuốc. (Tổng hợp để có được Phòng khám nhỏ [V])")</f>
        <v>Một mùi hương thảo mộc dễ chịu thoang thoảng từ hiệu thuốc. (Tổng hợp để có được Phòng khám nhỏ [V])</v>
      </c>
      <c r="H3349" s="8"/>
      <c r="I3349" s="8"/>
      <c r="J3349" s="8"/>
    </row>
    <row r="3350" ht="21.0" customHeight="1">
      <c r="A3350" s="6">
        <v>10.0</v>
      </c>
      <c r="B3350" s="6">
        <v>1075.0</v>
      </c>
      <c r="C3350" s="6">
        <v>9.0</v>
      </c>
      <c r="D3350" s="15" t="s">
        <v>5479</v>
      </c>
      <c r="E3350" s="9" t="s">
        <v>5480</v>
      </c>
      <c r="F3350" s="8" t="str">
        <f>IFERROR(__xludf.DUMMYFUNCTION("GOOGLETRANSLATE(D3350,""zh-CN"",""vi"")"),"Phòng khám nhỏ [V]")</f>
        <v>Phòng khám nhỏ [V]</v>
      </c>
      <c r="G3350" s="8" t="str">
        <f>IFERROR(__xludf.DUMMYFUNCTION("GOOGLETRANSLATE(E3350,""zh-CN"",""vi"")"),"Phòng khám nhỏ này chất chứa rất nhiều cảm xúc. (Tổng hợp để có được một phòng khám lớn hơn [V])")</f>
        <v>Phòng khám nhỏ này chất chứa rất nhiều cảm xúc. (Tổng hợp để có được một phòng khám lớn hơn [V])</v>
      </c>
      <c r="H3350" s="8"/>
      <c r="I3350" s="8"/>
      <c r="J3350" s="8"/>
    </row>
    <row r="3351" ht="21.0" customHeight="1">
      <c r="A3351" s="6">
        <v>10.0</v>
      </c>
      <c r="B3351" s="6">
        <v>1075.0</v>
      </c>
      <c r="C3351" s="6">
        <v>10.0</v>
      </c>
      <c r="D3351" s="15" t="s">
        <v>5481</v>
      </c>
      <c r="E3351" s="76" t="s">
        <v>5462</v>
      </c>
      <c r="F3351" s="8" t="str">
        <f>IFERROR(__xludf.DUMMYFUNCTION("GOOGLETRANSLATE(D3351,""zh-CN"",""vi"")"),"Đại Nhất Quan [V]")</f>
        <v>Đại Nhất Quan [V]</v>
      </c>
      <c r="G3351" s="8" t="str">
        <f>IFERROR(__xludf.DUMMYFUNCTION("GOOGLETRANSLATE(E3351,""zh-CN"",""vi"")"),"Giá như không có bệnh tật nào trong dân chúng, thì sẽ không cần phải lo lắng về việc thuốc men bị phủ bụi trên các kệ hàng. (Đã được tổng hợp đến cấp độ cao nhất)")</f>
        <v>Giá như không có bệnh tật nào trong dân chúng, thì sẽ không cần phải lo lắng về việc thuốc men bị phủ bụi trên các kệ hàng. (Đã được tổng hợp đến cấp độ cao nhất)</v>
      </c>
      <c r="H3351" s="8"/>
      <c r="I3351" s="8"/>
      <c r="J3351" s="8"/>
    </row>
    <row r="3352" ht="21.0" customHeight="1">
      <c r="A3352" s="6">
        <v>1.0</v>
      </c>
      <c r="B3352" s="6">
        <v>257.0</v>
      </c>
      <c r="C3352" s="6">
        <v>1.0</v>
      </c>
      <c r="D3352" s="9" t="s">
        <v>5482</v>
      </c>
      <c r="E3352" s="9" t="s">
        <v>5483</v>
      </c>
      <c r="F3352" s="8" t="str">
        <f>IFERROR(__xludf.DUMMYFUNCTION("GOOGLETRANSLATE(D3352,""zh-CN"",""vi"")"),"Kim châm cứu")</f>
        <v>Kim châm cứu</v>
      </c>
      <c r="G3352" s="8" t="str">
        <f>IFERROR(__xludf.DUMMYFUNCTION("GOOGLETRANSLATE(E3352,""zh-CN"",""vi"")"),"Kim châm cứu được chia nhỏ hơn nữa thành kim mảnh và kim lửa. Giấy dược liệu được tổng hợp.")</f>
        <v>Kim châm cứu được chia nhỏ hơn nữa thành kim mảnh và kim lửa. Giấy dược liệu được tổng hợp.</v>
      </c>
      <c r="H3352" s="8"/>
      <c r="I3352" s="8"/>
      <c r="J3352" s="8"/>
    </row>
    <row r="3353" ht="21.0" customHeight="1">
      <c r="A3353" s="6">
        <v>1.0</v>
      </c>
      <c r="B3353" s="6">
        <v>257.0</v>
      </c>
      <c r="C3353" s="6">
        <v>2.0</v>
      </c>
      <c r="D3353" s="9" t="s">
        <v>5484</v>
      </c>
      <c r="E3353" s="9" t="s">
        <v>5485</v>
      </c>
      <c r="F3353" s="8" t="str">
        <f>IFERROR(__xludf.DUMMYFUNCTION("GOOGLETRANSLATE(D3353,""zh-CN"",""vi"")"),"Giấy gói thuốc")</f>
        <v>Giấy gói thuốc</v>
      </c>
      <c r="G3353" s="8" t="str">
        <f>IFERROR(__xludf.DUMMYFUNCTION("GOOGLETRANSLATE(E3353,""zh-CN"",""vi"")"),"Chắc chắn và bền bỉ, hoạt động rất tốt. Được chế tạo để lấy que ngải cứu.")</f>
        <v>Chắc chắn và bền bỉ, hoạt động rất tốt. Được chế tạo để lấy que ngải cứu.</v>
      </c>
      <c r="H3353" s="8"/>
      <c r="I3353" s="8"/>
      <c r="J3353" s="8"/>
    </row>
    <row r="3354" ht="21.0" customHeight="1">
      <c r="A3354" s="6">
        <v>1.0</v>
      </c>
      <c r="B3354" s="6">
        <v>257.0</v>
      </c>
      <c r="C3354" s="6">
        <v>3.0</v>
      </c>
      <c r="D3354" s="9" t="s">
        <v>5486</v>
      </c>
      <c r="E3354" s="9" t="s">
        <v>5487</v>
      </c>
      <c r="F3354" s="8" t="str">
        <f>IFERROR(__xludf.DUMMYFUNCTION("GOOGLETRANSLATE(D3354,""zh-CN"",""vi"")"),"que ngải cứu")</f>
        <v>que ngải cứu</v>
      </c>
      <c r="G3354" s="8" t="str">
        <f>IFERROR(__xludf.DUMMYFUNCTION("GOOGLETRANSLATE(E3354,""zh-CN"",""vi"")"),"Đây là một chất có tính dương rất cao, thích hợp để châm cứu làm ấm và bổ sung năng lượng dương. Nó có thể được tổng hợp để tạo ra một tấm cạo gió.")</f>
        <v>Đây là một chất có tính dương rất cao, thích hợp để châm cứu làm ấm và bổ sung năng lượng dương. Nó có thể được tổng hợp để tạo ra một tấm cạo gió.</v>
      </c>
      <c r="H3354" s="8"/>
      <c r="I3354" s="8"/>
      <c r="J3354" s="8"/>
    </row>
    <row r="3355" ht="21.0" customHeight="1">
      <c r="A3355" s="6">
        <v>1.0</v>
      </c>
      <c r="B3355" s="6">
        <v>257.0</v>
      </c>
      <c r="C3355" s="6">
        <v>4.0</v>
      </c>
      <c r="D3355" s="9" t="s">
        <v>5488</v>
      </c>
      <c r="E3355" s="9" t="s">
        <v>5489</v>
      </c>
      <c r="F3355" s="8" t="str">
        <f>IFERROR(__xludf.DUMMYFUNCTION("GOOGLETRANSLATE(D3355,""zh-CN"",""vi"")"),"Bảng Gua Sha")</f>
        <v>Bảng Gua Sha</v>
      </c>
      <c r="G3355" s="8" t="str">
        <f>IFERROR(__xludf.DUMMYFUNCTION("GOOGLETRANSLATE(E3355,""zh-CN"",""vi"")"),"Gua sha (liệu pháp cạo gió) là một hình thức thanh lọc, có thể thúc đẩy tuần hoàn máu, loại bỏ huyết ứ, thư giãn cơ bắp và gân, và thông kinh mạch. Giác hơi có thể được phát triển từ đó.")</f>
        <v>Gua sha (liệu pháp cạo gió) là một hình thức thanh lọc, có thể thúc đẩy tuần hoàn máu, loại bỏ huyết ứ, thư giãn cơ bắp và gân, và thông kinh mạch. Giác hơi có thể được phát triển từ đó.</v>
      </c>
      <c r="H3355" s="8"/>
      <c r="I3355" s="8"/>
      <c r="J3355" s="8"/>
    </row>
    <row r="3356" ht="21.0" customHeight="1">
      <c r="A3356" s="6">
        <v>1.0</v>
      </c>
      <c r="B3356" s="6">
        <v>257.0</v>
      </c>
      <c r="C3356" s="6">
        <v>5.0</v>
      </c>
      <c r="D3356" s="9" t="s">
        <v>5490</v>
      </c>
      <c r="E3356" s="9" t="s">
        <v>5491</v>
      </c>
      <c r="F3356" s="8" t="str">
        <f>IFERROR(__xludf.DUMMYFUNCTION("GOOGLETRANSLATE(D3356,""zh-CN"",""vi"")"),"Giác hơi")</f>
        <v>Giác hơi</v>
      </c>
      <c r="G3356" s="8" t="str">
        <f>IFERROR(__xludf.DUMMYFUNCTION("GOOGLETRANSLATE(E3356,""zh-CN"",""vi"")"),"Giác hơi có thể cải thiện tuần hoàn máu, trừ phong hàn. Dao thái thuốc có thể được chế tạo từ phương pháp này.")</f>
        <v>Giác hơi có thể cải thiện tuần hoàn máu, trừ phong hàn. Dao thái thuốc có thể được chế tạo từ phương pháp này.</v>
      </c>
      <c r="H3356" s="8"/>
      <c r="I3356" s="8"/>
      <c r="J3356" s="8"/>
    </row>
    <row r="3357" ht="21.0" customHeight="1">
      <c r="A3357" s="6">
        <v>1.0</v>
      </c>
      <c r="B3357" s="6">
        <v>257.0</v>
      </c>
      <c r="C3357" s="6">
        <v>6.0</v>
      </c>
      <c r="D3357" s="9" t="s">
        <v>5492</v>
      </c>
      <c r="E3357" s="9" t="s">
        <v>5493</v>
      </c>
      <c r="F3357" s="8" t="str">
        <f>IFERROR(__xludf.DUMMYFUNCTION("GOOGLETRANSLATE(D3357,""zh-CN"",""vi"")"),"Máy cắt thuốc")</f>
        <v>Máy cắt thuốc</v>
      </c>
      <c r="G3357" s="8" t="str">
        <f>IFERROR(__xludf.DUMMYFUNCTION("GOOGLETRANSLATE(E3357,""zh-CN"",""vi"")"),"Một công cụ tuyệt vời để chế biến các loại thảo dược. Nó có thể được tổng hợp để tạo ra cối giã thuốc.")</f>
        <v>Một công cụ tuyệt vời để chế biến các loại thảo dược. Nó có thể được tổng hợp để tạo ra cối giã thuốc.</v>
      </c>
      <c r="H3357" s="8"/>
      <c r="I3357" s="8"/>
      <c r="J3357" s="8"/>
    </row>
    <row r="3358" ht="21.0" customHeight="1">
      <c r="A3358" s="6">
        <v>1.0</v>
      </c>
      <c r="B3358" s="6">
        <v>257.0</v>
      </c>
      <c r="C3358" s="6">
        <v>7.0</v>
      </c>
      <c r="D3358" s="9" t="s">
        <v>5494</v>
      </c>
      <c r="E3358" s="9" t="s">
        <v>5495</v>
      </c>
      <c r="F3358" s="8" t="str">
        <f>IFERROR(__xludf.DUMMYFUNCTION("GOOGLETRANSLATE(D3358,""zh-CN"",""vi"")"),"máy nghiền thuốc")</f>
        <v>máy nghiền thuốc</v>
      </c>
      <c r="G3358" s="8" t="str">
        <f>IFERROR(__xludf.DUMMYFUNCTION("GOOGLETRANSLATE(E3358,""zh-CN"",""vi"")"),"Nhiều loại thảo dược cần được nghiền nát và chế biến. Cân thăng bằng được tổng hợp từ chúng.")</f>
        <v>Nhiều loại thảo dược cần được nghiền nát và chế biến. Cân thăng bằng được tổng hợp từ chúng.</v>
      </c>
      <c r="H3358" s="8"/>
      <c r="I3358" s="8"/>
      <c r="J3358" s="8"/>
    </row>
    <row r="3359" ht="21.0" customHeight="1">
      <c r="A3359" s="6">
        <v>1.0</v>
      </c>
      <c r="B3359" s="6">
        <v>257.0</v>
      </c>
      <c r="C3359" s="6">
        <v>8.0</v>
      </c>
      <c r="D3359" s="77" t="s">
        <v>5496</v>
      </c>
      <c r="E3359" s="9" t="s">
        <v>5497</v>
      </c>
      <c r="F3359" s="8" t="str">
        <f>IFERROR(__xludf.DUMMYFUNCTION("GOOGLETRANSLATE(D3359,""zh-CN"",""vi"")"),"sân thép")</f>
        <v>sân thép</v>
      </c>
      <c r="G3359" s="8" t="str">
        <f>IFERROR(__xludf.DUMMYFUNCTION("GOOGLETRANSLATE(E3359,""zh-CN"",""vi"")"),"Liều lượng thuốc cũng là một bước quan trọng quyết định hiệu quả của thuốc. Cối và chày được chế tạo từ các nguyên liệu.")</f>
        <v>Liều lượng thuốc cũng là một bước quan trọng quyết định hiệu quả của thuốc. Cối và chày được chế tạo từ các nguyên liệu.</v>
      </c>
      <c r="H3359" s="8"/>
      <c r="I3359" s="8"/>
      <c r="J3359" s="8"/>
    </row>
    <row r="3360" ht="21.0" customHeight="1">
      <c r="A3360" s="6">
        <v>1.0</v>
      </c>
      <c r="B3360" s="6">
        <v>257.0</v>
      </c>
      <c r="C3360" s="6">
        <v>9.0</v>
      </c>
      <c r="D3360" s="9" t="s">
        <v>5498</v>
      </c>
      <c r="E3360" s="9" t="s">
        <v>5499</v>
      </c>
      <c r="F3360" s="8" t="str">
        <f>IFERROR(__xludf.DUMMYFUNCTION("GOOGLETRANSLATE(D3360,""zh-CN"",""vi"")"),"Cối và chày")</f>
        <v>Cối và chày</v>
      </c>
      <c r="G3360" s="8" t="str">
        <f>IFERROR(__xludf.DUMMYFUNCTION("GOOGLETRANSLATE(E3360,""zh-CN"",""vi"")"),"Để dễ dàng chế biến thành thuốc, mỗi hạt đều phải được nghiền nát. Quá trình này tạo ra quả bầu có dược tính.")</f>
        <v>Để dễ dàng chế biến thành thuốc, mỗi hạt đều phải được nghiền nát. Quá trình này tạo ra quả bầu có dược tính.</v>
      </c>
      <c r="H3360" s="8"/>
      <c r="I3360" s="8"/>
      <c r="J3360" s="8"/>
    </row>
    <row r="3361" ht="21.0" customHeight="1">
      <c r="A3361" s="6">
        <v>1.0</v>
      </c>
      <c r="B3361" s="6">
        <v>257.0</v>
      </c>
      <c r="C3361" s="6">
        <v>10.0</v>
      </c>
      <c r="D3361" s="9" t="s">
        <v>5500</v>
      </c>
      <c r="E3361" s="9" t="s">
        <v>5501</v>
      </c>
      <c r="F3361" s="8" t="str">
        <f>IFERROR(__xludf.DUMMYFUNCTION("GOOGLETRANSLATE(D3361,""zh-CN"",""vi"")"),"Quả bầu ngâm rượu có dược tính")</f>
        <v>Quả bầu ngâm rượu có dược tính</v>
      </c>
      <c r="G3361" s="8" t="str">
        <f>IFERROR(__xludf.DUMMYFUNCTION("GOOGLETRANSLATE(E3361,""zh-CN"",""vi"")"),"Nó chứa một ít rượu thuốc dùng để điều trị bong gân và bầm tím. Hãy chế tạo nó để có được một chiếc bình sắc thuốc.")</f>
        <v>Nó chứa một ít rượu thuốc dùng để điều trị bong gân và bầm tím. Hãy chế tạo nó để có được một chiếc bình sắc thuốc.</v>
      </c>
      <c r="H3361" s="8"/>
      <c r="I3361" s="8"/>
      <c r="J3361" s="8"/>
    </row>
    <row r="3362" ht="21.0" customHeight="1">
      <c r="A3362" s="6">
        <v>1.0</v>
      </c>
      <c r="B3362" s="6">
        <v>257.0</v>
      </c>
      <c r="C3362" s="6">
        <v>11.0</v>
      </c>
      <c r="D3362" s="9" t="s">
        <v>5502</v>
      </c>
      <c r="E3362" s="9" t="s">
        <v>5503</v>
      </c>
      <c r="F3362" s="8" t="str">
        <f>IFERROR(__xludf.DUMMYFUNCTION("GOOGLETRANSLATE(D3362,""zh-CN"",""vi"")"),"Bình sắc thuốc")</f>
        <v>Bình sắc thuốc</v>
      </c>
      <c r="G3362" s="8" t="str">
        <f>IFERROR(__xludf.DUMMYFUNCTION("GOOGLETRANSLATE(E3362,""zh-CN"",""vi"")"),"Một liều thuốc thảo dược duy nhất mang trong mình hy vọng của cả gia đình. (Tổng hợp để có được một tủ thuốc nhỏ.)")</f>
        <v>Một liều thuốc thảo dược duy nhất mang trong mình hy vọng của cả gia đình. (Tổng hợp để có được một tủ thuốc nhỏ.)</v>
      </c>
      <c r="H3362" s="8"/>
      <c r="I3362" s="8"/>
      <c r="J3362" s="8"/>
    </row>
    <row r="3363" ht="21.0" customHeight="1">
      <c r="A3363" s="6">
        <v>1.0</v>
      </c>
      <c r="B3363" s="6">
        <v>257.0</v>
      </c>
      <c r="C3363" s="6">
        <v>12.0</v>
      </c>
      <c r="D3363" s="9" t="s">
        <v>5504</v>
      </c>
      <c r="E3363" s="9" t="s">
        <v>5505</v>
      </c>
      <c r="F3363" s="8" t="str">
        <f>IFERROR(__xludf.DUMMYFUNCTION("GOOGLETRANSLATE(D3363,""zh-CN"",""vi"")"),"Tủ thuốc nhỏ")</f>
        <v>Tủ thuốc nhỏ</v>
      </c>
      <c r="G3363" s="8" t="str">
        <f>IFERROR(__xludf.DUMMYFUNCTION("GOOGLETRANSLATE(E3363,""zh-CN"",""vi"")"),"Các ngăn kéo chứa đầy đủ các loại thảo dược. Chúng được dùng để pha chế một loại nước tắm trị liệu.")</f>
        <v>Các ngăn kéo chứa đầy đủ các loại thảo dược. Chúng được dùng để pha chế một loại nước tắm trị liệu.</v>
      </c>
      <c r="H3363" s="8"/>
      <c r="I3363" s="8"/>
      <c r="J3363" s="8"/>
    </row>
    <row r="3364" ht="21.0" customHeight="1">
      <c r="A3364" s="6">
        <v>1.0</v>
      </c>
      <c r="B3364" s="6">
        <v>257.0</v>
      </c>
      <c r="C3364" s="6">
        <v>13.0</v>
      </c>
      <c r="D3364" s="9" t="s">
        <v>5506</v>
      </c>
      <c r="E3364" s="9" t="s">
        <v>5507</v>
      </c>
      <c r="F3364" s="8" t="str">
        <f>IFERROR(__xludf.DUMMYFUNCTION("GOOGLETRANSLATE(D3364,""zh-CN"",""vi"")"),"Tắm thuốc")</f>
        <v>Tắm thuốc</v>
      </c>
      <c r="G3364" s="8" t="str">
        <f>IFERROR(__xludf.DUMMYFUNCTION("GOOGLETRANSLATE(E3364,""zh-CN"",""vi"")"),"Tương truyền rằng khi kết hợp với một số công thức bí truyền của gia đình, nó có thể tăng cường sức khỏe và thanh lọc tủy xương. Loại cao cấp nhất đã được tổng hợp.")</f>
        <v>Tương truyền rằng khi kết hợp với một số công thức bí truyền của gia đình, nó có thể tăng cường sức khỏe và thanh lọc tủy xương. Loại cao cấp nhất đã được tổng hợp.</v>
      </c>
      <c r="H3364" s="8"/>
      <c r="I3364" s="8"/>
      <c r="J3364" s="8"/>
    </row>
    <row r="3365" ht="21.0" customHeight="1">
      <c r="A3365" s="6">
        <v>1.0</v>
      </c>
      <c r="B3365" s="6">
        <v>258.0</v>
      </c>
      <c r="C3365" s="6">
        <v>1.0</v>
      </c>
      <c r="D3365" s="15" t="s">
        <v>5508</v>
      </c>
      <c r="E3365" s="9" t="s">
        <v>5509</v>
      </c>
      <c r="F3365" s="8" t="str">
        <f>IFERROR(__xludf.DUMMYFUNCTION("GOOGLETRANSLATE(D3365,""zh-CN"",""vi"")"),"Gừng")</f>
        <v>Gừng</v>
      </c>
      <c r="G3365" s="8" t="str">
        <f>IFERROR(__xludf.DUMMYFUNCTION("GOOGLETRANSLATE(E3365,""zh-CN"",""vi"")"),"Nó có thể làm giảm các triệu chứng ngoại cảm, trừ hàn, làm ấm trung tiêu và cầm nôn. Nó được dùng đặc biệt cho các bệnh cảm lạnh do phong hàn gây ra, và được tổng hợp để thu được Hà Thủ Ô (Polygonum multiflorum/He Shou Wu).")</f>
        <v>Nó có thể làm giảm các triệu chứng ngoại cảm, trừ hàn, làm ấm trung tiêu và cầm nôn. Nó được dùng đặc biệt cho các bệnh cảm lạnh do phong hàn gây ra, và được tổng hợp để thu được Hà Thủ Ô (Polygonum multiflorum/He Shou Wu).</v>
      </c>
      <c r="H3365" s="8"/>
      <c r="I3365" s="8"/>
      <c r="J3365" s="8"/>
    </row>
    <row r="3366" ht="21.0" customHeight="1">
      <c r="A3366" s="6">
        <v>1.0</v>
      </c>
      <c r="B3366" s="6">
        <v>258.0</v>
      </c>
      <c r="C3366" s="6">
        <v>2.0</v>
      </c>
      <c r="D3366" s="15" t="s">
        <v>5510</v>
      </c>
      <c r="E3366" s="9" t="s">
        <v>5511</v>
      </c>
      <c r="F3366" s="8" t="str">
        <f>IFERROR(__xludf.DUMMYFUNCTION("GOOGLETRANSLATE(D3366,""zh-CN"",""vi"")"),"Hà Thủ Ngô")</f>
        <v>Hà Thủ Ngô</v>
      </c>
      <c r="G3366" s="8" t="str">
        <f>IFERROR(__xludf.DUMMYFUNCTION("GOOGLETRANSLATE(E3366,""zh-CN"",""vi"")"),"Nó có tác dụng bổ sung tinh chất và huyết áp, làm ẩm ruột để giảm táo bón. Viên nén cam thảo được tổng hợp từ thành phần này.")</f>
        <v>Nó có tác dụng bổ sung tinh chất và huyết áp, làm ẩm ruột để giảm táo bón. Viên nén cam thảo được tổng hợp từ thành phần này.</v>
      </c>
      <c r="H3366" s="8"/>
      <c r="I3366" s="8"/>
      <c r="J3366" s="8"/>
    </row>
    <row r="3367" ht="21.0" customHeight="1">
      <c r="A3367" s="6">
        <v>1.0</v>
      </c>
      <c r="B3367" s="6">
        <v>258.0</v>
      </c>
      <c r="C3367" s="6">
        <v>3.0</v>
      </c>
      <c r="D3367" s="15" t="s">
        <v>5512</v>
      </c>
      <c r="E3367" s="9" t="s">
        <v>5513</v>
      </c>
      <c r="F3367" s="8" t="str">
        <f>IFERROR(__xludf.DUMMYFUNCTION("GOOGLETRANSLATE(D3367,""zh-CN"",""vi"")"),"Viên thuốc cam thảo")</f>
        <v>Viên thuốc cam thảo</v>
      </c>
      <c r="G3367" s="8" t="str">
        <f>IFERROR(__xludf.DUMMYFUNCTION("GOOGLETRANSLATE(E3367,""zh-CN"",""vi"")"),"Nó có tác dụng bổ khí, tăng cường chức năng tỳ vị, điều hòa trung tiêu và giảm co thắt. Nó được tổng hợp để thu được quả la hán.")</f>
        <v>Nó có tác dụng bổ khí, tăng cường chức năng tỳ vị, điều hòa trung tiêu và giảm co thắt. Nó được tổng hợp để thu được quả la hán.</v>
      </c>
      <c r="H3367" s="8"/>
      <c r="I3367" s="8"/>
      <c r="J3367" s="8"/>
    </row>
    <row r="3368" ht="21.0" customHeight="1">
      <c r="A3368" s="6">
        <v>1.0</v>
      </c>
      <c r="B3368" s="6">
        <v>258.0</v>
      </c>
      <c r="C3368" s="6">
        <v>4.0</v>
      </c>
      <c r="D3368" s="15" t="s">
        <v>5514</v>
      </c>
      <c r="E3368" s="9" t="s">
        <v>5515</v>
      </c>
      <c r="F3368" s="8" t="str">
        <f>IFERROR(__xludf.DUMMYFUNCTION("GOOGLETRANSLATE(D3368,""zh-CN"",""vi"")"),"Quả la hán")</f>
        <v>Quả la hán</v>
      </c>
      <c r="G3368" s="8" t="str">
        <f>IFERROR(__xludf.DUMMYFUNCTION("GOOGLETRANSLATE(E3368,""zh-CN"",""vi"")"),"Nó có tác dụng thanh nhiệt, làm ẩm phổi, làm dịu cổ họng và cải thiện giọng nói. (Hibiscus syriacus là một loại thảo dược tổng hợp).")</f>
        <v>Nó có tác dụng thanh nhiệt, làm ẩm phổi, làm dịu cổ họng và cải thiện giọng nói. (Hibiscus syriacus là một loại thảo dược tổng hợp).</v>
      </c>
      <c r="H3368" s="8"/>
      <c r="I3368" s="8"/>
      <c r="J3368" s="8"/>
    </row>
    <row r="3369" ht="21.0" customHeight="1">
      <c r="A3369" s="6">
        <v>1.0</v>
      </c>
      <c r="B3369" s="6">
        <v>258.0</v>
      </c>
      <c r="C3369" s="6">
        <v>5.0</v>
      </c>
      <c r="D3369" s="15" t="s">
        <v>5516</v>
      </c>
      <c r="E3369" s="9" t="s">
        <v>5517</v>
      </c>
      <c r="F3369" s="8" t="str">
        <f>IFERROR(__xludf.DUMMYFUNCTION("GOOGLETRANSLATE(D3369,""zh-CN"",""vi"")"),"Hoa dâm bụt")</f>
        <v>Hoa dâm bụt</v>
      </c>
      <c r="G3369" s="8" t="str">
        <f>IFERROR(__xludf.DUMMYFUNCTION("GOOGLETRANSLATE(E3369,""zh-CN"",""vi"")"),"Nó có tác dụng thanh nhiệt, lợi tiểu, kháng khuẩn và chống viêm. Tinh dầu bergamot được tổng hợp từ nó.")</f>
        <v>Nó có tác dụng thanh nhiệt, lợi tiểu, kháng khuẩn và chống viêm. Tinh dầu bergamot được tổng hợp từ nó.</v>
      </c>
      <c r="H3369" s="8"/>
      <c r="I3369" s="8"/>
      <c r="J3369" s="8"/>
    </row>
    <row r="3370" ht="21.0" customHeight="1">
      <c r="A3370" s="6">
        <v>1.0</v>
      </c>
      <c r="B3370" s="6">
        <v>258.0</v>
      </c>
      <c r="C3370" s="6">
        <v>6.0</v>
      </c>
      <c r="D3370" s="15" t="s">
        <v>5518</v>
      </c>
      <c r="E3370" s="9" t="s">
        <v>5519</v>
      </c>
      <c r="F3370" s="8" t="str">
        <f>IFERROR(__xludf.DUMMYFUNCTION("GOOGLETRANSLATE(D3370,""zh-CN"",""vi"")"),"cam bergamot")</f>
        <v>cam bergamot</v>
      </c>
      <c r="G3370" s="8" t="str">
        <f>IFERROR(__xludf.DUMMYFUNCTION("GOOGLETRANSLATE(E3370,""zh-CN"",""vi"")"),"Nó làm dịu gan và giảm chứng trầm cảm, làm khô ẩm và tiêu đờm. Táo đỏ được tổng hợp từ chúng.")</f>
        <v>Nó làm dịu gan và giảm chứng trầm cảm, làm khô ẩm và tiêu đờm. Táo đỏ được tổng hợp từ chúng.</v>
      </c>
      <c r="H3370" s="8"/>
      <c r="I3370" s="8"/>
      <c r="J3370" s="8"/>
    </row>
    <row r="3371" ht="21.0" customHeight="1">
      <c r="A3371" s="6">
        <v>1.0</v>
      </c>
      <c r="B3371" s="6">
        <v>258.0</v>
      </c>
      <c r="C3371" s="6">
        <v>7.0</v>
      </c>
      <c r="D3371" s="15" t="s">
        <v>5520</v>
      </c>
      <c r="E3371" s="9" t="s">
        <v>5521</v>
      </c>
      <c r="F3371" s="8" t="str">
        <f>IFERROR(__xludf.DUMMYFUNCTION("GOOGLETRANSLATE(D3371,""zh-CN"",""vi"")"),"chà là đỏ")</f>
        <v>chà là đỏ</v>
      </c>
      <c r="G3371" s="8" t="str">
        <f>IFERROR(__xludf.DUMMYFUNCTION("GOOGLETRANSLATE(E3371,""zh-CN"",""vi"")"),"Nó bổ sung khí huyết và làm dịu tâm trí. Hoa kim ngân được thu 얻 thông qua quá trình tổng hợp.")</f>
        <v>Nó bổ sung khí huyết và làm dịu tâm trí. Hoa kim ngân được thu 얻 thông qua quá trình tổng hợp.</v>
      </c>
      <c r="H3371" s="8"/>
      <c r="I3371" s="8"/>
      <c r="J3371" s="8"/>
    </row>
    <row r="3372" ht="21.0" customHeight="1">
      <c r="A3372" s="6">
        <v>1.0</v>
      </c>
      <c r="B3372" s="6">
        <v>258.0</v>
      </c>
      <c r="C3372" s="6">
        <v>8.0</v>
      </c>
      <c r="D3372" s="15" t="s">
        <v>5522</v>
      </c>
      <c r="E3372" s="9" t="s">
        <v>5523</v>
      </c>
      <c r="F3372" s="8" t="str">
        <f>IFERROR(__xludf.DUMMYFUNCTION("GOOGLETRANSLATE(D3372,""zh-CN"",""vi"")"),"cây kim ngân hoa")</f>
        <v>cây kim ngân hoa</v>
      </c>
      <c r="G3372" s="8" t="str">
        <f>IFERROR(__xludf.DUMMYFUNCTION("GOOGLETRANSLATE(E3372,""zh-CN"",""vi"")"),"Nó có tác dụng thanh nhiệt, giải độc, giảm viêm và sưng. Polygonatum sibiricum được tổng hợp từ nó.")</f>
        <v>Nó có tác dụng thanh nhiệt, giải độc, giảm viêm và sưng. Polygonatum sibiricum được tổng hợp từ nó.</v>
      </c>
      <c r="H3372" s="8"/>
      <c r="I3372" s="8"/>
      <c r="J3372" s="8"/>
    </row>
    <row r="3373" ht="21.0" customHeight="1">
      <c r="A3373" s="6">
        <v>1.0</v>
      </c>
      <c r="B3373" s="6">
        <v>258.0</v>
      </c>
      <c r="C3373" s="6">
        <v>9.0</v>
      </c>
      <c r="D3373" s="15" t="s">
        <v>5524</v>
      </c>
      <c r="E3373" s="9" t="s">
        <v>5525</v>
      </c>
      <c r="F3373" s="8" t="str">
        <f>IFERROR(__xludf.DUMMYFUNCTION("GOOGLETRANSLATE(D3373,""zh-CN"",""vi"")"),"đa giác")</f>
        <v>đa giác</v>
      </c>
      <c r="G3373" s="8" t="str">
        <f>IFERROR(__xludf.DUMMYFUNCTION("GOOGLETRANSLATE(E3373,""zh-CN"",""vi"")"),"Nó bổ sung khí, dưỡng âm, tăng cường chức năng lá lách và làm ẩm phổi. Hoa sen được tổng hợp từ hoa sen.")</f>
        <v>Nó bổ sung khí, dưỡng âm, tăng cường chức năng lá lách và làm ẩm phổi. Hoa sen được tổng hợp từ hoa sen.</v>
      </c>
      <c r="H3373" s="8"/>
      <c r="I3373" s="8"/>
      <c r="J3373" s="8"/>
    </row>
    <row r="3374" ht="21.0" customHeight="1">
      <c r="A3374" s="6">
        <v>1.0</v>
      </c>
      <c r="B3374" s="6">
        <v>258.0</v>
      </c>
      <c r="C3374" s="6">
        <v>10.0</v>
      </c>
      <c r="D3374" s="15" t="s">
        <v>5526</v>
      </c>
      <c r="E3374" s="9" t="s">
        <v>5527</v>
      </c>
      <c r="F3374" s="8" t="str">
        <f>IFERROR(__xludf.DUMMYFUNCTION("GOOGLETRANSLATE(D3374,""zh-CN"",""vi"")"),"hoa sen")</f>
        <v>hoa sen</v>
      </c>
      <c r="G3374" s="8" t="str">
        <f>IFERROR(__xludf.DUMMYFUNCTION("GOOGLETRANSLATE(E3374,""zh-CN"",""vi"")"),"Nó thúc đẩy tuần hoàn máu, cầm máu, trừ thấp khí. Tiêu Tứ Xuyên được chế biến từ nó.")</f>
        <v>Nó thúc đẩy tuần hoàn máu, cầm máu, trừ thấp khí. Tiêu Tứ Xuyên được chế biến từ nó.</v>
      </c>
      <c r="H3374" s="8"/>
      <c r="I3374" s="8"/>
      <c r="J3374" s="8"/>
    </row>
    <row r="3375" ht="21.0" customHeight="1">
      <c r="A3375" s="6">
        <v>1.0</v>
      </c>
      <c r="B3375" s="6">
        <v>258.0</v>
      </c>
      <c r="C3375" s="6">
        <v>11.0</v>
      </c>
      <c r="D3375" s="15" t="s">
        <v>5528</v>
      </c>
      <c r="E3375" s="9" t="s">
        <v>5529</v>
      </c>
      <c r="F3375" s="8" t="str">
        <f>IFERROR(__xludf.DUMMYFUNCTION("GOOGLETRANSLATE(D3375,""zh-CN"",""vi"")"),"hạt tiêu Tứ Xuyên")</f>
        <v>hạt tiêu Tứ Xuyên</v>
      </c>
      <c r="G3375" s="8" t="str">
        <f>IFERROR(__xludf.DUMMYFUNCTION("GOOGLETRANSLATE(E3375,""zh-CN"",""vi"")"),"Nó đi vào phổi để tán hàn và đi vào tỳ vị để trừ thấp. Quá trình này được sử dụng để tổng hợp Atractylodes macrocephala.")</f>
        <v>Nó đi vào phổi để tán hàn và đi vào tỳ vị để trừ thấp. Quá trình này được sử dụng để tổng hợp Atractylodes macrocephala.</v>
      </c>
      <c r="H3375" s="8"/>
      <c r="I3375" s="8"/>
      <c r="J3375" s="8"/>
    </row>
    <row r="3376" ht="21.0" customHeight="1">
      <c r="A3376" s="6">
        <v>1.0</v>
      </c>
      <c r="B3376" s="6">
        <v>258.0</v>
      </c>
      <c r="C3376" s="6">
        <v>12.0</v>
      </c>
      <c r="D3376" s="15" t="s">
        <v>5530</v>
      </c>
      <c r="E3376" s="9" t="s">
        <v>5531</v>
      </c>
      <c r="F3376" s="8" t="str">
        <f>IFERROR(__xludf.DUMMYFUNCTION("GOOGLETRANSLATE(D3376,""zh-CN"",""vi"")"),"Atractylodes macrocephala")</f>
        <v>Atractylodes macrocephala</v>
      </c>
      <c r="G3376" s="8" t="str">
        <f>IFERROR(__xludf.DUMMYFUNCTION("GOOGLETRANSLATE(E3376,""zh-CN"",""vi"")"),"Nó giúp tăng cường chức năng lá lách, bổ sung khí huyết, làm khô ẩm và lợi tiểu. Nhân sâm được tổng hợp từ nó.")</f>
        <v>Nó giúp tăng cường chức năng lá lách, bổ sung khí huyết, làm khô ẩm và lợi tiểu. Nhân sâm được tổng hợp từ nó.</v>
      </c>
      <c r="H3376" s="8"/>
      <c r="I3376" s="8"/>
      <c r="J3376" s="8"/>
    </row>
    <row r="3377" ht="21.0" customHeight="1">
      <c r="A3377" s="6">
        <v>1.0</v>
      </c>
      <c r="B3377" s="6">
        <v>258.0</v>
      </c>
      <c r="C3377" s="6">
        <v>13.0</v>
      </c>
      <c r="D3377" s="15" t="s">
        <v>5532</v>
      </c>
      <c r="E3377" s="9" t="s">
        <v>5533</v>
      </c>
      <c r="F3377" s="8" t="str">
        <f>IFERROR(__xludf.DUMMYFUNCTION("GOOGLETRANSLATE(D3377,""zh-CN"",""vi"")"),"Nhân sâm")</f>
        <v>Nhân sâm</v>
      </c>
      <c r="G3377" s="8" t="str">
        <f>IFERROR(__xludf.DUMMYFUNCTION("GOOGLETRANSLATE(E3377,""zh-CN"",""vi"")"),"Sản phẩm này giúp bổ sung dồi dào sinh lực và tăng cường chức năng lá lách. Nó đã được tổng hợp ở mức độ cao nhất.")</f>
        <v>Sản phẩm này giúp bổ sung dồi dào sinh lực và tăng cường chức năng lá lách. Nó đã được tổng hợp ở mức độ cao nhất.</v>
      </c>
      <c r="H3377" s="8"/>
      <c r="I3377" s="8"/>
      <c r="J3377" s="8"/>
    </row>
    <row r="3378" ht="21.0" customHeight="1">
      <c r="A3378" s="6">
        <v>1.0</v>
      </c>
      <c r="B3378" s="6">
        <v>259.0</v>
      </c>
      <c r="C3378" s="6">
        <v>1.0</v>
      </c>
      <c r="D3378" s="15" t="s">
        <v>5534</v>
      </c>
      <c r="E3378" s="9" t="s">
        <v>5535</v>
      </c>
      <c r="F3378" s="8" t="str">
        <f>IFERROR(__xludf.DUMMYFUNCTION("GOOGLETRANSLATE(D3378,""zh-CN"",""vi"")"),"Một thìa quả kỷ tử")</f>
        <v>Một thìa quả kỷ tử</v>
      </c>
      <c r="G3378" s="8" t="str">
        <f>IFERROR(__xludf.DUMMYFUNCTION("GOOGLETRANSLATE(E3378,""zh-CN"",""vi"")"),"Nó thường được dùng làm nguyên liệu trong các món ăn. Quá trình chế biến sẽ tạo ra món ăn làm từ quả sen.")</f>
        <v>Nó thường được dùng làm nguyên liệu trong các món ăn. Quá trình chế biến sẽ tạo ra món ăn làm từ quả sen.</v>
      </c>
      <c r="H3378" s="8"/>
      <c r="I3378" s="8"/>
      <c r="J3378" s="8"/>
    </row>
    <row r="3379" ht="21.0" customHeight="1">
      <c r="A3379" s="6">
        <v>1.0</v>
      </c>
      <c r="B3379" s="6">
        <v>259.0</v>
      </c>
      <c r="C3379" s="6">
        <v>2.0</v>
      </c>
      <c r="D3379" s="78" t="s">
        <v>5536</v>
      </c>
      <c r="E3379" s="9" t="s">
        <v>5537</v>
      </c>
      <c r="F3379" s="8" t="str">
        <f>IFERROR(__xludf.DUMMYFUNCTION("GOOGLETRANSLATE(D3379,""zh-CN"",""vi"")"),"Một đĩa hạt sen")</f>
        <v>Một đĩa hạt sen</v>
      </c>
      <c r="G3379" s="8" t="str">
        <f>IFERROR(__xludf.DUMMYFUNCTION("GOOGLETRANSLATE(E3379,""zh-CN"",""vi"")"),"Có thể ăn như một món ăn nhẹ. Kết hợp chúng lại để có một đĩa củ sen.")</f>
        <v>Có thể ăn như một món ăn nhẹ. Kết hợp chúng lại để có một đĩa củ sen.</v>
      </c>
      <c r="H3379" s="8"/>
      <c r="I3379" s="8"/>
      <c r="J3379" s="8"/>
    </row>
    <row r="3380" ht="21.0" customHeight="1">
      <c r="A3380" s="6">
        <v>1.0</v>
      </c>
      <c r="B3380" s="6">
        <v>259.0</v>
      </c>
      <c r="C3380" s="6">
        <v>3.0</v>
      </c>
      <c r="D3380" s="15" t="s">
        <v>5538</v>
      </c>
      <c r="E3380" s="9" t="s">
        <v>5539</v>
      </c>
      <c r="F3380" s="8" t="str">
        <f>IFERROR(__xludf.DUMMYFUNCTION("GOOGLETRANSLATE(D3380,""zh-CN"",""vi"")"),"Một đĩa củ sen thái lát")</f>
        <v>Một đĩa củ sen thái lát</v>
      </c>
      <c r="G3380" s="8" t="str">
        <f>IFERROR(__xludf.DUMMYFUNCTION("GOOGLETRANSLATE(E3380,""zh-CN"",""vi"")"),"Một món khai vị tuyệt vời trước bữa ăn. Chế tạo để có được Trà sữa hoa hồng tốt cho sức khỏe.")</f>
        <v>Một món khai vị tuyệt vời trước bữa ăn. Chế tạo để có được Trà sữa hoa hồng tốt cho sức khỏe.</v>
      </c>
      <c r="H3380" s="8"/>
      <c r="I3380" s="8"/>
      <c r="J3380" s="8"/>
    </row>
    <row r="3381" ht="21.0" customHeight="1">
      <c r="A3381" s="6">
        <v>1.0</v>
      </c>
      <c r="B3381" s="6">
        <v>259.0</v>
      </c>
      <c r="C3381" s="6">
        <v>4.0</v>
      </c>
      <c r="D3381" s="15" t="s">
        <v>5540</v>
      </c>
      <c r="E3381" s="9" t="s">
        <v>5541</v>
      </c>
      <c r="F3381" s="8" t="str">
        <f>IFERROR(__xludf.DUMMYFUNCTION("GOOGLETRANSLATE(D3381,""zh-CN"",""vi"")"),"Trà sữa hoa hồng tốt cho sức khỏe")</f>
        <v>Trà sữa hoa hồng tốt cho sức khỏe</v>
      </c>
      <c r="G3381" s="8" t="str">
        <f>IFERROR(__xludf.DUMMYFUNCTION("GOOGLETRANSLATE(E3381,""zh-CN"",""vi"")"),"Trà sữa thảo mộc vừa ngon miệng lại vừa tốt cho sức khỏe! (Có thể dùng kèm để làm cháo măng khô.)")</f>
        <v>Trà sữa thảo mộc vừa ngon miệng lại vừa tốt cho sức khỏe! (Có thể dùng kèm để làm cháo măng khô.)</v>
      </c>
      <c r="H3381" s="8"/>
      <c r="I3381" s="8"/>
      <c r="J3381" s="8"/>
    </row>
    <row r="3382" ht="21.0" customHeight="1">
      <c r="A3382" s="6">
        <v>1.0</v>
      </c>
      <c r="B3382" s="6">
        <v>259.0</v>
      </c>
      <c r="C3382" s="6">
        <v>5.0</v>
      </c>
      <c r="D3382" s="15" t="s">
        <v>5542</v>
      </c>
      <c r="E3382" s="9" t="s">
        <v>5543</v>
      </c>
      <c r="F3382" s="8" t="str">
        <f>IFERROR(__xludf.DUMMYFUNCTION("GOOGLETRANSLATE(D3382,""zh-CN"",""vi"")"),"Cháo măng")</f>
        <v>Cháo măng</v>
      </c>
      <c r="G3382" s="8" t="str">
        <f>IFERROR(__xludf.DUMMYFUNCTION("GOOGLETRANSLATE(E3382,""zh-CN"",""vi"")"),"Khi bạn có dạ dày nhạy cảm, bạn có thể ăn những thực phẩm này để giúp điều hòa dạ dày. Kết hợp chúng để làm cháo đậu đỏ và lúa mạch.")</f>
        <v>Khi bạn có dạ dày nhạy cảm, bạn có thể ăn những thực phẩm này để giúp điều hòa dạ dày. Kết hợp chúng để làm cháo đậu đỏ và lúa mạch.</v>
      </c>
      <c r="H3382" s="8"/>
      <c r="I3382" s="8"/>
      <c r="J3382" s="8"/>
    </row>
    <row r="3383" ht="21.0" customHeight="1">
      <c r="A3383" s="6">
        <v>1.0</v>
      </c>
      <c r="B3383" s="6">
        <v>259.0</v>
      </c>
      <c r="C3383" s="6">
        <v>6.0</v>
      </c>
      <c r="D3383" s="79" t="s">
        <v>5544</v>
      </c>
      <c r="E3383" s="9" t="s">
        <v>5545</v>
      </c>
      <c r="F3383" s="8" t="str">
        <f>IFERROR(__xludf.DUMMYFUNCTION("GOOGLETRANSLATE(D3383,""zh-CN"",""vi"")"),"Cháo đậu đỏ và lúa mạch")</f>
        <v>Cháo đậu đỏ và lúa mạch</v>
      </c>
      <c r="G3383" s="8" t="str">
        <f>IFERROR(__xludf.DUMMYFUNCTION("GOOGLETRANSLATE(E3383,""zh-CN"",""vi"")"),"Nó có tác dụng bồi bổ khí huyết. Có thể dùng để nấu canh nấm rừng.")</f>
        <v>Nó có tác dụng bồi bổ khí huyết. Có thể dùng để nấu canh nấm rừng.</v>
      </c>
      <c r="H3383" s="8"/>
      <c r="I3383" s="8"/>
      <c r="J3383" s="8"/>
    </row>
    <row r="3384" ht="21.0" customHeight="1">
      <c r="A3384" s="6">
        <v>1.0</v>
      </c>
      <c r="B3384" s="6">
        <v>259.0</v>
      </c>
      <c r="C3384" s="6">
        <v>7.0</v>
      </c>
      <c r="D3384" s="78" t="s">
        <v>5546</v>
      </c>
      <c r="E3384" s="9" t="s">
        <v>5547</v>
      </c>
      <c r="F3384" s="8" t="str">
        <f>IFERROR(__xludf.DUMMYFUNCTION("GOOGLETRANSLATE(D3384,""zh-CN"",""vi"")"),"Súp nấm rừng")</f>
        <v>Súp nấm rừng</v>
      </c>
      <c r="G3384" s="8" t="str">
        <f>IFERROR(__xludf.DUMMYFUNCTION("GOOGLETRANSLATE(E3384,""zh-CN"",""vi"")"),"Một bát súp ngon còn hơn cả bất kỳ món ngon nào! Kết hợp các nguyên liệu để có được Súp hoạt huyết táo đỏ.")</f>
        <v>Một bát súp ngon còn hơn cả bất kỳ món ngon nào! Kết hợp các nguyên liệu để có được Súp hoạt huyết táo đỏ.</v>
      </c>
      <c r="H3384" s="8"/>
      <c r="I3384" s="8"/>
      <c r="J3384" s="8"/>
    </row>
    <row r="3385" ht="21.0" customHeight="1">
      <c r="A3385" s="6">
        <v>1.0</v>
      </c>
      <c r="B3385" s="6">
        <v>259.0</v>
      </c>
      <c r="C3385" s="6">
        <v>8.0</v>
      </c>
      <c r="D3385" s="78" t="s">
        <v>5548</v>
      </c>
      <c r="E3385" s="9" t="s">
        <v>5549</v>
      </c>
      <c r="F3385" s="8" t="str">
        <f>IFERROR(__xludf.DUMMYFUNCTION("GOOGLETRANSLATE(D3385,""zh-CN"",""vi"")"),"Súp bổ máu với táo đỏ")</f>
        <v>Súp bổ máu với táo đỏ</v>
      </c>
      <c r="G3385" s="8" t="str">
        <f>IFERROR(__xludf.DUMMYFUNCTION("GOOGLETRANSLATE(E3385,""zh-CN"",""vi"")"),"Bổ huyết và khí, duy trì sức khỏe. Tổng hợp để thu được súp nấm cục, hạt sen và kỷ tử.")</f>
        <v>Bổ huyết và khí, duy trì sức khỏe. Tổng hợp để thu được súp nấm cục, hạt sen và kỷ tử.</v>
      </c>
      <c r="H3385" s="8"/>
      <c r="I3385" s="8"/>
      <c r="J3385" s="8"/>
    </row>
    <row r="3386" ht="21.0" customHeight="1">
      <c r="A3386" s="6">
        <v>1.0</v>
      </c>
      <c r="B3386" s="6">
        <v>259.0</v>
      </c>
      <c r="C3386" s="6">
        <v>9.0</v>
      </c>
      <c r="D3386" s="78" t="s">
        <v>5550</v>
      </c>
      <c r="E3386" s="9" t="s">
        <v>5551</v>
      </c>
      <c r="F3386" s="8" t="str">
        <f>IFERROR(__xludf.DUMMYFUNCTION("GOOGLETRANSLATE(D3386,""zh-CN"",""vi"")"),"Súp nấm cục, hạt sen và kỷ tử")</f>
        <v>Súp nấm cục, hạt sen và kỷ tử</v>
      </c>
      <c r="G3386" s="8" t="str">
        <f>IFERROR(__xludf.DUMMYFUNCTION("GOOGLETRANSLATE(E3386,""zh-CN"",""vi"")"),"Bổ dưỡng, thơm ngon và tốt cho sức khỏe! Kết hợp các nguyên liệu để có được Súp Củ Solomon, Củ Hoa Huệ và Dừa.")</f>
        <v>Bổ dưỡng, thơm ngon và tốt cho sức khỏe! Kết hợp các nguyên liệu để có được Súp Củ Solomon, Củ Hoa Huệ và Dừa.</v>
      </c>
      <c r="H3386" s="8"/>
      <c r="I3386" s="8"/>
      <c r="J3386" s="8"/>
    </row>
    <row r="3387" ht="21.0" customHeight="1">
      <c r="A3387" s="6">
        <v>1.0</v>
      </c>
      <c r="B3387" s="6">
        <v>259.0</v>
      </c>
      <c r="C3387" s="6">
        <v>10.0</v>
      </c>
      <c r="D3387" s="78" t="s">
        <v>5552</v>
      </c>
      <c r="E3387" s="9" t="s">
        <v>5553</v>
      </c>
      <c r="F3387" s="8" t="str">
        <f>IFERROR(__xludf.DUMMYFUNCTION("GOOGLETRANSLATE(D3387,""zh-CN"",""vi"")"),"Súp từ củ hoa huệ và cây Solomon's Seal")</f>
        <v>Súp từ củ hoa huệ và cây Solomon's Seal</v>
      </c>
      <c r="G3387" s="8" t="str">
        <f>IFERROR(__xludf.DUMMYFUNCTION("GOOGLETRANSLATE(E3387,""zh-CN"",""vi"")"),"Hương vị cực kỳ thơm ngon, tuyệt vời! (Được chế biến để tạo ra món hầm sườn heo với ô liu, củ cải trắng)")</f>
        <v>Hương vị cực kỳ thơm ngon, tuyệt vời! (Được chế biến để tạo ra món hầm sườn heo với ô liu, củ cải trắng)</v>
      </c>
      <c r="H3387" s="8"/>
      <c r="I3387" s="8"/>
      <c r="J3387" s="8"/>
    </row>
    <row r="3388" ht="21.0" customHeight="1">
      <c r="A3388" s="6">
        <v>1.0</v>
      </c>
      <c r="B3388" s="6">
        <v>259.0</v>
      </c>
      <c r="C3388" s="6">
        <v>11.0</v>
      </c>
      <c r="D3388" s="78" t="s">
        <v>5554</v>
      </c>
      <c r="E3388" s="9" t="s">
        <v>5555</v>
      </c>
      <c r="F3388" s="8" t="str">
        <f>IFERROR(__xludf.DUMMYFUNCTION("GOOGLETRANSLATE(D3388,""zh-CN"",""vi"")"),"Súp ô liu, củ cải trắng và sườn heo")</f>
        <v>Súp ô liu, củ cải trắng và sườn heo</v>
      </c>
      <c r="G3388" s="8" t="str">
        <f>IFERROR(__xludf.DUMMYFUNCTION("GOOGLETRANSLATE(E3388,""zh-CN"",""vi"")"),"Nó có mùi thơm tuyệt vời, giúp xương khớp chắc khỏe và vô cùng bổ dưỡng. Kết hợp với các nguyên liệu khác để tạo thành món Lẩu bắp sườn vàng.")</f>
        <v>Nó có mùi thơm tuyệt vời, giúp xương khớp chắc khỏe và vô cùng bổ dưỡng. Kết hợp với các nguyên liệu khác để tạo thành món Lẩu bắp sườn vàng.</v>
      </c>
      <c r="H3388" s="8"/>
      <c r="I3388" s="8"/>
      <c r="J3388" s="8"/>
    </row>
    <row r="3389" ht="21.0" customHeight="1">
      <c r="A3389" s="6">
        <v>1.0</v>
      </c>
      <c r="B3389" s="6">
        <v>259.0</v>
      </c>
      <c r="C3389" s="6">
        <v>12.0</v>
      </c>
      <c r="D3389" s="78" t="s">
        <v>5556</v>
      </c>
      <c r="E3389" s="9" t="s">
        <v>5557</v>
      </c>
      <c r="F3389" s="8" t="str">
        <f>IFERROR(__xludf.DUMMYFUNCTION("GOOGLETRANSLATE(D3389,""zh-CN"",""vi"")"),"Súp vàng ngô và sườn heo")</f>
        <v>Súp vàng ngô và sườn heo</v>
      </c>
      <c r="G3389" s="8" t="str">
        <f>IFERROR(__xludf.DUMMYFUNCTION("GOOGLETRANSLATE(E3389,""zh-CN"",""vi"")"),"Nước dùng vàng óng, khi chạm vào lưỡi, ngon tuyệt vời! Kết hợp các nguyên liệu để có món hầm sừng hươu, nấm và thịt cừu.")</f>
        <v>Nước dùng vàng óng, khi chạm vào lưỡi, ngon tuyệt vời! Kết hợp các nguyên liệu để có món hầm sừng hươu, nấm và thịt cừu.</v>
      </c>
      <c r="H3389" s="8"/>
      <c r="I3389" s="8"/>
      <c r="J3389" s="8"/>
    </row>
    <row r="3390" ht="21.0" customHeight="1">
      <c r="A3390" s="6">
        <v>1.0</v>
      </c>
      <c r="B3390" s="6">
        <v>259.0</v>
      </c>
      <c r="C3390" s="6">
        <v>13.0</v>
      </c>
      <c r="D3390" s="78" t="s">
        <v>5558</v>
      </c>
      <c r="E3390" s="9" t="s">
        <v>5559</v>
      </c>
      <c r="F3390" s="8" t="str">
        <f>IFERROR(__xludf.DUMMYFUNCTION("GOOGLETRANSLATE(D3390,""zh-CN"",""vi"")"),"Món hầm sừng hươu, nấm và thịt cừu")</f>
        <v>Món hầm sừng hươu, nấm và thịt cừu</v>
      </c>
      <c r="G3390" s="8" t="str">
        <f>IFERROR(__xludf.DUMMYFUNCTION("GOOGLETRANSLATE(E3390,""zh-CN"",""vi"")"),"Món súp nấm tươi ngon tuyệt vời, kết hợp với thịt cừu mềm và đậm đà hương vị, quả là một món ăn thượng hạng! (Đã được chế biến theo tiêu chuẩn cao nhất.)")</f>
        <v>Món súp nấm tươi ngon tuyệt vời, kết hợp với thịt cừu mềm và đậm đà hương vị, quả là một món ăn thượng hạng! (Đã được chế biến theo tiêu chuẩn cao nhất.)</v>
      </c>
      <c r="H3390" s="8"/>
      <c r="I3390" s="8"/>
      <c r="J3390" s="8"/>
    </row>
    <row r="3391" ht="21.0" customHeight="1">
      <c r="A3391" s="6">
        <v>11.0</v>
      </c>
      <c r="B3391" s="6">
        <v>1076.0</v>
      </c>
      <c r="C3391" s="6">
        <v>1.0</v>
      </c>
      <c r="D3391" s="15" t="s">
        <v>5560</v>
      </c>
      <c r="E3391" s="9" t="s">
        <v>5561</v>
      </c>
      <c r="F3391" s="8" t="str">
        <f>IFERROR(__xludf.DUMMYFUNCTION("GOOGLETRANSLATE(D3391,""zh-CN"",""vi"")"),"lư hương nhỏ")</f>
        <v>lư hương nhỏ</v>
      </c>
      <c r="G3391" s="8" t="str">
        <f>IFERROR(__xludf.DUMMYFUNCTION("GOOGLETRANSLATE(E3391,""zh-CN"",""vi"")"),"Hương trầm lan tỏa đến tận tâm hồn. Kết hợp các bộ phận để tạo thành một lư hương thông thường.")</f>
        <v>Hương trầm lan tỏa đến tận tâm hồn. Kết hợp các bộ phận để tạo thành một lư hương thông thường.</v>
      </c>
      <c r="H3391" s="8"/>
      <c r="I3391" s="8"/>
      <c r="J3391" s="8"/>
    </row>
    <row r="3392" ht="21.0" customHeight="1">
      <c r="A3392" s="6">
        <v>11.0</v>
      </c>
      <c r="B3392" s="6">
        <v>1076.0</v>
      </c>
      <c r="C3392" s="6">
        <v>2.0</v>
      </c>
      <c r="D3392" s="15" t="s">
        <v>5562</v>
      </c>
      <c r="E3392" s="9" t="s">
        <v>5563</v>
      </c>
      <c r="F3392" s="8" t="str">
        <f>IFERROR(__xludf.DUMMYFUNCTION("GOOGLETRANSLATE(D3392,""zh-CN"",""vi"")"),"Lư hương thông thường")</f>
        <v>Lư hương thông thường</v>
      </c>
      <c r="G3392" s="8" t="str">
        <f>IFERROR(__xludf.DUMMYFUNCTION("GOOGLETRANSLATE(E3392,""zh-CN"",""vi"")"),"Một thiết kế khá cổ điển. Việc chế tác sẽ tạo ra một lư hương trang nhã.")</f>
        <v>Một thiết kế khá cổ điển. Việc chế tác sẽ tạo ra một lư hương trang nhã.</v>
      </c>
      <c r="H3392" s="8"/>
      <c r="I3392" s="8"/>
      <c r="J3392" s="8"/>
    </row>
    <row r="3393" ht="21.0" customHeight="1">
      <c r="A3393" s="6">
        <v>11.0</v>
      </c>
      <c r="B3393" s="6">
        <v>1076.0</v>
      </c>
      <c r="C3393" s="6">
        <v>3.0</v>
      </c>
      <c r="D3393" s="15" t="s">
        <v>5564</v>
      </c>
      <c r="E3393" s="9" t="s">
        <v>5565</v>
      </c>
      <c r="F3393" s="8" t="str">
        <f>IFERROR(__xludf.DUMMYFUNCTION("GOOGLETRANSLATE(D3393,""zh-CN"",""vi"")"),"Lư hương trang nhã")</f>
        <v>Lư hương trang nhã</v>
      </c>
      <c r="G3393" s="8" t="str">
        <f>IFERROR(__xludf.DUMMYFUNCTION("GOOGLETRANSLATE(E3393,""zh-CN"",""vi"")"),"Một đế bằng gỗ và viền màu vàng đã được thêm vào. Một bàn thờ nhỏ được tạo ra bằng cách kết hợp các yếu tố này.")</f>
        <v>Một đế bằng gỗ và viền màu vàng đã được thêm vào. Một bàn thờ nhỏ được tạo ra bằng cách kết hợp các yếu tố này.</v>
      </c>
      <c r="H3393" s="8"/>
      <c r="I3393" s="8"/>
      <c r="J3393" s="8"/>
    </row>
    <row r="3394" ht="21.0" customHeight="1">
      <c r="A3394" s="6">
        <v>11.0</v>
      </c>
      <c r="B3394" s="6">
        <v>1076.0</v>
      </c>
      <c r="C3394" s="6">
        <v>4.0</v>
      </c>
      <c r="D3394" s="15" t="s">
        <v>5566</v>
      </c>
      <c r="E3394" s="9" t="s">
        <v>5567</v>
      </c>
      <c r="F3394" s="8" t="str">
        <f>IFERROR(__xludf.DUMMYFUNCTION("GOOGLETRANSLATE(D3394,""zh-CN"",""vi"")"),"Bàn cúng nhỏ")</f>
        <v>Bàn cúng nhỏ</v>
      </c>
      <c r="G3394" s="8" t="str">
        <f>IFERROR(__xludf.DUMMYFUNCTION("GOOGLETRANSLATE(E3394,""zh-CN"",""vi"")"),"Không gian này có thể chứa hai đĩa đựng lễ vật. Ghép chúng lại để tạo thành một bàn lễ vật.")</f>
        <v>Không gian này có thể chứa hai đĩa đựng lễ vật. Ghép chúng lại để tạo thành một bàn lễ vật.</v>
      </c>
      <c r="H3394" s="8"/>
      <c r="I3394" s="8"/>
      <c r="J3394" s="8"/>
    </row>
    <row r="3395" ht="21.0" customHeight="1">
      <c r="A3395" s="6">
        <v>10.0</v>
      </c>
      <c r="B3395" s="6">
        <v>1076.0</v>
      </c>
      <c r="C3395" s="6">
        <v>5.0</v>
      </c>
      <c r="D3395" s="15" t="s">
        <v>5568</v>
      </c>
      <c r="E3395" s="9" t="s">
        <v>5569</v>
      </c>
      <c r="F3395" s="8" t="str">
        <f>IFERROR(__xludf.DUMMYFUNCTION("GOOGLETRANSLATE(D3395,""zh-CN"",""vi"")"),"Bàn dâng lễ")</f>
        <v>Bàn dâng lễ</v>
      </c>
      <c r="G3395" s="8" t="str">
        <f>IFERROR(__xludf.DUMMYFUNCTION("GOOGLETRANSLATE(E3395,""zh-CN"",""vi"")"),"Không gian giờ rộng hơn; bạn có thể thắp hai ngọn nến. Ghép chúng lại để tạo thành một bàn thờ lớn.")</f>
        <v>Không gian giờ rộng hơn; bạn có thể thắp hai ngọn nến. Ghép chúng lại để tạo thành một bàn thờ lớn.</v>
      </c>
      <c r="H3395" s="8"/>
      <c r="I3395" s="8"/>
      <c r="J3395" s="8"/>
    </row>
    <row r="3396" ht="21.0" customHeight="1">
      <c r="A3396" s="6">
        <v>10.0</v>
      </c>
      <c r="B3396" s="6">
        <v>1076.0</v>
      </c>
      <c r="C3396" s="6">
        <v>6.0</v>
      </c>
      <c r="D3396" s="15" t="s">
        <v>5570</v>
      </c>
      <c r="E3396" s="9" t="s">
        <v>5571</v>
      </c>
      <c r="F3396" s="8" t="str">
        <f>IFERROR(__xludf.DUMMYFUNCTION("GOOGLETRANSLATE(D3396,""zh-CN"",""vi"")"),"Bàn dâng lễ vật lớn")</f>
        <v>Bàn dâng lễ vật lớn</v>
      </c>
      <c r="G3396" s="8" t="str">
        <f>IFERROR(__xludf.DUMMYFUNCTION("GOOGLETRANSLATE(E3396,""zh-CN"",""vi"")"),"Các lễ vật đã được thay thế bằng trái cây tươi và các món tráng miệng. Hãy kết hợp chúng để tạo nên một bàn thờ tuyệt đẹp.")</f>
        <v>Các lễ vật đã được thay thế bằng trái cây tươi và các món tráng miệng. Hãy kết hợp chúng để tạo nên một bàn thờ tuyệt đẹp.</v>
      </c>
      <c r="H3396" s="8"/>
      <c r="I3396" s="8"/>
      <c r="J3396" s="8"/>
    </row>
    <row r="3397" ht="21.0" customHeight="1">
      <c r="A3397" s="6">
        <v>10.0</v>
      </c>
      <c r="B3397" s="6">
        <v>1076.0</v>
      </c>
      <c r="C3397" s="6">
        <v>7.0</v>
      </c>
      <c r="D3397" s="15" t="s">
        <v>5572</v>
      </c>
      <c r="E3397" s="9" t="s">
        <v>5573</v>
      </c>
      <c r="F3397" s="8" t="str">
        <f>IFERROR(__xludf.DUMMYFUNCTION("GOOGLETRANSLATE(D3397,""zh-CN"",""vi"")"),"Bàn cúng dường tinh xảo")</f>
        <v>Bàn cúng dường tinh xảo</v>
      </c>
      <c r="G3397" s="8" t="str">
        <f>IFERROR(__xludf.DUMMYFUNCTION("GOOGLETRANSLATE(E3397,""zh-CN"",""vi"")"),"Bên trong điện thờ có một quả bầu bảo vật được đặt trang trọng. Kết hợp chúng lại để tạo thành một ngôi đền nhỏ.")</f>
        <v>Bên trong điện thờ có một quả bầu bảo vật được đặt trang trọng. Kết hợp chúng lại để tạo thành một ngôi đền nhỏ.</v>
      </c>
      <c r="H3397" s="8"/>
      <c r="I3397" s="8"/>
      <c r="J3397" s="8"/>
    </row>
    <row r="3398" ht="21.0" customHeight="1">
      <c r="A3398" s="6">
        <v>10.0</v>
      </c>
      <c r="B3398" s="6">
        <v>1076.0</v>
      </c>
      <c r="C3398" s="6">
        <v>8.0</v>
      </c>
      <c r="D3398" s="15" t="s">
        <v>5574</v>
      </c>
      <c r="E3398" s="9" t="s">
        <v>5575</v>
      </c>
      <c r="F3398" s="8" t="str">
        <f>IFERROR(__xludf.DUMMYFUNCTION("GOOGLETRANSLATE(D3398,""zh-CN"",""vi"")"),"ngôi đền nhỏ")</f>
        <v>ngôi đền nhỏ</v>
      </c>
      <c r="G3398" s="8" t="str">
        <f>IFERROR(__xludf.DUMMYFUNCTION("GOOGLETRANSLATE(E3398,""zh-CN"",""vi"")"),"Một ngôi đền cổ kính yên tĩnh. (Tổng hợp lại để thu hút sự chú ý)")</f>
        <v>Một ngôi đền cổ kính yên tĩnh. (Tổng hợp lại để thu hút sự chú ý)</v>
      </c>
      <c r="H3398" s="8"/>
      <c r="I3398" s="8"/>
      <c r="J3398" s="8"/>
    </row>
    <row r="3399" ht="21.0" customHeight="1">
      <c r="A3399" s="6">
        <v>10.0</v>
      </c>
      <c r="B3399" s="6">
        <v>1076.0</v>
      </c>
      <c r="C3399" s="6">
        <v>9.0</v>
      </c>
      <c r="D3399" s="15" t="s">
        <v>5576</v>
      </c>
      <c r="E3399" s="9" t="s">
        <v>5577</v>
      </c>
      <c r="F3399" s="8" t="str">
        <f>IFERROR(__xludf.DUMMYFUNCTION("GOOGLETRANSLATE(D3399,""zh-CN"",""vi"")"),"Các ngôi đền nổi tiếng")</f>
        <v>Các ngôi đền nổi tiếng</v>
      </c>
      <c r="G3399" s="8" t="str">
        <f>IFERROR(__xludf.DUMMYFUNCTION("GOOGLETRANSLATE(E3399,""zh-CN"",""vi"")"),"Khách hành hương thường xuyên đến thăm. Một ngôi đền tráng lệ được tạo nên nhờ sự tổng hợp hài hòa.")</f>
        <v>Khách hành hương thường xuyên đến thăm. Một ngôi đền tráng lệ được tạo nên nhờ sự tổng hợp hài hòa.</v>
      </c>
      <c r="H3399" s="8"/>
      <c r="I3399" s="8"/>
      <c r="J3399" s="8"/>
    </row>
    <row r="3400" ht="21.0" customHeight="1">
      <c r="A3400" s="6">
        <v>10.0</v>
      </c>
      <c r="B3400" s="6">
        <v>1076.0</v>
      </c>
      <c r="C3400" s="6">
        <v>10.0</v>
      </c>
      <c r="D3400" s="15" t="s">
        <v>5578</v>
      </c>
      <c r="E3400" s="76" t="s">
        <v>5579</v>
      </c>
      <c r="F3400" s="8" t="str">
        <f>IFERROR(__xludf.DUMMYFUNCTION("GOOGLETRANSLATE(D3400,""zh-CN"",""vi"")"),"Những ngôi đền tráng lệ")</f>
        <v>Những ngôi đền tráng lệ</v>
      </c>
      <c r="G3400" s="8" t="str">
        <f>IFERROR(__xludf.DUMMYFUNCTION("GOOGLETRANSLATE(E3400,""zh-CN"",""vi"")"),"Cây cổ thụ lớn phía sau ngôi đền là minh chứng cho sự huy hoàng của nó. (Đã được tổng hợp đến cấp độ cao nhất)")</f>
        <v>Cây cổ thụ lớn phía sau ngôi đền là minh chứng cho sự huy hoàng của nó. (Đã được tổng hợp đến cấp độ cao nhất)</v>
      </c>
      <c r="H3400" s="8"/>
      <c r="I3400" s="8"/>
      <c r="J3400" s="8"/>
    </row>
    <row r="3401" ht="21.0" customHeight="1">
      <c r="A3401" s="6">
        <v>11.0</v>
      </c>
      <c r="B3401" s="6">
        <v>1077.0</v>
      </c>
      <c r="C3401" s="6">
        <v>1.0</v>
      </c>
      <c r="D3401" s="15" t="s">
        <v>5580</v>
      </c>
      <c r="E3401" s="9" t="s">
        <v>5581</v>
      </c>
      <c r="F3401" s="8" t="str">
        <f>IFERROR(__xludf.DUMMYFUNCTION("GOOGLETRANSLATE(D3401,""zh-CN"",""vi"")"),"Lư hương nhỏ [V]")</f>
        <v>Lư hương nhỏ [V]</v>
      </c>
      <c r="G3401" s="8" t="str">
        <f>IFERROR(__xludf.DUMMYFUNCTION("GOOGLETRANSLATE(E3401,""zh-CN"",""vi"")"),"Hương trầm lan tỏa trong tâm hồn. Tổng hợp để có được một lư hương thông thường [V].")</f>
        <v>Hương trầm lan tỏa trong tâm hồn. Tổng hợp để có được một lư hương thông thường [V].</v>
      </c>
      <c r="H3401" s="8"/>
      <c r="I3401" s="8"/>
      <c r="J3401" s="8"/>
    </row>
    <row r="3402" ht="21.0" customHeight="1">
      <c r="A3402" s="6">
        <v>11.0</v>
      </c>
      <c r="B3402" s="6">
        <v>1077.0</v>
      </c>
      <c r="C3402" s="6">
        <v>2.0</v>
      </c>
      <c r="D3402" s="15" t="s">
        <v>5582</v>
      </c>
      <c r="E3402" s="9" t="s">
        <v>5583</v>
      </c>
      <c r="F3402" s="8" t="str">
        <f>IFERROR(__xludf.DUMMYFUNCTION("GOOGLETRANSLATE(D3402,""zh-CN"",""vi"")"),"Lư hương thông thường [V]")</f>
        <v>Lư hương thông thường [V]</v>
      </c>
      <c r="G3402" s="8" t="str">
        <f>IFERROR(__xludf.DUMMYFUNCTION("GOOGLETRANSLATE(E3402,""zh-CN"",""vi"")"),"Một thiết kế khá cổ điển. Hãy chế tạo nó để có được Lư hương thanh lịch [V]")</f>
        <v>Một thiết kế khá cổ điển. Hãy chế tạo nó để có được Lư hương thanh lịch [V]</v>
      </c>
      <c r="H3402" s="8"/>
      <c r="I3402" s="8"/>
      <c r="J3402" s="8"/>
    </row>
    <row r="3403" ht="21.0" customHeight="1">
      <c r="A3403" s="6">
        <v>11.0</v>
      </c>
      <c r="B3403" s="6">
        <v>1077.0</v>
      </c>
      <c r="C3403" s="6">
        <v>3.0</v>
      </c>
      <c r="D3403" s="15" t="s">
        <v>5584</v>
      </c>
      <c r="E3403" s="9" t="s">
        <v>5585</v>
      </c>
      <c r="F3403" s="8" t="str">
        <f>IFERROR(__xludf.DUMMYFUNCTION("GOOGLETRANSLATE(D3403,""zh-CN"",""vi"")"),"Lư hương trang nhã [V]")</f>
        <v>Lư hương trang nhã [V]</v>
      </c>
      <c r="G3403" s="8" t="str">
        <f>IFERROR(__xludf.DUMMYFUNCTION("GOOGLETRANSLATE(E3403,""zh-CN"",""vi"")"),"Đã thêm phần đế bằng gỗ và viền màu vàng. Việc chế tác này tạo ra một bàn thờ nhỏ [V].")</f>
        <v>Đã thêm phần đế bằng gỗ và viền màu vàng. Việc chế tác này tạo ra một bàn thờ nhỏ [V].</v>
      </c>
      <c r="H3403" s="8"/>
      <c r="I3403" s="8"/>
      <c r="J3403" s="8"/>
    </row>
    <row r="3404" ht="21.0" customHeight="1">
      <c r="A3404" s="6">
        <v>11.0</v>
      </c>
      <c r="B3404" s="6">
        <v>1077.0</v>
      </c>
      <c r="C3404" s="6">
        <v>4.0</v>
      </c>
      <c r="D3404" s="15" t="s">
        <v>5586</v>
      </c>
      <c r="E3404" s="9" t="s">
        <v>5587</v>
      </c>
      <c r="F3404" s="8" t="str">
        <f>IFERROR(__xludf.DUMMYFUNCTION("GOOGLETRANSLATE(D3404,""zh-CN"",""vi"")"),"Bàn lễ vật nhỏ [V]")</f>
        <v>Bàn lễ vật nhỏ [V]</v>
      </c>
      <c r="G3404" s="8" t="str">
        <f>IFERROR(__xludf.DUMMYFUNCTION("GOOGLETRANSLATE(E3404,""zh-CN"",""vi"")"),"Không gian này có thể chứa hai đĩa cúng. Kết hợp chúng lại để tạo thành một bàn cúng [V].")</f>
        <v>Không gian này có thể chứa hai đĩa cúng. Kết hợp chúng lại để tạo thành một bàn cúng [V].</v>
      </c>
      <c r="H3404" s="8"/>
      <c r="I3404" s="8"/>
      <c r="J3404" s="8"/>
    </row>
    <row r="3405" ht="21.0" customHeight="1">
      <c r="A3405" s="6">
        <v>10.0</v>
      </c>
      <c r="B3405" s="6">
        <v>1077.0</v>
      </c>
      <c r="C3405" s="6">
        <v>5.0</v>
      </c>
      <c r="D3405" s="15" t="s">
        <v>5588</v>
      </c>
      <c r="E3405" s="9" t="s">
        <v>5589</v>
      </c>
      <c r="F3405" s="8" t="str">
        <f>IFERROR(__xludf.DUMMYFUNCTION("GOOGLETRANSLATE(D3405,""zh-CN"",""vi"")"),"Bàn dâng lễ [V]")</f>
        <v>Bàn dâng lễ [V]</v>
      </c>
      <c r="G3405" s="8" t="str">
        <f>IFERROR(__xludf.DUMMYFUNCTION("GOOGLETRANSLATE(E3405,""zh-CN"",""vi"")"),"Không gian giờ rộng hơn; bạn có thể thắp hai ngọn nến. Chế tạo nó để có được một bàn thờ lớn [V].")</f>
        <v>Không gian giờ rộng hơn; bạn có thể thắp hai ngọn nến. Chế tạo nó để có được một bàn thờ lớn [V].</v>
      </c>
      <c r="H3405" s="8"/>
      <c r="I3405" s="8"/>
      <c r="J3405" s="8"/>
    </row>
    <row r="3406" ht="21.0" customHeight="1">
      <c r="A3406" s="6">
        <v>10.0</v>
      </c>
      <c r="B3406" s="6">
        <v>1077.0</v>
      </c>
      <c r="C3406" s="6">
        <v>6.0</v>
      </c>
      <c r="D3406" s="15" t="s">
        <v>5590</v>
      </c>
      <c r="E3406" s="9" t="s">
        <v>5591</v>
      </c>
      <c r="F3406" s="8" t="str">
        <f>IFERROR(__xludf.DUMMYFUNCTION("GOOGLETRANSLATE(D3406,""zh-CN"",""vi"")"),"Bàn dâng lễ vật lớn [V]")</f>
        <v>Bàn dâng lễ vật lớn [V]</v>
      </c>
      <c r="G3406" s="8" t="str">
        <f>IFERROR(__xludf.DUMMYFUNCTION("GOOGLETRANSLATE(E3406,""zh-CN"",""vi"")"),"Các lễ vật đã được thay thế bằng trái cây tươi và món tráng miệng. Hãy tạo nên một bàn thờ tinh xảo [V].")</f>
        <v>Các lễ vật đã được thay thế bằng trái cây tươi và món tráng miệng. Hãy tạo nên một bàn thờ tinh xảo [V].</v>
      </c>
      <c r="H3406" s="8"/>
      <c r="I3406" s="8"/>
      <c r="J3406" s="8"/>
    </row>
    <row r="3407" ht="21.0" customHeight="1">
      <c r="A3407" s="6">
        <v>10.0</v>
      </c>
      <c r="B3407" s="6">
        <v>1077.0</v>
      </c>
      <c r="C3407" s="6">
        <v>7.0</v>
      </c>
      <c r="D3407" s="15" t="s">
        <v>5592</v>
      </c>
      <c r="E3407" s="9" t="s">
        <v>5593</v>
      </c>
      <c r="F3407" s="8" t="str">
        <f>IFERROR(__xludf.DUMMYFUNCTION("GOOGLETRANSLATE(D3407,""zh-CN"",""vi"")"),"Bàn cúng dường tinh xảo [V]")</f>
        <v>Bàn cúng dường tinh xảo [V]</v>
      </c>
      <c r="G3407" s="8" t="str">
        <f>IFERROR(__xludf.DUMMYFUNCTION("GOOGLETRANSLATE(E3407,""zh-CN"",""vi"")"),"Bên trong điện thờ có một bình đựng kho báu. Kết hợp lại để có được một ngôi đền nhỏ [V].")</f>
        <v>Bên trong điện thờ có một bình đựng kho báu. Kết hợp lại để có được một ngôi đền nhỏ [V].</v>
      </c>
      <c r="H3407" s="8"/>
      <c r="I3407" s="8"/>
      <c r="J3407" s="8"/>
    </row>
    <row r="3408" ht="21.0" customHeight="1">
      <c r="A3408" s="6">
        <v>10.0</v>
      </c>
      <c r="B3408" s="6">
        <v>1077.0</v>
      </c>
      <c r="C3408" s="6">
        <v>8.0</v>
      </c>
      <c r="D3408" s="15" t="s">
        <v>5594</v>
      </c>
      <c r="E3408" s="9" t="s">
        <v>5595</v>
      </c>
      <c r="F3408" s="8" t="str">
        <f>IFERROR(__xludf.DUMMYFUNCTION("GOOGLETRANSLATE(D3408,""zh-CN"",""vi"")"),"Ngôi đền nhỏ [V]")</f>
        <v>Ngôi đền nhỏ [V]</v>
      </c>
      <c r="G3408" s="8" t="str">
        <f>IFERROR(__xludf.DUMMYFUNCTION("GOOGLETRANSLATE(E3408,""zh-CN"",""vi"")"),"Một ngôi đền cổ kính yên tĩnh. (Tổng hợp để có được một ngôi đền nổi tiếng [V])")</f>
        <v>Một ngôi đền cổ kính yên tĩnh. (Tổng hợp để có được một ngôi đền nổi tiếng [V])</v>
      </c>
      <c r="H3408" s="8"/>
      <c r="I3408" s="8"/>
      <c r="J3408" s="8"/>
    </row>
    <row r="3409" ht="21.0" customHeight="1">
      <c r="A3409" s="6">
        <v>10.0</v>
      </c>
      <c r="B3409" s="6">
        <v>1077.0</v>
      </c>
      <c r="C3409" s="6">
        <v>9.0</v>
      </c>
      <c r="D3409" s="15" t="s">
        <v>5596</v>
      </c>
      <c r="E3409" s="9" t="s">
        <v>5597</v>
      </c>
      <c r="F3409" s="8" t="str">
        <f>IFERROR(__xludf.DUMMYFUNCTION("GOOGLETRANSLATE(D3409,""zh-CN"",""vi"")"),"Đền thờ nổi tiếng [V]")</f>
        <v>Đền thờ nổi tiếng [V]</v>
      </c>
      <c r="G3409" s="8" t="str">
        <f>IFERROR(__xludf.DUMMYFUNCTION("GOOGLETRANSLATE(E3409,""zh-CN"",""vi"")"),"Những người hành hương thường xuyên đến thăm. Tổng hợp lại để có được một ngôi đền tráng lệ [V]")</f>
        <v>Những người hành hương thường xuyên đến thăm. Tổng hợp lại để có được một ngôi đền tráng lệ [V]</v>
      </c>
      <c r="H3409" s="8"/>
      <c r="I3409" s="8"/>
      <c r="J3409" s="8"/>
    </row>
    <row r="3410" ht="21.0" customHeight="1">
      <c r="A3410" s="6">
        <v>10.0</v>
      </c>
      <c r="B3410" s="6">
        <v>1077.0</v>
      </c>
      <c r="C3410" s="6">
        <v>10.0</v>
      </c>
      <c r="D3410" s="15" t="s">
        <v>5598</v>
      </c>
      <c r="E3410" s="76" t="s">
        <v>5579</v>
      </c>
      <c r="F3410" s="8" t="str">
        <f>IFERROR(__xludf.DUMMYFUNCTION("GOOGLETRANSLATE(D3410,""zh-CN"",""vi"")"),"Những ngôi đền tráng lệ [V]")</f>
        <v>Những ngôi đền tráng lệ [V]</v>
      </c>
      <c r="G3410" s="8" t="str">
        <f>IFERROR(__xludf.DUMMYFUNCTION("GOOGLETRANSLATE(E3410,""zh-CN"",""vi"")"),"Cây cổ thụ lớn phía sau ngôi đền là minh chứng cho sự huy hoàng của nó. (Đã được tổng hợp đến cấp độ cao nhất)")</f>
        <v>Cây cổ thụ lớn phía sau ngôi đền là minh chứng cho sự huy hoàng của nó. (Đã được tổng hợp đến cấp độ cao nhất)</v>
      </c>
      <c r="H3410" s="8"/>
      <c r="I3410" s="8"/>
      <c r="J3410" s="8"/>
    </row>
    <row r="3411" ht="21.0" customHeight="1">
      <c r="A3411" s="6">
        <v>1.0</v>
      </c>
      <c r="B3411" s="6">
        <v>260.0</v>
      </c>
      <c r="C3411" s="6">
        <v>1.0</v>
      </c>
      <c r="D3411" s="9" t="s">
        <v>5599</v>
      </c>
      <c r="E3411" s="9" t="s">
        <v>5600</v>
      </c>
      <c r="F3411" s="8" t="str">
        <f>IFERROR(__xludf.DUMMYFUNCTION("GOOGLETRANSLATE(D3411,""zh-CN"",""vi"")"),"Đồng xu may mắn")</f>
        <v>Đồng xu may mắn</v>
      </c>
      <c r="G3411" s="8" t="str">
        <f>IFERROR(__xludf.DUMMYFUNCTION("GOOGLETRANSLATE(E3411,""zh-CN"",""vi"")"),"Mọi người gửi gắm những hy vọng và ước mơ của mình vào từng đồng xu. Kết hợp chúng lại để tạo thành một móc khóa hình thỏi vàng.")</f>
        <v>Mọi người gửi gắm những hy vọng và ước mơ của mình vào từng đồng xu. Kết hợp chúng lại để tạo thành một móc khóa hình thỏi vàng.</v>
      </c>
      <c r="H3411" s="8"/>
      <c r="I3411" s="8"/>
      <c r="J3411" s="8"/>
    </row>
    <row r="3412" ht="21.0" customHeight="1">
      <c r="A3412" s="6">
        <v>1.0</v>
      </c>
      <c r="B3412" s="6">
        <v>260.0</v>
      </c>
      <c r="C3412" s="6">
        <v>2.0</v>
      </c>
      <c r="D3412" s="9" t="s">
        <v>5601</v>
      </c>
      <c r="E3412" s="9" t="s">
        <v>5602</v>
      </c>
      <c r="F3412" s="8" t="str">
        <f>IFERROR(__xludf.DUMMYFUNCTION("GOOGLETRANSLATE(D3412,""zh-CN"",""vi"")"),"Móc khóa Yuanbao")</f>
        <v>Móc khóa Yuanbao</v>
      </c>
      <c r="G3412" s="8" t="str">
        <f>IFERROR(__xludf.DUMMYFUNCTION("GOOGLETRANSLATE(E3412,""zh-CN"",""vi"")"),"Tôi thực sự muốn làm giàu! Kết hợp các vật phẩm để nhận được phong bao lì xì đỏ may mắn.")</f>
        <v>Tôi thực sự muốn làm giàu! Kết hợp các vật phẩm để nhận được phong bao lì xì đỏ may mắn.</v>
      </c>
      <c r="H3412" s="8"/>
      <c r="I3412" s="8"/>
      <c r="J3412" s="8"/>
    </row>
    <row r="3413" ht="21.0" customHeight="1">
      <c r="A3413" s="6">
        <v>1.0</v>
      </c>
      <c r="B3413" s="6">
        <v>260.0</v>
      </c>
      <c r="C3413" s="6">
        <v>3.0</v>
      </c>
      <c r="D3413" s="9" t="s">
        <v>5603</v>
      </c>
      <c r="E3413" s="9" t="s">
        <v>5604</v>
      </c>
      <c r="F3413" s="8" t="str">
        <f>IFERROR(__xludf.DUMMYFUNCTION("GOOGLETRANSLATE(D3413,""zh-CN"",""vi"")"),"Phong bao lì xì may mắn màu đỏ")</f>
        <v>Phong bao lì xì may mắn màu đỏ</v>
      </c>
      <c r="G3413" s="8" t="str">
        <f>IFERROR(__xludf.DUMMYFUNCTION("GOOGLETRANSLATE(E3413,""zh-CN"",""vi"")"),"Những chiếc vỏ phong bì màu đỏ đáng yêu. Kết hợp chúng lại để tạo thành một chiếc túi thơm hình mèo.")</f>
        <v>Những chiếc vỏ phong bì màu đỏ đáng yêu. Kết hợp chúng lại để tạo thành một chiếc túi thơm hình mèo.</v>
      </c>
      <c r="H3413" s="8"/>
      <c r="I3413" s="8"/>
      <c r="J3413" s="8"/>
    </row>
    <row r="3414" ht="21.0" customHeight="1">
      <c r="A3414" s="6">
        <v>1.0</v>
      </c>
      <c r="B3414" s="6">
        <v>260.0</v>
      </c>
      <c r="C3414" s="6">
        <v>4.0</v>
      </c>
      <c r="D3414" s="9" t="s">
        <v>5605</v>
      </c>
      <c r="E3414" s="9" t="s">
        <v>5606</v>
      </c>
      <c r="F3414" s="8" t="str">
        <f>IFERROR(__xludf.DUMMYFUNCTION("GOOGLETRANSLATE(D3414,""zh-CN"",""vi"")"),"Túi thơm cho mèo")</f>
        <v>Túi thơm cho mèo</v>
      </c>
      <c r="G3414" s="8" t="str">
        <f>IFERROR(__xludf.DUMMYFUNCTION("GOOGLETRANSLATE(E3414,""zh-CN"",""vi"")"),"Cực kỳ dễ thương và rất được các bạn nữ yêu thích. Kết hợp chúng để có được một chiếc ốp lưng may mắn.")</f>
        <v>Cực kỳ dễ thương và rất được các bạn nữ yêu thích. Kết hợp chúng để có được một chiếc ốp lưng may mắn.</v>
      </c>
      <c r="H3414" s="8"/>
      <c r="I3414" s="8"/>
      <c r="J3414" s="8"/>
    </row>
    <row r="3415" ht="21.0" customHeight="1">
      <c r="A3415" s="6">
        <v>1.0</v>
      </c>
      <c r="B3415" s="6">
        <v>260.0</v>
      </c>
      <c r="C3415" s="6">
        <v>5.0</v>
      </c>
      <c r="D3415" s="9" t="s">
        <v>5607</v>
      </c>
      <c r="E3415" s="9" t="s">
        <v>5608</v>
      </c>
      <c r="F3415" s="8" t="str">
        <f>IFERROR(__xludf.DUMMYFUNCTION("GOOGLETRANSLATE(D3415,""zh-CN"",""vi"")"),"Ốp điện thoại may mắn")</f>
        <v>Ốp điện thoại may mắn</v>
      </c>
      <c r="G3415" s="8" t="str">
        <f>IFERROR(__xludf.DUMMYFUNCTION("GOOGLETRANSLATE(E3415,""zh-CN"",""vi"")"),"Chúc may mắn! Hãy tổng hợp để có được một chiếc bình giữ nhiệt màu đỏ lớn!")</f>
        <v>Chúc may mắn! Hãy tổng hợp để có được một chiếc bình giữ nhiệt màu đỏ lớn!</v>
      </c>
      <c r="H3415" s="8"/>
      <c r="I3415" s="8"/>
      <c r="J3415" s="8"/>
    </row>
    <row r="3416" ht="21.0" customHeight="1">
      <c r="A3416" s="6">
        <v>1.0</v>
      </c>
      <c r="B3416" s="6">
        <v>260.0</v>
      </c>
      <c r="C3416" s="6">
        <v>6.0</v>
      </c>
      <c r="D3416" s="9" t="s">
        <v>5609</v>
      </c>
      <c r="E3416" s="9" t="s">
        <v>5610</v>
      </c>
      <c r="F3416" s="8" t="str">
        <f>IFERROR(__xludf.DUMMYFUNCTION("GOOGLETRANSLATE(D3416,""zh-CN"",""vi"")"),"Cốc giữ nhiệt Big Red")</f>
        <v>Cốc giữ nhiệt Big Red</v>
      </c>
      <c r="G3416" s="8" t="str">
        <f>IFERROR(__xludf.DUMMYFUNCTION("GOOGLETRANSLATE(E3416,""zh-CN"",""vi"")"),"Màu đỏ thường được coi là màu may mắn. Việc kết hợp các màu này tạo ra những câu đối may mắn.")</f>
        <v>Màu đỏ thường được coi là màu may mắn. Việc kết hợp các màu này tạo ra những câu đối may mắn.</v>
      </c>
      <c r="H3416" s="8"/>
      <c r="I3416" s="8"/>
      <c r="J3416" s="8"/>
    </row>
    <row r="3417" ht="21.0" customHeight="1">
      <c r="A3417" s="6">
        <v>1.0</v>
      </c>
      <c r="B3417" s="6">
        <v>260.0</v>
      </c>
      <c r="C3417" s="6">
        <v>7.0</v>
      </c>
      <c r="D3417" s="9" t="s">
        <v>5611</v>
      </c>
      <c r="E3417" s="9" t="s">
        <v>5612</v>
      </c>
      <c r="F3417" s="8" t="str">
        <f>IFERROR(__xludf.DUMMYFUNCTION("GOOGLETRANSLATE(D3417,""zh-CN"",""vi"")"),"Câu đối may mắn")</f>
        <v>Câu đối may mắn</v>
      </c>
      <c r="G3417" s="8" t="str">
        <f>IFERROR(__xludf.DUMMYFUNCTION("GOOGLETRANSLATE(E3417,""zh-CN"",""vi"")"),"Dán các câu đối tượng thể hiện những ước nguyện giản dị của con người. (Có thể tạo ra một chiếc quạt thu hút tài lộc bằng cách kết hợp chúng.)")</f>
        <v>Dán các câu đối tượng thể hiện những ước nguyện giản dị của con người. (Có thể tạo ra một chiếc quạt thu hút tài lộc bằng cách kết hợp chúng.)</v>
      </c>
      <c r="H3417" s="8"/>
      <c r="I3417" s="8"/>
      <c r="J3417" s="8"/>
    </row>
    <row r="3418" ht="21.0" customHeight="1">
      <c r="A3418" s="6">
        <v>1.0</v>
      </c>
      <c r="B3418" s="6">
        <v>260.0</v>
      </c>
      <c r="C3418" s="6">
        <v>8.0</v>
      </c>
      <c r="D3418" s="9" t="s">
        <v>5613</v>
      </c>
      <c r="E3418" s="9" t="s">
        <v>5614</v>
      </c>
      <c r="F3418" s="8" t="str">
        <f>IFERROR(__xludf.DUMMYFUNCTION("GOOGLETRANSLATE(D3418,""zh-CN"",""vi"")"),"Quạt tích lũy tài lộc")</f>
        <v>Quạt tích lũy tài lộc</v>
      </c>
      <c r="G3418" s="8" t="str">
        <f>IFERROR(__xludf.DUMMYFUNCTION("GOOGLETRANSLATE(E3418,""zh-CN"",""vi"")"),"Tôi quạt, tôi quạt, tôi quạt! Kết hợp chúng lại để tạo thành một chiếc đèn lồng màu đỏ tươi.")</f>
        <v>Tôi quạt, tôi quạt, tôi quạt! Kết hợp chúng lại để tạo thành một chiếc đèn lồng màu đỏ tươi.</v>
      </c>
      <c r="H3418" s="8"/>
      <c r="I3418" s="8"/>
      <c r="J3418" s="8"/>
    </row>
    <row r="3419" ht="21.0" customHeight="1">
      <c r="A3419" s="6">
        <v>1.0</v>
      </c>
      <c r="B3419" s="6">
        <v>260.0</v>
      </c>
      <c r="C3419" s="6">
        <v>9.0</v>
      </c>
      <c r="D3419" s="9" t="s">
        <v>5615</v>
      </c>
      <c r="E3419" s="9" t="s">
        <v>5616</v>
      </c>
      <c r="F3419" s="8" t="str">
        <f>IFERROR(__xludf.DUMMYFUNCTION("GOOGLETRANSLATE(D3419,""zh-CN"",""vi"")"),"Đèn lồng đỏ tươi")</f>
        <v>Đèn lồng đỏ tươi</v>
      </c>
      <c r="G3419" s="8" t="str">
        <f>IFERROR(__xludf.DUMMYFUNCTION("GOOGLETRANSLATE(E3419,""zh-CN"",""vi"")"),"Mong những chiếc đèn lồng đỏ lớn sẽ mang lại may mắn! Kết hợp chúng để nhận được Túi giữ ấm tay Thần May Mắn Nhỏ.")</f>
        <v>Mong những chiếc đèn lồng đỏ lớn sẽ mang lại may mắn! Kết hợp chúng để nhận được Túi giữ ấm tay Thần May Mắn Nhỏ.</v>
      </c>
      <c r="H3419" s="8"/>
      <c r="I3419" s="8"/>
      <c r="J3419" s="8"/>
    </row>
    <row r="3420" ht="21.0" customHeight="1">
      <c r="A3420" s="6">
        <v>1.0</v>
      </c>
      <c r="B3420" s="6">
        <v>260.0</v>
      </c>
      <c r="C3420" s="6">
        <v>10.0</v>
      </c>
      <c r="D3420" s="9" t="s">
        <v>5617</v>
      </c>
      <c r="E3420" s="9" t="s">
        <v>5618</v>
      </c>
      <c r="F3420" s="8" t="str">
        <f>IFERROR(__xludf.DUMMYFUNCTION("GOOGLETRANSLATE(D3420,""zh-CN"",""vi"")"),"Máy sưởi tay Little Lucky God")</f>
        <v>Máy sưởi tay Little Lucky God</v>
      </c>
      <c r="G3420" s="8" t="str">
        <f>IFERROR(__xludf.DUMMYFUNCTION("GOOGLETRANSLATE(E3420,""zh-CN"",""vi"")"),"Hình dạng của nó giống như một con tàu vũ trụ, như thể những hình người nhỏ bé bên trong đang kêu cứu. Kết hợp chúng lại để có được Lược Gương Năm Mới.")</f>
        <v>Hình dạng của nó giống như một con tàu vũ trụ, như thể những hình người nhỏ bé bên trong đang kêu cứu. Kết hợp chúng lại để có được Lược Gương Năm Mới.</v>
      </c>
      <c r="H3420" s="8"/>
      <c r="I3420" s="8"/>
      <c r="J3420" s="8"/>
    </row>
    <row r="3421" ht="21.0" customHeight="1">
      <c r="A3421" s="6">
        <v>1.0</v>
      </c>
      <c r="B3421" s="6">
        <v>260.0</v>
      </c>
      <c r="C3421" s="6">
        <v>11.0</v>
      </c>
      <c r="D3421" s="9" t="s">
        <v>5619</v>
      </c>
      <c r="E3421" s="9" t="s">
        <v>5620</v>
      </c>
      <c r="F3421" s="8" t="str">
        <f>IFERROR(__xludf.DUMMYFUNCTION("GOOGLETRANSLATE(D3421,""zh-CN"",""vi"")"),"Lược gương năm mới")</f>
        <v>Lược gương năm mới</v>
      </c>
      <c r="G3421" s="8" t="str">
        <f>IFERROR(__xludf.DUMMYFUNCTION("GOOGLETRANSLATE(E3421,""zh-CN"",""vi"")"),"Các họa tiết và hoa văn trang trí trên ngôi đền cổ có một vẻ đẹp độc đáo; khi kết hợp chúng lại sẽ tạo thành một chiếc đèn hình tượng Thần Tài.")</f>
        <v>Các họa tiết và hoa văn trang trí trên ngôi đền cổ có một vẻ đẹp độc đáo; khi kết hợp chúng lại sẽ tạo thành một chiếc đèn hình tượng Thần Tài.</v>
      </c>
      <c r="H3421" s="8"/>
      <c r="I3421" s="8"/>
      <c r="J3421" s="8"/>
    </row>
    <row r="3422" ht="21.0" customHeight="1">
      <c r="A3422" s="6">
        <v>1.0</v>
      </c>
      <c r="B3422" s="6">
        <v>260.0</v>
      </c>
      <c r="C3422" s="6">
        <v>12.0</v>
      </c>
      <c r="D3422" s="9" t="s">
        <v>5621</v>
      </c>
      <c r="E3422" s="9" t="s">
        <v>5622</v>
      </c>
      <c r="F3422" s="8" t="str">
        <f>IFERROR(__xludf.DUMMYFUNCTION("GOOGLETRANSLATE(D3422,""zh-CN"",""vi"")"),"Đèn trang trí hình Thần Tài")</f>
        <v>Đèn trang trí hình Thần Tài</v>
      </c>
      <c r="G3422" s="8" t="str">
        <f>IFERROR(__xludf.DUMMYFUNCTION("GOOGLETRANSLATE(E3422,""zh-CN"",""vi"")"),"Thần Tài ơi, hãy nhìn tôi này! (Tự tay làm mô hình Thần Tài nhỏ)")</f>
        <v>Thần Tài ơi, hãy nhìn tôi này! (Tự tay làm mô hình Thần Tài nhỏ)</v>
      </c>
      <c r="H3422" s="8"/>
      <c r="I3422" s="8"/>
      <c r="J3422" s="8"/>
    </row>
    <row r="3423" ht="21.0" customHeight="1">
      <c r="A3423" s="6">
        <v>1.0</v>
      </c>
      <c r="B3423" s="6">
        <v>260.0</v>
      </c>
      <c r="C3423" s="6">
        <v>13.0</v>
      </c>
      <c r="D3423" s="9" t="s">
        <v>5623</v>
      </c>
      <c r="E3423" s="9" t="s">
        <v>5624</v>
      </c>
      <c r="F3423" s="8" t="str">
        <f>IFERROR(__xludf.DUMMYFUNCTION("GOOGLETRANSLATE(D3423,""zh-CN"",""vi"")"),"Giá đựng đồ hình Thần Tài Nhỏ")</f>
        <v>Giá đựng đồ hình Thần Tài Nhỏ</v>
      </c>
      <c r="G3423" s="8" t="str">
        <f>IFERROR(__xludf.DUMMYFUNCTION("GOOGLETRANSLATE(E3423,""zh-CN"",""vi"")"),"Đây là những chuỗi lời chúc năm mới của tôi! Chúng đã được tổng hợp ở cấp độ cao nhất.")</f>
        <v>Đây là những chuỗi lời chúc năm mới của tôi! Chúng đã được tổng hợp ở cấp độ cao nhất.</v>
      </c>
      <c r="H3423" s="8"/>
      <c r="I3423" s="8"/>
      <c r="J3423" s="8"/>
    </row>
    <row r="3424" ht="21.0" customHeight="1">
      <c r="A3424" s="6">
        <v>1.0</v>
      </c>
      <c r="B3424" s="6">
        <v>261.0</v>
      </c>
      <c r="C3424" s="6">
        <v>1.0</v>
      </c>
      <c r="D3424" s="15" t="s">
        <v>5625</v>
      </c>
      <c r="E3424" s="9" t="s">
        <v>5626</v>
      </c>
      <c r="F3424" s="8" t="str">
        <f>IFERROR(__xludf.DUMMYFUNCTION("GOOGLETRANSLATE(D3424,""zh-CN"",""vi"")"),"Trứng chiên")</f>
        <v>Trứng chiên</v>
      </c>
      <c r="G3424" s="8" t="str">
        <f>IFERROR(__xludf.DUMMYFUNCTION("GOOGLETRANSLATE(E3424,""zh-CN"",""vi"")"),"Thời hạn sử dụng ngắn, vì vậy hãy thay thế sớm. (Trứng muối được chế tạo bằng phương pháp thủ công.)")</f>
        <v>Thời hạn sử dụng ngắn, vì vậy hãy thay thế sớm. (Trứng muối được chế tạo bằng phương pháp thủ công.)</v>
      </c>
      <c r="H3424" s="8"/>
      <c r="I3424" s="8"/>
      <c r="J3424" s="8"/>
    </row>
    <row r="3425" ht="21.0" customHeight="1">
      <c r="A3425" s="6">
        <v>1.0</v>
      </c>
      <c r="B3425" s="6">
        <v>261.0</v>
      </c>
      <c r="C3425" s="6">
        <v>2.0</v>
      </c>
      <c r="D3425" s="15" t="s">
        <v>5627</v>
      </c>
      <c r="E3425" s="9" t="s">
        <v>5628</v>
      </c>
      <c r="F3425" s="8" t="str">
        <f>IFERROR(__xludf.DUMMYFUNCTION("GOOGLETRANSLATE(D3425,""zh-CN"",""vi"")"),"trứng bảo quản")</f>
        <v>trứng bảo quản</v>
      </c>
      <c r="G3425" s="8" t="str">
        <f>IFERROR(__xludf.DUMMYFUNCTION("GOOGLETRANSLATE(E3425,""zh-CN"",""vi"")"),"Nó có thời hạn sử dụng lâu dài, nhưng liệu những người bất tử có thích thêm nước tương không? (Điều này liên quan đến quy trình làm bánh ngọt.)")</f>
        <v>Nó có thời hạn sử dụng lâu dài, nhưng liệu những người bất tử có thích thêm nước tương không? (Điều này liên quan đến quy trình làm bánh ngọt.)</v>
      </c>
      <c r="H3425" s="8"/>
      <c r="I3425" s="8"/>
      <c r="J3425" s="8"/>
    </row>
    <row r="3426" ht="21.0" customHeight="1">
      <c r="A3426" s="6">
        <v>1.0</v>
      </c>
      <c r="B3426" s="6">
        <v>261.0</v>
      </c>
      <c r="C3426" s="6">
        <v>3.0</v>
      </c>
      <c r="D3426" s="15" t="s">
        <v>5629</v>
      </c>
      <c r="E3426" s="9" t="s">
        <v>5630</v>
      </c>
      <c r="F3426" s="8" t="str">
        <f>IFERROR(__xludf.DUMMYFUNCTION("GOOGLETRANSLATE(D3426,""zh-CN"",""vi"")"),"bánh ngọt")</f>
        <v>bánh ngọt</v>
      </c>
      <c r="G3426" s="8" t="str">
        <f>IFERROR(__xludf.DUMMYFUNCTION("GOOGLETRANSLATE(E3426,""zh-CN"",""vi"")"),"Tôi cắn một miếng vì hơi thèm. Mong là bạn không phiền? (Tổng hợp để thu được các loại hạt)")</f>
        <v>Tôi cắn một miếng vì hơi thèm. Mong là bạn không phiền? (Tổng hợp để thu được các loại hạt)</v>
      </c>
      <c r="H3426" s="8"/>
      <c r="I3426" s="8"/>
      <c r="J3426" s="8"/>
    </row>
    <row r="3427" ht="21.0" customHeight="1">
      <c r="A3427" s="6">
        <v>1.0</v>
      </c>
      <c r="B3427" s="6">
        <v>261.0</v>
      </c>
      <c r="C3427" s="6">
        <v>4.0</v>
      </c>
      <c r="D3427" s="15" t="s">
        <v>5631</v>
      </c>
      <c r="E3427" s="9" t="s">
        <v>5632</v>
      </c>
      <c r="F3427" s="8" t="str">
        <f>IFERROR(__xludf.DUMMYFUNCTION("GOOGLETRANSLATE(D3427,""zh-CN"",""vi"")"),"hạt")</f>
        <v>hạt</v>
      </c>
      <c r="G3427" s="8" t="str">
        <f>IFERROR(__xludf.DUMMYFUNCTION("GOOGLETRANSLATE(E3427,""zh-CN"",""vi"")"),"Nếu bạn thu thập một ít mỗi ngày, có lẽ bạn sẽ không nhận ra, nhưng bạn có thể tự chế biến những món tráng miệng nhỏ.")</f>
        <v>Nếu bạn thu thập một ít mỗi ngày, có lẽ bạn sẽ không nhận ra, nhưng bạn có thể tự chế biến những món tráng miệng nhỏ.</v>
      </c>
      <c r="H3427" s="8"/>
      <c r="I3427" s="8"/>
      <c r="J3427" s="8"/>
    </row>
    <row r="3428" ht="21.0" customHeight="1">
      <c r="A3428" s="6">
        <v>1.0</v>
      </c>
      <c r="B3428" s="6">
        <v>261.0</v>
      </c>
      <c r="C3428" s="6">
        <v>5.0</v>
      </c>
      <c r="D3428" s="15" t="s">
        <v>5633</v>
      </c>
      <c r="E3428" s="9" t="s">
        <v>5634</v>
      </c>
      <c r="F3428" s="8" t="str">
        <f>IFERROR(__xludf.DUMMYFUNCTION("GOOGLETRANSLATE(D3428,""zh-CN"",""vi"")"),"món tráng miệng nhỏ")</f>
        <v>món tráng miệng nhỏ</v>
      </c>
      <c r="G3428" s="8" t="str">
        <f>IFERROR(__xludf.DUMMYFUNCTION("GOOGLETRANSLATE(E3428,""zh-CN"",""vi"")"),"Mỗi miếng hai miếng, ngon tuyệt! Kết hợp hai miếng để được bánh ngọt hình thỏ.")</f>
        <v>Mỗi miếng hai miếng, ngon tuyệt! Kết hợp hai miếng để được bánh ngọt hình thỏ.</v>
      </c>
      <c r="H3428" s="8"/>
      <c r="I3428" s="8"/>
      <c r="J3428" s="8"/>
    </row>
    <row r="3429" ht="21.0" customHeight="1">
      <c r="A3429" s="6">
        <v>1.0</v>
      </c>
      <c r="B3429" s="6">
        <v>261.0</v>
      </c>
      <c r="C3429" s="6">
        <v>6.0</v>
      </c>
      <c r="D3429" s="15" t="s">
        <v>5635</v>
      </c>
      <c r="E3429" s="9" t="s">
        <v>5636</v>
      </c>
      <c r="F3429" s="8" t="str">
        <f>IFERROR(__xludf.DUMMYFUNCTION("GOOGLETRANSLATE(D3429,""zh-CN"",""vi"")"),"Bánh thỏ")</f>
        <v>Bánh thỏ</v>
      </c>
      <c r="G3429" s="8" t="str">
        <f>IFERROR(__xludf.DUMMYFUNCTION("GOOGLETRANSLATE(E3429,""zh-CN"",""vi"")"),"Thưởng thức từng miếng một, hương vị sẽ để lại ấn tượng khó quên. (Quả hồng được thu hoạch bằng phương pháp thủ công.)")</f>
        <v>Thưởng thức từng miếng một, hương vị sẽ để lại ấn tượng khó quên. (Quả hồng được thu hoạch bằng phương pháp thủ công.)</v>
      </c>
      <c r="H3429" s="8"/>
      <c r="I3429" s="8"/>
      <c r="J3429" s="8"/>
    </row>
    <row r="3430" ht="21.0" customHeight="1">
      <c r="A3430" s="6">
        <v>1.0</v>
      </c>
      <c r="B3430" s="6">
        <v>261.0</v>
      </c>
      <c r="C3430" s="6">
        <v>7.0</v>
      </c>
      <c r="D3430" s="15" t="s">
        <v>5637</v>
      </c>
      <c r="E3430" s="9" t="s">
        <v>5638</v>
      </c>
      <c r="F3430" s="8" t="str">
        <f>IFERROR(__xludf.DUMMYFUNCTION("GOOGLETRANSLATE(D3430,""zh-CN"",""vi"")"),"quả hồng")</f>
        <v>quả hồng</v>
      </c>
      <c r="G3430" s="8" t="str">
        <f>IFERROR(__xludf.DUMMYFUNCTION("GOOGLETRANSLATE(E3430,""zh-CN"",""vi"")"),"Mềm mại và ngọt ngào, với phần thịt thơm ngon~ Kết hợp các nguyên liệu để tạo thành bào ngư.")</f>
        <v>Mềm mại và ngọt ngào, với phần thịt thơm ngon~ Kết hợp các nguyên liệu để tạo thành bào ngư.</v>
      </c>
      <c r="H3430" s="8"/>
      <c r="I3430" s="8"/>
      <c r="J3430" s="8"/>
    </row>
    <row r="3431" ht="21.0" customHeight="1">
      <c r="A3431" s="6">
        <v>1.0</v>
      </c>
      <c r="B3431" s="6">
        <v>261.0</v>
      </c>
      <c r="C3431" s="6">
        <v>8.0</v>
      </c>
      <c r="D3431" s="15" t="s">
        <v>5639</v>
      </c>
      <c r="E3431" s="9" t="s">
        <v>5640</v>
      </c>
      <c r="F3431" s="8" t="str">
        <f>IFERROR(__xludf.DUMMYFUNCTION("GOOGLETRANSLATE(D3431,""zh-CN"",""vi"")"),"bào ngư")</f>
        <v>bào ngư</v>
      </c>
      <c r="G3431" s="8" t="str">
        <f>IFERROR(__xludf.DUMMYFUNCTION("GOOGLETRANSLATE(E3431,""zh-CN"",""vi"")"),"Bổ dưỡng và làm đẹp. Kết hợp để thu được tôm hấp.")</f>
        <v>Bổ dưỡng và làm đẹp. Kết hợp để thu được tôm hấp.</v>
      </c>
      <c r="H3431" s="8"/>
      <c r="I3431" s="8"/>
      <c r="J3431" s="8"/>
    </row>
    <row r="3432" ht="21.0" customHeight="1">
      <c r="A3432" s="6">
        <v>1.0</v>
      </c>
      <c r="B3432" s="6">
        <v>261.0</v>
      </c>
      <c r="C3432" s="6">
        <v>9.0</v>
      </c>
      <c r="D3432" s="15" t="s">
        <v>5641</v>
      </c>
      <c r="E3432" s="9" t="s">
        <v>5642</v>
      </c>
      <c r="F3432" s="8" t="str">
        <f>IFERROR(__xludf.DUMMYFUNCTION("GOOGLETRANSLATE(D3432,""zh-CN"",""vi"")"),"Tôm hấp")</f>
        <v>Tôm hấp</v>
      </c>
      <c r="G3432" s="8" t="str">
        <f>IFERROR(__xludf.DUMMYFUNCTION("GOOGLETRANSLATE(E3432,""zh-CN"",""vi"")"),"Rưới thêm một lớp nước sốt để thưởng thức trọn vẹn hương vị của hải sản, và bạn sẽ có món cua xào cay ngon tuyệt.")</f>
        <v>Rưới thêm một lớp nước sốt để thưởng thức trọn vẹn hương vị của hải sản, và bạn sẽ có món cua xào cay ngon tuyệt.</v>
      </c>
      <c r="H3432" s="8"/>
      <c r="I3432" s="8"/>
      <c r="J3432" s="8"/>
    </row>
    <row r="3433" ht="21.0" customHeight="1">
      <c r="A3433" s="6">
        <v>1.0</v>
      </c>
      <c r="B3433" s="6">
        <v>261.0</v>
      </c>
      <c r="C3433" s="6">
        <v>10.0</v>
      </c>
      <c r="D3433" s="15" t="s">
        <v>5643</v>
      </c>
      <c r="E3433" s="9" t="s">
        <v>5644</v>
      </c>
      <c r="F3433" s="8" t="str">
        <f>IFERROR(__xludf.DUMMYFUNCTION("GOOGLETRANSLATE(D3433,""zh-CN"",""vi"")"),"Cua xào cay")</f>
        <v>Cua xào cay</v>
      </c>
      <c r="G3433" s="8" t="str">
        <f>IFERROR(__xludf.DUMMYFUNCTION("GOOGLETRANSLATE(E3433,""zh-CN"",""vi"")"),"Nó có một lớp dầu màu đỏ trên bề mặt, trông cực kỳ cay. Kết hợp lại sẽ được món thịt heo kho.")</f>
        <v>Nó có một lớp dầu màu đỏ trên bề mặt, trông cực kỳ cay. Kết hợp lại sẽ được món thịt heo kho.</v>
      </c>
      <c r="H3433" s="8"/>
      <c r="I3433" s="8"/>
      <c r="J3433" s="8"/>
    </row>
    <row r="3434" ht="21.0" customHeight="1">
      <c r="A3434" s="6">
        <v>1.0</v>
      </c>
      <c r="B3434" s="6">
        <v>261.0</v>
      </c>
      <c r="C3434" s="6">
        <v>11.0</v>
      </c>
      <c r="D3434" s="15" t="s">
        <v>5645</v>
      </c>
      <c r="E3434" s="9" t="s">
        <v>5646</v>
      </c>
      <c r="F3434" s="8" t="str">
        <f>IFERROR(__xludf.DUMMYFUNCTION("GOOGLETRANSLATE(D3434,""zh-CN"",""vi"")"),"Thịt ba chỉ kho")</f>
        <v>Thịt ba chỉ kho</v>
      </c>
      <c r="G3434" s="8" t="str">
        <f>IFERROR(__xludf.DUMMYFUNCTION("GOOGLETRANSLATE(E3434,""zh-CN"",""vi"")"),"Sự cân bằng hoàn hảo giữa nạc và mỡ, với hương vị khó quên ~ Kết hợp để có được món chân giò hầm.")</f>
        <v>Sự cân bằng hoàn hảo giữa nạc và mỡ, với hương vị khó quên ~ Kết hợp để có được món chân giò hầm.</v>
      </c>
      <c r="H3434" s="8"/>
      <c r="I3434" s="8"/>
      <c r="J3434" s="8"/>
    </row>
    <row r="3435" ht="21.0" customHeight="1">
      <c r="A3435" s="6">
        <v>1.0</v>
      </c>
      <c r="B3435" s="6">
        <v>261.0</v>
      </c>
      <c r="C3435" s="6">
        <v>12.0</v>
      </c>
      <c r="D3435" s="15" t="s">
        <v>5647</v>
      </c>
      <c r="E3435" s="9" t="s">
        <v>5648</v>
      </c>
      <c r="F3435" s="8" t="str">
        <f>IFERROR(__xludf.DUMMYFUNCTION("GOOGLETRANSLATE(D3435,""zh-CN"",""vi"")"),"Chân giò heo hầm")</f>
        <v>Chân giò heo hầm</v>
      </c>
      <c r="G3435" s="8" t="str">
        <f>IFERROR(__xludf.DUMMYFUNCTION("GOOGLETRANSLATE(E3435,""zh-CN"",""vi"")"),"Đây là một miếng thịt khổng lồ! Ta sẽ nếm thử nó để cúng thần! Kết hợp các nguyên liệu để có được món đầu heo kho cúng tế.")</f>
        <v>Đây là một miếng thịt khổng lồ! Ta sẽ nếm thử nó để cúng thần! Kết hợp các nguyên liệu để có được món đầu heo kho cúng tế.</v>
      </c>
      <c r="H3435" s="8"/>
      <c r="I3435" s="8"/>
      <c r="J3435" s="8"/>
    </row>
    <row r="3436" ht="21.0" customHeight="1">
      <c r="A3436" s="6">
        <v>1.0</v>
      </c>
      <c r="B3436" s="6">
        <v>261.0</v>
      </c>
      <c r="C3436" s="6">
        <v>13.0</v>
      </c>
      <c r="D3436" s="15" t="s">
        <v>5649</v>
      </c>
      <c r="E3436" s="9" t="s">
        <v>5650</v>
      </c>
      <c r="F3436" s="8" t="str">
        <f>IFERROR(__xludf.DUMMYFUNCTION("GOOGLETRANSLATE(D3436,""zh-CN"",""vi"")"),"Đầu heo kho")</f>
        <v>Đầu heo kho</v>
      </c>
      <c r="G3436" s="8" t="str">
        <f>IFERROR(__xludf.DUMMYFUNCTION("GOOGLETRANSLATE(E3436,""zh-CN"",""vi"")"),"Có thể nó không ngon, nhưng trông thì ấn tượng! (Chất tổng hợp cao cấp nhất)")</f>
        <v>Có thể nó không ngon, nhưng trông thì ấn tượng! (Chất tổng hợp cao cấp nhất)</v>
      </c>
      <c r="H3436" s="8"/>
      <c r="I3436" s="8"/>
      <c r="J3436" s="8"/>
    </row>
    <row r="3437" ht="21.0" customHeight="1">
      <c r="A3437" s="6">
        <v>1.0</v>
      </c>
      <c r="B3437" s="6">
        <v>262.0</v>
      </c>
      <c r="C3437" s="6">
        <v>1.0</v>
      </c>
      <c r="D3437" s="15" t="s">
        <v>5651</v>
      </c>
      <c r="E3437" s="9" t="s">
        <v>5652</v>
      </c>
      <c r="F3437" s="8" t="str">
        <f>IFERROR(__xludf.DUMMYFUNCTION("GOOGLETRANSLATE(D3437,""zh-CN"",""vi"")"),"Mèo May Mắn")</f>
        <v>Mèo May Mắn</v>
      </c>
      <c r="G3437" s="8" t="str">
        <f>IFERROR(__xludf.DUMMYFUNCTION("GOOGLETRANSLATE(E3437,""zh-CN"",""vi"")"),"Nuôi một chú mèo may mắn trong nhà sẽ mang lại tài lộc mỗi ngày~ Kết hợp với một chú cá chép may mắn nữa thì sẽ tuyệt vời hơn.")</f>
        <v>Nuôi một chú mèo may mắn trong nhà sẽ mang lại tài lộc mỗi ngày~ Kết hợp với một chú cá chép may mắn nữa thì sẽ tuyệt vời hơn.</v>
      </c>
      <c r="H3437" s="8"/>
      <c r="I3437" s="8"/>
      <c r="J3437" s="8"/>
    </row>
    <row r="3438" ht="21.0" customHeight="1">
      <c r="A3438" s="6">
        <v>1.0</v>
      </c>
      <c r="B3438" s="6">
        <v>262.0</v>
      </c>
      <c r="C3438" s="6">
        <v>2.0</v>
      </c>
      <c r="D3438" s="15" t="s">
        <v>5653</v>
      </c>
      <c r="E3438" s="9" t="s">
        <v>5654</v>
      </c>
      <c r="F3438" s="8" t="str">
        <f>IFERROR(__xludf.DUMMYFUNCTION("GOOGLETRANSLATE(D3438,""zh-CN"",""vi"")"),"Cá Koi con")</f>
        <v>Cá Koi con</v>
      </c>
      <c r="G3438" s="8" t="str">
        <f>IFERROR(__xludf.DUMMYFUNCTION("GOOGLETRANSLATE(E3438,""zh-CN"",""vi"")"),"Vẽ được cá chép may mắn tượng trưng cho vận may trong năm tới! Kết hợp chúng để có được lá bài ""Cậu Bé Tài Lộc"".")</f>
        <v>Vẽ được cá chép may mắn tượng trưng cho vận may trong năm tới! Kết hợp chúng để có được lá bài "Cậu Bé Tài Lộc".</v>
      </c>
      <c r="H3438" s="8"/>
      <c r="I3438" s="8"/>
      <c r="J3438" s="8"/>
    </row>
    <row r="3439" ht="21.0" customHeight="1">
      <c r="A3439" s="6">
        <v>1.0</v>
      </c>
      <c r="B3439" s="6">
        <v>262.0</v>
      </c>
      <c r="C3439" s="6">
        <v>3.0</v>
      </c>
      <c r="D3439" s="15" t="s">
        <v>5655</v>
      </c>
      <c r="E3439" s="9" t="s">
        <v>5656</v>
      </c>
      <c r="F3439" s="8" t="str">
        <f>IFERROR(__xludf.DUMMYFUNCTION("GOOGLETRANSLATE(D3439,""zh-CN"",""vi"")"),"Sudhana")</f>
        <v>Sudhana</v>
      </c>
      <c r="G3439" s="8" t="str">
        <f>IFERROR(__xludf.DUMMYFUNCTION("GOOGLETRANSLATE(E3439,""zh-CN"",""vi"")"),"Hãy cầu nguyện cho sự giàu có và may mắn! Kết hợp để có được một Quan Vũ thu nhỏ.")</f>
        <v>Hãy cầu nguyện cho sự giàu có và may mắn! Kết hợp để có được một Quan Vũ thu nhỏ.</v>
      </c>
      <c r="H3439" s="8"/>
      <c r="I3439" s="8"/>
      <c r="J3439" s="8"/>
    </row>
    <row r="3440" ht="21.0" customHeight="1">
      <c r="A3440" s="6">
        <v>1.0</v>
      </c>
      <c r="B3440" s="6">
        <v>262.0</v>
      </c>
      <c r="C3440" s="6">
        <v>4.0</v>
      </c>
      <c r="D3440" s="15" t="s">
        <v>5657</v>
      </c>
      <c r="E3440" s="9" t="s">
        <v>5658</v>
      </c>
      <c r="F3440" s="8" t="str">
        <f>IFERROR(__xludf.DUMMYFUNCTION("GOOGLETRANSLATE(D3440,""zh-CN"",""vi"")"),"Tiểu Quan Công")</f>
        <v>Tiểu Quan Công</v>
      </c>
      <c r="G3440" s="8" t="str">
        <f>IFERROR(__xludf.DUMMYFUNCTION("GOOGLETRANSLATE(E3440,""zh-CN"",""vi"")"),"Ông ấy là vị thần hộ mệnh mang lại may mắn và thịnh vượng cho công việc kinh doanh. Kết hợp chúng lại để có được Tiểu Trung Khuy.")</f>
        <v>Ông ấy là vị thần hộ mệnh mang lại may mắn và thịnh vượng cho công việc kinh doanh. Kết hợp chúng lại để có được Tiểu Trung Khuy.</v>
      </c>
      <c r="H3440" s="8"/>
      <c r="I3440" s="8"/>
      <c r="J3440" s="8"/>
    </row>
    <row r="3441" ht="21.0" customHeight="1">
      <c r="A3441" s="6">
        <v>1.0</v>
      </c>
      <c r="B3441" s="6">
        <v>262.0</v>
      </c>
      <c r="C3441" s="6">
        <v>5.0</v>
      </c>
      <c r="D3441" s="15" t="s">
        <v>5659</v>
      </c>
      <c r="E3441" s="9" t="s">
        <v>5660</v>
      </c>
      <c r="F3441" s="8" t="str">
        <f>IFERROR(__xludf.DUMMYFUNCTION("GOOGLETRANSLATE(D3441,""zh-CN"",""vi"")"),"Tiểu Chung Quỳ")</f>
        <v>Tiểu Chung Quỳ</v>
      </c>
      <c r="G3441" s="8" t="str">
        <f>IFERROR(__xludf.DUMMYFUNCTION("GOOGLETRANSLATE(E3441,""zh-CN"",""vi"")"),"Nó có thể xua đuổi tà ma và bảo vệ gia đình. Kết hợp chúng để có được Tiểu Trường Sinh Tiên.")</f>
        <v>Nó có thể xua đuổi tà ma và bảo vệ gia đình. Kết hợp chúng để có được Tiểu Trường Sinh Tiên.</v>
      </c>
      <c r="H3441" s="8"/>
      <c r="I3441" s="8"/>
      <c r="J3441" s="8"/>
    </row>
    <row r="3442" ht="21.0" customHeight="1">
      <c r="A3442" s="6">
        <v>1.0</v>
      </c>
      <c r="B3442" s="6">
        <v>262.0</v>
      </c>
      <c r="C3442" s="6">
        <v>6.0</v>
      </c>
      <c r="D3442" s="15" t="s">
        <v>5661</v>
      </c>
      <c r="E3442" s="9" t="s">
        <v>5662</v>
      </c>
      <c r="F3442" s="8" t="str">
        <f>IFERROR(__xludf.DUMMYFUNCTION("GOOGLETRANSLATE(D3442,""zh-CN"",""vi"")"),"Nàng tiên trường thọ bé nhỏ")</f>
        <v>Nàng tiên trường thọ bé nhỏ</v>
      </c>
      <c r="G3442" s="8" t="str">
        <f>IFERROR(__xludf.DUMMYFUNCTION("GOOGLETRANSLATE(E3442,""zh-CN"",""vi"")"),"Cầu nguyện cho sức khỏe tốt, hạnh phúc và trường thọ. Hợp nhất để có được Long Vương Biển Đông.")</f>
        <v>Cầu nguyện cho sức khỏe tốt, hạnh phúc và trường thọ. Hợp nhất để có được Long Vương Biển Đông.</v>
      </c>
      <c r="H3442" s="8"/>
      <c r="I3442" s="8"/>
      <c r="J3442" s="8"/>
    </row>
    <row r="3443" ht="21.0" customHeight="1">
      <c r="A3443" s="6">
        <v>1.0</v>
      </c>
      <c r="B3443" s="6">
        <v>262.0</v>
      </c>
      <c r="C3443" s="6">
        <v>7.0</v>
      </c>
      <c r="D3443" s="15" t="s">
        <v>5663</v>
      </c>
      <c r="E3443" s="9" t="s">
        <v>5664</v>
      </c>
      <c r="F3443" s="8" t="str">
        <f>IFERROR(__xludf.DUMMYFUNCTION("GOOGLETRANSLATE(D3443,""zh-CN"",""vi"")"),"Long Vương Biển Đông")</f>
        <v>Long Vương Biển Đông</v>
      </c>
      <c r="G3443" s="8" t="str">
        <f>IFERROR(__xludf.DUMMYFUNCTION("GOOGLETRANSLATE(E3443,""zh-CN"",""vi"")"),"Cầu nguyện cho thời tiết thuận lợi, bình an và thịnh vượng trong năm tới, người ta có thể tổng hợp và đạt được Thiên Vương Mang Tháp.")</f>
        <v>Cầu nguyện cho thời tiết thuận lợi, bình an và thịnh vượng trong năm tới, người ta có thể tổng hợp và đạt được Thiên Vương Mang Tháp.</v>
      </c>
      <c r="H3443" s="8"/>
      <c r="I3443" s="8"/>
      <c r="J3443" s="8"/>
    </row>
    <row r="3444" ht="21.0" customHeight="1">
      <c r="A3444" s="6">
        <v>1.0</v>
      </c>
      <c r="B3444" s="6">
        <v>262.0</v>
      </c>
      <c r="C3444" s="6">
        <v>8.0</v>
      </c>
      <c r="D3444" s="15" t="s">
        <v>5665</v>
      </c>
      <c r="E3444" s="9" t="s">
        <v>5666</v>
      </c>
      <c r="F3444" s="8" t="str">
        <f>IFERROR(__xludf.DUMMYFUNCTION("GOOGLETRANSLATE(D3444,""zh-CN"",""vi"")"),"Thiên vương mang tháp")</f>
        <v>Thiên vương mang tháp</v>
      </c>
      <c r="G3444" s="8" t="str">
        <f>IFERROR(__xludf.DUMMYFUNCTION("GOOGLETRANSLATE(E3444,""zh-CN"",""vi"")"),"Tượng trưng cho quyền uy và sự bảo vệ. Kết hợp chúng lại tạo thành Bồ Tát Quán Âm.")</f>
        <v>Tượng trưng cho quyền uy và sự bảo vệ. Kết hợp chúng lại tạo thành Bồ Tát Quán Âm.</v>
      </c>
      <c r="H3444" s="8"/>
      <c r="I3444" s="8"/>
      <c r="J3444" s="8"/>
    </row>
    <row r="3445" ht="21.0" customHeight="1">
      <c r="A3445" s="6">
        <v>1.0</v>
      </c>
      <c r="B3445" s="6">
        <v>262.0</v>
      </c>
      <c r="C3445" s="6">
        <v>9.0</v>
      </c>
      <c r="D3445" s="15" t="s">
        <v>5667</v>
      </c>
      <c r="E3445" s="9" t="s">
        <v>5668</v>
      </c>
      <c r="F3445" s="8" t="str">
        <f>IFERROR(__xludf.DUMMYFUNCTION("GOOGLETRANSLATE(D3445,""zh-CN"",""vi"")"),"Bồ Tát Quán Âm")</f>
        <v>Bồ Tát Quán Âm</v>
      </c>
      <c r="G3445" s="8" t="str">
        <f>IFERROR(__xludf.DUMMYFUNCTION("GOOGLETRANSLATE(E3445,""zh-CN"",""vi"")"),"Bà là một nữ thần nhân từ và khoan dung, người cứu giúp con người khỏi đau khổ. (Mazu được thu प्राप्त thông qua quá trình tổng hợp.)")</f>
        <v>Bà là một nữ thần nhân từ và khoan dung, người cứu giúp con người khỏi đau khổ. (Mazu được thu प्राप्त thông qua quá trình tổng hợp.)</v>
      </c>
      <c r="H3445" s="8"/>
      <c r="I3445" s="8"/>
      <c r="J3445" s="8"/>
    </row>
    <row r="3446" ht="21.0" customHeight="1">
      <c r="A3446" s="6">
        <v>1.0</v>
      </c>
      <c r="B3446" s="6">
        <v>262.0</v>
      </c>
      <c r="C3446" s="6">
        <v>10.0</v>
      </c>
      <c r="D3446" s="15" t="s">
        <v>5669</v>
      </c>
      <c r="E3446" s="9" t="s">
        <v>5670</v>
      </c>
      <c r="F3446" s="8" t="str">
        <f>IFERROR(__xludf.DUMMYFUNCTION("GOOGLETRANSLATE(D3446,""zh-CN"",""vi"")"),"Mazu")</f>
        <v>Mazu</v>
      </c>
      <c r="G3446" s="8" t="str">
        <f>IFERROR(__xludf.DUMMYFUNCTION("GOOGLETRANSLATE(E3446,""zh-CN"",""vi"")"),"Đây là vị thần hộ mệnh của ngư dân, bảo vệ tàu thuyền của họ và đảm bảo họ trở về an toàn. Kết hợp để có được Văn Khúc Tinh (文曲星).")</f>
        <v>Đây là vị thần hộ mệnh của ngư dân, bảo vệ tàu thuyền của họ và đảm bảo họ trở về an toàn. Kết hợp để có được Văn Khúc Tinh (文曲星).</v>
      </c>
      <c r="H3446" s="8"/>
      <c r="I3446" s="8"/>
      <c r="J3446" s="8"/>
    </row>
    <row r="3447" ht="21.0" customHeight="1">
      <c r="A3447" s="6">
        <v>1.0</v>
      </c>
      <c r="B3447" s="6">
        <v>262.0</v>
      </c>
      <c r="C3447" s="6">
        <v>11.0</v>
      </c>
      <c r="D3447" s="15" t="s">
        <v>5671</v>
      </c>
      <c r="E3447" s="9" t="s">
        <v>5672</v>
      </c>
      <c r="F3447" s="8" t="str">
        <f>IFERROR(__xludf.DUMMYFUNCTION("GOOGLETRANSLATE(D3447,""zh-CN"",""vi"")"),"Văn Khúc Hành")</f>
        <v>Văn Khúc Hành</v>
      </c>
      <c r="G3447" s="8" t="str">
        <f>IFERROR(__xludf.DUMMYFUNCTION("GOOGLETRANSLATE(E3447,""zh-CN"",""vi"")"),"Cầu mong Thần Văn chương ban cho bạn thành công trong kỳ thi công chức và kỳ thi tuyển sinh sau đại học! Hãy tổng hợp để có được ""Bà mai nhỏ"".")</f>
        <v>Cầu mong Thần Văn chương ban cho bạn thành công trong kỳ thi công chức và kỳ thi tuyển sinh sau đại học! Hãy tổng hợp để có được "Bà mai nhỏ".</v>
      </c>
      <c r="H3447" s="8"/>
      <c r="I3447" s="8"/>
      <c r="J3447" s="8"/>
    </row>
    <row r="3448" ht="21.0" customHeight="1">
      <c r="A3448" s="6">
        <v>1.0</v>
      </c>
      <c r="B3448" s="6">
        <v>262.0</v>
      </c>
      <c r="C3448" s="6">
        <v>12.0</v>
      </c>
      <c r="D3448" s="15" t="s">
        <v>5673</v>
      </c>
      <c r="E3448" s="9" t="s">
        <v>5674</v>
      </c>
      <c r="F3448" s="8" t="str">
        <f>IFERROR(__xludf.DUMMYFUNCTION("GOOGLETRANSLATE(D3448,""zh-CN"",""vi"")"),"Cô Mai Mối")</f>
        <v>Cô Mai Mối</v>
      </c>
      <c r="G3448" s="8" t="str">
        <f>IFERROR(__xludf.DUMMYFUNCTION("GOOGLETRANSLATE(E3448,""zh-CN"",""vi"")"),"Thần Tình Yêu chúc bạn sớm tìm được người bạn đời và có một cuộc hôn nhân hạnh phúc viên mãn! (Kết hợp để có được Thần Tài)")</f>
        <v>Thần Tình Yêu chúc bạn sớm tìm được người bạn đời và có một cuộc hôn nhân hạnh phúc viên mãn! (Kết hợp để có được Thần Tài)</v>
      </c>
      <c r="H3448" s="8"/>
      <c r="I3448" s="8"/>
      <c r="J3448" s="8"/>
    </row>
    <row r="3449" ht="21.0" customHeight="1">
      <c r="A3449" s="6">
        <v>1.0</v>
      </c>
      <c r="B3449" s="6">
        <v>262.0</v>
      </c>
      <c r="C3449" s="6">
        <v>13.0</v>
      </c>
      <c r="D3449" s="15" t="s">
        <v>5675</v>
      </c>
      <c r="E3449" s="9" t="s">
        <v>5676</v>
      </c>
      <c r="F3449" s="8" t="str">
        <f>IFERROR(__xludf.DUMMYFUNCTION("GOOGLETRANSLATE(D3449,""zh-CN"",""vi"")"),"Thần Tài")</f>
        <v>Thần Tài</v>
      </c>
      <c r="G3449" s="8" t="str">
        <f>IFERROR(__xludf.DUMMYFUNCTION("GOOGLETRANSLATE(E3449,""zh-CN"",""vi"")"),"Cầu mong Thần Tài ban cho bạn sự giàu có dồi dào, và bạn sẽ có nhiều tiền hơn mức tiêu xài mỗi ngày! (Đã được tổng hợp đến cấp độ cao nhất)")</f>
        <v>Cầu mong Thần Tài ban cho bạn sự giàu có dồi dào, và bạn sẽ có nhiều tiền hơn mức tiêu xài mỗi ngày! (Đã được tổng hợp đến cấp độ cao nhất)</v>
      </c>
      <c r="H3449" s="8"/>
      <c r="I3449" s="8"/>
      <c r="J3449" s="8"/>
    </row>
    <row r="3450" ht="21.0" customHeight="1">
      <c r="A3450" s="6">
        <v>11.0</v>
      </c>
      <c r="B3450" s="6">
        <v>1078.0</v>
      </c>
      <c r="C3450" s="6">
        <v>1.0</v>
      </c>
      <c r="D3450" s="15" t="s">
        <v>5677</v>
      </c>
      <c r="E3450" s="9" t="s">
        <v>5678</v>
      </c>
      <c r="F3450" s="8" t="str">
        <f>IFERROR(__xludf.DUMMYFUNCTION("GOOGLETRANSLATE(D3450,""zh-CN"",""vi"")"),"Vé Laser")</f>
        <v>Vé Laser</v>
      </c>
      <c r="G3450" s="8" t="str">
        <f>IFERROR(__xludf.DUMMYFUNCTION("GOOGLETRANSLATE(E3450,""zh-CN"",""vi"")"),"Tỏa sáng rực rỡ, cực kỳ đáng sưu tầm! Kết hợp để nhận được tờ rơi quảng cáo hội chợ truyện tranh.")</f>
        <v>Tỏa sáng rực rỡ, cực kỳ đáng sưu tầm! Kết hợp để nhận được tờ rơi quảng cáo hội chợ truyện tranh.</v>
      </c>
      <c r="H3450" s="8"/>
      <c r="I3450" s="8"/>
      <c r="J3450" s="8"/>
    </row>
    <row r="3451" ht="21.0" customHeight="1">
      <c r="A3451" s="6">
        <v>11.0</v>
      </c>
      <c r="B3451" s="6">
        <v>1078.0</v>
      </c>
      <c r="C3451" s="6">
        <v>2.0</v>
      </c>
      <c r="D3451" s="15" t="s">
        <v>5679</v>
      </c>
      <c r="E3451" s="9" t="s">
        <v>5680</v>
      </c>
      <c r="F3451" s="8" t="str">
        <f>IFERROR(__xludf.DUMMYFUNCTION("GOOGLETRANSLATE(D3451,""zh-CN"",""vi"")"),"Tờ rơi Comic Con")</f>
        <v>Tờ rơi Comic Con</v>
      </c>
      <c r="G3451" s="8" t="str">
        <f>IFERROR(__xludf.DUMMYFUNCTION("GOOGLETRANSLATE(E3451,""zh-CN"",""vi"")"),"Tuyệt vời! Khách mời yêu thích của tôi đang ở Hội nghị Truyện tranh Quốc gia! (Ghép ảnh để có biển hiệu hội nghị)")</f>
        <v>Tuyệt vời! Khách mời yêu thích của tôi đang ở Hội nghị Truyện tranh Quốc gia! (Ghép ảnh để có biển hiệu hội nghị)</v>
      </c>
      <c r="H3451" s="8"/>
      <c r="I3451" s="8"/>
      <c r="J3451" s="8"/>
    </row>
    <row r="3452" ht="21.0" customHeight="1">
      <c r="A3452" s="6">
        <v>11.0</v>
      </c>
      <c r="B3452" s="6">
        <v>1078.0</v>
      </c>
      <c r="C3452" s="6">
        <v>3.0</v>
      </c>
      <c r="D3452" s="15" t="s">
        <v>5681</v>
      </c>
      <c r="E3452" s="9" t="s">
        <v>5682</v>
      </c>
      <c r="F3452" s="8" t="str">
        <f>IFERROR(__xludf.DUMMYFUNCTION("GOOGLETRANSLATE(D3452,""zh-CN"",""vi"")"),"Biển báo đường phố hội chợ truyện tranh")</f>
        <v>Biển báo đường phố hội chợ truyện tranh</v>
      </c>
      <c r="G3452" s="8" t="str">
        <f>IFERROR(__xludf.DUMMYFUNCTION("GOOGLETRANSLATE(E3452,""zh-CN"",""vi"")"),"Dễ dàng tìm thấy lối vào hội chợ truyện tranh~ Kết hợp các vật phẩm để có được bức tường thông tin về hội chợ truyện tranh.")</f>
        <v>Dễ dàng tìm thấy lối vào hội chợ truyện tranh~ Kết hợp các vật phẩm để có được bức tường thông tin về hội chợ truyện tranh.</v>
      </c>
      <c r="H3452" s="8"/>
      <c r="I3452" s="8"/>
      <c r="J3452" s="8"/>
    </row>
    <row r="3453" ht="21.0" customHeight="1">
      <c r="A3453" s="6">
        <v>11.0</v>
      </c>
      <c r="B3453" s="6">
        <v>1078.0</v>
      </c>
      <c r="C3453" s="6">
        <v>4.0</v>
      </c>
      <c r="D3453" s="15" t="s">
        <v>5683</v>
      </c>
      <c r="E3453" s="9" t="s">
        <v>5684</v>
      </c>
      <c r="F3453" s="8" t="str">
        <f>IFERROR(__xludf.DUMMYFUNCTION("GOOGLETRANSLATE(D3453,""zh-CN"",""vi"")"),"Bức tường thông tin Comic Con")</f>
        <v>Bức tường thông tin Comic Con</v>
      </c>
      <c r="G3453" s="8" t="str">
        <f>IFERROR(__xludf.DUMMYFUNCTION("GOOGLETRANSLATE(E3453,""zh-CN"",""vi"")"),"Hiểu rõ sơ đồ bố trí địa điểm và lịch trình sự kiện ~ Tự làm cánh cửa nhựa cho hội chợ truyện tranh")</f>
        <v>Hiểu rõ sơ đồ bố trí địa điểm và lịch trình sự kiện ~ Tự làm cánh cửa nhựa cho hội chợ truyện tranh</v>
      </c>
      <c r="H3453" s="8"/>
      <c r="I3453" s="8"/>
      <c r="J3453" s="8"/>
    </row>
    <row r="3454" ht="21.0" customHeight="1">
      <c r="A3454" s="6">
        <v>10.0</v>
      </c>
      <c r="B3454" s="6">
        <v>1078.0</v>
      </c>
      <c r="C3454" s="6">
        <v>5.0</v>
      </c>
      <c r="D3454" s="15" t="s">
        <v>5685</v>
      </c>
      <c r="E3454" s="9" t="s">
        <v>5686</v>
      </c>
      <c r="F3454" s="8" t="str">
        <f>IFERROR(__xludf.DUMMYFUNCTION("GOOGLETRANSLATE(D3454,""zh-CN"",""vi"")"),"cửa nhựa hội chợ truyện tranh")</f>
        <v>cửa nhựa hội chợ truyện tranh</v>
      </c>
      <c r="G3454" s="8" t="str">
        <f>IFERROR(__xludf.DUMMYFUNCTION("GOOGLETRANSLATE(E3454,""zh-CN"",""vi"")"),"Điều này làm dấy lên những câu hỏi về năng lực của người tổ chức. Vật liệu tổng hợp được sử dụng để tạo ra cánh cửa kim loại tại hội chợ truyện tranh...")</f>
        <v>Điều này làm dấy lên những câu hỏi về năng lực của người tổ chức. Vật liệu tổng hợp được sử dụng để tạo ra cánh cửa kim loại tại hội chợ truyện tranh...</v>
      </c>
      <c r="H3454" s="8"/>
      <c r="I3454" s="8"/>
      <c r="J3454" s="8"/>
    </row>
    <row r="3455" ht="21.0" customHeight="1">
      <c r="A3455" s="6">
        <v>10.0</v>
      </c>
      <c r="B3455" s="6">
        <v>1078.0</v>
      </c>
      <c r="C3455" s="6">
        <v>6.0</v>
      </c>
      <c r="D3455" s="15" t="s">
        <v>5687</v>
      </c>
      <c r="E3455" s="9" t="s">
        <v>5688</v>
      </c>
      <c r="F3455" s="8" t="str">
        <f>IFERROR(__xludf.DUMMYFUNCTION("GOOGLETRANSLATE(D3455,""zh-CN"",""vi"")"),"Cửa kim loại Comic Con")</f>
        <v>Cửa kim loại Comic Con</v>
      </c>
      <c r="G3455" s="8" t="str">
        <f>IFERROR(__xludf.DUMMYFUNCTION("GOOGLETRANSLATE(E3455,""zh-CN"",""vi"")"),"Với phong cách giống game và cảm giác nhập vai mạnh mẽ, bạn có thể tổng hợp các vật phẩm để tạo ra cổng điện tử cho các hội chợ truyện tranh.")</f>
        <v>Với phong cách giống game và cảm giác nhập vai mạnh mẽ, bạn có thể tổng hợp các vật phẩm để tạo ra cổng điện tử cho các hội chợ truyện tranh.</v>
      </c>
      <c r="H3455" s="8"/>
      <c r="I3455" s="8"/>
      <c r="J3455" s="8"/>
    </row>
    <row r="3456" ht="21.0" customHeight="1">
      <c r="A3456" s="6">
        <v>10.0</v>
      </c>
      <c r="B3456" s="6">
        <v>1078.0</v>
      </c>
      <c r="C3456" s="6">
        <v>7.0</v>
      </c>
      <c r="D3456" s="15" t="s">
        <v>5689</v>
      </c>
      <c r="E3456" s="9" t="s">
        <v>5690</v>
      </c>
      <c r="F3456" s="8" t="str">
        <f>IFERROR(__xludf.DUMMYFUNCTION("GOOGLETRANSLATE(D3456,""zh-CN"",""vi"")"),"Cổng điện tử hội chợ truyện tranh")</f>
        <v>Cổng điện tử hội chợ truyện tranh</v>
      </c>
      <c r="G3456" s="8" t="str">
        <f>IFERROR(__xludf.DUMMYFUNCTION("GOOGLETRANSLATE(E3456,""zh-CN"",""vi"")"),"Ánh sáng xung quanh mang màu sắc chủ đạo của Ukim! Thật là một bất ngờ thú vị! (Tổng hợp lại tạo nên một không gian triển lãm truyện tranh.)")</f>
        <v>Ánh sáng xung quanh mang màu sắc chủ đạo của Ukim! Thật là một bất ngờ thú vị! (Tổng hợp lại tạo nên một không gian triển lãm truyện tranh.)</v>
      </c>
      <c r="H3456" s="8"/>
      <c r="I3456" s="8"/>
      <c r="J3456" s="8"/>
    </row>
    <row r="3457" ht="21.0" customHeight="1">
      <c r="A3457" s="6">
        <v>10.0</v>
      </c>
      <c r="B3457" s="6">
        <v>1078.0</v>
      </c>
      <c r="C3457" s="6">
        <v>8.0</v>
      </c>
      <c r="D3457" s="15" t="s">
        <v>5691</v>
      </c>
      <c r="E3457" s="9" t="s">
        <v>5692</v>
      </c>
      <c r="F3457" s="8" t="str">
        <f>IFERROR(__xludf.DUMMYFUNCTION("GOOGLETRANSLATE(D3457,""zh-CN"",""vi"")"),"Phòng triển lãm truyện tranh")</f>
        <v>Phòng triển lãm truyện tranh</v>
      </c>
      <c r="G3457" s="8" t="str">
        <f>IFERROR(__xludf.DUMMYFUNCTION("GOOGLETRANSLATE(E3457,""zh-CN"",""vi"")"),"Bạn có thể mua truyện tranh và tượng nhỏ Trung Quốc, rồi kết hợp chúng để nhận được các vật phẩm từ phòng triển lãm trò chơi đang thịnh hành.")</f>
        <v>Bạn có thể mua truyện tranh và tượng nhỏ Trung Quốc, rồi kết hợp chúng để nhận được các vật phẩm từ phòng triển lãm trò chơi đang thịnh hành.</v>
      </c>
      <c r="H3457" s="8"/>
      <c r="I3457" s="8"/>
      <c r="J3457" s="8"/>
    </row>
    <row r="3458" ht="21.0" customHeight="1">
      <c r="A3458" s="6">
        <v>10.0</v>
      </c>
      <c r="B3458" s="6">
        <v>1078.0</v>
      </c>
      <c r="C3458" s="6">
        <v>9.0</v>
      </c>
      <c r="D3458" s="15" t="s">
        <v>5693</v>
      </c>
      <c r="E3458" s="9" t="s">
        <v>5694</v>
      </c>
      <c r="F3458" s="8" t="str">
        <f>IFERROR(__xludf.DUMMYFUNCTION("GOOGLETRANSLATE(D3458,""zh-CN"",""vi"")"),"Phòng triển lãm trò chơi thời thượng")</f>
        <v>Phòng triển lãm trò chơi thời thượng</v>
      </c>
      <c r="G3458" s="8" t="str">
        <f>IFERROR(__xludf.DUMMYFUNCTION("GOOGLETRANSLATE(E3458,""zh-CN"",""vi"")"),"Trải nghiệm những tựa game hoạt hình Trung Quốc mới nhất và hấp dẫn nhất! Tổng hợp để nhận được Phòng Triển lãm Chữ ký Điện tử")</f>
        <v>Trải nghiệm những tựa game hoạt hình Trung Quốc mới nhất và hấp dẫn nhất! Tổng hợp để nhận được Phòng Triển lãm Chữ ký Điện tử</v>
      </c>
      <c r="H3458" s="8"/>
      <c r="I3458" s="8"/>
      <c r="J3458" s="8"/>
    </row>
    <row r="3459" ht="21.0" customHeight="1">
      <c r="A3459" s="6">
        <v>10.0</v>
      </c>
      <c r="B3459" s="6">
        <v>1078.0</v>
      </c>
      <c r="C3459" s="6">
        <v>10.0</v>
      </c>
      <c r="D3459" s="15" t="s">
        <v>5695</v>
      </c>
      <c r="E3459" s="76" t="s">
        <v>5696</v>
      </c>
      <c r="F3459" s="8" t="str">
        <f>IFERROR(__xludf.DUMMYFUNCTION("GOOGLETRANSLATE(D3459,""zh-CN"",""vi"")"),"Phòng trưng bày chữ ký điện tử")</f>
        <v>Phòng trưng bày chữ ký điện tử</v>
      </c>
      <c r="G3459" s="8" t="str">
        <f>IFERROR(__xludf.DUMMYFUNCTION("GOOGLETRANSLATE(E3459,""zh-CN"",""vi"")"),"Những hàng dài người xếp hàng chờ xin chữ ký từ các cosplayer khách mời! (Đã đạt được cấp độ cao nhất)")</f>
        <v>Những hàng dài người xếp hàng chờ xin chữ ký từ các cosplayer khách mời! (Đã đạt được cấp độ cao nhất)</v>
      </c>
      <c r="H3459" s="8"/>
      <c r="I3459" s="8"/>
      <c r="J3459" s="8"/>
    </row>
    <row r="3460" ht="21.0" customHeight="1">
      <c r="A3460" s="6">
        <v>11.0</v>
      </c>
      <c r="B3460" s="6">
        <v>1079.0</v>
      </c>
      <c r="C3460" s="6">
        <v>1.0</v>
      </c>
      <c r="D3460" s="15" t="s">
        <v>5697</v>
      </c>
      <c r="E3460" s="9" t="s">
        <v>5698</v>
      </c>
      <c r="F3460" s="8" t="str">
        <f>IFERROR(__xludf.DUMMYFUNCTION("GOOGLETRANSLATE(D3460,""zh-CN"",""vi"")"),"Vé Laser [V]")</f>
        <v>Vé Laser [V]</v>
      </c>
      <c r="G3460" s="8" t="str">
        <f>IFERROR(__xludf.DUMMYFUNCTION("GOOGLETRANSLATE(E3460,""zh-CN"",""vi"")"),"Tỏa sáng rực rỡ, cực kỳ đáng sưu tầm! Kết hợp để nhận được tờ rơi hội chợ truyện tranh [V]")</f>
        <v>Tỏa sáng rực rỡ, cực kỳ đáng sưu tầm! Kết hợp để nhận được tờ rơi hội chợ truyện tranh [V]</v>
      </c>
      <c r="H3460" s="8"/>
      <c r="I3460" s="8"/>
      <c r="J3460" s="8"/>
    </row>
    <row r="3461" ht="21.0" customHeight="1">
      <c r="A3461" s="6">
        <v>11.0</v>
      </c>
      <c r="B3461" s="6">
        <v>1079.0</v>
      </c>
      <c r="C3461" s="6">
        <v>2.0</v>
      </c>
      <c r="D3461" s="15" t="s">
        <v>5699</v>
      </c>
      <c r="E3461" s="9" t="s">
        <v>5700</v>
      </c>
      <c r="F3461" s="8" t="str">
        <f>IFERROR(__xludf.DUMMYFUNCTION("GOOGLETRANSLATE(D3461,""zh-CN"",""vi"")"),"Tờ rơi hội chợ truyện tranh [V]")</f>
        <v>Tờ rơi hội chợ truyện tranh [V]</v>
      </c>
      <c r="G3461" s="8" t="str">
        <f>IFERROR(__xludf.DUMMYFUNCTION("GOOGLETRANSLATE(E3461,""zh-CN"",""vi"")"),"Wow~ Khách mời yêu thích của tôi đang ở Hội chợ truyện tranh Trung Quốc! (Tổng hợp để có được biển hiệu hội chợ truyện tranh [V])")</f>
        <v>Wow~ Khách mời yêu thích của tôi đang ở Hội chợ truyện tranh Trung Quốc! (Tổng hợp để có được biển hiệu hội chợ truyện tranh [V])</v>
      </c>
      <c r="H3461" s="8"/>
      <c r="I3461" s="8"/>
      <c r="J3461" s="8"/>
    </row>
    <row r="3462" ht="21.0" customHeight="1">
      <c r="A3462" s="6">
        <v>11.0</v>
      </c>
      <c r="B3462" s="6">
        <v>1079.0</v>
      </c>
      <c r="C3462" s="6">
        <v>3.0</v>
      </c>
      <c r="D3462" s="15" t="s">
        <v>5701</v>
      </c>
      <c r="E3462" s="9" t="s">
        <v>5702</v>
      </c>
      <c r="F3462" s="8" t="str">
        <f>IFERROR(__xludf.DUMMYFUNCTION("GOOGLETRANSLATE(D3462,""zh-CN"",""vi"")"),"Biển chỉ dẫn hội chợ truyện tranh [V]")</f>
        <v>Biển chỉ dẫn hội chợ truyện tranh [V]</v>
      </c>
      <c r="G3462" s="8" t="str">
        <f>IFERROR(__xludf.DUMMYFUNCTION("GOOGLETRANSLATE(E3462,""zh-CN"",""vi"")"),"Dễ dàng tìm thấy lối vào hội chợ anime~ Kết hợp các vật phẩm để có được bức tường thông tin về hội chợ anime [V]")</f>
        <v>Dễ dàng tìm thấy lối vào hội chợ anime~ Kết hợp các vật phẩm để có được bức tường thông tin về hội chợ anime [V]</v>
      </c>
      <c r="H3462" s="8"/>
      <c r="I3462" s="8"/>
      <c r="J3462" s="8"/>
    </row>
    <row r="3463" ht="21.0" customHeight="1">
      <c r="A3463" s="6">
        <v>11.0</v>
      </c>
      <c r="B3463" s="6">
        <v>1079.0</v>
      </c>
      <c r="C3463" s="6">
        <v>4.0</v>
      </c>
      <c r="D3463" s="15" t="s">
        <v>5703</v>
      </c>
      <c r="E3463" s="9" t="s">
        <v>5704</v>
      </c>
      <c r="F3463" s="8" t="str">
        <f>IFERROR(__xludf.DUMMYFUNCTION("GOOGLETRANSLATE(D3463,""zh-CN"",""vi"")"),"Tường thông tin Comic-Con [V]")</f>
        <v>Tường thông tin Comic-Con [V]</v>
      </c>
      <c r="G3463" s="8" t="str">
        <f>IFERROR(__xludf.DUMMYFUNCTION("GOOGLETRANSLATE(E3463,""zh-CN"",""vi"")"),"Hiểu rõ sơ đồ bố trí địa điểm và lịch trình sự kiện~ Chế tạo cánh cửa nhựa cho hội chợ truyện tranh [V]")</f>
        <v>Hiểu rõ sơ đồ bố trí địa điểm và lịch trình sự kiện~ Chế tạo cánh cửa nhựa cho hội chợ truyện tranh [V]</v>
      </c>
      <c r="H3463" s="8"/>
      <c r="I3463" s="8"/>
      <c r="J3463" s="8"/>
    </row>
    <row r="3464" ht="21.0" customHeight="1">
      <c r="A3464" s="6">
        <v>10.0</v>
      </c>
      <c r="B3464" s="6">
        <v>1079.0</v>
      </c>
      <c r="C3464" s="6">
        <v>5.0</v>
      </c>
      <c r="D3464" s="15" t="s">
        <v>5705</v>
      </c>
      <c r="E3464" s="9" t="s">
        <v>5706</v>
      </c>
      <c r="F3464" s="8" t="str">
        <f>IFERROR(__xludf.DUMMYFUNCTION("GOOGLETRANSLATE(D3464,""zh-CN"",""vi"")"),"Cửa nhựa hội chợ truyện tranh [V]")</f>
        <v>Cửa nhựa hội chợ truyện tranh [V]</v>
      </c>
      <c r="G3464" s="8" t="str">
        <f>IFERROR(__xludf.DUMMYFUNCTION("GOOGLETRANSLATE(E3464,""zh-CN"",""vi"")"),"Điều này đặt ra câu hỏi về năng lực của ban tổ chức. [V] Hình ảnh tổng hợp của một cánh cửa kim loại được sử dụng tại một hội nghị truyện tranh.")</f>
        <v>Điều này đặt ra câu hỏi về năng lực của ban tổ chức. [V] Hình ảnh tổng hợp của một cánh cửa kim loại được sử dụng tại một hội nghị truyện tranh.</v>
      </c>
      <c r="H3464" s="8"/>
      <c r="I3464" s="8"/>
      <c r="J3464" s="8"/>
    </row>
    <row r="3465" ht="21.0" customHeight="1">
      <c r="A3465" s="6">
        <v>10.0</v>
      </c>
      <c r="B3465" s="6">
        <v>1079.0</v>
      </c>
      <c r="C3465" s="6">
        <v>6.0</v>
      </c>
      <c r="D3465" s="15" t="s">
        <v>5707</v>
      </c>
      <c r="E3465" s="9" t="s">
        <v>5708</v>
      </c>
      <c r="F3465" s="8" t="str">
        <f>IFERROR(__xludf.DUMMYFUNCTION("GOOGLETRANSLATE(D3465,""zh-CN"",""vi"")"),"Cửa kim loại tại hội chợ truyện tranh [V]")</f>
        <v>Cửa kim loại tại hội chợ truyện tranh [V]</v>
      </c>
      <c r="G3465" s="8" t="str">
        <f>IFERROR(__xludf.DUMMYFUNCTION("GOOGLETRANSLATE(E3465,""zh-CN"",""vi"")"),"Nó có phong cách giống trò chơi và mang lại cảm giác nhập vai mạnh mẽ. Kết hợp các vật phẩm để có được cổng điện tử dẫn đến hội nghị anime [V].")</f>
        <v>Nó có phong cách giống trò chơi và mang lại cảm giác nhập vai mạnh mẽ. Kết hợp các vật phẩm để có được cổng điện tử dẫn đến hội nghị anime [V].</v>
      </c>
      <c r="H3465" s="8"/>
      <c r="I3465" s="8"/>
      <c r="J3465" s="8"/>
    </row>
    <row r="3466" ht="21.0" customHeight="1">
      <c r="A3466" s="6">
        <v>10.0</v>
      </c>
      <c r="B3466" s="6">
        <v>1079.0</v>
      </c>
      <c r="C3466" s="6">
        <v>7.0</v>
      </c>
      <c r="D3466" s="15" t="s">
        <v>5709</v>
      </c>
      <c r="E3466" s="9" t="s">
        <v>5710</v>
      </c>
      <c r="F3466" s="8" t="str">
        <f>IFERROR(__xludf.DUMMYFUNCTION("GOOGLETRANSLATE(D3466,""zh-CN"",""vi"")"),"Cổng điện tử Comic-Con [V]")</f>
        <v>Cổng điện tử Comic-Con [V]</v>
      </c>
      <c r="G3466" s="8" t="str">
        <f>IFERROR(__xludf.DUMMYFUNCTION("GOOGLETRANSLATE(E3466,""zh-CN"",""vi"")"),"Ánh sáng xung quanh có màu chủ đề của Ukim! Thật là một bất ngờ thú vị! Tổng hợp để có được Bộ sưu tập truyện tranh [V]")</f>
        <v>Ánh sáng xung quanh có màu chủ đề của Ukim! Thật là một bất ngờ thú vị! Tổng hợp để có được Bộ sưu tập truyện tranh [V]</v>
      </c>
      <c r="H3466" s="8"/>
      <c r="I3466" s="8"/>
      <c r="J3466" s="8"/>
    </row>
    <row r="3467" ht="21.0" customHeight="1">
      <c r="A3467" s="6">
        <v>10.0</v>
      </c>
      <c r="B3467" s="6">
        <v>1079.0</v>
      </c>
      <c r="C3467" s="6">
        <v>8.0</v>
      </c>
      <c r="D3467" s="15" t="s">
        <v>5711</v>
      </c>
      <c r="E3467" s="9" t="s">
        <v>5712</v>
      </c>
      <c r="F3467" s="8" t="str">
        <f>IFERROR(__xludf.DUMMYFUNCTION("GOOGLETRANSLATE(D3467,""zh-CN"",""vi"")"),"Phòng triển lãm truyện tranh [V]")</f>
        <v>Phòng triển lãm truyện tranh [V]</v>
      </c>
      <c r="G3467" s="8" t="str">
        <f>IFERROR(__xludf.DUMMYFUNCTION("GOOGLETRANSLATE(E3467,""zh-CN"",""vi"")"),"Bạn có thể mua truyện tranh và tượng nhỏ Trung Quốc để kết hợp và nhận được vật phẩm từ phòng triển lãm trò chơi thời thượng [V].")</f>
        <v>Bạn có thể mua truyện tranh và tượng nhỏ Trung Quốc để kết hợp và nhận được vật phẩm từ phòng triển lãm trò chơi thời thượng [V].</v>
      </c>
      <c r="H3467" s="8"/>
      <c r="I3467" s="8"/>
      <c r="J3467" s="8"/>
    </row>
    <row r="3468" ht="21.0" customHeight="1">
      <c r="A3468" s="6">
        <v>10.0</v>
      </c>
      <c r="B3468" s="6">
        <v>1079.0</v>
      </c>
      <c r="C3468" s="6">
        <v>9.0</v>
      </c>
      <c r="D3468" s="15" t="s">
        <v>5713</v>
      </c>
      <c r="E3468" s="9" t="s">
        <v>5714</v>
      </c>
      <c r="F3468" s="8" t="str">
        <f>IFERROR(__xludf.DUMMYFUNCTION("GOOGLETRANSLATE(D3468,""zh-CN"",""vi"")"),"Showroom Game Thời Thượng [V]")</f>
        <v>Showroom Game Thời Thượng [V]</v>
      </c>
      <c r="G3468" s="8" t="str">
        <f>IFERROR(__xludf.DUMMYFUNCTION("GOOGLETRANSLATE(E3468,""zh-CN"",""vi"")"),"Trải nghiệm những tựa game hoạt hình Trung Quốc mới nhất và hấp dẫn nhất! Tổng hợp để nhận được Phòng Triển lãm Chữ ký Điện tử [V]")</f>
        <v>Trải nghiệm những tựa game hoạt hình Trung Quốc mới nhất và hấp dẫn nhất! Tổng hợp để nhận được Phòng Triển lãm Chữ ký Điện tử [V]</v>
      </c>
      <c r="H3468" s="8"/>
      <c r="I3468" s="8"/>
      <c r="J3468" s="8"/>
    </row>
    <row r="3469" ht="21.0" customHeight="1">
      <c r="A3469" s="6">
        <v>10.0</v>
      </c>
      <c r="B3469" s="6">
        <v>1079.0</v>
      </c>
      <c r="C3469" s="6">
        <v>10.0</v>
      </c>
      <c r="D3469" s="15" t="s">
        <v>5715</v>
      </c>
      <c r="E3469" s="76" t="s">
        <v>5696</v>
      </c>
      <c r="F3469" s="8" t="str">
        <f>IFERROR(__xludf.DUMMYFUNCTION("GOOGLETRANSLATE(D3469,""zh-CN"",""vi"")"),"Gian hàng ký tặng trực tuyến [V]")</f>
        <v>Gian hàng ký tặng trực tuyến [V]</v>
      </c>
      <c r="G3469" s="8" t="str">
        <f>IFERROR(__xludf.DUMMYFUNCTION("GOOGLETRANSLATE(E3469,""zh-CN"",""vi"")"),"Những hàng dài người xếp hàng chờ xin chữ ký từ các cosplayer khách mời! (Đã đạt được cấp độ cao nhất)")</f>
        <v>Những hàng dài người xếp hàng chờ xin chữ ký từ các cosplayer khách mời! (Đã đạt được cấp độ cao nhất)</v>
      </c>
      <c r="H3469" s="8"/>
      <c r="I3469" s="8"/>
      <c r="J3469" s="8"/>
    </row>
    <row r="3470" ht="21.0" customHeight="1">
      <c r="A3470" s="6">
        <v>1.0</v>
      </c>
      <c r="B3470" s="6">
        <v>263.0</v>
      </c>
      <c r="C3470" s="6">
        <v>1.0</v>
      </c>
      <c r="D3470" s="15" t="s">
        <v>5716</v>
      </c>
      <c r="E3470" s="9" t="s">
        <v>5717</v>
      </c>
      <c r="F3470" s="8" t="str">
        <f>IFERROR(__xludf.DUMMYFUNCTION("GOOGLETRANSLATE(D3470,""zh-CN"",""vi"")"),"Tam Quốc Diễn Nghĩa")</f>
        <v>Tam Quốc Diễn Nghĩa</v>
      </c>
      <c r="G3470" s="8" t="str">
        <f>IFERROR(__xludf.DUMMYFUNCTION("GOOGLETRANSLATE(E3470,""zh-CN"",""vi"")"),"Một trong những kiệt tác kinh điển, tràn đầy tinh thần anh hùng! Tổng hợp để có được tiểu thuyết *Phong Thần*.")</f>
        <v>Một trong những kiệt tác kinh điển, tràn đầy tinh thần anh hùng! Tổng hợp để có được tiểu thuyết *Phong Thần*.</v>
      </c>
      <c r="H3470" s="8"/>
      <c r="I3470" s="8"/>
      <c r="J3470" s="8"/>
    </row>
    <row r="3471" ht="21.0" customHeight="1">
      <c r="A3471" s="6">
        <v>1.0</v>
      </c>
      <c r="B3471" s="6">
        <v>263.0</v>
      </c>
      <c r="C3471" s="6">
        <v>2.0</v>
      </c>
      <c r="D3471" s="15" t="s">
        <v>5718</v>
      </c>
      <c r="E3471" s="9" t="s">
        <v>5719</v>
      </c>
      <c r="F3471" s="8" t="str">
        <f>IFERROR(__xludf.DUMMYFUNCTION("GOOGLETRANSLATE(D3471,""zh-CN"",""vi"")"),"Lễ phong thần")</f>
        <v>Lễ phong thần</v>
      </c>
      <c r="G3471" s="8" t="str">
        <f>IFERROR(__xludf.DUMMYFUNCTION("GOOGLETRANSLATE(E3471,""zh-CN"",""vi"")"),"Bối cảnh được xây dựng tỉ mỉ, dẫn đến vô số tác phẩm do người hâm mộ sáng tạo. (Văn bản sau đó đề cập đến việc tổng hợp các yếu tố từ tiểu thuyết Tây Du Ký.)")</f>
        <v>Bối cảnh được xây dựng tỉ mỉ, dẫn đến vô số tác phẩm do người hâm mộ sáng tạo. (Văn bản sau đó đề cập đến việc tổng hợp các yếu tố từ tiểu thuyết Tây Du Ký.)</v>
      </c>
      <c r="H3471" s="8"/>
      <c r="I3471" s="8"/>
      <c r="J3471" s="8"/>
    </row>
    <row r="3472" ht="21.0" customHeight="1">
      <c r="A3472" s="6">
        <v>1.0</v>
      </c>
      <c r="B3472" s="6">
        <v>263.0</v>
      </c>
      <c r="C3472" s="6">
        <v>3.0</v>
      </c>
      <c r="D3472" s="15" t="s">
        <v>5720</v>
      </c>
      <c r="E3472" s="9" t="s">
        <v>5721</v>
      </c>
      <c r="F3472" s="8" t="str">
        <f>IFERROR(__xludf.DUMMYFUNCTION("GOOGLETRANSLATE(D3472,""zh-CN"",""vi"")"),"Tiểu thuyết Tây Du Ký")</f>
        <v>Tiểu thuyết Tây Du Ký</v>
      </c>
      <c r="G3472" s="8" t="str">
        <f>IFERROR(__xludf.DUMMYFUNCTION("GOOGLETRANSLATE(E3472,""zh-CN"",""vi"")"),"Thế giới của thần ma, một cõi thần tiên, mở ra ở đây~ Tổng hợp để nhận được truyện tranh Tam Quốc.")</f>
        <v>Thế giới của thần ma, một cõi thần tiên, mở ra ở đây~ Tổng hợp để nhận được truyện tranh Tam Quốc.</v>
      </c>
      <c r="H3472" s="8"/>
      <c r="I3472" s="8"/>
      <c r="J3472" s="8"/>
    </row>
    <row r="3473" ht="21.0" customHeight="1">
      <c r="A3473" s="6">
        <v>1.0</v>
      </c>
      <c r="B3473" s="6">
        <v>263.0</v>
      </c>
      <c r="C3473" s="6">
        <v>4.0</v>
      </c>
      <c r="D3473" s="15" t="s">
        <v>5722</v>
      </c>
      <c r="E3473" s="9" t="s">
        <v>5723</v>
      </c>
      <c r="F3473" s="8" t="str">
        <f>IFERROR(__xludf.DUMMYFUNCTION("GOOGLETRANSLATE(D3473,""zh-CN"",""vi"")"),"Truyện tranh Tam Quốc")</f>
        <v>Truyện tranh Tam Quốc</v>
      </c>
      <c r="G3473" s="8" t="str">
        <f>IFERROR(__xludf.DUMMYFUNCTION("GOOGLETRANSLATE(E3473,""zh-CN"",""vi"")"),"Đây là một tác phẩm do người hâm mộ sáng tạo, kể một câu chuyện độc đáo và thú vị về thời Tam Quốc. (Văn bản sau đó đề cập đến việc tổng hợp các nhân vật để tạo ra một truyện tranh ""Phong Thần"".)")</f>
        <v>Đây là một tác phẩm do người hâm mộ sáng tạo, kể một câu chuyện độc đáo và thú vị về thời Tam Quốc. (Văn bản sau đó đề cập đến việc tổng hợp các nhân vật để tạo ra một truyện tranh "Phong Thần".)</v>
      </c>
      <c r="H3473" s="8"/>
      <c r="I3473" s="8"/>
      <c r="J3473" s="8"/>
    </row>
    <row r="3474" ht="21.0" customHeight="1">
      <c r="A3474" s="6">
        <v>1.0</v>
      </c>
      <c r="B3474" s="6">
        <v>263.0</v>
      </c>
      <c r="C3474" s="6">
        <v>5.0</v>
      </c>
      <c r="D3474" s="15" t="s">
        <v>5724</v>
      </c>
      <c r="E3474" s="9" t="s">
        <v>5725</v>
      </c>
      <c r="F3474" s="8" t="str">
        <f>IFERROR(__xludf.DUMMYFUNCTION("GOOGLETRANSLATE(D3474,""zh-CN"",""vi"")"),"Truyện tranh Fengshen")</f>
        <v>Truyện tranh Fengshen</v>
      </c>
      <c r="G3474" s="8" t="str">
        <f>IFERROR(__xludf.DUMMYFUNCTION("GOOGLETRANSLATE(E3474,""zh-CN"",""vi"")"),"Trò chơi tập trung vào câu chuyện tình yêu giữa Đại Cơ và Chu Tước. (Trò chơi yêu cầu người chơi kết hợp các yếu tố để có được một cuốn truyện tranh Tây Du Ký.)")</f>
        <v>Trò chơi tập trung vào câu chuyện tình yêu giữa Đại Cơ và Chu Tước. (Trò chơi yêu cầu người chơi kết hợp các yếu tố để có được một cuốn truyện tranh Tây Du Ký.)</v>
      </c>
      <c r="H3474" s="8"/>
      <c r="I3474" s="8"/>
      <c r="J3474" s="8"/>
    </row>
    <row r="3475" ht="21.0" customHeight="1">
      <c r="A3475" s="6">
        <v>1.0</v>
      </c>
      <c r="B3475" s="6">
        <v>263.0</v>
      </c>
      <c r="C3475" s="6">
        <v>6.0</v>
      </c>
      <c r="D3475" s="15" t="s">
        <v>5726</v>
      </c>
      <c r="E3475" s="9" t="s">
        <v>5727</v>
      </c>
      <c r="F3475" s="8" t="str">
        <f>IFERROR(__xludf.DUMMYFUNCTION("GOOGLETRANSLATE(D3475,""zh-CN"",""vi"")"),"Truyện tranh Tây Du Ký")</f>
        <v>Truyện tranh Tây Du Ký</v>
      </c>
      <c r="G3475" s="8" t="str">
        <f>IFERROR(__xludf.DUMMYFUNCTION("GOOGLETRANSLATE(E3475,""zh-CN"",""vi"")"),"Câu chuyện hé lộ âm mưu đằng sau Tây Du Ký. Tổng hợp để có được bộ anime Tam Quốc Chí.")</f>
        <v>Câu chuyện hé lộ âm mưu đằng sau Tây Du Ký. Tổng hợp để có được bộ anime Tam Quốc Chí.</v>
      </c>
      <c r="H3475" s="8"/>
      <c r="I3475" s="8"/>
      <c r="J3475" s="8"/>
    </row>
    <row r="3476" ht="21.0" customHeight="1">
      <c r="A3476" s="6">
        <v>1.0</v>
      </c>
      <c r="B3476" s="6">
        <v>263.0</v>
      </c>
      <c r="C3476" s="6">
        <v>7.0</v>
      </c>
      <c r="D3476" s="9" t="s">
        <v>5728</v>
      </c>
      <c r="E3476" s="9" t="s">
        <v>5729</v>
      </c>
      <c r="F3476" s="8" t="str">
        <f>IFERROR(__xludf.DUMMYFUNCTION("GOOGLETRANSLATE(D3476,""zh-CN"",""vi"")"),"Anime Tam Quốc Chí")</f>
        <v>Anime Tam Quốc Chí</v>
      </c>
      <c r="G3476" s="8" t="str">
        <f>IFERROR(__xludf.DUMMYFUNCTION("GOOGLETRANSLATE(E3476,""zh-CN"",""vi"")"),"Phim hoạt hình kinh điển, vẫn gợi lên cảm giác u buồn mỗi khi xem lại. (Tổng hợp để có được phim hoạt hình đỉnh cao)")</f>
        <v>Phim hoạt hình kinh điển, vẫn gợi lên cảm giác u buồn mỗi khi xem lại. (Tổng hợp để có được phim hoạt hình đỉnh cao)</v>
      </c>
      <c r="H3476" s="8"/>
      <c r="I3476" s="8"/>
      <c r="J3476" s="8"/>
    </row>
    <row r="3477" ht="21.0" customHeight="1">
      <c r="A3477" s="6">
        <v>1.0</v>
      </c>
      <c r="B3477" s="6">
        <v>263.0</v>
      </c>
      <c r="C3477" s="6">
        <v>8.0</v>
      </c>
      <c r="D3477" s="9" t="s">
        <v>5730</v>
      </c>
      <c r="E3477" s="9" t="s">
        <v>5731</v>
      </c>
      <c r="F3477" s="8" t="str">
        <f>IFERROR(__xludf.DUMMYFUNCTION("GOOGLETRANSLATE(D3477,""zh-CN"",""vi"")"),"Anime Phong Thần")</f>
        <v>Anime Phong Thần</v>
      </c>
      <c r="G3477" s="8" t="str">
        <f>IFERROR(__xludf.DUMMYFUNCTION("GOOGLETRANSLATE(E3477,""zh-CN"",""vi"")"),"Câu chuyện bắt đầu với một đứa trẻ ba tuổi. (Tiếp theo là một câu dường như không liên quan: ""Tổng hợp để có được hoạt hình Tây Du Ký."")")</f>
        <v>Câu chuyện bắt đầu với một đứa trẻ ba tuổi. (Tiếp theo là một câu dường như không liên quan: "Tổng hợp để có được hoạt hình Tây Du Ký.")</v>
      </c>
      <c r="H3477" s="8"/>
      <c r="I3477" s="8"/>
      <c r="J3477" s="8"/>
    </row>
    <row r="3478" ht="21.0" customHeight="1">
      <c r="A3478" s="6">
        <v>1.0</v>
      </c>
      <c r="B3478" s="6">
        <v>263.0</v>
      </c>
      <c r="C3478" s="6">
        <v>9.0</v>
      </c>
      <c r="D3478" s="9" t="s">
        <v>5732</v>
      </c>
      <c r="E3478" s="9" t="s">
        <v>5733</v>
      </c>
      <c r="F3478" s="8" t="str">
        <f>IFERROR(__xludf.DUMMYFUNCTION("GOOGLETRANSLATE(D3478,""zh-CN"",""vi"")"),"Phim hoạt hình Tây Du Ký")</f>
        <v>Phim hoạt hình Tây Du Ký</v>
      </c>
      <c r="G3478" s="8" t="str">
        <f>IFERROR(__xludf.DUMMYFUNCTION("GOOGLETRANSLATE(E3478,""zh-CN"",""vi"")"),"Tôi luôn mơ ước được sở hữu một cây gậy cho riêng mình~ (Đây là ý tưởng từ trò chơi Thủy Hử, nơi bạn có thể tổng hợp các loại gậy.)")</f>
        <v>Tôi luôn mơ ước được sở hữu một cây gậy cho riêng mình~ (Đây là ý tưởng từ trò chơi Thủy Hử, nơi bạn có thể tổng hợp các loại gậy.)</v>
      </c>
      <c r="H3478" s="8"/>
      <c r="I3478" s="8"/>
      <c r="J3478" s="8"/>
    </row>
    <row r="3479" ht="21.0" customHeight="1">
      <c r="A3479" s="6">
        <v>1.0</v>
      </c>
      <c r="B3479" s="6">
        <v>263.0</v>
      </c>
      <c r="C3479" s="6">
        <v>10.0</v>
      </c>
      <c r="D3479" s="9" t="s">
        <v>5734</v>
      </c>
      <c r="E3479" s="9" t="s">
        <v>5735</v>
      </c>
      <c r="F3479" s="8" t="str">
        <f>IFERROR(__xludf.DUMMYFUNCTION("GOOGLETRANSLATE(D3479,""zh-CN"",""vi"")"),"Trò chơi Thủy Hử")</f>
        <v>Trò chơi Thủy Hử</v>
      </c>
      <c r="G3479" s="8" t="str">
        <f>IFERROR(__xludf.DUMMYFUNCTION("GOOGLETRANSLATE(E3479,""zh-CN"",""vi"")"),"Hãy hành động vì Thiên đường! Tìm cách báo thù và trừng phạt kẻ thù một cách nhanh chóng! Tổng hợp để có được trò chơi Tam Quốc.")</f>
        <v>Hãy hành động vì Thiên đường! Tìm cách báo thù và trừng phạt kẻ thù một cách nhanh chóng! Tổng hợp để có được trò chơi Tam Quốc.</v>
      </c>
      <c r="H3479" s="8"/>
      <c r="I3479" s="8"/>
      <c r="J3479" s="8"/>
    </row>
    <row r="3480" ht="21.0" customHeight="1">
      <c r="A3480" s="6">
        <v>1.0</v>
      </c>
      <c r="B3480" s="6">
        <v>263.0</v>
      </c>
      <c r="C3480" s="6">
        <v>11.0</v>
      </c>
      <c r="D3480" s="9" t="s">
        <v>5736</v>
      </c>
      <c r="E3480" s="9" t="s">
        <v>5737</v>
      </c>
      <c r="F3480" s="8" t="str">
        <f>IFERROR(__xludf.DUMMYFUNCTION("GOOGLETRANSLATE(D3480,""zh-CN"",""vi"")"),"Trò chơi Tam Quốc")</f>
        <v>Trò chơi Tam Quốc</v>
      </c>
      <c r="G3480" s="8" t="str">
        <f>IFERROR(__xludf.DUMMYFUNCTION("GOOGLETRANSLATE(E3480,""zh-CN"",""vi"")"),"Viết lại lịch sử và hướng tới tương lai bạn mong muốn! Hợp nhất để có được trò chơi Thần thánh.")</f>
        <v>Viết lại lịch sử và hướng tới tương lai bạn mong muốn! Hợp nhất để có được trò chơi Thần thánh.</v>
      </c>
      <c r="H3480" s="8"/>
      <c r="I3480" s="8"/>
      <c r="J3480" s="8"/>
    </row>
    <row r="3481" ht="21.0" customHeight="1">
      <c r="A3481" s="6">
        <v>1.0</v>
      </c>
      <c r="B3481" s="6">
        <v>263.0</v>
      </c>
      <c r="C3481" s="6">
        <v>12.0</v>
      </c>
      <c r="D3481" s="9" t="s">
        <v>5738</v>
      </c>
      <c r="E3481" s="9" t="s">
        <v>5739</v>
      </c>
      <c r="F3481" s="8" t="str">
        <f>IFERROR(__xludf.DUMMYFUNCTION("GOOGLETRANSLATE(D3481,""zh-CN"",""vi"")"),"trò chơi phong thần")</f>
        <v>trò chơi phong thần</v>
      </c>
      <c r="G3481" s="8" t="str">
        <f>IFERROR(__xludf.DUMMYFUNCTION("GOOGLETRANSLATE(E3481,""zh-CN"",""vi"")"),"Tôi liên tục nghiên cứu các tổ hợp trang bị và kỹ năng, tôi không thể dừng lại! Tôi đang tổng hợp các vật phẩm để có được các vật phẩm từ trò chơi Tây Du Ký.")</f>
        <v>Tôi liên tục nghiên cứu các tổ hợp trang bị và kỹ năng, tôi không thể dừng lại! Tôi đang tổng hợp các vật phẩm để có được các vật phẩm từ trò chơi Tây Du Ký.</v>
      </c>
      <c r="H3481" s="8"/>
      <c r="I3481" s="8"/>
      <c r="J3481" s="8"/>
    </row>
    <row r="3482" ht="21.0" customHeight="1">
      <c r="A3482" s="6">
        <v>1.0</v>
      </c>
      <c r="B3482" s="6">
        <v>263.0</v>
      </c>
      <c r="C3482" s="6">
        <v>13.0</v>
      </c>
      <c r="D3482" s="9" t="s">
        <v>5740</v>
      </c>
      <c r="E3482" s="9" t="s">
        <v>5741</v>
      </c>
      <c r="F3482" s="8" t="str">
        <f>IFERROR(__xludf.DUMMYFUNCTION("GOOGLETRANSLATE(D3482,""zh-CN"",""vi"")"),"Trò chơi Tây Du Ký")</f>
        <v>Trò chơi Tây Du Ký</v>
      </c>
      <c r="G3482" s="8" t="str">
        <f>IFERROR(__xludf.DUMMYFUNCTION("GOOGLETRANSLATE(E3482,""zh-CN"",""vi"")"),"Cuối cùng tôi đã thực hiện được ước mơ thời thơ ấu của mình! Giờ đây nó đã đạt đến đỉnh cao.")</f>
        <v>Cuối cùng tôi đã thực hiện được ước mơ thời thơ ấu của mình! Giờ đây nó đã đạt đến đỉnh cao.</v>
      </c>
      <c r="H3482" s="8"/>
      <c r="I3482" s="8"/>
      <c r="J3482" s="8"/>
    </row>
    <row r="3483" ht="21.0" customHeight="1">
      <c r="A3483" s="6">
        <v>1.0</v>
      </c>
      <c r="B3483" s="6">
        <v>264.0</v>
      </c>
      <c r="C3483" s="6">
        <v>1.0</v>
      </c>
      <c r="D3483" s="15" t="s">
        <v>5742</v>
      </c>
      <c r="E3483" s="9" t="s">
        <v>5743</v>
      </c>
      <c r="F3483" s="8" t="str">
        <f>IFERROR(__xludf.DUMMYFUNCTION("GOOGLETRANSLATE(D3483,""zh-CN"",""vi"")"),"Thẻ đánh dấu trang theo chủ đề Tây Du Ký")</f>
        <v>Thẻ đánh dấu trang theo chủ đề Tây Du Ký</v>
      </c>
      <c r="G3483" s="8" t="str">
        <f>IFERROR(__xludf.DUMMYFUNCTION("GOOGLETRANSLATE(E3483,""zh-CN"",""vi"")"),"Cây gậy vàng mang lại may mắn! Kết hợp chúng để nhận được hình dán Quan Vũ.")</f>
        <v>Cây gậy vàng mang lại may mắn! Kết hợp chúng để nhận được hình dán Quan Vũ.</v>
      </c>
      <c r="H3483" s="8"/>
      <c r="I3483" s="8"/>
      <c r="J3483" s="8"/>
    </row>
    <row r="3484" ht="21.0" customHeight="1">
      <c r="A3484" s="6">
        <v>1.0</v>
      </c>
      <c r="B3484" s="6">
        <v>264.0</v>
      </c>
      <c r="C3484" s="6">
        <v>2.0</v>
      </c>
      <c r="D3484" s="15" t="s">
        <v>5744</v>
      </c>
      <c r="E3484" s="9" t="s">
        <v>5745</v>
      </c>
      <c r="F3484" s="8" t="str">
        <f>IFERROR(__xludf.DUMMYFUNCTION("GOOGLETRANSLATE(D3484,""zh-CN"",""vi"")"),"Hình dán Quan Vũ")</f>
        <v>Hình dán Quan Vũ</v>
      </c>
      <c r="G3484" s="8" t="str">
        <f>IFERROR(__xludf.DUMMYFUNCTION("GOOGLETRANSLATE(E3484,""zh-CN"",""vi"")"),"Guan Sheng Di Jun (Quan Sinh Quân) trừ tà và xua đuổi tà ma! Kết hợp chúng để nhận được huy hiệu chủ đề Nezha.")</f>
        <v>Guan Sheng Di Jun (Quan Sinh Quân) trừ tà và xua đuổi tà ma! Kết hợp chúng để nhận được huy hiệu chủ đề Nezha.</v>
      </c>
      <c r="H3484" s="8"/>
      <c r="I3484" s="8"/>
      <c r="J3484" s="8"/>
    </row>
    <row r="3485" ht="21.0" customHeight="1">
      <c r="A3485" s="6">
        <v>1.0</v>
      </c>
      <c r="B3485" s="6">
        <v>264.0</v>
      </c>
      <c r="C3485" s="6">
        <v>3.0</v>
      </c>
      <c r="D3485" s="15" t="s">
        <v>5746</v>
      </c>
      <c r="E3485" s="9" t="s">
        <v>5747</v>
      </c>
      <c r="F3485" s="8" t="str">
        <f>IFERROR(__xludf.DUMMYFUNCTION("GOOGLETRANSLATE(D3485,""zh-CN"",""vi"")"),"Huy hiệu theo chủ đề Nezha")</f>
        <v>Huy hiệu theo chủ đề Nezha</v>
      </c>
      <c r="G3485" s="8" t="str">
        <f>IFERROR(__xludf.DUMMYFUNCTION("GOOGLETRANSLATE(E3485,""zh-CN"",""vi"")"),"Chiếc huy hiệu hoa sen đáng yêu đã được treo ở đó từ lâu. Kết hợp cả hai, bạn có thể nhận được mặt dây chuyền acrylic Daji.")</f>
        <v>Chiếc huy hiệu hoa sen đáng yêu đã được treo ở đó từ lâu. Kết hợp cả hai, bạn có thể nhận được mặt dây chuyền acrylic Daji.</v>
      </c>
      <c r="H3485" s="8"/>
      <c r="I3485" s="8"/>
      <c r="J3485" s="8"/>
    </row>
    <row r="3486" ht="21.0" customHeight="1">
      <c r="A3486" s="6">
        <v>1.0</v>
      </c>
      <c r="B3486" s="6">
        <v>264.0</v>
      </c>
      <c r="C3486" s="6">
        <v>4.0</v>
      </c>
      <c r="D3486" s="15" t="s">
        <v>5748</v>
      </c>
      <c r="E3486" s="9" t="s">
        <v>5749</v>
      </c>
      <c r="F3486" s="8" t="str">
        <f>IFERROR(__xludf.DUMMYFUNCTION("GOOGLETRANSLATE(D3486,""zh-CN"",""vi"")"),"Mặt dây chuyền acrylic Daji")</f>
        <v>Mặt dây chuyền acrylic Daji</v>
      </c>
      <c r="G3486" s="8" t="str">
        <f>IFERROR(__xludf.DUMMYFUNCTION("GOOGLETRANSLATE(E3486,""zh-CN"",""vi"")"),"Đôi khi tôi cảm thấy mình cũng có dòng máu cáo trong người. (Hoàn thành quá trình chế tạo để nhận được mô hình người câu cá Giang Thái Công.)")</f>
        <v>Đôi khi tôi cảm thấy mình cũng có dòng máu cáo trong người. (Hoàn thành quá trình chế tạo để nhận được mô hình người câu cá Giang Thái Công.)</v>
      </c>
      <c r="H3486" s="8"/>
      <c r="I3486" s="8"/>
      <c r="J3486" s="8"/>
    </row>
    <row r="3487" ht="21.0" customHeight="1">
      <c r="A3487" s="6">
        <v>1.0</v>
      </c>
      <c r="B3487" s="6">
        <v>264.0</v>
      </c>
      <c r="C3487" s="6">
        <v>5.0</v>
      </c>
      <c r="D3487" s="15" t="s">
        <v>5750</v>
      </c>
      <c r="E3487" s="9" t="s">
        <v>5751</v>
      </c>
      <c r="F3487" s="8" t="str">
        <f>IFERROR(__xludf.DUMMYFUNCTION("GOOGLETRANSLATE(D3487,""zh-CN"",""vi"")"),"Trạm câu cá Jiang Taigong")</f>
        <v>Trạm câu cá Jiang Taigong</v>
      </c>
      <c r="G3487" s="8" t="str">
        <f>IFERROR(__xludf.DUMMYFUNCTION("GOOGLETRANSLATE(E3487,""zh-CN"",""vi"")"),"Hãy nhớ kiên nhẫn. Kết hợp chúng lại để có được bộ bài chủ đề Nezha.")</f>
        <v>Hãy nhớ kiên nhẫn. Kết hợp chúng lại để có được bộ bài chủ đề Nezha.</v>
      </c>
      <c r="H3487" s="8"/>
      <c r="I3487" s="8"/>
      <c r="J3487" s="8"/>
    </row>
    <row r="3488" ht="21.0" customHeight="1">
      <c r="A3488" s="6">
        <v>1.0</v>
      </c>
      <c r="B3488" s="6">
        <v>264.0</v>
      </c>
      <c r="C3488" s="6">
        <v>6.0</v>
      </c>
      <c r="D3488" s="15" t="s">
        <v>5752</v>
      </c>
      <c r="E3488" s="9" t="s">
        <v>5753</v>
      </c>
      <c r="F3488" s="8" t="str">
        <f>IFERROR(__xludf.DUMMYFUNCTION("GOOGLETRANSLATE(D3488,""zh-CN"",""vi"")"),"Bao đựng thẻ bài chủ đề Nezha")</f>
        <v>Bao đựng thẻ bài chủ đề Nezha</v>
      </c>
      <c r="G3488" s="8" t="str">
        <f>IFERROR(__xludf.DUMMYFUNCTION("GOOGLETRANSLATE(E3488,""zh-CN"",""vi"")"),"Bao đựng thẻ màu đỏ, mang theo lời chúc phúc riêng~ Kết hợp chúng để có được bút máy của Chu Lang.")</f>
        <v>Bao đựng thẻ màu đỏ, mang theo lời chúc phúc riêng~ Kết hợp chúng để có được bút máy của Chu Lang.</v>
      </c>
      <c r="H3488" s="8"/>
      <c r="I3488" s="8"/>
      <c r="J3488" s="8"/>
    </row>
    <row r="3489" ht="21.0" customHeight="1">
      <c r="A3489" s="6">
        <v>1.0</v>
      </c>
      <c r="B3489" s="6">
        <v>264.0</v>
      </c>
      <c r="C3489" s="6">
        <v>7.0</v>
      </c>
      <c r="D3489" s="15" t="s">
        <v>5754</v>
      </c>
      <c r="E3489" s="9" t="s">
        <v>5755</v>
      </c>
      <c r="F3489" s="8" t="str">
        <f>IFERROR(__xludf.DUMMYFUNCTION("GOOGLETRANSLATE(D3489,""zh-CN"",""vi"")"),"Bút máy Zhou Lang")</f>
        <v>Bút máy Zhou Lang</v>
      </c>
      <c r="G3489" s="8" t="str">
        <f>IFERROR(__xludf.DUMMYFUNCTION("GOOGLETRANSLATE(E3489,""zh-CN"",""vi"")"),"Với chiếc quạt lông vũ và khăn xếp lụa, cùng phong thái anh hùng, hãy kết hợp chúng để có được Túi Tiền Đào của Đại Thánh.")</f>
        <v>Với chiếc quạt lông vũ và khăn xếp lụa, cùng phong thái anh hùng, hãy kết hợp chúng để có được Túi Tiền Đào của Đại Thánh.</v>
      </c>
      <c r="H3489" s="8"/>
      <c r="I3489" s="8"/>
      <c r="J3489" s="8"/>
    </row>
    <row r="3490" ht="21.0" customHeight="1">
      <c r="A3490" s="6">
        <v>1.0</v>
      </c>
      <c r="B3490" s="6">
        <v>264.0</v>
      </c>
      <c r="C3490" s="6">
        <v>8.0</v>
      </c>
      <c r="D3490" s="15" t="s">
        <v>5756</v>
      </c>
      <c r="E3490" s="9" t="s">
        <v>5757</v>
      </c>
      <c r="F3490" s="8" t="str">
        <f>IFERROR(__xludf.DUMMYFUNCTION("GOOGLETRANSLATE(D3490,""zh-CN"",""vi"")"),"Ví đựng tiền xu hình quả đào của Tôn Ngộ Không")</f>
        <v>Ví đựng tiền xu hình quả đào của Tôn Ngộ Không</v>
      </c>
      <c r="G3490" s="8" t="str">
        <f>IFERROR(__xludf.DUMMYFUNCTION("GOOGLETRANSLATE(E3490,""zh-CN"",""vi"")"),"Quả đào khổng lồ của tôi đâu rồi? (Nó được dùng để chế tạo Thanh Long Nguyệt Đao.)")</f>
        <v>Quả đào khổng lồ của tôi đâu rồi? (Nó được dùng để chế tạo Thanh Long Nguyệt Đao.)</v>
      </c>
      <c r="H3490" s="8"/>
      <c r="I3490" s="8"/>
      <c r="J3490" s="8"/>
    </row>
    <row r="3491" ht="21.0" customHeight="1">
      <c r="A3491" s="6">
        <v>1.0</v>
      </c>
      <c r="B3491" s="6">
        <v>264.0</v>
      </c>
      <c r="C3491" s="6">
        <v>9.0</v>
      </c>
      <c r="D3491" s="15" t="s">
        <v>5758</v>
      </c>
      <c r="E3491" s="9" t="s">
        <v>5759</v>
      </c>
      <c r="F3491" s="8" t="str">
        <f>IFERROR(__xludf.DUMMYFUNCTION("GOOGLETRANSLATE(D3491,""zh-CN"",""vi"")"),"Lưỡi liềm Rồng Xanh")</f>
        <v>Lưỡi liềm Rồng Xanh</v>
      </c>
      <c r="G3491" s="8" t="str">
        <f>IFERROR(__xludf.DUMMYFUNCTION("GOOGLETRANSLATE(E3491,""zh-CN"",""vi"")"),"Trẻ em sẽ thích con dao đồ chơi này. Kết hợp chúng lại để tạo thành bình nước Wuneng.")</f>
        <v>Trẻ em sẽ thích con dao đồ chơi này. Kết hợp chúng lại để tạo thành bình nước Wuneng.</v>
      </c>
      <c r="H3491" s="8"/>
      <c r="I3491" s="8"/>
      <c r="J3491" s="8"/>
    </row>
    <row r="3492" ht="21.0" customHeight="1">
      <c r="A3492" s="6">
        <v>1.0</v>
      </c>
      <c r="B3492" s="6">
        <v>264.0</v>
      </c>
      <c r="C3492" s="6">
        <v>10.0</v>
      </c>
      <c r="D3492" s="15" t="s">
        <v>5760</v>
      </c>
      <c r="E3492" s="9" t="s">
        <v>5761</v>
      </c>
      <c r="F3492" s="8" t="str">
        <f>IFERROR(__xludf.DUMMYFUNCTION("GOOGLETRANSLATE(D3492,""zh-CN"",""vi"")"),"Cốc nước Wuneng")</f>
        <v>Cốc nước Wuneng</v>
      </c>
      <c r="G3492" s="8" t="str">
        <f>IFERROR(__xludf.DUMMYFUNCTION("GOOGLETRANSLATE(E3492,""zh-CN"",""vi"")"),"Hình dáng tròn trịa và tinh tế, nó có thể được dùng như một bức tượng nhỏ hoặc một chiếc cốc uống nước. Kết hợp chúng lại để tạo thành một bức tượng Tam Tạng theo phong cách chibi.")</f>
        <v>Hình dáng tròn trịa và tinh tế, nó có thể được dùng như một bức tượng nhỏ hoặc một chiếc cốc uống nước. Kết hợp chúng lại để tạo thành một bức tượng Tam Tạng theo phong cách chibi.</v>
      </c>
      <c r="H3492" s="8"/>
      <c r="I3492" s="8"/>
      <c r="J3492" s="8"/>
    </row>
    <row r="3493" ht="21.0" customHeight="1">
      <c r="A3493" s="6">
        <v>1.0</v>
      </c>
      <c r="B3493" s="6">
        <v>264.0</v>
      </c>
      <c r="C3493" s="6">
        <v>11.0</v>
      </c>
      <c r="D3493" s="15" t="s">
        <v>5762</v>
      </c>
      <c r="E3493" s="9" t="s">
        <v>5763</v>
      </c>
      <c r="F3493" s="8" t="str">
        <f>IFERROR(__xludf.DUMMYFUNCTION("GOOGLETRANSLATE(D3493,""zh-CN"",""vi"")"),"Tượng Tam Tạng phiên bản Q")</f>
        <v>Tượng Tam Tạng phiên bản Q</v>
      </c>
      <c r="G3493" s="8" t="str">
        <f>IFERROR(__xludf.DUMMYFUNCTION("GOOGLETRANSLATE(E3493,""zh-CN"",""vi"")"),"Thật không may, nó không thể dùng để đựng nước~ Chế tạo nó sẽ cho ra một chiếc gối Nezha.")</f>
        <v>Thật không may, nó không thể dùng để đựng nước~ Chế tạo nó sẽ cho ra một chiếc gối Nezha.</v>
      </c>
      <c r="H3493" s="8"/>
      <c r="I3493" s="8"/>
      <c r="J3493" s="8"/>
    </row>
    <row r="3494" ht="21.0" customHeight="1">
      <c r="A3494" s="6">
        <v>1.0</v>
      </c>
      <c r="B3494" s="6">
        <v>264.0</v>
      </c>
      <c r="C3494" s="6">
        <v>12.0</v>
      </c>
      <c r="D3494" s="15" t="s">
        <v>5764</v>
      </c>
      <c r="E3494" s="9" t="s">
        <v>5765</v>
      </c>
      <c r="F3494" s="8" t="str">
        <f>IFERROR(__xludf.DUMMYFUNCTION("GOOGLETRANSLATE(D3494,""zh-CN"",""vi"")"),"Gối Nezha")</f>
        <v>Gối Nezha</v>
      </c>
      <c r="G3494" s="8" t="str">
        <f>IFERROR(__xludf.DUMMYFUNCTION("GOOGLETRANSLATE(E3494,""zh-CN"",""vi"")"),"Tôi mơ thấy mình cũng có Lốc Gió và có thể bay! (Tổng hợp để có được túi ita-bag hợp tác với Wukong)")</f>
        <v>Tôi mơ thấy mình cũng có Lốc Gió và có thể bay! (Tổng hợp để có được túi ita-bag hợp tác với Wukong)</v>
      </c>
      <c r="H3494" s="8"/>
      <c r="I3494" s="8"/>
      <c r="J3494" s="8"/>
    </row>
    <row r="3495" ht="21.0" customHeight="1">
      <c r="A3495" s="6">
        <v>1.0</v>
      </c>
      <c r="B3495" s="6">
        <v>264.0</v>
      </c>
      <c r="C3495" s="6">
        <v>13.0</v>
      </c>
      <c r="D3495" s="15" t="s">
        <v>5766</v>
      </c>
      <c r="E3495" s="9" t="s">
        <v>5767</v>
      </c>
      <c r="F3495" s="8" t="str">
        <f>IFERROR(__xludf.DUMMYFUNCTION("GOOGLETRANSLATE(D3495,""zh-CN"",""vi"")"),"Túi itabag hợp tác với Wukong")</f>
        <v>Túi itabag hợp tác với Wukong</v>
      </c>
      <c r="G3495" s="8" t="str">
        <f>IFERROR(__xludf.DUMMYFUNCTION("GOOGLETRANSLATE(E3495,""zh-CN"",""vi"")"),"Với chiếc túi này, bạn sẽ là người sành điệu nhất lớp. (Đã được nâng cấp lên cấp độ cao nhất)")</f>
        <v>Với chiếc túi này, bạn sẽ là người sành điệu nhất lớp. (Đã được nâng cấp lên cấp độ cao nhất)</v>
      </c>
      <c r="H3495" s="8"/>
      <c r="I3495" s="8"/>
      <c r="J3495" s="8"/>
    </row>
    <row r="3496" ht="21.0" customHeight="1">
      <c r="A3496" s="6">
        <v>1.0</v>
      </c>
      <c r="B3496" s="6">
        <v>265.0</v>
      </c>
      <c r="C3496" s="6">
        <v>1.0</v>
      </c>
      <c r="D3496" s="15" t="s">
        <v>5768</v>
      </c>
      <c r="E3496" s="9" t="s">
        <v>5769</v>
      </c>
      <c r="F3496" s="8" t="str">
        <f>IFERROR(__xludf.DUMMYFUNCTION("GOOGLETRANSLATE(D3496,""zh-CN"",""vi"")"),"cuống vé hội chợ truyện tranh")</f>
        <v>cuống vé hội chợ truyện tranh</v>
      </c>
      <c r="G3496" s="8" t="str">
        <f>IFERROR(__xludf.DUMMYFUNCTION("GOOGLETRANSLATE(E3496,""zh-CN"",""vi"")"),"Chụp ảnh, tải lên WeChat Moments và nhận lượt thích—tất cả chỉ trong một thao tác. Kết hợp chúng lại để tạo ra khăn ướt theo phong cách anime.")</f>
        <v>Chụp ảnh, tải lên WeChat Moments và nhận lượt thích—tất cả chỉ trong một thao tác. Kết hợp chúng lại để tạo ra khăn ướt theo phong cách anime.</v>
      </c>
      <c r="H3496" s="8"/>
      <c r="I3496" s="8"/>
      <c r="J3496" s="8"/>
    </row>
    <row r="3497" ht="21.0" customHeight="1">
      <c r="A3497" s="6">
        <v>1.0</v>
      </c>
      <c r="B3497" s="6">
        <v>265.0</v>
      </c>
      <c r="C3497" s="6">
        <v>2.0</v>
      </c>
      <c r="D3497" s="15" t="s">
        <v>5770</v>
      </c>
      <c r="E3497" s="9" t="s">
        <v>5771</v>
      </c>
      <c r="F3497" s="8" t="str">
        <f>IFERROR(__xludf.DUMMYFUNCTION("GOOGLETRANSLATE(D3497,""zh-CN"",""vi"")"),"Khăn ướt kiểu anime")</f>
        <v>Khăn ướt kiểu anime</v>
      </c>
      <c r="G3497" s="8" t="str">
        <f>IFERROR(__xludf.DUMMYFUNCTION("GOOGLETRANSLATE(E3497,""zh-CN"",""vi"")"),"Không cần phải có chức năng gì, nhưng phải dễ thương! Hãy tự làm những chiếc túi giữ ấm tay.")</f>
        <v>Không cần phải có chức năng gì, nhưng phải dễ thương! Hãy tự làm những chiếc túi giữ ấm tay.</v>
      </c>
      <c r="H3497" s="8"/>
      <c r="I3497" s="8"/>
      <c r="J3497" s="8"/>
    </row>
    <row r="3498" ht="21.0" customHeight="1">
      <c r="A3498" s="6">
        <v>1.0</v>
      </c>
      <c r="B3498" s="6">
        <v>265.0</v>
      </c>
      <c r="C3498" s="6">
        <v>3.0</v>
      </c>
      <c r="D3498" s="15" t="s">
        <v>5772</v>
      </c>
      <c r="E3498" s="9" t="s">
        <v>5773</v>
      </c>
      <c r="F3498" s="8" t="str">
        <f>IFERROR(__xludf.DUMMYFUNCTION("GOOGLETRANSLATE(D3498,""zh-CN"",""vi"")"),"áo giữ ấm cơ thể")</f>
        <v>áo giữ ấm cơ thể</v>
      </c>
      <c r="G3498" s="8" t="str">
        <f>IFERROR(__xludf.DUMMYFUNCTION("GOOGLETRANSLATE(E3498,""zh-CN"",""vi"")"),"Miếng dán ngải cứu có thể điều hòa thân nhiệt! Hãy chế tạo chúng để có được một mặt dây chuyền bằng vải không dệt.")</f>
        <v>Miếng dán ngải cứu có thể điều hòa thân nhiệt! Hãy chế tạo chúng để có được một mặt dây chuyền bằng vải không dệt.</v>
      </c>
      <c r="H3498" s="8"/>
      <c r="I3498" s="8"/>
      <c r="J3498" s="8"/>
    </row>
    <row r="3499" ht="21.0" customHeight="1">
      <c r="A3499" s="6">
        <v>1.0</v>
      </c>
      <c r="B3499" s="6">
        <v>265.0</v>
      </c>
      <c r="C3499" s="6">
        <v>4.0</v>
      </c>
      <c r="D3499" s="15" t="s">
        <v>5774</v>
      </c>
      <c r="E3499" s="9" t="s">
        <v>5775</v>
      </c>
      <c r="F3499" s="8" t="str">
        <f>IFERROR(__xludf.DUMMYFUNCTION("GOOGLETRANSLATE(D3499,""zh-CN"",""vi"")"),"Mặt dây chuyền làm từ vải không dệt")</f>
        <v>Mặt dây chuyền làm từ vải không dệt</v>
      </c>
      <c r="G3499" s="8" t="str">
        <f>IFERROR(__xludf.DUMMYFUNCTION("GOOGLETRANSLATE(E3499,""zh-CN"",""vi"")"),"Việc đeo chiếc gương này đã làm tăng đáng kể số lần tôi được mọi người tiếp cận. (Hãy tự chế một chiếc gương trang điểm.)")</f>
        <v>Việc đeo chiếc gương này đã làm tăng đáng kể số lần tôi được mọi người tiếp cận. (Hãy tự chế một chiếc gương trang điểm.)</v>
      </c>
      <c r="H3499" s="8"/>
      <c r="I3499" s="8"/>
      <c r="J3499" s="8"/>
    </row>
    <row r="3500" ht="21.0" customHeight="1">
      <c r="A3500" s="6">
        <v>1.0</v>
      </c>
      <c r="B3500" s="6">
        <v>265.0</v>
      </c>
      <c r="C3500" s="6">
        <v>5.0</v>
      </c>
      <c r="D3500" s="15" t="s">
        <v>5776</v>
      </c>
      <c r="E3500" s="9" t="s">
        <v>5777</v>
      </c>
      <c r="F3500" s="8" t="str">
        <f>IFERROR(__xludf.DUMMYFUNCTION("GOOGLETRANSLATE(D3500,""zh-CN"",""vi"")"),"Gương trang điểm")</f>
        <v>Gương trang điểm</v>
      </c>
      <c r="G3500" s="8" t="str">
        <f>IFERROR(__xludf.DUMMYFUNCTION("GOOGLETRANSLATE(E3500,""zh-CN"",""vi"")"),"Trang điểm lại thật xinh đẹp nhé! Kết hợp các thành phần để tạo thành bộ trang điểm hoàn chỉnh.")</f>
        <v>Trang điểm lại thật xinh đẹp nhé! Kết hợp các thành phần để tạo thành bộ trang điểm hoàn chỉnh.</v>
      </c>
      <c r="H3500" s="8"/>
      <c r="I3500" s="8"/>
      <c r="J3500" s="8"/>
    </row>
    <row r="3501" ht="21.0" customHeight="1">
      <c r="A3501" s="6">
        <v>1.0</v>
      </c>
      <c r="B3501" s="6">
        <v>265.0</v>
      </c>
      <c r="C3501" s="6">
        <v>6.0</v>
      </c>
      <c r="D3501" s="15" t="s">
        <v>5778</v>
      </c>
      <c r="E3501" s="9" t="s">
        <v>5779</v>
      </c>
      <c r="F3501" s="8" t="str">
        <f>IFERROR(__xludf.DUMMYFUNCTION("GOOGLETRANSLATE(D3501,""zh-CN"",""vi"")"),"Túi đựng đồ trang điểm")</f>
        <v>Túi đựng đồ trang điểm</v>
      </c>
      <c r="G3501" s="8" t="str">
        <f>IFERROR(__xludf.DUMMYFUNCTION("GOOGLETRANSLATE(E3501,""zh-CN"",""vi"")"),"Hãy mang theo bên mình để luôn giữ được làn da trắng sáng~ Kết hợp chúng lại để tạo thành pin dự phòng.")</f>
        <v>Hãy mang theo bên mình để luôn giữ được làn da trắng sáng~ Kết hợp chúng lại để tạo thành pin dự phòng.</v>
      </c>
      <c r="H3501" s="8"/>
      <c r="I3501" s="8"/>
      <c r="J3501" s="8"/>
    </row>
    <row r="3502" ht="21.0" customHeight="1">
      <c r="A3502" s="6">
        <v>1.0</v>
      </c>
      <c r="B3502" s="6">
        <v>265.0</v>
      </c>
      <c r="C3502" s="6">
        <v>7.0</v>
      </c>
      <c r="D3502" s="15" t="s">
        <v>5780</v>
      </c>
      <c r="E3502" s="9" t="s">
        <v>5781</v>
      </c>
      <c r="F3502" s="8" t="str">
        <f>IFERROR(__xludf.DUMMYFUNCTION("GOOGLETRANSLATE(D3502,""zh-CN"",""vi"")"),"sạc dự phòng")</f>
        <v>sạc dự phòng</v>
      </c>
      <c r="G3502" s="8" t="str">
        <f>IFERROR(__xludf.DUMMYFUNCTION("GOOGLETRANSLATE(E3502,""zh-CN"",""vi"")"),"Chức năng chỉ là thứ yếu; thiết kế đẹp mắt mới là yếu tố quan trọng nhất! (Tổng hợp các thành phần để tạo ra gậy tự sướng)")</f>
        <v>Chức năng chỉ là thứ yếu; thiết kế đẹp mắt mới là yếu tố quan trọng nhất! (Tổng hợp các thành phần để tạo ra gậy tự sướng)</v>
      </c>
      <c r="H3502" s="8"/>
      <c r="I3502" s="8"/>
      <c r="J3502" s="8"/>
    </row>
    <row r="3503" ht="21.0" customHeight="1">
      <c r="A3503" s="6">
        <v>1.0</v>
      </c>
      <c r="B3503" s="6">
        <v>265.0</v>
      </c>
      <c r="C3503" s="6">
        <v>8.0</v>
      </c>
      <c r="D3503" s="15" t="s">
        <v>5782</v>
      </c>
      <c r="E3503" s="9" t="s">
        <v>5783</v>
      </c>
      <c r="F3503" s="8" t="str">
        <f>IFERROR(__xludf.DUMMYFUNCTION("GOOGLETRANSLATE(D3503,""zh-CN"",""vi"")"),"gậy selfie")</f>
        <v>gậy selfie</v>
      </c>
      <c r="G3503" s="8" t="str">
        <f>IFERROR(__xludf.DUMMYFUNCTION("GOOGLETRANSLATE(E3503,""zh-CN"",""vi"")"),"Biến thân thành cô gái phép thuật! Kết hợp để nhận được người hâm mộ hỗ trợ.")</f>
        <v>Biến thân thành cô gái phép thuật! Kết hợp để nhận được người hâm mộ hỗ trợ.</v>
      </c>
      <c r="H3503" s="8"/>
      <c r="I3503" s="8"/>
      <c r="J3503" s="8"/>
    </row>
    <row r="3504" ht="21.0" customHeight="1">
      <c r="A3504" s="6">
        <v>1.0</v>
      </c>
      <c r="B3504" s="6">
        <v>265.0</v>
      </c>
      <c r="C3504" s="6">
        <v>9.0</v>
      </c>
      <c r="D3504" s="15" t="s">
        <v>5784</v>
      </c>
      <c r="E3504" s="9" t="s">
        <v>5785</v>
      </c>
      <c r="F3504" s="8" t="str">
        <f>IFERROR(__xludf.DUMMYFUNCTION("GOOGLETRANSLATE(D3504,""zh-CN"",""vi"")"),"Ủng hộ người hâm mộ")</f>
        <v>Ủng hộ người hâm mộ</v>
      </c>
      <c r="G3504" s="8" t="str">
        <f>IFERROR(__xludf.DUMMYFUNCTION("GOOGLETRANSLATE(E3504,""zh-CN"",""vi"")"),"Hôm nay là sinh nhật nhân vật yêu thích của tôi! Tôi đã kết hợp chúng lại để tạo thành một cây gậy hỗ trợ nhân vật.")</f>
        <v>Hôm nay là sinh nhật nhân vật yêu thích của tôi! Tôi đã kết hợp chúng lại để tạo thành một cây gậy hỗ trợ nhân vật.</v>
      </c>
      <c r="H3504" s="8"/>
      <c r="I3504" s="8"/>
      <c r="J3504" s="8"/>
    </row>
    <row r="3505" ht="21.0" customHeight="1">
      <c r="A3505" s="6">
        <v>1.0</v>
      </c>
      <c r="B3505" s="6">
        <v>265.0</v>
      </c>
      <c r="C3505" s="6">
        <v>10.0</v>
      </c>
      <c r="D3505" s="15" t="s">
        <v>5786</v>
      </c>
      <c r="E3505" s="9" t="s">
        <v>5787</v>
      </c>
      <c r="F3505" s="8" t="str">
        <f>IFERROR(__xludf.DUMMYFUNCTION("GOOGLETRANSLATE(D3505,""zh-CN"",""vi"")"),"gậy phát sáng hình nhân vật")</f>
        <v>gậy phát sáng hình nhân vật</v>
      </c>
      <c r="G3505" s="8" t="str">
        <f>IFERROR(__xludf.DUMMYFUNCTION("GOOGLETRANSLATE(E3505,""zh-CN"",""vi"")"),"Thật ra, mình là fan của CP màu hồng và xanh dương~ Mình kết hợp chúng để tạo ra những chiếc itabag theo phong cách anime.")</f>
        <v>Thật ra, mình là fan của CP màu hồng và xanh dương~ Mình kết hợp chúng để tạo ra những chiếc itabag theo phong cách anime.</v>
      </c>
      <c r="H3505" s="8"/>
      <c r="I3505" s="8"/>
      <c r="J3505" s="8"/>
    </row>
    <row r="3506" ht="21.0" customHeight="1">
      <c r="A3506" s="6">
        <v>1.0</v>
      </c>
      <c r="B3506" s="6">
        <v>265.0</v>
      </c>
      <c r="C3506" s="6">
        <v>11.0</v>
      </c>
      <c r="D3506" s="15" t="s">
        <v>5788</v>
      </c>
      <c r="E3506" s="9" t="s">
        <v>5789</v>
      </c>
      <c r="F3506" s="8" t="str">
        <f>IFERROR(__xludf.DUMMYFUNCTION("GOOGLETRANSLATE(D3506,""zh-CN"",""vi"")"),"Túi Ita Anime")</f>
        <v>Túi Ita Anime</v>
      </c>
      <c r="G3506" s="8" t="str">
        <f>IFERROR(__xludf.DUMMYFUNCTION("GOOGLETRANSLATE(E3506,""zh-CN"",""vi"")"),"Miệng to của Totoro chứa đầy các thiết bị. Kết hợp chúng lại để tạo thành một chiếc máy ảnh nhỏ.")</f>
        <v>Miệng to của Totoro chứa đầy các thiết bị. Kết hợp chúng lại để tạo thành một chiếc máy ảnh nhỏ.</v>
      </c>
      <c r="H3506" s="8"/>
      <c r="I3506" s="8"/>
      <c r="J3506" s="8"/>
    </row>
    <row r="3507" ht="21.0" customHeight="1">
      <c r="A3507" s="6">
        <v>1.0</v>
      </c>
      <c r="B3507" s="6">
        <v>265.0</v>
      </c>
      <c r="C3507" s="6">
        <v>12.0</v>
      </c>
      <c r="D3507" s="15" t="s">
        <v>5790</v>
      </c>
      <c r="E3507" s="9" t="s">
        <v>5791</v>
      </c>
      <c r="F3507" s="8" t="str">
        <f>IFERROR(__xludf.DUMMYFUNCTION("GOOGLETRANSLATE(D3507,""zh-CN"",""vi"")"),"máy ảnh nhỏ")</f>
        <v>máy ảnh nhỏ</v>
      </c>
      <c r="G3507" s="8" t="str">
        <f>IFERROR(__xludf.DUMMYFUNCTION("GOOGLETRANSLATE(E3507,""zh-CN"",""vi"")"),"Ghi lại hình ảnh các cosplayer mọi lúc, mọi nơi và lưu giữ mọi khoảnh khắc. Kết hợp các vật phẩm để tạo thành vali điện.")</f>
        <v>Ghi lại hình ảnh các cosplayer mọi lúc, mọi nơi và lưu giữ mọi khoảnh khắc. Kết hợp các vật phẩm để tạo thành vali điện.</v>
      </c>
      <c r="H3507" s="8"/>
      <c r="I3507" s="8"/>
      <c r="J3507" s="8"/>
    </row>
    <row r="3508" ht="21.0" customHeight="1">
      <c r="A3508" s="6">
        <v>1.0</v>
      </c>
      <c r="B3508" s="6">
        <v>265.0</v>
      </c>
      <c r="C3508" s="6">
        <v>13.0</v>
      </c>
      <c r="D3508" s="15" t="s">
        <v>5792</v>
      </c>
      <c r="E3508" s="9" t="s">
        <v>5793</v>
      </c>
      <c r="F3508" s="8" t="str">
        <f>IFERROR(__xludf.DUMMYFUNCTION("GOOGLETRANSLATE(D3508,""zh-CN"",""vi"")"),"Hành lý điện")</f>
        <v>Hành lý điện</v>
      </c>
      <c r="G3508" s="8" t="str">
        <f>IFERROR(__xludf.DUMMYFUNCTION("GOOGLETRANSLATE(E3508,""zh-CN"",""vi"")"),"Để đạt được điều này, tôi đã phải bỏ ra rất nhiều công sức, nhưng nhờ vậy mà tôi đã tiết kiệm được rất nhiều thời gian và công sức. Sản phẩm đã được tổng hợp ở mức độ cao nhất.")</f>
        <v>Để đạt được điều này, tôi đã phải bỏ ra rất nhiều công sức, nhưng nhờ vậy mà tôi đã tiết kiệm được rất nhiều thời gian và công sức. Sản phẩm đã được tổng hợp ở mức độ cao nhất.</v>
      </c>
      <c r="H3508" s="8"/>
      <c r="I3508" s="8"/>
      <c r="J3508" s="8"/>
    </row>
    <row r="3509" ht="21.0" customHeight="1">
      <c r="A3509" s="6">
        <v>11.0</v>
      </c>
      <c r="B3509" s="6">
        <v>1080.0</v>
      </c>
      <c r="C3509" s="6">
        <v>1.0</v>
      </c>
      <c r="D3509" s="15" t="s">
        <v>5794</v>
      </c>
      <c r="E3509" s="9" t="s">
        <v>5795</v>
      </c>
      <c r="F3509" s="8" t="str">
        <f>IFERROR(__xludf.DUMMYFUNCTION("GOOGLETRANSLATE(D3509,""zh-CN"",""vi"")"),"Túi nhựa đơn giản")</f>
        <v>Túi nhựa đơn giản</v>
      </c>
      <c r="G3509" s="8" t="str">
        <f>IFERROR(__xludf.DUMMYFUNCTION("GOOGLETRANSLATE(E3509,""zh-CN"",""vi"")"),"Chiếc túi được phát miễn phí trong cửa hàng. Ghép chúng lại để được một chiếc túi giấy nhỏ.")</f>
        <v>Chiếc túi được phát miễn phí trong cửa hàng. Ghép chúng lại để được một chiếc túi giấy nhỏ.</v>
      </c>
      <c r="H3509" s="8"/>
      <c r="I3509" s="8"/>
      <c r="J3509" s="8"/>
    </row>
    <row r="3510" ht="21.0" customHeight="1">
      <c r="A3510" s="6">
        <v>11.0</v>
      </c>
      <c r="B3510" s="6">
        <v>1080.0</v>
      </c>
      <c r="C3510" s="6">
        <v>2.0</v>
      </c>
      <c r="D3510" s="15" t="s">
        <v>5796</v>
      </c>
      <c r="E3510" s="9" t="s">
        <v>5797</v>
      </c>
      <c r="F3510" s="8" t="str">
        <f>IFERROR(__xludf.DUMMYFUNCTION("GOOGLETRANSLATE(D3510,""zh-CN"",""vi"")"),"túi giấy nhỏ")</f>
        <v>túi giấy nhỏ</v>
      </c>
      <c r="G3510" s="8" t="str">
        <f>IFERROR(__xludf.DUMMYFUNCTION("GOOGLETRANSLATE(E3510,""zh-CN"",""vi"")"),"Một loại túi được tặng kèm khi mua đồ điện tử. Túi nhôm được sản xuất từ ​​loại túi này.")</f>
        <v>Một loại túi được tặng kèm khi mua đồ điện tử. Túi nhôm được sản xuất từ ​​loại túi này.</v>
      </c>
      <c r="H3510" s="8"/>
      <c r="I3510" s="8"/>
      <c r="J3510" s="8"/>
    </row>
    <row r="3511" ht="21.0" customHeight="1">
      <c r="A3511" s="6">
        <v>11.0</v>
      </c>
      <c r="B3511" s="6">
        <v>1080.0</v>
      </c>
      <c r="C3511" s="6">
        <v>3.0</v>
      </c>
      <c r="D3511" s="15" t="s">
        <v>5798</v>
      </c>
      <c r="E3511" s="9" t="s">
        <v>5799</v>
      </c>
      <c r="F3511" s="8" t="str">
        <f>IFERROR(__xludf.DUMMYFUNCTION("GOOGLETRANSLATE(D3511,""zh-CN"",""vi"")"),"túi nhôm")</f>
        <v>túi nhôm</v>
      </c>
      <c r="G3511" s="8" t="str">
        <f>IFERROR(__xludf.DUMMYFUNCTION("GOOGLETRANSLATE(E3511,""zh-CN"",""vi"")"),"Túi đựng thực phẩm, an toàn và hợp vệ sinh. Túi chống thấm nước được làm từ chất liệu tổng hợp.")</f>
        <v>Túi đựng thực phẩm, an toàn và hợp vệ sinh. Túi chống thấm nước được làm từ chất liệu tổng hợp.</v>
      </c>
      <c r="H3511" s="8"/>
      <c r="I3511" s="8"/>
      <c r="J3511" s="8"/>
    </row>
    <row r="3512" ht="21.0" customHeight="1">
      <c r="A3512" s="6">
        <v>11.0</v>
      </c>
      <c r="B3512" s="6">
        <v>1080.0</v>
      </c>
      <c r="C3512" s="6">
        <v>4.0</v>
      </c>
      <c r="D3512" s="15" t="s">
        <v>5800</v>
      </c>
      <c r="E3512" s="9" t="s">
        <v>5801</v>
      </c>
      <c r="F3512" s="8" t="str">
        <f>IFERROR(__xludf.DUMMYFUNCTION("GOOGLETRANSLATE(D3512,""zh-CN"",""vi"")"),"Túi chống nước")</f>
        <v>Túi chống nước</v>
      </c>
      <c r="G3512" s="8" t="str">
        <f>IFERROR(__xludf.DUMMYFUNCTION("GOOGLETRANSLATE(E3512,""zh-CN"",""vi"")"),"Cho điện thoại vào trong, nó sẽ không bị vỡ đâu. Kết hợp chúng lại để tạo thành một chiếc ba lô cho chuột hamster.")</f>
        <v>Cho điện thoại vào trong, nó sẽ không bị vỡ đâu. Kết hợp chúng lại để tạo thành một chiếc ba lô cho chuột hamster.</v>
      </c>
      <c r="H3512" s="8"/>
      <c r="I3512" s="8"/>
      <c r="J3512" s="8"/>
    </row>
    <row r="3513" ht="21.0" customHeight="1">
      <c r="A3513" s="6">
        <v>10.0</v>
      </c>
      <c r="B3513" s="6">
        <v>1080.0</v>
      </c>
      <c r="C3513" s="6">
        <v>5.0</v>
      </c>
      <c r="D3513" s="15" t="s">
        <v>5802</v>
      </c>
      <c r="E3513" s="9" t="s">
        <v>5803</v>
      </c>
      <c r="F3513" s="8" t="str">
        <f>IFERROR(__xludf.DUMMYFUNCTION("GOOGLETRANSLATE(D3513,""zh-CN"",""vi"")"),"Ba lô hình chuột hamster")</f>
        <v>Ba lô hình chuột hamster</v>
      </c>
      <c r="G3513" s="8" t="str">
        <f>IFERROR(__xludf.DUMMYFUNCTION("GOOGLETRANSLATE(E3513,""zh-CN"",""vi"")"),"Đeo nó sẽ gây ra hội chứng chuột hamster. Chế tạo nó sẽ tạo ra một chiếc ba lô hình mèo.")</f>
        <v>Đeo nó sẽ gây ra hội chứng chuột hamster. Chế tạo nó sẽ tạo ra một chiếc ba lô hình mèo.</v>
      </c>
      <c r="H3513" s="8"/>
      <c r="I3513" s="8"/>
      <c r="J3513" s="8"/>
    </row>
    <row r="3514" ht="21.0" customHeight="1">
      <c r="A3514" s="6">
        <v>10.0</v>
      </c>
      <c r="B3514" s="6">
        <v>1080.0</v>
      </c>
      <c r="C3514" s="6">
        <v>6.0</v>
      </c>
      <c r="D3514" s="15" t="s">
        <v>5804</v>
      </c>
      <c r="E3514" s="9" t="s">
        <v>5805</v>
      </c>
      <c r="F3514" s="8" t="str">
        <f>IFERROR(__xludf.DUMMYFUNCTION("GOOGLETRANSLATE(D3514,""zh-CN"",""vi"")"),"Ba lô hình mèo")</f>
        <v>Ba lô hình mèo</v>
      </c>
      <c r="G3514" s="8" t="str">
        <f>IFERROR(__xludf.DUMMYFUNCTION("GOOGLETRANSLATE(E3514,""zh-CN"",""vi"")"),"Mọi người thích nó, và mèo cũng thích nó. Kết hợp chúng lại để tạo thành một chiếc ba lô hình ngựa con.")</f>
        <v>Mọi người thích nó, và mèo cũng thích nó. Kết hợp chúng lại để tạo thành một chiếc ba lô hình ngựa con.</v>
      </c>
      <c r="H3514" s="8"/>
      <c r="I3514" s="8"/>
      <c r="J3514" s="8"/>
    </row>
    <row r="3515" ht="21.0" customHeight="1">
      <c r="A3515" s="6">
        <v>10.0</v>
      </c>
      <c r="B3515" s="6">
        <v>1080.0</v>
      </c>
      <c r="C3515" s="6">
        <v>7.0</v>
      </c>
      <c r="D3515" s="15" t="s">
        <v>5806</v>
      </c>
      <c r="E3515" s="9" t="s">
        <v>5807</v>
      </c>
      <c r="F3515" s="8" t="str">
        <f>IFERROR(__xludf.DUMMYFUNCTION("GOOGLETRANSLATE(D3515,""zh-CN"",""vi"")"),"Ba lô Little Pony")</f>
        <v>Ba lô Little Pony</v>
      </c>
      <c r="G3515" s="8" t="str">
        <f>IFERROR(__xludf.DUMMYFUNCTION("GOOGLETRANSLATE(E3515,""zh-CN"",""vi"")"),"Đôi cánh ở hai bên tạo cảm giác thư giãn về mặt tâm lý. Kết hợp chúng lại để có được Ba lô Quái thú Nhỏ.")</f>
        <v>Đôi cánh ở hai bên tạo cảm giác thư giãn về mặt tâm lý. Kết hợp chúng lại để có được Ba lô Quái thú Nhỏ.</v>
      </c>
      <c r="H3515" s="8"/>
      <c r="I3515" s="8"/>
      <c r="J3515" s="8"/>
    </row>
    <row r="3516" ht="21.0" customHeight="1">
      <c r="A3516" s="6">
        <v>10.0</v>
      </c>
      <c r="B3516" s="6">
        <v>1080.0</v>
      </c>
      <c r="C3516" s="6">
        <v>8.0</v>
      </c>
      <c r="D3516" s="15" t="s">
        <v>5808</v>
      </c>
      <c r="E3516" s="9" t="s">
        <v>5809</v>
      </c>
      <c r="F3516" s="8" t="str">
        <f>IFERROR(__xludf.DUMMYFUNCTION("GOOGLETRANSLATE(D3516,""zh-CN"",""vi"")"),"Ba lô quái vật nhỏ")</f>
        <v>Ba lô quái vật nhỏ</v>
      </c>
      <c r="G3516" s="8" t="str">
        <f>IFERROR(__xludf.DUMMYFUNCTION("GOOGLETRANSLATE(E3516,""zh-CN"",""vi"")"),"""Gầm lên nào, quái vật, đến ăn thịt ngươi đây!"" (Chế tạo được ba lô phi hành gia)")</f>
        <v>"Gầm lên nào, quái vật, đến ăn thịt ngươi đây!" (Chế tạo được ba lô phi hành gia)</v>
      </c>
      <c r="H3516" s="8"/>
      <c r="I3516" s="8"/>
      <c r="J3516" s="8"/>
    </row>
    <row r="3517" ht="21.0" customHeight="1">
      <c r="A3517" s="6">
        <v>10.0</v>
      </c>
      <c r="B3517" s="6">
        <v>1080.0</v>
      </c>
      <c r="C3517" s="6">
        <v>9.0</v>
      </c>
      <c r="D3517" s="15" t="s">
        <v>5810</v>
      </c>
      <c r="E3517" s="9" t="s">
        <v>5811</v>
      </c>
      <c r="F3517" s="8" t="str">
        <f>IFERROR(__xludf.DUMMYFUNCTION("GOOGLETRANSLATE(D3517,""zh-CN"",""vi"")"),"Ba lô phi hành gia")</f>
        <v>Ba lô phi hành gia</v>
      </c>
      <c r="G3517" s="8" t="str">
        <f>IFERROR(__xludf.DUMMYFUNCTION("GOOGLETRANSLATE(E3517,""zh-CN"",""vi"")"),"Trong không gian, mang vác bất cứ thứ gì cũng sẽ không nặng. Hãy chế tạo Ba lô Cừu.")</f>
        <v>Trong không gian, mang vác bất cứ thứ gì cũng sẽ không nặng. Hãy chế tạo Ba lô Cừu.</v>
      </c>
      <c r="H3517" s="8"/>
      <c r="I3517" s="8"/>
      <c r="J3517" s="8"/>
    </row>
    <row r="3518" ht="21.0" customHeight="1">
      <c r="A3518" s="6">
        <v>10.0</v>
      </c>
      <c r="B3518" s="6">
        <v>1080.0</v>
      </c>
      <c r="C3518" s="6">
        <v>10.0</v>
      </c>
      <c r="D3518" s="15" t="s">
        <v>5812</v>
      </c>
      <c r="E3518" s="9" t="s">
        <v>5813</v>
      </c>
      <c r="F3518" s="8" t="str">
        <f>IFERROR(__xludf.DUMMYFUNCTION("GOOGLETRANSLATE(D3518,""zh-CN"",""vi"")"),"Ba lô Meow Meow")</f>
        <v>Ba lô Meow Meow</v>
      </c>
      <c r="G3518" s="8" t="str">
        <f>IFERROR(__xludf.DUMMYFUNCTION("GOOGLETRANSLATE(E3518,""zh-CN"",""vi"")"),"Chiếc balo phiên bản giới hạn, cực hiếm này sẽ biến bạn thành ông vua của đám trẻ! Nó đã được chế tác với chất lượng cao nhất.")</f>
        <v>Chiếc balo phiên bản giới hạn, cực hiếm này sẽ biến bạn thành ông vua của đám trẻ! Nó đã được chế tác với chất lượng cao nhất.</v>
      </c>
      <c r="H3518" s="8"/>
      <c r="I3518" s="8"/>
      <c r="J3518" s="8"/>
    </row>
    <row r="3519" ht="21.0" customHeight="1">
      <c r="A3519" s="6">
        <v>11.0</v>
      </c>
      <c r="B3519" s="6">
        <v>1081.0</v>
      </c>
      <c r="C3519" s="6">
        <v>1.0</v>
      </c>
      <c r="D3519" s="15" t="s">
        <v>5814</v>
      </c>
      <c r="E3519" s="9" t="s">
        <v>5815</v>
      </c>
      <c r="F3519" s="8" t="str">
        <f>IFERROR(__xludf.DUMMYFUNCTION("GOOGLETRANSLATE(D3519,""zh-CN"",""vi"")"),"Túi nhựa đơn giản [V]")</f>
        <v>Túi nhựa đơn giản [V]</v>
      </c>
      <c r="G3519" s="8" t="str">
        <f>IFERROR(__xludf.DUMMYFUNCTION("GOOGLETRANSLATE(E3519,""zh-CN"",""vi"")"),"Chiếc túi được tặng kèm trong cửa hàng. Kết hợp chúng lại để được một chiếc túi giấy nhỏ [V].")</f>
        <v>Chiếc túi được tặng kèm trong cửa hàng. Kết hợp chúng lại để được một chiếc túi giấy nhỏ [V].</v>
      </c>
      <c r="H3519" s="8"/>
      <c r="I3519" s="8"/>
      <c r="J3519" s="8"/>
    </row>
    <row r="3520" ht="21.0" customHeight="1">
      <c r="A3520" s="6">
        <v>11.0</v>
      </c>
      <c r="B3520" s="6">
        <v>1081.0</v>
      </c>
      <c r="C3520" s="6">
        <v>2.0</v>
      </c>
      <c r="D3520" s="15" t="s">
        <v>5816</v>
      </c>
      <c r="E3520" s="9" t="s">
        <v>5817</v>
      </c>
      <c r="F3520" s="8" t="str">
        <f>IFERROR(__xludf.DUMMYFUNCTION("GOOGLETRANSLATE(D3520,""zh-CN"",""vi"")"),"Túi giấy nhỏ [V]")</f>
        <v>Túi giấy nhỏ [V]</v>
      </c>
      <c r="G3520" s="8" t="str">
        <f>IFERROR(__xludf.DUMMYFUNCTION("GOOGLETRANSLATE(E3520,""zh-CN"",""vi"")"),"Một chiếc túi được tặng kèm khi mua đồ điện tử. Hãy chế tạo nó để có được một chiếc túi bằng giấy bạc [V].")</f>
        <v>Một chiếc túi được tặng kèm khi mua đồ điện tử. Hãy chế tạo nó để có được một chiếc túi bằng giấy bạc [V].</v>
      </c>
      <c r="H3520" s="8"/>
      <c r="I3520" s="8"/>
      <c r="J3520" s="8"/>
    </row>
    <row r="3521" ht="21.0" customHeight="1">
      <c r="A3521" s="6">
        <v>11.0</v>
      </c>
      <c r="B3521" s="6">
        <v>1081.0</v>
      </c>
      <c r="C3521" s="6">
        <v>3.0</v>
      </c>
      <c r="D3521" s="15" t="s">
        <v>5818</v>
      </c>
      <c r="E3521" s="9" t="s">
        <v>5819</v>
      </c>
      <c r="F3521" s="8" t="str">
        <f>IFERROR(__xludf.DUMMYFUNCTION("GOOGLETRANSLATE(D3521,""zh-CN"",""vi"")"),"Túi nhôm [V]")</f>
        <v>Túi nhôm [V]</v>
      </c>
      <c r="G3521" s="8" t="str">
        <f>IFERROR(__xludf.DUMMYFUNCTION("GOOGLETRANSLATE(E3521,""zh-CN"",""vi"")"),"Túi dùng cho thực phẩm, an toàn và hợp vệ sinh. Túi chống thấm nước được làm từ vật liệu tổng hợp. [V]")</f>
        <v>Túi dùng cho thực phẩm, an toàn và hợp vệ sinh. Túi chống thấm nước được làm từ vật liệu tổng hợp. [V]</v>
      </c>
      <c r="H3521" s="8"/>
      <c r="I3521" s="8"/>
      <c r="J3521" s="8"/>
    </row>
    <row r="3522" ht="21.0" customHeight="1">
      <c r="A3522" s="6">
        <v>11.0</v>
      </c>
      <c r="B3522" s="6">
        <v>1081.0</v>
      </c>
      <c r="C3522" s="6">
        <v>4.0</v>
      </c>
      <c r="D3522" s="15" t="s">
        <v>5820</v>
      </c>
      <c r="E3522" s="9" t="s">
        <v>5821</v>
      </c>
      <c r="F3522" s="8" t="str">
        <f>IFERROR(__xludf.DUMMYFUNCTION("GOOGLETRANSLATE(D3522,""zh-CN"",""vi"")"),"Túi chống nước [V]")</f>
        <v>Túi chống nước [V]</v>
      </c>
      <c r="G3522" s="8" t="str">
        <f>IFERROR(__xludf.DUMMYFUNCTION("GOOGLETRANSLATE(E3522,""zh-CN"",""vi"")"),"Đặt điện thoại của bạn vào bên trong, nó sẽ không bị vỡ. Kết hợp để có được Ba lô Chuột Hamster [V]")</f>
        <v>Đặt điện thoại của bạn vào bên trong, nó sẽ không bị vỡ. Kết hợp để có được Ba lô Chuột Hamster [V]</v>
      </c>
      <c r="H3522" s="8"/>
      <c r="I3522" s="8"/>
      <c r="J3522" s="8"/>
    </row>
    <row r="3523" ht="21.0" customHeight="1">
      <c r="A3523" s="6">
        <v>10.0</v>
      </c>
      <c r="B3523" s="6">
        <v>1081.0</v>
      </c>
      <c r="C3523" s="6">
        <v>5.0</v>
      </c>
      <c r="D3523" s="15" t="s">
        <v>5822</v>
      </c>
      <c r="E3523" s="9" t="s">
        <v>5823</v>
      </c>
      <c r="F3523" s="8" t="str">
        <f>IFERROR(__xludf.DUMMYFUNCTION("GOOGLETRANSLATE(D3523,""zh-CN"",""vi"")"),"Ba lô hình chuột hamster [V]")</f>
        <v>Ba lô hình chuột hamster [V]</v>
      </c>
      <c r="G3523" s="8" t="str">
        <f>IFERROR(__xludf.DUMMYFUNCTION("GOOGLETRANSLATE(E3523,""zh-CN"",""vi"")"),"Đeo nó sẽ kích hoạt hội chứng chuột hamster. Chế tạo nó sẽ cho ra Ba lô Mèo [V].")</f>
        <v>Đeo nó sẽ kích hoạt hội chứng chuột hamster. Chế tạo nó sẽ cho ra Ba lô Mèo [V].</v>
      </c>
      <c r="H3523" s="8"/>
      <c r="I3523" s="8"/>
      <c r="J3523" s="8"/>
    </row>
    <row r="3524" ht="21.0" customHeight="1">
      <c r="A3524" s="6">
        <v>10.0</v>
      </c>
      <c r="B3524" s="6">
        <v>1081.0</v>
      </c>
      <c r="C3524" s="6">
        <v>6.0</v>
      </c>
      <c r="D3524" s="15" t="s">
        <v>5824</v>
      </c>
      <c r="E3524" s="9" t="s">
        <v>5825</v>
      </c>
      <c r="F3524" s="8" t="str">
        <f>IFERROR(__xludf.DUMMYFUNCTION("GOOGLETRANSLATE(D3524,""zh-CN"",""vi"")"),"Ba lô hình mèo [V]")</f>
        <v>Ba lô hình mèo [V]</v>
      </c>
      <c r="G3524" s="8" t="str">
        <f>IFERROR(__xludf.DUMMYFUNCTION("GOOGLETRANSLATE(E3524,""zh-CN"",""vi"")"),"Mọi người thích nó, và mèo cũng thích nó. Kết hợp để có được Ba lô Ngựa con [V]")</f>
        <v>Mọi người thích nó, và mèo cũng thích nó. Kết hợp để có được Ba lô Ngựa con [V]</v>
      </c>
      <c r="H3524" s="8"/>
      <c r="I3524" s="8"/>
      <c r="J3524" s="8"/>
    </row>
    <row r="3525" ht="21.0" customHeight="1">
      <c r="A3525" s="6">
        <v>10.0</v>
      </c>
      <c r="B3525" s="6">
        <v>1081.0</v>
      </c>
      <c r="C3525" s="6">
        <v>7.0</v>
      </c>
      <c r="D3525" s="15" t="s">
        <v>5826</v>
      </c>
      <c r="E3525" s="9" t="s">
        <v>5827</v>
      </c>
      <c r="F3525" s="8" t="str">
        <f>IFERROR(__xludf.DUMMYFUNCTION("GOOGLETRANSLATE(D3525,""zh-CN"",""vi"")"),"Ba lô Pony [V]")</f>
        <v>Ba lô Pony [V]</v>
      </c>
      <c r="G3525" s="8" t="str">
        <f>IFERROR(__xludf.DUMMYFUNCTION("GOOGLETRANSLATE(E3525,""zh-CN"",""vi"")"),"Đôi cánh ở cả hai bên tạo cảm giác thư giãn về mặt tâm lý. Kết hợp để có được Ba lô Quái thú nhỏ [V]")</f>
        <v>Đôi cánh ở cả hai bên tạo cảm giác thư giãn về mặt tâm lý. Kết hợp để có được Ba lô Quái thú nhỏ [V]</v>
      </c>
      <c r="H3525" s="8"/>
      <c r="I3525" s="8"/>
      <c r="J3525" s="8"/>
    </row>
    <row r="3526" ht="21.0" customHeight="1">
      <c r="A3526" s="6">
        <v>10.0</v>
      </c>
      <c r="B3526" s="6">
        <v>1081.0</v>
      </c>
      <c r="C3526" s="6">
        <v>8.0</v>
      </c>
      <c r="D3526" s="15" t="s">
        <v>5828</v>
      </c>
      <c r="E3526" s="9" t="s">
        <v>5829</v>
      </c>
      <c r="F3526" s="8" t="str">
        <f>IFERROR(__xludf.DUMMYFUNCTION("GOOGLETRANSLATE(D3526,""zh-CN"",""vi"")"),"Ba lô quái vật nhỏ [V]")</f>
        <v>Ba lô quái vật nhỏ [V]</v>
      </c>
      <c r="G3526" s="8" t="str">
        <f>IFERROR(__xludf.DUMMYFUNCTION("GOOGLETRANSLATE(E3526,""zh-CN"",""vi"")"),"""Gầm lên nào, quái vật, đến đây ăn thịt ngươi đi!"" (Quá trình chế tạo tạo ra Ba lô phi hành gia [V])")</f>
        <v>"Gầm lên nào, quái vật, đến đây ăn thịt ngươi đi!" (Quá trình chế tạo tạo ra Ba lô phi hành gia [V])</v>
      </c>
      <c r="H3526" s="8"/>
      <c r="I3526" s="8"/>
      <c r="J3526" s="8"/>
    </row>
    <row r="3527" ht="21.0" customHeight="1">
      <c r="A3527" s="6">
        <v>10.0</v>
      </c>
      <c r="B3527" s="6">
        <v>1081.0</v>
      </c>
      <c r="C3527" s="6">
        <v>9.0</v>
      </c>
      <c r="D3527" s="15" t="s">
        <v>5830</v>
      </c>
      <c r="E3527" s="9" t="s">
        <v>5831</v>
      </c>
      <c r="F3527" s="8" t="str">
        <f>IFERROR(__xludf.DUMMYFUNCTION("GOOGLETRANSLATE(D3527,""zh-CN"",""vi"")"),"Ba lô phi hành gia [V]")</f>
        <v>Ba lô phi hành gia [V]</v>
      </c>
      <c r="G3527" s="8" t="str">
        <f>IFERROR(__xludf.DUMMYFUNCTION("GOOGLETRANSLATE(E3527,""zh-CN"",""vi"")"),"Trong không gian, mang theo bất cứ thứ gì cũng sẽ không nặng. Chế tạo Ba lô Cừu [V]")</f>
        <v>Trong không gian, mang theo bất cứ thứ gì cũng sẽ không nặng. Chế tạo Ba lô Cừu [V]</v>
      </c>
      <c r="H3527" s="8"/>
      <c r="I3527" s="8"/>
      <c r="J3527" s="8"/>
    </row>
    <row r="3528" ht="21.0" customHeight="1">
      <c r="A3528" s="6">
        <v>10.0</v>
      </c>
      <c r="B3528" s="6">
        <v>1081.0</v>
      </c>
      <c r="C3528" s="6">
        <v>10.0</v>
      </c>
      <c r="D3528" s="15" t="s">
        <v>5832</v>
      </c>
      <c r="E3528" s="9" t="s">
        <v>5813</v>
      </c>
      <c r="F3528" s="8" t="str">
        <f>IFERROR(__xludf.DUMMYFUNCTION("GOOGLETRANSLATE(D3528,""zh-CN"",""vi"")"),"Ba lô hình con cừu [V]")</f>
        <v>Ba lô hình con cừu [V]</v>
      </c>
      <c r="G3528" s="8" t="str">
        <f>IFERROR(__xludf.DUMMYFUNCTION("GOOGLETRANSLATE(E3528,""zh-CN"",""vi"")"),"Chiếc balo phiên bản giới hạn, cực hiếm này sẽ biến bạn thành ông vua của đám trẻ! Nó đã được chế tác với chất lượng cao nhất.")</f>
        <v>Chiếc balo phiên bản giới hạn, cực hiếm này sẽ biến bạn thành ông vua của đám trẻ! Nó đã được chế tác với chất lượng cao nhất.</v>
      </c>
      <c r="H3528" s="8"/>
      <c r="I3528" s="8"/>
      <c r="J3528" s="8"/>
    </row>
    <row r="3529" ht="21.0" customHeight="1">
      <c r="A3529" s="6">
        <v>1.0</v>
      </c>
      <c r="B3529" s="6">
        <v>266.0</v>
      </c>
      <c r="C3529" s="6">
        <v>1.0</v>
      </c>
      <c r="D3529" s="15" t="s">
        <v>5833</v>
      </c>
      <c r="E3529" s="9" t="s">
        <v>5834</v>
      </c>
      <c r="F3529" s="8" t="str">
        <f>IFERROR(__xludf.DUMMYFUNCTION("GOOGLETRANSLATE(D3529,""zh-CN"",""vi"")"),"đồ uống thể thao")</f>
        <v>đồ uống thể thao</v>
      </c>
      <c r="G3529" s="8" t="str">
        <f>IFERROR(__xludf.DUMMYFUNCTION("GOOGLETRANSLATE(E3529,""zh-CN"",""vi"")"),"Bổ sung lượng lớn chất điện giải và nước. Tổng hợp để tạo ra đồ uống tăng lực.")</f>
        <v>Bổ sung lượng lớn chất điện giải và nước. Tổng hợp để tạo ra đồ uống tăng lực.</v>
      </c>
      <c r="H3529" s="8"/>
      <c r="I3529" s="8"/>
      <c r="J3529" s="8"/>
    </row>
    <row r="3530" ht="21.0" customHeight="1">
      <c r="A3530" s="6">
        <v>1.0</v>
      </c>
      <c r="B3530" s="6">
        <v>266.0</v>
      </c>
      <c r="C3530" s="6">
        <v>2.0</v>
      </c>
      <c r="D3530" s="15" t="s">
        <v>5835</v>
      </c>
      <c r="E3530" s="9" t="s">
        <v>5836</v>
      </c>
      <c r="F3530" s="8" t="str">
        <f>IFERROR(__xludf.DUMMYFUNCTION("GOOGLETRANSLATE(D3530,""zh-CN"",""vi"")"),"Nước tăng lực")</f>
        <v>Nước tăng lực</v>
      </c>
      <c r="G3530" s="8" t="str">
        <f>IFERROR(__xludf.DUMMYFUNCTION("GOOGLETRANSLATE(E3530,""zh-CN"",""vi"")"),"Nó giúp tinh thần sảng khoái và bổ sung năng lượng. Nó có thể được chế biến thành dạng nghiền nhuyễn từ trái cây.")</f>
        <v>Nó giúp tinh thần sảng khoái và bổ sung năng lượng. Nó có thể được chế biến thành dạng nghiền nhuyễn từ trái cây.</v>
      </c>
      <c r="H3530" s="8"/>
      <c r="I3530" s="8"/>
      <c r="J3530" s="8"/>
    </row>
    <row r="3531" ht="21.0" customHeight="1">
      <c r="A3531" s="6">
        <v>1.0</v>
      </c>
      <c r="B3531" s="6">
        <v>266.0</v>
      </c>
      <c r="C3531" s="6">
        <v>3.0</v>
      </c>
      <c r="D3531" s="15" t="s">
        <v>5837</v>
      </c>
      <c r="E3531" s="9" t="s">
        <v>5838</v>
      </c>
      <c r="F3531" s="8" t="str">
        <f>IFERROR(__xludf.DUMMYFUNCTION("GOOGLETRANSLATE(D3531,""zh-CN"",""vi"")"),"Nước ép trái cây")</f>
        <v>Nước ép trái cây</v>
      </c>
      <c r="G3531" s="8" t="str">
        <f>IFERROR(__xludf.DUMMYFUNCTION("GOOGLETRANSLATE(E3531,""zh-CN"",""vi"")"),"Được làm từ trái cây, bổ sung vitamin hiệu quả. Được tổng hợp để sản xuất bánh quy nén.")</f>
        <v>Được làm từ trái cây, bổ sung vitamin hiệu quả. Được tổng hợp để sản xuất bánh quy nén.</v>
      </c>
      <c r="H3531" s="8"/>
      <c r="I3531" s="8"/>
      <c r="J3531" s="8"/>
    </row>
    <row r="3532" ht="21.0" customHeight="1">
      <c r="A3532" s="6">
        <v>1.0</v>
      </c>
      <c r="B3532" s="6">
        <v>266.0</v>
      </c>
      <c r="C3532" s="6">
        <v>4.0</v>
      </c>
      <c r="D3532" s="15" t="s">
        <v>5839</v>
      </c>
      <c r="E3532" s="9" t="s">
        <v>5840</v>
      </c>
      <c r="F3532" s="8" t="str">
        <f>IFERROR(__xludf.DUMMYFUNCTION("GOOGLETRANSLATE(D3532,""zh-CN"",""vi"")"),"Bánh quy nén")</f>
        <v>Bánh quy nén</v>
      </c>
      <c r="G3532" s="8" t="str">
        <f>IFERROR(__xludf.DUMMYFUNCTION("GOOGLETRANSLATE(E3532,""zh-CN"",""vi"")"),"Đừng ăn quá nhiều, nó sẽ nở ra sau khi uống nước! Hãy chế tạo nó để có được một gói rau củ nén.")</f>
        <v>Đừng ăn quá nhiều, nó sẽ nở ra sau khi uống nước! Hãy chế tạo nó để có được một gói rau củ nén.</v>
      </c>
      <c r="H3532" s="8"/>
      <c r="I3532" s="8"/>
      <c r="J3532" s="8"/>
    </row>
    <row r="3533" ht="21.0" customHeight="1">
      <c r="A3533" s="6">
        <v>1.0</v>
      </c>
      <c r="B3533" s="6">
        <v>266.0</v>
      </c>
      <c r="C3533" s="6">
        <v>5.0</v>
      </c>
      <c r="D3533" s="15" t="s">
        <v>5841</v>
      </c>
      <c r="E3533" s="9" t="s">
        <v>5842</v>
      </c>
      <c r="F3533" s="8" t="str">
        <f>IFERROR(__xludf.DUMMYFUNCTION("GOOGLETRANSLATE(D3533,""zh-CN"",""vi"")"),"Gói rau củ nén")</f>
        <v>Gói rau củ nén</v>
      </c>
      <c r="G3533" s="8" t="str">
        <f>IFERROR(__xludf.DUMMYFUNCTION("GOOGLETRANSLATE(E3533,""zh-CN"",""vi"")"),"Một chiếc túi nhỏ, nhưng chứa rất nhiều rau củ. Khi kết hợp lại, chúng tạo thành món thịt khô nén.")</f>
        <v>Một chiếc túi nhỏ, nhưng chứa rất nhiều rau củ. Khi kết hợp lại, chúng tạo thành món thịt khô nén.</v>
      </c>
      <c r="H3533" s="8"/>
      <c r="I3533" s="8"/>
      <c r="J3533" s="8"/>
    </row>
    <row r="3534" ht="21.0" customHeight="1">
      <c r="A3534" s="6">
        <v>1.0</v>
      </c>
      <c r="B3534" s="6">
        <v>266.0</v>
      </c>
      <c r="C3534" s="6">
        <v>6.0</v>
      </c>
      <c r="D3534" s="15" t="s">
        <v>5843</v>
      </c>
      <c r="E3534" s="9" t="s">
        <v>5844</v>
      </c>
      <c r="F3534" s="8" t="str">
        <f>IFERROR(__xludf.DUMMYFUNCTION("GOOGLETRANSLATE(D3534,""zh-CN"",""vi"")"),"Thịt khô nén")</f>
        <v>Thịt khô nén</v>
      </c>
      <c r="G3534" s="8" t="str">
        <f>IFERROR(__xludf.DUMMYFUNCTION("GOOGLETRANSLATE(E3534,""zh-CN"",""vi"")"),"Khi cảm thấy mệt mỏi, hãy ăn một thanh! Tự làm một thanh protein từ ngũ cốc.")</f>
        <v>Khi cảm thấy mệt mỏi, hãy ăn một thanh! Tự làm một thanh protein từ ngũ cốc.</v>
      </c>
      <c r="H3534" s="8"/>
      <c r="I3534" s="8"/>
      <c r="J3534" s="8"/>
    </row>
    <row r="3535" ht="21.0" customHeight="1">
      <c r="A3535" s="6">
        <v>1.0</v>
      </c>
      <c r="B3535" s="6">
        <v>266.0</v>
      </c>
      <c r="C3535" s="6">
        <v>7.0</v>
      </c>
      <c r="D3535" s="9" t="s">
        <v>5845</v>
      </c>
      <c r="E3535" s="9" t="s">
        <v>5846</v>
      </c>
      <c r="F3535" s="8" t="str">
        <f>IFERROR(__xludf.DUMMYFUNCTION("GOOGLETRANSLATE(D3535,""zh-CN"",""vi"")"),"Thanh protein ngũ cốc")</f>
        <v>Thanh protein ngũ cốc</v>
      </c>
      <c r="G3535" s="8" t="str">
        <f>IFERROR(__xludf.DUMMYFUNCTION("GOOGLETRANSLATE(E3535,""zh-CN"",""vi"")"),"Đói bụng? Cắn một miếng. Quá trình tổng hợp tạo ra thanh protein giàu dưỡng chất.")</f>
        <v>Đói bụng? Cắn một miếng. Quá trình tổng hợp tạo ra thanh protein giàu dưỡng chất.</v>
      </c>
      <c r="H3535" s="8"/>
      <c r="I3535" s="8"/>
      <c r="J3535" s="8"/>
    </row>
    <row r="3536" ht="21.0" customHeight="1">
      <c r="A3536" s="6">
        <v>1.0</v>
      </c>
      <c r="B3536" s="6">
        <v>266.0</v>
      </c>
      <c r="C3536" s="6">
        <v>8.0</v>
      </c>
      <c r="D3536" s="9" t="s">
        <v>5847</v>
      </c>
      <c r="E3536" s="9" t="s">
        <v>5848</v>
      </c>
      <c r="F3536" s="8" t="str">
        <f>IFERROR(__xludf.DUMMYFUNCTION("GOOGLETRANSLATE(D3536,""zh-CN"",""vi"")"),"thanh giàu protein")</f>
        <v>thanh giàu protein</v>
      </c>
      <c r="G3536" s="8" t="str">
        <f>IFERROR(__xludf.DUMMYFUNCTION("GOOGLETRANSLATE(E3536,""zh-CN"",""vi"")"),"Chỉ một miếng thôi, bạn sẽ tràn đầy năng lượng cả ngày. Hãy tự làm một thanh sôcôla chứa nhiều calo.")</f>
        <v>Chỉ một miếng thôi, bạn sẽ tràn đầy năng lượng cả ngày. Hãy tự làm một thanh sôcôla chứa nhiều calo.</v>
      </c>
      <c r="H3536" s="8"/>
      <c r="I3536" s="8"/>
      <c r="J3536" s="8"/>
    </row>
    <row r="3537" ht="21.0" customHeight="1">
      <c r="A3537" s="6">
        <v>1.0</v>
      </c>
      <c r="B3537" s="6">
        <v>266.0</v>
      </c>
      <c r="C3537" s="6">
        <v>9.0</v>
      </c>
      <c r="D3537" s="9" t="s">
        <v>5849</v>
      </c>
      <c r="E3537" s="9" t="s">
        <v>5850</v>
      </c>
      <c r="F3537" s="8" t="str">
        <f>IFERROR(__xludf.DUMMYFUNCTION("GOOGLETRANSLATE(D3537,""zh-CN"",""vi"")"),"Thanh sô cô la calo")</f>
        <v>Thanh sô cô la calo</v>
      </c>
      <c r="G3537" s="8" t="str">
        <f>IFERROR(__xludf.DUMMYFUNCTION("GOOGLETRANSLATE(E3537,""zh-CN"",""vi"")"),"Tôi không thích các hoạt động ngoài trời, nhưng tôi rất thích ăn! Tôi thích tự làm mứt trái cây.")</f>
        <v>Tôi không thích các hoạt động ngoài trời, nhưng tôi rất thích ăn! Tôi thích tự làm mứt trái cây.</v>
      </c>
      <c r="H3537" s="8"/>
      <c r="I3537" s="8"/>
      <c r="J3537" s="8"/>
    </row>
    <row r="3538" ht="21.0" customHeight="1">
      <c r="A3538" s="6">
        <v>1.0</v>
      </c>
      <c r="B3538" s="6">
        <v>266.0</v>
      </c>
      <c r="C3538" s="6">
        <v>10.0</v>
      </c>
      <c r="D3538" s="9" t="s">
        <v>5851</v>
      </c>
      <c r="E3538" s="9" t="s">
        <v>5852</v>
      </c>
      <c r="F3538" s="8" t="str">
        <f>IFERROR(__xludf.DUMMYFUNCTION("GOOGLETRANSLATE(D3538,""zh-CN"",""vi"")"),"trái cây đóng hộp")</f>
        <v>trái cây đóng hộp</v>
      </c>
      <c r="G3538" s="8" t="str">
        <f>IFERROR(__xludf.DUMMYFUNCTION("GOOGLETRANSLATE(E3538,""zh-CN"",""vi"")"),"Thực phẩm bổ sung vitamin cực kỳ hiệu quả, và hương vị cũng rất tuyệt! Tổng hợp để thu được rau đóng hộp.")</f>
        <v>Thực phẩm bổ sung vitamin cực kỳ hiệu quả, và hương vị cũng rất tuyệt! Tổng hợp để thu được rau đóng hộp.</v>
      </c>
      <c r="H3538" s="8"/>
      <c r="I3538" s="8"/>
      <c r="J3538" s="8"/>
    </row>
    <row r="3539" ht="21.0" customHeight="1">
      <c r="A3539" s="6">
        <v>1.0</v>
      </c>
      <c r="B3539" s="6">
        <v>266.0</v>
      </c>
      <c r="C3539" s="6">
        <v>11.0</v>
      </c>
      <c r="D3539" s="9" t="s">
        <v>5853</v>
      </c>
      <c r="E3539" s="9" t="s">
        <v>5854</v>
      </c>
      <c r="F3539" s="8" t="str">
        <f>IFERROR(__xludf.DUMMYFUNCTION("GOOGLETRANSLATE(D3539,""zh-CN"",""vi"")"),"rau đóng hộp")</f>
        <v>rau đóng hộp</v>
      </c>
      <c r="G3539" s="8" t="str">
        <f>IFERROR(__xludf.DUMMYFUNCTION("GOOGLETRANSLATE(E3539,""zh-CN"",""vi"")"),"Nó có thể được ăn trực tiếp hoặc dùng trong nấu ăn. Quá trình chế biến sẽ tạo ra thịt nguội đóng hộp.")</f>
        <v>Nó có thể được ăn trực tiếp hoặc dùng trong nấu ăn. Quá trình chế biến sẽ tạo ra thịt nguội đóng hộp.</v>
      </c>
      <c r="H3539" s="8"/>
      <c r="I3539" s="8"/>
      <c r="J3539" s="8"/>
    </row>
    <row r="3540" ht="21.0" customHeight="1">
      <c r="A3540" s="6">
        <v>1.0</v>
      </c>
      <c r="B3540" s="6">
        <v>266.0</v>
      </c>
      <c r="C3540" s="6">
        <v>12.0</v>
      </c>
      <c r="D3540" s="9" t="s">
        <v>5855</v>
      </c>
      <c r="E3540" s="9" t="s">
        <v>5856</v>
      </c>
      <c r="F3540" s="8" t="str">
        <f>IFERROR(__xludf.DUMMYFUNCTION("GOOGLETRANSLATE(D3540,""zh-CN"",""vi"")"),"Thịt hộp")</f>
        <v>Thịt hộp</v>
      </c>
      <c r="G3540" s="8" t="str">
        <f>IFERROR(__xludf.DUMMYFUNCTION("GOOGLETRANSLATE(E3540,""zh-CN"",""vi"")"),"Nấu chín lên là ngon tuyệt! Hải sản đóng hộp thủ công.")</f>
        <v>Nấu chín lên là ngon tuyệt! Hải sản đóng hộp thủ công.</v>
      </c>
      <c r="H3540" s="8"/>
      <c r="I3540" s="8"/>
      <c r="J3540" s="8"/>
    </row>
    <row r="3541" ht="21.0" customHeight="1">
      <c r="A3541" s="6">
        <v>1.0</v>
      </c>
      <c r="B3541" s="6">
        <v>266.0</v>
      </c>
      <c r="C3541" s="6">
        <v>13.0</v>
      </c>
      <c r="D3541" s="9" t="s">
        <v>5857</v>
      </c>
      <c r="E3541" s="9" t="s">
        <v>5858</v>
      </c>
      <c r="F3541" s="8" t="str">
        <f>IFERROR(__xludf.DUMMYFUNCTION("GOOGLETRANSLATE(D3541,""zh-CN"",""vi"")"),"hải sản đóng hộp")</f>
        <v>hải sản đóng hộp</v>
      </c>
      <c r="G3541" s="8" t="str">
        <f>IFERROR(__xludf.DUMMYFUNCTION("GOOGLETRANSLATE(E3541,""zh-CN"",""vi"")"),"Cá và tôm thường rất giàu protein! (Protein đã được tổng hợp ở mức cao nhất.)")</f>
        <v>Cá và tôm thường rất giàu protein! (Protein đã được tổng hợp ở mức cao nhất.)</v>
      </c>
      <c r="H3541" s="8"/>
      <c r="I3541" s="8"/>
      <c r="J3541" s="8"/>
    </row>
    <row r="3542" ht="21.0" customHeight="1">
      <c r="A3542" s="6">
        <v>1.0</v>
      </c>
      <c r="B3542" s="6">
        <v>267.0</v>
      </c>
      <c r="C3542" s="6">
        <v>1.0</v>
      </c>
      <c r="D3542" s="15" t="s">
        <v>5859</v>
      </c>
      <c r="E3542" s="9" t="s">
        <v>5860</v>
      </c>
      <c r="F3542" s="8" t="str">
        <f>IFERROR(__xludf.DUMMYFUNCTION("GOOGLETRANSLATE(D3542,""zh-CN"",""vi"")"),"Bật lửa chống gió")</f>
        <v>Bật lửa chống gió</v>
      </c>
      <c r="G3542" s="8" t="str">
        <f>IFERROR(__xludf.DUMMYFUNCTION("GOOGLETRANSLATE(E3542,""zh-CN"",""vi"")"),"Nó sẽ không bị gió thổi bay. Kết hợp chúng lại để tạo thành một con dao gấp đa năng.")</f>
        <v>Nó sẽ không bị gió thổi bay. Kết hợp chúng lại để tạo thành một con dao gấp đa năng.</v>
      </c>
      <c r="H3542" s="8"/>
      <c r="I3542" s="8"/>
      <c r="J3542" s="8"/>
    </row>
    <row r="3543" ht="21.0" customHeight="1">
      <c r="A3543" s="6">
        <v>1.0</v>
      </c>
      <c r="B3543" s="6">
        <v>267.0</v>
      </c>
      <c r="C3543" s="6">
        <v>2.0</v>
      </c>
      <c r="D3543" s="15" t="s">
        <v>5861</v>
      </c>
      <c r="E3543" s="9" t="s">
        <v>5862</v>
      </c>
      <c r="F3543" s="8" t="str">
        <f>IFERROR(__xludf.DUMMYFUNCTION("GOOGLETRANSLATE(D3543,""zh-CN"",""vi"")"),"Dao gấp đa năng")</f>
        <v>Dao gấp đa năng</v>
      </c>
      <c r="G3543" s="8" t="str">
        <f>IFERROR(__xludf.DUMMYFUNCTION("GOOGLETRANSLATE(E3543,""zh-CN"",""vi"")"),"Một vật dụng đa năng và thiết yếu. Hãy chế tạo nó để có được một chiếc đồng hồ thể thao.")</f>
        <v>Một vật dụng đa năng và thiết yếu. Hãy chế tạo nó để có được một chiếc đồng hồ thể thao.</v>
      </c>
      <c r="H3543" s="8"/>
      <c r="I3543" s="8"/>
      <c r="J3543" s="8"/>
    </row>
    <row r="3544" ht="21.0" customHeight="1">
      <c r="A3544" s="6">
        <v>1.0</v>
      </c>
      <c r="B3544" s="6">
        <v>267.0</v>
      </c>
      <c r="C3544" s="6">
        <v>3.0</v>
      </c>
      <c r="D3544" s="15" t="s">
        <v>5863</v>
      </c>
      <c r="E3544" s="9" t="s">
        <v>5864</v>
      </c>
      <c r="F3544" s="8" t="str">
        <f>IFERROR(__xludf.DUMMYFUNCTION("GOOGLETRANSLATE(D3544,""zh-CN"",""vi"")"),"đồng hồ thể thao")</f>
        <v>đồng hồ thể thao</v>
      </c>
      <c r="G3544" s="8" t="str">
        <f>IFERROR(__xludf.DUMMYFUNCTION("GOOGLETRANSLATE(E3544,""zh-CN"",""vi"")"),"Theo dõi nhịp tim, nồng độ oxy trong máu và nhịp thở; một người bảo vệ an toàn. Tổng hợp để tạo ra kính thể thao.")</f>
        <v>Theo dõi nhịp tim, nồng độ oxy trong máu và nhịp thở; một người bảo vệ an toàn. Tổng hợp để tạo ra kính thể thao.</v>
      </c>
      <c r="H3544" s="8"/>
      <c r="I3544" s="8"/>
      <c r="J3544" s="8"/>
    </row>
    <row r="3545" ht="21.0" customHeight="1">
      <c r="A3545" s="6">
        <v>1.0</v>
      </c>
      <c r="B3545" s="6">
        <v>267.0</v>
      </c>
      <c r="C3545" s="6">
        <v>4.0</v>
      </c>
      <c r="D3545" s="15" t="s">
        <v>5865</v>
      </c>
      <c r="E3545" s="9" t="s">
        <v>5866</v>
      </c>
      <c r="F3545" s="8" t="str">
        <f>IFERROR(__xludf.DUMMYFUNCTION("GOOGLETRANSLATE(D3545,""zh-CN"",""vi"")"),"kính thể thao")</f>
        <v>kính thể thao</v>
      </c>
      <c r="G3545" s="8" t="str">
        <f>IFERROR(__xludf.DUMMYFUNCTION("GOOGLETRANSLATE(E3545,""zh-CN"",""vi"")"),"Nó bền và chống trầy xước. Được kết hợp để tạo thành một bộ đàm.")</f>
        <v>Nó bền và chống trầy xước. Được kết hợp để tạo thành một bộ đàm.</v>
      </c>
      <c r="H3545" s="8"/>
      <c r="I3545" s="8"/>
      <c r="J3545" s="8"/>
    </row>
    <row r="3546" ht="21.0" customHeight="1">
      <c r="A3546" s="6">
        <v>1.0</v>
      </c>
      <c r="B3546" s="6">
        <v>267.0</v>
      </c>
      <c r="C3546" s="6">
        <v>5.0</v>
      </c>
      <c r="D3546" s="15" t="s">
        <v>5867</v>
      </c>
      <c r="E3546" s="9" t="s">
        <v>5868</v>
      </c>
      <c r="F3546" s="8" t="str">
        <f>IFERROR(__xludf.DUMMYFUNCTION("GOOGLETRANSLATE(D3546,""zh-CN"",""vi"")"),"bộ đàm")</f>
        <v>bộ đàm</v>
      </c>
      <c r="G3546" s="8" t="str">
        <f>IFERROR(__xludf.DUMMYFUNCTION("GOOGLETRANSLATE(E3546,""zh-CN"",""vi"")"),"Nó có thể được sử dụng để liên lạc ở những khu vực không có tín hiệu. Có thể chế tạo một sợi dây cáp truyền lực từ nó.")</f>
        <v>Nó có thể được sử dụng để liên lạc ở những khu vực không có tín hiệu. Có thể chế tạo một sợi dây cáp truyền lực từ nó.</v>
      </c>
      <c r="H3546" s="8"/>
      <c r="I3546" s="8"/>
      <c r="J3546" s="8"/>
    </row>
    <row r="3547" ht="21.0" customHeight="1">
      <c r="A3547" s="6">
        <v>1.0</v>
      </c>
      <c r="B3547" s="6">
        <v>267.0</v>
      </c>
      <c r="C3547" s="6">
        <v>6.0</v>
      </c>
      <c r="D3547" s="15" t="s">
        <v>5869</v>
      </c>
      <c r="E3547" s="9" t="s">
        <v>5870</v>
      </c>
      <c r="F3547" s="8" t="str">
        <f>IFERROR(__xludf.DUMMYFUNCTION("GOOGLETRANSLATE(D3547,""zh-CN"",""vi"")"),"Dây thừng động")</f>
        <v>Dây thừng động</v>
      </c>
      <c r="G3547" s="8" t="str">
        <f>IFERROR(__xludf.DUMMYFUNCTION("GOOGLETRANSLATE(E3547,""zh-CN"",""vi"")"),"Không chỉ dùng để leo núi đá, vật phẩm này còn có thể dùng để vượt sông và cứu hộ. Chế tạo nó sẽ cho ra một đôi giày leo núi.")</f>
        <v>Không chỉ dùng để leo núi đá, vật phẩm này còn có thể dùng để vượt sông và cứu hộ. Chế tạo nó sẽ cho ra một đôi giày leo núi.</v>
      </c>
      <c r="H3547" s="8"/>
      <c r="I3547" s="8"/>
      <c r="J3547" s="8"/>
    </row>
    <row r="3548" ht="21.0" customHeight="1">
      <c r="A3548" s="6">
        <v>1.0</v>
      </c>
      <c r="B3548" s="6">
        <v>267.0</v>
      </c>
      <c r="C3548" s="6">
        <v>7.0</v>
      </c>
      <c r="D3548" s="15" t="s">
        <v>5871</v>
      </c>
      <c r="E3548" s="9" t="s">
        <v>5872</v>
      </c>
      <c r="F3548" s="8" t="str">
        <f>IFERROR(__xludf.DUMMYFUNCTION("GOOGLETRANSLATE(D3548,""zh-CN"",""vi"")"),"Giày leo núi")</f>
        <v>Giày leo núi</v>
      </c>
      <c r="G3548" s="8" t="str">
        <f>IFERROR(__xludf.DUMMYFUNCTION("GOOGLETRANSLATE(E3548,""zh-CN"",""vi"")"),"Chinh phục con đường núi hiểm trở. Tự chế tạo một chiếc bình giữ nhiệt.")</f>
        <v>Chinh phục con đường núi hiểm trở. Tự chế tạo một chiếc bình giữ nhiệt.</v>
      </c>
      <c r="H3548" s="8"/>
      <c r="I3548" s="8"/>
      <c r="J3548" s="8"/>
    </row>
    <row r="3549" ht="21.0" customHeight="1">
      <c r="A3549" s="6">
        <v>1.0</v>
      </c>
      <c r="B3549" s="6">
        <v>267.0</v>
      </c>
      <c r="C3549" s="6">
        <v>8.0</v>
      </c>
      <c r="D3549" s="15" t="s">
        <v>5873</v>
      </c>
      <c r="E3549" s="9" t="s">
        <v>5874</v>
      </c>
      <c r="F3549" s="8" t="str">
        <f>IFERROR(__xludf.DUMMYFUNCTION("GOOGLETRANSLATE(D3549,""zh-CN"",""vi"")"),"bình giữ nhiệt")</f>
        <v>bình giữ nhiệt</v>
      </c>
      <c r="G3549" s="8" t="str">
        <f>IFERROR(__xludf.DUMMYFUNCTION("GOOGLETRANSLATE(E3549,""zh-CN"",""vi"")"),"Một tách nước nóng làm ấm cơ thể và tâm hồn. (Nước này được dùng để chế tạo bộ lọc nước.)")</f>
        <v>Một tách nước nóng làm ấm cơ thể và tâm hồn. (Nước này được dùng để chế tạo bộ lọc nước.)</v>
      </c>
      <c r="H3549" s="8"/>
      <c r="I3549" s="8"/>
      <c r="J3549" s="8"/>
    </row>
    <row r="3550" ht="21.0" customHeight="1">
      <c r="A3550" s="6">
        <v>1.0</v>
      </c>
      <c r="B3550" s="6">
        <v>267.0</v>
      </c>
      <c r="C3550" s="6">
        <v>9.0</v>
      </c>
      <c r="D3550" s="15" t="s">
        <v>5875</v>
      </c>
      <c r="E3550" s="9" t="s">
        <v>5876</v>
      </c>
      <c r="F3550" s="8" t="str">
        <f>IFERROR(__xludf.DUMMYFUNCTION("GOOGLETRANSLATE(D3550,""zh-CN"",""vi"")"),"Bộ lọc nước")</f>
        <v>Bộ lọc nước</v>
      </c>
      <c r="G3550" s="8" t="str">
        <f>IFERROR(__xludf.DUMMYFUNCTION("GOOGLETRANSLATE(E3550,""zh-CN"",""vi"")"),"Nó có thể tồn tại trong môi trường khắc nghiệt. Một nguồn sáng gắn trên đầu đã được tổng hợp.")</f>
        <v>Nó có thể tồn tại trong môi trường khắc nghiệt. Một nguồn sáng gắn trên đầu đã được tổng hợp.</v>
      </c>
      <c r="H3550" s="8"/>
      <c r="I3550" s="8"/>
      <c r="J3550" s="8"/>
    </row>
    <row r="3551" ht="21.0" customHeight="1">
      <c r="A3551" s="6">
        <v>1.0</v>
      </c>
      <c r="B3551" s="6">
        <v>267.0</v>
      </c>
      <c r="C3551" s="6">
        <v>10.0</v>
      </c>
      <c r="D3551" s="15" t="s">
        <v>5877</v>
      </c>
      <c r="E3551" s="9" t="s">
        <v>5878</v>
      </c>
      <c r="F3551" s="8" t="str">
        <f>IFERROR(__xludf.DUMMYFUNCTION("GOOGLETRANSLATE(D3551,""zh-CN"",""vi"")"),"Đèn gắn trên đầu")</f>
        <v>Đèn gắn trên đầu</v>
      </c>
      <c r="G3551" s="8" t="str">
        <f>IFERROR(__xludf.DUMMYFUNCTION("GOOGLETRANSLATE(E3551,""zh-CN"",""vi"")"),"Một vật dụng thiết yếu cho việc khám phá hang động. Hãy chế tạo nó để có được một cây gậy leo núi.")</f>
        <v>Một vật dụng thiết yếu cho việc khám phá hang động. Hãy chế tạo nó để có được một cây gậy leo núi.</v>
      </c>
      <c r="H3551" s="8"/>
      <c r="I3551" s="8"/>
      <c r="J3551" s="8"/>
    </row>
    <row r="3552" ht="21.0" customHeight="1">
      <c r="A3552" s="6">
        <v>1.0</v>
      </c>
      <c r="B3552" s="6">
        <v>267.0</v>
      </c>
      <c r="C3552" s="6">
        <v>11.0</v>
      </c>
      <c r="D3552" s="15" t="s">
        <v>5879</v>
      </c>
      <c r="E3552" s="9" t="s">
        <v>5880</v>
      </c>
      <c r="F3552" s="8" t="str">
        <f>IFERROR(__xludf.DUMMYFUNCTION("GOOGLETRANSLATE(D3552,""zh-CN"",""vi"")"),"Gậy leo núi")</f>
        <v>Gậy leo núi</v>
      </c>
      <c r="G3552" s="8" t="str">
        <f>IFERROR(__xludf.DUMMYFUNCTION("GOOGLETRANSLATE(E3552,""zh-CN"",""vi"")"),"Nó hoạt động rất tốt trên những con đường xuyên qua đất, sỏi và cỏ dại. Hãy chế tạo nó để có được một cái rìu phá băng.")</f>
        <v>Nó hoạt động rất tốt trên những con đường xuyên qua đất, sỏi và cỏ dại. Hãy chế tạo nó để có được một cái rìu phá băng.</v>
      </c>
      <c r="H3552" s="8"/>
      <c r="I3552" s="8"/>
      <c r="J3552" s="8"/>
    </row>
    <row r="3553" ht="21.0" customHeight="1">
      <c r="A3553" s="6">
        <v>1.0</v>
      </c>
      <c r="B3553" s="6">
        <v>267.0</v>
      </c>
      <c r="C3553" s="6">
        <v>12.0</v>
      </c>
      <c r="D3553" s="15" t="s">
        <v>5881</v>
      </c>
      <c r="E3553" s="9" t="s">
        <v>5882</v>
      </c>
      <c r="F3553" s="8" t="str">
        <f>IFERROR(__xludf.DUMMYFUNCTION("GOOGLETRANSLATE(D3553,""zh-CN"",""vi"")"),"Rìu băng")</f>
        <v>Rìu băng</v>
      </c>
      <c r="G3553" s="8" t="str">
        <f>IFERROR(__xludf.DUMMYFUNCTION("GOOGLETRANSLATE(E3553,""zh-CN"",""vi"")"),"Vào mùa đông, các vùng núi cao luôn được bao phủ bởi băng chưa tan. (Có thể chế tạo súng bắn pháo sáng từ vật liệu này.)")</f>
        <v>Vào mùa đông, các vùng núi cao luôn được bao phủ bởi băng chưa tan. (Có thể chế tạo súng bắn pháo sáng từ vật liệu này.)</v>
      </c>
      <c r="H3553" s="8"/>
      <c r="I3553" s="8"/>
      <c r="J3553" s="8"/>
    </row>
    <row r="3554" ht="21.0" customHeight="1">
      <c r="A3554" s="6">
        <v>1.0</v>
      </c>
      <c r="B3554" s="6">
        <v>267.0</v>
      </c>
      <c r="C3554" s="6">
        <v>13.0</v>
      </c>
      <c r="D3554" s="15" t="s">
        <v>5883</v>
      </c>
      <c r="E3554" s="9" t="s">
        <v>5884</v>
      </c>
      <c r="F3554" s="8" t="str">
        <f>IFERROR(__xludf.DUMMYFUNCTION("GOOGLETRANSLATE(D3554,""zh-CN"",""vi"")"),"súng bắn pháo sáng")</f>
        <v>súng bắn pháo sáng</v>
      </c>
      <c r="G3554" s="8" t="str">
        <f>IFERROR(__xludf.DUMMYFUNCTION("GOOGLETRANSLATE(E3554,""zh-CN"",""vi"")"),"Trong lúc khủng hoảng, bạn có thể gọi điện cầu cứu! (Cấp độ cao nhất đã được tổng hợp)")</f>
        <v>Trong lúc khủng hoảng, bạn có thể gọi điện cầu cứu! (Cấp độ cao nhất đã được tổng hợp)</v>
      </c>
      <c r="H3554" s="8"/>
      <c r="I3554" s="8"/>
      <c r="J3554" s="8"/>
    </row>
    <row r="3555" ht="21.0" customHeight="1">
      <c r="A3555" s="6">
        <v>1.0</v>
      </c>
      <c r="B3555" s="6">
        <v>268.0</v>
      </c>
      <c r="C3555" s="6">
        <v>1.0</v>
      </c>
      <c r="D3555" s="15" t="s">
        <v>5885</v>
      </c>
      <c r="E3555" s="9" t="s">
        <v>5886</v>
      </c>
      <c r="F3555" s="8" t="str">
        <f>IFERROR(__xludf.DUMMYFUNCTION("GOOGLETRANSLATE(D3555,""zh-CN"",""vi"")"),"bẫy động vật")</f>
        <v>bẫy động vật</v>
      </c>
      <c r="G3555" s="8" t="str">
        <f>IFERROR(__xludf.DUMMYFUNCTION("GOOGLETRANSLATE(E3555,""zh-CN"",""vi"")"),"Đói khát, chờ đợi con mồi. Hãy lập bản đồ để săn tìm kho báu.")</f>
        <v>Đói khát, chờ đợi con mồi. Hãy lập bản đồ để săn tìm kho báu.</v>
      </c>
      <c r="H3555" s="8"/>
      <c r="I3555" s="8"/>
      <c r="J3555" s="8"/>
    </row>
    <row r="3556" ht="21.0" customHeight="1">
      <c r="A3556" s="6">
        <v>1.0</v>
      </c>
      <c r="B3556" s="6">
        <v>268.0</v>
      </c>
      <c r="C3556" s="6">
        <v>2.0</v>
      </c>
      <c r="D3556" s="15" t="s">
        <v>5887</v>
      </c>
      <c r="E3556" s="9" t="s">
        <v>5888</v>
      </c>
      <c r="F3556" s="8" t="str">
        <f>IFERROR(__xludf.DUMMYFUNCTION("GOOGLETRANSLATE(D3556,""zh-CN"",""vi"")"),"Tìm kho báu trên bản đồ")</f>
        <v>Tìm kho báu trên bản đồ</v>
      </c>
      <c r="G3556" s="8" t="str">
        <f>IFERROR(__xludf.DUMMYFUNCTION("GOOGLETRANSLATE(E3556,""zh-CN"",""vi"")"),"Liệu tấm bản đồ kho báu từ 300 năm trước vẫn còn chứa kho báu đó không? Hãy kết hợp chúng để tìm ra dấu vết lần theo dấu chân.")</f>
        <v>Liệu tấm bản đồ kho báu từ 300 năm trước vẫn còn chứa kho báu đó không? Hãy kết hợp chúng để tìm ra dấu vết lần theo dấu chân.</v>
      </c>
      <c r="H3556" s="8"/>
      <c r="I3556" s="8"/>
      <c r="J3556" s="8"/>
    </row>
    <row r="3557" ht="21.0" customHeight="1">
      <c r="A3557" s="6">
        <v>1.0</v>
      </c>
      <c r="B3557" s="6">
        <v>268.0</v>
      </c>
      <c r="C3557" s="6">
        <v>3.0</v>
      </c>
      <c r="D3557" s="15" t="s">
        <v>5889</v>
      </c>
      <c r="E3557" s="9" t="s">
        <v>5890</v>
      </c>
      <c r="F3557" s="8" t="str">
        <f>IFERROR(__xludf.DUMMYFUNCTION("GOOGLETRANSLATE(D3557,""zh-CN"",""vi"")"),"Theo dõi dấu chân")</f>
        <v>Theo dõi dấu chân</v>
      </c>
      <c r="G3557" s="8" t="str">
        <f>IFERROR(__xludf.DUMMYFUNCTION("GOOGLETRANSLATE(E3557,""zh-CN"",""vi"")"),"Chủ nhân của những dấu chân có vẻ bị thương. (Hoàn thành quy trình để cứu con nai con.)")</f>
        <v>Chủ nhân của những dấu chân có vẻ bị thương. (Hoàn thành quy trình để cứu con nai con.)</v>
      </c>
      <c r="H3557" s="8"/>
      <c r="I3557" s="8"/>
      <c r="J3557" s="8"/>
    </row>
    <row r="3558" ht="21.0" customHeight="1">
      <c r="A3558" s="6">
        <v>1.0</v>
      </c>
      <c r="B3558" s="6">
        <v>268.0</v>
      </c>
      <c r="C3558" s="6">
        <v>4.0</v>
      </c>
      <c r="D3558" s="15" t="s">
        <v>5891</v>
      </c>
      <c r="E3558" s="9" t="s">
        <v>5892</v>
      </c>
      <c r="F3558" s="8" t="str">
        <f>IFERROR(__xludf.DUMMYFUNCTION("GOOGLETRANSLATE(D3558,""zh-CN"",""vi"")"),"Giải cứu chú nai con")</f>
        <v>Giải cứu chú nai con</v>
      </c>
      <c r="G3558" s="8" t="str">
        <f>IFERROR(__xludf.DUMMYFUNCTION("GOOGLETRANSLATE(E3558,""zh-CN"",""vi"")"),"Con nai tội nghiệp, hãy giúp nó nào. (Chế tạo vật phẩm để thu thập tổ ong.)")</f>
        <v>Con nai tội nghiệp, hãy giúp nó nào. (Chế tạo vật phẩm để thu thập tổ ong.)</v>
      </c>
      <c r="H3558" s="8"/>
      <c r="I3558" s="8"/>
      <c r="J3558" s="8"/>
    </row>
    <row r="3559" ht="21.0" customHeight="1">
      <c r="A3559" s="6">
        <v>1.0</v>
      </c>
      <c r="B3559" s="6">
        <v>268.0</v>
      </c>
      <c r="C3559" s="6">
        <v>5.0</v>
      </c>
      <c r="D3559" s="15" t="s">
        <v>5893</v>
      </c>
      <c r="E3559" s="9" t="s">
        <v>5894</v>
      </c>
      <c r="F3559" s="8" t="str">
        <f>IFERROR(__xludf.DUMMYFUNCTION("GOOGLETRANSLATE(D3559,""zh-CN"",""vi"")"),"Đục bỏ tổ ong")</f>
        <v>Đục bỏ tổ ong</v>
      </c>
      <c r="G3559" s="8" t="str">
        <f>IFERROR(__xludf.DUMMYFUNCTION("GOOGLETRANSLATE(E3559,""zh-CN"",""vi"")"),"Tinh chất mật hoa, giờ là của tôi! Kết hợp chúng lại để tạo thành bức tranh lá cây.")</f>
        <v>Tinh chất mật hoa, giờ là của tôi! Kết hợp chúng lại để tạo thành bức tranh lá cây.</v>
      </c>
      <c r="H3559" s="8"/>
      <c r="I3559" s="8"/>
      <c r="J3559" s="8"/>
    </row>
    <row r="3560" ht="21.0" customHeight="1">
      <c r="A3560" s="6">
        <v>1.0</v>
      </c>
      <c r="B3560" s="6">
        <v>268.0</v>
      </c>
      <c r="C3560" s="6">
        <v>6.0</v>
      </c>
      <c r="D3560" s="15" t="s">
        <v>5895</v>
      </c>
      <c r="E3560" s="9" t="s">
        <v>5896</v>
      </c>
      <c r="F3560" s="8" t="str">
        <f>IFERROR(__xludf.DUMMYFUNCTION("GOOGLETRANSLATE(D3560,""zh-CN"",""vi"")"),"Tranh vẽ lá")</f>
        <v>Tranh vẽ lá</v>
      </c>
      <c r="G3560" s="8" t="str">
        <f>IFERROR(__xludf.DUMMYFUNCTION("GOOGLETRANSLATE(E3560,""zh-CN"",""vi"")"),"Cuộc sống chỉ thiếu đôi mắt để nhìn thấy vẻ đẹp mà thôi~ Tổng hợp để có được Rượu Khỉ Trộm.")</f>
        <v>Cuộc sống chỉ thiếu đôi mắt để nhìn thấy vẻ đẹp mà thôi~ Tổng hợp để có được Rượu Khỉ Trộm.</v>
      </c>
      <c r="H3560" s="8"/>
      <c r="I3560" s="8"/>
      <c r="J3560" s="8"/>
    </row>
    <row r="3561" ht="21.0" customHeight="1">
      <c r="A3561" s="6">
        <v>1.0</v>
      </c>
      <c r="B3561" s="6">
        <v>268.0</v>
      </c>
      <c r="C3561" s="6">
        <v>7.0</v>
      </c>
      <c r="D3561" s="15" t="s">
        <v>5897</v>
      </c>
      <c r="E3561" s="9" t="s">
        <v>5898</v>
      </c>
      <c r="F3561" s="8" t="str">
        <f>IFERROR(__xludf.DUMMYFUNCTION("GOOGLETRANSLATE(D3561,""zh-CN"",""vi"")"),"Ăn cắp rượu khỉ")</f>
        <v>Ăn cắp rượu khỉ</v>
      </c>
      <c r="G3561" s="8" t="str">
        <f>IFERROR(__xludf.DUMMYFUNCTION("GOOGLETRANSLATE(E3561,""zh-CN"",""vi"")"),"Họ đang ngủ rất say. (Chế biến cá)")</f>
        <v>Họ đang ngủ rất say. (Chế biến cá)</v>
      </c>
      <c r="H3561" s="8"/>
      <c r="I3561" s="8"/>
      <c r="J3561" s="8"/>
    </row>
    <row r="3562" ht="21.0" customHeight="1">
      <c r="A3562" s="6">
        <v>1.0</v>
      </c>
      <c r="B3562" s="6">
        <v>268.0</v>
      </c>
      <c r="C3562" s="6">
        <v>8.0</v>
      </c>
      <c r="D3562" s="15" t="s">
        <v>5899</v>
      </c>
      <c r="E3562" s="9" t="s">
        <v>5900</v>
      </c>
      <c r="F3562" s="8" t="str">
        <f>IFERROR(__xludf.DUMMYFUNCTION("GOOGLETRANSLATE(D3562,""zh-CN"",""vi"")"),"câu cá")</f>
        <v>câu cá</v>
      </c>
      <c r="G3562" s="8" t="str">
        <f>IFERROR(__xludf.DUMMYFUNCTION("GOOGLETRANSLATE(E3562,""zh-CN"",""vi"")"),"Một ngày thư thái bắt đầu bằng việc câu cá. Kết hợp các loại cá để nhận được Hươu Hôn.")</f>
        <v>Một ngày thư thái bắt đầu bằng việc câu cá. Kết hợp các loại cá để nhận được Hươu Hôn.</v>
      </c>
      <c r="H3562" s="8"/>
      <c r="I3562" s="8"/>
      <c r="J3562" s="8"/>
    </row>
    <row r="3563" ht="21.0" customHeight="1">
      <c r="A3563" s="6">
        <v>1.0</v>
      </c>
      <c r="B3563" s="6">
        <v>268.0</v>
      </c>
      <c r="C3563" s="6">
        <v>9.0</v>
      </c>
      <c r="D3563" s="15" t="s">
        <v>5901</v>
      </c>
      <c r="E3563" s="9" t="s">
        <v>5902</v>
      </c>
      <c r="F3563" s="8" t="str">
        <f>IFERROR(__xludf.DUMMYFUNCTION("GOOGLETRANSLATE(D3563,""zh-CN"",""vi"")"),"Hôn chú nai nhỏ")</f>
        <v>Hôn chú nai nhỏ</v>
      </c>
      <c r="G3563" s="8" t="str">
        <f>IFERROR(__xludf.DUMMYFUNCTION("GOOGLETRANSLATE(E3563,""zh-CN"",""vi"")"),"Sau khi bình phục vết thương, chú nai con đã trở thành bạn của tôi~ Kết hợp chúng để có được trò chơi Trôi dạt Nước Dừa.")</f>
        <v>Sau khi bình phục vết thương, chú nai con đã trở thành bạn của tôi~ Kết hợp chúng để có được trò chơi Trôi dạt Nước Dừa.</v>
      </c>
      <c r="H3563" s="8"/>
      <c r="I3563" s="8"/>
      <c r="J3563" s="8"/>
    </row>
    <row r="3564" ht="21.0" customHeight="1">
      <c r="A3564" s="6">
        <v>1.0</v>
      </c>
      <c r="B3564" s="6">
        <v>268.0</v>
      </c>
      <c r="C3564" s="6">
        <v>10.0</v>
      </c>
      <c r="D3564" s="15" t="s">
        <v>5903</v>
      </c>
      <c r="E3564" s="9" t="s">
        <v>5904</v>
      </c>
      <c r="F3564" s="8" t="str">
        <f>IFERROR(__xludf.DUMMYFUNCTION("GOOGLETRANSLATE(D3564,""zh-CN"",""vi"")"),"Nước dừa nổi")</f>
        <v>Nước dừa nổi</v>
      </c>
      <c r="G3564" s="8" t="str">
        <f>IFERROR(__xludf.DUMMYFUNCTION("GOOGLETRANSLATE(E3564,""zh-CN"",""vi"")"),"Ngồi trên một quả dừa khổng lồ và tận hưởng chuyến đi trên nước! Kết hợp chúng để khám phá các bộ lạc nguyên thủy.")</f>
        <v>Ngồi trên một quả dừa khổng lồ và tận hưởng chuyến đi trên nước! Kết hợp chúng để khám phá các bộ lạc nguyên thủy.</v>
      </c>
      <c r="H3564" s="8"/>
      <c r="I3564" s="8"/>
      <c r="J3564" s="8"/>
    </row>
    <row r="3565" ht="21.0" customHeight="1">
      <c r="A3565" s="6">
        <v>1.0</v>
      </c>
      <c r="B3565" s="6">
        <v>268.0</v>
      </c>
      <c r="C3565" s="6">
        <v>11.0</v>
      </c>
      <c r="D3565" s="15" t="s">
        <v>5905</v>
      </c>
      <c r="E3565" s="9" t="s">
        <v>5906</v>
      </c>
      <c r="F3565" s="8" t="str">
        <f>IFERROR(__xludf.DUMMYFUNCTION("GOOGLETRANSLATE(D3565,""zh-CN"",""vi"")"),"Thăm các bộ lạc nguyên thủy")</f>
        <v>Thăm các bộ lạc nguyên thủy</v>
      </c>
      <c r="G3565" s="8" t="str">
        <f>IFERROR(__xludf.DUMMYFUNCTION("GOOGLETRANSLATE(E3565,""zh-CN"",""vi"")"),"Những cột totem bí ẩn, một bầu không khí kỳ lạ. Hãy chế tạo nó để có được một bồn tắm suối nước nóng.")</f>
        <v>Những cột totem bí ẩn, một bầu không khí kỳ lạ. Hãy chế tạo nó để có được một bồn tắm suối nước nóng.</v>
      </c>
      <c r="H3565" s="8"/>
      <c r="I3565" s="8"/>
      <c r="J3565" s="8"/>
    </row>
    <row r="3566" ht="21.0" customHeight="1">
      <c r="A3566" s="6">
        <v>1.0</v>
      </c>
      <c r="B3566" s="6">
        <v>268.0</v>
      </c>
      <c r="C3566" s="6">
        <v>12.0</v>
      </c>
      <c r="D3566" s="15" t="s">
        <v>5907</v>
      </c>
      <c r="E3566" s="9" t="s">
        <v>5908</v>
      </c>
      <c r="F3566" s="8" t="str">
        <f>IFERROR(__xludf.DUMMYFUNCTION("GOOGLETRANSLATE(D3566,""zh-CN"",""vi"")"),"Ngâm mình trong suối nước nóng")</f>
        <v>Ngâm mình trong suối nước nóng</v>
      </c>
      <c r="G3566" s="8" t="str">
        <f>IFERROR(__xludf.DUMMYFUNCTION("GOOGLETRANSLATE(E3566,""zh-CN"",""vi"")"),"Một dòng suối nước nóng tự nhiên phun trào từ ngọn núi. (Cần chế tạo vật phẩm để có một bữa tiệc lửa trại.)")</f>
        <v>Một dòng suối nước nóng tự nhiên phun trào từ ngọn núi. (Cần chế tạo vật phẩm để có một bữa tiệc lửa trại.)</v>
      </c>
      <c r="H3566" s="8"/>
      <c r="I3566" s="8"/>
      <c r="J3566" s="8"/>
    </row>
    <row r="3567" ht="21.0" customHeight="1">
      <c r="A3567" s="6">
        <v>1.0</v>
      </c>
      <c r="B3567" s="6">
        <v>268.0</v>
      </c>
      <c r="C3567" s="6">
        <v>13.0</v>
      </c>
      <c r="D3567" s="15" t="s">
        <v>5909</v>
      </c>
      <c r="E3567" s="9" t="s">
        <v>5910</v>
      </c>
      <c r="F3567" s="8" t="str">
        <f>IFERROR(__xludf.DUMMYFUNCTION("GOOGLETRANSLATE(D3567,""zh-CN"",""vi"")"),"Tiệc đốt lửa")</f>
        <v>Tiệc đốt lửa</v>
      </c>
      <c r="G3567" s="8" t="str">
        <f>IFERROR(__xludf.DUMMYFUNCTION("GOOGLETRANSLATE(E3567,""zh-CN"",""vi"")"),"Cùng nhau ngủ ngon giấc dưới bầu trời đầy sao nào~ (Đã đạt cấp độ cao nhất)")</f>
        <v>Cùng nhau ngủ ngon giấc dưới bầu trời đầy sao nào~ (Đã đạt cấp độ cao nhất)</v>
      </c>
      <c r="H3567" s="8"/>
      <c r="I3567" s="8"/>
      <c r="J3567" s="8"/>
    </row>
    <row r="3568" ht="21.0" customHeight="1">
      <c r="A3568" s="6">
        <v>11.0</v>
      </c>
      <c r="B3568" s="6">
        <v>1082.0</v>
      </c>
      <c r="C3568" s="6">
        <v>1.0</v>
      </c>
      <c r="D3568" s="15" t="s">
        <v>5911</v>
      </c>
      <c r="E3568" s="9" t="s">
        <v>5912</v>
      </c>
      <c r="F3568" s="8" t="str">
        <f>IFERROR(__xludf.DUMMYFUNCTION("GOOGLETRANSLATE(D3568,""zh-CN"",""vi"")"),"tấm cửa")</f>
        <v>tấm cửa</v>
      </c>
      <c r="G3568" s="8" t="str">
        <f>IFERROR(__xludf.DUMMYFUNCTION("GOOGLETRANSLATE(E3568,""zh-CN"",""vi"")"),"Tấm biển cổng của trang viên nhà họ Lin. Khi ghép lại, nó tạo thành một cột đèn đường trong trang viên.")</f>
        <v>Tấm biển cổng của trang viên nhà họ Lin. Khi ghép lại, nó tạo thành một cột đèn đường trong trang viên.</v>
      </c>
      <c r="H3568" s="8"/>
      <c r="I3568" s="8"/>
      <c r="J3568" s="8"/>
    </row>
    <row r="3569" ht="21.0" customHeight="1">
      <c r="A3569" s="6">
        <v>11.0</v>
      </c>
      <c r="B3569" s="6">
        <v>1082.0</v>
      </c>
      <c r="C3569" s="6">
        <v>2.0</v>
      </c>
      <c r="D3569" s="73" t="s">
        <v>5913</v>
      </c>
      <c r="E3569" s="9" t="s">
        <v>5914</v>
      </c>
      <c r="F3569" s="8" t="str">
        <f>IFERROR(__xludf.DUMMYFUNCTION("GOOGLETRANSLATE(D3569,""zh-CN"",""vi"")"),"Đèn đường Manor")</f>
        <v>Đèn đường Manor</v>
      </c>
      <c r="G3569" s="8" t="str">
        <f>IFERROR(__xludf.DUMMYFUNCTION("GOOGLETRANSLATE(E3569,""zh-CN"",""vi"")"),"Hàng trăm ngàn cột đèn đường, xa hoa lộng lẫy. (Cổng trang viên được tạo ra thông qua quá trình tổng hợp.)")</f>
        <v>Hàng trăm ngàn cột đèn đường, xa hoa lộng lẫy. (Cổng trang viên được tạo ra thông qua quá trình tổng hợp.)</v>
      </c>
      <c r="H3569" s="8"/>
      <c r="I3569" s="8"/>
      <c r="J3569" s="8"/>
    </row>
    <row r="3570" ht="21.0" customHeight="1">
      <c r="A3570" s="6">
        <v>11.0</v>
      </c>
      <c r="B3570" s="6">
        <v>1082.0</v>
      </c>
      <c r="C3570" s="6">
        <v>3.0</v>
      </c>
      <c r="D3570" s="15" t="s">
        <v>5915</v>
      </c>
      <c r="E3570" s="9" t="s">
        <v>5916</v>
      </c>
      <c r="F3570" s="8" t="str">
        <f>IFERROR(__xludf.DUMMYFUNCTION("GOOGLETRANSLATE(D3570,""zh-CN"",""vi"")"),"Cổng trang viên")</f>
        <v>Cổng trang viên</v>
      </c>
      <c r="G3570" s="8" t="str">
        <f>IFERROR(__xludf.DUMMYFUNCTION("GOOGLETRANSLATE(E3570,""zh-CN"",""vi"")"),"Bảo trì thường xuyên giúp nó luôn trông như mới. Tổng hợp để có được Tượng đài Trang viên.")</f>
        <v>Bảo trì thường xuyên giúp nó luôn trông như mới. Tổng hợp để có được Tượng đài Trang viên.</v>
      </c>
      <c r="H3570" s="8"/>
      <c r="I3570" s="8"/>
      <c r="J3570" s="8"/>
    </row>
    <row r="3571" ht="21.0" customHeight="1">
      <c r="A3571" s="6">
        <v>11.0</v>
      </c>
      <c r="B3571" s="6">
        <v>1082.0</v>
      </c>
      <c r="C3571" s="6">
        <v>4.0</v>
      </c>
      <c r="D3571" s="15" t="s">
        <v>5917</v>
      </c>
      <c r="E3571" s="9" t="s">
        <v>5918</v>
      </c>
      <c r="F3571" s="8" t="str">
        <f>IFERROR(__xludf.DUMMYFUNCTION("GOOGLETRANSLATE(D3571,""zh-CN"",""vi"")"),"Tượng đài trang viên")</f>
        <v>Tượng đài trang viên</v>
      </c>
      <c r="G3571" s="8" t="str">
        <f>IFERROR(__xludf.DUMMYFUNCTION("GOOGLETRANSLATE(E3571,""zh-CN"",""vi"")"),"Tác phẩm điêu khắc, do một nghệ sĩ nổi tiếng thiết kế, mang một ý nghĩa vượt thời gian. Khi kết hợp với các yếu tố khác, nó tạo nên một chiếc xích đu thanh bình.")</f>
        <v>Tác phẩm điêu khắc, do một nghệ sĩ nổi tiếng thiết kế, mang một ý nghĩa vượt thời gian. Khi kết hợp với các yếu tố khác, nó tạo nên một chiếc xích đu thanh bình.</v>
      </c>
      <c r="H3571" s="8"/>
      <c r="I3571" s="8"/>
      <c r="J3571" s="8"/>
    </row>
    <row r="3572" ht="21.0" customHeight="1">
      <c r="A3572" s="6">
        <v>10.0</v>
      </c>
      <c r="B3572" s="6">
        <v>1082.0</v>
      </c>
      <c r="C3572" s="6">
        <v>5.0</v>
      </c>
      <c r="D3572" s="15" t="s">
        <v>5919</v>
      </c>
      <c r="E3572" s="9" t="s">
        <v>5920</v>
      </c>
      <c r="F3572" s="8" t="str">
        <f>IFERROR(__xludf.DUMMYFUNCTION("GOOGLETRANSLATE(D3572,""zh-CN"",""vi"")"),"Một chiếc xích đu yên bình")</f>
        <v>Một chiếc xích đu yên bình</v>
      </c>
      <c r="G3572" s="8" t="str">
        <f>IFERROR(__xludf.DUMMYFUNCTION("GOOGLETRANSLATE(E3572,""zh-CN"",""vi"")"),"Tôi từng chơi ở đây với anh trai mình khi còn nhỏ. (Chế tạo vật phẩm Tiệc trà chiều trong vườn.)")</f>
        <v>Tôi từng chơi ở đây với anh trai mình khi còn nhỏ. (Chế tạo vật phẩm Tiệc trà chiều trong vườn.)</v>
      </c>
      <c r="H3572" s="8"/>
      <c r="I3572" s="8"/>
      <c r="J3572" s="8"/>
    </row>
    <row r="3573" ht="21.0" customHeight="1">
      <c r="A3573" s="6">
        <v>10.0</v>
      </c>
      <c r="B3573" s="6">
        <v>1082.0</v>
      </c>
      <c r="C3573" s="6">
        <v>6.0</v>
      </c>
      <c r="D3573" s="15" t="s">
        <v>5921</v>
      </c>
      <c r="E3573" s="9" t="s">
        <v>5922</v>
      </c>
      <c r="F3573" s="8" t="str">
        <f>IFERROR(__xludf.DUMMYFUNCTION("GOOGLETRANSLATE(D3573,""zh-CN"",""vi"")"),"Trà chiều ngoài vườn")</f>
        <v>Trà chiều ngoài vườn</v>
      </c>
      <c r="G3573" s="8" t="str">
        <f>IFERROR(__xludf.DUMMYFUNCTION("GOOGLETRANSLATE(E3573,""zh-CN"",""vi"")"),"Mời những người bạn thân nhất của bạn đến dự tiệc trà chiều tự làm. Kết hợp các nguyên liệu để tạo nên một không gian yên tĩnh, thoáng đãng như vọng lâu.")</f>
        <v>Mời những người bạn thân nhất của bạn đến dự tiệc trà chiều tự làm. Kết hợp các nguyên liệu để tạo nên một không gian yên tĩnh, thoáng đãng như vọng lâu.</v>
      </c>
      <c r="H3573" s="8"/>
      <c r="I3573" s="8"/>
      <c r="J3573" s="8"/>
    </row>
    <row r="3574" ht="21.0" customHeight="1">
      <c r="A3574" s="6">
        <v>10.0</v>
      </c>
      <c r="B3574" s="6">
        <v>1082.0</v>
      </c>
      <c r="C3574" s="6">
        <v>7.0</v>
      </c>
      <c r="D3574" s="15" t="s">
        <v>5923</v>
      </c>
      <c r="E3574" s="9" t="s">
        <v>5924</v>
      </c>
      <c r="F3574" s="8" t="str">
        <f>IFERROR(__xludf.DUMMYFUNCTION("GOOGLETRANSLATE(D3574,""zh-CN"",""vi"")"),"Một gian nhà yên tĩnh")</f>
        <v>Một gian nhà yên tĩnh</v>
      </c>
      <c r="G3574" s="8" t="str">
        <f>IFERROR(__xludf.DUMMYFUNCTION("GOOGLETRANSLATE(E3574,""zh-CN"",""vi"")"),"Môi trường nơi đây tách biệt và yên tĩnh, điều mà tôi rất trân trọng. (Có thể tạo ra một đài phun nước thông qua việc chế tạo.)")</f>
        <v>Môi trường nơi đây tách biệt và yên tĩnh, điều mà tôi rất trân trọng. (Có thể tạo ra một đài phun nước thông qua việc chế tạo.)</v>
      </c>
      <c r="H3574" s="8"/>
      <c r="I3574" s="8"/>
      <c r="J3574" s="8"/>
    </row>
    <row r="3575" ht="21.0" customHeight="1">
      <c r="A3575" s="6">
        <v>10.0</v>
      </c>
      <c r="B3575" s="6">
        <v>1082.0</v>
      </c>
      <c r="C3575" s="6">
        <v>8.0</v>
      </c>
      <c r="D3575" s="15" t="s">
        <v>5925</v>
      </c>
      <c r="E3575" s="9" t="s">
        <v>5926</v>
      </c>
      <c r="F3575" s="8" t="str">
        <f>IFERROR(__xludf.DUMMYFUNCTION("GOOGLETRANSLATE(D3575,""zh-CN"",""vi"")"),"đài phun nước")</f>
        <v>đài phun nước</v>
      </c>
      <c r="G3575" s="8" t="str">
        <f>IFERROR(__xludf.DUMMYFUNCTION("GOOGLETRANSLATE(E3575,""zh-CN"",""vi"")"),"Đài phun nước ở trung tâm dinh thự tượng trưng cho sự thịnh vượng. (Sự kết hợp này tạo nên một khung cảnh cửa sổ tươi sáng và đẹp mắt.)")</f>
        <v>Đài phun nước ở trung tâm dinh thự tượng trưng cho sự thịnh vượng. (Sự kết hợp này tạo nên một khung cảnh cửa sổ tươi sáng và đẹp mắt.)</v>
      </c>
      <c r="H3575" s="8"/>
      <c r="I3575" s="8"/>
      <c r="J3575" s="8"/>
    </row>
    <row r="3576" ht="21.0" customHeight="1">
      <c r="A3576" s="6">
        <v>10.0</v>
      </c>
      <c r="B3576" s="6">
        <v>1082.0</v>
      </c>
      <c r="C3576" s="6">
        <v>9.0</v>
      </c>
      <c r="D3576" s="15" t="s">
        <v>5927</v>
      </c>
      <c r="E3576" s="9" t="s">
        <v>5928</v>
      </c>
      <c r="F3576" s="8" t="str">
        <f>IFERROR(__xludf.DUMMYFUNCTION("GOOGLETRANSLATE(D3576,""zh-CN"",""vi"")"),"Khung cảnh cửa sổ sáng sủa")</f>
        <v>Khung cảnh cửa sổ sáng sủa</v>
      </c>
      <c r="G3576" s="8" t="str">
        <f>IFERROR(__xludf.DUMMYFUNCTION("GOOGLETRANSLATE(E3576,""zh-CN"",""vi"")"),"Trước khi chìm vào giấc ngủ, tôi luôn nghĩ về đêm sao và trăng rơi. (Hoàn thành trang viên họ Lin)")</f>
        <v>Trước khi chìm vào giấc ngủ, tôi luôn nghĩ về đêm sao và trăng rơi. (Hoàn thành trang viên họ Lin)</v>
      </c>
      <c r="H3576" s="8"/>
      <c r="I3576" s="8"/>
      <c r="J3576" s="8"/>
    </row>
    <row r="3577" ht="21.0" customHeight="1">
      <c r="A3577" s="6">
        <v>10.0</v>
      </c>
      <c r="B3577" s="6">
        <v>1082.0</v>
      </c>
      <c r="C3577" s="6">
        <v>10.0</v>
      </c>
      <c r="D3577" s="15" t="s">
        <v>258</v>
      </c>
      <c r="E3577" s="9" t="s">
        <v>5929</v>
      </c>
      <c r="F3577" s="8" t="str">
        <f>IFERROR(__xludf.DUMMYFUNCTION("GOOGLETRANSLATE(D3577,""zh-CN"",""vi"")"),"Dinh thự gia tộc Lin")</f>
        <v>Dinh thự gia tộc Lin</v>
      </c>
      <c r="G3577" s="8" t="str">
        <f>IFERROR(__xludf.DUMMYFUNCTION("GOOGLETRANSLATE(E3577,""zh-CN"",""vi"")"),"Trong kiếp này, ta sẽ không cho phép nó bị bán đi nữa! (Đã được tổng hợp đến cấp độ cao nhất)")</f>
        <v>Trong kiếp này, ta sẽ không cho phép nó bị bán đi nữa! (Đã được tổng hợp đến cấp độ cao nhất)</v>
      </c>
      <c r="H3577" s="8"/>
      <c r="I3577" s="8"/>
      <c r="J3577" s="8"/>
    </row>
    <row r="3578" ht="21.0" customHeight="1">
      <c r="A3578" s="6">
        <v>11.0</v>
      </c>
      <c r="B3578" s="6">
        <v>1083.0</v>
      </c>
      <c r="C3578" s="6">
        <v>1.0</v>
      </c>
      <c r="D3578" s="15" t="s">
        <v>5930</v>
      </c>
      <c r="E3578" s="9" t="s">
        <v>5931</v>
      </c>
      <c r="F3578" s="8" t="str">
        <f>IFERROR(__xludf.DUMMYFUNCTION("GOOGLETRANSLATE(D3578,""zh-CN"",""vi"")"),"Tấm cửa [V]")</f>
        <v>Tấm cửa [V]</v>
      </c>
      <c r="G3578" s="8" t="str">
        <f>IFERROR(__xludf.DUMMYFUNCTION("GOOGLETRANSLATE(E3578,""zh-CN"",""vi"")"),"Tấm biển cổng của Trang viên gia tộc Lin. Chế tạo nó để có được một cột đèn đường [V].")</f>
        <v>Tấm biển cổng của Trang viên gia tộc Lin. Chế tạo nó để có được một cột đèn đường [V].</v>
      </c>
      <c r="H3578" s="8"/>
      <c r="I3578" s="8"/>
      <c r="J3578" s="8"/>
    </row>
    <row r="3579" ht="21.0" customHeight="1">
      <c r="A3579" s="6">
        <v>11.0</v>
      </c>
      <c r="B3579" s="6">
        <v>1083.0</v>
      </c>
      <c r="C3579" s="6">
        <v>2.0</v>
      </c>
      <c r="D3579" s="15" t="s">
        <v>5932</v>
      </c>
      <c r="E3579" s="9" t="s">
        <v>5933</v>
      </c>
      <c r="F3579" s="8" t="str">
        <f>IFERROR(__xludf.DUMMYFUNCTION("GOOGLETRANSLATE(D3579,""zh-CN"",""vi"")"),"Đèn đường [V]")</f>
        <v>Đèn đường [V]</v>
      </c>
      <c r="G3579" s="8" t="str">
        <f>IFERROR(__xludf.DUMMYFUNCTION("GOOGLETRANSLATE(E3579,""zh-CN"",""vi"")"),"Hàng trăm ngàn cột đèn đường, xa hoa lộng lẫy. Tổng hợp lại để có được cổng trang viên [V].")</f>
        <v>Hàng trăm ngàn cột đèn đường, xa hoa lộng lẫy. Tổng hợp lại để có được cổng trang viên [V].</v>
      </c>
      <c r="H3579" s="8"/>
      <c r="I3579" s="8"/>
      <c r="J3579" s="8"/>
    </row>
    <row r="3580" ht="21.0" customHeight="1">
      <c r="A3580" s="6">
        <v>11.0</v>
      </c>
      <c r="B3580" s="6">
        <v>1083.0</v>
      </c>
      <c r="C3580" s="6">
        <v>3.0</v>
      </c>
      <c r="D3580" s="15" t="s">
        <v>5934</v>
      </c>
      <c r="E3580" s="9" t="s">
        <v>5935</v>
      </c>
      <c r="F3580" s="8" t="str">
        <f>IFERROR(__xludf.DUMMYFUNCTION("GOOGLETRANSLATE(D3580,""zh-CN"",""vi"")"),"Cổng trang viên [V]")</f>
        <v>Cổng trang viên [V]</v>
      </c>
      <c r="G3580" s="8" t="str">
        <f>IFERROR(__xludf.DUMMYFUNCTION("GOOGLETRANSLATE(E3580,""zh-CN"",""vi"")"),"Bảo trì thường xuyên giúp nó luôn trông như mới. Tổng hợp để có được Tượng đài Trang viên [V].")</f>
        <v>Bảo trì thường xuyên giúp nó luôn trông như mới. Tổng hợp để có được Tượng đài Trang viên [V].</v>
      </c>
      <c r="H3580" s="8"/>
      <c r="I3580" s="8"/>
      <c r="J3580" s="8"/>
    </row>
    <row r="3581" ht="21.0" customHeight="1">
      <c r="A3581" s="6">
        <v>11.0</v>
      </c>
      <c r="B3581" s="6">
        <v>1083.0</v>
      </c>
      <c r="C3581" s="6">
        <v>4.0</v>
      </c>
      <c r="D3581" s="15" t="s">
        <v>5936</v>
      </c>
      <c r="E3581" s="9" t="s">
        <v>5937</v>
      </c>
      <c r="F3581" s="8" t="str">
        <f>IFERROR(__xludf.DUMMYFUNCTION("GOOGLETRANSLATE(D3581,""zh-CN"",""vi"")"),"Tác phẩm điêu khắc trang viên [V]")</f>
        <v>Tác phẩm điêu khắc trang viên [V]</v>
      </c>
      <c r="G3581" s="8" t="str">
        <f>IFERROR(__xludf.DUMMYFUNCTION("GOOGLETRANSLATE(E3581,""zh-CN"",""vi"")"),"Một tác phẩm điêu khắc được thiết kế bởi một nghệ sĩ nổi tiếng, mang ý nghĩa vượt thời gian. Khi kết hợp lại, nó tạo thành một chiếc xích đu thanh bình. [V]")</f>
        <v>Một tác phẩm điêu khắc được thiết kế bởi một nghệ sĩ nổi tiếng, mang ý nghĩa vượt thời gian. Khi kết hợp lại, nó tạo thành một chiếc xích đu thanh bình. [V]</v>
      </c>
      <c r="H3581" s="8"/>
      <c r="I3581" s="8"/>
      <c r="J3581" s="8"/>
    </row>
    <row r="3582" ht="21.0" customHeight="1">
      <c r="A3582" s="6">
        <v>10.0</v>
      </c>
      <c r="B3582" s="6">
        <v>1083.0</v>
      </c>
      <c r="C3582" s="6">
        <v>5.0</v>
      </c>
      <c r="D3582" s="15" t="s">
        <v>5938</v>
      </c>
      <c r="E3582" s="9" t="s">
        <v>5939</v>
      </c>
      <c r="F3582" s="8" t="str">
        <f>IFERROR(__xludf.DUMMYFUNCTION("GOOGLETRANSLATE(D3582,""zh-CN"",""vi"")"),"Một chiếc xích đu yên bình [V]")</f>
        <v>Một chiếc xích đu yên bình [V]</v>
      </c>
      <c r="G3582" s="8" t="str">
        <f>IFERROR(__xludf.DUMMYFUNCTION("GOOGLETRANSLATE(E3582,""zh-CN"",""vi"")"),"Tôi từng chơi ở đây với anh trai mình khi còn nhỏ. (Trà chiều Craft the Garden [V])")</f>
        <v>Tôi từng chơi ở đây với anh trai mình khi còn nhỏ. (Trà chiều Craft the Garden [V])</v>
      </c>
      <c r="H3582" s="8"/>
      <c r="I3582" s="8"/>
      <c r="J3582" s="8"/>
    </row>
    <row r="3583" ht="21.0" customHeight="1">
      <c r="A3583" s="6">
        <v>10.0</v>
      </c>
      <c r="B3583" s="6">
        <v>1083.0</v>
      </c>
      <c r="C3583" s="6">
        <v>6.0</v>
      </c>
      <c r="D3583" s="15" t="s">
        <v>5940</v>
      </c>
      <c r="E3583" s="9" t="s">
        <v>5941</v>
      </c>
      <c r="F3583" s="8" t="str">
        <f>IFERROR(__xludf.DUMMYFUNCTION("GOOGLETRANSLATE(D3583,""zh-CN"",""vi"")"),"Trà chiều ngoài vườn [V]")</f>
        <v>Trà chiều ngoài vườn [V]</v>
      </c>
      <c r="G3583" s="8" t="str">
        <f>IFERROR(__xludf.DUMMYFUNCTION("GOOGLETRANSLATE(E3583,""zh-CN"",""vi"")"),"Mời những người bạn thân nhất của bạn đến dự tiệc trà chiều tự làm. Tổng hợp để có được một vọng lâu yên tĩnh [V]")</f>
        <v>Mời những người bạn thân nhất của bạn đến dự tiệc trà chiều tự làm. Tổng hợp để có được một vọng lâu yên tĩnh [V]</v>
      </c>
      <c r="H3583" s="8"/>
      <c r="I3583" s="8"/>
      <c r="J3583" s="8"/>
    </row>
    <row r="3584" ht="21.0" customHeight="1">
      <c r="A3584" s="6">
        <v>10.0</v>
      </c>
      <c r="B3584" s="6">
        <v>1083.0</v>
      </c>
      <c r="C3584" s="6">
        <v>7.0</v>
      </c>
      <c r="D3584" s="15" t="s">
        <v>5942</v>
      </c>
      <c r="E3584" s="9" t="s">
        <v>5943</v>
      </c>
      <c r="F3584" s="8" t="str">
        <f>IFERROR(__xludf.DUMMYFUNCTION("GOOGLETRANSLATE(D3584,""zh-CN"",""vi"")"),"Một gian nhà yên tĩnh [V]")</f>
        <v>Một gian nhà yên tĩnh [V]</v>
      </c>
      <c r="G3584" s="8" t="str">
        <f>IFERROR(__xludf.DUMMYFUNCTION("GOOGLETRANSLATE(E3584,""zh-CN"",""vi"")"),"Môi trường nơi đây tách biệt và yên tĩnh, điều mà tôi rất trân trọng. (Chế tác đài phun nước [V])")</f>
        <v>Môi trường nơi đây tách biệt và yên tĩnh, điều mà tôi rất trân trọng. (Chế tác đài phun nước [V])</v>
      </c>
      <c r="H3584" s="8"/>
      <c r="I3584" s="8"/>
      <c r="J3584" s="8"/>
    </row>
    <row r="3585" ht="21.0" customHeight="1">
      <c r="A3585" s="6">
        <v>10.0</v>
      </c>
      <c r="B3585" s="6">
        <v>1083.0</v>
      </c>
      <c r="C3585" s="6">
        <v>8.0</v>
      </c>
      <c r="D3585" s="15" t="s">
        <v>5944</v>
      </c>
      <c r="E3585" s="9" t="s">
        <v>5945</v>
      </c>
      <c r="F3585" s="8" t="str">
        <f>IFERROR(__xludf.DUMMYFUNCTION("GOOGLETRANSLATE(D3585,""zh-CN"",""vi"")"),"Đài phun nước [V]")</f>
        <v>Đài phun nước [V]</v>
      </c>
      <c r="G3585" s="8" t="str">
        <f>IFERROR(__xludf.DUMMYFUNCTION("GOOGLETRANSLATE(E3585,""zh-CN"",""vi"")"),"Đài phun nước ở trung tâm trang viên tượng trưng cho sự giàu có. (Tổng hợp để có được tầm nhìn cửa sổ sáng sủa và đẹp đẽ [V])")</f>
        <v>Đài phun nước ở trung tâm trang viên tượng trưng cho sự giàu có. (Tổng hợp để có được tầm nhìn cửa sổ sáng sủa và đẹp đẽ [V])</v>
      </c>
      <c r="H3585" s="8"/>
      <c r="I3585" s="8"/>
      <c r="J3585" s="8"/>
    </row>
    <row r="3586" ht="21.0" customHeight="1">
      <c r="A3586" s="6">
        <v>10.0</v>
      </c>
      <c r="B3586" s="6">
        <v>1083.0</v>
      </c>
      <c r="C3586" s="6">
        <v>9.0</v>
      </c>
      <c r="D3586" s="15" t="s">
        <v>5946</v>
      </c>
      <c r="E3586" s="9" t="s">
        <v>5947</v>
      </c>
      <c r="F3586" s="8" t="str">
        <f>IFERROR(__xludf.DUMMYFUNCTION("GOOGLETRANSLATE(D3586,""zh-CN"",""vi"")"),"Khung cảnh cửa sổ sáng sủa và đẹp đẽ [V]")</f>
        <v>Khung cảnh cửa sổ sáng sủa và đẹp đẽ [V]</v>
      </c>
      <c r="G3586" s="8" t="str">
        <f>IFERROR(__xludf.DUMMYFUNCTION("GOOGLETRANSLATE(E3586,""zh-CN"",""vi"")"),"Trước khi đi ngủ, tôi luôn nghĩ về đêm sao và trăng rơi. (Hoàn thành Trang viên họ Lin [V])")</f>
        <v>Trước khi đi ngủ, tôi luôn nghĩ về đêm sao và trăng rơi. (Hoàn thành Trang viên họ Lin [V])</v>
      </c>
      <c r="H3586" s="8"/>
      <c r="I3586" s="8"/>
      <c r="J3586" s="8"/>
    </row>
    <row r="3587" ht="21.0" customHeight="1">
      <c r="A3587" s="6">
        <v>10.0</v>
      </c>
      <c r="B3587" s="6">
        <v>1083.0</v>
      </c>
      <c r="C3587" s="6">
        <v>10.0</v>
      </c>
      <c r="D3587" s="15" t="s">
        <v>5948</v>
      </c>
      <c r="E3587" s="9" t="s">
        <v>5929</v>
      </c>
      <c r="F3587" s="8" t="str">
        <f>IFERROR(__xludf.DUMMYFUNCTION("GOOGLETRANSLATE(D3587,""zh-CN"",""vi"")"),"Trang viên gia tộc Lin [V]")</f>
        <v>Trang viên gia tộc Lin [V]</v>
      </c>
      <c r="G3587" s="8" t="str">
        <f>IFERROR(__xludf.DUMMYFUNCTION("GOOGLETRANSLATE(E3587,""zh-CN"",""vi"")"),"Trong kiếp này, ta sẽ không cho phép nó bị bán đi nữa! (Đã được tổng hợp đến cấp độ cao nhất)")</f>
        <v>Trong kiếp này, ta sẽ không cho phép nó bị bán đi nữa! (Đã được tổng hợp đến cấp độ cao nhất)</v>
      </c>
      <c r="H3587" s="8"/>
      <c r="I3587" s="8"/>
      <c r="J3587" s="8"/>
    </row>
    <row r="3588" ht="21.0" customHeight="1">
      <c r="A3588" s="6">
        <v>1.0</v>
      </c>
      <c r="B3588" s="6">
        <v>269.0</v>
      </c>
      <c r="C3588" s="6">
        <v>1.0</v>
      </c>
      <c r="D3588" s="15" t="s">
        <v>5949</v>
      </c>
      <c r="E3588" s="9" t="s">
        <v>5950</v>
      </c>
      <c r="F3588" s="8" t="str">
        <f>IFERROR(__xludf.DUMMYFUNCTION("GOOGLETRANSLATE(D3588,""zh-CN"",""vi"")"),"kịch bản")</f>
        <v>kịch bản</v>
      </c>
      <c r="G3588" s="8" t="str">
        <f>IFERROR(__xludf.DUMMYFUNCTION("GOOGLETRANSLATE(E3588,""zh-CN"",""vi"")"),"Việc học thuộc kịch bản mỗi ngày là khoảng thời gian đau khổ nhất~ (Băng ghi âm thủ công)")</f>
        <v>Việc học thuộc kịch bản mỗi ngày là khoảng thời gian đau khổ nhất~ (Băng ghi âm thủ công)</v>
      </c>
      <c r="H3588" s="8"/>
      <c r="I3588" s="8"/>
      <c r="J3588" s="8"/>
    </row>
    <row r="3589" ht="21.0" customHeight="1">
      <c r="A3589" s="6">
        <v>1.0</v>
      </c>
      <c r="B3589" s="6">
        <v>269.0</v>
      </c>
      <c r="C3589" s="6">
        <v>2.0</v>
      </c>
      <c r="D3589" s="15" t="s">
        <v>5951</v>
      </c>
      <c r="E3589" s="9" t="s">
        <v>5952</v>
      </c>
      <c r="F3589" s="8" t="str">
        <f>IFERROR(__xludf.DUMMYFUNCTION("GOOGLETRANSLATE(D3589,""zh-CN"",""vi"")"),"băng dính")</f>
        <v>băng dính</v>
      </c>
      <c r="G3589" s="8" t="str">
        <f>IFERROR(__xludf.DUMMYFUNCTION("GOOGLETRANSLATE(E3589,""zh-CN"",""vi"")"),"Băng keo siêu dính, có thể dính vào mọi thứ. Được dùng để tạo ra tấm phản quang.")</f>
        <v>Băng keo siêu dính, có thể dính vào mọi thứ. Được dùng để tạo ra tấm phản quang.</v>
      </c>
      <c r="H3589" s="8"/>
      <c r="I3589" s="8"/>
      <c r="J3589" s="8"/>
    </row>
    <row r="3590" ht="21.0" customHeight="1">
      <c r="A3590" s="6">
        <v>1.0</v>
      </c>
      <c r="B3590" s="6">
        <v>269.0</v>
      </c>
      <c r="C3590" s="6">
        <v>3.0</v>
      </c>
      <c r="D3590" s="15" t="s">
        <v>5953</v>
      </c>
      <c r="E3590" s="9" t="s">
        <v>5954</v>
      </c>
      <c r="F3590" s="8" t="str">
        <f>IFERROR(__xludf.DUMMYFUNCTION("GOOGLETRANSLATE(D3590,""zh-CN"",""vi"")"),"gương phản xạ")</f>
        <v>gương phản xạ</v>
      </c>
      <c r="G3590" s="8" t="str">
        <f>IFERROR(__xludf.DUMMYFUNCTION("GOOGLETRANSLATE(E3590,""zh-CN"",""vi"")"),"Hãy cho tôi vị trí trung tâm! (Kết hợp các thao tác để có được tai nghe của đạo diễn)")</f>
        <v>Hãy cho tôi vị trí trung tâm! (Kết hợp các thao tác để có được tai nghe của đạo diễn)</v>
      </c>
      <c r="H3590" s="8"/>
      <c r="I3590" s="8"/>
      <c r="J3590" s="8"/>
    </row>
    <row r="3591" ht="21.0" customHeight="1">
      <c r="A3591" s="6">
        <v>1.0</v>
      </c>
      <c r="B3591" s="6">
        <v>269.0</v>
      </c>
      <c r="C3591" s="6">
        <v>4.0</v>
      </c>
      <c r="D3591" s="15" t="s">
        <v>5955</v>
      </c>
      <c r="E3591" s="9" t="s">
        <v>5956</v>
      </c>
      <c r="F3591" s="8" t="str">
        <f>IFERROR(__xludf.DUMMYFUNCTION("GOOGLETRANSLATE(D3591,""zh-CN"",""vi"")"),"Tai nghe của đạo diễn")</f>
        <v>Tai nghe của đạo diễn</v>
      </c>
      <c r="G3591" s="8" t="str">
        <f>IFERROR(__xludf.DUMMYFUNCTION("GOOGLETRANSLATE(E3591,""zh-CN"",""vi"")"),"Tôi cũng muốn trải nghiệm cảm giác làm đạo diễn. (Để tạo ra một bảng hiệu quay phim)")</f>
        <v>Tôi cũng muốn trải nghiệm cảm giác làm đạo diễn. (Để tạo ra một bảng hiệu quay phim)</v>
      </c>
      <c r="H3591" s="8"/>
      <c r="I3591" s="8"/>
      <c r="J3591" s="8"/>
    </row>
    <row r="3592" ht="21.0" customHeight="1">
      <c r="A3592" s="6">
        <v>1.0</v>
      </c>
      <c r="B3592" s="6">
        <v>269.0</v>
      </c>
      <c r="C3592" s="6">
        <v>5.0</v>
      </c>
      <c r="D3592" s="15" t="s">
        <v>5957</v>
      </c>
      <c r="E3592" s="9" t="s">
        <v>5958</v>
      </c>
      <c r="F3592" s="8" t="str">
        <f>IFERROR(__xludf.DUMMYFUNCTION("GOOGLETRANSLATE(D3592,""zh-CN"",""vi"")"),"Bảng hiệu")</f>
        <v>Bảng hiệu</v>
      </c>
      <c r="G3592" s="8" t="str">
        <f>IFERROR(__xludf.DUMMYFUNCTION("GOOGLETRANSLATE(E3592,""zh-CN"",""vi"")"),"Nó liệt kê các cảnh cần quay trong ngày hôm nay. Sau đó, các cảnh quay được ghép lại để tạo thành cuộn phim.")</f>
        <v>Nó liệt kê các cảnh cần quay trong ngày hôm nay. Sau đó, các cảnh quay được ghép lại để tạo thành cuộn phim.</v>
      </c>
      <c r="H3592" s="8"/>
      <c r="I3592" s="8"/>
      <c r="J3592" s="8"/>
    </row>
    <row r="3593" ht="21.0" customHeight="1">
      <c r="A3593" s="6">
        <v>1.0</v>
      </c>
      <c r="B3593" s="6">
        <v>269.0</v>
      </c>
      <c r="C3593" s="6">
        <v>6.0</v>
      </c>
      <c r="D3593" s="80" t="s">
        <v>5959</v>
      </c>
      <c r="E3593" s="9" t="s">
        <v>5960</v>
      </c>
      <c r="F3593" s="8" t="str">
        <f>IFERROR(__xludf.DUMMYFUNCTION("GOOGLETRANSLATE(D3593,""zh-CN"",""vi"")"),"phim ảnh")</f>
        <v>phim ảnh</v>
      </c>
      <c r="G3593" s="8" t="str">
        <f>IFERROR(__xludf.DUMMYFUNCTION("GOOGLETRANSLATE(E3593,""zh-CN"",""vi"")"),"Những cuộn phim dài là thành quả của lao động hàng ngày. Chúng được dùng để chế tạo que phát sáng.")</f>
        <v>Những cuộn phim dài là thành quả của lao động hàng ngày. Chúng được dùng để chế tạo que phát sáng.</v>
      </c>
      <c r="H3593" s="8"/>
      <c r="I3593" s="8"/>
      <c r="J3593" s="8"/>
    </row>
    <row r="3594" ht="21.0" customHeight="1">
      <c r="A3594" s="6">
        <v>1.0</v>
      </c>
      <c r="B3594" s="6">
        <v>269.0</v>
      </c>
      <c r="C3594" s="6">
        <v>7.0</v>
      </c>
      <c r="D3594" s="15" t="s">
        <v>5961</v>
      </c>
      <c r="E3594" s="9" t="s">
        <v>5962</v>
      </c>
      <c r="F3594" s="8" t="str">
        <f>IFERROR(__xludf.DUMMYFUNCTION("GOOGLETRANSLATE(D3594,""zh-CN"",""vi"")"),"Đèn cột")</f>
        <v>Đèn cột</v>
      </c>
      <c r="G3594" s="8" t="str">
        <f>IFERROR(__xludf.DUMMYFUNCTION("GOOGLETRANSLATE(E3594,""zh-CN"",""vi"")"),"Cần phải giữ nó bằng tay. Kết hợp chúng lại để tạo thành một chiếc đèn.")</f>
        <v>Cần phải giữ nó bằng tay. Kết hợp chúng lại để tạo thành một chiếc đèn.</v>
      </c>
      <c r="H3594" s="8"/>
      <c r="I3594" s="8"/>
      <c r="J3594" s="8"/>
    </row>
    <row r="3595" ht="21.0" customHeight="1">
      <c r="A3595" s="6">
        <v>1.0</v>
      </c>
      <c r="B3595" s="6">
        <v>269.0</v>
      </c>
      <c r="C3595" s="6">
        <v>8.0</v>
      </c>
      <c r="D3595" s="15" t="s">
        <v>5963</v>
      </c>
      <c r="E3595" s="9" t="s">
        <v>5964</v>
      </c>
      <c r="F3595" s="8" t="str">
        <f>IFERROR(__xludf.DUMMYFUNCTION("GOOGLETRANSLATE(D3595,""zh-CN"",""vi"")"),"ánh sáng")</f>
        <v>ánh sáng</v>
      </c>
      <c r="G3595" s="8" t="str">
        <f>IFERROR(__xludf.DUMMYFUNCTION("GOOGLETRANSLATE(E3595,""zh-CN"",""vi"")"),"Ánh sáng mờ ảo, ấm áp tạo nên một bầu không khí lãng mạn. (Điều này đạt được nhờ kỹ thuật ghép ảnh với máy ảnh ống kính tele.)")</f>
        <v>Ánh sáng mờ ảo, ấm áp tạo nên một bầu không khí lãng mạn. (Điều này đạt được nhờ kỹ thuật ghép ảnh với máy ảnh ống kính tele.)</v>
      </c>
      <c r="H3595" s="8"/>
      <c r="I3595" s="8"/>
      <c r="J3595" s="8"/>
    </row>
    <row r="3596" ht="21.0" customHeight="1">
      <c r="A3596" s="6">
        <v>1.0</v>
      </c>
      <c r="B3596" s="6">
        <v>269.0</v>
      </c>
      <c r="C3596" s="6">
        <v>9.0</v>
      </c>
      <c r="D3596" s="15" t="s">
        <v>5965</v>
      </c>
      <c r="E3596" s="9" t="s">
        <v>5966</v>
      </c>
      <c r="F3596" s="8" t="str">
        <f>IFERROR(__xludf.DUMMYFUNCTION("GOOGLETRANSLATE(D3596,""zh-CN"",""vi"")"),"Máy ảnh ống kính dài")</f>
        <v>Máy ảnh ống kính dài</v>
      </c>
      <c r="G3596" s="8" t="str">
        <f>IFERROR(__xludf.DUMMYFUNCTION("GOOGLETRANSLATE(E3596,""zh-CN"",""vi"")"),"Thiết bị chuyên nghiệp, cực kỳ đắt tiền. Sản phẩm chế tạo ra những hộp đựng quần áo.")</f>
        <v>Thiết bị chuyên nghiệp, cực kỳ đắt tiền. Sản phẩm chế tạo ra những hộp đựng quần áo.</v>
      </c>
      <c r="H3596" s="8"/>
      <c r="I3596" s="8"/>
      <c r="J3596" s="8"/>
    </row>
    <row r="3597" ht="21.0" customHeight="1">
      <c r="A3597" s="6">
        <v>1.0</v>
      </c>
      <c r="B3597" s="6">
        <v>269.0</v>
      </c>
      <c r="C3597" s="6">
        <v>10.0</v>
      </c>
      <c r="D3597" s="15" t="s">
        <v>5967</v>
      </c>
      <c r="E3597" s="9" t="s">
        <v>5968</v>
      </c>
      <c r="F3597" s="8" t="str">
        <f>IFERROR(__xludf.DUMMYFUNCTION("GOOGLETRANSLATE(D3597,""zh-CN"",""vi"")"),"Hộp quần áo")</f>
        <v>Hộp quần áo</v>
      </c>
      <c r="G3597" s="8" t="str">
        <f>IFERROR(__xludf.DUMMYFUNCTION("GOOGLETRANSLATE(E3597,""zh-CN"",""vi"")"),"Quần áo bên trong cần được ủi trước khi mặc. (Sản phẩm thủ công sẽ là một hộp đựng đồ trang điểm.)")</f>
        <v>Quần áo bên trong cần được ủi trước khi mặc. (Sản phẩm thủ công sẽ là một hộp đựng đồ trang điểm.)</v>
      </c>
      <c r="H3597" s="8"/>
      <c r="I3597" s="8"/>
      <c r="J3597" s="8"/>
    </row>
    <row r="3598" ht="21.0" customHeight="1">
      <c r="A3598" s="6">
        <v>1.0</v>
      </c>
      <c r="B3598" s="6">
        <v>269.0</v>
      </c>
      <c r="C3598" s="6">
        <v>11.0</v>
      </c>
      <c r="D3598" s="15" t="s">
        <v>5969</v>
      </c>
      <c r="E3598" s="9" t="s">
        <v>5970</v>
      </c>
      <c r="F3598" s="8" t="str">
        <f>IFERROR(__xludf.DUMMYFUNCTION("GOOGLETRANSLATE(D3598,""zh-CN"",""vi"")"),"Hộp trang điểm")</f>
        <v>Hộp trang điểm</v>
      </c>
      <c r="G3598" s="8" t="str">
        <f>IFERROR(__xludf.DUMMYFUNCTION("GOOGLETRANSLATE(E3598,""zh-CN"",""vi"")"),"Hôm nay, tôi sẽ trang điểm theo phong cách của một cô gái trẻ ngây thơ từ kiếp trước. (Được thực hiện bằng cách sử dụng một hộp đạo cụ phim.)")</f>
        <v>Hôm nay, tôi sẽ trang điểm theo phong cách của một cô gái trẻ ngây thơ từ kiếp trước. (Được thực hiện bằng cách sử dụng một hộp đạo cụ phim.)</v>
      </c>
      <c r="H3598" s="8"/>
      <c r="I3598" s="8"/>
      <c r="J3598" s="8"/>
    </row>
    <row r="3599" ht="21.0" customHeight="1">
      <c r="A3599" s="6">
        <v>1.0</v>
      </c>
      <c r="B3599" s="6">
        <v>269.0</v>
      </c>
      <c r="C3599" s="6">
        <v>12.0</v>
      </c>
      <c r="D3599" s="15" t="s">
        <v>5971</v>
      </c>
      <c r="E3599" s="9" t="s">
        <v>5972</v>
      </c>
      <c r="F3599" s="8" t="str">
        <f>IFERROR(__xludf.DUMMYFUNCTION("GOOGLETRANSLATE(D3599,""zh-CN"",""vi"")"),"Hộp đạo cụ phim và truyền hình")</f>
        <v>Hộp đạo cụ phim và truyền hình</v>
      </c>
      <c r="G3599" s="8" t="str">
        <f>IFERROR(__xludf.DUMMYFUNCTION("GOOGLETRANSLATE(E3599,""zh-CN"",""vi"")"),"Nó chất đầy đủ thứ đồ lặt vặt. (Tổng hợp để có được chiếc xe của đạo diễn)")</f>
        <v>Nó chất đầy đủ thứ đồ lặt vặt. (Tổng hợp để có được chiếc xe của đạo diễn)</v>
      </c>
      <c r="H3599" s="8"/>
      <c r="I3599" s="8"/>
      <c r="J3599" s="8"/>
    </row>
    <row r="3600" ht="21.0" customHeight="1">
      <c r="A3600" s="6">
        <v>1.0</v>
      </c>
      <c r="B3600" s="6">
        <v>269.0</v>
      </c>
      <c r="C3600" s="6">
        <v>13.0</v>
      </c>
      <c r="D3600" s="15" t="s">
        <v>5973</v>
      </c>
      <c r="E3600" s="9" t="s">
        <v>5974</v>
      </c>
      <c r="F3600" s="8" t="str">
        <f>IFERROR(__xludf.DUMMYFUNCTION("GOOGLETRANSLATE(D3600,""zh-CN"",""vi"")"),"Xe của giám đốc")</f>
        <v>Xe của giám đốc</v>
      </c>
      <c r="G3600" s="8" t="str">
        <f>IFERROR(__xludf.DUMMYFUNCTION("GOOGLETRANSLATE(E3600,""zh-CN"",""vi"")"),"Toàn bộ đoàn làm phim đã đi theo xe của đạo diễn~ (Đã hợp nhất thành cấp độ cao nhất)")</f>
        <v>Toàn bộ đoàn làm phim đã đi theo xe của đạo diễn~ (Đã hợp nhất thành cấp độ cao nhất)</v>
      </c>
      <c r="H3600" s="8"/>
      <c r="I3600" s="8"/>
      <c r="J3600" s="8"/>
    </row>
    <row r="3601" ht="21.0" customHeight="1">
      <c r="A3601" s="6">
        <v>1.0</v>
      </c>
      <c r="B3601" s="6">
        <v>270.0</v>
      </c>
      <c r="C3601" s="6">
        <v>1.0</v>
      </c>
      <c r="D3601" s="15" t="s">
        <v>5975</v>
      </c>
      <c r="E3601" s="9" t="s">
        <v>5976</v>
      </c>
      <c r="F3601" s="8" t="str">
        <f>IFERROR(__xludf.DUMMYFUNCTION("GOOGLETRANSLATE(D3601,""zh-CN"",""vi"")"),"đèn bàn nhỏ")</f>
        <v>đèn bàn nhỏ</v>
      </c>
      <c r="G3601" s="8" t="str">
        <f>IFERROR(__xludf.DUMMYFUNCTION("GOOGLETRANSLATE(E3601,""zh-CN"",""vi"")"),"Thực chất nó chỉ là một cái vỏ. Khi kết hợp lại, nó trở thành một chiếc điện thoại bàn.")</f>
        <v>Thực chất nó chỉ là một cái vỏ. Khi kết hợp lại, nó trở thành một chiếc điện thoại bàn.</v>
      </c>
      <c r="H3601" s="8"/>
      <c r="I3601" s="8"/>
      <c r="J3601" s="8"/>
    </row>
    <row r="3602" ht="21.0" customHeight="1">
      <c r="A3602" s="6">
        <v>1.0</v>
      </c>
      <c r="B3602" s="6">
        <v>270.0</v>
      </c>
      <c r="C3602" s="6">
        <v>2.0</v>
      </c>
      <c r="D3602" s="15" t="s">
        <v>5977</v>
      </c>
      <c r="E3602" s="9" t="s">
        <v>5978</v>
      </c>
      <c r="F3602" s="8" t="str">
        <f>IFERROR(__xludf.DUMMYFUNCTION("GOOGLETRANSLATE(D3602,""zh-CN"",""vi"")"),"điện thoại cố định")</f>
        <v>điện thoại cố định</v>
      </c>
      <c r="G3602" s="8" t="str">
        <f>IFERROR(__xludf.DUMMYFUNCTION("GOOGLETRANSLATE(E3602,""zh-CN"",""vi"")"),"Vật phẩm này cần thiết cho các cảnh liên quan đến bí mật thương mại. Hãy chế tạo nó để có được bộ ly rượu.")</f>
        <v>Vật phẩm này cần thiết cho các cảnh liên quan đến bí mật thương mại. Hãy chế tạo nó để có được bộ ly rượu.</v>
      </c>
      <c r="H3602" s="8"/>
      <c r="I3602" s="8"/>
      <c r="J3602" s="8"/>
    </row>
    <row r="3603" ht="21.0" customHeight="1">
      <c r="A3603" s="6">
        <v>1.0</v>
      </c>
      <c r="B3603" s="6">
        <v>270.0</v>
      </c>
      <c r="C3603" s="6">
        <v>3.0</v>
      </c>
      <c r="D3603" s="15" t="s">
        <v>5979</v>
      </c>
      <c r="E3603" s="9" t="s">
        <v>5980</v>
      </c>
      <c r="F3603" s="8" t="str">
        <f>IFERROR(__xludf.DUMMYFUNCTION("GOOGLETRANSLATE(D3603,""zh-CN"",""vi"")"),"Bộ ly rượu")</f>
        <v>Bộ ly rượu</v>
      </c>
      <c r="G3603" s="8" t="str">
        <f>IFERROR(__xludf.DUMMYFUNCTION("GOOGLETRANSLATE(E3603,""zh-CN"",""vi"")"),"Đây không phải là rượu thật, chỉ là một loại đồ uống màu tím. Kết hợp chúng lại để tạo ra một giống chó quý hiếm.")</f>
        <v>Đây không phải là rượu thật, chỉ là một loại đồ uống màu tím. Kết hợp chúng lại để tạo ra một giống chó quý hiếm.</v>
      </c>
      <c r="H3603" s="8"/>
      <c r="I3603" s="8"/>
      <c r="J3603" s="8"/>
    </row>
    <row r="3604" ht="21.0" customHeight="1">
      <c r="A3604" s="6">
        <v>1.0</v>
      </c>
      <c r="B3604" s="6">
        <v>270.0</v>
      </c>
      <c r="C3604" s="6">
        <v>4.0</v>
      </c>
      <c r="D3604" s="15" t="s">
        <v>5981</v>
      </c>
      <c r="E3604" s="9" t="s">
        <v>5982</v>
      </c>
      <c r="F3604" s="8" t="str">
        <f>IFERROR(__xludf.DUMMYFUNCTION("GOOGLETRANSLATE(D3604,""zh-CN"",""vi"")"),"các giống chó quý tộc")</f>
        <v>các giống chó quý tộc</v>
      </c>
      <c r="G3604" s="8" t="str">
        <f>IFERROR(__xludf.DUMMYFUNCTION("GOOGLETRANSLATE(E3604,""zh-CN"",""vi"")"),"Chú cún con thuê dễ thương quá, mình muốn giữ nó lại. (Ghép lại để tạo thành một chiếc bàn nhỏ xinh xắn)")</f>
        <v>Chú cún con thuê dễ thương quá, mình muốn giữ nó lại. (Ghép lại để tạo thành một chiếc bàn nhỏ xinh xắn)</v>
      </c>
      <c r="H3604" s="8"/>
      <c r="I3604" s="8"/>
      <c r="J3604" s="8"/>
    </row>
    <row r="3605" ht="21.0" customHeight="1">
      <c r="A3605" s="6">
        <v>1.0</v>
      </c>
      <c r="B3605" s="6">
        <v>270.0</v>
      </c>
      <c r="C3605" s="6">
        <v>5.0</v>
      </c>
      <c r="D3605" s="15" t="s">
        <v>5983</v>
      </c>
      <c r="E3605" s="9" t="s">
        <v>5984</v>
      </c>
      <c r="F3605" s="8" t="str">
        <f>IFERROR(__xludf.DUMMYFUNCTION("GOOGLETRANSLATE(D3605,""zh-CN"",""vi"")"),"Bàn nhỏ tinh tế")</f>
        <v>Bàn nhỏ tinh tế</v>
      </c>
      <c r="G3605" s="8" t="str">
        <f>IFERROR(__xludf.DUMMYFUNCTION("GOOGLETRANSLATE(E3605,""zh-CN"",""vi"")"),"Nhiều câu chuyện kịch tính về sự rạn nứt tình bạn thân thiết diễn ra ở đây. (Ghép lại để có được xe đẩy tráng miệng)")</f>
        <v>Nhiều câu chuyện kịch tính về sự rạn nứt tình bạn thân thiết diễn ra ở đây. (Ghép lại để có được xe đẩy tráng miệng)</v>
      </c>
      <c r="H3605" s="8"/>
      <c r="I3605" s="8"/>
      <c r="J3605" s="8"/>
    </row>
    <row r="3606" ht="21.0" customHeight="1">
      <c r="A3606" s="6">
        <v>1.0</v>
      </c>
      <c r="B3606" s="6">
        <v>270.0</v>
      </c>
      <c r="C3606" s="6">
        <v>6.0</v>
      </c>
      <c r="D3606" s="15" t="s">
        <v>5985</v>
      </c>
      <c r="E3606" s="9" t="s">
        <v>5986</v>
      </c>
      <c r="F3606" s="8" t="str">
        <f>IFERROR(__xludf.DUMMYFUNCTION("GOOGLETRANSLATE(D3606,""zh-CN"",""vi"")"),"Xe đẩy tráng miệng")</f>
        <v>Xe đẩy tráng miệng</v>
      </c>
      <c r="G3606" s="8" t="str">
        <f>IFERROR(__xludf.DUMMYFUNCTION("GOOGLETRANSLATE(E3606,""zh-CN"",""vi"")"),"Đáng tiếc là vật phẩm này không thể sử dụng được. Khi chế tạo, bạn sẽ nhận được một chiếc ghế sofa bằng gỗ.")</f>
        <v>Đáng tiếc là vật phẩm này không thể sử dụng được. Khi chế tạo, bạn sẽ nhận được một chiếc ghế sofa bằng gỗ.</v>
      </c>
      <c r="H3606" s="8"/>
      <c r="I3606" s="8"/>
      <c r="J3606" s="8"/>
    </row>
    <row r="3607" ht="21.0" customHeight="1">
      <c r="A3607" s="6">
        <v>1.0</v>
      </c>
      <c r="B3607" s="6">
        <v>270.0</v>
      </c>
      <c r="C3607" s="6">
        <v>7.0</v>
      </c>
      <c r="D3607" s="15" t="s">
        <v>5987</v>
      </c>
      <c r="E3607" s="9" t="s">
        <v>5988</v>
      </c>
      <c r="F3607" s="8" t="str">
        <f>IFERROR(__xludf.DUMMYFUNCTION("GOOGLETRANSLATE(D3607,""zh-CN"",""vi"")"),"ghế sofa gỗ nguyên khối")</f>
        <v>ghế sofa gỗ nguyên khối</v>
      </c>
      <c r="G3607" s="8" t="str">
        <f>IFERROR(__xludf.DUMMYFUNCTION("GOOGLETRANSLATE(E3607,""zh-CN"",""vi"")"),"Vì là đàn thuê nên tôi không dám ngồi quá lâu. (Đó là âm thanh của một cây đàn piano cổ điển được tổng hợp.)")</f>
        <v>Vì là đàn thuê nên tôi không dám ngồi quá lâu. (Đó là âm thanh của một cây đàn piano cổ điển được tổng hợp.)</v>
      </c>
      <c r="H3607" s="8"/>
      <c r="I3607" s="8"/>
      <c r="J3607" s="8"/>
    </row>
    <row r="3608" ht="21.0" customHeight="1">
      <c r="A3608" s="6">
        <v>1.0</v>
      </c>
      <c r="B3608" s="6">
        <v>270.0</v>
      </c>
      <c r="C3608" s="6">
        <v>8.0</v>
      </c>
      <c r="D3608" s="15" t="s">
        <v>5989</v>
      </c>
      <c r="E3608" s="9" t="s">
        <v>5990</v>
      </c>
      <c r="F3608" s="8" t="str">
        <f>IFERROR(__xludf.DUMMYFUNCTION("GOOGLETRANSLATE(D3608,""zh-CN"",""vi"")"),"Đàn piano cổ điển")</f>
        <v>Đàn piano cổ điển</v>
      </c>
      <c r="G3608" s="8" t="str">
        <f>IFERROR(__xludf.DUMMYFUNCTION("GOOGLETRANSLATE(E3608,""zh-CN"",""vi"")"),"Cảnh chơi piano sử dụng sự kết hợp giữa diễn viên đóng thế và công nghệ đồ họa máy tính (CG). Sau đó, kỹ thuật này được sử dụng để tạo ra một góc đọc sách với ghế sofa.")</f>
        <v>Cảnh chơi piano sử dụng sự kết hợp giữa diễn viên đóng thế và công nghệ đồ họa máy tính (CG). Sau đó, kỹ thuật này được sử dụng để tạo ra một góc đọc sách với ghế sofa.</v>
      </c>
      <c r="H3608" s="8"/>
      <c r="I3608" s="8"/>
      <c r="J3608" s="8"/>
    </row>
    <row r="3609" ht="21.0" customHeight="1">
      <c r="A3609" s="6">
        <v>1.0</v>
      </c>
      <c r="B3609" s="6">
        <v>270.0</v>
      </c>
      <c r="C3609" s="6">
        <v>9.0</v>
      </c>
      <c r="D3609" s="15" t="s">
        <v>5991</v>
      </c>
      <c r="E3609" s="9" t="s">
        <v>5992</v>
      </c>
      <c r="F3609" s="8" t="str">
        <f>IFERROR(__xludf.DUMMYFUNCTION("GOOGLETRANSLATE(D3609,""zh-CN"",""vi"")"),"Góc đọc sách trên ghế sofa")</f>
        <v>Góc đọc sách trên ghế sofa</v>
      </c>
      <c r="G3609" s="8" t="str">
        <f>IFERROR(__xludf.DUMMYFUNCTION("GOOGLETRANSLATE(E3609,""zh-CN"",""vi"")"),"Có một cảnh trong đó ai đó ngủ gục trên ghế sofa vì lo lắng. (Sau đó, một giá sách được tạo ra thông qua quá trình tổng hợp.)")</f>
        <v>Có một cảnh trong đó ai đó ngủ gục trên ghế sofa vì lo lắng. (Sau đó, một giá sách được tạo ra thông qua quá trình tổng hợp.)</v>
      </c>
      <c r="H3609" s="8"/>
      <c r="I3609" s="8"/>
      <c r="J3609" s="8"/>
    </row>
    <row r="3610" ht="21.0" customHeight="1">
      <c r="A3610" s="6">
        <v>1.0</v>
      </c>
      <c r="B3610" s="6">
        <v>270.0</v>
      </c>
      <c r="C3610" s="6">
        <v>10.0</v>
      </c>
      <c r="D3610" s="15" t="s">
        <v>5993</v>
      </c>
      <c r="E3610" s="9" t="s">
        <v>5994</v>
      </c>
      <c r="F3610" s="8" t="str">
        <f>IFERROR(__xludf.DUMMYFUNCTION("GOOGLETRANSLATE(D3610,""zh-CN"",""vi"")"),"giá sách")</f>
        <v>giá sách</v>
      </c>
      <c r="G3610" s="8" t="str">
        <f>IFERROR(__xludf.DUMMYFUNCTION("GOOGLETRANSLATE(E3610,""zh-CN"",""vi"")"),"Những bí mật kinh doanh quan trọng đang được giấu trong giá sách! Hãy kết hợp chúng để có được móc treo quần áo của nhân vật chính.")</f>
        <v>Những bí mật kinh doanh quan trọng đang được giấu trong giá sách! Hãy kết hợp chúng để có được móc treo quần áo của nhân vật chính.</v>
      </c>
      <c r="H3610" s="8"/>
      <c r="I3610" s="8"/>
      <c r="J3610" s="8"/>
    </row>
    <row r="3611" ht="21.0" customHeight="1">
      <c r="A3611" s="6">
        <v>1.0</v>
      </c>
      <c r="B3611" s="6">
        <v>270.0</v>
      </c>
      <c r="C3611" s="6">
        <v>11.0</v>
      </c>
      <c r="D3611" s="15" t="s">
        <v>5995</v>
      </c>
      <c r="E3611" s="9" t="s">
        <v>5996</v>
      </c>
      <c r="F3611" s="8" t="str">
        <f>IFERROR(__xludf.DUMMYFUNCTION("GOOGLETRANSLATE(D3611,""zh-CN"",""vi"")"),"Móc treo quần áo của nhân vật chính")</f>
        <v>Móc treo quần áo của nhân vật chính</v>
      </c>
      <c r="G3611" s="8" t="str">
        <f>IFERROR(__xludf.DUMMYFUNCTION("GOOGLETRANSLATE(E3611,""zh-CN"",""vi"")"),"Nhân vật chính trong kiếp trước là một cô gái trẻ vô tư. (Câu chuyện xoay quanh) việc tổng hợp chiếc giường lớn của nhân vật chính.")</f>
        <v>Nhân vật chính trong kiếp trước là một cô gái trẻ vô tư. (Câu chuyện xoay quanh) việc tổng hợp chiếc giường lớn của nhân vật chính.</v>
      </c>
      <c r="H3611" s="8"/>
      <c r="I3611" s="8"/>
      <c r="J3611" s="8"/>
    </row>
    <row r="3612" ht="21.0" customHeight="1">
      <c r="A3612" s="6">
        <v>1.0</v>
      </c>
      <c r="B3612" s="6">
        <v>270.0</v>
      </c>
      <c r="C3612" s="6">
        <v>12.0</v>
      </c>
      <c r="D3612" s="15" t="s">
        <v>5997</v>
      </c>
      <c r="E3612" s="9" t="s">
        <v>5998</v>
      </c>
      <c r="F3612" s="8" t="str">
        <f>IFERROR(__xludf.DUMMYFUNCTION("GOOGLETRANSLATE(D3612,""zh-CN"",""vi"")"),"Chiếc giường lớn của nhân vật chính")</f>
        <v>Chiếc giường lớn của nhân vật chính</v>
      </c>
      <c r="G3612" s="8" t="str">
        <f>IFERROR(__xludf.DUMMYFUNCTION("GOOGLETRANSLATE(E3612,""zh-CN"",""vi"")"),"Một ngày nọ, tôi mở mắt ra và một trần nhà quen thuộc hiện ra trước mắt. (Tôi đã tưởng tượng ra một chiếc bàn dài sang trọng.)")</f>
        <v>Một ngày nọ, tôi mở mắt ra và một trần nhà quen thuộc hiện ra trước mắt. (Tôi đã tưởng tượng ra một chiếc bàn dài sang trọng.)</v>
      </c>
      <c r="H3612" s="8"/>
      <c r="I3612" s="8"/>
      <c r="J3612" s="8"/>
    </row>
    <row r="3613" ht="21.0" customHeight="1">
      <c r="A3613" s="6">
        <v>1.0</v>
      </c>
      <c r="B3613" s="6">
        <v>270.0</v>
      </c>
      <c r="C3613" s="6">
        <v>13.0</v>
      </c>
      <c r="D3613" s="15" t="s">
        <v>5999</v>
      </c>
      <c r="E3613" s="9" t="s">
        <v>6000</v>
      </c>
      <c r="F3613" s="8" t="str">
        <f>IFERROR(__xludf.DUMMYFUNCTION("GOOGLETRANSLATE(D3613,""zh-CN"",""vi"")"),"Bàn dài sang trọng")</f>
        <v>Bàn dài sang trọng</v>
      </c>
      <c r="G3613" s="8" t="str">
        <f>IFERROR(__xludf.DUMMYFUNCTION("GOOGLETRANSLATE(E3613,""zh-CN"",""vi"")"),"Một số bi kịch gia đình quan trọng diễn ra ở đây. (Tổng hợp ở cấp độ cao nhất)")</f>
        <v>Một số bi kịch gia đình quan trọng diễn ra ở đây. (Tổng hợp ở cấp độ cao nhất)</v>
      </c>
      <c r="H3613" s="8"/>
      <c r="I3613" s="8"/>
      <c r="J3613" s="8"/>
    </row>
    <row r="3614" ht="21.0" customHeight="1">
      <c r="A3614" s="6">
        <v>1.0</v>
      </c>
      <c r="B3614" s="6">
        <v>271.0</v>
      </c>
      <c r="C3614" s="6">
        <v>1.0</v>
      </c>
      <c r="D3614" s="15" t="s">
        <v>6001</v>
      </c>
      <c r="E3614" s="9" t="s">
        <v>6002</v>
      </c>
      <c r="F3614" s="8" t="str">
        <f>IFERROR(__xludf.DUMMYFUNCTION("GOOGLETRANSLATE(D3614,""zh-CN"",""vi"")"),"Lâm Nam Kiếp (Kiếp trước)")</f>
        <v>Lâm Nam Kiếp (Kiếp trước)</v>
      </c>
      <c r="G3614" s="8" t="str">
        <f>IFERROR(__xludf.DUMMYFUNCTION("GOOGLETRANSLATE(E3614,""zh-CN"",""vi"")"),"Kiếp trước, ta là một cô gái ngây thơ, trong sáng, bị lừa mất bí quyết kinh doanh. (Tổng hợp để có được Lâm Nguyên Lược)")</f>
        <v>Kiếp trước, ta là một cô gái ngây thơ, trong sáng, bị lừa mất bí quyết kinh doanh. (Tổng hợp để có được Lâm Nguyên Lược)</v>
      </c>
      <c r="H3614" s="8"/>
      <c r="I3614" s="8"/>
      <c r="J3614" s="8"/>
    </row>
    <row r="3615" ht="21.0" customHeight="1">
      <c r="A3615" s="6">
        <v>1.0</v>
      </c>
      <c r="B3615" s="6">
        <v>271.0</v>
      </c>
      <c r="C3615" s="6">
        <v>2.0</v>
      </c>
      <c r="D3615" s="15" t="s">
        <v>6003</v>
      </c>
      <c r="E3615" s="9" t="s">
        <v>6004</v>
      </c>
      <c r="F3615" s="8" t="str">
        <f>IFERROR(__xludf.DUMMYFUNCTION("GOOGLETRANSLATE(D3615,""zh-CN"",""vi"")"),"Lâm Nguyên Lộ")</f>
        <v>Lâm Nguyên Lộ</v>
      </c>
      <c r="G3615" s="8" t="str">
        <f>IFERROR(__xludf.DUMMYFUNCTION("GOOGLETRANSLATE(E3615,""zh-CN"",""vi"")"),"Đây là bố tôi, một triệu phú tự thân lập nghiệp nhờ làm việc chăm chỉ. Ông thường xuyên vắng nhà khi tôi còn nhỏ. (Được tổng hợp để có được Sun Meixiang)")</f>
        <v>Đây là bố tôi, một triệu phú tự thân lập nghiệp nhờ làm việc chăm chỉ. Ông thường xuyên vắng nhà khi tôi còn nhỏ. (Được tổng hợp để có được Sun Meixiang)</v>
      </c>
      <c r="H3615" s="8"/>
      <c r="I3615" s="8"/>
      <c r="J3615" s="8"/>
    </row>
    <row r="3616" ht="21.0" customHeight="1">
      <c r="A3616" s="6">
        <v>1.0</v>
      </c>
      <c r="B3616" s="6">
        <v>271.0</v>
      </c>
      <c r="C3616" s="6">
        <v>3.0</v>
      </c>
      <c r="D3616" s="15" t="s">
        <v>6005</v>
      </c>
      <c r="E3616" s="9" t="s">
        <v>6006</v>
      </c>
      <c r="F3616" s="8" t="str">
        <f>IFERROR(__xludf.DUMMYFUNCTION("GOOGLETRANSLATE(D3616,""zh-CN"",""vi"")"),"Tôn Mỹ Tường")</f>
        <v>Tôn Mỹ Tường</v>
      </c>
      <c r="G3616" s="8" t="str">
        <f>IFERROR(__xludf.DUMMYFUNCTION("GOOGLETRANSLATE(E3616,""zh-CN"",""vi"")"),"Đây là mẹ tôi, bà ấy nấu ăn ngon tuyệt vời! (Tổng hợp để có được Liu Subao)")</f>
        <v>Đây là mẹ tôi, bà ấy nấu ăn ngon tuyệt vời! (Tổng hợp để có được Liu Subao)</v>
      </c>
      <c r="H3616" s="8"/>
      <c r="I3616" s="8"/>
      <c r="J3616" s="8"/>
    </row>
    <row r="3617" ht="21.0" customHeight="1">
      <c r="A3617" s="6">
        <v>1.0</v>
      </c>
      <c r="B3617" s="6">
        <v>271.0</v>
      </c>
      <c r="C3617" s="6">
        <v>4.0</v>
      </c>
      <c r="D3617" s="15" t="s">
        <v>6007</v>
      </c>
      <c r="E3617" s="9" t="s">
        <v>6008</v>
      </c>
      <c r="F3617" s="8" t="str">
        <f>IFERROR(__xludf.DUMMYFUNCTION("GOOGLETRANSLATE(D3617,""zh-CN"",""vi"")"),"Lưu Tả Bảo")</f>
        <v>Lưu Tả Bảo</v>
      </c>
      <c r="G3617" s="8" t="str">
        <f>IFERROR(__xludf.DUMMYFUNCTION("GOOGLETRANSLATE(E3617,""zh-CN"",""vi"")"),"Cha của anh chị em nhà Lưu hiện đang bán nghỉ hưu. (Văn bản sau đó nhắc đến Ngô Anh Thạch, nhưng điều này dường như không liên quan và có lẽ đề cập đến một chủ đề khác.)")</f>
        <v>Cha của anh chị em nhà Lưu hiện đang bán nghỉ hưu. (Văn bản sau đó nhắc đến Ngô Anh Thạch, nhưng điều này dường như không liên quan và có lẽ đề cập đến một chủ đề khác.)</v>
      </c>
      <c r="H3617" s="8"/>
      <c r="I3617" s="8"/>
      <c r="J3617" s="8"/>
    </row>
    <row r="3618" ht="21.0" customHeight="1">
      <c r="A3618" s="6">
        <v>1.0</v>
      </c>
      <c r="B3618" s="6">
        <v>271.0</v>
      </c>
      <c r="C3618" s="6">
        <v>5.0</v>
      </c>
      <c r="D3618" s="15" t="s">
        <v>6009</v>
      </c>
      <c r="E3618" s="9" t="s">
        <v>6010</v>
      </c>
      <c r="F3618" s="8" t="str">
        <f>IFERROR(__xludf.DUMMYFUNCTION("GOOGLETRANSLATE(D3618,""zh-CN"",""vi"")"),"Ngô Anh Thạch")</f>
        <v>Ngô Anh Thạch</v>
      </c>
      <c r="G3618" s="8" t="str">
        <f>IFERROR(__xludf.DUMMYFUNCTION("GOOGLETRANSLATE(E3618,""zh-CN"",""vi"")"),"Mẹ của anh chị em nhà họ Lưu là một nữ doanh nhân thành đạt, sau khi nghỉ hưu bà rất thích các hoạt động ngoài trời. (Đây là hình ảnh ghép của Triệu Huying.)")</f>
        <v>Mẹ của anh chị em nhà họ Lưu là một nữ doanh nhân thành đạt, sau khi nghỉ hưu bà rất thích các hoạt động ngoài trời. (Đây là hình ảnh ghép của Triệu Huying.)</v>
      </c>
      <c r="H3618" s="8"/>
      <c r="I3618" s="8"/>
      <c r="J3618" s="8"/>
    </row>
    <row r="3619" ht="21.0" customHeight="1">
      <c r="A3619" s="6">
        <v>1.0</v>
      </c>
      <c r="B3619" s="6">
        <v>271.0</v>
      </c>
      <c r="C3619" s="6">
        <v>6.0</v>
      </c>
      <c r="D3619" s="15" t="s">
        <v>6011</v>
      </c>
      <c r="E3619" s="9" t="s">
        <v>6012</v>
      </c>
      <c r="F3619" s="8" t="str">
        <f>IFERROR(__xludf.DUMMYFUNCTION("GOOGLETRANSLATE(D3619,""zh-CN"",""vi"")"),"Triệu Huy Anh")</f>
        <v>Triệu Huy Anh</v>
      </c>
      <c r="G3619" s="8" t="str">
        <f>IFERROR(__xludf.DUMMYFUNCTION("GOOGLETRANSLATE(E3619,""zh-CN"",""vi"")"),"Có tin đồn rằng cha của Triệu Bạch đang ngoại tình... (Phần còn lại của văn bản dường như không liên quan và đề cập đến một người khác, có thể là một thám tử thuộc giống chó Border Collie.)")</f>
        <v>Có tin đồn rằng cha của Triệu Bạch đang ngoại tình... (Phần còn lại của văn bản dường như không liên quan và đề cập đến một người khác, có thể là một thám tử thuộc giống chó Border Collie.)</v>
      </c>
      <c r="H3619" s="8"/>
      <c r="I3619" s="8"/>
      <c r="J3619" s="8"/>
    </row>
    <row r="3620" ht="21.0" customHeight="1">
      <c r="A3620" s="6">
        <v>1.0</v>
      </c>
      <c r="B3620" s="6">
        <v>271.0</v>
      </c>
      <c r="C3620" s="6">
        <v>7.0</v>
      </c>
      <c r="D3620" s="15" t="s">
        <v>6013</v>
      </c>
      <c r="E3620" s="9" t="s">
        <v>6014</v>
      </c>
      <c r="F3620" s="8" t="str">
        <f>IFERROR(__xludf.DUMMYFUNCTION("GOOGLETRANSLATE(D3620,""zh-CN"",""vi"")"),"Thám tử Border Collie")</f>
        <v>Thám tử Border Collie</v>
      </c>
      <c r="G3620" s="8" t="str">
        <f>IFERROR(__xludf.DUMMYFUNCTION("GOOGLETRANSLATE(E3620,""zh-CN"",""vi"")"),"Một thám tử tư đã giúp tôi tìm ra thủ phạm thực sự đã làm hại tôi trong kiếp trước! (Được tổng hợp để có được Lưu Tiểu Hồ)")</f>
        <v>Một thám tử tư đã giúp tôi tìm ra thủ phạm thực sự đã làm hại tôi trong kiếp trước! (Được tổng hợp để có được Lưu Tiểu Hồ)</v>
      </c>
      <c r="H3620" s="8"/>
      <c r="I3620" s="8"/>
      <c r="J3620" s="8"/>
    </row>
    <row r="3621" ht="21.0" customHeight="1">
      <c r="A3621" s="6">
        <v>1.0</v>
      </c>
      <c r="B3621" s="6">
        <v>271.0</v>
      </c>
      <c r="C3621" s="6">
        <v>8.0</v>
      </c>
      <c r="D3621" s="15" t="s">
        <v>6015</v>
      </c>
      <c r="E3621" s="9" t="s">
        <v>6016</v>
      </c>
      <c r="F3621" s="8" t="str">
        <f>IFERROR(__xludf.DUMMYFUNCTION("GOOGLETRANSLATE(D3621,""zh-CN"",""vi"")"),"Lưu Hiểu Hổ")</f>
        <v>Lưu Hiểu Hổ</v>
      </c>
      <c r="G3621" s="8" t="str">
        <f>IFERROR(__xludf.DUMMYFUNCTION("GOOGLETRANSLATE(E3621,""zh-CN"",""vi"")"),"Trong kiếp trước, cô ấy đã xúi giục tôi đánh cắp bí mật kinh doanh, mặc dù tôi coi cô ấy là bạn thân nhất của mình. Điều này đã dẫn đến việc tôi tạo ra nhân vật Triệu Bá Công.")</f>
        <v>Trong kiếp trước, cô ấy đã xúi giục tôi đánh cắp bí mật kinh doanh, mặc dù tôi coi cô ấy là bạn thân nhất của mình. Điều này đã dẫn đến việc tôi tạo ra nhân vật Triệu Bá Công.</v>
      </c>
      <c r="H3621" s="8"/>
      <c r="I3621" s="8"/>
      <c r="J3621" s="8"/>
    </row>
    <row r="3622" ht="21.0" customHeight="1">
      <c r="A3622" s="6">
        <v>1.0</v>
      </c>
      <c r="B3622" s="6">
        <v>271.0</v>
      </c>
      <c r="C3622" s="6">
        <v>9.0</v>
      </c>
      <c r="D3622" s="15" t="s">
        <v>6017</v>
      </c>
      <c r="E3622" s="9" t="s">
        <v>6018</v>
      </c>
      <c r="F3622" s="8" t="str">
        <f>IFERROR(__xludf.DUMMYFUNCTION("GOOGLETRANSLATE(D3622,""zh-CN"",""vi"")"),"Triệu Bạch Ca")</f>
        <v>Triệu Bạch Ca</v>
      </c>
      <c r="G3622" s="8" t="str">
        <f>IFERROR(__xludf.DUMMYFUNCTION("GOOGLETRANSLATE(E3622,""zh-CN"",""vi"")"),"Mọi bí ẩn đều nằm trong tay hai người họ Triệu Bạch. (Tổng hợp để có được Lâm Tiểu Lang)")</f>
        <v>Mọi bí ẩn đều nằm trong tay hai người họ Triệu Bạch. (Tổng hợp để có được Lâm Tiểu Lang)</v>
      </c>
      <c r="H3622" s="8"/>
      <c r="I3622" s="8"/>
      <c r="J3622" s="8"/>
    </row>
    <row r="3623" ht="21.0" customHeight="1">
      <c r="A3623" s="6">
        <v>1.0</v>
      </c>
      <c r="B3623" s="6">
        <v>271.0</v>
      </c>
      <c r="C3623" s="6">
        <v>10.0</v>
      </c>
      <c r="D3623" s="15" t="s">
        <v>6019</v>
      </c>
      <c r="E3623" s="9" t="s">
        <v>6020</v>
      </c>
      <c r="F3623" s="8" t="str">
        <f>IFERROR(__xludf.DUMMYFUNCTION("GOOGLETRANSLATE(D3623,""zh-CN"",""vi"")"),"Lâm Tiểu Lang")</f>
        <v>Lâm Tiểu Lang</v>
      </c>
      <c r="G3623" s="8" t="str">
        <f>IFERROR(__xludf.DUMMYFUNCTION("GOOGLETRANSLATE(E3623,""zh-CN"",""vi"")"),"Đây là em trai tôi, nó vừa có thể là một chú cún con, vừa có thể là một con sói. Trong kiếp này, tôi sẽ cứu nó! (Tổng hợp để có được Lưu Minh Hồ)")</f>
        <v>Đây là em trai tôi, nó vừa có thể là một chú cún con, vừa có thể là một con sói. Trong kiếp này, tôi sẽ cứu nó! (Tổng hợp để có được Lưu Minh Hồ)</v>
      </c>
      <c r="H3623" s="8"/>
      <c r="I3623" s="8"/>
      <c r="J3623" s="8"/>
    </row>
    <row r="3624" ht="21.0" customHeight="1">
      <c r="A3624" s="6">
        <v>1.0</v>
      </c>
      <c r="B3624" s="6">
        <v>271.0</v>
      </c>
      <c r="C3624" s="6">
        <v>11.0</v>
      </c>
      <c r="D3624" s="15" t="s">
        <v>6021</v>
      </c>
      <c r="E3624" s="9" t="s">
        <v>6022</v>
      </c>
      <c r="F3624" s="8" t="str">
        <f>IFERROR(__xludf.DUMMYFUNCTION("GOOGLETRANSLATE(D3624,""zh-CN"",""vi"")"),"Lưu Minh Hổ")</f>
        <v>Lưu Minh Hổ</v>
      </c>
      <c r="G3624" s="8" t="str">
        <f>IFERROR(__xludf.DUMMYFUNCTION("GOOGLETRANSLATE(E3624,""zh-CN"",""vi"")"),"Hồi nhỏ, chàng từng đính hôn với ta, và trong kiếp trước, khi ta ở thời điểm tồi tệ nhất, chàng thậm chí còn cố gắng giúp ta... (Sau đó, đoạn văn đột ngột chuyển sang chủ đề khác:) ...được tổng hợp để có được Triệu Hề.")</f>
        <v>Hồi nhỏ, chàng từng đính hôn với ta, và trong kiếp trước, khi ta ở thời điểm tồi tệ nhất, chàng thậm chí còn cố gắng giúp ta... (Sau đó, đoạn văn đột ngột chuyển sang chủ đề khác:) ...được tổng hợp để có được Triệu Hề.</v>
      </c>
      <c r="H3624" s="8"/>
      <c r="I3624" s="8"/>
      <c r="J3624" s="8"/>
    </row>
    <row r="3625" ht="21.0" customHeight="1">
      <c r="A3625" s="6">
        <v>1.0</v>
      </c>
      <c r="B3625" s="6">
        <v>271.0</v>
      </c>
      <c r="C3625" s="6">
        <v>12.0</v>
      </c>
      <c r="D3625" s="15" t="s">
        <v>6023</v>
      </c>
      <c r="E3625" s="9" t="s">
        <v>6024</v>
      </c>
      <c r="F3625" s="8" t="str">
        <f>IFERROR(__xludf.DUMMYFUNCTION("GOOGLETRANSLATE(D3625,""zh-CN"",""vi"")"),"Triệu Hắc Nhai")</f>
        <v>Triệu Hắc Nhai</v>
      </c>
      <c r="G3625" s="8" t="str">
        <f>IFERROR(__xludf.DUMMYFUNCTION("GOOGLETRANSLATE(E3625,""zh-CN"",""vi"")"),"Ngay cả trong cống rãnh, hắn vẫn ngước nhìn lên bầu trời... (Được tổng hợp để có được Lâm Nam Kiếp (người đã trở nên độc ác))")</f>
        <v>Ngay cả trong cống rãnh, hắn vẫn ngước nhìn lên bầu trời... (Được tổng hợp để có được Lâm Nam Kiếp (người đã trở nên độc ác))</v>
      </c>
      <c r="H3625" s="8"/>
      <c r="I3625" s="8"/>
      <c r="J3625" s="8"/>
    </row>
    <row r="3626" ht="21.0" customHeight="1">
      <c r="A3626" s="6">
        <v>1.0</v>
      </c>
      <c r="B3626" s="6">
        <v>271.0</v>
      </c>
      <c r="C3626" s="6">
        <v>13.0</v>
      </c>
      <c r="D3626" s="15" t="s">
        <v>6025</v>
      </c>
      <c r="E3626" s="9" t="s">
        <v>6026</v>
      </c>
      <c r="F3626" s="8" t="str">
        <f>IFERROR(__xludf.DUMMYFUNCTION("GOOGLETRANSLATE(D3626,""zh-CN"",""vi"")"),"Lâm Nam Kiếp (người đã sa ngã vào con đường tà đạo)")</f>
        <v>Lâm Nam Kiếp (người đã sa ngã vào con đường tà đạo)</v>
      </c>
      <c r="G3626" s="8" t="str">
        <f>IFERROR(__xludf.DUMMYFUNCTION("GOOGLETRANSLATE(E3626,""zh-CN"",""vi"")"),"Tôi nương tay với cô ấy vì ánh mắt của cô ấy khiến tôi cảm thấy quen thuộc. (Đã được tổng hợp đến mức độ cao nhất)")</f>
        <v>Tôi nương tay với cô ấy vì ánh mắt của cô ấy khiến tôi cảm thấy quen thuộc. (Đã được tổng hợp đến mức độ cao nhất)</v>
      </c>
      <c r="H3626" s="8"/>
      <c r="I3626" s="8"/>
      <c r="J3626" s="8"/>
    </row>
    <row r="3627" ht="21.0" customHeight="1">
      <c r="A3627" s="6">
        <v>11.0</v>
      </c>
      <c r="B3627" s="6">
        <v>1084.0</v>
      </c>
      <c r="C3627" s="6">
        <v>1.0</v>
      </c>
      <c r="D3627" s="15" t="s">
        <v>6027</v>
      </c>
      <c r="E3627" s="9" t="s">
        <v>6028</v>
      </c>
      <c r="F3627" s="8" t="str">
        <f>IFERROR(__xludf.DUMMYFUNCTION("GOOGLETRANSLATE(D3627,""zh-CN"",""vi"")"),"Bóng bay chào mừng")</f>
        <v>Bóng bay chào mừng</v>
      </c>
      <c r="G3627" s="8" t="str">
        <f>IFERROR(__xludf.DUMMYFUNCTION("GOOGLETRANSLATE(E3627,""zh-CN"",""vi"")"),"Trước khi quả bóng được thả xuống, một số bong bóng sẽ được đặt lên. Hãy kết hợp chúng lại để tạo thành một tấm biển chào mừng.")</f>
        <v>Trước khi quả bóng được thả xuống, một số bong bóng sẽ được đặt lên. Hãy kết hợp chúng lại để tạo thành một tấm biển chào mừng.</v>
      </c>
      <c r="H3627" s="8"/>
      <c r="I3627" s="8"/>
      <c r="J3627" s="8"/>
    </row>
    <row r="3628" ht="21.0" customHeight="1">
      <c r="A3628" s="6">
        <v>11.0</v>
      </c>
      <c r="B3628" s="6">
        <v>1084.0</v>
      </c>
      <c r="C3628" s="6">
        <v>2.0</v>
      </c>
      <c r="D3628" s="15" t="s">
        <v>6029</v>
      </c>
      <c r="E3628" s="9" t="s">
        <v>6030</v>
      </c>
      <c r="F3628" s="8" t="str">
        <f>IFERROR(__xludf.DUMMYFUNCTION("GOOGLETRANSLATE(D3628,""zh-CN"",""vi"")"),"Biển chào mừng")</f>
        <v>Biển chào mừng</v>
      </c>
      <c r="G3628" s="8" t="str">
        <f>IFERROR(__xludf.DUMMYFUNCTION("GOOGLETRANSLATE(E3628,""zh-CN"",""vi"")"),"Địa điểm và thời gian diễn ra buổi dạ hội đã được nêu rõ ở trên. Kết hợp chúng lại để tạo thành Biển Chào Mừng Trang Trọng.")</f>
        <v>Địa điểm và thời gian diễn ra buổi dạ hội đã được nêu rõ ở trên. Kết hợp chúng lại để tạo thành Biển Chào Mừng Trang Trọng.</v>
      </c>
      <c r="H3628" s="8"/>
      <c r="I3628" s="8"/>
      <c r="J3628" s="8"/>
    </row>
    <row r="3629" ht="21.0" customHeight="1">
      <c r="A3629" s="6">
        <v>11.0</v>
      </c>
      <c r="B3629" s="6">
        <v>1084.0</v>
      </c>
      <c r="C3629" s="6">
        <v>3.0</v>
      </c>
      <c r="D3629" s="15" t="s">
        <v>6031</v>
      </c>
      <c r="E3629" s="9" t="s">
        <v>6032</v>
      </c>
      <c r="F3629" s="8" t="str">
        <f>IFERROR(__xludf.DUMMYFUNCTION("GOOGLETRANSLATE(D3629,""zh-CN"",""vi"")"),"Biển chào mừng cổ điển")</f>
        <v>Biển chào mừng cổ điển</v>
      </c>
      <c r="G3629" s="8" t="str">
        <f>IFERROR(__xludf.DUMMYFUNCTION("GOOGLETRANSLATE(E3629,""zh-CN"",""vi"")"),"Thời gian các bữa ăn cũng được đánh dấu. Kết hợp chúng lại để tạo thành một chân nến hình hoa.")</f>
        <v>Thời gian các bữa ăn cũng được đánh dấu. Kết hợp chúng lại để tạo thành một chân nến hình hoa.</v>
      </c>
      <c r="H3629" s="8"/>
      <c r="I3629" s="8"/>
      <c r="J3629" s="8"/>
    </row>
    <row r="3630" ht="21.0" customHeight="1">
      <c r="A3630" s="6">
        <v>11.0</v>
      </c>
      <c r="B3630" s="6">
        <v>1084.0</v>
      </c>
      <c r="C3630" s="6">
        <v>4.0</v>
      </c>
      <c r="D3630" s="15" t="s">
        <v>6033</v>
      </c>
      <c r="E3630" s="9" t="s">
        <v>6034</v>
      </c>
      <c r="F3630" s="8" t="str">
        <f>IFERROR(__xludf.DUMMYFUNCTION("GOOGLETRANSLATE(D3630,""zh-CN"",""vi"")"),"Chân nến hình hoa")</f>
        <v>Chân nến hình hoa</v>
      </c>
      <c r="G3630" s="8" t="str">
        <f>IFERROR(__xludf.DUMMYFUNCTION("GOOGLETRANSLATE(E3630,""zh-CN"",""vi"")"),"Màn trình diễn pháo hoa trên mặt nước khá độc đáo. Khi kết hợp lại, nó tạo thành một bàn tiệc hoành tráng.")</f>
        <v>Màn trình diễn pháo hoa trên mặt nước khá độc đáo. Khi kết hợp lại, nó tạo thành một bàn tiệc hoành tráng.</v>
      </c>
      <c r="H3630" s="8"/>
      <c r="I3630" s="8"/>
      <c r="J3630" s="8"/>
    </row>
    <row r="3631" ht="21.0" customHeight="1">
      <c r="A3631" s="6">
        <v>10.0</v>
      </c>
      <c r="B3631" s="6">
        <v>1084.0</v>
      </c>
      <c r="C3631" s="6">
        <v>5.0</v>
      </c>
      <c r="D3631" s="15" t="s">
        <v>6035</v>
      </c>
      <c r="E3631" s="9" t="s">
        <v>6036</v>
      </c>
      <c r="F3631" s="8" t="str">
        <f>IFERROR(__xludf.DUMMYFUNCTION("GOOGLETRANSLATE(D3631,""zh-CN"",""vi"")"),"bàn tiệc")</f>
        <v>bàn tiệc</v>
      </c>
      <c r="G3631" s="8" t="str">
        <f>IFERROR(__xludf.DUMMYFUNCTION("GOOGLETRANSLATE(E3631,""zh-CN"",""vi"")"),"Mỗi chiếc bàn đều vô giá. Hãy kết hợp chúng để tạo thành một tháp rượu sâm panh.")</f>
        <v>Mỗi chiếc bàn đều vô giá. Hãy kết hợp chúng để tạo thành một tháp rượu sâm panh.</v>
      </c>
      <c r="H3631" s="8"/>
      <c r="I3631" s="8"/>
      <c r="J3631" s="8"/>
    </row>
    <row r="3632" ht="21.0" customHeight="1">
      <c r="A3632" s="6">
        <v>10.0</v>
      </c>
      <c r="B3632" s="6">
        <v>1084.0</v>
      </c>
      <c r="C3632" s="6">
        <v>6.0</v>
      </c>
      <c r="D3632" s="15" t="s">
        <v>6037</v>
      </c>
      <c r="E3632" s="9" t="s">
        <v>6038</v>
      </c>
      <c r="F3632" s="8" t="str">
        <f>IFERROR(__xludf.DUMMYFUNCTION("GOOGLETRANSLATE(D3632,""zh-CN"",""vi"")"),"Tháp Champagne")</f>
        <v>Tháp Champagne</v>
      </c>
      <c r="G3632" s="8" t="str">
        <f>IFERROR(__xludf.DUMMYFUNCTION("GOOGLETRANSLATE(E3632,""zh-CN"",""vi"")"),"Hãy cùng nâng ly chúc mừng, các vị khách quý! Kết hợp chúng lại để tạo nên bục phát biểu của người dẫn chương trình.")</f>
        <v>Hãy cùng nâng ly chúc mừng, các vị khách quý! Kết hợp chúng lại để tạo nên bục phát biểu của người dẫn chương trình.</v>
      </c>
      <c r="H3632" s="8"/>
      <c r="I3632" s="8"/>
      <c r="J3632" s="8"/>
    </row>
    <row r="3633" ht="21.0" customHeight="1">
      <c r="A3633" s="6">
        <v>10.0</v>
      </c>
      <c r="B3633" s="6">
        <v>1084.0</v>
      </c>
      <c r="C3633" s="6">
        <v>7.0</v>
      </c>
      <c r="D3633" s="15" t="s">
        <v>6039</v>
      </c>
      <c r="E3633" s="9" t="s">
        <v>6040</v>
      </c>
      <c r="F3633" s="8" t="str">
        <f>IFERROR(__xludf.DUMMYFUNCTION("GOOGLETRANSLATE(D3633,""zh-CN"",""vi"")"),"Người dẫn chương trình")</f>
        <v>Người dẫn chương trình</v>
      </c>
      <c r="G3633" s="8" t="str">
        <f>IFERROR(__xludf.DUMMYFUNCTION("GOOGLETRANSLATE(E3633,""zh-CN"",""vi"")"),"Người dẫn chương trình lên sân khấu để nâng ly chúc mừng. (Sau đó, không gian phòng khiêu vũ được chuẩn bị.)")</f>
        <v>Người dẫn chương trình lên sân khấu để nâng ly chúc mừng. (Sau đó, không gian phòng khiêu vũ được chuẩn bị.)</v>
      </c>
      <c r="H3633" s="8"/>
      <c r="I3633" s="8"/>
      <c r="J3633" s="8"/>
    </row>
    <row r="3634" ht="21.0" customHeight="1">
      <c r="A3634" s="6">
        <v>10.0</v>
      </c>
      <c r="B3634" s="6">
        <v>1084.0</v>
      </c>
      <c r="C3634" s="6">
        <v>8.0</v>
      </c>
      <c r="D3634" s="15" t="s">
        <v>6041</v>
      </c>
      <c r="E3634" s="9" t="s">
        <v>6042</v>
      </c>
      <c r="F3634" s="8" t="str">
        <f>IFERROR(__xludf.DUMMYFUNCTION("GOOGLETRANSLATE(D3634,""zh-CN"",""vi"")"),"phòng khiêu vũ")</f>
        <v>phòng khiêu vũ</v>
      </c>
      <c r="G3634" s="8" t="str">
        <f>IFERROR(__xludf.DUMMYFUNCTION("GOOGLETRANSLATE(E3634,""zh-CN"",""vi"")"),"Không gian rộng rãi cho phép mọi người thoải mái khiêu vũ. Kết hợp lại, điều này tạo nên một sảnh tiệc sang trọng.")</f>
        <v>Không gian rộng rãi cho phép mọi người thoải mái khiêu vũ. Kết hợp lại, điều này tạo nên một sảnh tiệc sang trọng.</v>
      </c>
      <c r="H3634" s="8"/>
      <c r="I3634" s="8"/>
      <c r="J3634" s="8"/>
    </row>
    <row r="3635" ht="21.0" customHeight="1">
      <c r="A3635" s="6">
        <v>10.0</v>
      </c>
      <c r="B3635" s="6">
        <v>1084.0</v>
      </c>
      <c r="C3635" s="6">
        <v>9.0</v>
      </c>
      <c r="D3635" s="15" t="s">
        <v>6043</v>
      </c>
      <c r="E3635" s="9" t="s">
        <v>6044</v>
      </c>
      <c r="F3635" s="8" t="str">
        <f>IFERROR(__xludf.DUMMYFUNCTION("GOOGLETRANSLATE(D3635,""zh-CN"",""vi"")"),"Phòng tiệc")</f>
        <v>Phòng tiệc</v>
      </c>
      <c r="G3635" s="8" t="str">
        <f>IFERROR(__xludf.DUMMYFUNCTION("GOOGLETRANSLATE(E3635,""zh-CN"",""vi"")"),"Hãy nghỉ ngơi, lấp đầy bụng bằng món tráng miệng nhé! Kết hợp các vật phẩm để có được Sảnh Tiệc Carnival")</f>
        <v>Hãy nghỉ ngơi, lấp đầy bụng bằng món tráng miệng nhé! Kết hợp các vật phẩm để có được Sảnh Tiệc Carnival</v>
      </c>
      <c r="H3635" s="8"/>
      <c r="I3635" s="8"/>
      <c r="J3635" s="8"/>
    </row>
    <row r="3636" ht="21.0" customHeight="1">
      <c r="A3636" s="6">
        <v>10.0</v>
      </c>
      <c r="B3636" s="6">
        <v>1084.0</v>
      </c>
      <c r="C3636" s="6">
        <v>10.0</v>
      </c>
      <c r="D3636" s="15" t="s">
        <v>6045</v>
      </c>
      <c r="E3636" s="9" t="s">
        <v>6046</v>
      </c>
      <c r="F3636" s="8" t="str">
        <f>IFERROR(__xludf.DUMMYFUNCTION("GOOGLETRANSLATE(D3636,""zh-CN"",""vi"")"),"Hội trường ăn tối Carnival")</f>
        <v>Hội trường ăn tối Carnival</v>
      </c>
      <c r="G3636" s="8" t="str">
        <f>IFERROR(__xludf.DUMMYFUNCTION("GOOGLETRANSLATE(E3636,""zh-CN"",""vi"")"),"Rượu sâm panh, món tráng miệng và vũ hội hóa trang—hãy cùng nhau uống đến khi nào say mèm! (Đã đạt cấp độ cao nhất)")</f>
        <v>Rượu sâm panh, món tráng miệng và vũ hội hóa trang—hãy cùng nhau uống đến khi nào say mèm! (Đã đạt cấp độ cao nhất)</v>
      </c>
      <c r="H3636" s="8"/>
      <c r="I3636" s="8"/>
      <c r="J3636" s="8"/>
    </row>
    <row r="3637" ht="21.0" customHeight="1">
      <c r="A3637" s="6">
        <v>11.0</v>
      </c>
      <c r="B3637" s="6">
        <v>1085.0</v>
      </c>
      <c r="C3637" s="6">
        <v>1.0</v>
      </c>
      <c r="D3637" s="15" t="s">
        <v>6047</v>
      </c>
      <c r="E3637" s="9" t="s">
        <v>6048</v>
      </c>
      <c r="F3637" s="8" t="str">
        <f>IFERROR(__xludf.DUMMYFUNCTION("GOOGLETRANSLATE(D3637,""zh-CN"",""vi"")"),"Bóng bay chào mừng [V]")</f>
        <v>Bóng bay chào mừng [V]</v>
      </c>
      <c r="G3637" s="8" t="str">
        <f>IFERROR(__xludf.DUMMYFUNCTION("GOOGLETRANSLATE(E3637,""zh-CN"",""vi"")"),"Trước buổi tiệc khiêu vũ, một số bong bóng thoại sẽ được đặt. Kết hợp chúng để tạo thành biển chào mừng [V].")</f>
        <v>Trước buổi tiệc khiêu vũ, một số bong bóng thoại sẽ được đặt. Kết hợp chúng để tạo thành biển chào mừng [V].</v>
      </c>
      <c r="H3637" s="8"/>
      <c r="I3637" s="8"/>
      <c r="J3637" s="8"/>
    </row>
    <row r="3638" ht="21.0" customHeight="1">
      <c r="A3638" s="6">
        <v>11.0</v>
      </c>
      <c r="B3638" s="6">
        <v>1085.0</v>
      </c>
      <c r="C3638" s="6">
        <v>2.0</v>
      </c>
      <c r="D3638" s="15" t="s">
        <v>6049</v>
      </c>
      <c r="E3638" s="9" t="s">
        <v>6050</v>
      </c>
      <c r="F3638" s="8" t="str">
        <f>IFERROR(__xludf.DUMMYFUNCTION("GOOGLETRANSLATE(D3638,""zh-CN"",""vi"")"),"Biển chào mừng [V]")</f>
        <v>Biển chào mừng [V]</v>
      </c>
      <c r="G3638" s="8" t="str">
        <f>IFERROR(__xludf.DUMMYFUNCTION("GOOGLETRANSLATE(E3638,""zh-CN"",""vi"")"),"Địa điểm và thời gian của buổi dạ hội đã được nêu rõ ở trên. Kết hợp chúng để có được Biển chào mừng trang nhã [V].")</f>
        <v>Địa điểm và thời gian của buổi dạ hội đã được nêu rõ ở trên. Kết hợp chúng để có được Biển chào mừng trang nhã [V].</v>
      </c>
      <c r="H3638" s="8"/>
      <c r="I3638" s="8"/>
      <c r="J3638" s="8"/>
    </row>
    <row r="3639" ht="21.0" customHeight="1">
      <c r="A3639" s="6">
        <v>11.0</v>
      </c>
      <c r="B3639" s="6">
        <v>1085.0</v>
      </c>
      <c r="C3639" s="6">
        <v>3.0</v>
      </c>
      <c r="D3639" s="15" t="s">
        <v>6051</v>
      </c>
      <c r="E3639" s="9" t="s">
        <v>6052</v>
      </c>
      <c r="F3639" s="8" t="str">
        <f>IFERROR(__xludf.DUMMYFUNCTION("GOOGLETRANSLATE(D3639,""zh-CN"",""vi"")"),"Biển chào mừng trang nhã [V]")</f>
        <v>Biển chào mừng trang nhã [V]</v>
      </c>
      <c r="G3639" s="8" t="str">
        <f>IFERROR(__xludf.DUMMYFUNCTION("GOOGLETRANSLATE(E3639,""zh-CN"",""vi"")"),"Thời gian ăn cũng được đánh dấu. Chế tạo Chân nến hình hoa [V]")</f>
        <v>Thời gian ăn cũng được đánh dấu. Chế tạo Chân nến hình hoa [V]</v>
      </c>
      <c r="H3639" s="8"/>
      <c r="I3639" s="8"/>
      <c r="J3639" s="8"/>
    </row>
    <row r="3640" ht="21.0" customHeight="1">
      <c r="A3640" s="6">
        <v>11.0</v>
      </c>
      <c r="B3640" s="6">
        <v>1085.0</v>
      </c>
      <c r="C3640" s="6">
        <v>4.0</v>
      </c>
      <c r="D3640" s="15" t="s">
        <v>6053</v>
      </c>
      <c r="E3640" s="9" t="s">
        <v>6054</v>
      </c>
      <c r="F3640" s="8" t="str">
        <f>IFERROR(__xludf.DUMMYFUNCTION("GOOGLETRANSLATE(D3640,""zh-CN"",""vi"")"),"Chân nến hình hoa [V]")</f>
        <v>Chân nến hình hoa [V]</v>
      </c>
      <c r="G3640" s="8" t="str">
        <f>IFERROR(__xludf.DUMMYFUNCTION("GOOGLETRANSLATE(E3640,""zh-CN"",""vi"")"),"Màn trình diễn pháo hoa trên mặt nước khá độc đáo. Kết hợp để tạo thành một bàn tiệc [V].")</f>
        <v>Màn trình diễn pháo hoa trên mặt nước khá độc đáo. Kết hợp để tạo thành một bàn tiệc [V].</v>
      </c>
      <c r="H3640" s="8"/>
      <c r="I3640" s="8"/>
      <c r="J3640" s="8"/>
    </row>
    <row r="3641" ht="21.0" customHeight="1">
      <c r="A3641" s="6">
        <v>10.0</v>
      </c>
      <c r="B3641" s="6">
        <v>1085.0</v>
      </c>
      <c r="C3641" s="6">
        <v>5.0</v>
      </c>
      <c r="D3641" s="15" t="s">
        <v>6055</v>
      </c>
      <c r="E3641" s="9" t="s">
        <v>6056</v>
      </c>
      <c r="F3641" s="8" t="str">
        <f>IFERROR(__xludf.DUMMYFUNCTION("GOOGLETRANSLATE(D3641,""zh-CN"",""vi"")"),"Bàn tiệc [V]")</f>
        <v>Bàn tiệc [V]</v>
      </c>
      <c r="G3641" s="8" t="str">
        <f>IFERROR(__xludf.DUMMYFUNCTION("GOOGLETRANSLATE(E3641,""zh-CN"",""vi"")"),"Mỗi chiếc bàn đều vô giá. Kết hợp chúng lại để tạo thành một tháp sâm panh [V].")</f>
        <v>Mỗi chiếc bàn đều vô giá. Kết hợp chúng lại để tạo thành một tháp sâm panh [V].</v>
      </c>
      <c r="H3641" s="8"/>
      <c r="I3641" s="8"/>
      <c r="J3641" s="8"/>
    </row>
    <row r="3642" ht="21.0" customHeight="1">
      <c r="A3642" s="6">
        <v>10.0</v>
      </c>
      <c r="B3642" s="6">
        <v>1085.0</v>
      </c>
      <c r="C3642" s="6">
        <v>6.0</v>
      </c>
      <c r="D3642" s="15" t="s">
        <v>6057</v>
      </c>
      <c r="E3642" s="9" t="s">
        <v>6058</v>
      </c>
      <c r="F3642" s="8" t="str">
        <f>IFERROR(__xludf.DUMMYFUNCTION("GOOGLETRANSLATE(D3642,""zh-CN"",""vi"")"),"Tháp Champagne [V]")</f>
        <v>Tháp Champagne [V]</v>
      </c>
      <c r="G3642" s="8" t="str">
        <f>IFERROR(__xludf.DUMMYFUNCTION("GOOGLETRANSLATE(E3642,""zh-CN"",""vi"")"),"Hãy cùng nâng ly sâm panh, các vị khách quý hãy ăn mừng! Tổng hợp để có được bục dẫn chương trình [V]")</f>
        <v>Hãy cùng nâng ly sâm panh, các vị khách quý hãy ăn mừng! Tổng hợp để có được bục dẫn chương trình [V]</v>
      </c>
      <c r="H3642" s="8"/>
      <c r="I3642" s="8"/>
      <c r="J3642" s="8"/>
    </row>
    <row r="3643" ht="21.0" customHeight="1">
      <c r="A3643" s="6">
        <v>10.0</v>
      </c>
      <c r="B3643" s="6">
        <v>1085.0</v>
      </c>
      <c r="C3643" s="6">
        <v>7.0</v>
      </c>
      <c r="D3643" s="15" t="s">
        <v>6059</v>
      </c>
      <c r="E3643" s="9" t="s">
        <v>6060</v>
      </c>
      <c r="F3643" s="8" t="str">
        <f>IFERROR(__xludf.DUMMYFUNCTION("GOOGLETRANSLATE(D3643,""zh-CN"",""vi"")"),"Bục điều hành chương trình [V]")</f>
        <v>Bục điều hành chương trình [V]</v>
      </c>
      <c r="G3643" s="8" t="str">
        <f>IFERROR(__xludf.DUMMYFUNCTION("GOOGLETRANSLATE(E3643,""zh-CN"",""vi"")"),"Người dẫn chương trình lên sân khấu để nâng ly chúc mừng. [V] (Hoàn thành quy trình để có được phòng khiêu vũ.)")</f>
        <v>Người dẫn chương trình lên sân khấu để nâng ly chúc mừng. [V] (Hoàn thành quy trình để có được phòng khiêu vũ.)</v>
      </c>
      <c r="H3643" s="8"/>
      <c r="I3643" s="8"/>
      <c r="J3643" s="8"/>
    </row>
    <row r="3644" ht="21.0" customHeight="1">
      <c r="A3644" s="6">
        <v>10.0</v>
      </c>
      <c r="B3644" s="6">
        <v>1085.0</v>
      </c>
      <c r="C3644" s="6">
        <v>8.0</v>
      </c>
      <c r="D3644" s="15" t="s">
        <v>6061</v>
      </c>
      <c r="E3644" s="9" t="s">
        <v>6062</v>
      </c>
      <c r="F3644" s="8" t="str">
        <f>IFERROR(__xludf.DUMMYFUNCTION("GOOGLETRANSLATE(D3644,""zh-CN"",""vi"")"),"Phòng khiêu vũ [V]")</f>
        <v>Phòng khiêu vũ [V]</v>
      </c>
      <c r="G3644" s="8" t="str">
        <f>IFERROR(__xludf.DUMMYFUNCTION("GOOGLETRANSLATE(E3644,""zh-CN"",""vi"")"),"Khu vực rộng rãi cho phép mọi người khiêu vũ thỏa thích. Tổng hợp để có được Phòng Tiệc [V].")</f>
        <v>Khu vực rộng rãi cho phép mọi người khiêu vũ thỏa thích. Tổng hợp để có được Phòng Tiệc [V].</v>
      </c>
      <c r="H3644" s="8"/>
      <c r="I3644" s="8"/>
      <c r="J3644" s="8"/>
    </row>
    <row r="3645" ht="21.0" customHeight="1">
      <c r="A3645" s="6">
        <v>10.0</v>
      </c>
      <c r="B3645" s="6">
        <v>1085.0</v>
      </c>
      <c r="C3645" s="6">
        <v>9.0</v>
      </c>
      <c r="D3645" s="15" t="s">
        <v>6063</v>
      </c>
      <c r="E3645" s="9" t="s">
        <v>6064</v>
      </c>
      <c r="F3645" s="8" t="str">
        <f>IFERROR(__xludf.DUMMYFUNCTION("GOOGLETRANSLATE(D3645,""zh-CN"",""vi"")"),"Phòng tiệc [V]")</f>
        <v>Phòng tiệc [V]</v>
      </c>
      <c r="G3645" s="8" t="str">
        <f>IFERROR(__xludf.DUMMYFUNCTION("GOOGLETRANSLATE(E3645,""zh-CN"",""vi"")"),"Hãy nghỉ ngơi và lấp đầy bụng bằng món tráng miệng nhé! Tổng hợp để có được Sảnh tiệc Carnival [V]")</f>
        <v>Hãy nghỉ ngơi và lấp đầy bụng bằng món tráng miệng nhé! Tổng hợp để có được Sảnh tiệc Carnival [V]</v>
      </c>
      <c r="H3645" s="8"/>
      <c r="I3645" s="8"/>
      <c r="J3645" s="8"/>
    </row>
    <row r="3646" ht="21.0" customHeight="1">
      <c r="A3646" s="6">
        <v>10.0</v>
      </c>
      <c r="B3646" s="6">
        <v>1085.0</v>
      </c>
      <c r="C3646" s="6">
        <v>10.0</v>
      </c>
      <c r="D3646" s="15" t="s">
        <v>6065</v>
      </c>
      <c r="E3646" s="9" t="s">
        <v>6046</v>
      </c>
      <c r="F3646" s="8" t="str">
        <f>IFERROR(__xludf.DUMMYFUNCTION("GOOGLETRANSLATE(D3646,""zh-CN"",""vi"")"),"Hội trường ăn tối Carnival [V]")</f>
        <v>Hội trường ăn tối Carnival [V]</v>
      </c>
      <c r="G3646" s="8" t="str">
        <f>IFERROR(__xludf.DUMMYFUNCTION("GOOGLETRANSLATE(E3646,""zh-CN"",""vi"")"),"Rượu sâm panh, món tráng miệng và vũ hội hóa trang—hãy cùng nhau uống đến khi nào say mèm! (Đã đạt cấp độ cao nhất)")</f>
        <v>Rượu sâm panh, món tráng miệng và vũ hội hóa trang—hãy cùng nhau uống đến khi nào say mèm! (Đã đạt cấp độ cao nhất)</v>
      </c>
      <c r="H3646" s="8"/>
      <c r="I3646" s="8"/>
      <c r="J3646" s="8"/>
    </row>
    <row r="3647" ht="21.0" customHeight="1">
      <c r="A3647" s="6">
        <v>1.0</v>
      </c>
      <c r="B3647" s="6">
        <v>272.0</v>
      </c>
      <c r="C3647" s="6">
        <v>1.0</v>
      </c>
      <c r="D3647" s="15" t="s">
        <v>6066</v>
      </c>
      <c r="E3647" s="9" t="s">
        <v>6067</v>
      </c>
      <c r="F3647" s="8" t="str">
        <f>IFERROR(__xludf.DUMMYFUNCTION("GOOGLETRANSLATE(D3647,""zh-CN"",""vi"")"),"Thảm viền vàng")</f>
        <v>Thảm viền vàng</v>
      </c>
      <c r="G3647" s="8" t="str">
        <f>IFERROR(__xludf.DUMMYFUNCTION("GOOGLETRANSLATE(E3647,""zh-CN"",""vi"")"),"Được làm thủ công với những họa tiết tinh tế và đẹp mắt, sản phẩm này có thể kết hợp để tạo thành một chiếc đèn nến uốn lượn.")</f>
        <v>Được làm thủ công với những họa tiết tinh tế và đẹp mắt, sản phẩm này có thể kết hợp để tạo thành một chiếc đèn nến uốn lượn.</v>
      </c>
      <c r="H3647" s="8"/>
      <c r="I3647" s="8"/>
      <c r="J3647" s="8"/>
    </row>
    <row r="3648" ht="21.0" customHeight="1">
      <c r="A3648" s="6">
        <v>1.0</v>
      </c>
      <c r="B3648" s="6">
        <v>272.0</v>
      </c>
      <c r="C3648" s="6">
        <v>2.0</v>
      </c>
      <c r="D3648" s="15" t="s">
        <v>6068</v>
      </c>
      <c r="E3648" s="9" t="s">
        <v>6069</v>
      </c>
      <c r="F3648" s="8" t="str">
        <f>IFERROR(__xludf.DUMMYFUNCTION("GOOGLETRANSLATE(D3648,""zh-CN"",""vi"")"),"Đèn nến hình dòng nước chảy")</f>
        <v>Đèn nến hình dòng nước chảy</v>
      </c>
      <c r="G3648" s="8" t="str">
        <f>IFERROR(__xludf.DUMMYFUNCTION("GOOGLETRANSLATE(E3648,""zh-CN"",""vi"")"),"Nó tạo ra một bầu không khí riêng tư và huyền bí. (Hãy tự làm một chiếc lồng chim bằng hoa.)")</f>
        <v>Nó tạo ra một bầu không khí riêng tư và huyền bí. (Hãy tự làm một chiếc lồng chim bằng hoa.)</v>
      </c>
      <c r="H3648" s="8"/>
      <c r="I3648" s="8"/>
      <c r="J3648" s="8"/>
    </row>
    <row r="3649" ht="21.0" customHeight="1">
      <c r="A3649" s="6">
        <v>1.0</v>
      </c>
      <c r="B3649" s="6">
        <v>272.0</v>
      </c>
      <c r="C3649" s="6">
        <v>3.0</v>
      </c>
      <c r="D3649" s="15" t="s">
        <v>6070</v>
      </c>
      <c r="E3649" s="9" t="s">
        <v>6071</v>
      </c>
      <c r="F3649" s="8" t="str">
        <f>IFERROR(__xludf.DUMMYFUNCTION("GOOGLETRANSLATE(D3649,""zh-CN"",""vi"")"),"Lồng chim hoa")</f>
        <v>Lồng chim hoa</v>
      </c>
      <c r="G3649" s="8" t="str">
        <f>IFERROR(__xludf.DUMMYFUNCTION("GOOGLETRANSLATE(E3649,""zh-CN"",""vi"")"),"Điều này thể hiện sự giàu có đáng kể của chủ nhân. Một giá đựng quà mạ vàng có thể được tạo ra bằng cách kết hợp các yếu tố này.")</f>
        <v>Điều này thể hiện sự giàu có đáng kể của chủ nhân. Một giá đựng quà mạ vàng có thể được tạo ra bằng cách kết hợp các yếu tố này.</v>
      </c>
      <c r="H3649" s="8"/>
      <c r="I3649" s="8"/>
      <c r="J3649" s="8"/>
    </row>
    <row r="3650" ht="21.0" customHeight="1">
      <c r="A3650" s="6">
        <v>1.0</v>
      </c>
      <c r="B3650" s="6">
        <v>272.0</v>
      </c>
      <c r="C3650" s="6">
        <v>4.0</v>
      </c>
      <c r="D3650" s="15" t="s">
        <v>6072</v>
      </c>
      <c r="E3650" s="9" t="s">
        <v>6073</v>
      </c>
      <c r="F3650" s="8" t="str">
        <f>IFERROR(__xludf.DUMMYFUNCTION("GOOGLETRANSLATE(D3650,""zh-CN"",""vi"")"),"Giá đựng quà mạ vàng")</f>
        <v>Giá đựng quà mạ vàng</v>
      </c>
      <c r="G3650" s="8" t="str">
        <f>IFERROR(__xludf.DUMMYFUNCTION("GOOGLETRANSLATE(E3650,""zh-CN"",""vi"")"),"Mỗi khách mời sẽ nhận được một món quà ~ Kết hợp các món quà để nhận được một máy hát đĩa.")</f>
        <v>Mỗi khách mời sẽ nhận được một món quà ~ Kết hợp các món quà để nhận được một máy hát đĩa.</v>
      </c>
      <c r="H3650" s="8"/>
      <c r="I3650" s="8"/>
      <c r="J3650" s="8"/>
    </row>
    <row r="3651" ht="21.0" customHeight="1">
      <c r="A3651" s="6">
        <v>1.0</v>
      </c>
      <c r="B3651" s="6">
        <v>272.0</v>
      </c>
      <c r="C3651" s="6">
        <v>5.0</v>
      </c>
      <c r="D3651" s="15" t="s">
        <v>6074</v>
      </c>
      <c r="E3651" s="9" t="s">
        <v>6075</v>
      </c>
      <c r="F3651" s="8" t="str">
        <f>IFERROR(__xludf.DUMMYFUNCTION("GOOGLETRANSLATE(D3651,""zh-CN"",""vi"")"),"máy hát")</f>
        <v>máy hát</v>
      </c>
      <c r="G3651" s="8" t="str">
        <f>IFERROR(__xludf.DUMMYFUNCTION("GOOGLETRANSLATE(E3651,""zh-CN"",""vi"")"),"Một chiếc máy hát đĩa than kết hợp với những đĩa vinyl phản ánh một gu thẩm mỹ nhất định. (Sau đó, chúng được kết hợp để tạo thành một bàn cờ.)")</f>
        <v>Một chiếc máy hát đĩa than kết hợp với những đĩa vinyl phản ánh một gu thẩm mỹ nhất định. (Sau đó, chúng được kết hợp để tạo thành một bàn cờ.)</v>
      </c>
      <c r="H3651" s="8"/>
      <c r="I3651" s="8"/>
      <c r="J3651" s="8"/>
    </row>
    <row r="3652" ht="21.0" customHeight="1">
      <c r="A3652" s="6">
        <v>1.0</v>
      </c>
      <c r="B3652" s="6">
        <v>272.0</v>
      </c>
      <c r="C3652" s="6">
        <v>6.0</v>
      </c>
      <c r="D3652" s="80" t="s">
        <v>6076</v>
      </c>
      <c r="E3652" s="9" t="s">
        <v>6077</v>
      </c>
      <c r="F3652" s="8" t="str">
        <f>IFERROR(__xludf.DUMMYFUNCTION("GOOGLETRANSLATE(D3652,""zh-CN"",""vi"")"),"Bàn cờ phương Tây")</f>
        <v>Bàn cờ phương Tây</v>
      </c>
      <c r="G3652" s="8" t="str">
        <f>IFERROR(__xludf.DUMMYFUNCTION("GOOGLETRANSLATE(E3652,""zh-CN"",""vi"")"),"Cho dù có ai chơi hay không, cũng cần phải chuẩn bị một cái bàn. (Hãy tự làm một hộp đựng khăn.)")</f>
        <v>Cho dù có ai chơi hay không, cũng cần phải chuẩn bị một cái bàn. (Hãy tự làm một hộp đựng khăn.)</v>
      </c>
      <c r="H3652" s="8"/>
      <c r="I3652" s="8"/>
      <c r="J3652" s="8"/>
    </row>
    <row r="3653" ht="21.0" customHeight="1">
      <c r="A3653" s="6">
        <v>1.0</v>
      </c>
      <c r="B3653" s="6">
        <v>272.0</v>
      </c>
      <c r="C3653" s="6">
        <v>7.0</v>
      </c>
      <c r="D3653" s="15" t="s">
        <v>6078</v>
      </c>
      <c r="E3653" s="9" t="s">
        <v>6079</v>
      </c>
      <c r="F3653" s="8" t="str">
        <f>IFERROR(__xludf.DUMMYFUNCTION("GOOGLETRANSLATE(D3653,""zh-CN"",""vi"")"),"Hộp đựng khăn")</f>
        <v>Hộp đựng khăn</v>
      </c>
      <c r="G3653" s="8" t="str">
        <f>IFERROR(__xludf.DUMMYFUNCTION("GOOGLETRANSLATE(E3653,""zh-CN"",""vi"")"),"Khăn tắm được phục vụ cho từng khách bởi người phục vụ. Một loại tinh dầu khuếch tán hương thơm cổ điển đã được chế tạo.")</f>
        <v>Khăn tắm được phục vụ cho từng khách bởi người phục vụ. Một loại tinh dầu khuếch tán hương thơm cổ điển đã được chế tạo.</v>
      </c>
      <c r="H3653" s="8"/>
      <c r="I3653" s="8"/>
      <c r="J3653" s="8"/>
    </row>
    <row r="3654" ht="21.0" customHeight="1">
      <c r="A3654" s="6">
        <v>1.0</v>
      </c>
      <c r="B3654" s="6">
        <v>272.0</v>
      </c>
      <c r="C3654" s="6">
        <v>8.0</v>
      </c>
      <c r="D3654" s="15" t="s">
        <v>6080</v>
      </c>
      <c r="E3654" s="9" t="s">
        <v>6081</v>
      </c>
      <c r="F3654" s="8" t="str">
        <f>IFERROR(__xludf.DUMMYFUNCTION("GOOGLETRANSLATE(D3654,""zh-CN"",""vi"")"),"Máy khuếch tán hương thơm cổ điển")</f>
        <v>Máy khuếch tán hương thơm cổ điển</v>
      </c>
      <c r="G3654" s="8" t="str">
        <f>IFERROR(__xludf.DUMMYFUNCTION("GOOGLETRANSLATE(E3654,""zh-CN"",""vi"")"),"Một mùi hương hoa tinh tế, thoang thoảng dần lan tỏa khắp không gian. (Tổng hợp để tạo ra giá đỡ bộ sưu tập cá nhân.)")</f>
        <v>Một mùi hương hoa tinh tế, thoang thoảng dần lan tỏa khắp không gian. (Tổng hợp để tạo ra giá đỡ bộ sưu tập cá nhân.)</v>
      </c>
      <c r="H3654" s="8"/>
      <c r="I3654" s="8"/>
      <c r="J3654" s="8"/>
    </row>
    <row r="3655" ht="21.0" customHeight="1">
      <c r="A3655" s="6">
        <v>1.0</v>
      </c>
      <c r="B3655" s="6">
        <v>272.0</v>
      </c>
      <c r="C3655" s="6">
        <v>9.0</v>
      </c>
      <c r="D3655" s="15" t="s">
        <v>6082</v>
      </c>
      <c r="E3655" s="9" t="s">
        <v>6083</v>
      </c>
      <c r="F3655" s="8" t="str">
        <f>IFERROR(__xludf.DUMMYFUNCTION("GOOGLETRANSLATE(D3655,""zh-CN"",""vi"")"),"Bàn sưu tập cá nhân")</f>
        <v>Bàn sưu tập cá nhân</v>
      </c>
      <c r="G3655" s="8" t="str">
        <f>IFERROR(__xludf.DUMMYFUNCTION("GOOGLETRANSLATE(E3655,""zh-CN"",""vi"")"),"Họ sở hữu một trong số ít những viên ngọc quý hiếm này trên thế giới. Họ đã tổng hợp chúng để tạo ra bức tượng Đầu Hươu.")</f>
        <v>Họ sở hữu một trong số ít những viên ngọc quý hiếm này trên thế giới. Họ đã tổng hợp chúng để tạo ra bức tượng Đầu Hươu.</v>
      </c>
      <c r="H3655" s="8"/>
      <c r="I3655" s="8"/>
      <c r="J3655" s="8"/>
    </row>
    <row r="3656" ht="21.0" customHeight="1">
      <c r="A3656" s="6">
        <v>1.0</v>
      </c>
      <c r="B3656" s="6">
        <v>272.0</v>
      </c>
      <c r="C3656" s="6">
        <v>10.0</v>
      </c>
      <c r="D3656" s="15" t="s">
        <v>6084</v>
      </c>
      <c r="E3656" s="9" t="s">
        <v>6085</v>
      </c>
      <c r="F3656" s="8" t="str">
        <f>IFERROR(__xludf.DUMMYFUNCTION("GOOGLETRANSLATE(D3656,""zh-CN"",""vi"")"),"Tượng đầu hươu")</f>
        <v>Tượng đầu hươu</v>
      </c>
      <c r="G3656" s="8" t="str">
        <f>IFERROR(__xludf.DUMMYFUNCTION("GOOGLETRANSLATE(E3656,""zh-CN"",""vi"")"),"Nó được người chủ thu thập được trong một cuộc săn bắn. Khi kết hợp lại, nó tạo thành một bản giao hưởng.")</f>
        <v>Nó được người chủ thu thập được trong một cuộc săn bắn. Khi kết hợp lại, nó tạo thành một bản giao hưởng.</v>
      </c>
      <c r="H3656" s="8"/>
      <c r="I3656" s="8"/>
      <c r="J3656" s="8"/>
    </row>
    <row r="3657" ht="21.0" customHeight="1">
      <c r="A3657" s="6">
        <v>1.0</v>
      </c>
      <c r="B3657" s="6">
        <v>272.0</v>
      </c>
      <c r="C3657" s="6">
        <v>11.0</v>
      </c>
      <c r="D3657" s="15" t="s">
        <v>6086</v>
      </c>
      <c r="E3657" s="9" t="s">
        <v>6087</v>
      </c>
      <c r="F3657" s="8" t="str">
        <f>IFERROR(__xludf.DUMMYFUNCTION("GOOGLETRANSLATE(D3657,""zh-CN"",""vi"")"),"dàn nhạc")</f>
        <v>dàn nhạc</v>
      </c>
      <c r="G3657" s="8" t="str">
        <f>IFERROR(__xludf.DUMMYFUNCTION("GOOGLETRANSLATE(E3657,""zh-CN"",""vi"")"),"Một buổi dạ hội hoành tráng mà thiếu ban nhạc thì sao được? Hãy kết hợp chúng để có được chiếc đàn piano Vườn Hoa Lãng Mạn.")</f>
        <v>Một buổi dạ hội hoành tráng mà thiếu ban nhạc thì sao được? Hãy kết hợp chúng để có được chiếc đàn piano Vườn Hoa Lãng Mạn.</v>
      </c>
      <c r="H3657" s="8"/>
      <c r="I3657" s="8"/>
      <c r="J3657" s="8"/>
    </row>
    <row r="3658" ht="21.0" customHeight="1">
      <c r="A3658" s="6">
        <v>1.0</v>
      </c>
      <c r="B3658" s="6">
        <v>272.0</v>
      </c>
      <c r="C3658" s="6">
        <v>12.0</v>
      </c>
      <c r="D3658" s="15" t="s">
        <v>6088</v>
      </c>
      <c r="E3658" s="9" t="s">
        <v>6089</v>
      </c>
      <c r="F3658" s="8" t="str">
        <f>IFERROR(__xludf.DUMMYFUNCTION("GOOGLETRANSLATE(D3658,""zh-CN"",""vi"")"),"Đàn piano trong vườn hoa lãng mạn")</f>
        <v>Đàn piano trong vườn hoa lãng mạn</v>
      </c>
      <c r="G3658" s="8" t="str">
        <f>IFERROR(__xludf.DUMMYFUNCTION("GOOGLETRANSLATE(E3658,""zh-CN"",""vi"")"),"Nó đẹp đấy, nhưng chắc chẳng ai chơi đâu. Hãy chế tạo nó để có được Đài quan sát.")</f>
        <v>Nó đẹp đấy, nhưng chắc chẳng ai chơi đâu. Hãy chế tạo nó để có được Đài quan sát.</v>
      </c>
      <c r="H3658" s="8"/>
      <c r="I3658" s="8"/>
      <c r="J3658" s="8"/>
    </row>
    <row r="3659" ht="21.0" customHeight="1">
      <c r="A3659" s="6">
        <v>1.0</v>
      </c>
      <c r="B3659" s="6">
        <v>272.0</v>
      </c>
      <c r="C3659" s="6">
        <v>13.0</v>
      </c>
      <c r="D3659" s="15" t="s">
        <v>6090</v>
      </c>
      <c r="E3659" s="9" t="s">
        <v>6091</v>
      </c>
      <c r="F3659" s="8" t="str">
        <f>IFERROR(__xludf.DUMMYFUNCTION("GOOGLETRANSLATE(D3659,""zh-CN"",""vi"")"),"Đài quan sát")</f>
        <v>Đài quan sát</v>
      </c>
      <c r="G3659" s="8" t="str">
        <f>IFERROR(__xludf.DUMMYFUNCTION("GOOGLETRANSLATE(E3659,""zh-CN"",""vi"")"),"Ngắm nhìn những vì sao, vô vàn suy nghĩ miên man trôi dạt. (Đã được tổng hợp đến mức cao nhất)")</f>
        <v>Ngắm nhìn những vì sao, vô vàn suy nghĩ miên man trôi dạt. (Đã được tổng hợp đến mức cao nhất)</v>
      </c>
      <c r="H3659" s="8"/>
      <c r="I3659" s="8"/>
      <c r="J3659" s="8"/>
    </row>
    <row r="3660" ht="21.0" customHeight="1">
      <c r="A3660" s="6">
        <v>1.0</v>
      </c>
      <c r="B3660" s="6">
        <v>273.0</v>
      </c>
      <c r="C3660" s="6">
        <v>1.0</v>
      </c>
      <c r="D3660" s="15" t="s">
        <v>6092</v>
      </c>
      <c r="E3660" s="9" t="s">
        <v>6093</v>
      </c>
      <c r="F3660" s="8" t="str">
        <f>IFERROR(__xludf.DUMMYFUNCTION("GOOGLETRANSLATE(D3660,""zh-CN"",""vi"")"),"Bánh mì nướng dễ thương")</f>
        <v>Bánh mì nướng dễ thương</v>
      </c>
      <c r="G3660" s="8" t="str">
        <f>IFERROR(__xludf.DUMMYFUNCTION("GOOGLETRANSLATE(E3660,""zh-CN"",""vi"")"),"Ôi trời, mình thật sự không nỡ ăn nó. (Làm một chiếc bánh mì kẹp rau diếp.)")</f>
        <v>Ôi trời, mình thật sự không nỡ ăn nó. (Làm một chiếc bánh mì kẹp rau diếp.)</v>
      </c>
      <c r="H3660" s="8"/>
      <c r="I3660" s="8"/>
      <c r="J3660" s="8"/>
    </row>
    <row r="3661" ht="21.0" customHeight="1">
      <c r="A3661" s="6">
        <v>1.0</v>
      </c>
      <c r="B3661" s="6">
        <v>273.0</v>
      </c>
      <c r="C3661" s="6">
        <v>2.0</v>
      </c>
      <c r="D3661" s="15" t="s">
        <v>6094</v>
      </c>
      <c r="E3661" s="9" t="s">
        <v>6095</v>
      </c>
      <c r="F3661" s="8" t="str">
        <f>IFERROR(__xludf.DUMMYFUNCTION("GOOGLETRANSLATE(D3661,""zh-CN"",""vi"")"),"Bánh mì kẹp rau diếp")</f>
        <v>Bánh mì kẹp rau diếp</v>
      </c>
      <c r="G3661" s="8" t="str">
        <f>IFERROR(__xludf.DUMMYFUNCTION("GOOGLETRANSLATE(E3661,""zh-CN"",""vi"")"),"Cân bằng dinh dưỡng và thơm ngon. Kết hợp các nguyên liệu để làm bánh su kem.")</f>
        <v>Cân bằng dinh dưỡng và thơm ngon. Kết hợp các nguyên liệu để làm bánh su kem.</v>
      </c>
      <c r="H3661" s="8"/>
      <c r="I3661" s="8"/>
      <c r="J3661" s="8"/>
    </row>
    <row r="3662" ht="21.0" customHeight="1">
      <c r="A3662" s="6">
        <v>1.0</v>
      </c>
      <c r="B3662" s="6">
        <v>273.0</v>
      </c>
      <c r="C3662" s="6">
        <v>3.0</v>
      </c>
      <c r="D3662" s="15" t="s">
        <v>6096</v>
      </c>
      <c r="E3662" s="9" t="s">
        <v>6097</v>
      </c>
      <c r="F3662" s="8" t="str">
        <f>IFERROR(__xludf.DUMMYFUNCTION("GOOGLETRANSLATE(D3662,""zh-CN"",""vi"")"),"Bánh su kem")</f>
        <v>Bánh su kem</v>
      </c>
      <c r="G3662" s="8" t="str">
        <f>IFERROR(__xludf.DUMMYFUNCTION("GOOGLETRANSLATE(E3662,""zh-CN"",""vi"")"),"Ngọt ngào và ngấy, một quả bom calo! Hãy tự làm bánh mì kẹp bơ việt quất.")</f>
        <v>Ngọt ngào và ngấy, một quả bom calo! Hãy tự làm bánh mì kẹp bơ việt quất.</v>
      </c>
      <c r="H3662" s="8"/>
      <c r="I3662" s="8"/>
      <c r="J3662" s="8"/>
    </row>
    <row r="3663" ht="21.0" customHeight="1">
      <c r="A3663" s="6">
        <v>1.0</v>
      </c>
      <c r="B3663" s="6">
        <v>273.0</v>
      </c>
      <c r="C3663" s="6">
        <v>4.0</v>
      </c>
      <c r="D3663" s="15" t="s">
        <v>6098</v>
      </c>
      <c r="E3663" s="9" t="s">
        <v>6099</v>
      </c>
      <c r="F3663" s="8" t="str">
        <f>IFERROR(__xludf.DUMMYFUNCTION("GOOGLETRANSLATE(D3663,""zh-CN"",""vi"")"),"Bánh mì kẹp bơ việt quất")</f>
        <v>Bánh mì kẹp bơ việt quất</v>
      </c>
      <c r="G3663" s="8" t="str">
        <f>IFERROR(__xludf.DUMMYFUNCTION("GOOGLETRANSLATE(E3663,""zh-CN"",""vi"")"),"Chỉ cần một miếng thôi, bạn đã cảm nhận được hương vị đậm đà và thơm ngon! Kết hợp các nguyên liệu để tạo thành bánh mousse dâu tây.")</f>
        <v>Chỉ cần một miếng thôi, bạn đã cảm nhận được hương vị đậm đà và thơm ngon! Kết hợp các nguyên liệu để tạo thành bánh mousse dâu tây.</v>
      </c>
      <c r="H3663" s="8"/>
      <c r="I3663" s="8"/>
      <c r="J3663" s="8"/>
    </row>
    <row r="3664" ht="21.0" customHeight="1">
      <c r="A3664" s="6">
        <v>1.0</v>
      </c>
      <c r="B3664" s="6">
        <v>273.0</v>
      </c>
      <c r="C3664" s="6">
        <v>5.0</v>
      </c>
      <c r="D3664" s="15" t="s">
        <v>6100</v>
      </c>
      <c r="E3664" s="9" t="s">
        <v>6101</v>
      </c>
      <c r="F3664" s="8" t="str">
        <f>IFERROR(__xludf.DUMMYFUNCTION("GOOGLETRANSLATE(D3664,""zh-CN"",""vi"")"),"Bánh mousse dâu tây")</f>
        <v>Bánh mousse dâu tây</v>
      </c>
      <c r="G3664" s="8" t="str">
        <f>IFERROR(__xludf.DUMMYFUNCTION("GOOGLETRANSLATE(E3664,""zh-CN"",""vi"")"),"Mát lạnh và sảng khoái, món đồ uống yêu thích của trẻ em. Hãy tự tay làm món Mousse Đào Việt Quất trong cốc.")</f>
        <v>Mát lạnh và sảng khoái, món đồ uống yêu thích của trẻ em. Hãy tự tay làm món Mousse Đào Việt Quất trong cốc.</v>
      </c>
      <c r="H3664" s="8"/>
      <c r="I3664" s="8"/>
      <c r="J3664" s="8"/>
    </row>
    <row r="3665" ht="21.0" customHeight="1">
      <c r="A3665" s="6">
        <v>1.0</v>
      </c>
      <c r="B3665" s="6">
        <v>273.0</v>
      </c>
      <c r="C3665" s="6">
        <v>6.0</v>
      </c>
      <c r="D3665" s="15" t="s">
        <v>6102</v>
      </c>
      <c r="E3665" s="9" t="s">
        <v>6103</v>
      </c>
      <c r="F3665" s="8" t="str">
        <f>IFERROR(__xludf.DUMMYFUNCTION("GOOGLETRANSLATE(D3665,""zh-CN"",""vi"")"),"Mousse Đào Việt Quất")</f>
        <v>Mousse Đào Việt Quất</v>
      </c>
      <c r="G3665" s="8" t="str">
        <f>IFERROR(__xludf.DUMMYFUNCTION("GOOGLETRANSLATE(E3665,""zh-CN"",""vi"")"),"Một miếng, hai miếng, ba miếng, và hết sạch! Kết hợp các nguyên liệu để tạo thành bánh trứng cá muối.")</f>
        <v>Một miếng, hai miếng, ba miếng, và hết sạch! Kết hợp các nguyên liệu để tạo thành bánh trứng cá muối.</v>
      </c>
      <c r="H3665" s="8"/>
      <c r="I3665" s="8"/>
      <c r="J3665" s="8"/>
    </row>
    <row r="3666" ht="21.0" customHeight="1">
      <c r="A3666" s="6">
        <v>1.0</v>
      </c>
      <c r="B3666" s="6">
        <v>273.0</v>
      </c>
      <c r="C3666" s="6">
        <v>7.0</v>
      </c>
      <c r="D3666" s="15" t="s">
        <v>6104</v>
      </c>
      <c r="E3666" s="9" t="s">
        <v>6105</v>
      </c>
      <c r="F3666" s="8" t="str">
        <f>IFERROR(__xludf.DUMMYFUNCTION("GOOGLETRANSLATE(D3666,""zh-CN"",""vi"")"),"Bánh trứng cá muối")</f>
        <v>Bánh trứng cá muối</v>
      </c>
      <c r="G3666" s="8" t="str">
        <f>IFERROR(__xludf.DUMMYFUNCTION("GOOGLETRANSLATE(E3666,""zh-CN"",""vi"")"),"Một công thức độc đáo, nhưng hương vị lại ngon đến bất ngờ. Kết hợp chúng để tạo ra những chiếc bánh rán đầy màu sắc.")</f>
        <v>Một công thức độc đáo, nhưng hương vị lại ngon đến bất ngờ. Kết hợp chúng để tạo ra những chiếc bánh rán đầy màu sắc.</v>
      </c>
      <c r="H3666" s="8"/>
      <c r="I3666" s="8"/>
      <c r="J3666" s="8"/>
    </row>
    <row r="3667" ht="21.0" customHeight="1">
      <c r="A3667" s="6">
        <v>1.0</v>
      </c>
      <c r="B3667" s="6">
        <v>273.0</v>
      </c>
      <c r="C3667" s="6">
        <v>8.0</v>
      </c>
      <c r="D3667" s="15" t="s">
        <v>6106</v>
      </c>
      <c r="E3667" s="9" t="s">
        <v>6107</v>
      </c>
      <c r="F3667" s="8" t="str">
        <f>IFERROR(__xludf.DUMMYFUNCTION("GOOGLETRANSLATE(D3667,""zh-CN"",""vi"")"),"Bánh rán nhiều màu sắc")</f>
        <v>Bánh rán nhiều màu sắc</v>
      </c>
      <c r="G3667" s="8" t="str">
        <f>IFERROR(__xludf.DUMMYFUNCTION("GOOGLETRANSLATE(E3667,""zh-CN"",""vi"")"),"Ngon đến nỗi làm bẩn hết cả. Kết hợp các nguyên liệu để tạo thành Tháp Sô-cô-la.")</f>
        <v>Ngon đến nỗi làm bẩn hết cả. Kết hợp các nguyên liệu để tạo thành Tháp Sô-cô-la.</v>
      </c>
      <c r="H3667" s="8"/>
      <c r="I3667" s="8"/>
      <c r="J3667" s="8"/>
    </row>
    <row r="3668" ht="21.0" customHeight="1">
      <c r="A3668" s="6">
        <v>1.0</v>
      </c>
      <c r="B3668" s="6">
        <v>273.0</v>
      </c>
      <c r="C3668" s="6">
        <v>9.0</v>
      </c>
      <c r="D3668" s="15" t="s">
        <v>6108</v>
      </c>
      <c r="E3668" s="9" t="s">
        <v>6109</v>
      </c>
      <c r="F3668" s="8" t="str">
        <f>IFERROR(__xludf.DUMMYFUNCTION("GOOGLETRANSLATE(D3668,""zh-CN"",""vi"")"),"Sô cô la Tháp")</f>
        <v>Sô cô la Tháp</v>
      </c>
      <c r="G3668" s="8" t="str">
        <f>IFERROR(__xludf.DUMMYFUNCTION("GOOGLETRANSLATE(E3668,""zh-CN"",""vi"")"),"Một tác phẩm bắt mắt, nhưng không thực sự tiện lợi để ăn. Kết hợp các thành phần để tạo thành bánh sinh nhật mille-feuille.")</f>
        <v>Một tác phẩm bắt mắt, nhưng không thực sự tiện lợi để ăn. Kết hợp các thành phần để tạo thành bánh sinh nhật mille-feuille.</v>
      </c>
      <c r="H3668" s="8"/>
      <c r="I3668" s="8"/>
      <c r="J3668" s="8"/>
    </row>
    <row r="3669" ht="21.0" customHeight="1">
      <c r="A3669" s="6">
        <v>1.0</v>
      </c>
      <c r="B3669" s="6">
        <v>273.0</v>
      </c>
      <c r="C3669" s="6">
        <v>10.0</v>
      </c>
      <c r="D3669" s="15" t="s">
        <v>6110</v>
      </c>
      <c r="E3669" s="9" t="s">
        <v>6111</v>
      </c>
      <c r="F3669" s="8" t="str">
        <f>IFERROR(__xludf.DUMMYFUNCTION("GOOGLETRANSLATE(D3669,""zh-CN"",""vi"")"),"Bánh sinh nhật crepe")</f>
        <v>Bánh sinh nhật crepe</v>
      </c>
      <c r="G3669" s="8" t="str">
        <f>IFERROR(__xludf.DUMMYFUNCTION("GOOGLETRANSLATE(E3669,""zh-CN"",""vi"")"),"Nó cao và to, đủ để phục vụ tất cả mọi người trong buổi dạ hội. Có thể ghép chúng lại để tạo thành một giá đựng tráng miệng.")</f>
        <v>Nó cao và to, đủ để phục vụ tất cả mọi người trong buổi dạ hội. Có thể ghép chúng lại để tạo thành một giá đựng tráng miệng.</v>
      </c>
      <c r="H3669" s="8"/>
      <c r="I3669" s="8"/>
      <c r="J3669" s="8"/>
    </row>
    <row r="3670" ht="21.0" customHeight="1">
      <c r="A3670" s="6">
        <v>1.0</v>
      </c>
      <c r="B3670" s="6">
        <v>273.0</v>
      </c>
      <c r="C3670" s="6">
        <v>11.0</v>
      </c>
      <c r="D3670" s="15" t="s">
        <v>6112</v>
      </c>
      <c r="E3670" s="9" t="s">
        <v>6113</v>
      </c>
      <c r="F3670" s="8" t="str">
        <f>IFERROR(__xludf.DUMMYFUNCTION("GOOGLETRANSLATE(D3670,""zh-CN"",""vi"")"),"Quầy tráng miệng")</f>
        <v>Quầy tráng miệng</v>
      </c>
      <c r="G3670" s="8" t="str">
        <f>IFERROR(__xludf.DUMMYFUNCTION("GOOGLETRANSLATE(E3670,""zh-CN"",""vi"")"),"Các món tráng miệng rất tinh tế và hấp dẫn. Hãy kết hợp chúng để tạo thành một khay tráng miệng đẹp mắt.")</f>
        <v>Các món tráng miệng rất tinh tế và hấp dẫn. Hãy kết hợp chúng để tạo thành một khay tráng miệng đẹp mắt.</v>
      </c>
      <c r="H3670" s="8"/>
      <c r="I3670" s="8"/>
      <c r="J3670" s="8"/>
    </row>
    <row r="3671" ht="21.0" customHeight="1">
      <c r="A3671" s="6">
        <v>1.0</v>
      </c>
      <c r="B3671" s="6">
        <v>273.0</v>
      </c>
      <c r="C3671" s="6">
        <v>12.0</v>
      </c>
      <c r="D3671" s="9" t="s">
        <v>6114</v>
      </c>
      <c r="E3671" s="9" t="s">
        <v>6115</v>
      </c>
      <c r="F3671" s="8" t="str">
        <f>IFERROR(__xludf.DUMMYFUNCTION("GOOGLETRANSLATE(D3671,""zh-CN"",""vi"")"),"Quầy tráng miệng")</f>
        <v>Quầy tráng miệng</v>
      </c>
      <c r="G3671" s="8" t="str">
        <f>IFERROR(__xludf.DUMMYFUNCTION("GOOGLETRANSLATE(E3671,""zh-CN"",""vi"")"),"Đầy màu sắc và thơm ngát~ Kết hợp chúng để tạo nên một bữa tiệc tráng miệng thịnh soạn.")</f>
        <v>Đầy màu sắc và thơm ngát~ Kết hợp chúng để tạo nên một bữa tiệc tráng miệng thịnh soạn.</v>
      </c>
      <c r="H3671" s="8"/>
      <c r="I3671" s="8"/>
      <c r="J3671" s="8"/>
    </row>
    <row r="3672" ht="21.0" customHeight="1">
      <c r="A3672" s="6">
        <v>1.0</v>
      </c>
      <c r="B3672" s="6">
        <v>273.0</v>
      </c>
      <c r="C3672" s="6">
        <v>13.0</v>
      </c>
      <c r="D3672" s="15" t="s">
        <v>6116</v>
      </c>
      <c r="E3672" s="9" t="s">
        <v>6117</v>
      </c>
      <c r="F3672" s="8" t="str">
        <f>IFERROR(__xludf.DUMMYFUNCTION("GOOGLETRANSLATE(D3672,""zh-CN"",""vi"")"),"Tiệc buffet tráng miệng")</f>
        <v>Tiệc buffet tráng miệng</v>
      </c>
      <c r="G3672" s="8" t="str">
        <f>IFERROR(__xludf.DUMMYFUNCTION("GOOGLETRANSLATE(E3672,""zh-CN"",""vi"")"),"Vừa ăn bằng một tay, vừa cầm bằng tay kia, bạn sẽ no ngay lập tức! (Đã được tổng hợp đến cấp độ cao nhất)")</f>
        <v>Vừa ăn bằng một tay, vừa cầm bằng tay kia, bạn sẽ no ngay lập tức! (Đã được tổng hợp đến cấp độ cao nhất)</v>
      </c>
      <c r="H3672" s="8"/>
      <c r="I3672" s="8"/>
      <c r="J3672" s="8"/>
    </row>
    <row r="3673" ht="21.0" customHeight="1">
      <c r="A3673" s="6">
        <v>1.0</v>
      </c>
      <c r="B3673" s="6">
        <v>274.0</v>
      </c>
      <c r="C3673" s="6">
        <v>1.0</v>
      </c>
      <c r="D3673" s="15" t="s">
        <v>6118</v>
      </c>
      <c r="E3673" s="9" t="s">
        <v>6119</v>
      </c>
      <c r="F3673" s="8" t="str">
        <f>IFERROR(__xludf.DUMMYFUNCTION("GOOGLETRANSLATE(D3673,""zh-CN"",""vi"")"),"Mặt nạ ếch dễ thương")</f>
        <v>Mặt nạ ếch dễ thương</v>
      </c>
      <c r="G3673" s="8" t="str">
        <f>IFERROR(__xludf.DUMMYFUNCTION("GOOGLETRANSLATE(E3673,""zh-CN"",""vi"")"),"Chú ếch đáng yêu, tràn đầy năng lượng tuổi trẻ. Kết hợp chúng để có được Mặt nạ Chuột Thông minh.")</f>
        <v>Chú ếch đáng yêu, tràn đầy năng lượng tuổi trẻ. Kết hợp chúng để có được Mặt nạ Chuột Thông minh.</v>
      </c>
      <c r="H3673" s="8"/>
      <c r="I3673" s="8"/>
      <c r="J3673" s="8"/>
    </row>
    <row r="3674" ht="21.0" customHeight="1">
      <c r="A3674" s="6">
        <v>1.0</v>
      </c>
      <c r="B3674" s="6">
        <v>274.0</v>
      </c>
      <c r="C3674" s="6">
        <v>2.0</v>
      </c>
      <c r="D3674" s="15" t="s">
        <v>6120</v>
      </c>
      <c r="E3674" s="9" t="s">
        <v>6121</v>
      </c>
      <c r="F3674" s="8" t="str">
        <f>IFERROR(__xludf.DUMMYFUNCTION("GOOGLETRANSLATE(D3674,""zh-CN"",""vi"")"),"Mặt nạ chuột thông minh")</f>
        <v>Mặt nạ chuột thông minh</v>
      </c>
      <c r="G3674" s="8" t="str">
        <f>IFERROR(__xludf.DUMMYFUNCTION("GOOGLETRANSLATE(E3674,""zh-CN"",""vi"")"),"Chú chuột ranh mãnh, hãy cẩn thận kẻo bị lừa! Kết hợp chúng lại để có được Mặt nạ Thỏ.")</f>
        <v>Chú chuột ranh mãnh, hãy cẩn thận kẻo bị lừa! Kết hợp chúng lại để có được Mặt nạ Thỏ.</v>
      </c>
      <c r="H3674" s="8"/>
      <c r="I3674" s="8"/>
      <c r="J3674" s="8"/>
    </row>
    <row r="3675" ht="21.0" customHeight="1">
      <c r="A3675" s="6">
        <v>1.0</v>
      </c>
      <c r="B3675" s="6">
        <v>274.0</v>
      </c>
      <c r="C3675" s="6">
        <v>3.0</v>
      </c>
      <c r="D3675" s="15" t="s">
        <v>6122</v>
      </c>
      <c r="E3675" s="9" t="s">
        <v>6123</v>
      </c>
      <c r="F3675" s="8" t="str">
        <f>IFERROR(__xludf.DUMMYFUNCTION("GOOGLETRANSLATE(D3675,""zh-CN"",""vi"")"),"Mặt nạ Min-Tu")</f>
        <v>Mặt nạ Min-Tu</v>
      </c>
      <c r="G3675" s="8" t="str">
        <f>IFERROR(__xludf.DUMMYFUNCTION("GOOGLETRANSLATE(E3675,""zh-CN"",""vi"")"),"Khi nhảy múa, nàng ấy bật nhảy nhanh nhẹn và mạnh mẽ. (Kết hợp để có được Mặt nạ Cừu)")</f>
        <v>Khi nhảy múa, nàng ấy bật nhảy nhanh nhẹn và mạnh mẽ. (Kết hợp để có được Mặt nạ Cừu)</v>
      </c>
      <c r="H3675" s="8"/>
      <c r="I3675" s="8"/>
      <c r="J3675" s="8"/>
    </row>
    <row r="3676" ht="21.0" customHeight="1">
      <c r="A3676" s="6">
        <v>1.0</v>
      </c>
      <c r="B3676" s="6">
        <v>274.0</v>
      </c>
      <c r="C3676" s="6">
        <v>4.0</v>
      </c>
      <c r="D3676" s="15" t="s">
        <v>6124</v>
      </c>
      <c r="E3676" s="9" t="s">
        <v>6125</v>
      </c>
      <c r="F3676" s="8" t="str">
        <f>IFERROR(__xludf.DUMMYFUNCTION("GOOGLETRANSLATE(D3676,""zh-CN"",""vi"")"),"Mặt nạ Mei Yang")</f>
        <v>Mặt nạ Mei Yang</v>
      </c>
      <c r="G3676" s="8" t="str">
        <f>IFERROR(__xludf.DUMMYFUNCTION("GOOGLETRANSLATE(E3676,""zh-CN"",""vi"")"),"Sự kết hợp giữa vẻ đẹp và sự thanh lịch ~ Tổng hợp để có được Mặt nạ Quý cô Hồng.")</f>
        <v>Sự kết hợp giữa vẻ đẹp và sự thanh lịch ~ Tổng hợp để có được Mặt nạ Quý cô Hồng.</v>
      </c>
      <c r="H3676" s="8"/>
      <c r="I3676" s="8"/>
      <c r="J3676" s="8"/>
    </row>
    <row r="3677" ht="21.0" customHeight="1">
      <c r="A3677" s="6">
        <v>1.0</v>
      </c>
      <c r="B3677" s="6">
        <v>274.0</v>
      </c>
      <c r="C3677" s="6">
        <v>5.0</v>
      </c>
      <c r="D3677" s="9" t="s">
        <v>6126</v>
      </c>
      <c r="E3677" s="9" t="s">
        <v>6127</v>
      </c>
      <c r="F3677" s="8" t="str">
        <f>IFERROR(__xludf.DUMMYFUNCTION("GOOGLETRANSLATE(D3677,""zh-CN"",""vi"")"),"Mặt nạ làm đẹp màu hồng")</f>
        <v>Mặt nạ làm đẹp màu hồng</v>
      </c>
      <c r="G3677" s="8" t="str">
        <f>IFERROR(__xludf.DUMMYFUNCTION("GOOGLETRANSLATE(E3677,""zh-CN"",""vi"")"),"Niềm đam mê của tình yêu, sự nồng nhiệt của tình yêu. Kết hợp lại để có được Mặt nạ Cám dỗ Bóng đêm.")</f>
        <v>Niềm đam mê của tình yêu, sự nồng nhiệt của tình yêu. Kết hợp lại để có được Mặt nạ Cám dỗ Bóng đêm.</v>
      </c>
      <c r="H3677" s="8"/>
      <c r="I3677" s="8"/>
      <c r="J3677" s="8"/>
    </row>
    <row r="3678" ht="21.0" customHeight="1">
      <c r="A3678" s="6">
        <v>1.0</v>
      </c>
      <c r="B3678" s="6">
        <v>274.0</v>
      </c>
      <c r="C3678" s="6">
        <v>6.0</v>
      </c>
      <c r="D3678" s="15" t="s">
        <v>6128</v>
      </c>
      <c r="E3678" s="9" t="s">
        <v>6129</v>
      </c>
      <c r="F3678" s="8" t="str">
        <f>IFERROR(__xludf.DUMMYFUNCTION("GOOGLETRANSLATE(D3678,""zh-CN"",""vi"")"),"Mặt nạ cám dỗ ban đêm")</f>
        <v>Mặt nạ cám dỗ ban đêm</v>
      </c>
      <c r="G3678" s="8" t="str">
        <f>IFERROR(__xludf.DUMMYFUNCTION("GOOGLETRANSLATE(E3678,""zh-CN"",""vi"")"),"Như thể tự nguyện bước vào mạng nhện. Tổng hợp để có được Mặt nạ Tím Quyến Rũ.")</f>
        <v>Như thể tự nguyện bước vào mạng nhện. Tổng hợp để có được Mặt nạ Tím Quyến Rũ.</v>
      </c>
      <c r="H3678" s="8"/>
      <c r="I3678" s="8"/>
      <c r="J3678" s="8"/>
    </row>
    <row r="3679" ht="21.0" customHeight="1">
      <c r="A3679" s="6">
        <v>1.0</v>
      </c>
      <c r="B3679" s="6">
        <v>274.0</v>
      </c>
      <c r="C3679" s="6">
        <v>7.0</v>
      </c>
      <c r="D3679" s="78" t="s">
        <v>6130</v>
      </c>
      <c r="E3679" s="9" t="s">
        <v>6131</v>
      </c>
      <c r="F3679" s="8" t="str">
        <f>IFERROR(__xludf.DUMMYFUNCTION("GOOGLETRANSLATE(D3679,""zh-CN"",""vi"")"),"Mặt nạ tím quyến rũ")</f>
        <v>Mặt nạ tím quyến rũ</v>
      </c>
      <c r="G3679" s="8" t="str">
        <f>IFERROR(__xludf.DUMMYFUNCTION("GOOGLETRANSLATE(E3679,""zh-CN"",""vi"")"),"Như những con bướm đang bay lượn trong không trung. Kết hợp để có được Mặt nạ Đam mê Nguyên bản.")</f>
        <v>Như những con bướm đang bay lượn trong không trung. Kết hợp để có được Mặt nạ Đam mê Nguyên bản.</v>
      </c>
      <c r="H3679" s="8"/>
      <c r="I3679" s="8"/>
      <c r="J3679" s="8"/>
    </row>
    <row r="3680" ht="21.0" customHeight="1">
      <c r="A3680" s="6">
        <v>1.0</v>
      </c>
      <c r="B3680" s="6">
        <v>274.0</v>
      </c>
      <c r="C3680" s="6">
        <v>8.0</v>
      </c>
      <c r="D3680" s="15" t="s">
        <v>6132</v>
      </c>
      <c r="E3680" s="9" t="s">
        <v>6133</v>
      </c>
      <c r="F3680" s="8" t="str">
        <f>IFERROR(__xludf.DUMMYFUNCTION("GOOGLETRANSLATE(D3680,""zh-CN"",""vi"")"),"Mặt nạ đam mê nguyên bản")</f>
        <v>Mặt nạ đam mê nguyên bản</v>
      </c>
      <c r="G3680" s="8" t="str">
        <f>IFERROR(__xludf.DUMMYFUNCTION("GOOGLETRANSLATE(E3680,""zh-CN"",""vi"")"),"Được làm từ lông chim, lông thú và hoa dại, chiếc mặt nạ này sở hữu vẻ đẹp nguyên sơ. Chế tác nó sẽ tạo ra Mặt nạ Phù thủy Rừng.")</f>
        <v>Được làm từ lông chim, lông thú và hoa dại, chiếc mặt nạ này sở hữu vẻ đẹp nguyên sơ. Chế tác nó sẽ tạo ra Mặt nạ Phù thủy Rừng.</v>
      </c>
      <c r="H3680" s="8"/>
      <c r="I3680" s="8"/>
      <c r="J3680" s="8"/>
    </row>
    <row r="3681" ht="21.0" customHeight="1">
      <c r="A3681" s="6">
        <v>1.0</v>
      </c>
      <c r="B3681" s="6">
        <v>274.0</v>
      </c>
      <c r="C3681" s="6">
        <v>9.0</v>
      </c>
      <c r="D3681" s="15" t="s">
        <v>6134</v>
      </c>
      <c r="E3681" s="9" t="s">
        <v>6135</v>
      </c>
      <c r="F3681" s="8" t="str">
        <f>IFERROR(__xludf.DUMMYFUNCTION("GOOGLETRANSLATE(D3681,""zh-CN"",""vi"")"),"Mặt nạ phù thủy rừng")</f>
        <v>Mặt nạ phù thủy rừng</v>
      </c>
      <c r="G3681" s="8" t="str">
        <f>IFERROR(__xludf.DUMMYFUNCTION("GOOGLETRANSLATE(E3681,""zh-CN"",""vi"")"),"Có lẽ ẩn sau chiếc mặt nạ là một phù thủy thực thụ. Hãy tổng hợp để có được Mặt nạ Công chúa Mạng.")</f>
        <v>Có lẽ ẩn sau chiếc mặt nạ là một phù thủy thực thụ. Hãy tổng hợp để có được Mặt nạ Công chúa Mạng.</v>
      </c>
      <c r="H3681" s="8"/>
      <c r="I3681" s="8"/>
      <c r="J3681" s="8"/>
    </row>
    <row r="3682" ht="21.0" customHeight="1">
      <c r="A3682" s="6">
        <v>1.0</v>
      </c>
      <c r="B3682" s="6">
        <v>274.0</v>
      </c>
      <c r="C3682" s="6">
        <v>10.0</v>
      </c>
      <c r="D3682" s="15" t="s">
        <v>6136</v>
      </c>
      <c r="E3682" s="9" t="s">
        <v>6137</v>
      </c>
      <c r="F3682" s="8" t="str">
        <f>IFERROR(__xludf.DUMMYFUNCTION("GOOGLETRANSLATE(D3682,""zh-CN"",""vi"")"),"Mặt nạ cô gái điện tử")</f>
        <v>Mặt nạ cô gái điện tử</v>
      </c>
      <c r="G3682" s="8" t="str">
        <f>IFERROR(__xludf.DUMMYFUNCTION("GOOGLETRANSLATE(E3682,""zh-CN"",""vi"")"),"Mang phong cách tương lai và công nghệ tiên tiến, giống như một robot thực thụ. Tổng hợp để có được Mặt nạ Công chúa Người cá.")</f>
        <v>Mang phong cách tương lai và công nghệ tiên tiến, giống như một robot thực thụ. Tổng hợp để có được Mặt nạ Công chúa Người cá.</v>
      </c>
      <c r="H3682" s="8"/>
      <c r="I3682" s="8"/>
      <c r="J3682" s="8"/>
    </row>
    <row r="3683" ht="21.0" customHeight="1">
      <c r="A3683" s="6">
        <v>1.0</v>
      </c>
      <c r="B3683" s="6">
        <v>274.0</v>
      </c>
      <c r="C3683" s="6">
        <v>11.0</v>
      </c>
      <c r="D3683" s="15" t="s">
        <v>6138</v>
      </c>
      <c r="E3683" s="9" t="s">
        <v>6139</v>
      </c>
      <c r="F3683" s="8" t="str">
        <f>IFERROR(__xludf.DUMMYFUNCTION("GOOGLETRANSLATE(D3683,""zh-CN"",""vi"")"),"Mặt nạ công chúa nàng tiên cá")</f>
        <v>Mặt nạ công chúa nàng tiên cá</v>
      </c>
      <c r="G3683" s="8" t="str">
        <f>IFERROR(__xludf.DUMMYFUNCTION("GOOGLETRANSLATE(E3683,""zh-CN"",""vi"")"),"Những báu vật của đại dương đã được gom góp vào chiếc mặt nạ này. Hãy kết hợp chúng để có được Mặt nạ Phượng Hoàng Trỗi Dậy.")</f>
        <v>Những báu vật của đại dương đã được gom góp vào chiếc mặt nạ này. Hãy kết hợp chúng để có được Mặt nạ Phượng Hoàng Trỗi Dậy.</v>
      </c>
      <c r="H3683" s="8"/>
      <c r="I3683" s="8"/>
      <c r="J3683" s="8"/>
    </row>
    <row r="3684" ht="21.0" customHeight="1">
      <c r="A3684" s="6">
        <v>1.0</v>
      </c>
      <c r="B3684" s="6">
        <v>274.0</v>
      </c>
      <c r="C3684" s="6">
        <v>12.0</v>
      </c>
      <c r="D3684" s="15" t="s">
        <v>6140</v>
      </c>
      <c r="E3684" s="9" t="s">
        <v>6141</v>
      </c>
      <c r="F3684" s="8" t="str">
        <f>IFERROR(__xludf.DUMMYFUNCTION("GOOGLETRANSLATE(D3684,""zh-CN"",""vi"")"),"Mặt nạ Phoenix Arrival")</f>
        <v>Mặt nạ Phoenix Arrival</v>
      </c>
      <c r="G3684" s="8" t="str">
        <f>IFERROR(__xludf.DUMMYFUNCTION("GOOGLETRANSLATE(E3684,""zh-CN"",""vi"")"),"Nó dường như sở hữu sức mạnh thần thánh của phượng hoàng. Khi được tổng hợp, nó đã tạo ra Mặt nạ Giáng thế của Thiên thần.")</f>
        <v>Nó dường như sở hữu sức mạnh thần thánh của phượng hoàng. Khi được tổng hợp, nó đã tạo ra Mặt nạ Giáng thế của Thiên thần.</v>
      </c>
      <c r="H3684" s="8"/>
      <c r="I3684" s="8"/>
      <c r="J3684" s="8"/>
    </row>
    <row r="3685" ht="21.0" customHeight="1">
      <c r="A3685" s="6">
        <v>1.0</v>
      </c>
      <c r="B3685" s="6">
        <v>274.0</v>
      </c>
      <c r="C3685" s="6">
        <v>13.0</v>
      </c>
      <c r="D3685" s="15" t="s">
        <v>6142</v>
      </c>
      <c r="E3685" s="9" t="s">
        <v>6143</v>
      </c>
      <c r="F3685" s="8" t="str">
        <f>IFERROR(__xludf.DUMMYFUNCTION("GOOGLETRANSLATE(D3685,""zh-CN"",""vi"")"),"Mặt nạ thiên thần")</f>
        <v>Mặt nạ thiên thần</v>
      </c>
      <c r="G3685" s="8" t="str">
        <f>IFERROR(__xludf.DUMMYFUNCTION("GOOGLETRANSLATE(E3685,""zh-CN"",""vi"")"),"Thiêng liêng, thiêng liêng và tuyệt đẹp, như một thiên thần giáng trần. (Đã được tổng hợp đến cấp độ cao nhất)")</f>
        <v>Thiêng liêng, thiêng liêng và tuyệt đẹp, như một thiên thần giáng trần. (Đã được tổng hợp đến cấp độ cao nhất)</v>
      </c>
      <c r="H3685" s="8"/>
      <c r="I3685" s="8"/>
      <c r="J3685" s="8"/>
    </row>
    <row r="3686" ht="21.0" customHeight="1">
      <c r="A3686" s="6">
        <v>11.0</v>
      </c>
      <c r="B3686" s="6">
        <v>1086.0</v>
      </c>
      <c r="C3686" s="6">
        <v>1.0</v>
      </c>
      <c r="D3686" s="9" t="s">
        <v>6144</v>
      </c>
      <c r="E3686" s="9" t="s">
        <v>6145</v>
      </c>
      <c r="F3686" s="8" t="str">
        <f>IFERROR(__xludf.DUMMYFUNCTION("GOOGLETRANSLATE(D3686,""zh-CN"",""vi"")"),"ngọn đuốc")</f>
        <v>ngọn đuốc</v>
      </c>
      <c r="G3686" s="8" t="str">
        <f>IFERROR(__xludf.DUMMYFUNCTION("GOOGLETRANSLATE(E3686,""zh-CN"",""vi"")"),"Một chiếc đèn pin lớn, sáng, có thể gắn trên giá đỡ. Được chế tạo để có được một sợi dây nylon.")</f>
        <v>Một chiếc đèn pin lớn, sáng, có thể gắn trên giá đỡ. Được chế tạo để có được một sợi dây nylon.</v>
      </c>
      <c r="H3686" s="8"/>
      <c r="I3686" s="8"/>
      <c r="J3686" s="8"/>
    </row>
    <row r="3687" ht="21.0" customHeight="1">
      <c r="A3687" s="6">
        <v>11.0</v>
      </c>
      <c r="B3687" s="6">
        <v>1086.0</v>
      </c>
      <c r="C3687" s="6">
        <v>2.0</v>
      </c>
      <c r="D3687" s="15" t="s">
        <v>6146</v>
      </c>
      <c r="E3687" s="9" t="s">
        <v>6147</v>
      </c>
      <c r="F3687" s="8" t="str">
        <f>IFERROR(__xludf.DUMMYFUNCTION("GOOGLETRANSLATE(D3687,""zh-CN"",""vi"")"),"Dây nylon")</f>
        <v>Dây nylon</v>
      </c>
      <c r="G3687" s="8" t="str">
        <f>IFERROR(__xludf.DUMMYFUNCTION("GOOGLETRANSLATE(E3687,""zh-CN"",""vi"")"),"Hữu ích và bền bỉ. Chế tạo nó để có được một chiếc móc kéo.")</f>
        <v>Hữu ích và bền bỉ. Chế tạo nó để có được một chiếc móc kéo.</v>
      </c>
      <c r="H3687" s="8"/>
      <c r="I3687" s="8"/>
      <c r="J3687" s="8"/>
    </row>
    <row r="3688" ht="21.0" customHeight="1">
      <c r="A3688" s="6">
        <v>11.0</v>
      </c>
      <c r="B3688" s="6">
        <v>1086.0</v>
      </c>
      <c r="C3688" s="6">
        <v>3.0</v>
      </c>
      <c r="D3688" s="15" t="s">
        <v>6148</v>
      </c>
      <c r="E3688" s="9" t="s">
        <v>6149</v>
      </c>
      <c r="F3688" s="8" t="str">
        <f>IFERROR(__xludf.DUMMYFUNCTION("GOOGLETRANSLATE(D3688,""zh-CN"",""vi"")"),"móc câu")</f>
        <v>móc câu</v>
      </c>
      <c r="G3688" s="8" t="str">
        <f>IFERROR(__xludf.DUMMYFUNCTION("GOOGLETRANSLATE(E3688,""zh-CN"",""vi"")"),"Một vật phẩm thiết yếu để leo địa hình nguy hiểm. Được chế tạo để có được Xẻng Lạc Dương.")</f>
        <v>Một vật phẩm thiết yếu để leo địa hình nguy hiểm. Được chế tạo để có được Xẻng Lạc Dương.</v>
      </c>
      <c r="H3688" s="8"/>
      <c r="I3688" s="8"/>
      <c r="J3688" s="8"/>
    </row>
    <row r="3689" ht="21.0" customHeight="1">
      <c r="A3689" s="6">
        <v>11.0</v>
      </c>
      <c r="B3689" s="6">
        <v>1086.0</v>
      </c>
      <c r="C3689" s="6">
        <v>4.0</v>
      </c>
      <c r="D3689" s="15" t="s">
        <v>6150</v>
      </c>
      <c r="E3689" s="9" t="s">
        <v>6151</v>
      </c>
      <c r="F3689" s="8" t="str">
        <f>IFERROR(__xludf.DUMMYFUNCTION("GOOGLETRANSLATE(D3689,""zh-CN"",""vi"")"),"xẻng Lạc Dương")</f>
        <v>xẻng Lạc Dương</v>
      </c>
      <c r="G3689" s="8" t="str">
        <f>IFERROR(__xludf.DUMMYFUNCTION("GOOGLETRANSLATE(E3689,""zh-CN"",""vi"")"),"Được sử dụng để đào đất trong công tác khảo cổ. Được chế tạo để có được Bộ công cụ khảo cổ.")</f>
        <v>Được sử dụng để đào đất trong công tác khảo cổ. Được chế tạo để có được Bộ công cụ khảo cổ.</v>
      </c>
      <c r="H3689" s="8"/>
      <c r="I3689" s="8"/>
      <c r="J3689" s="8"/>
    </row>
    <row r="3690" ht="21.0" customHeight="1">
      <c r="A3690" s="6">
        <v>10.0</v>
      </c>
      <c r="B3690" s="6">
        <v>1086.0</v>
      </c>
      <c r="C3690" s="6">
        <v>5.0</v>
      </c>
      <c r="D3690" s="15" t="s">
        <v>6152</v>
      </c>
      <c r="E3690" s="9" t="s">
        <v>6153</v>
      </c>
      <c r="F3690" s="8" t="str">
        <f>IFERROR(__xludf.DUMMYFUNCTION("GOOGLETRANSLATE(D3690,""zh-CN"",""vi"")"),"Hộp dụng cụ khảo cổ")</f>
        <v>Hộp dụng cụ khảo cổ</v>
      </c>
      <c r="G3690" s="8" t="str">
        <f>IFERROR(__xludf.DUMMYFUNCTION("GOOGLETRANSLATE(E3690,""zh-CN"",""vi"")"),"Tất cả các công cụ khảo cổ đều có sẵn. Hãy chế tạo chúng để tạo ra một đống lửa trại.")</f>
        <v>Tất cả các công cụ khảo cổ đều có sẵn. Hãy chế tạo chúng để tạo ra một đống lửa trại.</v>
      </c>
      <c r="H3690" s="8"/>
      <c r="I3690" s="8"/>
      <c r="J3690" s="8"/>
    </row>
    <row r="3691" ht="21.0" customHeight="1">
      <c r="A3691" s="6">
        <v>10.0</v>
      </c>
      <c r="B3691" s="6">
        <v>1086.0</v>
      </c>
      <c r="C3691" s="6">
        <v>6.0</v>
      </c>
      <c r="D3691" s="15" t="s">
        <v>6154</v>
      </c>
      <c r="E3691" s="9" t="s">
        <v>6155</v>
      </c>
      <c r="F3691" s="8" t="str">
        <f>IFERROR(__xludf.DUMMYFUNCTION("GOOGLETRANSLATE(D3691,""zh-CN"",""vi"")"),"lửa trại")</f>
        <v>lửa trại</v>
      </c>
      <c r="G3691" s="8" t="str">
        <f>IFERROR(__xludf.DUMMYFUNCTION("GOOGLETRANSLATE(E3691,""zh-CN"",""vi"")"),"Ngọn lửa dữ dội xua tan sự bất an trong bóng tối. Hình ảnh ban đầu của một khu trại khảo cổ đã được phác họa.")</f>
        <v>Ngọn lửa dữ dội xua tan sự bất an trong bóng tối. Hình ảnh ban đầu của một khu trại khảo cổ đã được phác họa.</v>
      </c>
      <c r="H3691" s="8"/>
      <c r="I3691" s="8"/>
      <c r="J3691" s="8"/>
    </row>
    <row r="3692" ht="21.0" customHeight="1">
      <c r="A3692" s="6">
        <v>10.0</v>
      </c>
      <c r="B3692" s="6">
        <v>1086.0</v>
      </c>
      <c r="C3692" s="6">
        <v>7.0</v>
      </c>
      <c r="D3692" s="15" t="s">
        <v>6156</v>
      </c>
      <c r="E3692" s="9" t="s">
        <v>6157</v>
      </c>
      <c r="F3692" s="8" t="str">
        <f>IFERROR(__xludf.DUMMYFUNCTION("GOOGLETRANSLATE(D3692,""zh-CN"",""vi"")"),"Nguyên mẫu trại khảo cổ")</f>
        <v>Nguyên mẫu trại khảo cổ</v>
      </c>
      <c r="G3692" s="8" t="str">
        <f>IFERROR(__xludf.DUMMYFUNCTION("GOOGLETRANSLATE(E3692,""zh-CN"",""vi"")"),"Đầu tiên, hãy chuẩn bị đồ dùng và sẵn sàng dựng trại! Xây dựng trại khảo cổ.")</f>
        <v>Đầu tiên, hãy chuẩn bị đồ dùng và sẵn sàng dựng trại! Xây dựng trại khảo cổ.</v>
      </c>
      <c r="H3692" s="8"/>
      <c r="I3692" s="8"/>
      <c r="J3692" s="8"/>
    </row>
    <row r="3693" ht="21.0" customHeight="1">
      <c r="A3693" s="6">
        <v>10.0</v>
      </c>
      <c r="B3693" s="6">
        <v>1086.0</v>
      </c>
      <c r="C3693" s="6">
        <v>8.0</v>
      </c>
      <c r="D3693" s="15" t="s">
        <v>274</v>
      </c>
      <c r="E3693" s="9" t="s">
        <v>6158</v>
      </c>
      <c r="F3693" s="8" t="str">
        <f>IFERROR(__xludf.DUMMYFUNCTION("GOOGLETRANSLATE(D3693,""zh-CN"",""vi"")"),"Trại khảo cổ")</f>
        <v>Trại khảo cổ</v>
      </c>
      <c r="G3693" s="8" t="str">
        <f>IFERROR(__xludf.DUMMYFUNCTION("GOOGLETRANSLATE(E3693,""zh-CN"",""vi"")"),"Một khu cắm trại tiện nghi, nhưng thiếu khả năng phòng thủ. Hãy chế tạo nó để có được Khu cắm trại xua đuổi tà ác.")</f>
        <v>Một khu cắm trại tiện nghi, nhưng thiếu khả năng phòng thủ. Hãy chế tạo nó để có được Khu cắm trại xua đuổi tà ác.</v>
      </c>
      <c r="H3693" s="8"/>
      <c r="I3693" s="8"/>
      <c r="J3693" s="8"/>
    </row>
    <row r="3694" ht="21.0" customHeight="1">
      <c r="A3694" s="6">
        <v>10.0</v>
      </c>
      <c r="B3694" s="6">
        <v>1086.0</v>
      </c>
      <c r="C3694" s="6">
        <v>9.0</v>
      </c>
      <c r="D3694" s="15" t="s">
        <v>6159</v>
      </c>
      <c r="E3694" s="9" t="s">
        <v>6160</v>
      </c>
      <c r="F3694" s="8" t="str">
        <f>IFERROR(__xludf.DUMMYFUNCTION("GOOGLETRANSLATE(D3694,""zh-CN"",""vi"")"),"Trại xua đuổi tà ma")</f>
        <v>Trại xua đuổi tà ma</v>
      </c>
      <c r="G3694" s="8" t="str">
        <f>IFERROR(__xludf.DUMMYFUNCTION("GOOGLETRANSLATE(E3694,""zh-CN"",""vi"")"),"Rắc thêm bột realgar, gắn bùa hộ mệnh, và bạn đã an toàn! Tổng hợp để có được Trại Trấn Áp Quỷ.")</f>
        <v>Rắc thêm bột realgar, gắn bùa hộ mệnh, và bạn đã an toàn! Tổng hợp để có được Trại Trấn Áp Quỷ.</v>
      </c>
      <c r="H3694" s="8"/>
      <c r="I3694" s="8"/>
      <c r="J3694" s="8"/>
    </row>
    <row r="3695" ht="21.0" customHeight="1">
      <c r="A3695" s="6">
        <v>10.0</v>
      </c>
      <c r="B3695" s="6">
        <v>1086.0</v>
      </c>
      <c r="C3695" s="6">
        <v>10.0</v>
      </c>
      <c r="D3695" s="15" t="s">
        <v>6161</v>
      </c>
      <c r="E3695" s="9" t="s">
        <v>6162</v>
      </c>
      <c r="F3695" s="8" t="str">
        <f>IFERROR(__xludf.DUMMYFUNCTION("GOOGLETRANSLATE(D3695,""zh-CN"",""vi"")"),"Trại trấn áp quỷ")</f>
        <v>Trại trấn áp quỷ</v>
      </c>
      <c r="G3695" s="8" t="str">
        <f>IFERROR(__xludf.DUMMYFUNCTION("GOOGLETRANSLATE(E3695,""zh-CN"",""vi"")"),"Ngay cả những bảo vật ma thuật cũng được treo lên; tà ma bị xua đuổi! Nó đã được tổng hợp đến cấp độ cao nhất.")</f>
        <v>Ngay cả những bảo vật ma thuật cũng được treo lên; tà ma bị xua đuổi! Nó đã được tổng hợp đến cấp độ cao nhất.</v>
      </c>
      <c r="H3695" s="8"/>
      <c r="I3695" s="8"/>
      <c r="J3695" s="8"/>
    </row>
    <row r="3696" ht="21.0" customHeight="1">
      <c r="A3696" s="6">
        <v>11.0</v>
      </c>
      <c r="B3696" s="6">
        <v>1087.0</v>
      </c>
      <c r="C3696" s="6">
        <v>1.0</v>
      </c>
      <c r="D3696" s="9" t="s">
        <v>6163</v>
      </c>
      <c r="E3696" s="9" t="s">
        <v>6164</v>
      </c>
      <c r="F3696" s="8" t="str">
        <f>IFERROR(__xludf.DUMMYFUNCTION("GOOGLETRANSLATE(D3696,""zh-CN"",""vi"")"),"Ngọn đuốc [V]")</f>
        <v>Ngọn đuốc [V]</v>
      </c>
      <c r="G3696" s="8" t="str">
        <f>IFERROR(__xludf.DUMMYFUNCTION("GOOGLETRANSLATE(E3696,""zh-CN"",""vi"")"),"Một ngọn đuốc lớn, sáng có thể đặt trên giá đỡ. Được chế tạo để có được một sợi dây nylon [V].")</f>
        <v>Một ngọn đuốc lớn, sáng có thể đặt trên giá đỡ. Được chế tạo để có được một sợi dây nylon [V].</v>
      </c>
      <c r="H3696" s="8"/>
      <c r="I3696" s="8"/>
      <c r="J3696" s="8"/>
    </row>
    <row r="3697" ht="21.0" customHeight="1">
      <c r="A3697" s="6">
        <v>11.0</v>
      </c>
      <c r="B3697" s="6">
        <v>1087.0</v>
      </c>
      <c r="C3697" s="6">
        <v>2.0</v>
      </c>
      <c r="D3697" s="15" t="s">
        <v>6165</v>
      </c>
      <c r="E3697" s="9" t="s">
        <v>6166</v>
      </c>
      <c r="F3697" s="8" t="str">
        <f>IFERROR(__xludf.DUMMYFUNCTION("GOOGLETRANSLATE(D3697,""zh-CN"",""vi"")"),"Dây nylon [V]")</f>
        <v>Dây nylon [V]</v>
      </c>
      <c r="G3697" s="8" t="str">
        <f>IFERROR(__xludf.DUMMYFUNCTION("GOOGLETRANSLATE(E3697,""zh-CN"",""vi"")"),"Hữu ích và bền bỉ. Chế tạo nó để có được một móc kéo [V].")</f>
        <v>Hữu ích và bền bỉ. Chế tạo nó để có được một móc kéo [V].</v>
      </c>
      <c r="H3697" s="8"/>
      <c r="I3697" s="8"/>
      <c r="J3697" s="8"/>
    </row>
    <row r="3698" ht="21.0" customHeight="1">
      <c r="A3698" s="6">
        <v>11.0</v>
      </c>
      <c r="B3698" s="6">
        <v>1087.0</v>
      </c>
      <c r="C3698" s="6">
        <v>3.0</v>
      </c>
      <c r="D3698" s="15" t="s">
        <v>6167</v>
      </c>
      <c r="E3698" s="9" t="s">
        <v>6168</v>
      </c>
      <c r="F3698" s="8" t="str">
        <f>IFERROR(__xludf.DUMMYFUNCTION("GOOGLETRANSLATE(D3698,""zh-CN"",""vi"")"),"Crawler [V]")</f>
        <v>Crawler [V]</v>
      </c>
      <c r="G3698" s="8" t="str">
        <f>IFERROR(__xludf.DUMMYFUNCTION("GOOGLETRANSLATE(E3698,""zh-CN"",""vi"")"),"Một vật phẩm thiết yếu để vượt qua địa hình nguy hiểm. Chế tạo nó để có được Xẻng Lạc Dương [V].")</f>
        <v>Một vật phẩm thiết yếu để vượt qua địa hình nguy hiểm. Chế tạo nó để có được Xẻng Lạc Dương [V].</v>
      </c>
      <c r="H3698" s="8"/>
      <c r="I3698" s="8"/>
      <c r="J3698" s="8"/>
    </row>
    <row r="3699" ht="21.0" customHeight="1">
      <c r="A3699" s="6">
        <v>11.0</v>
      </c>
      <c r="B3699" s="6">
        <v>1087.0</v>
      </c>
      <c r="C3699" s="6">
        <v>4.0</v>
      </c>
      <c r="D3699" s="15" t="s">
        <v>6169</v>
      </c>
      <c r="E3699" s="9" t="s">
        <v>6170</v>
      </c>
      <c r="F3699" s="8" t="str">
        <f>IFERROR(__xludf.DUMMYFUNCTION("GOOGLETRANSLATE(D3699,""zh-CN"",""vi"")"),"Xẻng Lạc Dương [V]")</f>
        <v>Xẻng Lạc Dương [V]</v>
      </c>
      <c r="G3699" s="8" t="str">
        <f>IFERROR(__xludf.DUMMYFUNCTION("GOOGLETRANSLATE(E3699,""zh-CN"",""vi"")"),"Được sử dụng để đào đất trong công tác khảo cổ. Được chế tạo để có được Bộ công cụ khảo cổ [V].")</f>
        <v>Được sử dụng để đào đất trong công tác khảo cổ. Được chế tạo để có được Bộ công cụ khảo cổ [V].</v>
      </c>
      <c r="H3699" s="8"/>
      <c r="I3699" s="8"/>
      <c r="J3699" s="8"/>
    </row>
    <row r="3700" ht="21.0" customHeight="1">
      <c r="A3700" s="6">
        <v>10.0</v>
      </c>
      <c r="B3700" s="6">
        <v>1087.0</v>
      </c>
      <c r="C3700" s="6">
        <v>5.0</v>
      </c>
      <c r="D3700" s="15" t="s">
        <v>6171</v>
      </c>
      <c r="E3700" s="9" t="s">
        <v>6172</v>
      </c>
      <c r="F3700" s="8" t="str">
        <f>IFERROR(__xludf.DUMMYFUNCTION("GOOGLETRANSLATE(D3700,""zh-CN"",""vi"")"),"Bộ dụng cụ khảo cổ [V]")</f>
        <v>Bộ dụng cụ khảo cổ [V]</v>
      </c>
      <c r="G3700" s="8" t="str">
        <f>IFERROR(__xludf.DUMMYFUNCTION("GOOGLETRANSLATE(E3700,""zh-CN"",""vi"")"),"Tất cả các công cụ khảo cổ đều có sẵn. Hãy chế tạo chúng để có được một đống lửa trại [V].")</f>
        <v>Tất cả các công cụ khảo cổ đều có sẵn. Hãy chế tạo chúng để có được một đống lửa trại [V].</v>
      </c>
      <c r="H3700" s="8"/>
      <c r="I3700" s="8"/>
      <c r="J3700" s="8"/>
    </row>
    <row r="3701" ht="21.0" customHeight="1">
      <c r="A3701" s="6">
        <v>10.0</v>
      </c>
      <c r="B3701" s="6">
        <v>1087.0</v>
      </c>
      <c r="C3701" s="6">
        <v>6.0</v>
      </c>
      <c r="D3701" s="15" t="s">
        <v>6173</v>
      </c>
      <c r="E3701" s="9" t="s">
        <v>6174</v>
      </c>
      <c r="F3701" s="8" t="str">
        <f>IFERROR(__xludf.DUMMYFUNCTION("GOOGLETRANSLATE(D3701,""zh-CN"",""vi"")"),"Lửa trại [V]")</f>
        <v>Lửa trại [V]</v>
      </c>
      <c r="G3701" s="8" t="str">
        <f>IFERROR(__xludf.DUMMYFUNCTION("GOOGLETRANSLATE(E3701,""zh-CN"",""vi"")"),"Ngọn lửa dữ dội xua tan sự bất an trong bóng tối. Tổng hợp lại, một trại khảo cổ nguyên mẫu đã được hình thành [V].")</f>
        <v>Ngọn lửa dữ dội xua tan sự bất an trong bóng tối. Tổng hợp lại, một trại khảo cổ nguyên mẫu đã được hình thành [V].</v>
      </c>
      <c r="H3701" s="8"/>
      <c r="I3701" s="8"/>
      <c r="J3701" s="8"/>
    </row>
    <row r="3702" ht="21.0" customHeight="1">
      <c r="A3702" s="6">
        <v>10.0</v>
      </c>
      <c r="B3702" s="6">
        <v>1087.0</v>
      </c>
      <c r="C3702" s="6">
        <v>7.0</v>
      </c>
      <c r="D3702" s="15" t="s">
        <v>6175</v>
      </c>
      <c r="E3702" s="9" t="s">
        <v>6176</v>
      </c>
      <c r="F3702" s="8" t="str">
        <f>IFERROR(__xludf.DUMMYFUNCTION("GOOGLETRANSLATE(D3702,""zh-CN"",""vi"")"),"Nguyên mẫu của trại khảo cổ [V]")</f>
        <v>Nguyên mẫu của trại khảo cổ [V]</v>
      </c>
      <c r="G3702" s="8" t="str">
        <f>IFERROR(__xludf.DUMMYFUNCTION("GOOGLETRANSLATE(E3702,""zh-CN"",""vi"")"),"Đầu tiên, hãy chuẩn bị mọi thứ và sẵn sàng dựng trại! Tổng hợp để có được Trại Khảo cổ [V]")</f>
        <v>Đầu tiên, hãy chuẩn bị mọi thứ và sẵn sàng dựng trại! Tổng hợp để có được Trại Khảo cổ [V]</v>
      </c>
      <c r="H3702" s="8"/>
      <c r="I3702" s="8"/>
      <c r="J3702" s="8"/>
    </row>
    <row r="3703" ht="21.0" customHeight="1">
      <c r="A3703" s="6">
        <v>10.0</v>
      </c>
      <c r="B3703" s="6">
        <v>1087.0</v>
      </c>
      <c r="C3703" s="6">
        <v>8.0</v>
      </c>
      <c r="D3703" s="15" t="s">
        <v>6177</v>
      </c>
      <c r="E3703" s="9" t="s">
        <v>6178</v>
      </c>
      <c r="F3703" s="8" t="str">
        <f>IFERROR(__xludf.DUMMYFUNCTION("GOOGLETRANSLATE(D3703,""zh-CN"",""vi"")"),"Trại khảo cổ [V]")</f>
        <v>Trại khảo cổ [V]</v>
      </c>
      <c r="G3703" s="8" t="str">
        <f>IFERROR(__xludf.DUMMYFUNCTION("GOOGLETRANSLATE(E3703,""zh-CN"",""vi"")"),"Một khu cắm trại thoải mái, nhưng thiếu khả năng phòng thủ. Hãy chế tạo nó để có được Khu cắm trại xua đuổi tà ác [V].")</f>
        <v>Một khu cắm trại thoải mái, nhưng thiếu khả năng phòng thủ. Hãy chế tạo nó để có được Khu cắm trại xua đuổi tà ác [V].</v>
      </c>
      <c r="H3703" s="8"/>
      <c r="I3703" s="8"/>
      <c r="J3703" s="8"/>
    </row>
    <row r="3704" ht="21.0" customHeight="1">
      <c r="A3704" s="6">
        <v>10.0</v>
      </c>
      <c r="B3704" s="6">
        <v>1087.0</v>
      </c>
      <c r="C3704" s="6">
        <v>9.0</v>
      </c>
      <c r="D3704" s="15" t="s">
        <v>6179</v>
      </c>
      <c r="E3704" s="9" t="s">
        <v>6180</v>
      </c>
      <c r="F3704" s="8" t="str">
        <f>IFERROR(__xludf.DUMMYFUNCTION("GOOGLETRANSLATE(D3704,""zh-CN"",""vi"")"),"Trại xua đuổi tà ma [V]")</f>
        <v>Trại xua đuổi tà ma [V]</v>
      </c>
      <c r="G3704" s="8" t="str">
        <f>IFERROR(__xludf.DUMMYFUNCTION("GOOGLETRANSLATE(E3704,""zh-CN"",""vi"")"),"Rắc bột realgar lên, gắn bùa hộ mệnh, và bạn đã an toàn! Tổng hợp để có được Trại Trấn Áp Quỷ [V]")</f>
        <v>Rắc bột realgar lên, gắn bùa hộ mệnh, và bạn đã an toàn! Tổng hợp để có được Trại Trấn Áp Quỷ [V]</v>
      </c>
      <c r="H3704" s="8"/>
      <c r="I3704" s="8"/>
      <c r="J3704" s="8"/>
    </row>
    <row r="3705" ht="21.0" customHeight="1">
      <c r="A3705" s="6">
        <v>10.0</v>
      </c>
      <c r="B3705" s="6">
        <v>1087.0</v>
      </c>
      <c r="C3705" s="6">
        <v>10.0</v>
      </c>
      <c r="D3705" s="15" t="s">
        <v>6181</v>
      </c>
      <c r="E3705" s="9" t="s">
        <v>6162</v>
      </c>
      <c r="F3705" s="8" t="str">
        <f>IFERROR(__xludf.DUMMYFUNCTION("GOOGLETRANSLATE(D3705,""zh-CN"",""vi"")"),"Trại trấn áp quỷ [V]")</f>
        <v>Trại trấn áp quỷ [V]</v>
      </c>
      <c r="G3705" s="8" t="str">
        <f>IFERROR(__xludf.DUMMYFUNCTION("GOOGLETRANSLATE(E3705,""zh-CN"",""vi"")"),"Ngay cả những bảo vật ma thuật cũng được treo lên; tà ma bị xua đuổi! Nó đã được tổng hợp đến cấp độ cao nhất.")</f>
        <v>Ngay cả những bảo vật ma thuật cũng được treo lên; tà ma bị xua đuổi! Nó đã được tổng hợp đến cấp độ cao nhất.</v>
      </c>
      <c r="H3705" s="8"/>
      <c r="I3705" s="8"/>
      <c r="J3705" s="8"/>
    </row>
    <row r="3706" ht="21.0" customHeight="1">
      <c r="A3706" s="6">
        <v>1.0</v>
      </c>
      <c r="B3706" s="6">
        <v>275.0</v>
      </c>
      <c r="C3706" s="6">
        <v>1.0</v>
      </c>
      <c r="D3706" s="15" t="s">
        <v>6182</v>
      </c>
      <c r="E3706" s="9" t="s">
        <v>6183</v>
      </c>
      <c r="F3706" s="8" t="str">
        <f>IFERROR(__xludf.DUMMYFUNCTION("GOOGLETRANSLATE(D3706,""zh-CN"",""vi"")"),"Túi thơm ngải cứu")</f>
        <v>Túi thơm ngải cứu</v>
      </c>
      <c r="G3706" s="8" t="str">
        <f>IFERROR(__xludf.DUMMYFUNCTION("GOOGLETRANSLATE(E3706,""zh-CN"",""vi"")"),"Có tác dụng đuổi côn trùng tuyệt vời. Khi chế biến sẽ thu được một nồi xôi.")</f>
        <v>Có tác dụng đuổi côn trùng tuyệt vời. Khi chế biến sẽ thu được một nồi xôi.</v>
      </c>
      <c r="H3706" s="8"/>
      <c r="I3706" s="8"/>
      <c r="J3706" s="8"/>
    </row>
    <row r="3707" ht="21.0" customHeight="1">
      <c r="A3707" s="6">
        <v>1.0</v>
      </c>
      <c r="B3707" s="6">
        <v>275.0</v>
      </c>
      <c r="C3707" s="6">
        <v>2.0</v>
      </c>
      <c r="D3707" s="15" t="s">
        <v>6184</v>
      </c>
      <c r="E3707" s="9" t="s">
        <v>6185</v>
      </c>
      <c r="F3707" s="8" t="str">
        <f>IFERROR(__xludf.DUMMYFUNCTION("GOOGLETRANSLATE(D3707,""zh-CN"",""vi"")"),"Một bát xôi nếp")</f>
        <v>Một bát xôi nếp</v>
      </c>
      <c r="G3707" s="8" t="str">
        <f>IFERROR(__xludf.DUMMYFUNCTION("GOOGLETRANSLATE(E3707,""zh-CN"",""vi"")"),"Gạo nếp giàu năng lượng dương và có thể xua đuổi tà ma. Khi chế biến sẽ thu được một hũ bột thạch tín.")</f>
        <v>Gạo nếp giàu năng lượng dương và có thể xua đuổi tà ma. Khi chế biến sẽ thu được một hũ bột thạch tín.</v>
      </c>
      <c r="H3707" s="8"/>
      <c r="I3707" s="8"/>
      <c r="J3707" s="8"/>
    </row>
    <row r="3708" ht="21.0" customHeight="1">
      <c r="A3708" s="6">
        <v>1.0</v>
      </c>
      <c r="B3708" s="6">
        <v>275.0</v>
      </c>
      <c r="C3708" s="6">
        <v>3.0</v>
      </c>
      <c r="D3708" s="15" t="s">
        <v>6186</v>
      </c>
      <c r="E3708" s="9" t="s">
        <v>6187</v>
      </c>
      <c r="F3708" s="8" t="str">
        <f>IFERROR(__xludf.DUMMYFUNCTION("GOOGLETRANSLATE(D3708,""zh-CN"",""vi"")"),"Một lọ bột realgar")</f>
        <v>Một lọ bột realgar</v>
      </c>
      <c r="G3708" s="8" t="str">
        <f>IFERROR(__xludf.DUMMYFUNCTION("GOOGLETRANSLATE(E3708,""zh-CN"",""vi"")"),"Rắc bột realgar xung quanh có thể xua đuổi rắn và côn trùng. Kết hợp các nguyên liệu để tạo thành vòng tay chu sa.")</f>
        <v>Rắc bột realgar xung quanh có thể xua đuổi rắn và côn trùng. Kết hợp các nguyên liệu để tạo thành vòng tay chu sa.</v>
      </c>
      <c r="H3708" s="8"/>
      <c r="I3708" s="8"/>
      <c r="J3708" s="8"/>
    </row>
    <row r="3709" ht="21.0" customHeight="1">
      <c r="A3709" s="6">
        <v>1.0</v>
      </c>
      <c r="B3709" s="6">
        <v>275.0</v>
      </c>
      <c r="C3709" s="6">
        <v>4.0</v>
      </c>
      <c r="D3709" s="15" t="s">
        <v>6188</v>
      </c>
      <c r="E3709" s="9" t="s">
        <v>6189</v>
      </c>
      <c r="F3709" s="8" t="str">
        <f>IFERROR(__xludf.DUMMYFUNCTION("GOOGLETRANSLATE(D3709,""zh-CN"",""vi"")"),"Vòng tay Cinnabar")</f>
        <v>Vòng tay Cinnabar</v>
      </c>
      <c r="G3709" s="8" t="str">
        <f>IFERROR(__xludf.DUMMYFUNCTION("GOOGLETRANSLATE(E3709,""zh-CN"",""vi"")"),"Nó làm dịu tâm trí và thần kinh, xua đuổi tà ma và thanh lọc gan. Quá trình tổng hợp nó tạo ra một xô máu chó đen.")</f>
        <v>Nó làm dịu tâm trí và thần kinh, xua đuổi tà ma và thanh lọc gan. Quá trình tổng hợp nó tạo ra một xô máu chó đen.</v>
      </c>
      <c r="H3709" s="8"/>
      <c r="I3709" s="8"/>
      <c r="J3709" s="8"/>
    </row>
    <row r="3710" ht="21.0" customHeight="1">
      <c r="A3710" s="6">
        <v>1.0</v>
      </c>
      <c r="B3710" s="6">
        <v>275.0</v>
      </c>
      <c r="C3710" s="6">
        <v>5.0</v>
      </c>
      <c r="D3710" s="15" t="s">
        <v>6190</v>
      </c>
      <c r="E3710" s="9" t="s">
        <v>6191</v>
      </c>
      <c r="F3710" s="8" t="str">
        <f>IFERROR(__xludf.DUMMYFUNCTION("GOOGLETRANSLATE(D3710,""zh-CN"",""vi"")"),"Một xô máu chó đen")</f>
        <v>Một xô máu chó đen</v>
      </c>
      <c r="G3710" s="8" t="str">
        <f>IFERROR(__xludf.DUMMYFUNCTION("GOOGLETRANSLATE(E3710,""zh-CN"",""vi"")"),"Nó có thể xua đuổi tà ma. Kết hợp chúng lại để có được một cặp móng lừa đen.")</f>
        <v>Nó có thể xua đuổi tà ma. Kết hợp chúng lại để có được một cặp móng lừa đen.</v>
      </c>
      <c r="H3710" s="8"/>
      <c r="I3710" s="8"/>
      <c r="J3710" s="8"/>
    </row>
    <row r="3711" ht="21.0" customHeight="1">
      <c r="A3711" s="6">
        <v>1.0</v>
      </c>
      <c r="B3711" s="6">
        <v>275.0</v>
      </c>
      <c r="C3711" s="6">
        <v>6.0</v>
      </c>
      <c r="D3711" s="15" t="s">
        <v>6192</v>
      </c>
      <c r="E3711" s="9" t="s">
        <v>6193</v>
      </c>
      <c r="F3711" s="8" t="str">
        <f>IFERROR(__xludf.DUMMYFUNCTION("GOOGLETRANSLATE(D3711,""zh-CN"",""vi"")"),"Một đôi móng guốc lừa đen")</f>
        <v>Một đôi móng guốc lừa đen</v>
      </c>
      <c r="G3711" s="8" t="str">
        <f>IFERROR(__xludf.DUMMYFUNCTION("GOOGLETRANSLATE(E3711,""zh-CN"",""vi"")"),"Nó có thể xua đuổi tà ma, đặc biệt là bánh trôi. Kết hợp chúng để có được Dây chuyền Răng Hổ.")</f>
        <v>Nó có thể xua đuổi tà ma, đặc biệt là bánh trôi. Kết hợp chúng để có được Dây chuyền Răng Hổ.</v>
      </c>
      <c r="H3711" s="8"/>
      <c r="I3711" s="8"/>
      <c r="J3711" s="8"/>
    </row>
    <row r="3712" ht="21.0" customHeight="1">
      <c r="A3712" s="6">
        <v>1.0</v>
      </c>
      <c r="B3712" s="6">
        <v>275.0</v>
      </c>
      <c r="C3712" s="6">
        <v>7.0</v>
      </c>
      <c r="D3712" s="15" t="s">
        <v>6194</v>
      </c>
      <c r="E3712" s="9" t="s">
        <v>6195</v>
      </c>
      <c r="F3712" s="8" t="str">
        <f>IFERROR(__xludf.DUMMYFUNCTION("GOOGLETRANSLATE(D3712,""zh-CN"",""vi"")"),"Dây chuyền răng hổ")</f>
        <v>Dây chuyền răng hổ</v>
      </c>
      <c r="G3712" s="8" t="str">
        <f>IFERROR(__xludf.DUMMYFUNCTION("GOOGLETRANSLATE(E3712,""zh-CN"",""vi"")"),"Răng hổ sở hữu năng lượng mạnh mẽ và nam tính nhất, có khả năng xua đuổi tà ma và loại bỏ tạp chất. Chúng có thể được kết hợp để tạo thành sừng tê giác.")</f>
        <v>Răng hổ sở hữu năng lượng mạnh mẽ và nam tính nhất, có khả năng xua đuổi tà ma và loại bỏ tạp chất. Chúng có thể được kết hợp để tạo thành sừng tê giác.</v>
      </c>
      <c r="H3712" s="8"/>
      <c r="I3712" s="8"/>
      <c r="J3712" s="8"/>
    </row>
    <row r="3713" ht="21.0" customHeight="1">
      <c r="A3713" s="6">
        <v>1.0</v>
      </c>
      <c r="B3713" s="6">
        <v>275.0</v>
      </c>
      <c r="C3713" s="6">
        <v>8.0</v>
      </c>
      <c r="D3713" s="15" t="s">
        <v>6196</v>
      </c>
      <c r="E3713" s="9" t="s">
        <v>6197</v>
      </c>
      <c r="F3713" s="8" t="str">
        <f>IFERROR(__xludf.DUMMYFUNCTION("GOOGLETRANSLATE(D3713,""zh-CN"",""vi"")"),"sừng tê giác")</f>
        <v>sừng tê giác</v>
      </c>
      <c r="G3713" s="8" t="str">
        <f>IFERROR(__xludf.DUMMYFUNCTION("GOOGLETRANSLATE(E3713,""zh-CN"",""vi"")"),"Đốt sừng tê giác có thể giúp giao tiếp với các linh hồn. Kết hợp chúng để tạo thành một lọ mực.")</f>
        <v>Đốt sừng tê giác có thể giúp giao tiếp với các linh hồn. Kết hợp chúng để tạo thành một lọ mực.</v>
      </c>
      <c r="H3713" s="8"/>
      <c r="I3713" s="8"/>
      <c r="J3713" s="8"/>
    </row>
    <row r="3714" ht="21.0" customHeight="1">
      <c r="A3714" s="6">
        <v>1.0</v>
      </c>
      <c r="B3714" s="6">
        <v>275.0</v>
      </c>
      <c r="C3714" s="6">
        <v>9.0</v>
      </c>
      <c r="D3714" s="15" t="s">
        <v>6198</v>
      </c>
      <c r="E3714" s="9" t="s">
        <v>6199</v>
      </c>
      <c r="F3714" s="8" t="str">
        <f>IFERROR(__xludf.DUMMYFUNCTION("GOOGLETRANSLATE(D3714,""zh-CN"",""vi"")"),"Đường mực")</f>
        <v>Đường mực</v>
      </c>
      <c r="G3714" s="8" t="str">
        <f>IFERROR(__xludf.DUMMYFUNCTION("GOOGLETRANSLATE(E3714,""zh-CN"",""vi"")"),"Những đường mực là một công cụ mạnh mẽ để điều khiển bánh trôi. Hãy chế tác chúng để có được bùa Ngũ Hoàng Đồng.")</f>
        <v>Những đường mực là một công cụ mạnh mẽ để điều khiển bánh trôi. Hãy chế tác chúng để có được bùa Ngũ Hoàng Đồng.</v>
      </c>
      <c r="H3714" s="8"/>
      <c r="I3714" s="8"/>
      <c r="J3714" s="8"/>
    </row>
    <row r="3715" ht="21.0" customHeight="1">
      <c r="A3715" s="6">
        <v>1.0</v>
      </c>
      <c r="B3715" s="6">
        <v>275.0</v>
      </c>
      <c r="C3715" s="6">
        <v>10.0</v>
      </c>
      <c r="D3715" s="15" t="s">
        <v>6200</v>
      </c>
      <c r="E3715" s="9" t="s">
        <v>6201</v>
      </c>
      <c r="F3715" s="8" t="str">
        <f>IFERROR(__xludf.DUMMYFUNCTION("GOOGLETRANSLATE(D3715,""zh-CN"",""vi"")"),"Bùa hộ mệnh năm đồng xu hoàng đế")</f>
        <v>Bùa hộ mệnh năm đồng xu hoàng đế</v>
      </c>
      <c r="G3715" s="8" t="str">
        <f>IFERROR(__xludf.DUMMYFUNCTION("GOOGLETRANSLATE(E3715,""zh-CN"",""vi"")"),"Hãy tận dụng vận may gắn liền với các đồng xu để bảo vệ bản thân. Kết hợp chúng lại để có được Gương Bát Quái.")</f>
        <v>Hãy tận dụng vận may gắn liền với các đồng xu để bảo vệ bản thân. Kết hợp chúng lại để có được Gương Bát Quái.</v>
      </c>
      <c r="H3715" s="8"/>
      <c r="I3715" s="8"/>
      <c r="J3715" s="8"/>
    </row>
    <row r="3716" ht="21.0" customHeight="1">
      <c r="A3716" s="6">
        <v>1.0</v>
      </c>
      <c r="B3716" s="6">
        <v>275.0</v>
      </c>
      <c r="C3716" s="6">
        <v>11.0</v>
      </c>
      <c r="D3716" s="15" t="s">
        <v>6202</v>
      </c>
      <c r="E3716" s="9" t="s">
        <v>6203</v>
      </c>
      <c r="F3716" s="8" t="str">
        <f>IFERROR(__xludf.DUMMYFUNCTION("GOOGLETRANSLATE(D3716,""zh-CN"",""vi"")"),"Gương Bát Quái")</f>
        <v>Gương Bát Quái</v>
      </c>
      <c r="G3716" s="8" t="str">
        <f>IFERROR(__xludf.DUMMYFUNCTION("GOOGLETRANSLATE(E3716,""zh-CN"",""vi"")"),"Gương Bát Quái có thể xua đuổi tà ma và ngăn ngừa ảnh hưởng xấu. Nó có thể được kết hợp để tạo thành thanh kiếm gỗ đào sét đánh.")</f>
        <v>Gương Bát Quái có thể xua đuổi tà ma và ngăn ngừa ảnh hưởng xấu. Nó có thể được kết hợp để tạo thành thanh kiếm gỗ đào sét đánh.</v>
      </c>
      <c r="H3716" s="8"/>
      <c r="I3716" s="8"/>
      <c r="J3716" s="8"/>
    </row>
    <row r="3717" ht="21.0" customHeight="1">
      <c r="A3717" s="6">
        <v>1.0</v>
      </c>
      <c r="B3717" s="6">
        <v>275.0</v>
      </c>
      <c r="C3717" s="6">
        <v>12.0</v>
      </c>
      <c r="D3717" s="15" t="s">
        <v>6204</v>
      </c>
      <c r="E3717" s="9" t="s">
        <v>6205</v>
      </c>
      <c r="F3717" s="8" t="str">
        <f>IFERROR(__xludf.DUMMYFUNCTION("GOOGLETRANSLATE(D3717,""zh-CN"",""vi"")"),"Thanh kiếm gỗ đào bị sét đánh")</f>
        <v>Thanh kiếm gỗ đào bị sét đánh</v>
      </c>
      <c r="G3717" s="8" t="str">
        <f>IFERROR(__xludf.DUMMYFUNCTION("GOOGLETRANSLATE(E3717,""zh-CN"",""vi"")"),"Sấm sét, hãy nghe lệnh ta! Tổng hợp để có được Tấm Mảng Ngũ Hành.")</f>
        <v>Sấm sét, hãy nghe lệnh ta! Tổng hợp để có được Tấm Mảng Ngũ Hành.</v>
      </c>
      <c r="H3717" s="8"/>
      <c r="I3717" s="8"/>
      <c r="J3717" s="8"/>
    </row>
    <row r="3718" ht="21.0" customHeight="1">
      <c r="A3718" s="6">
        <v>1.0</v>
      </c>
      <c r="B3718" s="6">
        <v>275.0</v>
      </c>
      <c r="C3718" s="6">
        <v>13.0</v>
      </c>
      <c r="D3718" s="15" t="s">
        <v>6206</v>
      </c>
      <c r="E3718" s="9" t="s">
        <v>6207</v>
      </c>
      <c r="F3718" s="8" t="str">
        <f>IFERROR(__xludf.DUMMYFUNCTION("GOOGLETRANSLATE(D3718,""zh-CN"",""vi"")"),"Tấm mảng năm yếu tố")</f>
        <v>Tấm mảng năm yếu tố</v>
      </c>
      <c r="G3718" s="8" t="str">
        <f>IFERROR(__xludf.DUMMYFUNCTION("GOOGLETRANSLATE(E3718,""zh-CN"",""vi"")"),"Có thể dựng lên một rào chắn bảo vệ, và sức mạnh của ngũ hành có thể được sử dụng để trừ tà! Nó đã được tổng hợp đến cấp độ cao nhất.")</f>
        <v>Có thể dựng lên một rào chắn bảo vệ, và sức mạnh của ngũ hành có thể được sử dụng để trừ tà! Nó đã được tổng hợp đến cấp độ cao nhất.</v>
      </c>
      <c r="H3718" s="8"/>
      <c r="I3718" s="8"/>
      <c r="J3718" s="8"/>
    </row>
    <row r="3719" ht="21.0" customHeight="1">
      <c r="A3719" s="6">
        <v>1.0</v>
      </c>
      <c r="B3719" s="6">
        <v>276.0</v>
      </c>
      <c r="C3719" s="6">
        <v>1.0</v>
      </c>
      <c r="D3719" s="15" t="s">
        <v>6208</v>
      </c>
      <c r="E3719" s="9" t="s">
        <v>6209</v>
      </c>
      <c r="F3719" s="8" t="str">
        <f>IFERROR(__xludf.DUMMYFUNCTION("GOOGLETRANSLATE(D3719,""zh-CN"",""vi"")"),"Bản thảo lụa")</f>
        <v>Bản thảo lụa</v>
      </c>
      <c r="G3719" s="8" t="str">
        <f>IFERROR(__xludf.DUMMYFUNCTION("GOOGLETRANSLATE(E3719,""zh-CN"",""vi"")"),"Dòng chữ trên lụa chứa đựng thông tin vô giá! Hãy kết hợp chúng để tạo thành những mảnh tre.")</f>
        <v>Dòng chữ trên lụa chứa đựng thông tin vô giá! Hãy kết hợp chúng để tạo thành những mảnh tre.</v>
      </c>
      <c r="H3719" s="8"/>
      <c r="I3719" s="8"/>
      <c r="J3719" s="8"/>
    </row>
    <row r="3720" ht="21.0" customHeight="1">
      <c r="A3720" s="6">
        <v>1.0</v>
      </c>
      <c r="B3720" s="6">
        <v>276.0</v>
      </c>
      <c r="C3720" s="6">
        <v>2.0</v>
      </c>
      <c r="D3720" s="15" t="s">
        <v>6210</v>
      </c>
      <c r="E3720" s="9" t="s">
        <v>6211</v>
      </c>
      <c r="F3720" s="8" t="str">
        <f>IFERROR(__xludf.DUMMYFUNCTION("GOOGLETRANSLATE(D3720,""zh-CN"",""vi"")"),"vé tre")</f>
        <v>vé tre</v>
      </c>
      <c r="G3720" s="8" t="str">
        <f>IFERROR(__xludf.DUMMYFUNCTION("GOOGLETRANSLATE(E3720,""zh-CN"",""vi"")"),"Mỗi cuộn giấy tre tượng trưng cho sự truyền tải văn hóa. Sau đó, chúng được kết hợp lại để tạo thành các văn khắc trên xương động vật.")</f>
        <v>Mỗi cuộn giấy tre tượng trưng cho sự truyền tải văn hóa. Sau đó, chúng được kết hợp lại để tạo thành các văn khắc trên xương động vật.</v>
      </c>
      <c r="H3720" s="8"/>
      <c r="I3720" s="8"/>
      <c r="J3720" s="8"/>
    </row>
    <row r="3721" ht="21.0" customHeight="1">
      <c r="A3721" s="6">
        <v>1.0</v>
      </c>
      <c r="B3721" s="6">
        <v>276.0</v>
      </c>
      <c r="C3721" s="6">
        <v>3.0</v>
      </c>
      <c r="D3721" s="15" t="s">
        <v>6212</v>
      </c>
      <c r="E3721" s="9" t="s">
        <v>6213</v>
      </c>
      <c r="F3721" s="8" t="str">
        <f>IFERROR(__xludf.DUMMYFUNCTION("GOOGLETRANSLATE(D3721,""zh-CN"",""vi"")"),"kịch bản xương Oracle")</f>
        <v>kịch bản xương Oracle</v>
      </c>
      <c r="G3721" s="8" t="str">
        <f>IFERROR(__xludf.DUMMYFUNCTION("GOOGLETRANSLATE(E3721,""zh-CN"",""vi"")"),"Điều này cho thấy một phần diện mạo của các vật phẩm thời nhà Thương và nhà Chu. Từ đó, người ta có thể chế tác thành một chiếc chén rượu bằng đồng.")</f>
        <v>Điều này cho thấy một phần diện mạo của các vật phẩm thời nhà Thương và nhà Chu. Từ đó, người ta có thể chế tác thành một chiếc chén rượu bằng đồng.</v>
      </c>
      <c r="H3721" s="8"/>
      <c r="I3721" s="8"/>
      <c r="J3721" s="8"/>
    </row>
    <row r="3722" ht="21.0" customHeight="1">
      <c r="A3722" s="6">
        <v>1.0</v>
      </c>
      <c r="B3722" s="6">
        <v>276.0</v>
      </c>
      <c r="C3722" s="6">
        <v>4.0</v>
      </c>
      <c r="D3722" s="15" t="s">
        <v>6214</v>
      </c>
      <c r="E3722" s="9" t="s">
        <v>6215</v>
      </c>
      <c r="F3722" s="8" t="str">
        <f>IFERROR(__xludf.DUMMYFUNCTION("GOOGLETRANSLATE(D3722,""zh-CN"",""vi"")"),"Cốc rượu bằng đồng")</f>
        <v>Cốc rượu bằng đồng</v>
      </c>
      <c r="G3722" s="8" t="str">
        <f>IFERROR(__xludf.DUMMYFUNCTION("GOOGLETRANSLATE(E3722,""zh-CN"",""vi"")"),"Người xưa cũng thích uống rượu. (Việc chế tác sẽ tạo ra một bức tượng đất nung hình một người bạn nữ thân thiết.)")</f>
        <v>Người xưa cũng thích uống rượu. (Việc chế tác sẽ tạo ra một bức tượng đất nung hình một người bạn nữ thân thiết.)</v>
      </c>
      <c r="H3722" s="8"/>
      <c r="I3722" s="8"/>
      <c r="J3722" s="8"/>
    </row>
    <row r="3723" ht="21.0" customHeight="1">
      <c r="A3723" s="6">
        <v>1.0</v>
      </c>
      <c r="B3723" s="6">
        <v>276.0</v>
      </c>
      <c r="C3723" s="6">
        <v>5.0</v>
      </c>
      <c r="D3723" s="15" t="s">
        <v>6216</v>
      </c>
      <c r="E3723" s="9" t="s">
        <v>6217</v>
      </c>
      <c r="F3723" s="8" t="str">
        <f>IFERROR(__xludf.DUMMYFUNCTION("GOOGLETRANSLATE(D3723,""zh-CN"",""vi"")"),"Tượng đất nung tình bạn thân thiết")</f>
        <v>Tượng đất nung tình bạn thân thiết</v>
      </c>
      <c r="G3723" s="8" t="str">
        <f>IFERROR(__xludf.DUMMYFUNCTION("GOOGLETRANSLATE(E3723,""zh-CN"",""vi"")"),"Ghép các hình dán hình trái tim để tạo thành chiếc cốc kỷ niệm hình hoa sen màu pastel.")</f>
        <v>Ghép các hình dán hình trái tim để tạo thành chiếc cốc kỷ niệm hình hoa sen màu pastel.</v>
      </c>
      <c r="H3723" s="8"/>
      <c r="I3723" s="8"/>
      <c r="J3723" s="8"/>
    </row>
    <row r="3724" ht="21.0" customHeight="1">
      <c r="A3724" s="6">
        <v>1.0</v>
      </c>
      <c r="B3724" s="6">
        <v>276.0</v>
      </c>
      <c r="C3724" s="6">
        <v>6.0</v>
      </c>
      <c r="D3724" s="15" t="s">
        <v>6218</v>
      </c>
      <c r="E3724" s="9" t="s">
        <v>6219</v>
      </c>
      <c r="F3724" s="8" t="str">
        <f>IFERROR(__xludf.DUMMYFUNCTION("GOOGLETRANSLATE(D3724,""zh-CN"",""vi"")"),"Cốc kỷ niệm hình hoa sen màu pastel")</f>
        <v>Cốc kỷ niệm hình hoa sen màu pastel</v>
      </c>
      <c r="G3724" s="8" t="str">
        <f>IFERROR(__xludf.DUMMYFUNCTION("GOOGLETRANSLATE(E3724,""zh-CN"",""vi"")"),"Thiết kế này vẫn vô cùng ấn tượng ngay cả theo tiêu chuẩn hiện đại ~ Tổng hợp để thu được Ngọc Lá Ve Sâu Vàng.")</f>
        <v>Thiết kế này vẫn vô cùng ấn tượng ngay cả theo tiêu chuẩn hiện đại ~ Tổng hợp để thu được Ngọc Lá Ve Sâu Vàng.</v>
      </c>
      <c r="H3724" s="8"/>
      <c r="I3724" s="8"/>
      <c r="J3724" s="8"/>
    </row>
    <row r="3725" ht="21.0" customHeight="1">
      <c r="A3725" s="6">
        <v>1.0</v>
      </c>
      <c r="B3725" s="6">
        <v>276.0</v>
      </c>
      <c r="C3725" s="6">
        <v>7.0</v>
      </c>
      <c r="D3725" s="77" t="s">
        <v>6220</v>
      </c>
      <c r="E3725" s="9" t="s">
        <v>6221</v>
      </c>
      <c r="F3725" s="8" t="str">
        <f>IFERROR(__xludf.DUMMYFUNCTION("GOOGLETRANSLATE(D3725,""zh-CN"",""vi"")"),"Ve sầu vàng và lá ngọc bích")</f>
        <v>Ve sầu vàng và lá ngọc bích</v>
      </c>
      <c r="G3725" s="8" t="str">
        <f>IFERROR(__xludf.DUMMYFUNCTION("GOOGLETRANSLATE(E3725,""zh-CN"",""vi"")"),"Tôi đã được trải nghiệm tay nghề tinh xảo của tổ tiên chúng ta. Tôi đã tự tay chế tác chiếc đèn lồng cung điện Trường Tâm.")</f>
        <v>Tôi đã được trải nghiệm tay nghề tinh xảo của tổ tiên chúng ta. Tôi đã tự tay chế tác chiếc đèn lồng cung điện Trường Tâm.</v>
      </c>
      <c r="H3725" s="8"/>
      <c r="I3725" s="8"/>
      <c r="J3725" s="8"/>
    </row>
    <row r="3726" ht="21.0" customHeight="1">
      <c r="A3726" s="6">
        <v>1.0</v>
      </c>
      <c r="B3726" s="6">
        <v>276.0</v>
      </c>
      <c r="C3726" s="6">
        <v>8.0</v>
      </c>
      <c r="D3726" s="15" t="s">
        <v>6222</v>
      </c>
      <c r="E3726" s="9" t="s">
        <v>6223</v>
      </c>
      <c r="F3726" s="8" t="str">
        <f>IFERROR(__xludf.DUMMYFUNCTION("GOOGLETRANSLATE(D3726,""zh-CN"",""vi"")"),"Đèn lồng cung điện Trường Tâm")</f>
        <v>Đèn lồng cung điện Trường Tâm</v>
      </c>
      <c r="G3726" s="8" t="str">
        <f>IFERROR(__xludf.DUMMYFUNCTION("GOOGLETRANSLATE(E3726,""zh-CN"",""vi"")"),"Người hầu gái cầm đèn trong một tay và che chắn gió bằng tay kia; thiết kế này rất khéo léo. Kết hợp lại, họ tạo ra được Thanh kiếm của Goujian, vua nước Yue.")</f>
        <v>Người hầu gái cầm đèn trong một tay và che chắn gió bằng tay kia; thiết kế này rất khéo léo. Kết hợp lại, họ tạo ra được Thanh kiếm của Goujian, vua nước Yue.</v>
      </c>
      <c r="H3726" s="8"/>
      <c r="I3726" s="8"/>
      <c r="J3726" s="8"/>
    </row>
    <row r="3727" ht="21.0" customHeight="1">
      <c r="A3727" s="6">
        <v>1.0</v>
      </c>
      <c r="B3727" s="6">
        <v>276.0</v>
      </c>
      <c r="C3727" s="6">
        <v>9.0</v>
      </c>
      <c r="D3727" s="77" t="s">
        <v>6224</v>
      </c>
      <c r="E3727" s="9" t="s">
        <v>6225</v>
      </c>
      <c r="F3727" s="8" t="str">
        <f>IFERROR(__xludf.DUMMYFUNCTION("GOOGLETRANSLATE(D3727,""zh-CN"",""vi"")"),"Thanh kiếm của Goujian, vua nước Việt")</f>
        <v>Thanh kiếm của Goujian, vua nước Việt</v>
      </c>
      <c r="G3727" s="8" t="str">
        <f>IFERROR(__xludf.DUMMYFUNCTION("GOOGLETRANSLATE(E3727,""zh-CN"",""vi"")"),"Những cổ vật được phục chế lại vẻ huy hoàng vốn có. Khi kết hợp lại, chúng tạo thành Đĩa Ngọc Trắng Song Long.")</f>
        <v>Những cổ vật được phục chế lại vẻ huy hoàng vốn có. Khi kết hợp lại, chúng tạo thành Đĩa Ngọc Trắng Song Long.</v>
      </c>
      <c r="H3727" s="8"/>
      <c r="I3727" s="8"/>
      <c r="J3727" s="8"/>
    </row>
    <row r="3728" ht="21.0" customHeight="1">
      <c r="A3728" s="6">
        <v>1.0</v>
      </c>
      <c r="B3728" s="6">
        <v>276.0</v>
      </c>
      <c r="C3728" s="6">
        <v>10.0</v>
      </c>
      <c r="D3728" s="77" t="s">
        <v>6226</v>
      </c>
      <c r="E3728" s="9" t="s">
        <v>6227</v>
      </c>
      <c r="F3728" s="8" t="str">
        <f>IFERROR(__xludf.DUMMYFUNCTION("GOOGLETRANSLATE(D3728,""zh-CN"",""vi"")"),"Đĩa Ngọc Trắng Song Long")</f>
        <v>Đĩa Ngọc Trắng Song Long</v>
      </c>
      <c r="G3728" s="8" t="str">
        <f>IFERROR(__xludf.DUMMYFUNCTION("GOOGLETRANSLATE(E3728,""zh-CN"",""vi"")"),"Đây là tác phẩm tiêu biểu cho đỉnh cao của nghệ thuật chế tác ngọc bích thời nhà Hán. Nó được sử dụng để chế tác Ấn tín của Thiên tử.")</f>
        <v>Đây là tác phẩm tiêu biểu cho đỉnh cao của nghệ thuật chế tác ngọc bích thời nhà Hán. Nó được sử dụng để chế tác Ấn tín của Thiên tử.</v>
      </c>
      <c r="H3728" s="8"/>
      <c r="I3728" s="8"/>
      <c r="J3728" s="8"/>
    </row>
    <row r="3729" ht="21.0" customHeight="1">
      <c r="A3729" s="6">
        <v>1.0</v>
      </c>
      <c r="B3729" s="6">
        <v>276.0</v>
      </c>
      <c r="C3729" s="6">
        <v>11.0</v>
      </c>
      <c r="D3729" s="77" t="s">
        <v>6228</v>
      </c>
      <c r="E3729" s="9" t="s">
        <v>6229</v>
      </c>
      <c r="F3729" s="8" t="str">
        <f>IFERROR(__xludf.DUMMYFUNCTION("GOOGLETRANSLATE(D3729,""zh-CN"",""vi"")"),"Ấn Ngọc Hoàng Gia")</f>
        <v>Ấn Ngọc Hoàng Gia</v>
      </c>
      <c r="G3729" s="8" t="str">
        <f>IFERROR(__xludf.DUMMYFUNCTION("GOOGLETRANSLATE(E3729,""zh-CN"",""vi"")"),"Biểu tượng cho quyền lực tối cao. Chiếc chuông Houmuwu Ding được chế tạo từ những nguyên liệu này.")</f>
        <v>Biểu tượng cho quyền lực tối cao. Chiếc chuông Houmuwu Ding được chế tạo từ những nguyên liệu này.</v>
      </c>
      <c r="H3729" s="8"/>
      <c r="I3729" s="8"/>
      <c r="J3729" s="8"/>
    </row>
    <row r="3730" ht="21.0" customHeight="1">
      <c r="A3730" s="6">
        <v>1.0</v>
      </c>
      <c r="B3730" s="6">
        <v>276.0</v>
      </c>
      <c r="C3730" s="6">
        <v>12.0</v>
      </c>
      <c r="D3730" s="15" t="s">
        <v>6230</v>
      </c>
      <c r="E3730" s="9" t="s">
        <v>6231</v>
      </c>
      <c r="F3730" s="8" t="str">
        <f>IFERROR(__xludf.DUMMYFUNCTION("GOOGLETRANSLATE(D3730,""zh-CN"",""vi"")"),"Đinh Hầu Mộc")</f>
        <v>Đinh Hầu Mộc</v>
      </c>
      <c r="G3730" s="8" t="str">
        <f>IFERROR(__xludf.DUMMYFUNCTION("GOOGLETRANSLATE(E3730,""zh-CN"",""vi"")"),"Điều này chứng tỏ truyền thuyết về Chín Chiếc Vạc thực sự tồn tại. Cây Thần Đồng có thể được tổng hợp từ chúng.")</f>
        <v>Điều này chứng tỏ truyền thuyết về Chín Chiếc Vạc thực sự tồn tại. Cây Thần Đồng có thể được tổng hợp từ chúng.</v>
      </c>
      <c r="H3730" s="8"/>
      <c r="I3730" s="8"/>
      <c r="J3730" s="8"/>
    </row>
    <row r="3731" ht="21.0" customHeight="1">
      <c r="A3731" s="6">
        <v>1.0</v>
      </c>
      <c r="B3731" s="6">
        <v>276.0</v>
      </c>
      <c r="C3731" s="6">
        <v>13.0</v>
      </c>
      <c r="D3731" s="15" t="s">
        <v>6232</v>
      </c>
      <c r="E3731" s="9" t="s">
        <v>6233</v>
      </c>
      <c r="F3731" s="8" t="str">
        <f>IFERROR(__xludf.DUMMYFUNCTION("GOOGLETRANSLATE(D3731,""zh-CN"",""vi"")"),"Cây đồng")</f>
        <v>Cây đồng</v>
      </c>
      <c r="G3731" s="8" t="str">
        <f>IFERROR(__xludf.DUMMYFUNCTION("GOOGLETRANSLATE(E3731,""zh-CN"",""vi"")"),"Điều này mang đến cái nhìn thoáng qua về thế giới của người Sanxingdui. (Cấp độ cao nhất đã được tổng hợp.)")</f>
        <v>Điều này mang đến cái nhìn thoáng qua về thế giới của người Sanxingdui. (Cấp độ cao nhất đã được tổng hợp.)</v>
      </c>
      <c r="H3731" s="8"/>
      <c r="I3731" s="8"/>
      <c r="J3731" s="8"/>
    </row>
    <row r="3732" ht="21.0" customHeight="1">
      <c r="A3732" s="6">
        <v>1.0</v>
      </c>
      <c r="B3732" s="6">
        <v>277.0</v>
      </c>
      <c r="C3732" s="6">
        <v>1.0</v>
      </c>
      <c r="D3732" s="15" t="s">
        <v>6234</v>
      </c>
      <c r="E3732" s="9" t="s">
        <v>6235</v>
      </c>
      <c r="F3732" s="8" t="str">
        <f>IFERROR(__xludf.DUMMYFUNCTION("GOOGLETRANSLATE(D3732,""zh-CN"",""vi"")"),"những người trẻ tuổi có tính cách ôn hòa")</f>
        <v>những người trẻ tuổi có tính cách ôn hòa</v>
      </c>
      <c r="G3732" s="8" t="str">
        <f>IFERROR(__xludf.DUMMYFUNCTION("GOOGLETRANSLATE(E3732,""zh-CN"",""vi"")"),"Ông ta là chiến lược gia của Tam Giác Sắt. Ông ta đã tổng hợp và thu được một dòng máu hậu duệ bí ẩn.")</f>
        <v>Ông ta là chiến lược gia của Tam Giác Sắt. Ông ta đã tổng hợp và thu được một dòng máu hậu duệ bí ẩn.</v>
      </c>
      <c r="H3732" s="8"/>
      <c r="I3732" s="8"/>
      <c r="J3732" s="8"/>
    </row>
    <row r="3733" ht="21.0" customHeight="1">
      <c r="A3733" s="6">
        <v>1.0</v>
      </c>
      <c r="B3733" s="6">
        <v>277.0</v>
      </c>
      <c r="C3733" s="6">
        <v>2.0</v>
      </c>
      <c r="D3733" s="15" t="s">
        <v>6236</v>
      </c>
      <c r="E3733" s="9" t="s">
        <v>6237</v>
      </c>
      <c r="F3733" s="8" t="str">
        <f>IFERROR(__xludf.DUMMYFUNCTION("GOOGLETRANSLATE(D3733,""zh-CN"",""vi"")"),"Hậu duệ dòng máu bí ẩn")</f>
        <v>Hậu duệ dòng máu bí ẩn</v>
      </c>
      <c r="G3733" s="8" t="str">
        <f>IFERROR(__xludf.DUMMYFUNCTION("GOOGLETRANSLATE(E3733,""zh-CN"",""vi"")"),"Đẹp trai là điều quan trọng nhất~ Hãy kết hợp để có được một anh chàng mũm mĩm nhưng vừa mạnh mẽ vừa tỉ mỉ.")</f>
        <v>Đẹp trai là điều quan trọng nhất~ Hãy kết hợp để có được một anh chàng mũm mĩm nhưng vừa mạnh mẽ vừa tỉ mỉ.</v>
      </c>
      <c r="H3733" s="8"/>
      <c r="I3733" s="8"/>
      <c r="J3733" s="8"/>
    </row>
    <row r="3734" ht="21.0" customHeight="1">
      <c r="A3734" s="6">
        <v>1.0</v>
      </c>
      <c r="B3734" s="6">
        <v>277.0</v>
      </c>
      <c r="C3734" s="6">
        <v>3.0</v>
      </c>
      <c r="D3734" s="15" t="s">
        <v>6238</v>
      </c>
      <c r="E3734" s="9" t="s">
        <v>6239</v>
      </c>
      <c r="F3734" s="8" t="str">
        <f>IFERROR(__xludf.DUMMYFUNCTION("GOOGLETRANSLATE(D3734,""zh-CN"",""vi"")"),"Một người đàn ông béo phì, có vẻ ngoài thô ráp nhưng lại rất tỉ mỉ.")</f>
        <v>Một người đàn ông béo phì, có vẻ ngoài thô ráp nhưng lại rất tỉ mỉ.</v>
      </c>
      <c r="G3734" s="8" t="str">
        <f>IFERROR(__xludf.DUMMYFUNCTION("GOOGLETRANSLATE(E3734,""zh-CN"",""vi"")"),"Vui tính và tham lam, bề ngoài có vẻ thô lỗ nhưng thực chất lại rất khôn ngoan. (Tay nghề tạo ra bánh bao)")</f>
        <v>Vui tính và tham lam, bề ngoài có vẻ thô lỗ nhưng thực chất lại rất khôn ngoan. (Tay nghề tạo ra bánh bao)</v>
      </c>
      <c r="H3734" s="8"/>
      <c r="I3734" s="8"/>
      <c r="J3734" s="8"/>
    </row>
    <row r="3735" ht="21.0" customHeight="1">
      <c r="A3735" s="6">
        <v>1.0</v>
      </c>
      <c r="B3735" s="6">
        <v>277.0</v>
      </c>
      <c r="C3735" s="6">
        <v>4.0</v>
      </c>
      <c r="D3735" s="15" t="s">
        <v>6240</v>
      </c>
      <c r="E3735" s="9" t="s">
        <v>6241</v>
      </c>
      <c r="F3735" s="8" t="str">
        <f>IFERROR(__xludf.DUMMYFUNCTION("GOOGLETRANSLATE(D3735,""zh-CN"",""vi"")"),"Zongzi")</f>
        <v>Zongzi</v>
      </c>
      <c r="G3735" s="8" t="str">
        <f>IFERROR(__xludf.DUMMYFUNCTION("GOOGLETRANSLATE(E3735,""zh-CN"",""vi"")"),"Điều mà các nhà khảo cổ học lo sợ nhất là tìm thấy bánh zongzi (bánh nếp), loại bánh có thể được tổng hợp để có được lớp vỏ màu vàng.")</f>
        <v>Điều mà các nhà khảo cổ học lo sợ nhất là tìm thấy bánh zongzi (bánh nếp), loại bánh có thể được tổng hợp để có được lớp vỏ màu vàng.</v>
      </c>
      <c r="H3735" s="8"/>
      <c r="I3735" s="8"/>
      <c r="J3735" s="8"/>
    </row>
    <row r="3736" ht="21.0" customHeight="1">
      <c r="A3736" s="6">
        <v>1.0</v>
      </c>
      <c r="B3736" s="6">
        <v>277.0</v>
      </c>
      <c r="C3736" s="6">
        <v>5.0</v>
      </c>
      <c r="D3736" s="15" t="s">
        <v>6242</v>
      </c>
      <c r="E3736" s="9" t="s">
        <v>6243</v>
      </c>
      <c r="F3736" s="8" t="str">
        <f>IFERROR(__xludf.DUMMYFUNCTION("GOOGLETRANSLATE(D3736,""zh-CN"",""vi"")"),"chồn vàng")</f>
        <v>chồn vàng</v>
      </c>
      <c r="G3736" s="8" t="str">
        <f>IFERROR(__xludf.DUMMYFUNCTION("GOOGLETRANSLATE(E3736,""zh-CN"",""vi"")"),"""Trông ta như thế nào trong mắt ngươi?"" (Một linh hồn cáo được tạo ra thông qua quá trình tổng hợp)")</f>
        <v>"Trông ta như thế nào trong mắt ngươi?" (Một linh hồn cáo được tạo ra thông qua quá trình tổng hợp)</v>
      </c>
      <c r="H3736" s="8"/>
      <c r="I3736" s="8"/>
      <c r="J3736" s="8"/>
    </row>
    <row r="3737" ht="21.0" customHeight="1">
      <c r="A3737" s="6">
        <v>1.0</v>
      </c>
      <c r="B3737" s="6">
        <v>277.0</v>
      </c>
      <c r="C3737" s="6">
        <v>6.0</v>
      </c>
      <c r="D3737" s="15" t="s">
        <v>6244</v>
      </c>
      <c r="E3737" s="9" t="s">
        <v>6245</v>
      </c>
      <c r="F3737" s="8" t="str">
        <f>IFERROR(__xludf.DUMMYFUNCTION("GOOGLETRANSLATE(D3737,""zh-CN"",""vi"")"),"linh hồn cáo")</f>
        <v>linh hồn cáo</v>
      </c>
      <c r="G3737" s="8" t="str">
        <f>IFERROR(__xludf.DUMMYFUNCTION("GOOGLETRANSLATE(E3737,""zh-CN"",""vi"")"),"Vô số câu chuyện lãng mạn đã được kể về điều này từ thời cổ đại~ Tổng hợp để có được yêu quái rắn.")</f>
        <v>Vô số câu chuyện lãng mạn đã được kể về điều này từ thời cổ đại~ Tổng hợp để có được yêu quái rắn.</v>
      </c>
      <c r="H3737" s="8"/>
      <c r="I3737" s="8"/>
      <c r="J3737" s="8"/>
    </row>
    <row r="3738" ht="21.0" customHeight="1">
      <c r="A3738" s="6">
        <v>1.0</v>
      </c>
      <c r="B3738" s="6">
        <v>277.0</v>
      </c>
      <c r="C3738" s="6">
        <v>7.0</v>
      </c>
      <c r="D3738" s="15" t="s">
        <v>6246</v>
      </c>
      <c r="E3738" s="9" t="s">
        <v>6247</v>
      </c>
      <c r="F3738" s="8" t="str">
        <f>IFERROR(__xludf.DUMMYFUNCTION("GOOGLETRANSLATE(D3738,""zh-CN"",""vi"")"),"quỷ rắn")</f>
        <v>quỷ rắn</v>
      </c>
      <c r="G3738" s="8" t="str">
        <f>IFERROR(__xludf.DUMMYFUNCTION("GOOGLETRANSLATE(E3738,""zh-CN"",""vi"")"),"Cô ta xuất thân từ gia tộc họ Lưu, không phải người dễ đối phó đâu nhé! (Được tổng hợp để có được ""Nỗi khát khao quê hương"")")</f>
        <v>Cô ta xuất thân từ gia tộc họ Lưu, không phải người dễ đối phó đâu nhé! (Được tổng hợp để có được "Nỗi khát khao quê hương")</v>
      </c>
      <c r="H3738" s="8"/>
      <c r="I3738" s="8"/>
      <c r="J3738" s="8"/>
    </row>
    <row r="3739" ht="21.0" customHeight="1">
      <c r="A3739" s="6">
        <v>1.0</v>
      </c>
      <c r="B3739" s="6">
        <v>277.0</v>
      </c>
      <c r="C3739" s="6">
        <v>8.0</v>
      </c>
      <c r="D3739" s="15" t="s">
        <v>6248</v>
      </c>
      <c r="E3739" s="9" t="s">
        <v>6249</v>
      </c>
      <c r="F3739" s="8" t="str">
        <f>IFERROR(__xludf.DUMMYFUNCTION("GOOGLETRANSLATE(D3739,""zh-CN"",""vi"")"),"Những người khao khát trở về nhà")</f>
        <v>Những người khao khát trở về nhà</v>
      </c>
      <c r="G3739" s="8" t="str">
        <f>IFERROR(__xludf.DUMMYFUNCTION("GOOGLETRANSLATE(E3739,""zh-CN"",""vi"")"),"""Chồng tôi... chồng tôi..."" bà khóc suốt ngày đêm. (Tổng hợp để tạo thành một pháp sư)")</f>
        <v>"Chồng tôi... chồng tôi..." bà khóc suốt ngày đêm. (Tổng hợp để tạo thành một pháp sư)</v>
      </c>
      <c r="H3739" s="8"/>
      <c r="I3739" s="8"/>
      <c r="J3739" s="8"/>
    </row>
    <row r="3740" ht="21.0" customHeight="1">
      <c r="A3740" s="6">
        <v>1.0</v>
      </c>
      <c r="B3740" s="6">
        <v>277.0</v>
      </c>
      <c r="C3740" s="6">
        <v>9.0</v>
      </c>
      <c r="D3740" s="15" t="s">
        <v>6250</v>
      </c>
      <c r="E3740" s="9" t="s">
        <v>6251</v>
      </c>
      <c r="F3740" s="8" t="str">
        <f>IFERROR(__xludf.DUMMYFUNCTION("GOOGLETRANSLATE(D3740,""zh-CN"",""vi"")"),"Thầy pháp")</f>
        <v>Thầy pháp</v>
      </c>
      <c r="G3740" s="8" t="str">
        <f>IFERROR(__xludf.DUMMYFUNCTION("GOOGLETRANSLATE(E3740,""zh-CN"",""vi"")"),"Đánh thức sức mạnh của linh thú thông qua vũ điệu. Hợp nhất để có được Thánh Nữ Miao.")</f>
        <v>Đánh thức sức mạnh của linh thú thông qua vũ điệu. Hợp nhất để có được Thánh Nữ Miao.</v>
      </c>
      <c r="H3740" s="8"/>
      <c r="I3740" s="8"/>
      <c r="J3740" s="8"/>
    </row>
    <row r="3741" ht="21.0" customHeight="1">
      <c r="A3741" s="6">
        <v>1.0</v>
      </c>
      <c r="B3741" s="6">
        <v>277.0</v>
      </c>
      <c r="C3741" s="6">
        <v>10.0</v>
      </c>
      <c r="D3741" s="15" t="s">
        <v>6252</v>
      </c>
      <c r="E3741" s="9" t="s">
        <v>6253</v>
      </c>
      <c r="F3741" s="8" t="str">
        <f>IFERROR(__xludf.DUMMYFUNCTION("GOOGLETRANSLATE(D3741,""zh-CN"",""vi"")"),"Thánh nữ Miao")</f>
        <v>Thánh nữ Miao</v>
      </c>
      <c r="G3741" s="8" t="str">
        <f>IFERROR(__xludf.DUMMYFUNCTION("GOOGLETRANSLATE(E3741,""zh-CN"",""vi"")"),"Kẻ phản bội sẽ bị xuyên thủng bởi bùa yêu! (Tổng hợp để có được Lão tu sĩ Đạo giáo)")</f>
        <v>Kẻ phản bội sẽ bị xuyên thủng bởi bùa yêu! (Tổng hợp để có được Lão tu sĩ Đạo giáo)</v>
      </c>
      <c r="H3741" s="8"/>
      <c r="I3741" s="8"/>
      <c r="J3741" s="8"/>
    </row>
    <row r="3742" ht="21.0" customHeight="1">
      <c r="A3742" s="6">
        <v>1.0</v>
      </c>
      <c r="B3742" s="6">
        <v>277.0</v>
      </c>
      <c r="C3742" s="6">
        <v>11.0</v>
      </c>
      <c r="D3742" s="15" t="s">
        <v>6254</v>
      </c>
      <c r="E3742" s="9" t="s">
        <v>6255</v>
      </c>
      <c r="F3742" s="8" t="str">
        <f>IFERROR(__xludf.DUMMYFUNCTION("GOOGLETRANSLATE(D3742,""zh-CN"",""vi"")"),"Vị sư già theo Đạo giáo")</f>
        <v>Vị sư già theo Đạo giáo</v>
      </c>
      <c r="G3742" s="8" t="str">
        <f>IFERROR(__xludf.DUMMYFUNCTION("GOOGLETRANSLATE(E3742,""zh-CN"",""vi"")"),"Để duy trì sự cân bằng và công lý trong thế giới loài người. Tổng hợp để có được thú hộ vệ Pixiu.")</f>
        <v>Để duy trì sự cân bằng và công lý trong thế giới loài người. Tổng hợp để có được thú hộ vệ Pixiu.</v>
      </c>
      <c r="H3742" s="8"/>
      <c r="I3742" s="8"/>
      <c r="J3742" s="8"/>
    </row>
    <row r="3743" ht="21.0" customHeight="1">
      <c r="A3743" s="6">
        <v>1.0</v>
      </c>
      <c r="B3743" s="6">
        <v>277.0</v>
      </c>
      <c r="C3743" s="6">
        <v>12.0</v>
      </c>
      <c r="D3743" s="15" t="s">
        <v>6256</v>
      </c>
      <c r="E3743" s="9" t="s">
        <v>6257</v>
      </c>
      <c r="F3743" s="8" t="str">
        <f>IFERROR(__xludf.DUMMYFUNCTION("GOOGLETRANSLATE(D3743,""zh-CN"",""vi"")"),"Pixiu, thú hộ vệ")</f>
        <v>Pixiu, thú hộ vệ</v>
      </c>
      <c r="G3743" s="8" t="str">
        <f>IFERROR(__xludf.DUMMYFUNCTION("GOOGLETRANSLATE(E3743,""zh-CN"",""vi"")"),"Lăng mộ của nhà vua tuyệt đối không được xâm phạm bởi bất cứ ai! Tổng hợp để có được linh thú hộ vệ Taotie.")</f>
        <v>Lăng mộ của nhà vua tuyệt đối không được xâm phạm bởi bất cứ ai! Tổng hợp để có được linh thú hộ vệ Taotie.</v>
      </c>
      <c r="H3743" s="8"/>
      <c r="I3743" s="8"/>
      <c r="J3743" s="8"/>
    </row>
    <row r="3744" ht="21.0" customHeight="1">
      <c r="A3744" s="6">
        <v>1.0</v>
      </c>
      <c r="B3744" s="6">
        <v>277.0</v>
      </c>
      <c r="C3744" s="6">
        <v>13.0</v>
      </c>
      <c r="D3744" s="15" t="s">
        <v>6258</v>
      </c>
      <c r="E3744" s="9" t="s">
        <v>6259</v>
      </c>
      <c r="F3744" s="8" t="str">
        <f>IFERROR(__xludf.DUMMYFUNCTION("GOOGLETRANSLATE(D3744,""zh-CN"",""vi"")"),"Thần thú Taotie")</f>
        <v>Thần thú Taotie</v>
      </c>
      <c r="G3744" s="8" t="str">
        <f>IFERROR(__xludf.DUMMYFUNCTION("GOOGLETRANSLATE(E3744,""zh-CN"",""vi"")"),"Tận tâm thực hiện sứ mệnh bảo vệ và trấn áp cái ác. Đã được tổng hợp đến cấp độ cao nhất.")</f>
        <v>Tận tâm thực hiện sứ mệnh bảo vệ và trấn áp cái ác. Đã được tổng hợp đến cấp độ cao nhất.</v>
      </c>
      <c r="H3744" s="8"/>
      <c r="I3744" s="8"/>
      <c r="J3744" s="8"/>
    </row>
    <row r="3745" ht="21.0" customHeight="1">
      <c r="A3745" s="6">
        <v>11.0</v>
      </c>
      <c r="B3745" s="6">
        <v>1088.0</v>
      </c>
      <c r="C3745" s="6">
        <v>1.0</v>
      </c>
      <c r="D3745" s="81" t="s">
        <v>6260</v>
      </c>
      <c r="E3745" s="9" t="s">
        <v>6261</v>
      </c>
      <c r="F3745" s="8" t="str">
        <f>IFERROR(__xludf.DUMMYFUNCTION("GOOGLETRANSLATE(D3745,""zh-CN"",""vi"")"),"ghế nhựa")</f>
        <v>ghế nhựa</v>
      </c>
      <c r="G3745" s="8" t="str">
        <f>IFERROR(__xludf.DUMMYFUNCTION("GOOGLETRANSLATE(E3745,""zh-CN"",""vi"")"),"Một chiếc ghế đẩu đơn giản; bạn sẽ không cảm thấy tiếc nếu làm mất nó. Hãy chế tạo nó để có được một chiếc ghế đẩu gấp gọn.")</f>
        <v>Một chiếc ghế đẩu đơn giản; bạn sẽ không cảm thấy tiếc nếu làm mất nó. Hãy chế tạo nó để có được một chiếc ghế đẩu gấp gọn.</v>
      </c>
      <c r="H3745" s="8"/>
      <c r="I3745" s="8"/>
      <c r="J3745" s="8"/>
    </row>
    <row r="3746" ht="21.0" customHeight="1">
      <c r="A3746" s="6">
        <v>11.0</v>
      </c>
      <c r="B3746" s="6">
        <v>1088.0</v>
      </c>
      <c r="C3746" s="6">
        <v>2.0</v>
      </c>
      <c r="D3746" s="81" t="s">
        <v>6262</v>
      </c>
      <c r="E3746" s="9" t="s">
        <v>6263</v>
      </c>
      <c r="F3746" s="8" t="str">
        <f>IFERROR(__xludf.DUMMYFUNCTION("GOOGLETRANSLATE(D3746,""zh-CN"",""vi"")"),"Ghế gấp")</f>
        <v>Ghế gấp</v>
      </c>
      <c r="G3746" s="8" t="str">
        <f>IFERROR(__xludf.DUMMYFUNCTION("GOOGLETRANSLATE(E3746,""zh-CN"",""vi"")"),"Nó có thể được gấp lại để tiết kiệm không gian. Hãy khéo léo sử dụng nó để tạo thành một chiếc đệm.")</f>
        <v>Nó có thể được gấp lại để tiết kiệm không gian. Hãy khéo léo sử dụng nó để tạo thành một chiếc đệm.</v>
      </c>
      <c r="H3746" s="8"/>
      <c r="I3746" s="8"/>
      <c r="J3746" s="8"/>
    </row>
    <row r="3747" ht="21.0" customHeight="1">
      <c r="A3747" s="6">
        <v>11.0</v>
      </c>
      <c r="B3747" s="6">
        <v>1088.0</v>
      </c>
      <c r="C3747" s="6">
        <v>3.0</v>
      </c>
      <c r="D3747" s="81" t="s">
        <v>6264</v>
      </c>
      <c r="E3747" s="9" t="s">
        <v>6265</v>
      </c>
      <c r="F3747" s="8" t="str">
        <f>IFERROR(__xludf.DUMMYFUNCTION("GOOGLETRANSLATE(D3747,""zh-CN"",""vi"")"),"cái đệm")</f>
        <v>cái đệm</v>
      </c>
      <c r="G3747" s="8" t="str">
        <f>IFERROR(__xludf.DUMMYFUNCTION("GOOGLETRANSLATE(E3747,""zh-CN"",""vi"")"),"Một chiếc gối đặc trưng với thiết kế đẹp mắt ở trung tâm. Tự tay chế tác để có được một chiếc gối cao cấp.")</f>
        <v>Một chiếc gối đặc trưng với thiết kế đẹp mắt ở trung tâm. Tự tay chế tác để có được một chiếc gối cao cấp.</v>
      </c>
      <c r="H3747" s="8"/>
      <c r="I3747" s="8"/>
      <c r="J3747" s="8"/>
    </row>
    <row r="3748" ht="21.0" customHeight="1">
      <c r="A3748" s="6">
        <v>11.0</v>
      </c>
      <c r="B3748" s="6">
        <v>1088.0</v>
      </c>
      <c r="C3748" s="6">
        <v>4.0</v>
      </c>
      <c r="D3748" s="80" t="s">
        <v>6266</v>
      </c>
      <c r="E3748" s="9" t="s">
        <v>6267</v>
      </c>
      <c r="F3748" s="8" t="str">
        <f>IFERROR(__xludf.DUMMYFUNCTION("GOOGLETRANSLATE(D3748,""zh-CN"",""vi"")"),"đệm ngồi cao cấp")</f>
        <v>đệm ngồi cao cấp</v>
      </c>
      <c r="G3748" s="8" t="str">
        <f>IFERROR(__xludf.DUMMYFUNCTION("GOOGLETRANSLATE(E3748,""zh-CN"",""vi"")"),"Một chỗ tựa lưng thoải mái. Có thể chế tạo một bệ đỡ bằng gỗ tự nhiên từ vật liệu này.")</f>
        <v>Một chỗ tựa lưng thoải mái. Có thể chế tạo một bệ đỡ bằng gỗ tự nhiên từ vật liệu này.</v>
      </c>
      <c r="H3748" s="8"/>
      <c r="I3748" s="8"/>
      <c r="J3748" s="8"/>
    </row>
    <row r="3749" ht="21.0" customHeight="1">
      <c r="A3749" s="6">
        <v>10.0</v>
      </c>
      <c r="B3749" s="6">
        <v>1088.0</v>
      </c>
      <c r="C3749" s="6">
        <v>5.0</v>
      </c>
      <c r="D3749" s="80" t="s">
        <v>6268</v>
      </c>
      <c r="E3749" s="9" t="s">
        <v>6269</v>
      </c>
      <c r="F3749" s="8" t="str">
        <f>IFERROR(__xludf.DUMMYFUNCTION("GOOGLETRANSLATE(D3749,""zh-CN"",""vi"")"),"bàn gỗ tự nhiên")</f>
        <v>bàn gỗ tự nhiên</v>
      </c>
      <c r="G3749" s="8" t="str">
        <f>IFERROR(__xludf.DUMMYFUNCTION("GOOGLETRANSLATE(E3749,""zh-CN"",""vi"")"),"Đứng cao hơn người khác một chút. Chế tạo một bệ gỗ hình vuông.")</f>
        <v>Đứng cao hơn người khác một chút. Chế tạo một bệ gỗ hình vuông.</v>
      </c>
      <c r="H3749" s="8"/>
      <c r="I3749" s="8"/>
      <c r="J3749" s="8"/>
    </row>
    <row r="3750" ht="21.0" customHeight="1">
      <c r="A3750" s="6">
        <v>10.0</v>
      </c>
      <c r="B3750" s="6">
        <v>1088.0</v>
      </c>
      <c r="C3750" s="6">
        <v>6.0</v>
      </c>
      <c r="D3750" s="80" t="s">
        <v>6270</v>
      </c>
      <c r="E3750" s="9" t="s">
        <v>6271</v>
      </c>
      <c r="F3750" s="8" t="str">
        <f>IFERROR(__xludf.DUMMYFUNCTION("GOOGLETRANSLATE(D3750,""zh-CN"",""vi"")"),"Bệ gỗ hình vuông")</f>
        <v>Bệ gỗ hình vuông</v>
      </c>
      <c r="G3750" s="8" t="str">
        <f>IFERROR(__xludf.DUMMYFUNCTION("GOOGLETRANSLATE(E3750,""zh-CN"",""vi"")"),"Một vị trí quan sát được chỉ định đặc biệt sẽ cho tầm nhìn tốt hơn. Hãy chế tạo nó để có được một bệ gỗ hình tròn.")</f>
        <v>Một vị trí quan sát được chỉ định đặc biệt sẽ cho tầm nhìn tốt hơn. Hãy chế tạo nó để có được một bệ gỗ hình tròn.</v>
      </c>
      <c r="H3750" s="8"/>
      <c r="I3750" s="8"/>
      <c r="J3750" s="8"/>
    </row>
    <row r="3751" ht="21.0" customHeight="1">
      <c r="A3751" s="6">
        <v>10.0</v>
      </c>
      <c r="B3751" s="6">
        <v>1088.0</v>
      </c>
      <c r="C3751" s="6">
        <v>7.0</v>
      </c>
      <c r="D3751" s="80" t="s">
        <v>6272</v>
      </c>
      <c r="E3751" s="9" t="s">
        <v>6273</v>
      </c>
      <c r="F3751" s="8" t="str">
        <f>IFERROR(__xludf.DUMMYFUNCTION("GOOGLETRANSLATE(D3751,""zh-CN"",""vi"")"),"bệ gỗ tròn")</f>
        <v>bệ gỗ tròn</v>
      </c>
      <c r="G3751" s="8" t="str">
        <f>IFERROR(__xludf.DUMMYFUNCTION("GOOGLETRANSLATE(E3751,""zh-CN"",""vi"")"),"Bạn có thể ngồi trên chiếc đệm; nó cực kỳ thoải mái. Hãy chế tạo nó để có được một bệ gỗ chống thấm nước.")</f>
        <v>Bạn có thể ngồi trên chiếc đệm; nó cực kỳ thoải mái. Hãy chế tạo nó để có được một bệ gỗ chống thấm nước.</v>
      </c>
      <c r="H3751" s="8"/>
      <c r="I3751" s="8"/>
      <c r="J3751" s="8"/>
    </row>
    <row r="3752" ht="21.0" customHeight="1">
      <c r="A3752" s="6">
        <v>10.0</v>
      </c>
      <c r="B3752" s="6">
        <v>1088.0</v>
      </c>
      <c r="C3752" s="6">
        <v>8.0</v>
      </c>
      <c r="D3752" s="80" t="s">
        <v>6274</v>
      </c>
      <c r="E3752" s="9" t="s">
        <v>6275</v>
      </c>
      <c r="F3752" s="8" t="str">
        <f>IFERROR(__xludf.DUMMYFUNCTION("GOOGLETRANSLATE(D3752,""zh-CN"",""vi"")"),"Nền tảng của hội đồng quản lý nước")</f>
        <v>Nền tảng của hội đồng quản lý nước</v>
      </c>
      <c r="G3752" s="8" t="str">
        <f>IFERROR(__xludf.DUMMYFUNCTION("GOOGLETRANSLATE(E3752,""zh-CN"",""vi"")"),"Môi trường ven sông yên tĩnh rất dễ chịu. Hãy chế tạo một bệ nổi trên mặt nước.")</f>
        <v>Môi trường ven sông yên tĩnh rất dễ chịu. Hãy chế tạo một bệ nổi trên mặt nước.</v>
      </c>
      <c r="H3752" s="8"/>
      <c r="I3752" s="8"/>
      <c r="J3752" s="8"/>
    </row>
    <row r="3753" ht="21.0" customHeight="1">
      <c r="A3753" s="6">
        <v>10.0</v>
      </c>
      <c r="B3753" s="6">
        <v>1088.0</v>
      </c>
      <c r="C3753" s="6">
        <v>9.0</v>
      </c>
      <c r="D3753" s="80" t="s">
        <v>6276</v>
      </c>
      <c r="E3753" s="9" t="s">
        <v>6277</v>
      </c>
      <c r="F3753" s="8" t="str">
        <f>IFERROR(__xludf.DUMMYFUNCTION("GOOGLETRANSLATE(D3753,""zh-CN"",""vi"")"),"Nền tảng thảm nước")</f>
        <v>Nền tảng thảm nước</v>
      </c>
      <c r="G3753" s="8" t="str">
        <f>IFERROR(__xludf.DUMMYFUNCTION("GOOGLETRANSLATE(E3753,""zh-CN"",""vi"")"),"Nội thất sang trọng, mang đến trải nghiệm xa hoa tột bậc, như một phòng riêng. Tổng hợp để có được Nền tảng Tình yêu Nước.")</f>
        <v>Nội thất sang trọng, mang đến trải nghiệm xa hoa tột bậc, như một phòng riêng. Tổng hợp để có được Nền tảng Tình yêu Nước.</v>
      </c>
      <c r="H3753" s="8"/>
      <c r="I3753" s="8"/>
      <c r="J3753" s="8"/>
    </row>
    <row r="3754" ht="21.0" customHeight="1">
      <c r="A3754" s="6">
        <v>10.0</v>
      </c>
      <c r="B3754" s="6">
        <v>1088.0</v>
      </c>
      <c r="C3754" s="6">
        <v>10.0</v>
      </c>
      <c r="D3754" s="80" t="s">
        <v>6278</v>
      </c>
      <c r="E3754" s="9" t="s">
        <v>6279</v>
      </c>
      <c r="F3754" s="8" t="str">
        <f>IFERROR(__xludf.DUMMYFUNCTION("GOOGLETRANSLATE(D3754,""zh-CN"",""vi"")"),"Sân thượng lãng mạn trên mặt nước")</f>
        <v>Sân thượng lãng mạn trên mặt nước</v>
      </c>
      <c r="G3754" s="8" t="str">
        <f>IFERROR(__xludf.DUMMYFUNCTION("GOOGLETRANSLATE(E3754,""zh-CN"",""vi"")"),"Những màn pháo hoa lãng mạn rực rỡ trên bầu trời, tạo nên một cảnh tượng ngoạn mục. (Đã ở độ cao cao nhất)")</f>
        <v>Những màn pháo hoa lãng mạn rực rỡ trên bầu trời, tạo nên một cảnh tượng ngoạn mục. (Đã ở độ cao cao nhất)</v>
      </c>
      <c r="H3754" s="8"/>
      <c r="I3754" s="8"/>
      <c r="J3754" s="8"/>
    </row>
    <row r="3755" ht="21.0" customHeight="1">
      <c r="A3755" s="6">
        <v>11.0</v>
      </c>
      <c r="B3755" s="6">
        <v>1089.0</v>
      </c>
      <c r="C3755" s="6">
        <v>1.0</v>
      </c>
      <c r="D3755" s="81" t="s">
        <v>6280</v>
      </c>
      <c r="E3755" s="9" t="s">
        <v>6281</v>
      </c>
      <c r="F3755" s="8" t="str">
        <f>IFERROR(__xludf.DUMMYFUNCTION("GOOGLETRANSLATE(D3755,""zh-CN"",""vi"")"),"Ghế nhựa [V]")</f>
        <v>Ghế nhựa [V]</v>
      </c>
      <c r="G3755" s="8" t="str">
        <f>IFERROR(__xludf.DUMMYFUNCTION("GOOGLETRANSLATE(E3755,""zh-CN"",""vi"")"),"Một chiếc ghế đẩu đơn giản; bạn sẽ không cảm thấy tiếc nếu làm mất nó. Hãy chế tạo nó để có được một chiếc ghế đẩu gấp [V].")</f>
        <v>Một chiếc ghế đẩu đơn giản; bạn sẽ không cảm thấy tiếc nếu làm mất nó. Hãy chế tạo nó để có được một chiếc ghế đẩu gấp [V].</v>
      </c>
      <c r="H3755" s="8"/>
      <c r="I3755" s="8"/>
      <c r="J3755" s="8"/>
    </row>
    <row r="3756" ht="21.0" customHeight="1">
      <c r="A3756" s="6">
        <v>11.0</v>
      </c>
      <c r="B3756" s="6">
        <v>1089.0</v>
      </c>
      <c r="C3756" s="6">
        <v>2.0</v>
      </c>
      <c r="D3756" s="81" t="s">
        <v>6282</v>
      </c>
      <c r="E3756" s="9" t="s">
        <v>6283</v>
      </c>
      <c r="F3756" s="8" t="str">
        <f>IFERROR(__xludf.DUMMYFUNCTION("GOOGLETRANSLATE(D3756,""zh-CN"",""vi"")"),"Ghế gấp [V]")</f>
        <v>Ghế gấp [V]</v>
      </c>
      <c r="G3756" s="8" t="str">
        <f>IFERROR(__xludf.DUMMYFUNCTION("GOOGLETRANSLATE(E3756,""zh-CN"",""vi"")"),"Nó có thể được gấp lại để tiết kiệm không gian. Chế tạo nó để có được một chiếc đệm [V].")</f>
        <v>Nó có thể được gấp lại để tiết kiệm không gian. Chế tạo nó để có được một chiếc đệm [V].</v>
      </c>
      <c r="H3756" s="8"/>
      <c r="I3756" s="8"/>
      <c r="J3756" s="8"/>
    </row>
    <row r="3757" ht="21.0" customHeight="1">
      <c r="A3757" s="6">
        <v>11.0</v>
      </c>
      <c r="B3757" s="6">
        <v>1089.0</v>
      </c>
      <c r="C3757" s="6">
        <v>3.0</v>
      </c>
      <c r="D3757" s="81" t="s">
        <v>6284</v>
      </c>
      <c r="E3757" s="9" t="s">
        <v>6285</v>
      </c>
      <c r="F3757" s="8" t="str">
        <f>IFERROR(__xludf.DUMMYFUNCTION("GOOGLETRANSLATE(D3757,""zh-CN"",""vi"")"),"Đệm ghế [V]")</f>
        <v>Đệm ghế [V]</v>
      </c>
      <c r="G3757" s="8" t="str">
        <f>IFERROR(__xludf.DUMMYFUNCTION("GOOGLETRANSLATE(E3757,""zh-CN"",""vi"")"),"Một chiếc gối đặc trưng với thiết kế đẹp mắt ở trung tâm. Hãy chế tác nó để có được một chiếc gối cao cấp [V].")</f>
        <v>Một chiếc gối đặc trưng với thiết kế đẹp mắt ở trung tâm. Hãy chế tác nó để có được một chiếc gối cao cấp [V].</v>
      </c>
      <c r="H3757" s="8"/>
      <c r="I3757" s="8"/>
      <c r="J3757" s="8"/>
    </row>
    <row r="3758" ht="21.0" customHeight="1">
      <c r="A3758" s="6">
        <v>11.0</v>
      </c>
      <c r="B3758" s="6">
        <v>1089.0</v>
      </c>
      <c r="C3758" s="6">
        <v>4.0</v>
      </c>
      <c r="D3758" s="80" t="s">
        <v>6286</v>
      </c>
      <c r="E3758" s="9" t="s">
        <v>6287</v>
      </c>
      <c r="F3758" s="8" t="str">
        <f>IFERROR(__xludf.DUMMYFUNCTION("GOOGLETRANSLATE(D3758,""zh-CN"",""vi"")"),"Đệm ngồi cao cấp [V]")</f>
        <v>Đệm ngồi cao cấp [V]</v>
      </c>
      <c r="G3758" s="8" t="str">
        <f>IFERROR(__xludf.DUMMYFUNCTION("GOOGLETRANSLATE(E3758,""zh-CN"",""vi"")"),"Một nơi thoải mái để tựa vào. Chế tạo một bệ gỗ tự nhiên [V].")</f>
        <v>Một nơi thoải mái để tựa vào. Chế tạo một bệ gỗ tự nhiên [V].</v>
      </c>
      <c r="H3758" s="8"/>
      <c r="I3758" s="8"/>
      <c r="J3758" s="8"/>
    </row>
    <row r="3759" ht="21.0" customHeight="1">
      <c r="A3759" s="6">
        <v>10.0</v>
      </c>
      <c r="B3759" s="6">
        <v>1089.0</v>
      </c>
      <c r="C3759" s="6">
        <v>5.0</v>
      </c>
      <c r="D3759" s="80" t="s">
        <v>6288</v>
      </c>
      <c r="E3759" s="9" t="s">
        <v>6289</v>
      </c>
      <c r="F3759" s="8" t="str">
        <f>IFERROR(__xludf.DUMMYFUNCTION("GOOGLETRANSLATE(D3759,""zh-CN"",""vi"")"),"Nền tảng gỗ tự nhiên [V]")</f>
        <v>Nền tảng gỗ tự nhiên [V]</v>
      </c>
      <c r="G3759" s="8" t="str">
        <f>IFERROR(__xludf.DUMMYFUNCTION("GOOGLETRANSLATE(E3759,""zh-CN"",""vi"")"),"Đứng cao hơn một chút so với những người khác. Chế tạo một bệ gỗ hình vuông [V].")</f>
        <v>Đứng cao hơn một chút so với những người khác. Chế tạo một bệ gỗ hình vuông [V].</v>
      </c>
      <c r="H3759" s="8"/>
      <c r="I3759" s="8"/>
      <c r="J3759" s="8"/>
    </row>
    <row r="3760" ht="21.0" customHeight="1">
      <c r="A3760" s="6">
        <v>10.0</v>
      </c>
      <c r="B3760" s="6">
        <v>1089.0</v>
      </c>
      <c r="C3760" s="6">
        <v>6.0</v>
      </c>
      <c r="D3760" s="80" t="s">
        <v>6290</v>
      </c>
      <c r="E3760" s="9" t="s">
        <v>6291</v>
      </c>
      <c r="F3760" s="8" t="str">
        <f>IFERROR(__xludf.DUMMYFUNCTION("GOOGLETRANSLATE(D3760,""zh-CN"",""vi"")"),"Bệ gỗ vuông [V]")</f>
        <v>Bệ gỗ vuông [V]</v>
      </c>
      <c r="G3760" s="8" t="str">
        <f>IFERROR(__xludf.DUMMYFUNCTION("GOOGLETRANSLATE(E3760,""zh-CN"",""vi"")"),"Một điểm quan sát được chỉ định đặc biệt mang lại tầm nhìn tốt hơn. Chế tạo một bệ gỗ hình tròn [V].")</f>
        <v>Một điểm quan sát được chỉ định đặc biệt mang lại tầm nhìn tốt hơn. Chế tạo một bệ gỗ hình tròn [V].</v>
      </c>
      <c r="H3760" s="8"/>
      <c r="I3760" s="8"/>
      <c r="J3760" s="8"/>
    </row>
    <row r="3761" ht="21.0" customHeight="1">
      <c r="A3761" s="6">
        <v>10.0</v>
      </c>
      <c r="B3761" s="6">
        <v>1089.0</v>
      </c>
      <c r="C3761" s="6">
        <v>7.0</v>
      </c>
      <c r="D3761" s="80" t="s">
        <v>6292</v>
      </c>
      <c r="E3761" s="9" t="s">
        <v>6293</v>
      </c>
      <c r="F3761" s="8" t="str">
        <f>IFERROR(__xludf.DUMMYFUNCTION("GOOGLETRANSLATE(D3761,""zh-CN"",""vi"")"),"Bệ gỗ tròn [V]")</f>
        <v>Bệ gỗ tròn [V]</v>
      </c>
      <c r="G3761" s="8" t="str">
        <f>IFERROR(__xludf.DUMMYFUNCTION("GOOGLETRANSLATE(E3761,""zh-CN"",""vi"")"),"Bạn có thể ngồi trên đệm; nó cực kỳ thoải mái. Chế tạo nó để có được Sàn ván nước [V].")</f>
        <v>Bạn có thể ngồi trên đệm; nó cực kỳ thoải mái. Chế tạo nó để có được Sàn ván nước [V].</v>
      </c>
      <c r="H3761" s="8"/>
      <c r="I3761" s="8"/>
      <c r="J3761" s="8"/>
    </row>
    <row r="3762" ht="21.0" customHeight="1">
      <c r="A3762" s="6">
        <v>10.0</v>
      </c>
      <c r="B3762" s="6">
        <v>1089.0</v>
      </c>
      <c r="C3762" s="6">
        <v>8.0</v>
      </c>
      <c r="D3762" s="80" t="s">
        <v>6294</v>
      </c>
      <c r="E3762" s="9" t="s">
        <v>6295</v>
      </c>
      <c r="F3762" s="8" t="str">
        <f>IFERROR(__xludf.DUMMYFUNCTION("GOOGLETRANSLATE(D3762,""zh-CN"",""vi"")"),"Sàn gỗ trên mặt nước [V]")</f>
        <v>Sàn gỗ trên mặt nước [V]</v>
      </c>
      <c r="G3762" s="8" t="str">
        <f>IFERROR(__xludf.DUMMYFUNCTION("GOOGLETRANSLATE(E3762,""zh-CN"",""vi"")"),"Môi trường ven sông yên tĩnh rất dễ chịu. Chế tạo một nền tảng chiếu nước [V].")</f>
        <v>Môi trường ven sông yên tĩnh rất dễ chịu. Chế tạo một nền tảng chiếu nước [V].</v>
      </c>
      <c r="H3762" s="8"/>
      <c r="I3762" s="8"/>
      <c r="J3762" s="8"/>
    </row>
    <row r="3763" ht="21.0" customHeight="1">
      <c r="A3763" s="6">
        <v>10.0</v>
      </c>
      <c r="B3763" s="6">
        <v>1089.0</v>
      </c>
      <c r="C3763" s="6">
        <v>9.0</v>
      </c>
      <c r="D3763" s="67" t="s">
        <v>6296</v>
      </c>
      <c r="E3763" s="9" t="s">
        <v>6297</v>
      </c>
      <c r="F3763" s="8" t="str">
        <f>IFERROR(__xludf.DUMMYFUNCTION("GOOGLETRANSLATE(D3763,""zh-CN"",""vi"")"),"Nền tảng chiếu nước [V]")</f>
        <v>Nền tảng chiếu nước [V]</v>
      </c>
      <c r="G3763" s="8" t="str">
        <f>IFERROR(__xludf.DUMMYFUNCTION("GOOGLETRANSLATE(E3763,""zh-CN"",""vi"")"),"Được trang trí sang trọng, mang đến trải nghiệm xa hoa tột bậc, như một phòng riêng. Tổng hợp để có được Nền tảng Tình yêu Nước [V].")</f>
        <v>Được trang trí sang trọng, mang đến trải nghiệm xa hoa tột bậc, như một phòng riêng. Tổng hợp để có được Nền tảng Tình yêu Nước [V].</v>
      </c>
      <c r="H3763" s="8"/>
      <c r="I3763" s="8"/>
      <c r="J3763" s="8"/>
    </row>
    <row r="3764" ht="21.0" customHeight="1">
      <c r="A3764" s="6">
        <v>10.0</v>
      </c>
      <c r="B3764" s="6">
        <v>1089.0</v>
      </c>
      <c r="C3764" s="6">
        <v>10.0</v>
      </c>
      <c r="D3764" s="67" t="s">
        <v>6298</v>
      </c>
      <c r="E3764" s="9" t="s">
        <v>6279</v>
      </c>
      <c r="F3764" s="8" t="str">
        <f>IFERROR(__xludf.DUMMYFUNCTION("GOOGLETRANSLATE(D3764,""zh-CN"",""vi"")"),"Sân thượng lãng mạn bên bờ sông [V]")</f>
        <v>Sân thượng lãng mạn bên bờ sông [V]</v>
      </c>
      <c r="G3764" s="8" t="str">
        <f>IFERROR(__xludf.DUMMYFUNCTION("GOOGLETRANSLATE(E3764,""zh-CN"",""vi"")"),"Những màn pháo hoa lãng mạn rực rỡ trên bầu trời, tạo nên một cảnh tượng ngoạn mục. (Đã ở độ cao cao nhất)")</f>
        <v>Những màn pháo hoa lãng mạn rực rỡ trên bầu trời, tạo nên một cảnh tượng ngoạn mục. (Đã ở độ cao cao nhất)</v>
      </c>
      <c r="H3764" s="8"/>
      <c r="I3764" s="8"/>
      <c r="J3764" s="8"/>
    </row>
    <row r="3765" ht="21.0" customHeight="1">
      <c r="A3765" s="6">
        <v>1.0</v>
      </c>
      <c r="B3765" s="6">
        <v>278.0</v>
      </c>
      <c r="C3765" s="6">
        <v>1.0</v>
      </c>
      <c r="D3765" s="81" t="s">
        <v>6299</v>
      </c>
      <c r="E3765" s="9" t="s">
        <v>6300</v>
      </c>
      <c r="F3765" s="8" t="str">
        <f>IFERROR(__xludf.DUMMYFUNCTION("GOOGLETRANSLATE(D3765,""zh-CN"",""vi"")"),"Bánh bao")</f>
        <v>Bánh bao</v>
      </c>
      <c r="G3765" s="8" t="str">
        <f>IFERROR(__xludf.DUMMYFUNCTION("GOOGLETRANSLATE(E3765,""zh-CN"",""vi"")"),"Một miếng, rồi hai miếng nữa, và chúng đã hết sạch! (Hướng dẫn cách làm kẹo dẻo)")</f>
        <v>Một miếng, rồi hai miếng nữa, và chúng đã hết sạch! (Hướng dẫn cách làm kẹo dẻo)</v>
      </c>
      <c r="H3765" s="8"/>
      <c r="I3765" s="8"/>
      <c r="J3765" s="8"/>
    </row>
    <row r="3766" ht="21.0" customHeight="1">
      <c r="A3766" s="6">
        <v>1.0</v>
      </c>
      <c r="B3766" s="6">
        <v>278.0</v>
      </c>
      <c r="C3766" s="6">
        <v>2.0</v>
      </c>
      <c r="D3766" s="81" t="s">
        <v>6301</v>
      </c>
      <c r="E3766" s="9" t="s">
        <v>6302</v>
      </c>
      <c r="F3766" s="8" t="str">
        <f>IFERROR(__xludf.DUMMYFUNCTION("GOOGLETRANSLATE(D3766,""zh-CN"",""vi"")"),"Kẹo dẻo")</f>
        <v>Kẹo dẻo</v>
      </c>
      <c r="G3766" s="8" t="str">
        <f>IFERROR(__xludf.DUMMYFUNCTION("GOOGLETRANSLATE(E3766,""zh-CN"",""vi"")"),"Hít một hơi thật sâu! Làm món đá bào thủ công.")</f>
        <v>Hít một hơi thật sâu! Làm món đá bào thủ công.</v>
      </c>
      <c r="H3766" s="8"/>
      <c r="I3766" s="8"/>
      <c r="J3766" s="8"/>
    </row>
    <row r="3767" ht="21.0" customHeight="1">
      <c r="A3767" s="6">
        <v>1.0</v>
      </c>
      <c r="B3767" s="6">
        <v>278.0</v>
      </c>
      <c r="C3767" s="6">
        <v>3.0</v>
      </c>
      <c r="D3767" s="81" t="s">
        <v>6303</v>
      </c>
      <c r="E3767" s="9" t="s">
        <v>6304</v>
      </c>
      <c r="F3767" s="8" t="str">
        <f>IFERROR(__xludf.DUMMYFUNCTION("GOOGLETRANSLATE(D3767,""zh-CN"",""vi"")"),"Đá bào")</f>
        <v>Đá bào</v>
      </c>
      <c r="G3767" s="8" t="str">
        <f>IFERROR(__xludf.DUMMYFUNCTION("GOOGLETRANSLATE(E3767,""zh-CN"",""vi"")"),"Một món đá bào giải khát tuyệt vời cho mùa hè. Có thể dùng để làm soda cẩm thạch.")</f>
        <v>Một món đá bào giải khát tuyệt vời cho mùa hè. Có thể dùng để làm soda cẩm thạch.</v>
      </c>
      <c r="H3767" s="8"/>
      <c r="I3767" s="8"/>
      <c r="J3767" s="8"/>
    </row>
    <row r="3768" ht="21.0" customHeight="1">
      <c r="A3768" s="6">
        <v>1.0</v>
      </c>
      <c r="B3768" s="6">
        <v>278.0</v>
      </c>
      <c r="C3768" s="6">
        <v>4.0</v>
      </c>
      <c r="D3768" s="81" t="s">
        <v>6305</v>
      </c>
      <c r="E3768" s="9" t="s">
        <v>6306</v>
      </c>
      <c r="F3768" s="8" t="str">
        <f>IFERROR(__xludf.DUMMYFUNCTION("GOOGLETRANSLATE(D3768,""zh-CN"",""vi"")"),"Nước soda cẩm thạch")</f>
        <v>Nước soda cẩm thạch</v>
      </c>
      <c r="G3768" s="8" t="str">
        <f>IFERROR(__xludf.DUMMYFUNCTION("GOOGLETRANSLATE(E3768,""zh-CN"",""vi"")"),"Đồ uống có ga mát lạnh gợi nhớ những kỷ niệm tuổi thơ. (Trộn đều để được kẹo táo.)")</f>
        <v>Đồ uống có ga mát lạnh gợi nhớ những kỷ niệm tuổi thơ. (Trộn đều để được kẹo táo.)</v>
      </c>
      <c r="H3768" s="8"/>
      <c r="I3768" s="8"/>
      <c r="J3768" s="8"/>
    </row>
    <row r="3769" ht="21.0" customHeight="1">
      <c r="A3769" s="6">
        <v>1.0</v>
      </c>
      <c r="B3769" s="6">
        <v>278.0</v>
      </c>
      <c r="C3769" s="6">
        <v>5.0</v>
      </c>
      <c r="D3769" s="82" t="s">
        <v>6307</v>
      </c>
      <c r="E3769" s="9" t="s">
        <v>6308</v>
      </c>
      <c r="F3769" s="8" t="str">
        <f>IFERROR(__xludf.DUMMYFUNCTION("GOOGLETRANSLATE(D3769,""zh-CN"",""vi"")"),"Kẹo táo")</f>
        <v>Kẹo táo</v>
      </c>
      <c r="G3769" s="8" t="str">
        <f>IFERROR(__xludf.DUMMYFUNCTION("GOOGLETRANSLATE(E3769,""zh-CN"",""vi"")"),"Màu đỏ rực rỡ của nó khiến người ta gần như không nỡ ăn. Kết hợp các nguyên liệu để tạo thành takoyaki (bạch tuộc viên).")</f>
        <v>Màu đỏ rực rỡ của nó khiến người ta gần như không nỡ ăn. Kết hợp các nguyên liệu để tạo thành takoyaki (bạch tuộc viên).</v>
      </c>
      <c r="H3769" s="8"/>
      <c r="I3769" s="8"/>
      <c r="J3769" s="8"/>
    </row>
    <row r="3770" ht="21.0" customHeight="1">
      <c r="A3770" s="6">
        <v>1.0</v>
      </c>
      <c r="B3770" s="6">
        <v>278.0</v>
      </c>
      <c r="C3770" s="6">
        <v>6.0</v>
      </c>
      <c r="D3770" s="81" t="s">
        <v>6309</v>
      </c>
      <c r="E3770" s="9" t="s">
        <v>6310</v>
      </c>
      <c r="F3770" s="8" t="str">
        <f>IFERROR(__xludf.DUMMYFUNCTION("GOOGLETRANSLATE(D3770,""zh-CN"",""vi"")"),"Takoyaki")</f>
        <v>Takoyaki</v>
      </c>
      <c r="G3770" s="8" t="str">
        <f>IFERROR(__xludf.DUMMYFUNCTION("GOOGLETRANSLATE(E3770,""zh-CN"",""vi"")"),"Sau khi cắn vào, hương vị đậm đà và thơm ngon sẽ lan tỏa khắp khoang miệng. Kết hợp các nguyên liệu để có món mực nướng.")</f>
        <v>Sau khi cắn vào, hương vị đậm đà và thơm ngon sẽ lan tỏa khắp khoang miệng. Kết hợp các nguyên liệu để có món mực nướng.</v>
      </c>
      <c r="H3770" s="8"/>
      <c r="I3770" s="8"/>
      <c r="J3770" s="8"/>
    </row>
    <row r="3771" ht="21.0" customHeight="1">
      <c r="A3771" s="6">
        <v>1.0</v>
      </c>
      <c r="B3771" s="6">
        <v>278.0</v>
      </c>
      <c r="C3771" s="6">
        <v>7.0</v>
      </c>
      <c r="D3771" s="81" t="s">
        <v>6311</v>
      </c>
      <c r="E3771" s="9" t="s">
        <v>6312</v>
      </c>
      <c r="F3771" s="8" t="str">
        <f>IFERROR(__xludf.DUMMYFUNCTION("GOOGLETRANSLATE(D3771,""zh-CN"",""vi"")"),"Mực nướng")</f>
        <v>Mực nướng</v>
      </c>
      <c r="G3771" s="8" t="str">
        <f>IFERROR(__xludf.DUMMYFUNCTION("GOOGLETRANSLATE(E3771,""zh-CN"",""vi"")"),"Nó ngon, bạn có thể nhai được. Kết hợp các nguyên liệu để làm bánh kếp rau củ.")</f>
        <v>Nó ngon, bạn có thể nhai được. Kết hợp các nguyên liệu để làm bánh kếp rau củ.</v>
      </c>
      <c r="H3771" s="8"/>
      <c r="I3771" s="8"/>
      <c r="J3771" s="8"/>
    </row>
    <row r="3772" ht="21.0" customHeight="1">
      <c r="A3772" s="6">
        <v>1.0</v>
      </c>
      <c r="B3772" s="6">
        <v>278.0</v>
      </c>
      <c r="C3772" s="6">
        <v>8.0</v>
      </c>
      <c r="D3772" s="81" t="s">
        <v>6313</v>
      </c>
      <c r="E3772" s="9" t="s">
        <v>6314</v>
      </c>
      <c r="F3772" s="8" t="str">
        <f>IFERROR(__xludf.DUMMYFUNCTION("GOOGLETRANSLATE(D3772,""zh-CN"",""vi"")"),"bánh kếp rau củ")</f>
        <v>bánh kếp rau củ</v>
      </c>
      <c r="G3772" s="8" t="str">
        <f>IFERROR(__xludf.DUMMYFUNCTION("GOOGLETRANSLATE(E3772,""zh-CN"",""vi"")"),"Mùi thơm thật khó cưỡng, khiến tôi chảy nước miếng. Kết hợp chúng lại để làm bánh Dorayaki.")</f>
        <v>Mùi thơm thật khó cưỡng, khiến tôi chảy nước miếng. Kết hợp chúng lại để làm bánh Dorayaki.</v>
      </c>
      <c r="H3772" s="8"/>
      <c r="I3772" s="8"/>
      <c r="J3772" s="8"/>
    </row>
    <row r="3773" ht="21.0" customHeight="1">
      <c r="A3773" s="6">
        <v>1.0</v>
      </c>
      <c r="B3773" s="6">
        <v>278.0</v>
      </c>
      <c r="C3773" s="6">
        <v>9.0</v>
      </c>
      <c r="D3773" s="67" t="s">
        <v>6315</v>
      </c>
      <c r="E3773" s="9" t="s">
        <v>6316</v>
      </c>
      <c r="F3773" s="8" t="str">
        <f>IFERROR(__xludf.DUMMYFUNCTION("GOOGLETRANSLATE(D3773,""zh-CN"",""vi"")"),"Dorayaki")</f>
        <v>Dorayaki</v>
      </c>
      <c r="G3773" s="8" t="str">
        <f>IFERROR(__xludf.DUMMYFUNCTION("GOOGLETRANSLATE(E3773,""zh-CN"",""vi"")"),"Một món ăn nổi tiếng thường xuyên xuất hiện trong phim hoạt hình. Kết hợp các nguyên liệu để tạo thành bánh taiyaki (bánh hình cá).")</f>
        <v>Một món ăn nổi tiếng thường xuyên xuất hiện trong phim hoạt hình. Kết hợp các nguyên liệu để tạo thành bánh taiyaki (bánh hình cá).</v>
      </c>
      <c r="H3773" s="8"/>
      <c r="I3773" s="8"/>
      <c r="J3773" s="8"/>
    </row>
    <row r="3774" ht="21.0" customHeight="1">
      <c r="A3774" s="6">
        <v>1.0</v>
      </c>
      <c r="B3774" s="6">
        <v>278.0</v>
      </c>
      <c r="C3774" s="6">
        <v>10.0</v>
      </c>
      <c r="D3774" s="81" t="s">
        <v>6317</v>
      </c>
      <c r="E3774" s="9" t="s">
        <v>6318</v>
      </c>
      <c r="F3774" s="8" t="str">
        <f>IFERROR(__xludf.DUMMYFUNCTION("GOOGLETRANSLATE(D3774,""zh-CN"",""vi"")"),"Taiyaki")</f>
        <v>Taiyaki</v>
      </c>
      <c r="G3774" s="8" t="str">
        <f>IFERROR(__xludf.DUMMYFUNCTION("GOOGLETRANSLATE(E3774,""zh-CN"",""vi"")"),"Món ăn nhẹ hải sản với hương vị độc đáo. Kết hợp các nguyên liệu để tạo thành xiên gà nướng.")</f>
        <v>Món ăn nhẹ hải sản với hương vị độc đáo. Kết hợp các nguyên liệu để tạo thành xiên gà nướng.</v>
      </c>
      <c r="H3774" s="8"/>
      <c r="I3774" s="8"/>
      <c r="J3774" s="8"/>
    </row>
    <row r="3775" ht="21.0" customHeight="1">
      <c r="A3775" s="6">
        <v>1.0</v>
      </c>
      <c r="B3775" s="6">
        <v>278.0</v>
      </c>
      <c r="C3775" s="6">
        <v>11.0</v>
      </c>
      <c r="D3775" s="80" t="s">
        <v>6319</v>
      </c>
      <c r="E3775" s="9" t="s">
        <v>6320</v>
      </c>
      <c r="F3775" s="8" t="str">
        <f>IFERROR(__xludf.DUMMYFUNCTION("GOOGLETRANSLATE(D3775,""zh-CN"",""vi"")"),"Xiên gà nướng")</f>
        <v>Xiên gà nướng</v>
      </c>
      <c r="G3775" s="8" t="str">
        <f>IFERROR(__xludf.DUMMYFUNCTION("GOOGLETRANSLATE(E3775,""zh-CN"",""vi"")"),"Món yakitori nổi tiếng có gia vị độc đáo! Kết hợp chúng lại để có món yakisoba.")</f>
        <v>Món yakitori nổi tiếng có gia vị độc đáo! Kết hợp chúng lại để có món yakisoba.</v>
      </c>
      <c r="H3775" s="8"/>
      <c r="I3775" s="8"/>
      <c r="J3775" s="8"/>
    </row>
    <row r="3776" ht="21.0" customHeight="1">
      <c r="A3776" s="6">
        <v>1.0</v>
      </c>
      <c r="B3776" s="6">
        <v>278.0</v>
      </c>
      <c r="C3776" s="6">
        <v>12.0</v>
      </c>
      <c r="D3776" s="81" t="s">
        <v>6321</v>
      </c>
      <c r="E3776" s="9" t="s">
        <v>6322</v>
      </c>
      <c r="F3776" s="8" t="str">
        <f>IFERROR(__xludf.DUMMYFUNCTION("GOOGLETRANSLATE(D3776,""zh-CN"",""vi"")"),"Mì xào")</f>
        <v>Mì xào</v>
      </c>
      <c r="G3776" s="8" t="str">
        <f>IFERROR(__xludf.DUMMYFUNCTION("GOOGLETRANSLATE(E3776,""zh-CN"",""vi"")"),"Bổ dưỡng và ngon miệng, món ăn này khó cưỡng lại được. Kết hợp các nguyên liệu để tạo thành Oden.")</f>
        <v>Bổ dưỡng và ngon miệng, món ăn này khó cưỡng lại được. Kết hợp các nguyên liệu để tạo thành Oden.</v>
      </c>
      <c r="H3776" s="8"/>
      <c r="I3776" s="8"/>
      <c r="J3776" s="8"/>
    </row>
    <row r="3777" ht="21.0" customHeight="1">
      <c r="A3777" s="6">
        <v>1.0</v>
      </c>
      <c r="B3777" s="6">
        <v>278.0</v>
      </c>
      <c r="C3777" s="6">
        <v>13.0</v>
      </c>
      <c r="D3777" s="81" t="s">
        <v>6323</v>
      </c>
      <c r="E3777" s="9" t="s">
        <v>6324</v>
      </c>
      <c r="F3777" s="8" t="str">
        <f>IFERROR(__xludf.DUMMYFUNCTION("GOOGLETRANSLATE(D3777,""zh-CN"",""vi"")"),"Oden")</f>
        <v>Oden</v>
      </c>
      <c r="G3777" s="8" t="str">
        <f>IFERROR(__xludf.DUMMYFUNCTION("GOOGLETRANSLATE(E3777,""zh-CN"",""vi"")"),"Oden đựng trong xô cho cả gia đình! Ngon tuyệt! Đã được chế biến theo tiêu chuẩn cao nhất.")</f>
        <v>Oden đựng trong xô cho cả gia đình! Ngon tuyệt! Đã được chế biến theo tiêu chuẩn cao nhất.</v>
      </c>
      <c r="H3777" s="8"/>
      <c r="I3777" s="8"/>
      <c r="J3777" s="8"/>
    </row>
    <row r="3778" ht="21.0" customHeight="1">
      <c r="A3778" s="6">
        <v>1.0</v>
      </c>
      <c r="B3778" s="6">
        <v>279.0</v>
      </c>
      <c r="C3778" s="6">
        <v>1.0</v>
      </c>
      <c r="D3778" s="81" t="s">
        <v>6325</v>
      </c>
      <c r="E3778" s="9" t="s">
        <v>6326</v>
      </c>
      <c r="F3778" s="8" t="str">
        <f>IFERROR(__xludf.DUMMYFUNCTION("GOOGLETRANSLATE(D3778,""zh-CN"",""vi"")"),"Pháo hoa")</f>
        <v>Pháo hoa</v>
      </c>
      <c r="G3778" s="8" t="str">
        <f>IFERROR(__xludf.DUMMYFUNCTION("GOOGLETRANSLATE(E3778,""zh-CN"",""vi"")"),"Ánh lửa lung linh chiếu sáng khuôn mặt anh ta. (Kỹ năng chế tạo: Thổi bong bóng)")</f>
        <v>Ánh lửa lung linh chiếu sáng khuôn mặt anh ta. (Kỹ năng chế tạo: Thổi bong bóng)</v>
      </c>
      <c r="H3778" s="8"/>
      <c r="I3778" s="8"/>
      <c r="J3778" s="8"/>
    </row>
    <row r="3779" ht="21.0" customHeight="1">
      <c r="A3779" s="6">
        <v>1.0</v>
      </c>
      <c r="B3779" s="6">
        <v>279.0</v>
      </c>
      <c r="C3779" s="6">
        <v>2.0</v>
      </c>
      <c r="D3779" s="81" t="s">
        <v>6327</v>
      </c>
      <c r="E3779" s="9" t="s">
        <v>6328</v>
      </c>
      <c r="F3779" s="8" t="str">
        <f>IFERROR(__xludf.DUMMYFUNCTION("GOOGLETRANSLATE(D3779,""zh-CN"",""vi"")"),"Thổi bong bóng")</f>
        <v>Thổi bong bóng</v>
      </c>
      <c r="G3779" s="8" t="str">
        <f>IFERROR(__xludf.DUMMYFUNCTION("GOOGLETRANSLATE(E3779,""zh-CN"",""vi"")"),"Những bong bóng đầy màu sắc tượng trưng cho những điều ước tốt đẹp. Kết hợp chúng lại để tạo thành một tấm thẻ bài hát.")</f>
        <v>Những bong bóng đầy màu sắc tượng trưng cho những điều ước tốt đẹp. Kết hợp chúng lại để tạo thành một tấm thẻ bài hát.</v>
      </c>
      <c r="H3779" s="8"/>
      <c r="I3779" s="8"/>
      <c r="J3779" s="8"/>
    </row>
    <row r="3780" ht="21.0" customHeight="1">
      <c r="A3780" s="6">
        <v>1.0</v>
      </c>
      <c r="B3780" s="6">
        <v>279.0</v>
      </c>
      <c r="C3780" s="6">
        <v>3.0</v>
      </c>
      <c r="D3780" s="81" t="s">
        <v>6329</v>
      </c>
      <c r="E3780" s="9" t="s">
        <v>6330</v>
      </c>
      <c r="F3780" s="8" t="str">
        <f>IFERROR(__xludf.DUMMYFUNCTION("GOOGLETRANSLATE(D3780,""zh-CN"",""vi"")"),"Karuta")</f>
        <v>Karuta</v>
      </c>
      <c r="G3780" s="8" t="str">
        <f>IFERROR(__xludf.DUMMYFUNCTION("GOOGLETRANSLATE(E3780,""zh-CN"",""vi"")"),"Những trò chơi thú vị giúp cải thiện trí nhớ. Kết hợp các loại kẹo để tạo hình điêu khắc từ kẹo.")</f>
        <v>Những trò chơi thú vị giúp cải thiện trí nhớ. Kết hợp các loại kẹo để tạo hình điêu khắc từ kẹo.</v>
      </c>
      <c r="H3780" s="8"/>
      <c r="I3780" s="8"/>
      <c r="J3780" s="8"/>
    </row>
    <row r="3781" ht="21.0" customHeight="1">
      <c r="A3781" s="6">
        <v>1.0</v>
      </c>
      <c r="B3781" s="6">
        <v>279.0</v>
      </c>
      <c r="C3781" s="6">
        <v>4.0</v>
      </c>
      <c r="D3781" s="82" t="s">
        <v>6331</v>
      </c>
      <c r="E3781" s="9" t="s">
        <v>6332</v>
      </c>
      <c r="F3781" s="8" t="str">
        <f>IFERROR(__xludf.DUMMYFUNCTION("GOOGLETRANSLATE(D3781,""zh-CN"",""vi"")"),"Khắc kẹo")</f>
        <v>Khắc kẹo</v>
      </c>
      <c r="G3781" s="8" t="str">
        <f>IFERROR(__xludf.DUMMYFUNCTION("GOOGLETRANSLATE(E3781,""zh-CN"",""vi"")"),"Trò chơi này không có hình phạt nào quá khắc nghiệt. Bạn có thể kết hợp các vật phẩm để tạo ra những con hạc giấy origami.")</f>
        <v>Trò chơi này không có hình phạt nào quá khắc nghiệt. Bạn có thể kết hợp các vật phẩm để tạo ra những con hạc giấy origami.</v>
      </c>
      <c r="H3781" s="8"/>
      <c r="I3781" s="8"/>
      <c r="J3781" s="8"/>
    </row>
    <row r="3782" ht="21.0" customHeight="1">
      <c r="A3782" s="6">
        <v>1.0</v>
      </c>
      <c r="B3782" s="6">
        <v>279.0</v>
      </c>
      <c r="C3782" s="6">
        <v>5.0</v>
      </c>
      <c r="D3782" s="83" t="s">
        <v>6333</v>
      </c>
      <c r="E3782" s="9" t="s">
        <v>6334</v>
      </c>
      <c r="F3782" s="8" t="str">
        <f>IFERROR(__xludf.DUMMYFUNCTION("GOOGLETRANSLATE(D3782,""zh-CN"",""vi"")"),"Gấp một nghìn con hạc giấy")</f>
        <v>Gấp một nghìn con hạc giấy</v>
      </c>
      <c r="G3782" s="8" t="str">
        <f>IFERROR(__xludf.DUMMYFUNCTION("GOOGLETRANSLATE(E3782,""zh-CN"",""vi"")"),"Những con hạc giấy origami tượng trưng cho hòa bình và hy vọng. Hãy ghép chúng lại để có được Viên ngọc Trí tuệ.")</f>
        <v>Những con hạc giấy origami tượng trưng cho hòa bình và hy vọng. Hãy ghép chúng lại để có được Viên ngọc Trí tuệ.</v>
      </c>
      <c r="H3782" s="8"/>
      <c r="I3782" s="8"/>
      <c r="J3782" s="8"/>
    </row>
    <row r="3783" ht="21.0" customHeight="1">
      <c r="A3783" s="6">
        <v>1.0</v>
      </c>
      <c r="B3783" s="6">
        <v>279.0</v>
      </c>
      <c r="C3783" s="6">
        <v>6.0</v>
      </c>
      <c r="D3783" s="82" t="s">
        <v>6335</v>
      </c>
      <c r="E3783" s="9" t="s">
        <v>6336</v>
      </c>
      <c r="F3783" s="8" t="str">
        <f>IFERROR(__xludf.DUMMYFUNCTION("GOOGLETRANSLATE(D3783,""zh-CN"",""vi"")"),"Pinball thông minh")</f>
        <v>Pinball thông minh</v>
      </c>
      <c r="G3783" s="8" t="str">
        <f>IFERROR(__xludf.DUMMYFUNCTION("GOOGLETRANSLATE(E3783,""zh-CN"",""vi"")"),"Trò chơi này thật đau đầu. Một trò chơi mà bạn phải kết hợp các vật phẩm để tạo ra trò chơi ném bóng.")</f>
        <v>Trò chơi này thật đau đầu. Một trò chơi mà bạn phải kết hợp các vật phẩm để tạo ra trò chơi ném bóng.</v>
      </c>
      <c r="H3783" s="8"/>
      <c r="I3783" s="8"/>
      <c r="J3783" s="8"/>
    </row>
    <row r="3784" ht="21.0" customHeight="1">
      <c r="A3784" s="6">
        <v>1.0</v>
      </c>
      <c r="B3784" s="6">
        <v>279.0</v>
      </c>
      <c r="C3784" s="6">
        <v>7.0</v>
      </c>
      <c r="D3784" s="81" t="s">
        <v>6337</v>
      </c>
      <c r="E3784" s="9" t="s">
        <v>6338</v>
      </c>
      <c r="F3784" s="8" t="str">
        <f>IFERROR(__xludf.DUMMYFUNCTION("GOOGLETRANSLATE(D3784,""zh-CN"",""vi"")"),"Trò chơi ném bóng")</f>
        <v>Trò chơi ném bóng</v>
      </c>
      <c r="G3784" s="8" t="str">
        <f>IFERROR(__xludf.DUMMYFUNCTION("GOOGLETRANSLATE(E3784,""zh-CN"",""vi"")"),"Ghi 3 điểm liên tiếp để nhận búp bê! Kết hợp các điểm để nhận được quả cầu lông.")</f>
        <v>Ghi 3 điểm liên tiếp để nhận búp bê! Kết hợp các điểm để nhận được quả cầu lông.</v>
      </c>
      <c r="H3784" s="8"/>
      <c r="I3784" s="8"/>
      <c r="J3784" s="8"/>
    </row>
    <row r="3785" ht="21.0" customHeight="1">
      <c r="A3785" s="6">
        <v>1.0</v>
      </c>
      <c r="B3785" s="6">
        <v>279.0</v>
      </c>
      <c r="C3785" s="6">
        <v>8.0</v>
      </c>
      <c r="D3785" s="83" t="s">
        <v>6339</v>
      </c>
      <c r="E3785" s="9" t="s">
        <v>6340</v>
      </c>
      <c r="F3785" s="8" t="str">
        <f>IFERROR(__xludf.DUMMYFUNCTION("GOOGLETRANSLATE(D3785,""zh-CN"",""vi"")"),"cầu lông")</f>
        <v>cầu lông</v>
      </c>
      <c r="G3785" s="8" t="str">
        <f>IFERROR(__xludf.DUMMYFUNCTION("GOOGLETRANSLATE(E3785,""zh-CN"",""vi"")"),"Nó cũng rất tốt để làm giãn cơ và xương. Kết hợp chúng lại để tạo thành trò chơi ném vòng.")</f>
        <v>Nó cũng rất tốt để làm giãn cơ và xương. Kết hợp chúng lại để tạo thành trò chơi ném vòng.</v>
      </c>
      <c r="H3785" s="8"/>
      <c r="I3785" s="8"/>
      <c r="J3785" s="8"/>
    </row>
    <row r="3786" ht="21.0" customHeight="1">
      <c r="A3786" s="6">
        <v>1.0</v>
      </c>
      <c r="B3786" s="6">
        <v>279.0</v>
      </c>
      <c r="C3786" s="6">
        <v>9.0</v>
      </c>
      <c r="D3786" s="81" t="s">
        <v>6341</v>
      </c>
      <c r="E3786" s="9" t="s">
        <v>6342</v>
      </c>
      <c r="F3786" s="8" t="str">
        <f>IFERROR(__xludf.DUMMYFUNCTION("GOOGLETRANSLATE(D3786,""zh-CN"",""vi"")"),"Trò chơi ném vòng")</f>
        <v>Trò chơi ném vòng</v>
      </c>
      <c r="G3786" s="8" t="str">
        <f>IFERROR(__xludf.DUMMYFUNCTION("GOOGLETRANSLATE(E3786,""zh-CN"",""vi"")"),"Muốn bắt con ngỗng đó không? Hãy kết hợp chúng để bắt được cá vàng!")</f>
        <v>Muốn bắt con ngỗng đó không? Hãy kết hợp chúng để bắt được cá vàng!</v>
      </c>
      <c r="H3786" s="8"/>
      <c r="I3786" s="8"/>
      <c r="J3786" s="8"/>
    </row>
    <row r="3787" ht="21.0" customHeight="1">
      <c r="A3787" s="6">
        <v>1.0</v>
      </c>
      <c r="B3787" s="6">
        <v>279.0</v>
      </c>
      <c r="C3787" s="6">
        <v>10.0</v>
      </c>
      <c r="D3787" s="81" t="s">
        <v>6343</v>
      </c>
      <c r="E3787" s="9" t="s">
        <v>6344</v>
      </c>
      <c r="F3787" s="8" t="str">
        <f>IFERROR(__xludf.DUMMYFUNCTION("GOOGLETRANSLATE(D3787,""zh-CN"",""vi"")"),"Múc cá vàng")</f>
        <v>Múc cá vàng</v>
      </c>
      <c r="G3787" s="8" t="str">
        <f>IFERROR(__xludf.DUMMYFUNCTION("GOOGLETRANSLATE(E3787,""zh-CN"",""vi"")"),"Câu cá và câu cá... Kết hợp chúng để tạo ra một khẩu súng hơi.")</f>
        <v>Câu cá và câu cá... Kết hợp chúng để tạo ra một khẩu súng hơi.</v>
      </c>
      <c r="H3787" s="8"/>
      <c r="I3787" s="8"/>
      <c r="J3787" s="8"/>
    </row>
    <row r="3788" ht="21.0" customHeight="1">
      <c r="A3788" s="6">
        <v>1.0</v>
      </c>
      <c r="B3788" s="6">
        <v>279.0</v>
      </c>
      <c r="C3788" s="6">
        <v>11.0</v>
      </c>
      <c r="D3788" s="81" t="s">
        <v>6345</v>
      </c>
      <c r="E3788" s="9" t="s">
        <v>6346</v>
      </c>
      <c r="F3788" s="8" t="str">
        <f>IFERROR(__xludf.DUMMYFUNCTION("GOOGLETRANSLATE(D3788,""zh-CN"",""vi"")"),"súng hơi")</f>
        <v>súng hơi</v>
      </c>
      <c r="G3788" s="8" t="str">
        <f>IFERROR(__xludf.DUMMYFUNCTION("GOOGLETRANSLATE(E3788,""zh-CN"",""vi"")"),"Âm thanh của những quả bóng bay nổ. Kết hợp chúng để tạo ra trò chơi Pitch-Pot.")</f>
        <v>Âm thanh của những quả bóng bay nổ. Kết hợp chúng để tạo ra trò chơi Pitch-Pot.</v>
      </c>
      <c r="H3788" s="8"/>
      <c r="I3788" s="8"/>
      <c r="J3788" s="8"/>
    </row>
    <row r="3789" ht="21.0" customHeight="1">
      <c r="A3789" s="6">
        <v>1.0</v>
      </c>
      <c r="B3789" s="6">
        <v>279.0</v>
      </c>
      <c r="C3789" s="6">
        <v>12.0</v>
      </c>
      <c r="D3789" s="83" t="s">
        <v>6347</v>
      </c>
      <c r="E3789" s="9" t="s">
        <v>6348</v>
      </c>
      <c r="F3789" s="8" t="str">
        <f>IFERROR(__xludf.DUMMYFUNCTION("GOOGLETRANSLATE(D3789,""zh-CN"",""vi"")"),"Bình đựng nhựa đường")</f>
        <v>Bình đựng nhựa đường</v>
      </c>
      <c r="G3789" s="8" t="str">
        <f>IFERROR(__xludf.DUMMYFUNCTION("GOOGLETRANSLATE(E3789,""zh-CN"",""vi"")"),"Hãy xem tôi ném mũi tên vào mục tiêu một cách duyên dáng như thế nào. (Hãy tự chế một trò chơi ném túi đậu.)")</f>
        <v>Hãy xem tôi ném mũi tên vào mục tiêu một cách duyên dáng như thế nào. (Hãy tự chế một trò chơi ném túi đậu.)</v>
      </c>
      <c r="H3789" s="8"/>
      <c r="I3789" s="8"/>
      <c r="J3789" s="8"/>
    </row>
    <row r="3790" ht="21.0" customHeight="1">
      <c r="A3790" s="6">
        <v>1.0</v>
      </c>
      <c r="B3790" s="6">
        <v>279.0</v>
      </c>
      <c r="C3790" s="6">
        <v>13.0</v>
      </c>
      <c r="D3790" s="83" t="s">
        <v>6349</v>
      </c>
      <c r="E3790" s="9" t="s">
        <v>6350</v>
      </c>
      <c r="F3790" s="8" t="str">
        <f>IFERROR(__xludf.DUMMYFUNCTION("GOOGLETRANSLATE(D3790,""zh-CN"",""vi"")"),"Trò chơi ném túi đậu")</f>
        <v>Trò chơi ném túi đậu</v>
      </c>
      <c r="G3790" s="8" t="str">
        <f>IFERROR(__xludf.DUMMYFUNCTION("GOOGLETRANSLATE(E3790,""zh-CN"",""vi"")"),"Sức mạnh và sự nhanh nhẹn đều rất cần thiết. (Được tổng hợp ở cấp độ cao nhất)")</f>
        <v>Sức mạnh và sự nhanh nhẹn đều rất cần thiết. (Được tổng hợp ở cấp độ cao nhất)</v>
      </c>
      <c r="H3790" s="8"/>
      <c r="I3790" s="8"/>
      <c r="J3790" s="8"/>
    </row>
    <row r="3791" ht="21.0" customHeight="1">
      <c r="A3791" s="6">
        <v>1.0</v>
      </c>
      <c r="B3791" s="6">
        <v>280.0</v>
      </c>
      <c r="C3791" s="6">
        <v>1.0</v>
      </c>
      <c r="D3791" s="84" t="s">
        <v>6351</v>
      </c>
      <c r="E3791" s="9" t="s">
        <v>6352</v>
      </c>
      <c r="F3791" s="8" t="str">
        <f>IFERROR(__xludf.DUMMYFUNCTION("GOOGLETRANSLATE(D3791,""zh-CN"",""vi"")"),"Nekomata")</f>
        <v>Nekomata</v>
      </c>
      <c r="G3791" s="8" t="str">
        <f>IFERROR(__xludf.DUMMYFUNCTION("GOOGLETRANSLATE(E3791,""zh-CN"",""vi"")"),"Hãy cẩn thận nếu bạn thấy một con mèo có hai đuôi. Kết hợp hai đuôi lại sẽ tạo thành một đứa trẻ đeo ba lô.")</f>
        <v>Hãy cẩn thận nếu bạn thấy một con mèo có hai đuôi. Kết hợp hai đuôi lại sẽ tạo thành một đứa trẻ đeo ba lô.</v>
      </c>
      <c r="H3791" s="8"/>
      <c r="I3791" s="8"/>
      <c r="J3791" s="8"/>
    </row>
    <row r="3792" ht="21.0" customHeight="1">
      <c r="A3792" s="6">
        <v>1.0</v>
      </c>
      <c r="B3792" s="6">
        <v>280.0</v>
      </c>
      <c r="C3792" s="6">
        <v>2.0</v>
      </c>
      <c r="D3792" s="67" t="s">
        <v>6353</v>
      </c>
      <c r="E3792" s="9" t="s">
        <v>6354</v>
      </c>
      <c r="F3792" s="8" t="str">
        <f>IFERROR(__xludf.DUMMYFUNCTION("GOOGLETRANSLATE(D3792,""zh-CN"",""vi"")"),"Trẻ em đeo ba lô")</f>
        <v>Trẻ em đeo ba lô</v>
      </c>
      <c r="G3792" s="8" t="str">
        <f>IFERROR(__xludf.DUMMYFUNCTION("GOOGLETRANSLATE(E3792,""zh-CN"",""vi"")"),"Sau giờ học, học sinh cũng đến tham gia lễ hội pháo hoa. (Hình ảnh kappa, biểu thị người lười biếng, được tạo ra bằng cách kết hợp các yếu tố.)")</f>
        <v>Sau giờ học, học sinh cũng đến tham gia lễ hội pháo hoa. (Hình ảnh kappa, biểu thị người lười biếng, được tạo ra bằng cách kết hợp các yếu tố.)</v>
      </c>
      <c r="H3792" s="8"/>
      <c r="I3792" s="8"/>
      <c r="J3792" s="8"/>
    </row>
    <row r="3793" ht="21.0" customHeight="1">
      <c r="A3793" s="6">
        <v>1.0</v>
      </c>
      <c r="B3793" s="6">
        <v>280.0</v>
      </c>
      <c r="C3793" s="6">
        <v>3.0</v>
      </c>
      <c r="D3793" s="80" t="s">
        <v>6355</v>
      </c>
      <c r="E3793" s="9" t="s">
        <v>6356</v>
      </c>
      <c r="F3793" s="8" t="str">
        <f>IFERROR(__xludf.DUMMYFUNCTION("GOOGLETRANSLATE(D3793,""zh-CN"",""vi"")"),"Kappa bắt cá")</f>
        <v>Kappa bắt cá</v>
      </c>
      <c r="G3793" s="8" t="str">
        <f>IFERROR(__xludf.DUMMYFUNCTION("GOOGLETRANSLATE(E3793,""zh-CN"",""vi"")"),"Kappa cũng rất thích xem những khoảnh khắc hào hứng. (Tổng hợp thông tin để tìm tình nguyện viên)")</f>
        <v>Kappa cũng rất thích xem những khoảnh khắc hào hứng. (Tổng hợp thông tin để tìm tình nguyện viên)</v>
      </c>
      <c r="H3793" s="8"/>
      <c r="I3793" s="8"/>
      <c r="J3793" s="8"/>
    </row>
    <row r="3794" ht="21.0" customHeight="1">
      <c r="A3794" s="6">
        <v>1.0</v>
      </c>
      <c r="B3794" s="6">
        <v>280.0</v>
      </c>
      <c r="C3794" s="6">
        <v>4.0</v>
      </c>
      <c r="D3794" s="80" t="s">
        <v>6357</v>
      </c>
      <c r="E3794" s="9" t="s">
        <v>6358</v>
      </c>
      <c r="F3794" s="8" t="str">
        <f>IFERROR(__xludf.DUMMYFUNCTION("GOOGLETRANSLATE(D3794,""zh-CN"",""vi"")"),"tình nguyện viên")</f>
        <v>tình nguyện viên</v>
      </c>
      <c r="G3794" s="8" t="str">
        <f>IFERROR(__xludf.DUMMYFUNCTION("GOOGLETRANSLATE(E3794,""zh-CN"",""vi"")"),"Họ sẽ hỗ trợ duy trì trật tự tại hiện trường. (Tổng hợp để có được Cook Uncle)")</f>
        <v>Họ sẽ hỗ trợ duy trì trật tự tại hiện trường. (Tổng hợp để có được Cook Uncle)</v>
      </c>
      <c r="H3794" s="8"/>
      <c r="I3794" s="8"/>
      <c r="J3794" s="8"/>
    </row>
    <row r="3795" ht="21.0" customHeight="1">
      <c r="A3795" s="6">
        <v>1.0</v>
      </c>
      <c r="B3795" s="6">
        <v>280.0</v>
      </c>
      <c r="C3795" s="6">
        <v>5.0</v>
      </c>
      <c r="D3795" s="81" t="s">
        <v>6359</v>
      </c>
      <c r="E3795" s="9" t="s">
        <v>6360</v>
      </c>
      <c r="F3795" s="8" t="str">
        <f>IFERROR(__xludf.DUMMYFUNCTION("GOOGLETRANSLATE(D3795,""zh-CN"",""vi"")"),"Chú đầu bếp")</f>
        <v>Chú đầu bếp</v>
      </c>
      <c r="G3795" s="8" t="str">
        <f>IFERROR(__xludf.DUMMYFUNCTION("GOOGLETRANSLATE(E3795,""zh-CN"",""vi"")"),"Tôi thực sự muốn anh ấy nấu cho tôi một bữa ăn ngay tại đây. (Hoàn tất quy trình để thuê dịch vụ giúp việc.)")</f>
        <v>Tôi thực sự muốn anh ấy nấu cho tôi một bữa ăn ngay tại đây. (Hoàn tất quy trình để thuê dịch vụ giúp việc.)</v>
      </c>
      <c r="H3795" s="8"/>
      <c r="I3795" s="8"/>
      <c r="J3795" s="8"/>
    </row>
    <row r="3796" ht="21.0" customHeight="1">
      <c r="A3796" s="6">
        <v>1.0</v>
      </c>
      <c r="B3796" s="6">
        <v>280.0</v>
      </c>
      <c r="C3796" s="6">
        <v>6.0</v>
      </c>
      <c r="D3796" s="81" t="s">
        <v>6361</v>
      </c>
      <c r="E3796" s="9" t="s">
        <v>6362</v>
      </c>
      <c r="F3796" s="8" t="str">
        <f>IFERROR(__xludf.DUMMYFUNCTION("GOOGLETRANSLATE(D3796,""zh-CN"",""vi"")"),"Dịch vụ cho thuê người giúp việc")</f>
        <v>Dịch vụ cho thuê người giúp việc</v>
      </c>
      <c r="G3796" s="8" t="str">
        <f>IFERROR(__xludf.DUMMYFUNCTION("GOOGLETRANSLATE(E3796,""zh-CN"",""vi"")"),"Màn trình diễn pháo hoa cùng các cô hầu gái là một trải nghiệm tuyệt vời! Tổng hợp để có được người bạn đời nam.")</f>
        <v>Màn trình diễn pháo hoa cùng các cô hầu gái là một trải nghiệm tuyệt vời! Tổng hợp để có được người bạn đời nam.</v>
      </c>
      <c r="H3796" s="8"/>
      <c r="I3796" s="8"/>
      <c r="J3796" s="8"/>
    </row>
    <row r="3797" ht="21.0" customHeight="1">
      <c r="A3797" s="6">
        <v>1.0</v>
      </c>
      <c r="B3797" s="6">
        <v>280.0</v>
      </c>
      <c r="C3797" s="6">
        <v>7.0</v>
      </c>
      <c r="D3797" s="67" t="s">
        <v>6363</v>
      </c>
      <c r="E3797" s="9" t="s">
        <v>6364</v>
      </c>
      <c r="F3797" s="8" t="str">
        <f>IFERROR(__xludf.DUMMYFUNCTION("GOOGLETRANSLATE(D3797,""zh-CN"",""vi"")"),"Cặp đôi - Nam")</f>
        <v>Cặp đôi - Nam</v>
      </c>
      <c r="G3797" s="8" t="str">
        <f>IFERROR(__xludf.DUMMYFUNCTION("GOOGLETRANSLATE(E3797,""zh-CN"",""vi"")"),"Anh ấy đã chuẩn bị một bó hoa. (Để tạo thành một cặp đôi - dành cho nữ)")</f>
        <v>Anh ấy đã chuẩn bị một bó hoa. (Để tạo thành một cặp đôi - dành cho nữ)</v>
      </c>
      <c r="H3797" s="8"/>
      <c r="I3797" s="8"/>
      <c r="J3797" s="8"/>
    </row>
    <row r="3798" ht="21.0" customHeight="1">
      <c r="A3798" s="6">
        <v>1.0</v>
      </c>
      <c r="B3798" s="6">
        <v>280.0</v>
      </c>
      <c r="C3798" s="6">
        <v>8.0</v>
      </c>
      <c r="D3798" s="81" t="s">
        <v>6365</v>
      </c>
      <c r="E3798" s="9" t="s">
        <v>6366</v>
      </c>
      <c r="F3798" s="8" t="str">
        <f>IFERROR(__xludf.DUMMYFUNCTION("GOOGLETRANSLATE(D3798,""zh-CN"",""vi"")"),"Cặp đôi - Nữ")</f>
        <v>Cặp đôi - Nữ</v>
      </c>
      <c r="G3798" s="8" t="str">
        <f>IFERROR(__xludf.DUMMYFUNCTION("GOOGLETRANSLATE(E3798,""zh-CN"",""vi"")"),"Cô ấy đang mong chờ một điều bất ngờ. Cô ấy đã tổng hợp được một người chơi đàn shamisen.")</f>
        <v>Cô ấy đang mong chờ một điều bất ngờ. Cô ấy đã tổng hợp được một người chơi đàn shamisen.</v>
      </c>
      <c r="H3798" s="8"/>
      <c r="I3798" s="8"/>
      <c r="J3798" s="8"/>
    </row>
    <row r="3799" ht="21.0" customHeight="1">
      <c r="A3799" s="6">
        <v>1.0</v>
      </c>
      <c r="B3799" s="6">
        <v>280.0</v>
      </c>
      <c r="C3799" s="6">
        <v>9.0</v>
      </c>
      <c r="D3799" s="67" t="s">
        <v>6367</v>
      </c>
      <c r="E3799" s="9" t="s">
        <v>6368</v>
      </c>
      <c r="F3799" s="8" t="str">
        <f>IFERROR(__xludf.DUMMYFUNCTION("GOOGLETRANSLATE(D3799,""zh-CN"",""vi"")"),"Người chơi đàn Shamisen")</f>
        <v>Người chơi đàn Shamisen</v>
      </c>
      <c r="G3799" s="8" t="str">
        <f>IFERROR(__xludf.DUMMYFUNCTION("GOOGLETRANSLATE(E3799,""zh-CN"",""vi"")"),"Có các nhạc công biểu diễn tại chỗ để tạo không khí. Màn trình diễn nhạc điện tử của cô gái điếm mang đến một làn gió mới mẻ.")</f>
        <v>Có các nhạc công biểu diễn tại chỗ để tạo không khí. Màn trình diễn nhạc điện tử của cô gái điếm mang đến một làn gió mới mẻ.</v>
      </c>
      <c r="H3799" s="8"/>
      <c r="I3799" s="8"/>
      <c r="J3799" s="8"/>
    </row>
    <row r="3800" ht="21.0" customHeight="1">
      <c r="A3800" s="6">
        <v>1.0</v>
      </c>
      <c r="B3800" s="6">
        <v>280.0</v>
      </c>
      <c r="C3800" s="6">
        <v>10.0</v>
      </c>
      <c r="D3800" s="81" t="s">
        <v>6369</v>
      </c>
      <c r="E3800" s="9" t="s">
        <v>6370</v>
      </c>
      <c r="F3800" s="8" t="str">
        <f>IFERROR(__xludf.DUMMYFUNCTION("GOOGLETRANSLATE(D3800,""zh-CN"",""vi"")"),"Cô kỹ nữ đến để hít thở không khí trong lành.")</f>
        <v>Cô kỹ nữ đến để hít thở không khí trong lành.</v>
      </c>
      <c r="G3800" s="8" t="str">
        <f>IFERROR(__xludf.DUMMYFUNCTION("GOOGLETRANSLATE(E3800,""zh-CN"",""vi"")"),"Thỉnh thoảng, kỹ nữ sẽ ra ngoài hít thở không khí trong lành. (Tổng hợp để thu được tinh chất tỏi tây.)")</f>
        <v>Thỉnh thoảng, kỹ nữ sẽ ra ngoài hít thở không khí trong lành. (Tổng hợp để thu được tinh chất tỏi tây.)</v>
      </c>
      <c r="H3800" s="8"/>
      <c r="I3800" s="8"/>
      <c r="J3800" s="8"/>
    </row>
    <row r="3801" ht="21.0" customHeight="1">
      <c r="A3801" s="6">
        <v>1.0</v>
      </c>
      <c r="B3801" s="6">
        <v>280.0</v>
      </c>
      <c r="C3801" s="6">
        <v>11.0</v>
      </c>
      <c r="D3801" s="80" t="s">
        <v>6371</v>
      </c>
      <c r="E3801" s="9" t="s">
        <v>6372</v>
      </c>
      <c r="F3801" s="8" t="str">
        <f>IFERROR(__xludf.DUMMYFUNCTION("GOOGLETRANSLATE(D3801,""zh-CN"",""vi"")"),"Tinh chất hành lá")</f>
        <v>Tinh chất hành lá</v>
      </c>
      <c r="G3801" s="8" t="str">
        <f>IFERROR(__xludf.DUMMYFUNCTION("GOOGLETRANSLATE(E3801,""zh-CN"",""vi"")"),"Công chúa số một thế giới! Tổng hợp để có được một nữ tu sĩ đền thờ.")</f>
        <v>Công chúa số một thế giới! Tổng hợp để có được một nữ tu sĩ đền thờ.</v>
      </c>
      <c r="H3801" s="8"/>
      <c r="I3801" s="8"/>
      <c r="J3801" s="8"/>
    </row>
    <row r="3802" ht="21.0" customHeight="1">
      <c r="A3802" s="6">
        <v>1.0</v>
      </c>
      <c r="B3802" s="6">
        <v>280.0</v>
      </c>
      <c r="C3802" s="6">
        <v>12.0</v>
      </c>
      <c r="D3802" s="81" t="s">
        <v>6373</v>
      </c>
      <c r="E3802" s="9" t="s">
        <v>6374</v>
      </c>
      <c r="F3802" s="8" t="str">
        <f>IFERROR(__xludf.DUMMYFUNCTION("GOOGLETRANSLATE(D3802,""zh-CN"",""vi"")"),"miko")</f>
        <v>miko</v>
      </c>
      <c r="G3802" s="8" t="str">
        <f>IFERROR(__xludf.DUMMYFUNCTION("GOOGLETRANSLATE(E3802,""zh-CN"",""vi"")"),"Vào ngày đặc biệt này, nữ tu đền thờ cầu nguyện cho mọi người~ (Tổng hợp để nhận được Ông Thần Núi)")</f>
        <v>Vào ngày đặc biệt này, nữ tu đền thờ cầu nguyện cho mọi người~ (Tổng hợp để nhận được Ông Thần Núi)</v>
      </c>
      <c r="H3802" s="8"/>
      <c r="I3802" s="8"/>
      <c r="J3802" s="8"/>
    </row>
    <row r="3803" ht="21.0" customHeight="1">
      <c r="A3803" s="6">
        <v>1.0</v>
      </c>
      <c r="B3803" s="6">
        <v>280.0</v>
      </c>
      <c r="C3803" s="6">
        <v>13.0</v>
      </c>
      <c r="D3803" s="81" t="s">
        <v>6375</v>
      </c>
      <c r="E3803" s="9" t="s">
        <v>6376</v>
      </c>
      <c r="F3803" s="8" t="str">
        <f>IFERROR(__xludf.DUMMYFUNCTION("GOOGLETRANSLATE(D3803,""zh-CN"",""vi"")"),"Ông nội thần núi")</f>
        <v>Ông nội thần núi</v>
      </c>
      <c r="G3803" s="8" t="str">
        <f>IFERROR(__xludf.DUMMYFUNCTION("GOOGLETRANSLATE(E3803,""zh-CN"",""vi"")"),"Một lễ hội long trọng đến nỗi ngay cả thần núi cũng xuống núi để tham dự. (Đã được tổng hợp đến cấp độ cao nhất)")</f>
        <v>Một lễ hội long trọng đến nỗi ngay cả thần núi cũng xuống núi để tham dự. (Đã được tổng hợp đến cấp độ cao nhất)</v>
      </c>
      <c r="H3803" s="8"/>
      <c r="I3803" s="8"/>
      <c r="J3803" s="8"/>
    </row>
    <row r="3804" ht="21.0" customHeight="1">
      <c r="A3804" s="6">
        <v>11.0</v>
      </c>
      <c r="B3804" s="6">
        <v>1090.0</v>
      </c>
      <c r="C3804" s="6">
        <v>1.0</v>
      </c>
      <c r="D3804" s="85" t="s">
        <v>6377</v>
      </c>
      <c r="E3804" s="9" t="s">
        <v>6378</v>
      </c>
      <c r="F3804" s="8" t="str">
        <f>IFERROR(__xludf.DUMMYFUNCTION("GOOGLETRANSLATE(D3804,""zh-CN"",""vi"")"),"đệm ngồi tròn")</f>
        <v>đệm ngồi tròn</v>
      </c>
      <c r="G3804" s="8" t="str">
        <f>IFERROR(__xludf.DUMMYFUNCTION("GOOGLETRANSLATE(E3804,""zh-CN"",""vi"")"),"Những chiếc đệm mềm mại, bông xốp có thể được kết hợp với nhau để tạo thành một chiếc ghế lười.")</f>
        <v>Những chiếc đệm mềm mại, bông xốp có thể được kết hợp với nhau để tạo thành một chiếc ghế lười.</v>
      </c>
      <c r="H3804" s="8"/>
      <c r="I3804" s="8"/>
      <c r="J3804" s="8"/>
    </row>
    <row r="3805" ht="21.0" customHeight="1">
      <c r="A3805" s="6">
        <v>11.0</v>
      </c>
      <c r="B3805" s="6">
        <v>1090.0</v>
      </c>
      <c r="C3805" s="6">
        <v>2.0</v>
      </c>
      <c r="D3805" s="85" t="s">
        <v>6379</v>
      </c>
      <c r="E3805" s="9" t="s">
        <v>6380</v>
      </c>
      <c r="F3805" s="8" t="str">
        <f>IFERROR(__xludf.DUMMYFUNCTION("GOOGLETRANSLATE(D3805,""zh-CN"",""vi"")"),"ghế lười")</f>
        <v>ghế lười</v>
      </c>
      <c r="G3805" s="8" t="str">
        <f>IFERROR(__xludf.DUMMYFUNCTION("GOOGLETRANSLATE(E3805,""zh-CN"",""vi"")"),"Nằm xuống, tôi chỉ muốn chìm vào giấc ngủ. (Một chiếc ghế dài được tạo ra bằng kỹ thuật đồ họa.)")</f>
        <v>Nằm xuống, tôi chỉ muốn chìm vào giấc ngủ. (Một chiếc ghế dài được tạo ra bằng kỹ thuật đồ họa.)</v>
      </c>
      <c r="H3805" s="8"/>
      <c r="I3805" s="8"/>
      <c r="J3805" s="8"/>
    </row>
    <row r="3806" ht="21.0" customHeight="1">
      <c r="A3806" s="6">
        <v>11.0</v>
      </c>
      <c r="B3806" s="6">
        <v>1090.0</v>
      </c>
      <c r="C3806" s="6">
        <v>3.0</v>
      </c>
      <c r="D3806" s="85" t="s">
        <v>6381</v>
      </c>
      <c r="E3806" s="9" t="s">
        <v>6382</v>
      </c>
      <c r="F3806" s="8" t="str">
        <f>IFERROR(__xludf.DUMMYFUNCTION("GOOGLETRANSLATE(D3806,""zh-CN"",""vi"")"),"ghế sofa dài")</f>
        <v>ghế sofa dài</v>
      </c>
      <c r="G3806" s="8" t="str">
        <f>IFERROR(__xludf.DUMMYFUNCTION("GOOGLETRANSLATE(E3806,""zh-CN"",""vi"")"),"Ngồi sát lưng với người bạn thân nhất của bạn ~ Ghép lại để có một chiếc bàn dài để trò chuyện")</f>
        <v>Ngồi sát lưng với người bạn thân nhất của bạn ~ Ghép lại để có một chiếc bàn dài để trò chuyện</v>
      </c>
      <c r="H3806" s="8"/>
      <c r="I3806" s="8"/>
      <c r="J3806" s="8"/>
    </row>
    <row r="3807" ht="21.0" customHeight="1">
      <c r="A3807" s="6">
        <v>11.0</v>
      </c>
      <c r="B3807" s="6">
        <v>1090.0</v>
      </c>
      <c r="C3807" s="6">
        <v>4.0</v>
      </c>
      <c r="D3807" s="67" t="s">
        <v>6383</v>
      </c>
      <c r="E3807" s="9" t="s">
        <v>6384</v>
      </c>
      <c r="F3807" s="8" t="str">
        <f>IFERROR(__xludf.DUMMYFUNCTION("GOOGLETRANSLATE(D3807,""zh-CN"",""vi"")"),"Trò chuyện bên chiếc bàn dài")</f>
        <v>Trò chuyện bên chiếc bàn dài</v>
      </c>
      <c r="G3807" s="8" t="str">
        <f>IFERROR(__xludf.DUMMYFUNCTION("GOOGLETRANSLATE(E3807,""zh-CN"",""vi"")"),"Họ trải lòng và trò chuyện không ngừng. Họ dựng một ngôi nhà nhỏ để tổ chức tiệc.")</f>
        <v>Họ trải lòng và trò chuyện không ngừng. Họ dựng một ngôi nhà nhỏ để tổ chức tiệc.</v>
      </c>
      <c r="H3807" s="8"/>
      <c r="I3807" s="8"/>
      <c r="J3807" s="8"/>
    </row>
    <row r="3808" ht="21.0" customHeight="1">
      <c r="A3808" s="6">
        <v>10.0</v>
      </c>
      <c r="B3808" s="6">
        <v>1090.0</v>
      </c>
      <c r="C3808" s="6">
        <v>5.0</v>
      </c>
      <c r="D3808" s="67" t="s">
        <v>6385</v>
      </c>
      <c r="E3808" s="9" t="s">
        <v>6386</v>
      </c>
      <c r="F3808" s="8" t="str">
        <f>IFERROR(__xludf.DUMMYFUNCTION("GOOGLETRANSLATE(D3808,""zh-CN"",""vi"")"),"Tiệc trong cabin")</f>
        <v>Tiệc trong cabin</v>
      </c>
      <c r="G3808" s="8" t="str">
        <f>IFERROR(__xludf.DUMMYFUNCTION("GOOGLETRANSLATE(E3808,""zh-CN"",""vi"")"),"Một chiếc chăn dài được đắp lên, và cơn buồn ngủ ập đến. (Hãy tự chuẩn bị một bộ dụng cụ cho bữa tiệc cắm trại.)")</f>
        <v>Một chiếc chăn dài được đắp lên, và cơn buồn ngủ ập đến. (Hãy tự chuẩn bị một bộ dụng cụ cho bữa tiệc cắm trại.)</v>
      </c>
      <c r="H3808" s="8"/>
      <c r="I3808" s="8"/>
      <c r="J3808" s="8"/>
    </row>
    <row r="3809" ht="21.0" customHeight="1">
      <c r="A3809" s="6">
        <v>10.0</v>
      </c>
      <c r="B3809" s="6">
        <v>1090.0</v>
      </c>
      <c r="C3809" s="6">
        <v>6.0</v>
      </c>
      <c r="D3809" s="67" t="s">
        <v>6387</v>
      </c>
      <c r="E3809" s="9" t="s">
        <v>6388</v>
      </c>
      <c r="F3809" s="8" t="str">
        <f>IFERROR(__xludf.DUMMYFUNCTION("GOOGLETRANSLATE(D3809,""zh-CN"",""vi"")"),"Tiệc cắm trại")</f>
        <v>Tiệc cắm trại</v>
      </c>
      <c r="G3809" s="8" t="str">
        <f>IFERROR(__xludf.DUMMYFUNCTION("GOOGLETRANSLATE(E3809,""zh-CN"",""vi"")"),"Nếu không có muỗi thì sẽ hoàn hảo hơn nữa! Kết hợp chúng lại để có được ""Tiệc Màn Hình""!")</f>
        <v>Nếu không có muỗi thì sẽ hoàn hảo hơn nữa! Kết hợp chúng lại để có được "Tiệc Màn Hình"!</v>
      </c>
      <c r="H3809" s="8"/>
      <c r="I3809" s="8"/>
      <c r="J3809" s="8"/>
    </row>
    <row r="3810" ht="21.0" customHeight="1">
      <c r="A3810" s="6">
        <v>10.0</v>
      </c>
      <c r="B3810" s="6">
        <v>1090.0</v>
      </c>
      <c r="C3810" s="6">
        <v>7.0</v>
      </c>
      <c r="D3810" s="67" t="s">
        <v>6389</v>
      </c>
      <c r="E3810" s="9" t="s">
        <v>6390</v>
      </c>
      <c r="F3810" s="8" t="str">
        <f>IFERROR(__xludf.DUMMYFUNCTION("GOOGLETRANSLATE(D3810,""zh-CN"",""vi"")"),"Tiệc Màn Ảnh")</f>
        <v>Tiệc Màn Ảnh</v>
      </c>
      <c r="G3810" s="8" t="str">
        <f>IFERROR(__xludf.DUMMYFUNCTION("GOOGLETRANSLATE(E3810,""zh-CN"",""vi"")"),"Xem một bộ phim thành phố giữa khung cảnh thiên nhiên hoang sơ. Kết hợp các ý tưởng để tạo nên một bữa tiệc bên bể bơi.")</f>
        <v>Xem một bộ phim thành phố giữa khung cảnh thiên nhiên hoang sơ. Kết hợp các ý tưởng để tạo nên một bữa tiệc bên bể bơi.</v>
      </c>
      <c r="H3810" s="8"/>
      <c r="I3810" s="8"/>
      <c r="J3810" s="8"/>
    </row>
    <row r="3811" ht="21.0" customHeight="1">
      <c r="A3811" s="6">
        <v>10.0</v>
      </c>
      <c r="B3811" s="6">
        <v>1090.0</v>
      </c>
      <c r="C3811" s="6">
        <v>8.0</v>
      </c>
      <c r="D3811" s="67" t="s">
        <v>6391</v>
      </c>
      <c r="E3811" s="9" t="s">
        <v>6392</v>
      </c>
      <c r="F3811" s="8" t="str">
        <f>IFERROR(__xludf.DUMMYFUNCTION("GOOGLETRANSLATE(D3811,""zh-CN"",""vi"")"),"Tiệc bể bơi")</f>
        <v>Tiệc bể bơi</v>
      </c>
      <c r="G3811" s="8" t="str">
        <f>IFERROR(__xludf.DUMMYFUNCTION("GOOGLETRANSLATE(E3811,""zh-CN"",""vi"")"),"Niềm vui khi vui chơi dưới nước thật khó tả! Hãy kết hợp các vật dụng để tạo nên một bữa tiệc trên du thuyền!")</f>
        <v>Niềm vui khi vui chơi dưới nước thật khó tả! Hãy kết hợp các vật dụng để tạo nên một bữa tiệc trên du thuyền!</v>
      </c>
      <c r="H3811" s="8"/>
      <c r="I3811" s="8"/>
      <c r="J3811" s="8"/>
    </row>
    <row r="3812" ht="21.0" customHeight="1">
      <c r="A3812" s="6">
        <v>10.0</v>
      </c>
      <c r="B3812" s="6">
        <v>1090.0</v>
      </c>
      <c r="C3812" s="6">
        <v>9.0</v>
      </c>
      <c r="D3812" s="67" t="s">
        <v>6393</v>
      </c>
      <c r="E3812" s="9" t="s">
        <v>6394</v>
      </c>
      <c r="F3812" s="8" t="str">
        <f>IFERROR(__xludf.DUMMYFUNCTION("GOOGLETRANSLATE(D3812,""zh-CN"",""vi"")"),"Tiệc trên du thuyền")</f>
        <v>Tiệc trên du thuyền</v>
      </c>
      <c r="G3812" s="8" t="str">
        <f>IFERROR(__xludf.DUMMYFUNCTION("GOOGLETRANSLATE(E3812,""zh-CN"",""vi"")"),"Hãy tận hưởng làn gió biển và để tuổi trẻ của bạn tỏa sáng. (Hoàn thành sự kiện để tạo ra một bữa tiệc tại biệt thự.)")</f>
        <v>Hãy tận hưởng làn gió biển và để tuổi trẻ của bạn tỏa sáng. (Hoàn thành sự kiện để tạo ra một bữa tiệc tại biệt thự.)</v>
      </c>
      <c r="H3812" s="8"/>
      <c r="I3812" s="8"/>
      <c r="J3812" s="8"/>
    </row>
    <row r="3813" ht="21.0" customHeight="1">
      <c r="A3813" s="6">
        <v>10.0</v>
      </c>
      <c r="B3813" s="6">
        <v>1090.0</v>
      </c>
      <c r="C3813" s="6">
        <v>10.0</v>
      </c>
      <c r="D3813" s="67" t="s">
        <v>6395</v>
      </c>
      <c r="E3813" s="9" t="s">
        <v>6396</v>
      </c>
      <c r="F3813" s="8" t="str">
        <f>IFERROR(__xludf.DUMMYFUNCTION("GOOGLETRANSLATE(D3813,""zh-CN"",""vi"")"),"Tiệc tại biệt thự")</f>
        <v>Tiệc tại biệt thự</v>
      </c>
      <c r="G3813" s="8" t="str">
        <f>IFERROR(__xludf.DUMMYFUNCTION("GOOGLETRANSLATE(E3813,""zh-CN"",""vi"")"),"Thuê một biệt thự và tận hưởng tất cả các món ăn, đồ uống và hoạt động giải trí! (Đã đạt cấp độ cao nhất)")</f>
        <v>Thuê một biệt thự và tận hưởng tất cả các món ăn, đồ uống và hoạt động giải trí! (Đã đạt cấp độ cao nhất)</v>
      </c>
      <c r="H3813" s="8"/>
      <c r="I3813" s="8"/>
      <c r="J3813" s="8"/>
    </row>
    <row r="3814" ht="21.0" customHeight="1">
      <c r="A3814" s="6">
        <v>11.0</v>
      </c>
      <c r="B3814" s="6">
        <v>1091.0</v>
      </c>
      <c r="C3814" s="6">
        <v>1.0</v>
      </c>
      <c r="D3814" s="85" t="s">
        <v>6397</v>
      </c>
      <c r="E3814" s="9" t="s">
        <v>6398</v>
      </c>
      <c r="F3814" s="8" t="str">
        <f>IFERROR(__xludf.DUMMYFUNCTION("GOOGLETRANSLATE(D3814,""zh-CN"",""vi"")"),"Đệm ngồi tròn [V]")</f>
        <v>Đệm ngồi tròn [V]</v>
      </c>
      <c r="G3814" s="8" t="str">
        <f>IFERROR(__xludf.DUMMYFUNCTION("GOOGLETRANSLATE(E3814,""zh-CN"",""vi"")"),"Những chiếc đệm mềm mại, êm ái có thể được kết hợp để tạo thành một chiếc ghế lười [V]")</f>
        <v>Những chiếc đệm mềm mại, êm ái có thể được kết hợp để tạo thành một chiếc ghế lười [V]</v>
      </c>
      <c r="H3814" s="8"/>
      <c r="I3814" s="8"/>
      <c r="J3814" s="8"/>
    </row>
    <row r="3815" ht="21.0" customHeight="1">
      <c r="A3815" s="6">
        <v>11.0</v>
      </c>
      <c r="B3815" s="6">
        <v>1091.0</v>
      </c>
      <c r="C3815" s="6">
        <v>2.0</v>
      </c>
      <c r="D3815" s="85" t="s">
        <v>6399</v>
      </c>
      <c r="E3815" s="9" t="s">
        <v>6400</v>
      </c>
      <c r="F3815" s="8" t="str">
        <f>IFERROR(__xludf.DUMMYFUNCTION("GOOGLETRANSLATE(D3815,""zh-CN"",""vi"")"),"Ghế lười [V]")</f>
        <v>Ghế lười [V]</v>
      </c>
      <c r="G3815" s="8" t="str">
        <f>IFERROR(__xludf.DUMMYFUNCTION("GOOGLETRANSLATE(E3815,""zh-CN"",""vi"")"),"Tôi nằm xuống, muốn chìm vào giấc ngủ. (Được chế tạo để có được một chiếc ghế dài [V])")</f>
        <v>Tôi nằm xuống, muốn chìm vào giấc ngủ. (Được chế tạo để có được một chiếc ghế dài [V])</v>
      </c>
      <c r="H3815" s="8"/>
      <c r="I3815" s="8"/>
      <c r="J3815" s="8"/>
    </row>
    <row r="3816" ht="21.0" customHeight="1">
      <c r="A3816" s="6">
        <v>11.0</v>
      </c>
      <c r="B3816" s="6">
        <v>1091.0</v>
      </c>
      <c r="C3816" s="6">
        <v>3.0</v>
      </c>
      <c r="D3816" s="85" t="s">
        <v>6401</v>
      </c>
      <c r="E3816" s="9" t="s">
        <v>6402</v>
      </c>
      <c r="F3816" s="8" t="str">
        <f>IFERROR(__xludf.DUMMYFUNCTION("GOOGLETRANSLATE(D3816,""zh-CN"",""vi"")"),"Ghế sofa dài [V]")</f>
        <v>Ghế sofa dài [V]</v>
      </c>
      <c r="G3816" s="8" t="str">
        <f>IFERROR(__xludf.DUMMYFUNCTION("GOOGLETRANSLATE(E3816,""zh-CN"",""vi"")"),"Ngồi sát bên người bạn thân nhất của bạn~ Ghép chúng lại để tạo thành một chiếc bàn dài để trò chuyện [V]")</f>
        <v>Ngồi sát bên người bạn thân nhất của bạn~ Ghép chúng lại để tạo thành một chiếc bàn dài để trò chuyện [V]</v>
      </c>
      <c r="H3816" s="8"/>
      <c r="I3816" s="8"/>
      <c r="J3816" s="8"/>
    </row>
    <row r="3817" ht="21.0" customHeight="1">
      <c r="A3817" s="6">
        <v>11.0</v>
      </c>
      <c r="B3817" s="6">
        <v>1091.0</v>
      </c>
      <c r="C3817" s="6">
        <v>4.0</v>
      </c>
      <c r="D3817" s="67" t="s">
        <v>6403</v>
      </c>
      <c r="E3817" s="9" t="s">
        <v>6404</v>
      </c>
      <c r="F3817" s="8" t="str">
        <f>IFERROR(__xludf.DUMMYFUNCTION("GOOGLETRANSLATE(D3817,""zh-CN"",""vi"")"),"Hãy tận hưởng cuộc trò chuyện dài bên bàn ăn [V]")</f>
        <v>Hãy tận hưởng cuộc trò chuyện dài bên bàn ăn [V]</v>
      </c>
      <c r="G3817" s="8" t="str">
        <f>IFERROR(__xludf.DUMMYFUNCTION("GOOGLETRANSLATE(E3817,""zh-CN"",""vi"")"),"Hãy giải phóng những suy nghĩ sâu kín nhất và những cuộc trò chuyện bất tận của bạn. Hãy dựng một ngôi nhà nhỏ để tổ chức tiệc! [V]")</f>
        <v>Hãy giải phóng những suy nghĩ sâu kín nhất và những cuộc trò chuyện bất tận của bạn. Hãy dựng một ngôi nhà nhỏ để tổ chức tiệc! [V]</v>
      </c>
      <c r="H3817" s="8"/>
      <c r="I3817" s="8"/>
      <c r="J3817" s="8"/>
    </row>
    <row r="3818" ht="21.0" customHeight="1">
      <c r="A3818" s="6">
        <v>10.0</v>
      </c>
      <c r="B3818" s="6">
        <v>1091.0</v>
      </c>
      <c r="C3818" s="6">
        <v>5.0</v>
      </c>
      <c r="D3818" s="67" t="s">
        <v>6405</v>
      </c>
      <c r="E3818" s="9" t="s">
        <v>6406</v>
      </c>
      <c r="F3818" s="8" t="str">
        <f>IFERROR(__xludf.DUMMYFUNCTION("GOOGLETRANSLATE(D3818,""zh-CN"",""vi"")"),"Tiệc trong cabin [V]")</f>
        <v>Tiệc trong cabin [V]</v>
      </c>
      <c r="G3818" s="8" t="str">
        <f>IFERROR(__xludf.DUMMYFUNCTION("GOOGLETRANSLATE(E3818,""zh-CN"",""vi"")"),"Đắp chăn dài lên người, cơn buồn ngủ ập đến. (Chuẩn bị bộ dụng cụ cắm trại [V])")</f>
        <v>Đắp chăn dài lên người, cơn buồn ngủ ập đến. (Chuẩn bị bộ dụng cụ cắm trại [V])</v>
      </c>
      <c r="H3818" s="8"/>
      <c r="I3818" s="8"/>
      <c r="J3818" s="8"/>
    </row>
    <row r="3819" ht="21.0" customHeight="1">
      <c r="A3819" s="6">
        <v>10.0</v>
      </c>
      <c r="B3819" s="6">
        <v>1091.0</v>
      </c>
      <c r="C3819" s="6">
        <v>6.0</v>
      </c>
      <c r="D3819" s="67" t="s">
        <v>6407</v>
      </c>
      <c r="E3819" s="9" t="s">
        <v>6408</v>
      </c>
      <c r="F3819" s="8" t="str">
        <f>IFERROR(__xludf.DUMMYFUNCTION("GOOGLETRANSLATE(D3819,""zh-CN"",""vi"")"),"Tiệc cắm trại [V]")</f>
        <v>Tiệc cắm trại [V]</v>
      </c>
      <c r="G3819" s="8" t="str">
        <f>IFERROR(__xludf.DUMMYFUNCTION("GOOGLETRANSLATE(E3819,""zh-CN"",""vi"")"),"Nếu không có muỗi thì sẽ hoàn hảo~ Kết hợp chúng lại để có được Screen Party [V]")</f>
        <v>Nếu không có muỗi thì sẽ hoàn hảo~ Kết hợp chúng lại để có được Screen Party [V]</v>
      </c>
      <c r="H3819" s="8"/>
      <c r="I3819" s="8"/>
      <c r="J3819" s="8"/>
    </row>
    <row r="3820" ht="21.0" customHeight="1">
      <c r="A3820" s="6">
        <v>10.0</v>
      </c>
      <c r="B3820" s="6">
        <v>1091.0</v>
      </c>
      <c r="C3820" s="6">
        <v>7.0</v>
      </c>
      <c r="D3820" s="67" t="s">
        <v>6409</v>
      </c>
      <c r="E3820" s="9" t="s">
        <v>6410</v>
      </c>
      <c r="F3820" s="8" t="str">
        <f>IFERROR(__xludf.DUMMYFUNCTION("GOOGLETRANSLATE(D3820,""zh-CN"",""vi"")"),"Tiệc Màn Ảnh [V]")</f>
        <v>Tiệc Màn Ảnh [V]</v>
      </c>
      <c r="G3820" s="8" t="str">
        <f>IFERROR(__xludf.DUMMYFUNCTION("GOOGLETRANSLATE(E3820,""zh-CN"",""vi"")"),"Xem phim thành phố ở vùng nông thôn trong lành, thoáng đãng. Tổng hợp để tạo ra một bữa tiệc bể bơi [V].")</f>
        <v>Xem phim thành phố ở vùng nông thôn trong lành, thoáng đãng. Tổng hợp để tạo ra một bữa tiệc bể bơi [V].</v>
      </c>
      <c r="H3820" s="8"/>
      <c r="I3820" s="8"/>
      <c r="J3820" s="8"/>
    </row>
    <row r="3821" ht="21.0" customHeight="1">
      <c r="A3821" s="6">
        <v>10.0</v>
      </c>
      <c r="B3821" s="6">
        <v>1091.0</v>
      </c>
      <c r="C3821" s="6">
        <v>8.0</v>
      </c>
      <c r="D3821" s="67" t="s">
        <v>6411</v>
      </c>
      <c r="E3821" s="9" t="s">
        <v>6412</v>
      </c>
      <c r="F3821" s="8" t="str">
        <f>IFERROR(__xludf.DUMMYFUNCTION("GOOGLETRANSLATE(D3821,""zh-CN"",""vi"")"),"Tiệc bể bơi [V]")</f>
        <v>Tiệc bể bơi [V]</v>
      </c>
      <c r="G3821" s="8" t="str">
        <f>IFERROR(__xludf.DUMMYFUNCTION("GOOGLETRANSLATE(E3821,""zh-CN"",""vi"")"),"Niềm vui khi chơi đùa dưới nước thật khó tả! Kết hợp các vật phẩm để tạo nên một bữa tiệc trên du thuyền! [V]")</f>
        <v>Niềm vui khi chơi đùa dưới nước thật khó tả! Kết hợp các vật phẩm để tạo nên một bữa tiệc trên du thuyền! [V]</v>
      </c>
      <c r="H3821" s="8"/>
      <c r="I3821" s="8"/>
      <c r="J3821" s="8"/>
    </row>
    <row r="3822" ht="21.0" customHeight="1">
      <c r="A3822" s="6">
        <v>10.0</v>
      </c>
      <c r="B3822" s="6">
        <v>1091.0</v>
      </c>
      <c r="C3822" s="6">
        <v>9.0</v>
      </c>
      <c r="D3822" s="67" t="s">
        <v>6413</v>
      </c>
      <c r="E3822" s="9" t="s">
        <v>6414</v>
      </c>
      <c r="F3822" s="8" t="str">
        <f>IFERROR(__xludf.DUMMYFUNCTION("GOOGLETRANSLATE(D3822,""zh-CN"",""vi"")"),"Tiệc trên du thuyền [V]")</f>
        <v>Tiệc trên du thuyền [V]</v>
      </c>
      <c r="G3822" s="8" t="str">
        <f>IFERROR(__xludf.DUMMYFUNCTION("GOOGLETRANSLATE(E3822,""zh-CN"",""vi"")"),"Hãy tận hưởng làn gió biển và để tuổi trẻ của bạn tỏa sáng. Kết hợp để tạo nên một bữa tiệc tại biệt thự [V]")</f>
        <v>Hãy tận hưởng làn gió biển và để tuổi trẻ của bạn tỏa sáng. Kết hợp để tạo nên một bữa tiệc tại biệt thự [V]</v>
      </c>
      <c r="H3822" s="8"/>
      <c r="I3822" s="8"/>
      <c r="J3822" s="8"/>
    </row>
    <row r="3823" ht="21.0" customHeight="1">
      <c r="A3823" s="6">
        <v>10.0</v>
      </c>
      <c r="B3823" s="6">
        <v>1091.0</v>
      </c>
      <c r="C3823" s="6">
        <v>10.0</v>
      </c>
      <c r="D3823" s="67" t="s">
        <v>6415</v>
      </c>
      <c r="E3823" s="9" t="s">
        <v>6396</v>
      </c>
      <c r="F3823" s="8" t="str">
        <f>IFERROR(__xludf.DUMMYFUNCTION("GOOGLETRANSLATE(D3823,""zh-CN"",""vi"")"),"Tiệc tại biệt thự [V]")</f>
        <v>Tiệc tại biệt thự [V]</v>
      </c>
      <c r="G3823" s="8" t="str">
        <f>IFERROR(__xludf.DUMMYFUNCTION("GOOGLETRANSLATE(E3823,""zh-CN"",""vi"")"),"Thuê một biệt thự và tận hưởng tất cả các món ăn, đồ uống và hoạt động giải trí! (Đã đạt cấp độ cao nhất)")</f>
        <v>Thuê một biệt thự và tận hưởng tất cả các món ăn, đồ uống và hoạt động giải trí! (Đã đạt cấp độ cao nhất)</v>
      </c>
      <c r="H3823" s="8"/>
      <c r="I3823" s="8"/>
      <c r="J3823" s="8"/>
    </row>
    <row r="3824" ht="21.0" customHeight="1">
      <c r="A3824" s="6">
        <v>1.0</v>
      </c>
      <c r="B3824" s="6">
        <v>281.0</v>
      </c>
      <c r="C3824" s="6">
        <v>1.0</v>
      </c>
      <c r="D3824" s="85" t="s">
        <v>6416</v>
      </c>
      <c r="E3824" s="9" t="s">
        <v>6417</v>
      </c>
      <c r="F3824" s="8" t="str">
        <f>IFERROR(__xludf.DUMMYFUNCTION("GOOGLETRANSLATE(D3824,""zh-CN"",""vi"")"),"Bóng bay hình trái tim")</f>
        <v>Bóng bay hình trái tim</v>
      </c>
      <c r="G3824" s="8" t="str">
        <f>IFERROR(__xludf.DUMMYFUNCTION("GOOGLETRANSLATE(E3824,""zh-CN"",""vi"")"),"Một bữa tiệc vui nhộn giúp bạn xua tan mọi lo lắng! Kết hợp các vật phẩm để giành chiến thắng trong trò chơi ném vòng hình con ngỗng khổng lồ.")</f>
        <v>Một bữa tiệc vui nhộn giúp bạn xua tan mọi lo lắng! Kết hợp các vật phẩm để giành chiến thắng trong trò chơi ném vòng hình con ngỗng khổng lồ.</v>
      </c>
      <c r="H3824" s="8"/>
      <c r="I3824" s="8"/>
      <c r="J3824" s="8"/>
    </row>
    <row r="3825" ht="21.0" customHeight="1">
      <c r="A3825" s="6">
        <v>1.0</v>
      </c>
      <c r="B3825" s="6">
        <v>281.0</v>
      </c>
      <c r="C3825" s="6">
        <v>2.0</v>
      </c>
      <c r="D3825" s="85" t="s">
        <v>6418</v>
      </c>
      <c r="E3825" s="9" t="s">
        <v>6419</v>
      </c>
      <c r="F3825" s="8" t="str">
        <f>IFERROR(__xludf.DUMMYFUNCTION("GOOGLETRANSLATE(D3825,""zh-CN"",""vi"")"),"Trò chơi ném vòng hình con ngỗng")</f>
        <v>Trò chơi ném vòng hình con ngỗng</v>
      </c>
      <c r="G3825" s="8" t="str">
        <f>IFERROR(__xludf.DUMMYFUNCTION("GOOGLETRANSLATE(E3825,""zh-CN"",""vi"")"),"Chú ngỗng đáng yêu đang tích cực di chuyển về phía chuồng. (Ghép lại để có được bộ điều khiển trò chơi)")</f>
        <v>Chú ngỗng đáng yêu đang tích cực di chuyển về phía chuồng. (Ghép lại để có được bộ điều khiển trò chơi)</v>
      </c>
      <c r="H3825" s="8"/>
      <c r="I3825" s="8"/>
      <c r="J3825" s="8"/>
    </row>
    <row r="3826" ht="21.0" customHeight="1">
      <c r="A3826" s="6">
        <v>1.0</v>
      </c>
      <c r="B3826" s="6">
        <v>281.0</v>
      </c>
      <c r="C3826" s="6">
        <v>3.0</v>
      </c>
      <c r="D3826" s="85" t="s">
        <v>6420</v>
      </c>
      <c r="E3826" s="9" t="s">
        <v>6421</v>
      </c>
      <c r="F3826" s="8" t="str">
        <f>IFERROR(__xludf.DUMMYFUNCTION("GOOGLETRANSLATE(D3826,""zh-CN"",""vi"")"),"Bộ điều khiển trò chơi")</f>
        <v>Bộ điều khiển trò chơi</v>
      </c>
      <c r="G3826" s="8" t="str">
        <f>IFERROR(__xludf.DUMMYFUNCTION("GOOGLETRANSLATE(E3826,""zh-CN"",""vi"")"),"Với một loạt các thao tác nhấn nhanh, đối thủ đã bị đánh bại. Một chiếc phi tiêu đã được tạo ra thông qua quá trình tổng hợp.")</f>
        <v>Với một loạt các thao tác nhấn nhanh, đối thủ đã bị đánh bại. Một chiếc phi tiêu đã được tạo ra thông qua quá trình tổng hợp.</v>
      </c>
      <c r="H3826" s="8"/>
      <c r="I3826" s="8"/>
      <c r="J3826" s="8"/>
    </row>
    <row r="3827" ht="21.0" customHeight="1">
      <c r="A3827" s="6">
        <v>1.0</v>
      </c>
      <c r="B3827" s="6">
        <v>281.0</v>
      </c>
      <c r="C3827" s="6">
        <v>4.0</v>
      </c>
      <c r="D3827" s="86" t="s">
        <v>6422</v>
      </c>
      <c r="E3827" s="9" t="s">
        <v>6423</v>
      </c>
      <c r="F3827" s="8" t="str">
        <f>IFERROR(__xludf.DUMMYFUNCTION("GOOGLETRANSLATE(D3827,""zh-CN"",""vi"")"),"Phi tiêu")</f>
        <v>Phi tiêu</v>
      </c>
      <c r="G3827" s="8" t="str">
        <f>IFERROR(__xludf.DUMMYFUNCTION("GOOGLETRANSLATE(E3827,""zh-CN"",""vi"")"),"Anh ta không thể tính điểm, chỉ biết đâm chém liên tục. (Ghép lại để tạo thành quả bóng bowling)")</f>
        <v>Anh ta không thể tính điểm, chỉ biết đâm chém liên tục. (Ghép lại để tạo thành quả bóng bowling)</v>
      </c>
      <c r="H3827" s="8"/>
      <c r="I3827" s="8"/>
      <c r="J3827" s="8"/>
    </row>
    <row r="3828" ht="21.0" customHeight="1">
      <c r="A3828" s="6">
        <v>1.0</v>
      </c>
      <c r="B3828" s="6">
        <v>281.0</v>
      </c>
      <c r="C3828" s="6">
        <v>5.0</v>
      </c>
      <c r="D3828" s="85" t="s">
        <v>6424</v>
      </c>
      <c r="E3828" s="9" t="s">
        <v>6425</v>
      </c>
      <c r="F3828" s="8" t="str">
        <f>IFERROR(__xludf.DUMMYFUNCTION("GOOGLETRANSLATE(D3828,""zh-CN"",""vi"")"),"bowling")</f>
        <v>bowling</v>
      </c>
      <c r="G3828" s="8" t="str">
        <f>IFERROR(__xludf.DUMMYFUNCTION("GOOGLETRANSLATE(E3828,""zh-CN"",""vi"")"),"Chắc chắn lần này mình sẽ có được một cái chứ? (Vật phẩm chế tạo: ""Tụ họp bên lửa uống trà"")")</f>
        <v>Chắc chắn lần này mình sẽ có được một cái chứ? (Vật phẩm chế tạo: "Tụ họp bên lửa uống trà")</v>
      </c>
      <c r="H3828" s="8"/>
      <c r="I3828" s="8"/>
      <c r="J3828" s="8"/>
    </row>
    <row r="3829" ht="21.0" customHeight="1">
      <c r="A3829" s="6">
        <v>1.0</v>
      </c>
      <c r="B3829" s="6">
        <v>281.0</v>
      </c>
      <c r="C3829" s="6">
        <v>6.0</v>
      </c>
      <c r="D3829" s="85" t="s">
        <v>6426</v>
      </c>
      <c r="E3829" s="9" t="s">
        <v>6427</v>
      </c>
      <c r="F3829" s="8" t="str">
        <f>IFERROR(__xludf.DUMMYFUNCTION("GOOGLETRANSLATE(D3829,""zh-CN"",""vi"")"),"Pha trà quanh bếp lò")</f>
        <v>Pha trà quanh bếp lò</v>
      </c>
      <c r="G3829" s="8" t="str">
        <f>IFERROR(__xludf.DUMMYFUNCTION("GOOGLETRANSLATE(E3829,""zh-CN"",""vi"")"),"Trong giờ nghỉ, hãy thưởng thức món tráng miệng. Hãy tổng hợp lại để trở thành Vua của các ca sĩ.")</f>
        <v>Trong giờ nghỉ, hãy thưởng thức món tráng miệng. Hãy tổng hợp lại để trở thành Vua của các ca sĩ.</v>
      </c>
      <c r="H3829" s="8"/>
      <c r="I3829" s="8"/>
      <c r="J3829" s="8"/>
    </row>
    <row r="3830" ht="21.0" customHeight="1">
      <c r="A3830" s="6">
        <v>1.0</v>
      </c>
      <c r="B3830" s="6">
        <v>281.0</v>
      </c>
      <c r="C3830" s="6">
        <v>7.0</v>
      </c>
      <c r="D3830" s="67" t="s">
        <v>6428</v>
      </c>
      <c r="E3830" s="9" t="s">
        <v>6429</v>
      </c>
      <c r="F3830" s="8" t="str">
        <f>IFERROR(__xludf.DUMMYFUNCTION("GOOGLETRANSLATE(D3830,""zh-CN"",""vi"")"),"Vua ca sĩ xuất hiện")</f>
        <v>Vua ca sĩ xuất hiện</v>
      </c>
      <c r="G3830" s="8" t="str">
        <f>IFERROR(__xludf.DUMMYFUNCTION("GOOGLETRANSLATE(E3830,""zh-CN"",""vi"")"),"Nữ hoàng karaoke xuất hiện, và mọi người cùng lắng nghe cô ấy hát vang những bài hát. Kết hợp chúng lại để tạo thành một bàn bóng đá.")</f>
        <v>Nữ hoàng karaoke xuất hiện, và mọi người cùng lắng nghe cô ấy hát vang những bài hát. Kết hợp chúng lại để tạo thành một bàn bóng đá.</v>
      </c>
      <c r="H3830" s="8"/>
      <c r="I3830" s="8"/>
      <c r="J3830" s="8"/>
    </row>
    <row r="3831" ht="21.0" customHeight="1">
      <c r="A3831" s="6">
        <v>1.0</v>
      </c>
      <c r="B3831" s="6">
        <v>281.0</v>
      </c>
      <c r="C3831" s="6">
        <v>8.0</v>
      </c>
      <c r="D3831" s="67" t="s">
        <v>6430</v>
      </c>
      <c r="E3831" s="9" t="s">
        <v>6431</v>
      </c>
      <c r="F3831" s="8" t="str">
        <f>IFERROR(__xludf.DUMMYFUNCTION("GOOGLETRANSLATE(D3831,""zh-CN"",""vi"")"),"Bóng đá bàn")</f>
        <v>Bóng đá bàn</v>
      </c>
      <c r="G3831" s="8" t="str">
        <f>IFERROR(__xludf.DUMMYFUNCTION("GOOGLETRANSLATE(E3831,""zh-CN"",""vi"")"),"Một người là một đội. (Ghép đội để lấy máy gắp thú)")</f>
        <v>Một người là một đội. (Ghép đội để lấy máy gắp thú)</v>
      </c>
      <c r="H3831" s="8"/>
      <c r="I3831" s="8"/>
      <c r="J3831" s="8"/>
    </row>
    <row r="3832" ht="21.0" customHeight="1">
      <c r="A3832" s="6">
        <v>1.0</v>
      </c>
      <c r="B3832" s="6">
        <v>281.0</v>
      </c>
      <c r="C3832" s="6">
        <v>9.0</v>
      </c>
      <c r="D3832" s="85" t="s">
        <v>6432</v>
      </c>
      <c r="E3832" s="9" t="s">
        <v>6433</v>
      </c>
      <c r="F3832" s="8" t="str">
        <f>IFERROR(__xludf.DUMMYFUNCTION("GOOGLETRANSLATE(D3832,""zh-CN"",""vi"")"),"máy gắp thú")</f>
        <v>máy gắp thú</v>
      </c>
      <c r="G3832" s="8" t="str">
        <f>IFERROR(__xludf.DUMMYFUNCTION("GOOGLETRANSLATE(E3832,""zh-CN"",""vi"")"),"Tôi có linh cảm cỗ máy này đã lừa tôi. (Ghép các vật phẩm để mở khóa các màn chơi theo phong cách arcade.)")</f>
        <v>Tôi có linh cảm cỗ máy này đã lừa tôi. (Ghép các vật phẩm để mở khóa các màn chơi theo phong cách arcade.)</v>
      </c>
      <c r="H3832" s="8"/>
      <c r="I3832" s="8"/>
      <c r="J3832" s="8"/>
    </row>
    <row r="3833" ht="21.0" customHeight="1">
      <c r="A3833" s="6">
        <v>1.0</v>
      </c>
      <c r="B3833" s="6">
        <v>281.0</v>
      </c>
      <c r="C3833" s="6">
        <v>10.0</v>
      </c>
      <c r="D3833" s="85" t="s">
        <v>6434</v>
      </c>
      <c r="E3833" s="9" t="s">
        <v>6435</v>
      </c>
      <c r="F3833" s="8" t="str">
        <f>IFERROR(__xludf.DUMMYFUNCTION("GOOGLETRANSLATE(D3833,""zh-CN"",""vi"")"),"Trò chơi điện tử")</f>
        <v>Trò chơi điện tử</v>
      </c>
      <c r="G3833" s="8" t="str">
        <f>IFERROR(__xludf.DUMMYFUNCTION("GOOGLETRANSLATE(E3833,""zh-CN"",""vi"")"),"Nhảy lên ăn nấm, nhảy lên lần nữa để giẫm lên quái vật~ Kết hợp chúng để có được ""Ta là Thần Mạt Chưởng"".")</f>
        <v>Nhảy lên ăn nấm, nhảy lên lần nữa để giẫm lên quái vật~ Kết hợp chúng để có được "Ta là Thần Mạt Chưởng".</v>
      </c>
      <c r="H3833" s="8"/>
      <c r="I3833" s="8"/>
      <c r="J3833" s="8"/>
    </row>
    <row r="3834" ht="21.0" customHeight="1">
      <c r="A3834" s="6">
        <v>1.0</v>
      </c>
      <c r="B3834" s="6">
        <v>281.0</v>
      </c>
      <c r="C3834" s="6">
        <v>11.0</v>
      </c>
      <c r="D3834" s="85" t="s">
        <v>6436</v>
      </c>
      <c r="E3834" s="9" t="s">
        <v>6437</v>
      </c>
      <c r="F3834" s="8" t="str">
        <f>IFERROR(__xludf.DUMMYFUNCTION("GOOGLETRANSLATE(D3834,""zh-CN"",""vi"")"),"Ta là Thần Mạt Chược")</f>
        <v>Ta là Thần Mạt Chược</v>
      </c>
      <c r="G3834" s="8" t="str">
        <f>IFERROR(__xludf.DUMMYFUNCTION("GOOGLETRANSLATE(E3834,""zh-CN"",""vi"")"),"Điều tệ nhất là khi ai đó tắt đèn!!! Hãy chế tạo chúng để có được quả cầu ánh sáng rực rỡ.")</f>
        <v>Điều tệ nhất là khi ai đó tắt đèn!!! Hãy chế tạo chúng để có được quả cầu ánh sáng rực rỡ.</v>
      </c>
      <c r="H3834" s="8"/>
      <c r="I3834" s="8"/>
      <c r="J3834" s="8"/>
    </row>
    <row r="3835" ht="21.0" customHeight="1">
      <c r="A3835" s="6">
        <v>1.0</v>
      </c>
      <c r="B3835" s="6">
        <v>281.0</v>
      </c>
      <c r="C3835" s="6">
        <v>12.0</v>
      </c>
      <c r="D3835" s="85" t="s">
        <v>6438</v>
      </c>
      <c r="E3835" s="9" t="s">
        <v>6439</v>
      </c>
      <c r="F3835" s="8" t="str">
        <f>IFERROR(__xludf.DUMMYFUNCTION("GOOGLETRANSLATE(D3835,""zh-CN"",""vi"")"),"quả cầu disco rực rỡ")</f>
        <v>quả cầu disco rực rỡ</v>
      </c>
      <c r="G3835" s="8" t="str">
        <f>IFERROR(__xludf.DUMMYFUNCTION("GOOGLETRANSLATE(E3835,""zh-CN"",""vi"")"),"Dưới ánh đèn neon, những lời nói đã tìm thấy can đảm để được thốt ra. (Đoạn câu ""tổng hợp"" dường như không liên quan và có thể đề cập đến một hoạt động hoặc sự kiện riêng biệt.)")</f>
        <v>Dưới ánh đèn neon, những lời nói đã tìm thấy can đảm để được thốt ra. (Đoạn câu "tổng hợp" dường như không liên quan và có thể đề cập đến một hoạt động hoặc sự kiện riêng biệt.)</v>
      </c>
      <c r="H3835" s="8"/>
      <c r="I3835" s="8"/>
      <c r="J3835" s="8"/>
    </row>
    <row r="3836" ht="21.0" customHeight="1">
      <c r="A3836" s="6">
        <v>1.0</v>
      </c>
      <c r="B3836" s="6">
        <v>281.0</v>
      </c>
      <c r="C3836" s="6">
        <v>13.0</v>
      </c>
      <c r="D3836" s="67" t="s">
        <v>6440</v>
      </c>
      <c r="E3836" s="9" t="s">
        <v>6441</v>
      </c>
      <c r="F3836" s="8" t="str">
        <f>IFERROR(__xludf.DUMMYFUNCTION("GOOGLETRANSLATE(D3836,""zh-CN"",""vi"")"),"Nghe nhạc và nhảy múa")</f>
        <v>Nghe nhạc và nhảy múa</v>
      </c>
      <c r="G3836" s="8" t="str">
        <f>IFERROR(__xludf.DUMMYFUNCTION("GOOGLETRANSLATE(E3836,""zh-CN"",""vi"")"),"Những bước nhảy quyến rũ của cô ấy giống như của quỷ dữ. (Đã ở đẳng cấp cao nhất)")</f>
        <v>Những bước nhảy quyến rũ của cô ấy giống như của quỷ dữ. (Đã ở đẳng cấp cao nhất)</v>
      </c>
      <c r="H3836" s="8"/>
      <c r="I3836" s="8"/>
      <c r="J3836" s="8"/>
    </row>
    <row r="3837" ht="21.0" customHeight="1">
      <c r="A3837" s="6">
        <v>1.0</v>
      </c>
      <c r="B3837" s="6">
        <v>282.0</v>
      </c>
      <c r="C3837" s="6">
        <v>1.0</v>
      </c>
      <c r="D3837" s="85" t="s">
        <v>6442</v>
      </c>
      <c r="E3837" s="9" t="s">
        <v>6443</v>
      </c>
      <c r="F3837" s="8" t="str">
        <f>IFERROR(__xludf.DUMMYFUNCTION("GOOGLETRANSLATE(D3837,""zh-CN"",""vi"")"),"Xúc xắc tiệc tùng")</f>
        <v>Xúc xắc tiệc tùng</v>
      </c>
      <c r="G3837" s="8" t="str">
        <f>IFERROR(__xludf.DUMMYFUNCTION("GOOGLETRANSLATE(E3837,""zh-CN"",""vi"")"),"Tôi vừa mua một ít xúc xắc, hy vọng là tôi sẽ không vứt chúng đi ngay, để tôi có thể kết hợp chúng lại thành các mảnh ghép nhân vật.")</f>
        <v>Tôi vừa mua một ít xúc xắc, hy vọng là tôi sẽ không vứt chúng đi ngay, để tôi có thể kết hợp chúng lại thành các mảnh ghép nhân vật.</v>
      </c>
      <c r="H3837" s="8"/>
      <c r="I3837" s="8"/>
      <c r="J3837" s="8"/>
    </row>
    <row r="3838" ht="21.0" customHeight="1">
      <c r="A3838" s="6">
        <v>1.0</v>
      </c>
      <c r="B3838" s="6">
        <v>282.0</v>
      </c>
      <c r="C3838" s="6">
        <v>2.0</v>
      </c>
      <c r="D3838" s="85" t="s">
        <v>6444</v>
      </c>
      <c r="E3838" s="9" t="s">
        <v>6445</v>
      </c>
      <c r="F3838" s="8" t="str">
        <f>IFERROR(__xludf.DUMMYFUNCTION("GOOGLETRANSLATE(D3838,""zh-CN"",""vi"")"),"Các tác phẩm nhân vật")</f>
        <v>Các tác phẩm nhân vật</v>
      </c>
      <c r="G3838" s="8" t="str">
        <f>IFERROR(__xludf.DUMMYFUNCTION("GOOGLETRANSLATE(E3838,""zh-CN"",""vi"")"),"Màu Klein Blue là màu may mắn của tôi! (Tài nguyên chế tạo)")</f>
        <v>Màu Klein Blue là màu may mắn của tôi! (Tài nguyên chế tạo)</v>
      </c>
      <c r="H3838" s="8"/>
      <c r="I3838" s="8"/>
      <c r="J3838" s="8"/>
    </row>
    <row r="3839" ht="21.0" customHeight="1">
      <c r="A3839" s="6">
        <v>1.0</v>
      </c>
      <c r="B3839" s="6">
        <v>282.0</v>
      </c>
      <c r="C3839" s="6">
        <v>3.0</v>
      </c>
      <c r="D3839" s="85" t="s">
        <v>6446</v>
      </c>
      <c r="E3839" s="9" t="s">
        <v>6447</v>
      </c>
      <c r="F3839" s="8" t="str">
        <f>IFERROR(__xludf.DUMMYFUNCTION("GOOGLETRANSLATE(D3839,""zh-CN"",""vi"")"),"tài sản")</f>
        <v>tài sản</v>
      </c>
      <c r="G3839" s="8" t="str">
        <f>IFERROR(__xludf.DUMMYFUNCTION("GOOGLETRANSLATE(E3839,""zh-CN"",""vi"")"),"Lén lút bỏ thêm vài thẻ tài sản vào túi~ Kết hợp chúng để nhận được thẻ chiến lược.")</f>
        <v>Lén lút bỏ thêm vài thẻ tài sản vào túi~ Kết hợp chúng để nhận được thẻ chiến lược.</v>
      </c>
      <c r="H3839" s="8"/>
      <c r="I3839" s="8"/>
      <c r="J3839" s="8"/>
    </row>
    <row r="3840" ht="21.0" customHeight="1">
      <c r="A3840" s="6">
        <v>1.0</v>
      </c>
      <c r="B3840" s="6">
        <v>282.0</v>
      </c>
      <c r="C3840" s="6">
        <v>4.0</v>
      </c>
      <c r="D3840" s="86" t="s">
        <v>6448</v>
      </c>
      <c r="E3840" s="9" t="s">
        <v>6449</v>
      </c>
      <c r="F3840" s="8" t="str">
        <f>IFERROR(__xludf.DUMMYFUNCTION("GOOGLETRANSLATE(D3840,""zh-CN"",""vi"")"),"Thẻ chiến lược")</f>
        <v>Thẻ chiến lược</v>
      </c>
      <c r="G3840" s="8" t="str">
        <f>IFERROR(__xludf.DUMMYFUNCTION("GOOGLETRANSLATE(E3840,""zh-CN"",""vi"")"),"Sử dụng các lá bài chiến lược để xoay chuyển cục diện trận chiến! Kết hợp chúng để giành được vùng đất khởi đầu.")</f>
        <v>Sử dụng các lá bài chiến lược để xoay chuyển cục diện trận chiến! Kết hợp chúng để giành được vùng đất khởi đầu.</v>
      </c>
      <c r="H3840" s="8"/>
      <c r="I3840" s="8"/>
      <c r="J3840" s="8"/>
    </row>
    <row r="3841" ht="21.0" customHeight="1">
      <c r="A3841" s="6">
        <v>1.0</v>
      </c>
      <c r="B3841" s="6">
        <v>282.0</v>
      </c>
      <c r="C3841" s="6">
        <v>5.0</v>
      </c>
      <c r="D3841" s="87" t="s">
        <v>6450</v>
      </c>
      <c r="E3841" s="9" t="s">
        <v>6451</v>
      </c>
      <c r="F3841" s="8" t="str">
        <f>IFERROR(__xludf.DUMMYFUNCTION("GOOGLETRANSLATE(D3841,""zh-CN"",""vi"")"),"Biểu đồ điểm bắt đầu")</f>
        <v>Biểu đồ điểm bắt đầu</v>
      </c>
      <c r="G3841" s="8" t="str">
        <f>IFERROR(__xludf.DUMMYFUNCTION("GOOGLETRANSLATE(E3841,""zh-CN"",""vi"")"),"Tất cả các mảnh ghép đều bắt đầu từ điểm xuất phát. Việc kết hợp các mảnh ghép tạo không gian cho chúng tiến về phía trước.")</f>
        <v>Tất cả các mảnh ghép đều bắt đầu từ điểm xuất phát. Việc kết hợp các mảnh ghép tạo không gian cho chúng tiến về phía trước.</v>
      </c>
      <c r="H3841" s="8"/>
      <c r="I3841" s="8"/>
      <c r="J3841" s="8"/>
    </row>
    <row r="3842" ht="21.0" customHeight="1">
      <c r="A3842" s="6">
        <v>1.0</v>
      </c>
      <c r="B3842" s="6">
        <v>282.0</v>
      </c>
      <c r="C3842" s="6">
        <v>6.0</v>
      </c>
      <c r="D3842" s="86" t="s">
        <v>6452</v>
      </c>
      <c r="E3842" s="9" t="s">
        <v>6453</v>
      </c>
      <c r="F3842" s="8" t="str">
        <f>IFERROR(__xludf.DUMMYFUNCTION("GOOGLETRANSLATE(D3842,""zh-CN"",""vi"")"),"Âm mưu Càn Tân")</f>
        <v>Âm mưu Càn Tân</v>
      </c>
      <c r="G3842" s="8" t="str">
        <f>IFERROR(__xludf.DUMMYFUNCTION("GOOGLETRANSLATE(E3842,""zh-CN"",""vi"")"),"Bước lên đó cho phép bạn tiến lên 2 ô. Kết hợp chúng để có được một mảnh đất để mua.")</f>
        <v>Bước lên đó cho phép bạn tiến lên 2 ô. Kết hợp chúng để có được một mảnh đất để mua.</v>
      </c>
      <c r="H3842" s="8"/>
      <c r="I3842" s="8"/>
      <c r="J3842" s="8"/>
    </row>
    <row r="3843" ht="21.0" customHeight="1">
      <c r="A3843" s="6">
        <v>1.0</v>
      </c>
      <c r="B3843" s="6">
        <v>282.0</v>
      </c>
      <c r="C3843" s="6">
        <v>7.0</v>
      </c>
      <c r="D3843" s="86" t="s">
        <v>6454</v>
      </c>
      <c r="E3843" s="9" t="s">
        <v>6455</v>
      </c>
      <c r="F3843" s="8" t="str">
        <f>IFERROR(__xludf.DUMMYFUNCTION("GOOGLETRANSLATE(D3843,""zh-CN"",""vi"")"),"Các lô đất cần mua")</f>
        <v>Các lô đất cần mua</v>
      </c>
      <c r="G3843" s="8" t="str">
        <f>IFERROR(__xludf.DUMMYFUNCTION("GOOGLETRANSLATE(E3843,""zh-CN"",""vi"")"),"Mảnh đất này là của tôi! (Tổng hợp để có được một mảnh đất)")</f>
        <v>Mảnh đất này là của tôi! (Tổng hợp để có được một mảnh đất)</v>
      </c>
      <c r="H3843" s="8"/>
      <c r="I3843" s="8"/>
      <c r="J3843" s="8"/>
    </row>
    <row r="3844" ht="21.0" customHeight="1">
      <c r="A3844" s="6">
        <v>1.0</v>
      </c>
      <c r="B3844" s="6">
        <v>282.0</v>
      </c>
      <c r="C3844" s="6">
        <v>8.0</v>
      </c>
      <c r="D3844" s="86" t="s">
        <v>6456</v>
      </c>
      <c r="E3844" s="9" t="s">
        <v>6457</v>
      </c>
      <c r="F3844" s="8" t="str">
        <f>IFERROR(__xludf.DUMMYFUNCTION("GOOGLETRANSLATE(D3844,""zh-CN"",""vi"")"),"Lô đất cơ hội")</f>
        <v>Lô đất cơ hội</v>
      </c>
      <c r="G3844" s="8" t="str">
        <f>IFERROR(__xludf.DUMMYFUNCTION("GOOGLETRANSLATE(E3844,""zh-CN"",""vi"")"),"Những sự kiện thú vị nào sẽ xảy ra? Hãy tìm cách để có được điểm dừng.")</f>
        <v>Những sự kiện thú vị nào sẽ xảy ra? Hãy tìm cách để có được điểm dừng.</v>
      </c>
      <c r="H3844" s="8"/>
      <c r="I3844" s="8"/>
      <c r="J3844" s="8"/>
    </row>
    <row r="3845" ht="21.0" customHeight="1">
      <c r="A3845" s="6">
        <v>1.0</v>
      </c>
      <c r="B3845" s="6">
        <v>282.0</v>
      </c>
      <c r="C3845" s="6">
        <v>9.0</v>
      </c>
      <c r="D3845" s="87" t="s">
        <v>6458</v>
      </c>
      <c r="E3845" s="9" t="s">
        <v>6459</v>
      </c>
      <c r="F3845" s="8" t="str">
        <f>IFERROR(__xludf.DUMMYFUNCTION("GOOGLETRANSLATE(D3845,""zh-CN"",""vi"")"),"Lô đất nhà ở")</f>
        <v>Lô đất nhà ở</v>
      </c>
      <c r="G3845" s="8" t="str">
        <f>IFERROR(__xludf.DUMMYFUNCTION("GOOGLETRANSLATE(E3845,""zh-CN"",""vi"")"),"Waaaaah~ Phải đợi thêm một lượt nữa nó mới xuất hiện. (Chế tạo sẽ cho ra các khối xây dựng.)")</f>
        <v>Waaaaah~ Phải đợi thêm một lượt nữa nó mới xuất hiện. (Chế tạo sẽ cho ra các khối xây dựng.)</v>
      </c>
      <c r="H3845" s="8"/>
      <c r="I3845" s="8"/>
      <c r="J3845" s="8"/>
    </row>
    <row r="3846" ht="21.0" customHeight="1">
      <c r="A3846" s="6">
        <v>1.0</v>
      </c>
      <c r="B3846" s="6">
        <v>282.0</v>
      </c>
      <c r="C3846" s="6">
        <v>10.0</v>
      </c>
      <c r="D3846" s="87" t="s">
        <v>6460</v>
      </c>
      <c r="E3846" s="9" t="s">
        <v>6461</v>
      </c>
      <c r="F3846" s="8" t="str">
        <f>IFERROR(__xludf.DUMMYFUNCTION("GOOGLETRANSLATE(D3846,""zh-CN"",""vi"")"),"Công trường xây dựng")</f>
        <v>Công trường xây dựng</v>
      </c>
      <c r="G3846" s="8" t="str">
        <f>IFERROR(__xludf.DUMMYFUNCTION("GOOGLETRANSLATE(E3846,""zh-CN"",""vi"")"),"Sơ đồ này đang được xây dựng, vui lòng theo dõi. Tổng hợp để có được sơ đồ nhà máy điện.")</f>
        <v>Sơ đồ này đang được xây dựng, vui lòng theo dõi. Tổng hợp để có được sơ đồ nhà máy điện.</v>
      </c>
      <c r="H3846" s="8"/>
      <c r="I3846" s="8"/>
      <c r="J3846" s="8"/>
    </row>
    <row r="3847" ht="21.0" customHeight="1">
      <c r="A3847" s="6">
        <v>1.0</v>
      </c>
      <c r="B3847" s="6">
        <v>282.0</v>
      </c>
      <c r="C3847" s="6">
        <v>11.0</v>
      </c>
      <c r="D3847" s="88" t="s">
        <v>6462</v>
      </c>
      <c r="E3847" s="9" t="s">
        <v>6463</v>
      </c>
      <c r="F3847" s="8" t="str">
        <f>IFERROR(__xludf.DUMMYFUNCTION("GOOGLETRANSLATE(D3847,""zh-CN"",""vi"")"),"Địa điểm nhà máy điện")</f>
        <v>Địa điểm nhà máy điện</v>
      </c>
      <c r="G3847" s="8" t="str">
        <f>IFERROR(__xludf.DUMMYFUNCTION("GOOGLETRANSLATE(E3847,""zh-CN"",""vi"")"),"Khi bước lên nó, các công trình của người chơi khác sẽ bị đóng cửa trong một lượt! Kết hợp nó để có được một lô đất thế chấp.")</f>
        <v>Khi bước lên nó, các công trình của người chơi khác sẽ bị đóng cửa trong một lượt! Kết hợp nó để có được một lô đất thế chấp.</v>
      </c>
      <c r="H3847" s="8"/>
      <c r="I3847" s="8"/>
      <c r="J3847" s="8"/>
    </row>
    <row r="3848" ht="21.0" customHeight="1">
      <c r="A3848" s="6">
        <v>1.0</v>
      </c>
      <c r="B3848" s="6">
        <v>282.0</v>
      </c>
      <c r="C3848" s="6">
        <v>12.0</v>
      </c>
      <c r="D3848" s="86" t="s">
        <v>6464</v>
      </c>
      <c r="E3848" s="9" t="s">
        <v>6465</v>
      </c>
      <c r="F3848" s="8" t="str">
        <f>IFERROR(__xludf.DUMMYFUNCTION("GOOGLETRANSLATE(D3848,""zh-CN"",""vi"")"),"Đất thế chấp")</f>
        <v>Đất thế chấp</v>
      </c>
      <c r="G3848" s="8" t="str">
        <f>IFERROR(__xludf.DUMMYFUNCTION("GOOGLETRANSLATE(E3848,""zh-CN"",""vi"")"),"Mảnh đất này đã bị ngân hàng tịch thu. (Câu cuối cùng dường như là một cụm từ riêng biệt, không liên quan: ""Ghép hình để giành được danh hiệu trò chơi Monopoly."")")</f>
        <v>Mảnh đất này đã bị ngân hàng tịch thu. (Câu cuối cùng dường như là một cụm từ riêng biệt, không liên quan: "Ghép hình để giành được danh hiệu trò chơi Monopoly.")</v>
      </c>
      <c r="H3848" s="8"/>
      <c r="I3848" s="8"/>
      <c r="J3848" s="8"/>
    </row>
    <row r="3849" ht="21.0" customHeight="1">
      <c r="A3849" s="6">
        <v>1.0</v>
      </c>
      <c r="B3849" s="6">
        <v>282.0</v>
      </c>
      <c r="C3849" s="6">
        <v>13.0</v>
      </c>
      <c r="D3849" s="86" t="s">
        <v>6466</v>
      </c>
      <c r="E3849" s="9" t="s">
        <v>6467</v>
      </c>
      <c r="F3849" s="8" t="str">
        <f>IFERROR(__xludf.DUMMYFUNCTION("GOOGLETRANSLATE(D3849,""zh-CN"",""vi"")"),"Tên trò chơi Monopoly")</f>
        <v>Tên trò chơi Monopoly</v>
      </c>
      <c r="G3849" s="8" t="str">
        <f>IFERROR(__xludf.DUMMYFUNCTION("GOOGLETRANSLATE(E3849,""zh-CN"",""vi"")"),"Cuộc phiêu lưu làm ông trùm của Tiểu Mei: Bất ngờ và niềm vui bất tận! Đã được tổng hợp đến cấp độ cao nhất!")</f>
        <v>Cuộc phiêu lưu làm ông trùm của Tiểu Mei: Bất ngờ và niềm vui bất tận! Đã được tổng hợp đến cấp độ cao nhất!</v>
      </c>
      <c r="H3849" s="8"/>
      <c r="I3849" s="8"/>
      <c r="J3849" s="8"/>
    </row>
    <row r="3850" ht="21.0" customHeight="1">
      <c r="A3850" s="6">
        <v>1.0</v>
      </c>
      <c r="B3850" s="6">
        <v>283.0</v>
      </c>
      <c r="C3850" s="6">
        <v>1.0</v>
      </c>
      <c r="D3850" s="85" t="s">
        <v>6468</v>
      </c>
      <c r="E3850" s="9" t="s">
        <v>6469</v>
      </c>
      <c r="F3850" s="8" t="str">
        <f>IFERROR(__xludf.DUMMYFUNCTION("GOOGLETRANSLATE(D3850,""zh-CN"",""vi"")"),"người làm vườn")</f>
        <v>người làm vườn</v>
      </c>
      <c r="G3850" s="8" t="str">
        <f>IFERROR(__xludf.DUMMYFUNCTION("GOOGLETRANSLATE(E3850,""zh-CN"",""vi"")"),"Người làm vườn mới, hãy trồng hoa để kiếm thêm tiền. Cùng nhau chế tạo đồ vật để trở thành thợ rèn.")</f>
        <v>Người làm vườn mới, hãy trồng hoa để kiếm thêm tiền. Cùng nhau chế tạo đồ vật để trở thành thợ rèn.</v>
      </c>
      <c r="H3850" s="8"/>
      <c r="I3850" s="8"/>
      <c r="J3850" s="8"/>
    </row>
    <row r="3851" ht="21.0" customHeight="1">
      <c r="A3851" s="6">
        <v>1.0</v>
      </c>
      <c r="B3851" s="6">
        <v>283.0</v>
      </c>
      <c r="C3851" s="6">
        <v>2.0</v>
      </c>
      <c r="D3851" s="67" t="s">
        <v>6470</v>
      </c>
      <c r="E3851" s="9" t="s">
        <v>6471</v>
      </c>
      <c r="F3851" s="8" t="str">
        <f>IFERROR(__xludf.DUMMYFUNCTION("GOOGLETRANSLATE(D3851,""zh-CN"",""vi"")"),"thợ rèn")</f>
        <v>thợ rèn</v>
      </c>
      <c r="G3851" s="8" t="str">
        <f>IFERROR(__xludf.DUMMYFUNCTION("GOOGLETRANSLATE(E3851,""zh-CN"",""vi"")"),"Với mỗi bước đi, bạn có thể rèn vũ khí và công cụ. Bạn cũng có thể tạo ra một người hầu gái thông qua việc chế tạo.")</f>
        <v>Với mỗi bước đi, bạn có thể rèn vũ khí và công cụ. Bạn cũng có thể tạo ra một người hầu gái thông qua việc chế tạo.</v>
      </c>
      <c r="H3851" s="8"/>
      <c r="I3851" s="8"/>
      <c r="J3851" s="8"/>
    </row>
    <row r="3852" ht="21.0" customHeight="1">
      <c r="A3852" s="6">
        <v>1.0</v>
      </c>
      <c r="B3852" s="6">
        <v>283.0</v>
      </c>
      <c r="C3852" s="6">
        <v>3.0</v>
      </c>
      <c r="D3852" s="85" t="s">
        <v>6472</v>
      </c>
      <c r="E3852" s="9" t="s">
        <v>6473</v>
      </c>
      <c r="F3852" s="8" t="str">
        <f>IFERROR(__xludf.DUMMYFUNCTION("GOOGLETRANSLATE(D3852,""zh-CN"",""vi"")"),"Người hầu gái")</f>
        <v>Người hầu gái</v>
      </c>
      <c r="G3852" s="8" t="str">
        <f>IFERROR(__xludf.DUMMYFUNCTION("GOOGLETRANSLATE(E3852,""zh-CN"",""vi"")"),"Giỏi dọn dẹp, thu thập đồ trang sức cổ mỗi vòng chơi. Kết hợp chúng để có được một quản gia.")</f>
        <v>Giỏi dọn dẹp, thu thập đồ trang sức cổ mỗi vòng chơi. Kết hợp chúng để có được một quản gia.</v>
      </c>
      <c r="H3852" s="8"/>
      <c r="I3852" s="8"/>
      <c r="J3852" s="8"/>
    </row>
    <row r="3853" ht="21.0" customHeight="1">
      <c r="A3853" s="6">
        <v>1.0</v>
      </c>
      <c r="B3853" s="6">
        <v>283.0</v>
      </c>
      <c r="C3853" s="6">
        <v>4.0</v>
      </c>
      <c r="D3853" s="67" t="s">
        <v>6474</v>
      </c>
      <c r="E3853" s="9" t="s">
        <v>6475</v>
      </c>
      <c r="F3853" s="8" t="str">
        <f>IFERROR(__xludf.DUMMYFUNCTION("GOOGLETRANSLATE(D3853,""zh-CN"",""vi"")"),"người giúp việc")</f>
        <v>người giúp việc</v>
      </c>
      <c r="G3853" s="8" t="str">
        <f>IFERROR(__xludf.DUMMYFUNCTION("GOOGLETRANSLATE(E3853,""zh-CN"",""vi"")"),"Giỏi quản lý, gia tăng tổng thu nhập tiền vàng. Tổng hợp để đạt được cấp bậc hiệp sĩ.")</f>
        <v>Giỏi quản lý, gia tăng tổng thu nhập tiền vàng. Tổng hợp để đạt được cấp bậc hiệp sĩ.</v>
      </c>
      <c r="H3853" s="8"/>
      <c r="I3853" s="8"/>
      <c r="J3853" s="8"/>
    </row>
    <row r="3854" ht="21.0" customHeight="1">
      <c r="A3854" s="6">
        <v>1.0</v>
      </c>
      <c r="B3854" s="6">
        <v>283.0</v>
      </c>
      <c r="C3854" s="6">
        <v>5.0</v>
      </c>
      <c r="D3854" s="85" t="s">
        <v>6476</v>
      </c>
      <c r="E3854" s="9" t="s">
        <v>6477</v>
      </c>
      <c r="F3854" s="8" t="str">
        <f>IFERROR(__xludf.DUMMYFUNCTION("GOOGLETRANSLATE(D3854,""zh-CN"",""vi"")"),"hiệp sĩ")</f>
        <v>hiệp sĩ</v>
      </c>
      <c r="G3854" s="8" t="str">
        <f>IFERROR(__xludf.DUMMYFUNCTION("GOOGLETRANSLATE(E3854,""zh-CN"",""vi"")"),"Một hiệp sĩ liều lĩnh có thể chọn bắt đầu một cuộc đấu tay đôi. Kết hợp chúng lại để có được một Nam tước.")</f>
        <v>Một hiệp sĩ liều lĩnh có thể chọn bắt đầu một cuộc đấu tay đôi. Kết hợp chúng lại để có được một Nam tước.</v>
      </c>
      <c r="H3854" s="8"/>
      <c r="I3854" s="8"/>
      <c r="J3854" s="8"/>
    </row>
    <row r="3855" ht="21.0" customHeight="1">
      <c r="A3855" s="6">
        <v>1.0</v>
      </c>
      <c r="B3855" s="6">
        <v>283.0</v>
      </c>
      <c r="C3855" s="6">
        <v>6.0</v>
      </c>
      <c r="D3855" s="85" t="s">
        <v>6478</v>
      </c>
      <c r="E3855" s="9" t="s">
        <v>6479</v>
      </c>
      <c r="F3855" s="8" t="str">
        <f>IFERROR(__xludf.DUMMYFUNCTION("GOOGLETRANSLATE(D3855,""zh-CN"",""vi"")"),"nam tước")</f>
        <v>nam tước</v>
      </c>
      <c r="G3855" s="8" t="str">
        <f>IFERROR(__xludf.DUMMYFUNCTION("GOOGLETRANSLATE(E3855,""zh-CN"",""vi"")"),"Bạn sẽ nhận được thêm một mảnh đất khi bắt đầu trò chơi sau khi được ban cho một thái ấp. Bạn cũng có thể tạo ra một ca sĩ.")</f>
        <v>Bạn sẽ nhận được thêm một mảnh đất khi bắt đầu trò chơi sau khi được ban cho một thái ấp. Bạn cũng có thể tạo ra một ca sĩ.</v>
      </c>
      <c r="H3855" s="8"/>
      <c r="I3855" s="8"/>
      <c r="J3855" s="8"/>
    </row>
    <row r="3856" ht="21.0" customHeight="1">
      <c r="A3856" s="6">
        <v>1.0</v>
      </c>
      <c r="B3856" s="6">
        <v>283.0</v>
      </c>
      <c r="C3856" s="6">
        <v>7.0</v>
      </c>
      <c r="D3856" s="67" t="s">
        <v>6480</v>
      </c>
      <c r="E3856" s="9" t="s">
        <v>6481</v>
      </c>
      <c r="F3856" s="8" t="str">
        <f>IFERROR(__xludf.DUMMYFUNCTION("GOOGLETRANSLATE(D3856,""zh-CN"",""vi"")"),"ca sĩ")</f>
        <v>ca sĩ</v>
      </c>
      <c r="G3856" s="8" t="str">
        <f>IFERROR(__xludf.DUMMYFUNCTION("GOOGLETRANSLATE(E3856,""zh-CN"",""vi"")"),"Bạn có thể tự xây dựng địa điểm biểu diễn âm nhạc của riêng mình, thu phí vào cửa từ mọi người và tổng hợp các ảo thuật gia.")</f>
        <v>Bạn có thể tự xây dựng địa điểm biểu diễn âm nhạc của riêng mình, thu phí vào cửa từ mọi người và tổng hợp các ảo thuật gia.</v>
      </c>
      <c r="H3856" s="8"/>
      <c r="I3856" s="8"/>
      <c r="J3856" s="8"/>
    </row>
    <row r="3857" ht="21.0" customHeight="1">
      <c r="A3857" s="6">
        <v>1.0</v>
      </c>
      <c r="B3857" s="6">
        <v>283.0</v>
      </c>
      <c r="C3857" s="6">
        <v>8.0</v>
      </c>
      <c r="D3857" s="85" t="s">
        <v>6482</v>
      </c>
      <c r="E3857" s="9" t="s">
        <v>6483</v>
      </c>
      <c r="F3857" s="8" t="str">
        <f>IFERROR(__xludf.DUMMYFUNCTION("GOOGLETRANSLATE(D3857,""zh-CN"",""vi"")"),"ảo thuật gia")</f>
        <v>ảo thuật gia</v>
      </c>
      <c r="G3857" s="8" t="str">
        <f>IFERROR(__xludf.DUMMYFUNCTION("GOOGLETRANSLATE(E3857,""zh-CN"",""vi"")"),"Nếu bạn không hài lòng với kết quả tung xúc xắc, bạn có thể tung lại. Kết hợp chúng để có được một thương gia giàu có.")</f>
        <v>Nếu bạn không hài lòng với kết quả tung xúc xắc, bạn có thể tung lại. Kết hợp chúng để có được một thương gia giàu có.</v>
      </c>
      <c r="H3857" s="8"/>
      <c r="I3857" s="8"/>
      <c r="J3857" s="8"/>
    </row>
    <row r="3858" ht="21.0" customHeight="1">
      <c r="A3858" s="6">
        <v>1.0</v>
      </c>
      <c r="B3858" s="6">
        <v>283.0</v>
      </c>
      <c r="C3858" s="6">
        <v>9.0</v>
      </c>
      <c r="D3858" s="89" t="s">
        <v>6484</v>
      </c>
      <c r="E3858" s="9" t="s">
        <v>6485</v>
      </c>
      <c r="F3858" s="8" t="str">
        <f>IFERROR(__xludf.DUMMYFUNCTION("GOOGLETRANSLATE(D3858,""zh-CN"",""vi"")"),"doanh nhân giàu có")</f>
        <v>doanh nhân giàu có</v>
      </c>
      <c r="G3858" s="8" t="str">
        <f>IFERROR(__xludf.DUMMYFUNCTION("GOOGLETRANSLATE(E3858,""zh-CN"",""vi"")"),"Để đặt chân lên mảnh đất của một thương gia giàu có, bạn cần phải chi thêm tiền vàng để tổng hợp và có được một Công tước.")</f>
        <v>Để đặt chân lên mảnh đất của một thương gia giàu có, bạn cần phải chi thêm tiền vàng để tổng hợp và có được một Công tước.</v>
      </c>
      <c r="H3858" s="8"/>
      <c r="I3858" s="8"/>
      <c r="J3858" s="8"/>
    </row>
    <row r="3859" ht="21.0" customHeight="1">
      <c r="A3859" s="6">
        <v>1.0</v>
      </c>
      <c r="B3859" s="6">
        <v>283.0</v>
      </c>
      <c r="C3859" s="6">
        <v>10.0</v>
      </c>
      <c r="D3859" s="67" t="s">
        <v>6486</v>
      </c>
      <c r="E3859" s="9" t="s">
        <v>6487</v>
      </c>
      <c r="F3859" s="8" t="str">
        <f>IFERROR(__xludf.DUMMYFUNCTION("GOOGLETRANSLATE(D3859,""zh-CN"",""vi"")"),"Công tước")</f>
        <v>Công tước</v>
      </c>
      <c r="G3859" s="8" t="str">
        <f>IFERROR(__xludf.DUMMYFUNCTION("GOOGLETRANSLATE(E3859,""zh-CN"",""vi"")"),"Địa vị cao, miễn nhiễm với truy tố hình sự. Tổng hợp để có được Nữ Công tước.")</f>
        <v>Địa vị cao, miễn nhiễm với truy tố hình sự. Tổng hợp để có được Nữ Công tước.</v>
      </c>
      <c r="H3859" s="8"/>
      <c r="I3859" s="8"/>
      <c r="J3859" s="8"/>
    </row>
    <row r="3860" ht="21.0" customHeight="1">
      <c r="A3860" s="6">
        <v>1.0</v>
      </c>
      <c r="B3860" s="6">
        <v>283.0</v>
      </c>
      <c r="C3860" s="6">
        <v>11.0</v>
      </c>
      <c r="D3860" s="67" t="s">
        <v>6488</v>
      </c>
      <c r="E3860" s="9" t="s">
        <v>6489</v>
      </c>
      <c r="F3860" s="8" t="str">
        <f>IFERROR(__xludf.DUMMYFUNCTION("GOOGLETRANSLATE(D3860,""zh-CN"",""vi"")"),"Nữ công tước")</f>
        <v>Nữ công tước</v>
      </c>
      <c r="G3860" s="8" t="str">
        <f>IFERROR(__xludf.DUMMYFUNCTION("GOOGLETRANSLATE(E3860,""zh-CN"",""vi"")"),"Yêu vẻ đẹp của hoa, và nhận thêm ưu đãi khi mua trang sức. Kết hợp chúng để có được một món quà hoàn hảo.")</f>
        <v>Yêu vẻ đẹp của hoa, và nhận thêm ưu đãi khi mua trang sức. Kết hợp chúng để có được một món quà hoàn hảo.</v>
      </c>
      <c r="H3860" s="8"/>
      <c r="I3860" s="8"/>
      <c r="J3860" s="8"/>
    </row>
    <row r="3861" ht="21.0" customHeight="1">
      <c r="A3861" s="6">
        <v>1.0</v>
      </c>
      <c r="B3861" s="6">
        <v>283.0</v>
      </c>
      <c r="C3861" s="6">
        <v>12.0</v>
      </c>
      <c r="D3861" s="67" t="s">
        <v>6490</v>
      </c>
      <c r="E3861" s="9" t="s">
        <v>6491</v>
      </c>
      <c r="F3861" s="8" t="str">
        <f>IFERROR(__xludf.DUMMYFUNCTION("GOOGLETRANSLATE(D3861,""zh-CN"",""vi"")"),"Tổng quan")</f>
        <v>Tổng quan</v>
      </c>
      <c r="G3861" s="8" t="str">
        <f>IFERROR(__xludf.DUMMYFUNCTION("GOOGLETRANSLATE(E3861,""zh-CN"",""vi"")"),"Bạn có thể chinh phục đất đai của người khác. Kết hợp chúng lại để có được vị Vua.")</f>
        <v>Bạn có thể chinh phục đất đai của người khác. Kết hợp chúng lại để có được vị Vua.</v>
      </c>
      <c r="H3861" s="8"/>
      <c r="I3861" s="8"/>
      <c r="J3861" s="8"/>
    </row>
    <row r="3862" ht="21.0" customHeight="1">
      <c r="A3862" s="6">
        <v>1.0</v>
      </c>
      <c r="B3862" s="6">
        <v>283.0</v>
      </c>
      <c r="C3862" s="6">
        <v>13.0</v>
      </c>
      <c r="D3862" s="85" t="s">
        <v>6492</v>
      </c>
      <c r="E3862" s="9" t="s">
        <v>6493</v>
      </c>
      <c r="F3862" s="8" t="str">
        <f>IFERROR(__xludf.DUMMYFUNCTION("GOOGLETRANSLATE(D3862,""zh-CN"",""vi"")"),"nhà vua")</f>
        <v>nhà vua</v>
      </c>
      <c r="G3862" s="8" t="str">
        <f>IFERROR(__xludf.DUMMYFUNCTION("GOOGLETRANSLATE(E3862,""zh-CN"",""vi"")"),"Bạn có thể ban hành sắc lệnh trong trò chơi. (Cấp độ cao nhất đã được tổng hợp)")</f>
        <v>Bạn có thể ban hành sắc lệnh trong trò chơi. (Cấp độ cao nhất đã được tổng hợp)</v>
      </c>
      <c r="H3862" s="8"/>
      <c r="I3862" s="8"/>
      <c r="J3862" s="8"/>
    </row>
    <row r="3863" ht="21.0" customHeight="1">
      <c r="A3863" s="6">
        <v>11.0</v>
      </c>
      <c r="B3863" s="6">
        <v>1092.0</v>
      </c>
      <c r="C3863" s="6">
        <v>1.0</v>
      </c>
      <c r="D3863" s="90" t="s">
        <v>6494</v>
      </c>
      <c r="E3863" s="9" t="s">
        <v>6495</v>
      </c>
      <c r="F3863" s="8" t="str">
        <f>IFERROR(__xludf.DUMMYFUNCTION("GOOGLETRANSLATE(D3863,""zh-CN"",""vi"")"),"bánh răng")</f>
        <v>bánh răng</v>
      </c>
      <c r="G3863" s="8" t="str">
        <f>IFERROR(__xludf.DUMMYFUNCTION("GOOGLETRANSLATE(E3863,""zh-CN"",""vi"")"),"Nền tảng và biểu tượng của thời đại hơi nước. (Chế tạo kính bảo hộ tổng hợp)")</f>
        <v>Nền tảng và biểu tượng của thời đại hơi nước. (Chế tạo kính bảo hộ tổng hợp)</v>
      </c>
      <c r="H3863" s="8"/>
      <c r="I3863" s="8"/>
      <c r="J3863" s="8"/>
    </row>
    <row r="3864" ht="21.0" customHeight="1">
      <c r="A3864" s="6">
        <v>11.0</v>
      </c>
      <c r="B3864" s="6">
        <v>1092.0</v>
      </c>
      <c r="C3864" s="6">
        <v>2.0</v>
      </c>
      <c r="D3864" s="81" t="s">
        <v>411</v>
      </c>
      <c r="E3864" s="9" t="s">
        <v>6496</v>
      </c>
      <c r="F3864" s="8" t="str">
        <f>IFERROR(__xludf.DUMMYFUNCTION("GOOGLETRANSLATE(D3864,""zh-CN"",""vi"")"),"kính bảo hộ")</f>
        <v>kính bảo hộ</v>
      </c>
      <c r="G3864" s="8" t="str">
        <f>IFERROR(__xludf.DUMMYFUNCTION("GOOGLETRANSLATE(E3864,""zh-CN"",""vi"")"),"Hãy cẩn thận để tránh bị thương trong khi làm việc. Tổng hợp các thành phần để tạo ra một chiếc đồng hồ bỏ túi.")</f>
        <v>Hãy cẩn thận để tránh bị thương trong khi làm việc. Tổng hợp các thành phần để tạo ra một chiếc đồng hồ bỏ túi.</v>
      </c>
      <c r="H3864" s="8"/>
      <c r="I3864" s="8"/>
      <c r="J3864" s="8"/>
    </row>
    <row r="3865" ht="21.0" customHeight="1">
      <c r="A3865" s="6">
        <v>11.0</v>
      </c>
      <c r="B3865" s="6">
        <v>1092.0</v>
      </c>
      <c r="C3865" s="6">
        <v>3.0</v>
      </c>
      <c r="D3865" s="85" t="s">
        <v>6497</v>
      </c>
      <c r="E3865" s="9" t="s">
        <v>6498</v>
      </c>
      <c r="F3865" s="8" t="str">
        <f>IFERROR(__xludf.DUMMYFUNCTION("GOOGLETRANSLATE(D3865,""zh-CN"",""vi"")"),"đồng hồ bỏ túi")</f>
        <v>đồng hồ bỏ túi</v>
      </c>
      <c r="G3865" s="8" t="str">
        <f>IFERROR(__xludf.DUMMYFUNCTION("GOOGLETRANSLATE(E3865,""zh-CN"",""vi"")"),"Đỉnh cao của kỹ thuật chế tạo cơ khí chính xác. Được tổng hợp để tạo thành một chiếc mũ chóp cao.")</f>
        <v>Đỉnh cao của kỹ thuật chế tạo cơ khí chính xác. Được tổng hợp để tạo thành một chiếc mũ chóp cao.</v>
      </c>
      <c r="H3865" s="8"/>
      <c r="I3865" s="8"/>
      <c r="J3865" s="8"/>
    </row>
    <row r="3866" ht="21.0" customHeight="1">
      <c r="A3866" s="6">
        <v>11.0</v>
      </c>
      <c r="B3866" s="6">
        <v>1092.0</v>
      </c>
      <c r="C3866" s="6">
        <v>4.0</v>
      </c>
      <c r="D3866" s="91" t="s">
        <v>6499</v>
      </c>
      <c r="E3866" s="9" t="s">
        <v>6500</v>
      </c>
      <c r="F3866" s="8" t="str">
        <f>IFERROR(__xludf.DUMMYFUNCTION("GOOGLETRANSLATE(D3866,""zh-CN"",""vi"")"),"Mũ chóp cao")</f>
        <v>Mũ chóp cao</v>
      </c>
      <c r="G3866" s="8" t="str">
        <f>IFERROR(__xludf.DUMMYFUNCTION("GOOGLETRANSLATE(E3866,""zh-CN"",""vi"")"),"Được sử dụng để nhấn mạnh địa vị xã hội. Được tổng hợp để tạo ra đèn khí.")</f>
        <v>Được sử dụng để nhấn mạnh địa vị xã hội. Được tổng hợp để tạo ra đèn khí.</v>
      </c>
      <c r="H3866" s="8"/>
      <c r="I3866" s="8"/>
      <c r="J3866" s="8"/>
    </row>
    <row r="3867" ht="21.0" customHeight="1">
      <c r="A3867" s="6">
        <v>10.0</v>
      </c>
      <c r="B3867" s="6">
        <v>1092.0</v>
      </c>
      <c r="C3867" s="6">
        <v>5.0</v>
      </c>
      <c r="D3867" s="85" t="s">
        <v>6501</v>
      </c>
      <c r="E3867" s="9" t="s">
        <v>6502</v>
      </c>
      <c r="F3867" s="8" t="str">
        <f>IFERROR(__xludf.DUMMYFUNCTION("GOOGLETRANSLATE(D3867,""zh-CN"",""vi"")"),"đèn khí")</f>
        <v>đèn khí</v>
      </c>
      <c r="G3867" s="8" t="str">
        <f>IFERROR(__xludf.DUMMYFUNCTION("GOOGLETRANSLATE(E3867,""zh-CN"",""vi"")"),"Các công cụ chiếu sáng đặc trưng của thời đại đó, nhưng khá nguy hiểm. Tổng hợp để tạo ra các bộ phận giả cơ khí.")</f>
        <v>Các công cụ chiếu sáng đặc trưng của thời đại đó, nhưng khá nguy hiểm. Tổng hợp để tạo ra các bộ phận giả cơ khí.</v>
      </c>
      <c r="H3867" s="8"/>
      <c r="I3867" s="8"/>
      <c r="J3867" s="8"/>
    </row>
    <row r="3868" ht="21.0" customHeight="1">
      <c r="A3868" s="6">
        <v>10.0</v>
      </c>
      <c r="B3868" s="6">
        <v>1092.0</v>
      </c>
      <c r="C3868" s="6">
        <v>6.0</v>
      </c>
      <c r="D3868" s="85" t="s">
        <v>6503</v>
      </c>
      <c r="E3868" s="9" t="s">
        <v>6504</v>
      </c>
      <c r="F3868" s="8" t="str">
        <f>IFERROR(__xludf.DUMMYFUNCTION("GOOGLETRANSLATE(D3868,""zh-CN"",""vi"")"),"Bộ phận giả cơ học")</f>
        <v>Bộ phận giả cơ học</v>
      </c>
      <c r="G3868" s="8" t="str">
        <f>IFERROR(__xludf.DUMMYFUNCTION("GOOGLETRANSLATE(E3868,""zh-CN"",""vi"")"),"Đỉnh cao của công nghệ hơi nước, với hình dáng giống như các chi bình thường, đã được tổng hợp để tạo ra đôi cánh chạy bằng hơi nước.")</f>
        <v>Đỉnh cao của công nghệ hơi nước, với hình dáng giống như các chi bình thường, đã được tổng hợp để tạo ra đôi cánh chạy bằng hơi nước.</v>
      </c>
      <c r="H3868" s="8"/>
      <c r="I3868" s="8"/>
      <c r="J3868" s="8"/>
    </row>
    <row r="3869" ht="21.0" customHeight="1">
      <c r="A3869" s="6">
        <v>10.0</v>
      </c>
      <c r="B3869" s="6">
        <v>1092.0</v>
      </c>
      <c r="C3869" s="6">
        <v>7.0</v>
      </c>
      <c r="D3869" s="91" t="s">
        <v>6505</v>
      </c>
      <c r="E3869" s="9" t="s">
        <v>6506</v>
      </c>
      <c r="F3869" s="8" t="str">
        <f>IFERROR(__xludf.DUMMYFUNCTION("GOOGLETRANSLATE(D3869,""zh-CN"",""vi"")"),"Steamwing")</f>
        <v>Steamwing</v>
      </c>
      <c r="G3869" s="8" t="str">
        <f>IFERROR(__xludf.DUMMYFUNCTION("GOOGLETRANSLATE(E3869,""zh-CN"",""vi"")"),"Thiết bị cấp quân sự, có khả năng bay độc lập! Tổng hợp để tạo ra robot hơi nước.")</f>
        <v>Thiết bị cấp quân sự, có khả năng bay độc lập! Tổng hợp để tạo ra robot hơi nước.</v>
      </c>
      <c r="H3869" s="8"/>
      <c r="I3869" s="8"/>
      <c r="J3869" s="8"/>
    </row>
    <row r="3870" ht="21.0" customHeight="1">
      <c r="A3870" s="6">
        <v>10.0</v>
      </c>
      <c r="B3870" s="6">
        <v>1092.0</v>
      </c>
      <c r="C3870" s="6">
        <v>8.0</v>
      </c>
      <c r="D3870" s="85" t="s">
        <v>6507</v>
      </c>
      <c r="E3870" s="9" t="s">
        <v>6508</v>
      </c>
      <c r="F3870" s="8" t="str">
        <f>IFERROR(__xludf.DUMMYFUNCTION("GOOGLETRANSLATE(D3870,""zh-CN"",""vi"")"),"Robot hơi nước")</f>
        <v>Robot hơi nước</v>
      </c>
      <c r="G3870" s="8" t="str">
        <f>IFERROR(__xludf.DUMMYFUNCTION("GOOGLETRANSLATE(E3870,""zh-CN"",""vi"")"),"Khi khởi động, nó sẽ phun ra hơi nước dày đặc. Hãy chế tạo nó để có được một đoàn tàu hơi nước.")</f>
        <v>Khi khởi động, nó sẽ phun ra hơi nước dày đặc. Hãy chế tạo nó để có được một đoàn tàu hơi nước.</v>
      </c>
      <c r="H3870" s="8"/>
      <c r="I3870" s="8"/>
      <c r="J3870" s="8"/>
    </row>
    <row r="3871" ht="21.0" customHeight="1">
      <c r="A3871" s="6">
        <v>10.0</v>
      </c>
      <c r="B3871" s="6">
        <v>1092.0</v>
      </c>
      <c r="C3871" s="6">
        <v>9.0</v>
      </c>
      <c r="D3871" s="85" t="s">
        <v>6509</v>
      </c>
      <c r="E3871" s="9" t="s">
        <v>6510</v>
      </c>
      <c r="F3871" s="8" t="str">
        <f>IFERROR(__xludf.DUMMYFUNCTION("GOOGLETRANSLATE(D3871,""zh-CN"",""vi"")"),"Tàu hơi nước")</f>
        <v>Tàu hơi nước</v>
      </c>
      <c r="G3871" s="8" t="str">
        <f>IFERROR(__xludf.DUMMYFUNCTION("GOOGLETRANSLATE(E3871,""zh-CN"",""vi"")"),"Khả năng vận chuyển hàng hóa tiên tiến đang làm lung lay trật tự cũ. Hãy tổng hợp và chế tạo khinh khí cầu hơi nước.")</f>
        <v>Khả năng vận chuyển hàng hóa tiên tiến đang làm lung lay trật tự cũ. Hãy tổng hợp và chế tạo khinh khí cầu hơi nước.</v>
      </c>
      <c r="H3871" s="8"/>
      <c r="I3871" s="8"/>
      <c r="J3871" s="8"/>
    </row>
    <row r="3872" ht="21.0" customHeight="1">
      <c r="A3872" s="6">
        <v>10.0</v>
      </c>
      <c r="B3872" s="6">
        <v>1092.0</v>
      </c>
      <c r="C3872" s="6">
        <v>10.0</v>
      </c>
      <c r="D3872" s="85" t="s">
        <v>6511</v>
      </c>
      <c r="E3872" s="9" t="s">
        <v>6512</v>
      </c>
      <c r="F3872" s="8" t="str">
        <f>IFERROR(__xludf.DUMMYFUNCTION("GOOGLETRANSLATE(D3872,""zh-CN"",""vi"")"),"Khinh khí cầu hơi nước")</f>
        <v>Khinh khí cầu hơi nước</v>
      </c>
      <c r="G3872" s="8" t="str">
        <f>IFERROR(__xludf.DUMMYFUNCTION("GOOGLETRANSLATE(E3872,""zh-CN"",""vi"")"),"Sự lãng mạn của thời đại hơi nước, một đại sảnh tiệc trên bầu trời! (Đã được tổng hợp đến mức độ cao nhất)")</f>
        <v>Sự lãng mạn của thời đại hơi nước, một đại sảnh tiệc trên bầu trời! (Đã được tổng hợp đến mức độ cao nhất)</v>
      </c>
      <c r="H3872" s="8"/>
      <c r="I3872" s="8"/>
      <c r="J3872" s="8"/>
    </row>
    <row r="3873" ht="21.0" customHeight="1">
      <c r="A3873" s="6">
        <v>11.0</v>
      </c>
      <c r="B3873" s="6">
        <v>1093.0</v>
      </c>
      <c r="C3873" s="6">
        <v>1.0</v>
      </c>
      <c r="D3873" s="90" t="s">
        <v>6513</v>
      </c>
      <c r="E3873" s="9" t="s">
        <v>6514</v>
      </c>
      <c r="F3873" s="8" t="str">
        <f>IFERROR(__xludf.DUMMYFUNCTION("GOOGLETRANSLATE(D3873,""zh-CN"",""vi"")"),"Bánh răng [V]")</f>
        <v>Bánh răng [V]</v>
      </c>
      <c r="G3873" s="8" t="str">
        <f>IFERROR(__xludf.DUMMYFUNCTION("GOOGLETRANSLATE(E3873,""zh-CN"",""vi"")"),"Nền tảng và đại diện của thời đại hơi nước. Tổng hợp để có được kính bảo hộ [V].")</f>
        <v>Nền tảng và đại diện của thời đại hơi nước. Tổng hợp để có được kính bảo hộ [V].</v>
      </c>
      <c r="H3873" s="8"/>
      <c r="I3873" s="8"/>
      <c r="J3873" s="8"/>
    </row>
    <row r="3874" ht="21.0" customHeight="1">
      <c r="A3874" s="6">
        <v>11.0</v>
      </c>
      <c r="B3874" s="6">
        <v>1093.0</v>
      </c>
      <c r="C3874" s="6">
        <v>2.0</v>
      </c>
      <c r="D3874" s="81" t="s">
        <v>6515</v>
      </c>
      <c r="E3874" s="9" t="s">
        <v>6516</v>
      </c>
      <c r="F3874" s="8" t="str">
        <f>IFERROR(__xludf.DUMMYFUNCTION("GOOGLETRANSLATE(D3874,""zh-CN"",""vi"")"),"Kính bảo hộ [V]")</f>
        <v>Kính bảo hộ [V]</v>
      </c>
      <c r="G3874" s="8" t="str">
        <f>IFERROR(__xludf.DUMMYFUNCTION("GOOGLETRANSLATE(E3874,""zh-CN"",""vi"")"),"Thực hiện các biện pháp phòng ngừa để tránh bị thương trong khi làm việc. Chế tạo đồng hồ bỏ túi [V].")</f>
        <v>Thực hiện các biện pháp phòng ngừa để tránh bị thương trong khi làm việc. Chế tạo đồng hồ bỏ túi [V].</v>
      </c>
      <c r="H3874" s="8"/>
      <c r="I3874" s="8"/>
      <c r="J3874" s="8"/>
    </row>
    <row r="3875" ht="21.0" customHeight="1">
      <c r="A3875" s="6">
        <v>11.0</v>
      </c>
      <c r="B3875" s="6">
        <v>1093.0</v>
      </c>
      <c r="C3875" s="6">
        <v>3.0</v>
      </c>
      <c r="D3875" s="85" t="s">
        <v>6517</v>
      </c>
      <c r="E3875" s="9" t="s">
        <v>6518</v>
      </c>
      <c r="F3875" s="8" t="str">
        <f>IFERROR(__xludf.DUMMYFUNCTION("GOOGLETRANSLATE(D3875,""zh-CN"",""vi"")"),"Đồng hồ bỏ túi [V]")</f>
        <v>Đồng hồ bỏ túi [V]</v>
      </c>
      <c r="G3875" s="8" t="str">
        <f>IFERROR(__xludf.DUMMYFUNCTION("GOOGLETRANSLATE(E3875,""zh-CN"",""vi"")"),"Đỉnh cao của kỹ thuật chế tạo cơ khí chính xác. Tổng hợp để tạo thành một chiếc mũ chóp cao [V].")</f>
        <v>Đỉnh cao của kỹ thuật chế tạo cơ khí chính xác. Tổng hợp để tạo thành một chiếc mũ chóp cao [V].</v>
      </c>
      <c r="H3875" s="8"/>
      <c r="I3875" s="8"/>
      <c r="J3875" s="8"/>
    </row>
    <row r="3876" ht="21.0" customHeight="1">
      <c r="A3876" s="6">
        <v>11.0</v>
      </c>
      <c r="B3876" s="6">
        <v>1093.0</v>
      </c>
      <c r="C3876" s="6">
        <v>4.0</v>
      </c>
      <c r="D3876" s="91" t="s">
        <v>6519</v>
      </c>
      <c r="E3876" s="9" t="s">
        <v>6520</v>
      </c>
      <c r="F3876" s="8" t="str">
        <f>IFERROR(__xludf.DUMMYFUNCTION("GOOGLETRANSLATE(D3876,""zh-CN"",""vi"")"),"Mũ chóp cao [V]")</f>
        <v>Mũ chóp cao [V]</v>
      </c>
      <c r="G3876" s="8" t="str">
        <f>IFERROR(__xludf.DUMMYFUNCTION("GOOGLETRANSLATE(E3876,""zh-CN"",""vi"")"),"Được dùng để nhấn mạnh địa vị xã hội. Tổng hợp để có được đèn khí [V].")</f>
        <v>Được dùng để nhấn mạnh địa vị xã hội. Tổng hợp để có được đèn khí [V].</v>
      </c>
      <c r="H3876" s="8"/>
      <c r="I3876" s="8"/>
      <c r="J3876" s="8"/>
    </row>
    <row r="3877" ht="21.0" customHeight="1">
      <c r="A3877" s="6">
        <v>10.0</v>
      </c>
      <c r="B3877" s="6">
        <v>1093.0</v>
      </c>
      <c r="C3877" s="6">
        <v>5.0</v>
      </c>
      <c r="D3877" s="85" t="s">
        <v>6521</v>
      </c>
      <c r="E3877" s="9" t="s">
        <v>6522</v>
      </c>
      <c r="F3877" s="8" t="str">
        <f>IFERROR(__xludf.DUMMYFUNCTION("GOOGLETRANSLATE(D3877,""zh-CN"",""vi"")"),"Đèn khí [V]")</f>
        <v>Đèn khí [V]</v>
      </c>
      <c r="G3877" s="8" t="str">
        <f>IFERROR(__xludf.DUMMYFUNCTION("GOOGLETRANSLATE(E3877,""zh-CN"",""vi"")"),"Công cụ chiếu sáng đặc trưng của thời đại đó, nhưng khá nguy hiểm. Tổng hợp để có được bộ phận giả cơ học [V]")</f>
        <v>Công cụ chiếu sáng đặc trưng của thời đại đó, nhưng khá nguy hiểm. Tổng hợp để có được bộ phận giả cơ học [V]</v>
      </c>
      <c r="H3877" s="8"/>
      <c r="I3877" s="8"/>
      <c r="J3877" s="8"/>
    </row>
    <row r="3878" ht="21.0" customHeight="1">
      <c r="A3878" s="6">
        <v>10.0</v>
      </c>
      <c r="B3878" s="6">
        <v>1093.0</v>
      </c>
      <c r="C3878" s="6">
        <v>6.0</v>
      </c>
      <c r="D3878" s="85" t="s">
        <v>6523</v>
      </c>
      <c r="E3878" s="9" t="s">
        <v>6524</v>
      </c>
      <c r="F3878" s="8" t="str">
        <f>IFERROR(__xludf.DUMMYFUNCTION("GOOGLETRANSLATE(D3878,""zh-CN"",""vi"")"),"Bộ phận giả cơ học [V]")</f>
        <v>Bộ phận giả cơ học [V]</v>
      </c>
      <c r="G3878" s="8" t="str">
        <f>IFERROR(__xludf.DUMMYFUNCTION("GOOGLETRANSLATE(E3878,""zh-CN"",""vi"")"),"Đỉnh cao của công nghệ hơi nước, giống như các chi bình thường. Được tổng hợp để có được đôi cánh chạy bằng hơi nước [V].")</f>
        <v>Đỉnh cao của công nghệ hơi nước, giống như các chi bình thường. Được tổng hợp để có được đôi cánh chạy bằng hơi nước [V].</v>
      </c>
      <c r="H3878" s="8"/>
      <c r="I3878" s="8"/>
      <c r="J3878" s="8"/>
    </row>
    <row r="3879" ht="21.0" customHeight="1">
      <c r="A3879" s="6">
        <v>10.0</v>
      </c>
      <c r="B3879" s="6">
        <v>1093.0</v>
      </c>
      <c r="C3879" s="6">
        <v>7.0</v>
      </c>
      <c r="D3879" s="91" t="s">
        <v>6525</v>
      </c>
      <c r="E3879" s="9" t="s">
        <v>6526</v>
      </c>
      <c r="F3879" s="8" t="str">
        <f>IFERROR(__xludf.DUMMYFUNCTION("GOOGLETRANSLATE(D3879,""zh-CN"",""vi"")"),"Máy bay cánh hơi nước [V]")</f>
        <v>Máy bay cánh hơi nước [V]</v>
      </c>
      <c r="G3879" s="8" t="str">
        <f>IFERROR(__xludf.DUMMYFUNCTION("GOOGLETRANSLATE(E3879,""zh-CN"",""vi"")"),"Thiết bị cấp quân sự, có khả năng bay một mình! Tổng hợp để có được một robot chạy bằng hơi nước [V].")</f>
        <v>Thiết bị cấp quân sự, có khả năng bay một mình! Tổng hợp để có được một robot chạy bằng hơi nước [V].</v>
      </c>
      <c r="H3879" s="8"/>
      <c r="I3879" s="8"/>
      <c r="J3879" s="8"/>
    </row>
    <row r="3880" ht="21.0" customHeight="1">
      <c r="A3880" s="6">
        <v>10.0</v>
      </c>
      <c r="B3880" s="6">
        <v>1093.0</v>
      </c>
      <c r="C3880" s="6">
        <v>8.0</v>
      </c>
      <c r="D3880" s="85" t="s">
        <v>6527</v>
      </c>
      <c r="E3880" s="9" t="s">
        <v>6528</v>
      </c>
      <c r="F3880" s="8" t="str">
        <f>IFERROR(__xludf.DUMMYFUNCTION("GOOGLETRANSLATE(D3880,""zh-CN"",""vi"")"),"Robot hơi nước [V]")</f>
        <v>Robot hơi nước [V]</v>
      </c>
      <c r="G3880" s="8" t="str">
        <f>IFERROR(__xludf.DUMMYFUNCTION("GOOGLETRANSLATE(E3880,""zh-CN"",""vi"")"),"Khi khởi động, nó sẽ phun ra hơi nước dày đặc. Chế tạo nó để có được một đoàn tàu hơi nước [V].")</f>
        <v>Khi khởi động, nó sẽ phun ra hơi nước dày đặc. Chế tạo nó để có được một đoàn tàu hơi nước [V].</v>
      </c>
      <c r="H3880" s="8"/>
      <c r="I3880" s="8"/>
      <c r="J3880" s="8"/>
    </row>
    <row r="3881" ht="21.0" customHeight="1">
      <c r="A3881" s="6">
        <v>10.0</v>
      </c>
      <c r="B3881" s="6">
        <v>1093.0</v>
      </c>
      <c r="C3881" s="6">
        <v>9.0</v>
      </c>
      <c r="D3881" s="85" t="s">
        <v>6529</v>
      </c>
      <c r="E3881" s="9" t="s">
        <v>6530</v>
      </c>
      <c r="F3881" s="8" t="str">
        <f>IFERROR(__xludf.DUMMYFUNCTION("GOOGLETRANSLATE(D3881,""zh-CN"",""vi"")"),"Tàu hơi nước [V]")</f>
        <v>Tàu hơi nước [V]</v>
      </c>
      <c r="G3881" s="8" t="str">
        <f>IFERROR(__xludf.DUMMYFUNCTION("GOOGLETRANSLATE(E3881,""zh-CN"",""vi"")"),"Khả năng vận chuyển hàng hóa tiên tiến đang làm lung lay trật tự cũ. Tổng hợp để có được một khinh khí cầu chạy bằng hơi nước [V].")</f>
        <v>Khả năng vận chuyển hàng hóa tiên tiến đang làm lung lay trật tự cũ. Tổng hợp để có được một khinh khí cầu chạy bằng hơi nước [V].</v>
      </c>
      <c r="H3881" s="8"/>
      <c r="I3881" s="8"/>
      <c r="J3881" s="8"/>
    </row>
    <row r="3882" ht="21.0" customHeight="1">
      <c r="A3882" s="6">
        <v>10.0</v>
      </c>
      <c r="B3882" s="6">
        <v>1093.0</v>
      </c>
      <c r="C3882" s="6">
        <v>10.0</v>
      </c>
      <c r="D3882" s="85" t="s">
        <v>6531</v>
      </c>
      <c r="E3882" s="9" t="s">
        <v>6512</v>
      </c>
      <c r="F3882" s="8" t="str">
        <f>IFERROR(__xludf.DUMMYFUNCTION("GOOGLETRANSLATE(D3882,""zh-CN"",""vi"")"),"Khinh khí cầu hơi nước [V]")</f>
        <v>Khinh khí cầu hơi nước [V]</v>
      </c>
      <c r="G3882" s="8" t="str">
        <f>IFERROR(__xludf.DUMMYFUNCTION("GOOGLETRANSLATE(E3882,""zh-CN"",""vi"")"),"Sự lãng mạn của thời đại hơi nước, một đại sảnh tiệc trên bầu trời! (Đã được tổng hợp đến mức độ cao nhất)")</f>
        <v>Sự lãng mạn của thời đại hơi nước, một đại sảnh tiệc trên bầu trời! (Đã được tổng hợp đến mức độ cao nhất)</v>
      </c>
      <c r="H3882" s="8"/>
      <c r="I3882" s="8"/>
      <c r="J3882" s="8"/>
    </row>
    <row r="3883" ht="21.0" customHeight="1">
      <c r="A3883" s="6">
        <v>1.0</v>
      </c>
      <c r="B3883" s="6">
        <v>284.0</v>
      </c>
      <c r="C3883" s="6">
        <v>1.0</v>
      </c>
      <c r="D3883" s="85" t="s">
        <v>6532</v>
      </c>
      <c r="E3883" s="9" t="s">
        <v>6533</v>
      </c>
      <c r="F3883" s="8" t="str">
        <f>IFERROR(__xludf.DUMMYFUNCTION("GOOGLETRANSLATE(D3883,""zh-CN"",""vi"")"),"Một mắt")</f>
        <v>Một mắt</v>
      </c>
      <c r="G3883" s="8" t="str">
        <f>IFERROR(__xludf.DUMMYFUNCTION("GOOGLETRANSLATE(E3883,""zh-CN"",""vi"")"),"Sở hữu năng lực ma thuật; có thể nhìn thấy đồ vật bên trong hộp. Chế tạo được một chiếc còi bằng đồng.")</f>
        <v>Sở hữu năng lực ma thuật; có thể nhìn thấy đồ vật bên trong hộp. Chế tạo được một chiếc còi bằng đồng.</v>
      </c>
      <c r="H3883" s="8"/>
      <c r="I3883" s="8"/>
      <c r="J3883" s="8"/>
    </row>
    <row r="3884" ht="21.0" customHeight="1">
      <c r="A3884" s="6">
        <v>1.0</v>
      </c>
      <c r="B3884" s="6">
        <v>284.0</v>
      </c>
      <c r="C3884" s="6">
        <v>2.0</v>
      </c>
      <c r="D3884" s="85" t="s">
        <v>6534</v>
      </c>
      <c r="E3884" s="9" t="s">
        <v>6535</v>
      </c>
      <c r="F3884" s="8" t="str">
        <f>IFERROR(__xludf.DUMMYFUNCTION("GOOGLETRANSLATE(D3884,""zh-CN"",""vi"")"),"Còi đồng")</f>
        <v>Còi đồng</v>
      </c>
      <c r="G3884" s="8" t="str">
        <f>IFERROR(__xludf.DUMMYFUNCTION("GOOGLETRANSLATE(E3884,""zh-CN"",""vi"")"),"Đây là tín hiệu được sử dụng để liên lạc trong một tổ chức bí ẩn. Hãy chế tạo nó để có được một chiếc nhẫn hồng ngọc.")</f>
        <v>Đây là tín hiệu được sử dụng để liên lạc trong một tổ chức bí ẩn. Hãy chế tạo nó để có được một chiếc nhẫn hồng ngọc.</v>
      </c>
      <c r="H3884" s="8"/>
      <c r="I3884" s="8"/>
      <c r="J3884" s="8"/>
    </row>
    <row r="3885" ht="21.0" customHeight="1">
      <c r="A3885" s="6">
        <v>1.0</v>
      </c>
      <c r="B3885" s="6">
        <v>284.0</v>
      </c>
      <c r="C3885" s="6">
        <v>3.0</v>
      </c>
      <c r="D3885" s="81" t="s">
        <v>6536</v>
      </c>
      <c r="E3885" s="9" t="s">
        <v>6537</v>
      </c>
      <c r="F3885" s="8" t="str">
        <f>IFERROR(__xludf.DUMMYFUNCTION("GOOGLETRANSLATE(D3885,""zh-CN"",""vi"")"),"Nhẫn hồng ngọc")</f>
        <v>Nhẫn hồng ngọc</v>
      </c>
      <c r="G3885" s="8" t="str">
        <f>IFERROR(__xludf.DUMMYFUNCTION("GOOGLETRANSLATE(E3885,""zh-CN"",""vi"")"),"Nó sở hữu khả năng bảo vệ mạnh mẽ. Việc chế tác nó sẽ tạo ra một cây nến dùng trong nghi lễ.")</f>
        <v>Nó sở hữu khả năng bảo vệ mạnh mẽ. Việc chế tác nó sẽ tạo ra một cây nến dùng trong nghi lễ.</v>
      </c>
      <c r="H3885" s="8"/>
      <c r="I3885" s="8"/>
      <c r="J3885" s="8"/>
    </row>
    <row r="3886" ht="21.0" customHeight="1">
      <c r="A3886" s="6">
        <v>1.0</v>
      </c>
      <c r="B3886" s="6">
        <v>284.0</v>
      </c>
      <c r="C3886" s="6">
        <v>4.0</v>
      </c>
      <c r="D3886" s="85" t="s">
        <v>6538</v>
      </c>
      <c r="E3886" s="9" t="s">
        <v>6539</v>
      </c>
      <c r="F3886" s="8" t="str">
        <f>IFERROR(__xludf.DUMMYFUNCTION("GOOGLETRANSLATE(D3886,""zh-CN"",""vi"")"),"Nến nghi lễ")</f>
        <v>Nến nghi lễ</v>
      </c>
      <c r="G3886" s="8" t="str">
        <f>IFERROR(__xludf.DUMMYFUNCTION("GOOGLETRANSLATE(E3886,""zh-CN"",""vi"")"),"Những vật phẩm thiết yếu trước buổi lễ. Được chế tác để có được Cuốn Sách Đồng.")</f>
        <v>Những vật phẩm thiết yếu trước buổi lễ. Được chế tác để có được Cuốn Sách Đồng.</v>
      </c>
      <c r="H3886" s="8"/>
      <c r="I3886" s="8"/>
      <c r="J3886" s="8"/>
    </row>
    <row r="3887" ht="21.0" customHeight="1">
      <c r="A3887" s="6">
        <v>1.0</v>
      </c>
      <c r="B3887" s="6">
        <v>284.0</v>
      </c>
      <c r="C3887" s="6">
        <v>5.0</v>
      </c>
      <c r="D3887" s="85" t="s">
        <v>6540</v>
      </c>
      <c r="E3887" s="9" t="s">
        <v>6541</v>
      </c>
      <c r="F3887" s="8" t="str">
        <f>IFERROR(__xludf.DUMMYFUNCTION("GOOGLETRANSLATE(D3887,""zh-CN"",""vi"")"),"Sách Brass")</f>
        <v>Sách Brass</v>
      </c>
      <c r="G3887" s="8" t="str">
        <f>IFERROR(__xludf.DUMMYFUNCTION("GOOGLETRANSLATE(E3887,""zh-CN"",""vi"")"),"Những bí mật đen tối nào đang ẩn giấu bên trong? Hãy tổng hợp để có được Cuốn Sổ Bí Ẩn.")</f>
        <v>Những bí mật đen tối nào đang ẩn giấu bên trong? Hãy tổng hợp để có được Cuốn Sổ Bí Ẩn.</v>
      </c>
      <c r="H3887" s="8"/>
      <c r="I3887" s="8"/>
      <c r="J3887" s="8"/>
    </row>
    <row r="3888" ht="21.0" customHeight="1">
      <c r="A3888" s="6">
        <v>1.0</v>
      </c>
      <c r="B3888" s="6">
        <v>284.0</v>
      </c>
      <c r="C3888" s="6">
        <v>6.0</v>
      </c>
      <c r="D3888" s="81" t="s">
        <v>6542</v>
      </c>
      <c r="E3888" s="9" t="s">
        <v>6543</v>
      </c>
      <c r="F3888" s="8" t="str">
        <f>IFERROR(__xludf.DUMMYFUNCTION("GOOGLETRANSLATE(D3888,""zh-CN"",""vi"")"),"Sổ tay bí ẩn")</f>
        <v>Sổ tay bí ẩn</v>
      </c>
      <c r="G3888" s="8" t="str">
        <f>IFERROR(__xludf.DUMMYFUNCTION("GOOGLETRANSLATE(E3888,""zh-CN"",""vi"")"),"Không hiểu sao, những hình ảnh bên trong lại khiến mọi người phát điên... Hãy kết hợp chúng để có được Cân May Mắn.")</f>
        <v>Không hiểu sao, những hình ảnh bên trong lại khiến mọi người phát điên... Hãy kết hợp chúng để có được Cân May Mắn.</v>
      </c>
      <c r="H3888" s="8"/>
      <c r="I3888" s="8"/>
      <c r="J3888" s="8"/>
    </row>
    <row r="3889" ht="21.0" customHeight="1">
      <c r="A3889" s="6">
        <v>1.0</v>
      </c>
      <c r="B3889" s="6">
        <v>284.0</v>
      </c>
      <c r="C3889" s="6">
        <v>7.0</v>
      </c>
      <c r="D3889" s="85" t="s">
        <v>6544</v>
      </c>
      <c r="E3889" s="9" t="s">
        <v>6545</v>
      </c>
      <c r="F3889" s="8" t="str">
        <f>IFERROR(__xludf.DUMMYFUNCTION("GOOGLETRANSLATE(D3889,""zh-CN"",""vi"")"),"Cân may mắn")</f>
        <v>Cân may mắn</v>
      </c>
      <c r="G3889" s="8" t="str">
        <f>IFERROR(__xludf.DUMMYFUNCTION("GOOGLETRANSLATE(E3889,""zh-CN"",""vi"")"),"Đôi khi bạn may mắn, nhưng vận may được ""bảo toàn"". Hãy chế tạo Cây trượng Phục Sinh.")</f>
        <v>Đôi khi bạn may mắn, nhưng vận may được "bảo toàn". Hãy chế tạo Cây trượng Phục Sinh.</v>
      </c>
      <c r="H3889" s="8"/>
      <c r="I3889" s="8"/>
      <c r="J3889" s="8"/>
    </row>
    <row r="3890" ht="21.0" customHeight="1">
      <c r="A3890" s="6">
        <v>1.0</v>
      </c>
      <c r="B3890" s="6">
        <v>284.0</v>
      </c>
      <c r="C3890" s="6">
        <v>8.0</v>
      </c>
      <c r="D3890" s="81" t="s">
        <v>6546</v>
      </c>
      <c r="E3890" s="9" t="s">
        <v>6547</v>
      </c>
      <c r="F3890" s="8" t="str">
        <f>IFERROR(__xludf.DUMMYFUNCTION("GOOGLETRANSLATE(D3890,""zh-CN"",""vi"")"),"Gậy hồi sức")</f>
        <v>Gậy hồi sức</v>
      </c>
      <c r="G3890" s="8" t="str">
        <f>IFERROR(__xludf.DUMMYFUNCTION("GOOGLETRANSLATE(E3890,""zh-CN"",""vi"")"),"Nó cho phép bất kỳ sinh vật nào chạm vào đều nhanh chóng hồi phục khỏi thương tích. Kết hợp các vật phẩm để có được Gậy Ánh Sao.")</f>
        <v>Nó cho phép bất kỳ sinh vật nào chạm vào đều nhanh chóng hồi phục khỏi thương tích. Kết hợp các vật phẩm để có được Gậy Ánh Sao.</v>
      </c>
      <c r="H3890" s="8"/>
      <c r="I3890" s="8"/>
      <c r="J3890" s="8"/>
    </row>
    <row r="3891" ht="21.0" customHeight="1">
      <c r="A3891" s="6">
        <v>1.0</v>
      </c>
      <c r="B3891" s="6">
        <v>284.0</v>
      </c>
      <c r="C3891" s="6">
        <v>9.0</v>
      </c>
      <c r="D3891" s="85" t="s">
        <v>6548</v>
      </c>
      <c r="E3891" s="9" t="s">
        <v>6549</v>
      </c>
      <c r="F3891" s="8" t="str">
        <f>IFERROR(__xludf.DUMMYFUNCTION("GOOGLETRANSLATE(D3891,""zh-CN"",""vi"")"),"Nhân viên Ánh Sao")</f>
        <v>Nhân viên Ánh Sao</v>
      </c>
      <c r="G3891" s="8" t="str">
        <f>IFERROR(__xludf.DUMMYFUNCTION("GOOGLETRANSLATE(E3891,""zh-CN"",""vi"")"),"Khi khung cảnh thực sự hiện lên trong tâm trí bạn, bạn có thể du hành đến đó. Kết hợp các yếu tố để có được Vương miện của các vị thần.")</f>
        <v>Khi khung cảnh thực sự hiện lên trong tâm trí bạn, bạn có thể du hành đến đó. Kết hợp các yếu tố để có được Vương miện của các vị thần.</v>
      </c>
      <c r="H3891" s="8"/>
      <c r="I3891" s="8"/>
      <c r="J3891" s="8"/>
    </row>
    <row r="3892" ht="21.0" customHeight="1">
      <c r="A3892" s="6">
        <v>1.0</v>
      </c>
      <c r="B3892" s="6">
        <v>284.0</v>
      </c>
      <c r="C3892" s="6">
        <v>10.0</v>
      </c>
      <c r="D3892" s="85" t="s">
        <v>6550</v>
      </c>
      <c r="E3892" s="9" t="s">
        <v>6551</v>
      </c>
      <c r="F3892" s="8" t="str">
        <f>IFERROR(__xludf.DUMMYFUNCTION("GOOGLETRANSLATE(D3892,""zh-CN"",""vi"")"),"Vương miện của Chúa")</f>
        <v>Vương miện của Chúa</v>
      </c>
      <c r="G3892" s="8" t="str">
        <f>IFERROR(__xludf.DUMMYFUNCTION("GOOGLETRANSLATE(E3892,""zh-CN"",""vi"")"),"Biểu tượng cho quyền năng của các vị thần. Khi kết hợp lại, chúng tạo thành Lá cờ Chiến trận Đỏ thẫm.")</f>
        <v>Biểu tượng cho quyền năng của các vị thần. Khi kết hợp lại, chúng tạo thành Lá cờ Chiến trận Đỏ thẫm.</v>
      </c>
      <c r="H3892" s="8"/>
      <c r="I3892" s="8"/>
      <c r="J3892" s="8"/>
    </row>
    <row r="3893" ht="21.0" customHeight="1">
      <c r="A3893" s="6">
        <v>1.0</v>
      </c>
      <c r="B3893" s="6">
        <v>284.0</v>
      </c>
      <c r="C3893" s="6">
        <v>11.0</v>
      </c>
      <c r="D3893" s="85" t="s">
        <v>6552</v>
      </c>
      <c r="E3893" s="9" t="s">
        <v>6553</v>
      </c>
      <c r="F3893" s="8" t="str">
        <f>IFERROR(__xludf.DUMMYFUNCTION("GOOGLETRANSLATE(D3893,""zh-CN"",""vi"")"),"Cờ chiến đấu màu đỏ máu")</f>
        <v>Cờ chiến đấu màu đỏ máu</v>
      </c>
      <c r="G3893" s="8" t="str">
        <f>IFERROR(__xludf.DUMMYFUNCTION("GOOGLETRANSLATE(E3893,""zh-CN"",""vi"")"),"Cổ vật phong ấn cấp độ 0, không thể miêu tả! Không được khám phá! Tổng hợp để có được Ngai Sắt.")</f>
        <v>Cổ vật phong ấn cấp độ 0, không thể miêu tả! Không được khám phá! Tổng hợp để có được Ngai Sắt.</v>
      </c>
      <c r="H3893" s="8"/>
      <c r="I3893" s="8"/>
      <c r="J3893" s="8"/>
    </row>
    <row r="3894" ht="21.0" customHeight="1">
      <c r="A3894" s="6">
        <v>1.0</v>
      </c>
      <c r="B3894" s="6">
        <v>284.0</v>
      </c>
      <c r="C3894" s="6">
        <v>12.0</v>
      </c>
      <c r="D3894" s="85" t="s">
        <v>6554</v>
      </c>
      <c r="E3894" s="9" t="s">
        <v>6555</v>
      </c>
      <c r="F3894" s="8" t="str">
        <f>IFERROR(__xludf.DUMMYFUNCTION("GOOGLETRANSLATE(D3894,""zh-CN"",""vi"")"),"Ngai Sắt")</f>
        <v>Ngai Sắt</v>
      </c>
      <c r="G3894" s="8" t="str">
        <f>IFERROR(__xludf.DUMMYFUNCTION("GOOGLETRANSLATE(E3894,""zh-CN"",""vi"")"),"Ai sẽ lên ngôi vua thép và sắt? Hãy tổng hợp để có được Cổng Tinh tú.")</f>
        <v>Ai sẽ lên ngôi vua thép và sắt? Hãy tổng hợp để có được Cổng Tinh tú.</v>
      </c>
      <c r="H3894" s="8"/>
      <c r="I3894" s="8"/>
      <c r="J3894" s="8"/>
    </row>
    <row r="3895" ht="21.0" customHeight="1">
      <c r="A3895" s="6">
        <v>1.0</v>
      </c>
      <c r="B3895" s="6">
        <v>284.0</v>
      </c>
      <c r="C3895" s="6">
        <v>13.0</v>
      </c>
      <c r="D3895" s="85" t="s">
        <v>6556</v>
      </c>
      <c r="E3895" s="9" t="s">
        <v>6557</v>
      </c>
      <c r="F3895" s="8" t="str">
        <f>IFERROR(__xludf.DUMMYFUNCTION("GOOGLETRANSLATE(D3895,""zh-CN"",""vi"")"),"Cổng Tinh tú")</f>
        <v>Cổng Tinh tú</v>
      </c>
      <c r="G3895" s="8" t="str">
        <f>IFERROR(__xludf.DUMMYFUNCTION("GOOGLETRANSLATE(E3895,""zh-CN"",""vi"")"),"Không rõ? Bí ẩn? Nguy hiểm? Điều gì ẩn sau cánh cửa? (Đã tổng hợp được cấp độ cao nhất)")</f>
        <v>Không rõ? Bí ẩn? Nguy hiểm? Điều gì ẩn sau cánh cửa? (Đã tổng hợp được cấp độ cao nhất)</v>
      </c>
      <c r="H3895" s="8"/>
      <c r="I3895" s="8"/>
      <c r="J3895" s="8"/>
    </row>
    <row r="3896" ht="21.0" customHeight="1">
      <c r="A3896" s="6">
        <v>1.0</v>
      </c>
      <c r="B3896" s="6">
        <v>285.0</v>
      </c>
      <c r="C3896" s="6">
        <v>1.0</v>
      </c>
      <c r="D3896" s="85" t="s">
        <v>6558</v>
      </c>
      <c r="E3896" s="9" t="s">
        <v>6559</v>
      </c>
      <c r="F3896" s="8" t="str">
        <f>IFERROR(__xludf.DUMMYFUNCTION("GOOGLETRANSLATE(D3896,""zh-CN"",""vi"")"),"thế giới")</f>
        <v>thế giới</v>
      </c>
      <c r="G3896" s="8" t="str">
        <f>IFERROR(__xludf.DUMMYFUNCTION("GOOGLETRANSLATE(E3896,""zh-CN"",""vi"")"),"Bản chất của thế giới là thành tựu; nỗ lực sẽ được đền đáp. Tổng hợp dẫn đến phán xét.")</f>
        <v>Bản chất của thế giới là thành tựu; nỗ lực sẽ được đền đáp. Tổng hợp dẫn đến phán xét.</v>
      </c>
      <c r="H3896" s="8"/>
      <c r="I3896" s="8"/>
      <c r="J3896" s="8"/>
    </row>
    <row r="3897" ht="21.0" customHeight="1">
      <c r="A3897" s="6">
        <v>1.0</v>
      </c>
      <c r="B3897" s="6">
        <v>285.0</v>
      </c>
      <c r="C3897" s="6">
        <v>2.0</v>
      </c>
      <c r="D3897" s="85" t="s">
        <v>6560</v>
      </c>
      <c r="E3897" s="9" t="s">
        <v>6561</v>
      </c>
      <c r="F3897" s="8" t="str">
        <f>IFERROR(__xludf.DUMMYFUNCTION("GOOGLETRANSLATE(D3897,""zh-CN"",""vi"")"),"Sự thử nghiệm")</f>
        <v>Sự thử nghiệm</v>
      </c>
      <c r="G3897" s="8" t="str">
        <f>IFERROR(__xludf.DUMMYFUNCTION("GOOGLETRANSLATE(E3897,""zh-CN"",""vi"")"),"Ý nghĩa tượng trưng của sự phán xét là sự phục sinh, loại bỏ những tạp chất và giữ lại tinh túy. Tổng hợp lại để có được mặt trời.")</f>
        <v>Ý nghĩa tượng trưng của sự phán xét là sự phục sinh, loại bỏ những tạp chất và giữ lại tinh túy. Tổng hợp lại để có được mặt trời.</v>
      </c>
      <c r="H3897" s="8"/>
      <c r="I3897" s="8"/>
      <c r="J3897" s="8"/>
    </row>
    <row r="3898" ht="21.0" customHeight="1">
      <c r="A3898" s="6">
        <v>1.0</v>
      </c>
      <c r="B3898" s="6">
        <v>285.0</v>
      </c>
      <c r="C3898" s="6">
        <v>3.0</v>
      </c>
      <c r="D3898" s="81" t="s">
        <v>6562</v>
      </c>
      <c r="E3898" s="9" t="s">
        <v>6563</v>
      </c>
      <c r="F3898" s="8" t="str">
        <f>IFERROR(__xludf.DUMMYFUNCTION("GOOGLETRANSLATE(D3898,""zh-CN"",""vi"")"),"mặt trời")</f>
        <v>mặt trời</v>
      </c>
      <c r="G3898" s="8" t="str">
        <f>IFERROR(__xludf.DUMMYFUNCTION("GOOGLETRANSLATE(E3898,""zh-CN"",""vi"")"),"Mặt trời tượng trưng cho tri thức và sức sống, mang lại sự sống cho vạn vật. Mặt trăng được tạo thành từ mặt trời.")</f>
        <v>Mặt trời tượng trưng cho tri thức và sức sống, mang lại sự sống cho vạn vật. Mặt trăng được tạo thành từ mặt trời.</v>
      </c>
      <c r="H3898" s="8"/>
      <c r="I3898" s="8"/>
      <c r="J3898" s="8"/>
    </row>
    <row r="3899" ht="21.0" customHeight="1">
      <c r="A3899" s="6">
        <v>1.0</v>
      </c>
      <c r="B3899" s="6">
        <v>285.0</v>
      </c>
      <c r="C3899" s="6">
        <v>4.0</v>
      </c>
      <c r="D3899" s="81" t="s">
        <v>6564</v>
      </c>
      <c r="E3899" s="9" t="s">
        <v>6565</v>
      </c>
      <c r="F3899" s="8" t="str">
        <f>IFERROR(__xludf.DUMMYFUNCTION("GOOGLETRANSLATE(D3899,""zh-CN"",""vi"")"),"mặt trăng")</f>
        <v>mặt trăng</v>
      </c>
      <c r="G3899" s="8" t="str">
        <f>IFERROR(__xludf.DUMMYFUNCTION("GOOGLETRANSLATE(E3899,""zh-CN"",""vi"")"),"Mặt trăng tượng trưng cho sự hỗn loạn và đau khổ, đồng thời đóng vai trò là cầu nối đến thế giới tâm linh. (Các vì sao được tổng hợp từ mặt trăng.)")</f>
        <v>Mặt trăng tượng trưng cho sự hỗn loạn và đau khổ, đồng thời đóng vai trò là cầu nối đến thế giới tâm linh. (Các vì sao được tổng hợp từ mặt trăng.)</v>
      </c>
      <c r="H3899" s="8"/>
      <c r="I3899" s="8"/>
      <c r="J3899" s="8"/>
    </row>
    <row r="3900" ht="21.0" customHeight="1">
      <c r="A3900" s="6">
        <v>1.0</v>
      </c>
      <c r="B3900" s="6">
        <v>285.0</v>
      </c>
      <c r="C3900" s="6">
        <v>5.0</v>
      </c>
      <c r="D3900" s="90" t="s">
        <v>6566</v>
      </c>
      <c r="E3900" s="9" t="s">
        <v>6567</v>
      </c>
      <c r="F3900" s="8" t="str">
        <f>IFERROR(__xludf.DUMMYFUNCTION("GOOGLETRANSLATE(D3900,""zh-CN"",""vi"")"),"Ngôi sao")</f>
        <v>Ngôi sao</v>
      </c>
      <c r="G3900" s="8" t="str">
        <f>IFERROR(__xludf.DUMMYFUNCTION("GOOGLETRANSLATE(E3900,""zh-CN"",""vi"")"),"Những vì sao tượng trưng cho hy vọng, và tương lai sẽ vô cùng tươi sáng. Sự tổng hợp mang lại sự kiềm chế.")</f>
        <v>Những vì sao tượng trưng cho hy vọng, và tương lai sẽ vô cùng tươi sáng. Sự tổng hợp mang lại sự kiềm chế.</v>
      </c>
      <c r="H3900" s="8"/>
      <c r="I3900" s="8"/>
      <c r="J3900" s="8"/>
    </row>
    <row r="3901" ht="21.0" customHeight="1">
      <c r="A3901" s="6">
        <v>1.0</v>
      </c>
      <c r="B3901" s="6">
        <v>285.0</v>
      </c>
      <c r="C3901" s="6">
        <v>6.0</v>
      </c>
      <c r="D3901" s="81" t="s">
        <v>6568</v>
      </c>
      <c r="E3901" s="9" t="s">
        <v>6569</v>
      </c>
      <c r="F3901" s="8" t="str">
        <f>IFERROR(__xludf.DUMMYFUNCTION("GOOGLETRANSLATE(D3901,""zh-CN"",""vi"")"),"điều khiển")</f>
        <v>điều khiển</v>
      </c>
      <c r="G3901" s="8" t="str">
        <f>IFERROR(__xludf.DUMMYFUNCTION("GOOGLETRANSLATE(E3901,""zh-CN"",""vi"")"),"Sự tiết chế tượng trưng cho sự thanh lọc, giản dị, điều chỉnh, êm dịu và lợi ích chung, tất cả cùng nhau dẫn đến sự xuất hiện của Thần Chết.")</f>
        <v>Sự tiết chế tượng trưng cho sự thanh lọc, giản dị, điều chỉnh, êm dịu và lợi ích chung, tất cả cùng nhau dẫn đến sự xuất hiện của Thần Chết.</v>
      </c>
      <c r="H3901" s="8"/>
      <c r="I3901" s="8"/>
      <c r="J3901" s="8"/>
    </row>
    <row r="3902" ht="21.0" customHeight="1">
      <c r="A3902" s="6">
        <v>1.0</v>
      </c>
      <c r="B3902" s="6">
        <v>285.0</v>
      </c>
      <c r="C3902" s="6">
        <v>7.0</v>
      </c>
      <c r="D3902" s="81" t="s">
        <v>6570</v>
      </c>
      <c r="E3902" s="9" t="s">
        <v>6571</v>
      </c>
      <c r="F3902" s="8" t="str">
        <f>IFERROR(__xludf.DUMMYFUNCTION("GOOGLETRANSLATE(D3902,""zh-CN"",""vi"")"),"Thần Chết")</f>
        <v>Thần Chết</v>
      </c>
      <c r="G3902" s="8" t="str">
        <f>IFERROR(__xludf.DUMMYFUNCTION("GOOGLETRANSLATE(E3902,""zh-CN"",""vi"")"),"Cái chết tượng trưng cho sự kết thúc, chấm dứt một mối quan hệ cũ và bắt đầu một cuộc sống mới. (Hãy tạo ra lá bài Người Treo Ngược.)")</f>
        <v>Cái chết tượng trưng cho sự kết thúc, chấm dứt một mối quan hệ cũ và bắt đầu một cuộc sống mới. (Hãy tạo ra lá bài Người Treo Ngược.)</v>
      </c>
      <c r="H3902" s="8"/>
      <c r="I3902" s="8"/>
      <c r="J3902" s="8"/>
    </row>
    <row r="3903" ht="21.0" customHeight="1">
      <c r="A3903" s="6">
        <v>1.0</v>
      </c>
      <c r="B3903" s="6">
        <v>285.0</v>
      </c>
      <c r="C3903" s="6">
        <v>8.0</v>
      </c>
      <c r="D3903" s="81" t="s">
        <v>6572</v>
      </c>
      <c r="E3903" s="9" t="s">
        <v>6573</v>
      </c>
      <c r="F3903" s="8" t="str">
        <f>IFERROR(__xludf.DUMMYFUNCTION("GOOGLETRANSLATE(D3903,""zh-CN"",""vi"")"),"Người bị treo cổ")</f>
        <v>Người bị treo cổ</v>
      </c>
      <c r="G3903" s="8" t="str">
        <f>IFERROR(__xludf.DUMMYFUNCTION("GOOGLETRANSLATE(E3903,""zh-CN"",""vi"")"),"Lá bài Người Treo Ngược tượng trưng cho sự hy sinh, thử thách và sự tái sinh từ đống tro tàn. Sự tổng hợp mang lại công lý.")</f>
        <v>Lá bài Người Treo Ngược tượng trưng cho sự hy sinh, thử thách và sự tái sinh từ đống tro tàn. Sự tổng hợp mang lại công lý.</v>
      </c>
      <c r="H3903" s="8"/>
      <c r="I3903" s="8"/>
      <c r="J3903" s="8"/>
    </row>
    <row r="3904" ht="21.0" customHeight="1">
      <c r="A3904" s="6">
        <v>1.0</v>
      </c>
      <c r="B3904" s="6">
        <v>285.0</v>
      </c>
      <c r="C3904" s="6">
        <v>9.0</v>
      </c>
      <c r="D3904" s="81" t="s">
        <v>6574</v>
      </c>
      <c r="E3904" s="9" t="s">
        <v>6575</v>
      </c>
      <c r="F3904" s="8" t="str">
        <f>IFERROR(__xludf.DUMMYFUNCTION("GOOGLETRANSLATE(D3904,""zh-CN"",""vi"")"),"công lý")</f>
        <v>công lý</v>
      </c>
      <c r="G3904" s="8" t="str">
        <f>IFERROR(__xludf.DUMMYFUNCTION("GOOGLETRANSLATE(E3904,""zh-CN"",""vi"")"),"Công lý nghĩa là sự công bằng, vậy nên hãy tiến lên! Tổng hợp để có được Ẩn Sĩ.")</f>
        <v>Công lý nghĩa là sự công bằng, vậy nên hãy tiến lên! Tổng hợp để có được Ẩn Sĩ.</v>
      </c>
      <c r="H3904" s="8"/>
      <c r="I3904" s="8"/>
      <c r="J3904" s="8"/>
    </row>
    <row r="3905" ht="21.0" customHeight="1">
      <c r="A3905" s="6">
        <v>1.0</v>
      </c>
      <c r="B3905" s="6">
        <v>285.0</v>
      </c>
      <c r="C3905" s="6">
        <v>10.0</v>
      </c>
      <c r="D3905" s="85" t="s">
        <v>6576</v>
      </c>
      <c r="E3905" s="9" t="s">
        <v>6577</v>
      </c>
      <c r="F3905" s="8" t="str">
        <f>IFERROR(__xludf.DUMMYFUNCTION("GOOGLETRANSLATE(D3905,""zh-CN"",""vi"")"),"ẩn sĩ")</f>
        <v>ẩn sĩ</v>
      </c>
      <c r="G3905" s="8" t="str">
        <f>IFERROR(__xludf.DUMMYFUNCTION("GOOGLETRANSLATE(E3905,""zh-CN"",""vi"")"),"Ẩn sĩ tượng trưng cho sự khám phá; hãy tích cực khám phá ngay cả trong những tình huống khó khăn. Tổng hợp lại để đạt được Hoàng đế.")</f>
        <v>Ẩn sĩ tượng trưng cho sự khám phá; hãy tích cực khám phá ngay cả trong những tình huống khó khăn. Tổng hợp lại để đạt được Hoàng đế.</v>
      </c>
      <c r="H3905" s="8"/>
      <c r="I3905" s="8"/>
      <c r="J3905" s="8"/>
    </row>
    <row r="3906" ht="21.0" customHeight="1">
      <c r="A3906" s="6">
        <v>1.0</v>
      </c>
      <c r="B3906" s="6">
        <v>285.0</v>
      </c>
      <c r="C3906" s="6">
        <v>11.0</v>
      </c>
      <c r="D3906" s="85" t="s">
        <v>6578</v>
      </c>
      <c r="E3906" s="9" t="s">
        <v>6579</v>
      </c>
      <c r="F3906" s="8" t="str">
        <f>IFERROR(__xludf.DUMMYFUNCTION("GOOGLETRANSLATE(D3906,""zh-CN"",""vi"")"),"hoàng đế")</f>
        <v>hoàng đế</v>
      </c>
      <c r="G3906" s="8" t="str">
        <f>IFERROR(__xludf.DUMMYFUNCTION("GOOGLETRANSLATE(E3906,""zh-CN"",""vi"")"),"Hoàng đế tượng trưng cho sự thống trị, vinh quang, quyền lực và chiến thắng. Kết hợp các yếu tố để tạo ra một pháp sư.")</f>
        <v>Hoàng đế tượng trưng cho sự thống trị, vinh quang, quyền lực và chiến thắng. Kết hợp các yếu tố để tạo ra một pháp sư.</v>
      </c>
      <c r="H3906" s="8"/>
      <c r="I3906" s="8"/>
      <c r="J3906" s="8"/>
    </row>
    <row r="3907" ht="21.0" customHeight="1">
      <c r="A3907" s="6">
        <v>1.0</v>
      </c>
      <c r="B3907" s="6">
        <v>285.0</v>
      </c>
      <c r="C3907" s="6">
        <v>12.0</v>
      </c>
      <c r="D3907" s="85" t="s">
        <v>6580</v>
      </c>
      <c r="E3907" s="9" t="s">
        <v>6581</v>
      </c>
      <c r="F3907" s="8" t="str">
        <f>IFERROR(__xludf.DUMMYFUNCTION("GOOGLETRANSLATE(D3907,""zh-CN"",""vi"")"),"ảo thuật gia")</f>
        <v>ảo thuật gia</v>
      </c>
      <c r="G3907" s="8" t="str">
        <f>IFERROR(__xludf.DUMMYFUNCTION("GOOGLETRANSLATE(E3907,""zh-CN"",""vi"")"),"Nhà ảo thuật tượng trưng cho sự trao đổi quyền lực và sự ban tặng tinh thần. Lá bài Người Khờ được tạo ra thông qua sự tổng hợp.")</f>
        <v>Nhà ảo thuật tượng trưng cho sự trao đổi quyền lực và sự ban tặng tinh thần. Lá bài Người Khờ được tạo ra thông qua sự tổng hợp.</v>
      </c>
      <c r="H3907" s="8"/>
      <c r="I3907" s="8"/>
      <c r="J3907" s="8"/>
    </row>
    <row r="3908" ht="21.0" customHeight="1">
      <c r="A3908" s="6">
        <v>1.0</v>
      </c>
      <c r="B3908" s="6">
        <v>285.0</v>
      </c>
      <c r="C3908" s="6">
        <v>13.0</v>
      </c>
      <c r="D3908" s="85" t="s">
        <v>6582</v>
      </c>
      <c r="E3908" s="9" t="s">
        <v>6583</v>
      </c>
      <c r="F3908" s="8" t="str">
        <f>IFERROR(__xludf.DUMMYFUNCTION("GOOGLETRANSLATE(D3908,""zh-CN"",""vi"")"),"Ngu xuẩn")</f>
        <v>Ngu xuẩn</v>
      </c>
      <c r="G3908" s="8" t="str">
        <f>IFERROR(__xludf.DUMMYFUNCTION("GOOGLETRANSLATE(E3908,""zh-CN"",""vi"")"),"Số 0 hoặc là khởi đầu hoặc là kết thúc của mọi thứ. (Được tổng hợp ở cấp độ cao nhất)")</f>
        <v>Số 0 hoặc là khởi đầu hoặc là kết thúc của mọi thứ. (Được tổng hợp ở cấp độ cao nhất)</v>
      </c>
      <c r="H3908" s="8"/>
      <c r="I3908" s="8"/>
      <c r="J3908" s="8"/>
    </row>
    <row r="3909" ht="21.0" customHeight="1">
      <c r="A3909" s="6">
        <v>1.0</v>
      </c>
      <c r="B3909" s="6">
        <v>286.0</v>
      </c>
      <c r="C3909" s="6">
        <v>1.0</v>
      </c>
      <c r="D3909" s="81" t="s">
        <v>6584</v>
      </c>
      <c r="E3909" s="92" t="s">
        <v>6585</v>
      </c>
      <c r="F3909" s="8" t="str">
        <f>IFERROR(__xludf.DUMMYFUNCTION("GOOGLETRANSLATE(D3909,""zh-CN"",""vi"")"),"Nhà thờ đêm")</f>
        <v>Nhà thờ đêm</v>
      </c>
      <c r="G3909" s="8" t="str">
        <f>IFERROR(__xludf.DUMMYFUNCTION("GOOGLETRANSLATE(E3909,""zh-CN"",""vi"")"),"Thắp đèn trong bóng tối để bảo vệ giấc ngủ yên bình và xua đuổi tà ma. Kết hợp các thành phần để có được Giáo Hội Trái Đất.")</f>
        <v>Thắp đèn trong bóng tối để bảo vệ giấc ngủ yên bình và xua đuổi tà ma. Kết hợp các thành phần để có được Giáo Hội Trái Đất.</v>
      </c>
      <c r="H3909" s="8"/>
      <c r="I3909" s="8"/>
      <c r="J3909" s="8"/>
    </row>
    <row r="3910" ht="21.0" customHeight="1">
      <c r="A3910" s="6">
        <v>1.0</v>
      </c>
      <c r="B3910" s="6">
        <v>286.0</v>
      </c>
      <c r="C3910" s="6">
        <v>2.0</v>
      </c>
      <c r="D3910" s="81" t="s">
        <v>6586</v>
      </c>
      <c r="E3910" s="9" t="s">
        <v>6587</v>
      </c>
      <c r="F3910" s="8" t="str">
        <f>IFERROR(__xludf.DUMMYFUNCTION("GOOGLETRANSLATE(D3910,""zh-CN"",""vi"")"),"Nhà thờ Trái đất")</f>
        <v>Nhà thờ Trái đất</v>
      </c>
      <c r="G3910" s="8" t="str">
        <f>IFERROR(__xludf.DUMMYFUNCTION("GOOGLETRANSLATE(E3910,""zh-CN"",""vi"")"),"Ôm lấy mảnh đất màu mỡ, nuôi dưỡng sự sống và mang lại lợi ích cho muôn loài. Tổng hợp để hình thành Giáo Hội Sự Sống.")</f>
        <v>Ôm lấy mảnh đất màu mỡ, nuôi dưỡng sự sống và mang lại lợi ích cho muôn loài. Tổng hợp để hình thành Giáo Hội Sự Sống.</v>
      </c>
      <c r="H3910" s="8"/>
      <c r="I3910" s="8"/>
      <c r="J3910" s="8"/>
    </row>
    <row r="3911" ht="21.0" customHeight="1">
      <c r="A3911" s="6">
        <v>1.0</v>
      </c>
      <c r="B3911" s="6">
        <v>286.0</v>
      </c>
      <c r="C3911" s="6">
        <v>3.0</v>
      </c>
      <c r="D3911" s="81" t="s">
        <v>6588</v>
      </c>
      <c r="E3911" s="9" t="s">
        <v>6589</v>
      </c>
      <c r="F3911" s="8" t="str">
        <f>IFERROR(__xludf.DUMMYFUNCTION("GOOGLETRANSLATE(D3911,""zh-CN"",""vi"")"),"nhà thờ đời sống")</f>
        <v>nhà thờ đời sống</v>
      </c>
      <c r="G3911" s="8" t="str">
        <f>IFERROR(__xludf.DUMMYFUNCTION("GOOGLETRANSLATE(E3911,""zh-CN"",""vi"")"),"Chữa lành tâm hồn và thể xác, tôn vinh nhịp điệu cuộc sống. Tổng hợp để tạo nên Giáo hội Trăng Đỏ.")</f>
        <v>Chữa lành tâm hồn và thể xác, tôn vinh nhịp điệu cuộc sống. Tổng hợp để tạo nên Giáo hội Trăng Đỏ.</v>
      </c>
      <c r="H3911" s="8"/>
      <c r="I3911" s="8"/>
      <c r="J3911" s="8"/>
    </row>
    <row r="3912" ht="21.0" customHeight="1">
      <c r="A3912" s="6">
        <v>1.0</v>
      </c>
      <c r="B3912" s="6">
        <v>286.0</v>
      </c>
      <c r="C3912" s="6">
        <v>4.0</v>
      </c>
      <c r="D3912" s="81" t="s">
        <v>6590</v>
      </c>
      <c r="E3912" s="9" t="s">
        <v>6591</v>
      </c>
      <c r="F3912" s="8" t="str">
        <f>IFERROR(__xludf.DUMMYFUNCTION("GOOGLETRANSLATE(D3912,""zh-CN"",""vi"")"),"Nhà thờ Trăng Đỏ")</f>
        <v>Nhà thờ Trăng Đỏ</v>
      </c>
      <c r="G3912" s="8" t="str">
        <f>IFERROR(__xludf.DUMMYFUNCTION("GOOGLETRANSLATE(E3912,""zh-CN"",""vi"")"),"Theo tiếng thì thầm của mặt trăng, hãy vén màn bí ẩn và thấu hiểu vận mệnh. Hợp nhất để có được Giáo hội Mặt Trời Rực Lửa.")</f>
        <v>Theo tiếng thì thầm của mặt trăng, hãy vén màn bí ẩn và thấu hiểu vận mệnh. Hợp nhất để có được Giáo hội Mặt Trời Rực Lửa.</v>
      </c>
      <c r="H3912" s="8"/>
      <c r="I3912" s="8"/>
      <c r="J3912" s="8"/>
    </row>
    <row r="3913" ht="21.0" customHeight="1">
      <c r="A3913" s="6">
        <v>1.0</v>
      </c>
      <c r="B3913" s="6">
        <v>286.0</v>
      </c>
      <c r="C3913" s="6">
        <v>5.0</v>
      </c>
      <c r="D3913" s="81" t="s">
        <v>6592</v>
      </c>
      <c r="E3913" s="9" t="s">
        <v>6593</v>
      </c>
      <c r="F3913" s="8" t="str">
        <f>IFERROR(__xludf.DUMMYFUNCTION("GOOGLETRANSLATE(D3913,""zh-CN"",""vi"")"),"Nhà thờ Mặt Trời Rực Cháy")</f>
        <v>Nhà thờ Mặt Trời Rực Cháy</v>
      </c>
      <c r="G3913" s="8" t="str">
        <f>IFERROR(__xludf.DUMMYFUNCTION("GOOGLETRANSLATE(E3913,""zh-CN"",""vi"")"),"Hãy thiêu rụi bóng tối, và phán xét sự bất công bằng ánh sáng. Hãy hợp nhất để có được Giáo hội Thần Chiến tranh.")</f>
        <v>Hãy thiêu rụi bóng tối, và phán xét sự bất công bằng ánh sáng. Hãy hợp nhất để có được Giáo hội Thần Chiến tranh.</v>
      </c>
      <c r="H3913" s="8"/>
      <c r="I3913" s="8"/>
      <c r="J3913" s="8"/>
    </row>
    <row r="3914" ht="21.0" customHeight="1">
      <c r="A3914" s="6">
        <v>1.0</v>
      </c>
      <c r="B3914" s="6">
        <v>286.0</v>
      </c>
      <c r="C3914" s="6">
        <v>6.0</v>
      </c>
      <c r="D3914" s="81" t="s">
        <v>6594</v>
      </c>
      <c r="E3914" s="9" t="s">
        <v>6595</v>
      </c>
      <c r="F3914" s="8" t="str">
        <f>IFERROR(__xludf.DUMMYFUNCTION("GOOGLETRANSLATE(D3914,""zh-CN"",""vi"")"),"Giáo hội Thần Chiến tranh")</f>
        <v>Giáo hội Thần Chiến tranh</v>
      </c>
      <c r="G3914" s="8" t="str">
        <f>IFERROR(__xludf.DUMMYFUNCTION("GOOGLETRANSLATE(E3914,""zh-CN"",""vi"")"),"Nắm giữ những thanh kiếm sắc bén, tạo nên vinh quang bằng lòng dũng cảm. Tổng hợp để có được Nhà thờ Bão tố.")</f>
        <v>Nắm giữ những thanh kiếm sắc bén, tạo nên vinh quang bằng lòng dũng cảm. Tổng hợp để có được Nhà thờ Bão tố.</v>
      </c>
      <c r="H3914" s="8"/>
      <c r="I3914" s="8"/>
      <c r="J3914" s="8"/>
    </row>
    <row r="3915" ht="21.0" customHeight="1">
      <c r="A3915" s="6">
        <v>1.0</v>
      </c>
      <c r="B3915" s="6">
        <v>286.0</v>
      </c>
      <c r="C3915" s="6">
        <v>7.0</v>
      </c>
      <c r="D3915" s="81" t="s">
        <v>6596</v>
      </c>
      <c r="E3915" s="9" t="s">
        <v>6597</v>
      </c>
      <c r="F3915" s="8" t="str">
        <f>IFERROR(__xludf.DUMMYFUNCTION("GOOGLETRANSLATE(D3915,""zh-CN"",""vi"")"),"Nhà thờ Bão")</f>
        <v>Nhà thờ Bão</v>
      </c>
      <c r="G3915" s="8" t="str">
        <f>IFERROR(__xludf.DUMMYFUNCTION("GOOGLETRANSLATE(E3915,""zh-CN"",""vi"")"),"Kiểm soát những con sóng dữ dội, điều tiết gió và mưa để bảo vệ nhân loại. Tổng hợp để có được Giáo Hội Mùa Thu.")</f>
        <v>Kiểm soát những con sóng dữ dội, điều tiết gió và mưa để bảo vệ nhân loại. Tổng hợp để có được Giáo Hội Mùa Thu.</v>
      </c>
      <c r="H3915" s="8"/>
      <c r="I3915" s="8"/>
      <c r="J3915" s="8"/>
    </row>
    <row r="3916" ht="21.0" customHeight="1">
      <c r="A3916" s="6">
        <v>1.0</v>
      </c>
      <c r="B3916" s="6">
        <v>286.0</v>
      </c>
      <c r="C3916" s="6">
        <v>8.0</v>
      </c>
      <c r="D3916" s="81" t="s">
        <v>6598</v>
      </c>
      <c r="E3916" s="9" t="s">
        <v>6599</v>
      </c>
      <c r="F3916" s="8" t="str">
        <f>IFERROR(__xludf.DUMMYFUNCTION("GOOGLETRANSLATE(D3916,""zh-CN"",""vi"")"),"Nhà thờ Harvest")</f>
        <v>Nhà thờ Harvest</v>
      </c>
      <c r="G3916" s="8" t="str">
        <f>IFERROR(__xludf.DUMMYFUNCTION("GOOGLETRANSLATE(E3916,""zh-CN"",""vi"")"),"Hãy vun đắp niềm hy vọng và đền đáp sự siêng năng bằng sự sung túc. Tổng hợp và tiếp thu Giáo hội Tinh tú.")</f>
        <v>Hãy vun đắp niềm hy vọng và đền đáp sự siêng năng bằng sự sung túc. Tổng hợp và tiếp thu Giáo hội Tinh tú.</v>
      </c>
      <c r="H3916" s="8"/>
      <c r="I3916" s="8"/>
      <c r="J3916" s="8"/>
    </row>
    <row r="3917" ht="21.0" customHeight="1">
      <c r="A3917" s="6">
        <v>1.0</v>
      </c>
      <c r="B3917" s="6">
        <v>286.0</v>
      </c>
      <c r="C3917" s="6">
        <v>9.0</v>
      </c>
      <c r="D3917" s="81" t="s">
        <v>6600</v>
      </c>
      <c r="E3917" s="9" t="s">
        <v>6601</v>
      </c>
      <c r="F3917" s="8" t="str">
        <f>IFERROR(__xludf.DUMMYFUNCTION("GOOGLETRANSLATE(D3917,""zh-CN"",""vi"")"),"Nhà thờ Astral")</f>
        <v>Nhà thờ Astral</v>
      </c>
      <c r="G3917" s="8" t="str">
        <f>IFERROR(__xludf.DUMMYFUNCTION("GOOGLETRANSLATE(E3917,""zh-CN"",""vi"")"),"Khi ngắm nhìn dải Ngân hà, chúng ta khám phá ra những bí mật của vũ trụ. Bằng cách tổng hợp chúng, chúng ta có thể tiếp cận Giáo hội Trí tuệ.")</f>
        <v>Khi ngắm nhìn dải Ngân hà, chúng ta khám phá ra những bí mật của vũ trụ. Bằng cách tổng hợp chúng, chúng ta có thể tiếp cận Giáo hội Trí tuệ.</v>
      </c>
      <c r="H3917" s="8"/>
      <c r="I3917" s="8"/>
      <c r="J3917" s="8"/>
    </row>
    <row r="3918" ht="21.0" customHeight="1">
      <c r="A3918" s="6">
        <v>1.0</v>
      </c>
      <c r="B3918" s="6">
        <v>286.0</v>
      </c>
      <c r="C3918" s="6">
        <v>10.0</v>
      </c>
      <c r="D3918" s="81" t="s">
        <v>6602</v>
      </c>
      <c r="E3918" s="9" t="s">
        <v>6603</v>
      </c>
      <c r="F3918" s="8" t="str">
        <f>IFERROR(__xludf.DUMMYFUNCTION("GOOGLETRANSLATE(D3918,""zh-CN"",""vi"")"),"Nhà thờ Trí tuệ")</f>
        <v>Nhà thờ Trí tuệ</v>
      </c>
      <c r="G3918" s="8" t="str">
        <f>IFERROR(__xludf.DUMMYFUNCTION("GOOGLETRANSLATE(E3918,""zh-CN"",""vi"")"),"Thu thập tri thức chân chính, xua tan sự ngu dốt và khai sáng tâm trí. Tổng hợp để hình thành Giáo hội Cơ khí.")</f>
        <v>Thu thập tri thức chân chính, xua tan sự ngu dốt và khai sáng tâm trí. Tổng hợp để hình thành Giáo hội Cơ khí.</v>
      </c>
      <c r="H3918" s="8"/>
      <c r="I3918" s="8"/>
      <c r="J3918" s="8"/>
    </row>
    <row r="3919" ht="21.0" customHeight="1">
      <c r="A3919" s="6">
        <v>1.0</v>
      </c>
      <c r="B3919" s="6">
        <v>286.0</v>
      </c>
      <c r="C3919" s="6">
        <v>11.0</v>
      </c>
      <c r="D3919" s="81" t="s">
        <v>6604</v>
      </c>
      <c r="E3919" s="9" t="s">
        <v>6605</v>
      </c>
      <c r="F3919" s="8" t="str">
        <f>IFERROR(__xludf.DUMMYFUNCTION("GOOGLETRANSLATE(D3919,""zh-CN"",""vi"")"),"Nhà thờ Cơ khí")</f>
        <v>Nhà thờ Cơ khí</v>
      </c>
      <c r="G3919" s="8" t="str">
        <f>IFERROR(__xludf.DUMMYFUNCTION("GOOGLETRANSLATE(E3919,""zh-CN"",""vi"")"),"Khám phá sự khéo léo để tạo ra những thế giới mới. Tổng hợp để đạt được Giáo hội Nguyên thủy.")</f>
        <v>Khám phá sự khéo léo để tạo ra những thế giới mới. Tổng hợp để đạt được Giáo hội Nguyên thủy.</v>
      </c>
      <c r="H3919" s="8"/>
      <c r="I3919" s="8"/>
      <c r="J3919" s="8"/>
    </row>
    <row r="3920" ht="21.0" customHeight="1">
      <c r="A3920" s="6">
        <v>1.0</v>
      </c>
      <c r="B3920" s="6">
        <v>286.0</v>
      </c>
      <c r="C3920" s="6">
        <v>12.0</v>
      </c>
      <c r="D3920" s="81" t="s">
        <v>6606</v>
      </c>
      <c r="E3920" s="9" t="s">
        <v>6607</v>
      </c>
      <c r="F3920" s="8" t="str">
        <f>IFERROR(__xludf.DUMMYFUNCTION("GOOGLETRANSLATE(D3920,""zh-CN"",""vi"")"),"nhà thờ nguyên thủy")</f>
        <v>nhà thờ nguyên thủy</v>
      </c>
      <c r="G3920" s="8" t="str">
        <f>IFERROR(__xludf.DUMMYFUNCTION("GOOGLETRANSLATE(E3920,""zh-CN"",""vi"")"),"Truy tìm nguồn gốc, giữ vững ý nghĩa ban đầu. Tổng hợp để hình thành Giáo hội Cổ.")</f>
        <v>Truy tìm nguồn gốc, giữ vững ý nghĩa ban đầu. Tổng hợp để hình thành Giáo hội Cổ.</v>
      </c>
      <c r="H3920" s="8"/>
      <c r="I3920" s="8"/>
      <c r="J3920" s="8"/>
    </row>
    <row r="3921" ht="21.0" customHeight="1">
      <c r="A3921" s="6">
        <v>1.0</v>
      </c>
      <c r="B3921" s="6">
        <v>286.0</v>
      </c>
      <c r="C3921" s="6">
        <v>13.0</v>
      </c>
      <c r="D3921" s="81" t="s">
        <v>6608</v>
      </c>
      <c r="E3921" s="9" t="s">
        <v>6609</v>
      </c>
      <c r="F3921" s="8" t="str">
        <f>IFERROR(__xludf.DUMMYFUNCTION("GOOGLETRANSLATE(D3921,""zh-CN"",""vi"")"),"Nhà thờ cổ")</f>
        <v>Nhà thờ cổ</v>
      </c>
      <c r="G3921" s="8" t="str">
        <f>IFERROR(__xludf.DUMMYFUNCTION("GOOGLETRANSLATE(E3921,""zh-CN"",""vi"")"),"Tuân theo các nghi lễ cổ xưa và gìn giữ những giáo lý truyền thống để bảo vệ hòa bình và sự yên tĩnh. (Đã được tổng hợp đến cấp độ cao nhất)")</f>
        <v>Tuân theo các nghi lễ cổ xưa và gìn giữ những giáo lý truyền thống để bảo vệ hòa bình và sự yên tĩnh. (Đã được tổng hợp đến cấp độ cao nhất)</v>
      </c>
      <c r="H3921" s="8"/>
      <c r="I3921" s="8"/>
      <c r="J3921" s="8"/>
    </row>
    <row r="3922" ht="21.0" customHeight="1">
      <c r="A3922" s="6">
        <v>11.0</v>
      </c>
      <c r="B3922" s="6">
        <v>1094.0</v>
      </c>
      <c r="C3922" s="6">
        <v>1.0</v>
      </c>
      <c r="D3922" s="85" t="s">
        <v>6610</v>
      </c>
      <c r="E3922" s="9" t="s">
        <v>6611</v>
      </c>
      <c r="F3922" s="8" t="str">
        <f>IFERROR(__xludf.DUMMYFUNCTION("GOOGLETRANSLATE(D3922,""zh-CN"",""vi"")"),"Một người bạn đã hỏi xin lời khuyên.")</f>
        <v>Một người bạn đã hỏi xin lời khuyên.</v>
      </c>
      <c r="G3922" s="8" t="str">
        <f>IFERROR(__xludf.DUMMYFUNCTION("GOOGLETRANSLATE(E3922,""zh-CN"",""vi"")"),"Hãy gọi điện cho một người bạn và nhờ họ giúp đỡ về cách bắt đầu. Tự tay làm các vật phẩm để tiến bộ từ con số không đến trình độ người mới bắt đầu.")</f>
        <v>Hãy gọi điện cho một người bạn và nhờ họ giúp đỡ về cách bắt đầu. Tự tay làm các vật phẩm để tiến bộ từ con số không đến trình độ người mới bắt đầu.</v>
      </c>
      <c r="H3922" s="8"/>
      <c r="I3922" s="8"/>
      <c r="J3922" s="8"/>
    </row>
    <row r="3923" ht="21.0" customHeight="1">
      <c r="A3923" s="6">
        <v>11.0</v>
      </c>
      <c r="B3923" s="6">
        <v>1094.0</v>
      </c>
      <c r="C3923" s="6">
        <v>2.0</v>
      </c>
      <c r="D3923" s="85" t="s">
        <v>6612</v>
      </c>
      <c r="E3923" s="9" t="s">
        <v>6613</v>
      </c>
      <c r="F3923" s="8" t="str">
        <f>IFERROR(__xludf.DUMMYFUNCTION("GOOGLETRANSLATE(D3923,""zh-CN"",""vi"")"),"Từ số 0 đến người mới bắt đầu")</f>
        <v>Từ số 0 đến người mới bắt đầu</v>
      </c>
      <c r="G3923" s="8" t="str">
        <f>IFERROR(__xludf.DUMMYFUNCTION("GOOGLETRANSLATE(E3923,""zh-CN"",""vi"")"),"Một cuốn sách dành cho người mới bắt đầu học thủ công. Học cách tổng hợp và nắm vững những kiến ​​thức cơ bản mà không bỏ cuộc.")</f>
        <v>Một cuốn sách dành cho người mới bắt đầu học thủ công. Học cách tổng hợp và nắm vững những kiến ​​thức cơ bản mà không bỏ cuộc.</v>
      </c>
      <c r="H3923" s="8"/>
      <c r="I3923" s="8"/>
      <c r="J3923" s="8"/>
    </row>
    <row r="3924" ht="21.0" customHeight="1">
      <c r="A3924" s="6">
        <v>11.0</v>
      </c>
      <c r="B3924" s="6">
        <v>1094.0</v>
      </c>
      <c r="C3924" s="6">
        <v>3.0</v>
      </c>
      <c r="D3924" s="85" t="s">
        <v>6614</v>
      </c>
      <c r="E3924" s="9" t="s">
        <v>6615</v>
      </c>
      <c r="F3924" s="8" t="str">
        <f>IFERROR(__xludf.DUMMYFUNCTION("GOOGLETRANSLATE(D3924,""zh-CN"",""vi"")"),"Đừng bỏ cuộc một khi đã bắt đầu")</f>
        <v>Đừng bỏ cuộc một khi đã bắt đầu</v>
      </c>
      <c r="G3924" s="8" t="str">
        <f>IFERROR(__xludf.DUMMYFUNCTION("GOOGLETRANSLATE(E3924,""zh-CN"",""vi"")"),"Một cuốn sách về các kỹ thuật chế tác tiên tiến. Hãy tìm kiếm từ khóa ""tổng hợp"" để tìm thấy nó.")</f>
        <v>Một cuốn sách về các kỹ thuật chế tác tiên tiến. Hãy tìm kiếm từ khóa "tổng hợp" để tìm thấy nó.</v>
      </c>
      <c r="H3924" s="8"/>
      <c r="I3924" s="8"/>
      <c r="J3924" s="8"/>
    </row>
    <row r="3925" ht="21.0" customHeight="1">
      <c r="A3925" s="6">
        <v>11.0</v>
      </c>
      <c r="B3925" s="6">
        <v>1094.0</v>
      </c>
      <c r="C3925" s="6">
        <v>4.0</v>
      </c>
      <c r="D3925" s="85" t="s">
        <v>6616</v>
      </c>
      <c r="E3925" s="9" t="s">
        <v>6617</v>
      </c>
      <c r="F3925" s="8" t="str">
        <f>IFERROR(__xludf.DUMMYFUNCTION("GOOGLETRANSLATE(D3925,""zh-CN"",""vi"")"),"Tìm kiếm")</f>
        <v>Tìm kiếm</v>
      </c>
      <c r="G3925" s="8" t="str">
        <f>IFERROR(__xludf.DUMMYFUNCTION("GOOGLETRANSLATE(E3925,""zh-CN"",""vi"")"),"Tìm kiếm trực tuyến các video hướng dẫn làm đồ thủ công. Biên soạn chúng lại để tạo thành một video hướng dẫn làm theo.")</f>
        <v>Tìm kiếm trực tuyến các video hướng dẫn làm đồ thủ công. Biên soạn chúng lại để tạo thành một video hướng dẫn làm theo.</v>
      </c>
      <c r="H3925" s="8"/>
      <c r="I3925" s="8"/>
      <c r="J3925" s="8"/>
    </row>
    <row r="3926" ht="21.0" customHeight="1">
      <c r="A3926" s="6">
        <v>10.0</v>
      </c>
      <c r="B3926" s="6">
        <v>1094.0</v>
      </c>
      <c r="C3926" s="6">
        <v>5.0</v>
      </c>
      <c r="D3926" s="85" t="s">
        <v>6618</v>
      </c>
      <c r="E3926" s="9" t="s">
        <v>6619</v>
      </c>
      <c r="F3926" s="8" t="str">
        <f>IFERROR(__xludf.DUMMYFUNCTION("GOOGLETRANSLATE(D3926,""zh-CN"",""vi"")"),"Thực hành video")</f>
        <v>Thực hành video</v>
      </c>
      <c r="G3926" s="8" t="str">
        <f>IFERROR(__xludf.DUMMYFUNCTION("GOOGLETRANSLATE(E3926,""zh-CN"",""vi"")"),"Hãy theo dõi video và tiếp tục cố gắng! Tạo nội dung để thu hút sự chú ý và người theo dõi.")</f>
        <v>Hãy theo dõi video và tiếp tục cố gắng! Tạo nội dung để thu hút sự chú ý và người theo dõi.</v>
      </c>
      <c r="H3926" s="8"/>
      <c r="I3926" s="8"/>
      <c r="J3926" s="8"/>
    </row>
    <row r="3927" ht="21.0" customHeight="1">
      <c r="A3927" s="6">
        <v>10.0</v>
      </c>
      <c r="B3927" s="6">
        <v>1094.0</v>
      </c>
      <c r="C3927" s="6">
        <v>6.0</v>
      </c>
      <c r="D3927" s="85" t="s">
        <v>6620</v>
      </c>
      <c r="E3927" s="9" t="s">
        <v>6621</v>
      </c>
      <c r="F3927" s="8" t="str">
        <f>IFERROR(__xludf.DUMMYFUNCTION("GOOGLETRANSLATE(D3927,""zh-CN"",""vi"")"),"Tập trung vào việc tăng số lượng người theo dõi")</f>
        <v>Tập trung vào việc tăng số lượng người theo dõi</v>
      </c>
      <c r="G3927" s="8" t="str">
        <f>IFERROR(__xludf.DUMMYFUNCTION("GOOGLETRANSLATE(E3927,""zh-CN"",""vi"")"),"Sau khi đăng tải các video hướng dẫn thực hành, số lượng người theo dõi tiếp tục tăng lên. Quá trình tổng hợp đã mang lại kết quả nghiên cứu chuyên sâu.")</f>
        <v>Sau khi đăng tải các video hướng dẫn thực hành, số lượng người theo dõi tiếp tục tăng lên. Quá trình tổng hợp đã mang lại kết quả nghiên cứu chuyên sâu.</v>
      </c>
      <c r="H3927" s="8"/>
      <c r="I3927" s="8"/>
      <c r="J3927" s="8"/>
    </row>
    <row r="3928" ht="21.0" customHeight="1">
      <c r="A3928" s="6">
        <v>10.0</v>
      </c>
      <c r="B3928" s="6">
        <v>1094.0</v>
      </c>
      <c r="C3928" s="6">
        <v>7.0</v>
      </c>
      <c r="D3928" s="85" t="s">
        <v>6622</v>
      </c>
      <c r="E3928" s="9" t="s">
        <v>6623</v>
      </c>
      <c r="F3928" s="8" t="str">
        <f>IFERROR(__xludf.DUMMYFUNCTION("GOOGLETRANSLATE(D3928,""zh-CN"",""vi"")"),"Nghiên cứu chuyên sâu")</f>
        <v>Nghiên cứu chuyên sâu</v>
      </c>
      <c r="G3928" s="8" t="str">
        <f>IFERROR(__xludf.DUMMYFUNCTION("GOOGLETRANSLATE(E3928,""zh-CN"",""vi"")"),"Tôi đã mua hết cuốn sách này đến cuốn sách khác, tất cả chỉ để đạt đến một trình độ cao hơn! (Tóm tắt cho buổi trình diễn phát trực tiếp)")</f>
        <v>Tôi đã mua hết cuốn sách này đến cuốn sách khác, tất cả chỉ để đạt đến một trình độ cao hơn! (Tóm tắt cho buổi trình diễn phát trực tiếp)</v>
      </c>
      <c r="H3928" s="8"/>
      <c r="I3928" s="8"/>
      <c r="J3928" s="8"/>
    </row>
    <row r="3929" ht="21.0" customHeight="1">
      <c r="A3929" s="6">
        <v>10.0</v>
      </c>
      <c r="B3929" s="6">
        <v>1094.0</v>
      </c>
      <c r="C3929" s="6">
        <v>8.0</v>
      </c>
      <c r="D3929" s="85" t="s">
        <v>6624</v>
      </c>
      <c r="E3929" s="9" t="s">
        <v>6625</v>
      </c>
      <c r="F3929" s="8" t="str">
        <f>IFERROR(__xludf.DUMMYFUNCTION("GOOGLETRANSLATE(D3929,""zh-CN"",""vi"")"),"Trình diễn trực tiếp")</f>
        <v>Trình diễn trực tiếp</v>
      </c>
      <c r="G3929" s="8" t="str">
        <f>IFERROR(__xludf.DUMMYFUNCTION("GOOGLETRANSLATE(E3929,""zh-CN"",""vi"")"),"Các buổi hướng dẫn chế tạo được phát trực tiếp, các thuyền trưởng nhanh chóng lên tàu. Việc chế tạo tạo ra những mặt hàng bán chạy.")</f>
        <v>Các buổi hướng dẫn chế tạo được phát trực tiếp, các thuyền trưởng nhanh chóng lên tàu. Việc chế tạo tạo ra những mặt hàng bán chạy.</v>
      </c>
      <c r="H3929" s="8"/>
      <c r="I3929" s="8"/>
      <c r="J3929" s="8"/>
    </row>
    <row r="3930" ht="21.0" customHeight="1">
      <c r="A3930" s="6">
        <v>10.0</v>
      </c>
      <c r="B3930" s="6">
        <v>1094.0</v>
      </c>
      <c r="C3930" s="6">
        <v>9.0</v>
      </c>
      <c r="D3930" s="85" t="s">
        <v>6626</v>
      </c>
      <c r="E3930" s="9" t="s">
        <v>6627</v>
      </c>
      <c r="F3930" s="8" t="str">
        <f>IFERROR(__xludf.DUMMYFUNCTION("GOOGLETRANSLATE(D3930,""zh-CN"",""vi"")"),"Sản phẩm bán chạy và hết hàng nhanh chóng")</f>
        <v>Sản phẩm bán chạy và hết hàng nhanh chóng</v>
      </c>
      <c r="G3930" s="8" t="str">
        <f>IFERROR(__xludf.DUMMYFUNCTION("GOOGLETRANSLATE(E3930,""zh-CN"",""vi"")"),"Các mặt hàng thủ công mỹ nghệ vô cùng được ưa chuộng, và các cửa hàng đang nhận được rất nhiều đơn đặt hàng! (Có sẵn các hướng dẫn làm thủ công.)")</f>
        <v>Các mặt hàng thủ công mỹ nghệ vô cùng được ưa chuộng, và các cửa hàng đang nhận được rất nhiều đơn đặt hàng! (Có sẵn các hướng dẫn làm thủ công.)</v>
      </c>
      <c r="H3930" s="8"/>
      <c r="I3930" s="8"/>
      <c r="J3930" s="8"/>
    </row>
    <row r="3931" ht="21.0" customHeight="1">
      <c r="A3931" s="6">
        <v>10.0</v>
      </c>
      <c r="B3931" s="6">
        <v>1094.0</v>
      </c>
      <c r="C3931" s="6">
        <v>10.0</v>
      </c>
      <c r="D3931" s="85" t="s">
        <v>6628</v>
      </c>
      <c r="E3931" s="9" t="s">
        <v>6629</v>
      </c>
      <c r="F3931" s="8" t="str">
        <f>IFERROR(__xludf.DUMMYFUNCTION("GOOGLETRANSLATE(D3931,""zh-CN"",""vi"")"),"Dạy học")</f>
        <v>Dạy học</v>
      </c>
      <c r="G3931" s="8" t="str">
        <f>IFERROR(__xludf.DUMMYFUNCTION("GOOGLETRANSLATE(E3931,""zh-CN"",""vi"")"),"Tôi đã trở thành một nghệ nhân bậc thầy, có khả năng giảng dạy và xuất bản sách! (Đã đạt được cấp độ cao nhất)")</f>
        <v>Tôi đã trở thành một nghệ nhân bậc thầy, có khả năng giảng dạy và xuất bản sách! (Đã đạt được cấp độ cao nhất)</v>
      </c>
      <c r="H3931" s="8"/>
      <c r="I3931" s="8"/>
      <c r="J3931" s="8"/>
    </row>
    <row r="3932" ht="21.0" customHeight="1">
      <c r="A3932" s="6">
        <v>11.0</v>
      </c>
      <c r="B3932" s="6">
        <v>1095.0</v>
      </c>
      <c r="C3932" s="6">
        <v>1.0</v>
      </c>
      <c r="D3932" s="85" t="s">
        <v>6630</v>
      </c>
      <c r="E3932" s="9" t="s">
        <v>6631</v>
      </c>
      <c r="F3932" s="8" t="str">
        <f>IFERROR(__xludf.DUMMYFUNCTION("GOOGLETRANSLATE(D3932,""zh-CN"",""vi"")"),"Một người bạn đã hỏi tôi lời khuyên [V]")</f>
        <v>Một người bạn đã hỏi tôi lời khuyên [V]</v>
      </c>
      <c r="G3932" s="8" t="str">
        <f>IFERROR(__xludf.DUMMYFUNCTION("GOOGLETRANSLATE(E3932,""zh-CN"",""vi"")"),"Gọi điện cho một người bạn và xin lời khuyên về cách bắt đầu. Soạn thảo hướng dẫn hoàn chỉnh từ con số không đến người mới bắt đầu [V].")</f>
        <v>Gọi điện cho một người bạn và xin lời khuyên về cách bắt đầu. Soạn thảo hướng dẫn hoàn chỉnh từ con số không đến người mới bắt đầu [V].</v>
      </c>
      <c r="H3932" s="8"/>
      <c r="I3932" s="8"/>
      <c r="J3932" s="8"/>
    </row>
    <row r="3933" ht="21.0" customHeight="1">
      <c r="A3933" s="6">
        <v>11.0</v>
      </c>
      <c r="B3933" s="6">
        <v>1095.0</v>
      </c>
      <c r="C3933" s="6">
        <v>2.0</v>
      </c>
      <c r="D3933" s="85" t="s">
        <v>6632</v>
      </c>
      <c r="E3933" s="9" t="s">
        <v>6633</v>
      </c>
      <c r="F3933" s="8" t="str">
        <f>IFERROR(__xludf.DUMMYFUNCTION("GOOGLETRANSLATE(D3933,""zh-CN"",""vi"")"),"Từ số 0 đến người mới bắt đầu [V]")</f>
        <v>Từ số 0 đến người mới bắt đầu [V]</v>
      </c>
      <c r="G3933" s="8" t="str">
        <f>IFERROR(__xludf.DUMMYFUNCTION("GOOGLETRANSLATE(E3933,""zh-CN"",""vi"")"),"Một cuốn sách dành cho người mới bắt đầu làm đồ thủ công. Học cách tổng hợp và nắm vững những điều cơ bản mà không bỏ cuộc [V]")</f>
        <v>Một cuốn sách dành cho người mới bắt đầu làm đồ thủ công. Học cách tổng hợp và nắm vững những điều cơ bản mà không bỏ cuộc [V]</v>
      </c>
      <c r="H3933" s="8"/>
      <c r="I3933" s="8"/>
      <c r="J3933" s="8"/>
    </row>
    <row r="3934" ht="21.0" customHeight="1">
      <c r="A3934" s="6">
        <v>11.0</v>
      </c>
      <c r="B3934" s="6">
        <v>1095.0</v>
      </c>
      <c r="C3934" s="6">
        <v>3.0</v>
      </c>
      <c r="D3934" s="85" t="s">
        <v>6634</v>
      </c>
      <c r="E3934" s="9" t="s">
        <v>6635</v>
      </c>
      <c r="F3934" s="8" t="str">
        <f>IFERROR(__xludf.DUMMYFUNCTION("GOOGLETRANSLATE(D3934,""zh-CN"",""vi"")"),"Đừng bao giờ bỏ cuộc một khi bạn đã bắt đầu học [V]")</f>
        <v>Đừng bao giờ bỏ cuộc một khi bạn đã bắt đầu học [V]</v>
      </c>
      <c r="G3934" s="8" t="str">
        <f>IFERROR(__xludf.DUMMYFUNCTION("GOOGLETRANSLATE(E3934,""zh-CN"",""vi"")"),"Một cuốn sách về các kỹ thuật chế tác nâng cao. Tìm kiếm ""tổng hợp"" [V].")</f>
        <v>Một cuốn sách về các kỹ thuật chế tác nâng cao. Tìm kiếm "tổng hợp" [V].</v>
      </c>
      <c r="H3934" s="8"/>
      <c r="I3934" s="8"/>
      <c r="J3934" s="8"/>
    </row>
    <row r="3935" ht="21.0" customHeight="1">
      <c r="A3935" s="6">
        <v>11.0</v>
      </c>
      <c r="B3935" s="6">
        <v>1095.0</v>
      </c>
      <c r="C3935" s="6">
        <v>4.0</v>
      </c>
      <c r="D3935" s="85" t="s">
        <v>6636</v>
      </c>
      <c r="E3935" s="9" t="s">
        <v>6637</v>
      </c>
      <c r="F3935" s="8" t="str">
        <f>IFERROR(__xludf.DUMMYFUNCTION("GOOGLETRANSLATE(D3935,""zh-CN"",""vi"")"),"Tìm kiếm [V]")</f>
        <v>Tìm kiếm [V]</v>
      </c>
      <c r="G3935" s="8" t="str">
        <f>IFERROR(__xludf.DUMMYFUNCTION("GOOGLETRANSLATE(E3935,""zh-CN"",""vi"")"),"Tìm kiếm trực tuyến các video hướng dẫn tự làm (DIY). Biên soạn chúng lại để tạo thành một video hướng dẫn để bạn có thể làm theo. [V]")</f>
        <v>Tìm kiếm trực tuyến các video hướng dẫn tự làm (DIY). Biên soạn chúng lại để tạo thành một video hướng dẫn để bạn có thể làm theo. [V]</v>
      </c>
      <c r="H3935" s="8"/>
      <c r="I3935" s="8"/>
      <c r="J3935" s="8"/>
    </row>
    <row r="3936" ht="21.0" customHeight="1">
      <c r="A3936" s="6">
        <v>10.0</v>
      </c>
      <c r="B3936" s="6">
        <v>1095.0</v>
      </c>
      <c r="C3936" s="6">
        <v>5.0</v>
      </c>
      <c r="D3936" s="85" t="s">
        <v>6638</v>
      </c>
      <c r="E3936" s="9" t="s">
        <v>6639</v>
      </c>
      <c r="F3936" s="8" t="str">
        <f>IFERROR(__xludf.DUMMYFUNCTION("GOOGLETRANSLATE(D3936,""zh-CN"",""vi"")"),"Thực hành video [V]")</f>
        <v>Thực hành video [V]</v>
      </c>
      <c r="G3936" s="8" t="str">
        <f>IFERROR(__xludf.DUMMYFUNCTION("GOOGLETRANSLATE(E3936,""zh-CN"",""vi"")"),"Hãy làm theo video, chúc may mắn! Tạo hồ sơ để thu hút sự chú ý và người theo dõi [V].")</f>
        <v>Hãy làm theo video, chúc may mắn! Tạo hồ sơ để thu hút sự chú ý và người theo dõi [V].</v>
      </c>
      <c r="H3936" s="8"/>
      <c r="I3936" s="8"/>
      <c r="J3936" s="8"/>
    </row>
    <row r="3937" ht="21.0" customHeight="1">
      <c r="A3937" s="6">
        <v>10.0</v>
      </c>
      <c r="B3937" s="6">
        <v>1095.0</v>
      </c>
      <c r="C3937" s="6">
        <v>6.0</v>
      </c>
      <c r="D3937" s="85" t="s">
        <v>6640</v>
      </c>
      <c r="E3937" s="9" t="s">
        <v>6641</v>
      </c>
      <c r="F3937" s="8" t="str">
        <f>IFERROR(__xludf.DUMMYFUNCTION("GOOGLETRANSLATE(D3937,""zh-CN"",""vi"")"),"Theo dõi để có thêm người theo dõi [V]")</f>
        <v>Theo dõi để có thêm người theo dõi [V]</v>
      </c>
      <c r="G3937" s="8" t="str">
        <f>IFERROR(__xludf.DUMMYFUNCTION("GOOGLETRANSLATE(E3937,""zh-CN"",""vi"")"),"Sau khi đăng tải các video thực hành, số lượng người theo dõi của tôi đã tăng lên đều đặn. Tôi đã có được kiến ​​thức chuyên sâu thông qua quá trình tổng hợp [V].")</f>
        <v>Sau khi đăng tải các video thực hành, số lượng người theo dõi của tôi đã tăng lên đều đặn. Tôi đã có được kiến ​​thức chuyên sâu thông qua quá trình tổng hợp [V].</v>
      </c>
      <c r="H3937" s="8"/>
      <c r="I3937" s="8"/>
      <c r="J3937" s="8"/>
    </row>
    <row r="3938" ht="21.0" customHeight="1">
      <c r="A3938" s="6">
        <v>10.0</v>
      </c>
      <c r="B3938" s="6">
        <v>1095.0</v>
      </c>
      <c r="C3938" s="6">
        <v>7.0</v>
      </c>
      <c r="D3938" s="85" t="s">
        <v>6642</v>
      </c>
      <c r="E3938" s="9" t="s">
        <v>6643</v>
      </c>
      <c r="F3938" s="8" t="str">
        <f>IFERROR(__xludf.DUMMYFUNCTION("GOOGLETRANSLATE(D3938,""zh-CN"",""vi"")"),"Nghiên cứu chuyên sâu [V]")</f>
        <v>Nghiên cứu chuyên sâu [V]</v>
      </c>
      <c r="G3938" s="8" t="str">
        <f>IFERROR(__xludf.DUMMYFUNCTION("GOOGLETRANSLATE(E3938,""zh-CN"",""vi"")"),"Tôi đã mua hết cuốn sách này đến cuốn sách khác, tất cả đều để nâng cao trình độ! (Tổng hợp để thực hiện trình diễn phát trực tiếp [V])")</f>
        <v>Tôi đã mua hết cuốn sách này đến cuốn sách khác, tất cả đều để nâng cao trình độ! (Tổng hợp để thực hiện trình diễn phát trực tiếp [V])</v>
      </c>
      <c r="H3938" s="8"/>
      <c r="I3938" s="8"/>
      <c r="J3938" s="8"/>
    </row>
    <row r="3939" ht="21.0" customHeight="1">
      <c r="A3939" s="6">
        <v>10.0</v>
      </c>
      <c r="B3939" s="6">
        <v>1095.0</v>
      </c>
      <c r="C3939" s="6">
        <v>8.0</v>
      </c>
      <c r="D3939" s="85" t="s">
        <v>6644</v>
      </c>
      <c r="E3939" s="9" t="s">
        <v>6645</v>
      </c>
      <c r="F3939" s="8" t="str">
        <f>IFERROR(__xludf.DUMMYFUNCTION("GOOGLETRANSLATE(D3939,""zh-CN"",""vi"")"),"Trình diễn trực tiếp [V]")</f>
        <v>Trình diễn trực tiếp [V]</v>
      </c>
      <c r="G3939" s="8" t="str">
        <f>IFERROR(__xludf.DUMMYFUNCTION("GOOGLETRANSLATE(E3939,""zh-CN"",""vi"")"),"Các hướng dẫn chế tạo được phát trực tiếp, các thuyền trưởng nhanh chóng lên tàu. Việc chế tạo tạo ra các mặt hàng bán chạy [V].")</f>
        <v>Các hướng dẫn chế tạo được phát trực tiếp, các thuyền trưởng nhanh chóng lên tàu. Việc chế tạo tạo ra các mặt hàng bán chạy [V].</v>
      </c>
      <c r="H3939" s="8"/>
      <c r="I3939" s="8"/>
      <c r="J3939" s="8"/>
    </row>
    <row r="3940" ht="21.0" customHeight="1">
      <c r="A3940" s="6">
        <v>10.0</v>
      </c>
      <c r="B3940" s="6">
        <v>1095.0</v>
      </c>
      <c r="C3940" s="6">
        <v>9.0</v>
      </c>
      <c r="D3940" s="85" t="s">
        <v>6646</v>
      </c>
      <c r="E3940" s="9" t="s">
        <v>6647</v>
      </c>
      <c r="F3940" s="8" t="str">
        <f>IFERROR(__xludf.DUMMYFUNCTION("GOOGLETRANSLATE(D3940,""zh-CN"",""vi"")"),"Bán chạy và hết hàng! [V]")</f>
        <v>Bán chạy và hết hàng! [V]</v>
      </c>
      <c r="G3940" s="8" t="str">
        <f>IFERROR(__xludf.DUMMYFUNCTION("GOOGLETRANSLATE(E3940,""zh-CN"",""vi"")"),"Các mặt hàng thủ công rất được ưa chuộng và cửa hàng đang ngập tràn đơn đặt hàng! [V] Có sẵn các hướng dẫn làm đồ thủ công.")</f>
        <v>Các mặt hàng thủ công rất được ưa chuộng và cửa hàng đang ngập tràn đơn đặt hàng! [V] Có sẵn các hướng dẫn làm đồ thủ công.</v>
      </c>
      <c r="H3940" s="8"/>
      <c r="I3940" s="8"/>
      <c r="J3940" s="8"/>
    </row>
    <row r="3941" ht="21.0" customHeight="1">
      <c r="A3941" s="6">
        <v>10.0</v>
      </c>
      <c r="B3941" s="6">
        <v>1095.0</v>
      </c>
      <c r="C3941" s="6">
        <v>10.0</v>
      </c>
      <c r="D3941" s="85" t="s">
        <v>6648</v>
      </c>
      <c r="E3941" s="9" t="s">
        <v>6629</v>
      </c>
      <c r="F3941" s="8" t="str">
        <f>IFERROR(__xludf.DUMMYFUNCTION("GOOGLETRANSLATE(D3941,""zh-CN"",""vi"")"),"Dạy học và hướng dẫn [V]")</f>
        <v>Dạy học và hướng dẫn [V]</v>
      </c>
      <c r="G3941" s="8" t="str">
        <f>IFERROR(__xludf.DUMMYFUNCTION("GOOGLETRANSLATE(E3941,""zh-CN"",""vi"")"),"Tôi đã trở thành một nghệ nhân bậc thầy, có khả năng giảng dạy và xuất bản sách! (Đã đạt được cấp độ cao nhất)")</f>
        <v>Tôi đã trở thành một nghệ nhân bậc thầy, có khả năng giảng dạy và xuất bản sách! (Đã đạt được cấp độ cao nhất)</v>
      </c>
      <c r="H3941" s="8"/>
      <c r="I3941" s="8"/>
      <c r="J3941" s="8"/>
    </row>
    <row r="3942" ht="21.0" customHeight="1">
      <c r="A3942" s="6">
        <v>1.0</v>
      </c>
      <c r="B3942" s="6">
        <v>287.0</v>
      </c>
      <c r="C3942" s="6">
        <v>1.0</v>
      </c>
      <c r="D3942" s="85" t="s">
        <v>6649</v>
      </c>
      <c r="E3942" s="9" t="s">
        <v>6650</v>
      </c>
      <c r="F3942" s="8" t="str">
        <f>IFERROR(__xludf.DUMMYFUNCTION("GOOGLETRANSLATE(D3942,""zh-CN"",""vi"")"),"Xỏ kim")</f>
        <v>Xỏ kim</v>
      </c>
      <c r="G3942" s="8" t="str">
        <f>IFERROR(__xludf.DUMMYFUNCTION("GOOGLETRANSLATE(E3942,""zh-CN"",""vi"")"),"Kim và chỉ là những dụng cụ cơ bản trong thủ công mỹ nghệ. Chúng được dùng để tạo ra các dải băng.")</f>
        <v>Kim và chỉ là những dụng cụ cơ bản trong thủ công mỹ nghệ. Chúng được dùng để tạo ra các dải băng.</v>
      </c>
      <c r="H3942" s="8"/>
      <c r="I3942" s="8"/>
      <c r="J3942" s="8"/>
    </row>
    <row r="3943" ht="21.0" customHeight="1">
      <c r="A3943" s="6">
        <v>1.0</v>
      </c>
      <c r="B3943" s="6">
        <v>287.0</v>
      </c>
      <c r="C3943" s="6">
        <v>2.0</v>
      </c>
      <c r="D3943" s="85" t="s">
        <v>5951</v>
      </c>
      <c r="E3943" s="9" t="s">
        <v>6651</v>
      </c>
      <c r="F3943" s="8" t="str">
        <f>IFERROR(__xludf.DUMMYFUNCTION("GOOGLETRANSLATE(D3943,""zh-CN"",""vi"")"),"băng dính")</f>
        <v>băng dính</v>
      </c>
      <c r="G3943" s="8" t="str">
        <f>IFERROR(__xludf.DUMMYFUNCTION("GOOGLETRANSLATE(E3943,""zh-CN"",""vi"")"),"Băng dính có thể được dùng để dán các vật thể lại với nhau. Keo siêu dính có thể được tổng hợp từ nó.")</f>
        <v>Băng dính có thể được dùng để dán các vật thể lại với nhau. Keo siêu dính có thể được tổng hợp từ nó.</v>
      </c>
      <c r="H3943" s="8"/>
      <c r="I3943" s="8"/>
      <c r="J3943" s="8"/>
    </row>
    <row r="3944" ht="21.0" customHeight="1">
      <c r="A3944" s="6">
        <v>1.0</v>
      </c>
      <c r="B3944" s="6">
        <v>287.0</v>
      </c>
      <c r="C3944" s="6">
        <v>3.0</v>
      </c>
      <c r="D3944" s="85" t="s">
        <v>6652</v>
      </c>
      <c r="E3944" s="9" t="s">
        <v>6653</v>
      </c>
      <c r="F3944" s="8" t="str">
        <f>IFERROR(__xludf.DUMMYFUNCTION("GOOGLETRANSLATE(D3944,""zh-CN"",""vi"")"),"Keo siêu dính")</f>
        <v>Keo siêu dính</v>
      </c>
      <c r="G3944" s="8" t="str">
        <f>IFERROR(__xludf.DUMMYFUNCTION("GOOGLETRANSLATE(E3944,""zh-CN"",""vi"")"),"Đây là loại keo rất tốt, nhưng hãy sử dụng cẩn thận. Hãy khéo léo để tạo ra một chiếc bút có đầu nhọn.")</f>
        <v>Đây là loại keo rất tốt, nhưng hãy sử dụng cẩn thận. Hãy khéo léo để tạo ra một chiếc bút có đầu nhọn.</v>
      </c>
      <c r="H3944" s="8"/>
      <c r="I3944" s="8"/>
      <c r="J3944" s="8"/>
    </row>
    <row r="3945" ht="21.0" customHeight="1">
      <c r="A3945" s="6">
        <v>1.0</v>
      </c>
      <c r="B3945" s="6">
        <v>287.0</v>
      </c>
      <c r="C3945" s="6">
        <v>4.0</v>
      </c>
      <c r="D3945" s="85" t="s">
        <v>6654</v>
      </c>
      <c r="E3945" s="9" t="s">
        <v>6655</v>
      </c>
      <c r="F3945" s="8" t="str">
        <f>IFERROR(__xludf.DUMMYFUNCTION("GOOGLETRANSLATE(D3945,""zh-CN"",""vi"")"),"Bút vẽ viền")</f>
        <v>Bút vẽ viền</v>
      </c>
      <c r="G3945" s="8" t="str">
        <f>IFERROR(__xludf.DUMMYFUNCTION("GOOGLETRANSLATE(E3945,""zh-CN"",""vi"")"),"Dùng để vẽ đường viền. Được chế tạo để có được kéo đầu tròn.")</f>
        <v>Dùng để vẽ đường viền. Được chế tạo để có được kéo đầu tròn.</v>
      </c>
      <c r="H3945" s="8"/>
      <c r="I3945" s="8"/>
      <c r="J3945" s="8"/>
    </row>
    <row r="3946" ht="21.0" customHeight="1">
      <c r="A3946" s="6">
        <v>1.0</v>
      </c>
      <c r="B3946" s="6">
        <v>287.0</v>
      </c>
      <c r="C3946" s="6">
        <v>5.0</v>
      </c>
      <c r="D3946" s="87" t="s">
        <v>6656</v>
      </c>
      <c r="E3946" s="9" t="s">
        <v>6657</v>
      </c>
      <c r="F3946" s="8" t="str">
        <f>IFERROR(__xludf.DUMMYFUNCTION("GOOGLETRANSLATE(D3946,""zh-CN"",""vi"")"),"Kéo đầu tròn")</f>
        <v>Kéo đầu tròn</v>
      </c>
      <c r="G3946" s="8" t="str">
        <f>IFERROR(__xludf.DUMMYFUNCTION("GOOGLETRANSLATE(E3946,""zh-CN"",""vi"")"),"Thích hợp cho người mới bắt đầu, giúp phòng ngừa tai nạn. Tự tay làm dụng cụ cắt giấy.")</f>
        <v>Thích hợp cho người mới bắt đầu, giúp phòng ngừa tai nạn. Tự tay làm dụng cụ cắt giấy.</v>
      </c>
      <c r="H3946" s="8"/>
      <c r="I3946" s="8"/>
      <c r="J3946" s="8"/>
    </row>
    <row r="3947" ht="21.0" customHeight="1">
      <c r="A3947" s="6">
        <v>1.0</v>
      </c>
      <c r="B3947" s="6">
        <v>287.0</v>
      </c>
      <c r="C3947" s="6">
        <v>6.0</v>
      </c>
      <c r="D3947" s="85" t="s">
        <v>6658</v>
      </c>
      <c r="E3947" s="9" t="s">
        <v>6659</v>
      </c>
      <c r="F3947" s="8" t="str">
        <f>IFERROR(__xludf.DUMMYFUNCTION("GOOGLETRANSLATE(D3947,""zh-CN"",""vi"")"),"Máy cắt giấy")</f>
        <v>Máy cắt giấy</v>
      </c>
      <c r="G3947" s="8" t="str">
        <f>IFERROR(__xludf.DUMMYFUNCTION("GOOGLETRANSLATE(E3947,""zh-CN"",""vi"")"),"Có thể thu gọn khi không sử dụng. Được chế tạo để có kẹp nylon.")</f>
        <v>Có thể thu gọn khi không sử dụng. Được chế tạo để có kẹp nylon.</v>
      </c>
      <c r="H3947" s="8"/>
      <c r="I3947" s="8"/>
      <c r="J3947" s="8"/>
    </row>
    <row r="3948" ht="21.0" customHeight="1">
      <c r="A3948" s="6">
        <v>1.0</v>
      </c>
      <c r="B3948" s="6">
        <v>287.0</v>
      </c>
      <c r="C3948" s="6">
        <v>7.0</v>
      </c>
      <c r="D3948" s="85" t="s">
        <v>6660</v>
      </c>
      <c r="E3948" s="9" t="s">
        <v>6661</v>
      </c>
      <c r="F3948" s="8" t="str">
        <f>IFERROR(__xludf.DUMMYFUNCTION("GOOGLETRANSLATE(D3948,""zh-CN"",""vi"")"),"Kìm nylon")</f>
        <v>Kìm nylon</v>
      </c>
      <c r="G3948" s="8" t="str">
        <f>IFERROR(__xludf.DUMMYFUNCTION("GOOGLETRANSLATE(E3948,""zh-CN"",""vi"")"),"Nó có thể xử lý một số dây dẫn mỏng. Nó có thể được sử dụng để chế tạo kính bảo hộ trong suốt.")</f>
        <v>Nó có thể xử lý một số dây dẫn mỏng. Nó có thể được sử dụng để chế tạo kính bảo hộ trong suốt.</v>
      </c>
      <c r="H3948" s="8"/>
      <c r="I3948" s="8"/>
      <c r="J3948" s="8"/>
    </row>
    <row r="3949" ht="21.0" customHeight="1">
      <c r="A3949" s="6">
        <v>1.0</v>
      </c>
      <c r="B3949" s="6">
        <v>287.0</v>
      </c>
      <c r="C3949" s="6">
        <v>8.0</v>
      </c>
      <c r="D3949" s="85" t="s">
        <v>6662</v>
      </c>
      <c r="E3949" s="9" t="s">
        <v>6663</v>
      </c>
      <c r="F3949" s="8" t="str">
        <f>IFERROR(__xludf.DUMMYFUNCTION("GOOGLETRANSLATE(D3949,""zh-CN"",""vi"")"),"Kính bảo hộ trong suốt")</f>
        <v>Kính bảo hộ trong suốt</v>
      </c>
      <c r="G3949" s="8" t="str">
        <f>IFERROR(__xludf.DUMMYFUNCTION("GOOGLETRANSLATE(E3949,""zh-CN"",""vi"")"),"Hãy thực hiện các biện pháp phòng ngừa để tránh gây tổn thương mắt trong khi làm việc. Tìm cách chế tạo thước dây may đo.")</f>
        <v>Hãy thực hiện các biện pháp phòng ngừa để tránh gây tổn thương mắt trong khi làm việc. Tìm cách chế tạo thước dây may đo.</v>
      </c>
      <c r="H3949" s="8"/>
      <c r="I3949" s="8"/>
      <c r="J3949" s="8"/>
    </row>
    <row r="3950" ht="21.0" customHeight="1">
      <c r="A3950" s="6">
        <v>1.0</v>
      </c>
      <c r="B3950" s="6">
        <v>287.0</v>
      </c>
      <c r="C3950" s="6">
        <v>9.0</v>
      </c>
      <c r="D3950" s="85" t="s">
        <v>6664</v>
      </c>
      <c r="E3950" s="9" t="s">
        <v>6665</v>
      </c>
      <c r="F3950" s="8" t="str">
        <f>IFERROR(__xludf.DUMMYFUNCTION("GOOGLETRANSLATE(D3950,""zh-CN"",""vi"")"),"Thước mềm của thợ may")</f>
        <v>Thước mềm của thợ may</v>
      </c>
      <c r="G3950" s="8" t="str">
        <f>IFERROR(__xludf.DUMMYFUNCTION("GOOGLETRANSLATE(E3950,""zh-CN"",""vi"")"),"Để thuận tiện cho việc đo chiều dài của một vật thể. Để tổng hợp một tấm thảm cắt.")</f>
        <v>Để thuận tiện cho việc đo chiều dài của một vật thể. Để tổng hợp một tấm thảm cắt.</v>
      </c>
      <c r="H3950" s="8"/>
      <c r="I3950" s="8"/>
      <c r="J3950" s="8"/>
    </row>
    <row r="3951" ht="21.0" customHeight="1">
      <c r="A3951" s="6">
        <v>1.0</v>
      </c>
      <c r="B3951" s="6">
        <v>287.0</v>
      </c>
      <c r="C3951" s="6">
        <v>10.0</v>
      </c>
      <c r="D3951" s="85" t="s">
        <v>6666</v>
      </c>
      <c r="E3951" s="9" t="s">
        <v>6667</v>
      </c>
      <c r="F3951" s="8" t="str">
        <f>IFERROR(__xludf.DUMMYFUNCTION("GOOGLETRANSLATE(D3951,""zh-CN"",""vi"")"),"Tấm lót cắt")</f>
        <v>Tấm lót cắt</v>
      </c>
      <c r="G3951" s="8" t="str">
        <f>IFERROR(__xludf.DUMMYFUNCTION("GOOGLETRANSLATE(E3951,""zh-CN"",""vi"")"),"Dùng để bảo vệ mặt bàn và dụng cụ trong quá trình làm thủ công. Dùng để tổng hợp giấy màu.")</f>
        <v>Dùng để bảo vệ mặt bàn và dụng cụ trong quá trình làm thủ công. Dùng để tổng hợp giấy màu.</v>
      </c>
      <c r="H3951" s="8"/>
      <c r="I3951" s="8"/>
      <c r="J3951" s="8"/>
    </row>
    <row r="3952" ht="21.0" customHeight="1">
      <c r="A3952" s="6">
        <v>1.0</v>
      </c>
      <c r="B3952" s="6">
        <v>287.0</v>
      </c>
      <c r="C3952" s="6">
        <v>11.0</v>
      </c>
      <c r="D3952" s="93" t="s">
        <v>6668</v>
      </c>
      <c r="E3952" s="9" t="s">
        <v>6669</v>
      </c>
      <c r="F3952" s="8" t="str">
        <f>IFERROR(__xludf.DUMMYFUNCTION("GOOGLETRANSLATE(D3952,""zh-CN"",""vi"")"),"Giấy màu")</f>
        <v>Giấy màu</v>
      </c>
      <c r="G3952" s="8" t="str">
        <f>IFERROR(__xludf.DUMMYFUNCTION("GOOGLETRANSLATE(E3952,""zh-CN"",""vi"")"),"Hãy tạo cho tác phẩm của bạn một vẻ ngoài đẹp mắt. Chế tạo nó để có được khẩu súng phản ứng tổng hợp nhiệt điện.")</f>
        <v>Hãy tạo cho tác phẩm của bạn một vẻ ngoài đẹp mắt. Chế tạo nó để có được khẩu súng phản ứng tổng hợp nhiệt điện.</v>
      </c>
      <c r="H3952" s="8"/>
      <c r="I3952" s="8"/>
      <c r="J3952" s="8"/>
    </row>
    <row r="3953" ht="21.0" customHeight="1">
      <c r="A3953" s="6">
        <v>1.0</v>
      </c>
      <c r="B3953" s="6">
        <v>287.0</v>
      </c>
      <c r="C3953" s="6">
        <v>12.0</v>
      </c>
      <c r="D3953" s="85" t="s">
        <v>6670</v>
      </c>
      <c r="E3953" s="9" t="s">
        <v>6671</v>
      </c>
      <c r="F3953" s="8" t="str">
        <f>IFERROR(__xludf.DUMMYFUNCTION("GOOGLETRANSLATE(D3953,""zh-CN"",""vi"")"),"súng bắn keo nóng điện")</f>
        <v>súng bắn keo nóng điện</v>
      </c>
      <c r="G3953" s="8" t="str">
        <f>IFERROR(__xludf.DUMMYFUNCTION("GOOGLETRANSLATE(E3953,""zh-CN"",""vi"")"),"Được sử dụng để kết dính các vật liệu như thủy tinh, kim loại và gỗ... để chế tạo một chiếc máy may nhỏ.")</f>
        <v>Được sử dụng để kết dính các vật liệu như thủy tinh, kim loại và gỗ... để chế tạo một chiếc máy may nhỏ.</v>
      </c>
      <c r="H3953" s="8"/>
      <c r="I3953" s="8"/>
      <c r="J3953" s="8"/>
    </row>
    <row r="3954" ht="21.0" customHeight="1">
      <c r="A3954" s="6">
        <v>1.0</v>
      </c>
      <c r="B3954" s="6">
        <v>287.0</v>
      </c>
      <c r="C3954" s="6">
        <v>13.0</v>
      </c>
      <c r="D3954" s="85" t="s">
        <v>6672</v>
      </c>
      <c r="E3954" s="9" t="s">
        <v>6673</v>
      </c>
      <c r="F3954" s="8" t="str">
        <f>IFERROR(__xludf.DUMMYFUNCTION("GOOGLETRANSLATE(D3954,""zh-CN"",""vi"")"),"máy may nhỏ")</f>
        <v>máy may nhỏ</v>
      </c>
      <c r="G3954" s="8" t="str">
        <f>IFERROR(__xludf.DUMMYFUNCTION("GOOGLETRANSLATE(E3954,""zh-CN"",""vi"")"),"Giờ bạn đã có thể làm gối và búp bê rồi! Sản phẩm ở cấp độ cao nhất đã được hoàn thiện.")</f>
        <v>Giờ bạn đã có thể làm gối và búp bê rồi! Sản phẩm ở cấp độ cao nhất đã được hoàn thiện.</v>
      </c>
      <c r="H3954" s="8"/>
      <c r="I3954" s="8"/>
      <c r="J3954" s="8"/>
    </row>
    <row r="3955" ht="21.0" customHeight="1">
      <c r="A3955" s="6">
        <v>1.0</v>
      </c>
      <c r="B3955" s="6">
        <v>288.0</v>
      </c>
      <c r="C3955" s="6">
        <v>1.0</v>
      </c>
      <c r="D3955" s="85" t="s">
        <v>6674</v>
      </c>
      <c r="E3955" s="9" t="s">
        <v>6675</v>
      </c>
      <c r="F3955" s="8" t="str">
        <f>IFERROR(__xludf.DUMMYFUNCTION("GOOGLETRANSLATE(D3955,""zh-CN"",""vi"")"),"Khăn quàng cổ vuông nhỏ đan móc")</f>
        <v>Khăn quàng cổ vuông nhỏ đan móc</v>
      </c>
      <c r="G3955" s="8" t="str">
        <f>IFERROR(__xludf.DUMMYFUNCTION("GOOGLETRANSLATE(E3955,""zh-CN"",""vi"")"),"Chiếc khăn tay có in hình chú thỏ dễ thương. Kết hợp các chi tiết lại để tạo thành một bông hoa móc len.")</f>
        <v>Chiếc khăn tay có in hình chú thỏ dễ thương. Kết hợp các chi tiết lại để tạo thành một bông hoa móc len.</v>
      </c>
      <c r="H3955" s="8"/>
      <c r="I3955" s="8"/>
      <c r="J3955" s="8"/>
    </row>
    <row r="3956" ht="21.0" customHeight="1">
      <c r="A3956" s="6">
        <v>1.0</v>
      </c>
      <c r="B3956" s="6">
        <v>288.0</v>
      </c>
      <c r="C3956" s="6">
        <v>2.0</v>
      </c>
      <c r="D3956" s="85" t="s">
        <v>6676</v>
      </c>
      <c r="E3956" s="9" t="s">
        <v>6677</v>
      </c>
      <c r="F3956" s="8" t="str">
        <f>IFERROR(__xludf.DUMMYFUNCTION("GOOGLETRANSLATE(D3956,""zh-CN"",""vi"")"),"Hoa móc len")</f>
        <v>Hoa móc len</v>
      </c>
      <c r="G3956" s="8" t="str">
        <f>IFERROR(__xludf.DUMMYFUNCTION("GOOGLETRANSLATE(E3956,""zh-CN"",""vi"")"),"Hai bông hoa nhỏ có thể được treo trên ba lô, bình nước, v.v. Kết hợp chúng lại để tạo thành một chiếc kẹp tóc móc len.")</f>
        <v>Hai bông hoa nhỏ có thể được treo trên ba lô, bình nước, v.v. Kết hợp chúng lại để tạo thành một chiếc kẹp tóc móc len.</v>
      </c>
      <c r="H3956" s="8"/>
      <c r="I3956" s="8"/>
      <c r="J3956" s="8"/>
    </row>
    <row r="3957" ht="21.0" customHeight="1">
      <c r="A3957" s="6">
        <v>1.0</v>
      </c>
      <c r="B3957" s="6">
        <v>288.0</v>
      </c>
      <c r="C3957" s="6">
        <v>3.0</v>
      </c>
      <c r="D3957" s="85" t="s">
        <v>6678</v>
      </c>
      <c r="E3957" s="9" t="s">
        <v>6679</v>
      </c>
      <c r="F3957" s="8" t="str">
        <f>IFERROR(__xludf.DUMMYFUNCTION("GOOGLETRANSLATE(D3957,""zh-CN"",""vi"")"),"kẹp tóc móc")</f>
        <v>kẹp tóc móc</v>
      </c>
      <c r="G3957" s="8" t="str">
        <f>IFERROR(__xludf.DUMMYFUNCTION("GOOGLETRANSLATE(E3957,""zh-CN"",""vi"")"),"Những chiếc kẹp tóc hiếm, không có bán trước đây! Hãy chế tác chúng để nhận được một mặt dây chuyền móc len.")</f>
        <v>Những chiếc kẹp tóc hiếm, không có bán trước đây! Hãy chế tác chúng để nhận được một mặt dây chuyền móc len.</v>
      </c>
      <c r="H3957" s="8"/>
      <c r="I3957" s="8"/>
      <c r="J3957" s="8"/>
    </row>
    <row r="3958" ht="21.0" customHeight="1">
      <c r="A3958" s="6">
        <v>1.0</v>
      </c>
      <c r="B3958" s="6">
        <v>288.0</v>
      </c>
      <c r="C3958" s="6">
        <v>4.0</v>
      </c>
      <c r="D3958" s="87" t="s">
        <v>6680</v>
      </c>
      <c r="E3958" s="9" t="s">
        <v>6681</v>
      </c>
      <c r="F3958" s="8" t="str">
        <f>IFERROR(__xludf.DUMMYFUNCTION("GOOGLETRANSLATE(D3958,""zh-CN"",""vi"")"),"Mặt dây chuyền móc len")</f>
        <v>Mặt dây chuyền móc len</v>
      </c>
      <c r="G3958" s="8" t="str">
        <f>IFERROR(__xludf.DUMMYFUNCTION("GOOGLETRANSLATE(E3958,""zh-CN"",""vi"")"),"Treo nó ở bất cứ đâu để làm cho cuộc sống thêm thanh lịch~ Tự tay làm để có được một cây bonsai móc len.")</f>
        <v>Treo nó ở bất cứ đâu để làm cho cuộc sống thêm thanh lịch~ Tự tay làm để có được một cây bonsai móc len.</v>
      </c>
      <c r="H3958" s="8"/>
      <c r="I3958" s="8"/>
      <c r="J3958" s="8"/>
    </row>
    <row r="3959" ht="21.0" customHeight="1">
      <c r="A3959" s="6">
        <v>1.0</v>
      </c>
      <c r="B3959" s="6">
        <v>288.0</v>
      </c>
      <c r="C3959" s="6">
        <v>5.0</v>
      </c>
      <c r="D3959" s="87" t="s">
        <v>6682</v>
      </c>
      <c r="E3959" s="9" t="s">
        <v>6683</v>
      </c>
      <c r="F3959" s="8" t="str">
        <f>IFERROR(__xludf.DUMMYFUNCTION("GOOGLETRANSLATE(D3959,""zh-CN"",""vi"")"),"Cây bonsai đan móc")</f>
        <v>Cây bonsai đan móc</v>
      </c>
      <c r="G3959" s="8" t="str">
        <f>IFERROR(__xludf.DUMMYFUNCTION("GOOGLETRANSLATE(E3959,""zh-CN"",""vi"")"),"Một chậu cây không cần chăm sóc. Hãy chế tạo nó để nhận được Thần Tài Móc Len.")</f>
        <v>Một chậu cây không cần chăm sóc. Hãy chế tạo nó để nhận được Thần Tài Móc Len.</v>
      </c>
      <c r="H3959" s="8"/>
      <c r="I3959" s="8"/>
      <c r="J3959" s="8"/>
    </row>
    <row r="3960" ht="21.0" customHeight="1">
      <c r="A3960" s="6">
        <v>1.0</v>
      </c>
      <c r="B3960" s="6">
        <v>288.0</v>
      </c>
      <c r="C3960" s="6">
        <v>6.0</v>
      </c>
      <c r="D3960" s="87" t="s">
        <v>6684</v>
      </c>
      <c r="E3960" s="9" t="s">
        <v>6685</v>
      </c>
      <c r="F3960" s="8" t="str">
        <f>IFERROR(__xludf.DUMMYFUNCTION("GOOGLETRANSLATE(D3960,""zh-CN"",""vi"")"),"Thần Tài được đan móc thủ công")</f>
        <v>Thần Tài được đan móc thủ công</v>
      </c>
      <c r="G3960" s="8" t="str">
        <f>IFERROR(__xludf.DUMMYFUNCTION("GOOGLETRANSLATE(E3960,""zh-CN"",""vi"")"),"Búp bê thủ công mang lại tài lộc! Hãy tự tay làm chúng để có được một chiếc ví đựng tiền xu bằng móc len.")</f>
        <v>Búp bê thủ công mang lại tài lộc! Hãy tự tay làm chúng để có được một chiếc ví đựng tiền xu bằng móc len.</v>
      </c>
      <c r="H3960" s="8"/>
      <c r="I3960" s="8"/>
      <c r="J3960" s="8"/>
    </row>
    <row r="3961" ht="21.0" customHeight="1">
      <c r="A3961" s="6">
        <v>1.0</v>
      </c>
      <c r="B3961" s="6">
        <v>288.0</v>
      </c>
      <c r="C3961" s="6">
        <v>7.0</v>
      </c>
      <c r="D3961" s="87" t="s">
        <v>6686</v>
      </c>
      <c r="E3961" s="9" t="s">
        <v>6687</v>
      </c>
      <c r="F3961" s="8" t="str">
        <f>IFERROR(__xludf.DUMMYFUNCTION("GOOGLETRANSLATE(D3961,""zh-CN"",""vi"")"),"Ví đựng tiền xu móc len")</f>
        <v>Ví đựng tiền xu móc len</v>
      </c>
      <c r="G3961" s="8" t="str">
        <f>IFERROR(__xludf.DUMMYFUNCTION("GOOGLETRANSLATE(E3961,""zh-CN"",""vi"")"),"Tôi đã cố tình tráo đổi một vài đồng xu và đặt chúng vào bên trong, chỉ để tạo ra âm thanh! Kết hợp chúng lại để tạo thành một chiếc túi đeo vai đan móc.")</f>
        <v>Tôi đã cố tình tráo đổi một vài đồng xu và đặt chúng vào bên trong, chỉ để tạo ra âm thanh! Kết hợp chúng lại để tạo thành một chiếc túi đeo vai đan móc.</v>
      </c>
      <c r="H3961" s="8"/>
      <c r="I3961" s="8"/>
      <c r="J3961" s="8"/>
    </row>
    <row r="3962" ht="21.0" customHeight="1">
      <c r="A3962" s="6">
        <v>1.0</v>
      </c>
      <c r="B3962" s="6">
        <v>288.0</v>
      </c>
      <c r="C3962" s="6">
        <v>8.0</v>
      </c>
      <c r="D3962" s="87" t="s">
        <v>6688</v>
      </c>
      <c r="E3962" s="9" t="s">
        <v>6689</v>
      </c>
      <c r="F3962" s="8" t="str">
        <f>IFERROR(__xludf.DUMMYFUNCTION("GOOGLETRANSLATE(D3962,""zh-CN"",""vi"")"),"Túi đeo vai đan móc")</f>
        <v>Túi đeo vai đan móc</v>
      </c>
      <c r="G3962" s="8" t="str">
        <f>IFERROR(__xludf.DUMMYFUNCTION("GOOGLETRANSLATE(E3962,""zh-CN"",""vi"")"),"Khi bạn đói, chỉ cần một ánh nhìn thôi cũng đủ làm bạn no. Hãy thực hiện thao tác này để có được một chiếc ba lô móc len.")</f>
        <v>Khi bạn đói, chỉ cần một ánh nhìn thôi cũng đủ làm bạn no. Hãy thực hiện thao tác này để có được một chiếc ba lô móc len.</v>
      </c>
      <c r="H3962" s="8"/>
      <c r="I3962" s="8"/>
      <c r="J3962" s="8"/>
    </row>
    <row r="3963" ht="21.0" customHeight="1">
      <c r="A3963" s="6">
        <v>1.0</v>
      </c>
      <c r="B3963" s="6">
        <v>288.0</v>
      </c>
      <c r="C3963" s="6">
        <v>9.0</v>
      </c>
      <c r="D3963" s="87" t="s">
        <v>6690</v>
      </c>
      <c r="E3963" s="9" t="s">
        <v>6691</v>
      </c>
      <c r="F3963" s="8" t="str">
        <f>IFERROR(__xludf.DUMMYFUNCTION("GOOGLETRANSLATE(D3963,""zh-CN"",""vi"")"),"Ba lô móc len")</f>
        <v>Ba lô móc len</v>
      </c>
      <c r="G3963" s="8" t="str">
        <f>IFERROR(__xludf.DUMMYFUNCTION("GOOGLETRANSLATE(E3963,""zh-CN"",""vi"")"),"Chú chuột nhỏ dễ thương quá! Kết hợp chúng lại để tạo thành một tấm thảm móc len.")</f>
        <v>Chú chuột nhỏ dễ thương quá! Kết hợp chúng lại để tạo thành một tấm thảm móc len.</v>
      </c>
      <c r="H3963" s="8"/>
      <c r="I3963" s="8"/>
      <c r="J3963" s="8"/>
    </row>
    <row r="3964" ht="21.0" customHeight="1">
      <c r="A3964" s="6">
        <v>1.0</v>
      </c>
      <c r="B3964" s="6">
        <v>288.0</v>
      </c>
      <c r="C3964" s="6">
        <v>10.0</v>
      </c>
      <c r="D3964" s="87" t="s">
        <v>6692</v>
      </c>
      <c r="E3964" s="9" t="s">
        <v>6693</v>
      </c>
      <c r="F3964" s="8" t="str">
        <f>IFERROR(__xludf.DUMMYFUNCTION("GOOGLETRANSLATE(D3964,""zh-CN"",""vi"")"),"Thảm hoa móc len")</f>
        <v>Thảm hoa móc len</v>
      </c>
      <c r="G3964" s="8" t="str">
        <f>IFERROR(__xludf.DUMMYFUNCTION("GOOGLETRANSLATE(E3964,""zh-CN"",""vi"")"),"Tôi khao khát được nằm trên một tấm chăn như thế này, nơi hương thơm của hoa dường như tràn ngập khứu giác của tôi. (Tự tay đan một chiếc khăn choàng cổ)")</f>
        <v>Tôi khao khát được nằm trên một tấm chăn như thế này, nơi hương thơm của hoa dường như tràn ngập khứu giác của tôi. (Tự tay đan một chiếc khăn choàng cổ)</v>
      </c>
      <c r="H3964" s="8"/>
      <c r="I3964" s="8"/>
      <c r="J3964" s="8"/>
    </row>
    <row r="3965" ht="21.0" customHeight="1">
      <c r="A3965" s="6">
        <v>1.0</v>
      </c>
      <c r="B3965" s="6">
        <v>288.0</v>
      </c>
      <c r="C3965" s="6">
        <v>11.0</v>
      </c>
      <c r="D3965" s="88" t="s">
        <v>6694</v>
      </c>
      <c r="E3965" s="9" t="s">
        <v>6695</v>
      </c>
      <c r="F3965" s="8" t="str">
        <f>IFERROR(__xludf.DUMMYFUNCTION("GOOGLETRANSLATE(D3965,""zh-CN"",""vi"")"),"Khăn quàng cổ đan móc")</f>
        <v>Khăn quàng cổ đan móc</v>
      </c>
      <c r="G3965" s="8" t="str">
        <f>IFERROR(__xludf.DUMMYFUNCTION("GOOGLETRANSLATE(E3965,""zh-CN"",""vi"")"),"Chiếc khăn này sẽ giúp bạn giữ ấm và tạo điểm nhấn phong cách cho mùa thu và mùa đông. (Được thiết kế để tạo thành áo vest móc)")</f>
        <v>Chiếc khăn này sẽ giúp bạn giữ ấm và tạo điểm nhấn phong cách cho mùa thu và mùa đông. (Được thiết kế để tạo thành áo vest móc)</v>
      </c>
      <c r="H3965" s="8"/>
      <c r="I3965" s="8"/>
      <c r="J3965" s="8"/>
    </row>
    <row r="3966" ht="21.0" customHeight="1">
      <c r="A3966" s="6">
        <v>1.0</v>
      </c>
      <c r="B3966" s="6">
        <v>288.0</v>
      </c>
      <c r="C3966" s="6">
        <v>12.0</v>
      </c>
      <c r="D3966" s="87" t="s">
        <v>6696</v>
      </c>
      <c r="E3966" s="9" t="s">
        <v>6697</v>
      </c>
      <c r="F3966" s="8" t="str">
        <f>IFERROR(__xludf.DUMMYFUNCTION("GOOGLETRANSLATE(D3966,""zh-CN"",""vi"")"),"Áo vest móc")</f>
        <v>Áo vest móc</v>
      </c>
      <c r="G3966" s="8" t="str">
        <f>IFERROR(__xludf.DUMMYFUNCTION("GOOGLETRANSLATE(E3966,""zh-CN"",""vi"")"),"Đây là một chiếc áo vest độc nhất vô nhị, hoàn toàn khác biệt và không có bán trên thị trường! Bạn có thể tự may nó để lấy chất liệu thêu chữ thập.")</f>
        <v>Đây là một chiếc áo vest độc nhất vô nhị, hoàn toàn khác biệt và không có bán trên thị trường! Bạn có thể tự may nó để lấy chất liệu thêu chữ thập.</v>
      </c>
      <c r="H3966" s="8"/>
      <c r="I3966" s="8"/>
      <c r="J3966" s="8"/>
    </row>
    <row r="3967" ht="21.0" customHeight="1">
      <c r="A3967" s="6">
        <v>1.0</v>
      </c>
      <c r="B3967" s="6">
        <v>288.0</v>
      </c>
      <c r="C3967" s="6">
        <v>13.0</v>
      </c>
      <c r="D3967" s="87" t="s">
        <v>6698</v>
      </c>
      <c r="E3967" s="9" t="s">
        <v>6699</v>
      </c>
      <c r="F3967" s="8" t="str">
        <f>IFERROR(__xludf.DUMMYFUNCTION("GOOGLETRANSLATE(D3967,""zh-CN"",""vi"")"),"Thêu chữ thập")</f>
        <v>Thêu chữ thập</v>
      </c>
      <c r="G3967" s="8" t="str">
        <f>IFERROR(__xludf.DUMMYFUNCTION("GOOGLETRANSLATE(E3967,""zh-CN"",""vi"")"),"Món quà lưu niệm quý hiếm, một báu vật để giữ gìn~ Đã được tổng hợp đến cấp độ cao nhất.")</f>
        <v>Món quà lưu niệm quý hiếm, một báu vật để giữ gìn~ Đã được tổng hợp đến cấp độ cao nhất.</v>
      </c>
      <c r="H3967" s="8"/>
      <c r="I3967" s="8"/>
      <c r="J3967" s="8"/>
    </row>
    <row r="3968" ht="21.0" customHeight="1">
      <c r="A3968" s="6">
        <v>1.0</v>
      </c>
      <c r="B3968" s="6">
        <v>289.0</v>
      </c>
      <c r="C3968" s="6">
        <v>1.0</v>
      </c>
      <c r="D3968" s="85" t="s">
        <v>6700</v>
      </c>
      <c r="E3968" s="92" t="s">
        <v>6701</v>
      </c>
      <c r="F3968" s="8" t="str">
        <f>IFERROR(__xludf.DUMMYFUNCTION("GOOGLETRANSLATE(D3968,""zh-CN"",""vi"")"),"Dấu trang hình lá")</f>
        <v>Dấu trang hình lá</v>
      </c>
      <c r="G3968" s="8" t="str">
        <f>IFERROR(__xludf.DUMMYFUNCTION("GOOGLETRANSLATE(E3968,""zh-CN"",""vi"")"),"Thu thập một nghìn chiếc lá, làm một nghìn chiếc đánh dấu sách, và kết hợp chúng lại để tạo thành một vật trang trí hình lõi giấy vệ sinh.")</f>
        <v>Thu thập một nghìn chiếc lá, làm một nghìn chiếc đánh dấu sách, và kết hợp chúng lại để tạo thành một vật trang trí hình lõi giấy vệ sinh.</v>
      </c>
      <c r="H3968" s="8"/>
      <c r="I3968" s="8"/>
      <c r="J3968" s="8"/>
    </row>
    <row r="3969" ht="21.0" customHeight="1">
      <c r="A3969" s="6">
        <v>1.0</v>
      </c>
      <c r="B3969" s="6">
        <v>289.0</v>
      </c>
      <c r="C3969" s="6">
        <v>2.0</v>
      </c>
      <c r="D3969" s="85" t="s">
        <v>6702</v>
      </c>
      <c r="E3969" s="9" t="s">
        <v>6703</v>
      </c>
      <c r="F3969" s="8" t="str">
        <f>IFERROR(__xludf.DUMMYFUNCTION("GOOGLETRANSLATE(D3969,""zh-CN"",""vi"")"),"đồ trang trí cuộn giấy vệ sinh")</f>
        <v>đồ trang trí cuộn giấy vệ sinh</v>
      </c>
      <c r="G3969" s="8" t="str">
        <f>IFERROR(__xludf.DUMMYFUNCTION("GOOGLETRANSLATE(E3969,""zh-CN"",""vi"")"),"Cuộn giấy vệ sinh hình chú chó dễ thương và đáng yêu. Kết hợp chúng lại để tạo thành một chiếc xe đẩy hình hộp sữa.")</f>
        <v>Cuộn giấy vệ sinh hình chú chó dễ thương và đáng yêu. Kết hợp chúng lại để tạo thành một chiếc xe đẩy hình hộp sữa.</v>
      </c>
      <c r="H3969" s="8"/>
      <c r="I3969" s="8"/>
      <c r="J3969" s="8"/>
    </row>
    <row r="3970" ht="21.0" customHeight="1">
      <c r="A3970" s="6">
        <v>1.0</v>
      </c>
      <c r="B3970" s="6">
        <v>289.0</v>
      </c>
      <c r="C3970" s="6">
        <v>3.0</v>
      </c>
      <c r="D3970" s="85" t="s">
        <v>6704</v>
      </c>
      <c r="E3970" s="9" t="s">
        <v>6705</v>
      </c>
      <c r="F3970" s="8" t="str">
        <f>IFERROR(__xludf.DUMMYFUNCTION("GOOGLETRANSLATE(D3970,""zh-CN"",""vi"")"),"Xe chở sữa")</f>
        <v>Xe chở sữa</v>
      </c>
      <c r="G3970" s="8" t="str">
        <f>IFERROR(__xludf.DUMMYFUNCTION("GOOGLETRANSLATE(E3970,""zh-CN"",""vi"")"),"Trong giấc mơ, tôi lái một chiếc xe làm từ hộp sữa đến những thảo nguyên rộng lớn. Tôi ghép chúng lại để tạo thành một chiếc chuông gió làm từ nắp chai.")</f>
        <v>Trong giấc mơ, tôi lái một chiếc xe làm từ hộp sữa đến những thảo nguyên rộng lớn. Tôi ghép chúng lại để tạo thành một chiếc chuông gió làm từ nắp chai.</v>
      </c>
      <c r="H3970" s="8"/>
      <c r="I3970" s="8"/>
      <c r="J3970" s="8"/>
    </row>
    <row r="3971" ht="21.0" customHeight="1">
      <c r="A3971" s="6">
        <v>1.0</v>
      </c>
      <c r="B3971" s="6">
        <v>289.0</v>
      </c>
      <c r="C3971" s="6">
        <v>4.0</v>
      </c>
      <c r="D3971" s="85" t="s">
        <v>6706</v>
      </c>
      <c r="E3971" s="9" t="s">
        <v>6707</v>
      </c>
      <c r="F3971" s="8" t="str">
        <f>IFERROR(__xludf.DUMMYFUNCTION("GOOGLETRANSLATE(D3971,""zh-CN"",""vi"")"),"Chuông gió làm từ nắp chai")</f>
        <v>Chuông gió làm từ nắp chai</v>
      </c>
      <c r="G3971" s="8" t="str">
        <f>IFERROR(__xludf.DUMMYFUNCTION("GOOGLETRANSLATE(E3971,""zh-CN"",""vi"")"),"Nhiều nắp chai được kết hợp lại để tạo thành một chiếc chuông gió đầy màu sắc. Sau đó, chúng được ghép lại để tạo thành một chiếc lịch làm từ hộp bìa các tông cũ.")</f>
        <v>Nhiều nắp chai được kết hợp lại để tạo thành một chiếc chuông gió đầy màu sắc. Sau đó, chúng được ghép lại để tạo thành một chiếc lịch làm từ hộp bìa các tông cũ.</v>
      </c>
      <c r="H3971" s="8"/>
      <c r="I3971" s="8"/>
      <c r="J3971" s="8"/>
    </row>
    <row r="3972" ht="21.0" customHeight="1">
      <c r="A3972" s="6">
        <v>1.0</v>
      </c>
      <c r="B3972" s="6">
        <v>289.0</v>
      </c>
      <c r="C3972" s="6">
        <v>5.0</v>
      </c>
      <c r="D3972" s="89" t="s">
        <v>6708</v>
      </c>
      <c r="E3972" s="9" t="s">
        <v>6709</v>
      </c>
      <c r="F3972" s="8" t="str">
        <f>IFERROR(__xludf.DUMMYFUNCTION("GOOGLETRANSLATE(D3972,""zh-CN"",""vi"")"),"Lịch làm từ hộp bìa cứng cũ")</f>
        <v>Lịch làm từ hộp bìa cứng cũ</v>
      </c>
      <c r="G3972" s="8" t="str">
        <f>IFERROR(__xludf.DUMMYFUNCTION("GOOGLETRANSLATE(E3972,""zh-CN"",""vi"")"),"Một cuốn lịch giấy mang lại cảm giác lưu giữ thời gian tốt hơn. (Tự làm một chiếc chai thủy tinh thân thiện với môi trường cũng là một lựa chọn.)")</f>
        <v>Một cuốn lịch giấy mang lại cảm giác lưu giữ thời gian tốt hơn. (Tự làm một chiếc chai thủy tinh thân thiện với môi trường cũng là một lựa chọn.)</v>
      </c>
      <c r="H3972" s="8"/>
      <c r="I3972" s="8"/>
      <c r="J3972" s="8"/>
    </row>
    <row r="3973" ht="21.0" customHeight="1">
      <c r="A3973" s="6">
        <v>1.0</v>
      </c>
      <c r="B3973" s="6">
        <v>289.0</v>
      </c>
      <c r="C3973" s="6">
        <v>6.0</v>
      </c>
      <c r="D3973" s="85" t="s">
        <v>6710</v>
      </c>
      <c r="E3973" s="9" t="s">
        <v>6711</v>
      </c>
      <c r="F3973" s="8" t="str">
        <f>IFERROR(__xludf.DUMMYFUNCTION("GOOGLETRANSLATE(D3973,""zh-CN"",""vi"")"),"Chai thủy tinh thân thiện với môi trường")</f>
        <v>Chai thủy tinh thân thiện với môi trường</v>
      </c>
      <c r="G3973" s="8" t="str">
        <f>IFERROR(__xludf.DUMMYFUNCTION("GOOGLETRANSLATE(E3973,""zh-CN"",""vi"")"),"Một thế giới dưới nước tí hon. Kết hợp chúng lại để tạo thành các mảnh ghép hình hạt đậu.")</f>
        <v>Một thế giới dưới nước tí hon. Kết hợp chúng lại để tạo thành các mảnh ghép hình hạt đậu.</v>
      </c>
      <c r="H3973" s="8"/>
      <c r="I3973" s="8"/>
      <c r="J3973" s="8"/>
    </row>
    <row r="3974" ht="21.0" customHeight="1">
      <c r="A3974" s="6">
        <v>1.0</v>
      </c>
      <c r="B3974" s="6">
        <v>289.0</v>
      </c>
      <c r="C3974" s="6">
        <v>7.0</v>
      </c>
      <c r="D3974" s="85" t="s">
        <v>6712</v>
      </c>
      <c r="E3974" s="9" t="s">
        <v>6713</v>
      </c>
      <c r="F3974" s="8" t="str">
        <f>IFERROR(__xludf.DUMMYFUNCTION("GOOGLETRANSLATE(D3974,""zh-CN"",""vi"")"),"Câu đố hạt đậu")</f>
        <v>Câu đố hạt đậu</v>
      </c>
      <c r="G3974" s="8" t="str">
        <f>IFERROR(__xludf.DUMMYFUNCTION("GOOGLETRANSLATE(E3974,""zh-CN"",""vi"")"),"Sử dụng các loại đậu có màu sắc khác nhau để tạo ra những họa tiết đẹp mắt. Kết hợp chúng lại để tạo thành một chiếc túi thân thiện với môi trường từ áo phông.")</f>
        <v>Sử dụng các loại đậu có màu sắc khác nhau để tạo ra những họa tiết đẹp mắt. Kết hợp chúng lại để tạo thành một chiếc túi thân thiện với môi trường từ áo phông.</v>
      </c>
      <c r="H3974" s="8"/>
      <c r="I3974" s="8"/>
      <c r="J3974" s="8"/>
    </row>
    <row r="3975" ht="21.0" customHeight="1">
      <c r="A3975" s="6">
        <v>1.0</v>
      </c>
      <c r="B3975" s="6">
        <v>289.0</v>
      </c>
      <c r="C3975" s="6">
        <v>8.0</v>
      </c>
      <c r="D3975" s="85" t="s">
        <v>6714</v>
      </c>
      <c r="E3975" s="9" t="s">
        <v>6715</v>
      </c>
      <c r="F3975" s="8" t="str">
        <f>IFERROR(__xludf.DUMMYFUNCTION("GOOGLETRANSLATE(D3975,""zh-CN"",""vi"")"),"Áo thun thân thiện với môi trường")</f>
        <v>Áo thun thân thiện với môi trường</v>
      </c>
      <c r="G3975" s="8" t="str">
        <f>IFERROR(__xludf.DUMMYFUNCTION("GOOGLETRANSLATE(E3975,""zh-CN"",""vi"")"),"Tái chế rác thải giúp thế giới tiết kiệm thêm một chiếc túi nữa! Hãy tự tay làm một chiếc váy từ báo.")</f>
        <v>Tái chế rác thải giúp thế giới tiết kiệm thêm một chiếc túi nữa! Hãy tự tay làm một chiếc váy từ báo.</v>
      </c>
      <c r="H3975" s="8"/>
      <c r="I3975" s="8"/>
      <c r="J3975" s="8"/>
    </row>
    <row r="3976" ht="21.0" customHeight="1">
      <c r="A3976" s="6">
        <v>1.0</v>
      </c>
      <c r="B3976" s="6">
        <v>289.0</v>
      </c>
      <c r="C3976" s="6">
        <v>9.0</v>
      </c>
      <c r="D3976" s="85" t="s">
        <v>6716</v>
      </c>
      <c r="E3976" s="9" t="s">
        <v>6717</v>
      </c>
      <c r="F3976" s="8" t="str">
        <f>IFERROR(__xludf.DUMMYFUNCTION("GOOGLETRANSLATE(D3976,""zh-CN"",""vi"")"),"váy báo")</f>
        <v>váy báo</v>
      </c>
      <c r="G3976" s="8" t="str">
        <f>IFERROR(__xludf.DUMMYFUNCTION("GOOGLETRANSLATE(E3976,""zh-CN"",""vi"")"),"Họ cũng là tâm điểm chú ý trên sàn diễn. (Câu cuối cùng mô tả một quy trình chế tác liên quan đến đũa và cối xay gió.)")</f>
        <v>Họ cũng là tâm điểm chú ý trên sàn diễn. (Câu cuối cùng mô tả một quy trình chế tác liên quan đến đũa và cối xay gió.)</v>
      </c>
      <c r="H3976" s="8"/>
      <c r="I3976" s="8"/>
      <c r="J3976" s="8"/>
    </row>
    <row r="3977" ht="21.0" customHeight="1">
      <c r="A3977" s="6">
        <v>1.0</v>
      </c>
      <c r="B3977" s="6">
        <v>289.0</v>
      </c>
      <c r="C3977" s="6">
        <v>10.0</v>
      </c>
      <c r="D3977" s="85" t="s">
        <v>6718</v>
      </c>
      <c r="E3977" s="9" t="s">
        <v>6719</v>
      </c>
      <c r="F3977" s="8" t="str">
        <f>IFERROR(__xludf.DUMMYFUNCTION("GOOGLETRANSLATE(D3977,""zh-CN"",""vi"")"),"Cối xay gió đũa")</f>
        <v>Cối xay gió đũa</v>
      </c>
      <c r="G3977" s="8" t="str">
        <f>IFERROR(__xludf.DUMMYFUNCTION("GOOGLETRANSLATE(E3977,""zh-CN"",""vi"")"),"Một món đồ chơi nhỏ vui nhộn phát ra tiếng kêu cót két. Kết hợp chúng lại để tạo thành một hình nộm bằng lốp xe.")</f>
        <v>Một món đồ chơi nhỏ vui nhộn phát ra tiếng kêu cót két. Kết hợp chúng lại để tạo thành một hình nộm bằng lốp xe.</v>
      </c>
      <c r="H3977" s="8"/>
      <c r="I3977" s="8"/>
      <c r="J3977" s="8"/>
    </row>
    <row r="3978" ht="21.0" customHeight="1">
      <c r="A3978" s="6">
        <v>1.0</v>
      </c>
      <c r="B3978" s="6">
        <v>289.0</v>
      </c>
      <c r="C3978" s="6">
        <v>11.0</v>
      </c>
      <c r="D3978" s="85" t="s">
        <v>6720</v>
      </c>
      <c r="E3978" s="9" t="s">
        <v>6721</v>
      </c>
      <c r="F3978" s="8" t="str">
        <f>IFERROR(__xludf.DUMMYFUNCTION("GOOGLETRANSLATE(D3978,""zh-CN"",""vi"")"),"Người rơm lốp xe")</f>
        <v>Người rơm lốp xe</v>
      </c>
      <c r="G3978" s="8" t="str">
        <f>IFERROR(__xludf.DUMMYFUNCTION("GOOGLETRANSLATE(E3978,""zh-CN"",""vi"")"),"Chiều cao vượt trội của nó có thể làm chim chóc trên đồng ruộng sợ hãi. (Hãy tự làm một cái kệ bằng tre.)")</f>
        <v>Chiều cao vượt trội của nó có thể làm chim chóc trên đồng ruộng sợ hãi. (Hãy tự làm một cái kệ bằng tre.)</v>
      </c>
      <c r="H3978" s="8"/>
      <c r="I3978" s="8"/>
      <c r="J3978" s="8"/>
    </row>
    <row r="3979" ht="21.0" customHeight="1">
      <c r="A3979" s="6">
        <v>1.0</v>
      </c>
      <c r="B3979" s="6">
        <v>289.0</v>
      </c>
      <c r="C3979" s="6">
        <v>12.0</v>
      </c>
      <c r="D3979" s="85" t="s">
        <v>6722</v>
      </c>
      <c r="E3979" s="9" t="s">
        <v>6723</v>
      </c>
      <c r="F3979" s="8" t="str">
        <f>IFERROR(__xludf.DUMMYFUNCTION("GOOGLETRANSLATE(D3979,""zh-CN"",""vi"")"),"Giá để đồ bằng tre")</f>
        <v>Giá để đồ bằng tre</v>
      </c>
      <c r="G3979" s="8" t="str">
        <f>IFERROR(__xludf.DUMMYFUNCTION("GOOGLETRANSLATE(E3979,""zh-CN"",""vi"")"),"Nó có mùi thơm tươi mát, như mùi cây cỏ ~ Được chế tạo để tạo thành một chiếc thuyền buồm từ chai nhựa.")</f>
        <v>Nó có mùi thơm tươi mát, như mùi cây cỏ ~ Được chế tạo để tạo thành một chiếc thuyền buồm từ chai nhựa.</v>
      </c>
      <c r="H3979" s="8"/>
      <c r="I3979" s="8"/>
      <c r="J3979" s="8"/>
    </row>
    <row r="3980" ht="21.0" customHeight="1">
      <c r="A3980" s="6">
        <v>1.0</v>
      </c>
      <c r="B3980" s="6">
        <v>289.0</v>
      </c>
      <c r="C3980" s="6">
        <v>13.0</v>
      </c>
      <c r="D3980" s="85" t="s">
        <v>6724</v>
      </c>
      <c r="E3980" s="9" t="s">
        <v>6725</v>
      </c>
      <c r="F3980" s="8" t="str">
        <f>IFERROR(__xludf.DUMMYFUNCTION("GOOGLETRANSLATE(D3980,""zh-CN"",""vi"")"),"thuyền buồm làm từ chai nhựa")</f>
        <v>thuyền buồm làm từ chai nhựa</v>
      </c>
      <c r="G3980" s="8" t="str">
        <f>IFERROR(__xludf.DUMMYFUNCTION("GOOGLETRANSLATE(E3980,""zh-CN"",""vi"")"),"Các thủy thủ, hãy ra khơi! (Âm thanh tổng hợp ở cấp độ cao nhất)")</f>
        <v>Các thủy thủ, hãy ra khơi! (Âm thanh tổng hợp ở cấp độ cao nhất)</v>
      </c>
      <c r="H3980" s="8"/>
      <c r="I3980" s="8"/>
      <c r="J3980" s="8"/>
    </row>
    <row r="3981" ht="21.0" customHeight="1">
      <c r="A3981" s="6">
        <v>11.0</v>
      </c>
      <c r="B3981" s="6">
        <v>1096.0</v>
      </c>
      <c r="C3981" s="6">
        <v>1.0</v>
      </c>
      <c r="D3981" s="81" t="s">
        <v>6726</v>
      </c>
      <c r="E3981" s="9" t="s">
        <v>6727</v>
      </c>
      <c r="F3981" s="8" t="str">
        <f>IFERROR(__xludf.DUMMYFUNCTION("GOOGLETRANSLATE(D3981,""zh-CN"",""vi"")"),"bông tuyết")</f>
        <v>bông tuyết</v>
      </c>
      <c r="G3981" s="8" t="str">
        <f>IFERROR(__xludf.DUMMYFUNCTION("GOOGLETRANSLATE(E3981,""zh-CN"",""vi"")"),"Vô số bông tuyết nhỏ hội tụ lại tạo thành một thế giới băng giá. Kết hợp chúng lại để tạo thành những bông tuyết lớn.")</f>
        <v>Vô số bông tuyết nhỏ hội tụ lại tạo thành một thế giới băng giá. Kết hợp chúng lại để tạo thành những bông tuyết lớn.</v>
      </c>
      <c r="H3981" s="8"/>
      <c r="I3981" s="8"/>
      <c r="J3981" s="8"/>
    </row>
    <row r="3982" ht="21.0" customHeight="1">
      <c r="A3982" s="6">
        <v>11.0</v>
      </c>
      <c r="B3982" s="6">
        <v>1096.0</v>
      </c>
      <c r="C3982" s="6">
        <v>2.0</v>
      </c>
      <c r="D3982" s="81" t="s">
        <v>6728</v>
      </c>
      <c r="E3982" s="9" t="s">
        <v>6729</v>
      </c>
      <c r="F3982" s="8" t="str">
        <f>IFERROR(__xludf.DUMMYFUNCTION("GOOGLETRANSLATE(D3982,""zh-CN"",""vi"")"),"Những bông tuyết lớn")</f>
        <v>Những bông tuyết lớn</v>
      </c>
      <c r="G3982" s="8" t="str">
        <f>IFERROR(__xludf.DUMMYFUNCTION("GOOGLETRANSLATE(E3982,""zh-CN"",""vi"")"),"Hình dạng tuyệt đẹp của chúng là những tác phẩm nghệ thuật tự nhiên. Tinh thể băng được tổng hợp nhân tạo.")</f>
        <v>Hình dạng tuyệt đẹp của chúng là những tác phẩm nghệ thuật tự nhiên. Tinh thể băng được tổng hợp nhân tạo.</v>
      </c>
      <c r="H3982" s="8"/>
      <c r="I3982" s="8"/>
      <c r="J3982" s="8"/>
    </row>
    <row r="3983" ht="21.0" customHeight="1">
      <c r="A3983" s="6">
        <v>11.0</v>
      </c>
      <c r="B3983" s="6">
        <v>1096.0</v>
      </c>
      <c r="C3983" s="6">
        <v>3.0</v>
      </c>
      <c r="D3983" s="81" t="s">
        <v>6730</v>
      </c>
      <c r="E3983" s="9" t="s">
        <v>6731</v>
      </c>
      <c r="F3983" s="8" t="str">
        <f>IFERROR(__xludf.DUMMYFUNCTION("GOOGLETRANSLATE(D3983,""zh-CN"",""vi"")"),"tinh thể băng")</f>
        <v>tinh thể băng</v>
      </c>
      <c r="G3983" s="8" t="str">
        <f>IFERROR(__xludf.DUMMYFUNCTION("GOOGLETRANSLATE(E3983,""zh-CN"",""vi"")"),"Những tinh thể băng nhỏ, món đồ yêu thích của trẻ em. Hãy nặn chúng để tạo thành những cột băng.")</f>
        <v>Những tinh thể băng nhỏ, món đồ yêu thích của trẻ em. Hãy nặn chúng để tạo thành những cột băng.</v>
      </c>
      <c r="H3983" s="8"/>
      <c r="I3983" s="8"/>
      <c r="J3983" s="8"/>
    </row>
    <row r="3984" ht="21.0" customHeight="1">
      <c r="A3984" s="6">
        <v>11.0</v>
      </c>
      <c r="B3984" s="6">
        <v>1096.0</v>
      </c>
      <c r="C3984" s="6">
        <v>4.0</v>
      </c>
      <c r="D3984" s="81" t="s">
        <v>6732</v>
      </c>
      <c r="E3984" s="9" t="s">
        <v>6733</v>
      </c>
      <c r="F3984" s="8" t="str">
        <f>IFERROR(__xludf.DUMMYFUNCTION("GOOGLETRANSLATE(D3984,""zh-CN"",""vi"")"),"cột băng")</f>
        <v>cột băng</v>
      </c>
      <c r="G3984" s="8" t="str">
        <f>IFERROR(__xludf.DUMMYFUNCTION("GOOGLETRANSLATE(E3984,""zh-CN"",""vi"")"),"Nó có thể được dùng để xây dựng các công trình bằng băng và tuyết. Hãy tạo một túp lều tuyết.")</f>
        <v>Nó có thể được dùng để xây dựng các công trình bằng băng và tuyết. Hãy tạo một túp lều tuyết.</v>
      </c>
      <c r="H3984" s="8"/>
      <c r="I3984" s="8"/>
      <c r="J3984" s="8"/>
    </row>
    <row r="3985" ht="21.0" customHeight="1">
      <c r="A3985" s="6">
        <v>10.0</v>
      </c>
      <c r="B3985" s="6">
        <v>1096.0</v>
      </c>
      <c r="C3985" s="6">
        <v>5.0</v>
      </c>
      <c r="D3985" s="81" t="s">
        <v>6734</v>
      </c>
      <c r="E3985" s="9" t="s">
        <v>6735</v>
      </c>
      <c r="F3985" s="8" t="str">
        <f>IFERROR(__xludf.DUMMYFUNCTION("GOOGLETRANSLATE(D3985,""zh-CN"",""vi"")"),"lều tuyết")</f>
        <v>lều tuyết</v>
      </c>
      <c r="G3985" s="8" t="str">
        <f>IFERROR(__xludf.DUMMYFUNCTION("GOOGLETRANSLATE(E3985,""zh-CN"",""vi"")"),"Một túp lều tuyết quá nhỏ. Bạn chỉ có thể bò vào bên trong bằng bụng. Kết hợp chúng để có được Gác mái Băng và Tuyết.")</f>
        <v>Một túp lều tuyết quá nhỏ. Bạn chỉ có thể bò vào bên trong bằng bụng. Kết hợp chúng để có được Gác mái Băng và Tuyết.</v>
      </c>
      <c r="H3985" s="8"/>
      <c r="I3985" s="8"/>
      <c r="J3985" s="8"/>
    </row>
    <row r="3986" ht="21.0" customHeight="1">
      <c r="A3986" s="6">
        <v>10.0</v>
      </c>
      <c r="B3986" s="6">
        <v>1096.0</v>
      </c>
      <c r="C3986" s="6">
        <v>6.0</v>
      </c>
      <c r="D3986" s="81" t="s">
        <v>6736</v>
      </c>
      <c r="E3986" s="9" t="s">
        <v>6737</v>
      </c>
      <c r="F3986" s="8" t="str">
        <f>IFERROR(__xludf.DUMMYFUNCTION("GOOGLETRANSLATE(D3986,""zh-CN"",""vi"")"),"Gian hàng Băng và Tuyết")</f>
        <v>Gian hàng Băng và Tuyết</v>
      </c>
      <c r="G3986" s="8" t="str">
        <f>IFERROR(__xludf.DUMMYFUNCTION("GOOGLETRANSLATE(E3986,""zh-CN"",""vi"")"),"Ngôi nhà mà các yêu tinh trong truyện cổ tích yêu thích để sinh sống. Kết hợp chúng lại để tạo thành Mê cung Bông tuyết.")</f>
        <v>Ngôi nhà mà các yêu tinh trong truyện cổ tích yêu thích để sinh sống. Kết hợp chúng lại để tạo thành Mê cung Bông tuyết.</v>
      </c>
      <c r="H3986" s="8"/>
      <c r="I3986" s="8"/>
      <c r="J3986" s="8"/>
    </row>
    <row r="3987" ht="21.0" customHeight="1">
      <c r="A3987" s="6">
        <v>10.0</v>
      </c>
      <c r="B3987" s="6">
        <v>1096.0</v>
      </c>
      <c r="C3987" s="6">
        <v>7.0</v>
      </c>
      <c r="D3987" s="81" t="s">
        <v>6738</v>
      </c>
      <c r="E3987" s="9" t="s">
        <v>6739</v>
      </c>
      <c r="F3987" s="8" t="str">
        <f>IFERROR(__xludf.DUMMYFUNCTION("GOOGLETRANSLATE(D3987,""zh-CN"",""vi"")"),"Mê cung bông tuyết")</f>
        <v>Mê cung bông tuyết</v>
      </c>
      <c r="G3987" s="8" t="str">
        <f>IFERROR(__xludf.DUMMYFUNCTION("GOOGLETRANSLATE(E3987,""zh-CN"",""vi"")"),"Khi vào bên trong, bạn có thể chơi trốn tìm cả ngày! Kết hợp chúng lại để có được Vòng quay Băng và Tuyết.")</f>
        <v>Khi vào bên trong, bạn có thể chơi trốn tìm cả ngày! Kết hợp chúng lại để có được Vòng quay Băng và Tuyết.</v>
      </c>
      <c r="H3987" s="8"/>
      <c r="I3987" s="8"/>
      <c r="J3987" s="8"/>
    </row>
    <row r="3988" ht="21.0" customHeight="1">
      <c r="A3988" s="6">
        <v>10.0</v>
      </c>
      <c r="B3988" s="6">
        <v>1096.0</v>
      </c>
      <c r="C3988" s="6">
        <v>8.0</v>
      </c>
      <c r="D3988" s="81" t="s">
        <v>6740</v>
      </c>
      <c r="E3988" s="9" t="s">
        <v>6741</v>
      </c>
      <c r="F3988" s="8" t="str">
        <f>IFERROR(__xludf.DUMMYFUNCTION("GOOGLETRANSLATE(D3988,""zh-CN"",""vi"")"),"Vòng đu quay băng và tuyết")</f>
        <v>Vòng đu quay băng và tuyết</v>
      </c>
      <c r="G3988" s="8" t="str">
        <f>IFERROR(__xludf.DUMMYFUNCTION("GOOGLETRANSLATE(E3988,""zh-CN"",""vi"")"),"Giá mà có phép thuật để làm cho nó xoay được! (Chế tạo Nhà thờ Băng)")</f>
        <v>Giá mà có phép thuật để làm cho nó xoay được! (Chế tạo Nhà thờ Băng)</v>
      </c>
      <c r="H3988" s="8"/>
      <c r="I3988" s="8"/>
      <c r="J3988" s="8"/>
    </row>
    <row r="3989" ht="21.0" customHeight="1">
      <c r="A3989" s="6">
        <v>10.0</v>
      </c>
      <c r="B3989" s="6">
        <v>1096.0</v>
      </c>
      <c r="C3989" s="6">
        <v>9.0</v>
      </c>
      <c r="D3989" s="81" t="s">
        <v>6742</v>
      </c>
      <c r="E3989" s="9" t="s">
        <v>6743</v>
      </c>
      <c r="F3989" s="8" t="str">
        <f>IFERROR(__xludf.DUMMYFUNCTION("GOOGLETRANSLATE(D3989,""zh-CN"",""vi"")"),"Nhà thờ Băng và Tuyết")</f>
        <v>Nhà thờ Băng và Tuyết</v>
      </c>
      <c r="G3989" s="8" t="str">
        <f>IFERROR(__xludf.DUMMYFUNCTION("GOOGLETRANSLATE(E3989,""zh-CN"",""vi"")"),"Thiết kế toát lên vẻ đẹp cổ điển~ Kết hợp chúng để có được Vương miện Băng Tuyết.")</f>
        <v>Thiết kế toát lên vẻ đẹp cổ điển~ Kết hợp chúng để có được Vương miện Băng Tuyết.</v>
      </c>
      <c r="H3989" s="8"/>
      <c r="I3989" s="8"/>
      <c r="J3989" s="8"/>
    </row>
    <row r="3990" ht="21.0" customHeight="1">
      <c r="A3990" s="6">
        <v>10.0</v>
      </c>
      <c r="B3990" s="6">
        <v>1096.0</v>
      </c>
      <c r="C3990" s="6">
        <v>10.0</v>
      </c>
      <c r="D3990" s="81" t="s">
        <v>6744</v>
      </c>
      <c r="E3990" s="9" t="s">
        <v>6745</v>
      </c>
      <c r="F3990" s="8" t="str">
        <f>IFERROR(__xludf.DUMMYFUNCTION("GOOGLETRANSLATE(D3990,""zh-CN"",""vi"")"),"Vương miện băng tuyết")</f>
        <v>Vương miện băng tuyết</v>
      </c>
      <c r="G3990" s="8" t="str">
        <f>IFERROR(__xludf.DUMMYFUNCTION("GOOGLETRANSLATE(E3990,""zh-CN"",""vi"")"),"Tháp Băng Tuyết, đỉnh cao nhất trong thế giới băng giá. Nó đã được chế tác đến cấp độ cao nhất.")</f>
        <v>Tháp Băng Tuyết, đỉnh cao nhất trong thế giới băng giá. Nó đã được chế tác đến cấp độ cao nhất.</v>
      </c>
      <c r="H3990" s="8"/>
      <c r="I3990" s="8"/>
      <c r="J3990" s="8"/>
    </row>
    <row r="3991" ht="21.0" customHeight="1">
      <c r="A3991" s="6">
        <v>11.0</v>
      </c>
      <c r="B3991" s="6">
        <v>1097.0</v>
      </c>
      <c r="C3991" s="6">
        <v>1.0</v>
      </c>
      <c r="D3991" s="81" t="s">
        <v>6746</v>
      </c>
      <c r="E3991" s="9" t="s">
        <v>6747</v>
      </c>
      <c r="F3991" s="8" t="str">
        <f>IFERROR(__xludf.DUMMYFUNCTION("GOOGLETRANSLATE(D3991,""zh-CN"",""vi"")"),"bông tuyết[V]")</f>
        <v>bông tuyết[V]</v>
      </c>
      <c r="G3991" s="8" t="str">
        <f>IFERROR(__xludf.DUMMYFUNCTION("GOOGLETRANSLATE(E3991,""zh-CN"",""vi"")"),"Vô số bông tuyết hội tụ lại tạo thành một thế giới băng giá. Kết hợp lại để tạo thành một bông tuyết lớn [V]")</f>
        <v>Vô số bông tuyết hội tụ lại tạo thành một thế giới băng giá. Kết hợp lại để tạo thành một bông tuyết lớn [V]</v>
      </c>
      <c r="H3991" s="8"/>
      <c r="I3991" s="8"/>
      <c r="J3991" s="8"/>
    </row>
    <row r="3992" ht="21.0" customHeight="1">
      <c r="A3992" s="6">
        <v>11.0</v>
      </c>
      <c r="B3992" s="6">
        <v>1097.0</v>
      </c>
      <c r="C3992" s="6">
        <v>2.0</v>
      </c>
      <c r="D3992" s="81" t="s">
        <v>6748</v>
      </c>
      <c r="E3992" s="9" t="s">
        <v>6749</v>
      </c>
      <c r="F3992" s="8" t="str">
        <f>IFERROR(__xludf.DUMMYFUNCTION("GOOGLETRANSLATE(D3992,""zh-CN"",""vi"")"),"Những bông tuyết lớn [V]")</f>
        <v>Những bông tuyết lớn [V]</v>
      </c>
      <c r="G3992" s="8" t="str">
        <f>IFERROR(__xludf.DUMMYFUNCTION("GOOGLETRANSLATE(E3992,""zh-CN"",""vi"")"),"Hình dạng tuyệt đẹp của chúng là những tác phẩm nghệ thuật tự nhiên. Tinh thể băng đã được tổng hợp [V].")</f>
        <v>Hình dạng tuyệt đẹp của chúng là những tác phẩm nghệ thuật tự nhiên. Tinh thể băng đã được tổng hợp [V].</v>
      </c>
      <c r="H3992" s="8"/>
      <c r="I3992" s="8"/>
      <c r="J3992" s="8"/>
    </row>
    <row r="3993" ht="21.0" customHeight="1">
      <c r="A3993" s="6">
        <v>11.0</v>
      </c>
      <c r="B3993" s="6">
        <v>1097.0</v>
      </c>
      <c r="C3993" s="6">
        <v>3.0</v>
      </c>
      <c r="D3993" s="81" t="s">
        <v>6750</v>
      </c>
      <c r="E3993" s="9" t="s">
        <v>6751</v>
      </c>
      <c r="F3993" s="8" t="str">
        <f>IFERROR(__xludf.DUMMYFUNCTION("GOOGLETRANSLATE(D3993,""zh-CN"",""vi"")"),"Tinh thể băng [V]")</f>
        <v>Tinh thể băng [V]</v>
      </c>
      <c r="G3993" s="8" t="str">
        <f>IFERROR(__xludf.DUMMYFUNCTION("GOOGLETRANSLATE(E3993,""zh-CN"",""vi"")"),"Các tinh thể băng nhỏ, món ăn yêu thích của trẻ em. Hãy chế tác chúng để có được những cột băng [V].")</f>
        <v>Các tinh thể băng nhỏ, món ăn yêu thích của trẻ em. Hãy chế tác chúng để có được những cột băng [V].</v>
      </c>
      <c r="H3993" s="8"/>
      <c r="I3993" s="8"/>
      <c r="J3993" s="8"/>
    </row>
    <row r="3994" ht="21.0" customHeight="1">
      <c r="A3994" s="6">
        <v>11.0</v>
      </c>
      <c r="B3994" s="6">
        <v>1097.0</v>
      </c>
      <c r="C3994" s="6">
        <v>4.0</v>
      </c>
      <c r="D3994" s="81" t="s">
        <v>6752</v>
      </c>
      <c r="E3994" s="9" t="s">
        <v>6753</v>
      </c>
      <c r="F3994" s="8" t="str">
        <f>IFERROR(__xludf.DUMMYFUNCTION("GOOGLETRANSLATE(D3994,""zh-CN"",""vi"")"),"Băng giá [V]")</f>
        <v>Băng giá [V]</v>
      </c>
      <c r="G3994" s="8" t="str">
        <f>IFERROR(__xludf.DUMMYFUNCTION("GOOGLETRANSLATE(E3994,""zh-CN"",""vi"")"),"Nó có thể được dùng để xây dựng các công trình bằng băng và tuyết. Chế tạo nó để có được một túp lều tuyết [V].")</f>
        <v>Nó có thể được dùng để xây dựng các công trình bằng băng và tuyết. Chế tạo nó để có được một túp lều tuyết [V].</v>
      </c>
      <c r="H3994" s="8"/>
      <c r="I3994" s="8"/>
      <c r="J3994" s="8"/>
    </row>
    <row r="3995" ht="21.0" customHeight="1">
      <c r="A3995" s="6">
        <v>10.0</v>
      </c>
      <c r="B3995" s="6">
        <v>1097.0</v>
      </c>
      <c r="C3995" s="6">
        <v>5.0</v>
      </c>
      <c r="D3995" s="81" t="s">
        <v>6754</v>
      </c>
      <c r="E3995" s="9" t="s">
        <v>6755</v>
      </c>
      <c r="F3995" s="8" t="str">
        <f>IFERROR(__xludf.DUMMYFUNCTION("GOOGLETRANSLATE(D3995,""zh-CN"",""vi"")"),"Nhà băng [V]")</f>
        <v>Nhà băng [V]</v>
      </c>
      <c r="G3995" s="8" t="str">
        <f>IFERROR(__xludf.DUMMYFUNCTION("GOOGLETRANSLATE(E3995,""zh-CN"",""vi"")"),"Một túp lều tuyết quá nhỏ. Bạn chỉ có thể bò vào bằng bụng. Hãy chế tạo nó để có được Gác mái Băng và Tuyết [V]")</f>
        <v>Một túp lều tuyết quá nhỏ. Bạn chỉ có thể bò vào bằng bụng. Hãy chế tạo nó để có được Gác mái Băng và Tuyết [V]</v>
      </c>
      <c r="H3995" s="8"/>
      <c r="I3995" s="8"/>
      <c r="J3995" s="8"/>
    </row>
    <row r="3996" ht="21.0" customHeight="1">
      <c r="A3996" s="6">
        <v>10.0</v>
      </c>
      <c r="B3996" s="6">
        <v>1097.0</v>
      </c>
      <c r="C3996" s="6">
        <v>6.0</v>
      </c>
      <c r="D3996" s="81" t="s">
        <v>6756</v>
      </c>
      <c r="E3996" s="9" t="s">
        <v>6757</v>
      </c>
      <c r="F3996" s="8" t="str">
        <f>IFERROR(__xludf.DUMMYFUNCTION("GOOGLETRANSLATE(D3996,""zh-CN"",""vi"")"),"Gác mái băng tuyết [V]")</f>
        <v>Gác mái băng tuyết [V]</v>
      </c>
      <c r="G3996" s="8" t="str">
        <f>IFERROR(__xludf.DUMMYFUNCTION("GOOGLETRANSLATE(E3996,""zh-CN"",""vi"")"),"Ngôi nhà mà các yêu tinh trong truyện cổ tích thích sống. Kết hợp để có được Mê cung Bông tuyết [V]")</f>
        <v>Ngôi nhà mà các yêu tinh trong truyện cổ tích thích sống. Kết hợp để có được Mê cung Bông tuyết [V]</v>
      </c>
      <c r="H3996" s="8"/>
      <c r="I3996" s="8"/>
      <c r="J3996" s="8"/>
    </row>
    <row r="3997" ht="21.0" customHeight="1">
      <c r="A3997" s="6">
        <v>10.0</v>
      </c>
      <c r="B3997" s="6">
        <v>1097.0</v>
      </c>
      <c r="C3997" s="6">
        <v>7.0</v>
      </c>
      <c r="D3997" s="81" t="s">
        <v>6758</v>
      </c>
      <c r="E3997" s="9" t="s">
        <v>6759</v>
      </c>
      <c r="F3997" s="8" t="str">
        <f>IFERROR(__xludf.DUMMYFUNCTION("GOOGLETRANSLATE(D3997,""zh-CN"",""vi"")"),"Mê cung bông tuyết [V]")</f>
        <v>Mê cung bông tuyết [V]</v>
      </c>
      <c r="G3997" s="8" t="str">
        <f>IFERROR(__xludf.DUMMYFUNCTION("GOOGLETRANSLATE(E3997,""zh-CN"",""vi"")"),"Khi vào bên trong, bạn có thể chơi trốn tìm cả ngày! Kết hợp để có được Vòng đu quay Băng và Tuyết [V]")</f>
        <v>Khi vào bên trong, bạn có thể chơi trốn tìm cả ngày! Kết hợp để có được Vòng đu quay Băng và Tuyết [V]</v>
      </c>
      <c r="H3997" s="8"/>
      <c r="I3997" s="8"/>
      <c r="J3997" s="8"/>
    </row>
    <row r="3998" ht="21.0" customHeight="1">
      <c r="A3998" s="6">
        <v>10.0</v>
      </c>
      <c r="B3998" s="6">
        <v>1097.0</v>
      </c>
      <c r="C3998" s="6">
        <v>8.0</v>
      </c>
      <c r="D3998" s="81" t="s">
        <v>6760</v>
      </c>
      <c r="E3998" s="9" t="s">
        <v>6761</v>
      </c>
      <c r="F3998" s="8" t="str">
        <f>IFERROR(__xludf.DUMMYFUNCTION("GOOGLETRANSLATE(D3998,""zh-CN"",""vi"")"),"Vòng đu quay băng tuyết [V]")</f>
        <v>Vòng đu quay băng tuyết [V]</v>
      </c>
      <c r="G3998" s="8" t="str">
        <f>IFERROR(__xludf.DUMMYFUNCTION("GOOGLETRANSLATE(E3998,""zh-CN"",""vi"")"),"Giá như có phép thuật nào đó để làm cho nó xoay! Tổng hợp để có được Nhà thờ Băng [V]")</f>
        <v>Giá như có phép thuật nào đó để làm cho nó xoay! Tổng hợp để có được Nhà thờ Băng [V]</v>
      </c>
      <c r="H3998" s="8"/>
      <c r="I3998" s="8"/>
      <c r="J3998" s="8"/>
    </row>
    <row r="3999" ht="21.0" customHeight="1">
      <c r="A3999" s="6">
        <v>10.0</v>
      </c>
      <c r="B3999" s="6">
        <v>1097.0</v>
      </c>
      <c r="C3999" s="6">
        <v>9.0</v>
      </c>
      <c r="D3999" s="81" t="s">
        <v>6762</v>
      </c>
      <c r="E3999" s="9" t="s">
        <v>6763</v>
      </c>
      <c r="F3999" s="8" t="str">
        <f>IFERROR(__xludf.DUMMYFUNCTION("GOOGLETRANSLATE(D3999,""zh-CN"",""vi"")"),"Nhà thờ Băng và Tuyết [V]")</f>
        <v>Nhà thờ Băng và Tuyết [V]</v>
      </c>
      <c r="G3999" s="8" t="str">
        <f>IFERROR(__xludf.DUMMYFUNCTION("GOOGLETRANSLATE(E3999,""zh-CN"",""vi"")"),"Thiết kế của nó tràn đầy vẻ đẹp cổ điển~ Tổng hợp để có được Vương miện Băng Tuyết [V]")</f>
        <v>Thiết kế của nó tràn đầy vẻ đẹp cổ điển~ Tổng hợp để có được Vương miện Băng Tuyết [V]</v>
      </c>
      <c r="H3999" s="8"/>
      <c r="I3999" s="8"/>
      <c r="J3999" s="8"/>
    </row>
    <row r="4000" ht="21.0" customHeight="1">
      <c r="A4000" s="6">
        <v>10.0</v>
      </c>
      <c r="B4000" s="6">
        <v>1097.0</v>
      </c>
      <c r="C4000" s="6">
        <v>10.0</v>
      </c>
      <c r="D4000" s="81" t="s">
        <v>6764</v>
      </c>
      <c r="E4000" s="9" t="s">
        <v>6745</v>
      </c>
      <c r="F4000" s="8" t="str">
        <f>IFERROR(__xludf.DUMMYFUNCTION("GOOGLETRANSLATE(D4000,""zh-CN"",""vi"")"),"Vương miện Băng và Tuyết [V]")</f>
        <v>Vương miện Băng và Tuyết [V]</v>
      </c>
      <c r="G4000" s="8" t="str">
        <f>IFERROR(__xludf.DUMMYFUNCTION("GOOGLETRANSLATE(E4000,""zh-CN"",""vi"")"),"Tháp Băng Tuyết, đỉnh cao nhất trong thế giới băng giá. Nó đã được chế tác đến cấp độ cao nhất.")</f>
        <v>Tháp Băng Tuyết, đỉnh cao nhất trong thế giới băng giá. Nó đã được chế tác đến cấp độ cao nhất.</v>
      </c>
      <c r="H4000" s="8"/>
      <c r="I4000" s="8"/>
      <c r="J4000" s="8"/>
    </row>
    <row r="4001" ht="21.0" customHeight="1">
      <c r="A4001" s="6">
        <v>1.0</v>
      </c>
      <c r="B4001" s="6">
        <v>290.0</v>
      </c>
      <c r="C4001" s="6">
        <v>1.0</v>
      </c>
      <c r="D4001" s="81" t="s">
        <v>6765</v>
      </c>
      <c r="E4001" s="9" t="s">
        <v>6766</v>
      </c>
      <c r="F4001" s="8" t="str">
        <f>IFERROR(__xludf.DUMMYFUNCTION("GOOGLETRANSLATE(D4001,""zh-CN"",""vi"")"),"băng giá")</f>
        <v>băng giá</v>
      </c>
      <c r="G4001" s="8" t="str">
        <f>IFERROR(__xludf.DUMMYFUNCTION("GOOGLETRANSLATE(E4001,""zh-CN"",""vi"")"),"Hãy cẩn thận với những tảng băng treo trên tường, chúng có thể làm bạn bị thương! Hãy chế tạo một chiếc đèn lồng băng.")</f>
        <v>Hãy cẩn thận với những tảng băng treo trên tường, chúng có thể làm bạn bị thương! Hãy chế tạo một chiếc đèn lồng băng.</v>
      </c>
      <c r="H4001" s="8"/>
      <c r="I4001" s="8"/>
      <c r="J4001" s="8"/>
    </row>
    <row r="4002" ht="21.0" customHeight="1">
      <c r="A4002" s="6">
        <v>1.0</v>
      </c>
      <c r="B4002" s="6">
        <v>290.0</v>
      </c>
      <c r="C4002" s="6">
        <v>2.0</v>
      </c>
      <c r="D4002" s="81" t="s">
        <v>6767</v>
      </c>
      <c r="E4002" s="9" t="s">
        <v>6768</v>
      </c>
      <c r="F4002" s="8" t="str">
        <f>IFERROR(__xludf.DUMMYFUNCTION("GOOGLETRANSLATE(D4002,""zh-CN"",""vi"")"),"Đèn lồng băng")</f>
        <v>Đèn lồng băng</v>
      </c>
      <c r="G4002" s="8" t="str">
        <f>IFERROR(__xludf.DUMMYFUNCTION("GOOGLETRANSLATE(E4002,""zh-CN"",""vi"")"),"Sự kết hợp giữa cái lạnh cực độ và cái nóng cực độ tạo nên một khung cảnh độc đáo và tuyệt đẹp. Tổng hợp lại để thu được Lá Xanh Băng.")</f>
        <v>Sự kết hợp giữa cái lạnh cực độ và cái nóng cực độ tạo nên một khung cảnh độc đáo và tuyệt đẹp. Tổng hợp lại để thu được Lá Xanh Băng.</v>
      </c>
      <c r="H4002" s="8"/>
      <c r="I4002" s="8"/>
      <c r="J4002" s="8"/>
    </row>
    <row r="4003" ht="21.0" customHeight="1">
      <c r="A4003" s="6">
        <v>1.0</v>
      </c>
      <c r="B4003" s="6">
        <v>290.0</v>
      </c>
      <c r="C4003" s="6">
        <v>3.0</v>
      </c>
      <c r="D4003" s="81" t="s">
        <v>6769</v>
      </c>
      <c r="E4003" s="9" t="s">
        <v>6770</v>
      </c>
      <c r="F4003" s="8" t="str">
        <f>IFERROR(__xludf.DUMMYFUNCTION("GOOGLETRANSLATE(D4003,""zh-CN"",""vi"")"),"Lá xanh băng")</f>
        <v>Lá xanh băng</v>
      </c>
      <c r="G4003" s="8" t="str">
        <f>IFERROR(__xludf.DUMMYFUNCTION("GOOGLETRANSLATE(E4003,""zh-CN"",""vi"")"),"Băng cũng có thể có sự sống! Tổng hợp để có được Băng Tâm Hoa Sen Tuyết")</f>
        <v>Băng cũng có thể có sự sống! Tổng hợp để có được Băng Tâm Hoa Sen Tuyết</v>
      </c>
      <c r="H4003" s="8"/>
      <c r="I4003" s="8"/>
      <c r="J4003" s="8"/>
    </row>
    <row r="4004" ht="21.0" customHeight="1">
      <c r="A4004" s="6">
        <v>1.0</v>
      </c>
      <c r="B4004" s="6">
        <v>290.0</v>
      </c>
      <c r="C4004" s="6">
        <v>4.0</v>
      </c>
      <c r="D4004" s="81" t="s">
        <v>6771</v>
      </c>
      <c r="E4004" s="9" t="s">
        <v>6772</v>
      </c>
      <c r="F4004" s="8" t="str">
        <f>IFERROR(__xludf.DUMMYFUNCTION("GOOGLETRANSLATE(D4004,""zh-CN"",""vi"")"),"Hoa sen tuyết, Trái tim băng giá")</f>
        <v>Hoa sen tuyết, Trái tim băng giá</v>
      </c>
      <c r="G4004" s="8" t="str">
        <f>IFERROR(__xludf.DUMMYFUNCTION("GOOGLETRANSLATE(E4004,""zh-CN"",""vi"")"),"Nó có đặc tính giảm lửa tuyệt vời và thậm chí có thể dập tắt lửa! Tổng hợp để có được Bình Ngọc Băng Tinh Thể.")</f>
        <v>Nó có đặc tính giảm lửa tuyệt vời và thậm chí có thể dập tắt lửa! Tổng hợp để có được Bình Ngọc Băng Tinh Thể.</v>
      </c>
      <c r="H4004" s="8"/>
      <c r="I4004" s="8"/>
      <c r="J4004" s="8"/>
    </row>
    <row r="4005" ht="21.0" customHeight="1">
      <c r="A4005" s="6">
        <v>1.0</v>
      </c>
      <c r="B4005" s="6">
        <v>290.0</v>
      </c>
      <c r="C4005" s="6">
        <v>5.0</v>
      </c>
      <c r="D4005" s="81" t="s">
        <v>6773</v>
      </c>
      <c r="E4005" s="9" t="s">
        <v>6774</v>
      </c>
      <c r="F4005" s="8" t="str">
        <f>IFERROR(__xludf.DUMMYFUNCTION("GOOGLETRANSLATE(D4005,""zh-CN"",""vi"")"),"Chai ngọc bích tinh thể băng")</f>
        <v>Chai ngọc bích tinh thể băng</v>
      </c>
      <c r="G4005" s="8" t="str">
        <f>IFERROR(__xludf.DUMMYFUNCTION("GOOGLETRANSLATE(E4005,""zh-CN"",""vi"")"),"Những tác phẩm điêu khắc băng tuyệt đẹp. Hãy chế tác chúng để nhận được một Tinh linh Băng.")</f>
        <v>Những tác phẩm điêu khắc băng tuyệt đẹp. Hãy chế tác chúng để nhận được một Tinh linh Băng.</v>
      </c>
      <c r="H4005" s="8"/>
      <c r="I4005" s="8"/>
      <c r="J4005" s="8"/>
    </row>
    <row r="4006" ht="21.0" customHeight="1">
      <c r="A4006" s="6">
        <v>1.0</v>
      </c>
      <c r="B4006" s="6">
        <v>290.0</v>
      </c>
      <c r="C4006" s="6">
        <v>6.0</v>
      </c>
      <c r="D4006" s="81" t="s">
        <v>6775</v>
      </c>
      <c r="E4006" s="9" t="s">
        <v>6776</v>
      </c>
      <c r="F4006" s="8" t="str">
        <f>IFERROR(__xludf.DUMMYFUNCTION("GOOGLETRANSLATE(D4006,""zh-CN"",""vi"")"),"Tinh linh băng")</f>
        <v>Tinh linh băng</v>
      </c>
      <c r="G4006" s="8" t="str">
        <f>IFERROR(__xludf.DUMMYFUNCTION("GOOGLETRANSLATE(E4006,""zh-CN"",""vi"")"),"Mỗi hộ gia đình sẽ nhận được một con vào thời điểm nào? (Tổng hợp để có được Chim cánh cụt Tinh thể Băng)")</f>
        <v>Mỗi hộ gia đình sẽ nhận được một con vào thời điểm nào? (Tổng hợp để có được Chim cánh cụt Tinh thể Băng)</v>
      </c>
      <c r="H4006" s="8"/>
      <c r="I4006" s="8"/>
      <c r="J4006" s="8"/>
    </row>
    <row r="4007" ht="21.0" customHeight="1">
      <c r="A4007" s="6">
        <v>1.0</v>
      </c>
      <c r="B4007" s="6">
        <v>290.0</v>
      </c>
      <c r="C4007" s="6">
        <v>7.0</v>
      </c>
      <c r="D4007" s="81" t="s">
        <v>6777</v>
      </c>
      <c r="E4007" s="9" t="s">
        <v>6778</v>
      </c>
      <c r="F4007" s="8" t="str">
        <f>IFERROR(__xludf.DUMMYFUNCTION("GOOGLETRANSLATE(D4007,""zh-CN"",""vi"")"),"Chim cánh cụt tinh thể băng")</f>
        <v>Chim cánh cụt tinh thể băng</v>
      </c>
      <c r="G4007" s="8" t="str">
        <f>IFERROR(__xludf.DUMMYFUNCTION("GOOGLETRANSLATE(E4007,""zh-CN"",""vi"")"),"Hi vọng mùa đông sẽ qua đi chậm hơn, và những chú chim cánh cụt sẽ sống sót thêm một thời gian nữa~ Tổng hợp để có được Pegasus Tinh Thể Băng")</f>
        <v>Hi vọng mùa đông sẽ qua đi chậm hơn, và những chú chim cánh cụt sẽ sống sót thêm một thời gian nữa~ Tổng hợp để có được Pegasus Tinh Thể Băng</v>
      </c>
      <c r="H4007" s="8"/>
      <c r="I4007" s="8"/>
      <c r="J4007" s="8"/>
    </row>
    <row r="4008" ht="21.0" customHeight="1">
      <c r="A4008" s="6">
        <v>1.0</v>
      </c>
      <c r="B4008" s="6">
        <v>290.0</v>
      </c>
      <c r="C4008" s="6">
        <v>8.0</v>
      </c>
      <c r="D4008" s="81" t="s">
        <v>6779</v>
      </c>
      <c r="E4008" s="9" t="s">
        <v>6780</v>
      </c>
      <c r="F4008" s="8" t="str">
        <f>IFERROR(__xludf.DUMMYFUNCTION("GOOGLETRANSLATE(D4008,""zh-CN"",""vi"")"),"Pegasus Tinh Thể Băng")</f>
        <v>Pegasus Tinh Thể Băng</v>
      </c>
      <c r="G4008" s="8" t="str">
        <f>IFERROR(__xludf.DUMMYFUNCTION("GOOGLETRANSLATE(E4008,""zh-CN"",""vi"")"),"Cưỡi nó rất dễ bị mắc kẹt và không thể xuống được! Kết hợp chúng để có được Gấu Trúc Pha Lê Băng.")</f>
        <v>Cưỡi nó rất dễ bị mắc kẹt và không thể xuống được! Kết hợp chúng để có được Gấu Trúc Pha Lê Băng.</v>
      </c>
      <c r="H4008" s="8"/>
      <c r="I4008" s="8"/>
      <c r="J4008" s="8"/>
    </row>
    <row r="4009" ht="21.0" customHeight="1">
      <c r="A4009" s="6">
        <v>1.0</v>
      </c>
      <c r="B4009" s="6">
        <v>290.0</v>
      </c>
      <c r="C4009" s="6">
        <v>9.0</v>
      </c>
      <c r="D4009" s="81" t="s">
        <v>6781</v>
      </c>
      <c r="E4009" s="9" t="s">
        <v>6782</v>
      </c>
      <c r="F4009" s="8" t="str">
        <f>IFERROR(__xludf.DUMMYFUNCTION("GOOGLETRANSLATE(D4009,""zh-CN"",""vi"")"),"Gấu trúc tinh thể băng")</f>
        <v>Gấu trúc tinh thể băng</v>
      </c>
      <c r="G4009" s="8" t="str">
        <f>IFERROR(__xludf.DUMMYFUNCTION("GOOGLETRANSLATE(E4009,""zh-CN"",""vi"")"),"Mỗi gia đình nên sở hữu một con! Kết hợp chúng để có được Cửu Vĩ Hồ Băng.")</f>
        <v>Mỗi gia đình nên sở hữu một con! Kết hợp chúng để có được Cửu Vĩ Hồ Băng.</v>
      </c>
      <c r="H4009" s="8"/>
      <c r="I4009" s="8"/>
      <c r="J4009" s="8"/>
    </row>
    <row r="4010" ht="21.0" customHeight="1">
      <c r="A4010" s="6">
        <v>1.0</v>
      </c>
      <c r="B4010" s="6">
        <v>290.0</v>
      </c>
      <c r="C4010" s="6">
        <v>10.0</v>
      </c>
      <c r="D4010" s="81" t="s">
        <v>6783</v>
      </c>
      <c r="E4010" s="9" t="s">
        <v>6784</v>
      </c>
      <c r="F4010" s="8" t="str">
        <f>IFERROR(__xludf.DUMMYFUNCTION("GOOGLETRANSLATE(D4010,""zh-CN"",""vi"")"),"Cáo chín đuôi băng")</f>
        <v>Cáo chín đuôi băng</v>
      </c>
      <c r="G4010" s="8" t="str">
        <f>IFERROR(__xludf.DUMMYFUNCTION("GOOGLETRANSLATE(E4010,""zh-CN"",""vi"")"),"Nó không biến mất, mà chỉ tan thành nước thôi! Hãy tổng hợp để có được Phượng Hoàng Băng Tinh Thể.")</f>
        <v>Nó không biến mất, mà chỉ tan thành nước thôi! Hãy tổng hợp để có được Phượng Hoàng Băng Tinh Thể.</v>
      </c>
      <c r="H4010" s="8"/>
      <c r="I4010" s="8"/>
      <c r="J4010" s="8"/>
    </row>
    <row r="4011" ht="21.0" customHeight="1">
      <c r="A4011" s="6">
        <v>1.0</v>
      </c>
      <c r="B4011" s="6">
        <v>290.0</v>
      </c>
      <c r="C4011" s="6">
        <v>11.0</v>
      </c>
      <c r="D4011" s="81" t="s">
        <v>6785</v>
      </c>
      <c r="E4011" s="9" t="s">
        <v>6786</v>
      </c>
      <c r="F4011" s="8" t="str">
        <f>IFERROR(__xludf.DUMMYFUNCTION("GOOGLETRANSLATE(D4011,""zh-CN"",""vi"")"),"Phượng hoàng tinh thể băng")</f>
        <v>Phượng hoàng tinh thể băng</v>
      </c>
      <c r="G4011" s="8" t="str">
        <f>IFERROR(__xludf.DUMMYFUNCTION("GOOGLETRANSLATE(E4011,""zh-CN"",""vi"")"),"Cơn gió lạnh thấu xương đã tôi luyện đôi cánh cứng như sắt của nó. Hãy tổng hợp để có được Phù thủy Băng giá.")</f>
        <v>Cơn gió lạnh thấu xương đã tôi luyện đôi cánh cứng như sắt của nó. Hãy tổng hợp để có được Phù thủy Băng giá.</v>
      </c>
      <c r="H4011" s="8"/>
      <c r="I4011" s="8"/>
      <c r="J4011" s="8"/>
    </row>
    <row r="4012" ht="21.0" customHeight="1">
      <c r="A4012" s="6">
        <v>1.0</v>
      </c>
      <c r="B4012" s="6">
        <v>290.0</v>
      </c>
      <c r="C4012" s="6">
        <v>12.0</v>
      </c>
      <c r="D4012" s="81" t="s">
        <v>6787</v>
      </c>
      <c r="E4012" s="9" t="s">
        <v>6788</v>
      </c>
      <c r="F4012" s="8" t="str">
        <f>IFERROR(__xludf.DUMMYFUNCTION("GOOGLETRANSLATE(D4012,""zh-CN"",""vi"")"),"Phù thủy băng giá")</f>
        <v>Phù thủy băng giá</v>
      </c>
      <c r="G4012" s="8" t="str">
        <f>IFERROR(__xludf.DUMMYFUNCTION("GOOGLETRANSLATE(E4012,""zh-CN"",""vi"")"),"Một thực thể tồn tại trong truyện cổ tích, dường như vừa tốt vừa xấu. Khi kết hợp cả hai, nó tạo ra Ngai Băng.")</f>
        <v>Một thực thể tồn tại trong truyện cổ tích, dường như vừa tốt vừa xấu. Khi kết hợp cả hai, nó tạo ra Ngai Băng.</v>
      </c>
      <c r="H4012" s="8"/>
      <c r="I4012" s="8"/>
      <c r="J4012" s="8"/>
    </row>
    <row r="4013" ht="21.0" customHeight="1">
      <c r="A4013" s="6">
        <v>1.0</v>
      </c>
      <c r="B4013" s="6">
        <v>290.0</v>
      </c>
      <c r="C4013" s="6">
        <v>13.0</v>
      </c>
      <c r="D4013" s="81" t="s">
        <v>6789</v>
      </c>
      <c r="E4013" s="9" t="s">
        <v>6790</v>
      </c>
      <c r="F4013" s="8" t="str">
        <f>IFERROR(__xludf.DUMMYFUNCTION("GOOGLETRANSLATE(D4013,""zh-CN"",""vi"")"),"Ngai vàng băng giá")</f>
        <v>Ngai vàng băng giá</v>
      </c>
      <c r="G4013" s="8" t="str">
        <f>IFERROR(__xludf.DUMMYFUNCTION("GOOGLETRANSLATE(E4013,""zh-CN"",""vi"")"),"Những kẻ khát khao quyền lực cuối cùng sẽ lên ngôi. (Cấp bậc cao nhất đã đạt được)")</f>
        <v>Những kẻ khát khao quyền lực cuối cùng sẽ lên ngôi. (Cấp bậc cao nhất đã đạt được)</v>
      </c>
      <c r="H4013" s="8"/>
      <c r="I4013" s="8"/>
      <c r="J4013" s="8"/>
    </row>
    <row r="4014" ht="21.0" customHeight="1">
      <c r="A4014" s="6">
        <v>1.0</v>
      </c>
      <c r="B4014" s="6">
        <v>291.0</v>
      </c>
      <c r="C4014" s="6">
        <v>1.0</v>
      </c>
      <c r="D4014" s="81" t="s">
        <v>6791</v>
      </c>
      <c r="E4014" s="9" t="s">
        <v>6792</v>
      </c>
      <c r="F4014" s="8" t="str">
        <f>IFERROR(__xludf.DUMMYFUNCTION("GOOGLETRANSLATE(D4014,""zh-CN"",""vi"")"),"Đá nho")</f>
        <v>Đá nho</v>
      </c>
      <c r="G4014" s="8" t="str">
        <f>IFERROR(__xludf.DUMMYFUNCTION("GOOGLETRANSLATE(E4014,""zh-CN"",""vi"")"),"Vị chua ngọt, mát lạnh – ngon tuyệt! Kem trái cây thủ công.")</f>
        <v>Vị chua ngọt, mát lạnh – ngon tuyệt! Kem trái cây thủ công.</v>
      </c>
      <c r="H4014" s="8"/>
      <c r="I4014" s="8"/>
      <c r="J4014" s="8"/>
    </row>
    <row r="4015" ht="21.0" customHeight="1">
      <c r="A4015" s="6">
        <v>1.0</v>
      </c>
      <c r="B4015" s="6">
        <v>291.0</v>
      </c>
      <c r="C4015" s="6">
        <v>2.0</v>
      </c>
      <c r="D4015" s="81" t="s">
        <v>6793</v>
      </c>
      <c r="E4015" s="9" t="s">
        <v>6794</v>
      </c>
      <c r="F4015" s="8" t="str">
        <f>IFERROR(__xludf.DUMMYFUNCTION("GOOGLETRANSLATE(D4015,""zh-CN"",""vi"")"),"Kem trái cây")</f>
        <v>Kem trái cây</v>
      </c>
      <c r="G4015" s="8" t="str">
        <f>IFERROR(__xludf.DUMMYFUNCTION("GOOGLETRANSLATE(E4015,""zh-CN"",""vi"")"),"Đỏ, vàng và xanh lá cây—ba màu sắc mang đến ba kết cấu khác nhau! Kết hợp chúng để tạo ra sinh tố Bạch Tuyết.")</f>
        <v>Đỏ, vàng và xanh lá cây—ba màu sắc mang đến ba kết cấu khác nhau! Kết hợp chúng để tạo ra sinh tố Bạch Tuyết.</v>
      </c>
      <c r="H4015" s="8"/>
      <c r="I4015" s="8"/>
      <c r="J4015" s="8"/>
    </row>
    <row r="4016" ht="21.0" customHeight="1">
      <c r="A4016" s="6">
        <v>1.0</v>
      </c>
      <c r="B4016" s="6">
        <v>291.0</v>
      </c>
      <c r="C4016" s="6">
        <v>3.0</v>
      </c>
      <c r="D4016" s="81" t="s">
        <v>6795</v>
      </c>
      <c r="E4016" s="9" t="s">
        <v>6796</v>
      </c>
      <c r="F4016" s="8" t="str">
        <f>IFERROR(__xludf.DUMMYFUNCTION("GOOGLETRANSLATE(D4016,""zh-CN"",""vi"")"),"Kem Bạch Tuyết")</f>
        <v>Kem Bạch Tuyết</v>
      </c>
      <c r="G4016" s="8" t="str">
        <f>IFERROR(__xludf.DUMMYFUNCTION("GOOGLETRANSLATE(E4016,""zh-CN"",""vi"")"),"Chỉ cần một miếng thôi, bạn đã cảm nhận được sự mát lạnh sảng khoái! Kết hợp các nguyên liệu để có được sinh tố việt quất.")</f>
        <v>Chỉ cần một miếng thôi, bạn đã cảm nhận được sự mát lạnh sảng khoái! Kết hợp các nguyên liệu để có được sinh tố việt quất.</v>
      </c>
      <c r="H4016" s="8"/>
      <c r="I4016" s="8"/>
      <c r="J4016" s="8"/>
    </row>
    <row r="4017" ht="21.0" customHeight="1">
      <c r="A4017" s="6">
        <v>1.0</v>
      </c>
      <c r="B4017" s="6">
        <v>291.0</v>
      </c>
      <c r="C4017" s="6">
        <v>4.0</v>
      </c>
      <c r="D4017" s="81" t="s">
        <v>6797</v>
      </c>
      <c r="E4017" s="9" t="s">
        <v>6798</v>
      </c>
      <c r="F4017" s="8" t="str">
        <f>IFERROR(__xludf.DUMMYFUNCTION("GOOGLETRANSLATE(D4017,""zh-CN"",""vi"")"),"Sinh tố việt quất")</f>
        <v>Sinh tố việt quất</v>
      </c>
      <c r="G4017" s="8" t="str">
        <f>IFERROR(__xludf.DUMMYFUNCTION("GOOGLETRANSLATE(E4017,""zh-CN"",""vi"")"),"Hương vị chua ngọt đậm đà chắc chắn sẽ kích thích vị giác của bạn! Kết hợp chúng để làm sinh tố dâu tây.")</f>
        <v>Hương vị chua ngọt đậm đà chắc chắn sẽ kích thích vị giác của bạn! Kết hợp chúng để làm sinh tố dâu tây.</v>
      </c>
      <c r="H4017" s="8"/>
      <c r="I4017" s="8"/>
      <c r="J4017" s="8"/>
    </row>
    <row r="4018" ht="21.0" customHeight="1">
      <c r="A4018" s="6">
        <v>1.0</v>
      </c>
      <c r="B4018" s="6">
        <v>291.0</v>
      </c>
      <c r="C4018" s="6">
        <v>5.0</v>
      </c>
      <c r="D4018" s="81" t="s">
        <v>6799</v>
      </c>
      <c r="E4018" s="9" t="s">
        <v>6800</v>
      </c>
      <c r="F4018" s="8" t="str">
        <f>IFERROR(__xludf.DUMMYFUNCTION("GOOGLETRANSLATE(D4018,""zh-CN"",""vi"")"),"Sinh tố dâu tây")</f>
        <v>Sinh tố dâu tây</v>
      </c>
      <c r="G4018" s="8" t="str">
        <f>IFERROR(__xludf.DUMMYFUNCTION("GOOGLETRANSLATE(E4018,""zh-CN"",""vi"")"),"Dâu tây ngọt ngào kết hợp với đá bào mát lạnh quả là ngon tuyệt. (Hãy chế tạo để có được món đá bào chiên giòn.)")</f>
        <v>Dâu tây ngọt ngào kết hợp với đá bào mát lạnh quả là ngon tuyệt. (Hãy chế tạo để có được món đá bào chiên giòn.)</v>
      </c>
      <c r="H4018" s="8"/>
      <c r="I4018" s="8"/>
      <c r="J4018" s="8"/>
    </row>
    <row r="4019" ht="21.0" customHeight="1">
      <c r="A4019" s="6">
        <v>1.0</v>
      </c>
      <c r="B4019" s="6">
        <v>291.0</v>
      </c>
      <c r="C4019" s="6">
        <v>6.0</v>
      </c>
      <c r="D4019" s="81" t="s">
        <v>6801</v>
      </c>
      <c r="E4019" s="9" t="s">
        <v>6802</v>
      </c>
      <c r="F4019" s="8" t="str">
        <f>IFERROR(__xludf.DUMMYFUNCTION("GOOGLETRANSLATE(D4019,""zh-CN"",""vi"")"),"Những tảng băng chiên giòn")</f>
        <v>Những tảng băng chiên giòn</v>
      </c>
      <c r="G4019" s="8" t="str">
        <f>IFERROR(__xludf.DUMMYFUNCTION("GOOGLETRANSLATE(E4019,""zh-CN"",""vi"")"),"Nóng hổi bên ngoài, mát lạnh bên trong, món chiên giòn ngon tuyệt! Kết hợp giữa những miếng thịt cay và quả sơn tra ngào đường.")</f>
        <v>Nóng hổi bên ngoài, mát lạnh bên trong, món chiên giòn ngon tuyệt! Kết hợp giữa những miếng thịt cay và quả sơn tra ngào đường.</v>
      </c>
      <c r="H4019" s="8"/>
      <c r="I4019" s="8"/>
      <c r="J4019" s="8"/>
    </row>
    <row r="4020" ht="21.0" customHeight="1">
      <c r="A4020" s="6">
        <v>1.0</v>
      </c>
      <c r="B4020" s="6">
        <v>291.0</v>
      </c>
      <c r="C4020" s="6">
        <v>7.0</v>
      </c>
      <c r="D4020" s="81" t="s">
        <v>6803</v>
      </c>
      <c r="E4020" s="9" t="s">
        <v>6804</v>
      </c>
      <c r="F4020" s="8" t="str">
        <f>IFERROR(__xludf.DUMMYFUNCTION("GOOGLETRANSLATE(D4020,""zh-CN"",""vi"")"),"Thịt xông khói cay và táo gai ngào đường")</f>
        <v>Thịt xông khói cay và táo gai ngào đường</v>
      </c>
      <c r="G4020" s="8" t="str">
        <f>IFERROR(__xludf.DUMMYFUNCTION("GOOGLETRANSLATE(E4020,""zh-CN"",""vi"")"),"Một hương vị độc đáo và mới lạ, sự kết hợp giữa vị cay và vị ngọt. Kết hợp để tạo ra món táo gai ngào đường.")</f>
        <v>Một hương vị độc đáo và mới lạ, sự kết hợp giữa vị cay và vị ngọt. Kết hợp để tạo ra món táo gai ngào đường.</v>
      </c>
      <c r="H4020" s="8"/>
      <c r="I4020" s="8"/>
      <c r="J4020" s="8"/>
    </row>
    <row r="4021" ht="21.0" customHeight="1">
      <c r="A4021" s="6">
        <v>1.0</v>
      </c>
      <c r="B4021" s="6">
        <v>291.0</v>
      </c>
      <c r="C4021" s="6">
        <v>8.0</v>
      </c>
      <c r="D4021" s="81" t="s">
        <v>6805</v>
      </c>
      <c r="E4021" s="9" t="s">
        <v>6806</v>
      </c>
      <c r="F4021" s="8" t="str">
        <f>IFERROR(__xludf.DUMMYFUNCTION("GOOGLETRANSLATE(D4021,""zh-CN"",""vi"")"),"Quả khế kẹo táo gai")</f>
        <v>Quả khế kẹo táo gai</v>
      </c>
      <c r="G4021" s="8" t="str">
        <f>IFERROR(__xludf.DUMMYFUNCTION("GOOGLETRANSLATE(E4021,""zh-CN"",""vi"")"),"Có hình dạng độc đáo, giống như ngôi sao năm cánh ~ Kết hợp chúng lại để tạo thành xiên táo gai ngào đường.")</f>
        <v>Có hình dạng độc đáo, giống như ngôi sao năm cánh ~ Kết hợp chúng lại để tạo thành xiên táo gai ngào đường.</v>
      </c>
      <c r="H4021" s="8"/>
      <c r="I4021" s="8"/>
      <c r="J4021" s="8"/>
    </row>
    <row r="4022" ht="21.0" customHeight="1">
      <c r="A4022" s="6">
        <v>1.0</v>
      </c>
      <c r="B4022" s="6">
        <v>291.0</v>
      </c>
      <c r="C4022" s="6">
        <v>9.0</v>
      </c>
      <c r="D4022" s="81" t="s">
        <v>6807</v>
      </c>
      <c r="E4022" s="9" t="s">
        <v>6808</v>
      </c>
      <c r="F4022" s="8" t="str">
        <f>IFERROR(__xludf.DUMMYFUNCTION("GOOGLETRANSLATE(D4022,""zh-CN"",""vi"")"),"Táo gai kẹo")</f>
        <v>Táo gai kẹo</v>
      </c>
      <c r="G4022" s="8" t="str">
        <f>IFERROR(__xludf.DUMMYFUNCTION("GOOGLETRANSLATE(E4022,""zh-CN"",""vi"")"),"Dâu tây, nho, việt quất... một bữa tiệc trái cây thịnh soạn! Kết hợp chúng để tạo ra rượu sâm panh hồng ướp lạnh.")</f>
        <v>Dâu tây, nho, việt quất... một bữa tiệc trái cây thịnh soạn! Kết hợp chúng để tạo ra rượu sâm panh hồng ướp lạnh.</v>
      </c>
      <c r="H4022" s="8"/>
      <c r="I4022" s="8"/>
      <c r="J4022" s="8"/>
    </row>
    <row r="4023" ht="21.0" customHeight="1">
      <c r="A4023" s="6">
        <v>1.0</v>
      </c>
      <c r="B4023" s="6">
        <v>291.0</v>
      </c>
      <c r="C4023" s="6">
        <v>10.0</v>
      </c>
      <c r="D4023" s="81" t="s">
        <v>6809</v>
      </c>
      <c r="E4023" s="9" t="s">
        <v>6810</v>
      </c>
      <c r="F4023" s="8" t="str">
        <f>IFERROR(__xludf.DUMMYFUNCTION("GOOGLETRANSLATE(D4023,""zh-CN"",""vi"")"),"Rượu sâm panh hoa hồng ướp lạnh")</f>
        <v>Rượu sâm panh hoa hồng ướp lạnh</v>
      </c>
      <c r="G4023" s="8" t="str">
        <f>IFERROR(__xludf.DUMMYFUNCTION("GOOGLETRANSLATE(E4023,""zh-CN"",""vi"")"),"Hương thơm rượu sảng khoái ~ Kết hợp để tạo nên món đá bào sữa chua dâu tây.")</f>
        <v>Hương thơm rượu sảng khoái ~ Kết hợp để tạo nên món đá bào sữa chua dâu tây.</v>
      </c>
      <c r="H4023" s="8"/>
      <c r="I4023" s="8"/>
      <c r="J4023" s="8"/>
    </row>
    <row r="4024" ht="21.0" customHeight="1">
      <c r="A4024" s="6">
        <v>1.0</v>
      </c>
      <c r="B4024" s="6">
        <v>291.0</v>
      </c>
      <c r="C4024" s="6">
        <v>11.0</v>
      </c>
      <c r="D4024" s="81" t="s">
        <v>6811</v>
      </c>
      <c r="E4024" s="9" t="s">
        <v>6812</v>
      </c>
      <c r="F4024" s="8" t="str">
        <f>IFERROR(__xludf.DUMMYFUNCTION("GOOGLETRANSLATE(D4024,""zh-CN"",""vi"")"),"Đá bào sữa chua dâu tây")</f>
        <v>Đá bào sữa chua dâu tây</v>
      </c>
      <c r="G4024" s="8" t="str">
        <f>IFERROR(__xludf.DUMMYFUNCTION("GOOGLETRANSLATE(E4024,""zh-CN"",""vi"")"),"Vị chua ngọt hài hòa, bạn sẽ muốn ăn mãi không thôi! Ngon tuyệt! Kết hợp chúng để tạo nên món đá bào trái cây nhiều màu sắc.")</f>
        <v>Vị chua ngọt hài hòa, bạn sẽ muốn ăn mãi không thôi! Ngon tuyệt! Kết hợp chúng để tạo nên món đá bào trái cây nhiều màu sắc.</v>
      </c>
      <c r="H4024" s="8"/>
      <c r="I4024" s="8"/>
      <c r="J4024" s="8"/>
    </row>
    <row r="4025" ht="21.0" customHeight="1">
      <c r="A4025" s="6">
        <v>1.0</v>
      </c>
      <c r="B4025" s="6">
        <v>291.0</v>
      </c>
      <c r="C4025" s="6">
        <v>12.0</v>
      </c>
      <c r="D4025" s="81" t="s">
        <v>6813</v>
      </c>
      <c r="E4025" s="9" t="s">
        <v>6814</v>
      </c>
      <c r="F4025" s="8" t="str">
        <f>IFERROR(__xludf.DUMMYFUNCTION("GOOGLETRANSLATE(D4025,""zh-CN"",""vi"")"),"Đá bào trái cây nhiều màu sắc")</f>
        <v>Đá bào trái cây nhiều màu sắc</v>
      </c>
      <c r="G4025" s="8" t="str">
        <f>IFERROR(__xludf.DUMMYFUNCTION("GOOGLETRANSLATE(E4025,""zh-CN"",""vi"")"),"Nhiều loại trái cây được xếp chồng lên nhau, kết hợp cùng đá bào thơm lừng~ Kết hợp tất cả lại tạo nên món đá bào hình chú thỏ đáng yêu.")</f>
        <v>Nhiều loại trái cây được xếp chồng lên nhau, kết hợp cùng đá bào thơm lừng~ Kết hợp tất cả lại tạo nên món đá bào hình chú thỏ đáng yêu.</v>
      </c>
      <c r="H4025" s="8"/>
      <c r="I4025" s="8"/>
      <c r="J4025" s="8"/>
    </row>
    <row r="4026" ht="21.0" customHeight="1">
      <c r="A4026" s="6">
        <v>1.0</v>
      </c>
      <c r="B4026" s="6">
        <v>291.0</v>
      </c>
      <c r="C4026" s="6">
        <v>13.0</v>
      </c>
      <c r="D4026" s="81" t="s">
        <v>6815</v>
      </c>
      <c r="E4026" s="9" t="s">
        <v>6816</v>
      </c>
      <c r="F4026" s="8" t="str">
        <f>IFERROR(__xludf.DUMMYFUNCTION("GOOGLETRANSLATE(D4026,""zh-CN"",""vi"")"),"Thỏ dễ thương trên tuyết và băng")</f>
        <v>Thỏ dễ thương trên tuyết và băng</v>
      </c>
      <c r="G4026" s="8" t="str">
        <f>IFERROR(__xludf.DUMMYFUNCTION("GOOGLETRANSLATE(E4026,""zh-CN"",""vi"")"),"Dễ thương quá, suýt nữa thì mình không nỡ cắn vào! (Đã được tổng hợp ở cấp độ cao nhất)")</f>
        <v>Dễ thương quá, suýt nữa thì mình không nỡ cắn vào! (Đã được tổng hợp ở cấp độ cao nhất)</v>
      </c>
      <c r="H4026" s="8"/>
      <c r="I4026" s="8"/>
      <c r="J4026" s="8"/>
    </row>
    <row r="4027" ht="21.0" customHeight="1">
      <c r="A4027" s="6">
        <v>1.0</v>
      </c>
      <c r="B4027" s="6">
        <v>292.0</v>
      </c>
      <c r="C4027" s="6">
        <v>1.0</v>
      </c>
      <c r="D4027" s="81" t="s">
        <v>6817</v>
      </c>
      <c r="E4027" s="9" t="s">
        <v>6818</v>
      </c>
      <c r="F4027" s="8" t="str">
        <f>IFERROR(__xludf.DUMMYFUNCTION("GOOGLETRANSLATE(D4027,""zh-CN"",""vi"")"),"quả bóng khúc côn cầu")</f>
        <v>quả bóng khúc côn cầu</v>
      </c>
      <c r="G4027" s="8" t="str">
        <f>IFERROR(__xludf.DUMMYFUNCTION("GOOGLETRANSLATE(E4027,""zh-CN"",""vi"")"),"Một quả bóng thi đấu bền chắc và mạnh mẽ. Được chế tạo để trở thành một quả bóng Bandy.")</f>
        <v>Một quả bóng thi đấu bền chắc và mạnh mẽ. Được chế tạo để trở thành một quả bóng Bandy.</v>
      </c>
      <c r="H4027" s="8"/>
      <c r="I4027" s="8"/>
      <c r="J4027" s="8"/>
    </row>
    <row r="4028" ht="21.0" customHeight="1">
      <c r="A4028" s="6">
        <v>1.0</v>
      </c>
      <c r="B4028" s="6">
        <v>292.0</v>
      </c>
      <c r="C4028" s="6">
        <v>2.0</v>
      </c>
      <c r="D4028" s="94" t="s">
        <v>6819</v>
      </c>
      <c r="E4028" s="9" t="s">
        <v>6820</v>
      </c>
      <c r="F4028" s="8" t="str">
        <f>IFERROR(__xludf.DUMMYFUNCTION("GOOGLETRANSLATE(D4028,""zh-CN"",""vi"")"),"Bandiball")</f>
        <v>Bandiball</v>
      </c>
      <c r="G4028" s="8" t="str">
        <f>IFERROR(__xludf.DUMMYFUNCTION("GOOGLETRANSLATE(E4028,""zh-CN"",""vi"")"),"Bandiball, hay còn gọi là khúc côn cầu trên băng, được tổng hợp để tạo ra Ice Spinner.")</f>
        <v>Bandiball, hay còn gọi là khúc côn cầu trên băng, được tổng hợp để tạo ra Ice Spinner.</v>
      </c>
      <c r="H4028" s="8"/>
      <c r="I4028" s="8"/>
      <c r="J4028" s="8"/>
    </row>
    <row r="4029" ht="21.0" customHeight="1">
      <c r="A4029" s="6">
        <v>1.0</v>
      </c>
      <c r="B4029" s="6">
        <v>292.0</v>
      </c>
      <c r="C4029" s="6">
        <v>3.0</v>
      </c>
      <c r="D4029" s="81" t="s">
        <v>6821</v>
      </c>
      <c r="E4029" s="9" t="s">
        <v>6822</v>
      </c>
      <c r="F4029" s="8" t="str">
        <f>IFERROR(__xludf.DUMMYFUNCTION("GOOGLETRANSLATE(D4029,""zh-CN"",""vi"")"),"Đồ chơi quay bằng băng")</f>
        <v>Đồ chơi quay bằng băng</v>
      </c>
      <c r="G4029" s="8" t="str">
        <f>IFERROR(__xludf.DUMMYFUNCTION("GOOGLETRANSLATE(E4029,""zh-CN"",""vi"")"),"Con quay là biểu tượng của tuổi thơ đối với trẻ em. Kết hợp chúng lại để tạo thành những viên đá curling.")</f>
        <v>Con quay là biểu tượng của tuổi thơ đối với trẻ em. Kết hợp chúng lại để tạo thành những viên đá curling.</v>
      </c>
      <c r="H4029" s="8"/>
      <c r="I4029" s="8"/>
      <c r="J4029" s="8"/>
    </row>
    <row r="4030" ht="21.0" customHeight="1">
      <c r="A4030" s="6">
        <v>1.0</v>
      </c>
      <c r="B4030" s="6">
        <v>292.0</v>
      </c>
      <c r="C4030" s="6">
        <v>4.0</v>
      </c>
      <c r="D4030" s="81" t="s">
        <v>6823</v>
      </c>
      <c r="E4030" s="9" t="s">
        <v>6824</v>
      </c>
      <c r="F4030" s="8" t="str">
        <f>IFERROR(__xludf.DUMMYFUNCTION("GOOGLETRANSLATE(D4030,""zh-CN"",""vi"")"),"Quăn")</f>
        <v>Quăn</v>
      </c>
      <c r="G4030" s="8" t="str">
        <f>IFERROR(__xludf.DUMMYFUNCTION("GOOGLETRANSLATE(E4030,""zh-CN"",""vi"")"),"Rèn luyện thể lực và tinh thần! Chế tạo lưỡi giày trượt băng tốc độ.")</f>
        <v>Rèn luyện thể lực và tinh thần! Chế tạo lưỡi giày trượt băng tốc độ.</v>
      </c>
      <c r="H4030" s="8"/>
      <c r="I4030" s="8"/>
      <c r="J4030" s="8"/>
    </row>
    <row r="4031" ht="21.0" customHeight="1">
      <c r="A4031" s="6">
        <v>1.0</v>
      </c>
      <c r="B4031" s="6">
        <v>292.0</v>
      </c>
      <c r="C4031" s="6">
        <v>5.0</v>
      </c>
      <c r="D4031" s="81" t="s">
        <v>6825</v>
      </c>
      <c r="E4031" s="9" t="s">
        <v>6826</v>
      </c>
      <c r="F4031" s="8" t="str">
        <f>IFERROR(__xludf.DUMMYFUNCTION("GOOGLETRANSLATE(D4031,""zh-CN"",""vi"")"),"Lưỡi trượt băng tốc độ")</f>
        <v>Lưỡi trượt băng tốc độ</v>
      </c>
      <c r="G4031" s="8" t="str">
        <f>IFERROR(__xludf.DUMMYFUNCTION("GOOGLETRANSLATE(E4031,""zh-CN"",""vi"")"),"Thể hiện những động tác nhanh nhẹn của nhân vật. Chế tạo để có được một chiếc lược uốn tóc.")</f>
        <v>Thể hiện những động tác nhanh nhẹn của nhân vật. Chế tạo để có được một chiếc lược uốn tóc.</v>
      </c>
      <c r="H4031" s="8"/>
      <c r="I4031" s="8"/>
      <c r="J4031" s="8"/>
    </row>
    <row r="4032" ht="21.0" customHeight="1">
      <c r="A4032" s="6">
        <v>1.0</v>
      </c>
      <c r="B4032" s="6">
        <v>292.0</v>
      </c>
      <c r="C4032" s="6">
        <v>6.0</v>
      </c>
      <c r="D4032" s="81" t="s">
        <v>6827</v>
      </c>
      <c r="E4032" s="9" t="s">
        <v>6828</v>
      </c>
      <c r="F4032" s="8" t="str">
        <f>IFERROR(__xludf.DUMMYFUNCTION("GOOGLETRANSLATE(D4032,""zh-CN"",""vi"")"),"Bàn chải uốn tóc")</f>
        <v>Bàn chải uốn tóc</v>
      </c>
      <c r="G4032" s="8" t="str">
        <f>IFERROR(__xludf.DUMMYFUNCTION("GOOGLETRANSLATE(E4032,""zh-CN"",""vi"")"),"Dùng nó để quét bề mặt băng. Chế tạo nó để có được gậy khúc côn cầu trên băng.")</f>
        <v>Dùng nó để quét bề mặt băng. Chế tạo nó để có được gậy khúc côn cầu trên băng.</v>
      </c>
      <c r="H4032" s="8"/>
      <c r="I4032" s="8"/>
      <c r="J4032" s="8"/>
    </row>
    <row r="4033" ht="21.0" customHeight="1">
      <c r="A4033" s="6">
        <v>1.0</v>
      </c>
      <c r="B4033" s="6">
        <v>292.0</v>
      </c>
      <c r="C4033" s="6">
        <v>7.0</v>
      </c>
      <c r="D4033" s="81" t="s">
        <v>6829</v>
      </c>
      <c r="E4033" s="9" t="s">
        <v>6830</v>
      </c>
      <c r="F4033" s="8" t="str">
        <f>IFERROR(__xludf.DUMMYFUNCTION("GOOGLETRANSLATE(D4033,""zh-CN"",""vi"")"),"gậy khúc côn cầu")</f>
        <v>gậy khúc côn cầu</v>
      </c>
      <c r="G4033" s="8" t="str">
        <f>IFERROR(__xludf.DUMMYFUNCTION("GOOGLETRANSLATE(E4033,""zh-CN"",""vi"")"),"Hãy xem tôi vung gậy mạnh mẽ! Tổng hợp để có được Kỹ năng Câu cá trên băng")</f>
        <v>Hãy xem tôi vung gậy mạnh mẽ! Tổng hợp để có được Kỹ năng Câu cá trên băng</v>
      </c>
      <c r="H4033" s="8"/>
      <c r="I4033" s="8"/>
      <c r="J4033" s="8"/>
    </row>
    <row r="4034" ht="21.0" customHeight="1">
      <c r="A4034" s="6">
        <v>1.0</v>
      </c>
      <c r="B4034" s="6">
        <v>292.0</v>
      </c>
      <c r="C4034" s="6">
        <v>8.0</v>
      </c>
      <c r="D4034" s="81" t="s">
        <v>6831</v>
      </c>
      <c r="E4034" s="9" t="s">
        <v>6832</v>
      </c>
      <c r="F4034" s="8" t="str">
        <f>IFERROR(__xludf.DUMMYFUNCTION("GOOGLETRANSLATE(D4034,""zh-CN"",""vi"")"),"câu cá trên băng")</f>
        <v>câu cá trên băng</v>
      </c>
      <c r="G4034" s="8" t="str">
        <f>IFERROR(__xludf.DUMMYFUNCTION("GOOGLETRANSLATE(E4034,""zh-CN"",""vi"")"),"Câu một con cá thật to, rồi nấu món súp cá! Sau đó chế tạo để có được một chiếc xe trượt tuyết.")</f>
        <v>Câu một con cá thật to, rồi nấu món súp cá! Sau đó chế tạo để có được một chiếc xe trượt tuyết.</v>
      </c>
      <c r="H4034" s="8"/>
      <c r="I4034" s="8"/>
      <c r="J4034" s="8"/>
    </row>
    <row r="4035" ht="21.0" customHeight="1">
      <c r="A4035" s="6">
        <v>1.0</v>
      </c>
      <c r="B4035" s="6">
        <v>292.0</v>
      </c>
      <c r="C4035" s="6">
        <v>9.0</v>
      </c>
      <c r="D4035" s="81" t="s">
        <v>6833</v>
      </c>
      <c r="E4035" s="9" t="s">
        <v>6834</v>
      </c>
      <c r="F4035" s="8" t="str">
        <f>IFERROR(__xludf.DUMMYFUNCTION("GOOGLETRANSLATE(D4035,""zh-CN"",""vi"")"),"Xe trượt băng")</f>
        <v>Xe trượt băng</v>
      </c>
      <c r="G4035" s="8" t="str">
        <f>IFERROR(__xludf.DUMMYFUNCTION("GOOGLETRANSLATE(E4035,""zh-CN"",""vi"")"),"Nó có thể được dùng để vận chuyển đồ tiếp tế vào mùa đông. Hãy chế tạo nó để có được một chiếc xe đạp băng.")</f>
        <v>Nó có thể được dùng để vận chuyển đồ tiếp tế vào mùa đông. Hãy chế tạo nó để có được một chiếc xe đạp băng.</v>
      </c>
      <c r="H4035" s="8"/>
      <c r="I4035" s="8"/>
      <c r="J4035" s="8"/>
    </row>
    <row r="4036" ht="21.0" customHeight="1">
      <c r="A4036" s="6">
        <v>1.0</v>
      </c>
      <c r="B4036" s="6">
        <v>292.0</v>
      </c>
      <c r="C4036" s="6">
        <v>10.0</v>
      </c>
      <c r="D4036" s="81" t="s">
        <v>6835</v>
      </c>
      <c r="E4036" s="9" t="s">
        <v>6836</v>
      </c>
      <c r="F4036" s="8" t="str">
        <f>IFERROR(__xludf.DUMMYFUNCTION("GOOGLETRANSLATE(D4036,""zh-CN"",""vi"")"),"Xe đạp băng")</f>
        <v>Xe đạp băng</v>
      </c>
      <c r="G4036" s="8" t="str">
        <f>IFERROR(__xludf.DUMMYFUNCTION("GOOGLETRANSLATE(E4036,""zh-CN"",""vi"")"),"Gaga đã dốc hết sức mình để đạp xe và giảm cân miễn phí! Sau đó, anh ấy kết hợp sức mạnh của mình để có được một chiếc xe trượt băng.")</f>
        <v>Gaga đã dốc hết sức mình để đạp xe và giảm cân miễn phí! Sau đó, anh ấy kết hợp sức mạnh của mình để có được một chiếc xe trượt băng.</v>
      </c>
      <c r="H4036" s="8"/>
      <c r="I4036" s="8"/>
      <c r="J4036" s="8"/>
    </row>
    <row r="4037" ht="21.0" customHeight="1">
      <c r="A4037" s="6">
        <v>1.0</v>
      </c>
      <c r="B4037" s="6">
        <v>292.0</v>
      </c>
      <c r="C4037" s="6">
        <v>11.0</v>
      </c>
      <c r="D4037" s="81" t="s">
        <v>6837</v>
      </c>
      <c r="E4037" s="9" t="s">
        <v>6838</v>
      </c>
      <c r="F4037" s="8" t="str">
        <f>IFERROR(__xludf.DUMMYFUNCTION("GOOGLETRANSLATE(D4037,""zh-CN"",""vi"")"),"Xe trượt tuyết trên băng")</f>
        <v>Xe trượt tuyết trên băng</v>
      </c>
      <c r="G4037" s="8" t="str">
        <f>IFERROR(__xludf.DUMMYFUNCTION("GOOGLETRANSLATE(E4037,""zh-CN"",""vi"")"),"Lái xe vòng quanh thế giới tuyết và kết hợp các mảnh ghép để tạo thành một chiếc xe đua trên băng.")</f>
        <v>Lái xe vòng quanh thế giới tuyết và kết hợp các mảnh ghép để tạo thành một chiếc xe đua trên băng.</v>
      </c>
      <c r="H4037" s="8"/>
      <c r="I4037" s="8"/>
      <c r="J4037" s="8"/>
    </row>
    <row r="4038" ht="21.0" customHeight="1">
      <c r="A4038" s="6">
        <v>1.0</v>
      </c>
      <c r="B4038" s="6">
        <v>292.0</v>
      </c>
      <c r="C4038" s="6">
        <v>12.0</v>
      </c>
      <c r="D4038" s="94" t="s">
        <v>6839</v>
      </c>
      <c r="E4038" s="9" t="s">
        <v>6840</v>
      </c>
      <c r="F4038" s="8" t="str">
        <f>IFERROR(__xludf.DUMMYFUNCTION("GOOGLETRANSLATE(D4038,""zh-CN"",""vi"")"),"Đua xe trên băng")</f>
        <v>Đua xe trên băng</v>
      </c>
      <c r="G4038" s="8" t="str">
        <f>IFERROR(__xludf.DUMMYFUNCTION("GOOGLETRANSLATE(E4038,""zh-CN"",""vi"")"),"Lớp chống trượt của lốp xe rất quan trọng! Hãy chế tạo nó để có được thuyền rồng băng.")</f>
        <v>Lớp chống trượt của lốp xe rất quan trọng! Hãy chế tạo nó để có được thuyền rồng băng.</v>
      </c>
      <c r="H4038" s="8"/>
      <c r="I4038" s="8"/>
      <c r="J4038" s="8"/>
    </row>
    <row r="4039" ht="21.0" customHeight="1">
      <c r="A4039" s="6">
        <v>1.0</v>
      </c>
      <c r="B4039" s="6">
        <v>292.0</v>
      </c>
      <c r="C4039" s="6">
        <v>13.0</v>
      </c>
      <c r="D4039" s="81" t="s">
        <v>6841</v>
      </c>
      <c r="E4039" s="9" t="s">
        <v>6842</v>
      </c>
      <c r="F4039" s="8" t="str">
        <f>IFERROR(__xludf.DUMMYFUNCTION("GOOGLETRANSLATE(D4039,""zh-CN"",""vi"")"),"Thuyền Rồng Băng")</f>
        <v>Thuyền Rồng Băng</v>
      </c>
      <c r="G4039" s="8" t="str">
        <f>IFERROR(__xludf.DUMMYFUNCTION("GOOGLETRANSLATE(E4039,""zh-CN"",""vi"")"),"Cưỡi Rồng - Cấp độ tổng hợp cao nhất")</f>
        <v>Cưỡi Rồng - Cấp độ tổng hợp cao nhất</v>
      </c>
      <c r="H4039" s="8"/>
      <c r="I4039" s="8"/>
      <c r="J4039" s="8"/>
    </row>
    <row r="4040" ht="21.0" customHeight="1">
      <c r="A4040" s="6">
        <v>11.0</v>
      </c>
      <c r="B4040" s="6">
        <v>2001.0</v>
      </c>
      <c r="C4040" s="6">
        <v>1.0</v>
      </c>
      <c r="D4040" s="23" t="s">
        <v>6843</v>
      </c>
      <c r="E4040" s="9" t="s">
        <v>6844</v>
      </c>
      <c r="F4040" s="8" t="str">
        <f>IFERROR(__xludf.DUMMYFUNCTION("GOOGLETRANSLATE(D4040,""zh-CN"",""vi"")"),"Bút lông ngỗng")</f>
        <v>Bút lông ngỗng</v>
      </c>
      <c r="G4040" s="8" t="str">
        <f>IFERROR(__xludf.DUMMYFUNCTION("GOOGLETRANSLATE(E4040,""zh-CN"",""vi"")"),"Bằng bút lông ngỗng, người thi sĩ viết nên những bài thơ được lưu truyền qua nhiều thế hệ. Những bài thơ này sau đó được tập hợp lại để tạo thành một tuyển tập.")</f>
        <v>Bằng bút lông ngỗng, người thi sĩ viết nên những bài thơ được lưu truyền qua nhiều thế hệ. Những bài thơ này sau đó được tập hợp lại để tạo thành một tuyển tập.</v>
      </c>
      <c r="H4040" s="8"/>
      <c r="I4040" s="8"/>
      <c r="J4040" s="8"/>
    </row>
    <row r="4041" ht="21.0" customHeight="1">
      <c r="A4041" s="6">
        <v>11.0</v>
      </c>
      <c r="B4041" s="6">
        <v>2001.0</v>
      </c>
      <c r="C4041" s="6">
        <v>2.0</v>
      </c>
      <c r="D4041" s="23" t="s">
        <v>6845</v>
      </c>
      <c r="E4041" s="9" t="s">
        <v>6846</v>
      </c>
      <c r="F4041" s="8" t="str">
        <f>IFERROR(__xludf.DUMMYFUNCTION("GOOGLETRANSLATE(D4041,""zh-CN"",""vi"")"),"Tuyển tập thơ")</f>
        <v>Tuyển tập thơ</v>
      </c>
      <c r="G4041" s="8" t="str">
        <f>IFERROR(__xludf.DUMMYFUNCTION("GOOGLETRANSLATE(E4041,""zh-CN"",""vi"")"),"Chỉ những gì được viết trên giấy mới có thể được lưu truyền qua nhiều thế hệ. (Hãy làm ra đôi găng tay.)")</f>
        <v>Chỉ những gì được viết trên giấy mới có thể được lưu truyền qua nhiều thế hệ. (Hãy làm ra đôi găng tay.)</v>
      </c>
      <c r="H4041" s="8"/>
      <c r="I4041" s="8"/>
      <c r="J4041" s="8"/>
    </row>
    <row r="4042" ht="21.0" customHeight="1">
      <c r="A4042" s="6">
        <v>11.0</v>
      </c>
      <c r="B4042" s="6">
        <v>2001.0</v>
      </c>
      <c r="C4042" s="6">
        <v>3.0</v>
      </c>
      <c r="D4042" s="23" t="s">
        <v>6847</v>
      </c>
      <c r="E4042" s="9" t="s">
        <v>6848</v>
      </c>
      <c r="F4042" s="8" t="str">
        <f>IFERROR(__xludf.DUMMYFUNCTION("GOOGLETRANSLATE(D4042,""zh-CN"",""vi"")"),"Găng tay")</f>
        <v>Găng tay</v>
      </c>
      <c r="G4042" s="8" t="str">
        <f>IFERROR(__xludf.DUMMYFUNCTION("GOOGLETRANSLATE(E4042,""zh-CN"",""vi"")"),"Vào thời đó, găng tay là biểu tượng của phép lịch sự. Giày bốt được làm từ găng tay.")</f>
        <v>Vào thời đó, găng tay là biểu tượng của phép lịch sự. Giày bốt được làm từ găng tay.</v>
      </c>
      <c r="H4042" s="8"/>
      <c r="I4042" s="8"/>
      <c r="J4042" s="8"/>
    </row>
    <row r="4043" ht="21.0" customHeight="1">
      <c r="A4043" s="6">
        <v>11.0</v>
      </c>
      <c r="B4043" s="6">
        <v>2001.0</v>
      </c>
      <c r="C4043" s="6">
        <v>4.0</v>
      </c>
      <c r="D4043" s="23" t="s">
        <v>6849</v>
      </c>
      <c r="E4043" s="9" t="s">
        <v>6850</v>
      </c>
      <c r="F4043" s="8" t="str">
        <f>IFERROR(__xludf.DUMMYFUNCTION("GOOGLETRANSLATE(D4043,""zh-CN"",""vi"")"),"bốt")</f>
        <v>bốt</v>
      </c>
      <c r="G4043" s="8" t="str">
        <f>IFERROR(__xludf.DUMMYFUNCTION("GOOGLETRANSLATE(E4043,""zh-CN"",""vi"")"),"Giày bốt mũi nhọn là mốt thời trang thời trung cổ. Mũ có thể được làm thủ công.")</f>
        <v>Giày bốt mũi nhọn là mốt thời trang thời trung cổ. Mũ có thể được làm thủ công.</v>
      </c>
      <c r="H4043" s="8"/>
      <c r="I4043" s="8"/>
      <c r="J4043" s="8"/>
    </row>
    <row r="4044" ht="21.0" customHeight="1">
      <c r="A4044" s="6">
        <v>10.0</v>
      </c>
      <c r="B4044" s="6">
        <v>2001.0</v>
      </c>
      <c r="C4044" s="6">
        <v>5.0</v>
      </c>
      <c r="D4044" s="23" t="s">
        <v>6851</v>
      </c>
      <c r="E4044" s="9" t="s">
        <v>6852</v>
      </c>
      <c r="F4044" s="8" t="str">
        <f>IFERROR(__xludf.DUMMYFUNCTION("GOOGLETRANSLATE(D4044,""zh-CN"",""vi"")"),"mũ")</f>
        <v>mũ</v>
      </c>
      <c r="G4044" s="8" t="str">
        <f>IFERROR(__xludf.DUMMYFUNCTION("GOOGLETRANSLATE(E4044,""zh-CN"",""vi"")"),"Một chiếc mũ tốt có thể cải thiện đáng kể cách người khác nhìn nhận bạn. Hãy tự may một chiếc áo choàng.")</f>
        <v>Một chiếc mũ tốt có thể cải thiện đáng kể cách người khác nhìn nhận bạn. Hãy tự may một chiếc áo choàng.</v>
      </c>
      <c r="H4044" s="8"/>
      <c r="I4044" s="8"/>
      <c r="J4044" s="8"/>
    </row>
    <row r="4045" ht="21.0" customHeight="1">
      <c r="A4045" s="6">
        <v>10.0</v>
      </c>
      <c r="B4045" s="6">
        <v>2001.0</v>
      </c>
      <c r="C4045" s="6">
        <v>6.0</v>
      </c>
      <c r="D4045" s="23" t="s">
        <v>6853</v>
      </c>
      <c r="E4045" s="9" t="s">
        <v>6854</v>
      </c>
      <c r="F4045" s="8" t="str">
        <f>IFERROR(__xludf.DUMMYFUNCTION("GOOGLETRANSLATE(D4045,""zh-CN"",""vi"")"),"áo choàng")</f>
        <v>áo choàng</v>
      </c>
      <c r="G4045" s="8" t="str">
        <f>IFERROR(__xludf.DUMMYFUNCTION("GOOGLETRANSLATE(E4045,""zh-CN"",""vi"")"),"Tương truyền chiếc áo choàng này được yểm bùa hộ mệnh. Phần thân trên có thể được chế tạo từ nó.")</f>
        <v>Tương truyền chiếc áo choàng này được yểm bùa hộ mệnh. Phần thân trên có thể được chế tạo từ nó.</v>
      </c>
      <c r="H4045" s="8"/>
      <c r="I4045" s="8"/>
      <c r="J4045" s="8"/>
    </row>
    <row r="4046" ht="21.0" customHeight="1">
      <c r="A4046" s="6">
        <v>10.0</v>
      </c>
      <c r="B4046" s="6">
        <v>2001.0</v>
      </c>
      <c r="C4046" s="6">
        <v>7.0</v>
      </c>
      <c r="D4046" s="23" t="s">
        <v>6855</v>
      </c>
      <c r="E4046" s="9" t="s">
        <v>6856</v>
      </c>
      <c r="F4046" s="8" t="str">
        <f>IFERROR(__xludf.DUMMYFUNCTION("GOOGLETRANSLATE(D4046,""zh-CN"",""vi"")"),"Áo khoác")</f>
        <v>Áo khoác</v>
      </c>
      <c r="G4046" s="8" t="str">
        <f>IFERROR(__xludf.DUMMYFUNCTION("GOOGLETRANSLATE(E4046,""zh-CN"",""vi"")"),"Trang phục dạ hội quý giá thường chỉ được mặc trong các buổi tiệc. Một cây cung dài có thể được chế tạo từ loại trang phục này.")</f>
        <v>Trang phục dạ hội quý giá thường chỉ được mặc trong các buổi tiệc. Một cây cung dài có thể được chế tạo từ loại trang phục này.</v>
      </c>
      <c r="H4046" s="8"/>
      <c r="I4046" s="8"/>
      <c r="J4046" s="8"/>
    </row>
    <row r="4047" ht="21.0" customHeight="1">
      <c r="A4047" s="6">
        <v>10.0</v>
      </c>
      <c r="B4047" s="6">
        <v>2001.0</v>
      </c>
      <c r="C4047" s="6">
        <v>8.0</v>
      </c>
      <c r="D4047" s="23" t="s">
        <v>6857</v>
      </c>
      <c r="E4047" s="9" t="s">
        <v>6858</v>
      </c>
      <c r="F4047" s="8" t="str">
        <f>IFERROR(__xludf.DUMMYFUNCTION("GOOGLETRANSLATE(D4047,""zh-CN"",""vi"")"),"cung")</f>
        <v>cung</v>
      </c>
      <c r="G4047" s="8" t="str">
        <f>IFERROR(__xludf.DUMMYFUNCTION("GOOGLETRANSLATE(E4047,""zh-CN"",""vi"")"),"Khoan đã, có những người hát rong nào không biết bắn cung không? Hãy chế tạo một cây sáo.")</f>
        <v>Khoan đã, có những người hát rong nào không biết bắn cung không? Hãy chế tạo một cây sáo.</v>
      </c>
      <c r="H4047" s="8"/>
      <c r="I4047" s="8"/>
      <c r="J4047" s="8"/>
    </row>
    <row r="4048" ht="21.0" customHeight="1">
      <c r="A4048" s="6">
        <v>10.0</v>
      </c>
      <c r="B4048" s="6">
        <v>2001.0</v>
      </c>
      <c r="C4048" s="6">
        <v>9.0</v>
      </c>
      <c r="D4048" s="23" t="s">
        <v>6859</v>
      </c>
      <c r="E4048" s="9" t="s">
        <v>6860</v>
      </c>
      <c r="F4048" s="8" t="str">
        <f>IFERROR(__xludf.DUMMYFUNCTION("GOOGLETRANSLATE(D4048,""zh-CN"",""vi"")"),"sáo")</f>
        <v>sáo</v>
      </c>
      <c r="G4048" s="8" t="str">
        <f>IFERROR(__xludf.DUMMYFUNCTION("GOOGLETRANSLATE(E4048,""zh-CN"",""vi"")"),"Sáo là một nhạc cụ nhỏ gọn, thích hợp cho các buổi biểu diễn ngẫu hứng. Hãy chế tạo nó để có được Cây Sáo Thần.")</f>
        <v>Sáo là một nhạc cụ nhỏ gọn, thích hợp cho các buổi biểu diễn ngẫu hứng. Hãy chế tạo nó để có được Cây Sáo Thần.</v>
      </c>
      <c r="H4048" s="8"/>
      <c r="I4048" s="8"/>
      <c r="J4048" s="8"/>
    </row>
    <row r="4049" ht="21.0" customHeight="1">
      <c r="A4049" s="6">
        <v>10.0</v>
      </c>
      <c r="B4049" s="6">
        <v>2001.0</v>
      </c>
      <c r="C4049" s="6">
        <v>10.0</v>
      </c>
      <c r="D4049" s="23" t="s">
        <v>6861</v>
      </c>
      <c r="E4049" s="9" t="s">
        <v>6862</v>
      </c>
      <c r="F4049" s="8" t="str">
        <f>IFERROR(__xludf.DUMMYFUNCTION("GOOGLETRANSLATE(D4049,""zh-CN"",""vi"")"),"Đàn hạc thần kỳ")</f>
        <v>Đàn hạc thần kỳ</v>
      </c>
      <c r="G4049" s="8" t="str">
        <f>IFERROR(__xludf.DUMMYFUNCTION("GOOGLETRANSLATE(E4049,""zh-CN"",""vi"")"),"Tại bữa tiệc của nhà vua, người hát rong tấu cây đàn lyre thần kỳ, ca ngợi chiến thắng. (Đã được tổng hợp đến cấp độ cao nhất.)")</f>
        <v>Tại bữa tiệc của nhà vua, người hát rong tấu cây đàn lyre thần kỳ, ca ngợi chiến thắng. (Đã được tổng hợp đến cấp độ cao nhất.)</v>
      </c>
      <c r="H4049" s="8"/>
      <c r="I4049" s="8"/>
      <c r="J4049" s="8"/>
    </row>
    <row r="4050" ht="21.0" customHeight="1">
      <c r="A4050" s="6">
        <v>11.0</v>
      </c>
      <c r="B4050" s="6">
        <v>2002.0</v>
      </c>
      <c r="C4050" s="6">
        <v>1.0</v>
      </c>
      <c r="D4050" s="23" t="s">
        <v>6863</v>
      </c>
      <c r="E4050" s="9" t="s">
        <v>6864</v>
      </c>
      <c r="F4050" s="8" t="str">
        <f>IFERROR(__xludf.DUMMYFUNCTION("GOOGLETRANSLATE(D4050,""zh-CN"",""vi"")"),"Bút lông ngỗng [V]")</f>
        <v>Bút lông ngỗng [V]</v>
      </c>
      <c r="G4050" s="8" t="str">
        <f>IFERROR(__xludf.DUMMYFUNCTION("GOOGLETRANSLATE(E4050,""zh-CN"",""vi"")"),"Sử dụng bút lông ngỗng, nhà thơ viết những bài thơ sẽ được truyền lại qua nhiều thế hệ. Kết hợp chúng lại để có được một tuyển tập thơ [V].")</f>
        <v>Sử dụng bút lông ngỗng, nhà thơ viết những bài thơ sẽ được truyền lại qua nhiều thế hệ. Kết hợp chúng lại để có được một tuyển tập thơ [V].</v>
      </c>
      <c r="H4050" s="8"/>
      <c r="I4050" s="8"/>
      <c r="J4050" s="8"/>
    </row>
    <row r="4051" ht="21.0" customHeight="1">
      <c r="A4051" s="6">
        <v>11.0</v>
      </c>
      <c r="B4051" s="6">
        <v>2002.0</v>
      </c>
      <c r="C4051" s="6">
        <v>2.0</v>
      </c>
      <c r="D4051" s="23" t="s">
        <v>6865</v>
      </c>
      <c r="E4051" s="9" t="s">
        <v>6866</v>
      </c>
      <c r="F4051" s="8" t="str">
        <f>IFERROR(__xludf.DUMMYFUNCTION("GOOGLETRANSLATE(D4051,""zh-CN"",""vi"")"),"Tuyển tập thơ [V]")</f>
        <v>Tuyển tập thơ [V]</v>
      </c>
      <c r="G4051" s="8" t="str">
        <f>IFERROR(__xludf.DUMMYFUNCTION("GOOGLETRANSLATE(E4051,""zh-CN"",""vi"")"),"Chỉ những gì được viết trên giấy mới có thể được ghi nhớ qua nhiều thế hệ. Tổng hợp để có được găng tay [V].")</f>
        <v>Chỉ những gì được viết trên giấy mới có thể được ghi nhớ qua nhiều thế hệ. Tổng hợp để có được găng tay [V].</v>
      </c>
      <c r="H4051" s="8"/>
      <c r="I4051" s="8"/>
      <c r="J4051" s="8"/>
    </row>
    <row r="4052" ht="21.0" customHeight="1">
      <c r="A4052" s="6">
        <v>11.0</v>
      </c>
      <c r="B4052" s="6">
        <v>2002.0</v>
      </c>
      <c r="C4052" s="6">
        <v>3.0</v>
      </c>
      <c r="D4052" s="23" t="s">
        <v>6867</v>
      </c>
      <c r="E4052" s="9" t="s">
        <v>6868</v>
      </c>
      <c r="F4052" s="8" t="str">
        <f>IFERROR(__xludf.DUMMYFUNCTION("GOOGLETRANSLATE(D4052,""zh-CN"",""vi"")"),"Găng tay [V]")</f>
        <v>Găng tay [V]</v>
      </c>
      <c r="G4052" s="8" t="str">
        <f>IFERROR(__xludf.DUMMYFUNCTION("GOOGLETRANSLATE(E4052,""zh-CN"",""vi"")"),"Vào thời đó, găng tay là biểu tượng của phép tắc. Giày thủ công [V].")</f>
        <v>Vào thời đó, găng tay là biểu tượng của phép tắc. Giày thủ công [V].</v>
      </c>
      <c r="H4052" s="8"/>
      <c r="I4052" s="8"/>
      <c r="J4052" s="8"/>
    </row>
    <row r="4053" ht="21.0" customHeight="1">
      <c r="A4053" s="6">
        <v>11.0</v>
      </c>
      <c r="B4053" s="6">
        <v>2002.0</v>
      </c>
      <c r="C4053" s="6">
        <v>4.0</v>
      </c>
      <c r="D4053" s="23" t="s">
        <v>6869</v>
      </c>
      <c r="E4053" s="9" t="s">
        <v>6870</v>
      </c>
      <c r="F4053" s="8" t="str">
        <f>IFERROR(__xludf.DUMMYFUNCTION("GOOGLETRANSLATE(D4053,""zh-CN"",""vi"")"),"Boots [V]")</f>
        <v>Boots [V]</v>
      </c>
      <c r="G4053" s="8" t="str">
        <f>IFERROR(__xludf.DUMMYFUNCTION("GOOGLETRANSLATE(E4053,""zh-CN"",""vi"")"),"Giày bốt mũi nhọn là mốt thời trung cổ. Làm một chiếc mũ [V].")</f>
        <v>Giày bốt mũi nhọn là mốt thời trung cổ. Làm một chiếc mũ [V].</v>
      </c>
      <c r="H4053" s="8"/>
      <c r="I4053" s="8"/>
      <c r="J4053" s="8"/>
    </row>
    <row r="4054" ht="21.0" customHeight="1">
      <c r="A4054" s="6">
        <v>10.0</v>
      </c>
      <c r="B4054" s="6">
        <v>2002.0</v>
      </c>
      <c r="C4054" s="6">
        <v>5.0</v>
      </c>
      <c r="D4054" s="23" t="s">
        <v>6871</v>
      </c>
      <c r="E4054" s="9" t="s">
        <v>6872</v>
      </c>
      <c r="F4054" s="8" t="str">
        <f>IFERROR(__xludf.DUMMYFUNCTION("GOOGLETRANSLATE(D4054,""zh-CN"",""vi"")"),"Mũ [V]")</f>
        <v>Mũ [V]</v>
      </c>
      <c r="G4054" s="8" t="str">
        <f>IFERROR(__xludf.DUMMYFUNCTION("GOOGLETRANSLATE(E4054,""zh-CN"",""vi"")"),"Một chiếc mũ tốt có thể cải thiện đáng kể cách người khác nhìn nhận bạn. Hãy chế tạo một chiếc áo choàng [V].")</f>
        <v>Một chiếc mũ tốt có thể cải thiện đáng kể cách người khác nhìn nhận bạn. Hãy chế tạo một chiếc áo choàng [V].</v>
      </c>
      <c r="H4054" s="8"/>
      <c r="I4054" s="8"/>
      <c r="J4054" s="8"/>
    </row>
    <row r="4055" ht="21.0" customHeight="1">
      <c r="A4055" s="6">
        <v>10.0</v>
      </c>
      <c r="B4055" s="6">
        <v>2002.0</v>
      </c>
      <c r="C4055" s="6">
        <v>6.0</v>
      </c>
      <c r="D4055" s="23" t="s">
        <v>6873</v>
      </c>
      <c r="E4055" s="9" t="s">
        <v>6874</v>
      </c>
      <c r="F4055" s="8" t="str">
        <f>IFERROR(__xludf.DUMMYFUNCTION("GOOGLETRANSLATE(D4055,""zh-CN"",""vi"")"),"Áo choàng [V]")</f>
        <v>Áo choàng [V]</v>
      </c>
      <c r="G4055" s="8" t="str">
        <f>IFERROR(__xludf.DUMMYFUNCTION("GOOGLETRANSLATE(E4055,""zh-CN"",""vi"")"),"Người ta nói rằng chiếc áo choàng này được yểm bùa bảo vệ. Hãy chế tạo nó để có được phần thưởng cao nhất [V].")</f>
        <v>Người ta nói rằng chiếc áo choàng này được yểm bùa bảo vệ. Hãy chế tạo nó để có được phần thưởng cao nhất [V].</v>
      </c>
      <c r="H4055" s="8"/>
      <c r="I4055" s="8"/>
      <c r="J4055" s="8"/>
    </row>
    <row r="4056" ht="21.0" customHeight="1">
      <c r="A4056" s="6">
        <v>10.0</v>
      </c>
      <c r="B4056" s="6">
        <v>2002.0</v>
      </c>
      <c r="C4056" s="6">
        <v>7.0</v>
      </c>
      <c r="D4056" s="23" t="s">
        <v>6875</v>
      </c>
      <c r="E4056" s="9" t="s">
        <v>6876</v>
      </c>
      <c r="F4056" s="8" t="str">
        <f>IFERROR(__xludf.DUMMYFUNCTION("GOOGLETRANSLATE(D4056,""zh-CN"",""vi"")"),"Đầu [V]")</f>
        <v>Đầu [V]</v>
      </c>
      <c r="G4056" s="8" t="str">
        <f>IFERROR(__xludf.DUMMYFUNCTION("GOOGLETRANSLATE(E4056,""zh-CN"",""vi"")"),"Trang phục trang trọng quý giá thường chỉ được mặc trong các bữa tiệc. Hãy chế tạo nó để có được một cây cung dài [V].")</f>
        <v>Trang phục trang trọng quý giá thường chỉ được mặc trong các bữa tiệc. Hãy chế tạo nó để có được một cây cung dài [V].</v>
      </c>
      <c r="H4056" s="8"/>
      <c r="I4056" s="8"/>
      <c r="J4056" s="8"/>
    </row>
    <row r="4057" ht="21.0" customHeight="1">
      <c r="A4057" s="6">
        <v>10.0</v>
      </c>
      <c r="B4057" s="6">
        <v>2002.0</v>
      </c>
      <c r="C4057" s="6">
        <v>8.0</v>
      </c>
      <c r="D4057" s="23" t="s">
        <v>6877</v>
      </c>
      <c r="E4057" s="9" t="s">
        <v>6878</v>
      </c>
      <c r="F4057" s="8" t="str">
        <f>IFERROR(__xludf.DUMMYFUNCTION("GOOGLETRANSLATE(D4057,""zh-CN"",""vi"")"),"Cung dài [V]")</f>
        <v>Cung dài [V]</v>
      </c>
      <c r="G4057" s="8" t="str">
        <f>IFERROR(__xludf.DUMMYFUNCTION("GOOGLETRANSLATE(E4057,""zh-CN"",""vi"")"),"Khoan đã, có những nhạc công nào không thể bắn cung không? Hãy chế tạo một cây sáo [V].")</f>
        <v>Khoan đã, có những nhạc công nào không thể bắn cung không? Hãy chế tạo một cây sáo [V].</v>
      </c>
      <c r="H4057" s="8"/>
      <c r="I4057" s="8"/>
      <c r="J4057" s="8"/>
    </row>
    <row r="4058" ht="21.0" customHeight="1">
      <c r="A4058" s="6">
        <v>10.0</v>
      </c>
      <c r="B4058" s="6">
        <v>2002.0</v>
      </c>
      <c r="C4058" s="6">
        <v>9.0</v>
      </c>
      <c r="D4058" s="23" t="s">
        <v>6879</v>
      </c>
      <c r="E4058" s="9" t="s">
        <v>6880</v>
      </c>
      <c r="F4058" s="8" t="str">
        <f>IFERROR(__xludf.DUMMYFUNCTION("GOOGLETRANSLATE(D4058,""zh-CN"",""vi"")"),"Sáo [V]")</f>
        <v>Sáo [V]</v>
      </c>
      <c r="G4058" s="8" t="str">
        <f>IFERROR(__xludf.DUMMYFUNCTION("GOOGLETRANSLATE(E4058,""zh-CN"",""vi"")"),"Sáo là một nhạc cụ di động, thích hợp cho các buổi biểu diễn ngẫu hứng. Hãy chế tạo nó để có được Sáo Thần [V].")</f>
        <v>Sáo là một nhạc cụ di động, thích hợp cho các buổi biểu diễn ngẫu hứng. Hãy chế tạo nó để có được Sáo Thần [V].</v>
      </c>
      <c r="H4058" s="8"/>
      <c r="I4058" s="8"/>
      <c r="J4058" s="8"/>
    </row>
    <row r="4059" ht="21.0" customHeight="1">
      <c r="A4059" s="6">
        <v>10.0</v>
      </c>
      <c r="B4059" s="6">
        <v>2002.0</v>
      </c>
      <c r="C4059" s="6">
        <v>10.0</v>
      </c>
      <c r="D4059" s="23" t="s">
        <v>6881</v>
      </c>
      <c r="E4059" s="9" t="s">
        <v>6862</v>
      </c>
      <c r="F4059" s="8" t="str">
        <f>IFERROR(__xludf.DUMMYFUNCTION("GOOGLETRANSLATE(D4059,""zh-CN"",""vi"")"),"Đàn hạc thần kỳ [V]")</f>
        <v>Đàn hạc thần kỳ [V]</v>
      </c>
      <c r="G4059" s="8" t="str">
        <f>IFERROR(__xludf.DUMMYFUNCTION("GOOGLETRANSLATE(E4059,""zh-CN"",""vi"")"),"Tại bữa tiệc của nhà vua, người hát rong tấu cây đàn lyre thần kỳ, ca ngợi chiến thắng. (Đã được tổng hợp đến cấp độ cao nhất.)")</f>
        <v>Tại bữa tiệc của nhà vua, người hát rong tấu cây đàn lyre thần kỳ, ca ngợi chiến thắng. (Đã được tổng hợp đến cấp độ cao nhất.)</v>
      </c>
      <c r="H4059" s="8"/>
      <c r="I4059" s="8"/>
      <c r="J4059" s="8"/>
    </row>
    <row r="4060" ht="21.0" customHeight="1">
      <c r="A4060" s="6">
        <v>1.0</v>
      </c>
      <c r="B4060" s="6">
        <v>310.0</v>
      </c>
      <c r="C4060" s="6">
        <v>1.0</v>
      </c>
      <c r="D4060" s="23" t="s">
        <v>6882</v>
      </c>
      <c r="E4060" s="9" t="s">
        <v>6883</v>
      </c>
      <c r="F4060" s="8" t="str">
        <f>IFERROR(__xludf.DUMMYFUNCTION("GOOGLETRANSLATE(D4060,""zh-CN"",""vi"")"),"Quả táo độc")</f>
        <v>Quả táo độc</v>
      </c>
      <c r="G4060" s="8" t="str">
        <f>IFERROR(__xludf.DUMMYFUNCTION("GOOGLETRANSLATE(E4060,""zh-CN"",""vi"")"),"Đừng ăn bất cứ thứ gì người lạ đưa cho bạn! Hãy chế tạo đôi giày pha lê.")</f>
        <v>Đừng ăn bất cứ thứ gì người lạ đưa cho bạn! Hãy chế tạo đôi giày pha lê.</v>
      </c>
      <c r="H4060" s="8"/>
      <c r="I4060" s="8"/>
      <c r="J4060" s="8"/>
    </row>
    <row r="4061" ht="21.0" customHeight="1">
      <c r="A4061" s="6">
        <v>1.0</v>
      </c>
      <c r="B4061" s="6">
        <v>310.0</v>
      </c>
      <c r="C4061" s="6">
        <v>2.0</v>
      </c>
      <c r="D4061" s="23" t="s">
        <v>6884</v>
      </c>
      <c r="E4061" s="9" t="s">
        <v>6885</v>
      </c>
      <c r="F4061" s="8" t="str">
        <f>IFERROR(__xludf.DUMMYFUNCTION("GOOGLETRANSLATE(D4061,""zh-CN"",""vi"")"),"Giày pha lê")</f>
        <v>Giày pha lê</v>
      </c>
      <c r="G4061" s="8" t="str">
        <f>IFERROR(__xludf.DUMMYFUNCTION("GOOGLETRANSLATE(E4061,""zh-CN"",""vi"")"),"Ngay cả tại các buổi tiệc hoàng gia, người mang đôi giày này cũng sẽ là người thu hút mọi ánh nhìn. Hãy tổng hợp để có được đôi giày khiêu vũ màu đỏ.")</f>
        <v>Ngay cả tại các buổi tiệc hoàng gia, người mang đôi giày này cũng sẽ là người thu hút mọi ánh nhìn. Hãy tổng hợp để có được đôi giày khiêu vũ màu đỏ.</v>
      </c>
      <c r="H4061" s="8"/>
      <c r="I4061" s="8"/>
      <c r="J4061" s="8"/>
    </row>
    <row r="4062" ht="21.0" customHeight="1">
      <c r="A4062" s="6">
        <v>1.0</v>
      </c>
      <c r="B4062" s="6">
        <v>310.0</v>
      </c>
      <c r="C4062" s="6">
        <v>3.0</v>
      </c>
      <c r="D4062" s="23" t="s">
        <v>6886</v>
      </c>
      <c r="E4062" s="9" t="s">
        <v>6887</v>
      </c>
      <c r="F4062" s="8" t="str">
        <f>IFERROR(__xludf.DUMMYFUNCTION("GOOGLETRANSLATE(D4062,""zh-CN"",""vi"")"),"Giày đỏ")</f>
        <v>Giày đỏ</v>
      </c>
      <c r="G4062" s="8" t="str">
        <f>IFERROR(__xludf.DUMMYFUNCTION("GOOGLETRANSLATE(E4062,""zh-CN"",""vi"")"),"Đeo nó có nghĩa là nhảy múa mãi mãi; đó là hình phạt dành cho kẻ kiêu ngạo. Tổng hợp để thu được một bông hồng đỏ.")</f>
        <v>Đeo nó có nghĩa là nhảy múa mãi mãi; đó là hình phạt dành cho kẻ kiêu ngạo. Tổng hợp để thu được một bông hồng đỏ.</v>
      </c>
      <c r="H4062" s="8"/>
      <c r="I4062" s="8"/>
      <c r="J4062" s="8"/>
    </row>
    <row r="4063" ht="21.0" customHeight="1">
      <c r="A4063" s="6">
        <v>1.0</v>
      </c>
      <c r="B4063" s="6">
        <v>310.0</v>
      </c>
      <c r="C4063" s="6">
        <v>4.0</v>
      </c>
      <c r="D4063" s="23" t="s">
        <v>6888</v>
      </c>
      <c r="E4063" s="9" t="s">
        <v>6889</v>
      </c>
      <c r="F4063" s="8" t="str">
        <f>IFERROR(__xludf.DUMMYFUNCTION("GOOGLETRANSLATE(D4063,""zh-CN"",""vi"")"),"Hoa hồng đỏ")</f>
        <v>Hoa hồng đỏ</v>
      </c>
      <c r="G4063" s="8" t="str">
        <f>IFERROR(__xludf.DUMMYFUNCTION("GOOGLETRANSLATE(E4063,""zh-CN"",""vi"")"),"Cô gái Hoa Hồng Trắng và Cô gái Hoa Hồng Đỏ. Kết hợp cả hai để có được Gương Thần.")</f>
        <v>Cô gái Hoa Hồng Trắng và Cô gái Hoa Hồng Đỏ. Kết hợp cả hai để có được Gương Thần.</v>
      </c>
      <c r="H4063" s="8"/>
      <c r="I4063" s="8"/>
      <c r="J4063" s="8"/>
    </row>
    <row r="4064" ht="21.0" customHeight="1">
      <c r="A4064" s="6">
        <v>1.0</v>
      </c>
      <c r="B4064" s="6">
        <v>310.0</v>
      </c>
      <c r="C4064" s="6">
        <v>5.0</v>
      </c>
      <c r="D4064" s="23" t="s">
        <v>6890</v>
      </c>
      <c r="E4064" s="9" t="s">
        <v>6891</v>
      </c>
      <c r="F4064" s="8" t="str">
        <f>IFERROR(__xludf.DUMMYFUNCTION("GOOGLETRANSLATE(D4064,""zh-CN"",""vi"")"),"Gương thần")</f>
        <v>Gương thần</v>
      </c>
      <c r="G4064" s="8" t="str">
        <f>IFERROR(__xludf.DUMMYFUNCTION("GOOGLETRANSLATE(E4064,""zh-CN"",""vi"")"),"Chiếc gương thần trên tường, làm sao để chứng minh giả thuyết Goldbach? Tổng hợp để có được điều ước kỳ diệu.")</f>
        <v>Chiếc gương thần trên tường, làm sao để chứng minh giả thuyết Goldbach? Tổng hợp để có được điều ước kỳ diệu.</v>
      </c>
      <c r="H4064" s="8"/>
      <c r="I4064" s="8"/>
      <c r="J4064" s="8"/>
    </row>
    <row r="4065" ht="21.0" customHeight="1">
      <c r="A4065" s="6">
        <v>1.0</v>
      </c>
      <c r="B4065" s="6">
        <v>310.0</v>
      </c>
      <c r="C4065" s="6">
        <v>6.0</v>
      </c>
      <c r="D4065" s="23" t="s">
        <v>6892</v>
      </c>
      <c r="E4065" s="9" t="s">
        <v>6893</v>
      </c>
      <c r="F4065" s="8" t="str">
        <f>IFERROR(__xludf.DUMMYFUNCTION("GOOGLETRANSLATE(D4065,""zh-CN"",""vi"")"),"Ma thuật Ruyi")</f>
        <v>Ma thuật Ruyi</v>
      </c>
      <c r="G4065" s="8" t="str">
        <f>IFERROR(__xludf.DUMMYFUNCTION("GOOGLETRANSLATE(E4065,""zh-CN"",""vi"")"),"Chúc mọi điều ước của bạn thành hiện thực! ~ Kết hợp các nguyên liệu để tạo thành mũ tai thỏ.")</f>
        <v>Chúc mọi điều ước của bạn thành hiện thực! ~ Kết hợp các nguyên liệu để tạo thành mũ tai thỏ.</v>
      </c>
      <c r="H4065" s="8"/>
      <c r="I4065" s="8"/>
      <c r="J4065" s="8"/>
    </row>
    <row r="4066" ht="21.0" customHeight="1">
      <c r="A4066" s="6">
        <v>1.0</v>
      </c>
      <c r="B4066" s="6">
        <v>310.0</v>
      </c>
      <c r="C4066" s="6">
        <v>7.0</v>
      </c>
      <c r="D4066" s="23" t="s">
        <v>6894</v>
      </c>
      <c r="E4066" s="9" t="s">
        <v>6895</v>
      </c>
      <c r="F4066" s="8" t="str">
        <f>IFERROR(__xludf.DUMMYFUNCTION("GOOGLETRANSLATE(D4066,""zh-CN"",""vi"")"),"Mũ tai thỏ")</f>
        <v>Mũ tai thỏ</v>
      </c>
      <c r="G4066" s="8" t="str">
        <f>IFERROR(__xludf.DUMMYFUNCTION("GOOGLETRANSLATE(E4066,""zh-CN"",""vi"")"),"Đội mũ giúp bạn nhảy cao hơn cả một cái cây. Kết hợp chúng để có được Ngọn giáo Thợ săn.")</f>
        <v>Đội mũ giúp bạn nhảy cao hơn cả một cái cây. Kết hợp chúng để có được Ngọn giáo Thợ săn.</v>
      </c>
      <c r="H4066" s="8"/>
      <c r="I4066" s="8"/>
      <c r="J4066" s="8"/>
    </row>
    <row r="4067" ht="21.0" customHeight="1">
      <c r="A4067" s="6">
        <v>1.0</v>
      </c>
      <c r="B4067" s="6">
        <v>310.0</v>
      </c>
      <c r="C4067" s="6">
        <v>8.0</v>
      </c>
      <c r="D4067" s="23" t="s">
        <v>6896</v>
      </c>
      <c r="E4067" s="9" t="s">
        <v>6897</v>
      </c>
      <c r="F4067" s="8" t="str">
        <f>IFERROR(__xludf.DUMMYFUNCTION("GOOGLETRANSLATE(D4067,""zh-CN"",""vi"")"),"Ngọn giáo của thợ săn")</f>
        <v>Ngọn giáo của thợ săn</v>
      </c>
      <c r="G4067" s="8" t="str">
        <f>IFERROR(__xludf.DUMMYFUNCTION("GOOGLETRANSLATE(E4067,""zh-CN"",""vi"")"),"Người thợ săn đã dùng con dao của mình để cứu Cô bé quàng khăn đỏ và bà của cô khỏi bụng con sói. Sau đó, họ kết hợp các vật dụng của mình để tạo ra chiếc đèn thần.")</f>
        <v>Người thợ săn đã dùng con dao của mình để cứu Cô bé quàng khăn đỏ và bà của cô khỏi bụng con sói. Sau đó, họ kết hợp các vật dụng của mình để tạo ra chiếc đèn thần.</v>
      </c>
      <c r="H4067" s="8"/>
      <c r="I4067" s="8"/>
      <c r="J4067" s="8"/>
    </row>
    <row r="4068" ht="21.0" customHeight="1">
      <c r="A4068" s="6">
        <v>1.0</v>
      </c>
      <c r="B4068" s="6">
        <v>310.0</v>
      </c>
      <c r="C4068" s="6">
        <v>9.0</v>
      </c>
      <c r="D4068" s="23" t="s">
        <v>6898</v>
      </c>
      <c r="E4068" s="9" t="s">
        <v>6899</v>
      </c>
      <c r="F4068" s="8" t="str">
        <f>IFERROR(__xludf.DUMMYFUNCTION("GOOGLETRANSLATE(D4068,""zh-CN"",""vi"")"),"Đèn thần")</f>
        <v>Đèn thần</v>
      </c>
      <c r="G4068" s="8" t="str">
        <f>IFERROR(__xludf.DUMMYFUNCTION("GOOGLETRANSLATE(E4068,""zh-CN"",""vi"")"),"Một chiếc đèn thần, ba điều ước. Kết hợp chúng lại để có được một cây đũa thần.")</f>
        <v>Một chiếc đèn thần, ba điều ước. Kết hợp chúng lại để có được một cây đũa thần.</v>
      </c>
      <c r="H4068" s="8"/>
      <c r="I4068" s="8"/>
      <c r="J4068" s="8"/>
    </row>
    <row r="4069" ht="21.0" customHeight="1">
      <c r="A4069" s="6">
        <v>1.0</v>
      </c>
      <c r="B4069" s="6">
        <v>310.0</v>
      </c>
      <c r="C4069" s="6">
        <v>10.0</v>
      </c>
      <c r="D4069" s="23" t="s">
        <v>6900</v>
      </c>
      <c r="E4069" s="9" t="s">
        <v>6901</v>
      </c>
      <c r="F4069" s="8" t="str">
        <f>IFERROR(__xludf.DUMMYFUNCTION("GOOGLETRANSLATE(D4069,""zh-CN"",""vi"")"),"Cây đũa thần")</f>
        <v>Cây đũa thần</v>
      </c>
      <c r="G4069" s="8" t="str">
        <f>IFERROR(__xludf.DUMMYFUNCTION("GOOGLETRANSLATE(E4069,""zh-CN"",""vi"")"),"Một cây trượng, một câu thần chú—chúng thường đánh dấu sự khởi đầu của một câu chuyện. Kết hợp chúng lại để tạo ra một con rối.")</f>
        <v>Một cây trượng, một câu thần chú—chúng thường đánh dấu sự khởi đầu của một câu chuyện. Kết hợp chúng lại để tạo ra một con rối.</v>
      </c>
      <c r="H4069" s="8"/>
      <c r="I4069" s="8"/>
      <c r="J4069" s="8"/>
    </row>
    <row r="4070" ht="21.0" customHeight="1">
      <c r="A4070" s="6">
        <v>1.0</v>
      </c>
      <c r="B4070" s="6">
        <v>310.0</v>
      </c>
      <c r="C4070" s="6">
        <v>11.0</v>
      </c>
      <c r="D4070" s="23" t="s">
        <v>6902</v>
      </c>
      <c r="E4070" s="9" t="s">
        <v>6903</v>
      </c>
      <c r="F4070" s="8" t="str">
        <f>IFERROR(__xludf.DUMMYFUNCTION("GOOGLETRANSLATE(D4070,""zh-CN"",""vi"")"),"con rối")</f>
        <v>con rối</v>
      </c>
      <c r="G4070" s="8" t="str">
        <f>IFERROR(__xludf.DUMMYFUNCTION("GOOGLETRANSLATE(E4070,""zh-CN"",""vi"")"),"Ngay cả người làm bằng gỗ cũng có trái tim. Hãy chế tạo chiếc mũ phù thủy.")</f>
        <v>Ngay cả người làm bằng gỗ cũng có trái tim. Hãy chế tạo chiếc mũ phù thủy.</v>
      </c>
      <c r="H4070" s="8"/>
      <c r="I4070" s="8"/>
      <c r="J4070" s="8"/>
    </row>
    <row r="4071" ht="21.0" customHeight="1">
      <c r="A4071" s="6">
        <v>1.0</v>
      </c>
      <c r="B4071" s="6">
        <v>310.0</v>
      </c>
      <c r="C4071" s="6">
        <v>12.0</v>
      </c>
      <c r="D4071" s="23" t="s">
        <v>6904</v>
      </c>
      <c r="E4071" s="9" t="s">
        <v>6905</v>
      </c>
      <c r="F4071" s="8" t="str">
        <f>IFERROR(__xludf.DUMMYFUNCTION("GOOGLETRANSLATE(D4071,""zh-CN"",""vi"")"),"Mũ phù thủy")</f>
        <v>Mũ phù thủy</v>
      </c>
      <c r="G4071" s="8" t="str">
        <f>IFERROR(__xludf.DUMMYFUNCTION("GOOGLETRANSLATE(E4071,""zh-CN"",""vi"")"),"Phù thủy độc ác luôn là nhân vật phản diện trong nhiều câu chuyện. Hãy kết hợp các nguyên tố để có được một con rồng phun lửa.")</f>
        <v>Phù thủy độc ác luôn là nhân vật phản diện trong nhiều câu chuyện. Hãy kết hợp các nguyên tố để có được một con rồng phun lửa.</v>
      </c>
      <c r="H4071" s="8"/>
      <c r="I4071" s="8"/>
      <c r="J4071" s="8"/>
    </row>
    <row r="4072" ht="21.0" customHeight="1">
      <c r="A4072" s="6">
        <v>1.0</v>
      </c>
      <c r="B4072" s="6">
        <v>310.0</v>
      </c>
      <c r="C4072" s="6">
        <v>13.0</v>
      </c>
      <c r="D4072" s="23" t="s">
        <v>6906</v>
      </c>
      <c r="E4072" s="9" t="s">
        <v>6907</v>
      </c>
      <c r="F4072" s="8" t="str">
        <f>IFERROR(__xludf.DUMMYFUNCTION("GOOGLETRANSLATE(D4072,""zh-CN"",""vi"")"),"Rồng phun lửa")</f>
        <v>Rồng phun lửa</v>
      </c>
      <c r="G4072" s="8" t="str">
        <f>IFERROR(__xludf.DUMMYFUNCTION("GOOGLETRANSLATE(E4072,""zh-CN"",""vi"")"),"Ngày xửa ngày xưa, một con rồng đã bắt cóc một nàng công chúa... (Quá trình tổng hợp đã đạt đến cấp độ cao nhất.)")</f>
        <v>Ngày xửa ngày xưa, một con rồng đã bắt cóc một nàng công chúa... (Quá trình tổng hợp đã đạt đến cấp độ cao nhất.)</v>
      </c>
      <c r="H4072" s="8"/>
      <c r="I4072" s="8"/>
      <c r="J4072" s="8"/>
    </row>
    <row r="4073" ht="21.0" customHeight="1">
      <c r="A4073" s="6">
        <v>1.0</v>
      </c>
      <c r="B4073" s="6">
        <v>311.0</v>
      </c>
      <c r="C4073" s="6">
        <v>1.0</v>
      </c>
      <c r="D4073" s="23" t="s">
        <v>6908</v>
      </c>
      <c r="E4073" s="9" t="s">
        <v>6909</v>
      </c>
      <c r="F4073" s="8" t="str">
        <f>IFERROR(__xludf.DUMMYFUNCTION("GOOGLETRANSLATE(D4073,""zh-CN"",""vi"")"),"vũ khí bí mật")</f>
        <v>vũ khí bí mật</v>
      </c>
      <c r="G4073" s="8" t="str">
        <f>IFERROR(__xludf.DUMMYFUNCTION("GOOGLETRANSLATE(E4073,""zh-CN"",""vi"")"),"Phi tiêu được dùng để tấn công bất ngờ. Hãy chế tạo chúng để có được một con dao găm.")</f>
        <v>Phi tiêu được dùng để tấn công bất ngờ. Hãy chế tạo chúng để có được một con dao găm.</v>
      </c>
      <c r="H4073" s="8"/>
      <c r="I4073" s="8"/>
      <c r="J4073" s="8"/>
    </row>
    <row r="4074" ht="21.0" customHeight="1">
      <c r="A4074" s="6">
        <v>1.0</v>
      </c>
      <c r="B4074" s="6">
        <v>311.0</v>
      </c>
      <c r="C4074" s="6">
        <v>2.0</v>
      </c>
      <c r="D4074" s="23" t="s">
        <v>6910</v>
      </c>
      <c r="E4074" s="9" t="s">
        <v>6911</v>
      </c>
      <c r="F4074" s="8" t="str">
        <f>IFERROR(__xludf.DUMMYFUNCTION("GOOGLETRANSLATE(D4074,""zh-CN"",""vi"")"),"dao găm")</f>
        <v>dao găm</v>
      </c>
      <c r="G4074" s="8" t="str">
        <f>IFERROR(__xludf.DUMMYFUNCTION("GOOGLETRANSLATE(E4074,""zh-CN"",""vi"")"),"Dao găm của ta được tẩm độc chết người. Kết hợp chúng lại để tạo thành một thanh trường kiếm.")</f>
        <v>Dao găm của ta được tẩm độc chết người. Kết hợp chúng lại để tạo thành một thanh trường kiếm.</v>
      </c>
      <c r="H4074" s="8"/>
      <c r="I4074" s="8"/>
      <c r="J4074" s="8"/>
    </row>
    <row r="4075" ht="21.0" customHeight="1">
      <c r="A4075" s="6">
        <v>1.0</v>
      </c>
      <c r="B4075" s="6">
        <v>311.0</v>
      </c>
      <c r="C4075" s="6">
        <v>3.0</v>
      </c>
      <c r="D4075" s="23" t="s">
        <v>6912</v>
      </c>
      <c r="E4075" s="9" t="s">
        <v>6913</v>
      </c>
      <c r="F4075" s="8" t="str">
        <f>IFERROR(__xludf.DUMMYFUNCTION("GOOGLETRANSLATE(D4075,""zh-CN"",""vi"")"),"Kiếm dài")</f>
        <v>Kiếm dài</v>
      </c>
      <c r="G4075" s="8" t="str">
        <f>IFERROR(__xludf.DUMMYFUNCTION("GOOGLETRANSLATE(E4075,""zh-CN"",""vi"")"),"Vũ khí tối thượng, vũ khí của quý ông. Kết hợp các bộ phận để tạo thành ngọn giáo.")</f>
        <v>Vũ khí tối thượng, vũ khí của quý ông. Kết hợp các bộ phận để tạo thành ngọn giáo.</v>
      </c>
      <c r="H4075" s="8"/>
      <c r="I4075" s="8"/>
      <c r="J4075" s="8"/>
    </row>
    <row r="4076" ht="21.0" customHeight="1">
      <c r="A4076" s="6">
        <v>1.0</v>
      </c>
      <c r="B4076" s="6">
        <v>311.0</v>
      </c>
      <c r="C4076" s="6">
        <v>4.0</v>
      </c>
      <c r="D4076" s="23" t="s">
        <v>6914</v>
      </c>
      <c r="E4076" s="9" t="s">
        <v>6915</v>
      </c>
      <c r="F4076" s="8" t="str">
        <f>IFERROR(__xludf.DUMMYFUNCTION("GOOGLETRANSLATE(D4076,""zh-CN"",""vi"")"),"thương")</f>
        <v>thương</v>
      </c>
      <c r="G4076" s="8" t="str">
        <f>IFERROR(__xludf.DUMMYFUNCTION("GOOGLETRANSLATE(E4076,""zh-CN"",""vi"")"),"Dài thêm một inch, chắc chắn hơn một inch. Kéo dài hết cỡ, nó sẽ trở thành một khẩu súng hỏa mai. Kết hợp chúng lại để có được một thanh đại kiếm.")</f>
        <v>Dài thêm một inch, chắc chắn hơn một inch. Kéo dài hết cỡ, nó sẽ trở thành một khẩu súng hỏa mai. Kết hợp chúng lại để có được một thanh đại kiếm.</v>
      </c>
      <c r="H4076" s="8"/>
      <c r="I4076" s="8"/>
      <c r="J4076" s="8"/>
    </row>
    <row r="4077" ht="21.0" customHeight="1">
      <c r="A4077" s="6">
        <v>1.0</v>
      </c>
      <c r="B4077" s="6">
        <v>311.0</v>
      </c>
      <c r="C4077" s="6">
        <v>5.0</v>
      </c>
      <c r="D4077" s="23" t="s">
        <v>6916</v>
      </c>
      <c r="E4077" s="9" t="s">
        <v>6917</v>
      </c>
      <c r="F4077" s="8" t="str">
        <f>IFERROR(__xludf.DUMMYFUNCTION("GOOGLETRANSLATE(D4077,""zh-CN"",""vi"")"),"thanh kiếm rộng")</f>
        <v>thanh kiếm rộng</v>
      </c>
      <c r="G4077" s="8" t="str">
        <f>IFERROR(__xludf.DUMMYFUNCTION("GOOGLETRANSLATE(E4077,""zh-CN"",""vi"")"),"Một loại vũ khí đơn giản và nhanh chóng để học cách sử dụng. Chế tạo nó để có được búa thiên thạch.")</f>
        <v>Một loại vũ khí đơn giản và nhanh chóng để học cách sử dụng. Chế tạo nó để có được búa thiên thạch.</v>
      </c>
      <c r="H4077" s="8"/>
      <c r="I4077" s="8"/>
      <c r="J4077" s="8"/>
    </row>
    <row r="4078" ht="21.0" customHeight="1">
      <c r="A4078" s="6">
        <v>1.0</v>
      </c>
      <c r="B4078" s="6">
        <v>311.0</v>
      </c>
      <c r="C4078" s="6">
        <v>6.0</v>
      </c>
      <c r="D4078" s="23" t="s">
        <v>6918</v>
      </c>
      <c r="E4078" s="9" t="s">
        <v>6919</v>
      </c>
      <c r="F4078" s="8" t="str">
        <f>IFERROR(__xludf.DUMMYFUNCTION("GOOGLETRANSLATE(D4078,""zh-CN"",""vi"")"),"búa thiên thạch")</f>
        <v>búa thiên thạch</v>
      </c>
      <c r="G4078" s="8" t="str">
        <f>IFERROR(__xludf.DUMMYFUNCTION("GOOGLETRANSLATE(E4078,""zh-CN"",""vi"")"),"Chiếc búa sao băng có một chiêu thức hạ gục bí mật: ném! Kết hợp nó để có được chiếc rìu lớn.")</f>
        <v>Chiếc búa sao băng có một chiêu thức hạ gục bí mật: ném! Kết hợp nó để có được chiếc rìu lớn.</v>
      </c>
      <c r="H4078" s="8"/>
      <c r="I4078" s="8"/>
      <c r="J4078" s="8"/>
    </row>
    <row r="4079" ht="21.0" customHeight="1">
      <c r="A4079" s="6">
        <v>1.0</v>
      </c>
      <c r="B4079" s="6">
        <v>311.0</v>
      </c>
      <c r="C4079" s="6">
        <v>7.0</v>
      </c>
      <c r="D4079" s="23" t="s">
        <v>6920</v>
      </c>
      <c r="E4079" s="9" t="s">
        <v>6921</v>
      </c>
      <c r="F4079" s="8" t="str">
        <f>IFERROR(__xludf.DUMMYFUNCTION("GOOGLETRANSLATE(D4079,""zh-CN"",""vi"")"),"Rìu lớn")</f>
        <v>Rìu lớn</v>
      </c>
      <c r="G4079" s="8" t="str">
        <f>IFERROR(__xludf.DUMMYFUNCTION("GOOGLETRANSLATE(E4079,""zh-CN"",""vi"")"),"Chinh phục các thành phố và chiếm lĩnh lãnh thổ, không gì là không thể. Kết hợp chúng để có được một chiếc búa khổng lồ.")</f>
        <v>Chinh phục các thành phố và chiếm lĩnh lãnh thổ, không gì là không thể. Kết hợp chúng để có được một chiếc búa khổng lồ.</v>
      </c>
      <c r="H4079" s="8"/>
      <c r="I4079" s="8"/>
      <c r="J4079" s="8"/>
    </row>
    <row r="4080" ht="21.0" customHeight="1">
      <c r="A4080" s="6">
        <v>1.0</v>
      </c>
      <c r="B4080" s="6">
        <v>311.0</v>
      </c>
      <c r="C4080" s="6">
        <v>8.0</v>
      </c>
      <c r="D4080" s="23" t="s">
        <v>6922</v>
      </c>
      <c r="E4080" s="72" t="s">
        <v>6923</v>
      </c>
      <c r="F4080" s="8" t="str">
        <f>IFERROR(__xludf.DUMMYFUNCTION("GOOGLETRANSLATE(D4080,""zh-CN"",""vi"")"),"Búa")</f>
        <v>Búa</v>
      </c>
      <c r="G4080" s="8" t="str">
        <f>IFERROR(__xludf.DUMMYFUNCTION("GOOGLETRANSLATE(E4080,""zh-CN"",""vi"")"),"Được thiết kế đặc biệt để tháo dỡ các cỗ máy và đập phá động cơ. Được chế tạo cùng nhau để có được cây thương Fangtian Halberd.")</f>
        <v>Được thiết kế đặc biệt để tháo dỡ các cỗ máy và đập phá động cơ. Được chế tạo cùng nhau để có được cây thương Fangtian Halberd.</v>
      </c>
      <c r="H4080" s="8"/>
      <c r="I4080" s="8"/>
      <c r="J4080" s="8"/>
    </row>
    <row r="4081" ht="21.0" customHeight="1">
      <c r="A4081" s="6">
        <v>1.0</v>
      </c>
      <c r="B4081" s="6">
        <v>311.0</v>
      </c>
      <c r="C4081" s="6">
        <v>9.0</v>
      </c>
      <c r="D4081" s="23" t="s">
        <v>6924</v>
      </c>
      <c r="E4081" s="9" t="s">
        <v>6925</v>
      </c>
      <c r="F4081" s="8" t="str">
        <f>IFERROR(__xludf.DUMMYFUNCTION("GOOGLETRANSLATE(D4081,""zh-CN"",""vi"")"),"Thương Fangtian")</f>
        <v>Thương Fangtian</v>
      </c>
      <c r="G4081" s="8" t="str">
        <f>IFERROR(__xludf.DUMMYFUNCTION("GOOGLETRANSLATE(E4081,""zh-CN"",""vi"")"),"Vũ khí được Lữ Bố, một vị tướng dũng mãnh thời Tam Quốc, sử dụng. Được chế tạo để tạo ra cung tên.")</f>
        <v>Vũ khí được Lữ Bố, một vị tướng dũng mãnh thời Tam Quốc, sử dụng. Được chế tạo để tạo ra cung tên.</v>
      </c>
      <c r="H4081" s="8"/>
      <c r="I4081" s="8"/>
      <c r="J4081" s="8"/>
    </row>
    <row r="4082" ht="21.0" customHeight="1">
      <c r="A4082" s="6">
        <v>1.0</v>
      </c>
      <c r="B4082" s="6">
        <v>311.0</v>
      </c>
      <c r="C4082" s="6">
        <v>10.0</v>
      </c>
      <c r="D4082" s="23" t="s">
        <v>6926</v>
      </c>
      <c r="E4082" s="9" t="s">
        <v>6927</v>
      </c>
      <c r="F4082" s="8" t="str">
        <f>IFERROR(__xludf.DUMMYFUNCTION("GOOGLETRANSLATE(D4082,""zh-CN"",""vi"")"),"cung tên")</f>
        <v>cung tên</v>
      </c>
      <c r="G4082" s="8" t="str">
        <f>IFERROR(__xludf.DUMMYFUNCTION("GOOGLETRANSLATE(E4082,""zh-CN"",""vi"")"),"Một cung thủ bậc thầy, có khả năng bắn trúng một chiếc lá liễu từ khoảng cách trăm bước, và bắn xuyên một cây giáo ngay trước cổng thành. Kết hợp những khả năng này để có được một cây trượng ma thuật.")</f>
        <v>Một cung thủ bậc thầy, có khả năng bắn trúng một chiếc lá liễu từ khoảng cách trăm bước, và bắn xuyên một cây giáo ngay trước cổng thành. Kết hợp những khả năng này để có được một cây trượng ma thuật.</v>
      </c>
      <c r="H4082" s="8"/>
      <c r="I4082" s="8"/>
      <c r="J4082" s="8"/>
    </row>
    <row r="4083" ht="21.0" customHeight="1">
      <c r="A4083" s="6">
        <v>1.0</v>
      </c>
      <c r="B4083" s="6">
        <v>311.0</v>
      </c>
      <c r="C4083" s="6">
        <v>11.0</v>
      </c>
      <c r="D4083" s="23" t="s">
        <v>6928</v>
      </c>
      <c r="E4083" s="9" t="s">
        <v>6929</v>
      </c>
      <c r="F4083" s="8" t="str">
        <f>IFERROR(__xludf.DUMMYFUNCTION("GOOGLETRANSLATE(D4083,""zh-CN"",""vi"")"),"Cây đũa thần")</f>
        <v>Cây đũa thần</v>
      </c>
      <c r="G4083" s="8" t="str">
        <f>IFERROR(__xludf.DUMMYFUNCTION("GOOGLETRANSLATE(E4083,""zh-CN"",""vi"")"),"Ngay cả thân thể cứng rắn nhất cũng không thể chống lại sức mạnh của ma thuật. Hãy chế tạo Khiên Đầu Rồng.")</f>
        <v>Ngay cả thân thể cứng rắn nhất cũng không thể chống lại sức mạnh của ma thuật. Hãy chế tạo Khiên Đầu Rồng.</v>
      </c>
      <c r="H4083" s="8"/>
      <c r="I4083" s="8"/>
      <c r="J4083" s="8"/>
    </row>
    <row r="4084" ht="21.0" customHeight="1">
      <c r="A4084" s="6">
        <v>1.0</v>
      </c>
      <c r="B4084" s="6">
        <v>311.0</v>
      </c>
      <c r="C4084" s="6">
        <v>12.0</v>
      </c>
      <c r="D4084" s="23" t="s">
        <v>6930</v>
      </c>
      <c r="E4084" s="9" t="s">
        <v>6931</v>
      </c>
      <c r="F4084" s="8" t="str">
        <f>IFERROR(__xludf.DUMMYFUNCTION("GOOGLETRANSLATE(D4084,""zh-CN"",""vi"")"),"khiên đầu rồng")</f>
        <v>khiên đầu rồng</v>
      </c>
      <c r="G4084" s="8" t="str">
        <f>IFERROR(__xludf.DUMMYFUNCTION("GOOGLETRANSLATE(E4084,""zh-CN"",""vi"")"),"Một vũ khí mạnh mẽ kết hợp cả tấn công và phòng thủ, đầu rồng của nó có thể phun lửa. Khi kết hợp lại, nó tạo thành Thanh Kiếm Diệt Rồng.")</f>
        <v>Một vũ khí mạnh mẽ kết hợp cả tấn công và phòng thủ, đầu rồng của nó có thể phun lửa. Khi kết hợp lại, nó tạo thành Thanh Kiếm Diệt Rồng.</v>
      </c>
      <c r="H4084" s="8"/>
      <c r="I4084" s="8"/>
      <c r="J4084" s="8"/>
    </row>
    <row r="4085" ht="21.0" customHeight="1">
      <c r="A4085" s="6">
        <v>1.0</v>
      </c>
      <c r="B4085" s="6">
        <v>311.0</v>
      </c>
      <c r="C4085" s="6">
        <v>13.0</v>
      </c>
      <c r="D4085" s="23" t="s">
        <v>6932</v>
      </c>
      <c r="E4085" s="9" t="s">
        <v>6933</v>
      </c>
      <c r="F4085" s="8" t="str">
        <f>IFERROR(__xludf.DUMMYFUNCTION("GOOGLETRANSLATE(D4085,""zh-CN"",""vi"")"),"Thanh kiếm diệt rồng")</f>
        <v>Thanh kiếm diệt rồng</v>
      </c>
      <c r="G4085" s="8" t="str">
        <f>IFERROR(__xludf.DUMMYFUNCTION("GOOGLETRANSLATE(E4085,""zh-CN"",""vi"")"),"Kẻ thù nguy hiểm nhất của tất cả các loài rồng. Đã được tổng hợp đến cấp độ cao nhất.")</f>
        <v>Kẻ thù nguy hiểm nhất của tất cả các loài rồng. Đã được tổng hợp đến cấp độ cao nhất.</v>
      </c>
      <c r="H4085" s="8"/>
      <c r="I4085" s="8"/>
      <c r="J4085" s="8"/>
    </row>
    <row r="4086" ht="21.0" customHeight="1">
      <c r="A4086" s="6">
        <v>1.0</v>
      </c>
      <c r="B4086" s="6">
        <v>312.0</v>
      </c>
      <c r="C4086" s="6">
        <v>1.0</v>
      </c>
      <c r="D4086" s="23" t="s">
        <v>6934</v>
      </c>
      <c r="E4086" s="9" t="s">
        <v>6935</v>
      </c>
      <c r="F4086" s="8" t="str">
        <f>IFERROR(__xludf.DUMMYFUNCTION("GOOGLETRANSLATE(D4086,""zh-CN"",""vi"")"),"Dấu chân rồng")</f>
        <v>Dấu chân rồng</v>
      </c>
      <c r="G4086" s="8" t="str">
        <f>IFERROR(__xludf.DUMMYFUNCTION("GOOGLETRANSLATE(E4086,""zh-CN"",""vi"")"),"Nhìn kìa! Hang ổ của rồng ở gần đây. Kết hợp chúng lại để có được một quả trứng rồng.")</f>
        <v>Nhìn kìa! Hang ổ của rồng ở gần đây. Kết hợp chúng lại để có được một quả trứng rồng.</v>
      </c>
      <c r="H4086" s="8"/>
      <c r="I4086" s="8"/>
      <c r="J4086" s="8"/>
    </row>
    <row r="4087" ht="21.0" customHeight="1">
      <c r="A4087" s="6">
        <v>1.0</v>
      </c>
      <c r="B4087" s="6">
        <v>312.0</v>
      </c>
      <c r="C4087" s="6">
        <v>2.0</v>
      </c>
      <c r="D4087" s="23" t="s">
        <v>6936</v>
      </c>
      <c r="E4087" s="9" t="s">
        <v>6937</v>
      </c>
      <c r="F4087" s="8" t="str">
        <f>IFERROR(__xludf.DUMMYFUNCTION("GOOGLETRANSLATE(D4087,""zh-CN"",""vi"")"),"Trứng Rồng")</f>
        <v>Trứng Rồng</v>
      </c>
      <c r="G4087" s="8" t="str">
        <f>IFERROR(__xludf.DUMMYFUNCTION("GOOGLETRANSLATE(E4087,""zh-CN"",""vi"")"),"Có vẻ đây là một con rồng cái. Kết hợp chúng lại để nhận được một viên ngọc.")</f>
        <v>Có vẻ đây là một con rồng cái. Kết hợp chúng lại để nhận được một viên ngọc.</v>
      </c>
      <c r="H4087" s="8"/>
      <c r="I4087" s="8"/>
      <c r="J4087" s="8"/>
    </row>
    <row r="4088" ht="21.0" customHeight="1">
      <c r="A4088" s="6">
        <v>1.0</v>
      </c>
      <c r="B4088" s="6">
        <v>312.0</v>
      </c>
      <c r="C4088" s="6">
        <v>3.0</v>
      </c>
      <c r="D4088" s="23" t="s">
        <v>6938</v>
      </c>
      <c r="E4088" s="9" t="s">
        <v>6939</v>
      </c>
      <c r="F4088" s="8" t="str">
        <f>IFERROR(__xludf.DUMMYFUNCTION("GOOGLETRANSLATE(D4088,""zh-CN"",""vi"")"),"viên ngọc")</f>
        <v>viên ngọc</v>
      </c>
      <c r="G4088" s="8" t="str">
        <f>IFERROR(__xludf.DUMMYFUNCTION("GOOGLETRANSLATE(E4088,""zh-CN"",""vi"")"),"Trong hang ổ của nó, chúng ta đã tìm thấy rất nhiều kho báu. Hãy chế tác chúng để có được những loại thuốc ma thuật.")</f>
        <v>Trong hang ổ của nó, chúng ta đã tìm thấy rất nhiều kho báu. Hãy chế tác chúng để có được những loại thuốc ma thuật.</v>
      </c>
      <c r="H4088" s="8"/>
      <c r="I4088" s="8"/>
      <c r="J4088" s="8"/>
    </row>
    <row r="4089" ht="21.0" customHeight="1">
      <c r="A4089" s="6">
        <v>1.0</v>
      </c>
      <c r="B4089" s="6">
        <v>312.0</v>
      </c>
      <c r="C4089" s="6">
        <v>4.0</v>
      </c>
      <c r="D4089" s="23" t="s">
        <v>6940</v>
      </c>
      <c r="E4089" s="9" t="s">
        <v>6941</v>
      </c>
      <c r="F4089" s="8" t="str">
        <f>IFERROR(__xludf.DUMMYFUNCTION("GOOGLETRANSLATE(D4089,""zh-CN"",""vi"")"),"Thuốc ma thuật")</f>
        <v>Thuốc ma thuật</v>
      </c>
      <c r="G4089" s="8" t="str">
        <f>IFERROR(__xludf.DUMMYFUNCTION("GOOGLETRANSLATE(E4089,""zh-CN"",""vi"")"),"Thuốc tăng tốc độ, uống nó sẽ giúp bạn chạy nhanh hơn, khụ khụ... kết hợp nó để có được Thanh kiếm Anh hùng.")</f>
        <v>Thuốc tăng tốc độ, uống nó sẽ giúp bạn chạy nhanh hơn, khụ khụ... kết hợp nó để có được Thanh kiếm Anh hùng.</v>
      </c>
      <c r="H4089" s="8"/>
      <c r="I4089" s="8"/>
      <c r="J4089" s="8"/>
    </row>
    <row r="4090" ht="21.0" customHeight="1">
      <c r="A4090" s="6">
        <v>1.0</v>
      </c>
      <c r="B4090" s="6">
        <v>312.0</v>
      </c>
      <c r="C4090" s="6">
        <v>5.0</v>
      </c>
      <c r="D4090" s="23" t="s">
        <v>6942</v>
      </c>
      <c r="E4090" s="9" t="s">
        <v>6943</v>
      </c>
      <c r="F4090" s="8" t="str">
        <f>IFERROR(__xludf.DUMMYFUNCTION("GOOGLETRANSLATE(D4090,""zh-CN"",""vi"")"),"Thanh kiếm dũng cảm")</f>
        <v>Thanh kiếm dũng cảm</v>
      </c>
      <c r="G4090" s="8" t="str">
        <f>IFERROR(__xludf.DUMMYFUNCTION("GOOGLETRANSLATE(E4090,""zh-CN"",""vi"")"),"Tôi nghe nói đó là một cổ vật quý hiếm, nhưng tôi thấy ai trên đường cũng mang theo... Bạn có thể tổng hợp nó để có được Khiên Anh Hùng.")</f>
        <v>Tôi nghe nói đó là một cổ vật quý hiếm, nhưng tôi thấy ai trên đường cũng mang theo... Bạn có thể tổng hợp nó để có được Khiên Anh Hùng.</v>
      </c>
      <c r="H4090" s="8"/>
      <c r="I4090" s="8"/>
      <c r="J4090" s="8"/>
    </row>
    <row r="4091" ht="21.0" customHeight="1">
      <c r="A4091" s="6">
        <v>1.0</v>
      </c>
      <c r="B4091" s="6">
        <v>312.0</v>
      </c>
      <c r="C4091" s="6">
        <v>6.0</v>
      </c>
      <c r="D4091" s="23" t="s">
        <v>6944</v>
      </c>
      <c r="E4091" s="9" t="s">
        <v>6945</v>
      </c>
      <c r="F4091" s="8" t="str">
        <f>IFERROR(__xludf.DUMMYFUNCTION("GOOGLETRANSLATE(D4091,""zh-CN"",""vi"")"),"Khiên Anh Hùng")</f>
        <v>Khiên Anh Hùng</v>
      </c>
      <c r="G4091" s="8" t="str">
        <f>IFERROR(__xludf.DUMMYFUNCTION("GOOGLETRANSLATE(E4091,""zh-CN"",""vi"")"),"Những thứ khác có thể được ưu tiên sau; chiếc khiên là ưu tiên cao nhất! Hãy chế tạo nó để có được Mũ bảo hiểm Anh hùng.")</f>
        <v>Những thứ khác có thể được ưu tiên sau; chiếc khiên là ưu tiên cao nhất! Hãy chế tạo nó để có được Mũ bảo hiểm Anh hùng.</v>
      </c>
      <c r="H4091" s="8"/>
      <c r="I4091" s="8"/>
      <c r="J4091" s="8"/>
    </row>
    <row r="4092" ht="21.0" customHeight="1">
      <c r="A4092" s="6">
        <v>1.0</v>
      </c>
      <c r="B4092" s="6">
        <v>312.0</v>
      </c>
      <c r="C4092" s="6">
        <v>7.0</v>
      </c>
      <c r="D4092" s="23" t="s">
        <v>6946</v>
      </c>
      <c r="E4092" s="72" t="s">
        <v>6947</v>
      </c>
      <c r="F4092" s="8" t="str">
        <f>IFERROR(__xludf.DUMMYFUNCTION("GOOGLETRANSLATE(D4092,""zh-CN"",""vi"")"),"Mũ bảo hiểm anh hùng")</f>
        <v>Mũ bảo hiểm anh hùng</v>
      </c>
      <c r="G4092" s="8" t="str">
        <f>IFERROR(__xludf.DUMMYFUNCTION("GOOGLETRANSLATE(E4092,""zh-CN"",""vi"")"),"Giờ trông chúng ngầu hơn nhiều rồi. Kết hợp chúng lại để có được Giày Chiến Binh.")</f>
        <v>Giờ trông chúng ngầu hơn nhiều rồi. Kết hợp chúng lại để có được Giày Chiến Binh.</v>
      </c>
      <c r="H4092" s="8"/>
      <c r="I4092" s="8"/>
      <c r="J4092" s="8"/>
    </row>
    <row r="4093" ht="21.0" customHeight="1">
      <c r="A4093" s="6">
        <v>1.0</v>
      </c>
      <c r="B4093" s="6">
        <v>312.0</v>
      </c>
      <c r="C4093" s="6">
        <v>8.0</v>
      </c>
      <c r="D4093" s="23" t="s">
        <v>6948</v>
      </c>
      <c r="E4093" s="9" t="s">
        <v>6949</v>
      </c>
      <c r="F4093" s="8" t="str">
        <f>IFERROR(__xludf.DUMMYFUNCTION("GOOGLETRANSLATE(D4093,""zh-CN"",""vi"")"),"Giày chiến binh")</f>
        <v>Giày chiến binh</v>
      </c>
      <c r="G4093" s="8" t="str">
        <f>IFERROR(__xludf.DUMMYFUNCTION("GOOGLETRANSLATE(E4093,""zh-CN"",""vi"")"),"Thành thật mà nói, đôi ủng sắt đó thực sự rất nặng. Hãy chế tạo chúng để có được Thắt lưng Anh hùng.")</f>
        <v>Thành thật mà nói, đôi ủng sắt đó thực sự rất nặng. Hãy chế tạo chúng để có được Thắt lưng Anh hùng.</v>
      </c>
      <c r="H4093" s="8"/>
      <c r="I4093" s="8"/>
      <c r="J4093" s="8"/>
    </row>
    <row r="4094" ht="21.0" customHeight="1">
      <c r="A4094" s="6">
        <v>1.0</v>
      </c>
      <c r="B4094" s="6">
        <v>312.0</v>
      </c>
      <c r="C4094" s="6">
        <v>9.0</v>
      </c>
      <c r="D4094" s="23" t="s">
        <v>6950</v>
      </c>
      <c r="E4094" s="9" t="s">
        <v>6951</v>
      </c>
      <c r="F4094" s="8" t="str">
        <f>IFERROR(__xludf.DUMMYFUNCTION("GOOGLETRANSLATE(D4094,""zh-CN"",""vi"")"),"Thắt lưng anh hùng")</f>
        <v>Thắt lưng anh hùng</v>
      </c>
      <c r="G4094" s="8" t="str">
        <f>IFERROR(__xludf.DUMMYFUNCTION("GOOGLETRANSLATE(E4094,""zh-CN"",""vi"")"),"Nghe nói rằng dây lưng có thể tăng thuộc tính, tin đồn này bắt nguồn từ đâu? (Vật phẩm này được dùng để lấy điểm neo dịch chuyển.)")</f>
        <v>Nghe nói rằng dây lưng có thể tăng thuộc tính, tin đồn này bắt nguồn từ đâu? (Vật phẩm này được dùng để lấy điểm neo dịch chuyển.)</v>
      </c>
      <c r="H4094" s="8"/>
      <c r="I4094" s="8"/>
      <c r="J4094" s="8"/>
    </row>
    <row r="4095" ht="21.0" customHeight="1">
      <c r="A4095" s="6">
        <v>1.0</v>
      </c>
      <c r="B4095" s="6">
        <v>312.0</v>
      </c>
      <c r="C4095" s="6">
        <v>10.0</v>
      </c>
      <c r="D4095" s="23" t="s">
        <v>6952</v>
      </c>
      <c r="E4095" s="9" t="s">
        <v>6953</v>
      </c>
      <c r="F4095" s="8" t="str">
        <f>IFERROR(__xludf.DUMMYFUNCTION("GOOGLETRANSLATE(D4095,""zh-CN"",""vi"")"),"Neo dịch chuyển tức thời")</f>
        <v>Neo dịch chuyển tức thời</v>
      </c>
      <c r="G4095" s="8" t="str">
        <f>IFERROR(__xludf.DUMMYFUNCTION("GOOGLETRANSLATE(E4095,""zh-CN"",""vi"")"),"Điểm dịch chuyển tức thời là một phát minh tuyệt vời, giúp tiết kiệm rất nhiều thời gian! Hãy chế tạo tượng pháp sư.")</f>
        <v>Điểm dịch chuyển tức thời là một phát minh tuyệt vời, giúp tiết kiệm rất nhiều thời gian! Hãy chế tạo tượng pháp sư.</v>
      </c>
      <c r="H4095" s="8"/>
      <c r="I4095" s="8"/>
      <c r="J4095" s="8"/>
    </row>
    <row r="4096" ht="21.0" customHeight="1">
      <c r="A4096" s="6">
        <v>1.0</v>
      </c>
      <c r="B4096" s="6">
        <v>312.0</v>
      </c>
      <c r="C4096" s="6">
        <v>11.0</v>
      </c>
      <c r="D4096" s="23" t="s">
        <v>6954</v>
      </c>
      <c r="E4096" s="9" t="s">
        <v>6955</v>
      </c>
      <c r="F4096" s="8" t="str">
        <f>IFERROR(__xludf.DUMMYFUNCTION("GOOGLETRANSLATE(D4096,""zh-CN"",""vi"")"),"tượng pháp sư")</f>
        <v>tượng pháp sư</v>
      </c>
      <c r="G4096" s="8" t="str">
        <f>IFERROR(__xludf.DUMMYFUNCTION("GOOGLETRANSLATE(E4096,""zh-CN"",""vi"")"),"Tuyển pháp sư! Ưu tiên những người có thể thi triển các phép thuật gây sát thương như cầu lửa và sấm sét! Chế tạo tượng linh mục.")</f>
        <v>Tuyển pháp sư! Ưu tiên những người có thể thi triển các phép thuật gây sát thương như cầu lửa và sấm sét! Chế tạo tượng linh mục.</v>
      </c>
      <c r="H4096" s="8"/>
      <c r="I4096" s="8"/>
      <c r="J4096" s="8"/>
    </row>
    <row r="4097" ht="21.0" customHeight="1">
      <c r="A4097" s="6">
        <v>1.0</v>
      </c>
      <c r="B4097" s="6">
        <v>312.0</v>
      </c>
      <c r="C4097" s="6">
        <v>12.0</v>
      </c>
      <c r="D4097" s="23" t="s">
        <v>6956</v>
      </c>
      <c r="E4097" s="9" t="s">
        <v>6957</v>
      </c>
      <c r="F4097" s="8" t="str">
        <f>IFERROR(__xludf.DUMMYFUNCTION("GOOGLETRANSLATE(D4097,""zh-CN"",""vi"")"),"Tượng linh mục")</f>
        <v>Tượng linh mục</v>
      </c>
      <c r="G4097" s="8" t="str">
        <f>IFERROR(__xludf.DUMMYFUNCTION("GOOGLETRANSLATE(E4097,""zh-CN"",""vi"")"),"Chúng tôi đang tuyển linh mục! Những cá nhân mạnh mẽ, có năng lực và có thể dựa vào các đồng minh hùng mạnh sẽ được ưu tiên! Cùng nhau chế tạo để nhận được tượng Anh hùng.")</f>
        <v>Chúng tôi đang tuyển linh mục! Những cá nhân mạnh mẽ, có năng lực và có thể dựa vào các đồng minh hùng mạnh sẽ được ưu tiên! Cùng nhau chế tạo để nhận được tượng Anh hùng.</v>
      </c>
      <c r="H4097" s="8"/>
      <c r="I4097" s="8"/>
      <c r="J4097" s="8"/>
    </row>
    <row r="4098" ht="21.0" customHeight="1">
      <c r="A4098" s="6">
        <v>1.0</v>
      </c>
      <c r="B4098" s="6">
        <v>312.0</v>
      </c>
      <c r="C4098" s="6">
        <v>13.0</v>
      </c>
      <c r="D4098" s="23" t="s">
        <v>6958</v>
      </c>
      <c r="E4098" s="9" t="s">
        <v>6959</v>
      </c>
      <c r="F4098" s="8" t="str">
        <f>IFERROR(__xludf.DUMMYFUNCTION("GOOGLETRANSLATE(D4098,""zh-CN"",""vi"")"),"Hình tượng anh hùng")</f>
        <v>Hình tượng anh hùng</v>
      </c>
      <c r="G4098" s="8" t="str">
        <f>IFERROR(__xludf.DUMMYFUNCTION("GOOGLETRANSLATE(E4098,""zh-CN"",""vi"")"),"Người hùng là trụ cột của đội. Anh ấy đã được tổng hợp đến cấp độ cao nhất.")</f>
        <v>Người hùng là trụ cột của đội. Anh ấy đã được tổng hợp đến cấp độ cao nhất.</v>
      </c>
      <c r="H4098" s="8"/>
      <c r="I4098" s="8"/>
      <c r="J4098" s="8"/>
    </row>
    <row r="4099" ht="21.0" customHeight="1">
      <c r="A4099" s="6">
        <v>11.0</v>
      </c>
      <c r="B4099" s="6">
        <v>2003.0</v>
      </c>
      <c r="C4099" s="6">
        <v>1.0</v>
      </c>
      <c r="D4099" s="23" t="s">
        <v>6960</v>
      </c>
      <c r="E4099" s="9" t="s">
        <v>6961</v>
      </c>
      <c r="F4099" s="8" t="str">
        <f>IFERROR(__xludf.DUMMYFUNCTION("GOOGLETRANSLATE(D4099,""zh-CN"",""vi"")"),"Rơm nhiều màu")</f>
        <v>Rơm nhiều màu</v>
      </c>
      <c r="G4099" s="8" t="str">
        <f>IFERROR(__xludf.DUMMYFUNCTION("GOOGLETRANSLATE(E4099,""zh-CN"",""vi"")"),"Được sắp xếp gọn gàng, tạo nên sự tương phản với những màu sắc lộn xộn. Kết hợp lại để tạo thành một chiếc tổ cỏ lộn xộn.")</f>
        <v>Được sắp xếp gọn gàng, tạo nên sự tương phản với những màu sắc lộn xộn. Kết hợp lại để tạo thành một chiếc tổ cỏ lộn xộn.</v>
      </c>
      <c r="H4099" s="8"/>
      <c r="I4099" s="8"/>
      <c r="J4099" s="8"/>
    </row>
    <row r="4100" ht="21.0" customHeight="1">
      <c r="A4100" s="6">
        <v>11.0</v>
      </c>
      <c r="B4100" s="6">
        <v>2003.0</v>
      </c>
      <c r="C4100" s="6">
        <v>2.0</v>
      </c>
      <c r="D4100" s="23" t="s">
        <v>6962</v>
      </c>
      <c r="E4100" s="9" t="s">
        <v>6963</v>
      </c>
      <c r="F4100" s="8" t="str">
        <f>IFERROR(__xludf.DUMMYFUNCTION("GOOGLETRANSLATE(D4100,""zh-CN"",""vi"")"),"Tổ cỏ lộn xộn")</f>
        <v>Tổ cỏ lộn xộn</v>
      </c>
      <c r="G4100" s="8" t="str">
        <f>IFERROR(__xludf.DUMMYFUNCTION("GOOGLETRANSLATE(E4100,""zh-CN"",""vi"")"),"Trứng có thể nở từ một tổ cỏ lộn xộn không? Hãy làm một tổ cây thô sơ.")</f>
        <v>Trứng có thể nở từ một tổ cỏ lộn xộn không? Hãy làm một tổ cây thô sơ.</v>
      </c>
      <c r="H4100" s="8"/>
      <c r="I4100" s="8"/>
      <c r="J4100" s="8"/>
    </row>
    <row r="4101" ht="21.0" customHeight="1">
      <c r="A4101" s="6">
        <v>11.0</v>
      </c>
      <c r="B4101" s="6">
        <v>2003.0</v>
      </c>
      <c r="C4101" s="6">
        <v>3.0</v>
      </c>
      <c r="D4101" s="23" t="s">
        <v>6964</v>
      </c>
      <c r="E4101" s="9" t="s">
        <v>6965</v>
      </c>
      <c r="F4101" s="8" t="str">
        <f>IFERROR(__xludf.DUMMYFUNCTION("GOOGLETRANSLATE(D4101,""zh-CN"",""vi"")"),"Tổ cây thô sơ")</f>
        <v>Tổ cây thô sơ</v>
      </c>
      <c r="G4101" s="8" t="str">
        <f>IFERROR(__xludf.DUMMYFUNCTION("GOOGLETRANSLATE(E4101,""zh-CN"",""vi"")"),"Chỉ cần chỉnh sửa một chút, bạn đã có ngay một chiếc tổ cây! Kết hợp các mảnh ghép lại để tạo thành một chiếc tổ cây khảm.")</f>
        <v>Chỉ cần chỉnh sửa một chút, bạn đã có ngay một chiếc tổ cây! Kết hợp các mảnh ghép lại để tạo thành một chiếc tổ cây khảm.</v>
      </c>
      <c r="H4101" s="8"/>
      <c r="I4101" s="8"/>
      <c r="J4101" s="8"/>
    </row>
    <row r="4102" ht="21.0" customHeight="1">
      <c r="A4102" s="6">
        <v>11.0</v>
      </c>
      <c r="B4102" s="6">
        <v>2003.0</v>
      </c>
      <c r="C4102" s="6">
        <v>4.0</v>
      </c>
      <c r="D4102" s="23" t="s">
        <v>6966</v>
      </c>
      <c r="E4102" s="9" t="s">
        <v>6967</v>
      </c>
      <c r="F4102" s="8" t="str">
        <f>IFERROR(__xludf.DUMMYFUNCTION("GOOGLETRANSLATE(D4102,""zh-CN"",""vi"")"),"Tổ chim khảm")</f>
        <v>Tổ chim khảm</v>
      </c>
      <c r="G4102" s="8" t="str">
        <f>IFERROR(__xludf.DUMMYFUNCTION("GOOGLETRANSLATE(E4102,""zh-CN"",""vi"")"),"Được trang trí bằng những bông hoa tươi, nó mang một vẻ trang trọng. Kết hợp chúng lại để tạo thành một tổ trứng bằng đá.")</f>
        <v>Được trang trí bằng những bông hoa tươi, nó mang một vẻ trang trọng. Kết hợp chúng lại để tạo thành một tổ trứng bằng đá.</v>
      </c>
      <c r="H4102" s="8"/>
      <c r="I4102" s="8"/>
      <c r="J4102" s="8"/>
    </row>
    <row r="4103" ht="21.0" customHeight="1">
      <c r="A4103" s="6">
        <v>10.0</v>
      </c>
      <c r="B4103" s="6">
        <v>2003.0</v>
      </c>
      <c r="C4103" s="6">
        <v>5.0</v>
      </c>
      <c r="D4103" s="23" t="s">
        <v>6968</v>
      </c>
      <c r="E4103" s="9" t="s">
        <v>6969</v>
      </c>
      <c r="F4103" s="8" t="str">
        <f>IFERROR(__xludf.DUMMYFUNCTION("GOOGLETRANSLATE(D4103,""zh-CN"",""vi"")"),"Tổ trứng đá")</f>
        <v>Tổ trứng đá</v>
      </c>
      <c r="G4103" s="8" t="str">
        <f>IFERROR(__xludf.DUMMYFUNCTION("GOOGLETRANSLATE(E4103,""zh-CN"",""vi"")"),"Sử dụng đá làm đế sẽ làm tăng tỷ lệ nở trứng. Kết hợp chúng để tạo thành tổ trứng hình gốc cây.")</f>
        <v>Sử dụng đá làm đế sẽ làm tăng tỷ lệ nở trứng. Kết hợp chúng để tạo thành tổ trứng hình gốc cây.</v>
      </c>
      <c r="H4103" s="8"/>
      <c r="I4103" s="8"/>
      <c r="J4103" s="8"/>
    </row>
    <row r="4104" ht="21.0" customHeight="1">
      <c r="A4104" s="6">
        <v>10.0</v>
      </c>
      <c r="B4104" s="6">
        <v>2003.0</v>
      </c>
      <c r="C4104" s="6">
        <v>6.0</v>
      </c>
      <c r="D4104" s="23" t="s">
        <v>6970</v>
      </c>
      <c r="E4104" s="9" t="s">
        <v>6971</v>
      </c>
      <c r="F4104" s="8" t="str">
        <f>IFERROR(__xludf.DUMMYFUNCTION("GOOGLETRANSLATE(D4104,""zh-CN"",""vi"")"),"Tổ trứng trên gốc cây")</f>
        <v>Tổ trứng trên gốc cây</v>
      </c>
      <c r="G4104" s="8" t="str">
        <f>IFERROR(__xludf.DUMMYFUNCTION("GOOGLETRANSLATE(E4104,""zh-CN"",""vi"")"),"Một tổ trứng bán kín, mang lại cảm giác an toàn tuyệt vời! Hãy tự tay làm tổ trứng hình ngôi nhà độc đáo này.")</f>
        <v>Một tổ trứng bán kín, mang lại cảm giác an toàn tuyệt vời! Hãy tự tay làm tổ trứng hình ngôi nhà độc đáo này.</v>
      </c>
      <c r="H4104" s="8"/>
      <c r="I4104" s="8"/>
      <c r="J4104" s="8"/>
    </row>
    <row r="4105" ht="21.0" customHeight="1">
      <c r="A4105" s="6">
        <v>10.0</v>
      </c>
      <c r="B4105" s="6">
        <v>2003.0</v>
      </c>
      <c r="C4105" s="6">
        <v>7.0</v>
      </c>
      <c r="D4105" s="23" t="s">
        <v>6972</v>
      </c>
      <c r="E4105" s="9" t="s">
        <v>6973</v>
      </c>
      <c r="F4105" s="8" t="str">
        <f>IFERROR(__xludf.DUMMYFUNCTION("GOOGLETRANSLATE(D4105,""zh-CN"",""vi"")"),"Tổ trứng nhà nguyên bản")</f>
        <v>Tổ trứng nhà nguyên bản</v>
      </c>
      <c r="G4105" s="8" t="str">
        <f>IFERROR(__xludf.DUMMYFUNCTION("GOOGLETRANSLATE(E4105,""zh-CN"",""vi"")"),"Một số quả trứng chưa nở được tìm thấy bên trong ngôi nhà ban đầu. Hãy chế tạo chúng để có được một lồng ấp trứng xoay.")</f>
        <v>Một số quả trứng chưa nở được tìm thấy bên trong ngôi nhà ban đầu. Hãy chế tạo chúng để có được một lồng ấp trứng xoay.</v>
      </c>
      <c r="H4105" s="8"/>
      <c r="I4105" s="8"/>
      <c r="J4105" s="8"/>
    </row>
    <row r="4106" ht="21.0" customHeight="1">
      <c r="A4106" s="6">
        <v>10.0</v>
      </c>
      <c r="B4106" s="6">
        <v>2003.0</v>
      </c>
      <c r="C4106" s="6">
        <v>8.0</v>
      </c>
      <c r="D4106" s="23" t="s">
        <v>6974</v>
      </c>
      <c r="E4106" s="9" t="s">
        <v>6975</v>
      </c>
      <c r="F4106" s="8" t="str">
        <f>IFERROR(__xludf.DUMMYFUNCTION("GOOGLETRANSLATE(D4106,""zh-CN"",""vi"")"),"Lồng ấp xoay")</f>
        <v>Lồng ấp xoay</v>
      </c>
      <c r="G4106" s="8" t="str">
        <f>IFERROR(__xludf.DUMMYFUNCTION("GOOGLETRANSLATE(E4106,""zh-CN"",""vi"")"),"Nó quay nhanh theo nhạc, một hình thức giáo dục mầm non sử dụng trứng. Kết hợp chúng lại để tạo thành một máy ấp trứng kỳ diệu.")</f>
        <v>Nó quay nhanh theo nhạc, một hình thức giáo dục mầm non sử dụng trứng. Kết hợp chúng lại để tạo thành một máy ấp trứng kỳ diệu.</v>
      </c>
      <c r="H4106" s="8"/>
      <c r="I4106" s="8"/>
      <c r="J4106" s="8"/>
    </row>
    <row r="4107" ht="21.0" customHeight="1">
      <c r="A4107" s="6">
        <v>10.0</v>
      </c>
      <c r="B4107" s="6">
        <v>2003.0</v>
      </c>
      <c r="C4107" s="6">
        <v>9.0</v>
      </c>
      <c r="D4107" s="23" t="s">
        <v>6976</v>
      </c>
      <c r="E4107" s="9" t="s">
        <v>6977</v>
      </c>
      <c r="F4107" s="8" t="str">
        <f>IFERROR(__xludf.DUMMYFUNCTION("GOOGLETRANSLATE(D4107,""zh-CN"",""vi"")"),"Trại ấp trứng ma thuật")</f>
        <v>Trại ấp trứng ma thuật</v>
      </c>
      <c r="G4107" s="8" t="str">
        <f>IFERROR(__xludf.DUMMYFUNCTION("GOOGLETRANSLATE(E4107,""zh-CN"",""vi"")"),"Truyền năng lượng ma thuật vào những quả trứng bằng thiết bị. Kết hợp chúng lại để nhận được Gashapon Cat Incubator.")</f>
        <v>Truyền năng lượng ma thuật vào những quả trứng bằng thiết bị. Kết hợp chúng lại để nhận được Gashapon Cat Incubator.</v>
      </c>
      <c r="H4107" s="8"/>
      <c r="I4107" s="8"/>
      <c r="J4107" s="8"/>
    </row>
    <row r="4108" ht="21.0" customHeight="1">
      <c r="A4108" s="6">
        <v>10.0</v>
      </c>
      <c r="B4108" s="6">
        <v>2003.0</v>
      </c>
      <c r="C4108" s="6">
        <v>10.0</v>
      </c>
      <c r="D4108" s="23" t="s">
        <v>6978</v>
      </c>
      <c r="E4108" s="9" t="s">
        <v>6979</v>
      </c>
      <c r="F4108" s="8" t="str">
        <f>IFERROR(__xludf.DUMMYFUNCTION("GOOGLETRANSLATE(D4108,""zh-CN"",""vi"")"),"Máy ấp trứng mèo Gashapon")</f>
        <v>Máy ấp trứng mèo Gashapon</v>
      </c>
      <c r="G4108" s="8" t="str">
        <f>IFERROR(__xludf.DUMMYFUNCTION("GOOGLETRANSLATE(E4108,""zh-CN"",""vi"")"),"Sinh vật nhỏ bé nào sẽ nở ra từ quả trứng mà bạn đã xoay vặn? Nó đã được tổng hợp đến cấp độ cao nhất.")</f>
        <v>Sinh vật nhỏ bé nào sẽ nở ra từ quả trứng mà bạn đã xoay vặn? Nó đã được tổng hợp đến cấp độ cao nhất.</v>
      </c>
      <c r="H4108" s="8"/>
      <c r="I4108" s="8"/>
      <c r="J4108" s="8"/>
    </row>
    <row r="4109" ht="21.0" customHeight="1">
      <c r="A4109" s="6">
        <v>11.0</v>
      </c>
      <c r="B4109" s="6">
        <v>2004.0</v>
      </c>
      <c r="C4109" s="6">
        <v>1.0</v>
      </c>
      <c r="D4109" s="23" t="s">
        <v>6980</v>
      </c>
      <c r="E4109" s="9" t="s">
        <v>6981</v>
      </c>
      <c r="F4109" s="8" t="str">
        <f>IFERROR(__xludf.DUMMYFUNCTION("GOOGLETRANSLATE(D4109,""zh-CN"",""vi"")"),"Rơm nhiều màu [V]")</f>
        <v>Rơm nhiều màu [V]</v>
      </c>
      <c r="G4109" s="8" t="str">
        <f>IFERROR(__xludf.DUMMYFUNCTION("GOOGLETRANSLATE(E4109,""zh-CN"",""vi"")"),"Sắp xếp gọn gàng, tương phản với màu sắc hỗn loạn. Tổng hợp để có được một tổ cỏ lộn xộn [V].")</f>
        <v>Sắp xếp gọn gàng, tương phản với màu sắc hỗn loạn. Tổng hợp để có được một tổ cỏ lộn xộn [V].</v>
      </c>
      <c r="H4109" s="8"/>
      <c r="I4109" s="8"/>
      <c r="J4109" s="8"/>
    </row>
    <row r="4110" ht="21.0" customHeight="1">
      <c r="A4110" s="6">
        <v>11.0</v>
      </c>
      <c r="B4110" s="6">
        <v>2004.0</v>
      </c>
      <c r="C4110" s="6">
        <v>2.0</v>
      </c>
      <c r="D4110" s="23" t="s">
        <v>6982</v>
      </c>
      <c r="E4110" s="9" t="s">
        <v>6983</v>
      </c>
      <c r="F4110" s="8" t="str">
        <f>IFERROR(__xludf.DUMMYFUNCTION("GOOGLETRANSLATE(D4110,""zh-CN"",""vi"")"),"Một mớ cỏ dại rối rắm [V]")</f>
        <v>Một mớ cỏ dại rối rắm [V]</v>
      </c>
      <c r="G4110" s="8" t="str">
        <f>IFERROR(__xludf.DUMMYFUNCTION("GOOGLETRANSLATE(E4110,""zh-CN"",""vi"")"),"Liệu trứng có thể nở từ một tổ cỏ lộn xộn không? Chế tạo một tổ cây thô sơ [V].")</f>
        <v>Liệu trứng có thể nở từ một tổ cỏ lộn xộn không? Chế tạo một tổ cây thô sơ [V].</v>
      </c>
      <c r="H4110" s="8"/>
      <c r="I4110" s="8"/>
      <c r="J4110" s="8"/>
    </row>
    <row r="4111" ht="21.0" customHeight="1">
      <c r="A4111" s="6">
        <v>11.0</v>
      </c>
      <c r="B4111" s="6">
        <v>2004.0</v>
      </c>
      <c r="C4111" s="6">
        <v>3.0</v>
      </c>
      <c r="D4111" s="23" t="s">
        <v>6984</v>
      </c>
      <c r="E4111" s="9" t="s">
        <v>6985</v>
      </c>
      <c r="F4111" s="8" t="str">
        <f>IFERROR(__xludf.DUMMYFUNCTION("GOOGLETRANSLATE(D4111,""zh-CN"",""vi"")"),"Tổ cây làm bằng vật liệu thô sơ [V]")</f>
        <v>Tổ cây làm bằng vật liệu thô sơ [V]</v>
      </c>
      <c r="G4111" s="8" t="str">
        <f>IFERROR(__xludf.DUMMYFUNCTION("GOOGLETRANSLATE(E4111,""zh-CN"",""vi"")"),"Chỉ cần chỉnh sửa một chút, tổ cây đã sẵn sàng! Hãy chế tạo nó để nhận được Tổ Cây Khảm [V].")</f>
        <v>Chỉ cần chỉnh sửa một chút, tổ cây đã sẵn sàng! Hãy chế tạo nó để nhận được Tổ Cây Khảm [V].</v>
      </c>
      <c r="H4111" s="8"/>
      <c r="I4111" s="8"/>
      <c r="J4111" s="8"/>
    </row>
    <row r="4112" ht="21.0" customHeight="1">
      <c r="A4112" s="6">
        <v>11.0</v>
      </c>
      <c r="B4112" s="6">
        <v>2004.0</v>
      </c>
      <c r="C4112" s="6">
        <v>4.0</v>
      </c>
      <c r="D4112" s="23" t="s">
        <v>6986</v>
      </c>
      <c r="E4112" s="9" t="s">
        <v>6987</v>
      </c>
      <c r="F4112" s="8" t="str">
        <f>IFERROR(__xludf.DUMMYFUNCTION("GOOGLETRANSLATE(D4112,""zh-CN"",""vi"")"),"Tổ cây khảm [V]")</f>
        <v>Tổ cây khảm [V]</v>
      </c>
      <c r="G4112" s="8" t="str">
        <f>IFERROR(__xludf.DUMMYFUNCTION("GOOGLETRANSLATE(E4112,""zh-CN"",""vi"")"),"Được trang trí bằng hoa tươi, nó mang lại cảm giác rất trang trọng. Kết hợp để có được Tổ Trứng Đá [V].")</f>
        <v>Được trang trí bằng hoa tươi, nó mang lại cảm giác rất trang trọng. Kết hợp để có được Tổ Trứng Đá [V].</v>
      </c>
      <c r="H4112" s="8"/>
      <c r="I4112" s="8"/>
      <c r="J4112" s="8"/>
    </row>
    <row r="4113" ht="21.0" customHeight="1">
      <c r="A4113" s="6">
        <v>10.0</v>
      </c>
      <c r="B4113" s="6">
        <v>2004.0</v>
      </c>
      <c r="C4113" s="6">
        <v>5.0</v>
      </c>
      <c r="D4113" s="23" t="s">
        <v>6988</v>
      </c>
      <c r="E4113" s="9" t="s">
        <v>6989</v>
      </c>
      <c r="F4113" s="8" t="str">
        <f>IFERROR(__xludf.DUMMYFUNCTION("GOOGLETRANSLATE(D4113,""zh-CN"",""vi"")"),"Tổ trứng xây bằng đá [V]")</f>
        <v>Tổ trứng xây bằng đá [V]</v>
      </c>
      <c r="G4113" s="8" t="str">
        <f>IFERROR(__xludf.DUMMYFUNCTION("GOOGLETRANSLATE(E4113,""zh-CN"",""vi"")"),"Sử dụng đá làm nền sẽ tăng xác suất nở trứng. Chế tạo tổ trứng bằng gốc cây [V].")</f>
        <v>Sử dụng đá làm nền sẽ tăng xác suất nở trứng. Chế tạo tổ trứng bằng gốc cây [V].</v>
      </c>
      <c r="H4113" s="8"/>
      <c r="I4113" s="8"/>
      <c r="J4113" s="8"/>
    </row>
    <row r="4114" ht="21.0" customHeight="1">
      <c r="A4114" s="6">
        <v>10.0</v>
      </c>
      <c r="B4114" s="6">
        <v>2004.0</v>
      </c>
      <c r="C4114" s="6">
        <v>6.0</v>
      </c>
      <c r="D4114" s="23" t="s">
        <v>6990</v>
      </c>
      <c r="E4114" s="9" t="s">
        <v>6991</v>
      </c>
      <c r="F4114" s="8" t="str">
        <f>IFERROR(__xludf.DUMMYFUNCTION("GOOGLETRANSLATE(D4114,""zh-CN"",""vi"")"),"Tổ trứng trên gốc cây [V]")</f>
        <v>Tổ trứng trên gốc cây [V]</v>
      </c>
      <c r="G4114" s="8" t="str">
        <f>IFERROR(__xludf.DUMMYFUNCTION("GOOGLETRANSLATE(E4114,""zh-CN"",""vi"")"),"Một tổ trứng bán kín, mang lại cảm giác an toàn tuyệt vời! Hãy chế tạo tổ trứng hình ngôi nhà nguyên bản [V].")</f>
        <v>Một tổ trứng bán kín, mang lại cảm giác an toàn tuyệt vời! Hãy chế tạo tổ trứng hình ngôi nhà nguyên bản [V].</v>
      </c>
      <c r="H4114" s="8"/>
      <c r="I4114" s="8"/>
      <c r="J4114" s="8"/>
    </row>
    <row r="4115" ht="21.0" customHeight="1">
      <c r="A4115" s="6">
        <v>10.0</v>
      </c>
      <c r="B4115" s="6">
        <v>2004.0</v>
      </c>
      <c r="C4115" s="6">
        <v>7.0</v>
      </c>
      <c r="D4115" s="23" t="s">
        <v>6992</v>
      </c>
      <c r="E4115" s="9" t="s">
        <v>6993</v>
      </c>
      <c r="F4115" s="8" t="str">
        <f>IFERROR(__xludf.DUMMYFUNCTION("GOOGLETRANSLATE(D4115,""zh-CN"",""vi"")"),"Tổ trứng nhà nguyên bản [V]")</f>
        <v>Tổ trứng nhà nguyên bản [V]</v>
      </c>
      <c r="G4115" s="8" t="str">
        <f>IFERROR(__xludf.DUMMYFUNCTION("GOOGLETRANSLATE(E4115,""zh-CN"",""vi"")"),"Một số quả trứng chưa nở được tìm thấy trong ngôi nhà ban đầu. Hãy chế tạo chúng để có được Máy ấp trứng xoay [V].")</f>
        <v>Một số quả trứng chưa nở được tìm thấy trong ngôi nhà ban đầu. Hãy chế tạo chúng để có được Máy ấp trứng xoay [V].</v>
      </c>
      <c r="H4115" s="8"/>
      <c r="I4115" s="8"/>
      <c r="J4115" s="8"/>
    </row>
    <row r="4116" ht="21.0" customHeight="1">
      <c r="A4116" s="6">
        <v>10.0</v>
      </c>
      <c r="B4116" s="6">
        <v>2004.0</v>
      </c>
      <c r="C4116" s="6">
        <v>8.0</v>
      </c>
      <c r="D4116" s="23" t="s">
        <v>6994</v>
      </c>
      <c r="E4116" s="9" t="s">
        <v>6995</v>
      </c>
      <c r="F4116" s="8" t="str">
        <f>IFERROR(__xludf.DUMMYFUNCTION("GOOGLETRANSLATE(D4116,""zh-CN"",""vi"")"),"Lồng ấp xoay [V]")</f>
        <v>Lồng ấp xoay [V]</v>
      </c>
      <c r="G4116" s="8" t="str">
        <f>IFERROR(__xludf.DUMMYFUNCTION("GOOGLETRANSLATE(E4116,""zh-CN"",""vi"")"),"Nó quay với tốc độ cao theo nhạc, một hình thức giáo dục mầm non sử dụng trứng. Tổng hợp để có được Máy Ấp Ma Thuật [V].")</f>
        <v>Nó quay với tốc độ cao theo nhạc, một hình thức giáo dục mầm non sử dụng trứng. Tổng hợp để có được Máy Ấp Ma Thuật [V].</v>
      </c>
      <c r="H4116" s="8"/>
      <c r="I4116" s="8"/>
      <c r="J4116" s="8"/>
    </row>
    <row r="4117" ht="21.0" customHeight="1">
      <c r="A4117" s="6">
        <v>10.0</v>
      </c>
      <c r="B4117" s="6">
        <v>2004.0</v>
      </c>
      <c r="C4117" s="6">
        <v>9.0</v>
      </c>
      <c r="D4117" s="23" t="s">
        <v>6996</v>
      </c>
      <c r="E4117" s="9" t="s">
        <v>6997</v>
      </c>
      <c r="F4117" s="8" t="str">
        <f>IFERROR(__xludf.DUMMYFUNCTION("GOOGLETRANSLATE(D4117,""zh-CN"",""vi"")"),"Máy ấp trứng thần kỳ [V]")</f>
        <v>Máy ấp trứng thần kỳ [V]</v>
      </c>
      <c r="G4117" s="8" t="str">
        <f>IFERROR(__xludf.DUMMYFUNCTION("GOOGLETRANSLATE(E4117,""zh-CN"",""vi"")"),"Truyền năng lượng ma thuật vào trứng thông qua nhạc cụ. Tổng hợp để có được Gashapon Cat Incubator [V].")</f>
        <v>Truyền năng lượng ma thuật vào trứng thông qua nhạc cụ. Tổng hợp để có được Gashapon Cat Incubator [V].</v>
      </c>
      <c r="H4117" s="8"/>
      <c r="I4117" s="8"/>
      <c r="J4117" s="8"/>
    </row>
    <row r="4118" ht="21.0" customHeight="1">
      <c r="A4118" s="6">
        <v>10.0</v>
      </c>
      <c r="B4118" s="6">
        <v>2004.0</v>
      </c>
      <c r="C4118" s="6">
        <v>10.0</v>
      </c>
      <c r="D4118" s="23" t="s">
        <v>6998</v>
      </c>
      <c r="E4118" s="9" t="s">
        <v>6979</v>
      </c>
      <c r="F4118" s="8" t="str">
        <f>IFERROR(__xludf.DUMMYFUNCTION("GOOGLETRANSLATE(D4118,""zh-CN"",""vi"")"),"Gashapon Cat Incubator [V]")</f>
        <v>Gashapon Cat Incubator [V]</v>
      </c>
      <c r="G4118" s="8" t="str">
        <f>IFERROR(__xludf.DUMMYFUNCTION("GOOGLETRANSLATE(E4118,""zh-CN"",""vi"")"),"Sinh vật nhỏ bé nào sẽ nở ra từ quả trứng mà bạn đã xoay vặn? Nó đã được tổng hợp đến cấp độ cao nhất.")</f>
        <v>Sinh vật nhỏ bé nào sẽ nở ra từ quả trứng mà bạn đã xoay vặn? Nó đã được tổng hợp đến cấp độ cao nhất.</v>
      </c>
      <c r="H4118" s="8"/>
      <c r="I4118" s="8"/>
      <c r="J4118" s="8"/>
    </row>
    <row r="4119" ht="21.0" customHeight="1">
      <c r="A4119" s="6">
        <v>1.0</v>
      </c>
      <c r="B4119" s="6">
        <v>313.0</v>
      </c>
      <c r="C4119" s="6">
        <v>1.0</v>
      </c>
      <c r="D4119" s="23" t="s">
        <v>6999</v>
      </c>
      <c r="E4119" s="9" t="s">
        <v>7000</v>
      </c>
      <c r="F4119" s="8" t="str">
        <f>IFERROR(__xludf.DUMMYFUNCTION("GOOGLETRANSLATE(D4119,""zh-CN"",""vi"")"),"Trứng khủng long")</f>
        <v>Trứng khủng long</v>
      </c>
      <c r="G4119" s="8" t="str">
        <f>IFERROR(__xludf.DUMMYFUNCTION("GOOGLETRANSLATE(E4119,""zh-CN"",""vi"")"),"Bề mặt nhẵn bóng được khắc những hoa văn cổ xưa. Kết hợp các thành phần để tạo thành một chú khủng long con.")</f>
        <v>Bề mặt nhẵn bóng được khắc những hoa văn cổ xưa. Kết hợp các thành phần để tạo thành một chú khủng long con.</v>
      </c>
      <c r="H4119" s="8"/>
      <c r="I4119" s="8"/>
      <c r="J4119" s="8"/>
    </row>
    <row r="4120" ht="21.0" customHeight="1">
      <c r="A4120" s="6">
        <v>1.0</v>
      </c>
      <c r="B4120" s="6">
        <v>313.0</v>
      </c>
      <c r="C4120" s="6">
        <v>2.0</v>
      </c>
      <c r="D4120" s="23" t="s">
        <v>7001</v>
      </c>
      <c r="E4120" s="9" t="s">
        <v>7002</v>
      </c>
      <c r="F4120" s="8" t="str">
        <f>IFERROR(__xludf.DUMMYFUNCTION("GOOGLETRANSLATE(D4120,""zh-CN"",""vi"")"),"Khủng long con")</f>
        <v>Khủng long con</v>
      </c>
      <c r="G4120" s="8" t="str">
        <f>IFERROR(__xludf.DUMMYFUNCTION("GOOGLETRANSLATE(E4120,""zh-CN"",""vi"")"),"Chú rồng con mới nở vẫn còn hơi nhút nhát. Kết hợp chúng lại để có được một chú rồng con.")</f>
        <v>Chú rồng con mới nở vẫn còn hơi nhút nhát. Kết hợp chúng lại để có được một chú rồng con.</v>
      </c>
      <c r="H4120" s="8"/>
      <c r="I4120" s="8"/>
      <c r="J4120" s="8"/>
    </row>
    <row r="4121" ht="21.0" customHeight="1">
      <c r="A4121" s="6">
        <v>1.0</v>
      </c>
      <c r="B4121" s="6">
        <v>313.0</v>
      </c>
      <c r="C4121" s="6">
        <v>3.0</v>
      </c>
      <c r="D4121" s="23" t="s">
        <v>7003</v>
      </c>
      <c r="E4121" s="9" t="s">
        <v>7004</v>
      </c>
      <c r="F4121" s="8" t="str">
        <f>IFERROR(__xludf.DUMMYFUNCTION("GOOGLETRANSLATE(D4121,""zh-CN"",""vi"")"),"Rồng con mới nở")</f>
        <v>Rồng con mới nở</v>
      </c>
      <c r="G4121" s="8" t="str">
        <f>IFERROR(__xludf.DUMMYFUNCTION("GOOGLETRANSLATE(E4121,""zh-CN"",""vi"")"),"Bám chặt vào vỏ trứng, nó hấp thụ toàn bộ năng lượng còn lại bên trong. Kết hợp lại, chúng tạo ra một chú rồng con mắt híp.")</f>
        <v>Bám chặt vào vỏ trứng, nó hấp thụ toàn bộ năng lượng còn lại bên trong. Kết hợp lại, chúng tạo ra một chú rồng con mắt híp.</v>
      </c>
      <c r="H4121" s="8"/>
      <c r="I4121" s="8"/>
      <c r="J4121" s="8"/>
    </row>
    <row r="4122" ht="21.0" customHeight="1">
      <c r="A4122" s="6">
        <v>1.0</v>
      </c>
      <c r="B4122" s="6">
        <v>313.0</v>
      </c>
      <c r="C4122" s="6">
        <v>4.0</v>
      </c>
      <c r="D4122" s="23" t="s">
        <v>7005</v>
      </c>
      <c r="E4122" s="9" t="s">
        <v>7006</v>
      </c>
      <c r="F4122" s="8" t="str">
        <f>IFERROR(__xludf.DUMMYFUNCTION("GOOGLETRANSLATE(D4122,""zh-CN"",""vi"")"),"Rồng Nhỏ Mắt Nhíu")</f>
        <v>Rồng Nhỏ Mắt Nhíu</v>
      </c>
      <c r="G4122" s="8" t="str">
        <f>IFERROR(__xludf.DUMMYFUNCTION("GOOGLETRANSLATE(E4122,""zh-CN"",""vi"")"),"Tôi không bị nheo mắt, chỉ hơi buồn ngủ thôi. Hãy tổng hợp để có được một chú rồng con mũm mĩm.")</f>
        <v>Tôi không bị nheo mắt, chỉ hơi buồn ngủ thôi. Hãy tổng hợp để có được một chú rồng con mũm mĩm.</v>
      </c>
      <c r="H4122" s="8"/>
      <c r="I4122" s="8"/>
      <c r="J4122" s="8"/>
    </row>
    <row r="4123" ht="21.0" customHeight="1">
      <c r="A4123" s="6">
        <v>1.0</v>
      </c>
      <c r="B4123" s="6">
        <v>313.0</v>
      </c>
      <c r="C4123" s="6">
        <v>5.0</v>
      </c>
      <c r="D4123" s="23" t="s">
        <v>7007</v>
      </c>
      <c r="E4123" s="9" t="s">
        <v>7008</v>
      </c>
      <c r="F4123" s="8" t="str">
        <f>IFERROR(__xludf.DUMMYFUNCTION("GOOGLETRANSLATE(D4123,""zh-CN"",""vi"")"),"Rồng con mũm mĩm")</f>
        <v>Rồng con mũm mĩm</v>
      </c>
      <c r="G4123" s="8" t="str">
        <f>IFERROR(__xludf.DUMMYFUNCTION("GOOGLETRANSLATE(E4123,""zh-CN"",""vi"")"),"Đây không phải là mỡ thừa, mà là mỡ tốt! Hãy tổng hợp để có được một chú rồng con đáng yêu.")</f>
        <v>Đây không phải là mỡ thừa, mà là mỡ tốt! Hãy tổng hợp để có được một chú rồng con đáng yêu.</v>
      </c>
      <c r="H4123" s="8"/>
      <c r="I4123" s="8"/>
      <c r="J4123" s="8"/>
    </row>
    <row r="4124" ht="21.0" customHeight="1">
      <c r="A4124" s="6">
        <v>1.0</v>
      </c>
      <c r="B4124" s="6">
        <v>313.0</v>
      </c>
      <c r="C4124" s="6">
        <v>6.0</v>
      </c>
      <c r="D4124" s="23" t="s">
        <v>7009</v>
      </c>
      <c r="E4124" s="9" t="s">
        <v>7010</v>
      </c>
      <c r="F4124" s="8" t="str">
        <f>IFERROR(__xludf.DUMMYFUNCTION("GOOGLETRANSLATE(D4124,""zh-CN"",""vi"")"),"rồng con ngoan ngoãn")</f>
        <v>rồng con ngoan ngoãn</v>
      </c>
      <c r="G4124" s="8" t="str">
        <f>IFERROR(__xludf.DUMMYFUNCTION("GOOGLETRANSLATE(E4124,""zh-CN"",""vi"")"),"Ngồi ngoan ngoãn chờ được cho ăn. Kết hợp các bộ phận để tạo thành một chú rồng mềm mại và đáng yêu.")</f>
        <v>Ngồi ngoan ngoãn chờ được cho ăn. Kết hợp các bộ phận để tạo thành một chú rồng mềm mại và đáng yêu.</v>
      </c>
      <c r="H4124" s="8"/>
      <c r="I4124" s="8"/>
      <c r="J4124" s="8"/>
    </row>
    <row r="4125" ht="21.0" customHeight="1">
      <c r="A4125" s="6">
        <v>1.0</v>
      </c>
      <c r="B4125" s="6">
        <v>313.0</v>
      </c>
      <c r="C4125" s="6">
        <v>7.0</v>
      </c>
      <c r="D4125" s="23" t="s">
        <v>7011</v>
      </c>
      <c r="E4125" s="9" t="s">
        <v>7012</v>
      </c>
      <c r="F4125" s="8" t="str">
        <f>IFERROR(__xludf.DUMMYFUNCTION("GOOGLETRANSLATE(D4125,""zh-CN"",""vi"")"),"Rồng mềm mại và dễ thương")</f>
        <v>Rồng mềm mại và dễ thương</v>
      </c>
      <c r="G4125" s="8" t="str">
        <f>IFERROR(__xludf.DUMMYFUNCTION("GOOGLETRANSLATE(E4125,""zh-CN"",""vi"")"),"Dễ thương đến mức gần như không công bằng, mình không thể kìm lòng mà muốn vuốt ve nó thêm vài lần nữa. Kết hợp chúng để có được Khủng long Trái Tim Thủy Tinh.")</f>
        <v>Dễ thương đến mức gần như không công bằng, mình không thể kìm lòng mà muốn vuốt ve nó thêm vài lần nữa. Kết hợp chúng để có được Khủng long Trái Tim Thủy Tinh.</v>
      </c>
      <c r="H4125" s="8"/>
      <c r="I4125" s="8"/>
      <c r="J4125" s="8"/>
    </row>
    <row r="4126" ht="21.0" customHeight="1">
      <c r="A4126" s="6">
        <v>1.0</v>
      </c>
      <c r="B4126" s="6">
        <v>313.0</v>
      </c>
      <c r="C4126" s="6">
        <v>8.0</v>
      </c>
      <c r="D4126" s="23" t="s">
        <v>7013</v>
      </c>
      <c r="E4126" s="9" t="s">
        <v>7014</v>
      </c>
      <c r="F4126" s="8" t="str">
        <f>IFERROR(__xludf.DUMMYFUNCTION("GOOGLETRANSLATE(D4126,""zh-CN"",""vi"")"),"Khủng long trái tim thủy tinh")</f>
        <v>Khủng long trái tim thủy tinh</v>
      </c>
      <c r="G4126" s="8" t="str">
        <f>IFERROR(__xludf.DUMMYFUNCTION("GOOGLETRANSLATE(E4126,""zh-CN"",""vi"")"),"Rồng con thích những món đồ chơi có màu sắc tương tự với chúng. Kết hợp chúng lại để có được Khủng long Ngũ giác tỏa sáng.")</f>
        <v>Rồng con thích những món đồ chơi có màu sắc tương tự với chúng. Kết hợp chúng lại để có được Khủng long Ngũ giác tỏa sáng.</v>
      </c>
      <c r="H4126" s="8"/>
      <c r="I4126" s="8"/>
      <c r="J4126" s="8"/>
    </row>
    <row r="4127" ht="21.0" customHeight="1">
      <c r="A4127" s="6">
        <v>1.0</v>
      </c>
      <c r="B4127" s="6">
        <v>313.0</v>
      </c>
      <c r="C4127" s="6">
        <v>9.0</v>
      </c>
      <c r="D4127" s="23" t="s">
        <v>7015</v>
      </c>
      <c r="E4127" s="9" t="s">
        <v>7016</v>
      </c>
      <c r="F4127" s="8" t="str">
        <f>IFERROR(__xludf.DUMMYFUNCTION("GOOGLETRANSLATE(D4127,""zh-CN"",""vi"")"),"Khủng long Ngũ giác tỏa sáng")</f>
        <v>Khủng long Ngũ giác tỏa sáng</v>
      </c>
      <c r="G4127" s="8" t="str">
        <f>IFERROR(__xludf.DUMMYFUNCTION("GOOGLETRANSLATE(E4127,""zh-CN"",""vi"")"),"Sở thích với những thứ lấp lánh là bản năng của rồng. Hãy tổng hợp để có được Khủng long Tai Bướm Tinh Nghịch.")</f>
        <v>Sở thích với những thứ lấp lánh là bản năng của rồng. Hãy tổng hợp để có được Khủng long Tai Bướm Tinh Nghịch.</v>
      </c>
      <c r="H4127" s="8"/>
      <c r="I4127" s="8"/>
      <c r="J4127" s="8"/>
    </row>
    <row r="4128" ht="21.0" customHeight="1">
      <c r="A4128" s="6">
        <v>1.0</v>
      </c>
      <c r="B4128" s="6">
        <v>313.0</v>
      </c>
      <c r="C4128" s="6">
        <v>10.0</v>
      </c>
      <c r="D4128" s="23" t="s">
        <v>7017</v>
      </c>
      <c r="E4128" s="9" t="s">
        <v>7018</v>
      </c>
      <c r="F4128" s="8" t="str">
        <f>IFERROR(__xludf.DUMMYFUNCTION("GOOGLETRANSLATE(D4128,""zh-CN"",""vi"")"),"Khủng long tai bướm tinh nghịch")</f>
        <v>Khủng long tai bướm tinh nghịch</v>
      </c>
      <c r="G4128" s="8" t="str">
        <f>IFERROR(__xludf.DUMMYFUNCTION("GOOGLETRANSLATE(E4128,""zh-CN"",""vi"")"),"Đôi tai của nó trông giống như cánh bướm, nhưng thật không may là nó không thể bay. Hãy kết hợp chúng để tạo ra chú khủng long bắt bướm ngộ nghĩnh.")</f>
        <v>Đôi tai của nó trông giống như cánh bướm, nhưng thật không may là nó không thể bay. Hãy kết hợp chúng để tạo ra chú khủng long bắt bướm ngộ nghĩnh.</v>
      </c>
      <c r="H4128" s="8"/>
      <c r="I4128" s="8"/>
      <c r="J4128" s="8"/>
    </row>
    <row r="4129" ht="21.0" customHeight="1">
      <c r="A4129" s="6">
        <v>1.0</v>
      </c>
      <c r="B4129" s="6">
        <v>313.0</v>
      </c>
      <c r="C4129" s="6">
        <v>11.0</v>
      </c>
      <c r="D4129" s="23" t="s">
        <v>7019</v>
      </c>
      <c r="E4129" s="9" t="s">
        <v>7020</v>
      </c>
      <c r="F4129" s="8" t="str">
        <f>IFERROR(__xludf.DUMMYFUNCTION("GOOGLETRANSLATE(D4129,""zh-CN"",""vi"")"),"Con bướm tinh nghịch bắt khủng long")</f>
        <v>Con bướm tinh nghịch bắt khủng long</v>
      </c>
      <c r="G4129" s="8" t="str">
        <f>IFERROR(__xludf.DUMMYFUNCTION("GOOGLETRANSLATE(E4129,""zh-CN"",""vi"")"),"Thân hình nó phát triển khổng lồ, nhưng bên trong vẫn giữ nguyên hình dáng của một con khủng long non. Kết hợp chúng lại để có được Khủng long điều khiển lửa ma thuật.")</f>
        <v>Thân hình nó phát triển khổng lồ, nhưng bên trong vẫn giữ nguyên hình dáng của một con khủng long non. Kết hợp chúng lại để có được Khủng long điều khiển lửa ma thuật.</v>
      </c>
      <c r="H4129" s="8"/>
      <c r="I4129" s="8"/>
      <c r="J4129" s="8"/>
    </row>
    <row r="4130" ht="21.0" customHeight="1">
      <c r="A4130" s="6">
        <v>1.0</v>
      </c>
      <c r="B4130" s="6">
        <v>313.0</v>
      </c>
      <c r="C4130" s="6">
        <v>12.0</v>
      </c>
      <c r="D4130" s="23" t="s">
        <v>7021</v>
      </c>
      <c r="E4130" s="9" t="s">
        <v>7022</v>
      </c>
      <c r="F4130" s="8" t="str">
        <f>IFERROR(__xludf.DUMMYFUNCTION("GOOGLETRANSLATE(D4130,""zh-CN"",""vi"")"),"Khủng long ma thuật điều khiển lửa")</f>
        <v>Khủng long ma thuật điều khiển lửa</v>
      </c>
      <c r="G4130" s="8" t="str">
        <f>IFERROR(__xludf.DUMMYFUNCTION("GOOGLETRANSLATE(E4130,""zh-CN"",""vi"")"),"Việc khống chế ngọn lửa rất dễ dàng. Hãy tổng hợp để tạo ra một con khủng long điện tử cơ khí.")</f>
        <v>Việc khống chế ngọn lửa rất dễ dàng. Hãy tổng hợp để tạo ra một con khủng long điện tử cơ khí.</v>
      </c>
      <c r="H4130" s="8"/>
      <c r="I4130" s="8"/>
      <c r="J4130" s="8"/>
    </row>
    <row r="4131" ht="21.0" customHeight="1">
      <c r="A4131" s="6">
        <v>1.0</v>
      </c>
      <c r="B4131" s="6">
        <v>313.0</v>
      </c>
      <c r="C4131" s="6">
        <v>13.0</v>
      </c>
      <c r="D4131" s="23" t="s">
        <v>7023</v>
      </c>
      <c r="E4131" s="9" t="s">
        <v>7024</v>
      </c>
      <c r="F4131" s="8" t="str">
        <f>IFERROR(__xludf.DUMMYFUNCTION("GOOGLETRANSLATE(D4131,""zh-CN"",""vi"")"),"Khủng long cơ khí và điện tử")</f>
        <v>Khủng long cơ khí và điện tử</v>
      </c>
      <c r="G4131" s="8" t="str">
        <f>IFERROR(__xludf.DUMMYFUNCTION("GOOGLETRANSLATE(E4131,""zh-CN"",""vi"")"),"Một lớp vỏ cứng cáp, năng lượng mạnh mẽ, một vị vua bất khả chiến bại. Nó đã được tổng hợp đến cấp độ cao nhất.")</f>
        <v>Một lớp vỏ cứng cáp, năng lượng mạnh mẽ, một vị vua bất khả chiến bại. Nó đã được tổng hợp đến cấp độ cao nhất.</v>
      </c>
      <c r="H4131" s="8"/>
      <c r="I4131" s="8"/>
      <c r="J4131" s="8"/>
    </row>
    <row r="4132" ht="21.0" customHeight="1">
      <c r="A4132" s="6">
        <v>1.0</v>
      </c>
      <c r="B4132" s="6">
        <v>314.0</v>
      </c>
      <c r="C4132" s="6">
        <v>1.0</v>
      </c>
      <c r="D4132" s="23" t="s">
        <v>7025</v>
      </c>
      <c r="E4132" s="9" t="s">
        <v>7026</v>
      </c>
      <c r="F4132" s="8" t="str">
        <f>IFERROR(__xludf.DUMMYFUNCTION("GOOGLETRANSLATE(D4132,""zh-CN"",""vi"")"),"Quái vật tí hon")</f>
        <v>Quái vật tí hon</v>
      </c>
      <c r="G4132" s="8" t="str">
        <f>IFERROR(__xludf.DUMMYFUNCTION("GOOGLETRANSLATE(E4132,""zh-CN"",""vi"")"),"Nó cực kỳ nhỏ, vì vậy hãy chăm sóc nó thật tốt! Bạn có thể tổng hợp nó để có được Quái thú nhỏ tinh xảo.")</f>
        <v>Nó cực kỳ nhỏ, vì vậy hãy chăm sóc nó thật tốt! Bạn có thể tổng hợp nó để có được Quái thú nhỏ tinh xảo.</v>
      </c>
      <c r="H4132" s="8"/>
      <c r="I4132" s="8"/>
      <c r="J4132" s="8"/>
    </row>
    <row r="4133" ht="21.0" customHeight="1">
      <c r="A4133" s="6">
        <v>1.0</v>
      </c>
      <c r="B4133" s="6">
        <v>314.0</v>
      </c>
      <c r="C4133" s="6">
        <v>2.0</v>
      </c>
      <c r="D4133" s="23" t="s">
        <v>7027</v>
      </c>
      <c r="E4133" s="9" t="s">
        <v>7028</v>
      </c>
      <c r="F4133" s="8" t="str">
        <f>IFERROR(__xludf.DUMMYFUNCTION("GOOGLETRANSLATE(D4133,""zh-CN"",""vi"")"),"Quái thú nhỏ Linglong")</f>
        <v>Quái thú nhỏ Linglong</v>
      </c>
      <c r="G4133" s="8" t="str">
        <f>IFERROR(__xludf.DUMMYFUNCTION("GOOGLETRANSLATE(E4133,""zh-CN"",""vi"")"),"Liệu con quái vật nhỏ này có bao giờ lớn lên không? (Tổng hợp để có được Quái vật nhỏ buồn ngủ.)")</f>
        <v>Liệu con quái vật nhỏ này có bao giờ lớn lên không? (Tổng hợp để có được Quái vật nhỏ buồn ngủ.)</v>
      </c>
      <c r="H4133" s="8"/>
      <c r="I4133" s="8"/>
      <c r="J4133" s="8"/>
    </row>
    <row r="4134" ht="21.0" customHeight="1">
      <c r="A4134" s="6">
        <v>1.0</v>
      </c>
      <c r="B4134" s="6">
        <v>314.0</v>
      </c>
      <c r="C4134" s="6">
        <v>3.0</v>
      </c>
      <c r="D4134" s="23" t="s">
        <v>7029</v>
      </c>
      <c r="E4134" s="9" t="s">
        <v>7030</v>
      </c>
      <c r="F4134" s="8" t="str">
        <f>IFERROR(__xludf.DUMMYFUNCTION("GOOGLETRANSLATE(D4134,""zh-CN"",""vi"")"),"Quái vật nhỏ ngủ gật")</f>
        <v>Quái vật nhỏ ngủ gật</v>
      </c>
      <c r="G4134" s="8" t="str">
        <f>IFERROR(__xludf.DUMMYFUNCTION("GOOGLETRANSLATE(E4134,""zh-CN"",""vi"")"),"Đừng bao giờ mở mắt nếu bạn có thể nhắm mắt lại. Tổng hợp để có được Quái thú nhỏ ngây thơ.")</f>
        <v>Đừng bao giờ mở mắt nếu bạn có thể nhắm mắt lại. Tổng hợp để có được Quái thú nhỏ ngây thơ.</v>
      </c>
      <c r="H4134" s="8"/>
      <c r="I4134" s="8"/>
      <c r="J4134" s="8"/>
    </row>
    <row r="4135" ht="21.0" customHeight="1">
      <c r="A4135" s="6">
        <v>1.0</v>
      </c>
      <c r="B4135" s="6">
        <v>314.0</v>
      </c>
      <c r="C4135" s="6">
        <v>4.0</v>
      </c>
      <c r="D4135" s="23" t="s">
        <v>7031</v>
      </c>
      <c r="E4135" s="9" t="s">
        <v>7032</v>
      </c>
      <c r="F4135" s="8" t="str">
        <f>IFERROR(__xludf.DUMMYFUNCTION("GOOGLETRANSLATE(D4135,""zh-CN"",""vi"")"),"Quái vật nhỏ ngây thơ")</f>
        <v>Quái vật nhỏ ngây thơ</v>
      </c>
      <c r="G4135" s="8" t="str">
        <f>IFERROR(__xludf.DUMMYFUNCTION("GOOGLETRANSLATE(E4135,""zh-CN"",""vi"")"),"Ở giai đoạn non, nó thuần khiết và không lẫn tạp chất. Khi kết hợp lại, nó tạo ra Quái vật Hoa Trâm Cài.")</f>
        <v>Ở giai đoạn non, nó thuần khiết và không lẫn tạp chất. Khi kết hợp lại, nó tạo ra Quái vật Hoa Trâm Cài.</v>
      </c>
      <c r="H4135" s="8"/>
      <c r="I4135" s="8"/>
      <c r="J4135" s="8"/>
    </row>
    <row r="4136" ht="21.0" customHeight="1">
      <c r="A4136" s="6">
        <v>1.0</v>
      </c>
      <c r="B4136" s="6">
        <v>314.0</v>
      </c>
      <c r="C4136" s="6">
        <v>5.0</v>
      </c>
      <c r="D4136" s="23" t="s">
        <v>7033</v>
      </c>
      <c r="E4136" s="9" t="s">
        <v>7034</v>
      </c>
      <c r="F4136" s="8" t="str">
        <f>IFERROR(__xludf.DUMMYFUNCTION("GOOGLETRANSLATE(D4136,""zh-CN"",""vi"")"),"Quái vật được trang trí bằng hoa")</f>
        <v>Quái vật được trang trí bằng hoa</v>
      </c>
      <c r="G4136" s="8" t="str">
        <f>IFERROR(__xludf.DUMMYFUNCTION("GOOGLETRANSLATE(E4136,""zh-CN"",""vi"")"),"Bông hoa tô điểm trên sừng của nó luôn rất đẹp. Kết hợp chúng lại để tạo ra Quái vật U sầu.")</f>
        <v>Bông hoa tô điểm trên sừng của nó luôn rất đẹp. Kết hợp chúng lại để tạo ra Quái vật U sầu.</v>
      </c>
      <c r="H4136" s="8"/>
      <c r="I4136" s="8"/>
      <c r="J4136" s="8"/>
    </row>
    <row r="4137" ht="21.0" customHeight="1">
      <c r="A4137" s="6">
        <v>1.0</v>
      </c>
      <c r="B4137" s="6">
        <v>314.0</v>
      </c>
      <c r="C4137" s="6">
        <v>6.0</v>
      </c>
      <c r="D4137" s="23" t="s">
        <v>7035</v>
      </c>
      <c r="E4137" s="9" t="s">
        <v>7036</v>
      </c>
      <c r="F4137" s="8" t="str">
        <f>IFERROR(__xludf.DUMMYFUNCTION("GOOGLETRANSLATE(D4137,""zh-CN"",""vi"")"),"Quái vật nhỏ u sầu")</f>
        <v>Quái vật nhỏ u sầu</v>
      </c>
      <c r="G4137" s="8" t="str">
        <f>IFERROR(__xludf.DUMMYFUNCTION("GOOGLETRANSLATE(E4137,""zh-CN"",""vi"")"),"Đầu nhỏ, nhiều lo lắng. Kết hợp lại tạo thành một con quái vật nhỏ lanh lợi.")</f>
        <v>Đầu nhỏ, nhiều lo lắng. Kết hợp lại tạo thành một con quái vật nhỏ lanh lợi.</v>
      </c>
      <c r="H4137" s="8"/>
      <c r="I4137" s="8"/>
      <c r="J4137" s="8"/>
    </row>
    <row r="4138" ht="21.0" customHeight="1">
      <c r="A4138" s="6">
        <v>1.0</v>
      </c>
      <c r="B4138" s="6">
        <v>314.0</v>
      </c>
      <c r="C4138" s="6">
        <v>7.0</v>
      </c>
      <c r="D4138" s="23" t="s">
        <v>7037</v>
      </c>
      <c r="E4138" s="9" t="s">
        <v>7038</v>
      </c>
      <c r="F4138" s="8" t="str">
        <f>IFERROR(__xludf.DUMMYFUNCTION("GOOGLETRANSLATE(D4138,""zh-CN"",""vi"")"),"Quái vật nhỏ lanh lợi")</f>
        <v>Quái vật nhỏ lanh lợi</v>
      </c>
      <c r="G4138" s="8" t="str">
        <f>IFERROR(__xludf.DUMMYFUNCTION("GOOGLETRANSLATE(E4138,""zh-CN"",""vi"")"),"Hạnh phúc là một món quà! Hãy tổng hợp để có được Linh Hồn Yên Tĩnh.")</f>
        <v>Hạnh phúc là một món quà! Hãy tổng hợp để có được Linh Hồn Yên Tĩnh.</v>
      </c>
      <c r="H4138" s="8"/>
      <c r="I4138" s="8"/>
      <c r="J4138" s="8"/>
    </row>
    <row r="4139" ht="21.0" customHeight="1">
      <c r="A4139" s="6">
        <v>1.0</v>
      </c>
      <c r="B4139" s="6">
        <v>314.0</v>
      </c>
      <c r="C4139" s="6">
        <v>8.0</v>
      </c>
      <c r="D4139" s="23" t="s">
        <v>7039</v>
      </c>
      <c r="E4139" s="9" t="s">
        <v>7040</v>
      </c>
      <c r="F4139" s="8" t="str">
        <f>IFERROR(__xludf.DUMMYFUNCTION("GOOGLETRANSLATE(D4139,""zh-CN"",""vi"")"),"Bóng ma thanh bình")</f>
        <v>Bóng ma thanh bình</v>
      </c>
      <c r="G4139" s="8" t="str">
        <f>IFERROR(__xludf.DUMMYFUNCTION("GOOGLETRANSLATE(E4139,""zh-CN"",""vi"")"),"Sừng đôi tuyệt đẹp, sự tiến hóa của hồn ma. Kết hợp để có được Hồn Ma Tình Yêu.")</f>
        <v>Sừng đôi tuyệt đẹp, sự tiến hóa của hồn ma. Kết hợp để có được Hồn Ma Tình Yêu.</v>
      </c>
      <c r="H4139" s="8"/>
      <c r="I4139" s="8"/>
      <c r="J4139" s="8"/>
    </row>
    <row r="4140" ht="21.0" customHeight="1">
      <c r="A4140" s="6">
        <v>1.0</v>
      </c>
      <c r="B4140" s="6">
        <v>314.0</v>
      </c>
      <c r="C4140" s="6">
        <v>9.0</v>
      </c>
      <c r="D4140" s="23" t="s">
        <v>7041</v>
      </c>
      <c r="E4140" s="9" t="s">
        <v>7042</v>
      </c>
      <c r="F4140" s="8" t="str">
        <f>IFERROR(__xludf.DUMMYFUNCTION("GOOGLETRANSLATE(D4140,""zh-CN"",""vi"")"),"Bóng ma ngọt ngào")</f>
        <v>Bóng ma ngọt ngào</v>
      </c>
      <c r="G4140" s="8" t="str">
        <f>IFERROR(__xludf.DUMMYFUNCTION("GOOGLETRANSLATE(E4140,""zh-CN"",""vi"")"),"Đội chiếc mũ yêu thích của bạn và hóa thân thành một con quái vật nhỏ dễ thương. Kết hợp chúng lại để tạo ra Ma Kẹo.")</f>
        <v>Đội chiếc mũ yêu thích của bạn và hóa thân thành một con quái vật nhỏ dễ thương. Kết hợp chúng lại để tạo ra Ma Kẹo.</v>
      </c>
      <c r="H4140" s="8"/>
      <c r="I4140" s="8"/>
      <c r="J4140" s="8"/>
    </row>
    <row r="4141" ht="21.0" customHeight="1">
      <c r="A4141" s="6">
        <v>1.0</v>
      </c>
      <c r="B4141" s="6">
        <v>314.0</v>
      </c>
      <c r="C4141" s="6">
        <v>10.0</v>
      </c>
      <c r="D4141" s="23" t="s">
        <v>7043</v>
      </c>
      <c r="E4141" s="9" t="s">
        <v>7044</v>
      </c>
      <c r="F4141" s="8" t="str">
        <f>IFERROR(__xludf.DUMMYFUNCTION("GOOGLETRANSLATE(D4141,""zh-CN"",""vi"")"),"Ma kẹo")</f>
        <v>Ma kẹo</v>
      </c>
      <c r="G4141" s="8" t="str">
        <f>IFERROR(__xludf.DUMMYFUNCTION("GOOGLETRANSLATE(E4141,""zh-CN"",""vi"")"),"Ai nói ma không được ăn kẹo? Hãy chế tạo một Vệ binh Ma.")</f>
        <v>Ai nói ma không được ăn kẹo? Hãy chế tạo một Vệ binh Ma.</v>
      </c>
      <c r="H4141" s="8"/>
      <c r="I4141" s="8"/>
      <c r="J4141" s="8"/>
    </row>
    <row r="4142" ht="21.0" customHeight="1">
      <c r="A4142" s="6">
        <v>1.0</v>
      </c>
      <c r="B4142" s="6">
        <v>314.0</v>
      </c>
      <c r="C4142" s="6">
        <v>11.0</v>
      </c>
      <c r="D4142" s="23" t="s">
        <v>7045</v>
      </c>
      <c r="E4142" s="9" t="s">
        <v>7046</v>
      </c>
      <c r="F4142" s="8" t="str">
        <f>IFERROR(__xludf.DUMMYFUNCTION("GOOGLETRANSLATE(D4142,""zh-CN"",""vi"")"),"Vệ binh ma")</f>
        <v>Vệ binh ma</v>
      </c>
      <c r="G4142" s="8" t="str">
        <f>IFERROR(__xludf.DUMMYFUNCTION("GOOGLETRANSLATE(E4142,""zh-CN"",""vi"")"),"Với tư cách là người bảo vệ, nhiệm vụ của tôi là vượt qua nỗi sợ hãi. Hãy chế tạo Bóng Ma Đêm.")</f>
        <v>Với tư cách là người bảo vệ, nhiệm vụ của tôi là vượt qua nỗi sợ hãi. Hãy chế tạo Bóng Ma Đêm.</v>
      </c>
      <c r="H4142" s="8"/>
      <c r="I4142" s="8"/>
      <c r="J4142" s="8"/>
    </row>
    <row r="4143" ht="21.0" customHeight="1">
      <c r="A4143" s="6">
        <v>1.0</v>
      </c>
      <c r="B4143" s="6">
        <v>314.0</v>
      </c>
      <c r="C4143" s="6">
        <v>12.0</v>
      </c>
      <c r="D4143" s="23" t="s">
        <v>7047</v>
      </c>
      <c r="E4143" s="9" t="s">
        <v>7048</v>
      </c>
      <c r="F4143" s="8" t="str">
        <f>IFERROR(__xludf.DUMMYFUNCTION("GOOGLETRANSLATE(D4143,""zh-CN"",""vi"")"),"Bóng ma đêm")</f>
        <v>Bóng ma đêm</v>
      </c>
      <c r="G4143" s="8" t="str">
        <f>IFERROR(__xludf.DUMMYFUNCTION("GOOGLETRANSLATE(E4143,""zh-CN"",""vi"")"),"Một lữ khách đêm, bảo vệ công chúa. Kết hợp chúng để có được Công chúa Ma.")</f>
        <v>Một lữ khách đêm, bảo vệ công chúa. Kết hợp chúng để có được Công chúa Ma.</v>
      </c>
      <c r="H4143" s="8"/>
      <c r="I4143" s="8"/>
      <c r="J4143" s="8"/>
    </row>
    <row r="4144" ht="21.0" customHeight="1">
      <c r="A4144" s="6">
        <v>1.0</v>
      </c>
      <c r="B4144" s="6">
        <v>314.0</v>
      </c>
      <c r="C4144" s="6">
        <v>13.0</v>
      </c>
      <c r="D4144" s="23" t="s">
        <v>7049</v>
      </c>
      <c r="E4144" s="9" t="s">
        <v>7050</v>
      </c>
      <c r="F4144" s="8" t="str">
        <f>IFERROR(__xludf.DUMMYFUNCTION("GOOGLETRANSLATE(D4144,""zh-CN"",""vi"")"),"Công chúa Mononoke")</f>
        <v>Công chúa Mononoke</v>
      </c>
      <c r="G4144" s="8" t="str">
        <f>IFERROR(__xludf.DUMMYFUNCTION("GOOGLETRANSLATE(E4144,""zh-CN"",""vi"")"),"Sở thích của nó là thỉnh thoảng dọa những người nhút nhát. Nó đã được tổng hợp đến cấp độ cao nhất.")</f>
        <v>Sở thích của nó là thỉnh thoảng dọa những người nhút nhát. Nó đã được tổng hợp đến cấp độ cao nhất.</v>
      </c>
      <c r="H4144" s="8"/>
      <c r="I4144" s="8"/>
      <c r="J4144" s="8"/>
    </row>
    <row r="4145" ht="21.0" customHeight="1">
      <c r="A4145" s="6">
        <v>1.0</v>
      </c>
      <c r="B4145" s="6">
        <v>315.0</v>
      </c>
      <c r="C4145" s="6">
        <v>1.0</v>
      </c>
      <c r="D4145" s="23" t="s">
        <v>7051</v>
      </c>
      <c r="E4145" s="9" t="s">
        <v>7052</v>
      </c>
      <c r="F4145" s="8" t="str">
        <f>IFERROR(__xludf.DUMMYFUNCTION("GOOGLETRANSLATE(D4145,""zh-CN"",""vi"")"),"Mảnh vỏ trứng")</f>
        <v>Mảnh vỏ trứng</v>
      </c>
      <c r="G4145" s="8" t="str">
        <f>IFERROR(__xludf.DUMMYFUNCTION("GOOGLETRANSLATE(E4145,""zh-CN"",""vi"")"),"Vỏ trứng bị vỡ, những chú gà con đi đâu rồi? Hãy tạo hình một vỏ trứng bị nứt.")</f>
        <v>Vỏ trứng bị vỡ, những chú gà con đi đâu rồi? Hãy tạo hình một vỏ trứng bị nứt.</v>
      </c>
      <c r="H4145" s="8"/>
      <c r="I4145" s="8"/>
      <c r="J4145" s="8"/>
    </row>
    <row r="4146" ht="21.0" customHeight="1">
      <c r="A4146" s="6">
        <v>1.0</v>
      </c>
      <c r="B4146" s="6">
        <v>315.0</v>
      </c>
      <c r="C4146" s="6">
        <v>2.0</v>
      </c>
      <c r="D4146" s="23" t="s">
        <v>7053</v>
      </c>
      <c r="E4146" s="9" t="s">
        <v>7054</v>
      </c>
      <c r="F4146" s="8" t="str">
        <f>IFERROR(__xludf.DUMMYFUNCTION("GOOGLETRANSLATE(D4146,""zh-CN"",""vi"")"),"Vỏ trứng bị nứt")</f>
        <v>Vỏ trứng bị nứt</v>
      </c>
      <c r="G4146" s="8" t="str">
        <f>IFERROR(__xludf.DUMMYFUNCTION("GOOGLETRANSLATE(E4146,""zh-CN"",""vi"")"),"Một sinh linh bé nhỏ sắp chào đời. Hãy kết hợp chúng để có được một chú gà con.")</f>
        <v>Một sinh linh bé nhỏ sắp chào đời. Hãy kết hợp chúng để có được một chú gà con.</v>
      </c>
      <c r="H4146" s="8"/>
      <c r="I4146" s="8"/>
      <c r="J4146" s="8"/>
    </row>
    <row r="4147" ht="21.0" customHeight="1">
      <c r="A4147" s="6">
        <v>1.0</v>
      </c>
      <c r="B4147" s="6">
        <v>315.0</v>
      </c>
      <c r="C4147" s="6">
        <v>3.0</v>
      </c>
      <c r="D4147" s="23" t="s">
        <v>7055</v>
      </c>
      <c r="E4147" s="9" t="s">
        <v>7056</v>
      </c>
      <c r="F4147" s="8" t="str">
        <f>IFERROR(__xludf.DUMMYFUNCTION("GOOGLETRANSLATE(D4147,""zh-CN"",""vi"")"),"Gà con mới nở")</f>
        <v>Gà con mới nở</v>
      </c>
      <c r="G4147" s="8" t="str">
        <f>IFERROR(__xludf.DUMMYFUNCTION("GOOGLETRANSLATE(E4147,""zh-CN"",""vi"")"),"Sinh vật đầu tiên bạn nhìn thấy khi mở mắt ra sẽ là một chú gà con đáng yêu. Kết hợp chúng lại để tạo thành một chú gà con dễ thương.")</f>
        <v>Sinh vật đầu tiên bạn nhìn thấy khi mở mắt ra sẽ là một chú gà con đáng yêu. Kết hợp chúng lại để tạo thành một chú gà con dễ thương.</v>
      </c>
      <c r="H4147" s="8"/>
      <c r="I4147" s="8"/>
      <c r="J4147" s="8"/>
    </row>
    <row r="4148" ht="21.0" customHeight="1">
      <c r="A4148" s="6">
        <v>1.0</v>
      </c>
      <c r="B4148" s="6">
        <v>315.0</v>
      </c>
      <c r="C4148" s="6">
        <v>4.0</v>
      </c>
      <c r="D4148" s="23" t="s">
        <v>7057</v>
      </c>
      <c r="E4148" s="9" t="s">
        <v>7058</v>
      </c>
      <c r="F4148" s="8" t="str">
        <f>IFERROR(__xludf.DUMMYFUNCTION("GOOGLETRANSLATE(D4148,""zh-CN"",""vi"")"),"gà con siêu dễ thương")</f>
        <v>gà con siêu dễ thương</v>
      </c>
      <c r="G4148" s="8" t="str">
        <f>IFERROR(__xludf.DUMMYFUNCTION("GOOGLETRANSLATE(E4148,""zh-CN"",""vi"")"),"Khoác lên mình bộ giáp trứng, ta là chiến binh gà con mạnh nhất! Kết hợp các bộ phận để có được một chú gà con lông xù đáng yêu.")</f>
        <v>Khoác lên mình bộ giáp trứng, ta là chiến binh gà con mạnh nhất! Kết hợp các bộ phận để có được một chú gà con lông xù đáng yêu.</v>
      </c>
      <c r="H4148" s="8"/>
      <c r="I4148" s="8"/>
      <c r="J4148" s="8"/>
    </row>
    <row r="4149" ht="21.0" customHeight="1">
      <c r="A4149" s="6">
        <v>1.0</v>
      </c>
      <c r="B4149" s="6">
        <v>315.0</v>
      </c>
      <c r="C4149" s="6">
        <v>5.0</v>
      </c>
      <c r="D4149" s="23" t="s">
        <v>7059</v>
      </c>
      <c r="E4149" s="9" t="s">
        <v>7060</v>
      </c>
      <c r="F4149" s="8" t="str">
        <f>IFERROR(__xludf.DUMMYFUNCTION("GOOGLETRANSLATE(D4149,""zh-CN"",""vi"")"),"những chú gà con lông xù")</f>
        <v>những chú gà con lông xù</v>
      </c>
      <c r="G4149" s="8" t="str">
        <f>IFERROR(__xludf.DUMMYFUNCTION("GOOGLETRANSLATE(E4149,""zh-CN"",""vi"")"),"Không gì dễ thương hơn một chú gà con nhỏ nhắn, mềm mại. Hãy làm một chú gà con phẳng.")</f>
        <v>Không gì dễ thương hơn một chú gà con nhỏ nhắn, mềm mại. Hãy làm một chú gà con phẳng.</v>
      </c>
      <c r="H4149" s="8"/>
      <c r="I4149" s="8"/>
      <c r="J4149" s="8"/>
    </row>
    <row r="4150" ht="21.0" customHeight="1">
      <c r="A4150" s="6">
        <v>1.0</v>
      </c>
      <c r="B4150" s="6">
        <v>315.0</v>
      </c>
      <c r="C4150" s="6">
        <v>6.0</v>
      </c>
      <c r="D4150" s="23" t="s">
        <v>7061</v>
      </c>
      <c r="E4150" s="9" t="s">
        <v>7062</v>
      </c>
      <c r="F4150" s="8" t="str">
        <f>IFERROR(__xludf.DUMMYFUNCTION("GOOGLETRANSLATE(D4150,""zh-CN"",""vi"")"),"Gà con nằm phẳng")</f>
        <v>Gà con nằm phẳng</v>
      </c>
      <c r="G4150" s="8" t="str">
        <f>IFERROR(__xludf.DUMMYFUNCTION("GOOGLETRANSLATE(E4150,""zh-CN"",""vi"")"),"Nằm thẳng là một lựa chọn lối sống, không phải vì bạn lười biếng. Hãy tổng hợp lại để có được một cô gái ngây thơ.")</f>
        <v>Nằm thẳng là một lựa chọn lối sống, không phải vì bạn lười biếng. Hãy tổng hợp lại để có được một cô gái ngây thơ.</v>
      </c>
      <c r="H4150" s="8"/>
      <c r="I4150" s="8"/>
      <c r="J4150" s="8"/>
    </row>
    <row r="4151" ht="21.0" customHeight="1">
      <c r="A4151" s="6">
        <v>1.0</v>
      </c>
      <c r="B4151" s="6">
        <v>315.0</v>
      </c>
      <c r="C4151" s="6">
        <v>7.0</v>
      </c>
      <c r="D4151" s="23" t="s">
        <v>7063</v>
      </c>
      <c r="E4151" s="9" t="s">
        <v>7064</v>
      </c>
      <c r="F4151" s="8" t="str">
        <f>IFERROR(__xludf.DUMMYFUNCTION("GOOGLETRANSLATE(D4151,""zh-CN"",""vi"")"),"Cô gái ngây thơ")</f>
        <v>Cô gái ngây thơ</v>
      </c>
      <c r="G4151" s="8" t="str">
        <f>IFERROR(__xludf.DUMMYFUNCTION("GOOGLETRANSLATE(E4151,""zh-CN"",""vi"")"),"Thể hiện sự dễ thương là một trong những kỹ năng thiết yếu của gà con. Hãy làm một chú gà con mặc áo mưa.")</f>
        <v>Thể hiện sự dễ thương là một trong những kỹ năng thiết yếu của gà con. Hãy làm một chú gà con mặc áo mưa.</v>
      </c>
      <c r="H4151" s="8"/>
      <c r="I4151" s="8"/>
      <c r="J4151" s="8"/>
    </row>
    <row r="4152" ht="21.0" customHeight="1">
      <c r="A4152" s="6">
        <v>1.0</v>
      </c>
      <c r="B4152" s="6">
        <v>315.0</v>
      </c>
      <c r="C4152" s="6">
        <v>8.0</v>
      </c>
      <c r="D4152" s="23" t="s">
        <v>7065</v>
      </c>
      <c r="E4152" s="9" t="s">
        <v>7066</v>
      </c>
      <c r="F4152" s="8" t="str">
        <f>IFERROR(__xludf.DUMMYFUNCTION("GOOGLETRANSLATE(D4152,""zh-CN"",""vi"")"),"Gà Áo Mưa")</f>
        <v>Gà Áo Mưa</v>
      </c>
      <c r="G4152" s="8" t="str">
        <f>IFERROR(__xludf.DUMMYFUNCTION("GOOGLETRANSLATE(E4152,""zh-CN"",""vi"")"),"Nhờ mặc áo mưa, lông của nó sẽ không bị ướt khi trời mưa. Hãy chế tạo nó để có được một chú gà con đeo ba lô.")</f>
        <v>Nhờ mặc áo mưa, lông của nó sẽ không bị ướt khi trời mưa. Hãy chế tạo nó để có được một chú gà con đeo ba lô.</v>
      </c>
      <c r="H4152" s="8"/>
      <c r="I4152" s="8"/>
      <c r="J4152" s="8"/>
    </row>
    <row r="4153" ht="21.0" customHeight="1">
      <c r="A4153" s="6">
        <v>1.0</v>
      </c>
      <c r="B4153" s="6">
        <v>315.0</v>
      </c>
      <c r="C4153" s="6">
        <v>9.0</v>
      </c>
      <c r="D4153" s="23" t="s">
        <v>7067</v>
      </c>
      <c r="E4153" s="9" t="s">
        <v>7068</v>
      </c>
      <c r="F4153" s="8" t="str">
        <f>IFERROR(__xludf.DUMMYFUNCTION("GOOGLETRANSLATE(D4153,""zh-CN"",""vi"")"),"Gà đeo ba lô")</f>
        <v>Gà đeo ba lô</v>
      </c>
      <c r="G4153" s="8" t="str">
        <f>IFERROR(__xludf.DUMMYFUNCTION("GOOGLETRANSLATE(E4153,""zh-CN"",""vi"")"),"Mang theo túi đồ ăn nhẹ do gà mẹ chuẩn bị. Kết hợp chúng lại để tạo thành một chú gà con phiêu lưu.")</f>
        <v>Mang theo túi đồ ăn nhẹ do gà mẹ chuẩn bị. Kết hợp chúng lại để tạo thành một chú gà con phiêu lưu.</v>
      </c>
      <c r="H4153" s="8"/>
      <c r="I4153" s="8"/>
      <c r="J4153" s="8"/>
    </row>
    <row r="4154" ht="21.0" customHeight="1">
      <c r="A4154" s="6">
        <v>1.0</v>
      </c>
      <c r="B4154" s="6">
        <v>315.0</v>
      </c>
      <c r="C4154" s="6">
        <v>10.0</v>
      </c>
      <c r="D4154" s="23" t="s">
        <v>7069</v>
      </c>
      <c r="E4154" s="9" t="s">
        <v>7070</v>
      </c>
      <c r="F4154" s="8" t="str">
        <f>IFERROR(__xludf.DUMMYFUNCTION("GOOGLETRANSLATE(D4154,""zh-CN"",""vi"")"),"Gà Phiêu Lưu")</f>
        <v>Gà Phiêu Lưu</v>
      </c>
      <c r="G4154" s="8" t="str">
        <f>IFERROR(__xludf.DUMMYFUNCTION("GOOGLETRANSLATE(E4154,""zh-CN"",""vi"")"),"Tôi muốn trở thành nhà thám hiểm gà vĩ đại nhất! Tổng hợp để có được bộ trang phục gà ngầu.")</f>
        <v>Tôi muốn trở thành nhà thám hiểm gà vĩ đại nhất! Tổng hợp để có được bộ trang phục gà ngầu.</v>
      </c>
      <c r="H4154" s="8"/>
      <c r="I4154" s="8"/>
      <c r="J4154" s="8"/>
    </row>
    <row r="4155" ht="21.0" customHeight="1">
      <c r="A4155" s="6">
        <v>1.0</v>
      </c>
      <c r="B4155" s="6">
        <v>315.0</v>
      </c>
      <c r="C4155" s="6">
        <v>11.0</v>
      </c>
      <c r="D4155" s="23" t="s">
        <v>7071</v>
      </c>
      <c r="E4155" s="9" t="s">
        <v>7072</v>
      </c>
      <c r="F4155" s="8" t="str">
        <f>IFERROR(__xludf.DUMMYFUNCTION("GOOGLETRANSLATE(D4155,""zh-CN"",""vi"")"),"Quần áo bảo hộ lao động Cool Chicken")</f>
        <v>Quần áo bảo hộ lao động Cool Chicken</v>
      </c>
      <c r="G4155" s="8" t="str">
        <f>IFERROR(__xludf.DUMMYFUNCTION("GOOGLETRANSLATE(E4155,""zh-CN"",""vi"")"),"Mặc quần áo công sở khiến tôi cảm thấy thật ngầu. Hãy kết hợp các yếu tố để tạo ra một chú gà sành điệu trong bộ vest.")</f>
        <v>Mặc quần áo công sở khiến tôi cảm thấy thật ngầu. Hãy kết hợp các yếu tố để tạo ra một chú gà sành điệu trong bộ vest.</v>
      </c>
      <c r="H4155" s="8"/>
      <c r="I4155" s="8"/>
      <c r="J4155" s="8"/>
    </row>
    <row r="4156" ht="21.0" customHeight="1">
      <c r="A4156" s="6">
        <v>1.0</v>
      </c>
      <c r="B4156" s="6">
        <v>315.0</v>
      </c>
      <c r="C4156" s="6">
        <v>12.0</v>
      </c>
      <c r="D4156" s="23" t="s">
        <v>7073</v>
      </c>
      <c r="E4156" s="9" t="s">
        <v>7074</v>
      </c>
      <c r="F4156" s="8" t="str">
        <f>IFERROR(__xludf.DUMMYFUNCTION("GOOGLETRANSLATE(D4156,""zh-CN"",""vi"")"),"Chú gà lịch lãm trong bộ vest")</f>
        <v>Chú gà lịch lãm trong bộ vest</v>
      </c>
      <c r="G4156" s="8" t="str">
        <f>IFERROR(__xludf.DUMMYFUNCTION("GOOGLETRANSLATE(E4156,""zh-CN"",""vi"")"),"Gương thần trên tường, ai là chú gà con dễ thương nhất thế giới? Kết hợp các mảnh ghép để nhận được Mảnh Gà Đĩa Lớn.")</f>
        <v>Gương thần trên tường, ai là chú gà con dễ thương nhất thế giới? Kết hợp các mảnh ghép để nhận được Mảnh Gà Đĩa Lớn.</v>
      </c>
      <c r="H4156" s="8"/>
      <c r="I4156" s="8"/>
      <c r="J4156" s="8"/>
    </row>
    <row r="4157" ht="21.0" customHeight="1">
      <c r="A4157" s="6">
        <v>1.0</v>
      </c>
      <c r="B4157" s="6">
        <v>315.0</v>
      </c>
      <c r="C4157" s="6">
        <v>13.0</v>
      </c>
      <c r="D4157" s="23" t="s">
        <v>7075</v>
      </c>
      <c r="E4157" s="9" t="s">
        <v>7076</v>
      </c>
      <c r="F4157" s="8" t="str">
        <f>IFERROR(__xludf.DUMMYFUNCTION("GOOGLETRANSLATE(D4157,""zh-CN"",""vi"")"),"Mảnh thịt gà lớn")</f>
        <v>Mảnh thịt gà lớn</v>
      </c>
      <c r="G4157" s="8" t="str">
        <f>IFERROR(__xludf.DUMMYFUNCTION("GOOGLETRANSLATE(E4157,""zh-CN"",""vi"")"),"Kết hợp hai Mảnh Tinh Linh Gà Đĩa Lớn để có cơ hội bắt được Tinh Linh!")</f>
        <v>Kết hợp hai Mảnh Tinh Linh Gà Đĩa Lớn để có cơ hội bắt được Tinh Linh!</v>
      </c>
      <c r="H4157" s="8"/>
      <c r="I4157" s="8"/>
      <c r="J4157" s="8"/>
    </row>
    <row r="4158" ht="21.0" customHeight="1">
      <c r="A4158" s="6">
        <v>13.0</v>
      </c>
      <c r="B4158" s="6">
        <v>315.0</v>
      </c>
      <c r="C4158" s="6">
        <v>14.0</v>
      </c>
      <c r="D4158" s="23" t="s">
        <v>7077</v>
      </c>
      <c r="E4158" s="9" t="s">
        <v>7078</v>
      </c>
      <c r="F4158" s="8" t="str">
        <f>IFERROR(__xludf.DUMMYFUNCTION("GOOGLETRANSLATE(D4158,""zh-CN"",""vi"")"),"Gà nướng Big Plate Spirit")</f>
        <v>Gà nướng Big Plate Spirit</v>
      </c>
      <c r="G4158" s="8" t="str">
        <f>IFERROR(__xludf.DUMMYFUNCTION("GOOGLETRANSLATE(E4158,""zh-CN"",""vi"")"),"Thực chất ta là một con rồng, và tổ tiên ta từng rất huy hoàng.")</f>
        <v>Thực chất ta là một con rồng, và tổ tiên ta từng rất huy hoàng.</v>
      </c>
      <c r="H4158" s="8"/>
      <c r="I4158" s="8"/>
      <c r="J4158" s="8"/>
    </row>
    <row r="4159" ht="21.0" customHeight="1">
      <c r="A4159" s="6">
        <v>11.0</v>
      </c>
      <c r="B4159" s="6">
        <v>2005.0</v>
      </c>
      <c r="C4159" s="6">
        <v>1.0</v>
      </c>
      <c r="D4159" s="23" t="s">
        <v>7079</v>
      </c>
      <c r="E4159" s="9" t="s">
        <v>7080</v>
      </c>
      <c r="F4159" s="8" t="str">
        <f>IFERROR(__xludf.DUMMYFUNCTION("GOOGLETRANSLATE(D4159,""zh-CN"",""vi"")"),"Ghế dài kiểu cũ")</f>
        <v>Ghế dài kiểu cũ</v>
      </c>
      <c r="G4159" s="8" t="str">
        <f>IFERROR(__xludf.DUMMYFUNCTION("GOOGLETRANSLATE(E4159,""zh-CN"",""vi"")"),"Với độ bền vượt trội, đây là thiết kế cổ điển được lưu truyền qua nhiều thế hệ. Hãy tự tay chế tác để có được chiếc Ghế tựa lưng cổ điển.")</f>
        <v>Với độ bền vượt trội, đây là thiết kế cổ điển được lưu truyền qua nhiều thế hệ. Hãy tự tay chế tác để có được chiếc Ghế tựa lưng cổ điển.</v>
      </c>
      <c r="H4159" s="8"/>
      <c r="I4159" s="8"/>
      <c r="J4159" s="8"/>
    </row>
    <row r="4160" ht="21.0" customHeight="1">
      <c r="A4160" s="6">
        <v>11.0</v>
      </c>
      <c r="B4160" s="6">
        <v>2005.0</v>
      </c>
      <c r="C4160" s="6">
        <v>2.0</v>
      </c>
      <c r="D4160" s="23" t="s">
        <v>7081</v>
      </c>
      <c r="E4160" s="9" t="s">
        <v>7082</v>
      </c>
      <c r="F4160" s="8" t="str">
        <f>IFERROR(__xludf.DUMMYFUNCTION("GOOGLETRANSLATE(D4160,""zh-CN"",""vi"")"),"Ghế tựa lưng kiểu cổ điển")</f>
        <v>Ghế tựa lưng kiểu cổ điển</v>
      </c>
      <c r="G4160" s="8" t="str">
        <f>IFERROR(__xludf.DUMMYFUNCTION("GOOGLETRANSLATE(E4160,""zh-CN"",""vi"")"),"Di chuyển một chiếc ghế, tắm nắng và chợp mắt ngủ gà ngủ gật. Kết hợp những điều này để có được một chiếc bàn gỗ kiểu cổ.")</f>
        <v>Di chuyển một chiếc ghế, tắm nắng và chợp mắt ngủ gà ngủ gật. Kết hợp những điều này để có được một chiếc bàn gỗ kiểu cổ.</v>
      </c>
      <c r="H4160" s="8"/>
      <c r="I4160" s="8"/>
      <c r="J4160" s="8"/>
    </row>
    <row r="4161" ht="21.0" customHeight="1">
      <c r="A4161" s="6">
        <v>11.0</v>
      </c>
      <c r="B4161" s="6">
        <v>2005.0</v>
      </c>
      <c r="C4161" s="6">
        <v>3.0</v>
      </c>
      <c r="D4161" s="23" t="s">
        <v>7083</v>
      </c>
      <c r="E4161" s="9" t="s">
        <v>7084</v>
      </c>
      <c r="F4161" s="8" t="str">
        <f>IFERROR(__xludf.DUMMYFUNCTION("GOOGLETRANSLATE(D4161,""zh-CN"",""vi"")"),"Bàn gỗ kiểu cổ")</f>
        <v>Bàn gỗ kiểu cổ</v>
      </c>
      <c r="G4161" s="8" t="str">
        <f>IFERROR(__xludf.DUMMYFUNCTION("GOOGLETRANSLATE(E4161,""zh-CN"",""vi"")"),"Không cầu kỳ, nhưng chất lượng rất đáng tin cậy. Có thể dùng để chế tạo một chiếc bàn nhỏ cho phòng riêng.")</f>
        <v>Không cầu kỳ, nhưng chất lượng rất đáng tin cậy. Có thể dùng để chế tạo một chiếc bàn nhỏ cho phòng riêng.</v>
      </c>
      <c r="H4161" s="8"/>
      <c r="I4161" s="8"/>
      <c r="J4161" s="8"/>
    </row>
    <row r="4162" ht="21.0" customHeight="1">
      <c r="A4162" s="6">
        <v>11.0</v>
      </c>
      <c r="B4162" s="6">
        <v>2005.0</v>
      </c>
      <c r="C4162" s="6">
        <v>4.0</v>
      </c>
      <c r="D4162" s="23" t="s">
        <v>7085</v>
      </c>
      <c r="E4162" s="9" t="s">
        <v>7086</v>
      </c>
      <c r="F4162" s="8" t="str">
        <f>IFERROR(__xludf.DUMMYFUNCTION("GOOGLETRANSLATE(D4162,""zh-CN"",""vi"")"),"Phòng riêng, bàn nhỏ")</f>
        <v>Phòng riêng, bàn nhỏ</v>
      </c>
      <c r="G4162" s="8" t="str">
        <f>IFERROR(__xludf.DUMMYFUNCTION("GOOGLETRANSLATE(E4162,""zh-CN"",""vi"")"),"Đây thường là phòng riêng dành cho Giám đốc điều hành. (Hoàn thành để có được Khách sạn Tokyo.)")</f>
        <v>Đây thường là phòng riêng dành cho Giám đốc điều hành. (Hoàn thành để có được Khách sạn Tokyo.)</v>
      </c>
      <c r="H4162" s="8"/>
      <c r="I4162" s="8"/>
      <c r="J4162" s="8"/>
    </row>
    <row r="4163" ht="21.0" customHeight="1">
      <c r="A4163" s="6">
        <v>10.0</v>
      </c>
      <c r="B4163" s="6">
        <v>2005.0</v>
      </c>
      <c r="C4163" s="6">
        <v>5.0</v>
      </c>
      <c r="D4163" s="23" t="s">
        <v>7087</v>
      </c>
      <c r="E4163" s="9" t="s">
        <v>7088</v>
      </c>
      <c r="F4163" s="8" t="str">
        <f>IFERROR(__xludf.DUMMYFUNCTION("GOOGLETRANSLATE(D4163,""zh-CN"",""vi"")"),"Khách sạn Tokyo")</f>
        <v>Khách sạn Tokyo</v>
      </c>
      <c r="G4163" s="8" t="str">
        <f>IFERROR(__xludf.DUMMYFUNCTION("GOOGLETRANSLATE(E4163,""zh-CN"",""vi"")"),"Đồ ăn ở đây cực kỳ đắt đỏ, nhưng có lý do cho điều đó. Hãy kết hợp các nguyên liệu để tạo ra Khách sạn Hòa Bình.")</f>
        <v>Đồ ăn ở đây cực kỳ đắt đỏ, nhưng có lý do cho điều đó. Hãy kết hợp các nguyên liệu để tạo ra Khách sạn Hòa Bình.</v>
      </c>
      <c r="H4163" s="8"/>
      <c r="I4163" s="8"/>
      <c r="J4163" s="8"/>
    </row>
    <row r="4164" ht="21.0" customHeight="1">
      <c r="A4164" s="6">
        <v>10.0</v>
      </c>
      <c r="B4164" s="6">
        <v>2005.0</v>
      </c>
      <c r="C4164" s="6">
        <v>6.0</v>
      </c>
      <c r="D4164" s="23" t="s">
        <v>7089</v>
      </c>
      <c r="E4164" s="9" t="s">
        <v>7090</v>
      </c>
      <c r="F4164" s="8" t="str">
        <f>IFERROR(__xludf.DUMMYFUNCTION("GOOGLETRANSLATE(D4164,""zh-CN"",""vi"")"),"Khách sạn Hòa Bình")</f>
        <v>Khách sạn Hòa Bình</v>
      </c>
      <c r="G4164" s="8" t="str">
        <f>IFERROR(__xludf.DUMMYFUNCTION("GOOGLETRANSLATE(E4164,""zh-CN"",""vi"")"),"Phòng 72, hay còn gọi là phòng kiểu Anh, là phòng dành cho khách lưu trú dài ngày. Đây là thương vụ mua lại toàn bộ Khách sạn Quốc tế.")</f>
        <v>Phòng 72, hay còn gọi là phòng kiểu Anh, là phòng dành cho khách lưu trú dài ngày. Đây là thương vụ mua lại toàn bộ Khách sạn Quốc tế.</v>
      </c>
      <c r="H4164" s="8"/>
      <c r="I4164" s="8"/>
      <c r="J4164" s="8"/>
    </row>
    <row r="4165" ht="21.0" customHeight="1">
      <c r="A4165" s="6">
        <v>10.0</v>
      </c>
      <c r="B4165" s="6">
        <v>2005.0</v>
      </c>
      <c r="C4165" s="6">
        <v>7.0</v>
      </c>
      <c r="D4165" s="9" t="s">
        <v>7091</v>
      </c>
      <c r="E4165" s="9" t="s">
        <v>7092</v>
      </c>
      <c r="F4165" s="8" t="str">
        <f>IFERROR(__xludf.DUMMYFUNCTION("GOOGLETRANSLATE(D4165,""zh-CN"",""vi"")"),"Khách sạn quốc tế")</f>
        <v>Khách sạn quốc tế</v>
      </c>
      <c r="G4165" s="8" t="str">
        <f>IFERROR(__xludf.DUMMYFUNCTION("GOOGLETRANSLATE(E4165,""zh-CN"",""vi"")"),"Đêm giao thừa năm đó đánh dấu sự khởi đầu cho hai người trẻ tuổi. Họ đã cùng nhau tạo nên một khu vườn tuyệt đẹp.")</f>
        <v>Đêm giao thừa năm đó đánh dấu sự khởi đầu cho hai người trẻ tuổi. Họ đã cùng nhau tạo nên một khu vườn tuyệt đẹp.</v>
      </c>
      <c r="H4165" s="8"/>
      <c r="I4165" s="8"/>
      <c r="J4165" s="8"/>
    </row>
    <row r="4166" ht="21.0" customHeight="1">
      <c r="A4166" s="6">
        <v>10.0</v>
      </c>
      <c r="B4166" s="6">
        <v>2005.0</v>
      </c>
      <c r="C4166" s="6">
        <v>8.0</v>
      </c>
      <c r="D4166" s="23" t="s">
        <v>7093</v>
      </c>
      <c r="E4166" s="9" t="s">
        <v>7094</v>
      </c>
      <c r="F4166" s="8" t="str">
        <f>IFERROR(__xludf.DUMMYFUNCTION("GOOGLETRANSLATE(D4166,""zh-CN"",""vi"")"),"Vườn Chi Mỹ")</f>
        <v>Vườn Chi Mỹ</v>
      </c>
      <c r="G4166" s="8" t="str">
        <f>IFERROR(__xludf.DUMMYFUNCTION("GOOGLETRANSLATE(E4166,""zh-CN"",""vi"")"),"Dường như nó đang phát triển mạnh, nhưng nó đã tiềm ẩn nhiều nguy hiểm. Công ty Synthetic đã mua lại tòa nhà thương mại Shenlian.")</f>
        <v>Dường như nó đang phát triển mạnh, nhưng nó đã tiềm ẩn nhiều nguy hiểm. Công ty Synthetic đã mua lại tòa nhà thương mại Shenlian.</v>
      </c>
      <c r="H4166" s="8"/>
      <c r="I4166" s="8"/>
      <c r="J4166" s="8"/>
    </row>
    <row r="4167" ht="21.0" customHeight="1">
      <c r="A4167" s="6">
        <v>10.0</v>
      </c>
      <c r="B4167" s="6">
        <v>2005.0</v>
      </c>
      <c r="C4167" s="6">
        <v>9.0</v>
      </c>
      <c r="D4167" s="9" t="s">
        <v>7095</v>
      </c>
      <c r="E4167" s="9" t="s">
        <v>7096</v>
      </c>
      <c r="F4167" s="8" t="str">
        <f>IFERROR(__xludf.DUMMYFUNCTION("GOOGLETRANSLATE(D4167,""zh-CN"",""vi"")"),"Tòa nhà thương mại Shenlian")</f>
        <v>Tòa nhà thương mại Shenlian</v>
      </c>
      <c r="G4167" s="8" t="str">
        <f>IFERROR(__xludf.DUMMYFUNCTION("GOOGLETRANSLATE(E4167,""zh-CN"",""vi"")"),"Chỉ riêng nó cũng có thể tiêu thụ 800.000 chiếc áo phông. Tổng hợp lại để có được Vườn Meizhen.")</f>
        <v>Chỉ riêng nó cũng có thể tiêu thụ 800.000 chiếc áo phông. Tổng hợp lại để có được Vườn Meizhen.</v>
      </c>
      <c r="H4167" s="8"/>
      <c r="I4167" s="8"/>
      <c r="J4167" s="8"/>
    </row>
    <row r="4168" ht="21.0" customHeight="1">
      <c r="A4168" s="6">
        <v>10.0</v>
      </c>
      <c r="B4168" s="6">
        <v>2005.0</v>
      </c>
      <c r="C4168" s="6">
        <v>10.0</v>
      </c>
      <c r="D4168" s="9" t="s">
        <v>7097</v>
      </c>
      <c r="E4168" s="9" t="s">
        <v>7098</v>
      </c>
      <c r="F4168" s="8" t="str">
        <f>IFERROR(__xludf.DUMMYFUNCTION("GOOGLETRANSLATE(D4168,""zh-CN"",""vi"")"),"Vườn Meizhen")</f>
        <v>Vườn Meizhen</v>
      </c>
      <c r="G4168" s="8" t="str">
        <f>IFERROR(__xludf.DUMMYFUNCTION("GOOGLETRANSLATE(E4168,""zh-CN"",""vi"")"),"Kết quả của sự vật bắt nguồn từ nguyên nhân; mọi thứ đều đã được định trước và không thể tránh khỏi. (Đã được tổng hợp đến cấp độ cao nhất.)")</f>
        <v>Kết quả của sự vật bắt nguồn từ nguyên nhân; mọi thứ đều đã được định trước và không thể tránh khỏi. (Đã được tổng hợp đến cấp độ cao nhất.)</v>
      </c>
      <c r="H4168" s="8"/>
      <c r="I4168" s="8"/>
      <c r="J4168" s="8"/>
    </row>
    <row r="4169" ht="21.0" customHeight="1">
      <c r="A4169" s="6">
        <v>11.0</v>
      </c>
      <c r="B4169" s="6">
        <v>2006.0</v>
      </c>
      <c r="C4169" s="6">
        <v>1.0</v>
      </c>
      <c r="D4169" s="23" t="s">
        <v>7099</v>
      </c>
      <c r="E4169" s="9" t="s">
        <v>7100</v>
      </c>
      <c r="F4169" s="8" t="str">
        <f>IFERROR(__xludf.DUMMYFUNCTION("GOOGLETRANSLATE(D4169,""zh-CN"",""vi"")"),"Ghế dài kiểu cũ [V]")</f>
        <v>Ghế dài kiểu cũ [V]</v>
      </c>
      <c r="G4169" s="8" t="str">
        <f>IFERROR(__xludf.DUMMYFUNCTION("GOOGLETRANSLATE(E4169,""zh-CN"",""vi"")"),"Với độ bền vượt trội, đây là thiết kế cổ điển được lưu truyền qua nhiều thế hệ. Hãy chế tạo nó để có được Ghế tựa lưng cổ điển [V].")</f>
        <v>Với độ bền vượt trội, đây là thiết kế cổ điển được lưu truyền qua nhiều thế hệ. Hãy chế tạo nó để có được Ghế tựa lưng cổ điển [V].</v>
      </c>
      <c r="H4169" s="8"/>
      <c r="I4169" s="8"/>
      <c r="J4169" s="8"/>
    </row>
    <row r="4170" ht="21.0" customHeight="1">
      <c r="A4170" s="6">
        <v>11.0</v>
      </c>
      <c r="B4170" s="6">
        <v>2006.0</v>
      </c>
      <c r="C4170" s="6">
        <v>2.0</v>
      </c>
      <c r="D4170" s="23" t="s">
        <v>7101</v>
      </c>
      <c r="E4170" s="9" t="s">
        <v>7102</v>
      </c>
      <c r="F4170" s="8" t="str">
        <f>IFERROR(__xludf.DUMMYFUNCTION("GOOGLETRANSLATE(D4170,""zh-CN"",""vi"")"),"Ghế bành kiểu cũ [V]")</f>
        <v>Ghế bành kiểu cũ [V]</v>
      </c>
      <c r="G4170" s="8" t="str">
        <f>IFERROR(__xludf.DUMMYFUNCTION("GOOGLETRANSLATE(E4170,""zh-CN"",""vi"")"),"Di chuyển một chiếc ghế, tắm nắng và ngủ gật với đôi mắt khép hờ. Đóng một chiếc bàn gỗ cũ [V].")</f>
        <v>Di chuyển một chiếc ghế, tắm nắng và ngủ gật với đôi mắt khép hờ. Đóng một chiếc bàn gỗ cũ [V].</v>
      </c>
      <c r="H4170" s="8"/>
      <c r="I4170" s="8"/>
      <c r="J4170" s="8"/>
    </row>
    <row r="4171" ht="21.0" customHeight="1">
      <c r="A4171" s="6">
        <v>11.0</v>
      </c>
      <c r="B4171" s="6">
        <v>2006.0</v>
      </c>
      <c r="C4171" s="6">
        <v>3.0</v>
      </c>
      <c r="D4171" s="23" t="s">
        <v>7103</v>
      </c>
      <c r="E4171" s="9" t="s">
        <v>7104</v>
      </c>
      <c r="F4171" s="8" t="str">
        <f>IFERROR(__xludf.DUMMYFUNCTION("GOOGLETRANSLATE(D4171,""zh-CN"",""vi"")"),"Bàn gỗ kiểu cũ [V]")</f>
        <v>Bàn gỗ kiểu cũ [V]</v>
      </c>
      <c r="G4171" s="8" t="str">
        <f>IFERROR(__xludf.DUMMYFUNCTION("GOOGLETRANSLATE(E4171,""zh-CN"",""vi"")"),"Không cầu kỳ, nhưng chất lượng rất đáng tin cậy. Chế tạo nó để có được một chiếc bàn nhỏ trong phòng riêng [V].")</f>
        <v>Không cầu kỳ, nhưng chất lượng rất đáng tin cậy. Chế tạo nó để có được một chiếc bàn nhỏ trong phòng riêng [V].</v>
      </c>
      <c r="H4171" s="8"/>
      <c r="I4171" s="8"/>
      <c r="J4171" s="8"/>
    </row>
    <row r="4172" ht="21.0" customHeight="1">
      <c r="A4172" s="6">
        <v>11.0</v>
      </c>
      <c r="B4172" s="6">
        <v>2006.0</v>
      </c>
      <c r="C4172" s="6">
        <v>4.0</v>
      </c>
      <c r="D4172" s="23" t="s">
        <v>7105</v>
      </c>
      <c r="E4172" s="9" t="s">
        <v>7106</v>
      </c>
      <c r="F4172" s="8" t="str">
        <f>IFERROR(__xludf.DUMMYFUNCTION("GOOGLETRANSLATE(D4172,""zh-CN"",""vi"")"),"Phòng riêng với bàn nhỏ [V]")</f>
        <v>Phòng riêng với bàn nhỏ [V]</v>
      </c>
      <c r="G4172" s="8" t="str">
        <f>IFERROR(__xludf.DUMMYFUNCTION("GOOGLETRANSLATE(E4172,""zh-CN"",""vi"")"),"Đây thường là phòng riêng dành cho ông chủ. Tổng hợp để có được Khách sạn Tokyo [V].")</f>
        <v>Đây thường là phòng riêng dành cho ông chủ. Tổng hợp để có được Khách sạn Tokyo [V].</v>
      </c>
      <c r="H4172" s="8"/>
      <c r="I4172" s="8"/>
      <c r="J4172" s="8"/>
    </row>
    <row r="4173" ht="21.0" customHeight="1">
      <c r="A4173" s="6">
        <v>10.0</v>
      </c>
      <c r="B4173" s="6">
        <v>2006.0</v>
      </c>
      <c r="C4173" s="6">
        <v>5.0</v>
      </c>
      <c r="D4173" s="23" t="s">
        <v>7107</v>
      </c>
      <c r="E4173" s="9" t="s">
        <v>7108</v>
      </c>
      <c r="F4173" s="8" t="str">
        <f>IFERROR(__xludf.DUMMYFUNCTION("GOOGLETRANSLATE(D4173,""zh-CN"",""vi"")"),"Khách sạn Tokyo [V]")</f>
        <v>Khách sạn Tokyo [V]</v>
      </c>
      <c r="G4173" s="8" t="str">
        <f>IFERROR(__xludf.DUMMYFUNCTION("GOOGLETRANSLATE(E4173,""zh-CN"",""vi"")"),"Thức ăn ở đây cực kỳ đắt đỏ, nhưng có lý do cho điều đó. Tổng hợp để có được Khách sạn Hòa Bình [V].")</f>
        <v>Thức ăn ở đây cực kỳ đắt đỏ, nhưng có lý do cho điều đó. Tổng hợp để có được Khách sạn Hòa Bình [V].</v>
      </c>
      <c r="H4173" s="8"/>
      <c r="I4173" s="8"/>
      <c r="J4173" s="8"/>
    </row>
    <row r="4174" ht="21.0" customHeight="1">
      <c r="A4174" s="6">
        <v>10.0</v>
      </c>
      <c r="B4174" s="6">
        <v>2006.0</v>
      </c>
      <c r="C4174" s="6">
        <v>6.0</v>
      </c>
      <c r="D4174" s="23" t="s">
        <v>7109</v>
      </c>
      <c r="E4174" s="9" t="s">
        <v>7110</v>
      </c>
      <c r="F4174" s="8" t="str">
        <f>IFERROR(__xludf.DUMMYFUNCTION("GOOGLETRANSLATE(D4174,""zh-CN"",""vi"")"),"Khách sạn Peace [V]")</f>
        <v>Khách sạn Peace [V]</v>
      </c>
      <c r="G4174" s="8" t="str">
        <f>IFERROR(__xludf.DUMMYFUNCTION("GOOGLETRANSLATE(E4174,""zh-CN"",""vi"")"),"Phòng 72, phòng suite kiểu Anh, là phòng lưu trú dài ngày của họ. Tổng hợp để có được Khách sạn Quốc tế [V].")</f>
        <v>Phòng 72, phòng suite kiểu Anh, là phòng lưu trú dài ngày của họ. Tổng hợp để có được Khách sạn Quốc tế [V].</v>
      </c>
      <c r="H4174" s="8"/>
      <c r="I4174" s="8"/>
      <c r="J4174" s="8"/>
    </row>
    <row r="4175" ht="21.0" customHeight="1">
      <c r="A4175" s="6">
        <v>10.0</v>
      </c>
      <c r="B4175" s="6">
        <v>2006.0</v>
      </c>
      <c r="C4175" s="6">
        <v>7.0</v>
      </c>
      <c r="D4175" s="9" t="s">
        <v>7111</v>
      </c>
      <c r="E4175" s="9" t="s">
        <v>7112</v>
      </c>
      <c r="F4175" s="8" t="str">
        <f>IFERROR(__xludf.DUMMYFUNCTION("GOOGLETRANSLATE(D4175,""zh-CN"",""vi"")"),"Khách sạn Quốc tế [V]")</f>
        <v>Khách sạn Quốc tế [V]</v>
      </c>
      <c r="G4175" s="8" t="str">
        <f>IFERROR(__xludf.DUMMYFUNCTION("GOOGLETRANSLATE(E4175,""zh-CN"",""vi"")"),"Đêm giao thừa năm đó đánh dấu sự khởi đầu cho hai người trẻ. Tổng hợp để có được Khu vườn hoàn hảo [V].")</f>
        <v>Đêm giao thừa năm đó đánh dấu sự khởi đầu cho hai người trẻ. Tổng hợp để có được Khu vườn hoàn hảo [V].</v>
      </c>
      <c r="H4175" s="8"/>
      <c r="I4175" s="8"/>
      <c r="J4175" s="8"/>
    </row>
    <row r="4176" ht="21.0" customHeight="1">
      <c r="A4176" s="6">
        <v>10.0</v>
      </c>
      <c r="B4176" s="6">
        <v>2006.0</v>
      </c>
      <c r="C4176" s="6">
        <v>8.0</v>
      </c>
      <c r="D4176" s="9" t="s">
        <v>7113</v>
      </c>
      <c r="E4176" s="9" t="s">
        <v>7114</v>
      </c>
      <c r="F4176" s="8" t="str">
        <f>IFERROR(__xludf.DUMMYFUNCTION("GOOGLETRANSLATE(D4176,""zh-CN"",""vi"")"),"Chí Mỹ Viên [V]")</f>
        <v>Chí Mỹ Viên [V]</v>
      </c>
      <c r="G4176" s="8" t="str">
        <f>IFERROR(__xludf.DUMMYFUNCTION("GOOGLETRANSLATE(E4176,""zh-CN"",""vi"")"),"Nó có vẻ đang phát triển mạnh, nhưng đã tiềm ẩn nhiều nguy hiểm. Tổng hợp và mua lại Tòa nhà Thương mại Shenlian [V].")</f>
        <v>Nó có vẻ đang phát triển mạnh, nhưng đã tiềm ẩn nhiều nguy hiểm. Tổng hợp và mua lại Tòa nhà Thương mại Shenlian [V].</v>
      </c>
      <c r="H4176" s="8"/>
      <c r="I4176" s="8"/>
      <c r="J4176" s="8"/>
    </row>
    <row r="4177" ht="21.0" customHeight="1">
      <c r="A4177" s="6">
        <v>10.0</v>
      </c>
      <c r="B4177" s="6">
        <v>2006.0</v>
      </c>
      <c r="C4177" s="6">
        <v>9.0</v>
      </c>
      <c r="D4177" s="9" t="s">
        <v>7115</v>
      </c>
      <c r="E4177" s="9" t="s">
        <v>7116</v>
      </c>
      <c r="F4177" s="8" t="str">
        <f>IFERROR(__xludf.DUMMYFUNCTION("GOOGLETRANSLATE(D4177,""zh-CN"",""vi"")"),"Tòa nhà thương mại Shenlian [V]")</f>
        <v>Tòa nhà thương mại Shenlian [V]</v>
      </c>
      <c r="G4177" s="8" t="str">
        <f>IFERROR(__xludf.DUMMYFUNCTION("GOOGLETRANSLATE(E4177,""zh-CN"",""vi"")"),"Chỉ cần nó có thể tiêu thụ 800.000 áo phông. Tổng hợp để có được Vườn Meizhen [V].")</f>
        <v>Chỉ cần nó có thể tiêu thụ 800.000 áo phông. Tổng hợp để có được Vườn Meizhen [V].</v>
      </c>
      <c r="H4177" s="8"/>
      <c r="I4177" s="8"/>
      <c r="J4177" s="8"/>
    </row>
    <row r="4178" ht="21.0" customHeight="1">
      <c r="A4178" s="6">
        <v>10.0</v>
      </c>
      <c r="B4178" s="6">
        <v>2006.0</v>
      </c>
      <c r="C4178" s="6">
        <v>10.0</v>
      </c>
      <c r="D4178" s="23" t="s">
        <v>7117</v>
      </c>
      <c r="E4178" s="9" t="s">
        <v>7098</v>
      </c>
      <c r="F4178" s="8" t="str">
        <f>IFERROR(__xludf.DUMMYFUNCTION("GOOGLETRANSLATE(D4178,""zh-CN"",""vi"")"),"Vườn Meizhen [V]")</f>
        <v>Vườn Meizhen [V]</v>
      </c>
      <c r="G4178" s="8" t="str">
        <f>IFERROR(__xludf.DUMMYFUNCTION("GOOGLETRANSLATE(E4178,""zh-CN"",""vi"")"),"Kết quả của sự vật bắt nguồn từ nguyên nhân; mọi thứ đều đã được định trước và không thể tránh khỏi. (Đã được tổng hợp đến cấp độ cao nhất.)")</f>
        <v>Kết quả của sự vật bắt nguồn từ nguyên nhân; mọi thứ đều đã được định trước và không thể tránh khỏi. (Đã được tổng hợp đến cấp độ cao nhất.)</v>
      </c>
      <c r="H4178" s="8"/>
      <c r="I4178" s="8"/>
      <c r="J4178" s="8"/>
    </row>
    <row r="4179" ht="21.0" customHeight="1">
      <c r="A4179" s="6">
        <v>1.0</v>
      </c>
      <c r="B4179" s="6">
        <v>316.0</v>
      </c>
      <c r="C4179" s="6">
        <v>1.0</v>
      </c>
      <c r="D4179" s="23" t="s">
        <v>7118</v>
      </c>
      <c r="E4179" s="9" t="s">
        <v>7119</v>
      </c>
      <c r="F4179" s="8" t="str">
        <f>IFERROR(__xludf.DUMMYFUNCTION("GOOGLETRANSLATE(D4179,""zh-CN"",""vi"")"),"Youdunzi")</f>
        <v>Youdunzi</v>
      </c>
      <c r="G4179" s="8" t="str">
        <f>IFERROR(__xludf.DUMMYFUNCTION("GOOGLETRANSLATE(E4179,""zh-CN"",""vi"")"),"Họ xoay xở với những gì mình có để lấp đầy bụng. Sau đó, họ đã tạo ra một ""Chiếc bánh thành công"".")</f>
        <v>Họ xoay xở với những gì mình có để lấp đầy bụng. Sau đó, họ đã tạo ra một "Chiếc bánh thành công".</v>
      </c>
      <c r="H4179" s="8"/>
      <c r="I4179" s="8"/>
      <c r="J4179" s="8"/>
    </row>
    <row r="4180" ht="21.0" customHeight="1">
      <c r="A4180" s="6">
        <v>1.0</v>
      </c>
      <c r="B4180" s="6">
        <v>316.0</v>
      </c>
      <c r="C4180" s="6">
        <v>2.0</v>
      </c>
      <c r="D4180" s="23" t="s">
        <v>7120</v>
      </c>
      <c r="E4180" s="9" t="s">
        <v>7121</v>
      </c>
      <c r="F4180" s="8" t="str">
        <f>IFERROR(__xludf.DUMMYFUNCTION("GOOGLETRANSLATE(D4180,""zh-CN"",""vi"")"),"Bánh Định Sinh")</f>
        <v>Bánh Định Sinh</v>
      </c>
      <c r="G4180" s="8" t="str">
        <f>IFERROR(__xludf.DUMMYFUNCTION("GOOGLETRANSLATE(E4180,""zh-CN"",""vi"")"),"Ông lão ăn một miếng bánh Đinh Sinh Cao (một loại bánh gạo) mỗi sáng. Kết hợp chúng lại sẽ được bánh sườn.")</f>
        <v>Ông lão ăn một miếng bánh Đinh Sinh Cao (một loại bánh gạo) mỗi sáng. Kết hợp chúng lại sẽ được bánh sườn.</v>
      </c>
      <c r="H4180" s="8"/>
      <c r="I4180" s="8"/>
      <c r="J4180" s="8"/>
    </row>
    <row r="4181" ht="21.0" customHeight="1">
      <c r="A4181" s="6">
        <v>1.0</v>
      </c>
      <c r="B4181" s="6">
        <v>316.0</v>
      </c>
      <c r="C4181" s="6">
        <v>3.0</v>
      </c>
      <c r="D4181" s="23" t="s">
        <v>7122</v>
      </c>
      <c r="E4181" s="9" t="s">
        <v>7123</v>
      </c>
      <c r="F4181" s="8" t="str">
        <f>IFERROR(__xludf.DUMMYFUNCTION("GOOGLETRANSLATE(D4181,""zh-CN"",""vi"")"),"Sườn heo và bánh gạo")</f>
        <v>Sườn heo và bánh gạo</v>
      </c>
      <c r="G4181" s="8" t="str">
        <f>IFERROR(__xludf.DUMMYFUNCTION("GOOGLETRANSLATE(E4181,""zh-CN"",""vi"")"),"Dù đồ ăn bên ngoài có ngon đến đâu, cũng không thể sánh bằng sườn heo và bánh gạo. (Cơm chiên Ship King).")</f>
        <v>Dù đồ ăn bên ngoài có ngon đến đâu, cũng không thể sánh bằng sườn heo và bánh gạo. (Cơm chiên Ship King).</v>
      </c>
      <c r="H4181" s="8"/>
      <c r="I4181" s="8"/>
      <c r="J4181" s="8"/>
    </row>
    <row r="4182" ht="21.0" customHeight="1">
      <c r="A4182" s="6">
        <v>1.0</v>
      </c>
      <c r="B4182" s="6">
        <v>316.0</v>
      </c>
      <c r="C4182" s="6">
        <v>4.0</v>
      </c>
      <c r="D4182" s="23" t="s">
        <v>7124</v>
      </c>
      <c r="E4182" s="9" t="s">
        <v>7125</v>
      </c>
      <c r="F4182" s="8" t="str">
        <f>IFERROR(__xludf.DUMMYFUNCTION("GOOGLETRANSLATE(D4182,""zh-CN"",""vi"")"),"Cơm chiên Ship King")</f>
        <v>Cơm chiên Ship King</v>
      </c>
      <c r="G4182" s="8" t="str">
        <f>IFERROR(__xludf.DUMMYFUNCTION("GOOGLETRANSLATE(E4182,""zh-CN"",""vi"")"),"Chỉ có loại ô đầu chưa từng đẻ trứng mới có thể dùng làm nguyên liệu; nó rất kén chọn! Khi kết hợp lại, nó sẽ tạo ra món bún bò xào.")</f>
        <v>Chỉ có loại ô đầu chưa từng đẻ trứng mới có thể dùng làm nguyên liệu; nó rất kén chọn! Khi kết hợp lại, nó sẽ tạo ra món bún bò xào.</v>
      </c>
      <c r="H4182" s="8"/>
      <c r="I4182" s="8"/>
      <c r="J4182" s="8"/>
    </row>
    <row r="4183" ht="21.0" customHeight="1">
      <c r="A4183" s="6">
        <v>1.0</v>
      </c>
      <c r="B4183" s="6">
        <v>316.0</v>
      </c>
      <c r="C4183" s="6">
        <v>5.0</v>
      </c>
      <c r="D4183" s="23" t="s">
        <v>7126</v>
      </c>
      <c r="E4183" s="9" t="s">
        <v>7127</v>
      </c>
      <c r="F4183" s="8" t="str">
        <f>IFERROR(__xludf.DUMMYFUNCTION("GOOGLETRANSLATE(D4183,""zh-CN"",""vi"")"),"Mì bò xào")</f>
        <v>Mì bò xào</v>
      </c>
      <c r="G4183" s="8" t="str">
        <f>IFERROR(__xludf.DUMMYFUNCTION("GOOGLETRANSLATE(E4183,""zh-CN"",""vi"")"),"Vì ông chủ đã ăn món này một lần nên nó trở thành món ăn đặc trưng của nhà hàng. (Tổng hợp để có được Cá trích hấp dầu gà và rượu Thiệu Hưng)")</f>
        <v>Vì ông chủ đã ăn món này một lần nên nó trở thành món ăn đặc trưng của nhà hàng. (Tổng hợp để có được Cá trích hấp dầu gà và rượu Thiệu Hưng)</v>
      </c>
      <c r="H4183" s="8"/>
      <c r="I4183" s="8"/>
      <c r="J4183" s="8"/>
    </row>
    <row r="4184" ht="21.0" customHeight="1">
      <c r="A4184" s="6">
        <v>1.0</v>
      </c>
      <c r="B4184" s="6">
        <v>316.0</v>
      </c>
      <c r="C4184" s="6">
        <v>6.0</v>
      </c>
      <c r="D4184" s="23" t="s">
        <v>7128</v>
      </c>
      <c r="E4184" s="9" t="s">
        <v>7129</v>
      </c>
      <c r="F4184" s="8" t="str">
        <f>IFERROR(__xludf.DUMMYFUNCTION("GOOGLETRANSLATE(D4184,""zh-CN"",""vi"")"),"Cá trích hấp dầu gà và rượu Thiệu Hưng")</f>
        <v>Cá trích hấp dầu gà và rượu Thiệu Hưng</v>
      </c>
      <c r="G4184" s="8" t="str">
        <f>IFERROR(__xludf.DUMMYFUNCTION("GOOGLETRANSLATE(E4184,""zh-CN"",""vi"")"),"Hãy phát triển phong cách riêng và sống cuộc đời của chính mình. (Tổng hợp để có được Cháo Sếp.)")</f>
        <v>Hãy phát triển phong cách riêng và sống cuộc đời của chính mình. (Tổng hợp để có được Cháo Sếp.)</v>
      </c>
      <c r="H4184" s="8"/>
      <c r="I4184" s="8"/>
      <c r="J4184" s="8"/>
    </row>
    <row r="4185" ht="21.0" customHeight="1">
      <c r="A4185" s="6">
        <v>1.0</v>
      </c>
      <c r="B4185" s="6">
        <v>316.0</v>
      </c>
      <c r="C4185" s="6">
        <v>7.0</v>
      </c>
      <c r="D4185" s="23" t="s">
        <v>7130</v>
      </c>
      <c r="E4185" s="9" t="s">
        <v>7131</v>
      </c>
      <c r="F4185" s="8" t="str">
        <f>IFERROR(__xludf.DUMMYFUNCTION("GOOGLETRANSLATE(D4185,""zh-CN"",""vi"")"),"Cháo gạo Boss")</f>
        <v>Cháo gạo Boss</v>
      </c>
      <c r="G4185" s="8" t="str">
        <f>IFERROR(__xludf.DUMMYFUNCTION("GOOGLETRANSLATE(E4185,""zh-CN"",""vi"")"),"Đừng để bị đánh lừa bởi món cháo đơn giản; nó chứa đầy các món ăn kèm, và hầu hết mọi người không đủ khả năng mua được. Hãy tổng hợp để thu được phổi cá chép.")</f>
        <v>Đừng để bị đánh lừa bởi món cháo đơn giản; nó chứa đầy các món ăn kèm, và hầu hết mọi người không đủ khả năng mua được. Hãy tổng hợp để thu được phổi cá chép.</v>
      </c>
      <c r="H4185" s="8"/>
      <c r="I4185" s="8"/>
      <c r="J4185" s="8"/>
    </row>
    <row r="4186" ht="21.0" customHeight="1">
      <c r="A4186" s="6">
        <v>1.0</v>
      </c>
      <c r="B4186" s="6">
        <v>316.0</v>
      </c>
      <c r="C4186" s="6">
        <v>8.0</v>
      </c>
      <c r="D4186" s="23" t="s">
        <v>7132</v>
      </c>
      <c r="E4186" s="9" t="s">
        <v>7133</v>
      </c>
      <c r="F4186" s="8" t="str">
        <f>IFERROR(__xludf.DUMMYFUNCTION("GOOGLETRANSLATE(D4186,""zh-CN"",""vi"")"),"phổi cá thu")</f>
        <v>phổi cá thu</v>
      </c>
      <c r="G4186" s="8" t="str">
        <f>IFERROR(__xludf.DUMMYFUNCTION("GOOGLETRANSLATE(E4186,""zh-CN"",""vi"")"),"Sự tinh tế và sang trọng phản ánh đẳng cấp của nhà hàng. Kết hợp lại, chúng tạo nên món lưỡi vịt tempura ngon tuyệt.")</f>
        <v>Sự tinh tế và sang trọng phản ánh đẳng cấp của nhà hàng. Kết hợp lại, chúng tạo nên món lưỡi vịt tempura ngon tuyệt.</v>
      </c>
      <c r="H4186" s="8"/>
      <c r="I4186" s="8"/>
      <c r="J4186" s="8"/>
    </row>
    <row r="4187" ht="21.0" customHeight="1">
      <c r="A4187" s="6">
        <v>1.0</v>
      </c>
      <c r="B4187" s="6">
        <v>316.0</v>
      </c>
      <c r="C4187" s="6">
        <v>9.0</v>
      </c>
      <c r="D4187" s="23" t="s">
        <v>7134</v>
      </c>
      <c r="E4187" s="9" t="s">
        <v>7135</v>
      </c>
      <c r="F4187" s="8" t="str">
        <f>IFERROR(__xludf.DUMMYFUNCTION("GOOGLETRANSLATE(D4187,""zh-CN"",""vi"")"),"lưỡi vịt tempura")</f>
        <v>lưỡi vịt tempura</v>
      </c>
      <c r="G4187" s="8" t="str">
        <f>IFERROR(__xludf.DUMMYFUNCTION("GOOGLETRANSLATE(E4187,""zh-CN"",""vi"")"),"Sự kết hợp hoàn hảo giữa ẩm thực Thượng Hải địa phương và ẩm thực Kaiseki. Món ăn được chế biến để có món thịt cừu hấp.")</f>
        <v>Sự kết hợp hoàn hảo giữa ẩm thực Thượng Hải địa phương và ẩm thực Kaiseki. Món ăn được chế biến để có món thịt cừu hấp.</v>
      </c>
      <c r="H4187" s="8"/>
      <c r="I4187" s="8"/>
      <c r="J4187" s="8"/>
    </row>
    <row r="4188" ht="21.0" customHeight="1">
      <c r="A4188" s="6">
        <v>1.0</v>
      </c>
      <c r="B4188" s="6">
        <v>316.0</v>
      </c>
      <c r="C4188" s="6">
        <v>10.0</v>
      </c>
      <c r="D4188" s="23" t="s">
        <v>7136</v>
      </c>
      <c r="E4188" s="9" t="s">
        <v>7137</v>
      </c>
      <c r="F4188" s="8" t="str">
        <f>IFERROR(__xludf.DUMMYFUNCTION("GOOGLETRANSLATE(D4188,""zh-CN"",""vi"")"),"Thịt cừu nóng")</f>
        <v>Thịt cừu nóng</v>
      </c>
      <c r="G4188" s="8" t="str">
        <f>IFERROR(__xludf.DUMMYFUNCTION("GOOGLETRANSLATE(E4188,""zh-CN"",""vi"")"),"Không chỉ hơi nóng đang bốc lên, mà cả cảm xúc cũng vậy. Hãy kết hợp để có được Rắn Lửa Vương.")</f>
        <v>Không chỉ hơi nóng đang bốc lên, mà cả cảm xúc cũng vậy. Hãy kết hợp để có được Rắn Lửa Vương.</v>
      </c>
      <c r="H4188" s="8"/>
      <c r="I4188" s="8"/>
      <c r="J4188" s="8"/>
    </row>
    <row r="4189" ht="21.0" customHeight="1">
      <c r="A4189" s="6">
        <v>1.0</v>
      </c>
      <c r="B4189" s="6">
        <v>316.0</v>
      </c>
      <c r="C4189" s="6">
        <v>11.0</v>
      </c>
      <c r="D4189" s="23" t="s">
        <v>7138</v>
      </c>
      <c r="E4189" s="9" t="s">
        <v>7139</v>
      </c>
      <c r="F4189" s="8" t="str">
        <f>IFERROR(__xludf.DUMMYFUNCTION("GOOGLETRANSLATE(D4189,""zh-CN"",""vi"")"),"Rắn Vua Lửa")</f>
        <v>Rắn Vua Lửa</v>
      </c>
      <c r="G4189" s="8" t="str">
        <f>IFERROR(__xludf.DUMMYFUNCTION("GOOGLETRANSLATE(E4189,""zh-CN"",""vi"")"),"Như một con quỷ đến từ địa ngục, hắn giáng một đòn chí mạng. (Được tổng hợp để có được Farewell My Concubine)")</f>
        <v>Như một con quỷ đến từ địa ngục, hắn giáng một đòn chí mạng. (Được tổng hợp để có được Farewell My Concubine)</v>
      </c>
      <c r="H4189" s="8"/>
      <c r="I4189" s="8"/>
      <c r="J4189" s="8"/>
    </row>
    <row r="4190" ht="21.0" customHeight="1">
      <c r="A4190" s="6">
        <v>1.0</v>
      </c>
      <c r="B4190" s="6">
        <v>316.0</v>
      </c>
      <c r="C4190" s="6">
        <v>12.0</v>
      </c>
      <c r="D4190" s="23" t="s">
        <v>7140</v>
      </c>
      <c r="E4190" s="9" t="s">
        <v>7141</v>
      </c>
      <c r="F4190" s="8" t="str">
        <f>IFERROR(__xludf.DUMMYFUNCTION("GOOGLETRANSLATE(D4190,""zh-CN"",""vi"")"),"Tạm biệt người thiếp của ta")</f>
        <v>Tạm biệt người thiếp của ta</v>
      </c>
      <c r="G4190" s="8" t="str">
        <f>IFERROR(__xludf.DUMMYFUNCTION("GOOGLETRANSLATE(E4190,""zh-CN"",""vi"")"),"Tám mươi tám bức tượng ""Tạm biệt phi tần"" tạm thời che khuất vị CEO. Hãy kết hợp chúng để có được Kim Hạc.")</f>
        <v>Tám mươi tám bức tượng "Tạm biệt phi tần" tạm thời che khuất vị CEO. Hãy kết hợp chúng để có được Kim Hạc.</v>
      </c>
      <c r="H4190" s="8"/>
      <c r="I4190" s="8"/>
      <c r="J4190" s="8"/>
    </row>
    <row r="4191" ht="21.0" customHeight="1">
      <c r="A4191" s="6">
        <v>1.0</v>
      </c>
      <c r="B4191" s="6">
        <v>316.0</v>
      </c>
      <c r="C4191" s="6">
        <v>13.0</v>
      </c>
      <c r="D4191" s="23" t="s">
        <v>7142</v>
      </c>
      <c r="E4191" s="9" t="s">
        <v>7143</v>
      </c>
      <c r="F4191" s="8" t="str">
        <f>IFERROR(__xludf.DUMMYFUNCTION("GOOGLETRANSLATE(D4191,""zh-CN"",""vi"")"),"Kim Hạc")</f>
        <v>Kim Hạc</v>
      </c>
      <c r="G4191" s="8" t="str">
        <f>IFERROR(__xludf.DUMMYFUNCTION("GOOGLETRANSLATE(E4191,""zh-CN"",""vi"")"),"Ẩm thực Quảng Đông thượng hạng, đầy những chiêu trò, giải quyết được khủng hoảng. Đã được tổng hợp đến mức độ cao nhất.")</f>
        <v>Ẩm thực Quảng Đông thượng hạng, đầy những chiêu trò, giải quyết được khủng hoảng. Đã được tổng hợp đến mức độ cao nhất.</v>
      </c>
      <c r="H4191" s="8"/>
      <c r="I4191" s="8"/>
      <c r="J4191" s="8"/>
    </row>
    <row r="4192" ht="21.0" customHeight="1">
      <c r="A4192" s="6">
        <v>1.0</v>
      </c>
      <c r="B4192" s="6">
        <v>317.0</v>
      </c>
      <c r="C4192" s="6">
        <v>1.0</v>
      </c>
      <c r="D4192" s="23" t="s">
        <v>7144</v>
      </c>
      <c r="E4192" s="9" t="s">
        <v>7145</v>
      </c>
      <c r="F4192" s="8" t="str">
        <f>IFERROR(__xludf.DUMMYFUNCTION("GOOGLETRANSLATE(D4192,""zh-CN"",""vi"")"),"Sữa Dawn")</f>
        <v>Sữa Dawn</v>
      </c>
      <c r="G4192" s="8" t="str">
        <f>IFERROR(__xludf.DUMMYFUNCTION("GOOGLETRANSLATE(E4192,""zh-CN"",""vi"")"),"Một ký ức kinh điển từ thế hệ trước, được làm từ những nguyên liệu đáng tin cậy. Bia PEEB được tổng hợp từ những nguyên liệu này.")</f>
        <v>Một ký ức kinh điển từ thế hệ trước, được làm từ những nguyên liệu đáng tin cậy. Bia PEEB được tổng hợp từ những nguyên liệu này.</v>
      </c>
      <c r="H4192" s="8"/>
      <c r="I4192" s="8"/>
      <c r="J4192" s="8"/>
    </row>
    <row r="4193" ht="21.0" customHeight="1">
      <c r="A4193" s="6">
        <v>1.0</v>
      </c>
      <c r="B4193" s="6">
        <v>317.0</v>
      </c>
      <c r="C4193" s="6">
        <v>2.0</v>
      </c>
      <c r="D4193" s="23" t="s">
        <v>7146</v>
      </c>
      <c r="E4193" s="9" t="s">
        <v>7147</v>
      </c>
      <c r="F4193" s="8" t="str">
        <f>IFERROR(__xludf.DUMMYFUNCTION("GOOGLETRANSLATE(D4193,""zh-CN"",""vi"")"),"Bia PEEB")</f>
        <v>Bia PEEB</v>
      </c>
      <c r="G4193" s="8" t="str">
        <f>IFERROR(__xludf.DUMMYFUNCTION("GOOGLETRANSLATE(E4193,""zh-CN"",""vi"")"),"Một thương hiệu bia từng rất nổi tiếng. Kết hợp các thành phần để tạo thành những viên sô cô la.")</f>
        <v>Một thương hiệu bia từng rất nổi tiếng. Kết hợp các thành phần để tạo thành những viên sô cô la.</v>
      </c>
      <c r="H4193" s="8"/>
      <c r="I4193" s="8"/>
      <c r="J4193" s="8"/>
    </row>
    <row r="4194" ht="21.0" customHeight="1">
      <c r="A4194" s="6">
        <v>1.0</v>
      </c>
      <c r="B4194" s="6">
        <v>317.0</v>
      </c>
      <c r="C4194" s="6">
        <v>3.0</v>
      </c>
      <c r="D4194" s="23" t="s">
        <v>7148</v>
      </c>
      <c r="E4194" s="9" t="s">
        <v>7149</v>
      </c>
      <c r="F4194" s="8" t="str">
        <f>IFERROR(__xludf.DUMMYFUNCTION("GOOGLETRANSLATE(D4194,""zh-CN"",""vi"")"),"Viên sô cô la")</f>
        <v>Viên sô cô la</v>
      </c>
      <c r="G4194" s="8" t="str">
        <f>IFERROR(__xludf.DUMMYFUNCTION("GOOGLETRANSLATE(E4194,""zh-CN"",""vi"")"),"Trẻ em thích cái này nhất. Hãy tự làm để có món gà rán CFK.")</f>
        <v>Trẻ em thích cái này nhất. Hãy tự làm để có món gà rán CFK.</v>
      </c>
      <c r="H4194" s="8"/>
      <c r="I4194" s="8"/>
      <c r="J4194" s="8"/>
    </row>
    <row r="4195" ht="21.0" customHeight="1">
      <c r="A4195" s="6">
        <v>1.0</v>
      </c>
      <c r="B4195" s="6">
        <v>317.0</v>
      </c>
      <c r="C4195" s="6">
        <v>4.0</v>
      </c>
      <c r="D4195" s="23" t="s">
        <v>7150</v>
      </c>
      <c r="E4195" s="9" t="s">
        <v>7151</v>
      </c>
      <c r="F4195" s="8" t="str">
        <f>IFERROR(__xludf.DUMMYFUNCTION("GOOGLETRANSLATE(D4195,""zh-CN"",""vi"")"),"Gà rán CFK")</f>
        <v>Gà rán CFK</v>
      </c>
      <c r="G4195" s="8" t="str">
        <f>IFERROR(__xludf.DUMMYFUNCTION("GOOGLETRANSLATE(E4195,""zh-CN"",""vi"")"),"Thời đó, ăn gà rán là một món ăn hiếm hoi. (Sau đó, đoạn văn đột ngột chuyển sang một chủ đề dường như không liên quan: tổng hợp thấu kính áp tròng.)")</f>
        <v>Thời đó, ăn gà rán là một món ăn hiếm hoi. (Sau đó, đoạn văn đột ngột chuyển sang một chủ đề dường như không liên quan: tổng hợp thấu kính áp tròng.)</v>
      </c>
      <c r="H4195" s="8"/>
      <c r="I4195" s="8"/>
      <c r="J4195" s="8"/>
    </row>
    <row r="4196" ht="21.0" customHeight="1">
      <c r="A4196" s="6">
        <v>1.0</v>
      </c>
      <c r="B4196" s="6">
        <v>317.0</v>
      </c>
      <c r="C4196" s="6">
        <v>5.0</v>
      </c>
      <c r="D4196" s="23" t="s">
        <v>7152</v>
      </c>
      <c r="E4196" s="9" t="s">
        <v>7153</v>
      </c>
      <c r="F4196" s="8" t="str">
        <f>IFERROR(__xludf.DUMMYFUNCTION("GOOGLETRANSLATE(D4196,""zh-CN"",""vi"")"),"Kính áp tròng")</f>
        <v>Kính áp tròng</v>
      </c>
      <c r="G4196" s="8" t="str">
        <f>IFERROR(__xludf.DUMMYFUNCTION("GOOGLETRANSLATE(E4196,""zh-CN"",""vi"")"),"""Chỉ khi nhìn thấy tương lai, chúng ta mới có thể có một tương lai."" (Câu này đề cập đến quá trình tổng hợp kem dưỡng da mặt Otiland.)")</f>
        <v>"Chỉ khi nhìn thấy tương lai, chúng ta mới có thể có một tương lai." (Câu này đề cập đến quá trình tổng hợp kem dưỡng da mặt Otiland.)</v>
      </c>
      <c r="H4196" s="8"/>
      <c r="I4196" s="8"/>
      <c r="J4196" s="8"/>
    </row>
    <row r="4197" ht="21.0" customHeight="1">
      <c r="A4197" s="6">
        <v>1.0</v>
      </c>
      <c r="B4197" s="6">
        <v>317.0</v>
      </c>
      <c r="C4197" s="6">
        <v>6.0</v>
      </c>
      <c r="D4197" s="23" t="s">
        <v>7154</v>
      </c>
      <c r="E4197" s="9" t="s">
        <v>7155</v>
      </c>
      <c r="F4197" s="8" t="str">
        <f>IFERROR(__xludf.DUMMYFUNCTION("GOOGLETRANSLATE(D4197,""zh-CN"",""vi"")"),"kem dưỡng da mặt Otiland")</f>
        <v>kem dưỡng da mặt Otiland</v>
      </c>
      <c r="G4197" s="8" t="str">
        <f>IFERROR(__xludf.DUMMYFUNCTION("GOOGLETRANSLATE(E4197,""zh-CN"",""vi"")"),"Nó tượng trưng cho sự giàu có hơn là tính hữu dụng thực tế. Tổng hợp lại để thu được son môi Otiland.")</f>
        <v>Nó tượng trưng cho sự giàu có hơn là tính hữu dụng thực tế. Tổng hợp lại để thu được son môi Otiland.</v>
      </c>
      <c r="H4197" s="8"/>
      <c r="I4197" s="8"/>
      <c r="J4197" s="8"/>
    </row>
    <row r="4198" ht="21.0" customHeight="1">
      <c r="A4198" s="6">
        <v>1.0</v>
      </c>
      <c r="B4198" s="6">
        <v>317.0</v>
      </c>
      <c r="C4198" s="6">
        <v>7.0</v>
      </c>
      <c r="D4198" s="23" t="s">
        <v>7156</v>
      </c>
      <c r="E4198" s="9" t="s">
        <v>7157</v>
      </c>
      <c r="F4198" s="8" t="str">
        <f>IFERROR(__xludf.DUMMYFUNCTION("GOOGLETRANSLATE(D4198,""zh-CN"",""vi"")"),"Son môi Otiland")</f>
        <v>Son môi Otiland</v>
      </c>
      <c r="G4198" s="8" t="str">
        <f>IFERROR(__xludf.DUMMYFUNCTION("GOOGLETRANSLATE(E4198,""zh-CN"",""vi"")"),"Đây chính là ""vũ khí"" chiến thắng trong chuyện hẹn hò. Hãy chế tạo nó để sở hữu chiếc áo thun thương hiệu Three Bulls.")</f>
        <v>Đây chính là "vũ khí" chiến thắng trong chuyện hẹn hò. Hãy chế tạo nó để sở hữu chiếc áo thun thương hiệu Three Bulls.</v>
      </c>
      <c r="H4198" s="8"/>
      <c r="I4198" s="8"/>
      <c r="J4198" s="8"/>
    </row>
    <row r="4199" ht="21.0" customHeight="1">
      <c r="A4199" s="6">
        <v>1.0</v>
      </c>
      <c r="B4199" s="6">
        <v>317.0</v>
      </c>
      <c r="C4199" s="6">
        <v>8.0</v>
      </c>
      <c r="D4199" s="23" t="s">
        <v>7158</v>
      </c>
      <c r="E4199" s="9" t="s">
        <v>7159</v>
      </c>
      <c r="F4199" s="8" t="str">
        <f>IFERROR(__xludf.DUMMYFUNCTION("GOOGLETRANSLATE(D4199,""zh-CN"",""vi"")"),"Áo thun thương hiệu San Niu")</f>
        <v>Áo thun thương hiệu San Niu</v>
      </c>
      <c r="G4199" s="8" t="str">
        <f>IFERROR(__xludf.DUMMYFUNCTION("GOOGLETRANSLATE(E4199,""zh-CN"",""vi"")"),"Chất liệu cotton mercerized nội địa chính hãng, chất lượng không thua kém sản phẩm nhập khẩu! Tổng hợp để tạo ra áo thun Mengtegang.")</f>
        <v>Chất liệu cotton mercerized nội địa chính hãng, chất lượng không thua kém sản phẩm nhập khẩu! Tổng hợp để tạo ra áo thun Mengtegang.</v>
      </c>
      <c r="H4199" s="8"/>
      <c r="I4199" s="8"/>
      <c r="J4199" s="8"/>
    </row>
    <row r="4200" ht="21.0" customHeight="1">
      <c r="A4200" s="6">
        <v>1.0</v>
      </c>
      <c r="B4200" s="6">
        <v>317.0</v>
      </c>
      <c r="C4200" s="6">
        <v>9.0</v>
      </c>
      <c r="D4200" s="23" t="s">
        <v>7160</v>
      </c>
      <c r="E4200" s="9" t="s">
        <v>7161</v>
      </c>
      <c r="F4200" s="8" t="str">
        <f>IFERROR(__xludf.DUMMYFUNCTION("GOOGLETRANSLATE(D4200,""zh-CN"",""vi"")"),"Áo thun Dream Steel")</f>
        <v>Áo thun Dream Steel</v>
      </c>
      <c r="G4200" s="8" t="str">
        <f>IFERROR(__xludf.DUMMYFUNCTION("GOOGLETRANSLATE(E4200,""zh-CN"",""vi"")"),"Một bộ trang phục kinh điển với lịch sử hơn một thế kỷ. Hãy chế tác nó để có được Rượu Brandy Nhân Mã.")</f>
        <v>Một bộ trang phục kinh điển với lịch sử hơn một thế kỷ. Hãy chế tác nó để có được Rượu Brandy Nhân Mã.</v>
      </c>
      <c r="H4200" s="8"/>
      <c r="I4200" s="8"/>
      <c r="J4200" s="8"/>
    </row>
    <row r="4201" ht="21.0" customHeight="1">
      <c r="A4201" s="6">
        <v>1.0</v>
      </c>
      <c r="B4201" s="6">
        <v>317.0</v>
      </c>
      <c r="C4201" s="6">
        <v>10.0</v>
      </c>
      <c r="D4201" s="23" t="s">
        <v>7162</v>
      </c>
      <c r="E4201" s="9" t="s">
        <v>7163</v>
      </c>
      <c r="F4201" s="8" t="str">
        <f>IFERROR(__xludf.DUMMYFUNCTION("GOOGLETRANSLATE(D4201,""zh-CN"",""vi"")"),"Rượu Brandy Nhân Mã")</f>
        <v>Rượu Brandy Nhân Mã</v>
      </c>
      <c r="G4201" s="8" t="str">
        <f>IFERROR(__xludf.DUMMYFUNCTION("GOOGLETRANSLATE(E4201,""zh-CN"",""vi"")"),"Họ không uống rượu, mà là uống tấm vé gia nhập một tầng lớp xã hội nhất định. (Mục tiêu là tổng hợp rượu Moutai.)")</f>
        <v>Họ không uống rượu, mà là uống tấm vé gia nhập một tầng lớp xã hội nhất định. (Mục tiêu là tổng hợp rượu Moutai.)</v>
      </c>
      <c r="H4201" s="8"/>
      <c r="I4201" s="8"/>
      <c r="J4201" s="8"/>
    </row>
    <row r="4202" ht="21.0" customHeight="1">
      <c r="A4202" s="6">
        <v>1.0</v>
      </c>
      <c r="B4202" s="6">
        <v>317.0</v>
      </c>
      <c r="C4202" s="6">
        <v>11.0</v>
      </c>
      <c r="D4202" s="23" t="s">
        <v>7164</v>
      </c>
      <c r="E4202" s="9" t="s">
        <v>7165</v>
      </c>
      <c r="F4202" s="8" t="str">
        <f>IFERROR(__xludf.DUMMYFUNCTION("GOOGLETRANSLATE(D4202,""zh-CN"",""vi"")"),"Rượu Moutai")</f>
        <v>Rượu Moutai</v>
      </c>
      <c r="G4202" s="8" t="str">
        <f>IFERROR(__xludf.DUMMYFUNCTION("GOOGLETRANSLATE(E4202,""zh-CN"",""vi"")"),"Cần thiết để tiếp đãi khách; biểu tượng của địa vị. Tổng hợp để có được một chiếc đồng hồ hàng hiệu.")</f>
        <v>Cần thiết để tiếp đãi khách; biểu tượng của địa vị. Tổng hợp để có được một chiếc đồng hồ hàng hiệu.</v>
      </c>
      <c r="H4202" s="8"/>
      <c r="I4202" s="8"/>
      <c r="J4202" s="8"/>
    </row>
    <row r="4203" ht="21.0" customHeight="1">
      <c r="A4203" s="6">
        <v>1.0</v>
      </c>
      <c r="B4203" s="6">
        <v>317.0</v>
      </c>
      <c r="C4203" s="6">
        <v>12.0</v>
      </c>
      <c r="D4203" s="9" t="s">
        <v>7166</v>
      </c>
      <c r="E4203" s="9" t="s">
        <v>7167</v>
      </c>
      <c r="F4203" s="8" t="str">
        <f>IFERROR(__xludf.DUMMYFUNCTION("GOOGLETRANSLATE(D4203,""zh-CN"",""vi"")"),"Đồng hồ sang trọng")</f>
        <v>Đồng hồ sang trọng</v>
      </c>
      <c r="G4203" s="8" t="str">
        <f>IFERROR(__xludf.DUMMYFUNCTION("GOOGLETRANSLATE(E4203,""zh-CN"",""vi"")"),"Đây là một phụ kiện tiêu chuẩn của giới thượng lưu. Tổng hợp để có được một bộ vest Ả Rập.")</f>
        <v>Đây là một phụ kiện tiêu chuẩn của giới thượng lưu. Tổng hợp để có được một bộ vest Ả Rập.</v>
      </c>
      <c r="H4203" s="8"/>
      <c r="I4203" s="8"/>
      <c r="J4203" s="8"/>
    </row>
    <row r="4204" ht="21.0" customHeight="1">
      <c r="A4204" s="6">
        <v>1.0</v>
      </c>
      <c r="B4204" s="6">
        <v>317.0</v>
      </c>
      <c r="C4204" s="6">
        <v>13.0</v>
      </c>
      <c r="D4204" s="23" t="s">
        <v>7168</v>
      </c>
      <c r="E4204" s="9" t="s">
        <v>7169</v>
      </c>
      <c r="F4204" s="8" t="str">
        <f>IFERROR(__xludf.DUMMYFUNCTION("GOOGLETRANSLATE(D4204,""zh-CN"",""vi"")"),"Bộ đồ Afro")</f>
        <v>Bộ đồ Afro</v>
      </c>
      <c r="G4204" s="8" t="str">
        <f>IFERROR(__xludf.DUMMYFUNCTION("GOOGLETRANSLATE(E4204,""zh-CN"",""vi"")"),"Vải phải được sản xuất tại Anh, và áo sơ mi nên được ủi và mặc ngay lập tức để đảm bảo dáng áo phẳng phiu và đẹp. Chất liệu vải được tổng hợp theo tiêu chuẩn cao nhất.")</f>
        <v>Vải phải được sản xuất tại Anh, và áo sơ mi nên được ủi và mặc ngay lập tức để đảm bảo dáng áo phẳng phiu và đẹp. Chất liệu vải được tổng hợp theo tiêu chuẩn cao nhất.</v>
      </c>
      <c r="H4204" s="8"/>
      <c r="I4204" s="8"/>
      <c r="J4204" s="8"/>
    </row>
    <row r="4205" ht="21.0" customHeight="1">
      <c r="A4205" s="6">
        <v>1.0</v>
      </c>
      <c r="B4205" s="6">
        <v>318.0</v>
      </c>
      <c r="C4205" s="6">
        <v>1.0</v>
      </c>
      <c r="D4205" s="23" t="s">
        <v>7170</v>
      </c>
      <c r="E4205" s="9" t="s">
        <v>7171</v>
      </c>
      <c r="F4205" s="8" t="str">
        <f>IFERROR(__xludf.DUMMYFUNCTION("GOOGLETRANSLATE(D4205,""zh-CN"",""vi"")"),"heo đất tiết kiệm")</f>
        <v>heo đất tiết kiệm</v>
      </c>
      <c r="G4205" s="8" t="str">
        <f>IFERROR(__xludf.DUMMYFUNCTION("GOOGLETRANSLATE(E4205,""zh-CN"",""vi"")"),"Chỉ có anh em ruột thịt suốt đời mới tin tưởng bạn vô điều kiện. (Tổng hợp để thu được nguyên liệu chân không.)")</f>
        <v>Chỉ có anh em ruột thịt suốt đời mới tin tưởng bạn vô điều kiện. (Tổng hợp để thu được nguyên liệu chân không.)</v>
      </c>
      <c r="H4205" s="8"/>
      <c r="I4205" s="8"/>
      <c r="J4205" s="8"/>
    </row>
    <row r="4206" ht="21.0" customHeight="1">
      <c r="A4206" s="6">
        <v>1.0</v>
      </c>
      <c r="B4206" s="6">
        <v>318.0</v>
      </c>
      <c r="C4206" s="6">
        <v>2.0</v>
      </c>
      <c r="D4206" s="23" t="s">
        <v>7172</v>
      </c>
      <c r="E4206" s="9" t="s">
        <v>7173</v>
      </c>
      <c r="F4206" s="8" t="str">
        <f>IFERROR(__xludf.DUMMYFUNCTION("GOOGLETRANSLATE(D4206,""zh-CN"",""vi"")"),"Cổ phiếu điện chân không")</f>
        <v>Cổ phiếu điện chân không</v>
      </c>
      <c r="G4206" s="8" t="str">
        <f>IFERROR(__xludf.DUMMYFUNCTION("GOOGLETRANSLATE(E4206,""zh-CN"",""vi"")"),"Những biến động ban đầu đã khiến ông nhận ra bản chất nguy hiểm của thị trường. Synthetic đã nhận được giấy chứng nhận đăng ký.")</f>
        <v>Những biến động ban đầu đã khiến ông nhận ra bản chất nguy hiểm của thị trường. Synthetic đã nhận được giấy chứng nhận đăng ký.</v>
      </c>
      <c r="H4206" s="8"/>
      <c r="I4206" s="8"/>
      <c r="J4206" s="8"/>
    </row>
    <row r="4207" ht="21.0" customHeight="1">
      <c r="A4207" s="6">
        <v>1.0</v>
      </c>
      <c r="B4207" s="6">
        <v>318.0</v>
      </c>
      <c r="C4207" s="6">
        <v>3.0</v>
      </c>
      <c r="D4207" s="23" t="s">
        <v>7174</v>
      </c>
      <c r="E4207" s="9" t="s">
        <v>7175</v>
      </c>
      <c r="F4207" s="8" t="str">
        <f>IFERROR(__xludf.DUMMYFUNCTION("GOOGLETRANSLATE(D4207,""zh-CN"",""vi"")"),"Giấy chứng nhận đăng ký")</f>
        <v>Giấy chứng nhận đăng ký</v>
      </c>
      <c r="G4207" s="8" t="str">
        <f>IFERROR(__xludf.DUMMYFUNCTION("GOOGLETRANSLATE(E4207,""zh-CN"",""vi"")"),"Nhờ vậy, anh ta trở thành một ông chủ và do đó nhận được nhiều ân huệ. Sau đó, anh ta đã tổng hợp sổ sách của ông lão.")</f>
        <v>Nhờ vậy, anh ta trở thành một ông chủ và do đó nhận được nhiều ân huệ. Sau đó, anh ta đã tổng hợp sổ sách của ông lão.</v>
      </c>
      <c r="H4207" s="8"/>
      <c r="I4207" s="8"/>
      <c r="J4207" s="8"/>
    </row>
    <row r="4208" ht="21.0" customHeight="1">
      <c r="A4208" s="6">
        <v>1.0</v>
      </c>
      <c r="B4208" s="6">
        <v>318.0</v>
      </c>
      <c r="C4208" s="6">
        <v>4.0</v>
      </c>
      <c r="D4208" s="23" t="s">
        <v>7176</v>
      </c>
      <c r="E4208" s="9" t="s">
        <v>7177</v>
      </c>
      <c r="F4208" s="8" t="str">
        <f>IFERROR(__xludf.DUMMYFUNCTION("GOOGLETRANSLATE(D4208,""zh-CN"",""vi"")"),"Sổ sách kế toán của ông lão")</f>
        <v>Sổ sách kế toán của ông lão</v>
      </c>
      <c r="G4208" s="8" t="str">
        <f>IFERROR(__xludf.DUMMYFUNCTION("GOOGLETRANSLATE(E4208,""zh-CN"",""vi"")"),"Những tờ giấy bình thường, nhưng lại mạnh mẽ hơn cả ngàn binh lính. Kết hợp chúng lại để tạo ra một chiếc điện thoại di động.")</f>
        <v>Những tờ giấy bình thường, nhưng lại mạnh mẽ hơn cả ngàn binh lính. Kết hợp chúng lại để tạo ra một chiếc điện thoại di động.</v>
      </c>
      <c r="H4208" s="8"/>
      <c r="I4208" s="8"/>
      <c r="J4208" s="8"/>
    </row>
    <row r="4209" ht="21.0" customHeight="1">
      <c r="A4209" s="6">
        <v>1.0</v>
      </c>
      <c r="B4209" s="6">
        <v>318.0</v>
      </c>
      <c r="C4209" s="6">
        <v>5.0</v>
      </c>
      <c r="D4209" s="23" t="s">
        <v>7178</v>
      </c>
      <c r="E4209" s="9" t="s">
        <v>7179</v>
      </c>
      <c r="F4209" s="8" t="str">
        <f>IFERROR(__xludf.DUMMYFUNCTION("GOOGLETRANSLATE(D4209,""zh-CN"",""vi"")"),"Anh trai")</f>
        <v>Anh trai</v>
      </c>
      <c r="G4209" s="8" t="str">
        <f>IFERROR(__xludf.DUMMYFUNCTION("GOOGLETRANSLATE(E4209,""zh-CN"",""vi"")"),"Cúp máy và đợi 3 giây; chắc chắn cô ấy sẽ gọi lại. Cộng các kết quả lại để nhận được cuốn sổ tem.")</f>
        <v>Cúp máy và đợi 3 giây; chắc chắn cô ấy sẽ gọi lại. Cộng các kết quả lại để nhận được cuốn sổ tem.</v>
      </c>
      <c r="H4209" s="8"/>
      <c r="I4209" s="8"/>
      <c r="J4209" s="8"/>
    </row>
    <row r="4210" ht="21.0" customHeight="1">
      <c r="A4210" s="6">
        <v>1.0</v>
      </c>
      <c r="B4210" s="6">
        <v>318.0</v>
      </c>
      <c r="C4210" s="6">
        <v>6.0</v>
      </c>
      <c r="D4210" s="23" t="s">
        <v>7180</v>
      </c>
      <c r="E4210" s="9" t="s">
        <v>7181</v>
      </c>
      <c r="F4210" s="8" t="str">
        <f>IFERROR(__xludf.DUMMYFUNCTION("GOOGLETRANSLATE(D4210,""zh-CN"",""vi"")"),"Sách tem bưu chính")</f>
        <v>Sách tem bưu chính</v>
      </c>
      <c r="G4210" s="8" t="str">
        <f>IFERROR(__xludf.DUMMYFUNCTION("GOOGLETRANSLATE(E4210,""zh-CN"",""vi"")"),"Anh ấy và cô ấy quen nhau qua những con tem, điều này cũng đánh dấu sự khởi đầu cho mối quan hệ đầy biến động của họ. Họ đã thành công trong việc nhận được các đơn đặt hàng thí điểm xuất nhập khẩu.")</f>
        <v>Anh ấy và cô ấy quen nhau qua những con tem, điều này cũng đánh dấu sự khởi đầu cho mối quan hệ đầy biến động của họ. Họ đã thành công trong việc nhận được các đơn đặt hàng thí điểm xuất nhập khẩu.</v>
      </c>
      <c r="H4210" s="8"/>
      <c r="I4210" s="8"/>
      <c r="J4210" s="8"/>
    </row>
    <row r="4211" ht="21.0" customHeight="1">
      <c r="A4211" s="6">
        <v>1.0</v>
      </c>
      <c r="B4211" s="6">
        <v>318.0</v>
      </c>
      <c r="C4211" s="6">
        <v>7.0</v>
      </c>
      <c r="D4211" s="23" t="s">
        <v>7182</v>
      </c>
      <c r="E4211" s="9" t="s">
        <v>7183</v>
      </c>
      <c r="F4211" s="8" t="str">
        <f>IFERROR(__xludf.DUMMYFUNCTION("GOOGLETRANSLATE(D4211,""zh-CN"",""vi"")"),"Đơn đặt hàng thử nghiệm thương mại quốc tế")</f>
        <v>Đơn đặt hàng thử nghiệm thương mại quốc tế</v>
      </c>
      <c r="G4211" s="8" t="str">
        <f>IFERROR(__xludf.DUMMYFUNCTION("GOOGLETRANSLATE(E4211,""zh-CN"",""vi"")"),"Khoản đầu tư sinh lời lớn đầu tiên của tôi trong lĩnh vực ngoại thương đến từ việc gặp gỡ cô ấy, và quan trọng hơn, đó là nhờ trải nghiệm này. (Đôi bông tai ngọc trai được chế tạo tổng hợp.)")</f>
        <v>Khoản đầu tư sinh lời lớn đầu tiên của tôi trong lĩnh vực ngoại thương đến từ việc gặp gỡ cô ấy, và quan trọng hơn, đó là nhờ trải nghiệm này. (Đôi bông tai ngọc trai được chế tạo tổng hợp.)</v>
      </c>
      <c r="H4211" s="8"/>
      <c r="I4211" s="8"/>
      <c r="J4211" s="8"/>
    </row>
    <row r="4212" ht="21.0" customHeight="1">
      <c r="A4212" s="6">
        <v>1.0</v>
      </c>
      <c r="B4212" s="6">
        <v>318.0</v>
      </c>
      <c r="C4212" s="6">
        <v>8.0</v>
      </c>
      <c r="D4212" s="23" t="s">
        <v>7184</v>
      </c>
      <c r="E4212" s="9" t="s">
        <v>7185</v>
      </c>
      <c r="F4212" s="8" t="str">
        <f>IFERROR(__xludf.DUMMYFUNCTION("GOOGLETRANSLATE(D4212,""zh-CN"",""vi"")"),"Bông tai ngọc trai")</f>
        <v>Bông tai ngọc trai</v>
      </c>
      <c r="G4212" s="8" t="str">
        <f>IFERROR(__xludf.DUMMYFUNCTION("GOOGLETRANSLATE(E4212,""zh-CN"",""vi"")"),"Một loạt các sự kiện không may đã dẫn đến một chuỗi thảm họa. Sự tổng hợp đó đã tạo ra một chiếc xe vượt trội hơn cả Cadillac.")</f>
        <v>Một loạt các sự kiện không may đã dẫn đến một chuỗi thảm họa. Sự tổng hợp đó đã tạo ra một chiếc xe vượt trội hơn cả Cadillac.</v>
      </c>
      <c r="H4212" s="8"/>
      <c r="I4212" s="8"/>
      <c r="J4212" s="8"/>
    </row>
    <row r="4213" ht="21.0" customHeight="1">
      <c r="A4213" s="6">
        <v>1.0</v>
      </c>
      <c r="B4213" s="6">
        <v>318.0</v>
      </c>
      <c r="C4213" s="6">
        <v>9.0</v>
      </c>
      <c r="D4213" s="23" t="s">
        <v>7186</v>
      </c>
      <c r="E4213" s="9" t="s">
        <v>7187</v>
      </c>
      <c r="F4213" s="8" t="str">
        <f>IFERROR(__xludf.DUMMYFUNCTION("GOOGLETRANSLATE(D4213,""zh-CN"",""vi"")"),"Vượt qua Cadillac")</f>
        <v>Vượt qua Cadillac</v>
      </c>
      <c r="G4213" s="8" t="str">
        <f>IFERROR(__xludf.DUMMYFUNCTION("GOOGLETRANSLATE(E4213,""zh-CN"",""vi"")"),"Tôi đã sở hữu chiếc xe tốt nhất, thậm chí còn tốt hơn cả Cadillac. Hãy tổng hợp lại để có được giấy chứng nhận quyền sở hữu đất.")</f>
        <v>Tôi đã sở hữu chiếc xe tốt nhất, thậm chí còn tốt hơn cả Cadillac. Hãy tổng hợp lại để có được giấy chứng nhận quyền sở hữu đất.</v>
      </c>
      <c r="H4213" s="8"/>
      <c r="I4213" s="8"/>
      <c r="J4213" s="8"/>
    </row>
    <row r="4214" ht="21.0" customHeight="1">
      <c r="A4214" s="6">
        <v>1.0</v>
      </c>
      <c r="B4214" s="6">
        <v>318.0</v>
      </c>
      <c r="C4214" s="6">
        <v>10.0</v>
      </c>
      <c r="D4214" s="23" t="s">
        <v>7188</v>
      </c>
      <c r="E4214" s="9" t="s">
        <v>7189</v>
      </c>
      <c r="F4214" s="8" t="str">
        <f>IFERROR(__xludf.DUMMYFUNCTION("GOOGLETRANSLATE(D4214,""zh-CN"",""vi"")"),"quyền sở hữu đất đai")</f>
        <v>quyền sở hữu đất đai</v>
      </c>
      <c r="G4214" s="8" t="str">
        <f>IFERROR(__xludf.DUMMYFUNCTION("GOOGLETRANSLATE(E4214,""zh-CN"",""vi"")"),"Nó là minh chứng cho việc sinh ra từ các mối quan hệ giữa người với người và chết đi cũng vì các mối quan hệ giữa người với người. Kết hợp các thành phần để có được hai chiếc túi da lớn.")</f>
        <v>Nó là minh chứng cho việc sinh ra từ các mối quan hệ giữa người với người và chết đi cũng vì các mối quan hệ giữa người với người. Kết hợp các thành phần để có được hai chiếc túi da lớn.</v>
      </c>
      <c r="H4214" s="8"/>
      <c r="I4214" s="8"/>
      <c r="J4214" s="8"/>
    </row>
    <row r="4215" ht="21.0" customHeight="1">
      <c r="A4215" s="6">
        <v>1.0</v>
      </c>
      <c r="B4215" s="6">
        <v>318.0</v>
      </c>
      <c r="C4215" s="6">
        <v>11.0</v>
      </c>
      <c r="D4215" s="23" t="s">
        <v>7190</v>
      </c>
      <c r="E4215" s="9" t="s">
        <v>7191</v>
      </c>
      <c r="F4215" s="8" t="str">
        <f>IFERROR(__xludf.DUMMYFUNCTION("GOOGLETRANSLATE(D4215,""zh-CN"",""vi"")"),"Hai chiếc túi da lớn")</f>
        <v>Hai chiếc túi da lớn</v>
      </c>
      <c r="G4215" s="8" t="str">
        <f>IFERROR(__xludf.DUMMYFUNCTION("GOOGLETRANSLATE(E4215,""zh-CN"",""vi"")"),"Bên trong chiếc ví, thứ quý giá nhất không phải là tiền, mà là lòng dũng cảm. (Tổng hợp lại để có được món ăn kaiseki Thượng Hải địa phương.)")</f>
        <v>Bên trong chiếc ví, thứ quý giá nhất không phải là tiền, mà là lòng dũng cảm. (Tổng hợp lại để có được món ăn kaiseki Thượng Hải địa phương.)</v>
      </c>
      <c r="H4215" s="8"/>
      <c r="I4215" s="8"/>
      <c r="J4215" s="8"/>
    </row>
    <row r="4216" ht="21.0" customHeight="1">
      <c r="A4216" s="6">
        <v>1.0</v>
      </c>
      <c r="B4216" s="6">
        <v>318.0</v>
      </c>
      <c r="C4216" s="6">
        <v>12.0</v>
      </c>
      <c r="D4216" s="23" t="s">
        <v>7192</v>
      </c>
      <c r="E4216" s="9" t="s">
        <v>7193</v>
      </c>
      <c r="F4216" s="8" t="str">
        <f>IFERROR(__xludf.DUMMYFUNCTION("GOOGLETRANSLATE(D4216,""zh-CN"",""vi"")"),"Ẩm thực Kaiseki kiểu Thượng Hải")</f>
        <v>Ẩm thực Kaiseki kiểu Thượng Hải</v>
      </c>
      <c r="G4216" s="8" t="str">
        <f>IFERROR(__xludf.DUMMYFUNCTION("GOOGLETRANSLATE(E4216,""zh-CN"",""vi"")"),"Con người lớn lên, nhưng cuối cùng rồi ai cũng sẽ cô đơn. (Hãy chế tạo một chiếc Cadillac.)")</f>
        <v>Con người lớn lên, nhưng cuối cùng rồi ai cũng sẽ cô đơn. (Hãy chế tạo một chiếc Cadillac.)</v>
      </c>
      <c r="H4216" s="8"/>
      <c r="I4216" s="8"/>
      <c r="J4216" s="8"/>
    </row>
    <row r="4217" ht="21.0" customHeight="1">
      <c r="A4217" s="6">
        <v>1.0</v>
      </c>
      <c r="B4217" s="6">
        <v>318.0</v>
      </c>
      <c r="C4217" s="6">
        <v>13.0</v>
      </c>
      <c r="D4217" s="23" t="s">
        <v>7194</v>
      </c>
      <c r="E4217" s="9" t="s">
        <v>7195</v>
      </c>
      <c r="F4217" s="8" t="str">
        <f>IFERROR(__xludf.DUMMYFUNCTION("GOOGLETRANSLATE(D4217,""zh-CN"",""vi"")"),"Cadillac")</f>
        <v>Cadillac</v>
      </c>
      <c r="G4217" s="8" t="str">
        <f>IFERROR(__xludf.DUMMYFUNCTION("GOOGLETRANSLATE(E4217,""zh-CN"",""vi"")"),"Thời gian đã trôi qua, năm tháng đã qua, nhưng tôi hy vọng mình không có gì phải hối tiếc. (Đã được tổng hợp đến mức cao nhất.)")</f>
        <v>Thời gian đã trôi qua, năm tháng đã qua, nhưng tôi hy vọng mình không có gì phải hối tiếc. (Đã được tổng hợp đến mức cao nhất.)</v>
      </c>
      <c r="H4217" s="8"/>
      <c r="I4217" s="8"/>
      <c r="J4217" s="8"/>
    </row>
    <row r="4218" ht="21.0" customHeight="1">
      <c r="A4218" s="6">
        <v>11.0</v>
      </c>
      <c r="B4218" s="6">
        <v>2007.0</v>
      </c>
      <c r="C4218" s="6">
        <v>1.0</v>
      </c>
      <c r="D4218" s="75" t="s">
        <v>7196</v>
      </c>
      <c r="E4218" s="19" t="s">
        <v>7197</v>
      </c>
      <c r="F4218" s="8" t="str">
        <f>IFERROR(__xludf.DUMMYFUNCTION("GOOGLETRANSLATE(D4218,""zh-CN"",""vi"")"),"Thấu kính lồi")</f>
        <v>Thấu kính lồi</v>
      </c>
      <c r="G4218" s="8" t="str">
        <f>IFERROR(__xludf.DUMMYFUNCTION("GOOGLETRANSLATE(E4218,""zh-CN"",""vi"")"),"Hoàn toàn thủ công, được chế tác tỉ mỉ từng chi tiết một. (Kính lúp được tổng hợp từ những vật liệu này.)")</f>
        <v>Hoàn toàn thủ công, được chế tác tỉ mỉ từng chi tiết một. (Kính lúp được tổng hợp từ những vật liệu này.)</v>
      </c>
      <c r="H4218" s="8"/>
      <c r="I4218" s="8"/>
      <c r="J4218" s="8"/>
    </row>
    <row r="4219" ht="21.0" customHeight="1">
      <c r="A4219" s="6">
        <v>11.0</v>
      </c>
      <c r="B4219" s="6">
        <v>2007.0</v>
      </c>
      <c r="C4219" s="6">
        <v>2.0</v>
      </c>
      <c r="D4219" s="75" t="s">
        <v>7198</v>
      </c>
      <c r="E4219" s="19" t="s">
        <v>7199</v>
      </c>
      <c r="F4219" s="8" t="str">
        <f>IFERROR(__xludf.DUMMYFUNCTION("GOOGLETRANSLATE(D4219,""zh-CN"",""vi"")"),"kính lúp")</f>
        <v>kính lúp</v>
      </c>
      <c r="G4219" s="8" t="str">
        <f>IFERROR(__xludf.DUMMYFUNCTION("GOOGLETRANSLATE(E4219,""zh-CN"",""vi"")"),"Ngoan nào, đừng dùng nó để nhóm lửa nhé. (Chế tạo kính viễn vọng một mắt.)")</f>
        <v>Ngoan nào, đừng dùng nó để nhóm lửa nhé. (Chế tạo kính viễn vọng một mắt.)</v>
      </c>
      <c r="H4219" s="8"/>
      <c r="I4219" s="8"/>
      <c r="J4219" s="8"/>
    </row>
    <row r="4220" ht="21.0" customHeight="1">
      <c r="A4220" s="6">
        <v>11.0</v>
      </c>
      <c r="B4220" s="6">
        <v>2007.0</v>
      </c>
      <c r="C4220" s="6">
        <v>3.0</v>
      </c>
      <c r="D4220" s="75" t="s">
        <v>7200</v>
      </c>
      <c r="E4220" s="19" t="s">
        <v>7201</v>
      </c>
      <c r="F4220" s="8" t="str">
        <f>IFERROR(__xludf.DUMMYFUNCTION("GOOGLETRANSLATE(D4220,""zh-CN"",""vi"")"),"ống nhòm")</f>
        <v>ống nhòm</v>
      </c>
      <c r="G4220" s="8" t="str">
        <f>IFERROR(__xludf.DUMMYFUNCTION("GOOGLETRANSLATE(E4220,""zh-CN"",""vi"")"),"Nó cho phép bạn nhìn xa hơn. Kết hợp các bộ phận để tạo thành một kính viễn vọng dài.")</f>
        <v>Nó cho phép bạn nhìn xa hơn. Kết hợp các bộ phận để tạo thành một kính viễn vọng dài.</v>
      </c>
      <c r="H4220" s="8"/>
      <c r="I4220" s="8"/>
      <c r="J4220" s="8"/>
    </row>
    <row r="4221" ht="21.0" customHeight="1">
      <c r="A4221" s="6">
        <v>11.0</v>
      </c>
      <c r="B4221" s="6">
        <v>2007.0</v>
      </c>
      <c r="C4221" s="6">
        <v>4.0</v>
      </c>
      <c r="D4221" s="75" t="s">
        <v>7202</v>
      </c>
      <c r="E4221" s="19" t="s">
        <v>7203</v>
      </c>
      <c r="F4221" s="8" t="str">
        <f>IFERROR(__xludf.DUMMYFUNCTION("GOOGLETRANSLATE(D4221,""zh-CN"",""vi"")"),"Kính viễn vọng dài")</f>
        <v>Kính viễn vọng dài</v>
      </c>
      <c r="G4221" s="8" t="str">
        <f>IFERROR(__xludf.DUMMYFUNCTION("GOOGLETRANSLATE(E4221,""zh-CN"",""vi"")"),"Bạn có thể nhìn thấy những ngọn núi rất cao và những tòa nhà ở xa. Kết hợp chúng lại để tạo thành một kính viễn vọng hàng hải.")</f>
        <v>Bạn có thể nhìn thấy những ngọn núi rất cao và những tòa nhà ở xa. Kết hợp chúng lại để tạo thành một kính viễn vọng hàng hải.</v>
      </c>
      <c r="H4221" s="8"/>
      <c r="I4221" s="8"/>
      <c r="J4221" s="8"/>
    </row>
    <row r="4222" ht="21.0" customHeight="1">
      <c r="A4222" s="6">
        <v>10.0</v>
      </c>
      <c r="B4222" s="6">
        <v>2007.0</v>
      </c>
      <c r="C4222" s="6">
        <v>5.0</v>
      </c>
      <c r="D4222" s="75" t="s">
        <v>7204</v>
      </c>
      <c r="E4222" s="19" t="s">
        <v>7205</v>
      </c>
      <c r="F4222" s="8" t="str">
        <f>IFERROR(__xludf.DUMMYFUNCTION("GOOGLETRANSLATE(D4222,""zh-CN"",""vi"")"),"kính viễn vọng biển")</f>
        <v>kính viễn vọng biển</v>
      </c>
      <c r="G4222" s="8" t="str">
        <f>IFERROR(__xludf.DUMMYFUNCTION("GOOGLETRANSLATE(E4222,""zh-CN"",""vi"")"),"Trên biển cả mênh mông, trắng xóa, nó có thể được dùng để khám phá các hòn đảo và kho báu. Kết hợp chúng lại để có được ống nhòm.")</f>
        <v>Trên biển cả mênh mông, trắng xóa, nó có thể được dùng để khám phá các hòn đảo và kho báu. Kết hợp chúng lại để có được ống nhòm.</v>
      </c>
      <c r="H4222" s="8"/>
      <c r="I4222" s="8"/>
      <c r="J4222" s="8"/>
    </row>
    <row r="4223" ht="21.0" customHeight="1">
      <c r="A4223" s="6">
        <v>10.0</v>
      </c>
      <c r="B4223" s="6">
        <v>2007.0</v>
      </c>
      <c r="C4223" s="6">
        <v>6.0</v>
      </c>
      <c r="D4223" s="75" t="s">
        <v>7206</v>
      </c>
      <c r="E4223" s="19" t="s">
        <v>7207</v>
      </c>
      <c r="F4223" s="8" t="str">
        <f>IFERROR(__xludf.DUMMYFUNCTION("GOOGLETRANSLATE(D4223,""zh-CN"",""vi"")"),"ống nhòm")</f>
        <v>ống nhòm</v>
      </c>
      <c r="G4223" s="8" t="str">
        <f>IFERROR(__xludf.DUMMYFUNCTION("GOOGLETRANSLATE(E4223,""zh-CN"",""vi"")"),"Nhỏ gọn và phù hợp để sử dụng ngoài trời. Một kính thiên văn cơ bản có thể được chế tạo từ đầu.")</f>
        <v>Nhỏ gọn và phù hợp để sử dụng ngoài trời. Một kính thiên văn cơ bản có thể được chế tạo từ đầu.</v>
      </c>
      <c r="H4223" s="8"/>
      <c r="I4223" s="8"/>
      <c r="J4223" s="8"/>
    </row>
    <row r="4224" ht="21.0" customHeight="1">
      <c r="A4224" s="6">
        <v>10.0</v>
      </c>
      <c r="B4224" s="6">
        <v>2007.0</v>
      </c>
      <c r="C4224" s="6">
        <v>7.0</v>
      </c>
      <c r="D4224" s="75" t="s">
        <v>7208</v>
      </c>
      <c r="E4224" s="19" t="s">
        <v>7209</v>
      </c>
      <c r="F4224" s="8" t="str">
        <f>IFERROR(__xludf.DUMMYFUNCTION("GOOGLETRANSLATE(D4224,""zh-CN"",""vi"")"),"Kính thiên văn nhập môn")</f>
        <v>Kính thiên văn nhập môn</v>
      </c>
      <c r="G4224" s="8" t="str">
        <f>IFERROR(__xludf.DUMMYFUNCTION("GOOGLETRANSLATE(E4224,""zh-CN"",""vi"")"),"Với mây thưa và không khí trong lành, đó là một đêm hoàn hảo để ngắm sao. (Hình ảnh được chụp bằng kính thiên văn chuyên nghiệp.)")</f>
        <v>Với mây thưa và không khí trong lành, đó là một đêm hoàn hảo để ngắm sao. (Hình ảnh được chụp bằng kính thiên văn chuyên nghiệp.)</v>
      </c>
      <c r="H4224" s="8"/>
      <c r="I4224" s="8"/>
      <c r="J4224" s="8"/>
    </row>
    <row r="4225" ht="21.0" customHeight="1">
      <c r="A4225" s="6">
        <v>10.0</v>
      </c>
      <c r="B4225" s="6">
        <v>2007.0</v>
      </c>
      <c r="C4225" s="6">
        <v>8.0</v>
      </c>
      <c r="D4225" s="75" t="s">
        <v>7210</v>
      </c>
      <c r="E4225" s="19" t="s">
        <v>7211</v>
      </c>
      <c r="F4225" s="8" t="str">
        <f>IFERROR(__xludf.DUMMYFUNCTION("GOOGLETRANSLATE(D4225,""zh-CN"",""vi"")"),"kính thiên văn chuyên nghiệp")</f>
        <v>kính thiên văn chuyên nghiệp</v>
      </c>
      <c r="G4225" s="8" t="str">
        <f>IFERROR(__xludf.DUMMYFUNCTION("GOOGLETRANSLATE(E4225,""zh-CN"",""vi"")"),"Ta sắp đến để tàn phá dải ngân hà tráng lệ! (Tổng hợp để có được kính viễn vọng không gian)")</f>
        <v>Ta sắp đến để tàn phá dải ngân hà tráng lệ! (Tổng hợp để có được kính viễn vọng không gian)</v>
      </c>
      <c r="H4225" s="8"/>
      <c r="I4225" s="8"/>
      <c r="J4225" s="8"/>
    </row>
    <row r="4226" ht="21.0" customHeight="1">
      <c r="A4226" s="6">
        <v>10.0</v>
      </c>
      <c r="B4226" s="6">
        <v>2007.0</v>
      </c>
      <c r="C4226" s="6">
        <v>9.0</v>
      </c>
      <c r="D4226" s="75" t="s">
        <v>7212</v>
      </c>
      <c r="E4226" s="19" t="s">
        <v>7213</v>
      </c>
      <c r="F4226" s="8" t="str">
        <f>IFERROR(__xludf.DUMMYFUNCTION("GOOGLETRANSLATE(D4226,""zh-CN"",""vi"")"),"kính viễn vọng không gian")</f>
        <v>kính viễn vọng không gian</v>
      </c>
      <c r="G4226" s="8" t="str">
        <f>IFERROR(__xludf.DUMMYFUNCTION("GOOGLETRANSLATE(E4226,""zh-CN"",""vi"")"),"Con người sử dụng nó để khám phá những bí ẩn của vũ trụ. Kính viễn vọng không gian Hubble được tổng hợp từ nó.")</f>
        <v>Con người sử dụng nó để khám phá những bí ẩn của vũ trụ. Kính viễn vọng không gian Hubble được tổng hợp từ nó.</v>
      </c>
      <c r="H4226" s="8"/>
      <c r="I4226" s="8"/>
      <c r="J4226" s="8"/>
    </row>
    <row r="4227" ht="21.0" customHeight="1">
      <c r="A4227" s="6">
        <v>10.0</v>
      </c>
      <c r="B4227" s="6">
        <v>2007.0</v>
      </c>
      <c r="C4227" s="6">
        <v>10.0</v>
      </c>
      <c r="D4227" s="75" t="s">
        <v>7214</v>
      </c>
      <c r="E4227" s="19" t="s">
        <v>7215</v>
      </c>
      <c r="F4227" s="8" t="str">
        <f>IFERROR(__xludf.DUMMYFUNCTION("GOOGLETRANSLATE(D4227,""zh-CN"",""vi"")"),"Kính viễn vọng không gian Hubble")</f>
        <v>Kính viễn vọng không gian Hubble</v>
      </c>
      <c r="G4227" s="8" t="str">
        <f>IFERROR(__xludf.DUMMYFUNCTION("GOOGLETRANSLATE(E4227,""zh-CN"",""vi"")"),"Đỉnh cao của công nghệ nhân loại, chỉ nhằm mục đích khám phá những bí ẩn của vũ trụ. Cấp độ cao nhất đã được tổng hợp.")</f>
        <v>Đỉnh cao của công nghệ nhân loại, chỉ nhằm mục đích khám phá những bí ẩn của vũ trụ. Cấp độ cao nhất đã được tổng hợp.</v>
      </c>
      <c r="H4227" s="8"/>
      <c r="I4227" s="8"/>
      <c r="J4227" s="8"/>
    </row>
    <row r="4228" ht="21.0" customHeight="1">
      <c r="A4228" s="6">
        <v>11.0</v>
      </c>
      <c r="B4228" s="6">
        <v>2008.0</v>
      </c>
      <c r="C4228" s="6">
        <v>1.0</v>
      </c>
      <c r="D4228" s="75" t="s">
        <v>7216</v>
      </c>
      <c r="E4228" s="19" t="s">
        <v>7217</v>
      </c>
      <c r="F4228" s="8" t="str">
        <f>IFERROR(__xludf.DUMMYFUNCTION("GOOGLETRANSLATE(D4228,""zh-CN"",""vi"")"),"Thấu kính lồi [V]")</f>
        <v>Thấu kính lồi [V]</v>
      </c>
      <c r="G4228" s="8" t="str">
        <f>IFERROR(__xludf.DUMMYFUNCTION("GOOGLETRANSLATE(E4228,""zh-CN"",""vi"")"),"Hoàn toàn thủ công, được chế tác tỉ mỉ từng chút một. Được tổng hợp để tạo thành một chiếc kính lúp [V].")</f>
        <v>Hoàn toàn thủ công, được chế tác tỉ mỉ từng chút một. Được tổng hợp để tạo thành một chiếc kính lúp [V].</v>
      </c>
      <c r="H4228" s="8"/>
      <c r="I4228" s="8"/>
      <c r="J4228" s="8"/>
    </row>
    <row r="4229" ht="21.0" customHeight="1">
      <c r="A4229" s="6">
        <v>11.0</v>
      </c>
      <c r="B4229" s="6">
        <v>2008.0</v>
      </c>
      <c r="C4229" s="6">
        <v>2.0</v>
      </c>
      <c r="D4229" s="75" t="s">
        <v>7218</v>
      </c>
      <c r="E4229" s="19" t="s">
        <v>7219</v>
      </c>
      <c r="F4229" s="8" t="str">
        <f>IFERROR(__xludf.DUMMYFUNCTION("GOOGLETRANSLATE(D4229,""zh-CN"",""vi"")"),"Kính lúp [V]")</f>
        <v>Kính lúp [V]</v>
      </c>
      <c r="G4229" s="8" t="str">
        <f>IFERROR(__xludf.DUMMYFUNCTION("GOOGLETRANSLATE(E4229,""zh-CN"",""vi"")"),"Ngoan nào, đừng dùng nó để nhóm lửa. Hãy chế tạo một kính viễn vọng một mắt [V].")</f>
        <v>Ngoan nào, đừng dùng nó để nhóm lửa. Hãy chế tạo một kính viễn vọng một mắt [V].</v>
      </c>
      <c r="H4229" s="8"/>
      <c r="I4229" s="8"/>
      <c r="J4229" s="8"/>
    </row>
    <row r="4230" ht="21.0" customHeight="1">
      <c r="A4230" s="6">
        <v>11.0</v>
      </c>
      <c r="B4230" s="6">
        <v>2008.0</v>
      </c>
      <c r="C4230" s="6">
        <v>3.0</v>
      </c>
      <c r="D4230" s="75" t="s">
        <v>7220</v>
      </c>
      <c r="E4230" s="19" t="s">
        <v>7221</v>
      </c>
      <c r="F4230" s="8" t="str">
        <f>IFERROR(__xludf.DUMMYFUNCTION("GOOGLETRANSLATE(D4230,""zh-CN"",""vi"")"),"Ống nhòm một mắt [V]")</f>
        <v>Ống nhòm một mắt [V]</v>
      </c>
      <c r="G4230" s="8" t="str">
        <f>IFERROR(__xludf.DUMMYFUNCTION("GOOGLETRANSLATE(E4230,""zh-CN"",""vi"")"),"Nó cho phép bạn nhìn xa hơn. Tổng hợp để có được kính viễn vọng dài [V].")</f>
        <v>Nó cho phép bạn nhìn xa hơn. Tổng hợp để có được kính viễn vọng dài [V].</v>
      </c>
      <c r="H4230" s="8"/>
      <c r="I4230" s="8"/>
      <c r="J4230" s="8"/>
    </row>
    <row r="4231" ht="21.0" customHeight="1">
      <c r="A4231" s="6">
        <v>11.0</v>
      </c>
      <c r="B4231" s="6">
        <v>2008.0</v>
      </c>
      <c r="C4231" s="6">
        <v>4.0</v>
      </c>
      <c r="D4231" s="75" t="s">
        <v>7222</v>
      </c>
      <c r="E4231" s="19" t="s">
        <v>7223</v>
      </c>
      <c r="F4231" s="8" t="str">
        <f>IFERROR(__xludf.DUMMYFUNCTION("GOOGLETRANSLATE(D4231,""zh-CN"",""vi"")"),"Kính viễn vọng dài [V]")</f>
        <v>Kính viễn vọng dài [V]</v>
      </c>
      <c r="G4231" s="8" t="str">
        <f>IFERROR(__xludf.DUMMYFUNCTION("GOOGLETRANSLATE(E4231,""zh-CN"",""vi"")"),"Bạn có thể nhìn thấy những ngọn núi rất cao và những tòa nhà ở xa. Chế tạo kính viễn vọng hàng hải [V].")</f>
        <v>Bạn có thể nhìn thấy những ngọn núi rất cao và những tòa nhà ở xa. Chế tạo kính viễn vọng hàng hải [V].</v>
      </c>
      <c r="H4231" s="8"/>
      <c r="I4231" s="8"/>
      <c r="J4231" s="8"/>
    </row>
    <row r="4232" ht="21.0" customHeight="1">
      <c r="A4232" s="6">
        <v>10.0</v>
      </c>
      <c r="B4232" s="6">
        <v>2008.0</v>
      </c>
      <c r="C4232" s="6">
        <v>5.0</v>
      </c>
      <c r="D4232" s="75" t="s">
        <v>7224</v>
      </c>
      <c r="E4232" s="19" t="s">
        <v>7225</v>
      </c>
      <c r="F4232" s="8" t="str">
        <f>IFERROR(__xludf.DUMMYFUNCTION("GOOGLETRANSLATE(D4232,""zh-CN"",""vi"")"),"Kính viễn vọng biển [V]")</f>
        <v>Kính viễn vọng biển [V]</v>
      </c>
      <c r="G4232" s="8" t="str">
        <f>IFERROR(__xludf.DUMMYFUNCTION("GOOGLETRANSLATE(E4232,""zh-CN"",""vi"")"),"Trên biển trắng bao la, nó có thể được dùng để khám phá các hòn đảo và kho báu. Chế tạo nó để có được ống nhòm [V].")</f>
        <v>Trên biển trắng bao la, nó có thể được dùng để khám phá các hòn đảo và kho báu. Chế tạo nó để có được ống nhòm [V].</v>
      </c>
      <c r="H4232" s="8"/>
      <c r="I4232" s="8"/>
      <c r="J4232" s="8"/>
    </row>
    <row r="4233" ht="21.0" customHeight="1">
      <c r="A4233" s="6">
        <v>10.0</v>
      </c>
      <c r="B4233" s="6">
        <v>2008.0</v>
      </c>
      <c r="C4233" s="6">
        <v>6.0</v>
      </c>
      <c r="D4233" s="75" t="s">
        <v>7226</v>
      </c>
      <c r="E4233" s="19" t="s">
        <v>7227</v>
      </c>
      <c r="F4233" s="8" t="str">
        <f>IFERROR(__xludf.DUMMYFUNCTION("GOOGLETRANSLATE(D4233,""zh-CN"",""vi"")"),"Ống nhòm [V]")</f>
        <v>Ống nhòm [V]</v>
      </c>
      <c r="G4233" s="8" t="str">
        <f>IFERROR(__xludf.DUMMYFUNCTION("GOOGLETRANSLATE(E4233,""zh-CN"",""vi"")"),"Di động và thích hợp để sử dụng ngoài trời. Có thể tổng hợp một kính thiên văn cơ bản [V].")</f>
        <v>Di động và thích hợp để sử dụng ngoài trời. Có thể tổng hợp một kính thiên văn cơ bản [V].</v>
      </c>
      <c r="H4233" s="8"/>
      <c r="I4233" s="8"/>
      <c r="J4233" s="8"/>
    </row>
    <row r="4234" ht="21.0" customHeight="1">
      <c r="A4234" s="6">
        <v>10.0</v>
      </c>
      <c r="B4234" s="6">
        <v>2008.0</v>
      </c>
      <c r="C4234" s="6">
        <v>7.0</v>
      </c>
      <c r="D4234" s="75" t="s">
        <v>7228</v>
      </c>
      <c r="E4234" s="19" t="s">
        <v>7229</v>
      </c>
      <c r="F4234" s="8" t="str">
        <f>IFERROR(__xludf.DUMMYFUNCTION("GOOGLETRANSLATE(D4234,""zh-CN"",""vi"")"),"Kính thiên văn nhập môn [V]")</f>
        <v>Kính thiên văn nhập môn [V]</v>
      </c>
      <c r="G4234" s="8" t="str">
        <f>IFERROR(__xludf.DUMMYFUNCTION("GOOGLETRANSLATE(E4234,""zh-CN"",""vi"")"),"Mây thưa, không khí trong lành—một đêm hoàn hảo để ngắm sao. [V] (Hình ảnh tổng hợp từ kính thiên văn chuyên nghiệp)")</f>
        <v>Mây thưa, không khí trong lành—một đêm hoàn hảo để ngắm sao. [V] (Hình ảnh tổng hợp từ kính thiên văn chuyên nghiệp)</v>
      </c>
      <c r="H4234" s="8"/>
      <c r="I4234" s="8"/>
      <c r="J4234" s="8"/>
    </row>
    <row r="4235" ht="21.0" customHeight="1">
      <c r="A4235" s="6">
        <v>10.0</v>
      </c>
      <c r="B4235" s="6">
        <v>2008.0</v>
      </c>
      <c r="C4235" s="6">
        <v>8.0</v>
      </c>
      <c r="D4235" s="75" t="s">
        <v>7230</v>
      </c>
      <c r="E4235" s="19" t="s">
        <v>7231</v>
      </c>
      <c r="F4235" s="8" t="str">
        <f>IFERROR(__xludf.DUMMYFUNCTION("GOOGLETRANSLATE(D4235,""zh-CN"",""vi"")"),"Kính thiên văn chuyên nghiệp [V]")</f>
        <v>Kính thiên văn chuyên nghiệp [V]</v>
      </c>
      <c r="G4235" s="8" t="str">
        <f>IFERROR(__xludf.DUMMYFUNCTION("GOOGLETRANSLATE(E4235,""zh-CN"",""vi"")"),"Ta sắp đến để tàn phá thiên hà tráng lệ! Tổng hợp để có được kính viễn vọng không gian [V]")</f>
        <v>Ta sắp đến để tàn phá thiên hà tráng lệ! Tổng hợp để có được kính viễn vọng không gian [V]</v>
      </c>
      <c r="H4235" s="8"/>
      <c r="I4235" s="8"/>
      <c r="J4235" s="8"/>
    </row>
    <row r="4236" ht="21.0" customHeight="1">
      <c r="A4236" s="6">
        <v>10.0</v>
      </c>
      <c r="B4236" s="6">
        <v>2008.0</v>
      </c>
      <c r="C4236" s="6">
        <v>9.0</v>
      </c>
      <c r="D4236" s="75" t="s">
        <v>7232</v>
      </c>
      <c r="E4236" s="19" t="s">
        <v>7233</v>
      </c>
      <c r="F4236" s="8" t="str">
        <f>IFERROR(__xludf.DUMMYFUNCTION("GOOGLETRANSLATE(D4236,""zh-CN"",""vi"")"),"Kính viễn vọng không gian [V]")</f>
        <v>Kính viễn vọng không gian [V]</v>
      </c>
      <c r="G4236" s="8" t="str">
        <f>IFERROR(__xludf.DUMMYFUNCTION("GOOGLETRANSLATE(E4236,""zh-CN"",""vi"")"),"Con người sử dụng nó để khám phá những bí ẩn của vũ trụ. Được tổng hợp để tạo ra Kính viễn vọng không gian Hubble [V]")</f>
        <v>Con người sử dụng nó để khám phá những bí ẩn của vũ trụ. Được tổng hợp để tạo ra Kính viễn vọng không gian Hubble [V]</v>
      </c>
      <c r="H4236" s="8"/>
      <c r="I4236" s="8"/>
      <c r="J4236" s="8"/>
    </row>
    <row r="4237" ht="21.0" customHeight="1">
      <c r="A4237" s="6">
        <v>10.0</v>
      </c>
      <c r="B4237" s="6">
        <v>2008.0</v>
      </c>
      <c r="C4237" s="6">
        <v>10.0</v>
      </c>
      <c r="D4237" s="75" t="s">
        <v>7234</v>
      </c>
      <c r="E4237" s="19" t="s">
        <v>7215</v>
      </c>
      <c r="F4237" s="8" t="str">
        <f>IFERROR(__xludf.DUMMYFUNCTION("GOOGLETRANSLATE(D4237,""zh-CN"",""vi"")"),"Kính viễn vọng không gian Hubble [V]")</f>
        <v>Kính viễn vọng không gian Hubble [V]</v>
      </c>
      <c r="G4237" s="8" t="str">
        <f>IFERROR(__xludf.DUMMYFUNCTION("GOOGLETRANSLATE(E4237,""zh-CN"",""vi"")"),"Đỉnh cao của công nghệ nhân loại, chỉ nhằm mục đích khám phá những bí ẩn của vũ trụ. Cấp độ cao nhất đã được tổng hợp.")</f>
        <v>Đỉnh cao của công nghệ nhân loại, chỉ nhằm mục đích khám phá những bí ẩn của vũ trụ. Cấp độ cao nhất đã được tổng hợp.</v>
      </c>
      <c r="H4237" s="8"/>
      <c r="I4237" s="8"/>
      <c r="J4237" s="8"/>
    </row>
    <row r="4238" ht="21.0" customHeight="1">
      <c r="A4238" s="6">
        <v>1.0</v>
      </c>
      <c r="B4238" s="6">
        <v>319.0</v>
      </c>
      <c r="C4238" s="6">
        <v>1.0</v>
      </c>
      <c r="D4238" s="95" t="s">
        <v>7235</v>
      </c>
      <c r="E4238" s="11" t="s">
        <v>7236</v>
      </c>
      <c r="F4238" s="8" t="str">
        <f>IFERROR(__xludf.DUMMYFUNCTION("GOOGLETRANSLATE(D4238,""zh-CN"",""vi"")"),"nhiều nắng")</f>
        <v>nhiều nắng</v>
      </c>
      <c r="G4238" s="8" t="str">
        <f>IFERROR(__xludf.DUMMYFUNCTION("GOOGLETRANSLATE(E4238,""zh-CN"",""vi"")"),"Một ngày ấm áp, đầy nắng; mặt trời đã lên! (Kỹ năng chế tạo: Sấm sét)")</f>
        <v>Một ngày ấm áp, đầy nắng; mặt trời đã lên! (Kỹ năng chế tạo: Sấm sét)</v>
      </c>
      <c r="H4238" s="8"/>
      <c r="I4238" s="8"/>
      <c r="J4238" s="8"/>
    </row>
    <row r="4239" ht="21.0" customHeight="1">
      <c r="A4239" s="6">
        <v>1.0</v>
      </c>
      <c r="B4239" s="6">
        <v>319.0</v>
      </c>
      <c r="C4239" s="6">
        <v>2.0</v>
      </c>
      <c r="D4239" s="95" t="s">
        <v>7237</v>
      </c>
      <c r="E4239" s="11" t="s">
        <v>7238</v>
      </c>
      <c r="F4239" s="8" t="str">
        <f>IFERROR(__xludf.DUMMYFUNCTION("GOOGLETRANSLATE(D4239,""zh-CN"",""vi"")"),"sấm sét")</f>
        <v>sấm sét</v>
      </c>
      <c r="G4239" s="8" t="str">
        <f>IFERROR(__xludf.DUMMYFUNCTION("GOOGLETRANSLATE(E4239,""zh-CN"",""vi"")"),"Tia chớp lóe lên từ những đám mây, thật đáng sợ! (Quá trình chế tạo sẽ tạo ra mưa.)")</f>
        <v>Tia chớp lóe lên từ những đám mây, thật đáng sợ! (Quá trình chế tạo sẽ tạo ra mưa.)</v>
      </c>
      <c r="H4239" s="8"/>
      <c r="I4239" s="8"/>
      <c r="J4239" s="8"/>
    </row>
    <row r="4240" ht="21.0" customHeight="1">
      <c r="A4240" s="6">
        <v>1.0</v>
      </c>
      <c r="B4240" s="6">
        <v>319.0</v>
      </c>
      <c r="C4240" s="6">
        <v>3.0</v>
      </c>
      <c r="D4240" s="95" t="s">
        <v>7239</v>
      </c>
      <c r="E4240" s="11" t="s">
        <v>7240</v>
      </c>
      <c r="F4240" s="8" t="str">
        <f>IFERROR(__xludf.DUMMYFUNCTION("GOOGLETRANSLATE(D4240,""zh-CN"",""vi"")"),"cơn mưa")</f>
        <v>cơn mưa</v>
      </c>
      <c r="G4240" s="8" t="str">
        <f>IFERROR(__xludf.DUMMYFUNCTION("GOOGLETRANSLATE(E4240,""zh-CN"",""vi"")"),"Trời đang mưa, nhanh chóng về nhà và lấy quần áo vào! (Làm tuyết nhân tạo)")</f>
        <v>Trời đang mưa, nhanh chóng về nhà và lấy quần áo vào! (Làm tuyết nhân tạo)</v>
      </c>
      <c r="H4240" s="8"/>
      <c r="I4240" s="8"/>
      <c r="J4240" s="8"/>
    </row>
    <row r="4241" ht="21.0" customHeight="1">
      <c r="A4241" s="6">
        <v>1.0</v>
      </c>
      <c r="B4241" s="6">
        <v>319.0</v>
      </c>
      <c r="C4241" s="6">
        <v>4.0</v>
      </c>
      <c r="D4241" s="95" t="s">
        <v>7241</v>
      </c>
      <c r="E4241" s="11" t="s">
        <v>7242</v>
      </c>
      <c r="F4241" s="8" t="str">
        <f>IFERROR(__xludf.DUMMYFUNCTION("GOOGLETRANSLATE(D4241,""zh-CN"",""vi"")"),"tuyết")</f>
        <v>tuyết</v>
      </c>
      <c r="G4241" s="8" t="str">
        <f>IFERROR(__xludf.DUMMYFUNCTION("GOOGLETRANSLATE(E4241,""zh-CN"",""vi"")"),"Ái chà~~ Lạnh quá. (Tổng hợp để tạo ra cầu vồng)")</f>
        <v>Ái chà~~ Lạnh quá. (Tổng hợp để tạo ra cầu vồng)</v>
      </c>
      <c r="H4241" s="8"/>
      <c r="I4241" s="8"/>
      <c r="J4241" s="8"/>
    </row>
    <row r="4242" ht="21.0" customHeight="1">
      <c r="A4242" s="6">
        <v>1.0</v>
      </c>
      <c r="B4242" s="6">
        <v>319.0</v>
      </c>
      <c r="C4242" s="6">
        <v>5.0</v>
      </c>
      <c r="D4242" s="95" t="s">
        <v>7243</v>
      </c>
      <c r="E4242" s="11" t="s">
        <v>7244</v>
      </c>
      <c r="F4242" s="8" t="str">
        <f>IFERROR(__xludf.DUMMYFUNCTION("GOOGLETRANSLATE(D4242,""zh-CN"",""vi"")"),"cầu vồng")</f>
        <v>cầu vồng</v>
      </c>
      <c r="G4242" s="8" t="str">
        <f>IFERROR(__xludf.DUMMYFUNCTION("GOOGLETRANSLATE(E4242,""zh-CN"",""vi"")"),"Cầu vồng tuyệt đẹp tượng trưng cho may mắn. (Có thể tạo ra mưa đá bằng cách kết hợp các yếu tố.)")</f>
        <v>Cầu vồng tuyệt đẹp tượng trưng cho may mắn. (Có thể tạo ra mưa đá bằng cách kết hợp các yếu tố.)</v>
      </c>
      <c r="H4242" s="8"/>
      <c r="I4242" s="8"/>
      <c r="J4242" s="8"/>
    </row>
    <row r="4243" ht="21.0" customHeight="1">
      <c r="A4243" s="6">
        <v>1.0</v>
      </c>
      <c r="B4243" s="6">
        <v>319.0</v>
      </c>
      <c r="C4243" s="6">
        <v>6.0</v>
      </c>
      <c r="D4243" s="95" t="s">
        <v>7245</v>
      </c>
      <c r="E4243" s="11" t="s">
        <v>7246</v>
      </c>
      <c r="F4243" s="8" t="str">
        <f>IFERROR(__xludf.DUMMYFUNCTION("GOOGLETRANSLATE(D4243,""zh-CN"",""vi"")"),"kêu")</f>
        <v>kêu</v>
      </c>
      <c r="G4243" s="8" t="str">
        <f>IFERROR(__xludf.DUMMYFUNCTION("GOOGLETRANSLATE(E4243,""zh-CN"",""vi"")"),"Những viên mưa đá lớn trút xuống cửa ra vào và cửa sổ với tiếng nổ lách tách. (Kết hợp các hiệu ứng để tạo hiệu ứng đám mây lửa.)")</f>
        <v>Những viên mưa đá lớn trút xuống cửa ra vào và cửa sổ với tiếng nổ lách tách. (Kết hợp các hiệu ứng để tạo hiệu ứng đám mây lửa.)</v>
      </c>
      <c r="H4243" s="8"/>
      <c r="I4243" s="8"/>
      <c r="J4243" s="8"/>
    </row>
    <row r="4244" ht="21.0" customHeight="1">
      <c r="A4244" s="6">
        <v>1.0</v>
      </c>
      <c r="B4244" s="6">
        <v>319.0</v>
      </c>
      <c r="C4244" s="6">
        <v>7.0</v>
      </c>
      <c r="D4244" s="95" t="s">
        <v>7247</v>
      </c>
      <c r="E4244" s="11" t="s">
        <v>7248</v>
      </c>
      <c r="F4244" s="8" t="str">
        <f>IFERROR(__xludf.DUMMYFUNCTION("GOOGLETRANSLATE(D4244,""zh-CN"",""vi"")"),"Những đám mây lửa")</f>
        <v>Những đám mây lửa</v>
      </c>
      <c r="G4244" s="8" t="str">
        <f>IFERROR(__xludf.DUMMYFUNCTION("GOOGLETRANSLATE(E4244,""zh-CN"",""vi"")"),"Ánh hoàng hôn chiếu rọi lên những đám mây, tạo nên một khung cảnh tuyệt đẹp. (Hình ảnh lốc xoáy được tạo ra bằng kỹ thuật đồ họa.)")</f>
        <v>Ánh hoàng hôn chiếu rọi lên những đám mây, tạo nên một khung cảnh tuyệt đẹp. (Hình ảnh lốc xoáy được tạo ra bằng kỹ thuật đồ họa.)</v>
      </c>
      <c r="H4244" s="8"/>
      <c r="I4244" s="8"/>
      <c r="J4244" s="8"/>
    </row>
    <row r="4245" ht="21.0" customHeight="1">
      <c r="A4245" s="6">
        <v>1.0</v>
      </c>
      <c r="B4245" s="6">
        <v>319.0</v>
      </c>
      <c r="C4245" s="6">
        <v>8.0</v>
      </c>
      <c r="D4245" s="95" t="s">
        <v>7249</v>
      </c>
      <c r="E4245" s="11" t="s">
        <v>7250</v>
      </c>
      <c r="F4245" s="8" t="str">
        <f>IFERROR(__xludf.DUMMYFUNCTION("GOOGLETRANSLATE(D4245,""zh-CN"",""vi"")"),"lốc xoáy")</f>
        <v>lốc xoáy</v>
      </c>
      <c r="G4245" s="8" t="str">
        <f>IFERROR(__xludf.DUMMYFUNCTION("GOOGLETRANSLATE(E4245,""zh-CN"",""vi"")"),"Hãy cẩn thận, lốc xoáy có sức tàn phá khủng khiếp. Hãy tạo ra vòi rồng nước.")</f>
        <v>Hãy cẩn thận, lốc xoáy có sức tàn phá khủng khiếp. Hãy tạo ra vòi rồng nước.</v>
      </c>
      <c r="H4245" s="8"/>
      <c r="I4245" s="8"/>
      <c r="J4245" s="8"/>
    </row>
    <row r="4246" ht="21.0" customHeight="1">
      <c r="A4246" s="6">
        <v>1.0</v>
      </c>
      <c r="B4246" s="6">
        <v>319.0</v>
      </c>
      <c r="C4246" s="6">
        <v>9.0</v>
      </c>
      <c r="D4246" s="95" t="s">
        <v>7251</v>
      </c>
      <c r="E4246" s="11" t="s">
        <v>7252</v>
      </c>
      <c r="F4246" s="8" t="str">
        <f>IFERROR(__xludf.DUMMYFUNCTION("GOOGLETRANSLATE(D4246,""zh-CN"",""vi"")"),"Vòi rồng")</f>
        <v>Vòi rồng</v>
      </c>
      <c r="G4246" s="8" t="str">
        <f>IFERROR(__xludf.DUMMYFUNCTION("GOOGLETRANSLATE(E4246,""zh-CN"",""vi"")"),"Hiện tượng ngoạn mục ""mưa hải sản"" là do vòi rồng gây ra. (Kết hợp các yếu tố này để tạo thành sóng thần.)")</f>
        <v>Hiện tượng ngoạn mục "mưa hải sản" là do vòi rồng gây ra. (Kết hợp các yếu tố này để tạo thành sóng thần.)</v>
      </c>
      <c r="H4246" s="8"/>
      <c r="I4246" s="8"/>
      <c r="J4246" s="8"/>
    </row>
    <row r="4247" ht="21.0" customHeight="1">
      <c r="A4247" s="6">
        <v>1.0</v>
      </c>
      <c r="B4247" s="6">
        <v>319.0</v>
      </c>
      <c r="C4247" s="6">
        <v>10.0</v>
      </c>
      <c r="D4247" s="95" t="s">
        <v>7253</v>
      </c>
      <c r="E4247" s="11" t="s">
        <v>7254</v>
      </c>
      <c r="F4247" s="8" t="str">
        <f>IFERROR(__xludf.DUMMYFUNCTION("GOOGLETRANSLATE(D4247,""zh-CN"",""vi"")"),"sóng thần")</f>
        <v>sóng thần</v>
      </c>
      <c r="G4247" s="8" t="str">
        <f>IFERROR(__xludf.DUMMYFUNCTION("GOOGLETRANSLATE(E4247,""zh-CN"",""vi"")"),"Sức mạnh của thiên nhiên thật đáng kinh ngạc. (Mô hình tổng hợp của một cơn bão)")</f>
        <v>Sức mạnh của thiên nhiên thật đáng kinh ngạc. (Mô hình tổng hợp của một cơn bão)</v>
      </c>
      <c r="H4247" s="8"/>
      <c r="I4247" s="8"/>
      <c r="J4247" s="8"/>
    </row>
    <row r="4248" ht="21.0" customHeight="1">
      <c r="A4248" s="6">
        <v>1.0</v>
      </c>
      <c r="B4248" s="6">
        <v>319.0</v>
      </c>
      <c r="C4248" s="6">
        <v>11.0</v>
      </c>
      <c r="D4248" s="95" t="s">
        <v>7255</v>
      </c>
      <c r="E4248" s="11" t="s">
        <v>7256</v>
      </c>
      <c r="F4248" s="8" t="str">
        <f>IFERROR(__xludf.DUMMYFUNCTION("GOOGLETRANSLATE(D4248,""zh-CN"",""vi"")"),"cơn bão")</f>
        <v>cơn bão</v>
      </c>
      <c r="G4248" s="8" t="str">
        <f>IFERROR(__xludf.DUMMYFUNCTION("GOOGLETRANSLATE(E4248,""zh-CN"",""vi"")"),"Mùa bão luôn là thời điểm nguy hiểm nhất trong năm, đòi hỏi phải hết sức cẩn trọng. (Tổng hợp để thu được thiên thạch.)")</f>
        <v>Mùa bão luôn là thời điểm nguy hiểm nhất trong năm, đòi hỏi phải hết sức cẩn trọng. (Tổng hợp để thu được thiên thạch.)</v>
      </c>
      <c r="H4248" s="8"/>
      <c r="I4248" s="8"/>
      <c r="J4248" s="8"/>
    </row>
    <row r="4249" ht="21.0" customHeight="1">
      <c r="A4249" s="6">
        <v>1.0</v>
      </c>
      <c r="B4249" s="6">
        <v>319.0</v>
      </c>
      <c r="C4249" s="6">
        <v>12.0</v>
      </c>
      <c r="D4249" s="95" t="s">
        <v>7257</v>
      </c>
      <c r="E4249" s="11" t="s">
        <v>7258</v>
      </c>
      <c r="F4249" s="8" t="str">
        <f>IFERROR(__xludf.DUMMYFUNCTION("GOOGLETRANSLATE(D4249,""zh-CN"",""vi"")"),"sao băng")</f>
        <v>sao băng</v>
      </c>
      <c r="G4249" s="8" t="str">
        <f>IFERROR(__xludf.DUMMYFUNCTION("GOOGLETRANSLATE(E4249,""zh-CN"",""vi"")"),"Một ngôi sao băng vụt qua bầu trời, hãy ước một điều ước! Kết hợp chúng để tạo thành một trận mưa sao băng.")</f>
        <v>Một ngôi sao băng vụt qua bầu trời, hãy ước một điều ước! Kết hợp chúng để tạo thành một trận mưa sao băng.</v>
      </c>
      <c r="H4249" s="8"/>
      <c r="I4249" s="8"/>
      <c r="J4249" s="8"/>
    </row>
    <row r="4250" ht="21.0" customHeight="1">
      <c r="A4250" s="6">
        <v>1.0</v>
      </c>
      <c r="B4250" s="6">
        <v>319.0</v>
      </c>
      <c r="C4250" s="6">
        <v>13.0</v>
      </c>
      <c r="D4250" s="95" t="s">
        <v>7259</v>
      </c>
      <c r="E4250" s="11" t="s">
        <v>7260</v>
      </c>
      <c r="F4250" s="8" t="str">
        <f>IFERROR(__xludf.DUMMYFUNCTION("GOOGLETRANSLATE(D4250,""zh-CN"",""vi"")"),"Mưa sao băng")</f>
        <v>Mưa sao băng</v>
      </c>
      <c r="G4250" s="8" t="str">
        <f>IFERROR(__xludf.DUMMYFUNCTION("GOOGLETRANSLATE(E4250,""zh-CN"",""vi"")"),"Dưới cơn mưa sao băng, các cậu bé và cô bé đã ước nguyện những điều ngây thơ của mình. (Đã được tổng hợp đến mức cao nhất)")</f>
        <v>Dưới cơn mưa sao băng, các cậu bé và cô bé đã ước nguyện những điều ngây thơ của mình. (Đã được tổng hợp đến mức cao nhất)</v>
      </c>
      <c r="H4250" s="8"/>
      <c r="I4250" s="8"/>
      <c r="J4250" s="8"/>
    </row>
    <row r="4251" ht="21.0" customHeight="1">
      <c r="A4251" s="6">
        <v>1.0</v>
      </c>
      <c r="B4251" s="6">
        <v>320.0</v>
      </c>
      <c r="C4251" s="6">
        <v>1.0</v>
      </c>
      <c r="D4251" s="95" t="s">
        <v>7261</v>
      </c>
      <c r="E4251" s="11" t="s">
        <v>7262</v>
      </c>
      <c r="F4251" s="8" t="str">
        <f>IFERROR(__xludf.DUMMYFUNCTION("GOOGLETRANSLATE(D4251,""zh-CN"",""vi"")"),"Một ngôi sao")</f>
        <v>Một ngôi sao</v>
      </c>
      <c r="G4251" s="8" t="str">
        <f>IFERROR(__xludf.DUMMYFUNCTION("GOOGLETRANSLATE(E4251,""zh-CN"",""vi"")"),"Những vì sao trên bầu trời tượng trưng cho một thế giới khác, rất xa Trái Đất. (Kết hợp để thu được chòm sao Bạch Dương)")</f>
        <v>Những vì sao trên bầu trời tượng trưng cho một thế giới khác, rất xa Trái Đất. (Kết hợp để thu được chòm sao Bạch Dương)</v>
      </c>
      <c r="H4251" s="8"/>
      <c r="I4251" s="8"/>
      <c r="J4251" s="8"/>
    </row>
    <row r="4252" ht="21.0" customHeight="1">
      <c r="A4252" s="6">
        <v>1.0</v>
      </c>
      <c r="B4252" s="6">
        <v>320.0</v>
      </c>
      <c r="C4252" s="6">
        <v>2.0</v>
      </c>
      <c r="D4252" s="95" t="s">
        <v>7263</v>
      </c>
      <c r="E4252" s="11" t="s">
        <v>7264</v>
      </c>
      <c r="F4252" s="8" t="str">
        <f>IFERROR(__xludf.DUMMYFUNCTION("GOOGLETRANSLATE(D4252,""zh-CN"",""vi"")"),"Bạch Dương")</f>
        <v>Bạch Dương</v>
      </c>
      <c r="G4252" s="8" t="str">
        <f>IFERROR(__xludf.DUMMYFUNCTION("GOOGLETRANSLATE(E4252,""zh-CN"",""vi"")"),"Vốn bản chất bốc đồng và ưa mạo hiểm, hai chiếc sừng trên đầu tượng trưng cho lòng dũng cảm. Kết hợp các yếu tố để có được Taurus (Kim Ngưu).")</f>
        <v>Vốn bản chất bốc đồng và ưa mạo hiểm, hai chiếc sừng trên đầu tượng trưng cho lòng dũng cảm. Kết hợp các yếu tố để có được Taurus (Kim Ngưu).</v>
      </c>
      <c r="H4252" s="8"/>
      <c r="I4252" s="8"/>
      <c r="J4252" s="8"/>
    </row>
    <row r="4253" ht="21.0" customHeight="1">
      <c r="A4253" s="6">
        <v>1.0</v>
      </c>
      <c r="B4253" s="6">
        <v>320.0</v>
      </c>
      <c r="C4253" s="6">
        <v>3.0</v>
      </c>
      <c r="D4253" s="95" t="s">
        <v>7265</v>
      </c>
      <c r="E4253" s="11" t="s">
        <v>7266</v>
      </c>
      <c r="F4253" s="8" t="str">
        <f>IFERROR(__xludf.DUMMYFUNCTION("GOOGLETRANSLATE(D4253,""zh-CN"",""vi"")"),"Kim Ngưu")</f>
        <v>Kim Ngưu</v>
      </c>
      <c r="G4253" s="8" t="str">
        <f>IFERROR(__xludf.DUMMYFUNCTION("GOOGLETRANSLATE(E4253,""zh-CN"",""vi"")"),"Họ ưa thích cuộc sống yên bình, và đặc điểm nổi bật nhất của họ là tính thực dụng và sự kiên định. (Kết quả tổng hợp thuộc cung Song Tử.)")</f>
        <v>Họ ưa thích cuộc sống yên bình, và đặc điểm nổi bật nhất của họ là tính thực dụng và sự kiên định. (Kết quả tổng hợp thuộc cung Song Tử.)</v>
      </c>
      <c r="H4253" s="8"/>
      <c r="I4253" s="8"/>
      <c r="J4253" s="8"/>
    </row>
    <row r="4254" ht="21.0" customHeight="1">
      <c r="A4254" s="6">
        <v>1.0</v>
      </c>
      <c r="B4254" s="6">
        <v>320.0</v>
      </c>
      <c r="C4254" s="6">
        <v>4.0</v>
      </c>
      <c r="D4254" s="95" t="s">
        <v>7267</v>
      </c>
      <c r="E4254" s="11" t="s">
        <v>7268</v>
      </c>
      <c r="F4254" s="8" t="str">
        <f>IFERROR(__xludf.DUMMYFUNCTION("GOOGLETRANSLATE(D4254,""zh-CN"",""vi"")"),"Song Tử")</f>
        <v>Song Tử</v>
      </c>
      <c r="G4254" s="8" t="str">
        <f>IFERROR(__xludf.DUMMYFUNCTION("GOOGLETRANSLATE(E4254,""zh-CN"",""vi"")"),"Thông minh và nhanh trí, thích một cuộc sống đầy bất ngờ. Tổng hợp lại để có được cung hoàng đạo Cự Giải.")</f>
        <v>Thông minh và nhanh trí, thích một cuộc sống đầy bất ngờ. Tổng hợp lại để có được cung hoàng đạo Cự Giải.</v>
      </c>
      <c r="H4254" s="8"/>
      <c r="I4254" s="8"/>
      <c r="J4254" s="8"/>
    </row>
    <row r="4255" ht="21.0" customHeight="1">
      <c r="A4255" s="6">
        <v>1.0</v>
      </c>
      <c r="B4255" s="6">
        <v>320.0</v>
      </c>
      <c r="C4255" s="6">
        <v>5.0</v>
      </c>
      <c r="D4255" s="95" t="s">
        <v>7269</v>
      </c>
      <c r="E4255" s="11" t="s">
        <v>7270</v>
      </c>
      <c r="F4255" s="8" t="str">
        <f>IFERROR(__xludf.DUMMYFUNCTION("GOOGLETRANSLATE(D4255,""zh-CN"",""vi"")"),"Bệnh ung thư")</f>
        <v>Bệnh ung thư</v>
      </c>
      <c r="G4255" s="8" t="str">
        <f>IFERROR(__xludf.DUMMYFUNCTION("GOOGLETRANSLATE(E4255,""zh-CN"",""vi"")"),"Ấm áp và trìu mến, coi trọng gia đình và bạn bè, họ là những người bạn đồng hành tuyệt vời. Tổng hợp để có được Leo.")</f>
        <v>Ấm áp và trìu mến, coi trọng gia đình và bạn bè, họ là những người bạn đồng hành tuyệt vời. Tổng hợp để có được Leo.</v>
      </c>
      <c r="H4255" s="8"/>
      <c r="I4255" s="8"/>
      <c r="J4255" s="8"/>
    </row>
    <row r="4256" ht="21.0" customHeight="1">
      <c r="A4256" s="6">
        <v>1.0</v>
      </c>
      <c r="B4256" s="6">
        <v>320.0</v>
      </c>
      <c r="C4256" s="6">
        <v>6.0</v>
      </c>
      <c r="D4256" s="95" t="s">
        <v>7271</v>
      </c>
      <c r="E4256" s="11" t="s">
        <v>7272</v>
      </c>
      <c r="F4256" s="8" t="str">
        <f>IFERROR(__xludf.DUMMYFUNCTION("GOOGLETRANSLATE(D4256,""zh-CN"",""vi"")"),"Sư Tử")</f>
        <v>Sư Tử</v>
      </c>
      <c r="G4256" s="8" t="str">
        <f>IFERROR(__xludf.DUMMYFUNCTION("GOOGLETRANSLATE(E4256,""zh-CN"",""vi"")"),"Người thuộc cung Sư Tử bẩm sinh đã là những nhà lãnh đạo, tự tin và lôi cuốn. Sự kết hợp của những đặc điểm này tạo nên cung Xử Nữ.")</f>
        <v>Người thuộc cung Sư Tử bẩm sinh đã là những nhà lãnh đạo, tự tin và lôi cuốn. Sự kết hợp của những đặc điểm này tạo nên cung Xử Nữ.</v>
      </c>
      <c r="H4256" s="8"/>
      <c r="I4256" s="8"/>
      <c r="J4256" s="8"/>
    </row>
    <row r="4257" ht="21.0" customHeight="1">
      <c r="A4257" s="6">
        <v>1.0</v>
      </c>
      <c r="B4257" s="6">
        <v>320.0</v>
      </c>
      <c r="C4257" s="6">
        <v>7.0</v>
      </c>
      <c r="D4257" s="95" t="s">
        <v>7273</v>
      </c>
      <c r="E4257" s="11" t="s">
        <v>7274</v>
      </c>
      <c r="F4257" s="8" t="str">
        <f>IFERROR(__xludf.DUMMYFUNCTION("GOOGLETRANSLATE(D4257,""zh-CN"",""vi"")"),"Xử Nữ")</f>
        <v>Xử Nữ</v>
      </c>
      <c r="G4257" s="8" t="str">
        <f>IFERROR(__xludf.DUMMYFUNCTION("GOOGLETRANSLATE(E4257,""zh-CN"",""vi"")"),"Một người theo chủ nghĩa hoàn hảo nghiêm khắc, không khoan dung với dù chỉ là lỗi nhỏ nhất. (Được tổng hợp để tạo ra cung Thiên Bình)")</f>
        <v>Một người theo chủ nghĩa hoàn hảo nghiêm khắc, không khoan dung với dù chỉ là lỗi nhỏ nhất. (Được tổng hợp để tạo ra cung Thiên Bình)</v>
      </c>
      <c r="H4257" s="8"/>
      <c r="I4257" s="8"/>
      <c r="J4257" s="8"/>
    </row>
    <row r="4258" ht="21.0" customHeight="1">
      <c r="A4258" s="6">
        <v>1.0</v>
      </c>
      <c r="B4258" s="6">
        <v>320.0</v>
      </c>
      <c r="C4258" s="6">
        <v>8.0</v>
      </c>
      <c r="D4258" s="95" t="s">
        <v>7275</v>
      </c>
      <c r="E4258" s="11" t="s">
        <v>7276</v>
      </c>
      <c r="F4258" s="8" t="str">
        <f>IFERROR(__xludf.DUMMYFUNCTION("GOOGLETRANSLATE(D4258,""zh-CN"",""vi"")"),"Thiên Bình")</f>
        <v>Thiên Bình</v>
      </c>
      <c r="G4258" s="8" t="str">
        <f>IFERROR(__xludf.DUMMYFUNCTION("GOOGLETRANSLATE(E4258,""zh-CN"",""vi"")"),"Giống như một chiếc cân, nó cân bằng mọi thứ trên thế giới một cách công bằng và chính trực. (Chòm sao Bọ Cạp được tạo ra thông qua quá trình tổng hợp)")</f>
        <v>Giống như một chiếc cân, nó cân bằng mọi thứ trên thế giới một cách công bằng và chính trực. (Chòm sao Bọ Cạp được tạo ra thông qua quá trình tổng hợp)</v>
      </c>
      <c r="H4258" s="8"/>
      <c r="I4258" s="8"/>
      <c r="J4258" s="8"/>
    </row>
    <row r="4259" ht="21.0" customHeight="1">
      <c r="A4259" s="6">
        <v>1.0</v>
      </c>
      <c r="B4259" s="6">
        <v>320.0</v>
      </c>
      <c r="C4259" s="6">
        <v>9.0</v>
      </c>
      <c r="D4259" s="95" t="s">
        <v>7277</v>
      </c>
      <c r="E4259" s="11" t="s">
        <v>7278</v>
      </c>
      <c r="F4259" s="8" t="str">
        <f>IFERROR(__xludf.DUMMYFUNCTION("GOOGLETRANSLATE(D4259,""zh-CN"",""vi"")"),"Bọ Cạp")</f>
        <v>Bọ Cạp</v>
      </c>
      <c r="G4259" s="8" t="str">
        <f>IFERROR(__xludf.DUMMYFUNCTION("GOOGLETRANSLATE(E4259,""zh-CN"",""vi"")"),"Vừa bí ẩn vừa nồng nhiệt, tràn đầy năng lượng. Kết hợp các yếu tố để có được cung Nhân Mã.")</f>
        <v>Vừa bí ẩn vừa nồng nhiệt, tràn đầy năng lượng. Kết hợp các yếu tố để có được cung Nhân Mã.</v>
      </c>
      <c r="H4259" s="8"/>
      <c r="I4259" s="8"/>
      <c r="J4259" s="8"/>
    </row>
    <row r="4260" ht="21.0" customHeight="1">
      <c r="A4260" s="6">
        <v>1.0</v>
      </c>
      <c r="B4260" s="6">
        <v>320.0</v>
      </c>
      <c r="C4260" s="6">
        <v>10.0</v>
      </c>
      <c r="D4260" s="95" t="s">
        <v>7279</v>
      </c>
      <c r="E4260" s="11" t="s">
        <v>7280</v>
      </c>
      <c r="F4260" s="8" t="str">
        <f>IFERROR(__xludf.DUMMYFUNCTION("GOOGLETRANSLATE(D4260,""zh-CN"",""vi"")"),"Nhân Mã")</f>
        <v>Nhân Mã</v>
      </c>
      <c r="G4260" s="8" t="str">
        <f>IFERROR(__xludf.DUMMYFUNCTION("GOOGLETRANSLATE(E4260,""zh-CN"",""vi"")"),"Ngay cả khi đối mặt với những khó khăn lớn, hãy giữ thái độ vui vẻ và lạc quan, luôn cười và hòa mình vào cuộc sống. (Tổng hợp lại để có được cung Ma Kết)")</f>
        <v>Ngay cả khi đối mặt với những khó khăn lớn, hãy giữ thái độ vui vẻ và lạc quan, luôn cười và hòa mình vào cuộc sống. (Tổng hợp lại để có được cung Ma Kết)</v>
      </c>
      <c r="H4260" s="8"/>
      <c r="I4260" s="8"/>
      <c r="J4260" s="8"/>
    </row>
    <row r="4261" ht="21.0" customHeight="1">
      <c r="A4261" s="6">
        <v>1.0</v>
      </c>
      <c r="B4261" s="6">
        <v>320.0</v>
      </c>
      <c r="C4261" s="6">
        <v>11.0</v>
      </c>
      <c r="D4261" s="95" t="s">
        <v>7281</v>
      </c>
      <c r="E4261" s="11" t="s">
        <v>7282</v>
      </c>
      <c r="F4261" s="8" t="str">
        <f>IFERROR(__xludf.DUMMYFUNCTION("GOOGLETRANSLATE(D4261,""zh-CN"",""vi"")"),"Ma Kết")</f>
        <v>Ma Kết</v>
      </c>
      <c r="G4261" s="8" t="str">
        <f>IFERROR(__xludf.DUMMYFUNCTION("GOOGLETRANSLATE(E4261,""zh-CN"",""vi"")"),"Hãy làm mọi việc từng bước một, một cách đều đặn và chắc chắn. (Tổng hợp lại để có được Aquarius)")</f>
        <v>Hãy làm mọi việc từng bước một, một cách đều đặn và chắc chắn. (Tổng hợp lại để có được Aquarius)</v>
      </c>
      <c r="H4261" s="8"/>
      <c r="I4261" s="8"/>
      <c r="J4261" s="8"/>
    </row>
    <row r="4262" ht="21.0" customHeight="1">
      <c r="A4262" s="6">
        <v>1.0</v>
      </c>
      <c r="B4262" s="6">
        <v>320.0</v>
      </c>
      <c r="C4262" s="6">
        <v>12.0</v>
      </c>
      <c r="D4262" s="95" t="s">
        <v>7283</v>
      </c>
      <c r="E4262" s="11" t="s">
        <v>7284</v>
      </c>
      <c r="F4262" s="8" t="str">
        <f>IFERROR(__xludf.DUMMYFUNCTION("GOOGLETRANSLATE(D4262,""zh-CN"",""vi"")"),"Bảo Bình")</f>
        <v>Bảo Bình</v>
      </c>
      <c r="G4262" s="8" t="str">
        <f>IFERROR(__xludf.DUMMYFUNCTION("GOOGLETRANSLATE(E4262,""zh-CN"",""vi"")"),"Tư duy độc lập kết hợp với chủ nghĩa lý tưởng, tích cực tham gia vào sự thay đổi xã hội. Tổng hợp lại tạo nên cung Song Ngư.")</f>
        <v>Tư duy độc lập kết hợp với chủ nghĩa lý tưởng, tích cực tham gia vào sự thay đổi xã hội. Tổng hợp lại tạo nên cung Song Ngư.</v>
      </c>
      <c r="H4262" s="8"/>
      <c r="I4262" s="8"/>
      <c r="J4262" s="8"/>
    </row>
    <row r="4263" ht="21.0" customHeight="1">
      <c r="A4263" s="6">
        <v>1.0</v>
      </c>
      <c r="B4263" s="6">
        <v>320.0</v>
      </c>
      <c r="C4263" s="6">
        <v>13.0</v>
      </c>
      <c r="D4263" s="95" t="s">
        <v>7285</v>
      </c>
      <c r="E4263" s="11" t="s">
        <v>7286</v>
      </c>
      <c r="F4263" s="8" t="str">
        <f>IFERROR(__xludf.DUMMYFUNCTION("GOOGLETRANSLATE(D4263,""zh-CN"",""vi"")"),"Song Ngư")</f>
        <v>Song Ngư</v>
      </c>
      <c r="G4263" s="8" t="str">
        <f>IFERROR(__xludf.DUMMYFUNCTION("GOOGLETRANSLATE(E4263,""zh-CN"",""vi"")"),"Một nghệ sĩ bẩm sinh, cảm nhận thế giới bằng sự nhạy bén và sở hữu tài năng biểu đạt. (Đã đạt đến trình độ cao nhất)")</f>
        <v>Một nghệ sĩ bẩm sinh, cảm nhận thế giới bằng sự nhạy bén và sở hữu tài năng biểu đạt. (Đã đạt đến trình độ cao nhất)</v>
      </c>
      <c r="H4263" s="8"/>
      <c r="I4263" s="8"/>
      <c r="J4263" s="8"/>
    </row>
    <row r="4264" ht="21.0" customHeight="1">
      <c r="A4264" s="6">
        <v>1.0</v>
      </c>
      <c r="B4264" s="6">
        <v>321.0</v>
      </c>
      <c r="C4264" s="6">
        <v>1.0</v>
      </c>
      <c r="D4264" s="95" t="s">
        <v>7287</v>
      </c>
      <c r="E4264" s="11" t="s">
        <v>7288</v>
      </c>
      <c r="F4264" s="8" t="str">
        <f>IFERROR(__xludf.DUMMYFUNCTION("GOOGLETRANSLATE(D4264,""zh-CN"",""vi"")"),"Hành tinh tan vỡ")</f>
        <v>Hành tinh tan vỡ</v>
      </c>
      <c r="G4264" s="8" t="str">
        <f>IFERROR(__xludf.DUMMYFUNCTION("GOOGLETRANSLATE(E4264,""zh-CN"",""vi"")"),"Tương truyền rằng từng có một nền văn minh tồn tại trên hành tinh này, nhưng... vùng đất hoang tàn hiện ra lại cằn cỗi.")</f>
        <v>Tương truyền rằng từng có một nền văn minh tồn tại trên hành tinh này, nhưng... vùng đất hoang tàn hiện ra lại cằn cỗi.</v>
      </c>
      <c r="H4264" s="8"/>
      <c r="I4264" s="8"/>
      <c r="J4264" s="8"/>
    </row>
    <row r="4265" ht="21.0" customHeight="1">
      <c r="A4265" s="6">
        <v>1.0</v>
      </c>
      <c r="B4265" s="6">
        <v>321.0</v>
      </c>
      <c r="C4265" s="6">
        <v>2.0</v>
      </c>
      <c r="D4265" s="95" t="s">
        <v>7289</v>
      </c>
      <c r="E4265" s="11" t="s">
        <v>7290</v>
      </c>
      <c r="F4265" s="8" t="str">
        <f>IFERROR(__xludf.DUMMYFUNCTION("GOOGLETRANSLATE(D4265,""zh-CN"",""vi"")"),"vùng đất hoang cằn cỗi")</f>
        <v>vùng đất hoang cằn cỗi</v>
      </c>
      <c r="G4265" s="8" t="str">
        <f>IFERROR(__xludf.DUMMYFUNCTION("GOOGLETRANSLATE(E4265,""zh-CN"",""vi"")"),"Một hành tinh không có gì trên đó sẽ chỉ lãng phí nhiên liệu của tàu vũ trụ. (Tổng hợp để đạt được nhiệt độ cực lạnh.)")</f>
        <v>Một hành tinh không có gì trên đó sẽ chỉ lãng phí nhiên liệu của tàu vũ trụ. (Tổng hợp để đạt được nhiệt độ cực lạnh.)</v>
      </c>
      <c r="H4265" s="8"/>
      <c r="I4265" s="8"/>
      <c r="J4265" s="8"/>
    </row>
    <row r="4266" ht="21.0" customHeight="1">
      <c r="A4266" s="6">
        <v>1.0</v>
      </c>
      <c r="B4266" s="6">
        <v>321.0</v>
      </c>
      <c r="C4266" s="6">
        <v>3.0</v>
      </c>
      <c r="D4266" s="95" t="s">
        <v>7291</v>
      </c>
      <c r="E4266" s="11" t="s">
        <v>7292</v>
      </c>
      <c r="F4266" s="8" t="str">
        <f>IFERROR(__xludf.DUMMYFUNCTION("GOOGLETRANSLATE(D4266,""zh-CN"",""vi"")"),"Cực lạnh")</f>
        <v>Cực lạnh</v>
      </c>
      <c r="G4266" s="8" t="str">
        <f>IFERROR(__xludf.DUMMYFUNCTION("GOOGLETRANSLATE(E4266,""zh-CN"",""vi"")"),"Một bảo vật thần thánh đang ẩn giấu ở đó, nhưng cái lạnh khắc nghiệt ngăn cản việc khám phá. Hãy tổng hợp nó để có được Hành tinh Kẹo Bông.")</f>
        <v>Một bảo vật thần thánh đang ẩn giấu ở đó, nhưng cái lạnh khắc nghiệt ngăn cản việc khám phá. Hãy tổng hợp nó để có được Hành tinh Kẹo Bông.</v>
      </c>
      <c r="H4266" s="8"/>
      <c r="I4266" s="8"/>
      <c r="J4266" s="8"/>
    </row>
    <row r="4267" ht="21.0" customHeight="1">
      <c r="A4267" s="6">
        <v>1.0</v>
      </c>
      <c r="B4267" s="6">
        <v>321.0</v>
      </c>
      <c r="C4267" s="6">
        <v>4.0</v>
      </c>
      <c r="D4267" s="95" t="s">
        <v>7293</v>
      </c>
      <c r="E4267" s="11" t="s">
        <v>7294</v>
      </c>
      <c r="F4267" s="8" t="str">
        <f>IFERROR(__xludf.DUMMYFUNCTION("GOOGLETRANSLATE(D4267,""zh-CN"",""vi"")"),"Hành tinh kẹo dẻo")</f>
        <v>Hành tinh kẹo dẻo</v>
      </c>
      <c r="G4267" s="8" t="str">
        <f>IFERROR(__xludf.DUMMYFUNCTION("GOOGLETRANSLATE(E4267,""zh-CN"",""vi"")"),"Đây là một trạm tiếp tế tự nhiên trong vũ trụ; hãy đến và thưởng thức khi bạn đói! Tổng hợp để có được một hành tinh đầm lầy.")</f>
        <v>Đây là một trạm tiếp tế tự nhiên trong vũ trụ; hãy đến và thưởng thức khi bạn đói! Tổng hợp để có được một hành tinh đầm lầy.</v>
      </c>
      <c r="H4267" s="8"/>
      <c r="I4267" s="8"/>
      <c r="J4267" s="8"/>
    </row>
    <row r="4268" ht="21.0" customHeight="1">
      <c r="A4268" s="6">
        <v>1.0</v>
      </c>
      <c r="B4268" s="6">
        <v>321.0</v>
      </c>
      <c r="C4268" s="6">
        <v>5.0</v>
      </c>
      <c r="D4268" s="95" t="s">
        <v>7295</v>
      </c>
      <c r="E4268" s="11" t="s">
        <v>7296</v>
      </c>
      <c r="F4268" s="8" t="str">
        <f>IFERROR(__xludf.DUMMYFUNCTION("GOOGLETRANSLATE(D4268,""zh-CN"",""vi"")"),"Hành tinh đầm lầy")</f>
        <v>Hành tinh đầm lầy</v>
      </c>
      <c r="G4268" s="8" t="str">
        <f>IFERROR(__xludf.DUMMYFUNCTION("GOOGLETRANSLATE(E4268,""zh-CN"",""vi"")"),"Các đầm lầy trên hành tinh này rộng lớn đến mức có thể nuốt chửng cả một con tàu vũ trụ. (Hãy tạo ra Sa mạc Cát Đỏ.)")</f>
        <v>Các đầm lầy trên hành tinh này rộng lớn đến mức có thể nuốt chửng cả một con tàu vũ trụ. (Hãy tạo ra Sa mạc Cát Đỏ.)</v>
      </c>
      <c r="H4268" s="8"/>
      <c r="I4268" s="8"/>
      <c r="J4268" s="8"/>
    </row>
    <row r="4269" ht="21.0" customHeight="1">
      <c r="A4269" s="6">
        <v>1.0</v>
      </c>
      <c r="B4269" s="6">
        <v>321.0</v>
      </c>
      <c r="C4269" s="6">
        <v>6.0</v>
      </c>
      <c r="D4269" s="95" t="s">
        <v>7297</v>
      </c>
      <c r="E4269" s="11" t="s">
        <v>7298</v>
      </c>
      <c r="F4269" s="8" t="str">
        <f>IFERROR(__xludf.DUMMYFUNCTION("GOOGLETRANSLATE(D4269,""zh-CN"",""vi"")"),"Sa mạc cát đỏ")</f>
        <v>Sa mạc cát đỏ</v>
      </c>
      <c r="G4269" s="8" t="str">
        <f>IFERROR(__xludf.DUMMYFUNCTION("GOOGLETRANSLATE(E4269,""zh-CN"",""vi"")"),"Những hành tinh xa xôi, không người ở có thể là nơi ẩn náu của những tên tội phạm bị truy nã. Hãy tổng hợp chúng để có được Hành tinh Bỏng ngô.")</f>
        <v>Những hành tinh xa xôi, không người ở có thể là nơi ẩn náu của những tên tội phạm bị truy nã. Hãy tổng hợp chúng để có được Hành tinh Bỏng ngô.</v>
      </c>
      <c r="H4269" s="8"/>
      <c r="I4269" s="8"/>
      <c r="J4269" s="8"/>
    </row>
    <row r="4270" ht="21.0" customHeight="1">
      <c r="A4270" s="6">
        <v>1.0</v>
      </c>
      <c r="B4270" s="6">
        <v>321.0</v>
      </c>
      <c r="C4270" s="6">
        <v>7.0</v>
      </c>
      <c r="D4270" s="95" t="s">
        <v>7299</v>
      </c>
      <c r="E4270" s="11" t="s">
        <v>7300</v>
      </c>
      <c r="F4270" s="8" t="str">
        <f>IFERROR(__xludf.DUMMYFUNCTION("GOOGLETRANSLATE(D4270,""zh-CN"",""vi"")"),"Hành tinh Bỏng ngô")</f>
        <v>Hành tinh Bỏng ngô</v>
      </c>
      <c r="G4270" s="8" t="str">
        <f>IFERROR(__xludf.DUMMYFUNCTION("GOOGLETRANSLATE(E4270,""zh-CN"",""vi"")"),"Thường được tạo ra trong các cuộc cạnh tranh vũ trụ, chúng hoàn toàn miễn phí cho mọi người sử dụng! Tổng hợp chúng sẽ mở ra cánh cửa đến Vùng đất Tiến hóa.")</f>
        <v>Thường được tạo ra trong các cuộc cạnh tranh vũ trụ, chúng hoàn toàn miễn phí cho mọi người sử dụng! Tổng hợp chúng sẽ mở ra cánh cửa đến Vùng đất Tiến hóa.</v>
      </c>
      <c r="H4270" s="8"/>
      <c r="I4270" s="8"/>
      <c r="J4270" s="8"/>
    </row>
    <row r="4271" ht="21.0" customHeight="1">
      <c r="A4271" s="6">
        <v>1.0</v>
      </c>
      <c r="B4271" s="6">
        <v>321.0</v>
      </c>
      <c r="C4271" s="6">
        <v>8.0</v>
      </c>
      <c r="D4271" s="95" t="s">
        <v>7301</v>
      </c>
      <c r="E4271" s="11" t="s">
        <v>7302</v>
      </c>
      <c r="F4271" s="8" t="str">
        <f>IFERROR(__xludf.DUMMYFUNCTION("GOOGLETRANSLATE(D4271,""zh-CN"",""vi"")"),"Sự tiến hóa")</f>
        <v>Sự tiến hóa</v>
      </c>
      <c r="G4271" s="8" t="str">
        <f>IFERROR(__xludf.DUMMYFUNCTION("GOOGLETRANSLATE(E4271,""zh-CN"",""vi"")"),"Một hành tinh kho báu với các thành phần được cân bằng hoàn hảo, tràn đầy sự sống. Việc tổng hợp nó tạo ra một luồng năng lượng điện mạnh mẽ.")</f>
        <v>Một hành tinh kho báu với các thành phần được cân bằng hoàn hảo, tràn đầy sự sống. Việc tổng hợp nó tạo ra một luồng năng lượng điện mạnh mẽ.</v>
      </c>
      <c r="H4271" s="8"/>
      <c r="I4271" s="8"/>
      <c r="J4271" s="8"/>
    </row>
    <row r="4272" ht="21.0" customHeight="1">
      <c r="A4272" s="6">
        <v>1.0</v>
      </c>
      <c r="B4272" s="6">
        <v>321.0</v>
      </c>
      <c r="C4272" s="6">
        <v>9.0</v>
      </c>
      <c r="D4272" s="95" t="s">
        <v>7303</v>
      </c>
      <c r="E4272" s="11" t="s">
        <v>7304</v>
      </c>
      <c r="F4272" s="8" t="str">
        <f>IFERROR(__xludf.DUMMYFUNCTION("GOOGLETRANSLATE(D4272,""zh-CN"",""vi"")"),"Sự tăng vọt điện áp")</f>
        <v>Sự tăng vọt điện áp</v>
      </c>
      <c r="G4272" s="8" t="str">
        <f>IFERROR(__xludf.DUMMYFUNCTION("GOOGLETRANSLATE(E4272,""zh-CN"",""vi"")"),"Một trạm xăng trong không gian—dĩ nhiên, bạn cần phải trả tiền. Tổng hợp để thu được một vành đai sao.")</f>
        <v>Một trạm xăng trong không gian—dĩ nhiên, bạn cần phải trả tiền. Tổng hợp để thu được một vành đai sao.</v>
      </c>
      <c r="H4272" s="8"/>
      <c r="I4272" s="8"/>
      <c r="J4272" s="8"/>
    </row>
    <row r="4273" ht="21.0" customHeight="1">
      <c r="A4273" s="6">
        <v>1.0</v>
      </c>
      <c r="B4273" s="6">
        <v>321.0</v>
      </c>
      <c r="C4273" s="6">
        <v>10.0</v>
      </c>
      <c r="D4273" s="95" t="s">
        <v>7305</v>
      </c>
      <c r="E4273" s="11" t="s">
        <v>7306</v>
      </c>
      <c r="F4273" s="8" t="str">
        <f>IFERROR(__xludf.DUMMYFUNCTION("GOOGLETRANSLATE(D4273,""zh-CN"",""vi"")"),"Nhẫn")</f>
        <v>Nhẫn</v>
      </c>
      <c r="G4273" s="8" t="str">
        <f>IFERROR(__xludf.DUMMYFUNCTION("GOOGLETRANSLATE(E4273,""zh-CN"",""vi"")"),"Một hành tinh bí ẩn, với các lớp vành đai ngăn cản người khác khám phá. (Có thể tạo ra những ngọn núi cao chót vót.)")</f>
        <v>Một hành tinh bí ẩn, với các lớp vành đai ngăn cản người khác khám phá. (Có thể tạo ra những ngọn núi cao chót vót.)</v>
      </c>
      <c r="H4273" s="8"/>
      <c r="I4273" s="8"/>
      <c r="J4273" s="8"/>
    </row>
    <row r="4274" ht="21.0" customHeight="1">
      <c r="A4274" s="6">
        <v>1.0</v>
      </c>
      <c r="B4274" s="6">
        <v>321.0</v>
      </c>
      <c r="C4274" s="6">
        <v>11.0</v>
      </c>
      <c r="D4274" s="95" t="s">
        <v>7307</v>
      </c>
      <c r="E4274" s="11" t="s">
        <v>7308</v>
      </c>
      <c r="F4274" s="8" t="str">
        <f>IFERROR(__xludf.DUMMYFUNCTION("GOOGLETRANSLATE(D4274,""zh-CN"",""vi"")"),"những ngọn núi cao chót vót")</f>
        <v>những ngọn núi cao chót vót</v>
      </c>
      <c r="G4274" s="8" t="str">
        <f>IFERROR(__xludf.DUMMYFUNCTION("GOOGLETRANSLATE(E4274,""zh-CN"",""vi"")"),"Vượt qua những ngọn núi vật lý, không ai biết những bí mật nào đang ẩn giấu. Tổng hợp lại để tạo nên một tính khí hung bạo.")</f>
        <v>Vượt qua những ngọn núi vật lý, không ai biết những bí mật nào đang ẩn giấu. Tổng hợp lại để tạo nên một tính khí hung bạo.</v>
      </c>
      <c r="H4274" s="8"/>
      <c r="I4274" s="8"/>
      <c r="J4274" s="8"/>
    </row>
    <row r="4275" ht="21.0" customHeight="1">
      <c r="A4275" s="6">
        <v>1.0</v>
      </c>
      <c r="B4275" s="6">
        <v>321.0</v>
      </c>
      <c r="C4275" s="6">
        <v>12.0</v>
      </c>
      <c r="D4275" s="95" t="s">
        <v>7309</v>
      </c>
      <c r="E4275" s="11" t="s">
        <v>7310</v>
      </c>
      <c r="F4275" s="8" t="str">
        <f>IFERROR(__xludf.DUMMYFUNCTION("GOOGLETRANSLATE(D4275,""zh-CN"",""vi"")"),"tính khí nóng nảy")</f>
        <v>tính khí nóng nảy</v>
      </c>
      <c r="G4275" s="8" t="str">
        <f>IFERROR(__xludf.DUMMYFUNCTION("GOOGLETRANSLATE(E4275,""zh-CN"",""vi"")"),"Hành tinh này có tính khí khá thất thường và có thể nổi giận bất cứ lúc nào. (Hãy tạo ra một nơi trú ẩn ma thuật.)")</f>
        <v>Hành tinh này có tính khí khá thất thường và có thể nổi giận bất cứ lúc nào. (Hãy tạo ra một nơi trú ẩn ma thuật.)</v>
      </c>
      <c r="H4275" s="8"/>
      <c r="I4275" s="8"/>
      <c r="J4275" s="8"/>
    </row>
    <row r="4276" ht="21.0" customHeight="1">
      <c r="A4276" s="6">
        <v>1.0</v>
      </c>
      <c r="B4276" s="6">
        <v>321.0</v>
      </c>
      <c r="C4276" s="6">
        <v>13.0</v>
      </c>
      <c r="D4276" s="95" t="s">
        <v>7311</v>
      </c>
      <c r="E4276" s="11" t="s">
        <v>7312</v>
      </c>
      <c r="F4276" s="8" t="str">
        <f>IFERROR(__xludf.DUMMYFUNCTION("GOOGLETRANSLATE(D4276,""zh-CN"",""vi"")"),"Khu bảo tồn ma thuật")</f>
        <v>Khu bảo tồn ma thuật</v>
      </c>
      <c r="G4276" s="8" t="str">
        <f>IFERROR(__xludf.DUMMYFUNCTION("GOOGLETRANSLATE(E4276,""zh-CN"",""vi"")"),"Đây là vùng đất thiêng liêng dành cho các pháp sư trong vũ trụ. Nó đã được tinh luyện đến cấp độ cao nhất.")</f>
        <v>Đây là vùng đất thiêng liêng dành cho các pháp sư trong vũ trụ. Nó đã được tinh luyện đến cấp độ cao nhất.</v>
      </c>
      <c r="H4276" s="8"/>
      <c r="I4276" s="8"/>
      <c r="J4276" s="8"/>
    </row>
    <row r="4277" ht="21.0" customHeight="1">
      <c r="A4277" s="6">
        <v>11.0</v>
      </c>
      <c r="B4277" s="6">
        <v>2009.0</v>
      </c>
      <c r="C4277" s="6">
        <v>1.0</v>
      </c>
      <c r="D4277" s="75" t="s">
        <v>7313</v>
      </c>
      <c r="E4277" s="19" t="s">
        <v>7314</v>
      </c>
      <c r="F4277" s="8" t="str">
        <f>IFERROR(__xludf.DUMMYFUNCTION("GOOGLETRANSLATE(D4277,""zh-CN"",""vi"")"),"Giấy chứng nhận tốt nghiệp Học viện Ma thuật")</f>
        <v>Giấy chứng nhận tốt nghiệp Học viện Ma thuật</v>
      </c>
      <c r="G4277" s="8" t="str">
        <f>IFERROR(__xludf.DUMMYFUNCTION("GOOGLETRANSLATE(E4277,""zh-CN"",""vi"")"),"Giấy chứng nhận tốt nghiệp Học viện Ma thuật Vương quốc đánh dấu một chương mới trong cuộc đời. Kết hợp chúng để nhận được tem xây dựng thành phố.")</f>
        <v>Giấy chứng nhận tốt nghiệp Học viện Ma thuật Vương quốc đánh dấu một chương mới trong cuộc đời. Kết hợp chúng để nhận được tem xây dựng thành phố.</v>
      </c>
      <c r="H4277" s="8"/>
      <c r="I4277" s="8"/>
      <c r="J4277" s="8"/>
    </row>
    <row r="4278" ht="21.0" customHeight="1">
      <c r="A4278" s="6">
        <v>11.0</v>
      </c>
      <c r="B4278" s="6">
        <v>2009.0</v>
      </c>
      <c r="C4278" s="6">
        <v>2.0</v>
      </c>
      <c r="D4278" s="75" t="s">
        <v>7315</v>
      </c>
      <c r="E4278" s="19" t="s">
        <v>7316</v>
      </c>
      <c r="F4278" s="8" t="str">
        <f>IFERROR(__xludf.DUMMYFUNCTION("GOOGLETRANSLATE(D4278,""zh-CN"",""vi"")"),"Con dấu công trình đô thị")</f>
        <v>Con dấu công trình đô thị</v>
      </c>
      <c r="G4278" s="8" t="str">
        <f>IFERROR(__xludf.DUMMYFUNCTION("GOOGLETRANSLATE(E4278,""zh-CN"",""vi"")"),"Chỉ sau khi con dấu được đóng và phê duyệt, chúng ta mới có thể xây dựng ngôi nhà ma thuật của mình. Kết hợp các nguyên liệu để có được bộ đếm ma thuật.")</f>
        <v>Chỉ sau khi con dấu được đóng và phê duyệt, chúng ta mới có thể xây dựng ngôi nhà ma thuật của mình. Kết hợp các nguyên liệu để có được bộ đếm ma thuật.</v>
      </c>
      <c r="H4278" s="8"/>
      <c r="I4278" s="8"/>
      <c r="J4278" s="8"/>
    </row>
    <row r="4279" ht="21.0" customHeight="1">
      <c r="A4279" s="6">
        <v>11.0</v>
      </c>
      <c r="B4279" s="6">
        <v>2009.0</v>
      </c>
      <c r="C4279" s="6">
        <v>3.0</v>
      </c>
      <c r="D4279" s="75" t="s">
        <v>7317</v>
      </c>
      <c r="E4279" s="19" t="s">
        <v>7318</v>
      </c>
      <c r="F4279" s="8" t="str">
        <f>IFERROR(__xludf.DUMMYFUNCTION("GOOGLETRANSLATE(D4279,""zh-CN"",""vi"")"),"Bộ đếm ma thuật")</f>
        <v>Bộ đếm ma thuật</v>
      </c>
      <c r="G4279" s="8" t="str">
        <f>IFERROR(__xludf.DUMMYFUNCTION("GOOGLETRANSLATE(E4279,""zh-CN"",""vi"")"),"Bán đũa phép, mũ phù thủy, sách phép thuật bán chạy nhất và nhiều hơn nữa. Tự tay chế tạo chúng tại quầy Gốc Cây Ma Thuật.")</f>
        <v>Bán đũa phép, mũ phù thủy, sách phép thuật bán chạy nhất và nhiều hơn nữa. Tự tay chế tạo chúng tại quầy Gốc Cây Ma Thuật.</v>
      </c>
      <c r="H4279" s="8"/>
      <c r="I4279" s="8"/>
      <c r="J4279" s="8"/>
    </row>
    <row r="4280" ht="21.0" customHeight="1">
      <c r="A4280" s="6">
        <v>11.0</v>
      </c>
      <c r="B4280" s="6">
        <v>2009.0</v>
      </c>
      <c r="C4280" s="6">
        <v>4.0</v>
      </c>
      <c r="D4280" s="75" t="s">
        <v>7319</v>
      </c>
      <c r="E4280" s="19" t="s">
        <v>7320</v>
      </c>
      <c r="F4280" s="8" t="str">
        <f>IFERROR(__xludf.DUMMYFUNCTION("GOOGLETRANSLATE(D4280,""zh-CN"",""vi"")"),"Máy đếm gốc cây ma thuật")</f>
        <v>Máy đếm gốc cây ma thuật</v>
      </c>
      <c r="G4280" s="8" t="str">
        <f>IFERROR(__xludf.DUMMYFUNCTION("GOOGLETRANSLATE(E4280,""zh-CN"",""vi"")"),"Tầng giữa bày bán những loại thuốc thần kỳ hảo hạng nhất mà chúng tôi đã chế tạo. Kết hợp chúng lại để mở khóa khu vực tiếp tân của Cửa hàng Ma thuật.")</f>
        <v>Tầng giữa bày bán những loại thuốc thần kỳ hảo hạng nhất mà chúng tôi đã chế tạo. Kết hợp chúng lại để mở khóa khu vực tiếp tân của Cửa hàng Ma thuật.</v>
      </c>
      <c r="H4280" s="8"/>
      <c r="I4280" s="8"/>
      <c r="J4280" s="8"/>
    </row>
    <row r="4281" ht="21.0" customHeight="1">
      <c r="A4281" s="6">
        <v>10.0</v>
      </c>
      <c r="B4281" s="6">
        <v>2009.0</v>
      </c>
      <c r="C4281" s="6">
        <v>5.0</v>
      </c>
      <c r="D4281" s="75" t="s">
        <v>7321</v>
      </c>
      <c r="E4281" s="19" t="s">
        <v>7322</v>
      </c>
      <c r="F4281" s="8" t="str">
        <f>IFERROR(__xludf.DUMMYFUNCTION("GOOGLETRANSLATE(D4281,""zh-CN"",""vi"")"),"Quầy lễ tân của Ngôi nhà Ma thuật")</f>
        <v>Quầy lễ tân của Ngôi nhà Ma thuật</v>
      </c>
      <c r="G4281" s="8" t="str">
        <f>IFERROR(__xludf.DUMMYFUNCTION("GOOGLETRANSLATE(E4281,""zh-CN"",""vi"")"),"Hãy xem! Những vật phẩm ma thuật tinh xảo đang bán rất chạy! Hãy kết hợp chúng để tạo nên một quầy lễ tân sang trọng cho Ngôi nhà Ma thuật của bạn.")</f>
        <v>Hãy xem! Những vật phẩm ma thuật tinh xảo đang bán rất chạy! Hãy kết hợp chúng để tạo nên một quầy lễ tân sang trọng cho Ngôi nhà Ma thuật của bạn.</v>
      </c>
      <c r="H4281" s="8"/>
      <c r="I4281" s="8"/>
      <c r="J4281" s="8"/>
    </row>
    <row r="4282" ht="21.0" customHeight="1">
      <c r="A4282" s="6">
        <v>10.0</v>
      </c>
      <c r="B4282" s="6">
        <v>2009.0</v>
      </c>
      <c r="C4282" s="6">
        <v>6.0</v>
      </c>
      <c r="D4282" s="75" t="s">
        <v>7323</v>
      </c>
      <c r="E4282" s="19" t="s">
        <v>7324</v>
      </c>
      <c r="F4282" s="8" t="str">
        <f>IFERROR(__xludf.DUMMYFUNCTION("GOOGLETRANSLATE(D4282,""zh-CN"",""vi"")"),"Khu vực tiếp tân hạng sang của Magic House")</f>
        <v>Khu vực tiếp tân hạng sang của Magic House</v>
      </c>
      <c r="G4282" s="8" t="str">
        <f>IFERROR(__xludf.DUMMYFUNCTION("GOOGLETRANSLATE(E4282,""zh-CN"",""vi"")"),"Để thu hút những vị khách quý, chúng tôi đã đặc biệt tân trang lại khu vực lễ tân. (Hoàn thiện khu vực lễ tân cao cấp Magic House)")</f>
        <v>Để thu hút những vị khách quý, chúng tôi đã đặc biệt tân trang lại khu vực lễ tân. (Hoàn thiện khu vực lễ tân cao cấp Magic House)</v>
      </c>
      <c r="H4282" s="8"/>
      <c r="I4282" s="8"/>
      <c r="J4282" s="8"/>
    </row>
    <row r="4283" ht="21.0" customHeight="1">
      <c r="A4283" s="6">
        <v>10.0</v>
      </c>
      <c r="B4283" s="6">
        <v>2009.0</v>
      </c>
      <c r="C4283" s="6">
        <v>7.0</v>
      </c>
      <c r="D4283" s="75" t="s">
        <v>7325</v>
      </c>
      <c r="E4283" s="19" t="s">
        <v>7326</v>
      </c>
      <c r="F4283" s="8" t="str">
        <f>IFERROR(__xludf.DUMMYFUNCTION("GOOGLETRANSLATE(D4283,""zh-CN"",""vi"")"),"Nhân viên lễ tân cao cấp của Magic House")</f>
        <v>Nhân viên lễ tân cao cấp của Magic House</v>
      </c>
      <c r="G4283" s="8" t="str">
        <f>IFERROR(__xludf.DUMMYFUNCTION("GOOGLETRANSLATE(E4283,""zh-CN"",""vi"")"),"Các vị khách quý thường xuyên hỏi về hàng hóa. Tổng hợp để có được Cửa hàng Việc vặt Ma thuật dành cho người mới bắt đầu.")</f>
        <v>Các vị khách quý thường xuyên hỏi về hàng hóa. Tổng hợp để có được Cửa hàng Việc vặt Ma thuật dành cho người mới bắt đầu.</v>
      </c>
      <c r="H4283" s="8"/>
      <c r="I4283" s="8"/>
      <c r="J4283" s="8"/>
    </row>
    <row r="4284" ht="21.0" customHeight="1">
      <c r="A4284" s="6">
        <v>10.0</v>
      </c>
      <c r="B4284" s="6">
        <v>2009.0</v>
      </c>
      <c r="C4284" s="6">
        <v>8.0</v>
      </c>
      <c r="D4284" s="75" t="s">
        <v>7327</v>
      </c>
      <c r="E4284" s="19" t="s">
        <v>7328</v>
      </c>
      <c r="F4284" s="8" t="str">
        <f>IFERROR(__xludf.DUMMYFUNCTION("GOOGLETRANSLATE(D4284,""zh-CN"",""vi"")"),"Cửa hàng đồ lặt vặt ảo thuật dành cho người mới bắt đầu")</f>
        <v>Cửa hàng đồ lặt vặt ảo thuật dành cho người mới bắt đầu</v>
      </c>
      <c r="G4284" s="8" t="str">
        <f>IFERROR(__xludf.DUMMYFUNCTION("GOOGLETRANSLATE(E4284,""zh-CN"",""vi"")"),"Chúng tôi sẵn sàng nhận bất kỳ hợp đồng pháp lý nào miễn là thù lao xứng đáng! (Tổng hợp để có được Cửa hàng đa năng ma thuật trung cấp)")</f>
        <v>Chúng tôi sẵn sàng nhận bất kỳ hợp đồng pháp lý nào miễn là thù lao xứng đáng! (Tổng hợp để có được Cửa hàng đa năng ma thuật trung cấp)</v>
      </c>
      <c r="H4284" s="8"/>
      <c r="I4284" s="8"/>
      <c r="J4284" s="8"/>
    </row>
    <row r="4285" ht="21.0" customHeight="1">
      <c r="A4285" s="6">
        <v>10.0</v>
      </c>
      <c r="B4285" s="6">
        <v>2009.0</v>
      </c>
      <c r="C4285" s="6">
        <v>9.0</v>
      </c>
      <c r="D4285" s="75" t="s">
        <v>7329</v>
      </c>
      <c r="E4285" s="19" t="s">
        <v>7330</v>
      </c>
      <c r="F4285" s="8" t="str">
        <f>IFERROR(__xludf.DUMMYFUNCTION("GOOGLETRANSLATE(D4285,""zh-CN"",""vi"")"),"Cửa hàng đồ lặt vặt ma thuật trung cấp")</f>
        <v>Cửa hàng đồ lặt vặt ma thuật trung cấp</v>
      </c>
      <c r="G4285" s="8" t="str">
        <f>IFERROR(__xludf.DUMMYFUNCTION("GOOGLETRANSLATE(E4285,""zh-CN"",""vi"")"),"Thuốc của chúng tôi là tốt nhất trong thị trấn! Hãy tổng hợp để sở hữu cửa hàng thuốc ma thuật cao cấp.")</f>
        <v>Thuốc của chúng tôi là tốt nhất trong thị trấn! Hãy tổng hợp để sở hữu cửa hàng thuốc ma thuật cao cấp.</v>
      </c>
      <c r="H4285" s="8"/>
      <c r="I4285" s="8"/>
      <c r="J4285" s="8"/>
    </row>
    <row r="4286" ht="21.0" customHeight="1">
      <c r="A4286" s="6">
        <v>10.0</v>
      </c>
      <c r="B4286" s="6">
        <v>2009.0</v>
      </c>
      <c r="C4286" s="6">
        <v>10.0</v>
      </c>
      <c r="D4286" s="75" t="s">
        <v>7331</v>
      </c>
      <c r="E4286" s="19" t="s">
        <v>7332</v>
      </c>
      <c r="F4286" s="8" t="str">
        <f>IFERROR(__xludf.DUMMYFUNCTION("GOOGLETRANSLATE(D4286,""zh-CN"",""vi"")"),"Cửa hàng việc vặt ma thuật cao cấp")</f>
        <v>Cửa hàng việc vặt ma thuật cao cấp</v>
      </c>
      <c r="G4286" s="8" t="str">
        <f>IFERROR(__xludf.DUMMYFUNCTION("GOOGLETRANSLATE(E4286,""zh-CN"",""vi"")"),"Cửa hàng đã phát triển đến mức chúng tôi thậm chí còn thuê một trợ lý mèo để giúp quản lý. (Cấp độ 100)")</f>
        <v>Cửa hàng đã phát triển đến mức chúng tôi thậm chí còn thuê một trợ lý mèo để giúp quản lý. (Cấp độ 100)</v>
      </c>
      <c r="H4286" s="8"/>
      <c r="I4286" s="8"/>
      <c r="J4286" s="8"/>
    </row>
    <row r="4287" ht="21.0" customHeight="1">
      <c r="A4287" s="6">
        <v>11.0</v>
      </c>
      <c r="B4287" s="6">
        <v>2010.0</v>
      </c>
      <c r="C4287" s="6">
        <v>1.0</v>
      </c>
      <c r="D4287" s="75" t="s">
        <v>7333</v>
      </c>
      <c r="E4287" s="19" t="s">
        <v>7334</v>
      </c>
      <c r="F4287" s="8" t="str">
        <f>IFERROR(__xludf.DUMMYFUNCTION("GOOGLETRANSLATE(D4287,""zh-CN"",""vi"")"),"Giấy chứng nhận tốt nghiệp Học viện Ma thuật [V]")</f>
        <v>Giấy chứng nhận tốt nghiệp Học viện Ma thuật [V]</v>
      </c>
      <c r="G4287" s="8" t="str">
        <f>IFERROR(__xludf.DUMMYFUNCTION("GOOGLETRANSLATE(E4287,""zh-CN"",""vi"")"),"Giấy chứng nhận tốt nghiệp Học viện Ma thuật Vương quốc đánh dấu một chương mới trong cuộc đời bạn~ Tổng hợp để nhận được tem xây dựng thành phố [V]")</f>
        <v>Giấy chứng nhận tốt nghiệp Học viện Ma thuật Vương quốc đánh dấu một chương mới trong cuộc đời bạn~ Tổng hợp để nhận được tem xây dựng thành phố [V]</v>
      </c>
      <c r="H4287" s="8"/>
      <c r="I4287" s="8"/>
      <c r="J4287" s="8"/>
    </row>
    <row r="4288" ht="21.0" customHeight="1">
      <c r="A4288" s="6">
        <v>11.0</v>
      </c>
      <c r="B4288" s="6">
        <v>2010.0</v>
      </c>
      <c r="C4288" s="6">
        <v>2.0</v>
      </c>
      <c r="D4288" s="75" t="s">
        <v>7335</v>
      </c>
      <c r="E4288" s="19" t="s">
        <v>7336</v>
      </c>
      <c r="F4288" s="8" t="str">
        <f>IFERROR(__xludf.DUMMYFUNCTION("GOOGLETRANSLATE(D4288,""zh-CN"",""vi"")"),"Con dấu xây dựng đô thị [V]")</f>
        <v>Con dấu xây dựng đô thị [V]</v>
      </c>
      <c r="G4288" s="8" t="str">
        <f>IFERROR(__xludf.DUMMYFUNCTION("GOOGLETRANSLATE(E4288,""zh-CN"",""vi"")"),"Chỉ sau khi con dấu được đóng và phê duyệt thì việc xây dựng ngôi nhà ma thuật của chúng ta mới được cho phép. Tổng hợp để có được Bộ đếm ma thuật [V]")</f>
        <v>Chỉ sau khi con dấu được đóng và phê duyệt thì việc xây dựng ngôi nhà ma thuật của chúng ta mới được cho phép. Tổng hợp để có được Bộ đếm ma thuật [V]</v>
      </c>
      <c r="H4288" s="8"/>
      <c r="I4288" s="8"/>
      <c r="J4288" s="8"/>
    </row>
    <row r="4289" ht="21.0" customHeight="1">
      <c r="A4289" s="6">
        <v>11.0</v>
      </c>
      <c r="B4289" s="6">
        <v>2010.0</v>
      </c>
      <c r="C4289" s="6">
        <v>3.0</v>
      </c>
      <c r="D4289" s="75" t="s">
        <v>7337</v>
      </c>
      <c r="E4289" s="19" t="s">
        <v>7338</v>
      </c>
      <c r="F4289" s="8" t="str">
        <f>IFERROR(__xludf.DUMMYFUNCTION("GOOGLETRANSLATE(D4289,""zh-CN"",""vi"")"),"Bộ đếm ma thuật [V]")</f>
        <v>Bộ đếm ma thuật [V]</v>
      </c>
      <c r="G4289" s="8" t="str">
        <f>IFERROR(__xludf.DUMMYFUNCTION("GOOGLETRANSLATE(E4289,""zh-CN"",""vi"")"),"Bán đũa phép, mũ phù thủy, sách phép thuật bán chạy nhất và nhiều hơn nữa. Chế tạo chúng để nhận được bộ đếm Gốc cây ma thuật [V].")</f>
        <v>Bán đũa phép, mũ phù thủy, sách phép thuật bán chạy nhất và nhiều hơn nữa. Chế tạo chúng để nhận được bộ đếm Gốc cây ma thuật [V].</v>
      </c>
      <c r="H4289" s="8"/>
      <c r="I4289" s="8"/>
      <c r="J4289" s="8"/>
    </row>
    <row r="4290" ht="21.0" customHeight="1">
      <c r="A4290" s="6">
        <v>11.0</v>
      </c>
      <c r="B4290" s="6">
        <v>2010.0</v>
      </c>
      <c r="C4290" s="6">
        <v>4.0</v>
      </c>
      <c r="D4290" s="75" t="s">
        <v>7339</v>
      </c>
      <c r="E4290" s="19" t="s">
        <v>7340</v>
      </c>
      <c r="F4290" s="8" t="str">
        <f>IFERROR(__xludf.DUMMYFUNCTION("GOOGLETRANSLATE(D4290,""zh-CN"",""vi"")"),"Bộ đếm gốc cây ma thuật [V]")</f>
        <v>Bộ đếm gốc cây ma thuật [V]</v>
      </c>
      <c r="G4290" s="8" t="str">
        <f>IFERROR(__xludf.DUMMYFUNCTION("GOOGLETRANSLATE(E4290,""zh-CN"",""vi"")"),"Tầng giữa bán các loại thuốc cao cấp do chúng tôi chế tạo. Kết hợp chúng để có được Khu vực tiếp tân Cửa hàng Ma thuật [V].")</f>
        <v>Tầng giữa bán các loại thuốc cao cấp do chúng tôi chế tạo. Kết hợp chúng để có được Khu vực tiếp tân Cửa hàng Ma thuật [V].</v>
      </c>
      <c r="H4290" s="8"/>
      <c r="I4290" s="8"/>
      <c r="J4290" s="8"/>
    </row>
    <row r="4291" ht="21.0" customHeight="1">
      <c r="A4291" s="6">
        <v>10.0</v>
      </c>
      <c r="B4291" s="6">
        <v>2010.0</v>
      </c>
      <c r="C4291" s="6">
        <v>5.0</v>
      </c>
      <c r="D4291" s="75" t="s">
        <v>7341</v>
      </c>
      <c r="E4291" s="19" t="s">
        <v>7342</v>
      </c>
      <c r="F4291" s="8" t="str">
        <f>IFERROR(__xludf.DUMMYFUNCTION("GOOGLETRANSLATE(D4291,""zh-CN"",""vi"")"),"Lễ tân cửa hàng ảo thuật [V]")</f>
        <v>Lễ tân cửa hàng ảo thuật [V]</v>
      </c>
      <c r="G4291" s="8" t="str">
        <f>IFERROR(__xludf.DUMMYFUNCTION("GOOGLETRANSLATE(E4291,""zh-CN"",""vi"")"),"Nhìn kìa! Các vật phẩm ma thuật tinh xảo đang bán rất chạy! Kết hợp chúng để có được quầy lễ tân Cửa hàng Ma thuật cao cấp [V]")</f>
        <v>Nhìn kìa! Các vật phẩm ma thuật tinh xảo đang bán rất chạy! Kết hợp chúng để có được quầy lễ tân Cửa hàng Ma thuật cao cấp [V]</v>
      </c>
      <c r="H4291" s="8"/>
      <c r="I4291" s="8"/>
      <c r="J4291" s="8"/>
    </row>
    <row r="4292" ht="21.0" customHeight="1">
      <c r="A4292" s="6">
        <v>10.0</v>
      </c>
      <c r="B4292" s="6">
        <v>2010.0</v>
      </c>
      <c r="C4292" s="6">
        <v>6.0</v>
      </c>
      <c r="D4292" s="75" t="s">
        <v>7343</v>
      </c>
      <c r="E4292" s="19" t="s">
        <v>7344</v>
      </c>
      <c r="F4292" s="8" t="str">
        <f>IFERROR(__xludf.DUMMYFUNCTION("GOOGLETRANSLATE(D4292,""zh-CN"",""vi"")"),"Khu vực tiếp tân sang trọng của Magic House [V]")</f>
        <v>Khu vực tiếp tân sang trọng của Magic House [V]</v>
      </c>
      <c r="G4292" s="8" t="str">
        <f>IFERROR(__xludf.DUMMYFUNCTION("GOOGLETRANSLATE(E4292,""zh-CN"",""vi"")"),"Để thu hút những vị khách quý, chúng tôi đã đặc biệt tân trang lại khu vực lễ tân. (Tổng hợp để có được Khu vực lễ tân cao cấp của Ngôi nhà ma thuật [V])")</f>
        <v>Để thu hút những vị khách quý, chúng tôi đã đặc biệt tân trang lại khu vực lễ tân. (Tổng hợp để có được Khu vực lễ tân cao cấp của Ngôi nhà ma thuật [V])</v>
      </c>
      <c r="H4292" s="8"/>
      <c r="I4292" s="8"/>
      <c r="J4292" s="8"/>
    </row>
    <row r="4293" ht="21.0" customHeight="1">
      <c r="A4293" s="6">
        <v>10.0</v>
      </c>
      <c r="B4293" s="6">
        <v>2010.0</v>
      </c>
      <c r="C4293" s="6">
        <v>7.0</v>
      </c>
      <c r="D4293" s="75" t="s">
        <v>7345</v>
      </c>
      <c r="E4293" s="19" t="s">
        <v>7346</v>
      </c>
      <c r="F4293" s="8" t="str">
        <f>IFERROR(__xludf.DUMMYFUNCTION("GOOGLETRANSLATE(D4293,""zh-CN"",""vi"")"),"Lễ tân cấp cao tại Magic House [V]")</f>
        <v>Lễ tân cấp cao tại Magic House [V]</v>
      </c>
      <c r="G4293" s="8" t="str">
        <f>IFERROR(__xludf.DUMMYFUNCTION("GOOGLETRANSLATE(E4293,""zh-CN"",""vi"")"),"Các vị khách quý thường xuyên đến hỏi thăm về hàng hóa. Tổng hợp để có được Cửa hàng Ma thuật Toàn năng dành cho người mới bắt đầu [V]")</f>
        <v>Các vị khách quý thường xuyên đến hỏi thăm về hàng hóa. Tổng hợp để có được Cửa hàng Ma thuật Toàn năng dành cho người mới bắt đầu [V]</v>
      </c>
      <c r="H4293" s="8"/>
      <c r="I4293" s="8"/>
      <c r="J4293" s="8"/>
    </row>
    <row r="4294" ht="21.0" customHeight="1">
      <c r="A4294" s="6">
        <v>10.0</v>
      </c>
      <c r="B4294" s="6">
        <v>2010.0</v>
      </c>
      <c r="C4294" s="6">
        <v>8.0</v>
      </c>
      <c r="D4294" s="75" t="s">
        <v>7347</v>
      </c>
      <c r="E4294" s="19" t="s">
        <v>7348</v>
      </c>
      <c r="F4294" s="8" t="str">
        <f>IFERROR(__xludf.DUMMYFUNCTION("GOOGLETRANSLATE(D4294,""zh-CN"",""vi"")"),"Cửa hàng đồ dùng ma thuật dành cho người mới bắt đầu [V]")</f>
        <v>Cửa hàng đồ dùng ma thuật dành cho người mới bắt đầu [V]</v>
      </c>
      <c r="G4294" s="8" t="str">
        <f>IFERROR(__xludf.DUMMYFUNCTION("GOOGLETRANSLATE(E4294,""zh-CN"",""vi"")"),"Chúng tôi sẵn sàng nhận bất kỳ nhiệm vụ pháp lý nào miễn là tiền công xứng đáng! Tổng hợp để có được Cửa hàng đa năng ma thuật trung cấp [V]")</f>
        <v>Chúng tôi sẵn sàng nhận bất kỳ nhiệm vụ pháp lý nào miễn là tiền công xứng đáng! Tổng hợp để có được Cửa hàng đa năng ma thuật trung cấp [V]</v>
      </c>
      <c r="H4294" s="8"/>
      <c r="I4294" s="8"/>
      <c r="J4294" s="8"/>
    </row>
    <row r="4295" ht="21.0" customHeight="1">
      <c r="A4295" s="6">
        <v>10.0</v>
      </c>
      <c r="B4295" s="6">
        <v>2010.0</v>
      </c>
      <c r="C4295" s="6">
        <v>9.0</v>
      </c>
      <c r="D4295" s="75" t="s">
        <v>7349</v>
      </c>
      <c r="E4295" s="19" t="s">
        <v>7350</v>
      </c>
      <c r="F4295" s="8" t="str">
        <f>IFERROR(__xludf.DUMMYFUNCTION("GOOGLETRANSLATE(D4295,""zh-CN"",""vi"")"),"Cửa hàng việc vặt ma thuật trung cấp [V]")</f>
        <v>Cửa hàng việc vặt ma thuật trung cấp [V]</v>
      </c>
      <c r="G4295" s="8" t="str">
        <f>IFERROR(__xludf.DUMMYFUNCTION("GOOGLETRANSLATE(E4295,""zh-CN"",""vi"")"),"Thuốc của chúng tôi là tốt nhất trong thị trấn! Tổng hợp để có được Cửa hàng đa năng ma thuật cao cấp [V]")</f>
        <v>Thuốc của chúng tôi là tốt nhất trong thị trấn! Tổng hợp để có được Cửa hàng đa năng ma thuật cao cấp [V]</v>
      </c>
      <c r="H4295" s="8"/>
      <c r="I4295" s="8"/>
      <c r="J4295" s="8"/>
    </row>
    <row r="4296" ht="21.0" customHeight="1">
      <c r="A4296" s="6">
        <v>10.0</v>
      </c>
      <c r="B4296" s="6">
        <v>2010.0</v>
      </c>
      <c r="C4296" s="6">
        <v>10.0</v>
      </c>
      <c r="D4296" s="75" t="s">
        <v>7351</v>
      </c>
      <c r="E4296" s="19" t="s">
        <v>7332</v>
      </c>
      <c r="F4296" s="8" t="str">
        <f>IFERROR(__xludf.DUMMYFUNCTION("GOOGLETRANSLATE(D4296,""zh-CN"",""vi"")"),"Cửa hàng ma thuật toàn năng cao cấp [V]")</f>
        <v>Cửa hàng ma thuật toàn năng cao cấp [V]</v>
      </c>
      <c r="G4296" s="8" t="str">
        <f>IFERROR(__xludf.DUMMYFUNCTION("GOOGLETRANSLATE(E4296,""zh-CN"",""vi"")"),"Cửa hàng đã phát triển đến mức chúng tôi thậm chí còn thuê một trợ lý mèo để giúp quản lý. (Cấp độ 100)")</f>
        <v>Cửa hàng đã phát triển đến mức chúng tôi thậm chí còn thuê một trợ lý mèo để giúp quản lý. (Cấp độ 100)</v>
      </c>
      <c r="H4296" s="8"/>
      <c r="I4296" s="8"/>
      <c r="J4296" s="8"/>
    </row>
    <row r="4297" ht="21.0" customHeight="1">
      <c r="A4297" s="6">
        <v>1.0</v>
      </c>
      <c r="B4297" s="6">
        <v>322.0</v>
      </c>
      <c r="C4297" s="6">
        <v>1.0</v>
      </c>
      <c r="D4297" s="96" t="s">
        <v>7352</v>
      </c>
      <c r="E4297" s="11" t="s">
        <v>7353</v>
      </c>
      <c r="F4297" s="8" t="str">
        <f>IFERROR(__xludf.DUMMYFUNCTION("GOOGLETRANSLATE(D4297,""zh-CN"",""vi"")"),"Thuốc nổi loạn")</f>
        <v>Thuốc nổi loạn</v>
      </c>
      <c r="G4297" s="8" t="str">
        <f>IFERROR(__xludf.DUMMYFUNCTION("GOOGLETRANSLATE(E4297,""zh-CN"",""vi"")"),"Nỗi Buồn Của Hoa Cẩm Tú Cầu Xanh ~ Tổng hợp để có được Bình Thuốc Ký Ức")</f>
        <v>Nỗi Buồn Của Hoa Cẩm Tú Cầu Xanh ~ Tổng hợp để có được Bình Thuốc Ký Ức</v>
      </c>
      <c r="H4297" s="8"/>
      <c r="I4297" s="8"/>
      <c r="J4297" s="8"/>
    </row>
    <row r="4298" ht="21.0" customHeight="1">
      <c r="A4298" s="6">
        <v>1.0</v>
      </c>
      <c r="B4298" s="6">
        <v>322.0</v>
      </c>
      <c r="C4298" s="6">
        <v>2.0</v>
      </c>
      <c r="D4298" s="96" t="s">
        <v>7354</v>
      </c>
      <c r="E4298" s="11" t="s">
        <v>7355</v>
      </c>
      <c r="F4298" s="8" t="str">
        <f>IFERROR(__xludf.DUMMYFUNCTION("GOOGLETRANSLATE(D4298,""zh-CN"",""vi"")"),"Thuốc hồi phục trí nhớ")</f>
        <v>Thuốc hồi phục trí nhớ</v>
      </c>
      <c r="G4298" s="8" t="str">
        <f>IFERROR(__xludf.DUMMYFUNCTION("GOOGLETRANSLATE(E4298,""zh-CN"",""vi"")"),"Ký ức vĩnh cửu của hoa lưu ly ~ tổng hợp để có được Thuốc Lửa Rực Cháy")</f>
        <v>Ký ức vĩnh cửu của hoa lưu ly ~ tổng hợp để có được Thuốc Lửa Rực Cháy</v>
      </c>
      <c r="H4298" s="8"/>
      <c r="I4298" s="8"/>
      <c r="J4298" s="8"/>
    </row>
    <row r="4299" ht="21.0" customHeight="1">
      <c r="A4299" s="6">
        <v>1.0</v>
      </c>
      <c r="B4299" s="6">
        <v>322.0</v>
      </c>
      <c r="C4299" s="6">
        <v>3.0</v>
      </c>
      <c r="D4299" s="97" t="s">
        <v>7356</v>
      </c>
      <c r="E4299" s="11" t="s">
        <v>7357</v>
      </c>
      <c r="F4299" s="8" t="str">
        <f>IFERROR(__xludf.DUMMYFUNCTION("GOOGLETRANSLATE(D4299,""zh-CN"",""vi"")"),"Thuốc độc rực lửa")</f>
        <v>Thuốc độc rực lửa</v>
      </c>
      <c r="G4299" s="8" t="str">
        <f>IFERROR(__xludf.DUMMYFUNCTION("GOOGLETRANSLATE(E4299,""zh-CN"",""vi"")"),"Tình yêu nồng cháy của đóa hồng đỏ ~ tổng hợp để có được Thuốc Tình Bạn.")</f>
        <v>Tình yêu nồng cháy của đóa hồng đỏ ~ tổng hợp để có được Thuốc Tình Bạn.</v>
      </c>
      <c r="H4299" s="8"/>
      <c r="I4299" s="8"/>
      <c r="J4299" s="8"/>
    </row>
    <row r="4300" ht="21.0" customHeight="1">
      <c r="A4300" s="6">
        <v>1.0</v>
      </c>
      <c r="B4300" s="6">
        <v>322.0</v>
      </c>
      <c r="C4300" s="6">
        <v>4.0</v>
      </c>
      <c r="D4300" s="67" t="s">
        <v>7358</v>
      </c>
      <c r="E4300" s="11" t="s">
        <v>7359</v>
      </c>
      <c r="F4300" s="8" t="str">
        <f>IFERROR(__xludf.DUMMYFUNCTION("GOOGLETRANSLATE(D4300,""zh-CN"",""vi"")"),"Thuốc tình bạn")</f>
        <v>Thuốc tình bạn</v>
      </c>
      <c r="G4300" s="8" t="str">
        <f>IFERROR(__xludf.DUMMYFUNCTION("GOOGLETRANSLATE(E4300,""zh-CN"",""vi"")"),"Hoa tulip vàng tượng trưng cho tình bạn và lòng biết ơn; hãy kết hợp chúng để tạo ra một loại thuốc bí truyền.")</f>
        <v>Hoa tulip vàng tượng trưng cho tình bạn và lòng biết ơn; hãy kết hợp chúng để tạo ra một loại thuốc bí truyền.</v>
      </c>
      <c r="H4300" s="8"/>
      <c r="I4300" s="8"/>
      <c r="J4300" s="8"/>
    </row>
    <row r="4301" ht="21.0" customHeight="1">
      <c r="A4301" s="6">
        <v>1.0</v>
      </c>
      <c r="B4301" s="6">
        <v>322.0</v>
      </c>
      <c r="C4301" s="6">
        <v>5.0</v>
      </c>
      <c r="D4301" s="67" t="s">
        <v>7360</v>
      </c>
      <c r="E4301" s="11" t="s">
        <v>7361</v>
      </c>
      <c r="F4301" s="8" t="str">
        <f>IFERROR(__xludf.DUMMYFUNCTION("GOOGLETRANSLATE(D4301,""zh-CN"",""vi"")"),"Thuốc thần bí")</f>
        <v>Thuốc thần bí</v>
      </c>
      <c r="G4301" s="8" t="str">
        <f>IFERROR(__xludf.DUMMYFUNCTION("GOOGLETRANSLATE(E4301,""zh-CN"",""vi"")"),"Mọi thứ về hoa tử đằng đều được bao phủ bởi sự bí ẩn ~ Hãy tổng hợp nó để có được Thuốc Trường Sinh.")</f>
        <v>Mọi thứ về hoa tử đằng đều được bao phủ bởi sự bí ẩn ~ Hãy tổng hợp nó để có được Thuốc Trường Sinh.</v>
      </c>
      <c r="H4301" s="8"/>
      <c r="I4301" s="8"/>
      <c r="J4301" s="8"/>
    </row>
    <row r="4302" ht="21.0" customHeight="1">
      <c r="A4302" s="6">
        <v>1.0</v>
      </c>
      <c r="B4302" s="6">
        <v>322.0</v>
      </c>
      <c r="C4302" s="6">
        <v>6.0</v>
      </c>
      <c r="D4302" s="67" t="s">
        <v>7362</v>
      </c>
      <c r="E4302" s="11" t="s">
        <v>7363</v>
      </c>
      <c r="F4302" s="8" t="str">
        <f>IFERROR(__xludf.DUMMYFUNCTION("GOOGLETRANSLATE(D4302,""zh-CN"",""vi"")"),"Thuốc trường sinh bất tử")</f>
        <v>Thuốc trường sinh bất tử</v>
      </c>
      <c r="G4302" s="8" t="str">
        <f>IFERROR(__xludf.DUMMYFUNCTION("GOOGLETRANSLATE(E4302,""zh-CN"",""vi"")"),"Hoa chuông nở mãi không tàn~ Tổng hợp để thu được thuốc ánh sáng.")</f>
        <v>Hoa chuông nở mãi không tàn~ Tổng hợp để thu được thuốc ánh sáng.</v>
      </c>
      <c r="H4302" s="8"/>
      <c r="I4302" s="8"/>
      <c r="J4302" s="8"/>
    </row>
    <row r="4303" ht="21.0" customHeight="1">
      <c r="A4303" s="6">
        <v>1.0</v>
      </c>
      <c r="B4303" s="6">
        <v>322.0</v>
      </c>
      <c r="C4303" s="6">
        <v>7.0</v>
      </c>
      <c r="D4303" s="67" t="s">
        <v>7364</v>
      </c>
      <c r="E4303" s="11" t="s">
        <v>7365</v>
      </c>
      <c r="F4303" s="8" t="str">
        <f>IFERROR(__xludf.DUMMYFUNCTION("GOOGLETRANSLATE(D4303,""zh-CN"",""vi"")"),"Thuốc Ánh Sáng")</f>
        <v>Thuốc Ánh Sáng</v>
      </c>
      <c r="G4303" s="8" t="str">
        <f>IFERROR(__xludf.DUMMYFUNCTION("GOOGLETRANSLATE(E4303,""zh-CN"",""vi"")"),"Hoa hướng dương mang lại ánh sáng ~ Kết hợp chúng để có được bình thuốc chiến thắng")</f>
        <v>Hoa hướng dương mang lại ánh sáng ~ Kết hợp chúng để có được bình thuốc chiến thắng</v>
      </c>
      <c r="H4303" s="8"/>
      <c r="I4303" s="8"/>
      <c r="J4303" s="8"/>
    </row>
    <row r="4304" ht="21.0" customHeight="1">
      <c r="A4304" s="6">
        <v>1.0</v>
      </c>
      <c r="B4304" s="6">
        <v>322.0</v>
      </c>
      <c r="C4304" s="6">
        <v>8.0</v>
      </c>
      <c r="D4304" s="67" t="s">
        <v>7366</v>
      </c>
      <c r="E4304" s="11" t="s">
        <v>7367</v>
      </c>
      <c r="F4304" s="8" t="str">
        <f>IFERROR(__xludf.DUMMYFUNCTION("GOOGLETRANSLATE(D4304,""zh-CN"",""vi"")"),"Thuốc chiến thắng")</f>
        <v>Thuốc chiến thắng</v>
      </c>
      <c r="G4304" s="8" t="str">
        <f>IFERROR(__xludf.DUMMYFUNCTION("GOOGLETRANSLATE(E4304,""zh-CN"",""vi"")"),"Khi đội vòng nguyệt quế, bạn có thể tổng hợp được Thuốc Buồn và Vui.")</f>
        <v>Khi đội vòng nguyệt quế, bạn có thể tổng hợp được Thuốc Buồn và Vui.</v>
      </c>
      <c r="H4304" s="8"/>
      <c r="I4304" s="8"/>
      <c r="J4304" s="8"/>
    </row>
    <row r="4305" ht="21.0" customHeight="1">
      <c r="A4305" s="6">
        <v>1.0</v>
      </c>
      <c r="B4305" s="6">
        <v>322.0</v>
      </c>
      <c r="C4305" s="6">
        <v>9.0</v>
      </c>
      <c r="D4305" s="67" t="s">
        <v>7368</v>
      </c>
      <c r="E4305" s="11" t="s">
        <v>7369</v>
      </c>
      <c r="F4305" s="8" t="str">
        <f>IFERROR(__xludf.DUMMYFUNCTION("GOOGLETRANSLATE(D4305,""zh-CN"",""vi"")"),"Thuốc của Niềm Vui và Nỗi Buồn")</f>
        <v>Thuốc của Niềm Vui và Nỗi Buồn</v>
      </c>
      <c r="G4305" s="8" t="str">
        <f>IFERROR(__xludf.DUMMYFUNCTION("GOOGLETRANSLATE(E4305,""zh-CN"",""vi"")"),"Hoa pansy, thấm đẫm những giọt nước mắt của niềm vui và nỗi buồn, được kết hợp lại để tạo ra thứ thuốc thanh khiết.")</f>
        <v>Hoa pansy, thấm đẫm những giọt nước mắt của niềm vui và nỗi buồn, được kết hợp lại để tạo ra thứ thuốc thanh khiết.</v>
      </c>
      <c r="H4305" s="8"/>
      <c r="I4305" s="8"/>
      <c r="J4305" s="8"/>
    </row>
    <row r="4306" ht="21.0" customHeight="1">
      <c r="A4306" s="6">
        <v>1.0</v>
      </c>
      <c r="B4306" s="6">
        <v>322.0</v>
      </c>
      <c r="C4306" s="6">
        <v>10.0</v>
      </c>
      <c r="D4306" s="67" t="s">
        <v>7370</v>
      </c>
      <c r="E4306" s="11" t="s">
        <v>7371</v>
      </c>
      <c r="F4306" s="8" t="str">
        <f>IFERROR(__xludf.DUMMYFUNCTION("GOOGLETRANSLATE(D4306,""zh-CN"",""vi"")"),"Thuốc thanh tẩy")</f>
        <v>Thuốc thanh tẩy</v>
      </c>
      <c r="G4306" s="8" t="str">
        <f>IFERROR(__xludf.DUMMYFUNCTION("GOOGLETRANSLATE(E4306,""zh-CN"",""vi"")"),"Hoa huệ tinh khiết và ngây thơ ~ tổng hợp để thu được loại thuốc may mắn.")</f>
        <v>Hoa huệ tinh khiết và ngây thơ ~ tổng hợp để thu được loại thuốc may mắn.</v>
      </c>
      <c r="H4306" s="8"/>
      <c r="I4306" s="8"/>
      <c r="J4306" s="8"/>
    </row>
    <row r="4307" ht="21.0" customHeight="1">
      <c r="A4307" s="6">
        <v>1.0</v>
      </c>
      <c r="B4307" s="6">
        <v>322.0</v>
      </c>
      <c r="C4307" s="6">
        <v>11.0</v>
      </c>
      <c r="D4307" s="67" t="s">
        <v>7372</v>
      </c>
      <c r="E4307" s="11" t="s">
        <v>7373</v>
      </c>
      <c r="F4307" s="8" t="str">
        <f>IFERROR(__xludf.DUMMYFUNCTION("GOOGLETRANSLATE(D4307,""zh-CN"",""vi"")"),"Thuốc may mắn")</f>
        <v>Thuốc may mắn</v>
      </c>
      <c r="G4307" s="8" t="str">
        <f>IFERROR(__xludf.DUMMYFUNCTION("GOOGLETRANSLATE(E4307,""zh-CN"",""vi"")"),"Hoa mộc tê rơi xuống, mang đến may mắn và giàu có ~ Kết hợp chúng lại để có được thứ thuốc trường sinh sắc đẹp.")</f>
        <v>Hoa mộc tê rơi xuống, mang đến may mắn và giàu có ~ Kết hợp chúng lại để có được thứ thuốc trường sinh sắc đẹp.</v>
      </c>
      <c r="H4307" s="8"/>
      <c r="I4307" s="8"/>
      <c r="J4307" s="8"/>
    </row>
    <row r="4308" ht="21.0" customHeight="1">
      <c r="A4308" s="6">
        <v>1.0</v>
      </c>
      <c r="B4308" s="6">
        <v>322.0</v>
      </c>
      <c r="C4308" s="6">
        <v>12.0</v>
      </c>
      <c r="D4308" s="67" t="s">
        <v>7374</v>
      </c>
      <c r="E4308" s="11" t="s">
        <v>7375</v>
      </c>
      <c r="F4308" s="8" t="str">
        <f>IFERROR(__xludf.DUMMYFUNCTION("GOOGLETRANSLATE(D4308,""zh-CN"",""vi"")"),"Bí quyết làm đẹp tức thì")</f>
        <v>Bí quyết làm đẹp tức thì</v>
      </c>
      <c r="G4308" s="8" t="str">
        <f>IFERROR(__xludf.DUMMYFUNCTION("GOOGLETRANSLATE(E4308,""zh-CN"",""vi"")"),"Hoa Epiphyllum nở rộ trong chốc lát, nhưng vẻ đẹp của nó trường tồn mãi mãi. Hãy tổng hợp nó để có được Thuốc Khúc U Ca.")</f>
        <v>Hoa Epiphyllum nở rộ trong chốc lát, nhưng vẻ đẹp của nó trường tồn mãi mãi. Hãy tổng hợp nó để có được Thuốc Khúc U Ca.</v>
      </c>
      <c r="H4308" s="8"/>
      <c r="I4308" s="8"/>
      <c r="J4308" s="8"/>
    </row>
    <row r="4309" ht="21.0" customHeight="1">
      <c r="A4309" s="6">
        <v>1.0</v>
      </c>
      <c r="B4309" s="6">
        <v>322.0</v>
      </c>
      <c r="C4309" s="6">
        <v>13.0</v>
      </c>
      <c r="D4309" s="67" t="s">
        <v>7376</v>
      </c>
      <c r="E4309" s="11" t="s">
        <v>7377</v>
      </c>
      <c r="F4309" s="8" t="str">
        <f>IFERROR(__xludf.DUMMYFUNCTION("GOOGLETRANSLATE(D4309,""zh-CN"",""vi"")"),"Thuốc tiên của sự bi thương")</f>
        <v>Thuốc tiên của sự bi thương</v>
      </c>
      <c r="G4309" s="8" t="str">
        <f>IFERROR(__xludf.DUMMYFUNCTION("GOOGLETRANSLATE(E4309,""zh-CN"",""vi"")"),"Câu chuyện tình yêu bi thương của Yu Ji và Xiang Yu đã được khắc họa một cách xuất sắc.")</f>
        <v>Câu chuyện tình yêu bi thương của Yu Ji và Xiang Yu đã được khắc họa một cách xuất sắc.</v>
      </c>
      <c r="H4309" s="8"/>
      <c r="I4309" s="8"/>
      <c r="J4309" s="8"/>
    </row>
    <row r="4310" ht="21.0" customHeight="1">
      <c r="A4310" s="6">
        <v>1.0</v>
      </c>
      <c r="B4310" s="6">
        <v>323.0</v>
      </c>
      <c r="C4310" s="6">
        <v>1.0</v>
      </c>
      <c r="D4310" s="95" t="s">
        <v>7378</v>
      </c>
      <c r="E4310" s="11" t="s">
        <v>7379</v>
      </c>
      <c r="F4310" s="8" t="str">
        <f>IFERROR(__xludf.DUMMYFUNCTION("GOOGLETRANSLATE(D4310,""zh-CN"",""vi"")"),"Máy bay của Cú")</f>
        <v>Máy bay của Cú</v>
      </c>
      <c r="G4310" s="8" t="str">
        <f>IFERROR(__xludf.DUMMYFUNCTION("GOOGLETRANSLATE(E4310,""zh-CN"",""vi"")"),"Khi bắt đầu kinh doanh, hãy nhờ chú cú cưng thần kỳ của bạn phát tờ rơi. Kết hợp chúng lại để tạo thành một chiếc loa phóng thanh thần kỳ.")</f>
        <v>Khi bắt đầu kinh doanh, hãy nhờ chú cú cưng thần kỳ của bạn phát tờ rơi. Kết hợp chúng lại để tạo thành một chiếc loa phóng thanh thần kỳ.</v>
      </c>
      <c r="H4310" s="8"/>
      <c r="I4310" s="8"/>
      <c r="J4310" s="8"/>
    </row>
    <row r="4311" ht="21.0" customHeight="1">
      <c r="A4311" s="6">
        <v>1.0</v>
      </c>
      <c r="B4311" s="6">
        <v>323.0</v>
      </c>
      <c r="C4311" s="6">
        <v>2.0</v>
      </c>
      <c r="D4311" s="95" t="s">
        <v>7380</v>
      </c>
      <c r="E4311" s="11" t="s">
        <v>7381</v>
      </c>
      <c r="F4311" s="8" t="str">
        <f>IFERROR(__xludf.DUMMYFUNCTION("GOOGLETRANSLATE(D4311,""zh-CN"",""vi"")"),"Chiếc Sừng Thần Kỳ")</f>
        <v>Chiếc Sừng Thần Kỳ</v>
      </c>
      <c r="G4311" s="8" t="str">
        <f>IFERROR(__xludf.DUMMYFUNCTION("GOOGLETRANSLATE(E4311,""zh-CN"",""vi"")"),"Nó sở hữu phép thuật khuếch đại, cho phép mọi người trong toàn khu phố đều nghe thấy. Kết hợp các thành phần để có được Ngôi nhà Ma thuật Mèo Đen.")</f>
        <v>Nó sở hữu phép thuật khuếch đại, cho phép mọi người trong toàn khu phố đều nghe thấy. Kết hợp các thành phần để có được Ngôi nhà Ma thuật Mèo Đen.</v>
      </c>
      <c r="H4311" s="8"/>
      <c r="I4311" s="8"/>
      <c r="J4311" s="8"/>
    </row>
    <row r="4312" ht="21.0" customHeight="1">
      <c r="A4312" s="6">
        <v>1.0</v>
      </c>
      <c r="B4312" s="6">
        <v>323.0</v>
      </c>
      <c r="C4312" s="6">
        <v>3.0</v>
      </c>
      <c r="D4312" s="95" t="s">
        <v>7382</v>
      </c>
      <c r="E4312" s="11" t="s">
        <v>7383</v>
      </c>
      <c r="F4312" s="8" t="str">
        <f>IFERROR(__xludf.DUMMYFUNCTION("GOOGLETRANSLATE(D4312,""zh-CN"",""vi"")"),"Ngôi nhà ma thuật Mèo Đen")</f>
        <v>Ngôi nhà ma thuật Mèo Đen</v>
      </c>
      <c r="G4312" s="8" t="str">
        <f>IFERROR(__xludf.DUMMYFUNCTION("GOOGLETRANSLATE(E4312,""zh-CN"",""vi"")"),"Đây là biển hiệu cửa hàng của chúng tôi, ""Nhà Ma Thuật Mèo Đen""! Kết hợp các vật phẩm để có được khả năng bói toán tâm linh.")</f>
        <v>Đây là biển hiệu cửa hàng của chúng tôi, "Nhà Ma Thuật Mèo Đen"! Kết hợp các vật phẩm để có được khả năng bói toán tâm linh.</v>
      </c>
      <c r="H4312" s="8"/>
      <c r="I4312" s="8"/>
      <c r="J4312" s="8"/>
    </row>
    <row r="4313" ht="21.0" customHeight="1">
      <c r="A4313" s="6">
        <v>1.0</v>
      </c>
      <c r="B4313" s="6">
        <v>323.0</v>
      </c>
      <c r="C4313" s="6">
        <v>4.0</v>
      </c>
      <c r="D4313" s="95" t="s">
        <v>7384</v>
      </c>
      <c r="E4313" s="11" t="s">
        <v>7385</v>
      </c>
      <c r="F4313" s="8" t="str">
        <f>IFERROR(__xludf.DUMMYFUNCTION("GOOGLETRANSLATE(D4313,""zh-CN"",""vi"")"),"Bói toán tâm linh")</f>
        <v>Bói toán tâm linh</v>
      </c>
      <c r="G4313" s="8" t="str">
        <f>IFERROR(__xludf.DUMMYFUNCTION("GOOGLETRANSLATE(E4313,""zh-CN"",""vi"")"),"Mặc dù khả năng ngoại cảm của tôi không quá xuất sắc, nhưng chúng vẫn có thể giải quyết được vấn đề quên mã PIN thẻ ngân hàng. Kết hợp chúng để tạo thành một công cụ bói toán bằng con lắc.")</f>
        <v>Mặc dù khả năng ngoại cảm của tôi không quá xuất sắc, nhưng chúng vẫn có thể giải quyết được vấn đề quên mã PIN thẻ ngân hàng. Kết hợp chúng để tạo thành một công cụ bói toán bằng con lắc.</v>
      </c>
      <c r="H4313" s="8"/>
      <c r="I4313" s="8"/>
      <c r="J4313" s="8"/>
    </row>
    <row r="4314" ht="21.0" customHeight="1">
      <c r="A4314" s="6">
        <v>1.0</v>
      </c>
      <c r="B4314" s="6">
        <v>323.0</v>
      </c>
      <c r="C4314" s="6">
        <v>5.0</v>
      </c>
      <c r="D4314" s="95" t="s">
        <v>7386</v>
      </c>
      <c r="E4314" s="11" t="s">
        <v>7387</v>
      </c>
      <c r="F4314" s="8" t="str">
        <f>IFERROR(__xludf.DUMMYFUNCTION("GOOGLETRANSLATE(D4314,""zh-CN"",""vi"")"),"Bói toán bằng con lắc")</f>
        <v>Bói toán bằng con lắc</v>
      </c>
      <c r="G4314" s="8" t="str">
        <f>IFERROR(__xludf.DUMMYFUNCTION("GOOGLETRANSLATE(E4314,""zh-CN"",""vi"")"),"Thưa con lắc, khách hàng đã đánh rơi đồ trang sức bằng vàng theo hướng nào? (Để được xem bói bài tarot)")</f>
        <v>Thưa con lắc, khách hàng đã đánh rơi đồ trang sức bằng vàng theo hướng nào? (Để được xem bói bài tarot)</v>
      </c>
      <c r="H4314" s="8"/>
      <c r="I4314" s="8"/>
      <c r="J4314" s="8"/>
    </row>
    <row r="4315" ht="21.0" customHeight="1">
      <c r="A4315" s="6">
        <v>1.0</v>
      </c>
      <c r="B4315" s="6">
        <v>323.0</v>
      </c>
      <c r="C4315" s="6">
        <v>6.0</v>
      </c>
      <c r="D4315" s="95" t="s">
        <v>7388</v>
      </c>
      <c r="E4315" s="11" t="s">
        <v>7389</v>
      </c>
      <c r="F4315" s="8" t="str">
        <f>IFERROR(__xludf.DUMMYFUNCTION("GOOGLETRANSLATE(D4315,""zh-CN"",""vi"")"),"bói bài Tarot")</f>
        <v>bói bài Tarot</v>
      </c>
      <c r="G4315" s="8" t="str">
        <f>IFERROR(__xludf.DUMMYFUNCTION("GOOGLETRANSLATE(E4315,""zh-CN"",""vi"")"),"Hãy hé nhìn vận mệnh của khách mời giữa vô số lá bài. Kết hợp chúng để nhận được phần thưởng Totoro.")</f>
        <v>Hãy hé nhìn vận mệnh của khách mời giữa vô số lá bài. Kết hợp chúng để nhận được phần thưởng Totoro.</v>
      </c>
      <c r="H4315" s="8"/>
      <c r="I4315" s="8"/>
      <c r="J4315" s="8"/>
    </row>
    <row r="4316" ht="21.0" customHeight="1">
      <c r="A4316" s="6">
        <v>1.0</v>
      </c>
      <c r="B4316" s="6">
        <v>323.0</v>
      </c>
      <c r="C4316" s="6">
        <v>7.0</v>
      </c>
      <c r="D4316" s="95" t="s">
        <v>7390</v>
      </c>
      <c r="E4316" s="11" t="s">
        <v>7391</v>
      </c>
      <c r="F4316" s="8" t="str">
        <f>IFERROR(__xludf.DUMMYFUNCTION("GOOGLETRANSLATE(D4316,""zh-CN"",""vi"")"),"Giao hàng Totoro")</f>
        <v>Giao hàng Totoro</v>
      </c>
      <c r="G4316" s="8" t="str">
        <f>IFERROR(__xludf.DUMMYFUNCTION("GOOGLETRANSLATE(E4316,""zh-CN"",""vi"")"),"Mỗi tuần, tôi đều nhờ Totoro mang những loại thuốc tôi pha chế đến cho khách của mình. (Khả năng tổng hợp cho phép vận chuyển bằng đường không).")</f>
        <v>Mỗi tuần, tôi đều nhờ Totoro mang những loại thuốc tôi pha chế đến cho khách của mình. (Khả năng tổng hợp cho phép vận chuyển bằng đường không).</v>
      </c>
      <c r="H4316" s="8"/>
      <c r="I4316" s="8"/>
      <c r="J4316" s="8"/>
    </row>
    <row r="4317" ht="21.0" customHeight="1">
      <c r="A4317" s="6">
        <v>1.0</v>
      </c>
      <c r="B4317" s="6">
        <v>323.0</v>
      </c>
      <c r="C4317" s="6">
        <v>8.0</v>
      </c>
      <c r="D4317" s="95" t="s">
        <v>7392</v>
      </c>
      <c r="E4317" s="11" t="s">
        <v>7393</v>
      </c>
      <c r="F4317" s="8" t="str">
        <f>IFERROR(__xludf.DUMMYFUNCTION("GOOGLETRANSLATE(D4317,""zh-CN"",""vi"")"),"Vận chuyển bằng chuyến bay")</f>
        <v>Vận chuyển bằng chuyến bay</v>
      </c>
      <c r="G4317" s="8" t="str">
        <f>IFERROR(__xludf.DUMMYFUNCTION("GOOGLETRANSLATE(E4317,""zh-CN"",""vi"")"),"Giao hàng tận nơi cho khách hàng ở vùng sâu vùng xa. Tất nhiên, sẽ có thêm phí vận chuyển. Sử dụng xe máy chạy bằng năng lượng ma thuật để giao hàng.")</f>
        <v>Giao hàng tận nơi cho khách hàng ở vùng sâu vùng xa. Tất nhiên, sẽ có thêm phí vận chuyển. Sử dụng xe máy chạy bằng năng lượng ma thuật để giao hàng.</v>
      </c>
      <c r="H4317" s="8"/>
      <c r="I4317" s="8"/>
      <c r="J4317" s="8"/>
    </row>
    <row r="4318" ht="21.0" customHeight="1">
      <c r="A4318" s="6">
        <v>1.0</v>
      </c>
      <c r="B4318" s="6">
        <v>323.0</v>
      </c>
      <c r="C4318" s="6">
        <v>9.0</v>
      </c>
      <c r="D4318" s="95" t="s">
        <v>7394</v>
      </c>
      <c r="E4318" s="11" t="s">
        <v>7395</v>
      </c>
      <c r="F4318" s="8" t="str">
        <f>IFERROR(__xludf.DUMMYFUNCTION("GOOGLETRANSLATE(D4318,""zh-CN"",""vi"")"),"Dịch vụ giao hàng bằng xe máy thần kỳ")</f>
        <v>Dịch vụ giao hàng bằng xe máy thần kỳ</v>
      </c>
      <c r="G4318" s="8" t="str">
        <f>IFERROR(__xludf.DUMMYFUNCTION("GOOGLETRANSLATE(E4318,""zh-CN"",""vi"")"),"Đây là xe của Bưu điện Vương quốc; tôi cũng rất muốn mua một chiếc! (Tổng hợp để có được giấy luyện kim hợp tác)")</f>
        <v>Đây là xe của Bưu điện Vương quốc; tôi cũng rất muốn mua một chiếc! (Tổng hợp để có được giấy luyện kim hợp tác)</v>
      </c>
      <c r="H4318" s="8"/>
      <c r="I4318" s="8"/>
      <c r="J4318" s="8"/>
    </row>
    <row r="4319" ht="21.0" customHeight="1">
      <c r="A4319" s="6">
        <v>1.0</v>
      </c>
      <c r="B4319" s="6">
        <v>323.0</v>
      </c>
      <c r="C4319" s="6">
        <v>10.0</v>
      </c>
      <c r="D4319" s="95" t="s">
        <v>7396</v>
      </c>
      <c r="E4319" s="11" t="s">
        <v>7397</v>
      </c>
      <c r="F4319" s="8" t="str">
        <f>IFERROR(__xludf.DUMMYFUNCTION("GOOGLETRANSLATE(D4319,""zh-CN"",""vi"")"),"Hợp tác luận văn giả kim thuật")</f>
        <v>Hợp tác luận văn giả kim thuật</v>
      </c>
      <c r="G4319" s="8" t="str">
        <f>IFERROR(__xludf.DUMMYFUNCTION("GOOGLETRANSLATE(E4319,""zh-CN"",""vi"")"),"Chúng tôi sẵn lòng giúp đỡ các sinh viên năm nhất tốt nghiệp với một khoản phí nhỏ. (Điều này liên quan đến một dự án hợp tác nhằm lấy luận văn về pha chế thuốc.)")</f>
        <v>Chúng tôi sẵn lòng giúp đỡ các sinh viên năm nhất tốt nghiệp với một khoản phí nhỏ. (Điều này liên quan đến một dự án hợp tác nhằm lấy luận văn về pha chế thuốc.)</v>
      </c>
      <c r="H4319" s="8"/>
      <c r="I4319" s="8"/>
      <c r="J4319" s="8"/>
    </row>
    <row r="4320" ht="21.0" customHeight="1">
      <c r="A4320" s="6">
        <v>1.0</v>
      </c>
      <c r="B4320" s="6">
        <v>323.0</v>
      </c>
      <c r="C4320" s="6">
        <v>11.0</v>
      </c>
      <c r="D4320" s="95" t="s">
        <v>7398</v>
      </c>
      <c r="E4320" s="11" t="s">
        <v>7399</v>
      </c>
      <c r="F4320" s="8" t="str">
        <f>IFERROR(__xludf.DUMMYFUNCTION("GOOGLETRANSLATE(D4320,""zh-CN"",""vi"")"),"Luận văn hợp tác về Dược phẩm")</f>
        <v>Luận văn hợp tác về Dược phẩm</v>
      </c>
      <c r="G4320" s="8" t="str">
        <f>IFERROR(__xludf.DUMMYFUNCTION("GOOGLETRANSLATE(E4320,""zh-CN"",""vi"")"),"Chúng tôi rất giỏi pha chế thuốc, và đó là lý do chúng tôi được trả lương cao nhất! (Chúng tôi cũng hợp tác trong việc tổng hợp các bài báo về chiêm tinh học.)")</f>
        <v>Chúng tôi rất giỏi pha chế thuốc, và đó là lý do chúng tôi được trả lương cao nhất! (Chúng tôi cũng hợp tác trong việc tổng hợp các bài báo về chiêm tinh học.)</v>
      </c>
      <c r="H4320" s="8"/>
      <c r="I4320" s="8"/>
      <c r="J4320" s="8"/>
    </row>
    <row r="4321" ht="21.0" customHeight="1">
      <c r="A4321" s="6">
        <v>1.0</v>
      </c>
      <c r="B4321" s="6">
        <v>323.0</v>
      </c>
      <c r="C4321" s="6">
        <v>12.0</v>
      </c>
      <c r="D4321" s="95" t="s">
        <v>7400</v>
      </c>
      <c r="E4321" s="11" t="s">
        <v>7401</v>
      </c>
      <c r="F4321" s="8" t="str">
        <f>IFERROR(__xludf.DUMMYFUNCTION("GOOGLETRANSLATE(D4321,""zh-CN"",""vi"")"),"Hợp tác viết bài luận về chiêm tinh học")</f>
        <v>Hợp tác viết bài luận về chiêm tinh học</v>
      </c>
      <c r="G4321" s="8" t="str">
        <f>IFERROR(__xludf.DUMMYFUNCTION("GOOGLETRANSLATE(E4321,""zh-CN"",""vi"")"),"Trong quá trình viết luận án, tôi không khỏi cảm thấy một nỗi khát khao vô bờ bến hướng về bầu trời đầy sao bao la. (Tổng hợp để có được sự hợp tác trong việc triệu hồi luận án)")</f>
        <v>Trong quá trình viết luận án, tôi không khỏi cảm thấy một nỗi khát khao vô bờ bến hướng về bầu trời đầy sao bao la. (Tổng hợp để có được sự hợp tác trong việc triệu hồi luận án)</v>
      </c>
      <c r="H4321" s="8"/>
      <c r="I4321" s="8"/>
      <c r="J4321" s="8"/>
    </row>
    <row r="4322" ht="21.0" customHeight="1">
      <c r="A4322" s="6">
        <v>1.0</v>
      </c>
      <c r="B4322" s="6">
        <v>323.0</v>
      </c>
      <c r="C4322" s="6">
        <v>13.0</v>
      </c>
      <c r="D4322" s="95" t="s">
        <v>7402</v>
      </c>
      <c r="E4322" s="11" t="s">
        <v>7403</v>
      </c>
      <c r="F4322" s="8" t="str">
        <f>IFERROR(__xludf.DUMMYFUNCTION("GOOGLETRANSLATE(D4322,""zh-CN"",""vi"")"),"Hợp tác viết luận văn")</f>
        <v>Hợp tác viết luận văn</v>
      </c>
      <c r="G4322" s="8" t="str">
        <f>IFERROR(__xludf.DUMMYFUNCTION("GOOGLETRANSLATE(E4322,""zh-CN"",""vi"")"),"Chắc chắn không phải lỗi của tôi khi vô tình bỏ kẹo vào vòng tròn ma thuật đâu~ Chúng đã được tổng hợp đến cấp độ cao nhất rồi.")</f>
        <v>Chắc chắn không phải lỗi của tôi khi vô tình bỏ kẹo vào vòng tròn ma thuật đâu~ Chúng đã được tổng hợp đến cấp độ cao nhất rồi.</v>
      </c>
      <c r="H4322" s="8"/>
      <c r="I4322" s="8"/>
      <c r="J4322" s="8"/>
    </row>
    <row r="4323" ht="21.0" customHeight="1">
      <c r="A4323" s="6">
        <v>1.0</v>
      </c>
      <c r="B4323" s="6">
        <v>324.0</v>
      </c>
      <c r="C4323" s="6">
        <v>1.0</v>
      </c>
      <c r="D4323" s="95" t="s">
        <v>7404</v>
      </c>
      <c r="E4323" s="11" t="s">
        <v>7405</v>
      </c>
      <c r="F4323" s="8" t="str">
        <f>IFERROR(__xludf.DUMMYFUNCTION("GOOGLETRANSLATE(D4323,""zh-CN"",""vi"")"),"Một tách trà đã sống dậy")</f>
        <v>Một tách trà đã sống dậy</v>
      </c>
      <c r="G4323" s="8" t="str">
        <f>IFERROR(__xludf.DUMMYFUNCTION("GOOGLETRANSLATE(E4323,""zh-CN"",""vi"")"),"Một chiếc tách trà cổ từ học viện ma thuật, được truyền năng lượng tâm linh, đã trở thành một linh hồn. Khi kết hợp lại, chúng tạo ra một loại kem mang hương vị linh hồn.")</f>
        <v>Một chiếc tách trà cổ từ học viện ma thuật, được truyền năng lượng tâm linh, đã trở thành một linh hồn. Khi kết hợp lại, chúng tạo ra một loại kem mang hương vị linh hồn.</v>
      </c>
      <c r="H4323" s="8"/>
      <c r="I4323" s="8"/>
      <c r="J4323" s="8"/>
    </row>
    <row r="4324" ht="21.0" customHeight="1">
      <c r="A4324" s="6">
        <v>1.0</v>
      </c>
      <c r="B4324" s="6">
        <v>324.0</v>
      </c>
      <c r="C4324" s="6">
        <v>2.0</v>
      </c>
      <c r="D4324" s="95" t="s">
        <v>7406</v>
      </c>
      <c r="E4324" s="11" t="s">
        <v>7407</v>
      </c>
      <c r="F4324" s="8" t="str">
        <f>IFERROR(__xludf.DUMMYFUNCTION("GOOGLETRANSLATE(D4324,""zh-CN"",""vi"")"),"Kem lạnh đã trở nên sống động")</f>
        <v>Kem lạnh đã trở nên sống động</v>
      </c>
      <c r="G4324" s="8" t="str">
        <f>IFERROR(__xludf.DUMMYFUNCTION("GOOGLETRANSLATE(E4324,""zh-CN"",""vi"")"),"Tương truyền nó được tạo ra do một tai nạn trong quá trình luyện kim. Nó được tổng hợp để thu được sữa có tri giác.")</f>
        <v>Tương truyền nó được tạo ra do một tai nạn trong quá trình luyện kim. Nó được tổng hợp để thu được sữa có tri giác.</v>
      </c>
      <c r="H4324" s="8"/>
      <c r="I4324" s="8"/>
      <c r="J4324" s="8"/>
    </row>
    <row r="4325" ht="21.0" customHeight="1">
      <c r="A4325" s="6">
        <v>1.0</v>
      </c>
      <c r="B4325" s="6">
        <v>324.0</v>
      </c>
      <c r="C4325" s="6">
        <v>3.0</v>
      </c>
      <c r="D4325" s="95" t="s">
        <v>7408</v>
      </c>
      <c r="E4325" s="11" t="s">
        <v>7409</v>
      </c>
      <c r="F4325" s="8" t="str">
        <f>IFERROR(__xludf.DUMMYFUNCTION("GOOGLETRANSLATE(D4325,""zh-CN"",""vi"")"),"Sữa đã trở nên có tri giác")</f>
        <v>Sữa đã trở nên có tri giác</v>
      </c>
      <c r="G4325" s="8" t="str">
        <f>IFERROR(__xludf.DUMMYFUNCTION("GOOGLETRANSLATE(E4325,""zh-CN"",""vi"")"),"Nó tự động rót sữa cho tôi mỗi sáng! Bạn có thể tổng hợp nó để tạo ra một Cô gái Chuột.")</f>
        <v>Nó tự động rót sữa cho tôi mỗi sáng! Bạn có thể tổng hợp nó để tạo ra một Cô gái Chuột.</v>
      </c>
      <c r="H4325" s="8"/>
      <c r="I4325" s="8"/>
      <c r="J4325" s="8"/>
    </row>
    <row r="4326" ht="21.0" customHeight="1">
      <c r="A4326" s="6">
        <v>1.0</v>
      </c>
      <c r="B4326" s="6">
        <v>324.0</v>
      </c>
      <c r="C4326" s="6">
        <v>4.0</v>
      </c>
      <c r="D4326" s="95" t="s">
        <v>7410</v>
      </c>
      <c r="E4326" s="11" t="s">
        <v>7411</v>
      </c>
      <c r="F4326" s="8" t="str">
        <f>IFERROR(__xludf.DUMMYFUNCTION("GOOGLETRANSLATE(D4326,""zh-CN"",""vi"")"),"cô gái chuột")</f>
        <v>cô gái chuột</v>
      </c>
      <c r="G4326" s="8" t="str">
        <f>IFERROR(__xludf.DUMMYFUNCTION("GOOGLETRANSLATE(E4326,""zh-CN"",""vi"")"),"Cô ấy luôn nhờ tôi tìm hiểu tung tích người yêu cũ của cô ấy. (Đây là bản dịch một phần của thành ngữ Trung Quốc, ""được tổng hợp để có được một tay cờ bạc xảo quyệt."")")</f>
        <v>Cô ấy luôn nhờ tôi tìm hiểu tung tích người yêu cũ của cô ấy. (Đây là bản dịch một phần của thành ngữ Trung Quốc, "được tổng hợp để có được một tay cờ bạc xảo quyệt.")</v>
      </c>
      <c r="H4326" s="8"/>
      <c r="I4326" s="8"/>
      <c r="J4326" s="8"/>
    </row>
    <row r="4327" ht="21.0" customHeight="1">
      <c r="A4327" s="6">
        <v>1.0</v>
      </c>
      <c r="B4327" s="6">
        <v>324.0</v>
      </c>
      <c r="C4327" s="6">
        <v>5.0</v>
      </c>
      <c r="D4327" s="95" t="s">
        <v>7412</v>
      </c>
      <c r="E4327" s="11" t="s">
        <v>7413</v>
      </c>
      <c r="F4327" s="8" t="str">
        <f>IFERROR(__xludf.DUMMYFUNCTION("GOOGLETRANSLATE(D4327,""zh-CN"",""vi"")"),"người đánh bạc xảo quyệt")</f>
        <v>người đánh bạc xảo quyệt</v>
      </c>
      <c r="G4327" s="8" t="str">
        <f>IFERROR(__xludf.DUMMYFUNCTION("GOOGLETRANSLATE(E4327,""zh-CN"",""vi"")"),"Những người đến chỗ chúng tôi để xem bói về kết quả đánh bạc hôm nay hiếm khi nhận được kết quả như mong muốn. (Tổng hợp lại để có được Otaku)")</f>
        <v>Những người đến chỗ chúng tôi để xem bói về kết quả đánh bạc hôm nay hiếm khi nhận được kết quả như mong muốn. (Tổng hợp lại để có được Otaku)</v>
      </c>
      <c r="H4327" s="8"/>
      <c r="I4327" s="8"/>
      <c r="J4327" s="8"/>
    </row>
    <row r="4328" ht="21.0" customHeight="1">
      <c r="A4328" s="6">
        <v>1.0</v>
      </c>
      <c r="B4328" s="6">
        <v>324.0</v>
      </c>
      <c r="C4328" s="6">
        <v>6.0</v>
      </c>
      <c r="D4328" s="95" t="s">
        <v>7414</v>
      </c>
      <c r="E4328" s="11" t="s">
        <v>7415</v>
      </c>
      <c r="F4328" s="8" t="str">
        <f>IFERROR(__xludf.DUMMYFUNCTION("GOOGLETRANSLATE(D4328,""zh-CN"",""vi"")"),"Otaku")</f>
        <v>Otaku</v>
      </c>
      <c r="G4328" s="8" t="str">
        <f>IFERROR(__xludf.DUMMYFUNCTION("GOOGLETRANSLATE(E4328,""zh-CN"",""vi"")"),"Anh ta thường xuyên mua các loại thuốc tăng cường sức mạnh trong khi ăn, được cho là để tiết kiệm thời gian chơi game. Anh ta chế tạo con tàu Explorer.")</f>
        <v>Anh ta thường xuyên mua các loại thuốc tăng cường sức mạnh trong khi ăn, được cho là để tiết kiệm thời gian chơi game. Anh ta chế tạo con tàu Explorer.</v>
      </c>
      <c r="H4328" s="8"/>
      <c r="I4328" s="8"/>
      <c r="J4328" s="8"/>
    </row>
    <row r="4329" ht="21.0" customHeight="1">
      <c r="A4329" s="6">
        <v>1.0</v>
      </c>
      <c r="B4329" s="6">
        <v>324.0</v>
      </c>
      <c r="C4329" s="6">
        <v>7.0</v>
      </c>
      <c r="D4329" s="95" t="s">
        <v>7416</v>
      </c>
      <c r="E4329" s="11" t="s">
        <v>7417</v>
      </c>
      <c r="F4329" s="8" t="str">
        <f>IFERROR(__xludf.DUMMYFUNCTION("GOOGLETRANSLATE(D4329,""zh-CN"",""vi"")"),"nhà thám hiểm")</f>
        <v>nhà thám hiểm</v>
      </c>
      <c r="G4329" s="8" t="str">
        <f>IFERROR(__xludf.DUMMYFUNCTION("GOOGLETRANSLATE(E4329,""zh-CN"",""vi"")"),"Cô ấy rất thích các loại thuốc giúp cải thiện thị lực và chữa bệnh, và rất hào phóng về tiền bạc. Một cô gái bí ẩn được tạo ra thông qua quá trình tổng hợp.")</f>
        <v>Cô ấy rất thích các loại thuốc giúp cải thiện thị lực và chữa bệnh, và rất hào phóng về tiền bạc. Một cô gái bí ẩn được tạo ra thông qua quá trình tổng hợp.</v>
      </c>
      <c r="H4329" s="8"/>
      <c r="I4329" s="8"/>
      <c r="J4329" s="8"/>
    </row>
    <row r="4330" ht="21.0" customHeight="1">
      <c r="A4330" s="6">
        <v>1.0</v>
      </c>
      <c r="B4330" s="6">
        <v>324.0</v>
      </c>
      <c r="C4330" s="6">
        <v>8.0</v>
      </c>
      <c r="D4330" s="95" t="s">
        <v>7418</v>
      </c>
      <c r="E4330" s="11" t="s">
        <v>7419</v>
      </c>
      <c r="F4330" s="8" t="str">
        <f>IFERROR(__xludf.DUMMYFUNCTION("GOOGLETRANSLATE(D4330,""zh-CN"",""vi"")"),"Cô gái bí ẩn")</f>
        <v>Cô gái bí ẩn</v>
      </c>
      <c r="G4330" s="8" t="str">
        <f>IFERROR(__xludf.DUMMYFUNCTION("GOOGLETRANSLATE(E4330,""zh-CN"",""vi"")"),"Cô ấy có vẻ khá giàu có; cô ấy mua bất cứ thứ gì chúng tôi giới thiệu. (Tổng hợp để có được một cô gái cáo)")</f>
        <v>Cô ấy có vẻ khá giàu có; cô ấy mua bất cứ thứ gì chúng tôi giới thiệu. (Tổng hợp để có được một cô gái cáo)</v>
      </c>
      <c r="H4330" s="8"/>
      <c r="I4330" s="8"/>
      <c r="J4330" s="8"/>
    </row>
    <row r="4331" ht="21.0" customHeight="1">
      <c r="A4331" s="6">
        <v>1.0</v>
      </c>
      <c r="B4331" s="6">
        <v>324.0</v>
      </c>
      <c r="C4331" s="6">
        <v>9.0</v>
      </c>
      <c r="D4331" s="95" t="s">
        <v>7420</v>
      </c>
      <c r="E4331" s="11" t="s">
        <v>7421</v>
      </c>
      <c r="F4331" s="8" t="str">
        <f>IFERROR(__xludf.DUMMYFUNCTION("GOOGLETRANSLATE(D4331,""zh-CN"",""vi"")"),"cô gái cáo")</f>
        <v>cô gái cáo</v>
      </c>
      <c r="G4331" s="8" t="str">
        <f>IFERROR(__xludf.DUMMYFUNCTION("GOOGLETRANSLATE(E4331,""zh-CN"",""vi"")"),"Họ đã đặt mua một lượng lớn nước hoa, thuốc ma thuật, v.v. từ chúng tôi. Chúng tôi có thể tổng hợp những thứ này để tạo ra một cô hầu gái mèo.")</f>
        <v>Họ đã đặt mua một lượng lớn nước hoa, thuốc ma thuật, v.v. từ chúng tôi. Chúng tôi có thể tổng hợp những thứ này để tạo ra một cô hầu gái mèo.</v>
      </c>
      <c r="H4331" s="8"/>
      <c r="I4331" s="8"/>
      <c r="J4331" s="8"/>
    </row>
    <row r="4332" ht="21.0" customHeight="1">
      <c r="A4332" s="6">
        <v>1.0</v>
      </c>
      <c r="B4332" s="6">
        <v>324.0</v>
      </c>
      <c r="C4332" s="6">
        <v>10.0</v>
      </c>
      <c r="D4332" s="95" t="s">
        <v>7422</v>
      </c>
      <c r="E4332" s="11" t="s">
        <v>7423</v>
      </c>
      <c r="F4332" s="8" t="str">
        <f>IFERROR(__xludf.DUMMYFUNCTION("GOOGLETRANSLATE(D4332,""zh-CN"",""vi"")"),"Cô hầu gái mèo")</f>
        <v>Cô hầu gái mèo</v>
      </c>
      <c r="G4332" s="8" t="str">
        <f>IFERROR(__xludf.DUMMYFUNCTION("GOOGLETRANSLATE(E4332,""zh-CN"",""vi"")"),"Mua một lượng lớn vật phẩm ma thuật cho trang viên. Tổng hợp các vật phẩm này để có được Cô gái Kỳ lân.")</f>
        <v>Mua một lượng lớn vật phẩm ma thuật cho trang viên. Tổng hợp các vật phẩm này để có được Cô gái Kỳ lân.</v>
      </c>
      <c r="H4332" s="8"/>
      <c r="I4332" s="8"/>
      <c r="J4332" s="8"/>
    </row>
    <row r="4333" ht="21.0" customHeight="1">
      <c r="A4333" s="6">
        <v>1.0</v>
      </c>
      <c r="B4333" s="6">
        <v>324.0</v>
      </c>
      <c r="C4333" s="6">
        <v>11.0</v>
      </c>
      <c r="D4333" s="95" t="s">
        <v>7424</v>
      </c>
      <c r="E4333" s="11" t="s">
        <v>7425</v>
      </c>
      <c r="F4333" s="8" t="str">
        <f>IFERROR(__xludf.DUMMYFUNCTION("GOOGLETRANSLATE(D4333,""zh-CN"",""vi"")"),"Cô gái Kỳ lân")</f>
        <v>Cô gái Kỳ lân</v>
      </c>
      <c r="G4333" s="8" t="str">
        <f>IFERROR(__xludf.DUMMYFUNCTION("GOOGLETRANSLATE(E4333,""zh-CN"",""vi"")"),"Cô ấy đang hỏi chúng ta về một số nguyên liệu quý giá; liệu cô ấy sắp tiến hóa? (Tổng hợp để tạo ra Ác quỷ Punk)")</f>
        <v>Cô ấy đang hỏi chúng ta về một số nguyên liệu quý giá; liệu cô ấy sắp tiến hóa? (Tổng hợp để tạo ra Ác quỷ Punk)</v>
      </c>
      <c r="H4333" s="8"/>
      <c r="I4333" s="8"/>
      <c r="J4333" s="8"/>
    </row>
    <row r="4334" ht="21.0" customHeight="1">
      <c r="A4334" s="6">
        <v>1.0</v>
      </c>
      <c r="B4334" s="6">
        <v>324.0</v>
      </c>
      <c r="C4334" s="6">
        <v>12.0</v>
      </c>
      <c r="D4334" s="95" t="s">
        <v>7426</v>
      </c>
      <c r="E4334" s="11" t="s">
        <v>7427</v>
      </c>
      <c r="F4334" s="8" t="str">
        <f>IFERROR(__xludf.DUMMYFUNCTION("GOOGLETRANSLATE(D4334,""zh-CN"",""vi"")"),"Quỷ Punk")</f>
        <v>Quỷ Punk</v>
      </c>
      <c r="G4334" s="8" t="str">
        <f>IFERROR(__xludf.DUMMYFUNCTION("GOOGLETRANSLATE(E4334,""zh-CN"",""vi"")"),"Họ đã thành lập một ban nhạc và là những ngôi sao lớn trong thị trấn! (Thông tin cá nhân của khách sẽ không được tiết lộ.) Tổng hợp để có được một Cô gái Thiên thần.")</f>
        <v>Họ đã thành lập một ban nhạc và là những ngôi sao lớn trong thị trấn! (Thông tin cá nhân của khách sẽ không được tiết lộ.) Tổng hợp để có được một Cô gái Thiên thần.</v>
      </c>
      <c r="H4334" s="8"/>
      <c r="I4334" s="8"/>
      <c r="J4334" s="8"/>
    </row>
    <row r="4335" ht="21.0" customHeight="1">
      <c r="A4335" s="6">
        <v>1.0</v>
      </c>
      <c r="B4335" s="6">
        <v>324.0</v>
      </c>
      <c r="C4335" s="6">
        <v>13.0</v>
      </c>
      <c r="D4335" s="95" t="s">
        <v>7428</v>
      </c>
      <c r="E4335" s="11" t="s">
        <v>7429</v>
      </c>
      <c r="F4335" s="8" t="str">
        <f>IFERROR(__xludf.DUMMYFUNCTION("GOOGLETRANSLATE(D4335,""zh-CN"",""vi"")"),"Cô gái thiên thần")</f>
        <v>Cô gái thiên thần</v>
      </c>
      <c r="G4335" s="8" t="str">
        <f>IFERROR(__xludf.DUMMYFUNCTION("GOOGLETRANSLATE(E4335,""zh-CN"",""vi"")"),"Một nhân vật cấp cao từ vương quốc đã mang lại sự gia tăng đáng kể lượng khách hàng đến cửa hàng của chúng ta! (Đã đạt cấp độ 100.)")</f>
        <v>Một nhân vật cấp cao từ vương quốc đã mang lại sự gia tăng đáng kể lượng khách hàng đến cửa hàng của chúng ta! (Đã đạt cấp độ 100.)</v>
      </c>
      <c r="H4335" s="8"/>
      <c r="I4335" s="8"/>
      <c r="J4335" s="8"/>
    </row>
    <row r="4336" ht="21.0" customHeight="1">
      <c r="A4336" s="6">
        <v>11.0</v>
      </c>
      <c r="B4336" s="6">
        <v>2011.0</v>
      </c>
      <c r="C4336" s="6">
        <v>1.0</v>
      </c>
      <c r="D4336" s="80" t="s">
        <v>7430</v>
      </c>
      <c r="E4336" s="19" t="s">
        <v>7431</v>
      </c>
      <c r="F4336" s="8" t="str">
        <f>IFERROR(__xludf.DUMMYFUNCTION("GOOGLETRANSLATE(D4336,""zh-CN"",""vi"")"),"Chiếc mũ phân loại")</f>
        <v>Chiếc mũ phân loại</v>
      </c>
      <c r="G4336" s="8" t="str">
        <f>IFERROR(__xludf.DUMMYFUNCTION("GOOGLETRANSLATE(E4336,""zh-CN"",""vi"")"),"Hệ thống này đánh giá trình độ của từng học sinh và phân bổ họ vào một học viện. Học sinh sẽ tổng hợp các huy hiệu của học viện.")</f>
        <v>Hệ thống này đánh giá trình độ của từng học sinh và phân bổ họ vào một học viện. Học sinh sẽ tổng hợp các huy hiệu của học viện.</v>
      </c>
      <c r="H4336" s="8"/>
      <c r="I4336" s="8"/>
      <c r="J4336" s="8"/>
    </row>
    <row r="4337" ht="21.0" customHeight="1">
      <c r="A4337" s="6">
        <v>11.0</v>
      </c>
      <c r="B4337" s="6">
        <v>2011.0</v>
      </c>
      <c r="C4337" s="6">
        <v>2.0</v>
      </c>
      <c r="D4337" s="80" t="s">
        <v>7432</v>
      </c>
      <c r="E4337" s="19" t="s">
        <v>7433</v>
      </c>
      <c r="F4337" s="8" t="str">
        <f>IFERROR(__xludf.DUMMYFUNCTION("GOOGLETRANSLATE(D4337,""zh-CN"",""vi"")"),"Huy hiệu trường đại học")</f>
        <v>Huy hiệu trường đại học</v>
      </c>
      <c r="G4337" s="8" t="str">
        <f>IFERROR(__xludf.DUMMYFUNCTION("GOOGLETRANSLATE(E4337,""zh-CN"",""vi"")"),"Mỗi học viện đều có biểu tượng riêng biệt. Kết hợp chúng để tạo ra bảng ma thuật cá nhân của bạn.")</f>
        <v>Mỗi học viện đều có biểu tượng riêng biệt. Kết hợp chúng để tạo ra bảng ma thuật cá nhân của bạn.</v>
      </c>
      <c r="H4337" s="8"/>
      <c r="I4337" s="8"/>
      <c r="J4337" s="8"/>
    </row>
    <row r="4338" ht="21.0" customHeight="1">
      <c r="A4338" s="6">
        <v>11.0</v>
      </c>
      <c r="B4338" s="6">
        <v>2011.0</v>
      </c>
      <c r="C4338" s="6">
        <v>3.0</v>
      </c>
      <c r="D4338" s="80" t="s">
        <v>7434</v>
      </c>
      <c r="E4338" s="19" t="s">
        <v>7435</v>
      </c>
      <c r="F4338" s="8" t="str">
        <f>IFERROR(__xludf.DUMMYFUNCTION("GOOGLETRANSLATE(D4338,""zh-CN"",""vi"")"),"Bàn ma thuật cá nhân")</f>
        <v>Bàn ma thuật cá nhân</v>
      </c>
      <c r="G4338" s="8" t="str">
        <f>IFERROR(__xludf.DUMMYFUNCTION("GOOGLETRANSLATE(E4338,""zh-CN"",""vi"")"),"Nó sẽ đồng hành cùng mỗi pháp sư ít nhất mười năm. Hãy chế tạo nó để có được một lò sưởi ma thuật.")</f>
        <v>Nó sẽ đồng hành cùng mỗi pháp sư ít nhất mười năm. Hãy chế tạo nó để có được một lò sưởi ma thuật.</v>
      </c>
      <c r="H4338" s="8"/>
      <c r="I4338" s="8"/>
      <c r="J4338" s="8"/>
    </row>
    <row r="4339" ht="21.0" customHeight="1">
      <c r="A4339" s="6">
        <v>11.0</v>
      </c>
      <c r="B4339" s="6">
        <v>2011.0</v>
      </c>
      <c r="C4339" s="6">
        <v>4.0</v>
      </c>
      <c r="D4339" s="82" t="s">
        <v>7436</v>
      </c>
      <c r="E4339" s="19" t="s">
        <v>7437</v>
      </c>
      <c r="F4339" s="8" t="str">
        <f>IFERROR(__xludf.DUMMYFUNCTION("GOOGLETRANSLATE(D4339,""zh-CN"",""vi"")"),"Lò luyện kim")</f>
        <v>Lò luyện kim</v>
      </c>
      <c r="G4339" s="8" t="str">
        <f>IFERROR(__xludf.DUMMYFUNCTION("GOOGLETRANSLATE(E4339,""zh-CN"",""vi"")"),"An toàn quan trọng hơn khả năng tinh luyện. Từ đó, người ta có thể tạo ra một cái bục giảng.")</f>
        <v>An toàn quan trọng hơn khả năng tinh luyện. Từ đó, người ta có thể tạo ra một cái bục giảng.</v>
      </c>
      <c r="H4339" s="8"/>
      <c r="I4339" s="8"/>
      <c r="J4339" s="8"/>
    </row>
    <row r="4340" ht="21.0" customHeight="1">
      <c r="A4340" s="6">
        <v>10.0</v>
      </c>
      <c r="B4340" s="6">
        <v>2011.0</v>
      </c>
      <c r="C4340" s="6">
        <v>5.0</v>
      </c>
      <c r="D4340" s="82" t="s">
        <v>7438</v>
      </c>
      <c r="E4340" s="19" t="s">
        <v>7439</v>
      </c>
      <c r="F4340" s="8" t="str">
        <f>IFERROR(__xludf.DUMMYFUNCTION("GOOGLETRANSLATE(D4340,""zh-CN"",""vi"")"),"Diễn đàn bài giảng")</f>
        <v>Diễn đàn bài giảng</v>
      </c>
      <c r="G4340" s="8" t="str">
        <f>IFERROR(__xludf.DUMMYFUNCTION("GOOGLETRANSLATE(E4340,""zh-CN"",""vi"")"),"Qua nhiều năm giảng dạy, bục giảng đã trở nên thấm đẫm linh hồn. (Có thể tạo ra một lò sưởi ma thuật bằng cách kết hợp các yếu tố từ đây.)")</f>
        <v>Qua nhiều năm giảng dạy, bục giảng đã trở nên thấm đẫm linh hồn. (Có thể tạo ra một lò sưởi ma thuật bằng cách kết hợp các yếu tố từ đây.)</v>
      </c>
      <c r="H4340" s="8"/>
      <c r="I4340" s="8"/>
      <c r="J4340" s="8"/>
    </row>
    <row r="4341" ht="21.0" customHeight="1">
      <c r="A4341" s="6">
        <v>10.0</v>
      </c>
      <c r="B4341" s="6">
        <v>2011.0</v>
      </c>
      <c r="C4341" s="6">
        <v>6.0</v>
      </c>
      <c r="D4341" s="82" t="s">
        <v>7440</v>
      </c>
      <c r="E4341" s="9" t="s">
        <v>7441</v>
      </c>
      <c r="F4341" s="8" t="str">
        <f>IFERROR(__xludf.DUMMYFUNCTION("GOOGLETRANSLATE(D4341,""zh-CN"",""vi"")"),"Lò sưởi ma thuật")</f>
        <v>Lò sưởi ma thuật</v>
      </c>
      <c r="G4341" s="8" t="str">
        <f>IFERROR(__xludf.DUMMYFUNCTION("GOOGLETRANSLATE(E4341,""zh-CN"",""vi"")"),"Một bảo vật siêu việt kết hợp chức năng liên lạc và di chuyển! Hãy chế tạo nó để có được Ngôi nhà Cỏ Thần Kỳ.")</f>
        <v>Một bảo vật siêu việt kết hợp chức năng liên lạc và di chuyển! Hãy chế tạo nó để có được Ngôi nhà Cỏ Thần Kỳ.</v>
      </c>
      <c r="H4341" s="8"/>
      <c r="I4341" s="8"/>
      <c r="J4341" s="8"/>
    </row>
    <row r="4342" ht="21.0" customHeight="1">
      <c r="A4342" s="6">
        <v>10.0</v>
      </c>
      <c r="B4342" s="6">
        <v>2011.0</v>
      </c>
      <c r="C4342" s="6">
        <v>7.0</v>
      </c>
      <c r="D4342" s="82" t="s">
        <v>7442</v>
      </c>
      <c r="E4342" s="9" t="s">
        <v>7443</v>
      </c>
      <c r="F4342" s="8" t="str">
        <f>IFERROR(__xludf.DUMMYFUNCTION("GOOGLETRANSLATE(D4342,""zh-CN"",""vi"")"),"Kho của phù thủy")</f>
        <v>Kho của phù thủy</v>
      </c>
      <c r="G4342" s="8" t="str">
        <f>IFERROR(__xludf.DUMMYFUNCTION("GOOGLETRANSLATE(E4342,""zh-CN"",""vi"")"),"Sách, cuộn giấy, pha lê... đủ loại vật phẩm ngẫu nhiên! Kết hợp chúng để mở Cửa hàng Kỳ ảo.")</f>
        <v>Sách, cuộn giấy, pha lê... đủ loại vật phẩm ngẫu nhiên! Kết hợp chúng để mở Cửa hàng Kỳ ảo.</v>
      </c>
      <c r="H4342" s="8"/>
      <c r="I4342" s="8"/>
      <c r="J4342" s="8"/>
    </row>
    <row r="4343" ht="21.0" customHeight="1">
      <c r="A4343" s="6">
        <v>10.0</v>
      </c>
      <c r="B4343" s="6">
        <v>2011.0</v>
      </c>
      <c r="C4343" s="6">
        <v>8.0</v>
      </c>
      <c r="D4343" s="82" t="s">
        <v>7444</v>
      </c>
      <c r="E4343" s="19" t="s">
        <v>7445</v>
      </c>
      <c r="F4343" s="8" t="str">
        <f>IFERROR(__xludf.DUMMYFUNCTION("GOOGLETRANSLATE(D4343,""zh-CN"",""vi"")"),"Cửa hàng giả tưởng")</f>
        <v>Cửa hàng giả tưởng</v>
      </c>
      <c r="G4343" s="8" t="str">
        <f>IFERROR(__xludf.DUMMYFUNCTION("GOOGLETRANSLATE(E4343,""zh-CN"",""vi"")"),"Thuốc tăng trí tuệ 999 bán chạy nhất của chúng tôi đảm bảo điểm số hoàn hảo! Kết hợp nó để có được Ngôi nhà cỏ thần kỳ.")</f>
        <v>Thuốc tăng trí tuệ 999 bán chạy nhất của chúng tôi đảm bảo điểm số hoàn hảo! Kết hợp nó để có được Ngôi nhà cỏ thần kỳ.</v>
      </c>
      <c r="H4343" s="8"/>
      <c r="I4343" s="8"/>
      <c r="J4343" s="8"/>
    </row>
    <row r="4344" ht="21.0" customHeight="1">
      <c r="A4344" s="6">
        <v>10.0</v>
      </c>
      <c r="B4344" s="6">
        <v>2011.0</v>
      </c>
      <c r="C4344" s="6">
        <v>9.0</v>
      </c>
      <c r="D4344" s="82" t="s">
        <v>7446</v>
      </c>
      <c r="E4344" s="9" t="s">
        <v>7447</v>
      </c>
      <c r="F4344" s="8" t="str">
        <f>IFERROR(__xludf.DUMMYFUNCTION("GOOGLETRANSLATE(D4344,""zh-CN"",""vi"")"),"Ngôi nhà cỏ kỳ diệu")</f>
        <v>Ngôi nhà cỏ kỳ diệu</v>
      </c>
      <c r="G4344" s="8" t="str">
        <f>IFERROR(__xludf.DUMMYFUNCTION("GOOGLETRANSLATE(E4344,""zh-CN"",""vi"")"),"Cửa hàng Cỏ Thần đang tuyển dụng nhân viên bán thời gian; lương ca đêm cao gấp 10 lần! Nhìn chung an toàn~ Tổng hợp để thu được Rừng Đen.")</f>
        <v>Cửa hàng Cỏ Thần đang tuyển dụng nhân viên bán thời gian; lương ca đêm cao gấp 10 lần! Nhìn chung an toàn~ Tổng hợp để thu được Rừng Đen.</v>
      </c>
      <c r="H4344" s="8"/>
      <c r="I4344" s="8"/>
      <c r="J4344" s="8"/>
    </row>
    <row r="4345" ht="21.0" customHeight="1">
      <c r="A4345" s="6">
        <v>10.0</v>
      </c>
      <c r="B4345" s="6">
        <v>2011.0</v>
      </c>
      <c r="C4345" s="6">
        <v>10.0</v>
      </c>
      <c r="D4345" s="96" t="s">
        <v>7448</v>
      </c>
      <c r="E4345" s="19" t="s">
        <v>7449</v>
      </c>
      <c r="F4345" s="8" t="str">
        <f>IFERROR(__xludf.DUMMYFUNCTION("GOOGLETRANSLATE(D4345,""zh-CN"",""vi"")"),"Rừng Đen")</f>
        <v>Rừng Đen</v>
      </c>
      <c r="G4345" s="8" t="str">
        <f>IFERROR(__xludf.DUMMYFUNCTION("GOOGLETRANSLATE(E4345,""zh-CN"",""vi"")"),"Thú cưng ma thuật, thảo dược ma thuật và quặng quý hiếm—tất cả đều có thể tìm thấy ở Rừng Đen! (Cấp độ cao nhất đã được tổng hợp.)")</f>
        <v>Thú cưng ma thuật, thảo dược ma thuật và quặng quý hiếm—tất cả đều có thể tìm thấy ở Rừng Đen! (Cấp độ cao nhất đã được tổng hợp.)</v>
      </c>
      <c r="H4345" s="8"/>
      <c r="I4345" s="8"/>
      <c r="J4345" s="8"/>
    </row>
    <row r="4346" ht="21.0" customHeight="1">
      <c r="A4346" s="6">
        <v>11.0</v>
      </c>
      <c r="B4346" s="6">
        <v>2012.0</v>
      </c>
      <c r="C4346" s="6">
        <v>1.0</v>
      </c>
      <c r="D4346" s="80" t="s">
        <v>7450</v>
      </c>
      <c r="E4346" s="19" t="s">
        <v>7451</v>
      </c>
      <c r="F4346" s="8" t="str">
        <f>IFERROR(__xludf.DUMMYFUNCTION("GOOGLETRANSLATE(D4346,""zh-CN"",""vi"")"),"Mũ Phân Loại [V]")</f>
        <v>Mũ Phân Loại [V]</v>
      </c>
      <c r="G4346" s="8" t="str">
        <f>IFERROR(__xludf.DUMMYFUNCTION("GOOGLETRANSLATE(E4346,""zh-CN"",""vi"")"),"Nó đánh giá trình độ của từng học sinh và phân bổ họ vào một học viện. Kết hợp những điều này để nhận được huy hiệu học viện [V].")</f>
        <v>Nó đánh giá trình độ của từng học sinh và phân bổ họ vào một học viện. Kết hợp những điều này để nhận được huy hiệu học viện [V].</v>
      </c>
      <c r="H4346" s="8"/>
      <c r="I4346" s="8"/>
      <c r="J4346" s="8"/>
    </row>
    <row r="4347" ht="21.0" customHeight="1">
      <c r="A4347" s="6">
        <v>11.0</v>
      </c>
      <c r="B4347" s="6">
        <v>2012.0</v>
      </c>
      <c r="C4347" s="6">
        <v>2.0</v>
      </c>
      <c r="D4347" s="80" t="s">
        <v>7452</v>
      </c>
      <c r="E4347" s="19" t="s">
        <v>7453</v>
      </c>
      <c r="F4347" s="8" t="str">
        <f>IFERROR(__xludf.DUMMYFUNCTION("GOOGLETRANSLATE(D4347,""zh-CN"",""vi"")"),"Huy hiệu trường đại học [V]")</f>
        <v>Huy hiệu trường đại học [V]</v>
      </c>
      <c r="G4347" s="8" t="str">
        <f>IFERROR(__xludf.DUMMYFUNCTION("GOOGLETRANSLATE(E4347,""zh-CN"",""vi"")"),"Mỗi học viện đều có biểu tượng riêng. Kết hợp chúng để có được bảng ma thuật cá nhân của bạn [V].")</f>
        <v>Mỗi học viện đều có biểu tượng riêng. Kết hợp chúng để có được bảng ma thuật cá nhân của bạn [V].</v>
      </c>
      <c r="H4347" s="8"/>
      <c r="I4347" s="8"/>
      <c r="J4347" s="8"/>
    </row>
    <row r="4348" ht="21.0" customHeight="1">
      <c r="A4348" s="6">
        <v>11.0</v>
      </c>
      <c r="B4348" s="6">
        <v>2012.0</v>
      </c>
      <c r="C4348" s="6">
        <v>3.0</v>
      </c>
      <c r="D4348" s="80" t="s">
        <v>7454</v>
      </c>
      <c r="E4348" s="19" t="s">
        <v>7455</v>
      </c>
      <c r="F4348" s="8" t="str">
        <f>IFERROR(__xludf.DUMMYFUNCTION("GOOGLETRANSLATE(D4348,""zh-CN"",""vi"")"),"Bàn ma thuật cá nhân [V]")</f>
        <v>Bàn ma thuật cá nhân [V]</v>
      </c>
      <c r="G4348" s="8" t="str">
        <f>IFERROR(__xludf.DUMMYFUNCTION("GOOGLETRANSLATE(E4348,""zh-CN"",""vi"")"),"Nó sẽ đồng hành cùng mỗi pháp sư trong ít nhất mười năm. Hãy chế tạo nó để có được Lò Sưởi Ma Thuật [V].")</f>
        <v>Nó sẽ đồng hành cùng mỗi pháp sư trong ít nhất mười năm. Hãy chế tạo nó để có được Lò Sưởi Ma Thuật [V].</v>
      </c>
      <c r="H4348" s="8"/>
      <c r="I4348" s="8"/>
      <c r="J4348" s="8"/>
    </row>
    <row r="4349" ht="21.0" customHeight="1">
      <c r="A4349" s="6">
        <v>11.0</v>
      </c>
      <c r="B4349" s="6">
        <v>2012.0</v>
      </c>
      <c r="C4349" s="6">
        <v>4.0</v>
      </c>
      <c r="D4349" s="82" t="s">
        <v>7456</v>
      </c>
      <c r="E4349" s="19" t="s">
        <v>7457</v>
      </c>
      <c r="F4349" s="8" t="str">
        <f>IFERROR(__xludf.DUMMYFUNCTION("GOOGLETRANSLATE(D4349,""zh-CN"",""vi"")"),"Lò sưởi thần kỳ [V]")</f>
        <v>Lò sưởi thần kỳ [V]</v>
      </c>
      <c r="G4349" s="8" t="str">
        <f>IFERROR(__xludf.DUMMYFUNCTION("GOOGLETRANSLATE(E4349,""zh-CN"",""vi"")"),"An toàn quan trọng hơn khả năng tinh chế. Tổng hợp để có được một bục giảng [V]")</f>
        <v>An toàn quan trọng hơn khả năng tinh chế. Tổng hợp để có được một bục giảng [V]</v>
      </c>
      <c r="H4349" s="8"/>
      <c r="I4349" s="8"/>
      <c r="J4349" s="8"/>
    </row>
    <row r="4350" ht="21.0" customHeight="1">
      <c r="A4350" s="6">
        <v>10.0</v>
      </c>
      <c r="B4350" s="6">
        <v>2012.0</v>
      </c>
      <c r="C4350" s="6">
        <v>5.0</v>
      </c>
      <c r="D4350" s="82" t="s">
        <v>7458</v>
      </c>
      <c r="E4350" s="19" t="s">
        <v>7459</v>
      </c>
      <c r="F4350" s="8" t="str">
        <f>IFERROR(__xludf.DUMMYFUNCTION("GOOGLETRANSLATE(D4350,""zh-CN"",""vi"")"),"Sân khấu thuyết trình [V]")</f>
        <v>Sân khấu thuyết trình [V]</v>
      </c>
      <c r="G4350" s="8" t="str">
        <f>IFERROR(__xludf.DUMMYFUNCTION("GOOGLETRANSLATE(E4350,""zh-CN"",""vi"")"),"Qua nhiều năm giảng dạy, bục giảng đã thấm đẫm linh hồn. Tổng hợp để có được Lò Sưởi Ma Thuật [V].")</f>
        <v>Qua nhiều năm giảng dạy, bục giảng đã thấm đẫm linh hồn. Tổng hợp để có được Lò Sưởi Ma Thuật [V].</v>
      </c>
      <c r="H4350" s="8"/>
      <c r="I4350" s="8"/>
      <c r="J4350" s="8"/>
    </row>
    <row r="4351" ht="21.0" customHeight="1">
      <c r="A4351" s="6">
        <v>10.0</v>
      </c>
      <c r="B4351" s="6">
        <v>2012.0</v>
      </c>
      <c r="C4351" s="6">
        <v>6.0</v>
      </c>
      <c r="D4351" s="82" t="s">
        <v>7460</v>
      </c>
      <c r="E4351" s="9" t="s">
        <v>7461</v>
      </c>
      <c r="F4351" s="8" t="str">
        <f>IFERROR(__xludf.DUMMYFUNCTION("GOOGLETRANSLATE(D4351,""zh-CN"",""vi"")"),"Lò luyện kim [V]")</f>
        <v>Lò luyện kim [V]</v>
      </c>
      <c r="G4351" s="8" t="str">
        <f>IFERROR(__xludf.DUMMYFUNCTION("GOOGLETRANSLATE(E4351,""zh-CN"",""vi"")"),"Một siêu hiện vật kết hợp chức năng giao tiếp và di chuyển! Chế tạo nó để có được Ngôi nhà cỏ ma thuật [V]")</f>
        <v>Một siêu hiện vật kết hợp chức năng giao tiếp và di chuyển! Chế tạo nó để có được Ngôi nhà cỏ ma thuật [V]</v>
      </c>
      <c r="H4351" s="8"/>
      <c r="I4351" s="8"/>
      <c r="J4351" s="8"/>
    </row>
    <row r="4352" ht="21.0" customHeight="1">
      <c r="A4352" s="6">
        <v>10.0</v>
      </c>
      <c r="B4352" s="6">
        <v>2012.0</v>
      </c>
      <c r="C4352" s="6">
        <v>7.0</v>
      </c>
      <c r="D4352" s="82" t="s">
        <v>7462</v>
      </c>
      <c r="E4352" s="9" t="s">
        <v>7463</v>
      </c>
      <c r="F4352" s="8" t="str">
        <f>IFERROR(__xludf.DUMMYFUNCTION("GOOGLETRANSLATE(D4352,""zh-CN"",""vi"")"),"Ngôi nhà cỏ thần kỳ[V]")</f>
        <v>Ngôi nhà cỏ thần kỳ[V]</v>
      </c>
      <c r="G4352" s="8" t="str">
        <f>IFERROR(__xludf.DUMMYFUNCTION("GOOGLETRANSLATE(E4352,""zh-CN"",""vi"")"),"Sách, cuộn giấy, tinh thể... đủ loại vật phẩm ngẫu nhiên! Kết hợp chúng để truy cập Cửa hàng Kỳ ảo [V]")</f>
        <v>Sách, cuộn giấy, tinh thể... đủ loại vật phẩm ngẫu nhiên! Kết hợp chúng để truy cập Cửa hàng Kỳ ảo [V]</v>
      </c>
      <c r="H4352" s="8"/>
      <c r="I4352" s="8"/>
      <c r="J4352" s="8"/>
    </row>
    <row r="4353" ht="21.0" customHeight="1">
      <c r="A4353" s="6">
        <v>10.0</v>
      </c>
      <c r="B4353" s="6">
        <v>2012.0</v>
      </c>
      <c r="C4353" s="6">
        <v>8.0</v>
      </c>
      <c r="D4353" s="82" t="s">
        <v>7464</v>
      </c>
      <c r="E4353" s="19" t="s">
        <v>7465</v>
      </c>
      <c r="F4353" s="8" t="str">
        <f>IFERROR(__xludf.DUMMYFUNCTION("GOOGLETRANSLATE(D4353,""zh-CN"",""vi"")"),"Kho của phù thủy [V]")</f>
        <v>Kho của phù thủy [V]</v>
      </c>
      <c r="G4353" s="8" t="str">
        <f>IFERROR(__xludf.DUMMYFUNCTION("GOOGLETRANSLATE(E4353,""zh-CN"",""vi"")"),"Thuốc Wisdom 999 bán chạy nhất của chúng tôi đảm bảo điểm số hoàn hảo! Tổng hợp để có được Ngôi nhà Cỏ Ma thuật [V]")</f>
        <v>Thuốc Wisdom 999 bán chạy nhất của chúng tôi đảm bảo điểm số hoàn hảo! Tổng hợp để có được Ngôi nhà Cỏ Ma thuật [V]</v>
      </c>
      <c r="H4353" s="8"/>
      <c r="I4353" s="8"/>
      <c r="J4353" s="8"/>
    </row>
    <row r="4354" ht="21.0" customHeight="1">
      <c r="A4354" s="6">
        <v>10.0</v>
      </c>
      <c r="B4354" s="6">
        <v>2012.0</v>
      </c>
      <c r="C4354" s="6">
        <v>9.0</v>
      </c>
      <c r="D4354" s="82" t="s">
        <v>7466</v>
      </c>
      <c r="E4354" s="9" t="s">
        <v>7467</v>
      </c>
      <c r="F4354" s="8" t="str">
        <f>IFERROR(__xludf.DUMMYFUNCTION("GOOGLETRANSLATE(D4354,""zh-CN"",""vi"")"),"Cửa hàng giả tưởng [V]")</f>
        <v>Cửa hàng giả tưởng [V]</v>
      </c>
      <c r="G4354" s="8" t="str">
        <f>IFERROR(__xludf.DUMMYFUNCTION("GOOGLETRANSLATE(E4354,""zh-CN"",""vi"")"),"Nhà Cỏ Thần đang tuyển dụng nhân viên bán thời gian! Lương ca đêm cao gấp 10 lần! Nhìn chung an toàn~ Tổng hợp để có được Rừng Đen [V]")</f>
        <v>Nhà Cỏ Thần đang tuyển dụng nhân viên bán thời gian! Lương ca đêm cao gấp 10 lần! Nhìn chung an toàn~ Tổng hợp để có được Rừng Đen [V]</v>
      </c>
      <c r="H4354" s="8"/>
      <c r="I4354" s="8"/>
      <c r="J4354" s="8"/>
    </row>
    <row r="4355" ht="21.0" customHeight="1">
      <c r="A4355" s="6">
        <v>10.0</v>
      </c>
      <c r="B4355" s="6">
        <v>2012.0</v>
      </c>
      <c r="C4355" s="6">
        <v>10.0</v>
      </c>
      <c r="D4355" s="96" t="s">
        <v>7468</v>
      </c>
      <c r="E4355" s="19" t="s">
        <v>7449</v>
      </c>
      <c r="F4355" s="8" t="str">
        <f>IFERROR(__xludf.DUMMYFUNCTION("GOOGLETRANSLATE(D4355,""zh-CN"",""vi"")"),"Rừng Đen [V]")</f>
        <v>Rừng Đen [V]</v>
      </c>
      <c r="G4355" s="8" t="str">
        <f>IFERROR(__xludf.DUMMYFUNCTION("GOOGLETRANSLATE(E4355,""zh-CN"",""vi"")"),"Thú cưng ma thuật, thảo dược ma thuật và quặng quý hiếm—tất cả đều có thể tìm thấy ở Rừng Đen! (Cấp độ cao nhất đã được tổng hợp.)")</f>
        <v>Thú cưng ma thuật, thảo dược ma thuật và quặng quý hiếm—tất cả đều có thể tìm thấy ở Rừng Đen! (Cấp độ cao nhất đã được tổng hợp.)</v>
      </c>
      <c r="H4355" s="8"/>
      <c r="I4355" s="8"/>
      <c r="J4355" s="8"/>
    </row>
    <row r="4356" ht="21.0" customHeight="1">
      <c r="A4356" s="6">
        <v>1.0</v>
      </c>
      <c r="B4356" s="6">
        <v>325.0</v>
      </c>
      <c r="C4356" s="6">
        <v>1.0</v>
      </c>
      <c r="D4356" s="82" t="s">
        <v>7469</v>
      </c>
      <c r="E4356" s="11" t="s">
        <v>7470</v>
      </c>
      <c r="F4356" s="8" t="str">
        <f>IFERROR(__xludf.DUMMYFUNCTION("GOOGLETRANSLATE(D4356,""zh-CN"",""vi"")"),"Bụi sao")</f>
        <v>Bụi sao</v>
      </c>
      <c r="G4356" s="8" t="str">
        <f>IFERROR(__xludf.DUMMYFUNCTION("GOOGLETRANSLATE(E4356,""zh-CN"",""vi"")"),"Thiên thạch từ ngoài vũ trụ được gọi là ngôi sao vỡ vụn. Nó có thể được tổng hợp để tạo ra Đá Mặt Trời.")</f>
        <v>Thiên thạch từ ngoài vũ trụ được gọi là ngôi sao vỡ vụn. Nó có thể được tổng hợp để tạo ra Đá Mặt Trời.</v>
      </c>
      <c r="H4356" s="8"/>
      <c r="I4356" s="8"/>
      <c r="J4356" s="8"/>
    </row>
    <row r="4357" ht="21.0" customHeight="1">
      <c r="A4357" s="6">
        <v>1.0</v>
      </c>
      <c r="B4357" s="6">
        <v>325.0</v>
      </c>
      <c r="C4357" s="6">
        <v>2.0</v>
      </c>
      <c r="D4357" s="82" t="s">
        <v>7471</v>
      </c>
      <c r="E4357" s="11" t="s">
        <v>7472</v>
      </c>
      <c r="F4357" s="8" t="str">
        <f>IFERROR(__xludf.DUMMYFUNCTION("GOOGLETRANSLATE(D4357,""zh-CN"",""vi"")"),"Đá Mặt Trời")</f>
        <v>Đá Mặt Trời</v>
      </c>
      <c r="G4357" s="8" t="str">
        <f>IFERROR(__xludf.DUMMYFUNCTION("GOOGLETRANSLATE(E4357,""zh-CN"",""vi"")"),"Sau khi hấp thụ tinh hoa của mặt trời trong thời gian dài, nó cuối cùng biến đổi thành đá mặt trời. Loại đá này sau đó được sử dụng để tổng hợp đá mặt trăng.")</f>
        <v>Sau khi hấp thụ tinh hoa của mặt trời trong thời gian dài, nó cuối cùng biến đổi thành đá mặt trời. Loại đá này sau đó được sử dụng để tổng hợp đá mặt trăng.</v>
      </c>
      <c r="H4357" s="8"/>
      <c r="I4357" s="8"/>
      <c r="J4357" s="8"/>
    </row>
    <row r="4358" ht="21.0" customHeight="1">
      <c r="A4358" s="6">
        <v>1.0</v>
      </c>
      <c r="B4358" s="6">
        <v>325.0</v>
      </c>
      <c r="C4358" s="6">
        <v>3.0</v>
      </c>
      <c r="D4358" s="90" t="s">
        <v>7473</v>
      </c>
      <c r="E4358" s="11" t="s">
        <v>7474</v>
      </c>
      <c r="F4358" s="8" t="str">
        <f>IFERROR(__xludf.DUMMYFUNCTION("GOOGLETRANSLATE(D4358,""zh-CN"",""vi"")"),"Đá Mặt Trăng")</f>
        <v>Đá Mặt Trăng</v>
      </c>
      <c r="G4358" s="8" t="str">
        <f>IFERROR(__xludf.DUMMYFUNCTION("GOOGLETRANSLATE(E4358,""zh-CN"",""vi"")"),"Được hình thành bằng cách hấp thụ tinh hoa của mặt trăng, nó có thể phát ra ánh trăng. Nó có thể được tổng hợp để tạo ra Đá Sinh Mệnh.")</f>
        <v>Được hình thành bằng cách hấp thụ tinh hoa của mặt trăng, nó có thể phát ra ánh trăng. Nó có thể được tổng hợp để tạo ra Đá Sinh Mệnh.</v>
      </c>
      <c r="H4358" s="8"/>
      <c r="I4358" s="8"/>
      <c r="J4358" s="8"/>
    </row>
    <row r="4359" ht="21.0" customHeight="1">
      <c r="A4359" s="6">
        <v>1.0</v>
      </c>
      <c r="B4359" s="6">
        <v>325.0</v>
      </c>
      <c r="C4359" s="6">
        <v>4.0</v>
      </c>
      <c r="D4359" s="82" t="s">
        <v>7475</v>
      </c>
      <c r="E4359" s="11" t="s">
        <v>7476</v>
      </c>
      <c r="F4359" s="8" t="str">
        <f>IFERROR(__xludf.DUMMYFUNCTION("GOOGLETRANSLATE(D4359,""zh-CN"",""vi"")"),"Đá Sự Sống")</f>
        <v>Đá Sự Sống</v>
      </c>
      <c r="G4359" s="8" t="str">
        <f>IFERROR(__xludf.DUMMYFUNCTION("GOOGLETRANSLATE(E4359,""zh-CN"",""vi"")"),"Có vẻ như nó có liên quan đến các Druid và có thể chữa lành vết thương. Chế tạo nó sẽ thu được một Viên Đá Sét.")</f>
        <v>Có vẻ như nó có liên quan đến các Druid và có thể chữa lành vết thương. Chế tạo nó sẽ thu được một Viên Đá Sét.</v>
      </c>
      <c r="H4359" s="8"/>
      <c r="I4359" s="8"/>
      <c r="J4359" s="8"/>
    </row>
    <row r="4360" ht="21.0" customHeight="1">
      <c r="A4360" s="6">
        <v>1.0</v>
      </c>
      <c r="B4360" s="6">
        <v>325.0</v>
      </c>
      <c r="C4360" s="6">
        <v>5.0</v>
      </c>
      <c r="D4360" s="82" t="s">
        <v>7477</v>
      </c>
      <c r="E4360" s="11" t="s">
        <v>7478</v>
      </c>
      <c r="F4360" s="8" t="str">
        <f>IFERROR(__xludf.DUMMYFUNCTION("GOOGLETRANSLATE(D4360,""zh-CN"",""vi"")"),"Đá Sét")</f>
        <v>Đá Sét</v>
      </c>
      <c r="G4360" s="8" t="str">
        <f>IFERROR(__xludf.DUMMYFUNCTION("GOOGLETRANSLATE(E4360,""zh-CN"",""vi"")"),"Nó chứa năng lượng sấm sét mạnh mẽ và có thể được dùng để chế tạo một ngọn giáo ma thuật. Nó cũng có thể được kết hợp để tạo ra một viên đá thanh tẩy.")</f>
        <v>Nó chứa năng lượng sấm sét mạnh mẽ và có thể được dùng để chế tạo một ngọn giáo ma thuật. Nó cũng có thể được kết hợp để tạo ra một viên đá thanh tẩy.</v>
      </c>
      <c r="H4360" s="8"/>
      <c r="I4360" s="8"/>
      <c r="J4360" s="8"/>
    </row>
    <row r="4361" ht="21.0" customHeight="1">
      <c r="A4361" s="6">
        <v>1.0</v>
      </c>
      <c r="B4361" s="6">
        <v>325.0</v>
      </c>
      <c r="C4361" s="6">
        <v>6.0</v>
      </c>
      <c r="D4361" s="82" t="s">
        <v>7479</v>
      </c>
      <c r="E4361" s="11" t="s">
        <v>7480</v>
      </c>
      <c r="F4361" s="8" t="str">
        <f>IFERROR(__xludf.DUMMYFUNCTION("GOOGLETRANSLATE(D4361,""zh-CN"",""vi"")"),"Đá Thanh Tẩy")</f>
        <v>Đá Thanh Tẩy</v>
      </c>
      <c r="G4361" s="8" t="str">
        <f>IFERROR(__xludf.DUMMYFUNCTION("GOOGLETRANSLATE(E4361,""zh-CN"",""vi"")"),"Những khoáng chất quý hiếm có khả năng loại bỏ các hiệu ứng tiêu cực như lời nguyền và suy yếu. Đá Núi được tổng hợp từ những khoáng chất này.")</f>
        <v>Những khoáng chất quý hiếm có khả năng loại bỏ các hiệu ứng tiêu cực như lời nguyền và suy yếu. Đá Núi được tổng hợp từ những khoáng chất này.</v>
      </c>
      <c r="H4361" s="8"/>
      <c r="I4361" s="8"/>
      <c r="J4361" s="8"/>
    </row>
    <row r="4362" ht="21.0" customHeight="1">
      <c r="A4362" s="6">
        <v>1.0</v>
      </c>
      <c r="B4362" s="6">
        <v>325.0</v>
      </c>
      <c r="C4362" s="6">
        <v>7.0</v>
      </c>
      <c r="D4362" s="80" t="s">
        <v>7481</v>
      </c>
      <c r="E4362" s="11" t="s">
        <v>7482</v>
      </c>
      <c r="F4362" s="8" t="str">
        <f>IFERROR(__xludf.DUMMYFUNCTION("GOOGLETRANSLATE(D4362,""zh-CN"",""vi"")"),"Đá núi")</f>
        <v>Đá núi</v>
      </c>
      <c r="G4362" s="8" t="str">
        <f>IFERROR(__xludf.DUMMYFUNCTION("GOOGLETRANSLATE(E4362,""zh-CN"",""vi"")"),"Nó chứa đựng sức mạnh vô song của trái đất, có khả năng làm trồi núi từ mặt đất. Đá Tinh Thể Huyết có thể được tổng hợp từ nó.")</f>
        <v>Nó chứa đựng sức mạnh vô song của trái đất, có khả năng làm trồi núi từ mặt đất. Đá Tinh Thể Huyết có thể được tổng hợp từ nó.</v>
      </c>
      <c r="H4362" s="8"/>
      <c r="I4362" s="8"/>
      <c r="J4362" s="8"/>
    </row>
    <row r="4363" ht="21.0" customHeight="1">
      <c r="A4363" s="6">
        <v>1.0</v>
      </c>
      <c r="B4363" s="6">
        <v>325.0</v>
      </c>
      <c r="C4363" s="6">
        <v>8.0</v>
      </c>
      <c r="D4363" s="80" t="s">
        <v>7483</v>
      </c>
      <c r="E4363" s="11" t="s">
        <v>7484</v>
      </c>
      <c r="F4363" s="8" t="str">
        <f>IFERROR(__xludf.DUMMYFUNCTION("GOOGLETRANSLATE(D4363,""zh-CN"",""vi"")"),"Tinh thể máu")</f>
        <v>Tinh thể máu</v>
      </c>
      <c r="G4363" s="8" t="str">
        <f>IFERROR(__xludf.DUMMYFUNCTION("GOOGLETRANSLATE(E4363,""zh-CN"",""vi"")"),"Một loại khoáng chất kỳ diệu tự nhiên có thể tăng cường sức mạnh huyết thống. Cần tổng hợp để thu được Đá Rồng Hổ Phách.")</f>
        <v>Một loại khoáng chất kỳ diệu tự nhiên có thể tăng cường sức mạnh huyết thống. Cần tổng hợp để thu được Đá Rồng Hổ Phách.</v>
      </c>
      <c r="H4363" s="8"/>
      <c r="I4363" s="8"/>
      <c r="J4363" s="8"/>
    </row>
    <row r="4364" ht="21.0" customHeight="1">
      <c r="A4364" s="6">
        <v>1.0</v>
      </c>
      <c r="B4364" s="6">
        <v>325.0</v>
      </c>
      <c r="C4364" s="6">
        <v>9.0</v>
      </c>
      <c r="D4364" s="80" t="s">
        <v>7485</v>
      </c>
      <c r="E4364" s="11" t="s">
        <v>7486</v>
      </c>
      <c r="F4364" s="8" t="str">
        <f>IFERROR(__xludf.DUMMYFUNCTION("GOOGLETRANSLATE(D4364,""zh-CN"",""vi"")"),"Đá Rồng Hổ Phách")</f>
        <v>Đá Rồng Hổ Phách</v>
      </c>
      <c r="G4364" s="8" t="str">
        <f>IFERROR(__xludf.DUMMYFUNCTION("GOOGLETRANSLATE(E4364,""zh-CN"",""vi"")"),"Tình cờ, sức mạnh của một con rồng bị phong ấn trong hổ phách. Hãy tổng hợp để thu được Đá Tinh Thể Băng Vực Sâu.")</f>
        <v>Tình cờ, sức mạnh của một con rồng bị phong ấn trong hổ phách. Hãy tổng hợp để thu được Đá Tinh Thể Băng Vực Sâu.</v>
      </c>
      <c r="H4364" s="8"/>
      <c r="I4364" s="8"/>
      <c r="J4364" s="8"/>
    </row>
    <row r="4365" ht="21.0" customHeight="1">
      <c r="A4365" s="6">
        <v>1.0</v>
      </c>
      <c r="B4365" s="6">
        <v>325.0</v>
      </c>
      <c r="C4365" s="6">
        <v>10.0</v>
      </c>
      <c r="D4365" s="80" t="s">
        <v>7487</v>
      </c>
      <c r="E4365" s="11" t="s">
        <v>7488</v>
      </c>
      <c r="F4365" s="8" t="str">
        <f>IFERROR(__xludf.DUMMYFUNCTION("GOOGLETRANSLATE(D4365,""zh-CN"",""vi"")"),"Tinh thể băng vực sâu")</f>
        <v>Tinh thể băng vực sâu</v>
      </c>
      <c r="G4365" s="8" t="str">
        <f>IFERROR(__xludf.DUMMYFUNCTION("GOOGLETRANSLATE(E4365,""zh-CN"",""vi"")"),"Sức mạnh lạnh lẽo từ vực sâu. Kết hợp để nhận được Đá Sức Mạnh Thần Thánh.")</f>
        <v>Sức mạnh lạnh lẽo từ vực sâu. Kết hợp để nhận được Đá Sức Mạnh Thần Thánh.</v>
      </c>
      <c r="H4365" s="8"/>
      <c r="I4365" s="8"/>
      <c r="J4365" s="8"/>
    </row>
    <row r="4366" ht="21.0" customHeight="1">
      <c r="A4366" s="6">
        <v>1.0</v>
      </c>
      <c r="B4366" s="6">
        <v>325.0</v>
      </c>
      <c r="C4366" s="6">
        <v>11.0</v>
      </c>
      <c r="D4366" s="80" t="s">
        <v>7489</v>
      </c>
      <c r="E4366" s="11" t="s">
        <v>7490</v>
      </c>
      <c r="F4366" s="8" t="str">
        <f>IFERROR(__xludf.DUMMYFUNCTION("GOOGLETRANSLATE(D4366,""zh-CN"",""vi"")"),"Đá Sức Mạnh")</f>
        <v>Đá Sức Mạnh</v>
      </c>
      <c r="G4366" s="8" t="str">
        <f>IFERROR(__xludf.DUMMYFUNCTION("GOOGLETRANSLATE(E4366,""zh-CN"",""vi"")"),"Một chút sức mạnh thần thánh đã bị phong ấn. Viên Đá Chân Lý được tạo ra thông qua quá trình tổng hợp.")</f>
        <v>Một chút sức mạnh thần thánh đã bị phong ấn. Viên Đá Chân Lý được tạo ra thông qua quá trình tổng hợp.</v>
      </c>
      <c r="H4366" s="8"/>
      <c r="I4366" s="8"/>
      <c r="J4366" s="8"/>
    </row>
    <row r="4367" ht="21.0" customHeight="1">
      <c r="A4367" s="6">
        <v>1.0</v>
      </c>
      <c r="B4367" s="6">
        <v>325.0</v>
      </c>
      <c r="C4367" s="6">
        <v>12.0</v>
      </c>
      <c r="D4367" s="82" t="s">
        <v>7491</v>
      </c>
      <c r="E4367" s="11" t="s">
        <v>7492</v>
      </c>
      <c r="F4367" s="8" t="str">
        <f>IFERROR(__xludf.DUMMYFUNCTION("GOOGLETRANSLATE(D4367,""zh-CN"",""vi"")"),"Hòn Đá Chân Lý")</f>
        <v>Hòn Đá Chân Lý</v>
      </c>
      <c r="G4367" s="8" t="str">
        <f>IFERROR(__xludf.DUMMYFUNCTION("GOOGLETRANSLATE(E4367,""zh-CN"",""vi"")"),"Nó có thể tiết lộ các quy tắc tổng hợp thuốc. Quá trình tổng hợp tạo ra một Viên Đá Tiên Tri.")</f>
        <v>Nó có thể tiết lộ các quy tắc tổng hợp thuốc. Quá trình tổng hợp tạo ra một Viên Đá Tiên Tri.</v>
      </c>
      <c r="H4367" s="8"/>
      <c r="I4367" s="8"/>
      <c r="J4367" s="8"/>
    </row>
    <row r="4368" ht="21.0" customHeight="1">
      <c r="A4368" s="6">
        <v>1.0</v>
      </c>
      <c r="B4368" s="6">
        <v>325.0</v>
      </c>
      <c r="C4368" s="6">
        <v>13.0</v>
      </c>
      <c r="D4368" s="82" t="s">
        <v>7493</v>
      </c>
      <c r="E4368" s="11" t="s">
        <v>7494</v>
      </c>
      <c r="F4368" s="8" t="str">
        <f>IFERROR(__xludf.DUMMYFUNCTION("GOOGLETRANSLATE(D4368,""zh-CN"",""vi"")"),"Đá Tiên Tri")</f>
        <v>Đá Tiên Tri</v>
      </c>
      <c r="G4368" s="8" t="str">
        <f>IFERROR(__xludf.DUMMYFUNCTION("GOOGLETRANSLATE(E4368,""zh-CN"",""vi"")"),"Sau khi sử dụng, nó cho phép bạn nhìn thoáng qua một góc của tương lai. Tổng hợp để nhận được Đá Mộng.")</f>
        <v>Sau khi sử dụng, nó cho phép bạn nhìn thoáng qua một góc của tương lai. Tổng hợp để nhận được Đá Mộng.</v>
      </c>
      <c r="H4368" s="8"/>
      <c r="I4368" s="8"/>
      <c r="J4368" s="8"/>
    </row>
    <row r="4369" ht="21.0" customHeight="1">
      <c r="A4369" s="6">
        <v>1.0</v>
      </c>
      <c r="B4369" s="6">
        <v>325.0</v>
      </c>
      <c r="C4369" s="6">
        <v>14.0</v>
      </c>
      <c r="D4369" s="82" t="s">
        <v>7495</v>
      </c>
      <c r="E4369" s="11" t="s">
        <v>7496</v>
      </c>
      <c r="F4369" s="8" t="str">
        <f>IFERROR(__xludf.DUMMYFUNCTION("GOOGLETRANSLATE(D4369,""zh-CN"",""vi"")"),"Đá Mơ")</f>
        <v>Đá Mơ</v>
      </c>
      <c r="G4369" s="8" t="str">
        <f>IFERROR(__xludf.DUMMYFUNCTION("GOOGLETRANSLATE(E4369,""zh-CN"",""vi"")"),"Lạc lối trong giấc mơ ngọt ngào, không thể tự mình thoát ra. (Tổng hợp để thu được Viên Đá Vĩnh Cửu)")</f>
        <v>Lạc lối trong giấc mơ ngọt ngào, không thể tự mình thoát ra. (Tổng hợp để thu được Viên Đá Vĩnh Cửu)</v>
      </c>
      <c r="H4369" s="8"/>
      <c r="I4369" s="8"/>
      <c r="J4369" s="8"/>
    </row>
    <row r="4370" ht="21.0" customHeight="1">
      <c r="A4370" s="6">
        <v>1.0</v>
      </c>
      <c r="B4370" s="6">
        <v>325.0</v>
      </c>
      <c r="C4370" s="6">
        <v>15.0</v>
      </c>
      <c r="D4370" s="82" t="s">
        <v>7497</v>
      </c>
      <c r="E4370" s="11" t="s">
        <v>7498</v>
      </c>
      <c r="F4370" s="8" t="str">
        <f>IFERROR(__xludf.DUMMYFUNCTION("GOOGLETRANSLATE(D4370,""zh-CN"",""vi"")"),"Đá Vĩnh Hằng")</f>
        <v>Đá Vĩnh Hằng</v>
      </c>
      <c r="G4370" s="8" t="str">
        <f>IFERROR(__xludf.DUMMYFUNCTION("GOOGLETRANSLATE(E4370,""zh-CN"",""vi"")"),"Một loại đá bất diệt, trường tồn vĩnh cửu. (Đã được tổng hợp đến cấp độ cao nhất.)")</f>
        <v>Một loại đá bất diệt, trường tồn vĩnh cửu. (Đã được tổng hợp đến cấp độ cao nhất.)</v>
      </c>
      <c r="H4370" s="8"/>
      <c r="I4370" s="8"/>
      <c r="J4370" s="8"/>
    </row>
    <row r="4371" ht="21.0" customHeight="1">
      <c r="A4371" s="6">
        <v>1.0</v>
      </c>
      <c r="B4371" s="6">
        <v>326.0</v>
      </c>
      <c r="C4371" s="6">
        <v>1.0</v>
      </c>
      <c r="D4371" s="82" t="s">
        <v>7499</v>
      </c>
      <c r="E4371" s="11" t="s">
        <v>7500</v>
      </c>
      <c r="F4371" s="8" t="str">
        <f>IFERROR(__xludf.DUMMYFUNCTION("GOOGLETRANSLATE(D4371,""zh-CN"",""vi"")"),"Nấm phát sáng")</f>
        <v>Nấm phát sáng</v>
      </c>
      <c r="G4371" s="8" t="str">
        <f>IFERROR(__xludf.DUMMYFUNCTION("GOOGLETRANSLATE(E4371,""zh-CN"",""vi"")"),"Nó có thể chiếu sáng Rừng Đen vào ban đêm. Hãy chế tạo nó để có được Ớt Lửa.")</f>
        <v>Nó có thể chiếu sáng Rừng Đen vào ban đêm. Hãy chế tạo nó để có được Ớt Lửa.</v>
      </c>
      <c r="H4371" s="8"/>
      <c r="I4371" s="8"/>
      <c r="J4371" s="8"/>
    </row>
    <row r="4372" ht="21.0" customHeight="1">
      <c r="A4372" s="6">
        <v>1.0</v>
      </c>
      <c r="B4372" s="6">
        <v>326.0</v>
      </c>
      <c r="C4372" s="6">
        <v>2.0</v>
      </c>
      <c r="D4372" s="82" t="s">
        <v>7501</v>
      </c>
      <c r="E4372" s="11" t="s">
        <v>7502</v>
      </c>
      <c r="F4372" s="8" t="str">
        <f>IFERROR(__xludf.DUMMYFUNCTION("GOOGLETRANSLATE(D4372,""zh-CN"",""vi"")"),"Ớt cay")</f>
        <v>Ớt cay</v>
      </c>
      <c r="G4372" s="8" t="str">
        <f>IFERROR(__xludf.DUMMYFUNCTION("GOOGLETRANSLATE(E4372,""zh-CN"",""vi"")"),"Ớt không ăn được, trừ khi bạn muốn miệng mình bỏng rát. Tổng hợp để thu được Bubble Fruit.")</f>
        <v>Ớt không ăn được, trừ khi bạn muốn miệng mình bỏng rát. Tổng hợp để thu được Bubble Fruit.</v>
      </c>
      <c r="H4372" s="8"/>
      <c r="I4372" s="8"/>
      <c r="J4372" s="8"/>
    </row>
    <row r="4373" ht="21.0" customHeight="1">
      <c r="A4373" s="6">
        <v>1.0</v>
      </c>
      <c r="B4373" s="6">
        <v>326.0</v>
      </c>
      <c r="C4373" s="6">
        <v>3.0</v>
      </c>
      <c r="D4373" s="82" t="s">
        <v>7503</v>
      </c>
      <c r="E4373" s="11" t="s">
        <v>7504</v>
      </c>
      <c r="F4373" s="8" t="str">
        <f>IFERROR(__xludf.DUMMYFUNCTION("GOOGLETRANSLATE(D4373,""zh-CN"",""vi"")"),"Trái cây bong bóng")</f>
        <v>Trái cây bong bóng</v>
      </c>
      <c r="G4373" s="8" t="str">
        <f>IFERROR(__xludf.DUMMYFUNCTION("GOOGLETRANSLATE(E4373,""zh-CN"",""vi"")"),"Có hình dạng như những quả nho, trong suốt và đẹp mắt. Được chế tác để thu được Cỏ kẹo bông.")</f>
        <v>Có hình dạng như những quả nho, trong suốt và đẹp mắt. Được chế tác để thu được Cỏ kẹo bông.</v>
      </c>
      <c r="H4373" s="8"/>
      <c r="I4373" s="8"/>
      <c r="J4373" s="8"/>
    </row>
    <row r="4374" ht="21.0" customHeight="1">
      <c r="A4374" s="6">
        <v>1.0</v>
      </c>
      <c r="B4374" s="6">
        <v>326.0</v>
      </c>
      <c r="C4374" s="6">
        <v>4.0</v>
      </c>
      <c r="D4374" s="80" t="s">
        <v>7505</v>
      </c>
      <c r="E4374" s="11" t="s">
        <v>7506</v>
      </c>
      <c r="F4374" s="8" t="str">
        <f>IFERROR(__xludf.DUMMYFUNCTION("GOOGLETRANSLATE(D4374,""zh-CN"",""vi"")"),"Cỏ Marshmallow")</f>
        <v>Cỏ Marshmallow</v>
      </c>
      <c r="G4374" s="8" t="str">
        <f>IFERROR(__xludf.DUMMYFUNCTION("GOOGLETRANSLATE(E4374,""zh-CN"",""vi"")"),"Chỉ cần một miếng cắn, bạn sẽ cảm nhận được vị như kẹo bông gòn. Quá trình chế biến sẽ thu được cây Mandrake.")</f>
        <v>Chỉ cần một miếng cắn, bạn sẽ cảm nhận được vị như kẹo bông gòn. Quá trình chế biến sẽ thu được cây Mandrake.</v>
      </c>
      <c r="H4374" s="8"/>
      <c r="I4374" s="8"/>
      <c r="J4374" s="8"/>
    </row>
    <row r="4375" ht="21.0" customHeight="1">
      <c r="A4375" s="6">
        <v>1.0</v>
      </c>
      <c r="B4375" s="6">
        <v>326.0</v>
      </c>
      <c r="C4375" s="6">
        <v>5.0</v>
      </c>
      <c r="D4375" s="82" t="s">
        <v>7507</v>
      </c>
      <c r="E4375" s="11" t="s">
        <v>7508</v>
      </c>
      <c r="F4375" s="8" t="str">
        <f>IFERROR(__xludf.DUMMYFUNCTION("GOOGLETRANSLATE(D4375,""zh-CN"",""vi"")"),"Cây mandrake")</f>
        <v>Cây mandrake</v>
      </c>
      <c r="G4375" s="8" t="str">
        <f>IFERROR(__xludf.DUMMYFUNCTION("GOOGLETRANSLATE(E4375,""zh-CN"",""vi"")"),"Nó cực độc và không ăn được. Có thể tổng hợp một bông hoa trong suốt từ nó.")</f>
        <v>Nó cực độc và không ăn được. Có thể tổng hợp một bông hoa trong suốt từ nó.</v>
      </c>
      <c r="H4375" s="8"/>
      <c r="I4375" s="8"/>
      <c r="J4375" s="8"/>
    </row>
    <row r="4376" ht="21.0" customHeight="1">
      <c r="A4376" s="6">
        <v>1.0</v>
      </c>
      <c r="B4376" s="6">
        <v>326.0</v>
      </c>
      <c r="C4376" s="6">
        <v>6.0</v>
      </c>
      <c r="D4376" s="90" t="s">
        <v>7509</v>
      </c>
      <c r="E4376" s="11" t="s">
        <v>7510</v>
      </c>
      <c r="F4376" s="8" t="str">
        <f>IFERROR(__xludf.DUMMYFUNCTION("GOOGLETRANSLATE(D4376,""zh-CN"",""vi"")"),"Hoa trong suốt")</f>
        <v>Hoa trong suốt</v>
      </c>
      <c r="G4376" s="8" t="str">
        <f>IFERROR(__xludf.DUMMYFUNCTION("GOOGLETRANSLATE(E4376,""zh-CN"",""vi"")"),"Trong suốt như pha lê và vô cùng đẹp. Kết hợp với các thành phần khác để tạo ra Cỏ Lông Vũ.")</f>
        <v>Trong suốt như pha lê và vô cùng đẹp. Kết hợp với các thành phần khác để tạo ra Cỏ Lông Vũ.</v>
      </c>
      <c r="H4376" s="8"/>
      <c r="I4376" s="8"/>
      <c r="J4376" s="8"/>
    </row>
    <row r="4377" ht="21.0" customHeight="1">
      <c r="A4377" s="6">
        <v>1.0</v>
      </c>
      <c r="B4377" s="6">
        <v>326.0</v>
      </c>
      <c r="C4377" s="6">
        <v>7.0</v>
      </c>
      <c r="D4377" s="82" t="s">
        <v>7511</v>
      </c>
      <c r="E4377" s="11" t="s">
        <v>7512</v>
      </c>
      <c r="F4377" s="8" t="str">
        <f>IFERROR(__xludf.DUMMYFUNCTION("GOOGLETRANSLATE(D4377,""zh-CN"",""vi"")"),"Cỏ lông chim")</f>
        <v>Cỏ lông chim</v>
      </c>
      <c r="G4377" s="8" t="str">
        <f>IFERROR(__xludf.DUMMYFUNCTION("GOOGLETRANSLATE(E4377,""zh-CN"",""vi"")"),"Một số loại thuốc giúp tăng khả năng bay nhẹ thường sử dụng công thức này. Chế tạo loại thuốc này sẽ thu được Hoa Mặt Trăng.")</f>
        <v>Một số loại thuốc giúp tăng khả năng bay nhẹ thường sử dụng công thức này. Chế tạo loại thuốc này sẽ thu được Hoa Mặt Trăng.</v>
      </c>
      <c r="H4377" s="8"/>
      <c r="I4377" s="8"/>
      <c r="J4377" s="8"/>
    </row>
    <row r="4378" ht="21.0" customHeight="1">
      <c r="A4378" s="6">
        <v>1.0</v>
      </c>
      <c r="B4378" s="6">
        <v>326.0</v>
      </c>
      <c r="C4378" s="6">
        <v>8.0</v>
      </c>
      <c r="D4378" s="82" t="s">
        <v>7513</v>
      </c>
      <c r="E4378" s="11" t="s">
        <v>7514</v>
      </c>
      <c r="F4378" s="8" t="str">
        <f>IFERROR(__xludf.DUMMYFUNCTION("GOOGLETRANSLATE(D4378,""zh-CN"",""vi"")"),"Hoa nguyệt quế")</f>
        <v>Hoa nguyệt quế</v>
      </c>
      <c r="G4378" s="8" t="str">
        <f>IFERROR(__xludf.DUMMYFUNCTION("GOOGLETRANSLATE(E4378,""zh-CN"",""vi"")"),"Thường được tìm thấy cùng với đá mặt trăng, nó tự động phát ra ánh trăng. Hãy tổng hợp nó để có được Quả Táo Trí Tuệ.")</f>
        <v>Thường được tìm thấy cùng với đá mặt trăng, nó tự động phát ra ánh trăng. Hãy tổng hợp nó để có được Quả Táo Trí Tuệ.</v>
      </c>
      <c r="H4378" s="8"/>
      <c r="I4378" s="8"/>
      <c r="J4378" s="8"/>
    </row>
    <row r="4379" ht="21.0" customHeight="1">
      <c r="A4379" s="6">
        <v>1.0</v>
      </c>
      <c r="B4379" s="6">
        <v>326.0</v>
      </c>
      <c r="C4379" s="6">
        <v>9.0</v>
      </c>
      <c r="D4379" s="90" t="s">
        <v>7515</v>
      </c>
      <c r="E4379" s="11" t="s">
        <v>7516</v>
      </c>
      <c r="F4379" s="8" t="str">
        <f>IFERROR(__xludf.DUMMYFUNCTION("GOOGLETRANSLATE(D4379,""zh-CN"",""vi"")"),"Apple thông minh")</f>
        <v>Apple thông minh</v>
      </c>
      <c r="G4379" s="8" t="str">
        <f>IFERROR(__xludf.DUMMYFUNCTION("GOOGLETRANSLATE(E4379,""zh-CN"",""vi"")"),"Theo truyền thuyết cổ xưa, nó có thể cám dỗ con người sa ngã. Hãy tổng hợp nó để thu được Hoa Hồng Pha Lê.")</f>
        <v>Theo truyền thuyết cổ xưa, nó có thể cám dỗ con người sa ngã. Hãy tổng hợp nó để thu được Hoa Hồng Pha Lê.</v>
      </c>
      <c r="H4379" s="8"/>
      <c r="I4379" s="8"/>
      <c r="J4379" s="8"/>
    </row>
    <row r="4380" ht="21.0" customHeight="1">
      <c r="A4380" s="6">
        <v>1.0</v>
      </c>
      <c r="B4380" s="6">
        <v>326.0</v>
      </c>
      <c r="C4380" s="6">
        <v>10.0</v>
      </c>
      <c r="D4380" s="82" t="s">
        <v>7517</v>
      </c>
      <c r="E4380" s="11" t="s">
        <v>7518</v>
      </c>
      <c r="F4380" s="8" t="str">
        <f>IFERROR(__xludf.DUMMYFUNCTION("GOOGLETRANSLATE(D4380,""zh-CN"",""vi"")"),"Hoa hồng pha lê")</f>
        <v>Hoa hồng pha lê</v>
      </c>
      <c r="G4380" s="8" t="str">
        <f>IFERROR(__xludf.DUMMYFUNCTION("GOOGLETRANSLATE(E4380,""zh-CN"",""vi"")"),"Không chỉ đẹp mắt, chúng còn là nguyên liệu thiết yếu cho phép thuật pha lê. Hãy chế tạo chúng để có được Cỏ Ước Nguyện.")</f>
        <v>Không chỉ đẹp mắt, chúng còn là nguyên liệu thiết yếu cho phép thuật pha lê. Hãy chế tạo chúng để có được Cỏ Ước Nguyện.</v>
      </c>
      <c r="H4380" s="8"/>
      <c r="I4380" s="8"/>
      <c r="J4380" s="8"/>
    </row>
    <row r="4381" ht="21.0" customHeight="1">
      <c r="A4381" s="6">
        <v>1.0</v>
      </c>
      <c r="B4381" s="6">
        <v>326.0</v>
      </c>
      <c r="C4381" s="6">
        <v>11.0</v>
      </c>
      <c r="D4381" s="80" t="s">
        <v>7519</v>
      </c>
      <c r="E4381" s="11" t="s">
        <v>7520</v>
      </c>
      <c r="F4381" s="8" t="str">
        <f>IFERROR(__xludf.DUMMYFUNCTION("GOOGLETRANSLATE(D4381,""zh-CN"",""vi"")"),"Cỏ ước")</f>
        <v>Cỏ ước</v>
      </c>
      <c r="G4381" s="8" t="str">
        <f>IFERROR(__xludf.DUMMYFUNCTION("GOOGLETRANSLATE(E4381,""zh-CN"",""vi"")"),"Nó có thể làm tăng nhẹ tỷ lệ thành công của các phép thuật ước nguyện. Chế tạo nó sẽ thu được Cỏ Ma.")</f>
        <v>Nó có thể làm tăng nhẹ tỷ lệ thành công của các phép thuật ước nguyện. Chế tạo nó sẽ thu được Cỏ Ma.</v>
      </c>
      <c r="H4381" s="8"/>
      <c r="I4381" s="8"/>
      <c r="J4381" s="8"/>
    </row>
    <row r="4382" ht="21.0" customHeight="1">
      <c r="A4382" s="6">
        <v>1.0</v>
      </c>
      <c r="B4382" s="6">
        <v>326.0</v>
      </c>
      <c r="C4382" s="6">
        <v>12.0</v>
      </c>
      <c r="D4382" s="97" t="s">
        <v>7521</v>
      </c>
      <c r="E4382" s="11" t="s">
        <v>7522</v>
      </c>
      <c r="F4382" s="8" t="str">
        <f>IFERROR(__xludf.DUMMYFUNCTION("GOOGLETRANSLATE(D4382,""zh-CN"",""vi"")"),"Cỏ ma")</f>
        <v>Cỏ ma</v>
      </c>
      <c r="G4382" s="8" t="str">
        <f>IFERROR(__xludf.DUMMYFUNCTION("GOOGLETRANSLATE(E4382,""zh-CN"",""vi"")"),"Đây là ngôi nhà mới cho những linh hồn nhỏ bé vô gia cư. Hãy cùng làm Ngôi nhà Bí ngô nhé!")</f>
        <v>Đây là ngôi nhà mới cho những linh hồn nhỏ bé vô gia cư. Hãy cùng làm Ngôi nhà Bí ngô nhé!</v>
      </c>
      <c r="H4382" s="8"/>
      <c r="I4382" s="8"/>
      <c r="J4382" s="8"/>
    </row>
    <row r="4383" ht="21.0" customHeight="1">
      <c r="A4383" s="6">
        <v>1.0</v>
      </c>
      <c r="B4383" s="6">
        <v>326.0</v>
      </c>
      <c r="C4383" s="6">
        <v>13.0</v>
      </c>
      <c r="D4383" s="67" t="s">
        <v>7523</v>
      </c>
      <c r="E4383" s="11" t="s">
        <v>7524</v>
      </c>
      <c r="F4383" s="8" t="str">
        <f>IFERROR(__xludf.DUMMYFUNCTION("GOOGLETRANSLATE(D4383,""zh-CN"",""vi"")"),"Ngôi nhà bí ngô")</f>
        <v>Ngôi nhà bí ngô</v>
      </c>
      <c r="G4383" s="8" t="str">
        <f>IFERROR(__xludf.DUMMYFUNCTION("GOOGLETRANSLATE(E4383,""zh-CN"",""vi"")"),"Một trái cây, một ngôi nhà; ai cũng có chỗ ở! Kết hợp các trái cây để có được Cây Ước Mơ.")</f>
        <v>Một trái cây, một ngôi nhà; ai cũng có chỗ ở! Kết hợp các trái cây để có được Cây Ước Mơ.</v>
      </c>
      <c r="H4383" s="8"/>
      <c r="I4383" s="8"/>
      <c r="J4383" s="8"/>
    </row>
    <row r="4384" ht="21.0" customHeight="1">
      <c r="A4384" s="6">
        <v>1.0</v>
      </c>
      <c r="B4384" s="6">
        <v>326.0</v>
      </c>
      <c r="C4384" s="6">
        <v>14.0</v>
      </c>
      <c r="D4384" s="80" t="s">
        <v>7525</v>
      </c>
      <c r="E4384" s="9" t="s">
        <v>7526</v>
      </c>
      <c r="F4384" s="8" t="str">
        <f>IFERROR(__xludf.DUMMYFUNCTION("GOOGLETRANSLATE(D4384,""zh-CN"",""vi"")"),"Cây Mơ Ước")</f>
        <v>Cây Mơ Ước</v>
      </c>
      <c r="G4384" s="8" t="str">
        <f>IFERROR(__xludf.DUMMYFUNCTION("GOOGLETRANSLATE(E4384,""zh-CN"",""vi"")"),"Mỗi bông hoa tượng trưng cho một giấc mơ đẹp. Kết hợp chúng lại để có được Cây Tiên Cổ Đại.")</f>
        <v>Mỗi bông hoa tượng trưng cho một giấc mơ đẹp. Kết hợp chúng lại để có được Cây Tiên Cổ Đại.</v>
      </c>
      <c r="H4384" s="8"/>
      <c r="I4384" s="8"/>
      <c r="J4384" s="8"/>
    </row>
    <row r="4385" ht="21.0" customHeight="1">
      <c r="A4385" s="6">
        <v>1.0</v>
      </c>
      <c r="B4385" s="6">
        <v>326.0</v>
      </c>
      <c r="C4385" s="6">
        <v>15.0</v>
      </c>
      <c r="D4385" s="80" t="s">
        <v>7527</v>
      </c>
      <c r="E4385" s="9" t="s">
        <v>7528</v>
      </c>
      <c r="F4385" s="8" t="str">
        <f>IFERROR(__xludf.DUMMYFUNCTION("GOOGLETRANSLATE(D4385,""zh-CN"",""vi"")"),"Cây cổ thụ của tộc Elf")</f>
        <v>Cây cổ thụ của tộc Elf</v>
      </c>
      <c r="G4385" s="8" t="str">
        <f>IFERROR(__xludf.DUMMYFUNCTION("GOOGLETRANSLATE(E4385,""zh-CN"",""vi"")"),"Tương truyền rằng đây là nguồn gốc của tộc Elf. (Đã được tổng hợp đến cấp độ cao nhất)")</f>
        <v>Tương truyền rằng đây là nguồn gốc của tộc Elf. (Đã được tổng hợp đến cấp độ cao nhất)</v>
      </c>
      <c r="H4385" s="8"/>
      <c r="I4385" s="8"/>
      <c r="J4385" s="8"/>
    </row>
    <row r="4386" ht="21.0" customHeight="1">
      <c r="A4386" s="6">
        <v>1.0</v>
      </c>
      <c r="B4386" s="6">
        <v>327.0</v>
      </c>
      <c r="C4386" s="6">
        <v>1.0</v>
      </c>
      <c r="D4386" s="82" t="s">
        <v>7529</v>
      </c>
      <c r="E4386" s="11" t="s">
        <v>7530</v>
      </c>
      <c r="F4386" s="8" t="str">
        <f>IFERROR(__xludf.DUMMYFUNCTION("GOOGLETRANSLATE(D4386,""zh-CN"",""vi"")"),"Chuột trinh sát")</f>
        <v>Chuột trinh sát</v>
      </c>
      <c r="G4386" s="8" t="str">
        <f>IFERROR(__xludf.DUMMYFUNCTION("GOOGLETRANSLATE(E4386,""zh-CN"",""vi"")"),"Kích thước nhỏ bé, nó là một trinh sát bẩm sinh! Tổng hợp để có được Ếch Nổ.")</f>
        <v>Kích thước nhỏ bé, nó là một trinh sát bẩm sinh! Tổng hợp để có được Ếch Nổ.</v>
      </c>
      <c r="H4386" s="8"/>
      <c r="I4386" s="8"/>
      <c r="J4386" s="8"/>
    </row>
    <row r="4387" ht="21.0" customHeight="1">
      <c r="A4387" s="6">
        <v>1.0</v>
      </c>
      <c r="B4387" s="6">
        <v>327.0</v>
      </c>
      <c r="C4387" s="6">
        <v>2.0</v>
      </c>
      <c r="D4387" s="82" t="s">
        <v>7531</v>
      </c>
      <c r="E4387" s="11" t="s">
        <v>7532</v>
      </c>
      <c r="F4387" s="8" t="str">
        <f>IFERROR(__xludf.DUMMYFUNCTION("GOOGLETRANSLATE(D4387,""zh-CN"",""vi"")"),"Con ếch phát nổ")</f>
        <v>Con ếch phát nổ</v>
      </c>
      <c r="G4387" s="8" t="str">
        <f>IFERROR(__xludf.DUMMYFUNCTION("GOOGLETRANSLATE(E4387,""zh-CN"",""vi"")"),"Hãy cẩn thận, tránh xa gỗ! Chế tạo để có được một chú sóc lặn.")</f>
        <v>Hãy cẩn thận, tránh xa gỗ! Chế tạo để có được một chú sóc lặn.</v>
      </c>
      <c r="H4387" s="8"/>
      <c r="I4387" s="8"/>
      <c r="J4387" s="8"/>
    </row>
    <row r="4388" ht="21.0" customHeight="1">
      <c r="A4388" s="6">
        <v>1.0</v>
      </c>
      <c r="B4388" s="6">
        <v>327.0</v>
      </c>
      <c r="C4388" s="6">
        <v>3.0</v>
      </c>
      <c r="D4388" s="82" t="s">
        <v>7533</v>
      </c>
      <c r="E4388" s="11" t="s">
        <v>7534</v>
      </c>
      <c r="F4388" s="8" t="str">
        <f>IFERROR(__xludf.DUMMYFUNCTION("GOOGLETRANSLATE(D4388,""zh-CN"",""vi"")"),"Con sóc lặn")</f>
        <v>Con sóc lặn</v>
      </c>
      <c r="G4388" s="8" t="str">
        <f>IFERROR(__xludf.DUMMYFUNCTION("GOOGLETRANSLATE(E4388,""zh-CN"",""vi"")"),"Nó có thể xuống biển bắt cá. Tổng hợp lại để thu được một con thỏ dùng làm thuốc.")</f>
        <v>Nó có thể xuống biển bắt cá. Tổng hợp lại để thu được một con thỏ dùng làm thuốc.</v>
      </c>
      <c r="H4388" s="8"/>
      <c r="I4388" s="8"/>
      <c r="J4388" s="8"/>
    </row>
    <row r="4389" ht="21.0" customHeight="1">
      <c r="A4389" s="6">
        <v>1.0</v>
      </c>
      <c r="B4389" s="6">
        <v>327.0</v>
      </c>
      <c r="C4389" s="6">
        <v>4.0</v>
      </c>
      <c r="D4389" s="98" t="s">
        <v>7535</v>
      </c>
      <c r="E4389" s="11" t="s">
        <v>7536</v>
      </c>
      <c r="F4389" s="8" t="str">
        <f>IFERROR(__xludf.DUMMYFUNCTION("GOOGLETRANSLATE(D4389,""zh-CN"",""vi"")"),"Thỏ y tế")</f>
        <v>Thỏ y tế</v>
      </c>
      <c r="G4389" s="8" t="str">
        <f>IFERROR(__xludf.DUMMYFUNCTION("GOOGLETRANSLATE(E4389,""zh-CN"",""vi"")"),"Ai mà không yêu thích chú thỏ bác sĩ chứ? Kết hợp chúng lại để tạo ra một con dơi biết bay.")</f>
        <v>Ai mà không yêu thích chú thỏ bác sĩ chứ? Kết hợp chúng lại để tạo ra một con dơi biết bay.</v>
      </c>
      <c r="H4389" s="8"/>
      <c r="I4389" s="8"/>
      <c r="J4389" s="8"/>
    </row>
    <row r="4390" ht="21.0" customHeight="1">
      <c r="A4390" s="6">
        <v>1.0</v>
      </c>
      <c r="B4390" s="6">
        <v>327.0</v>
      </c>
      <c r="C4390" s="6">
        <v>5.0</v>
      </c>
      <c r="D4390" s="82" t="s">
        <v>7537</v>
      </c>
      <c r="E4390" s="11" t="s">
        <v>7538</v>
      </c>
      <c r="F4390" s="8" t="str">
        <f>IFERROR(__xludf.DUMMYFUNCTION("GOOGLETRANSLATE(D4390,""zh-CN"",""vi"")"),"Dơi bay")</f>
        <v>Dơi bay</v>
      </c>
      <c r="G4390" s="8" t="str">
        <f>IFERROR(__xludf.DUMMYFUNCTION("GOOGLETRANSLATE(E4390,""zh-CN"",""vi"")"),"Những loài dơi chuyên bay lượn là niềm tự hào của thế giới loài dơi. Hãy tổng hợp chúng để có được Con Quạ Vô Hình.")</f>
        <v>Những loài dơi chuyên bay lượn là niềm tự hào của thế giới loài dơi. Hãy tổng hợp chúng để có được Con Quạ Vô Hình.</v>
      </c>
      <c r="H4390" s="8"/>
      <c r="I4390" s="8"/>
      <c r="J4390" s="8"/>
    </row>
    <row r="4391" ht="21.0" customHeight="1">
      <c r="A4391" s="6">
        <v>1.0</v>
      </c>
      <c r="B4391" s="6">
        <v>327.0</v>
      </c>
      <c r="C4391" s="6">
        <v>6.0</v>
      </c>
      <c r="D4391" s="82" t="s">
        <v>7539</v>
      </c>
      <c r="E4391" s="11" t="s">
        <v>7540</v>
      </c>
      <c r="F4391" s="8" t="str">
        <f>IFERROR(__xludf.DUMMYFUNCTION("GOOGLETRANSLATE(D4391,""zh-CN"",""vi"")"),"Con quạ vô hình")</f>
        <v>Con quạ vô hình</v>
      </c>
      <c r="G4391" s="8" t="str">
        <f>IFERROR(__xludf.DUMMYFUNCTION("GOOGLETRANSLATE(E4391,""zh-CN"",""vi"")"),"Một con quạ trinh sát tài giỏi, xuất sắc trong việc theo dõi dấu vết của đồng loại. Kết hợp để có được một con cú đưa thư.")</f>
        <v>Một con quạ trinh sát tài giỏi, xuất sắc trong việc theo dõi dấu vết của đồng loại. Kết hợp để có được một con cú đưa thư.</v>
      </c>
      <c r="H4391" s="8"/>
      <c r="I4391" s="8"/>
      <c r="J4391" s="8"/>
    </row>
    <row r="4392" ht="21.0" customHeight="1">
      <c r="A4392" s="6">
        <v>1.0</v>
      </c>
      <c r="B4392" s="6">
        <v>327.0</v>
      </c>
      <c r="C4392" s="6">
        <v>7.0</v>
      </c>
      <c r="D4392" s="82" t="s">
        <v>7541</v>
      </c>
      <c r="E4392" s="11" t="s">
        <v>7542</v>
      </c>
      <c r="F4392" s="8" t="str">
        <f>IFERROR(__xludf.DUMMYFUNCTION("GOOGLETRANSLATE(D4392,""zh-CN"",""vi"")"),"Cú đưa thư")</f>
        <v>Cú đưa thư</v>
      </c>
      <c r="G4392" s="8" t="str">
        <f>IFERROR(__xludf.DUMMYFUNCTION("GOOGLETRANSLATE(E4392,""zh-CN"",""vi"")"),"Những chú cú mang tin nhắn, nhiệm vụ hoàn thành! Kết hợp chúng để có được Mèo Ánh Trăng.")</f>
        <v>Những chú cú mang tin nhắn, nhiệm vụ hoàn thành! Kết hợp chúng để có được Mèo Ánh Trăng.</v>
      </c>
      <c r="H4392" s="8"/>
      <c r="I4392" s="8"/>
      <c r="J4392" s="8"/>
    </row>
    <row r="4393" ht="21.0" customHeight="1">
      <c r="A4393" s="6">
        <v>1.0</v>
      </c>
      <c r="B4393" s="6">
        <v>327.0</v>
      </c>
      <c r="C4393" s="6">
        <v>8.0</v>
      </c>
      <c r="D4393" s="82" t="s">
        <v>7543</v>
      </c>
      <c r="E4393" s="11" t="s">
        <v>7544</v>
      </c>
      <c r="F4393" s="8" t="str">
        <f>IFERROR(__xludf.DUMMYFUNCTION("GOOGLETRANSLATE(D4393,""zh-CN"",""vi"")"),"mèo ánh trăng")</f>
        <v>mèo ánh trăng</v>
      </c>
      <c r="G4393" s="8" t="str">
        <f>IFERROR(__xludf.DUMMYFUNCTION("GOOGLETRANSLATE(E4393,""zh-CN"",""vi"")"),"Một con mèo có khả năng sử dụng sức mạnh của Trăng Đen. Kết hợp để có được Rắn Già Thông Thái.")</f>
        <v>Một con mèo có khả năng sử dụng sức mạnh của Trăng Đen. Kết hợp để có được Rắn Già Thông Thái.</v>
      </c>
      <c r="H4393" s="8"/>
      <c r="I4393" s="8"/>
      <c r="J4393" s="8"/>
    </row>
    <row r="4394" ht="21.0" customHeight="1">
      <c r="A4394" s="6">
        <v>1.0</v>
      </c>
      <c r="B4394" s="6">
        <v>327.0</v>
      </c>
      <c r="C4394" s="6">
        <v>9.0</v>
      </c>
      <c r="D4394" s="80" t="s">
        <v>7545</v>
      </c>
      <c r="E4394" s="11" t="s">
        <v>7546</v>
      </c>
      <c r="F4394" s="8" t="str">
        <f>IFERROR(__xludf.DUMMYFUNCTION("GOOGLETRANSLATE(D4394,""zh-CN"",""vi"")"),"Con rắn già thông thái")</f>
        <v>Con rắn già thông thái</v>
      </c>
      <c r="G4394" s="8" t="str">
        <f>IFERROR(__xludf.DUMMYFUNCTION("GOOGLETRANSLATE(E4394,""zh-CN"",""vi"")"),"Một con rắn già thông thái, am hiểu ma thuật. Kết hợp để có được một Cáo Thần Nước.")</f>
        <v>Một con rắn già thông thái, am hiểu ma thuật. Kết hợp để có được một Cáo Thần Nước.</v>
      </c>
      <c r="H4394" s="8"/>
      <c r="I4394" s="8"/>
      <c r="J4394" s="8"/>
    </row>
    <row r="4395" ht="21.0" customHeight="1">
      <c r="A4395" s="6">
        <v>1.0</v>
      </c>
      <c r="B4395" s="6">
        <v>327.0</v>
      </c>
      <c r="C4395" s="6">
        <v>10.0</v>
      </c>
      <c r="D4395" s="80" t="s">
        <v>7547</v>
      </c>
      <c r="E4395" s="11" t="s">
        <v>7548</v>
      </c>
      <c r="F4395" s="8" t="str">
        <f>IFERROR(__xludf.DUMMYFUNCTION("GOOGLETRANSLATE(D4395,""zh-CN"",""vi"")"),"Cáo Thần Nước")</f>
        <v>Cáo Thần Nước</v>
      </c>
      <c r="G4395" s="8" t="str">
        <f>IFERROR(__xludf.DUMMYFUNCTION("GOOGLETRANSLATE(E4395,""zh-CN"",""vi"")"),"Một linh hồn cáo thông thạo phép thuật nước. Kết hợp để có được Sói Thợ Săn.")</f>
        <v>Một linh hồn cáo thông thạo phép thuật nước. Kết hợp để có được Sói Thợ Săn.</v>
      </c>
      <c r="H4395" s="8"/>
      <c r="I4395" s="8"/>
      <c r="J4395" s="8"/>
    </row>
    <row r="4396" ht="21.0" customHeight="1">
      <c r="A4396" s="6">
        <v>1.0</v>
      </c>
      <c r="B4396" s="6">
        <v>327.0</v>
      </c>
      <c r="C4396" s="6">
        <v>11.0</v>
      </c>
      <c r="D4396" s="82" t="s">
        <v>7549</v>
      </c>
      <c r="E4396" s="11" t="s">
        <v>7550</v>
      </c>
      <c r="F4396" s="8" t="str">
        <f>IFERROR(__xludf.DUMMYFUNCTION("GOOGLETRANSLATE(D4396,""zh-CN"",""vi"")"),"Sói săn mồi")</f>
        <v>Sói săn mồi</v>
      </c>
      <c r="G4396" s="8" t="str">
        <f>IFERROR(__xludf.DUMMYFUNCTION("GOOGLETRANSLATE(E4396,""zh-CN"",""vi"")"),"Với vật phẩm này, bạn sẽ không cần phải đi săn nữa! Hãy chế tạo nó để có được Nước Kung Fu Panda.")</f>
        <v>Với vật phẩm này, bạn sẽ không cần phải đi săn nữa! Hãy chế tạo nó để có được Nước Kung Fu Panda.</v>
      </c>
      <c r="H4396" s="8"/>
      <c r="I4396" s="8"/>
      <c r="J4396" s="8"/>
    </row>
    <row r="4397" ht="21.0" customHeight="1">
      <c r="A4397" s="6">
        <v>1.0</v>
      </c>
      <c r="B4397" s="6">
        <v>327.0</v>
      </c>
      <c r="C4397" s="6">
        <v>12.0</v>
      </c>
      <c r="D4397" s="80" t="s">
        <v>7551</v>
      </c>
      <c r="E4397" s="11" t="s">
        <v>7552</v>
      </c>
      <c r="F4397" s="8" t="str">
        <f>IFERROR(__xludf.DUMMYFUNCTION("GOOGLETRANSLATE(D4397,""zh-CN"",""vi"")"),"Nước Kung Fu Panda")</f>
        <v>Nước Kung Fu Panda</v>
      </c>
      <c r="G4397" s="8" t="str">
        <f>IFERROR(__xludf.DUMMYFUNCTION("GOOGLETRANSLATE(E4397,""zh-CN"",""vi"")"),"Từ nhỏ, anh ta đã tu luyện bên rừng tre và ao hồ. (Tổng hợp để có được Pegasus)")</f>
        <v>Từ nhỏ, anh ta đã tu luyện bên rừng tre và ao hồ. (Tổng hợp để có được Pegasus)</v>
      </c>
      <c r="H4397" s="8"/>
      <c r="I4397" s="8"/>
      <c r="J4397" s="8"/>
    </row>
    <row r="4398" ht="21.0" customHeight="1">
      <c r="A4398" s="6">
        <v>1.0</v>
      </c>
      <c r="B4398" s="6">
        <v>327.0</v>
      </c>
      <c r="C4398" s="6">
        <v>13.0</v>
      </c>
      <c r="D4398" s="82" t="s">
        <v>7553</v>
      </c>
      <c r="E4398" s="11" t="s">
        <v>7554</v>
      </c>
      <c r="F4398" s="8" t="str">
        <f>IFERROR(__xludf.DUMMYFUNCTION("GOOGLETRANSLATE(D4398,""zh-CN"",""vi"")"),"Pegasus")</f>
        <v>Pegasus</v>
      </c>
      <c r="G4398" s="8" t="str">
        <f>IFERROR(__xludf.DUMMYFUNCTION("GOOGLETRANSLATE(E4398,""zh-CN"",""vi"")"),"Tốc độ như bão của nó là vô song. Tổng hợp để có được Vũ công Thiên Nga Đen.")</f>
        <v>Tốc độ như bão của nó là vô song. Tổng hợp để có được Vũ công Thiên Nga Đen.</v>
      </c>
      <c r="H4398" s="8"/>
      <c r="I4398" s="8"/>
      <c r="J4398" s="8"/>
    </row>
    <row r="4399" ht="21.0" customHeight="1">
      <c r="A4399" s="6">
        <v>1.0</v>
      </c>
      <c r="B4399" s="6">
        <v>327.0</v>
      </c>
      <c r="C4399" s="6">
        <v>14.0</v>
      </c>
      <c r="D4399" s="80" t="s">
        <v>7555</v>
      </c>
      <c r="E4399" s="9" t="s">
        <v>7556</v>
      </c>
      <c r="F4399" s="8" t="str">
        <f>IFERROR(__xludf.DUMMYFUNCTION("GOOGLETRANSLATE(D4399,""zh-CN"",""vi"")"),"Vũ công Thiên Nga Đen")</f>
        <v>Vũ công Thiên Nga Đen</v>
      </c>
      <c r="G4399" s="8" t="str">
        <f>IFERROR(__xludf.DUMMYFUNCTION("GOOGLETRANSLATE(E4399,""zh-CN"",""vi"")"),"Có khả năng thực hiện những điệu múa hoàng gia tao nhã ~ Tổng hợp để có được Hình ảnh của Nhà vua")</f>
        <v>Có khả năng thực hiện những điệu múa hoàng gia tao nhã ~ Tổng hợp để có được Hình ảnh của Nhà vua</v>
      </c>
      <c r="H4399" s="8"/>
      <c r="I4399" s="8"/>
      <c r="J4399" s="8"/>
    </row>
    <row r="4400" ht="21.0" customHeight="1">
      <c r="A4400" s="6">
        <v>1.0</v>
      </c>
      <c r="B4400" s="6">
        <v>327.0</v>
      </c>
      <c r="C4400" s="6">
        <v>15.0</v>
      </c>
      <c r="D4400" s="80" t="s">
        <v>7557</v>
      </c>
      <c r="E4400" s="9" t="s">
        <v>7558</v>
      </c>
      <c r="F4400" s="8" t="str">
        <f>IFERROR(__xludf.DUMMYFUNCTION("GOOGLETRANSLATE(D4400,""zh-CN"",""vi"")"),"Hình ảnh của một vị vua")</f>
        <v>Hình ảnh của một vị vua</v>
      </c>
      <c r="G4400" s="8" t="str">
        <f>IFERROR(__xludf.DUMMYFUNCTION("GOOGLETRANSLATE(E4400,""zh-CN"",""vi"")"),"Đây là chúa tể của các loài quái vật trong Rừng Đen. Nó đã được tổng hợp đến cấp độ cao nhất.")</f>
        <v>Đây là chúa tể của các loài quái vật trong Rừng Đen. Nó đã được tổng hợp đến cấp độ cao nhất.</v>
      </c>
      <c r="H4400" s="8"/>
      <c r="I4400" s="8"/>
      <c r="J4400" s="8"/>
    </row>
    <row r="4401" ht="21.0" customHeight="1">
      <c r="A4401" s="6">
        <v>100.0</v>
      </c>
      <c r="B4401" s="6">
        <v>2000.0</v>
      </c>
      <c r="C4401" s="6">
        <v>1.0</v>
      </c>
      <c r="D4401" s="99" t="s">
        <v>7559</v>
      </c>
      <c r="E4401" s="9" t="s">
        <v>7560</v>
      </c>
      <c r="F4401" s="8" t="str">
        <f>IFERROR(__xludf.DUMMYFUNCTION("GOOGLETRANSLATE(D4401,""zh-CN"",""vi"")"),"Phiếu quà tặng màu xanh dương *1")</f>
        <v>Phiếu quà tặng màu xanh dương *1</v>
      </c>
      <c r="G4401" s="8" t="str">
        <f>IFERROR(__xludf.DUMMYFUNCTION("GOOGLETRANSLATE(E4401,""zh-CN"",""vi"")"),"Các vật phẩm trong công viên giải trí, có thể sử dụng trong trò chơi tại công viên giải trí.")</f>
        <v>Các vật phẩm trong công viên giải trí, có thể sử dụng trong trò chơi tại công viên giải trí.</v>
      </c>
      <c r="H4401" s="8"/>
      <c r="I4401" s="8"/>
      <c r="J4401" s="8"/>
    </row>
    <row r="4402" ht="21.0" customHeight="1">
      <c r="A4402" s="6">
        <v>100.0</v>
      </c>
      <c r="B4402" s="6">
        <v>2000.0</v>
      </c>
      <c r="C4402" s="6">
        <v>1.0</v>
      </c>
      <c r="D4402" s="99" t="s">
        <v>7561</v>
      </c>
      <c r="E4402" s="9"/>
      <c r="F4402" s="8" t="str">
        <f>IFERROR(__xludf.DUMMYFUNCTION("GOOGLETRANSLATE(D4402,""zh-CN"",""vi"")"),"Phiếu quà tặng màu xanh dương *5")</f>
        <v>Phiếu quà tặng màu xanh dương *5</v>
      </c>
      <c r="G4402" s="8" t="str">
        <f>IFERROR(__xludf.DUMMYFUNCTION("GOOGLETRANSLATE(E4402,""zh-CN"",""vi"")"),"#VALUE!")</f>
        <v>#VALUE!</v>
      </c>
      <c r="H4402" s="8"/>
      <c r="I4402" s="8"/>
      <c r="J4402" s="8"/>
    </row>
    <row r="4403" ht="21.0" customHeight="1">
      <c r="A4403" s="6">
        <v>100.0</v>
      </c>
      <c r="B4403" s="6">
        <v>2000.0</v>
      </c>
      <c r="C4403" s="6">
        <v>1.0</v>
      </c>
      <c r="D4403" s="99" t="s">
        <v>7562</v>
      </c>
      <c r="E4403" s="9"/>
      <c r="F4403" s="8" t="str">
        <f>IFERROR(__xludf.DUMMYFUNCTION("GOOGLETRANSLATE(D4403,""zh-CN"",""vi"")"),"Phiếu quà tặng màu xanh dương * 10")</f>
        <v>Phiếu quà tặng màu xanh dương * 10</v>
      </c>
      <c r="G4403" s="8" t="str">
        <f>IFERROR(__xludf.DUMMYFUNCTION("GOOGLETRANSLATE(E4403,""zh-CN"",""vi"")"),"#VALUE!")</f>
        <v>#VALUE!</v>
      </c>
      <c r="H4403" s="8"/>
      <c r="I4403" s="8"/>
      <c r="J4403" s="8"/>
    </row>
    <row r="4404" ht="21.0" customHeight="1">
      <c r="A4404" s="6">
        <v>100.0</v>
      </c>
      <c r="B4404" s="6">
        <v>2000.0</v>
      </c>
      <c r="C4404" s="6">
        <v>1.0</v>
      </c>
      <c r="D4404" s="99" t="s">
        <v>7563</v>
      </c>
      <c r="E4404" s="9"/>
      <c r="F4404" s="8" t="str">
        <f>IFERROR(__xludf.DUMMYFUNCTION("GOOGLETRANSLATE(D4404,""zh-CN"",""vi"")"),"Phiếu quà tặng màu xanh dương*50")</f>
        <v>Phiếu quà tặng màu xanh dương*50</v>
      </c>
      <c r="G4404" s="8" t="str">
        <f>IFERROR(__xludf.DUMMYFUNCTION("GOOGLETRANSLATE(E4404,""zh-CN"",""vi"")"),"#VALUE!")</f>
        <v>#VALUE!</v>
      </c>
      <c r="H4404" s="8"/>
      <c r="I4404" s="8"/>
      <c r="J4404" s="8"/>
    </row>
    <row r="4405" ht="21.0" customHeight="1">
      <c r="A4405" s="6">
        <v>100.0</v>
      </c>
      <c r="B4405" s="6">
        <v>2000.0</v>
      </c>
      <c r="C4405" s="6">
        <v>1.0</v>
      </c>
      <c r="D4405" s="99" t="s">
        <v>7564</v>
      </c>
      <c r="E4405" s="9"/>
      <c r="F4405" s="8" t="str">
        <f>IFERROR(__xludf.DUMMYFUNCTION("GOOGLETRANSLATE(D4405,""zh-CN"",""vi"")"),"Phiếu quà tặng màu xanh dương*100")</f>
        <v>Phiếu quà tặng màu xanh dương*100</v>
      </c>
      <c r="G4405" s="8" t="str">
        <f>IFERROR(__xludf.DUMMYFUNCTION("GOOGLETRANSLATE(E4405,""zh-CN"",""vi"")"),"#VALUE!")</f>
        <v>#VALUE!</v>
      </c>
      <c r="H4405" s="8"/>
      <c r="I4405" s="8"/>
      <c r="J4405" s="8"/>
    </row>
    <row r="4406" ht="21.0" customHeight="1">
      <c r="A4406" s="6">
        <v>100.0</v>
      </c>
      <c r="B4406" s="6">
        <v>2000.0</v>
      </c>
      <c r="C4406" s="6">
        <v>1.0</v>
      </c>
      <c r="D4406" s="99" t="s">
        <v>7565</v>
      </c>
      <c r="E4406" s="9" t="s">
        <v>7560</v>
      </c>
      <c r="F4406" s="8" t="str">
        <f>IFERROR(__xludf.DUMMYFUNCTION("GOOGLETRANSLATE(D4406,""zh-CN"",""vi"")"),"Phiếu quà tặng màu tím *1")</f>
        <v>Phiếu quà tặng màu tím *1</v>
      </c>
      <c r="G4406" s="8" t="str">
        <f>IFERROR(__xludf.DUMMYFUNCTION("GOOGLETRANSLATE(E4406,""zh-CN"",""vi"")"),"Các vật phẩm trong công viên giải trí, có thể sử dụng trong trò chơi tại công viên giải trí.")</f>
        <v>Các vật phẩm trong công viên giải trí, có thể sử dụng trong trò chơi tại công viên giải trí.</v>
      </c>
      <c r="H4406" s="8"/>
      <c r="I4406" s="8"/>
      <c r="J4406" s="8"/>
    </row>
    <row r="4407" ht="21.0" customHeight="1">
      <c r="A4407" s="6">
        <v>100.0</v>
      </c>
      <c r="B4407" s="6">
        <v>2000.0</v>
      </c>
      <c r="C4407" s="6">
        <v>1.0</v>
      </c>
      <c r="D4407" s="99" t="s">
        <v>7566</v>
      </c>
      <c r="E4407" s="9"/>
      <c r="F4407" s="8" t="str">
        <f>IFERROR(__xludf.DUMMYFUNCTION("GOOGLETRANSLATE(D4407,""zh-CN"",""vi"")"),"Phiếu quà tặng màu tím *5")</f>
        <v>Phiếu quà tặng màu tím *5</v>
      </c>
      <c r="G4407" s="8" t="str">
        <f>IFERROR(__xludf.DUMMYFUNCTION("GOOGLETRANSLATE(E4407,""zh-CN"",""vi"")"),"#VALUE!")</f>
        <v>#VALUE!</v>
      </c>
      <c r="H4407" s="8"/>
      <c r="I4407" s="8"/>
      <c r="J4407" s="8"/>
    </row>
    <row r="4408" ht="21.0" customHeight="1">
      <c r="A4408" s="6">
        <v>100.0</v>
      </c>
      <c r="B4408" s="6">
        <v>2000.0</v>
      </c>
      <c r="C4408" s="6">
        <v>1.0</v>
      </c>
      <c r="D4408" s="99" t="s">
        <v>7567</v>
      </c>
      <c r="E4408" s="9"/>
      <c r="F4408" s="8" t="str">
        <f>IFERROR(__xludf.DUMMYFUNCTION("GOOGLETRANSLATE(D4408,""zh-CN"",""vi"")"),"Phiếu quà tặng màu tím * 10")</f>
        <v>Phiếu quà tặng màu tím * 10</v>
      </c>
      <c r="G4408" s="8" t="str">
        <f>IFERROR(__xludf.DUMMYFUNCTION("GOOGLETRANSLATE(E4408,""zh-CN"",""vi"")"),"#VALUE!")</f>
        <v>#VALUE!</v>
      </c>
      <c r="H4408" s="8"/>
      <c r="I4408" s="8"/>
      <c r="J4408" s="8"/>
    </row>
    <row r="4409" ht="21.0" customHeight="1">
      <c r="A4409" s="6">
        <v>100.0</v>
      </c>
      <c r="B4409" s="6">
        <v>2000.0</v>
      </c>
      <c r="C4409" s="6">
        <v>1.0</v>
      </c>
      <c r="D4409" s="99" t="s">
        <v>7568</v>
      </c>
      <c r="E4409" s="9"/>
      <c r="F4409" s="8" t="str">
        <f>IFERROR(__xludf.DUMMYFUNCTION("GOOGLETRANSLATE(D4409,""zh-CN"",""vi"")"),"Phiếu quà tặng màu tím * 50")</f>
        <v>Phiếu quà tặng màu tím * 50</v>
      </c>
      <c r="G4409" s="8" t="str">
        <f>IFERROR(__xludf.DUMMYFUNCTION("GOOGLETRANSLATE(E4409,""zh-CN"",""vi"")"),"#VALUE!")</f>
        <v>#VALUE!</v>
      </c>
      <c r="H4409" s="8"/>
      <c r="I4409" s="8"/>
      <c r="J4409" s="8"/>
    </row>
    <row r="4410" ht="21.0" customHeight="1">
      <c r="A4410" s="6">
        <v>100.0</v>
      </c>
      <c r="B4410" s="6">
        <v>2000.0</v>
      </c>
      <c r="C4410" s="6">
        <v>1.0</v>
      </c>
      <c r="D4410" s="99" t="s">
        <v>7569</v>
      </c>
      <c r="E4410" s="9"/>
      <c r="F4410" s="8" t="str">
        <f>IFERROR(__xludf.DUMMYFUNCTION("GOOGLETRANSLATE(D4410,""zh-CN"",""vi"")"),"Phiếu quà tặng màu tím * 100")</f>
        <v>Phiếu quà tặng màu tím * 100</v>
      </c>
      <c r="G4410" s="8" t="str">
        <f>IFERROR(__xludf.DUMMYFUNCTION("GOOGLETRANSLATE(E4410,""zh-CN"",""vi"")"),"#VALUE!")</f>
        <v>#VALUE!</v>
      </c>
      <c r="H4410" s="8"/>
      <c r="I4410" s="8"/>
      <c r="J4410" s="8"/>
    </row>
    <row r="4411" ht="21.0" customHeight="1">
      <c r="A4411" s="6">
        <v>100.0</v>
      </c>
      <c r="B4411" s="6">
        <v>2000.0</v>
      </c>
      <c r="C4411" s="6">
        <v>1.0</v>
      </c>
      <c r="D4411" s="100" t="s">
        <v>7570</v>
      </c>
      <c r="E4411" s="9" t="s">
        <v>7560</v>
      </c>
      <c r="F4411" s="8" t="str">
        <f>IFERROR(__xludf.DUMMYFUNCTION("GOOGLETRANSLATE(D4411,""zh-CN"",""vi"")"),"Phiếu quà tặng Orange *1")</f>
        <v>Phiếu quà tặng Orange *1</v>
      </c>
      <c r="G4411" s="8" t="str">
        <f>IFERROR(__xludf.DUMMYFUNCTION("GOOGLETRANSLATE(E4411,""zh-CN"",""vi"")"),"Các vật phẩm trong công viên giải trí, có thể sử dụng trong trò chơi tại công viên giải trí.")</f>
        <v>Các vật phẩm trong công viên giải trí, có thể sử dụng trong trò chơi tại công viên giải trí.</v>
      </c>
      <c r="H4411" s="8"/>
      <c r="I4411" s="8"/>
      <c r="J4411" s="8"/>
    </row>
    <row r="4412" ht="21.0" customHeight="1">
      <c r="A4412" s="6">
        <v>100.0</v>
      </c>
      <c r="B4412" s="6">
        <v>2000.0</v>
      </c>
      <c r="C4412" s="6">
        <v>1.0</v>
      </c>
      <c r="D4412" s="100" t="s">
        <v>7571</v>
      </c>
      <c r="E4412" s="9"/>
      <c r="F4412" s="8" t="str">
        <f>IFERROR(__xludf.DUMMYFUNCTION("GOOGLETRANSLATE(D4412,""zh-CN"",""vi"")"),"Phiếu quà tặng Orange *5")</f>
        <v>Phiếu quà tặng Orange *5</v>
      </c>
      <c r="G4412" s="8" t="str">
        <f>IFERROR(__xludf.DUMMYFUNCTION("GOOGLETRANSLATE(E4412,""zh-CN"",""vi"")"),"#VALUE!")</f>
        <v>#VALUE!</v>
      </c>
      <c r="H4412" s="8"/>
      <c r="I4412" s="8"/>
      <c r="J4412" s="8"/>
    </row>
    <row r="4413" ht="21.0" customHeight="1">
      <c r="A4413" s="6">
        <v>100.0</v>
      </c>
      <c r="B4413" s="6">
        <v>2000.0</v>
      </c>
      <c r="C4413" s="6">
        <v>1.0</v>
      </c>
      <c r="D4413" s="100" t="s">
        <v>7572</v>
      </c>
      <c r="E4413" s="9"/>
      <c r="F4413" s="8" t="str">
        <f>IFERROR(__xludf.DUMMYFUNCTION("GOOGLETRANSLATE(D4413,""zh-CN"",""vi"")"),"Phiếu quà tặng Orange *10")</f>
        <v>Phiếu quà tặng Orange *10</v>
      </c>
      <c r="G4413" s="8" t="str">
        <f>IFERROR(__xludf.DUMMYFUNCTION("GOOGLETRANSLATE(E4413,""zh-CN"",""vi"")"),"#VALUE!")</f>
        <v>#VALUE!</v>
      </c>
      <c r="H4413" s="8"/>
      <c r="I4413" s="8"/>
      <c r="J4413" s="8"/>
    </row>
    <row r="4414" ht="21.0" customHeight="1">
      <c r="A4414" s="6">
        <v>100.0</v>
      </c>
      <c r="B4414" s="6">
        <v>2000.0</v>
      </c>
      <c r="C4414" s="6">
        <v>1.0</v>
      </c>
      <c r="D4414" s="100" t="s">
        <v>7573</v>
      </c>
      <c r="E4414" s="9"/>
      <c r="F4414" s="8" t="str">
        <f>IFERROR(__xludf.DUMMYFUNCTION("GOOGLETRANSLATE(D4414,""zh-CN"",""vi"")"),"Phiếu quà tặng Orange * 50")</f>
        <v>Phiếu quà tặng Orange * 50</v>
      </c>
      <c r="G4414" s="8" t="str">
        <f>IFERROR(__xludf.DUMMYFUNCTION("GOOGLETRANSLATE(E4414,""zh-CN"",""vi"")"),"#VALUE!")</f>
        <v>#VALUE!</v>
      </c>
      <c r="H4414" s="8"/>
      <c r="I4414" s="8"/>
      <c r="J4414" s="8"/>
    </row>
    <row r="4415" ht="21.0" customHeight="1">
      <c r="A4415" s="6">
        <v>100.0</v>
      </c>
      <c r="B4415" s="6">
        <v>2000.0</v>
      </c>
      <c r="C4415" s="6">
        <v>1.0</v>
      </c>
      <c r="D4415" s="100" t="s">
        <v>7574</v>
      </c>
      <c r="E4415" s="9"/>
      <c r="F4415" s="8" t="str">
        <f>IFERROR(__xludf.DUMMYFUNCTION("GOOGLETRANSLATE(D4415,""zh-CN"",""vi"")"),"Phiếu quà tặng Orange * 100")</f>
        <v>Phiếu quà tặng Orange * 100</v>
      </c>
      <c r="G4415" s="8" t="str">
        <f>IFERROR(__xludf.DUMMYFUNCTION("GOOGLETRANSLATE(E4415,""zh-CN"",""vi"")"),"#VALUE!")</f>
        <v>#VALUE!</v>
      </c>
      <c r="H4415" s="8"/>
      <c r="I4415" s="8"/>
      <c r="J4415" s="8"/>
    </row>
    <row r="4416" ht="21.0" customHeight="1">
      <c r="A4416" s="6">
        <v>100.0</v>
      </c>
      <c r="B4416" s="6">
        <v>2000.0</v>
      </c>
      <c r="C4416" s="6">
        <v>1.0</v>
      </c>
      <c r="D4416" s="100" t="s">
        <v>7575</v>
      </c>
      <c r="E4416" s="9" t="s">
        <v>7560</v>
      </c>
      <c r="F4416" s="8" t="str">
        <f>IFERROR(__xludf.DUMMYFUNCTION("GOOGLETRANSLATE(D4416,""zh-CN"",""vi"")"),"Cần điều khiển mạ vàng *1")</f>
        <v>Cần điều khiển mạ vàng *1</v>
      </c>
      <c r="G4416" s="8" t="str">
        <f>IFERROR(__xludf.DUMMYFUNCTION("GOOGLETRANSLATE(E4416,""zh-CN"",""vi"")"),"Các vật phẩm trong công viên giải trí, có thể sử dụng trong trò chơi tại công viên giải trí.")</f>
        <v>Các vật phẩm trong công viên giải trí, có thể sử dụng trong trò chơi tại công viên giải trí.</v>
      </c>
      <c r="H4416" s="8"/>
      <c r="I4416" s="8"/>
      <c r="J4416" s="8"/>
    </row>
    <row r="4417" ht="21.0" customHeight="1">
      <c r="A4417" s="6">
        <v>100.0</v>
      </c>
      <c r="B4417" s="6">
        <v>2000.0</v>
      </c>
      <c r="C4417" s="6">
        <v>1.0</v>
      </c>
      <c r="D4417" s="100" t="s">
        <v>7576</v>
      </c>
      <c r="E4417" s="9"/>
      <c r="F4417" s="8" t="str">
        <f>IFERROR(__xludf.DUMMYFUNCTION("GOOGLETRANSLATE(D4417,""zh-CN"",""vi"")"),"Cần điều khiển mạ vàng *5")</f>
        <v>Cần điều khiển mạ vàng *5</v>
      </c>
      <c r="G4417" s="8" t="str">
        <f>IFERROR(__xludf.DUMMYFUNCTION("GOOGLETRANSLATE(E4417,""zh-CN"",""vi"")"),"#VALUE!")</f>
        <v>#VALUE!</v>
      </c>
      <c r="H4417" s="8"/>
      <c r="I4417" s="8"/>
      <c r="J4417" s="8"/>
    </row>
    <row r="4418" ht="21.0" customHeight="1">
      <c r="A4418" s="6">
        <v>100.0</v>
      </c>
      <c r="B4418" s="6">
        <v>2000.0</v>
      </c>
      <c r="C4418" s="6">
        <v>1.0</v>
      </c>
      <c r="D4418" s="100" t="s">
        <v>7577</v>
      </c>
      <c r="E4418" s="9"/>
      <c r="F4418" s="8" t="str">
        <f>IFERROR(__xludf.DUMMYFUNCTION("GOOGLETRANSLATE(D4418,""zh-CN"",""vi"")"),"10 cần điều khiển mạ vàng")</f>
        <v>10 cần điều khiển mạ vàng</v>
      </c>
      <c r="G4418" s="8" t="str">
        <f>IFERROR(__xludf.DUMMYFUNCTION("GOOGLETRANSLATE(E4418,""zh-CN"",""vi"")"),"#VALUE!")</f>
        <v>#VALUE!</v>
      </c>
      <c r="H4418" s="8"/>
      <c r="I4418" s="8"/>
      <c r="J4418" s="8"/>
    </row>
    <row r="4419" ht="21.0" customHeight="1">
      <c r="A4419" s="6">
        <v>100.0</v>
      </c>
      <c r="B4419" s="6">
        <v>2000.0</v>
      </c>
      <c r="C4419" s="6">
        <v>1.0</v>
      </c>
      <c r="D4419" s="100" t="s">
        <v>7578</v>
      </c>
      <c r="E4419" s="9"/>
      <c r="F4419" s="8" t="str">
        <f>IFERROR(__xludf.DUMMYFUNCTION("GOOGLETRANSLATE(D4419,""zh-CN"",""vi"")"),"Cần điều khiển mạ vàng *50")</f>
        <v>Cần điều khiển mạ vàng *50</v>
      </c>
      <c r="G4419" s="8" t="str">
        <f>IFERROR(__xludf.DUMMYFUNCTION("GOOGLETRANSLATE(E4419,""zh-CN"",""vi"")"),"#VALUE!")</f>
        <v>#VALUE!</v>
      </c>
      <c r="H4419" s="8"/>
      <c r="I4419" s="8"/>
      <c r="J4419" s="8"/>
    </row>
    <row r="4420" ht="21.0" customHeight="1">
      <c r="A4420" s="6">
        <v>100.0</v>
      </c>
      <c r="B4420" s="6">
        <v>2000.0</v>
      </c>
      <c r="C4420" s="6">
        <v>1.0</v>
      </c>
      <c r="D4420" s="100" t="s">
        <v>7579</v>
      </c>
      <c r="E4420" s="9"/>
      <c r="F4420" s="8" t="str">
        <f>IFERROR(__xludf.DUMMYFUNCTION("GOOGLETRANSLATE(D4420,""zh-CN"",""vi"")"),"100 cần điều khiển mạ vàng")</f>
        <v>100 cần điều khiển mạ vàng</v>
      </c>
      <c r="G4420" s="8" t="str">
        <f>IFERROR(__xludf.DUMMYFUNCTION("GOOGLETRANSLATE(E4420,""zh-CN"",""vi"")"),"#VALUE!")</f>
        <v>#VALUE!</v>
      </c>
      <c r="H4420" s="8"/>
      <c r="I4420" s="8"/>
      <c r="J4420" s="8"/>
    </row>
    <row r="4421" ht="21.0" customHeight="1">
      <c r="A4421" s="6">
        <v>100.0</v>
      </c>
      <c r="B4421" s="6">
        <v>2000.0</v>
      </c>
      <c r="C4421" s="6">
        <v>1.0</v>
      </c>
      <c r="D4421" s="100" t="s">
        <v>7580</v>
      </c>
      <c r="E4421" s="9"/>
      <c r="F4421" s="8" t="str">
        <f>IFERROR(__xludf.DUMMYFUNCTION("GOOGLETRANSLATE(D4421,""zh-CN"",""vi"")"),"Cần điều khiển màu vàng tím *1")</f>
        <v>Cần điều khiển màu vàng tím *1</v>
      </c>
      <c r="G4421" s="8" t="str">
        <f>IFERROR(__xludf.DUMMYFUNCTION("GOOGLETRANSLATE(E4421,""zh-CN"",""vi"")"),"#VALUE!")</f>
        <v>#VALUE!</v>
      </c>
      <c r="H4421" s="8"/>
      <c r="I4421" s="8"/>
      <c r="J4421" s="8"/>
    </row>
    <row r="4422" ht="21.0" customHeight="1">
      <c r="A4422" s="6">
        <v>100.0</v>
      </c>
      <c r="B4422" s="6">
        <v>2000.0</v>
      </c>
      <c r="C4422" s="6">
        <v>1.0</v>
      </c>
      <c r="D4422" s="100" t="s">
        <v>7581</v>
      </c>
      <c r="E4422" s="9"/>
      <c r="F4422" s="8" t="str">
        <f>IFERROR(__xludf.DUMMYFUNCTION("GOOGLETRANSLATE(D4422,""zh-CN"",""vi"")"),"Cần điều khiển màu vàng tím *5")</f>
        <v>Cần điều khiển màu vàng tím *5</v>
      </c>
      <c r="G4422" s="8" t="str">
        <f>IFERROR(__xludf.DUMMYFUNCTION("GOOGLETRANSLATE(E4422,""zh-CN"",""vi"")"),"#VALUE!")</f>
        <v>#VALUE!</v>
      </c>
      <c r="H4422" s="8"/>
      <c r="I4422" s="8"/>
      <c r="J4422" s="8"/>
    </row>
    <row r="4423" ht="21.0" customHeight="1">
      <c r="A4423" s="6">
        <v>100.0</v>
      </c>
      <c r="B4423" s="6">
        <v>2000.0</v>
      </c>
      <c r="C4423" s="6">
        <v>1.0</v>
      </c>
      <c r="D4423" s="100" t="s">
        <v>7582</v>
      </c>
      <c r="E4423" s="9"/>
      <c r="F4423" s="8" t="str">
        <f>IFERROR(__xludf.DUMMYFUNCTION("GOOGLETRANSLATE(D4423,""zh-CN"",""vi"")"),"Cần điều khiển màu vàng tím *10")</f>
        <v>Cần điều khiển màu vàng tím *10</v>
      </c>
      <c r="G4423" s="8" t="str">
        <f>IFERROR(__xludf.DUMMYFUNCTION("GOOGLETRANSLATE(E4423,""zh-CN"",""vi"")"),"#VALUE!")</f>
        <v>#VALUE!</v>
      </c>
      <c r="H4423" s="8"/>
      <c r="I4423" s="8"/>
      <c r="J4423" s="8"/>
    </row>
    <row r="4424" ht="21.0" customHeight="1">
      <c r="A4424" s="6">
        <v>100.0</v>
      </c>
      <c r="B4424" s="6">
        <v>2000.0</v>
      </c>
      <c r="C4424" s="6">
        <v>1.0</v>
      </c>
      <c r="D4424" s="100" t="s">
        <v>7583</v>
      </c>
      <c r="E4424" s="9"/>
      <c r="F4424" s="8" t="str">
        <f>IFERROR(__xludf.DUMMYFUNCTION("GOOGLETRANSLATE(D4424,""zh-CN"",""vi"")"),"Cần điều khiển màu vàng tím *50")</f>
        <v>Cần điều khiển màu vàng tím *50</v>
      </c>
      <c r="G4424" s="8" t="str">
        <f>IFERROR(__xludf.DUMMYFUNCTION("GOOGLETRANSLATE(E4424,""zh-CN"",""vi"")"),"#VALUE!")</f>
        <v>#VALUE!</v>
      </c>
      <c r="H4424" s="8"/>
      <c r="I4424" s="8"/>
      <c r="J4424" s="8"/>
    </row>
    <row r="4425" ht="21.0" customHeight="1">
      <c r="A4425" s="6">
        <v>100.0</v>
      </c>
      <c r="B4425" s="6">
        <v>2000.0</v>
      </c>
      <c r="C4425" s="6">
        <v>1.0</v>
      </c>
      <c r="D4425" s="100" t="s">
        <v>7584</v>
      </c>
      <c r="E4425" s="9"/>
      <c r="F4425" s="8" t="str">
        <f>IFERROR(__xludf.DUMMYFUNCTION("GOOGLETRANSLATE(D4425,""zh-CN"",""vi"")"),"Cần điều khiển màu vàng tím *100")</f>
        <v>Cần điều khiển màu vàng tím *100</v>
      </c>
      <c r="G4425" s="8" t="str">
        <f>IFERROR(__xludf.DUMMYFUNCTION("GOOGLETRANSLATE(E4425,""zh-CN"",""vi"")"),"#VALUE!")</f>
        <v>#VALUE!</v>
      </c>
      <c r="H4425" s="8"/>
      <c r="I4425" s="8"/>
      <c r="J4425" s="8"/>
    </row>
    <row r="4426" ht="21.0" customHeight="1">
      <c r="A4426" s="6">
        <v>100.0</v>
      </c>
      <c r="B4426" s="6">
        <v>2000.0</v>
      </c>
      <c r="C4426" s="6">
        <v>1.0</v>
      </c>
      <c r="D4426" s="100" t="s">
        <v>7585</v>
      </c>
      <c r="E4426" s="9"/>
      <c r="F4426" s="8" t="str">
        <f>IFERROR(__xludf.DUMMYFUNCTION("GOOGLETRANSLATE(D4426,""zh-CN"",""vi"")"),"Cần điều khiển Crystal *1")</f>
        <v>Cần điều khiển Crystal *1</v>
      </c>
      <c r="G4426" s="8" t="str">
        <f>IFERROR(__xludf.DUMMYFUNCTION("GOOGLETRANSLATE(E4426,""zh-CN"",""vi"")"),"#VALUE!")</f>
        <v>#VALUE!</v>
      </c>
      <c r="H4426" s="8"/>
      <c r="I4426" s="8"/>
      <c r="J4426" s="8"/>
    </row>
    <row r="4427" ht="21.0" customHeight="1">
      <c r="A4427" s="6">
        <v>100.0</v>
      </c>
      <c r="B4427" s="6">
        <v>2000.0</v>
      </c>
      <c r="C4427" s="6">
        <v>1.0</v>
      </c>
      <c r="D4427" s="100" t="s">
        <v>7586</v>
      </c>
      <c r="E4427" s="9"/>
      <c r="F4427" s="8" t="str">
        <f>IFERROR(__xludf.DUMMYFUNCTION("GOOGLETRANSLATE(D4427,""zh-CN"",""vi"")"),"Cần điều khiển pha lê *5")</f>
        <v>Cần điều khiển pha lê *5</v>
      </c>
      <c r="G4427" s="8" t="str">
        <f>IFERROR(__xludf.DUMMYFUNCTION("GOOGLETRANSLATE(E4427,""zh-CN"",""vi"")"),"#VALUE!")</f>
        <v>#VALUE!</v>
      </c>
      <c r="H4427" s="8"/>
      <c r="I4427" s="8"/>
      <c r="J4427" s="8"/>
    </row>
    <row r="4428" ht="21.0" customHeight="1">
      <c r="A4428" s="6">
        <v>100.0</v>
      </c>
      <c r="B4428" s="6">
        <v>2000.0</v>
      </c>
      <c r="C4428" s="6">
        <v>1.0</v>
      </c>
      <c r="D4428" s="100" t="s">
        <v>7587</v>
      </c>
      <c r="E4428" s="9"/>
      <c r="F4428" s="8" t="str">
        <f>IFERROR(__xludf.DUMMYFUNCTION("GOOGLETRANSLATE(D4428,""zh-CN"",""vi"")"),"Cần điều khiển pha lê *10")</f>
        <v>Cần điều khiển pha lê *10</v>
      </c>
      <c r="G4428" s="8" t="str">
        <f>IFERROR(__xludf.DUMMYFUNCTION("GOOGLETRANSLATE(E4428,""zh-CN"",""vi"")"),"#VALUE!")</f>
        <v>#VALUE!</v>
      </c>
      <c r="H4428" s="8"/>
      <c r="I4428" s="8"/>
      <c r="J4428" s="8"/>
    </row>
    <row r="4429" ht="21.0" customHeight="1">
      <c r="A4429" s="6">
        <v>100.0</v>
      </c>
      <c r="B4429" s="6">
        <v>2000.0</v>
      </c>
      <c r="C4429" s="6">
        <v>1.0</v>
      </c>
      <c r="D4429" s="100" t="s">
        <v>7588</v>
      </c>
      <c r="E4429" s="9"/>
      <c r="F4429" s="8" t="str">
        <f>IFERROR(__xludf.DUMMYFUNCTION("GOOGLETRANSLATE(D4429,""zh-CN"",""vi"")"),"Cần điều khiển Crystal *50")</f>
        <v>Cần điều khiển Crystal *50</v>
      </c>
      <c r="G4429" s="8" t="str">
        <f>IFERROR(__xludf.DUMMYFUNCTION("GOOGLETRANSLATE(E4429,""zh-CN"",""vi"")"),"#VALUE!")</f>
        <v>#VALUE!</v>
      </c>
      <c r="H4429" s="8"/>
      <c r="I4429" s="8"/>
      <c r="J4429" s="8"/>
    </row>
    <row r="4430" ht="21.0" customHeight="1">
      <c r="A4430" s="6">
        <v>100.0</v>
      </c>
      <c r="B4430" s="6">
        <v>2000.0</v>
      </c>
      <c r="C4430" s="6">
        <v>1.0</v>
      </c>
      <c r="D4430" s="100" t="s">
        <v>7589</v>
      </c>
      <c r="E4430" s="9"/>
      <c r="F4430" s="8" t="str">
        <f>IFERROR(__xludf.DUMMYFUNCTION("GOOGLETRANSLATE(D4430,""zh-CN"",""vi"")"),"Cần điều khiển Crystal *100")</f>
        <v>Cần điều khiển Crystal *100</v>
      </c>
      <c r="G4430" s="8" t="str">
        <f>IFERROR(__xludf.DUMMYFUNCTION("GOOGLETRANSLATE(E4430,""zh-CN"",""vi"")"),"#VALUE!")</f>
        <v>#VALUE!</v>
      </c>
      <c r="H4430" s="8"/>
      <c r="I4430" s="8"/>
      <c r="J4430" s="8"/>
    </row>
    <row r="4431" ht="21.0" customHeight="1">
      <c r="A4431" s="6">
        <v>100.0</v>
      </c>
      <c r="B4431" s="6">
        <v>2000.0</v>
      </c>
      <c r="C4431" s="6">
        <v>1.0</v>
      </c>
      <c r="D4431" s="100" t="s">
        <v>7590</v>
      </c>
      <c r="E4431" s="9"/>
      <c r="F4431" s="8" t="str">
        <f>IFERROR(__xludf.DUMMYFUNCTION("GOOGLETRANSLATE(D4431,""zh-CN"",""vi"")"),"Cần điều khiển tâm linh *1")</f>
        <v>Cần điều khiển tâm linh *1</v>
      </c>
      <c r="G4431" s="8" t="str">
        <f>IFERROR(__xludf.DUMMYFUNCTION("GOOGLETRANSLATE(E4431,""zh-CN"",""vi"")"),"#VALUE!")</f>
        <v>#VALUE!</v>
      </c>
      <c r="H4431" s="8"/>
      <c r="I4431" s="8"/>
      <c r="J4431" s="8"/>
    </row>
    <row r="4432" ht="21.0" customHeight="1">
      <c r="A4432" s="6">
        <v>100.0</v>
      </c>
      <c r="B4432" s="6">
        <v>2000.0</v>
      </c>
      <c r="C4432" s="6">
        <v>1.0</v>
      </c>
      <c r="D4432" s="100" t="s">
        <v>7591</v>
      </c>
      <c r="E4432" s="9"/>
      <c r="F4432" s="8" t="str">
        <f>IFERROR(__xludf.DUMMYFUNCTION("GOOGLETRANSLATE(D4432,""zh-CN"",""vi"")"),"5 Cần điều khiển kích hoạt phép thuật")</f>
        <v>5 Cần điều khiển kích hoạt phép thuật</v>
      </c>
      <c r="G4432" s="8" t="str">
        <f>IFERROR(__xludf.DUMMYFUNCTION("GOOGLETRANSLATE(E4432,""zh-CN"",""vi"")"),"#VALUE!")</f>
        <v>#VALUE!</v>
      </c>
      <c r="H4432" s="8"/>
      <c r="I4432" s="8"/>
      <c r="J4432" s="8"/>
    </row>
    <row r="4433" ht="21.0" customHeight="1">
      <c r="A4433" s="6">
        <v>100.0</v>
      </c>
      <c r="B4433" s="6">
        <v>2000.0</v>
      </c>
      <c r="C4433" s="6">
        <v>1.0</v>
      </c>
      <c r="D4433" s="100" t="s">
        <v>7592</v>
      </c>
      <c r="E4433" s="9"/>
      <c r="F4433" s="8" t="str">
        <f>IFERROR(__xludf.DUMMYFUNCTION("GOOGLETRANSLATE(D4433,""zh-CN"",""vi"")"),"10 Cần Điều Khiển Phép Thuật")</f>
        <v>10 Cần Điều Khiển Phép Thuật</v>
      </c>
      <c r="G4433" s="8" t="str">
        <f>IFERROR(__xludf.DUMMYFUNCTION("GOOGLETRANSLATE(E4433,""zh-CN"",""vi"")"),"#VALUE!")</f>
        <v>#VALUE!</v>
      </c>
      <c r="H4433" s="8"/>
      <c r="I4433" s="8"/>
      <c r="J4433" s="8"/>
    </row>
    <row r="4434" ht="21.0" customHeight="1">
      <c r="A4434" s="6">
        <v>100.0</v>
      </c>
      <c r="B4434" s="6">
        <v>2000.0</v>
      </c>
      <c r="C4434" s="6">
        <v>1.0</v>
      </c>
      <c r="D4434" s="100" t="s">
        <v>7593</v>
      </c>
      <c r="E4434" s="9"/>
      <c r="F4434" s="8" t="str">
        <f>IFERROR(__xludf.DUMMYFUNCTION("GOOGLETRANSLATE(D4434,""zh-CN"",""vi"")"),"50 Tay cầm triệu hồi linh hồn")</f>
        <v>50 Tay cầm triệu hồi linh hồn</v>
      </c>
      <c r="G4434" s="8" t="str">
        <f>IFERROR(__xludf.DUMMYFUNCTION("GOOGLETRANSLATE(E4434,""zh-CN"",""vi"")"),"#VALUE!")</f>
        <v>#VALUE!</v>
      </c>
      <c r="H4434" s="8"/>
      <c r="I4434" s="8"/>
      <c r="J4434" s="8"/>
    </row>
    <row r="4435" ht="21.0" customHeight="1">
      <c r="A4435" s="6">
        <v>100.0</v>
      </c>
      <c r="B4435" s="6">
        <v>2000.0</v>
      </c>
      <c r="C4435" s="6">
        <v>1.0</v>
      </c>
      <c r="D4435" s="100" t="s">
        <v>7594</v>
      </c>
      <c r="E4435" s="9"/>
      <c r="F4435" s="8" t="str">
        <f>IFERROR(__xludf.DUMMYFUNCTION("GOOGLETRANSLATE(D4435,""zh-CN"",""vi"")"),"100 Tay cầm triệu hồi linh hồn")</f>
        <v>100 Tay cầm triệu hồi linh hồn</v>
      </c>
      <c r="G4435" s="8" t="str">
        <f>IFERROR(__xludf.DUMMYFUNCTION("GOOGLETRANSLATE(E4435,""zh-CN"",""vi"")"),"#VALUE!")</f>
        <v>#VALUE!</v>
      </c>
      <c r="H4435" s="8"/>
      <c r="I4435" s="8"/>
      <c r="J4435" s="8"/>
    </row>
    <row r="4436" ht="21.0" customHeight="1">
      <c r="A4436" s="6">
        <v>100.0</v>
      </c>
      <c r="B4436" s="6">
        <v>2000.0</v>
      </c>
      <c r="C4436" s="6">
        <v>1.0</v>
      </c>
      <c r="D4436" s="100" t="s">
        <v>7595</v>
      </c>
      <c r="E4436" s="9" t="s">
        <v>7560</v>
      </c>
      <c r="F4436" s="8" t="str">
        <f>IFERROR(__xludf.DUMMYFUNCTION("GOOGLETRANSLATE(D4436,""zh-CN"",""vi"")"),"Sản phẩm")</f>
        <v>Sản phẩm</v>
      </c>
      <c r="G4436" s="8" t="str">
        <f>IFERROR(__xludf.DUMMYFUNCTION("GOOGLETRANSLATE(E4436,""zh-CN"",""vi"")"),"Các vật phẩm trong công viên giải trí, có thể sử dụng trong trò chơi tại công viên giải trí.")</f>
        <v>Các vật phẩm trong công viên giải trí, có thể sử dụng trong trò chơi tại công viên giải trí.</v>
      </c>
      <c r="H4436" s="8"/>
      <c r="I4436" s="8"/>
      <c r="J4436" s="8"/>
    </row>
    <row r="4437" ht="21.0" customHeight="1">
      <c r="A4437" s="6">
        <v>100.0</v>
      </c>
      <c r="B4437" s="6">
        <v>2000.0</v>
      </c>
      <c r="C4437" s="6">
        <v>1.0</v>
      </c>
      <c r="D4437" s="99" t="s">
        <v>7596</v>
      </c>
      <c r="E4437" s="9" t="s">
        <v>7560</v>
      </c>
      <c r="F4437" s="8" t="str">
        <f>IFERROR(__xludf.DUMMYFUNCTION("GOOGLETRANSLATE(D4437,""zh-CN"",""vi"")"),"Cái bảng")</f>
        <v>Cái bảng</v>
      </c>
      <c r="G4437" s="8" t="str">
        <f>IFERROR(__xludf.DUMMYFUNCTION("GOOGLETRANSLATE(E4437,""zh-CN"",""vi"")"),"Các vật phẩm trong công viên giải trí, có thể sử dụng trong trò chơi tại công viên giải trí.")</f>
        <v>Các vật phẩm trong công viên giải trí, có thể sử dụng trong trò chơi tại công viên giải trí.</v>
      </c>
      <c r="H4437" s="8"/>
      <c r="I4437" s="8"/>
      <c r="J4437" s="8"/>
    </row>
    <row r="4438" ht="21.0" customHeight="1">
      <c r="A4438" s="6">
        <v>100.0</v>
      </c>
      <c r="B4438" s="6">
        <v>2000.0</v>
      </c>
      <c r="C4438" s="6">
        <v>1.0</v>
      </c>
      <c r="D4438" s="99" t="s">
        <v>7188</v>
      </c>
      <c r="E4438" s="9" t="s">
        <v>7560</v>
      </c>
      <c r="F4438" s="8" t="str">
        <f>IFERROR(__xludf.DUMMYFUNCTION("GOOGLETRANSLATE(D4438,""zh-CN"",""vi"")"),"quyền sở hữu đất đai")</f>
        <v>quyền sở hữu đất đai</v>
      </c>
      <c r="G4438" s="8" t="str">
        <f>IFERROR(__xludf.DUMMYFUNCTION("GOOGLETRANSLATE(E4438,""zh-CN"",""vi"")"),"Các vật phẩm trong công viên giải trí, có thể sử dụng trong trò chơi tại công viên giải trí.")</f>
        <v>Các vật phẩm trong công viên giải trí, có thể sử dụng trong trò chơi tại công viên giải trí.</v>
      </c>
      <c r="H4438" s="8"/>
      <c r="I4438" s="8"/>
      <c r="J4438" s="8"/>
    </row>
    <row r="4439" ht="21.0" customHeight="1">
      <c r="A4439" s="6">
        <v>100.0</v>
      </c>
      <c r="B4439" s="6">
        <v>2000.0</v>
      </c>
      <c r="C4439" s="6">
        <v>1.0</v>
      </c>
      <c r="D4439" s="100" t="s">
        <v>7597</v>
      </c>
      <c r="E4439" s="9" t="s">
        <v>7560</v>
      </c>
      <c r="F4439" s="8" t="str">
        <f>IFERROR(__xludf.DUMMYFUNCTION("GOOGLETRANSLATE(D4439,""zh-CN"",""vi"")"),"Bộ đồ dùng giường ngủ cơ bản")</f>
        <v>Bộ đồ dùng giường ngủ cơ bản</v>
      </c>
      <c r="G4439" s="8" t="str">
        <f>IFERROR(__xludf.DUMMYFUNCTION("GOOGLETRANSLATE(E4439,""zh-CN"",""vi"")"),"Các vật phẩm trong công viên giải trí, có thể sử dụng trong trò chơi tại công viên giải trí.")</f>
        <v>Các vật phẩm trong công viên giải trí, có thể sử dụng trong trò chơi tại công viên giải trí.</v>
      </c>
      <c r="H4439" s="8"/>
      <c r="I4439" s="8"/>
      <c r="J4439" s="8"/>
    </row>
    <row r="4440" ht="21.0" customHeight="1">
      <c r="A4440" s="6">
        <v>100.0</v>
      </c>
      <c r="B4440" s="6">
        <v>2000.0</v>
      </c>
      <c r="C4440" s="6">
        <v>1.0</v>
      </c>
      <c r="D4440" s="99" t="s">
        <v>7598</v>
      </c>
      <c r="E4440" s="9" t="s">
        <v>7560</v>
      </c>
      <c r="F4440" s="8" t="str">
        <f>IFERROR(__xludf.DUMMYFUNCTION("GOOGLETRANSLATE(D4440,""zh-CN"",""vi"")"),"Giường ngủ trung cấp")</f>
        <v>Giường ngủ trung cấp</v>
      </c>
      <c r="G4440" s="8" t="str">
        <f>IFERROR(__xludf.DUMMYFUNCTION("GOOGLETRANSLATE(E4440,""zh-CN"",""vi"")"),"Các vật phẩm trong công viên giải trí, có thể sử dụng trong trò chơi tại công viên giải trí.")</f>
        <v>Các vật phẩm trong công viên giải trí, có thể sử dụng trong trò chơi tại công viên giải trí.</v>
      </c>
      <c r="H4440" s="8"/>
      <c r="I4440" s="8"/>
      <c r="J4440" s="8"/>
    </row>
    <row r="4441" ht="21.0" customHeight="1">
      <c r="A4441" s="6">
        <v>100.0</v>
      </c>
      <c r="B4441" s="6">
        <v>2000.0</v>
      </c>
      <c r="C4441" s="6">
        <v>1.0</v>
      </c>
      <c r="D4441" s="100" t="s">
        <v>7599</v>
      </c>
      <c r="E4441" s="9" t="s">
        <v>7560</v>
      </c>
      <c r="F4441" s="8" t="str">
        <f>IFERROR(__xludf.DUMMYFUNCTION("GOOGLETRANSLATE(D4441,""zh-CN"",""vi"")"),"Bộ đồ giường cao cấp")</f>
        <v>Bộ đồ giường cao cấp</v>
      </c>
      <c r="G4441" s="8" t="str">
        <f>IFERROR(__xludf.DUMMYFUNCTION("GOOGLETRANSLATE(E4441,""zh-CN"",""vi"")"),"Các vật phẩm trong công viên giải trí, có thể sử dụng trong trò chơi tại công viên giải trí.")</f>
        <v>Các vật phẩm trong công viên giải trí, có thể sử dụng trong trò chơi tại công viên giải trí.</v>
      </c>
      <c r="H4441" s="8"/>
      <c r="I4441" s="8"/>
      <c r="J4441" s="8"/>
    </row>
    <row r="4442" ht="21.0" customHeight="1">
      <c r="A4442" s="6">
        <v>100.0</v>
      </c>
      <c r="B4442" s="6">
        <v>2000.0</v>
      </c>
      <c r="C4442" s="6">
        <v>1.0</v>
      </c>
      <c r="D4442" s="99" t="s">
        <v>7600</v>
      </c>
      <c r="E4442" s="9" t="s">
        <v>7560</v>
      </c>
      <c r="F4442" s="8" t="str">
        <f>IFERROR(__xludf.DUMMYFUNCTION("GOOGLETRANSLATE(D4442,""zh-CN"",""vi"")"),"các thành phần cơ bản")</f>
        <v>các thành phần cơ bản</v>
      </c>
      <c r="G4442" s="8" t="str">
        <f>IFERROR(__xludf.DUMMYFUNCTION("GOOGLETRANSLATE(E4442,""zh-CN"",""vi"")"),"Các vật phẩm trong công viên giải trí, có thể sử dụng trong trò chơi tại công viên giải trí.")</f>
        <v>Các vật phẩm trong công viên giải trí, có thể sử dụng trong trò chơi tại công viên giải trí.</v>
      </c>
      <c r="H4442" s="8"/>
      <c r="I4442" s="8"/>
      <c r="J4442" s="8"/>
    </row>
    <row r="4443" ht="21.0" customHeight="1">
      <c r="A4443" s="6">
        <v>100.0</v>
      </c>
      <c r="B4443" s="6">
        <v>2000.0</v>
      </c>
      <c r="C4443" s="6">
        <v>1.0</v>
      </c>
      <c r="D4443" s="100" t="s">
        <v>7601</v>
      </c>
      <c r="E4443" s="9" t="s">
        <v>7560</v>
      </c>
      <c r="F4443" s="8" t="str">
        <f>IFERROR(__xludf.DUMMYFUNCTION("GOOGLETRANSLATE(D4443,""zh-CN"",""vi"")"),"Thành phần trung gian")</f>
        <v>Thành phần trung gian</v>
      </c>
      <c r="G4443" s="8" t="str">
        <f>IFERROR(__xludf.DUMMYFUNCTION("GOOGLETRANSLATE(E4443,""zh-CN"",""vi"")"),"Các vật phẩm trong công viên giải trí, có thể sử dụng trong trò chơi tại công viên giải trí.")</f>
        <v>Các vật phẩm trong công viên giải trí, có thể sử dụng trong trò chơi tại công viên giải trí.</v>
      </c>
      <c r="H4443" s="8"/>
      <c r="I4443" s="8"/>
      <c r="J4443" s="8"/>
    </row>
    <row r="4444" ht="21.0" customHeight="1">
      <c r="A4444" s="6">
        <v>100.0</v>
      </c>
      <c r="B4444" s="6">
        <v>2000.0</v>
      </c>
      <c r="C4444" s="6">
        <v>1.0</v>
      </c>
      <c r="D4444" s="99" t="s">
        <v>7602</v>
      </c>
      <c r="E4444" s="9" t="s">
        <v>7560</v>
      </c>
      <c r="F4444" s="8" t="str">
        <f>IFERROR(__xludf.DUMMYFUNCTION("GOOGLETRANSLATE(D4444,""zh-CN"",""vi"")"),"nguyên liệu cao cấp")</f>
        <v>nguyên liệu cao cấp</v>
      </c>
      <c r="G4444" s="8" t="str">
        <f>IFERROR(__xludf.DUMMYFUNCTION("GOOGLETRANSLATE(E4444,""zh-CN"",""vi"")"),"Các vật phẩm trong công viên giải trí, có thể sử dụng trong trò chơi tại công viên giải trí.")</f>
        <v>Các vật phẩm trong công viên giải trí, có thể sử dụng trong trò chơi tại công viên giải trí.</v>
      </c>
      <c r="H4444" s="8"/>
      <c r="I4444" s="8"/>
      <c r="J4444" s="8"/>
    </row>
    <row r="4445" ht="21.0" customHeight="1">
      <c r="A4445" s="6">
        <v>100.0</v>
      </c>
      <c r="B4445" s="6">
        <v>2000.0</v>
      </c>
      <c r="C4445" s="6">
        <v>1.0</v>
      </c>
      <c r="D4445" s="100" t="s">
        <v>7603</v>
      </c>
      <c r="E4445" s="9" t="s">
        <v>7560</v>
      </c>
      <c r="F4445" s="8" t="str">
        <f>IFERROR(__xludf.DUMMYFUNCTION("GOOGLETRANSLATE(D4445,""zh-CN"",""vi"")"),"nhạc cụ cơ bản")</f>
        <v>nhạc cụ cơ bản</v>
      </c>
      <c r="G4445" s="8" t="str">
        <f>IFERROR(__xludf.DUMMYFUNCTION("GOOGLETRANSLATE(E4445,""zh-CN"",""vi"")"),"Các vật phẩm trong công viên giải trí, có thể sử dụng trong trò chơi tại công viên giải trí.")</f>
        <v>Các vật phẩm trong công viên giải trí, có thể sử dụng trong trò chơi tại công viên giải trí.</v>
      </c>
      <c r="H4445" s="8"/>
      <c r="I4445" s="8"/>
      <c r="J4445" s="8"/>
    </row>
    <row r="4446" ht="21.0" customHeight="1">
      <c r="A4446" s="6">
        <v>100.0</v>
      </c>
      <c r="B4446" s="6">
        <v>2000.0</v>
      </c>
      <c r="C4446" s="6">
        <v>1.0</v>
      </c>
      <c r="D4446" s="99" t="s">
        <v>7604</v>
      </c>
      <c r="E4446" s="9" t="s">
        <v>7560</v>
      </c>
      <c r="F4446" s="8" t="str">
        <f>IFERROR(__xludf.DUMMYFUNCTION("GOOGLETRANSLATE(D4446,""zh-CN"",""vi"")"),"nhạc cụ trình độ trung cấp")</f>
        <v>nhạc cụ trình độ trung cấp</v>
      </c>
      <c r="G4446" s="8" t="str">
        <f>IFERROR(__xludf.DUMMYFUNCTION("GOOGLETRANSLATE(E4446,""zh-CN"",""vi"")"),"Các vật phẩm trong công viên giải trí, có thể sử dụng trong trò chơi tại công viên giải trí.")</f>
        <v>Các vật phẩm trong công viên giải trí, có thể sử dụng trong trò chơi tại công viên giải trí.</v>
      </c>
      <c r="H4446" s="8"/>
      <c r="I4446" s="8"/>
      <c r="J4446" s="8"/>
    </row>
    <row r="4447" ht="21.0" customHeight="1">
      <c r="A4447" s="6">
        <v>100.0</v>
      </c>
      <c r="B4447" s="6">
        <v>2000.0</v>
      </c>
      <c r="C4447" s="6">
        <v>1.0</v>
      </c>
      <c r="D4447" s="100" t="s">
        <v>7605</v>
      </c>
      <c r="E4447" s="9" t="s">
        <v>7560</v>
      </c>
      <c r="F4447" s="8" t="str">
        <f>IFERROR(__xludf.DUMMYFUNCTION("GOOGLETRANSLATE(D4447,""zh-CN"",""vi"")"),"Nhạc cụ cao cấp")</f>
        <v>Nhạc cụ cao cấp</v>
      </c>
      <c r="G4447" s="8" t="str">
        <f>IFERROR(__xludf.DUMMYFUNCTION("GOOGLETRANSLATE(E4447,""zh-CN"",""vi"")"),"Các vật phẩm trong công viên giải trí, có thể sử dụng trong trò chơi tại công viên giải trí.")</f>
        <v>Các vật phẩm trong công viên giải trí, có thể sử dụng trong trò chơi tại công viên giải trí.</v>
      </c>
      <c r="H4447" s="8"/>
      <c r="I4447" s="8"/>
      <c r="J4447" s="8"/>
    </row>
    <row r="4448" ht="21.0" customHeight="1">
      <c r="A4448" s="6">
        <v>100.0</v>
      </c>
      <c r="B4448" s="6">
        <v>2000.0</v>
      </c>
      <c r="C4448" s="6">
        <v>1.0</v>
      </c>
      <c r="D4448" s="99" t="s">
        <v>7606</v>
      </c>
      <c r="E4448" s="9" t="s">
        <v>7560</v>
      </c>
      <c r="F4448" s="8" t="str">
        <f>IFERROR(__xludf.DUMMYFUNCTION("GOOGLETRANSLATE(D4448,""zh-CN"",""vi"")"),"Địa nhiệt sơ cấp")</f>
        <v>Địa nhiệt sơ cấp</v>
      </c>
      <c r="G4448" s="8" t="str">
        <f>IFERROR(__xludf.DUMMYFUNCTION("GOOGLETRANSLATE(E4448,""zh-CN"",""vi"")"),"Các vật phẩm trong công viên giải trí, có thể sử dụng trong trò chơi tại công viên giải trí.")</f>
        <v>Các vật phẩm trong công viên giải trí, có thể sử dụng trong trò chơi tại công viên giải trí.</v>
      </c>
      <c r="H4448" s="8"/>
      <c r="I4448" s="8"/>
      <c r="J4448" s="8"/>
    </row>
    <row r="4449" ht="21.0" customHeight="1">
      <c r="A4449" s="6">
        <v>100.0</v>
      </c>
      <c r="B4449" s="6">
        <v>2000.0</v>
      </c>
      <c r="C4449" s="6">
        <v>1.0</v>
      </c>
      <c r="D4449" s="100" t="s">
        <v>7607</v>
      </c>
      <c r="E4449" s="9" t="s">
        <v>7560</v>
      </c>
      <c r="F4449" s="8" t="str">
        <f>IFERROR(__xludf.DUMMYFUNCTION("GOOGLETRANSLATE(D4449,""zh-CN"",""vi"")"),"Địa nhiệt trung gian")</f>
        <v>Địa nhiệt trung gian</v>
      </c>
      <c r="G4449" s="8" t="str">
        <f>IFERROR(__xludf.DUMMYFUNCTION("GOOGLETRANSLATE(E4449,""zh-CN"",""vi"")"),"Các vật phẩm trong công viên giải trí, có thể sử dụng trong trò chơi tại công viên giải trí.")</f>
        <v>Các vật phẩm trong công viên giải trí, có thể sử dụng trong trò chơi tại công viên giải trí.</v>
      </c>
      <c r="H4449" s="8"/>
      <c r="I4449" s="8"/>
      <c r="J4449" s="8"/>
    </row>
    <row r="4450" ht="21.0" customHeight="1">
      <c r="A4450" s="6">
        <v>100.0</v>
      </c>
      <c r="B4450" s="6">
        <v>2000.0</v>
      </c>
      <c r="C4450" s="6">
        <v>1.0</v>
      </c>
      <c r="D4450" s="99" t="s">
        <v>7608</v>
      </c>
      <c r="E4450" s="9" t="s">
        <v>7560</v>
      </c>
      <c r="F4450" s="8" t="str">
        <f>IFERROR(__xludf.DUMMYFUNCTION("GOOGLETRANSLATE(D4450,""zh-CN"",""vi"")"),"Địa nhiệt tiên tiến")</f>
        <v>Địa nhiệt tiên tiến</v>
      </c>
      <c r="G4450" s="8" t="str">
        <f>IFERROR(__xludf.DUMMYFUNCTION("GOOGLETRANSLATE(E4450,""zh-CN"",""vi"")"),"Các vật phẩm trong công viên giải trí, có thể sử dụng trong trò chơi tại công viên giải trí.")</f>
        <v>Các vật phẩm trong công viên giải trí, có thể sử dụng trong trò chơi tại công viên giải trí.</v>
      </c>
      <c r="H4450" s="8"/>
      <c r="I4450" s="8"/>
      <c r="J4450" s="8"/>
    </row>
    <row r="4451" ht="21.0" customHeight="1">
      <c r="A4451" s="6">
        <v>100.0</v>
      </c>
      <c r="B4451" s="6">
        <v>2000.0</v>
      </c>
      <c r="C4451" s="6">
        <v>1.0</v>
      </c>
      <c r="D4451" s="100" t="s">
        <v>7609</v>
      </c>
      <c r="E4451" s="9" t="s">
        <v>7560</v>
      </c>
      <c r="F4451" s="8" t="str">
        <f>IFERROR(__xludf.DUMMYFUNCTION("GOOGLETRANSLATE(D4451,""zh-CN"",""vi"")"),"Khóa đồng thau chính")</f>
        <v>Khóa đồng thau chính</v>
      </c>
      <c r="G4451" s="8" t="str">
        <f>IFERROR(__xludf.DUMMYFUNCTION("GOOGLETRANSLATE(E4451,""zh-CN"",""vi"")"),"Các vật phẩm trong công viên giải trí, có thể sử dụng trong trò chơi tại công viên giải trí.")</f>
        <v>Các vật phẩm trong công viên giải trí, có thể sử dụng trong trò chơi tại công viên giải trí.</v>
      </c>
      <c r="H4451" s="8"/>
      <c r="I4451" s="8"/>
      <c r="J4451" s="8"/>
    </row>
    <row r="4452" ht="21.0" customHeight="1">
      <c r="A4452" s="6">
        <v>100.0</v>
      </c>
      <c r="B4452" s="6">
        <v>2000.0</v>
      </c>
      <c r="C4452" s="6">
        <v>1.0</v>
      </c>
      <c r="D4452" s="99" t="s">
        <v>7610</v>
      </c>
      <c r="E4452" s="9" t="s">
        <v>7560</v>
      </c>
      <c r="F4452" s="8" t="str">
        <f>IFERROR(__xludf.DUMMYFUNCTION("GOOGLETRANSLATE(D4452,""zh-CN"",""vi"")"),"Khóa Bạc Trung Cấp")</f>
        <v>Khóa Bạc Trung Cấp</v>
      </c>
      <c r="G4452" s="8" t="str">
        <f>IFERROR(__xludf.DUMMYFUNCTION("GOOGLETRANSLATE(E4452,""zh-CN"",""vi"")"),"Các vật phẩm trong công viên giải trí, có thể sử dụng trong trò chơi tại công viên giải trí.")</f>
        <v>Các vật phẩm trong công viên giải trí, có thể sử dụng trong trò chơi tại công viên giải trí.</v>
      </c>
      <c r="H4452" s="8"/>
      <c r="I4452" s="8"/>
      <c r="J4452" s="8"/>
    </row>
    <row r="4453" ht="21.0" customHeight="1">
      <c r="A4453" s="6">
        <v>100.0</v>
      </c>
      <c r="B4453" s="6">
        <v>2000.0</v>
      </c>
      <c r="C4453" s="6">
        <v>1.0</v>
      </c>
      <c r="D4453" s="100" t="s">
        <v>7611</v>
      </c>
      <c r="E4453" s="9" t="s">
        <v>7560</v>
      </c>
      <c r="F4453" s="8" t="str">
        <f>IFERROR(__xludf.DUMMYFUNCTION("GOOGLETRANSLATE(D4453,""zh-CN"",""vi"")"),"Khóa vàng cao cấp")</f>
        <v>Khóa vàng cao cấp</v>
      </c>
      <c r="G4453" s="8" t="str">
        <f>IFERROR(__xludf.DUMMYFUNCTION("GOOGLETRANSLATE(E4453,""zh-CN"",""vi"")"),"Các vật phẩm trong công viên giải trí, có thể sử dụng trong trò chơi tại công viên giải trí.")</f>
        <v>Các vật phẩm trong công viên giải trí, có thể sử dụng trong trò chơi tại công viên giải trí.</v>
      </c>
      <c r="H4453" s="8"/>
      <c r="I4453" s="8"/>
      <c r="J4453" s="8"/>
    </row>
    <row r="4454" ht="21.0" customHeight="1">
      <c r="A4454" s="6">
        <v>100.0</v>
      </c>
      <c r="B4454" s="6">
        <v>2000.0</v>
      </c>
      <c r="C4454" s="6">
        <v>1.0</v>
      </c>
      <c r="D4454" s="100" t="s">
        <v>7612</v>
      </c>
      <c r="E4454" s="9" t="s">
        <v>7560</v>
      </c>
      <c r="F4454" s="8" t="str">
        <f>IFERROR(__xludf.DUMMYFUNCTION("GOOGLETRANSLATE(D4454,""zh-CN"",""vi"")"),"con đường nhỏ")</f>
        <v>con đường nhỏ</v>
      </c>
      <c r="G4454" s="8" t="str">
        <f>IFERROR(__xludf.DUMMYFUNCTION("GOOGLETRANSLATE(E4454,""zh-CN"",""vi"")"),"Các vật phẩm trong công viên giải trí, có thể sử dụng trong trò chơi tại công viên giải trí.")</f>
        <v>Các vật phẩm trong công viên giải trí, có thể sử dụng trong trò chơi tại công viên giải trí.</v>
      </c>
      <c r="H4454" s="8"/>
      <c r="I4454" s="8"/>
      <c r="J4454" s="8"/>
    </row>
    <row r="4455" ht="21.0" customHeight="1">
      <c r="A4455" s="6">
        <v>100.0</v>
      </c>
      <c r="B4455" s="6">
        <v>2000.0</v>
      </c>
      <c r="C4455" s="6">
        <v>1.0</v>
      </c>
      <c r="D4455" s="100" t="s">
        <v>7613</v>
      </c>
      <c r="E4455" s="9" t="s">
        <v>7560</v>
      </c>
      <c r="F4455" s="8" t="str">
        <f>IFERROR(__xludf.DUMMYFUNCTION("GOOGLETRANSLATE(D4455,""zh-CN"",""vi"")"),"vũng nước")</f>
        <v>vũng nước</v>
      </c>
      <c r="G4455" s="8" t="str">
        <f>IFERROR(__xludf.DUMMYFUNCTION("GOOGLETRANSLATE(E4455,""zh-CN"",""vi"")"),"Các vật phẩm trong công viên giải trí, có thể sử dụng trong trò chơi tại công viên giải trí.")</f>
        <v>Các vật phẩm trong công viên giải trí, có thể sử dụng trong trò chơi tại công viên giải trí.</v>
      </c>
      <c r="H4455" s="8"/>
      <c r="I4455" s="8"/>
      <c r="J4455" s="8"/>
    </row>
    <row r="4456" ht="21.0" customHeight="1">
      <c r="A4456" s="6">
        <v>100.0</v>
      </c>
      <c r="B4456" s="6">
        <v>2000.0</v>
      </c>
      <c r="C4456" s="6">
        <v>1.0</v>
      </c>
      <c r="D4456" s="100" t="s">
        <v>7614</v>
      </c>
      <c r="E4456" s="9" t="s">
        <v>7560</v>
      </c>
      <c r="F4456" s="8" t="str">
        <f>IFERROR(__xludf.DUMMYFUNCTION("GOOGLETRANSLATE(D4456,""zh-CN"",""vi"")"),"hố bùn")</f>
        <v>hố bùn</v>
      </c>
      <c r="G4456" s="8" t="str">
        <f>IFERROR(__xludf.DUMMYFUNCTION("GOOGLETRANSLATE(E4456,""zh-CN"",""vi"")"),"Các vật phẩm trong công viên giải trí, có thể sử dụng trong trò chơi tại công viên giải trí.")</f>
        <v>Các vật phẩm trong công viên giải trí, có thể sử dụng trong trò chơi tại công viên giải trí.</v>
      </c>
      <c r="H4456" s="8"/>
      <c r="I4456" s="8"/>
      <c r="J4456" s="8"/>
    </row>
    <row r="4457" ht="21.0" customHeight="1">
      <c r="A4457" s="6">
        <v>100.0</v>
      </c>
      <c r="B4457" s="6">
        <v>2000.0</v>
      </c>
      <c r="C4457" s="6">
        <v>1.0</v>
      </c>
      <c r="D4457" s="100" t="s">
        <v>7615</v>
      </c>
      <c r="E4457" s="9" t="s">
        <v>7560</v>
      </c>
      <c r="F4457" s="8" t="str">
        <f>IFERROR(__xludf.DUMMYFUNCTION("GOOGLETRANSLATE(D4457,""zh-CN"",""vi"")"),"thùng")</f>
        <v>thùng</v>
      </c>
      <c r="G4457" s="8" t="str">
        <f>IFERROR(__xludf.DUMMYFUNCTION("GOOGLETRANSLATE(E4457,""zh-CN"",""vi"")"),"Các vật phẩm trong công viên giải trí, có thể sử dụng trong trò chơi tại công viên giải trí.")</f>
        <v>Các vật phẩm trong công viên giải trí, có thể sử dụng trong trò chơi tại công viên giải trí.</v>
      </c>
      <c r="H4457" s="8"/>
      <c r="I4457" s="8"/>
      <c r="J4457" s="8"/>
    </row>
    <row r="4458" ht="21.0" customHeight="1">
      <c r="A4458" s="6">
        <v>100.0</v>
      </c>
      <c r="B4458" s="6">
        <v>2000.0</v>
      </c>
      <c r="C4458" s="6">
        <v>1.0</v>
      </c>
      <c r="D4458" s="100" t="s">
        <v>7616</v>
      </c>
      <c r="E4458" s="9" t="s">
        <v>7560</v>
      </c>
      <c r="F4458" s="8" t="str">
        <f>IFERROR(__xludf.DUMMYFUNCTION("GOOGLETRANSLATE(D4458,""zh-CN"",""vi"")"),"máy chạy bộ")</f>
        <v>máy chạy bộ</v>
      </c>
      <c r="G4458" s="8" t="str">
        <f>IFERROR(__xludf.DUMMYFUNCTION("GOOGLETRANSLATE(E4458,""zh-CN"",""vi"")"),"Các vật phẩm trong công viên giải trí, có thể sử dụng trong trò chơi tại công viên giải trí.")</f>
        <v>Các vật phẩm trong công viên giải trí, có thể sử dụng trong trò chơi tại công viên giải trí.</v>
      </c>
      <c r="H4458" s="8"/>
      <c r="I4458" s="8"/>
      <c r="J4458" s="8"/>
    </row>
    <row r="4459" ht="21.0" customHeight="1">
      <c r="A4459" s="6">
        <v>100.0</v>
      </c>
      <c r="B4459" s="6">
        <v>2000.0</v>
      </c>
      <c r="C4459" s="6">
        <v>1.0</v>
      </c>
      <c r="D4459" s="100" t="s">
        <v>7617</v>
      </c>
      <c r="E4459" s="9" t="s">
        <v>7560</v>
      </c>
      <c r="F4459" s="8" t="str">
        <f>IFERROR(__xludf.DUMMYFUNCTION("GOOGLETRANSLATE(D4459,""zh-CN"",""vi"")"),"tấm bạt lò xo")</f>
        <v>tấm bạt lò xo</v>
      </c>
      <c r="G4459" s="8" t="str">
        <f>IFERROR(__xludf.DUMMYFUNCTION("GOOGLETRANSLATE(E4459,""zh-CN"",""vi"")"),"Các vật phẩm trong công viên giải trí, có thể sử dụng trong trò chơi tại công viên giải trí.")</f>
        <v>Các vật phẩm trong công viên giải trí, có thể sử dụng trong trò chơi tại công viên giải trí.</v>
      </c>
      <c r="H4459" s="8"/>
      <c r="I4459" s="8"/>
      <c r="J4459" s="8"/>
    </row>
    <row r="4460" ht="21.0" customHeight="1">
      <c r="A4460" s="6">
        <v>100.0</v>
      </c>
      <c r="B4460" s="6">
        <v>2000.0</v>
      </c>
      <c r="C4460" s="6">
        <v>1.0</v>
      </c>
      <c r="D4460" s="100" t="s">
        <v>7618</v>
      </c>
      <c r="E4460" s="9" t="s">
        <v>7560</v>
      </c>
      <c r="F4460" s="8" t="str">
        <f>IFERROR(__xludf.DUMMYFUNCTION("GOOGLETRANSLATE(D4460,""zh-CN"",""vi"")"),"Vòng đu quay")</f>
        <v>Vòng đu quay</v>
      </c>
      <c r="G4460" s="8" t="str">
        <f>IFERROR(__xludf.DUMMYFUNCTION("GOOGLETRANSLATE(E4460,""zh-CN"",""vi"")"),"Các vật phẩm trong công viên giải trí, có thể sử dụng trong trò chơi tại công viên giải trí.")</f>
        <v>Các vật phẩm trong công viên giải trí, có thể sử dụng trong trò chơi tại công viên giải trí.</v>
      </c>
      <c r="H4460" s="8"/>
      <c r="I4460" s="8"/>
      <c r="J4460" s="8"/>
    </row>
    <row r="4461" ht="21.0" customHeight="1">
      <c r="A4461" s="6">
        <v>100.0</v>
      </c>
      <c r="B4461" s="6">
        <v>2000.0</v>
      </c>
      <c r="C4461" s="6">
        <v>1.0</v>
      </c>
      <c r="D4461" s="100" t="s">
        <v>7619</v>
      </c>
      <c r="E4461" s="9" t="s">
        <v>7560</v>
      </c>
      <c r="F4461" s="8" t="str">
        <f>IFERROR(__xludf.DUMMYFUNCTION("GOOGLETRANSLATE(D4461,""zh-CN"",""vi"")"),"xích đu")</f>
        <v>xích đu</v>
      </c>
      <c r="G4461" s="8" t="str">
        <f>IFERROR(__xludf.DUMMYFUNCTION("GOOGLETRANSLATE(E4461,""zh-CN"",""vi"")"),"Các vật phẩm trong công viên giải trí, có thể sử dụng trong trò chơi tại công viên giải trí.")</f>
        <v>Các vật phẩm trong công viên giải trí, có thể sử dụng trong trò chơi tại công viên giải trí.</v>
      </c>
      <c r="H4461" s="8"/>
      <c r="I4461" s="8"/>
      <c r="J4461" s="8"/>
    </row>
    <row r="4462" ht="21.0" customHeight="1">
      <c r="A4462" s="6">
        <v>100.0</v>
      </c>
      <c r="B4462" s="6">
        <v>2000.0</v>
      </c>
      <c r="C4462" s="6">
        <v>1.0</v>
      </c>
      <c r="D4462" s="100" t="s">
        <v>7620</v>
      </c>
      <c r="E4462" s="9" t="s">
        <v>7560</v>
      </c>
      <c r="F4462" s="8" t="str">
        <f>IFERROR(__xludf.DUMMYFUNCTION("GOOGLETRANSLATE(D4462,""zh-CN"",""vi"")"),"hoa và cây")</f>
        <v>hoa và cây</v>
      </c>
      <c r="G4462" s="8" t="str">
        <f>IFERROR(__xludf.DUMMYFUNCTION("GOOGLETRANSLATE(E4462,""zh-CN"",""vi"")"),"Các vật phẩm trong công viên giải trí, có thể sử dụng trong trò chơi tại công viên giải trí.")</f>
        <v>Các vật phẩm trong công viên giải trí, có thể sử dụng trong trò chơi tại công viên giải trí.</v>
      </c>
      <c r="H4462" s="8"/>
      <c r="I4462" s="8"/>
      <c r="J4462" s="8"/>
    </row>
    <row r="4463" ht="21.0" customHeight="1">
      <c r="A4463" s="6">
        <v>100.0</v>
      </c>
      <c r="B4463" s="6">
        <v>2000.0</v>
      </c>
      <c r="C4463" s="6">
        <v>1.0</v>
      </c>
      <c r="D4463" s="100" t="s">
        <v>7621</v>
      </c>
      <c r="E4463" s="9" t="s">
        <v>7560</v>
      </c>
      <c r="F4463" s="8" t="str">
        <f>IFERROR(__xludf.DUMMYFUNCTION("GOOGLETRANSLATE(D4463,""zh-CN"",""vi"")"),"Ngon")</f>
        <v>Ngon</v>
      </c>
      <c r="G4463" s="8" t="str">
        <f>IFERROR(__xludf.DUMMYFUNCTION("GOOGLETRANSLATE(E4463,""zh-CN"",""vi"")"),"Các vật phẩm trong công viên giải trí, có thể sử dụng trong trò chơi tại công viên giải trí.")</f>
        <v>Các vật phẩm trong công viên giải trí, có thể sử dụng trong trò chơi tại công viên giải trí.</v>
      </c>
      <c r="H4463" s="8"/>
      <c r="I4463" s="8"/>
      <c r="J4463" s="8"/>
    </row>
    <row r="4464" ht="21.0" customHeight="1">
      <c r="A4464" s="6">
        <v>100.0</v>
      </c>
      <c r="B4464" s="6">
        <v>2000.0</v>
      </c>
      <c r="C4464" s="6">
        <v>1.0</v>
      </c>
      <c r="D4464" s="100" t="s">
        <v>7622</v>
      </c>
      <c r="E4464" s="9" t="s">
        <v>7560</v>
      </c>
      <c r="F4464" s="8" t="str">
        <f>IFERROR(__xludf.DUMMYFUNCTION("GOOGLETRANSLATE(D4464,""zh-CN"",""vi"")"),"Cây")</f>
        <v>Cây</v>
      </c>
      <c r="G4464" s="8" t="str">
        <f>IFERROR(__xludf.DUMMYFUNCTION("GOOGLETRANSLATE(E4464,""zh-CN"",""vi"")"),"Các vật phẩm trong công viên giải trí, có thể sử dụng trong trò chơi tại công viên giải trí.")</f>
        <v>Các vật phẩm trong công viên giải trí, có thể sử dụng trong trò chơi tại công viên giải trí.</v>
      </c>
      <c r="H4464" s="8"/>
      <c r="I4464" s="8"/>
      <c r="J4464" s="8"/>
    </row>
    <row r="4465" ht="21.0" customHeight="1">
      <c r="A4465" s="6">
        <v>100.0</v>
      </c>
      <c r="B4465" s="6">
        <v>2000.0</v>
      </c>
      <c r="C4465" s="6">
        <v>1.0</v>
      </c>
      <c r="D4465" s="100" t="s">
        <v>7623</v>
      </c>
      <c r="E4465" s="9" t="s">
        <v>7560</v>
      </c>
      <c r="F4465" s="8" t="str">
        <f>IFERROR(__xludf.DUMMYFUNCTION("GOOGLETRANSLATE(D4465,""zh-CN"",""vi"")"),"luống hoa")</f>
        <v>luống hoa</v>
      </c>
      <c r="G4465" s="8" t="str">
        <f>IFERROR(__xludf.DUMMYFUNCTION("GOOGLETRANSLATE(E4465,""zh-CN"",""vi"")"),"Các vật phẩm trong công viên giải trí, có thể sử dụng trong trò chơi tại công viên giải trí.")</f>
        <v>Các vật phẩm trong công viên giải trí, có thể sử dụng trong trò chơi tại công viên giải trí.</v>
      </c>
      <c r="H4465" s="8"/>
      <c r="I4465" s="8"/>
      <c r="J4465" s="8"/>
    </row>
    <row r="4466" ht="21.0" customHeight="1">
      <c r="A4466" s="6">
        <v>100.0</v>
      </c>
      <c r="B4466" s="6">
        <v>2000.0</v>
      </c>
      <c r="C4466" s="6">
        <v>1.0</v>
      </c>
      <c r="D4466" s="100" t="s">
        <v>7624</v>
      </c>
      <c r="E4466" s="9" t="s">
        <v>7560</v>
      </c>
      <c r="F4466" s="8" t="str">
        <f>IFERROR(__xludf.DUMMYFUNCTION("GOOGLETRANSLATE(D4466,""zh-CN"",""vi"")"),"Luống hoa")</f>
        <v>Luống hoa</v>
      </c>
      <c r="G4466" s="8" t="str">
        <f>IFERROR(__xludf.DUMMYFUNCTION("GOOGLETRANSLATE(E4466,""zh-CN"",""vi"")"),"Các vật phẩm trong công viên giải trí, có thể sử dụng trong trò chơi tại công viên giải trí.")</f>
        <v>Các vật phẩm trong công viên giải trí, có thể sử dụng trong trò chơi tại công viên giải trí.</v>
      </c>
      <c r="H4466" s="8"/>
      <c r="I4466" s="8"/>
      <c r="J4466" s="8"/>
    </row>
    <row r="4467" ht="21.0" customHeight="1">
      <c r="A4467" s="6">
        <v>100.0</v>
      </c>
      <c r="B4467" s="6">
        <v>2000.0</v>
      </c>
      <c r="C4467" s="6">
        <v>1.0</v>
      </c>
      <c r="D4467" s="100" t="s">
        <v>7625</v>
      </c>
      <c r="E4467" s="9" t="s">
        <v>7560</v>
      </c>
      <c r="F4467" s="8" t="str">
        <f>IFERROR(__xludf.DUMMYFUNCTION("GOOGLETRANSLATE(D4467,""zh-CN"",""vi"")"),"ghế dài")</f>
        <v>ghế dài</v>
      </c>
      <c r="G4467" s="8" t="str">
        <f>IFERROR(__xludf.DUMMYFUNCTION("GOOGLETRANSLATE(E4467,""zh-CN"",""vi"")"),"Các vật phẩm trong công viên giải trí, có thể sử dụng trong trò chơi tại công viên giải trí.")</f>
        <v>Các vật phẩm trong công viên giải trí, có thể sử dụng trong trò chơi tại công viên giải trí.</v>
      </c>
      <c r="H4467" s="8"/>
      <c r="I4467" s="8"/>
      <c r="J4467" s="8"/>
    </row>
    <row r="4468" ht="21.0" customHeight="1">
      <c r="A4468" s="6">
        <v>100.0</v>
      </c>
      <c r="B4468" s="6">
        <v>2000.0</v>
      </c>
      <c r="C4468" s="6">
        <v>1.0</v>
      </c>
      <c r="D4468" s="100" t="s">
        <v>7626</v>
      </c>
      <c r="E4468" s="9" t="s">
        <v>7560</v>
      </c>
      <c r="F4468" s="8" t="str">
        <f>IFERROR(__xludf.DUMMYFUNCTION("GOOGLETRANSLATE(D4468,""zh-CN"",""vi"")"),"ghế dài")</f>
        <v>ghế dài</v>
      </c>
      <c r="G4468" s="8" t="str">
        <f>IFERROR(__xludf.DUMMYFUNCTION("GOOGLETRANSLATE(E4468,""zh-CN"",""vi"")"),"Các vật phẩm trong công viên giải trí, có thể sử dụng trong trò chơi tại công viên giải trí.")</f>
        <v>Các vật phẩm trong công viên giải trí, có thể sử dụng trong trò chơi tại công viên giải trí.</v>
      </c>
      <c r="H4468" s="8"/>
      <c r="I4468" s="8"/>
      <c r="J4468" s="8"/>
    </row>
    <row r="4469" ht="21.0" customHeight="1">
      <c r="A4469" s="6">
        <v>100.0</v>
      </c>
      <c r="B4469" s="6">
        <v>2000.0</v>
      </c>
      <c r="C4469" s="6">
        <v>1.0</v>
      </c>
      <c r="D4469" s="100" t="s">
        <v>7627</v>
      </c>
      <c r="E4469" s="9" t="s">
        <v>7560</v>
      </c>
      <c r="F4469" s="8" t="str">
        <f>IFERROR(__xludf.DUMMYFUNCTION("GOOGLETRANSLATE(D4469,""zh-CN"",""vi"")"),"bàn")</f>
        <v>bàn</v>
      </c>
      <c r="G4469" s="8" t="str">
        <f>IFERROR(__xludf.DUMMYFUNCTION("GOOGLETRANSLATE(E4469,""zh-CN"",""vi"")"),"Các vật phẩm trong công viên giải trí, có thể sử dụng trong trò chơi tại công viên giải trí.")</f>
        <v>Các vật phẩm trong công viên giải trí, có thể sử dụng trong trò chơi tại công viên giải trí.</v>
      </c>
      <c r="H4469" s="8"/>
      <c r="I4469" s="8"/>
      <c r="J4469" s="8"/>
    </row>
    <row r="4470" ht="21.0" customHeight="1">
      <c r="A4470" s="6">
        <v>100.0</v>
      </c>
      <c r="B4470" s="6">
        <v>2000.0</v>
      </c>
      <c r="C4470" s="6">
        <v>1.0</v>
      </c>
      <c r="D4470" s="100" t="s">
        <v>7628</v>
      </c>
      <c r="E4470" s="9" t="s">
        <v>7560</v>
      </c>
      <c r="F4470" s="8" t="str">
        <f>IFERROR(__xludf.DUMMYFUNCTION("GOOGLETRANSLATE(D4470,""zh-CN"",""vi"")"),"Đèn đường")</f>
        <v>Đèn đường</v>
      </c>
      <c r="G4470" s="8" t="str">
        <f>IFERROR(__xludf.DUMMYFUNCTION("GOOGLETRANSLATE(E4470,""zh-CN"",""vi"")"),"Các vật phẩm trong công viên giải trí, có thể sử dụng trong trò chơi tại công viên giải trí.")</f>
        <v>Các vật phẩm trong công viên giải trí, có thể sử dụng trong trò chơi tại công viên giải trí.</v>
      </c>
      <c r="H4470" s="8"/>
      <c r="I4470" s="8"/>
      <c r="J4470" s="8"/>
    </row>
    <row r="4471" ht="21.0" customHeight="1">
      <c r="A4471" s="6">
        <v>100.0</v>
      </c>
      <c r="B4471" s="6">
        <v>2000.0</v>
      </c>
      <c r="C4471" s="6">
        <v>1.0</v>
      </c>
      <c r="D4471" s="100" t="s">
        <v>7629</v>
      </c>
      <c r="E4471" s="9" t="s">
        <v>7560</v>
      </c>
      <c r="F4471" s="8" t="str">
        <f>IFERROR(__xludf.DUMMYFUNCTION("GOOGLETRANSLATE(D4471,""zh-CN"",""vi"")"),"màn hình")</f>
        <v>màn hình</v>
      </c>
      <c r="G4471" s="8" t="str">
        <f>IFERROR(__xludf.DUMMYFUNCTION("GOOGLETRANSLATE(E4471,""zh-CN"",""vi"")"),"Các vật phẩm trong công viên giải trí, có thể sử dụng trong trò chơi tại công viên giải trí.")</f>
        <v>Các vật phẩm trong công viên giải trí, có thể sử dụng trong trò chơi tại công viên giải trí.</v>
      </c>
      <c r="H4471" s="8"/>
      <c r="I4471" s="8"/>
      <c r="J4471" s="8"/>
    </row>
    <row r="4472" ht="21.0" customHeight="1">
      <c r="A4472" s="6">
        <v>100.0</v>
      </c>
      <c r="B4472" s="6">
        <v>2000.0</v>
      </c>
      <c r="C4472" s="6">
        <v>1.0</v>
      </c>
      <c r="D4472" s="100" t="s">
        <v>7630</v>
      </c>
      <c r="E4472" s="9" t="s">
        <v>7560</v>
      </c>
      <c r="F4472" s="8" t="str">
        <f>IFERROR(__xludf.DUMMYFUNCTION("GOOGLETRANSLATE(D4472,""zh-CN"",""vi"")"),"vòm")</f>
        <v>vòm</v>
      </c>
      <c r="G4472" s="8" t="str">
        <f>IFERROR(__xludf.DUMMYFUNCTION("GOOGLETRANSLATE(E4472,""zh-CN"",""vi"")"),"Các vật phẩm trong công viên giải trí, có thể sử dụng trong trò chơi tại công viên giải trí.")</f>
        <v>Các vật phẩm trong công viên giải trí, có thể sử dụng trong trò chơi tại công viên giải trí.</v>
      </c>
      <c r="H4472" s="8"/>
      <c r="I4472" s="8"/>
      <c r="J4472" s="8"/>
    </row>
    <row r="4473" ht="21.0" customHeight="1">
      <c r="A4473" s="6">
        <v>100.0</v>
      </c>
      <c r="B4473" s="6">
        <v>2000.0</v>
      </c>
      <c r="C4473" s="6">
        <v>1.0</v>
      </c>
      <c r="D4473" s="100" t="s">
        <v>7631</v>
      </c>
      <c r="E4473" s="9" t="s">
        <v>7560</v>
      </c>
      <c r="F4473" s="8" t="str">
        <f>IFERROR(__xludf.DUMMYFUNCTION("GOOGLETRANSLATE(D4473,""zh-CN"",""vi"")"),"hồ bơi")</f>
        <v>hồ bơi</v>
      </c>
      <c r="G4473" s="8" t="str">
        <f>IFERROR(__xludf.DUMMYFUNCTION("GOOGLETRANSLATE(E4473,""zh-CN"",""vi"")"),"Các vật phẩm trong công viên giải trí, có thể sử dụng trong trò chơi tại công viên giải trí.")</f>
        <v>Các vật phẩm trong công viên giải trí, có thể sử dụng trong trò chơi tại công viên giải trí.</v>
      </c>
      <c r="H4473" s="8"/>
      <c r="I4473" s="8"/>
      <c r="J4473" s="8"/>
    </row>
    <row r="4474" ht="21.0" customHeight="1">
      <c r="A4474" s="6">
        <v>100.0</v>
      </c>
      <c r="B4474" s="6">
        <v>2000.0</v>
      </c>
      <c r="C4474" s="6">
        <v>1.0</v>
      </c>
      <c r="D4474" s="100" t="s">
        <v>7632</v>
      </c>
      <c r="E4474" s="9" t="s">
        <v>7560</v>
      </c>
      <c r="F4474" s="8" t="str">
        <f>IFERROR(__xludf.DUMMYFUNCTION("GOOGLETRANSLATE(D4474,""zh-CN"",""vi"")"),"Giá để hoa")</f>
        <v>Giá để hoa</v>
      </c>
      <c r="G4474" s="8" t="str">
        <f>IFERROR(__xludf.DUMMYFUNCTION("GOOGLETRANSLATE(E4474,""zh-CN"",""vi"")"),"Các vật phẩm trong công viên giải trí, có thể sử dụng trong trò chơi tại công viên giải trí.")</f>
        <v>Các vật phẩm trong công viên giải trí, có thể sử dụng trong trò chơi tại công viên giải trí.</v>
      </c>
      <c r="H4474" s="8"/>
      <c r="I4474" s="8"/>
      <c r="J4474" s="8"/>
    </row>
    <row r="4475" ht="21.0" customHeight="1">
      <c r="A4475" s="6">
        <v>100.0</v>
      </c>
      <c r="B4475" s="6">
        <v>2000.0</v>
      </c>
      <c r="C4475" s="6">
        <v>1.0</v>
      </c>
      <c r="D4475" s="100" t="s">
        <v>7633</v>
      </c>
      <c r="E4475" s="9" t="s">
        <v>7560</v>
      </c>
      <c r="F4475" s="8" t="str">
        <f>IFERROR(__xludf.DUMMYFUNCTION("GOOGLETRANSLATE(D4475,""zh-CN"",""vi"")"),"Ngựa Trojan")</f>
        <v>Ngựa Trojan</v>
      </c>
      <c r="G4475" s="8" t="str">
        <f>IFERROR(__xludf.DUMMYFUNCTION("GOOGLETRANSLATE(E4475,""zh-CN"",""vi"")"),"Các vật phẩm trong công viên giải trí, có thể sử dụng trong trò chơi tại công viên giải trí.")</f>
        <v>Các vật phẩm trong công viên giải trí, có thể sử dụng trong trò chơi tại công viên giải trí.</v>
      </c>
      <c r="H4475" s="8"/>
      <c r="I4475" s="8"/>
      <c r="J4475" s="8"/>
    </row>
    <row r="4476" ht="21.0" customHeight="1">
      <c r="A4476" s="6">
        <v>100.0</v>
      </c>
      <c r="B4476" s="6">
        <v>2000.0</v>
      </c>
      <c r="C4476" s="6">
        <v>1.0</v>
      </c>
      <c r="D4476" s="100" t="s">
        <v>7634</v>
      </c>
      <c r="E4476" s="9" t="s">
        <v>7560</v>
      </c>
      <c r="F4476" s="8" t="str">
        <f>IFERROR(__xludf.DUMMYFUNCTION("GOOGLETRANSLATE(D4476,""zh-CN"",""vi"")"),"Tháp đồng hồ")</f>
        <v>Tháp đồng hồ</v>
      </c>
      <c r="G4476" s="8" t="str">
        <f>IFERROR(__xludf.DUMMYFUNCTION("GOOGLETRANSLATE(E4476,""zh-CN"",""vi"")"),"Các vật phẩm trong công viên giải trí, có thể sử dụng trong trò chơi tại công viên giải trí.")</f>
        <v>Các vật phẩm trong công viên giải trí, có thể sử dụng trong trò chơi tại công viên giải trí.</v>
      </c>
      <c r="H4476" s="8"/>
      <c r="I4476" s="8"/>
      <c r="J4476" s="8"/>
    </row>
    <row r="4477" ht="21.0" customHeight="1">
      <c r="A4477" s="6">
        <v>100.0</v>
      </c>
      <c r="B4477" s="6">
        <v>2000.0</v>
      </c>
      <c r="C4477" s="6">
        <v>1.0</v>
      </c>
      <c r="D4477" s="100" t="s">
        <v>7635</v>
      </c>
      <c r="E4477" s="9" t="s">
        <v>7560</v>
      </c>
      <c r="F4477" s="8" t="str">
        <f>IFERROR(__xludf.DUMMYFUNCTION("GOOGLETRANSLATE(D4477,""zh-CN"",""vi"")"),"xe")</f>
        <v>xe</v>
      </c>
      <c r="G4477" s="8" t="str">
        <f>IFERROR(__xludf.DUMMYFUNCTION("GOOGLETRANSLATE(E4477,""zh-CN"",""vi"")"),"Các vật phẩm trong công viên giải trí, có thể sử dụng trong trò chơi tại công viên giải trí.")</f>
        <v>Các vật phẩm trong công viên giải trí, có thể sử dụng trong trò chơi tại công viên giải trí.</v>
      </c>
      <c r="H4477" s="8"/>
      <c r="I4477" s="8"/>
      <c r="J4477" s="8"/>
    </row>
    <row r="4478" ht="21.0" customHeight="1">
      <c r="A4478" s="6">
        <v>100.0</v>
      </c>
      <c r="B4478" s="6">
        <v>2000.0</v>
      </c>
      <c r="C4478" s="6">
        <v>1.0</v>
      </c>
      <c r="D4478" s="100" t="s">
        <v>7636</v>
      </c>
      <c r="E4478" s="9" t="s">
        <v>7560</v>
      </c>
      <c r="F4478" s="8" t="str">
        <f>IFERROR(__xludf.DUMMYFUNCTION("GOOGLETRANSLATE(D4478,""zh-CN"",""vi"")"),"Thư")</f>
        <v>Thư</v>
      </c>
      <c r="G4478" s="8" t="str">
        <f>IFERROR(__xludf.DUMMYFUNCTION("GOOGLETRANSLATE(E4478,""zh-CN"",""vi"")"),"Các vật phẩm trong công viên giải trí, có thể sử dụng trong trò chơi tại công viên giải trí.")</f>
        <v>Các vật phẩm trong công viên giải trí, có thể sử dụng trong trò chơi tại công viên giải trí.</v>
      </c>
      <c r="H4478" s="8"/>
      <c r="I4478" s="8"/>
      <c r="J4478" s="8"/>
    </row>
    <row r="4479" ht="21.0" customHeight="1">
      <c r="A4479" s="6">
        <v>100.0</v>
      </c>
      <c r="B4479" s="6">
        <v>2000.0</v>
      </c>
      <c r="C4479" s="6">
        <v>1.0</v>
      </c>
      <c r="D4479" s="100" t="s">
        <v>7637</v>
      </c>
      <c r="E4479" s="9" t="s">
        <v>7560</v>
      </c>
      <c r="F4479" s="8" t="str">
        <f>IFERROR(__xludf.DUMMYFUNCTION("GOOGLETRANSLATE(D4479,""zh-CN"",""vi"")"),"hàng rào nhỏ")</f>
        <v>hàng rào nhỏ</v>
      </c>
      <c r="G4479" s="8" t="str">
        <f>IFERROR(__xludf.DUMMYFUNCTION("GOOGLETRANSLATE(E4479,""zh-CN"",""vi"")"),"Các vật phẩm trong công viên giải trí, có thể sử dụng trong trò chơi tại công viên giải trí.")</f>
        <v>Các vật phẩm trong công viên giải trí, có thể sử dụng trong trò chơi tại công viên giải trí.</v>
      </c>
      <c r="H4479" s="8"/>
      <c r="I4479" s="8"/>
      <c r="J4479" s="8"/>
    </row>
    <row r="4480" ht="21.0" customHeight="1">
      <c r="A4480" s="6">
        <v>100.0</v>
      </c>
      <c r="B4480" s="6">
        <v>2000.0</v>
      </c>
      <c r="C4480" s="6">
        <v>1.0</v>
      </c>
      <c r="D4480" s="100" t="s">
        <v>7638</v>
      </c>
      <c r="E4480" s="9" t="s">
        <v>7560</v>
      </c>
      <c r="F4480" s="8" t="str">
        <f>IFERROR(__xludf.DUMMYFUNCTION("GOOGLETRANSLATE(D4480,""zh-CN"",""vi"")"),"bánh ngọt")</f>
        <v>bánh ngọt</v>
      </c>
      <c r="G4480" s="8" t="str">
        <f>IFERROR(__xludf.DUMMYFUNCTION("GOOGLETRANSLATE(E4480,""zh-CN"",""vi"")"),"Các vật phẩm trong công viên giải trí, có thể sử dụng trong trò chơi tại công viên giải trí.")</f>
        <v>Các vật phẩm trong công viên giải trí, có thể sử dụng trong trò chơi tại công viên giải trí.</v>
      </c>
      <c r="H4480" s="8"/>
      <c r="I4480" s="8"/>
      <c r="J4480" s="8"/>
    </row>
    <row r="4481" ht="21.0" customHeight="1">
      <c r="A4481" s="6">
        <v>100.0</v>
      </c>
      <c r="B4481" s="6">
        <v>2000.0</v>
      </c>
      <c r="C4481" s="6">
        <v>1.0</v>
      </c>
      <c r="D4481" s="100" t="s">
        <v>7639</v>
      </c>
      <c r="E4481" s="9" t="s">
        <v>7560</v>
      </c>
      <c r="F4481" s="8" t="str">
        <f>IFERROR(__xludf.DUMMYFUNCTION("GOOGLETRANSLATE(D4481,""zh-CN"",""vi"")"),"cái trống")</f>
        <v>cái trống</v>
      </c>
      <c r="G4481" s="8" t="str">
        <f>IFERROR(__xludf.DUMMYFUNCTION("GOOGLETRANSLATE(E4481,""zh-CN"",""vi"")"),"Các vật phẩm trong công viên giải trí, có thể sử dụng trong trò chơi tại công viên giải trí.")</f>
        <v>Các vật phẩm trong công viên giải trí, có thể sử dụng trong trò chơi tại công viên giải trí.</v>
      </c>
      <c r="H4481" s="8"/>
      <c r="I4481" s="8"/>
      <c r="J4481" s="8"/>
    </row>
    <row r="4482" ht="21.0" customHeight="1">
      <c r="A4482" s="6">
        <v>100.0</v>
      </c>
      <c r="B4482" s="6">
        <v>2000.0</v>
      </c>
      <c r="C4482" s="6">
        <v>1.0</v>
      </c>
      <c r="D4482" s="100" t="s">
        <v>7640</v>
      </c>
      <c r="E4482" s="9" t="s">
        <v>7560</v>
      </c>
      <c r="F4482" s="8" t="str">
        <f>IFERROR(__xludf.DUMMYFUNCTION("GOOGLETRANSLATE(D4482,""zh-CN"",""vi"")"),"Lỗ cây")</f>
        <v>Lỗ cây</v>
      </c>
      <c r="G4482" s="8" t="str">
        <f>IFERROR(__xludf.DUMMYFUNCTION("GOOGLETRANSLATE(E4482,""zh-CN"",""vi"")"),"Các vật phẩm trong công viên giải trí, có thể sử dụng trong trò chơi tại công viên giải trí.")</f>
        <v>Các vật phẩm trong công viên giải trí, có thể sử dụng trong trò chơi tại công viên giải trí.</v>
      </c>
      <c r="H4482" s="8"/>
      <c r="I4482" s="8"/>
      <c r="J4482" s="8"/>
    </row>
    <row r="4483" ht="21.0" customHeight="1">
      <c r="A4483" s="6">
        <v>100.0</v>
      </c>
      <c r="B4483" s="6">
        <v>2000.0</v>
      </c>
      <c r="C4483" s="6">
        <v>1.0</v>
      </c>
      <c r="D4483" s="100" t="s">
        <v>7641</v>
      </c>
      <c r="E4483" s="9" t="s">
        <v>7560</v>
      </c>
      <c r="F4483" s="8" t="str">
        <f>IFERROR(__xludf.DUMMYFUNCTION("GOOGLETRANSLATE(D4483,""zh-CN"",""vi"")"),"đồi")</f>
        <v>đồi</v>
      </c>
      <c r="G4483" s="8" t="str">
        <f>IFERROR(__xludf.DUMMYFUNCTION("GOOGLETRANSLATE(E4483,""zh-CN"",""vi"")"),"Các vật phẩm trong công viên giải trí, có thể sử dụng trong trò chơi tại công viên giải trí.")</f>
        <v>Các vật phẩm trong công viên giải trí, có thể sử dụng trong trò chơi tại công viên giải trí.</v>
      </c>
      <c r="H4483" s="8"/>
      <c r="I4483" s="8"/>
      <c r="J4483" s="8"/>
    </row>
    <row r="4484" ht="21.0" customHeight="1">
      <c r="A4484" s="6">
        <v>100.0</v>
      </c>
      <c r="B4484" s="6">
        <v>2000.0</v>
      </c>
      <c r="C4484" s="6">
        <v>1.0</v>
      </c>
      <c r="D4484" s="100" t="s">
        <v>7642</v>
      </c>
      <c r="E4484" s="9" t="s">
        <v>7560</v>
      </c>
      <c r="F4484" s="8" t="str">
        <f>IFERROR(__xludf.DUMMYFUNCTION("GOOGLETRANSLATE(D4484,""zh-CN"",""vi"")"),"Sàn nhà - Sàn gỗ tối màu")</f>
        <v>Sàn nhà - Sàn gỗ tối màu</v>
      </c>
      <c r="G4484" s="8" t="str">
        <f>IFERROR(__xludf.DUMMYFUNCTION("GOOGLETRANSLATE(E4484,""zh-CN"",""vi"")"),"Các vật phẩm trong công viên giải trí, có thể sử dụng trong trò chơi tại công viên giải trí.")</f>
        <v>Các vật phẩm trong công viên giải trí, có thể sử dụng trong trò chơi tại công viên giải trí.</v>
      </c>
      <c r="H4484" s="8"/>
      <c r="I4484" s="8"/>
      <c r="J4484" s="8"/>
    </row>
    <row r="4485" ht="21.0" customHeight="1">
      <c r="A4485" s="6">
        <v>100.0</v>
      </c>
      <c r="B4485" s="6">
        <v>2000.0</v>
      </c>
      <c r="C4485" s="6">
        <v>1.0</v>
      </c>
      <c r="D4485" s="100" t="s">
        <v>7643</v>
      </c>
      <c r="E4485" s="9" t="s">
        <v>7560</v>
      </c>
      <c r="F4485" s="8" t="str">
        <f>IFERROR(__xludf.DUMMYFUNCTION("GOOGLETRANSLATE(D4485,""zh-CN"",""vi"")"),"Sàn - Lối đi bộ")</f>
        <v>Sàn - Lối đi bộ</v>
      </c>
      <c r="G4485" s="8" t="str">
        <f>IFERROR(__xludf.DUMMYFUNCTION("GOOGLETRANSLATE(E4485,""zh-CN"",""vi"")"),"Các vật phẩm trong công viên giải trí, có thể sử dụng trong trò chơi tại công viên giải trí.")</f>
        <v>Các vật phẩm trong công viên giải trí, có thể sử dụng trong trò chơi tại công viên giải trí.</v>
      </c>
      <c r="H4485" s="8"/>
      <c r="I4485" s="8"/>
      <c r="J4485" s="8"/>
    </row>
    <row r="4486" ht="21.0" customHeight="1">
      <c r="A4486" s="6">
        <v>100.0</v>
      </c>
      <c r="B4486" s="6">
        <v>2000.0</v>
      </c>
      <c r="C4486" s="6">
        <v>1.0</v>
      </c>
      <c r="D4486" s="100" t="s">
        <v>7644</v>
      </c>
      <c r="E4486" s="9" t="s">
        <v>7560</v>
      </c>
      <c r="F4486" s="8" t="str">
        <f>IFERROR(__xludf.DUMMYFUNCTION("GOOGLETRANSLATE(D4486,""zh-CN"",""vi"")"),"Sàn nhà - Sàn nhà màu hồng")</f>
        <v>Sàn nhà - Sàn nhà màu hồng</v>
      </c>
      <c r="G4486" s="8" t="str">
        <f>IFERROR(__xludf.DUMMYFUNCTION("GOOGLETRANSLATE(E4486,""zh-CN"",""vi"")"),"Các vật phẩm trong công viên giải trí, có thể sử dụng trong trò chơi tại công viên giải trí.")</f>
        <v>Các vật phẩm trong công viên giải trí, có thể sử dụng trong trò chơi tại công viên giải trí.</v>
      </c>
      <c r="H4486" s="8"/>
      <c r="I4486" s="8"/>
      <c r="J4486" s="8"/>
    </row>
    <row r="4487" ht="21.0" customHeight="1">
      <c r="A4487" s="6">
        <v>100.0</v>
      </c>
      <c r="B4487" s="6">
        <v>2000.0</v>
      </c>
      <c r="C4487" s="6">
        <v>1.0</v>
      </c>
      <c r="D4487" s="100" t="s">
        <v>7645</v>
      </c>
      <c r="E4487" s="9" t="s">
        <v>7560</v>
      </c>
      <c r="F4487" s="8" t="str">
        <f>IFERROR(__xludf.DUMMYFUNCTION("GOOGLETRANSLATE(D4487,""zh-CN"",""vi"")"),"Sàn nhà - Sàn đá cuội")</f>
        <v>Sàn nhà - Sàn đá cuội</v>
      </c>
      <c r="G4487" s="8" t="str">
        <f>IFERROR(__xludf.DUMMYFUNCTION("GOOGLETRANSLATE(E4487,""zh-CN"",""vi"")"),"Các vật phẩm trong công viên giải trí, có thể sử dụng trong trò chơi tại công viên giải trí.")</f>
        <v>Các vật phẩm trong công viên giải trí, có thể sử dụng trong trò chơi tại công viên giải trí.</v>
      </c>
      <c r="H4487" s="8"/>
      <c r="I4487" s="8"/>
      <c r="J4487" s="8"/>
    </row>
    <row r="4488" ht="21.0" customHeight="1">
      <c r="A4488" s="6">
        <v>100.0</v>
      </c>
      <c r="B4488" s="6">
        <v>2000.0</v>
      </c>
      <c r="C4488" s="6">
        <v>1.0</v>
      </c>
      <c r="D4488" s="100" t="s">
        <v>7646</v>
      </c>
      <c r="E4488" s="9" t="s">
        <v>7560</v>
      </c>
      <c r="F4488" s="8" t="str">
        <f>IFERROR(__xludf.DUMMYFUNCTION("GOOGLETRANSLATE(D4488,""zh-CN"",""vi"")"),"Sàn nhà - Sàn xây bằng gạch")</f>
        <v>Sàn nhà - Sàn xây bằng gạch</v>
      </c>
      <c r="G4488" s="8" t="str">
        <f>IFERROR(__xludf.DUMMYFUNCTION("GOOGLETRANSLATE(E4488,""zh-CN"",""vi"")"),"Các vật phẩm trong công viên giải trí, có thể sử dụng trong trò chơi tại công viên giải trí.")</f>
        <v>Các vật phẩm trong công viên giải trí, có thể sử dụng trong trò chơi tại công viên giải trí.</v>
      </c>
      <c r="H4488" s="8"/>
      <c r="I4488" s="8"/>
      <c r="J4488" s="8"/>
    </row>
    <row r="4489" ht="21.0" customHeight="1">
      <c r="A4489" s="6">
        <v>100.0</v>
      </c>
      <c r="B4489" s="6">
        <v>2000.0</v>
      </c>
      <c r="C4489" s="6">
        <v>1.0</v>
      </c>
      <c r="D4489" s="100" t="s">
        <v>7647</v>
      </c>
      <c r="E4489" s="9" t="s">
        <v>7560</v>
      </c>
      <c r="F4489" s="8" t="str">
        <f>IFERROR(__xludf.DUMMYFUNCTION("GOOGLETRANSLATE(D4489,""zh-CN"",""vi"")"),"Sàn nhà - Sàn đá cẩm thạch")</f>
        <v>Sàn nhà - Sàn đá cẩm thạch</v>
      </c>
      <c r="G4489" s="8" t="str">
        <f>IFERROR(__xludf.DUMMYFUNCTION("GOOGLETRANSLATE(E4489,""zh-CN"",""vi"")"),"Các vật phẩm trong công viên giải trí, có thể sử dụng trong trò chơi tại công viên giải trí.")</f>
        <v>Các vật phẩm trong công viên giải trí, có thể sử dụng trong trò chơi tại công viên giải trí.</v>
      </c>
      <c r="H4489" s="8"/>
      <c r="I4489" s="8"/>
      <c r="J4489" s="8"/>
    </row>
    <row r="4490" ht="21.0" customHeight="1">
      <c r="A4490" s="6">
        <v>100.0</v>
      </c>
      <c r="B4490" s="6">
        <v>2000.0</v>
      </c>
      <c r="C4490" s="6">
        <v>1.0</v>
      </c>
      <c r="D4490" s="100" t="s">
        <v>7648</v>
      </c>
      <c r="E4490" s="9" t="s">
        <v>7560</v>
      </c>
      <c r="F4490" s="8" t="str">
        <f>IFERROR(__xludf.DUMMYFUNCTION("GOOGLETRANSLATE(D4490,""zh-CN"",""vi"")"),"vũng nước - vũng sỏi")</f>
        <v>vũng nước - vũng sỏi</v>
      </c>
      <c r="G4490" s="8" t="str">
        <f>IFERROR(__xludf.DUMMYFUNCTION("GOOGLETRANSLATE(E4490,""zh-CN"",""vi"")"),"Các vật phẩm trong công viên giải trí, có thể sử dụng trong trò chơi tại công viên giải trí.")</f>
        <v>Các vật phẩm trong công viên giải trí, có thể sử dụng trong trò chơi tại công viên giải trí.</v>
      </c>
      <c r="H4490" s="8"/>
      <c r="I4490" s="8"/>
      <c r="J4490" s="8"/>
    </row>
    <row r="4491" ht="21.0" customHeight="1">
      <c r="A4491" s="6">
        <v>100.0</v>
      </c>
      <c r="B4491" s="6">
        <v>2000.0</v>
      </c>
      <c r="C4491" s="6">
        <v>1.0</v>
      </c>
      <c r="D4491" s="100" t="s">
        <v>7649</v>
      </c>
      <c r="E4491" s="9" t="s">
        <v>7560</v>
      </c>
      <c r="F4491" s="8" t="str">
        <f>IFERROR(__xludf.DUMMYFUNCTION("GOOGLETRANSLATE(D4491,""zh-CN"",""vi"")"),"Vũng nước - Vũng hoa")</f>
        <v>Vũng nước - Vũng hoa</v>
      </c>
      <c r="G4491" s="8" t="str">
        <f>IFERROR(__xludf.DUMMYFUNCTION("GOOGLETRANSLATE(E4491,""zh-CN"",""vi"")"),"Các vật phẩm trong công viên giải trí, có thể sử dụng trong trò chơi tại công viên giải trí.")</f>
        <v>Các vật phẩm trong công viên giải trí, có thể sử dụng trong trò chơi tại công viên giải trí.</v>
      </c>
      <c r="H4491" s="8"/>
      <c r="I4491" s="8"/>
      <c r="J4491" s="8"/>
    </row>
    <row r="4492" ht="21.0" customHeight="1">
      <c r="A4492" s="6">
        <v>100.0</v>
      </c>
      <c r="B4492" s="6">
        <v>2000.0</v>
      </c>
      <c r="C4492" s="6">
        <v>1.0</v>
      </c>
      <c r="D4492" s="100" t="s">
        <v>7650</v>
      </c>
      <c r="E4492" s="9" t="s">
        <v>7560</v>
      </c>
      <c r="F4492" s="8" t="str">
        <f>IFERROR(__xludf.DUMMYFUNCTION("GOOGLETRANSLATE(D4492,""zh-CN"",""vi"")"),"Vũng nước - Vũng nước có hoa dại")</f>
        <v>Vũng nước - Vũng nước có hoa dại</v>
      </c>
      <c r="G4492" s="8" t="str">
        <f>IFERROR(__xludf.DUMMYFUNCTION("GOOGLETRANSLATE(E4492,""zh-CN"",""vi"")"),"Các vật phẩm trong công viên giải trí, có thể sử dụng trong trò chơi tại công viên giải trí.")</f>
        <v>Các vật phẩm trong công viên giải trí, có thể sử dụng trong trò chơi tại công viên giải trí.</v>
      </c>
      <c r="H4492" s="8"/>
      <c r="I4492" s="8"/>
      <c r="J4492" s="8"/>
    </row>
    <row r="4493" ht="21.0" customHeight="1">
      <c r="A4493" s="6">
        <v>100.0</v>
      </c>
      <c r="B4493" s="6">
        <v>2000.0</v>
      </c>
      <c r="C4493" s="6">
        <v>1.0</v>
      </c>
      <c r="D4493" s="100" t="s">
        <v>7651</v>
      </c>
      <c r="E4493" s="9" t="s">
        <v>7560</v>
      </c>
      <c r="F4493" s="8" t="str">
        <f>IFERROR(__xludf.DUMMYFUNCTION("GOOGLETRANSLATE(D4493,""zh-CN"",""vi"")"),"Hố bùn - hố bùn sỏi")</f>
        <v>Hố bùn - hố bùn sỏi</v>
      </c>
      <c r="G4493" s="8" t="str">
        <f>IFERROR(__xludf.DUMMYFUNCTION("GOOGLETRANSLATE(E4493,""zh-CN"",""vi"")"),"Các vật phẩm trong công viên giải trí, có thể sử dụng trong trò chơi tại công viên giải trí.")</f>
        <v>Các vật phẩm trong công viên giải trí, có thể sử dụng trong trò chơi tại công viên giải trí.</v>
      </c>
      <c r="H4493" s="8"/>
      <c r="I4493" s="8"/>
      <c r="J4493" s="8"/>
    </row>
    <row r="4494" ht="21.0" customHeight="1">
      <c r="A4494" s="6">
        <v>100.0</v>
      </c>
      <c r="B4494" s="6">
        <v>2000.0</v>
      </c>
      <c r="C4494" s="6">
        <v>1.0</v>
      </c>
      <c r="D4494" s="100" t="s">
        <v>7652</v>
      </c>
      <c r="E4494" s="9" t="s">
        <v>7560</v>
      </c>
      <c r="F4494" s="8" t="str">
        <f>IFERROR(__xludf.DUMMYFUNCTION("GOOGLETRANSLATE(D4494,""zh-CN"",""vi"")"),"Ao bùn - Hoa")</f>
        <v>Ao bùn - Hoa</v>
      </c>
      <c r="G4494" s="8" t="str">
        <f>IFERROR(__xludf.DUMMYFUNCTION("GOOGLETRANSLATE(E4494,""zh-CN"",""vi"")"),"Các vật phẩm trong công viên giải trí, có thể sử dụng trong trò chơi tại công viên giải trí.")</f>
        <v>Các vật phẩm trong công viên giải trí, có thể sử dụng trong trò chơi tại công viên giải trí.</v>
      </c>
      <c r="H4494" s="8"/>
      <c r="I4494" s="8"/>
      <c r="J4494" s="8"/>
    </row>
    <row r="4495" ht="21.0" customHeight="1">
      <c r="A4495" s="6">
        <v>100.0</v>
      </c>
      <c r="B4495" s="6">
        <v>2000.0</v>
      </c>
      <c r="C4495" s="6">
        <v>1.0</v>
      </c>
      <c r="D4495" s="100" t="s">
        <v>7653</v>
      </c>
      <c r="E4495" s="9" t="s">
        <v>7560</v>
      </c>
      <c r="F4495" s="8" t="str">
        <f>IFERROR(__xludf.DUMMYFUNCTION("GOOGLETRANSLATE(D4495,""zh-CN"",""vi"")"),"Bãi bùn - Bùn biển")</f>
        <v>Bãi bùn - Bùn biển</v>
      </c>
      <c r="G4495" s="8" t="str">
        <f>IFERROR(__xludf.DUMMYFUNCTION("GOOGLETRANSLATE(E4495,""zh-CN"",""vi"")"),"Các vật phẩm trong công viên giải trí, có thể sử dụng trong trò chơi tại công viên giải trí.")</f>
        <v>Các vật phẩm trong công viên giải trí, có thể sử dụng trong trò chơi tại công viên giải trí.</v>
      </c>
      <c r="H4495" s="8"/>
      <c r="I4495" s="8"/>
      <c r="J4495" s="8"/>
    </row>
    <row r="4496" ht="21.0" customHeight="1">
      <c r="A4496" s="6">
        <v>100.0</v>
      </c>
      <c r="B4496" s="6">
        <v>2000.0</v>
      </c>
      <c r="C4496" s="6">
        <v>1.0</v>
      </c>
      <c r="D4496" s="100" t="s">
        <v>7654</v>
      </c>
      <c r="E4496" s="9" t="s">
        <v>7560</v>
      </c>
      <c r="F4496" s="8" t="str">
        <f>IFERROR(__xludf.DUMMYFUNCTION("GOOGLETRANSLATE(D4496,""zh-CN"",""vi"")"),"Bãi bùn - Bùn biển sâu")</f>
        <v>Bãi bùn - Bùn biển sâu</v>
      </c>
      <c r="G4496" s="8" t="str">
        <f>IFERROR(__xludf.DUMMYFUNCTION("GOOGLETRANSLATE(E4496,""zh-CN"",""vi"")"),"Các vật phẩm trong công viên giải trí, có thể sử dụng trong trò chơi tại công viên giải trí.")</f>
        <v>Các vật phẩm trong công viên giải trí, có thể sử dụng trong trò chơi tại công viên giải trí.</v>
      </c>
      <c r="H4496" s="8"/>
      <c r="I4496" s="8"/>
      <c r="J4496" s="8"/>
    </row>
    <row r="4497" ht="21.0" customHeight="1">
      <c r="A4497" s="6">
        <v>100.0</v>
      </c>
      <c r="B4497" s="6">
        <v>2000.0</v>
      </c>
      <c r="C4497" s="6">
        <v>1.0</v>
      </c>
      <c r="D4497" s="100" t="s">
        <v>7655</v>
      </c>
      <c r="E4497" s="9" t="s">
        <v>7560</v>
      </c>
      <c r="F4497" s="8" t="str">
        <f>IFERROR(__xludf.DUMMYFUNCTION("GOOGLETRANSLATE(D4497,""zh-CN"",""vi"")"),"Thùng lăn - thùng gỗ cũ")</f>
        <v>Thùng lăn - thùng gỗ cũ</v>
      </c>
      <c r="G4497" s="8" t="str">
        <f>IFERROR(__xludf.DUMMYFUNCTION("GOOGLETRANSLATE(E4497,""zh-CN"",""vi"")"),"Các vật phẩm trong công viên giải trí, có thể sử dụng trong trò chơi tại công viên giải trí.")</f>
        <v>Các vật phẩm trong công viên giải trí, có thể sử dụng trong trò chơi tại công viên giải trí.</v>
      </c>
      <c r="H4497" s="8"/>
      <c r="I4497" s="8"/>
      <c r="J4497" s="8"/>
    </row>
    <row r="4498" ht="21.0" customHeight="1">
      <c r="A4498" s="6">
        <v>100.0</v>
      </c>
      <c r="B4498" s="6">
        <v>2000.0</v>
      </c>
      <c r="C4498" s="6">
        <v>1.0</v>
      </c>
      <c r="D4498" s="100" t="s">
        <v>7656</v>
      </c>
      <c r="E4498" s="9" t="s">
        <v>7560</v>
      </c>
      <c r="F4498" s="8" t="str">
        <f>IFERROR(__xludf.DUMMYFUNCTION("GOOGLETRANSLATE(D4498,""zh-CN"",""vi"")"),"Máy chạy bộ - Đồ thủ công bằng gỗ")</f>
        <v>Máy chạy bộ - Đồ thủ công bằng gỗ</v>
      </c>
      <c r="G4498" s="8" t="str">
        <f>IFERROR(__xludf.DUMMYFUNCTION("GOOGLETRANSLATE(E4498,""zh-CN"",""vi"")"),"Các vật phẩm trong công viên giải trí, có thể sử dụng trong trò chơi tại công viên giải trí.")</f>
        <v>Các vật phẩm trong công viên giải trí, có thể sử dụng trong trò chơi tại công viên giải trí.</v>
      </c>
      <c r="H4498" s="8"/>
      <c r="I4498" s="8"/>
      <c r="J4498" s="8"/>
    </row>
    <row r="4499" ht="21.0" customHeight="1">
      <c r="A4499" s="6">
        <v>100.0</v>
      </c>
      <c r="B4499" s="6">
        <v>2000.0</v>
      </c>
      <c r="C4499" s="6">
        <v>1.0</v>
      </c>
      <c r="D4499" s="100" t="s">
        <v>7657</v>
      </c>
      <c r="E4499" s="9" t="s">
        <v>7560</v>
      </c>
      <c r="F4499" s="8" t="str">
        <f>IFERROR(__xludf.DUMMYFUNCTION("GOOGLETRANSLATE(D4499,""zh-CN"",""vi"")"),"Máy chạy bộ - Máy móc")</f>
        <v>Máy chạy bộ - Máy móc</v>
      </c>
      <c r="G4499" s="8" t="str">
        <f>IFERROR(__xludf.DUMMYFUNCTION("GOOGLETRANSLATE(E4499,""zh-CN"",""vi"")"),"Các vật phẩm trong công viên giải trí, có thể sử dụng trong trò chơi tại công viên giải trí.")</f>
        <v>Các vật phẩm trong công viên giải trí, có thể sử dụng trong trò chơi tại công viên giải trí.</v>
      </c>
      <c r="H4499" s="8"/>
      <c r="I4499" s="8"/>
      <c r="J4499" s="8"/>
    </row>
    <row r="4500" ht="21.0" customHeight="1">
      <c r="A4500" s="6">
        <v>100.0</v>
      </c>
      <c r="B4500" s="6">
        <v>2000.0</v>
      </c>
      <c r="C4500" s="6">
        <v>1.0</v>
      </c>
      <c r="D4500" s="100" t="s">
        <v>7658</v>
      </c>
      <c r="E4500" s="9" t="s">
        <v>7560</v>
      </c>
      <c r="F4500" s="8" t="str">
        <f>IFERROR(__xludf.DUMMYFUNCTION("GOOGLETRANSLATE(D4500,""zh-CN"",""vi"")"),"Máy chạy bộ - Hiện đại")</f>
        <v>Máy chạy bộ - Hiện đại</v>
      </c>
      <c r="G4500" s="8" t="str">
        <f>IFERROR(__xludf.DUMMYFUNCTION("GOOGLETRANSLATE(E4500,""zh-CN"",""vi"")"),"Các vật phẩm trong công viên giải trí, có thể sử dụng trong trò chơi tại công viên giải trí.")</f>
        <v>Các vật phẩm trong công viên giải trí, có thể sử dụng trong trò chơi tại công viên giải trí.</v>
      </c>
      <c r="H4500" s="8"/>
      <c r="I4500" s="8"/>
      <c r="J4500" s="8"/>
    </row>
    <row r="4501" ht="21.0" customHeight="1">
      <c r="A4501" s="6">
        <v>100.0</v>
      </c>
      <c r="B4501" s="6">
        <v>2000.0</v>
      </c>
      <c r="C4501" s="6">
        <v>1.0</v>
      </c>
      <c r="D4501" s="100" t="s">
        <v>7659</v>
      </c>
      <c r="E4501" s="9" t="s">
        <v>7560</v>
      </c>
      <c r="F4501" s="8" t="str">
        <f>IFERROR(__xludf.DUMMYFUNCTION("GOOGLETRANSLATE(D4501,""zh-CN"",""vi"")"),"Máy chạy bộ - Bánh rán")</f>
        <v>Máy chạy bộ - Bánh rán</v>
      </c>
      <c r="G4501" s="8" t="str">
        <f>IFERROR(__xludf.DUMMYFUNCTION("GOOGLETRANSLATE(E4501,""zh-CN"",""vi"")"),"Các vật phẩm trong công viên giải trí, có thể sử dụng trong trò chơi tại công viên giải trí.")</f>
        <v>Các vật phẩm trong công viên giải trí, có thể sử dụng trong trò chơi tại công viên giải trí.</v>
      </c>
      <c r="H4501" s="8"/>
      <c r="I4501" s="8"/>
      <c r="J4501" s="8"/>
    </row>
    <row r="4502" ht="21.0" customHeight="1">
      <c r="A4502" s="6">
        <v>100.0</v>
      </c>
      <c r="B4502" s="6">
        <v>2000.0</v>
      </c>
      <c r="C4502" s="6">
        <v>1.0</v>
      </c>
      <c r="D4502" s="100" t="s">
        <v>7660</v>
      </c>
      <c r="E4502" s="9" t="s">
        <v>7560</v>
      </c>
      <c r="F4502" s="8" t="str">
        <f>IFERROR(__xludf.DUMMYFUNCTION("GOOGLETRANSLATE(D4502,""zh-CN"",""vi"")"),"Bạt nhún - Da")</f>
        <v>Bạt nhún - Da</v>
      </c>
      <c r="G4502" s="8" t="str">
        <f>IFERROR(__xludf.DUMMYFUNCTION("GOOGLETRANSLATE(E4502,""zh-CN"",""vi"")"),"Các vật phẩm trong công viên giải trí, có thể sử dụng trong trò chơi tại công viên giải trí.")</f>
        <v>Các vật phẩm trong công viên giải trí, có thể sử dụng trong trò chơi tại công viên giải trí.</v>
      </c>
      <c r="H4502" s="8"/>
      <c r="I4502" s="8"/>
      <c r="J4502" s="8"/>
    </row>
    <row r="4503" ht="21.0" customHeight="1">
      <c r="A4503" s="6">
        <v>100.0</v>
      </c>
      <c r="B4503" s="6">
        <v>2000.0</v>
      </c>
      <c r="C4503" s="6">
        <v>1.0</v>
      </c>
      <c r="D4503" s="100" t="s">
        <v>7661</v>
      </c>
      <c r="E4503" s="9" t="s">
        <v>7560</v>
      </c>
      <c r="F4503" s="8" t="str">
        <f>IFERROR(__xludf.DUMMYFUNCTION("GOOGLETRANSLATE(D4503,""zh-CN"",""vi"")"),"Bạt nhún - Bơm hơi")</f>
        <v>Bạt nhún - Bơm hơi</v>
      </c>
      <c r="G4503" s="8" t="str">
        <f>IFERROR(__xludf.DUMMYFUNCTION("GOOGLETRANSLATE(E4503,""zh-CN"",""vi"")"),"Các vật phẩm trong công viên giải trí, có thể sử dụng trong trò chơi tại công viên giải trí.")</f>
        <v>Các vật phẩm trong công viên giải trí, có thể sử dụng trong trò chơi tại công viên giải trí.</v>
      </c>
      <c r="H4503" s="8"/>
      <c r="I4503" s="8"/>
      <c r="J4503" s="8"/>
    </row>
    <row r="4504" ht="21.0" customHeight="1">
      <c r="A4504" s="6">
        <v>100.0</v>
      </c>
      <c r="B4504" s="6">
        <v>2000.0</v>
      </c>
      <c r="C4504" s="6">
        <v>1.0</v>
      </c>
      <c r="D4504" s="100" t="s">
        <v>7662</v>
      </c>
      <c r="E4504" s="9" t="s">
        <v>7560</v>
      </c>
      <c r="F4504" s="8" t="str">
        <f>IFERROR(__xludf.DUMMYFUNCTION("GOOGLETRANSLATE(D4504,""zh-CN"",""vi"")"),"Bạt nhún - Sắt")</f>
        <v>Bạt nhún - Sắt</v>
      </c>
      <c r="G4504" s="8" t="str">
        <f>IFERROR(__xludf.DUMMYFUNCTION("GOOGLETRANSLATE(E4504,""zh-CN"",""vi"")"),"Các vật phẩm trong công viên giải trí, có thể sử dụng trong trò chơi tại công viên giải trí.")</f>
        <v>Các vật phẩm trong công viên giải trí, có thể sử dụng trong trò chơi tại công viên giải trí.</v>
      </c>
      <c r="H4504" s="8"/>
      <c r="I4504" s="8"/>
      <c r="J4504" s="8"/>
    </row>
    <row r="4505" ht="21.0" customHeight="1">
      <c r="A4505" s="6">
        <v>100.0</v>
      </c>
      <c r="B4505" s="6">
        <v>2000.0</v>
      </c>
      <c r="C4505" s="6">
        <v>1.0</v>
      </c>
      <c r="D4505" s="100" t="s">
        <v>7663</v>
      </c>
      <c r="E4505" s="9" t="s">
        <v>7560</v>
      </c>
      <c r="F4505" s="8" t="str">
        <f>IFERROR(__xludf.DUMMYFUNCTION("GOOGLETRANSLATE(D4505,""zh-CN"",""vi"")"),"Nhảy bạt lò xo - Nâng cao")</f>
        <v>Nhảy bạt lò xo - Nâng cao</v>
      </c>
      <c r="G4505" s="8" t="str">
        <f>IFERROR(__xludf.DUMMYFUNCTION("GOOGLETRANSLATE(E4505,""zh-CN"",""vi"")"),"Các vật phẩm trong công viên giải trí, có thể sử dụng trong trò chơi tại công viên giải trí.")</f>
        <v>Các vật phẩm trong công viên giải trí, có thể sử dụng trong trò chơi tại công viên giải trí.</v>
      </c>
      <c r="H4505" s="8"/>
      <c r="I4505" s="8"/>
      <c r="J4505" s="8"/>
    </row>
    <row r="4506" ht="21.0" customHeight="1">
      <c r="A4506" s="6">
        <v>100.0</v>
      </c>
      <c r="B4506" s="6">
        <v>2000.0</v>
      </c>
      <c r="C4506" s="6">
        <v>1.0</v>
      </c>
      <c r="D4506" s="100" t="s">
        <v>7664</v>
      </c>
      <c r="E4506" s="9" t="s">
        <v>7560</v>
      </c>
      <c r="F4506" s="8" t="str">
        <f>IFERROR(__xludf.DUMMYFUNCTION("GOOGLETRANSLATE(D4506,""zh-CN"",""vi"")"),"Vòng đu quay - tuyệt vời")</f>
        <v>Vòng đu quay - tuyệt vời</v>
      </c>
      <c r="G4506" s="8" t="str">
        <f>IFERROR(__xludf.DUMMYFUNCTION("GOOGLETRANSLATE(E4506,""zh-CN"",""vi"")"),"Các vật phẩm trong công viên giải trí, có thể sử dụng trong trò chơi tại công viên giải trí.")</f>
        <v>Các vật phẩm trong công viên giải trí, có thể sử dụng trong trò chơi tại công viên giải trí.</v>
      </c>
      <c r="H4506" s="8"/>
      <c r="I4506" s="8"/>
      <c r="J4506" s="8"/>
    </row>
    <row r="4507" ht="21.0" customHeight="1">
      <c r="A4507" s="6">
        <v>100.0</v>
      </c>
      <c r="B4507" s="6">
        <v>2000.0</v>
      </c>
      <c r="C4507" s="6">
        <v>1.0</v>
      </c>
      <c r="D4507" s="100" t="s">
        <v>7665</v>
      </c>
      <c r="E4507" s="9" t="s">
        <v>7560</v>
      </c>
      <c r="F4507" s="8" t="str">
        <f>IFERROR(__xludf.DUMMYFUNCTION("GOOGLETRANSLATE(D4507,""zh-CN"",""vi"")"),"Các đạo cụ vòng đu quay đầy màu sắc")</f>
        <v>Các đạo cụ vòng đu quay đầy màu sắc</v>
      </c>
      <c r="G4507" s="8" t="str">
        <f>IFERROR(__xludf.DUMMYFUNCTION("GOOGLETRANSLATE(E4507,""zh-CN"",""vi"")"),"Các vật phẩm trong công viên giải trí, có thể sử dụng trong trò chơi tại công viên giải trí.")</f>
        <v>Các vật phẩm trong công viên giải trí, có thể sử dụng trong trò chơi tại công viên giải trí.</v>
      </c>
      <c r="H4507" s="8"/>
      <c r="I4507" s="8"/>
      <c r="J4507" s="8"/>
    </row>
    <row r="4508" ht="21.0" customHeight="1">
      <c r="A4508" s="6">
        <v>100.0</v>
      </c>
      <c r="B4508" s="6">
        <v>2000.0</v>
      </c>
      <c r="C4508" s="6">
        <v>1.0</v>
      </c>
      <c r="D4508" s="100" t="s">
        <v>7666</v>
      </c>
      <c r="E4508" s="9" t="s">
        <v>7560</v>
      </c>
      <c r="F4508" s="8" t="str">
        <f>IFERROR(__xludf.DUMMYFUNCTION("GOOGLETRANSLATE(D4508,""zh-CN"",""vi"")"),"Đồ trang trí vòng đu quay kẹo")</f>
        <v>Đồ trang trí vòng đu quay kẹo</v>
      </c>
      <c r="G4508" s="8" t="str">
        <f>IFERROR(__xludf.DUMMYFUNCTION("GOOGLETRANSLATE(E4508,""zh-CN"",""vi"")"),"Các vật phẩm trong công viên giải trí, có thể sử dụng trong trò chơi tại công viên giải trí.")</f>
        <v>Các vật phẩm trong công viên giải trí, có thể sử dụng trong trò chơi tại công viên giải trí.</v>
      </c>
      <c r="H4508" s="8"/>
      <c r="I4508" s="8"/>
      <c r="J4508" s="8"/>
    </row>
    <row r="4509" ht="21.0" customHeight="1">
      <c r="A4509" s="6">
        <v>100.0</v>
      </c>
      <c r="B4509" s="6">
        <v>2000.0</v>
      </c>
      <c r="C4509" s="6">
        <v>1.0</v>
      </c>
      <c r="D4509" s="100" t="s">
        <v>7667</v>
      </c>
      <c r="E4509" s="9" t="s">
        <v>7560</v>
      </c>
      <c r="F4509" s="8" t="str">
        <f>IFERROR(__xludf.DUMMYFUNCTION("GOOGLETRANSLATE(D4509,""zh-CN"",""vi"")"),"Đồ trang trí vòng đu quay kẹo mút")</f>
        <v>Đồ trang trí vòng đu quay kẹo mút</v>
      </c>
      <c r="G4509" s="8" t="str">
        <f>IFERROR(__xludf.DUMMYFUNCTION("GOOGLETRANSLATE(E4509,""zh-CN"",""vi"")"),"Các vật phẩm trong công viên giải trí, có thể sử dụng trong trò chơi tại công viên giải trí.")</f>
        <v>Các vật phẩm trong công viên giải trí, có thể sử dụng trong trò chơi tại công viên giải trí.</v>
      </c>
      <c r="H4509" s="8"/>
      <c r="I4509" s="8"/>
      <c r="J4509" s="8"/>
    </row>
    <row r="4510" ht="21.0" customHeight="1">
      <c r="A4510" s="6">
        <v>100.0</v>
      </c>
      <c r="B4510" s="6">
        <v>2000.0</v>
      </c>
      <c r="C4510" s="6">
        <v>1.0</v>
      </c>
      <c r="D4510" s="100" t="s">
        <v>7668</v>
      </c>
      <c r="E4510" s="9" t="s">
        <v>7560</v>
      </c>
      <c r="F4510" s="8" t="str">
        <f>IFERROR(__xludf.DUMMYFUNCTION("GOOGLETRANSLATE(D4510,""zh-CN"",""vi"")"),"Xích đu - Dây leo")</f>
        <v>Xích đu - Dây leo</v>
      </c>
      <c r="G4510" s="8" t="str">
        <f>IFERROR(__xludf.DUMMYFUNCTION("GOOGLETRANSLATE(E4510,""zh-CN"",""vi"")"),"Các vật phẩm trong công viên giải trí, có thể sử dụng trong trò chơi tại công viên giải trí.")</f>
        <v>Các vật phẩm trong công viên giải trí, có thể sử dụng trong trò chơi tại công viên giải trí.</v>
      </c>
      <c r="H4510" s="8"/>
      <c r="I4510" s="8"/>
      <c r="J4510" s="8"/>
    </row>
    <row r="4511" ht="21.0" customHeight="1">
      <c r="A4511" s="6">
        <v>100.0</v>
      </c>
      <c r="B4511" s="6">
        <v>2000.0</v>
      </c>
      <c r="C4511" s="6">
        <v>1.0</v>
      </c>
      <c r="D4511" s="100" t="s">
        <v>7669</v>
      </c>
      <c r="E4511" s="9" t="s">
        <v>7560</v>
      </c>
      <c r="F4511" s="8" t="str">
        <f>IFERROR(__xludf.DUMMYFUNCTION("GOOGLETRANSLATE(D4511,""zh-CN"",""vi"")"),"Xích đu - Hoa")</f>
        <v>Xích đu - Hoa</v>
      </c>
      <c r="G4511" s="8" t="str">
        <f>IFERROR(__xludf.DUMMYFUNCTION("GOOGLETRANSLATE(E4511,""zh-CN"",""vi"")"),"Các vật phẩm trong công viên giải trí, có thể sử dụng trong trò chơi tại công viên giải trí.")</f>
        <v>Các vật phẩm trong công viên giải trí, có thể sử dụng trong trò chơi tại công viên giải trí.</v>
      </c>
      <c r="H4511" s="8"/>
      <c r="I4511" s="8"/>
      <c r="J4511" s="8"/>
    </row>
    <row r="4512" ht="21.0" customHeight="1">
      <c r="A4512" s="6">
        <v>100.0</v>
      </c>
      <c r="B4512" s="6">
        <v>2000.0</v>
      </c>
      <c r="C4512" s="6">
        <v>1.0</v>
      </c>
      <c r="D4512" s="100" t="s">
        <v>7670</v>
      </c>
      <c r="E4512" s="9" t="s">
        <v>7560</v>
      </c>
      <c r="F4512" s="8" t="str">
        <f>IFERROR(__xludf.DUMMYFUNCTION("GOOGLETRANSLATE(D4512,""zh-CN"",""vi"")"),"Hoa và Cây - Bồ công anh")</f>
        <v>Hoa và Cây - Bồ công anh</v>
      </c>
      <c r="G4512" s="8" t="str">
        <f>IFERROR(__xludf.DUMMYFUNCTION("GOOGLETRANSLATE(E4512,""zh-CN"",""vi"")"),"Các vật phẩm trong công viên giải trí, có thể sử dụng trong trò chơi tại công viên giải trí.")</f>
        <v>Các vật phẩm trong công viên giải trí, có thể sử dụng trong trò chơi tại công viên giải trí.</v>
      </c>
      <c r="H4512" s="8"/>
      <c r="I4512" s="8"/>
      <c r="J4512" s="8"/>
    </row>
    <row r="4513" ht="21.0" customHeight="1">
      <c r="A4513" s="6">
        <v>100.0</v>
      </c>
      <c r="B4513" s="6">
        <v>2000.0</v>
      </c>
      <c r="C4513" s="6">
        <v>1.0</v>
      </c>
      <c r="D4513" s="100" t="s">
        <v>7671</v>
      </c>
      <c r="E4513" s="9" t="s">
        <v>7560</v>
      </c>
      <c r="F4513" s="8" t="str">
        <f>IFERROR(__xludf.DUMMYFUNCTION("GOOGLETRANSLATE(D4513,""zh-CN"",""vi"")"),"Hoa và cây - Miscanthus sinensis")</f>
        <v>Hoa và cây - Miscanthus sinensis</v>
      </c>
      <c r="G4513" s="8" t="str">
        <f>IFERROR(__xludf.DUMMYFUNCTION("GOOGLETRANSLATE(E4513,""zh-CN"",""vi"")"),"Các vật phẩm trong công viên giải trí, có thể sử dụng trong trò chơi tại công viên giải trí.")</f>
        <v>Các vật phẩm trong công viên giải trí, có thể sử dụng trong trò chơi tại công viên giải trí.</v>
      </c>
      <c r="H4513" s="8"/>
      <c r="I4513" s="8"/>
      <c r="J4513" s="8"/>
    </row>
    <row r="4514" ht="21.0" customHeight="1">
      <c r="A4514" s="6">
        <v>100.0</v>
      </c>
      <c r="B4514" s="6">
        <v>2000.0</v>
      </c>
      <c r="C4514" s="6">
        <v>1.0</v>
      </c>
      <c r="D4514" s="100" t="s">
        <v>7672</v>
      </c>
      <c r="E4514" s="9" t="s">
        <v>7560</v>
      </c>
      <c r="F4514" s="8" t="str">
        <f>IFERROR(__xludf.DUMMYFUNCTION("GOOGLETRANSLATE(D4514,""zh-CN"",""vi"")"),"Hoa và Cây - Hoa Violet")</f>
        <v>Hoa và Cây - Hoa Violet</v>
      </c>
      <c r="G4514" s="8" t="str">
        <f>IFERROR(__xludf.DUMMYFUNCTION("GOOGLETRANSLATE(E4514,""zh-CN"",""vi"")"),"Các vật phẩm trong công viên giải trí, có thể sử dụng trong trò chơi tại công viên giải trí.")</f>
        <v>Các vật phẩm trong công viên giải trí, có thể sử dụng trong trò chơi tại công viên giải trí.</v>
      </c>
      <c r="H4514" s="8"/>
      <c r="I4514" s="8"/>
      <c r="J4514" s="8"/>
    </row>
    <row r="4515" ht="21.0" customHeight="1">
      <c r="A4515" s="6">
        <v>100.0</v>
      </c>
      <c r="B4515" s="6">
        <v>2000.0</v>
      </c>
      <c r="C4515" s="6">
        <v>1.0</v>
      </c>
      <c r="D4515" s="100" t="s">
        <v>7673</v>
      </c>
      <c r="E4515" s="9" t="s">
        <v>7560</v>
      </c>
      <c r="F4515" s="8" t="str">
        <f>IFERROR(__xludf.DUMMYFUNCTION("GOOGLETRANSLATE(D4515,""zh-CN"",""vi"")"),"Hoa và cây - hoa hướng dương")</f>
        <v>Hoa và cây - hoa hướng dương</v>
      </c>
      <c r="G4515" s="8" t="str">
        <f>IFERROR(__xludf.DUMMYFUNCTION("GOOGLETRANSLATE(E4515,""zh-CN"",""vi"")"),"Các vật phẩm trong công viên giải trí, có thể sử dụng trong trò chơi tại công viên giải trí.")</f>
        <v>Các vật phẩm trong công viên giải trí, có thể sử dụng trong trò chơi tại công viên giải trí.</v>
      </c>
      <c r="H4515" s="8"/>
      <c r="I4515" s="8"/>
      <c r="J4515" s="8"/>
    </row>
    <row r="4516" ht="21.0" customHeight="1">
      <c r="A4516" s="6">
        <v>100.0</v>
      </c>
      <c r="B4516" s="6">
        <v>2000.0</v>
      </c>
      <c r="C4516" s="6">
        <v>1.0</v>
      </c>
      <c r="D4516" s="100" t="s">
        <v>7674</v>
      </c>
      <c r="E4516" s="9" t="s">
        <v>7560</v>
      </c>
      <c r="F4516" s="8" t="str">
        <f>IFERROR(__xludf.DUMMYFUNCTION("GOOGLETRANSLATE(D4516,""zh-CN"",""vi"")"),"Hoa và Cây - Hoa Ngày Nắng")</f>
        <v>Hoa và Cây - Hoa Ngày Nắng</v>
      </c>
      <c r="G4516" s="8" t="str">
        <f>IFERROR(__xludf.DUMMYFUNCTION("GOOGLETRANSLATE(E4516,""zh-CN"",""vi"")"),"Các vật phẩm trong công viên giải trí, có thể sử dụng trong trò chơi tại công viên giải trí.")</f>
        <v>Các vật phẩm trong công viên giải trí, có thể sử dụng trong trò chơi tại công viên giải trí.</v>
      </c>
      <c r="H4516" s="8"/>
      <c r="I4516" s="8"/>
      <c r="J4516" s="8"/>
    </row>
    <row r="4517" ht="21.0" customHeight="1">
      <c r="A4517" s="6">
        <v>100.0</v>
      </c>
      <c r="B4517" s="6">
        <v>2000.0</v>
      </c>
      <c r="C4517" s="6">
        <v>1.0</v>
      </c>
      <c r="D4517" s="100" t="s">
        <v>7675</v>
      </c>
      <c r="E4517" s="9" t="s">
        <v>7560</v>
      </c>
      <c r="F4517" s="8" t="str">
        <f>IFERROR(__xludf.DUMMYFUNCTION("GOOGLETRANSLATE(D4517,""zh-CN"",""vi"")"),"Hoa và Cây - Cây kim ngân hoa")</f>
        <v>Hoa và Cây - Cây kim ngân hoa</v>
      </c>
      <c r="G4517" s="8" t="str">
        <f>IFERROR(__xludf.DUMMYFUNCTION("GOOGLETRANSLATE(E4517,""zh-CN"",""vi"")"),"Các vật phẩm trong công viên giải trí, có thể sử dụng trong trò chơi tại công viên giải trí.")</f>
        <v>Các vật phẩm trong công viên giải trí, có thể sử dụng trong trò chơi tại công viên giải trí.</v>
      </c>
      <c r="H4517" s="8"/>
      <c r="I4517" s="8"/>
      <c r="J4517" s="8"/>
    </row>
    <row r="4518" ht="21.0" customHeight="1">
      <c r="A4518" s="6">
        <v>100.0</v>
      </c>
      <c r="B4518" s="6">
        <v>2000.0</v>
      </c>
      <c r="C4518" s="6">
        <v>1.0</v>
      </c>
      <c r="D4518" s="100" t="s">
        <v>7676</v>
      </c>
      <c r="E4518" s="9" t="s">
        <v>7560</v>
      </c>
      <c r="F4518" s="8" t="str">
        <f>IFERROR(__xludf.DUMMYFUNCTION("GOOGLETRANSLATE(D4518,""zh-CN"",""vi"")"),"Hoa và cây - cỏ đuôi cáo")</f>
        <v>Hoa và cây - cỏ đuôi cáo</v>
      </c>
      <c r="G4518" s="8" t="str">
        <f>IFERROR(__xludf.DUMMYFUNCTION("GOOGLETRANSLATE(E4518,""zh-CN"",""vi"")"),"Các vật phẩm trong công viên giải trí, có thể sử dụng trong trò chơi tại công viên giải trí.")</f>
        <v>Các vật phẩm trong công viên giải trí, có thể sử dụng trong trò chơi tại công viên giải trí.</v>
      </c>
      <c r="H4518" s="8"/>
      <c r="I4518" s="8"/>
      <c r="J4518" s="8"/>
    </row>
    <row r="4519" ht="21.0" customHeight="1">
      <c r="A4519" s="6">
        <v>100.0</v>
      </c>
      <c r="B4519" s="6">
        <v>2000.0</v>
      </c>
      <c r="C4519" s="6">
        <v>1.0</v>
      </c>
      <c r="D4519" s="100" t="s">
        <v>7677</v>
      </c>
      <c r="E4519" s="9" t="s">
        <v>7560</v>
      </c>
      <c r="F4519" s="8" t="str">
        <f>IFERROR(__xludf.DUMMYFUNCTION("GOOGLETRANSLATE(D4519,""zh-CN"",""vi"")"),"Hoa và cây cảnh - hoa cẩm tú cầu")</f>
        <v>Hoa và cây cảnh - hoa cẩm tú cầu</v>
      </c>
      <c r="G4519" s="8" t="str">
        <f>IFERROR(__xludf.DUMMYFUNCTION("GOOGLETRANSLATE(E4519,""zh-CN"",""vi"")"),"Các vật phẩm trong công viên giải trí, có thể sử dụng trong trò chơi tại công viên giải trí.")</f>
        <v>Các vật phẩm trong công viên giải trí, có thể sử dụng trong trò chơi tại công viên giải trí.</v>
      </c>
      <c r="H4519" s="8"/>
      <c r="I4519" s="8"/>
      <c r="J4519" s="8"/>
    </row>
    <row r="4520" ht="21.0" customHeight="1">
      <c r="A4520" s="6">
        <v>100.0</v>
      </c>
      <c r="B4520" s="6">
        <v>2000.0</v>
      </c>
      <c r="C4520" s="6">
        <v>1.0</v>
      </c>
      <c r="D4520" s="100" t="s">
        <v>7675</v>
      </c>
      <c r="E4520" s="9" t="s">
        <v>7560</v>
      </c>
      <c r="F4520" s="8" t="str">
        <f>IFERROR(__xludf.DUMMYFUNCTION("GOOGLETRANSLATE(D4520,""zh-CN"",""vi"")"),"Hoa và Cây - Cây kim ngân hoa")</f>
        <v>Hoa và Cây - Cây kim ngân hoa</v>
      </c>
      <c r="G4520" s="8" t="str">
        <f>IFERROR(__xludf.DUMMYFUNCTION("GOOGLETRANSLATE(E4520,""zh-CN"",""vi"")"),"Các vật phẩm trong công viên giải trí, có thể sử dụng trong trò chơi tại công viên giải trí.")</f>
        <v>Các vật phẩm trong công viên giải trí, có thể sử dụng trong trò chơi tại công viên giải trí.</v>
      </c>
      <c r="H4520" s="8"/>
      <c r="I4520" s="8"/>
      <c r="J4520" s="8"/>
    </row>
    <row r="4521" ht="21.0" customHeight="1">
      <c r="A4521" s="6">
        <v>100.0</v>
      </c>
      <c r="B4521" s="6">
        <v>2000.0</v>
      </c>
      <c r="C4521" s="6">
        <v>1.0</v>
      </c>
      <c r="D4521" s="100" t="s">
        <v>7678</v>
      </c>
      <c r="E4521" s="9" t="s">
        <v>7560</v>
      </c>
      <c r="F4521" s="8" t="str">
        <f>IFERROR(__xludf.DUMMYFUNCTION("GOOGLETRANSLATE(D4521,""zh-CN"",""vi"")"),"Hoa và Cây - Hoa tulip")</f>
        <v>Hoa và Cây - Hoa tulip</v>
      </c>
      <c r="G4521" s="8" t="str">
        <f>IFERROR(__xludf.DUMMYFUNCTION("GOOGLETRANSLATE(E4521,""zh-CN"",""vi"")"),"Các vật phẩm trong công viên giải trí, có thể sử dụng trong trò chơi tại công viên giải trí.")</f>
        <v>Các vật phẩm trong công viên giải trí, có thể sử dụng trong trò chơi tại công viên giải trí.</v>
      </c>
      <c r="H4521" s="8"/>
      <c r="I4521" s="8"/>
      <c r="J4521" s="8"/>
    </row>
    <row r="4522" ht="21.0" customHeight="1">
      <c r="A4522" s="6">
        <v>100.0</v>
      </c>
      <c r="B4522" s="6">
        <v>2000.0</v>
      </c>
      <c r="C4522" s="6">
        <v>1.0</v>
      </c>
      <c r="D4522" s="100" t="s">
        <v>7679</v>
      </c>
      <c r="E4522" s="9" t="s">
        <v>7560</v>
      </c>
      <c r="F4522" s="8" t="str">
        <f>IFERROR(__xludf.DUMMYFUNCTION("GOOGLETRANSLATE(D4522,""zh-CN"",""vi"")"),"Hoa và Cây - Hoa Linh Lan")</f>
        <v>Hoa và Cây - Hoa Linh Lan</v>
      </c>
      <c r="G4522" s="8" t="str">
        <f>IFERROR(__xludf.DUMMYFUNCTION("GOOGLETRANSLATE(E4522,""zh-CN"",""vi"")"),"Các vật phẩm trong công viên giải trí, có thể sử dụng trong trò chơi tại công viên giải trí.")</f>
        <v>Các vật phẩm trong công viên giải trí, có thể sử dụng trong trò chơi tại công viên giải trí.</v>
      </c>
      <c r="H4522" s="8"/>
      <c r="I4522" s="8"/>
      <c r="J4522" s="8"/>
    </row>
    <row r="4523" ht="21.0" customHeight="1">
      <c r="A4523" s="6">
        <v>100.0</v>
      </c>
      <c r="B4523" s="6">
        <v>2000.0</v>
      </c>
      <c r="C4523" s="6">
        <v>1.0</v>
      </c>
      <c r="D4523" s="100" t="s">
        <v>7680</v>
      </c>
      <c r="E4523" s="9" t="s">
        <v>7560</v>
      </c>
      <c r="F4523" s="8" t="str">
        <f>IFERROR(__xludf.DUMMYFUNCTION("GOOGLETRANSLATE(D4523,""zh-CN"",""vi"")"),"Cây mọng nước - Cây tiền")</f>
        <v>Cây mọng nước - Cây tiền</v>
      </c>
      <c r="G4523" s="8" t="str">
        <f>IFERROR(__xludf.DUMMYFUNCTION("GOOGLETRANSLATE(E4523,""zh-CN"",""vi"")"),"Các vật phẩm trong công viên giải trí, có thể sử dụng trong trò chơi tại công viên giải trí.")</f>
        <v>Các vật phẩm trong công viên giải trí, có thể sử dụng trong trò chơi tại công viên giải trí.</v>
      </c>
      <c r="H4523" s="8"/>
      <c r="I4523" s="8"/>
      <c r="J4523" s="8"/>
    </row>
    <row r="4524" ht="21.0" customHeight="1">
      <c r="A4524" s="6">
        <v>100.0</v>
      </c>
      <c r="B4524" s="6">
        <v>2000.0</v>
      </c>
      <c r="C4524" s="6">
        <v>1.0</v>
      </c>
      <c r="D4524" s="100" t="s">
        <v>7681</v>
      </c>
      <c r="E4524" s="9" t="s">
        <v>7560</v>
      </c>
      <c r="F4524" s="8" t="str">
        <f>IFERROR(__xludf.DUMMYFUNCTION("GOOGLETRANSLATE(D4524,""zh-CN"",""vi"")"),"Cây mọng nước - Xương rồng")</f>
        <v>Cây mọng nước - Xương rồng</v>
      </c>
      <c r="G4524" s="8" t="str">
        <f>IFERROR(__xludf.DUMMYFUNCTION("GOOGLETRANSLATE(E4524,""zh-CN"",""vi"")"),"Các vật phẩm trong công viên giải trí, có thể sử dụng trong trò chơi tại công viên giải trí.")</f>
        <v>Các vật phẩm trong công viên giải trí, có thể sử dụng trong trò chơi tại công viên giải trí.</v>
      </c>
      <c r="H4524" s="8"/>
      <c r="I4524" s="8"/>
      <c r="J4524" s="8"/>
    </row>
    <row r="4525" ht="21.0" customHeight="1">
      <c r="A4525" s="6">
        <v>100.0</v>
      </c>
      <c r="B4525" s="6">
        <v>2000.0</v>
      </c>
      <c r="C4525" s="6">
        <v>1.0</v>
      </c>
      <c r="D4525" s="100" t="s">
        <v>7682</v>
      </c>
      <c r="E4525" s="9" t="s">
        <v>7560</v>
      </c>
      <c r="F4525" s="8" t="str">
        <f>IFERROR(__xludf.DUMMYFUNCTION("GOOGLETRANSLATE(D4525,""zh-CN"",""vi"")"),"Cây mọng nước - Bàn chân gấu xanh")</f>
        <v>Cây mọng nước - Bàn chân gấu xanh</v>
      </c>
      <c r="G4525" s="8" t="str">
        <f>IFERROR(__xludf.DUMMYFUNCTION("GOOGLETRANSLATE(E4525,""zh-CN"",""vi"")"),"Các vật phẩm trong công viên giải trí, có thể sử dụng trong trò chơi tại công viên giải trí.")</f>
        <v>Các vật phẩm trong công viên giải trí, có thể sử dụng trong trò chơi tại công viên giải trí.</v>
      </c>
      <c r="H4525" s="8"/>
      <c r="I4525" s="8"/>
      <c r="J4525" s="8"/>
    </row>
    <row r="4526" ht="21.0" customHeight="1">
      <c r="A4526" s="6">
        <v>100.0</v>
      </c>
      <c r="B4526" s="6">
        <v>2000.0</v>
      </c>
      <c r="C4526" s="6">
        <v>1.0</v>
      </c>
      <c r="D4526" s="100" t="s">
        <v>7683</v>
      </c>
      <c r="E4526" s="9" t="s">
        <v>7560</v>
      </c>
      <c r="F4526" s="8" t="str">
        <f>IFERROR(__xludf.DUMMYFUNCTION("GOOGLETRANSLATE(D4526,""zh-CN"",""vi"")"),"Cây thân gỗ - Cây khói lá vàng")</f>
        <v>Cây thân gỗ - Cây khói lá vàng</v>
      </c>
      <c r="G4526" s="8" t="str">
        <f>IFERROR(__xludf.DUMMYFUNCTION("GOOGLETRANSLATE(E4526,""zh-CN"",""vi"")"),"Các vật phẩm trong công viên giải trí, có thể sử dụng trong trò chơi tại công viên giải trí.")</f>
        <v>Các vật phẩm trong công viên giải trí, có thể sử dụng trong trò chơi tại công viên giải trí.</v>
      </c>
      <c r="H4526" s="8"/>
      <c r="I4526" s="8"/>
      <c r="J4526" s="8"/>
    </row>
    <row r="4527" ht="21.0" customHeight="1">
      <c r="A4527" s="6">
        <v>100.0</v>
      </c>
      <c r="B4527" s="6">
        <v>2000.0</v>
      </c>
      <c r="C4527" s="6">
        <v>1.0</v>
      </c>
      <c r="D4527" s="100" t="s">
        <v>7684</v>
      </c>
      <c r="E4527" s="9" t="s">
        <v>7560</v>
      </c>
      <c r="F4527" s="8" t="str">
        <f>IFERROR(__xludf.DUMMYFUNCTION("GOOGLETRANSLATE(D4527,""zh-CN"",""vi"")"),"Cây cối - Cây khói")</f>
        <v>Cây cối - Cây khói</v>
      </c>
      <c r="G4527" s="8" t="str">
        <f>IFERROR(__xludf.DUMMYFUNCTION("GOOGLETRANSLATE(E4527,""zh-CN"",""vi"")"),"Các vật phẩm trong công viên giải trí, có thể sử dụng trong trò chơi tại công viên giải trí.")</f>
        <v>Các vật phẩm trong công viên giải trí, có thể sử dụng trong trò chơi tại công viên giải trí.</v>
      </c>
      <c r="H4527" s="8"/>
      <c r="I4527" s="8"/>
      <c r="J4527" s="8"/>
    </row>
    <row r="4528" ht="21.0" customHeight="1">
      <c r="A4528" s="6">
        <v>100.0</v>
      </c>
      <c r="B4528" s="6">
        <v>2000.0</v>
      </c>
      <c r="C4528" s="6">
        <v>1.0</v>
      </c>
      <c r="D4528" s="100" t="s">
        <v>7685</v>
      </c>
      <c r="E4528" s="9" t="s">
        <v>7560</v>
      </c>
      <c r="F4528" s="8" t="str">
        <f>IFERROR(__xludf.DUMMYFUNCTION("GOOGLETRANSLATE(D4528,""zh-CN"",""vi"")"),"Cây - Cây phong")</f>
        <v>Cây - Cây phong</v>
      </c>
      <c r="G4528" s="8" t="str">
        <f>IFERROR(__xludf.DUMMYFUNCTION("GOOGLETRANSLATE(E4528,""zh-CN"",""vi"")"),"Các vật phẩm trong công viên giải trí, có thể sử dụng trong trò chơi tại công viên giải trí.")</f>
        <v>Các vật phẩm trong công viên giải trí, có thể sử dụng trong trò chơi tại công viên giải trí.</v>
      </c>
      <c r="H4528" s="8"/>
      <c r="I4528" s="8"/>
      <c r="J4528" s="8"/>
    </row>
    <row r="4529" ht="21.0" customHeight="1">
      <c r="A4529" s="6">
        <v>100.0</v>
      </c>
      <c r="B4529" s="6">
        <v>2000.0</v>
      </c>
      <c r="C4529" s="6">
        <v>1.0</v>
      </c>
      <c r="D4529" s="100" t="s">
        <v>7686</v>
      </c>
      <c r="E4529" s="9" t="s">
        <v>7560</v>
      </c>
      <c r="F4529" s="8" t="str">
        <f>IFERROR(__xludf.DUMMYFUNCTION("GOOGLETRANSLATE(D4529,""zh-CN"",""vi"")"),"Cây cối - Cây hoa mai")</f>
        <v>Cây cối - Cây hoa mai</v>
      </c>
      <c r="G4529" s="8" t="str">
        <f>IFERROR(__xludf.DUMMYFUNCTION("GOOGLETRANSLATE(E4529,""zh-CN"",""vi"")"),"Các vật phẩm trong công viên giải trí, có thể sử dụng trong trò chơi tại công viên giải trí.")</f>
        <v>Các vật phẩm trong công viên giải trí, có thể sử dụng trong trò chơi tại công viên giải trí.</v>
      </c>
      <c r="H4529" s="8"/>
      <c r="I4529" s="8"/>
      <c r="J4529" s="8"/>
    </row>
    <row r="4530" ht="21.0" customHeight="1">
      <c r="A4530" s="6">
        <v>100.0</v>
      </c>
      <c r="B4530" s="6">
        <v>2000.0</v>
      </c>
      <c r="C4530" s="6">
        <v>1.0</v>
      </c>
      <c r="D4530" s="100" t="s">
        <v>7687</v>
      </c>
      <c r="E4530" s="9" t="s">
        <v>7560</v>
      </c>
      <c r="F4530" s="8" t="str">
        <f>IFERROR(__xludf.DUMMYFUNCTION("GOOGLETRANSLATE(D4530,""zh-CN"",""vi"")"),"Cây cối - Cây lê hoa")</f>
        <v>Cây cối - Cây lê hoa</v>
      </c>
      <c r="G4530" s="8" t="str">
        <f>IFERROR(__xludf.DUMMYFUNCTION("GOOGLETRANSLATE(E4530,""zh-CN"",""vi"")"),"Các vật phẩm trong công viên giải trí, có thể sử dụng trong trò chơi tại công viên giải trí.")</f>
        <v>Các vật phẩm trong công viên giải trí, có thể sử dụng trong trò chơi tại công viên giải trí.</v>
      </c>
      <c r="H4530" s="8"/>
      <c r="I4530" s="8"/>
      <c r="J4530" s="8"/>
    </row>
    <row r="4531" ht="21.0" customHeight="1">
      <c r="A4531" s="6">
        <v>100.0</v>
      </c>
      <c r="B4531" s="6">
        <v>2000.0</v>
      </c>
      <c r="C4531" s="6">
        <v>1.0</v>
      </c>
      <c r="D4531" s="100" t="s">
        <v>7688</v>
      </c>
      <c r="E4531" s="9" t="s">
        <v>7560</v>
      </c>
      <c r="F4531" s="8" t="str">
        <f>IFERROR(__xludf.DUMMYFUNCTION("GOOGLETRANSLATE(D4531,""zh-CN"",""vi"")"),"Cây cối - Cây kẹo bông gòn")</f>
        <v>Cây cối - Cây kẹo bông gòn</v>
      </c>
      <c r="G4531" s="8" t="str">
        <f>IFERROR(__xludf.DUMMYFUNCTION("GOOGLETRANSLATE(E4531,""zh-CN"",""vi"")"),"Các vật phẩm trong công viên giải trí, có thể sử dụng trong trò chơi tại công viên giải trí.")</f>
        <v>Các vật phẩm trong công viên giải trí, có thể sử dụng trong trò chơi tại công viên giải trí.</v>
      </c>
      <c r="H4531" s="8"/>
      <c r="I4531" s="8"/>
      <c r="J4531" s="8"/>
    </row>
    <row r="4532" ht="21.0" customHeight="1">
      <c r="A4532" s="6">
        <v>100.0</v>
      </c>
      <c r="B4532" s="6">
        <v>2000.0</v>
      </c>
      <c r="C4532" s="6">
        <v>1.0</v>
      </c>
      <c r="D4532" s="100" t="s">
        <v>7689</v>
      </c>
      <c r="E4532" s="9" t="s">
        <v>7560</v>
      </c>
      <c r="F4532" s="8" t="str">
        <f>IFERROR(__xludf.DUMMYFUNCTION("GOOGLETRANSLATE(D4532,""zh-CN"",""vi"")"),"Cây cối - Cây dừa")</f>
        <v>Cây cối - Cây dừa</v>
      </c>
      <c r="G4532" s="8" t="str">
        <f>IFERROR(__xludf.DUMMYFUNCTION("GOOGLETRANSLATE(E4532,""zh-CN"",""vi"")"),"Các vật phẩm trong công viên giải trí, có thể sử dụng trong trò chơi tại công viên giải trí.")</f>
        <v>Các vật phẩm trong công viên giải trí, có thể sử dụng trong trò chơi tại công viên giải trí.</v>
      </c>
      <c r="H4532" s="8"/>
      <c r="I4532" s="8"/>
      <c r="J4532" s="8"/>
    </row>
    <row r="4533" ht="21.0" customHeight="1">
      <c r="A4533" s="6">
        <v>100.0</v>
      </c>
      <c r="B4533" s="6">
        <v>2000.0</v>
      </c>
      <c r="C4533" s="6">
        <v>1.0</v>
      </c>
      <c r="D4533" s="100" t="s">
        <v>7690</v>
      </c>
      <c r="E4533" s="9" t="s">
        <v>7560</v>
      </c>
      <c r="F4533" s="8" t="str">
        <f>IFERROR(__xludf.DUMMYFUNCTION("GOOGLETRANSLATE(D4533,""zh-CN"",""vi"")"),"Cây - Cây bóng bay")</f>
        <v>Cây - Cây bóng bay</v>
      </c>
      <c r="G4533" s="8" t="str">
        <f>IFERROR(__xludf.DUMMYFUNCTION("GOOGLETRANSLATE(E4533,""zh-CN"",""vi"")"),"Các vật phẩm trong công viên giải trí, có thể sử dụng trong trò chơi tại công viên giải trí.")</f>
        <v>Các vật phẩm trong công viên giải trí, có thể sử dụng trong trò chơi tại công viên giải trí.</v>
      </c>
      <c r="H4533" s="8"/>
      <c r="I4533" s="8"/>
      <c r="J4533" s="8"/>
    </row>
    <row r="4534" ht="21.0" customHeight="1">
      <c r="A4534" s="6">
        <v>100.0</v>
      </c>
      <c r="B4534" s="6">
        <v>2000.0</v>
      </c>
      <c r="C4534" s="6">
        <v>1.0</v>
      </c>
      <c r="D4534" s="100" t="s">
        <v>7691</v>
      </c>
      <c r="E4534" s="9" t="s">
        <v>7560</v>
      </c>
      <c r="F4534" s="8" t="str">
        <f>IFERROR(__xludf.DUMMYFUNCTION("GOOGLETRANSLATE(D4534,""zh-CN"",""vi"")"),"Cây cối - Cây đào cho quả")</f>
        <v>Cây cối - Cây đào cho quả</v>
      </c>
      <c r="G4534" s="8" t="str">
        <f>IFERROR(__xludf.DUMMYFUNCTION("GOOGLETRANSLATE(E4534,""zh-CN"",""vi"")"),"Các vật phẩm trong công viên giải trí, có thể sử dụng trong trò chơi tại công viên giải trí.")</f>
        <v>Các vật phẩm trong công viên giải trí, có thể sử dụng trong trò chơi tại công viên giải trí.</v>
      </c>
      <c r="H4534" s="8"/>
      <c r="I4534" s="8"/>
      <c r="J4534" s="8"/>
    </row>
    <row r="4535" ht="21.0" customHeight="1">
      <c r="A4535" s="6">
        <v>100.0</v>
      </c>
      <c r="B4535" s="6">
        <v>2000.0</v>
      </c>
      <c r="C4535" s="6">
        <v>1.0</v>
      </c>
      <c r="D4535" s="100" t="s">
        <v>7692</v>
      </c>
      <c r="E4535" s="9" t="s">
        <v>7560</v>
      </c>
      <c r="F4535" s="8" t="str">
        <f>IFERROR(__xludf.DUMMYFUNCTION("GOOGLETRANSLATE(D4535,""zh-CN"",""vi"")"),"Cây - Cây hoàng dương")</f>
        <v>Cây - Cây hoàng dương</v>
      </c>
      <c r="G4535" s="8" t="str">
        <f>IFERROR(__xludf.DUMMYFUNCTION("GOOGLETRANSLATE(E4535,""zh-CN"",""vi"")"),"Các vật phẩm trong công viên giải trí, có thể sử dụng trong trò chơi tại công viên giải trí.")</f>
        <v>Các vật phẩm trong công viên giải trí, có thể sử dụng trong trò chơi tại công viên giải trí.</v>
      </c>
      <c r="H4535" s="8"/>
      <c r="I4535" s="8"/>
      <c r="J4535" s="8"/>
    </row>
    <row r="4536" ht="21.0" customHeight="1">
      <c r="A4536" s="6">
        <v>100.0</v>
      </c>
      <c r="B4536" s="6">
        <v>2000.0</v>
      </c>
      <c r="C4536" s="6">
        <v>1.0</v>
      </c>
      <c r="D4536" s="100" t="s">
        <v>7693</v>
      </c>
      <c r="E4536" s="9" t="s">
        <v>7560</v>
      </c>
      <c r="F4536" s="8" t="str">
        <f>IFERROR(__xludf.DUMMYFUNCTION("GOOGLETRANSLATE(D4536,""zh-CN"",""vi"")"),"Cây cối - Cây chuối")</f>
        <v>Cây cối - Cây chuối</v>
      </c>
      <c r="G4536" s="8" t="str">
        <f>IFERROR(__xludf.DUMMYFUNCTION("GOOGLETRANSLATE(E4536,""zh-CN"",""vi"")"),"Các vật phẩm trong công viên giải trí, có thể sử dụng trong trò chơi tại công viên giải trí.")</f>
        <v>Các vật phẩm trong công viên giải trí, có thể sử dụng trong trò chơi tại công viên giải trí.</v>
      </c>
      <c r="H4536" s="8"/>
      <c r="I4536" s="8"/>
      <c r="J4536" s="8"/>
    </row>
    <row r="4537" ht="21.0" customHeight="1">
      <c r="A4537" s="6">
        <v>100.0</v>
      </c>
      <c r="B4537" s="6">
        <v>2000.0</v>
      </c>
      <c r="C4537" s="6">
        <v>1.0</v>
      </c>
      <c r="D4537" s="100" t="s">
        <v>7694</v>
      </c>
      <c r="E4537" s="9" t="s">
        <v>7560</v>
      </c>
      <c r="F4537" s="8" t="str">
        <f>IFERROR(__xludf.DUMMYFUNCTION("GOOGLETRANSLATE(D4537,""zh-CN"",""vi"")"),"Cây cối - Cây táo")</f>
        <v>Cây cối - Cây táo</v>
      </c>
      <c r="G4537" s="8" t="str">
        <f>IFERROR(__xludf.DUMMYFUNCTION("GOOGLETRANSLATE(E4537,""zh-CN"",""vi"")"),"Các vật phẩm trong công viên giải trí, có thể sử dụng trong trò chơi tại công viên giải trí.")</f>
        <v>Các vật phẩm trong công viên giải trí, có thể sử dụng trong trò chơi tại công viên giải trí.</v>
      </c>
      <c r="H4537" s="8"/>
      <c r="I4537" s="8"/>
      <c r="J4537" s="8"/>
    </row>
    <row r="4538" ht="21.0" customHeight="1">
      <c r="A4538" s="6">
        <v>100.0</v>
      </c>
      <c r="B4538" s="6">
        <v>2000.0</v>
      </c>
      <c r="C4538" s="6">
        <v>1.0</v>
      </c>
      <c r="D4538" s="100" t="s">
        <v>7695</v>
      </c>
      <c r="E4538" s="9" t="s">
        <v>7560</v>
      </c>
      <c r="F4538" s="8" t="str">
        <f>IFERROR(__xludf.DUMMYFUNCTION("GOOGLETRANSLATE(D4538,""zh-CN"",""vi"")"),"Cây cối - Cây bạch quả")</f>
        <v>Cây cối - Cây bạch quả</v>
      </c>
      <c r="G4538" s="8" t="str">
        <f>IFERROR(__xludf.DUMMYFUNCTION("GOOGLETRANSLATE(E4538,""zh-CN"",""vi"")"),"Các vật phẩm trong công viên giải trí, có thể sử dụng trong trò chơi tại công viên giải trí.")</f>
        <v>Các vật phẩm trong công viên giải trí, có thể sử dụng trong trò chơi tại công viên giải trí.</v>
      </c>
      <c r="H4538" s="8"/>
      <c r="I4538" s="8"/>
      <c r="J4538" s="8"/>
    </row>
    <row r="4539" ht="21.0" customHeight="1">
      <c r="A4539" s="6">
        <v>100.0</v>
      </c>
      <c r="B4539" s="6">
        <v>2000.0</v>
      </c>
      <c r="C4539" s="6">
        <v>1.0</v>
      </c>
      <c r="D4539" s="100" t="s">
        <v>7696</v>
      </c>
      <c r="E4539" s="9" t="s">
        <v>7560</v>
      </c>
      <c r="F4539" s="8" t="str">
        <f>IFERROR(__xludf.DUMMYFUNCTION("GOOGLETRANSLATE(D4539,""zh-CN"",""vi"")"),"Cây - Thông núi cao")</f>
        <v>Cây - Thông núi cao</v>
      </c>
      <c r="G4539" s="8" t="str">
        <f>IFERROR(__xludf.DUMMYFUNCTION("GOOGLETRANSLATE(E4539,""zh-CN"",""vi"")"),"Các vật phẩm trong công viên giải trí, có thể sử dụng trong trò chơi tại công viên giải trí.")</f>
        <v>Các vật phẩm trong công viên giải trí, có thể sử dụng trong trò chơi tại công viên giải trí.</v>
      </c>
      <c r="H4539" s="8"/>
      <c r="I4539" s="8"/>
      <c r="J4539" s="8"/>
    </row>
    <row r="4540" ht="21.0" customHeight="1">
      <c r="A4540" s="6">
        <v>100.0</v>
      </c>
      <c r="B4540" s="6">
        <v>2000.0</v>
      </c>
      <c r="C4540" s="6">
        <v>1.0</v>
      </c>
      <c r="D4540" s="100" t="s">
        <v>7697</v>
      </c>
      <c r="E4540" s="9" t="s">
        <v>7560</v>
      </c>
      <c r="F4540" s="8" t="str">
        <f>IFERROR(__xludf.DUMMYFUNCTION("GOOGLETRANSLATE(D4540,""zh-CN"",""vi"")"),"Luống hoa - luống hoa hình trụ")</f>
        <v>Luống hoa - luống hoa hình trụ</v>
      </c>
      <c r="G4540" s="8" t="str">
        <f>IFERROR(__xludf.DUMMYFUNCTION("GOOGLETRANSLATE(E4540,""zh-CN"",""vi"")"),"Các vật phẩm trong công viên giải trí, có thể sử dụng trong trò chơi tại công viên giải trí.")</f>
        <v>Các vật phẩm trong công viên giải trí, có thể sử dụng trong trò chơi tại công viên giải trí.</v>
      </c>
      <c r="H4540" s="8"/>
      <c r="I4540" s="8"/>
      <c r="J4540" s="8"/>
    </row>
    <row r="4541" ht="21.0" customHeight="1">
      <c r="A4541" s="6">
        <v>100.0</v>
      </c>
      <c r="B4541" s="6">
        <v>2000.0</v>
      </c>
      <c r="C4541" s="6">
        <v>1.0</v>
      </c>
      <c r="D4541" s="100" t="s">
        <v>7698</v>
      </c>
      <c r="E4541" s="9" t="s">
        <v>7560</v>
      </c>
      <c r="F4541" s="8" t="str">
        <f>IFERROR(__xludf.DUMMYFUNCTION("GOOGLETRANSLATE(D4541,""zh-CN"",""vi"")"),"Luống hoa - Luống hoa cổ điển")</f>
        <v>Luống hoa - Luống hoa cổ điển</v>
      </c>
      <c r="G4541" s="8" t="str">
        <f>IFERROR(__xludf.DUMMYFUNCTION("GOOGLETRANSLATE(E4541,""zh-CN"",""vi"")"),"Các vật phẩm trong công viên giải trí, có thể sử dụng trong trò chơi tại công viên giải trí.")</f>
        <v>Các vật phẩm trong công viên giải trí, có thể sử dụng trong trò chơi tại công viên giải trí.</v>
      </c>
      <c r="H4541" s="8"/>
      <c r="I4541" s="8"/>
      <c r="J4541" s="8"/>
    </row>
    <row r="4542" ht="21.0" customHeight="1">
      <c r="A4542" s="6">
        <v>100.0</v>
      </c>
      <c r="B4542" s="6">
        <v>2000.0</v>
      </c>
      <c r="C4542" s="6">
        <v>1.0</v>
      </c>
      <c r="D4542" s="100" t="s">
        <v>7699</v>
      </c>
      <c r="E4542" s="9" t="s">
        <v>7560</v>
      </c>
      <c r="F4542" s="8" t="str">
        <f>IFERROR(__xludf.DUMMYFUNCTION("GOOGLETRANSLATE(D4542,""zh-CN"",""vi"")"),"Luống hoa - luống hoa có đài phun nước")</f>
        <v>Luống hoa - luống hoa có đài phun nước</v>
      </c>
      <c r="G4542" s="8" t="str">
        <f>IFERROR(__xludf.DUMMYFUNCTION("GOOGLETRANSLATE(E4542,""zh-CN"",""vi"")"),"Các vật phẩm trong công viên giải trí, có thể sử dụng trong trò chơi tại công viên giải trí.")</f>
        <v>Các vật phẩm trong công viên giải trí, có thể sử dụng trong trò chơi tại công viên giải trí.</v>
      </c>
      <c r="H4542" s="8"/>
      <c r="I4542" s="8"/>
      <c r="J4542" s="8"/>
    </row>
    <row r="4543" ht="21.0" customHeight="1">
      <c r="A4543" s="6">
        <v>100.0</v>
      </c>
      <c r="B4543" s="6">
        <v>2000.0</v>
      </c>
      <c r="C4543" s="6">
        <v>1.0</v>
      </c>
      <c r="D4543" s="100" t="s">
        <v>7700</v>
      </c>
      <c r="E4543" s="9" t="s">
        <v>7560</v>
      </c>
      <c r="F4543" s="8" t="str">
        <f>IFERROR(__xludf.DUMMYFUNCTION("GOOGLETRANSLATE(D4543,""zh-CN"",""vi"")"),"Luống hoa - Luống hoa cao sáng tạo")</f>
        <v>Luống hoa - Luống hoa cao sáng tạo</v>
      </c>
      <c r="G4543" s="8" t="str">
        <f>IFERROR(__xludf.DUMMYFUNCTION("GOOGLETRANSLATE(E4543,""zh-CN"",""vi"")"),"Các vật phẩm trong công viên giải trí, có thể sử dụng trong trò chơi tại công viên giải trí.")</f>
        <v>Các vật phẩm trong công viên giải trí, có thể sử dụng trong trò chơi tại công viên giải trí.</v>
      </c>
      <c r="H4543" s="8"/>
      <c r="I4543" s="8"/>
      <c r="J4543" s="8"/>
    </row>
    <row r="4544" ht="21.0" customHeight="1">
      <c r="A4544" s="6">
        <v>100.0</v>
      </c>
      <c r="B4544" s="6">
        <v>2000.0</v>
      </c>
      <c r="C4544" s="6">
        <v>1.0</v>
      </c>
      <c r="D4544" s="100" t="s">
        <v>7701</v>
      </c>
      <c r="E4544" s="9" t="s">
        <v>7560</v>
      </c>
      <c r="F4544" s="8" t="str">
        <f>IFERROR(__xludf.DUMMYFUNCTION("GOOGLETRANSLATE(D4544,""zh-CN"",""vi"")"),"Vườn ươm hoa - Vườn ươm hoa Begonia")</f>
        <v>Vườn ươm hoa - Vườn ươm hoa Begonia</v>
      </c>
      <c r="G4544" s="8" t="str">
        <f>IFERROR(__xludf.DUMMYFUNCTION("GOOGLETRANSLATE(E4544,""zh-CN"",""vi"")"),"Các vật phẩm trong công viên giải trí, có thể sử dụng trong trò chơi tại công viên giải trí.")</f>
        <v>Các vật phẩm trong công viên giải trí, có thể sử dụng trong trò chơi tại công viên giải trí.</v>
      </c>
      <c r="H4544" s="8"/>
      <c r="I4544" s="8"/>
      <c r="J4544" s="8"/>
    </row>
    <row r="4545" ht="21.0" customHeight="1">
      <c r="A4545" s="6">
        <v>100.0</v>
      </c>
      <c r="B4545" s="6">
        <v>2000.0</v>
      </c>
      <c r="C4545" s="6">
        <v>1.0</v>
      </c>
      <c r="D4545" s="100" t="s">
        <v>7702</v>
      </c>
      <c r="E4545" s="9" t="s">
        <v>7560</v>
      </c>
      <c r="F4545" s="8" t="str">
        <f>IFERROR(__xludf.DUMMYFUNCTION("GOOGLETRANSLATE(D4545,""zh-CN"",""vi"")"),"Vườn ươm hoa - Vườn ươm hoa Canna")</f>
        <v>Vườn ươm hoa - Vườn ươm hoa Canna</v>
      </c>
      <c r="G4545" s="8" t="str">
        <f>IFERROR(__xludf.DUMMYFUNCTION("GOOGLETRANSLATE(E4545,""zh-CN"",""vi"")"),"Các vật phẩm trong công viên giải trí, có thể sử dụng trong trò chơi tại công viên giải trí.")</f>
        <v>Các vật phẩm trong công viên giải trí, có thể sử dụng trong trò chơi tại công viên giải trí.</v>
      </c>
      <c r="H4545" s="8"/>
      <c r="I4545" s="8"/>
      <c r="J4545" s="8"/>
    </row>
    <row r="4546" ht="21.0" customHeight="1">
      <c r="A4546" s="6">
        <v>100.0</v>
      </c>
      <c r="B4546" s="6">
        <v>2000.0</v>
      </c>
      <c r="C4546" s="6">
        <v>1.0</v>
      </c>
      <c r="D4546" s="100" t="s">
        <v>7703</v>
      </c>
      <c r="E4546" s="9" t="s">
        <v>7560</v>
      </c>
      <c r="F4546" s="8" t="str">
        <f>IFERROR(__xludf.DUMMYFUNCTION("GOOGLETRANSLATE(D4546,""zh-CN"",""vi"")"),"Vườn ươm hoa - vườn ươm hoa mõm rồng")</f>
        <v>Vườn ươm hoa - vườn ươm hoa mõm rồng</v>
      </c>
      <c r="G4546" s="8" t="str">
        <f>IFERROR(__xludf.DUMMYFUNCTION("GOOGLETRANSLATE(E4546,""zh-CN"",""vi"")"),"Các vật phẩm trong công viên giải trí, có thể sử dụng trong trò chơi tại công viên giải trí.")</f>
        <v>Các vật phẩm trong công viên giải trí, có thể sử dụng trong trò chơi tại công viên giải trí.</v>
      </c>
      <c r="H4546" s="8"/>
      <c r="I4546" s="8"/>
      <c r="J4546" s="8"/>
    </row>
    <row r="4547" ht="21.0" customHeight="1">
      <c r="A4547" s="6">
        <v>100.0</v>
      </c>
      <c r="B4547" s="6">
        <v>2000.0</v>
      </c>
      <c r="C4547" s="6">
        <v>1.0</v>
      </c>
      <c r="D4547" s="100" t="s">
        <v>7704</v>
      </c>
      <c r="E4547" s="9" t="s">
        <v>7560</v>
      </c>
      <c r="F4547" s="8" t="str">
        <f>IFERROR(__xludf.DUMMYFUNCTION("GOOGLETRANSLATE(D4547,""zh-CN"",""vi"")"),"Vườn ươm hoa - Vườn ươm hoa hồng")</f>
        <v>Vườn ươm hoa - Vườn ươm hoa hồng</v>
      </c>
      <c r="G4547" s="8" t="str">
        <f>IFERROR(__xludf.DUMMYFUNCTION("GOOGLETRANSLATE(E4547,""zh-CN"",""vi"")"),"Các vật phẩm trong công viên giải trí, có thể sử dụng trong trò chơi tại công viên giải trí.")</f>
        <v>Các vật phẩm trong công viên giải trí, có thể sử dụng trong trò chơi tại công viên giải trí.</v>
      </c>
      <c r="H4547" s="8"/>
      <c r="I4547" s="8"/>
      <c r="J4547" s="8"/>
    </row>
    <row r="4548" ht="21.0" customHeight="1">
      <c r="A4548" s="6">
        <v>100.0</v>
      </c>
      <c r="B4548" s="6">
        <v>2000.0</v>
      </c>
      <c r="C4548" s="6">
        <v>1.0</v>
      </c>
      <c r="D4548" s="100" t="s">
        <v>7705</v>
      </c>
      <c r="E4548" s="9" t="s">
        <v>7560</v>
      </c>
      <c r="F4548" s="8" t="str">
        <f>IFERROR(__xludf.DUMMYFUNCTION("GOOGLETRANSLATE(D4548,""zh-CN"",""vi"")"),"Ghế dài - Ghế đơn hình vuông")</f>
        <v>Ghế dài - Ghế đơn hình vuông</v>
      </c>
      <c r="G4548" s="8" t="str">
        <f>IFERROR(__xludf.DUMMYFUNCTION("GOOGLETRANSLATE(E4548,""zh-CN"",""vi"")"),"Các vật phẩm trong công viên giải trí, có thể sử dụng trong trò chơi tại công viên giải trí.")</f>
        <v>Các vật phẩm trong công viên giải trí, có thể sử dụng trong trò chơi tại công viên giải trí.</v>
      </c>
      <c r="H4548" s="8"/>
      <c r="I4548" s="8"/>
      <c r="J4548" s="8"/>
    </row>
    <row r="4549" ht="21.0" customHeight="1">
      <c r="A4549" s="6">
        <v>100.0</v>
      </c>
      <c r="B4549" s="6">
        <v>2000.0</v>
      </c>
      <c r="C4549" s="6">
        <v>1.0</v>
      </c>
      <c r="D4549" s="100" t="s">
        <v>7706</v>
      </c>
      <c r="E4549" s="9" t="s">
        <v>7560</v>
      </c>
      <c r="F4549" s="8" t="str">
        <f>IFERROR(__xludf.DUMMYFUNCTION("GOOGLETRANSLATE(D4549,""zh-CN"",""vi"")"),"Ghế dài - Ghế bập bênh bằng gỗ")</f>
        <v>Ghế dài - Ghế bập bênh bằng gỗ</v>
      </c>
      <c r="G4549" s="8" t="str">
        <f>IFERROR(__xludf.DUMMYFUNCTION("GOOGLETRANSLATE(E4549,""zh-CN"",""vi"")"),"Các vật phẩm trong công viên giải trí, có thể sử dụng trong trò chơi tại công viên giải trí.")</f>
        <v>Các vật phẩm trong công viên giải trí, có thể sử dụng trong trò chơi tại công viên giải trí.</v>
      </c>
      <c r="H4549" s="8"/>
      <c r="I4549" s="8"/>
      <c r="J4549" s="8"/>
    </row>
    <row r="4550" ht="21.0" customHeight="1">
      <c r="A4550" s="6">
        <v>100.0</v>
      </c>
      <c r="B4550" s="6">
        <v>2000.0</v>
      </c>
      <c r="C4550" s="6">
        <v>1.0</v>
      </c>
      <c r="D4550" s="100" t="s">
        <v>7707</v>
      </c>
      <c r="E4550" s="9" t="s">
        <v>7560</v>
      </c>
      <c r="F4550" s="8" t="str">
        <f>IFERROR(__xludf.DUMMYFUNCTION("GOOGLETRANSLATE(D4550,""zh-CN"",""vi"")"),"Ghế dài - Ghế dài được sơn")</f>
        <v>Ghế dài - Ghế dài được sơn</v>
      </c>
      <c r="G4550" s="8" t="str">
        <f>IFERROR(__xludf.DUMMYFUNCTION("GOOGLETRANSLATE(E4550,""zh-CN"",""vi"")"),"Các vật phẩm trong công viên giải trí, có thể sử dụng trong trò chơi tại công viên giải trí.")</f>
        <v>Các vật phẩm trong công viên giải trí, có thể sử dụng trong trò chơi tại công viên giải trí.</v>
      </c>
      <c r="H4550" s="8"/>
      <c r="I4550" s="8"/>
      <c r="J4550" s="8"/>
    </row>
    <row r="4551" ht="21.0" customHeight="1">
      <c r="A4551" s="6">
        <v>100.0</v>
      </c>
      <c r="B4551" s="6">
        <v>2000.0</v>
      </c>
      <c r="C4551" s="6">
        <v>1.0</v>
      </c>
      <c r="D4551" s="100" t="s">
        <v>7708</v>
      </c>
      <c r="E4551" s="9" t="s">
        <v>7560</v>
      </c>
      <c r="F4551" s="8" t="str">
        <f>IFERROR(__xludf.DUMMYFUNCTION("GOOGLETRANSLATE(D4551,""zh-CN"",""vi"")"),"Ghế dài - Ghế dài Hoàng gia")</f>
        <v>Ghế dài - Ghế dài Hoàng gia</v>
      </c>
      <c r="G4551" s="8" t="str">
        <f>IFERROR(__xludf.DUMMYFUNCTION("GOOGLETRANSLATE(E4551,""zh-CN"",""vi"")"),"Các vật phẩm trong công viên giải trí, có thể sử dụng trong trò chơi tại công viên giải trí.")</f>
        <v>Các vật phẩm trong công viên giải trí, có thể sử dụng trong trò chơi tại công viên giải trí.</v>
      </c>
      <c r="H4551" s="8"/>
      <c r="I4551" s="8"/>
      <c r="J4551" s="8"/>
    </row>
    <row r="4552" ht="21.0" customHeight="1">
      <c r="A4552" s="6">
        <v>100.0</v>
      </c>
      <c r="B4552" s="6">
        <v>2000.0</v>
      </c>
      <c r="C4552" s="6">
        <v>1.0</v>
      </c>
      <c r="D4552" s="100" t="s">
        <v>7709</v>
      </c>
      <c r="E4552" s="9" t="s">
        <v>7560</v>
      </c>
      <c r="F4552" s="8" t="str">
        <f>IFERROR(__xludf.DUMMYFUNCTION("GOOGLETRANSLATE(D4552,""zh-CN"",""vi"")"),"Ghế dài - Ghế dài làm từ bột sắn")</f>
        <v>Ghế dài - Ghế dài làm từ bột sắn</v>
      </c>
      <c r="G4552" s="8" t="str">
        <f>IFERROR(__xludf.DUMMYFUNCTION("GOOGLETRANSLATE(E4552,""zh-CN"",""vi"")"),"Các vật phẩm trong công viên giải trí, có thể sử dụng trong trò chơi tại công viên giải trí.")</f>
        <v>Các vật phẩm trong công viên giải trí, có thể sử dụng trong trò chơi tại công viên giải trí.</v>
      </c>
      <c r="H4552" s="8"/>
      <c r="I4552" s="8"/>
      <c r="J4552" s="8"/>
    </row>
    <row r="4553" ht="21.0" customHeight="1">
      <c r="A4553" s="6">
        <v>100.0</v>
      </c>
      <c r="B4553" s="6">
        <v>2000.0</v>
      </c>
      <c r="C4553" s="6">
        <v>1.0</v>
      </c>
      <c r="D4553" s="100" t="s">
        <v>7710</v>
      </c>
      <c r="E4553" s="9" t="s">
        <v>7560</v>
      </c>
      <c r="F4553" s="8" t="str">
        <f>IFERROR(__xludf.DUMMYFUNCTION("GOOGLETRANSLATE(D4553,""zh-CN"",""vi"")"),"Ghế dài - Ghế dài bằng sắt rèn")</f>
        <v>Ghế dài - Ghế dài bằng sắt rèn</v>
      </c>
      <c r="G4553" s="8" t="str">
        <f>IFERROR(__xludf.DUMMYFUNCTION("GOOGLETRANSLATE(E4553,""zh-CN"",""vi"")"),"Các vật phẩm trong công viên giải trí, có thể sử dụng trong trò chơi tại công viên giải trí.")</f>
        <v>Các vật phẩm trong công viên giải trí, có thể sử dụng trong trò chơi tại công viên giải trí.</v>
      </c>
      <c r="H4553" s="8"/>
      <c r="I4553" s="8"/>
      <c r="J4553" s="8"/>
    </row>
    <row r="4554" ht="21.0" customHeight="1">
      <c r="A4554" s="6">
        <v>100.0</v>
      </c>
      <c r="B4554" s="6">
        <v>2000.0</v>
      </c>
      <c r="C4554" s="6">
        <v>1.0</v>
      </c>
      <c r="D4554" s="100" t="s">
        <v>7711</v>
      </c>
      <c r="E4554" s="9" t="s">
        <v>7560</v>
      </c>
      <c r="F4554" s="8" t="str">
        <f>IFERROR(__xludf.DUMMYFUNCTION("GOOGLETRANSLATE(D4554,""zh-CN"",""vi"")"),"Ghế dài - Ghế dài bằng gỗ")</f>
        <v>Ghế dài - Ghế dài bằng gỗ</v>
      </c>
      <c r="G4554" s="8" t="str">
        <f>IFERROR(__xludf.DUMMYFUNCTION("GOOGLETRANSLATE(E4554,""zh-CN"",""vi"")"),"Các vật phẩm trong công viên giải trí, có thể sử dụng trong trò chơi tại công viên giải trí.")</f>
        <v>Các vật phẩm trong công viên giải trí, có thể sử dụng trong trò chơi tại công viên giải trí.</v>
      </c>
      <c r="H4554" s="8"/>
      <c r="I4554" s="8"/>
      <c r="J4554" s="8"/>
    </row>
    <row r="4555" ht="21.0" customHeight="1">
      <c r="A4555" s="6">
        <v>100.0</v>
      </c>
      <c r="B4555" s="6">
        <v>2000.0</v>
      </c>
      <c r="C4555" s="6">
        <v>1.0</v>
      </c>
      <c r="D4555" s="100" t="s">
        <v>7712</v>
      </c>
      <c r="E4555" s="9" t="s">
        <v>7560</v>
      </c>
      <c r="F4555" s="8" t="str">
        <f>IFERROR(__xludf.DUMMYFUNCTION("GOOGLETRANSLATE(D4555,""zh-CN"",""vi"")"),"Bàn - Bàn tròn dạng lưới")</f>
        <v>Bàn - Bàn tròn dạng lưới</v>
      </c>
      <c r="G4555" s="8" t="str">
        <f>IFERROR(__xludf.DUMMYFUNCTION("GOOGLETRANSLATE(E4555,""zh-CN"",""vi"")"),"Các vật phẩm trong công viên giải trí, có thể sử dụng trong trò chơi tại công viên giải trí.")</f>
        <v>Các vật phẩm trong công viên giải trí, có thể sử dụng trong trò chơi tại công viên giải trí.</v>
      </c>
      <c r="H4555" s="8"/>
      <c r="I4555" s="8"/>
      <c r="J4555" s="8"/>
    </row>
    <row r="4556" ht="21.0" customHeight="1">
      <c r="A4556" s="6">
        <v>100.0</v>
      </c>
      <c r="B4556" s="6">
        <v>2000.0</v>
      </c>
      <c r="C4556" s="6">
        <v>1.0</v>
      </c>
      <c r="D4556" s="100" t="s">
        <v>7713</v>
      </c>
      <c r="E4556" s="9" t="s">
        <v>7560</v>
      </c>
      <c r="F4556" s="8" t="str">
        <f>IFERROR(__xludf.DUMMYFUNCTION("GOOGLETRANSLATE(D4556,""zh-CN"",""vi"")"),"Bàn - Bàn tròn bằng gỗ")</f>
        <v>Bàn - Bàn tròn bằng gỗ</v>
      </c>
      <c r="G4556" s="8" t="str">
        <f>IFERROR(__xludf.DUMMYFUNCTION("GOOGLETRANSLATE(E4556,""zh-CN"",""vi"")"),"Các vật phẩm trong công viên giải trí, có thể sử dụng trong trò chơi tại công viên giải trí.")</f>
        <v>Các vật phẩm trong công viên giải trí, có thể sử dụng trong trò chơi tại công viên giải trí.</v>
      </c>
      <c r="H4556" s="8"/>
      <c r="I4556" s="8"/>
      <c r="J4556" s="8"/>
    </row>
    <row r="4557" ht="21.0" customHeight="1">
      <c r="A4557" s="6">
        <v>100.0</v>
      </c>
      <c r="B4557" s="6">
        <v>2000.0</v>
      </c>
      <c r="C4557" s="6">
        <v>1.0</v>
      </c>
      <c r="D4557" s="100" t="s">
        <v>7714</v>
      </c>
      <c r="E4557" s="9" t="s">
        <v>7560</v>
      </c>
      <c r="F4557" s="8" t="str">
        <f>IFERROR(__xludf.DUMMYFUNCTION("GOOGLETRANSLATE(D4557,""zh-CN"",""vi"")"),"Bàn - Bàn tròn chạm khắc kiểu châu Âu")</f>
        <v>Bàn - Bàn tròn chạm khắc kiểu châu Âu</v>
      </c>
      <c r="G4557" s="8" t="str">
        <f>IFERROR(__xludf.DUMMYFUNCTION("GOOGLETRANSLATE(E4557,""zh-CN"",""vi"")"),"Các vật phẩm trong công viên giải trí, có thể sử dụng trong trò chơi tại công viên giải trí.")</f>
        <v>Các vật phẩm trong công viên giải trí, có thể sử dụng trong trò chơi tại công viên giải trí.</v>
      </c>
      <c r="H4557" s="8"/>
      <c r="I4557" s="8"/>
      <c r="J4557" s="8"/>
    </row>
    <row r="4558" ht="21.0" customHeight="1">
      <c r="A4558" s="6">
        <v>100.0</v>
      </c>
      <c r="B4558" s="6">
        <v>2000.0</v>
      </c>
      <c r="C4558" s="6">
        <v>1.0</v>
      </c>
      <c r="D4558" s="100" t="s">
        <v>7715</v>
      </c>
      <c r="E4558" s="9" t="s">
        <v>7560</v>
      </c>
      <c r="F4558" s="8" t="str">
        <f>IFERROR(__xludf.DUMMYFUNCTION("GOOGLETRANSLATE(D4558,""zh-CN"",""vi"")"),"Bàn - Bàn tròn bằng kính")</f>
        <v>Bàn - Bàn tròn bằng kính</v>
      </c>
      <c r="G4558" s="8" t="str">
        <f>IFERROR(__xludf.DUMMYFUNCTION("GOOGLETRANSLATE(E4558,""zh-CN"",""vi"")"),"Các vật phẩm trong công viên giải trí, có thể sử dụng trong trò chơi tại công viên giải trí.")</f>
        <v>Các vật phẩm trong công viên giải trí, có thể sử dụng trong trò chơi tại công viên giải trí.</v>
      </c>
      <c r="H4558" s="8"/>
      <c r="I4558" s="8"/>
      <c r="J4558" s="8"/>
    </row>
    <row r="4559" ht="21.0" customHeight="1">
      <c r="A4559" s="6">
        <v>100.0</v>
      </c>
      <c r="B4559" s="6">
        <v>2000.0</v>
      </c>
      <c r="C4559" s="6">
        <v>1.0</v>
      </c>
      <c r="D4559" s="100" t="s">
        <v>7716</v>
      </c>
      <c r="E4559" s="9" t="s">
        <v>7560</v>
      </c>
      <c r="F4559" s="8" t="str">
        <f>IFERROR(__xludf.DUMMYFUNCTION("GOOGLETRANSLATE(D4559,""zh-CN"",""vi"")"),"Đèn đường - Phong cách tối giản Trung Quốc")</f>
        <v>Đèn đường - Phong cách tối giản Trung Quốc</v>
      </c>
      <c r="G4559" s="8" t="str">
        <f>IFERROR(__xludf.DUMMYFUNCTION("GOOGLETRANSLATE(E4559,""zh-CN"",""vi"")"),"Các vật phẩm trong công viên giải trí, có thể sử dụng trong trò chơi tại công viên giải trí.")</f>
        <v>Các vật phẩm trong công viên giải trí, có thể sử dụng trong trò chơi tại công viên giải trí.</v>
      </c>
      <c r="H4559" s="8"/>
      <c r="I4559" s="8"/>
      <c r="J4559" s="8"/>
    </row>
    <row r="4560" ht="21.0" customHeight="1">
      <c r="A4560" s="6">
        <v>100.0</v>
      </c>
      <c r="B4560" s="6">
        <v>2000.0</v>
      </c>
      <c r="C4560" s="6">
        <v>1.0</v>
      </c>
      <c r="D4560" s="100" t="s">
        <v>7717</v>
      </c>
      <c r="E4560" s="9" t="s">
        <v>7560</v>
      </c>
      <c r="F4560" s="8" t="str">
        <f>IFERROR(__xludf.DUMMYFUNCTION("GOOGLETRANSLATE(D4560,""zh-CN"",""vi"")"),"Màn chắn - Màn chắn hoa và chim")</f>
        <v>Màn chắn - Màn chắn hoa và chim</v>
      </c>
      <c r="G4560" s="8" t="str">
        <f>IFERROR(__xludf.DUMMYFUNCTION("GOOGLETRANSLATE(E4560,""zh-CN"",""vi"")"),"Các vật phẩm trong công viên giải trí, có thể sử dụng trong trò chơi tại công viên giải trí.")</f>
        <v>Các vật phẩm trong công viên giải trí, có thể sử dụng trong trò chơi tại công viên giải trí.</v>
      </c>
      <c r="H4560" s="8"/>
      <c r="I4560" s="8"/>
      <c r="J4560" s="8"/>
    </row>
    <row r="4561" ht="21.0" customHeight="1">
      <c r="A4561" s="6">
        <v>100.0</v>
      </c>
      <c r="B4561" s="6">
        <v>2000.0</v>
      </c>
      <c r="C4561" s="6">
        <v>1.0</v>
      </c>
      <c r="D4561" s="100" t="s">
        <v>7718</v>
      </c>
      <c r="E4561" s="9" t="s">
        <v>7560</v>
      </c>
      <c r="F4561" s="8" t="str">
        <f>IFERROR(__xludf.DUMMYFUNCTION("GOOGLETRANSLATE(D4561,""zh-CN"",""vi"")"),"Màn ảnh - Hàng ngàn dặm sông và núi")</f>
        <v>Màn ảnh - Hàng ngàn dặm sông và núi</v>
      </c>
      <c r="G4561" s="8" t="str">
        <f>IFERROR(__xludf.DUMMYFUNCTION("GOOGLETRANSLATE(E4561,""zh-CN"",""vi"")"),"Các vật phẩm trong công viên giải trí, có thể sử dụng trong trò chơi tại công viên giải trí.")</f>
        <v>Các vật phẩm trong công viên giải trí, có thể sử dụng trong trò chơi tại công viên giải trí.</v>
      </c>
      <c r="H4561" s="8"/>
      <c r="I4561" s="8"/>
      <c r="J4561" s="8"/>
    </row>
    <row r="4562" ht="21.0" customHeight="1">
      <c r="A4562" s="6">
        <v>100.0</v>
      </c>
      <c r="B4562" s="6">
        <v>2000.0</v>
      </c>
      <c r="C4562" s="6">
        <v>1.0</v>
      </c>
      <c r="D4562" s="100" t="s">
        <v>7719</v>
      </c>
      <c r="E4562" s="9" t="s">
        <v>7560</v>
      </c>
      <c r="F4562" s="8" t="str">
        <f>IFERROR(__xludf.DUMMYFUNCTION("GOOGLETRANSLATE(D4562,""zh-CN"",""vi"")"),"Cổng vòm - Vườn")</f>
        <v>Cổng vòm - Vườn</v>
      </c>
      <c r="G4562" s="8" t="str">
        <f>IFERROR(__xludf.DUMMYFUNCTION("GOOGLETRANSLATE(E4562,""zh-CN"",""vi"")"),"Các vật phẩm trong công viên giải trí, có thể sử dụng trong trò chơi tại công viên giải trí.")</f>
        <v>Các vật phẩm trong công viên giải trí, có thể sử dụng trong trò chơi tại công viên giải trí.</v>
      </c>
      <c r="H4562" s="8"/>
      <c r="I4562" s="8"/>
      <c r="J4562" s="8"/>
    </row>
    <row r="4563" ht="21.0" customHeight="1">
      <c r="A4563" s="6">
        <v>100.0</v>
      </c>
      <c r="B4563" s="6">
        <v>2000.0</v>
      </c>
      <c r="C4563" s="6">
        <v>1.0</v>
      </c>
      <c r="D4563" s="100" t="s">
        <v>7720</v>
      </c>
      <c r="E4563" s="9" t="s">
        <v>7560</v>
      </c>
      <c r="F4563" s="8" t="str">
        <f>IFERROR(__xludf.DUMMYFUNCTION("GOOGLETRANSLATE(D4563,""zh-CN"",""vi"")"),"Vòm cổng - Giáng sinh")</f>
        <v>Vòm cổng - Giáng sinh</v>
      </c>
      <c r="G4563" s="8" t="str">
        <f>IFERROR(__xludf.DUMMYFUNCTION("GOOGLETRANSLATE(E4563,""zh-CN"",""vi"")"),"Các vật phẩm trong công viên giải trí, có thể sử dụng trong trò chơi tại công viên giải trí.")</f>
        <v>Các vật phẩm trong công viên giải trí, có thể sử dụng trong trò chơi tại công viên giải trí.</v>
      </c>
      <c r="H4563" s="8"/>
      <c r="I4563" s="8"/>
      <c r="J4563" s="8"/>
    </row>
    <row r="4564" ht="21.0" customHeight="1">
      <c r="A4564" s="6">
        <v>100.0</v>
      </c>
      <c r="B4564" s="6">
        <v>2000.0</v>
      </c>
      <c r="C4564" s="6">
        <v>1.0</v>
      </c>
      <c r="D4564" s="100" t="s">
        <v>7721</v>
      </c>
      <c r="E4564" s="9" t="s">
        <v>7560</v>
      </c>
      <c r="F4564" s="8" t="str">
        <f>IFERROR(__xludf.DUMMYFUNCTION("GOOGLETRANSLATE(D4564,""zh-CN"",""vi"")"),"Hồ bơi-Thác nước")</f>
        <v>Hồ bơi-Thác nước</v>
      </c>
      <c r="G4564" s="8" t="str">
        <f>IFERROR(__xludf.DUMMYFUNCTION("GOOGLETRANSLATE(E4564,""zh-CN"",""vi"")"),"Các vật phẩm trong công viên giải trí, có thể sử dụng trong trò chơi tại công viên giải trí.")</f>
        <v>Các vật phẩm trong công viên giải trí, có thể sử dụng trong trò chơi tại công viên giải trí.</v>
      </c>
      <c r="H4564" s="8"/>
      <c r="I4564" s="8"/>
      <c r="J4564" s="8"/>
    </row>
    <row r="4565" ht="21.0" customHeight="1">
      <c r="A4565" s="6">
        <v>100.0</v>
      </c>
      <c r="B4565" s="6">
        <v>2000.0</v>
      </c>
      <c r="C4565" s="6">
        <v>1.0</v>
      </c>
      <c r="D4565" s="100" t="s">
        <v>7722</v>
      </c>
      <c r="E4565" s="9" t="s">
        <v>7560</v>
      </c>
      <c r="F4565" s="8" t="str">
        <f>IFERROR(__xludf.DUMMYFUNCTION("GOOGLETRANSLATE(D4565,""zh-CN"",""vi"")"),"Ngựa bập bênh - Ngựa đu đưa")</f>
        <v>Ngựa bập bênh - Ngựa đu đưa</v>
      </c>
      <c r="G4565" s="8" t="str">
        <f>IFERROR(__xludf.DUMMYFUNCTION("GOOGLETRANSLATE(E4565,""zh-CN"",""vi"")"),"Các vật phẩm trong công viên giải trí, có thể sử dụng trong trò chơi tại công viên giải trí.")</f>
        <v>Các vật phẩm trong công viên giải trí, có thể sử dụng trong trò chơi tại công viên giải trí.</v>
      </c>
      <c r="H4565" s="8"/>
      <c r="I4565" s="8"/>
      <c r="J4565" s="8"/>
    </row>
    <row r="4566" ht="21.0" customHeight="1">
      <c r="A4566" s="6">
        <v>100.0</v>
      </c>
      <c r="B4566" s="6">
        <v>2000.0</v>
      </c>
      <c r="C4566" s="6">
        <v>1.0</v>
      </c>
      <c r="D4566" s="100" t="s">
        <v>7723</v>
      </c>
      <c r="E4566" s="9" t="s">
        <v>7560</v>
      </c>
      <c r="F4566" s="8" t="str">
        <f>IFERROR(__xludf.DUMMYFUNCTION("GOOGLETRANSLATE(D4566,""zh-CN"",""vi"")"),"Vòng quay ngựa gỗ - Trò chơi đu quay")</f>
        <v>Vòng quay ngựa gỗ - Trò chơi đu quay</v>
      </c>
      <c r="G4566" s="8" t="str">
        <f>IFERROR(__xludf.DUMMYFUNCTION("GOOGLETRANSLATE(E4566,""zh-CN"",""vi"")"),"Các vật phẩm trong công viên giải trí, có thể sử dụng trong trò chơi tại công viên giải trí.")</f>
        <v>Các vật phẩm trong công viên giải trí, có thể sử dụng trong trò chơi tại công viên giải trí.</v>
      </c>
      <c r="H4566" s="8"/>
      <c r="I4566" s="8"/>
      <c r="J4566" s="8"/>
    </row>
    <row r="4567" ht="21.0" customHeight="1">
      <c r="A4567" s="6">
        <v>100.0</v>
      </c>
      <c r="B4567" s="6">
        <v>2000.0</v>
      </c>
      <c r="C4567" s="6">
        <v>1.0</v>
      </c>
      <c r="D4567" s="100" t="s">
        <v>7724</v>
      </c>
      <c r="E4567" s="9" t="s">
        <v>7560</v>
      </c>
      <c r="F4567" s="8" t="str">
        <f>IFERROR(__xludf.DUMMYFUNCTION("GOOGLETRANSLATE(D4567,""zh-CN"",""vi"")"),"Ngựa Trojan - Ngựa Trojan Kỳ Lân")</f>
        <v>Ngựa Trojan - Ngựa Trojan Kỳ Lân</v>
      </c>
      <c r="G4567" s="8" t="str">
        <f>IFERROR(__xludf.DUMMYFUNCTION("GOOGLETRANSLATE(E4567,""zh-CN"",""vi"")"),"Các vật phẩm trong công viên giải trí, có thể sử dụng trong trò chơi tại công viên giải trí.")</f>
        <v>Các vật phẩm trong công viên giải trí, có thể sử dụng trong trò chơi tại công viên giải trí.</v>
      </c>
      <c r="H4567" s="8"/>
      <c r="I4567" s="8"/>
      <c r="J4567" s="8"/>
    </row>
    <row r="4568" ht="21.0" customHeight="1">
      <c r="A4568" s="6">
        <v>100.0</v>
      </c>
      <c r="B4568" s="6">
        <v>2000.0</v>
      </c>
      <c r="C4568" s="6">
        <v>1.0</v>
      </c>
      <c r="D4568" s="100" t="s">
        <v>7725</v>
      </c>
      <c r="E4568" s="9" t="s">
        <v>7560</v>
      </c>
      <c r="F4568" s="8" t="str">
        <f>IFERROR(__xludf.DUMMYFUNCTION("GOOGLETRANSLATE(D4568,""zh-CN"",""vi"")"),"Tháp đồng hồ - Tháp đồng hồ bằng gỗ")</f>
        <v>Tháp đồng hồ - Tháp đồng hồ bằng gỗ</v>
      </c>
      <c r="G4568" s="8" t="str">
        <f>IFERROR(__xludf.DUMMYFUNCTION("GOOGLETRANSLATE(E4568,""zh-CN"",""vi"")"),"Các vật phẩm trong công viên giải trí, có thể sử dụng trong trò chơi tại công viên giải trí.")</f>
        <v>Các vật phẩm trong công viên giải trí, có thể sử dụng trong trò chơi tại công viên giải trí.</v>
      </c>
      <c r="H4568" s="8"/>
      <c r="I4568" s="8"/>
      <c r="J4568" s="8"/>
    </row>
    <row r="4569" ht="21.0" customHeight="1">
      <c r="A4569" s="6">
        <v>100.0</v>
      </c>
      <c r="B4569" s="6">
        <v>2000.0</v>
      </c>
      <c r="C4569" s="6">
        <v>1.0</v>
      </c>
      <c r="D4569" s="100" t="s">
        <v>7726</v>
      </c>
      <c r="E4569" s="9" t="s">
        <v>7560</v>
      </c>
      <c r="F4569" s="8" t="str">
        <f>IFERROR(__xludf.DUMMYFUNCTION("GOOGLETRANSLATE(D4569,""zh-CN"",""vi"")"),"Tháp đồng hồ - Tháp đồng hồ lát gạch")</f>
        <v>Tháp đồng hồ - Tháp đồng hồ lát gạch</v>
      </c>
      <c r="G4569" s="8" t="str">
        <f>IFERROR(__xludf.DUMMYFUNCTION("GOOGLETRANSLATE(E4569,""zh-CN"",""vi"")"),"Các vật phẩm trong công viên giải trí, có thể sử dụng trong trò chơi tại công viên giải trí.")</f>
        <v>Các vật phẩm trong công viên giải trí, có thể sử dụng trong trò chơi tại công viên giải trí.</v>
      </c>
      <c r="H4569" s="8"/>
      <c r="I4569" s="8"/>
      <c r="J4569" s="8"/>
    </row>
    <row r="4570" ht="21.0" customHeight="1">
      <c r="A4570" s="6">
        <v>100.0</v>
      </c>
      <c r="B4570" s="6">
        <v>2000.0</v>
      </c>
      <c r="C4570" s="6">
        <v>1.0</v>
      </c>
      <c r="D4570" s="100" t="s">
        <v>7727</v>
      </c>
      <c r="E4570" s="9" t="s">
        <v>7560</v>
      </c>
      <c r="F4570" s="8" t="str">
        <f>IFERROR(__xludf.DUMMYFUNCTION("GOOGLETRANSLATE(D4570,""zh-CN"",""vi"")"),"Hàng rào - Tường đá")</f>
        <v>Hàng rào - Tường đá</v>
      </c>
      <c r="G4570" s="8" t="str">
        <f>IFERROR(__xludf.DUMMYFUNCTION("GOOGLETRANSLATE(E4570,""zh-CN"",""vi"")"),"Các vật phẩm trong công viên giải trí, có thể sử dụng trong trò chơi tại công viên giải trí.")</f>
        <v>Các vật phẩm trong công viên giải trí, có thể sử dụng trong trò chơi tại công viên giải trí.</v>
      </c>
      <c r="H4570" s="8"/>
      <c r="I4570" s="8"/>
      <c r="J4570" s="8"/>
    </row>
    <row r="4571" ht="21.0" customHeight="1">
      <c r="A4571" s="6">
        <v>100.0</v>
      </c>
      <c r="B4571" s="6">
        <v>2000.0</v>
      </c>
      <c r="C4571" s="6">
        <v>1.0</v>
      </c>
      <c r="D4571" s="100" t="s">
        <v>7728</v>
      </c>
      <c r="E4571" s="9" t="s">
        <v>7560</v>
      </c>
      <c r="F4571" s="8" t="str">
        <f>IFERROR(__xludf.DUMMYFUNCTION("GOOGLETRANSLATE(D4571,""zh-CN"",""vi"")"),"Hàng rào - Màu sắc")</f>
        <v>Hàng rào - Màu sắc</v>
      </c>
      <c r="G4571" s="8" t="str">
        <f>IFERROR(__xludf.DUMMYFUNCTION("GOOGLETRANSLATE(E4571,""zh-CN"",""vi"")"),"Các vật phẩm trong công viên giải trí, có thể sử dụng trong trò chơi tại công viên giải trí.")</f>
        <v>Các vật phẩm trong công viên giải trí, có thể sử dụng trong trò chơi tại công viên giải trí.</v>
      </c>
      <c r="H4571" s="8"/>
      <c r="I4571" s="8"/>
      <c r="J4571" s="8"/>
    </row>
    <row r="4572" ht="21.0" customHeight="1">
      <c r="A4572" s="6">
        <v>100.0</v>
      </c>
      <c r="B4572" s="6">
        <v>2000.0</v>
      </c>
      <c r="C4572" s="6">
        <v>1.0</v>
      </c>
      <c r="D4572" s="100" t="s">
        <v>7729</v>
      </c>
      <c r="E4572" s="9" t="s">
        <v>7560</v>
      </c>
      <c r="F4572" s="8" t="str">
        <f>IFERROR(__xludf.DUMMYFUNCTION("GOOGLETRANSLATE(D4572,""zh-CN"",""vi"")"),"Hàng rào - Sắt rèn")</f>
        <v>Hàng rào - Sắt rèn</v>
      </c>
      <c r="G4572" s="8" t="str">
        <f>IFERROR(__xludf.DUMMYFUNCTION("GOOGLETRANSLATE(E4572,""zh-CN"",""vi"")"),"Các vật phẩm trong công viên giải trí, có thể sử dụng trong trò chơi tại công viên giải trí.")</f>
        <v>Các vật phẩm trong công viên giải trí, có thể sử dụng trong trò chơi tại công viên giải trí.</v>
      </c>
      <c r="H4572" s="8"/>
      <c r="I4572" s="8"/>
      <c r="J4572" s="8"/>
    </row>
    <row r="4573" ht="21.0" customHeight="1">
      <c r="A4573" s="6">
        <v>100.0</v>
      </c>
      <c r="B4573" s="6">
        <v>2000.0</v>
      </c>
      <c r="C4573" s="6">
        <v>1.0</v>
      </c>
      <c r="D4573" s="100" t="s">
        <v>7730</v>
      </c>
      <c r="E4573" s="9" t="s">
        <v>7560</v>
      </c>
      <c r="F4573" s="8" t="str">
        <f>IFERROR(__xludf.DUMMYFUNCTION("GOOGLETRANSLATE(D4573,""zh-CN"",""vi"")"),"Hang Cây - Nhà Gỗ Hang Cây")</f>
        <v>Hang Cây - Nhà Gỗ Hang Cây</v>
      </c>
      <c r="G4573" s="8" t="str">
        <f>IFERROR(__xludf.DUMMYFUNCTION("GOOGLETRANSLATE(E4573,""zh-CN"",""vi"")"),"Các vật phẩm trong công viên giải trí, có thể sử dụng trong trò chơi tại công viên giải trí.")</f>
        <v>Các vật phẩm trong công viên giải trí, có thể sử dụng trong trò chơi tại công viên giải trí.</v>
      </c>
      <c r="H4573" s="8"/>
      <c r="I4573" s="8"/>
      <c r="J4573" s="8"/>
    </row>
    <row r="4574" ht="21.0" customHeight="1">
      <c r="A4574" s="6">
        <v>100.0</v>
      </c>
      <c r="B4574" s="6">
        <v>2000.0</v>
      </c>
      <c r="C4574" s="6">
        <v>1.0</v>
      </c>
      <c r="D4574" s="100" t="s">
        <v>7731</v>
      </c>
      <c r="E4574" s="9" t="s">
        <v>7560</v>
      </c>
      <c r="F4574" s="8" t="str">
        <f>IFERROR(__xludf.DUMMYFUNCTION("GOOGLETRANSLATE(D4574,""zh-CN"",""vi"")"),"Hố cây - Hố cây lá phong")</f>
        <v>Hố cây - Hố cây lá phong</v>
      </c>
      <c r="G4574" s="8" t="str">
        <f>IFERROR(__xludf.DUMMYFUNCTION("GOOGLETRANSLATE(E4574,""zh-CN"",""vi"")"),"Các vật phẩm trong công viên giải trí, có thể sử dụng trong trò chơi tại công viên giải trí.")</f>
        <v>Các vật phẩm trong công viên giải trí, có thể sử dụng trong trò chơi tại công viên giải trí.</v>
      </c>
      <c r="H4574" s="8"/>
      <c r="I4574" s="8"/>
      <c r="J4574" s="8"/>
    </row>
    <row r="4575" ht="21.0" customHeight="1">
      <c r="A4575" s="6">
        <v>100.0</v>
      </c>
      <c r="B4575" s="6">
        <v>2000.0</v>
      </c>
      <c r="C4575" s="6">
        <v>1.0</v>
      </c>
      <c r="D4575" s="9" t="s">
        <v>7732</v>
      </c>
      <c r="E4575" s="9" t="s">
        <v>7560</v>
      </c>
      <c r="F4575" s="8" t="str">
        <f>IFERROR(__xludf.DUMMYFUNCTION("GOOGLETRANSLATE(D4575,""zh-CN"",""vi"")"),"Gò núi - gò núi bậc thang")</f>
        <v>Gò núi - gò núi bậc thang</v>
      </c>
      <c r="G4575" s="8" t="str">
        <f>IFERROR(__xludf.DUMMYFUNCTION("GOOGLETRANSLATE(E4575,""zh-CN"",""vi"")"),"Các vật phẩm trong công viên giải trí, có thể sử dụng trong trò chơi tại công viên giải trí.")</f>
        <v>Các vật phẩm trong công viên giải trí, có thể sử dụng trong trò chơi tại công viên giải trí.</v>
      </c>
      <c r="H4575" s="8"/>
      <c r="I4575" s="8"/>
      <c r="J4575" s="8"/>
    </row>
    <row r="4576" ht="21.0" customHeight="1">
      <c r="A4576" s="6">
        <v>100.0</v>
      </c>
      <c r="B4576" s="6">
        <v>2000.0</v>
      </c>
      <c r="C4576" s="6">
        <v>1.0</v>
      </c>
      <c r="D4576" s="9" t="s">
        <v>7733</v>
      </c>
      <c r="E4576" s="9" t="s">
        <v>7560</v>
      </c>
      <c r="F4576" s="8" t="str">
        <f>IFERROR(__xludf.DUMMYFUNCTION("GOOGLETRANSLATE(D4576,""zh-CN"",""vi"")"),"Đồi Cầu Vồng")</f>
        <v>Đồi Cầu Vồng</v>
      </c>
      <c r="G4576" s="8" t="str">
        <f>IFERROR(__xludf.DUMMYFUNCTION("GOOGLETRANSLATE(E4576,""zh-CN"",""vi"")"),"Các vật phẩm trong công viên giải trí, có thể sử dụng trong trò chơi tại công viên giải trí.")</f>
        <v>Các vật phẩm trong công viên giải trí, có thể sử dụng trong trò chơi tại công viên giải trí.</v>
      </c>
      <c r="H4576" s="8"/>
      <c r="I4576" s="8"/>
      <c r="J4576" s="8"/>
    </row>
    <row r="4577" ht="21.0" customHeight="1">
      <c r="A4577" s="6">
        <v>100.0</v>
      </c>
      <c r="B4577" s="6">
        <v>2000.0</v>
      </c>
      <c r="C4577" s="6">
        <v>1.0</v>
      </c>
      <c r="D4577" s="100" t="s">
        <v>7734</v>
      </c>
      <c r="E4577" s="9" t="s">
        <v>7560</v>
      </c>
      <c r="F4577" s="8" t="str">
        <f>IFERROR(__xludf.DUMMYFUNCTION("GOOGLETRANSLATE(D4577,""zh-CN"",""vi"")"),"Tường ngoài")</f>
        <v>Tường ngoài</v>
      </c>
      <c r="G4577" s="8" t="str">
        <f>IFERROR(__xludf.DUMMYFUNCTION("GOOGLETRANSLATE(E4577,""zh-CN"",""vi"")"),"Các vật phẩm trong công viên giải trí, có thể sử dụng trong trò chơi tại công viên giải trí.")</f>
        <v>Các vật phẩm trong công viên giải trí, có thể sử dụng trong trò chơi tại công viên giải trí.</v>
      </c>
      <c r="H4577" s="8"/>
      <c r="I4577" s="8"/>
      <c r="J4577" s="8"/>
    </row>
    <row r="4578" ht="21.0" customHeight="1">
      <c r="A4578" s="6">
        <v>100.0</v>
      </c>
      <c r="B4578" s="6">
        <v>2000.0</v>
      </c>
      <c r="C4578" s="6">
        <v>1.0</v>
      </c>
      <c r="D4578" s="100" t="s">
        <v>7735</v>
      </c>
      <c r="E4578" s="9" t="s">
        <v>7560</v>
      </c>
      <c r="F4578" s="8" t="str">
        <f>IFERROR(__xludf.DUMMYFUNCTION("GOOGLETRANSLATE(D4578,""zh-CN"",""vi"")"),"Trang trí tường")</f>
        <v>Trang trí tường</v>
      </c>
      <c r="G4578" s="8" t="str">
        <f>IFERROR(__xludf.DUMMYFUNCTION("GOOGLETRANSLATE(E4578,""zh-CN"",""vi"")"),"Các vật phẩm trong công viên giải trí, có thể sử dụng trong trò chơi tại công viên giải trí.")</f>
        <v>Các vật phẩm trong công viên giải trí, có thể sử dụng trong trò chơi tại công viên giải trí.</v>
      </c>
      <c r="H4578" s="8"/>
      <c r="I4578" s="8"/>
      <c r="J4578" s="8"/>
    </row>
    <row r="4579" ht="21.0" customHeight="1">
      <c r="A4579" s="6">
        <v>100.0</v>
      </c>
      <c r="B4579" s="6">
        <v>2000.0</v>
      </c>
      <c r="C4579" s="6">
        <v>1.0</v>
      </c>
      <c r="D4579" s="100" t="s">
        <v>7736</v>
      </c>
      <c r="E4579" s="9" t="s">
        <v>7560</v>
      </c>
      <c r="F4579" s="8" t="str">
        <f>IFERROR(__xludf.DUMMYFUNCTION("GOOGLETRANSLATE(D4579,""zh-CN"",""vi"")"),"cối xay gió")</f>
        <v>cối xay gió</v>
      </c>
      <c r="G4579" s="8" t="str">
        <f>IFERROR(__xludf.DUMMYFUNCTION("GOOGLETRANSLATE(E4579,""zh-CN"",""vi"")"),"Các vật phẩm trong công viên giải trí, có thể sử dụng trong trò chơi tại công viên giải trí.")</f>
        <v>Các vật phẩm trong công viên giải trí, có thể sử dụng trong trò chơi tại công viên giải trí.</v>
      </c>
      <c r="H4579" s="8"/>
      <c r="I4579" s="8"/>
      <c r="J4579" s="8"/>
    </row>
    <row r="4580" ht="21.0" customHeight="1">
      <c r="A4580" s="6">
        <v>100.0</v>
      </c>
      <c r="B4580" s="6">
        <v>2000.0</v>
      </c>
      <c r="C4580" s="6">
        <v>1.0</v>
      </c>
      <c r="D4580" s="100" t="s">
        <v>7737</v>
      </c>
      <c r="E4580" s="9" t="s">
        <v>7560</v>
      </c>
      <c r="F4580" s="8" t="str">
        <f>IFERROR(__xludf.DUMMYFUNCTION("GOOGLETRANSLATE(D4580,""zh-CN"",""vi"")"),"toa ăn")</f>
        <v>toa ăn</v>
      </c>
      <c r="G4580" s="8" t="str">
        <f>IFERROR(__xludf.DUMMYFUNCTION("GOOGLETRANSLATE(E4580,""zh-CN"",""vi"")"),"Các vật phẩm trong công viên giải trí, có thể sử dụng trong trò chơi tại công viên giải trí.")</f>
        <v>Các vật phẩm trong công viên giải trí, có thể sử dụng trong trò chơi tại công viên giải trí.</v>
      </c>
      <c r="H4580" s="8"/>
      <c r="I4580" s="8"/>
      <c r="J4580" s="8"/>
    </row>
    <row r="4581" ht="21.0" customHeight="1">
      <c r="A4581" s="6">
        <v>100.0</v>
      </c>
      <c r="B4581" s="6">
        <v>2000.0</v>
      </c>
      <c r="C4581" s="6">
        <v>1.0</v>
      </c>
      <c r="D4581" s="100" t="s">
        <v>7738</v>
      </c>
      <c r="E4581" s="9" t="s">
        <v>7560</v>
      </c>
      <c r="F4581" s="8" t="str">
        <f>IFERROR(__xludf.DUMMYFUNCTION("GOOGLETRANSLATE(D4581,""zh-CN"",""vi"")"),"cái lò")</f>
        <v>cái lò</v>
      </c>
      <c r="G4581" s="8" t="str">
        <f>IFERROR(__xludf.DUMMYFUNCTION("GOOGLETRANSLATE(E4581,""zh-CN"",""vi"")"),"Các vật phẩm trong công viên giải trí, có thể sử dụng trong trò chơi tại công viên giải trí.")</f>
        <v>Các vật phẩm trong công viên giải trí, có thể sử dụng trong trò chơi tại công viên giải trí.</v>
      </c>
      <c r="H4581" s="8"/>
      <c r="I4581" s="8"/>
      <c r="J4581" s="8"/>
    </row>
    <row r="4582" ht="21.0" customHeight="1">
      <c r="A4582" s="6">
        <v>100.0</v>
      </c>
      <c r="B4582" s="6">
        <v>2000.0</v>
      </c>
      <c r="C4582" s="6">
        <v>1.0</v>
      </c>
      <c r="D4582" s="100" t="s">
        <v>7739</v>
      </c>
      <c r="E4582" s="9" t="s">
        <v>7560</v>
      </c>
      <c r="F4582" s="8" t="str">
        <f>IFERROR(__xludf.DUMMYFUNCTION("GOOGLETRANSLATE(D4582,""zh-CN"",""vi"")"),"gian hàng")</f>
        <v>gian hàng</v>
      </c>
      <c r="G4582" s="8" t="str">
        <f>IFERROR(__xludf.DUMMYFUNCTION("GOOGLETRANSLATE(E4582,""zh-CN"",""vi"")"),"Các vật phẩm trong công viên giải trí, có thể sử dụng trong trò chơi tại công viên giải trí.")</f>
        <v>Các vật phẩm trong công viên giải trí, có thể sử dụng trong trò chơi tại công viên giải trí.</v>
      </c>
      <c r="H4582" s="8"/>
      <c r="I4582" s="8"/>
      <c r="J4582" s="8"/>
    </row>
    <row r="4583" ht="21.0" customHeight="1">
      <c r="A4583" s="6">
        <v>100.0</v>
      </c>
      <c r="B4583" s="6">
        <v>2000.0</v>
      </c>
      <c r="C4583" s="6">
        <v>1.0</v>
      </c>
      <c r="D4583" s="100" t="s">
        <v>7740</v>
      </c>
      <c r="E4583" s="9" t="s">
        <v>7560</v>
      </c>
      <c r="F4583" s="8" t="str">
        <f>IFERROR(__xludf.DUMMYFUNCTION("GOOGLETRANSLATE(D4583,""zh-CN"",""vi"")"),"Bàn cát")</f>
        <v>Bàn cát</v>
      </c>
      <c r="G4583" s="8" t="str">
        <f>IFERROR(__xludf.DUMMYFUNCTION("GOOGLETRANSLATE(E4583,""zh-CN"",""vi"")"),"Các vật phẩm trong công viên giải trí, có thể sử dụng trong trò chơi tại công viên giải trí.")</f>
        <v>Các vật phẩm trong công viên giải trí, có thể sử dụng trong trò chơi tại công viên giải trí.</v>
      </c>
      <c r="H4583" s="8"/>
      <c r="I4583" s="8"/>
      <c r="J4583" s="8"/>
    </row>
    <row r="4584" ht="21.0" customHeight="1">
      <c r="A4584" s="6">
        <v>100.0</v>
      </c>
      <c r="B4584" s="6">
        <v>2000.0</v>
      </c>
      <c r="C4584" s="6">
        <v>1.0</v>
      </c>
      <c r="D4584" s="101" t="s">
        <v>7741</v>
      </c>
      <c r="E4584" s="9" t="s">
        <v>7560</v>
      </c>
      <c r="F4584" s="8" t="str">
        <f>IFERROR(__xludf.DUMMYFUNCTION("GOOGLETRANSLATE(D4584,""zh-CN"",""vi"")"),"Sàn nhà - Rustic Road")</f>
        <v>Sàn nhà - Rustic Road</v>
      </c>
      <c r="G4584" s="8" t="str">
        <f>IFERROR(__xludf.DUMMYFUNCTION("GOOGLETRANSLATE(E4584,""zh-CN"",""vi"")"),"Các vật phẩm trong công viên giải trí, có thể sử dụng trong trò chơi tại công viên giải trí.")</f>
        <v>Các vật phẩm trong công viên giải trí, có thể sử dụng trong trò chơi tại công viên giải trí.</v>
      </c>
      <c r="H4584" s="8"/>
      <c r="I4584" s="8"/>
      <c r="J4584" s="8"/>
    </row>
    <row r="4585" ht="21.0" customHeight="1">
      <c r="A4585" s="6">
        <v>100.0</v>
      </c>
      <c r="B4585" s="6">
        <v>2000.0</v>
      </c>
      <c r="C4585" s="6">
        <v>1.0</v>
      </c>
      <c r="D4585" s="101" t="s">
        <v>7742</v>
      </c>
      <c r="E4585" s="9" t="s">
        <v>7560</v>
      </c>
      <c r="F4585" s="8" t="str">
        <f>IFERROR(__xludf.DUMMYFUNCTION("GOOGLETRANSLATE(D4585,""zh-CN"",""vi"")"),"Sàn nhà - Lát đá")</f>
        <v>Sàn nhà - Lát đá</v>
      </c>
      <c r="G4585" s="8" t="str">
        <f>IFERROR(__xludf.DUMMYFUNCTION("GOOGLETRANSLATE(E4585,""zh-CN"",""vi"")"),"Các vật phẩm trong công viên giải trí, có thể sử dụng trong trò chơi tại công viên giải trí.")</f>
        <v>Các vật phẩm trong công viên giải trí, có thể sử dụng trong trò chơi tại công viên giải trí.</v>
      </c>
      <c r="H4585" s="8"/>
      <c r="I4585" s="8"/>
      <c r="J4585" s="8"/>
    </row>
    <row r="4586" ht="21.0" customHeight="1">
      <c r="A4586" s="6">
        <v>100.0</v>
      </c>
      <c r="B4586" s="6">
        <v>2000.0</v>
      </c>
      <c r="C4586" s="6">
        <v>1.0</v>
      </c>
      <c r="D4586" s="101" t="s">
        <v>7743</v>
      </c>
      <c r="E4586" s="9" t="s">
        <v>7560</v>
      </c>
      <c r="F4586" s="8" t="str">
        <f>IFERROR(__xludf.DUMMYFUNCTION("GOOGLETRANSLATE(D4586,""zh-CN"",""vi"")"),"Sàn nhà - Sàn gỗ nguyên khối")</f>
        <v>Sàn nhà - Sàn gỗ nguyên khối</v>
      </c>
      <c r="G4586" s="8" t="str">
        <f>IFERROR(__xludf.DUMMYFUNCTION("GOOGLETRANSLATE(E4586,""zh-CN"",""vi"")"),"Các vật phẩm trong công viên giải trí, có thể sử dụng trong trò chơi tại công viên giải trí.")</f>
        <v>Các vật phẩm trong công viên giải trí, có thể sử dụng trong trò chơi tại công viên giải trí.</v>
      </c>
      <c r="H4586" s="8"/>
      <c r="I4586" s="8"/>
      <c r="J4586" s="8"/>
    </row>
    <row r="4587" ht="21.0" customHeight="1">
      <c r="A4587" s="6">
        <v>100.0</v>
      </c>
      <c r="B4587" s="6">
        <v>2000.0</v>
      </c>
      <c r="C4587" s="6">
        <v>1.0</v>
      </c>
      <c r="D4587" s="101" t="s">
        <v>7744</v>
      </c>
      <c r="E4587" s="9" t="s">
        <v>7560</v>
      </c>
      <c r="F4587" s="8" t="str">
        <f>IFERROR(__xludf.DUMMYFUNCTION("GOOGLETRANSLATE(D4587,""zh-CN"",""vi"")"),"Sàn nhà - cỏ màu sáng")</f>
        <v>Sàn nhà - cỏ màu sáng</v>
      </c>
      <c r="G4587" s="8" t="str">
        <f>IFERROR(__xludf.DUMMYFUNCTION("GOOGLETRANSLATE(E4587,""zh-CN"",""vi"")"),"Các vật phẩm trong công viên giải trí, có thể sử dụng trong trò chơi tại công viên giải trí.")</f>
        <v>Các vật phẩm trong công viên giải trí, có thể sử dụng trong trò chơi tại công viên giải trí.</v>
      </c>
      <c r="H4587" s="8"/>
      <c r="I4587" s="8"/>
      <c r="J4587" s="8"/>
    </row>
    <row r="4588" ht="21.0" customHeight="1">
      <c r="A4588" s="6">
        <v>100.0</v>
      </c>
      <c r="B4588" s="6">
        <v>2000.0</v>
      </c>
      <c r="C4588" s="6">
        <v>1.0</v>
      </c>
      <c r="D4588" s="101" t="s">
        <v>7745</v>
      </c>
      <c r="E4588" s="9" t="s">
        <v>7560</v>
      </c>
      <c r="F4588" s="8" t="str">
        <f>IFERROR(__xludf.DUMMYFUNCTION("GOOGLETRANSLATE(D4588,""zh-CN"",""vi"")"),"Sàn nhà - Thảm cỏ tối màu")</f>
        <v>Sàn nhà - Thảm cỏ tối màu</v>
      </c>
      <c r="G4588" s="8" t="str">
        <f>IFERROR(__xludf.DUMMYFUNCTION("GOOGLETRANSLATE(E4588,""zh-CN"",""vi"")"),"Các vật phẩm trong công viên giải trí, có thể sử dụng trong trò chơi tại công viên giải trí.")</f>
        <v>Các vật phẩm trong công viên giải trí, có thể sử dụng trong trò chơi tại công viên giải trí.</v>
      </c>
      <c r="H4588" s="8"/>
      <c r="I4588" s="8"/>
      <c r="J4588" s="8"/>
    </row>
    <row r="4589" ht="21.0" customHeight="1">
      <c r="A4589" s="6">
        <v>100.0</v>
      </c>
      <c r="B4589" s="6">
        <v>2000.0</v>
      </c>
      <c r="C4589" s="6">
        <v>1.0</v>
      </c>
      <c r="D4589" s="101" t="s">
        <v>7746</v>
      </c>
      <c r="E4589" s="9" t="s">
        <v>7560</v>
      </c>
      <c r="F4589" s="8" t="str">
        <f>IFERROR(__xludf.DUMMYFUNCTION("GOOGLETRANSLATE(D4589,""zh-CN"",""vi"")"),"Xích đu - Xích đu hình hoa")</f>
        <v>Xích đu - Xích đu hình hoa</v>
      </c>
      <c r="G4589" s="8" t="str">
        <f>IFERROR(__xludf.DUMMYFUNCTION("GOOGLETRANSLATE(E4589,""zh-CN"",""vi"")"),"Các vật phẩm trong công viên giải trí, có thể sử dụng trong trò chơi tại công viên giải trí.")</f>
        <v>Các vật phẩm trong công viên giải trí, có thể sử dụng trong trò chơi tại công viên giải trí.</v>
      </c>
      <c r="H4589" s="8"/>
      <c r="I4589" s="8"/>
      <c r="J4589" s="8"/>
    </row>
    <row r="4590" ht="21.0" customHeight="1">
      <c r="A4590" s="6">
        <v>100.0</v>
      </c>
      <c r="B4590" s="6">
        <v>2000.0</v>
      </c>
      <c r="C4590" s="6">
        <v>1.0</v>
      </c>
      <c r="D4590" s="101" t="s">
        <v>7747</v>
      </c>
      <c r="E4590" s="9" t="s">
        <v>7560</v>
      </c>
      <c r="F4590" s="8" t="str">
        <f>IFERROR(__xludf.DUMMYFUNCTION("GOOGLETRANSLATE(D4590,""zh-CN"",""vi"")"),"Vườn ươm hoa - Vườn ươm hoa bồ công anh")</f>
        <v>Vườn ươm hoa - Vườn ươm hoa bồ công anh</v>
      </c>
      <c r="G4590" s="8" t="str">
        <f>IFERROR(__xludf.DUMMYFUNCTION("GOOGLETRANSLATE(E4590,""zh-CN"",""vi"")"),"Các vật phẩm trong công viên giải trí, có thể sử dụng trong trò chơi tại công viên giải trí.")</f>
        <v>Các vật phẩm trong công viên giải trí, có thể sử dụng trong trò chơi tại công viên giải trí.</v>
      </c>
      <c r="H4590" s="8"/>
      <c r="I4590" s="8"/>
      <c r="J4590" s="8"/>
    </row>
    <row r="4591" ht="21.0" customHeight="1">
      <c r="A4591" s="6">
        <v>100.0</v>
      </c>
      <c r="B4591" s="6">
        <v>2000.0</v>
      </c>
      <c r="C4591" s="6">
        <v>1.0</v>
      </c>
      <c r="D4591" s="101" t="s">
        <v>7748</v>
      </c>
      <c r="E4591" s="9" t="s">
        <v>7560</v>
      </c>
      <c r="F4591" s="8" t="str">
        <f>IFERROR(__xludf.DUMMYFUNCTION("GOOGLETRANSLATE(D4591,""zh-CN"",""vi"")"),"Vườn ươm hoa - Vườn ươm hoa nhiều màu sắc")</f>
        <v>Vườn ươm hoa - Vườn ươm hoa nhiều màu sắc</v>
      </c>
      <c r="G4591" s="8" t="str">
        <f>IFERROR(__xludf.DUMMYFUNCTION("GOOGLETRANSLATE(E4591,""zh-CN"",""vi"")"),"Các vật phẩm trong công viên giải trí, có thể sử dụng trong trò chơi tại công viên giải trí.")</f>
        <v>Các vật phẩm trong công viên giải trí, có thể sử dụng trong trò chơi tại công viên giải trí.</v>
      </c>
      <c r="H4591" s="8"/>
      <c r="I4591" s="8"/>
      <c r="J4591" s="8"/>
    </row>
    <row r="4592" ht="21.0" customHeight="1">
      <c r="A4592" s="6">
        <v>100.0</v>
      </c>
      <c r="B4592" s="6">
        <v>2000.0</v>
      </c>
      <c r="C4592" s="6">
        <v>1.0</v>
      </c>
      <c r="D4592" s="101" t="s">
        <v>7749</v>
      </c>
      <c r="E4592" s="9" t="s">
        <v>7560</v>
      </c>
      <c r="F4592" s="8" t="str">
        <f>IFERROR(__xludf.DUMMYFUNCTION("GOOGLETRANSLATE(D4592,""zh-CN"",""vi"")"),"Vườn ươm hoa - Những cánh đồng lúa trù phú")</f>
        <v>Vườn ươm hoa - Những cánh đồng lúa trù phú</v>
      </c>
      <c r="G4592" s="8" t="str">
        <f>IFERROR(__xludf.DUMMYFUNCTION("GOOGLETRANSLATE(E4592,""zh-CN"",""vi"")"),"Các vật phẩm trong công viên giải trí, có thể sử dụng trong trò chơi tại công viên giải trí.")</f>
        <v>Các vật phẩm trong công viên giải trí, có thể sử dụng trong trò chơi tại công viên giải trí.</v>
      </c>
      <c r="H4592" s="8"/>
      <c r="I4592" s="8"/>
      <c r="J4592" s="8"/>
    </row>
    <row r="4593" ht="21.0" customHeight="1">
      <c r="A4593" s="6">
        <v>100.0</v>
      </c>
      <c r="B4593" s="6">
        <v>2000.0</v>
      </c>
      <c r="C4593" s="6">
        <v>1.0</v>
      </c>
      <c r="D4593" s="101" t="s">
        <v>7750</v>
      </c>
      <c r="E4593" s="9" t="s">
        <v>7560</v>
      </c>
      <c r="F4593" s="8" t="str">
        <f>IFERROR(__xludf.DUMMYFUNCTION("GOOGLETRANSLATE(D4593,""zh-CN"",""vi"")"),"Ghế dài - Ghế dài nhỏ có họa tiết")</f>
        <v>Ghế dài - Ghế dài nhỏ có họa tiết</v>
      </c>
      <c r="G4593" s="8" t="str">
        <f>IFERROR(__xludf.DUMMYFUNCTION("GOOGLETRANSLATE(E4593,""zh-CN"",""vi"")"),"Các vật phẩm trong công viên giải trí, có thể sử dụng trong trò chơi tại công viên giải trí.")</f>
        <v>Các vật phẩm trong công viên giải trí, có thể sử dụng trong trò chơi tại công viên giải trí.</v>
      </c>
      <c r="H4593" s="8"/>
      <c r="I4593" s="8"/>
      <c r="J4593" s="8"/>
    </row>
    <row r="4594" ht="21.0" customHeight="1">
      <c r="A4594" s="6">
        <v>100.0</v>
      </c>
      <c r="B4594" s="6">
        <v>2000.0</v>
      </c>
      <c r="C4594" s="6">
        <v>1.0</v>
      </c>
      <c r="D4594" s="60" t="s">
        <v>7751</v>
      </c>
      <c r="E4594" s="9" t="s">
        <v>7560</v>
      </c>
      <c r="F4594" s="8" t="str">
        <f>IFERROR(__xludf.DUMMYFUNCTION("GOOGLETRANSLATE(D4594,""zh-CN"",""vi"")"),"Ghế dài - Ghế bập bênh Fallen Flower")</f>
        <v>Ghế dài - Ghế bập bênh Fallen Flower</v>
      </c>
      <c r="G4594" s="8" t="str">
        <f>IFERROR(__xludf.DUMMYFUNCTION("GOOGLETRANSLATE(E4594,""zh-CN"",""vi"")"),"Các vật phẩm trong công viên giải trí, có thể sử dụng trong trò chơi tại công viên giải trí.")</f>
        <v>Các vật phẩm trong công viên giải trí, có thể sử dụng trong trò chơi tại công viên giải trí.</v>
      </c>
      <c r="H4594" s="8"/>
      <c r="I4594" s="8"/>
      <c r="J4594" s="8"/>
    </row>
    <row r="4595" ht="21.0" customHeight="1">
      <c r="A4595" s="6">
        <v>100.0</v>
      </c>
      <c r="B4595" s="6">
        <v>2000.0</v>
      </c>
      <c r="C4595" s="6">
        <v>1.0</v>
      </c>
      <c r="D4595" s="60" t="s">
        <v>7752</v>
      </c>
      <c r="E4595" s="9" t="s">
        <v>7560</v>
      </c>
      <c r="F4595" s="8" t="str">
        <f>IFERROR(__xludf.DUMMYFUNCTION("GOOGLETRANSLATE(D4595,""zh-CN"",""vi"")"),"Ghế dài - Ghế tựa có hương hoa mộc tê")</f>
        <v>Ghế dài - Ghế tựa có hương hoa mộc tê</v>
      </c>
      <c r="G4595" s="8" t="str">
        <f>IFERROR(__xludf.DUMMYFUNCTION("GOOGLETRANSLATE(E4595,""zh-CN"",""vi"")"),"Các vật phẩm trong công viên giải trí, có thể sử dụng trong trò chơi tại công viên giải trí.")</f>
        <v>Các vật phẩm trong công viên giải trí, có thể sử dụng trong trò chơi tại công viên giải trí.</v>
      </c>
      <c r="H4595" s="8"/>
      <c r="I4595" s="8"/>
      <c r="J4595" s="8"/>
    </row>
    <row r="4596" ht="21.0" customHeight="1">
      <c r="A4596" s="6">
        <v>100.0</v>
      </c>
      <c r="B4596" s="6">
        <v>2000.0</v>
      </c>
      <c r="C4596" s="6">
        <v>1.0</v>
      </c>
      <c r="D4596" s="101" t="s">
        <v>7753</v>
      </c>
      <c r="E4596" s="9" t="s">
        <v>7560</v>
      </c>
      <c r="F4596" s="8" t="str">
        <f>IFERROR(__xludf.DUMMYFUNCTION("GOOGLETRANSLATE(D4596,""zh-CN"",""vi"")"),"Đèn đường - Đèn lồng cung điện cao")</f>
        <v>Đèn đường - Đèn lồng cung điện cao</v>
      </c>
      <c r="G4596" s="8" t="str">
        <f>IFERROR(__xludf.DUMMYFUNCTION("GOOGLETRANSLATE(E4596,""zh-CN"",""vi"")"),"Các vật phẩm trong công viên giải trí, có thể sử dụng trong trò chơi tại công viên giải trí.")</f>
        <v>Các vật phẩm trong công viên giải trí, có thể sử dụng trong trò chơi tại công viên giải trí.</v>
      </c>
      <c r="H4596" s="8"/>
      <c r="I4596" s="8"/>
      <c r="J4596" s="8"/>
    </row>
    <row r="4597" ht="21.0" customHeight="1">
      <c r="A4597" s="6">
        <v>100.0</v>
      </c>
      <c r="B4597" s="6">
        <v>2000.0</v>
      </c>
      <c r="C4597" s="6">
        <v>1.0</v>
      </c>
      <c r="D4597" s="101" t="s">
        <v>7754</v>
      </c>
      <c r="E4597" s="9" t="s">
        <v>7560</v>
      </c>
      <c r="F4597" s="8" t="str">
        <f>IFERROR(__xludf.DUMMYFUNCTION("GOOGLETRANSLATE(D4597,""zh-CN"",""vi"")"),"Đèn đường - Đèn cung điện thấp")</f>
        <v>Đèn đường - Đèn cung điện thấp</v>
      </c>
      <c r="G4597" s="8" t="str">
        <f>IFERROR(__xludf.DUMMYFUNCTION("GOOGLETRANSLATE(E4597,""zh-CN"",""vi"")"),"Các vật phẩm trong công viên giải trí, có thể sử dụng trong trò chơi tại công viên giải trí.")</f>
        <v>Các vật phẩm trong công viên giải trí, có thể sử dụng trong trò chơi tại công viên giải trí.</v>
      </c>
      <c r="H4597" s="8"/>
      <c r="I4597" s="8"/>
      <c r="J4597" s="8"/>
    </row>
    <row r="4598" ht="21.0" customHeight="1">
      <c r="A4598" s="6">
        <v>100.0</v>
      </c>
      <c r="B4598" s="6">
        <v>2000.0</v>
      </c>
      <c r="C4598" s="6">
        <v>1.0</v>
      </c>
      <c r="D4598" s="101" t="s">
        <v>7755</v>
      </c>
      <c r="E4598" s="9" t="s">
        <v>7560</v>
      </c>
      <c r="F4598" s="8" t="str">
        <f>IFERROR(__xludf.DUMMYFUNCTION("GOOGLETRANSLATE(D4598,""zh-CN"",""vi"")"),"Đèn đường - Đèn lồng đá")</f>
        <v>Đèn đường - Đèn lồng đá</v>
      </c>
      <c r="G4598" s="8" t="str">
        <f>IFERROR(__xludf.DUMMYFUNCTION("GOOGLETRANSLATE(E4598,""zh-CN"",""vi"")"),"Các vật phẩm trong công viên giải trí, có thể sử dụng trong trò chơi tại công viên giải trí.")</f>
        <v>Các vật phẩm trong công viên giải trí, có thể sử dụng trong trò chơi tại công viên giải trí.</v>
      </c>
      <c r="H4598" s="8"/>
      <c r="I4598" s="8"/>
      <c r="J4598" s="8"/>
    </row>
    <row r="4599" ht="21.0" customHeight="1">
      <c r="A4599" s="6">
        <v>100.0</v>
      </c>
      <c r="B4599" s="6">
        <v>2000.0</v>
      </c>
      <c r="C4599" s="6">
        <v>1.0</v>
      </c>
      <c r="D4599" s="101" t="s">
        <v>7756</v>
      </c>
      <c r="E4599" s="9" t="s">
        <v>7560</v>
      </c>
      <c r="F4599" s="8" t="str">
        <f>IFERROR(__xludf.DUMMYFUNCTION("GOOGLETRANSLATE(D4599,""zh-CN"",""vi"")"),"Cổng vòm - Cổng vòm dây leo")</f>
        <v>Cổng vòm - Cổng vòm dây leo</v>
      </c>
      <c r="G4599" s="8" t="str">
        <f>IFERROR(__xludf.DUMMYFUNCTION("GOOGLETRANSLATE(E4599,""zh-CN"",""vi"")"),"Các vật phẩm trong công viên giải trí, có thể sử dụng trong trò chơi tại công viên giải trí.")</f>
        <v>Các vật phẩm trong công viên giải trí, có thể sử dụng trong trò chơi tại công viên giải trí.</v>
      </c>
      <c r="H4599" s="8"/>
      <c r="I4599" s="8"/>
      <c r="J4599" s="8"/>
    </row>
    <row r="4600" ht="21.0" customHeight="1">
      <c r="A4600" s="6">
        <v>100.0</v>
      </c>
      <c r="B4600" s="6">
        <v>2000.0</v>
      </c>
      <c r="C4600" s="6">
        <v>1.0</v>
      </c>
      <c r="D4600" s="101" t="s">
        <v>7757</v>
      </c>
      <c r="E4600" s="9" t="s">
        <v>7560</v>
      </c>
      <c r="F4600" s="8" t="str">
        <f>IFERROR(__xludf.DUMMYFUNCTION("GOOGLETRANSLATE(D4600,""zh-CN"",""vi"")"),"Cổng vòm - Cổng vòm kiểu Trung Quốc")</f>
        <v>Cổng vòm - Cổng vòm kiểu Trung Quốc</v>
      </c>
      <c r="G4600" s="8" t="str">
        <f>IFERROR(__xludf.DUMMYFUNCTION("GOOGLETRANSLATE(E4600,""zh-CN"",""vi"")"),"Các vật phẩm trong công viên giải trí, có thể sử dụng trong trò chơi tại công viên giải trí.")</f>
        <v>Các vật phẩm trong công viên giải trí, có thể sử dụng trong trò chơi tại công viên giải trí.</v>
      </c>
      <c r="H4600" s="8"/>
      <c r="I4600" s="8"/>
      <c r="J4600" s="8"/>
    </row>
    <row r="4601" ht="21.0" customHeight="1">
      <c r="A4601" s="6">
        <v>100.0</v>
      </c>
      <c r="B4601" s="6">
        <v>2000.0</v>
      </c>
      <c r="C4601" s="6">
        <v>1.0</v>
      </c>
      <c r="D4601" s="101" t="s">
        <v>7758</v>
      </c>
      <c r="E4601" s="9" t="s">
        <v>7560</v>
      </c>
      <c r="F4601" s="8" t="str">
        <f>IFERROR(__xludf.DUMMYFUNCTION("GOOGLETRANSLATE(D4601,""zh-CN"",""vi"")"),"Ao nước - Ao nước cây xanh")</f>
        <v>Ao nước - Ao nước cây xanh</v>
      </c>
      <c r="G4601" s="8" t="str">
        <f>IFERROR(__xludf.DUMMYFUNCTION("GOOGLETRANSLATE(E4601,""zh-CN"",""vi"")"),"Các vật phẩm trong công viên giải trí, có thể sử dụng trong trò chơi tại công viên giải trí.")</f>
        <v>Các vật phẩm trong công viên giải trí, có thể sử dụng trong trò chơi tại công viên giải trí.</v>
      </c>
      <c r="H4601" s="8"/>
      <c r="I4601" s="8"/>
      <c r="J4601" s="8"/>
    </row>
    <row r="4602" ht="21.0" customHeight="1">
      <c r="A4602" s="6">
        <v>100.0</v>
      </c>
      <c r="B4602" s="6">
        <v>2000.0</v>
      </c>
      <c r="C4602" s="6">
        <v>1.0</v>
      </c>
      <c r="D4602" s="101" t="s">
        <v>7759</v>
      </c>
      <c r="E4602" s="9" t="s">
        <v>7560</v>
      </c>
      <c r="F4602" s="8" t="str">
        <f>IFERROR(__xludf.DUMMYFUNCTION("GOOGLETRANSLATE(D4602,""zh-CN"",""vi"")"),"Hàng rào - Hàng rào gỗ hoa")</f>
        <v>Hàng rào - Hàng rào gỗ hoa</v>
      </c>
      <c r="G4602" s="8" t="str">
        <f>IFERROR(__xludf.DUMMYFUNCTION("GOOGLETRANSLATE(E4602,""zh-CN"",""vi"")"),"Các vật phẩm trong công viên giải trí, có thể sử dụng trong trò chơi tại công viên giải trí.")</f>
        <v>Các vật phẩm trong công viên giải trí, có thể sử dụng trong trò chơi tại công viên giải trí.</v>
      </c>
      <c r="H4602" s="8"/>
      <c r="I4602" s="8"/>
      <c r="J4602" s="8"/>
    </row>
    <row r="4603" ht="21.0" customHeight="1">
      <c r="A4603" s="6">
        <v>100.0</v>
      </c>
      <c r="B4603" s="6">
        <v>2000.0</v>
      </c>
      <c r="C4603" s="6">
        <v>1.0</v>
      </c>
      <c r="D4603" s="101" t="s">
        <v>7760</v>
      </c>
      <c r="E4603" s="9" t="s">
        <v>7560</v>
      </c>
      <c r="F4603" s="8" t="str">
        <f>IFERROR(__xludf.DUMMYFUNCTION("GOOGLETRANSLATE(D4603,""zh-CN"",""vi"")"),"Giỏ bánh ngọt")</f>
        <v>Giỏ bánh ngọt</v>
      </c>
      <c r="G4603" s="8" t="str">
        <f>IFERROR(__xludf.DUMMYFUNCTION("GOOGLETRANSLATE(E4603,""zh-CN"",""vi"")"),"Các vật phẩm trong công viên giải trí, có thể sử dụng trong trò chơi tại công viên giải trí.")</f>
        <v>Các vật phẩm trong công viên giải trí, có thể sử dụng trong trò chơi tại công viên giải trí.</v>
      </c>
      <c r="H4603" s="8"/>
      <c r="I4603" s="8"/>
      <c r="J4603" s="8"/>
    </row>
    <row r="4604" ht="21.0" customHeight="1">
      <c r="A4604" s="6">
        <v>100.0</v>
      </c>
      <c r="B4604" s="6">
        <v>2000.0</v>
      </c>
      <c r="C4604" s="6">
        <v>1.0</v>
      </c>
      <c r="D4604" s="60" t="s">
        <v>7761</v>
      </c>
      <c r="E4604" s="9" t="s">
        <v>7560</v>
      </c>
      <c r="F4604" s="8" t="str">
        <f>IFERROR(__xludf.DUMMYFUNCTION("GOOGLETRANSLATE(D4604,""zh-CN"",""vi"")"),"Bánh - Bánh lẩu")</f>
        <v>Bánh - Bánh lẩu</v>
      </c>
      <c r="G4604" s="8" t="str">
        <f>IFERROR(__xludf.DUMMYFUNCTION("GOOGLETRANSLATE(E4604,""zh-CN"",""vi"")"),"Các vật phẩm trong công viên giải trí, có thể sử dụng trong trò chơi tại công viên giải trí.")</f>
        <v>Các vật phẩm trong công viên giải trí, có thể sử dụng trong trò chơi tại công viên giải trí.</v>
      </c>
      <c r="H4604" s="8"/>
      <c r="I4604" s="8"/>
      <c r="J4604" s="8"/>
    </row>
    <row r="4605" ht="21.0" customHeight="1">
      <c r="A4605" s="6">
        <v>100.0</v>
      </c>
      <c r="B4605" s="6">
        <v>2000.0</v>
      </c>
      <c r="C4605" s="6">
        <v>1.0</v>
      </c>
      <c r="D4605" s="101" t="s">
        <v>7762</v>
      </c>
      <c r="E4605" s="9" t="s">
        <v>7560</v>
      </c>
      <c r="F4605" s="8" t="str">
        <f>IFERROR(__xludf.DUMMYFUNCTION("GOOGLETRANSLATE(D4605,""zh-CN"",""vi"")"),"Hốc cây - Cụm hoa Hốc cây")</f>
        <v>Hốc cây - Cụm hoa Hốc cây</v>
      </c>
      <c r="G4605" s="8" t="str">
        <f>IFERROR(__xludf.DUMMYFUNCTION("GOOGLETRANSLATE(E4605,""zh-CN"",""vi"")"),"Các vật phẩm trong công viên giải trí, có thể sử dụng trong trò chơi tại công viên giải trí.")</f>
        <v>Các vật phẩm trong công viên giải trí, có thể sử dụng trong trò chơi tại công viên giải trí.</v>
      </c>
      <c r="H4605" s="8"/>
      <c r="I4605" s="8"/>
      <c r="J4605" s="8"/>
    </row>
    <row r="4606" ht="21.0" customHeight="1">
      <c r="A4606" s="6">
        <v>100.0</v>
      </c>
      <c r="B4606" s="6">
        <v>2000.0</v>
      </c>
      <c r="C4606" s="6">
        <v>1.0</v>
      </c>
      <c r="D4606" s="101" t="s">
        <v>7763</v>
      </c>
      <c r="E4606" s="9" t="s">
        <v>7560</v>
      </c>
      <c r="F4606" s="8" t="str">
        <f>IFERROR(__xludf.DUMMYFUNCTION("GOOGLETRANSLATE(D4606,""zh-CN"",""vi"")"),"Tường ngoài - tường gỗ kiểu cổ")</f>
        <v>Tường ngoài - tường gỗ kiểu cổ</v>
      </c>
      <c r="G4606" s="8" t="str">
        <f>IFERROR(__xludf.DUMMYFUNCTION("GOOGLETRANSLATE(E4606,""zh-CN"",""vi"")"),"Các vật phẩm trong công viên giải trí, có thể sử dụng trong trò chơi tại công viên giải trí.")</f>
        <v>Các vật phẩm trong công viên giải trí, có thể sử dụng trong trò chơi tại công viên giải trí.</v>
      </c>
      <c r="H4606" s="8"/>
      <c r="I4606" s="8"/>
      <c r="J4606" s="8"/>
    </row>
    <row r="4607" ht="21.0" customHeight="1">
      <c r="A4607" s="6">
        <v>100.0</v>
      </c>
      <c r="B4607" s="6">
        <v>2000.0</v>
      </c>
      <c r="C4607" s="6">
        <v>1.0</v>
      </c>
      <c r="D4607" s="101" t="s">
        <v>7764</v>
      </c>
      <c r="E4607" s="9" t="s">
        <v>7560</v>
      </c>
      <c r="F4607" s="8" t="str">
        <f>IFERROR(__xludf.DUMMYFUNCTION("GOOGLETRANSLATE(D4607,""zh-CN"",""vi"")"),"Tường ngoài - Tường đỏ kiểu cổ")</f>
        <v>Tường ngoài - Tường đỏ kiểu cổ</v>
      </c>
      <c r="G4607" s="8" t="str">
        <f>IFERROR(__xludf.DUMMYFUNCTION("GOOGLETRANSLATE(E4607,""zh-CN"",""vi"")"),"Các vật phẩm trong công viên giải trí, có thể sử dụng trong trò chơi tại công viên giải trí.")</f>
        <v>Các vật phẩm trong công viên giải trí, có thể sử dụng trong trò chơi tại công viên giải trí.</v>
      </c>
      <c r="H4607" s="8"/>
      <c r="I4607" s="8"/>
      <c r="J4607" s="8"/>
    </row>
    <row r="4608" ht="21.0" customHeight="1">
      <c r="A4608" s="6">
        <v>100.0</v>
      </c>
      <c r="B4608" s="6">
        <v>2000.0</v>
      </c>
      <c r="C4608" s="6">
        <v>1.0</v>
      </c>
      <c r="D4608" s="101" t="s">
        <v>7765</v>
      </c>
      <c r="E4608" s="9" t="s">
        <v>7560</v>
      </c>
      <c r="F4608" s="8" t="str">
        <f>IFERROR(__xludf.DUMMYFUNCTION("GOOGLETRANSLATE(D4608,""zh-CN"",""vi"")"),"Đèn đường - Đèn đường treo thấp")</f>
        <v>Đèn đường - Đèn đường treo thấp</v>
      </c>
      <c r="G4608" s="8" t="str">
        <f>IFERROR(__xludf.DUMMYFUNCTION("GOOGLETRANSLATE(E4608,""zh-CN"",""vi"")"),"Các vật phẩm trong công viên giải trí, có thể sử dụng trong trò chơi tại công viên giải trí.")</f>
        <v>Các vật phẩm trong công viên giải trí, có thể sử dụng trong trò chơi tại công viên giải trí.</v>
      </c>
      <c r="H4608" s="8"/>
      <c r="I4608" s="8"/>
      <c r="J4608" s="8"/>
    </row>
    <row r="4609" ht="21.0" customHeight="1">
      <c r="A4609" s="6">
        <v>100.0</v>
      </c>
      <c r="B4609" s="6">
        <v>2000.0</v>
      </c>
      <c r="C4609" s="6">
        <v>1.0</v>
      </c>
      <c r="D4609" s="101" t="s">
        <v>7766</v>
      </c>
      <c r="E4609" s="9" t="s">
        <v>7560</v>
      </c>
      <c r="F4609" s="8" t="str">
        <f>IFERROR(__xludf.DUMMYFUNCTION("GOOGLETRANSLATE(D4609,""zh-CN"",""vi"")"),"Đèn đường - Đèn đường kiểu châu Âu")</f>
        <v>Đèn đường - Đèn đường kiểu châu Âu</v>
      </c>
      <c r="G4609" s="8" t="str">
        <f>IFERROR(__xludf.DUMMYFUNCTION("GOOGLETRANSLATE(E4609,""zh-CN"",""vi"")"),"Các vật phẩm trong công viên giải trí, có thể sử dụng trong trò chơi tại công viên giải trí.")</f>
        <v>Các vật phẩm trong công viên giải trí, có thể sử dụng trong trò chơi tại công viên giải trí.</v>
      </c>
      <c r="H4609" s="8"/>
      <c r="I4609" s="8"/>
      <c r="J4609" s="8"/>
    </row>
    <row r="4610" ht="21.0" customHeight="1">
      <c r="A4610" s="6">
        <v>100.0</v>
      </c>
      <c r="B4610" s="6">
        <v>2000.0</v>
      </c>
      <c r="C4610" s="6">
        <v>1.0</v>
      </c>
      <c r="D4610" s="100" t="s">
        <v>7767</v>
      </c>
      <c r="E4610" s="9" t="s">
        <v>7560</v>
      </c>
      <c r="F4610" s="8" t="str">
        <f>IFERROR(__xludf.DUMMYFUNCTION("GOOGLETRANSLATE(D4610,""zh-CN"",""vi"")"),"góc")</f>
        <v>góc</v>
      </c>
      <c r="G4610" s="8" t="str">
        <f>IFERROR(__xludf.DUMMYFUNCTION("GOOGLETRANSLATE(E4610,""zh-CN"",""vi"")"),"Các vật phẩm trong công viên giải trí, có thể sử dụng trong trò chơi tại công viên giải trí.")</f>
        <v>Các vật phẩm trong công viên giải trí, có thể sử dụng trong trò chơi tại công viên giải trí.</v>
      </c>
      <c r="H4610" s="8"/>
      <c r="I4610" s="8"/>
      <c r="J4610" s="8"/>
    </row>
    <row r="4611" ht="21.0" customHeight="1">
      <c r="A4611" s="6">
        <v>100.0</v>
      </c>
      <c r="B4611" s="6">
        <v>2000.0</v>
      </c>
      <c r="C4611" s="6">
        <v>1.0</v>
      </c>
      <c r="D4611" s="23" t="s">
        <v>7768</v>
      </c>
      <c r="E4611" s="102" t="s">
        <v>7560</v>
      </c>
      <c r="F4611" s="8" t="str">
        <f>IFERROR(__xludf.DUMMYFUNCTION("GOOGLETRANSLATE(D4611,""zh-CN"",""vi"")"),"Kiến trúc nhỏ nhắn, dễ thương và ngọt ngào")</f>
        <v>Kiến trúc nhỏ nhắn, dễ thương và ngọt ngào</v>
      </c>
      <c r="G4611" s="8" t="str">
        <f>IFERROR(__xludf.DUMMYFUNCTION("GOOGLETRANSLATE(E4611,""zh-CN"",""vi"")"),"Các vật phẩm trong công viên giải trí, có thể sử dụng trong trò chơi tại công viên giải trí.")</f>
        <v>Các vật phẩm trong công viên giải trí, có thể sử dụng trong trò chơi tại công viên giải trí.</v>
      </c>
      <c r="H4611" s="8"/>
      <c r="I4611" s="8"/>
      <c r="J4611" s="8"/>
    </row>
    <row r="4612" ht="21.0" customHeight="1">
      <c r="A4612" s="6">
        <v>100.0</v>
      </c>
      <c r="B4612" s="6">
        <v>2000.0</v>
      </c>
      <c r="C4612" s="6">
        <v>1.0</v>
      </c>
      <c r="D4612" s="23" t="s">
        <v>7769</v>
      </c>
      <c r="E4612" s="102" t="s">
        <v>7560</v>
      </c>
      <c r="F4612" s="8" t="str">
        <f>IFERROR(__xludf.DUMMYFUNCTION("GOOGLETRANSLATE(D4612,""zh-CN"",""vi"")"),"Làn da xinh xắn và ngọt ngào")</f>
        <v>Làn da xinh xắn và ngọt ngào</v>
      </c>
      <c r="G4612" s="8" t="str">
        <f>IFERROR(__xludf.DUMMYFUNCTION("GOOGLETRANSLATE(E4612,""zh-CN"",""vi"")"),"Các vật phẩm trong công viên giải trí, có thể sử dụng trong trò chơi tại công viên giải trí.")</f>
        <v>Các vật phẩm trong công viên giải trí, có thể sử dụng trong trò chơi tại công viên giải trí.</v>
      </c>
      <c r="H4612" s="8"/>
      <c r="I4612" s="8"/>
      <c r="J4612" s="8"/>
    </row>
    <row r="4613" ht="21.0" customHeight="1">
      <c r="A4613" s="6">
        <v>34.0</v>
      </c>
      <c r="B4613" s="6">
        <v>3000.0</v>
      </c>
      <c r="C4613" s="6">
        <v>1.0</v>
      </c>
      <c r="D4613" s="23" t="s">
        <v>7770</v>
      </c>
      <c r="E4613" s="102" t="s">
        <v>7771</v>
      </c>
      <c r="F4613" s="8" t="str">
        <f>IFERROR(__xludf.DUMMYFUNCTION("GOOGLETRANSLATE(D4613,""zh-CN"",""vi"")"),"Vỏ chuối")</f>
        <v>Vỏ chuối</v>
      </c>
      <c r="G4613" s="8" t="str">
        <f>IFERROR(__xludf.DUMMYFUNCTION("GOOGLETRANSLATE(E4613,""zh-CN"",""vi"")"),"Khoảng cách của đội phía sau giảm đi 3.")</f>
        <v>Khoảng cách của đội phía sau giảm đi 3.</v>
      </c>
      <c r="H4613" s="8"/>
      <c r="I4613" s="8"/>
      <c r="J4613" s="8"/>
    </row>
    <row r="4614" ht="21.0" customHeight="1">
      <c r="A4614" s="6">
        <v>34.0</v>
      </c>
      <c r="B4614" s="6">
        <v>3000.0</v>
      </c>
      <c r="C4614" s="6">
        <v>1.0</v>
      </c>
      <c r="D4614" s="23" t="s">
        <v>7772</v>
      </c>
      <c r="E4614" s="102" t="s">
        <v>7773</v>
      </c>
      <c r="F4614" s="8" t="str">
        <f>IFERROR(__xludf.DUMMYFUNCTION("GOOGLETRANSLATE(D4614,""zh-CN"",""vi"")"),"Bị bắn vào lưng")</f>
        <v>Bị bắn vào lưng</v>
      </c>
      <c r="G4614" s="8" t="str">
        <f>IFERROR(__xludf.DUMMYFUNCTION("GOOGLETRANSLATE(E4614,""zh-CN"",""vi"")"),"Giảm khoảng cách của đội dẫn đầu xuống 3.")</f>
        <v>Giảm khoảng cách của đội dẫn đầu xuống 3.</v>
      </c>
      <c r="H4614" s="8"/>
      <c r="I4614" s="8"/>
      <c r="J4614" s="8"/>
    </row>
    <row r="4615" ht="21.0" customHeight="1">
      <c r="A4615" s="6">
        <v>34.0</v>
      </c>
      <c r="B4615" s="6">
        <v>3000.0</v>
      </c>
      <c r="C4615" s="6">
        <v>1.0</v>
      </c>
      <c r="D4615" s="103" t="s">
        <v>7249</v>
      </c>
      <c r="E4615" s="81" t="s">
        <v>7774</v>
      </c>
      <c r="F4615" s="8" t="str">
        <f>IFERROR(__xludf.DUMMYFUNCTION("GOOGLETRANSLATE(D4615,""zh-CN"",""vi"")"),"lốc xoáy")</f>
        <v>lốc xoáy</v>
      </c>
      <c r="G4615" s="8" t="str">
        <f>IFERROR(__xludf.DUMMYFUNCTION("GOOGLETRANSLATE(E4615,""zh-CN"",""vi"")"),"Ba đội ngẫu nhiên bị lốc xoáy tấn công, và khoảng cách giữa họ giảm đi 2.")</f>
        <v>Ba đội ngẫu nhiên bị lốc xoáy tấn công, và khoảng cách giữa họ giảm đi 2.</v>
      </c>
      <c r="H4615" s="8"/>
      <c r="I4615" s="8"/>
      <c r="J4615" s="8"/>
    </row>
    <row r="4616" ht="21.0" customHeight="1">
      <c r="A4616" s="6">
        <v>34.0</v>
      </c>
      <c r="B4616" s="6">
        <v>3000.0</v>
      </c>
      <c r="C4616" s="6">
        <v>1.0</v>
      </c>
      <c r="D4616" s="104" t="s">
        <v>7775</v>
      </c>
      <c r="E4616" s="81" t="s">
        <v>7776</v>
      </c>
      <c r="F4616" s="8" t="str">
        <f>IFERROR(__xludf.DUMMYFUNCTION("GOOGLETRANSLATE(D4616,""zh-CN"",""vi"")"),"bom")</f>
        <v>bom</v>
      </c>
      <c r="G4616" s="8" t="str">
        <f>IFERROR(__xludf.DUMMYFUNCTION("GOOGLETRANSLATE(E4616,""zh-CN"",""vi"")"),"Giảm số dặm di chuyển của một đội cụ thể đi 2.")</f>
        <v>Giảm số dặm di chuyển của một đội cụ thể đi 2.</v>
      </c>
      <c r="H4616" s="8"/>
      <c r="I4616" s="8"/>
      <c r="J4616" s="8"/>
    </row>
    <row r="4617" ht="21.0" customHeight="1">
      <c r="A4617" s="6">
        <v>34.0</v>
      </c>
      <c r="B4617" s="6">
        <v>3000.0</v>
      </c>
      <c r="C4617" s="6">
        <v>1.0</v>
      </c>
      <c r="D4617" s="104" t="s">
        <v>7777</v>
      </c>
      <c r="E4617" s="81" t="s">
        <v>7778</v>
      </c>
      <c r="F4617" s="8" t="str">
        <f>IFERROR(__xludf.DUMMYFUNCTION("GOOGLETRANSLATE(D4617,""zh-CN"",""vi"")"),"Saburo tuyệt vọng")</f>
        <v>Saburo tuyệt vọng</v>
      </c>
      <c r="G4617" s="8" t="str">
        <f>IFERROR(__xludf.DUMMYFUNCTION("GOOGLETRANSLATE(E4617,""zh-CN"",""vi"")"),"Khoảng cách của bạn giảm đi 2, và khoảng cách của một đội trong phạm vi một ký tự giảm đi 6.")</f>
        <v>Khoảng cách của bạn giảm đi 2, và khoảng cách của một đội trong phạm vi một ký tự giảm đi 6.</v>
      </c>
      <c r="H4617" s="8"/>
      <c r="I4617" s="8"/>
      <c r="J4617" s="8"/>
    </row>
    <row r="4618" ht="21.0" customHeight="1">
      <c r="A4618" s="6">
        <v>34.0</v>
      </c>
      <c r="B4618" s="6">
        <v>3000.0</v>
      </c>
      <c r="C4618" s="6">
        <v>1.0</v>
      </c>
      <c r="D4618" s="104" t="s">
        <v>7779</v>
      </c>
      <c r="E4618" s="81" t="s">
        <v>7780</v>
      </c>
      <c r="F4618" s="8" t="str">
        <f>IFERROR(__xludf.DUMMYFUNCTION("GOOGLETRANSLATE(D4618,""zh-CN"",""vi"")"),"nam châm")</f>
        <v>nam châm</v>
      </c>
      <c r="G4618" s="8" t="str">
        <f>IFERROR(__xludf.DUMMYFUNCTION("GOOGLETRANSLATE(E4618,""zh-CN"",""vi"")"),"Điều này làm giảm sự chênh lệch quãng đường của đội dẫn đầu xuống một vị trí, đồng thời tăng quãng đường của đội dẫn đầu lên cùng một lượng.")</f>
        <v>Điều này làm giảm sự chênh lệch quãng đường của đội dẫn đầu xuống một vị trí, đồng thời tăng quãng đường của đội dẫn đầu lên cùng một lượng.</v>
      </c>
      <c r="H4618" s="8"/>
      <c r="I4618" s="8"/>
      <c r="J4618" s="8"/>
    </row>
    <row r="4619" ht="21.0" customHeight="1">
      <c r="A4619" s="6">
        <v>34.0</v>
      </c>
      <c r="B4619" s="6">
        <v>3000.0</v>
      </c>
      <c r="C4619" s="6">
        <v>1.0</v>
      </c>
      <c r="D4619" s="104" t="s">
        <v>7781</v>
      </c>
      <c r="E4619" s="81" t="s">
        <v>7782</v>
      </c>
      <c r="F4619" s="8" t="str">
        <f>IFERROR(__xludf.DUMMYFUNCTION("GOOGLETRANSLATE(D4619,""zh-CN"",""vi"")"),"Khiên")</f>
        <v>Khiên</v>
      </c>
      <c r="G4619" s="8" t="str">
        <f>IFERROR(__xludf.DUMMYFUNCTION("GOOGLETRANSLATE(E4619,""zh-CN"",""vi"")"),"Các vật phẩm phòng thủ và tấn công, được chuyển ngẫu nhiên cho đội khác.")</f>
        <v>Các vật phẩm phòng thủ và tấn công, được chuyển ngẫu nhiên cho đội khác.</v>
      </c>
      <c r="H4619" s="8"/>
      <c r="I4619" s="8"/>
      <c r="J4619" s="8"/>
    </row>
    <row r="4620" ht="21.0" customHeight="1">
      <c r="A4620" s="6">
        <v>34.0</v>
      </c>
      <c r="B4620" s="6">
        <v>3000.0</v>
      </c>
      <c r="C4620" s="6">
        <v>1.0</v>
      </c>
      <c r="D4620" s="104" t="s">
        <v>7783</v>
      </c>
      <c r="E4620" s="81" t="s">
        <v>7784</v>
      </c>
      <c r="F4620" s="8" t="str">
        <f>IFERROR(__xludf.DUMMYFUNCTION("GOOGLETRANSLATE(D4620,""zh-CN"",""vi"")"),"Bộ sơ cứu")</f>
        <v>Bộ sơ cứu</v>
      </c>
      <c r="G4620" s="8" t="str">
        <f>IFERROR(__xludf.DUMMYFUNCTION("GOOGLETRANSLATE(E4620,""zh-CN"",""vi"")"),"Bù đắp cho hai lần mất quãng đường tiếp theo")</f>
        <v>Bù đắp cho hai lần mất quãng đường tiếp theo</v>
      </c>
      <c r="H4620" s="8"/>
      <c r="I4620" s="8"/>
      <c r="J4620" s="8"/>
    </row>
    <row r="4621" ht="21.0" customHeight="1">
      <c r="A4621" s="6">
        <v>34.0</v>
      </c>
      <c r="B4621" s="6">
        <v>3000.0</v>
      </c>
      <c r="C4621" s="6">
        <v>1.0</v>
      </c>
      <c r="D4621" s="104" t="s">
        <v>7785</v>
      </c>
      <c r="E4621" s="81" t="s">
        <v>7786</v>
      </c>
      <c r="F4621" s="8" t="str">
        <f>IFERROR(__xludf.DUMMYFUNCTION("GOOGLETRANSLATE(D4621,""zh-CN"",""vi"")"),"Phong bì đỏ")</f>
        <v>Phong bì đỏ</v>
      </c>
      <c r="G4621" s="8" t="str">
        <f>IFERROR(__xludf.DUMMYFUNCTION("GOOGLETRANSLATE(E4621,""zh-CN"",""vi"")"),"Tăng số dặm của một đội và đội của bạn lên 2.")</f>
        <v>Tăng số dặm của một đội và đội của bạn lên 2.</v>
      </c>
      <c r="H4621" s="8"/>
      <c r="I4621" s="8"/>
      <c r="J4621" s="8"/>
    </row>
    <row r="4622" ht="21.0" customHeight="1">
      <c r="A4622" s="6">
        <v>34.0</v>
      </c>
      <c r="B4622" s="6">
        <v>3000.0</v>
      </c>
      <c r="C4622" s="6">
        <v>1.0</v>
      </c>
      <c r="D4622" s="104" t="s">
        <v>7787</v>
      </c>
      <c r="E4622" s="81" t="s">
        <v>7788</v>
      </c>
      <c r="F4622" s="8" t="str">
        <f>IFERROR(__xludf.DUMMYFUNCTION("GOOGLETRANSLATE(D4622,""zh-CN"",""vi"")"),"truyền máu")</f>
        <v>truyền máu</v>
      </c>
      <c r="G4622" s="8" t="str">
        <f>IFERROR(__xludf.DUMMYFUNCTION("GOOGLETRANSLATE(E4622,""zh-CN"",""vi"")"),"Số dặm của đội bạn trừ đi 1, số dặm của đội được chỉ định cộng thêm 4")</f>
        <v>Số dặm của đội bạn trừ đi 1, số dặm của đội được chỉ định cộng thêm 4</v>
      </c>
      <c r="H4622" s="8"/>
      <c r="I4622" s="8"/>
      <c r="J4622" s="8"/>
    </row>
    <row r="4623" ht="21.0" customHeight="1">
      <c r="A4623" s="13">
        <v>48.0</v>
      </c>
      <c r="B4623" s="13">
        <v>1.0</v>
      </c>
      <c r="C4623" s="13">
        <v>1.0</v>
      </c>
      <c r="D4623" s="25" t="s">
        <v>7789</v>
      </c>
      <c r="E4623" s="11" t="s">
        <v>7790</v>
      </c>
      <c r="F4623" s="8" t="str">
        <f>IFERROR(__xludf.DUMMYFUNCTION("GOOGLETRANSLATE(D4623,""zh-CN"",""vi"")"),"Biểu tượng cảm xúc mặc định")</f>
        <v>Biểu tượng cảm xúc mặc định</v>
      </c>
      <c r="G4623" s="8" t="str">
        <f>IFERROR(__xludf.DUMMYFUNCTION("GOOGLETRANSLATE(E4623,""zh-CN"",""vi"")"),"Bộ biểu tượng cảm xúc mặc định sẽ được mở khóa ngay lập tức sau khi mua.")</f>
        <v>Bộ biểu tượng cảm xúc mặc định sẽ được mở khóa ngay lập tức sau khi mua.</v>
      </c>
      <c r="H4623" s="14"/>
      <c r="I4623" s="14"/>
      <c r="J4623" s="14"/>
    </row>
    <row r="4624" ht="21.0" customHeight="1">
      <c r="A4624" s="13">
        <v>48.0</v>
      </c>
      <c r="B4624" s="13">
        <v>1.0</v>
      </c>
      <c r="C4624" s="13">
        <v>1.0</v>
      </c>
      <c r="D4624" s="25" t="s">
        <v>7791</v>
      </c>
      <c r="E4624" s="11" t="s">
        <v>7790</v>
      </c>
      <c r="F4624" s="8" t="str">
        <f>IFERROR(__xludf.DUMMYFUNCTION("GOOGLETRANSLATE(D4624,""zh-CN"",""vi"")"),"Bộ biểu tượng cảm xúc mùa hè")</f>
        <v>Bộ biểu tượng cảm xúc mùa hè</v>
      </c>
      <c r="G4624" s="8" t="str">
        <f>IFERROR(__xludf.DUMMYFUNCTION("GOOGLETRANSLATE(E4624,""zh-CN"",""vi"")"),"Bộ biểu tượng cảm xúc mặc định sẽ được mở khóa ngay lập tức sau khi mua.")</f>
        <v>Bộ biểu tượng cảm xúc mặc định sẽ được mở khóa ngay lập tức sau khi mua.</v>
      </c>
      <c r="H4624" s="14"/>
      <c r="I4624" s="14"/>
      <c r="J4624" s="14"/>
    </row>
    <row r="4625" ht="21.0" customHeight="1">
      <c r="A4625" s="13">
        <v>48.0</v>
      </c>
      <c r="B4625" s="13">
        <v>1.0</v>
      </c>
      <c r="C4625" s="13">
        <v>1.0</v>
      </c>
      <c r="D4625" s="25" t="s">
        <v>7792</v>
      </c>
      <c r="E4625" s="11" t="s">
        <v>7790</v>
      </c>
      <c r="F4625" s="8" t="str">
        <f>IFERROR(__xludf.DUMMYFUNCTION("GOOGLETRANSLATE(D4625,""zh-CN"",""vi"")"),"Bộ biểu tượng cảm xúc mùa đông")</f>
        <v>Bộ biểu tượng cảm xúc mùa đông</v>
      </c>
      <c r="G4625" s="8" t="str">
        <f>IFERROR(__xludf.DUMMYFUNCTION("GOOGLETRANSLATE(E4625,""zh-CN"",""vi"")"),"Bộ biểu tượng cảm xúc mặc định sẽ được mở khóa ngay lập tức sau khi mua.")</f>
        <v>Bộ biểu tượng cảm xúc mặc định sẽ được mở khóa ngay lập tức sau khi mua.</v>
      </c>
      <c r="H4625" s="14"/>
      <c r="I4625" s="14"/>
      <c r="J4625" s="14"/>
    </row>
    <row r="4626" ht="21.0" customHeight="1">
      <c r="A4626" s="13">
        <v>48.0</v>
      </c>
      <c r="B4626" s="13">
        <v>1.0</v>
      </c>
      <c r="C4626" s="13">
        <v>1.0</v>
      </c>
      <c r="D4626" s="25" t="s">
        <v>7793</v>
      </c>
      <c r="E4626" s="11" t="s">
        <v>7794</v>
      </c>
      <c r="F4626" s="8" t="str">
        <f>IFERROR(__xludf.DUMMYFUNCTION("GOOGLETRANSLATE(D4626,""zh-CN"",""vi"")"),"Tiêu đề nâng cao")</f>
        <v>Tiêu đề nâng cao</v>
      </c>
      <c r="G4626" s="8" t="str">
        <f>IFERROR(__xludf.DUMMYFUNCTION("GOOGLETRANSLATE(E4626,""zh-CN"",""vi"")"),"Danh hiệu sẽ được mở khóa ngay lập tức sau khi bạn nhận được nó.")</f>
        <v>Danh hiệu sẽ được mở khóa ngay lập tức sau khi bạn nhận được nó.</v>
      </c>
      <c r="H4626" s="14"/>
      <c r="I4626" s="14"/>
      <c r="J4626" s="14"/>
    </row>
    <row r="4627" ht="21.0" customHeight="1">
      <c r="A4627" s="13">
        <v>48.0</v>
      </c>
      <c r="B4627" s="13">
        <v>1.0</v>
      </c>
      <c r="C4627" s="13">
        <v>1.0</v>
      </c>
      <c r="D4627" s="25" t="s">
        <v>7795</v>
      </c>
      <c r="E4627" s="11" t="s">
        <v>7794</v>
      </c>
      <c r="F4627" s="8" t="str">
        <f>IFERROR(__xludf.DUMMYFUNCTION("GOOGLETRANSLATE(D4627,""zh-CN"",""vi"")"),"Tiêu đề dành cho người mới bắt đầu")</f>
        <v>Tiêu đề dành cho người mới bắt đầu</v>
      </c>
      <c r="G4627" s="8" t="str">
        <f>IFERROR(__xludf.DUMMYFUNCTION("GOOGLETRANSLATE(E4627,""zh-CN"",""vi"")"),"Danh hiệu sẽ được mở khóa ngay lập tức sau khi bạn nhận được nó.")</f>
        <v>Danh hiệu sẽ được mở khóa ngay lập tức sau khi bạn nhận được nó.</v>
      </c>
      <c r="H4627" s="14"/>
      <c r="I4627" s="14"/>
      <c r="J4627" s="14"/>
    </row>
    <row r="4628" ht="21.0" customHeight="1">
      <c r="A4628" s="13">
        <v>48.0</v>
      </c>
      <c r="B4628" s="13">
        <v>1.0</v>
      </c>
      <c r="C4628" s="13">
        <v>1.0</v>
      </c>
      <c r="D4628" s="25" t="s">
        <v>7796</v>
      </c>
      <c r="E4628" s="11" t="s">
        <v>7797</v>
      </c>
      <c r="F4628" s="8" t="str">
        <f>IFERROR(__xludf.DUMMYFUNCTION("GOOGLETRANSLATE(D4628,""zh-CN"",""vi"")"),"Khung ảnh đại diện cao cấp")</f>
        <v>Khung ảnh đại diện cao cấp</v>
      </c>
      <c r="G4628" s="8" t="str">
        <f>IFERROR(__xludf.DUMMYFUNCTION("GOOGLETRANSLATE(E4628,""zh-CN"",""vi"")"),"Khung ảnh đại diện sẽ được mở khóa ngay lập tức sau khi bạn nhận được nó.")</f>
        <v>Khung ảnh đại diện sẽ được mở khóa ngay lập tức sau khi bạn nhận được nó.</v>
      </c>
      <c r="H4628" s="14"/>
      <c r="I4628" s="14"/>
      <c r="J4628" s="14"/>
    </row>
    <row r="4629" ht="21.0" customHeight="1">
      <c r="A4629" s="13">
        <v>48.0</v>
      </c>
      <c r="B4629" s="13">
        <v>1.0</v>
      </c>
      <c r="C4629" s="13">
        <v>1.0</v>
      </c>
      <c r="D4629" s="25" t="s">
        <v>7798</v>
      </c>
      <c r="E4629" s="11" t="s">
        <v>7797</v>
      </c>
      <c r="F4629" s="8" t="str">
        <f>IFERROR(__xludf.DUMMYFUNCTION("GOOGLETRANSLATE(D4629,""zh-CN"",""vi"")"),"Khung Avatar cơ bản")</f>
        <v>Khung Avatar cơ bản</v>
      </c>
      <c r="G4629" s="8" t="str">
        <f>IFERROR(__xludf.DUMMYFUNCTION("GOOGLETRANSLATE(E4629,""zh-CN"",""vi"")"),"Khung ảnh đại diện sẽ được mở khóa ngay lập tức sau khi bạn nhận được nó.")</f>
        <v>Khung ảnh đại diện sẽ được mở khóa ngay lập tức sau khi bạn nhận được nó.</v>
      </c>
      <c r="H4629" s="14"/>
      <c r="I4629" s="14"/>
      <c r="J4629" s="14"/>
    </row>
    <row r="4630" ht="21.0" customHeight="1">
      <c r="A4630" s="13">
        <v>48.0</v>
      </c>
      <c r="B4630" s="13">
        <v>1.0</v>
      </c>
      <c r="C4630" s="13">
        <v>1.0</v>
      </c>
      <c r="D4630" s="25" t="s">
        <v>7799</v>
      </c>
      <c r="E4630" s="11" t="s">
        <v>7800</v>
      </c>
      <c r="F4630" s="8" t="str">
        <f>IFERROR(__xludf.DUMMYFUNCTION("GOOGLETRANSLATE(D4630,""zh-CN"",""vi"")"),"kèn trumpet")</f>
        <v>kèn trumpet</v>
      </c>
      <c r="G4630" s="8" t="str">
        <f>IFERROR(__xludf.DUMMYFUNCTION("GOOGLETRANSLATE(E4630,""zh-CN"",""vi"")"),"Mua 1 loa")</f>
        <v>Mua 1 loa</v>
      </c>
      <c r="H4630" s="14"/>
      <c r="I4630" s="14"/>
      <c r="J4630" s="14"/>
    </row>
    <row r="4631" ht="21.0" customHeight="1">
      <c r="A4631" s="13">
        <v>48.0</v>
      </c>
      <c r="B4631" s="13">
        <v>1.0</v>
      </c>
      <c r="C4631" s="13">
        <v>1.0</v>
      </c>
      <c r="D4631" s="25" t="s">
        <v>7801</v>
      </c>
      <c r="E4631" s="11" t="s">
        <v>7800</v>
      </c>
      <c r="F4631" s="8" t="str">
        <f>IFERROR(__xludf.DUMMYFUNCTION("GOOGLETRANSLATE(D4631,""zh-CN"",""vi"")"),"Siêu còi")</f>
        <v>Siêu còi</v>
      </c>
      <c r="G4631" s="8" t="str">
        <f>IFERROR(__xludf.DUMMYFUNCTION("GOOGLETRANSLATE(E4631,""zh-CN"",""vi"")"),"Mua 1 loa")</f>
        <v>Mua 1 loa</v>
      </c>
      <c r="H4631" s="14"/>
      <c r="I4631" s="14"/>
      <c r="J4631" s="14"/>
    </row>
  </sheetData>
  <autoFilter ref="$A$1:$E$1"/>
  <printOptions/>
  <pageMargins bottom="0.75" footer="0.0" header="0.0" left="0.7" right="0.7" top="0.75"/>
  <pageSetup paperSize="9"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29"/>
    <col customWidth="1" min="2" max="2" width="8.14"/>
    <col customWidth="1" min="3" max="3" width="3.43"/>
    <col customWidth="1" min="4" max="4" width="18.29"/>
    <col customWidth="1" min="5" max="5" width="57.29"/>
    <col customWidth="1" min="6" max="6" width="9.0"/>
  </cols>
  <sheetData>
    <row r="1" ht="93.0" customHeight="1">
      <c r="A1" s="1" t="s">
        <v>0</v>
      </c>
      <c r="B1" s="1" t="s">
        <v>1</v>
      </c>
      <c r="C1" s="1" t="s">
        <v>2</v>
      </c>
      <c r="D1" s="2" t="s">
        <v>3</v>
      </c>
      <c r="E1" s="2" t="s">
        <v>4</v>
      </c>
      <c r="F1" s="4"/>
    </row>
    <row r="2" ht="21.0" customHeight="1">
      <c r="A2" s="5">
        <v>12.0</v>
      </c>
      <c r="B2" s="6">
        <v>1.0</v>
      </c>
      <c r="C2" s="5">
        <v>1.0</v>
      </c>
      <c r="D2" s="7" t="s">
        <v>7</v>
      </c>
      <c r="E2" s="7" t="s">
        <v>8</v>
      </c>
      <c r="F2" s="8"/>
    </row>
    <row r="3" ht="21.0" customHeight="1">
      <c r="A3" s="5">
        <v>1.0</v>
      </c>
      <c r="B3" s="6">
        <v>2.0</v>
      </c>
      <c r="C3" s="6">
        <v>1.0</v>
      </c>
      <c r="D3" s="7" t="s">
        <v>9</v>
      </c>
      <c r="E3" s="9" t="s">
        <v>9</v>
      </c>
      <c r="F3" s="8"/>
    </row>
    <row r="4" ht="21.0" customHeight="1">
      <c r="A4" s="5">
        <v>1.0</v>
      </c>
      <c r="B4" s="6">
        <v>3.0</v>
      </c>
      <c r="C4" s="6">
        <v>1.0</v>
      </c>
      <c r="D4" s="7" t="s">
        <v>10</v>
      </c>
      <c r="E4" s="9" t="s">
        <v>10</v>
      </c>
      <c r="F4" s="8"/>
    </row>
    <row r="5" ht="21.0" customHeight="1">
      <c r="A5" s="5">
        <v>18.0</v>
      </c>
      <c r="B5" s="6">
        <v>4.0</v>
      </c>
      <c r="C5" s="6">
        <v>1.0</v>
      </c>
      <c r="D5" s="7" t="s">
        <v>11</v>
      </c>
      <c r="E5" s="9" t="s">
        <v>12</v>
      </c>
      <c r="F5" s="8"/>
    </row>
    <row r="6" ht="21.0" customHeight="1">
      <c r="A6" s="5">
        <v>18.0</v>
      </c>
      <c r="B6" s="6">
        <v>5.0</v>
      </c>
      <c r="C6" s="6">
        <v>1.0</v>
      </c>
      <c r="D6" s="7" t="s">
        <v>13</v>
      </c>
      <c r="E6" s="9" t="s">
        <v>14</v>
      </c>
      <c r="F6" s="8"/>
    </row>
    <row r="7" ht="21.0" customHeight="1">
      <c r="A7" s="5">
        <v>18.0</v>
      </c>
      <c r="B7" s="6">
        <v>6.0</v>
      </c>
      <c r="C7" s="6">
        <v>1.0</v>
      </c>
      <c r="D7" s="10" t="s">
        <v>15</v>
      </c>
      <c r="E7" s="11" t="s">
        <v>16</v>
      </c>
      <c r="F7" s="8"/>
    </row>
    <row r="8" ht="21.0" customHeight="1">
      <c r="A8" s="5">
        <v>18.0</v>
      </c>
      <c r="B8" s="6">
        <v>6.0</v>
      </c>
      <c r="C8" s="6">
        <v>1.0</v>
      </c>
      <c r="D8" s="7" t="s">
        <v>17</v>
      </c>
      <c r="E8" s="9" t="s">
        <v>18</v>
      </c>
      <c r="F8" s="8"/>
    </row>
    <row r="9" ht="21.0" customHeight="1">
      <c r="A9" s="5">
        <v>19.0</v>
      </c>
      <c r="B9" s="6">
        <v>8.0</v>
      </c>
      <c r="C9" s="6">
        <v>1.0</v>
      </c>
      <c r="D9" s="7" t="s">
        <v>19</v>
      </c>
      <c r="E9" s="9" t="s">
        <v>20</v>
      </c>
      <c r="F9" s="8"/>
    </row>
    <row r="10" ht="21.0" customHeight="1">
      <c r="A10" s="5">
        <v>1.0</v>
      </c>
      <c r="B10" s="6">
        <v>2.0</v>
      </c>
      <c r="C10" s="6">
        <v>1.0</v>
      </c>
      <c r="D10" s="7" t="s">
        <v>21</v>
      </c>
      <c r="E10" s="9" t="s">
        <v>21</v>
      </c>
      <c r="F10" s="8"/>
    </row>
    <row r="11" ht="21.0" customHeight="1">
      <c r="A11" s="5">
        <v>1.0</v>
      </c>
      <c r="B11" s="6">
        <v>2.0</v>
      </c>
      <c r="C11" s="6">
        <v>1.0</v>
      </c>
      <c r="D11" s="7" t="s">
        <v>22</v>
      </c>
      <c r="E11" s="7" t="s">
        <v>22</v>
      </c>
      <c r="F11" s="8"/>
    </row>
    <row r="12" ht="21.0" customHeight="1">
      <c r="A12" s="5">
        <v>27.0</v>
      </c>
      <c r="B12" s="6">
        <v>11.0</v>
      </c>
      <c r="C12" s="5">
        <v>1.0</v>
      </c>
      <c r="D12" s="7" t="s">
        <v>23</v>
      </c>
      <c r="E12" s="7" t="s">
        <v>24</v>
      </c>
      <c r="F12" s="8"/>
    </row>
    <row r="13" ht="21.0" customHeight="1">
      <c r="A13" s="5">
        <v>31.0</v>
      </c>
      <c r="B13" s="6">
        <v>9.0</v>
      </c>
      <c r="C13" s="5">
        <v>1.0</v>
      </c>
      <c r="D13" s="7" t="s">
        <v>25</v>
      </c>
      <c r="E13" s="7" t="s">
        <v>26</v>
      </c>
      <c r="F13" s="8"/>
    </row>
    <row r="14" ht="21.0" customHeight="1">
      <c r="A14" s="12">
        <v>32.0</v>
      </c>
      <c r="B14" s="13">
        <v>10001.0</v>
      </c>
      <c r="C14" s="12">
        <v>1.0</v>
      </c>
      <c r="D14" s="10" t="s">
        <v>27</v>
      </c>
      <c r="E14" s="10" t="s">
        <v>28</v>
      </c>
      <c r="F14" s="14"/>
    </row>
    <row r="15" ht="21.0" customHeight="1">
      <c r="A15" s="12">
        <v>33.0</v>
      </c>
      <c r="B15" s="13">
        <v>10002.0</v>
      </c>
      <c r="C15" s="12">
        <v>1.0</v>
      </c>
      <c r="D15" s="10" t="s">
        <v>29</v>
      </c>
      <c r="E15" s="10" t="s">
        <v>30</v>
      </c>
      <c r="F15" s="14"/>
    </row>
    <row r="16" ht="21.0" customHeight="1">
      <c r="A16" s="5">
        <v>1.0</v>
      </c>
      <c r="B16" s="6">
        <v>15.0</v>
      </c>
      <c r="C16" s="6">
        <v>1.0</v>
      </c>
      <c r="D16" s="7" t="s">
        <v>31</v>
      </c>
      <c r="E16" s="9" t="s">
        <v>31</v>
      </c>
      <c r="F16" s="8"/>
    </row>
    <row r="17" ht="21.0" customHeight="1">
      <c r="A17" s="12">
        <v>18.0</v>
      </c>
      <c r="B17" s="13">
        <v>6.0</v>
      </c>
      <c r="C17" s="13">
        <v>1.0</v>
      </c>
      <c r="D17" s="10" t="s">
        <v>32</v>
      </c>
      <c r="E17" s="11" t="s">
        <v>33</v>
      </c>
      <c r="F17" s="14"/>
    </row>
    <row r="18" ht="21.0" customHeight="1">
      <c r="A18" s="5">
        <v>35.0</v>
      </c>
      <c r="B18" s="6">
        <v>1.0</v>
      </c>
      <c r="C18" s="5">
        <v>1.0</v>
      </c>
      <c r="D18" s="7" t="s">
        <v>34</v>
      </c>
      <c r="E18" s="7" t="s">
        <v>35</v>
      </c>
      <c r="F18" s="8"/>
    </row>
    <row r="19" ht="21.0" customHeight="1">
      <c r="A19" s="5">
        <v>36.0</v>
      </c>
      <c r="B19" s="6">
        <v>1.0</v>
      </c>
      <c r="C19" s="5">
        <v>1.0</v>
      </c>
      <c r="D19" s="7" t="s">
        <v>36</v>
      </c>
      <c r="E19" s="7" t="s">
        <v>37</v>
      </c>
      <c r="F19" s="8"/>
    </row>
    <row r="20" ht="21.0" customHeight="1">
      <c r="A20" s="5">
        <v>36.0</v>
      </c>
      <c r="B20" s="6">
        <v>1.0</v>
      </c>
      <c r="C20" s="5">
        <v>1.0</v>
      </c>
      <c r="D20" s="7" t="s">
        <v>38</v>
      </c>
      <c r="E20" s="7" t="s">
        <v>37</v>
      </c>
      <c r="F20" s="8"/>
    </row>
    <row r="21" ht="21.0" customHeight="1">
      <c r="A21" s="5">
        <v>36.0</v>
      </c>
      <c r="B21" s="6">
        <v>1.0</v>
      </c>
      <c r="C21" s="5">
        <v>1.0</v>
      </c>
      <c r="D21" s="7" t="s">
        <v>39</v>
      </c>
      <c r="E21" s="7" t="s">
        <v>37</v>
      </c>
      <c r="F21" s="8"/>
    </row>
    <row r="22" ht="21.0" customHeight="1">
      <c r="A22" s="5">
        <v>36.0</v>
      </c>
      <c r="B22" s="6">
        <v>1.0</v>
      </c>
      <c r="C22" s="5">
        <v>1.0</v>
      </c>
      <c r="D22" s="7" t="s">
        <v>40</v>
      </c>
      <c r="E22" s="7" t="s">
        <v>37</v>
      </c>
      <c r="F22" s="8"/>
    </row>
    <row r="23" ht="21.0" customHeight="1">
      <c r="A23" s="5">
        <v>36.0</v>
      </c>
      <c r="B23" s="6">
        <v>1.0</v>
      </c>
      <c r="C23" s="5">
        <v>1.0</v>
      </c>
      <c r="D23" s="7" t="s">
        <v>41</v>
      </c>
      <c r="E23" s="7" t="s">
        <v>37</v>
      </c>
      <c r="F23" s="8"/>
    </row>
    <row r="24" ht="21.0" customHeight="1">
      <c r="A24" s="5">
        <v>36.0</v>
      </c>
      <c r="B24" s="6">
        <v>1.0</v>
      </c>
      <c r="C24" s="5">
        <v>1.0</v>
      </c>
      <c r="D24" s="7" t="s">
        <v>42</v>
      </c>
      <c r="E24" s="7" t="s">
        <v>37</v>
      </c>
      <c r="F24" s="8"/>
    </row>
    <row r="25" ht="21.0" customHeight="1">
      <c r="A25" s="5">
        <v>36.0</v>
      </c>
      <c r="B25" s="6">
        <v>1.0</v>
      </c>
      <c r="C25" s="5">
        <v>1.0</v>
      </c>
      <c r="D25" s="7" t="s">
        <v>43</v>
      </c>
      <c r="E25" s="7" t="s">
        <v>37</v>
      </c>
      <c r="F25" s="8"/>
    </row>
    <row r="26" ht="21.0" customHeight="1">
      <c r="A26" s="5">
        <v>36.0</v>
      </c>
      <c r="B26" s="6">
        <v>1.0</v>
      </c>
      <c r="C26" s="5">
        <v>1.0</v>
      </c>
      <c r="D26" s="7" t="s">
        <v>44</v>
      </c>
      <c r="E26" s="7" t="s">
        <v>37</v>
      </c>
      <c r="F26" s="8"/>
    </row>
    <row r="27" ht="21.0" customHeight="1">
      <c r="A27" s="5">
        <v>36.0</v>
      </c>
      <c r="B27" s="6">
        <v>1.0</v>
      </c>
      <c r="C27" s="5">
        <v>1.0</v>
      </c>
      <c r="D27" s="7" t="s">
        <v>45</v>
      </c>
      <c r="E27" s="7" t="s">
        <v>37</v>
      </c>
      <c r="F27" s="8"/>
    </row>
    <row r="28" ht="21.0" customHeight="1">
      <c r="A28" s="5">
        <v>37.0</v>
      </c>
      <c r="B28" s="6">
        <v>1.0</v>
      </c>
      <c r="C28" s="5">
        <v>1.0</v>
      </c>
      <c r="D28" s="7" t="s">
        <v>46</v>
      </c>
      <c r="E28" s="7" t="s">
        <v>47</v>
      </c>
      <c r="F28" s="8"/>
    </row>
    <row r="29" ht="21.0" customHeight="1">
      <c r="A29" s="5">
        <v>38.0</v>
      </c>
      <c r="B29" s="6">
        <v>1.0</v>
      </c>
      <c r="C29" s="5">
        <v>1.0</v>
      </c>
      <c r="D29" s="7" t="s">
        <v>48</v>
      </c>
      <c r="E29" s="7" t="s">
        <v>49</v>
      </c>
      <c r="F29" s="8"/>
    </row>
    <row r="30" ht="21.0" customHeight="1">
      <c r="A30" s="5">
        <v>38.0</v>
      </c>
      <c r="B30" s="6">
        <v>1.0</v>
      </c>
      <c r="C30" s="5">
        <v>1.0</v>
      </c>
      <c r="D30" s="7" t="s">
        <v>50</v>
      </c>
      <c r="E30" s="7" t="s">
        <v>49</v>
      </c>
      <c r="F30" s="8"/>
    </row>
    <row r="31" ht="21.0" customHeight="1">
      <c r="A31" s="5">
        <v>38.0</v>
      </c>
      <c r="B31" s="6">
        <v>1.0</v>
      </c>
      <c r="C31" s="5">
        <v>1.0</v>
      </c>
      <c r="D31" s="7" t="s">
        <v>51</v>
      </c>
      <c r="E31" s="7" t="s">
        <v>52</v>
      </c>
      <c r="F31" s="8"/>
    </row>
    <row r="32" ht="21.0" customHeight="1">
      <c r="A32" s="5">
        <v>39.0</v>
      </c>
      <c r="B32" s="6">
        <v>7.0</v>
      </c>
      <c r="C32" s="6">
        <v>1.0</v>
      </c>
      <c r="D32" s="7" t="s">
        <v>53</v>
      </c>
      <c r="E32" s="9" t="s">
        <v>54</v>
      </c>
      <c r="F32" s="8"/>
    </row>
    <row r="33" ht="21.0" customHeight="1">
      <c r="A33" s="5">
        <v>40.0</v>
      </c>
      <c r="B33" s="6">
        <v>10032.0</v>
      </c>
      <c r="C33" s="6">
        <v>1.0</v>
      </c>
      <c r="D33" s="10" t="s">
        <v>55</v>
      </c>
      <c r="E33" s="11" t="s">
        <v>56</v>
      </c>
      <c r="F33" s="8"/>
    </row>
    <row r="34" ht="21.0" customHeight="1">
      <c r="A34" s="5">
        <v>39.0</v>
      </c>
      <c r="B34" s="6">
        <v>10017.0</v>
      </c>
      <c r="C34" s="6">
        <v>1.0</v>
      </c>
      <c r="D34" s="7" t="s">
        <v>57</v>
      </c>
      <c r="E34" s="7" t="s">
        <v>58</v>
      </c>
      <c r="F34" s="8"/>
    </row>
    <row r="35" ht="21.0" customHeight="1">
      <c r="A35" s="5">
        <v>42.0</v>
      </c>
      <c r="B35" s="6">
        <v>10018.0</v>
      </c>
      <c r="C35" s="6">
        <v>1.0</v>
      </c>
      <c r="D35" s="7" t="s">
        <v>57</v>
      </c>
      <c r="E35" s="7" t="s">
        <v>59</v>
      </c>
      <c r="F35" s="8"/>
    </row>
    <row r="36" ht="21.0" customHeight="1">
      <c r="A36" s="5">
        <v>39.0</v>
      </c>
      <c r="B36" s="6">
        <v>1.0</v>
      </c>
      <c r="C36" s="6">
        <v>1.0</v>
      </c>
      <c r="D36" s="7" t="s">
        <v>60</v>
      </c>
      <c r="E36" s="7" t="s">
        <v>61</v>
      </c>
      <c r="F36" s="8"/>
    </row>
    <row r="37" ht="21.0" customHeight="1">
      <c r="A37" s="5">
        <v>39.0</v>
      </c>
      <c r="B37" s="6">
        <v>1.0</v>
      </c>
      <c r="C37" s="6">
        <v>1.0</v>
      </c>
      <c r="D37" s="7" t="s">
        <v>62</v>
      </c>
      <c r="E37" s="7" t="s">
        <v>63</v>
      </c>
      <c r="F37" s="8"/>
    </row>
    <row r="38" ht="21.0" customHeight="1">
      <c r="A38" s="5">
        <v>39.0</v>
      </c>
      <c r="B38" s="6">
        <v>1.0</v>
      </c>
      <c r="C38" s="6">
        <v>1.0</v>
      </c>
      <c r="D38" s="7" t="s">
        <v>64</v>
      </c>
      <c r="E38" s="7" t="s">
        <v>65</v>
      </c>
      <c r="F38" s="8"/>
    </row>
    <row r="39" ht="21.0" customHeight="1">
      <c r="A39" s="5">
        <v>39.0</v>
      </c>
      <c r="B39" s="6">
        <v>1.0</v>
      </c>
      <c r="C39" s="6">
        <v>1.0</v>
      </c>
      <c r="D39" s="10" t="s">
        <v>66</v>
      </c>
      <c r="E39" s="10" t="s">
        <v>67</v>
      </c>
      <c r="F39" s="8"/>
    </row>
    <row r="40" ht="21.0" customHeight="1">
      <c r="A40" s="5">
        <v>38.0</v>
      </c>
      <c r="B40" s="6">
        <v>1.0</v>
      </c>
      <c r="C40" s="5">
        <v>1.0</v>
      </c>
      <c r="D40" s="7" t="s">
        <v>68</v>
      </c>
      <c r="E40" s="7" t="s">
        <v>69</v>
      </c>
      <c r="F40" s="8"/>
    </row>
    <row r="41" ht="21.0" customHeight="1">
      <c r="A41" s="5">
        <v>47.0</v>
      </c>
      <c r="B41" s="6">
        <v>1.0</v>
      </c>
      <c r="C41" s="6">
        <v>1.0</v>
      </c>
      <c r="D41" s="10" t="s">
        <v>70</v>
      </c>
      <c r="E41" s="10" t="s">
        <v>71</v>
      </c>
      <c r="F41" s="8"/>
    </row>
    <row r="42" ht="21.0" customHeight="1">
      <c r="A42" s="5">
        <v>39.0</v>
      </c>
      <c r="B42" s="6">
        <v>11.0</v>
      </c>
      <c r="C42" s="5">
        <v>1.0</v>
      </c>
      <c r="D42" s="7" t="s">
        <v>72</v>
      </c>
      <c r="E42" s="7" t="s">
        <v>73</v>
      </c>
      <c r="F42" s="8"/>
    </row>
    <row r="43" ht="21.0" customHeight="1">
      <c r="A43" s="5">
        <v>39.0</v>
      </c>
      <c r="B43" s="6">
        <v>1.0</v>
      </c>
      <c r="C43" s="6">
        <v>1.0</v>
      </c>
      <c r="D43" s="7" t="s">
        <v>74</v>
      </c>
      <c r="E43" s="7" t="s">
        <v>75</v>
      </c>
      <c r="F43" s="8"/>
    </row>
    <row r="44" ht="21.0" customHeight="1">
      <c r="A44" s="5">
        <v>39.0</v>
      </c>
      <c r="B44" s="6">
        <v>1.0</v>
      </c>
      <c r="C44" s="6">
        <v>1.0</v>
      </c>
      <c r="D44" s="10" t="s">
        <v>76</v>
      </c>
      <c r="E44" s="10" t="s">
        <v>77</v>
      </c>
      <c r="F44" s="8"/>
    </row>
    <row r="45" ht="21.0" customHeight="1">
      <c r="A45" s="5">
        <v>39.0</v>
      </c>
      <c r="B45" s="6">
        <v>14001.0</v>
      </c>
      <c r="C45" s="6">
        <v>1.0</v>
      </c>
      <c r="D45" s="10" t="s">
        <v>78</v>
      </c>
      <c r="E45" s="10" t="s">
        <v>79</v>
      </c>
      <c r="F45" s="8"/>
    </row>
    <row r="46" ht="21.0" customHeight="1">
      <c r="A46" s="5">
        <v>39.0</v>
      </c>
      <c r="B46" s="6">
        <v>14002.0</v>
      </c>
      <c r="C46" s="6">
        <v>1.0</v>
      </c>
      <c r="D46" s="10" t="s">
        <v>80</v>
      </c>
      <c r="E46" s="10" t="s">
        <v>81</v>
      </c>
      <c r="F46" s="8"/>
    </row>
    <row r="47" ht="21.0" customHeight="1">
      <c r="A47" s="5">
        <v>39.0</v>
      </c>
      <c r="B47" s="6">
        <v>14003.0</v>
      </c>
      <c r="C47" s="6">
        <v>1.0</v>
      </c>
      <c r="D47" s="10" t="s">
        <v>82</v>
      </c>
      <c r="E47" s="10" t="s">
        <v>83</v>
      </c>
      <c r="F47" s="8"/>
    </row>
    <row r="48" ht="21.0" customHeight="1">
      <c r="A48" s="5">
        <v>39.0</v>
      </c>
      <c r="B48" s="6">
        <v>14004.0</v>
      </c>
      <c r="C48" s="6">
        <v>1.0</v>
      </c>
      <c r="D48" s="10" t="s">
        <v>84</v>
      </c>
      <c r="E48" s="10" t="s">
        <v>85</v>
      </c>
      <c r="F48" s="8"/>
    </row>
    <row r="49" ht="21.0" customHeight="1">
      <c r="A49" s="5">
        <v>39.0</v>
      </c>
      <c r="B49" s="6">
        <v>14005.0</v>
      </c>
      <c r="C49" s="6">
        <v>1.0</v>
      </c>
      <c r="D49" s="10" t="s">
        <v>86</v>
      </c>
      <c r="E49" s="10" t="s">
        <v>87</v>
      </c>
      <c r="F49" s="8"/>
    </row>
    <row r="50" ht="21.0" customHeight="1">
      <c r="A50" s="5">
        <v>39.0</v>
      </c>
      <c r="B50" s="6">
        <v>14006.0</v>
      </c>
      <c r="C50" s="6">
        <v>1.0</v>
      </c>
      <c r="D50" s="10" t="s">
        <v>88</v>
      </c>
      <c r="E50" s="10" t="s">
        <v>89</v>
      </c>
      <c r="F50" s="8"/>
    </row>
    <row r="51" ht="21.0" customHeight="1">
      <c r="A51" s="5">
        <v>39.0</v>
      </c>
      <c r="B51" s="6">
        <v>14007.0</v>
      </c>
      <c r="C51" s="6">
        <v>1.0</v>
      </c>
      <c r="D51" s="10" t="s">
        <v>90</v>
      </c>
      <c r="E51" s="10" t="s">
        <v>91</v>
      </c>
      <c r="F51" s="8"/>
    </row>
    <row r="52" ht="21.0" customHeight="1">
      <c r="A52" s="5">
        <v>39.0</v>
      </c>
      <c r="B52" s="6">
        <v>14008.0</v>
      </c>
      <c r="C52" s="6">
        <v>1.0</v>
      </c>
      <c r="D52" s="10" t="s">
        <v>92</v>
      </c>
      <c r="E52" s="10" t="s">
        <v>93</v>
      </c>
      <c r="F52" s="8"/>
    </row>
    <row r="53" ht="21.0" customHeight="1">
      <c r="A53" s="5">
        <v>39.0</v>
      </c>
      <c r="B53" s="6">
        <v>14009.0</v>
      </c>
      <c r="C53" s="6">
        <v>1.0</v>
      </c>
      <c r="D53" s="10" t="s">
        <v>94</v>
      </c>
      <c r="E53" s="10" t="s">
        <v>95</v>
      </c>
      <c r="F53" s="8"/>
    </row>
    <row r="54" ht="21.0" customHeight="1">
      <c r="A54" s="5">
        <v>39.0</v>
      </c>
      <c r="B54" s="6">
        <v>14010.0</v>
      </c>
      <c r="C54" s="6">
        <v>1.0</v>
      </c>
      <c r="D54" s="10" t="s">
        <v>96</v>
      </c>
      <c r="E54" s="10" t="s">
        <v>97</v>
      </c>
      <c r="F54" s="8"/>
    </row>
    <row r="55" ht="21.0" customHeight="1">
      <c r="A55" s="5">
        <v>39.0</v>
      </c>
      <c r="B55" s="6">
        <v>14101.0</v>
      </c>
      <c r="C55" s="6">
        <v>1.0</v>
      </c>
      <c r="D55" s="10" t="s">
        <v>98</v>
      </c>
      <c r="E55" s="10" t="s">
        <v>99</v>
      </c>
      <c r="F55" s="8"/>
    </row>
    <row r="56" ht="21.0" customHeight="1">
      <c r="A56" s="5">
        <v>39.0</v>
      </c>
      <c r="B56" s="6">
        <v>14102.0</v>
      </c>
      <c r="C56" s="6">
        <v>1.0</v>
      </c>
      <c r="D56" s="10" t="s">
        <v>100</v>
      </c>
      <c r="E56" s="10" t="s">
        <v>101</v>
      </c>
      <c r="F56" s="8"/>
    </row>
    <row r="57" ht="21.0" customHeight="1">
      <c r="A57" s="5">
        <v>39.0</v>
      </c>
      <c r="B57" s="6">
        <v>14103.0</v>
      </c>
      <c r="C57" s="6">
        <v>1.0</v>
      </c>
      <c r="D57" s="10" t="s">
        <v>102</v>
      </c>
      <c r="E57" s="10" t="s">
        <v>103</v>
      </c>
      <c r="F57" s="8"/>
    </row>
    <row r="58" ht="21.0" customHeight="1">
      <c r="A58" s="5">
        <v>39.0</v>
      </c>
      <c r="B58" s="6">
        <v>14201.0</v>
      </c>
      <c r="C58" s="6">
        <v>1.0</v>
      </c>
      <c r="D58" s="10" t="s">
        <v>104</v>
      </c>
      <c r="E58" s="10" t="s">
        <v>105</v>
      </c>
      <c r="F58" s="8"/>
    </row>
    <row r="59" ht="21.0" customHeight="1">
      <c r="A59" s="5">
        <v>39.0</v>
      </c>
      <c r="B59" s="6">
        <v>14202.0</v>
      </c>
      <c r="C59" s="6">
        <v>1.0</v>
      </c>
      <c r="D59" s="10" t="s">
        <v>106</v>
      </c>
      <c r="E59" s="10" t="s">
        <v>107</v>
      </c>
      <c r="F59" s="8"/>
    </row>
    <row r="60" ht="21.0" customHeight="1">
      <c r="A60" s="5">
        <v>39.0</v>
      </c>
      <c r="B60" s="6">
        <v>15001.0</v>
      </c>
      <c r="C60" s="5">
        <v>1.0</v>
      </c>
      <c r="D60" s="7" t="s">
        <v>108</v>
      </c>
      <c r="E60" s="7" t="s">
        <v>109</v>
      </c>
      <c r="F60" s="8"/>
    </row>
    <row r="61" ht="21.0" customHeight="1">
      <c r="A61" s="5">
        <v>39.0</v>
      </c>
      <c r="B61" s="6">
        <v>15002.0</v>
      </c>
      <c r="C61" s="5">
        <v>1.0</v>
      </c>
      <c r="D61" s="9" t="s">
        <v>110</v>
      </c>
      <c r="E61" s="7" t="s">
        <v>111</v>
      </c>
      <c r="F61" s="8"/>
    </row>
    <row r="62" ht="21.0" customHeight="1">
      <c r="A62" s="5">
        <v>39.0</v>
      </c>
      <c r="B62" s="6">
        <v>15003.0</v>
      </c>
      <c r="C62" s="5">
        <v>1.0</v>
      </c>
      <c r="D62" s="9" t="s">
        <v>112</v>
      </c>
      <c r="E62" s="7" t="s">
        <v>113</v>
      </c>
      <c r="F62" s="8"/>
    </row>
    <row r="63" ht="21.0" customHeight="1">
      <c r="A63" s="5">
        <v>39.0</v>
      </c>
      <c r="B63" s="6">
        <v>15004.0</v>
      </c>
      <c r="C63" s="5">
        <v>1.0</v>
      </c>
      <c r="D63" s="9" t="s">
        <v>114</v>
      </c>
      <c r="E63" s="7" t="s">
        <v>115</v>
      </c>
      <c r="F63" s="8"/>
    </row>
    <row r="64" ht="21.0" customHeight="1">
      <c r="A64" s="5">
        <v>39.0</v>
      </c>
      <c r="B64" s="6">
        <v>15005.0</v>
      </c>
      <c r="C64" s="5">
        <v>1.0</v>
      </c>
      <c r="D64" s="7" t="s">
        <v>116</v>
      </c>
      <c r="E64" s="7" t="s">
        <v>117</v>
      </c>
      <c r="F64" s="8"/>
    </row>
    <row r="65" ht="21.0" customHeight="1">
      <c r="A65" s="5">
        <v>39.0</v>
      </c>
      <c r="B65" s="6">
        <v>15006.0</v>
      </c>
      <c r="C65" s="5">
        <v>1.0</v>
      </c>
      <c r="D65" s="7" t="s">
        <v>118</v>
      </c>
      <c r="E65" s="7" t="s">
        <v>119</v>
      </c>
      <c r="F65" s="8"/>
    </row>
    <row r="66" ht="21.0" customHeight="1">
      <c r="A66" s="5">
        <v>42.0</v>
      </c>
      <c r="B66" s="6">
        <v>16001.0</v>
      </c>
      <c r="C66" s="5">
        <v>1.0</v>
      </c>
      <c r="D66" s="7" t="s">
        <v>120</v>
      </c>
      <c r="E66" s="7" t="s">
        <v>121</v>
      </c>
      <c r="F66" s="8"/>
    </row>
    <row r="67" ht="21.0" customHeight="1">
      <c r="A67" s="5">
        <v>42.0</v>
      </c>
      <c r="B67" s="6">
        <v>16001.0</v>
      </c>
      <c r="C67" s="5">
        <v>1.0</v>
      </c>
      <c r="D67" s="7" t="s">
        <v>122</v>
      </c>
      <c r="E67" s="7" t="s">
        <v>123</v>
      </c>
      <c r="F67" s="8"/>
    </row>
    <row r="68" ht="21.0" customHeight="1">
      <c r="A68" s="5">
        <v>42.0</v>
      </c>
      <c r="B68" s="6">
        <v>16001.0</v>
      </c>
      <c r="C68" s="5">
        <v>1.0</v>
      </c>
      <c r="D68" s="7" t="s">
        <v>124</v>
      </c>
      <c r="E68" s="7" t="s">
        <v>125</v>
      </c>
      <c r="F68" s="8"/>
    </row>
    <row r="69" ht="21.0" customHeight="1">
      <c r="A69" s="5">
        <v>42.0</v>
      </c>
      <c r="B69" s="6">
        <v>16001.0</v>
      </c>
      <c r="C69" s="5">
        <v>1.0</v>
      </c>
      <c r="D69" s="7" t="s">
        <v>126</v>
      </c>
      <c r="E69" s="7" t="s">
        <v>127</v>
      </c>
      <c r="F69" s="8"/>
    </row>
    <row r="70" ht="21.0" customHeight="1">
      <c r="A70" s="5">
        <v>42.0</v>
      </c>
      <c r="B70" s="6">
        <v>16003.0</v>
      </c>
      <c r="C70" s="5">
        <v>1.0</v>
      </c>
      <c r="D70" s="7" t="s">
        <v>128</v>
      </c>
      <c r="E70" s="7" t="s">
        <v>129</v>
      </c>
      <c r="F70" s="8"/>
    </row>
    <row r="71" ht="21.0" customHeight="1">
      <c r="A71" s="5">
        <v>42.0</v>
      </c>
      <c r="B71" s="6">
        <v>16004.0</v>
      </c>
      <c r="C71" s="5">
        <v>1.0</v>
      </c>
      <c r="D71" s="7" t="s">
        <v>130</v>
      </c>
      <c r="E71" s="7" t="s">
        <v>131</v>
      </c>
      <c r="F71" s="8"/>
    </row>
    <row r="72" ht="21.0" customHeight="1">
      <c r="A72" s="5">
        <v>42.0</v>
      </c>
      <c r="B72" s="6">
        <v>16005.0</v>
      </c>
      <c r="C72" s="5">
        <v>1.0</v>
      </c>
      <c r="D72" s="7" t="s">
        <v>132</v>
      </c>
      <c r="E72" s="7" t="s">
        <v>133</v>
      </c>
      <c r="F72" s="8"/>
    </row>
    <row r="73" ht="21.0" customHeight="1">
      <c r="A73" s="5">
        <v>42.0</v>
      </c>
      <c r="B73" s="6">
        <v>16006.0</v>
      </c>
      <c r="C73" s="5">
        <v>1.0</v>
      </c>
      <c r="D73" s="7" t="s">
        <v>134</v>
      </c>
      <c r="E73" s="7" t="s">
        <v>135</v>
      </c>
      <c r="F73" s="8"/>
    </row>
    <row r="74" ht="21.0" customHeight="1">
      <c r="A74" s="5">
        <v>39.0</v>
      </c>
      <c r="B74" s="6">
        <v>1.0</v>
      </c>
      <c r="C74" s="5">
        <v>1.0</v>
      </c>
      <c r="D74" s="7" t="s">
        <v>136</v>
      </c>
      <c r="E74" s="7" t="s">
        <v>137</v>
      </c>
      <c r="F74" s="8"/>
    </row>
    <row r="75" ht="21.0" customHeight="1">
      <c r="A75" s="5">
        <v>39.0</v>
      </c>
      <c r="B75" s="6">
        <v>1.0</v>
      </c>
      <c r="C75" s="5">
        <v>1.0</v>
      </c>
      <c r="D75" s="7" t="s">
        <v>138</v>
      </c>
      <c r="E75" s="7" t="s">
        <v>137</v>
      </c>
      <c r="F75" s="8"/>
    </row>
    <row r="76" ht="21.0" customHeight="1">
      <c r="A76" s="5">
        <v>39.0</v>
      </c>
      <c r="B76" s="6">
        <v>1.0</v>
      </c>
      <c r="C76" s="5">
        <v>1.0</v>
      </c>
      <c r="D76" s="7" t="s">
        <v>139</v>
      </c>
      <c r="E76" s="7" t="s">
        <v>137</v>
      </c>
      <c r="F76" s="8"/>
    </row>
    <row r="77" ht="21.0" customHeight="1">
      <c r="A77" s="5">
        <v>39.0</v>
      </c>
      <c r="B77" s="6">
        <v>1.0</v>
      </c>
      <c r="C77" s="5">
        <v>1.0</v>
      </c>
      <c r="D77" s="7" t="s">
        <v>140</v>
      </c>
      <c r="E77" s="7" t="s">
        <v>137</v>
      </c>
      <c r="F77" s="8"/>
    </row>
    <row r="78" ht="21.0" customHeight="1">
      <c r="A78" s="5">
        <v>39.0</v>
      </c>
      <c r="B78" s="6">
        <v>1.0</v>
      </c>
      <c r="C78" s="5">
        <v>1.0</v>
      </c>
      <c r="D78" s="7" t="s">
        <v>141</v>
      </c>
      <c r="E78" s="7" t="s">
        <v>137</v>
      </c>
      <c r="F78" s="8"/>
    </row>
    <row r="79" ht="21.0" customHeight="1">
      <c r="A79" s="5">
        <v>16.0</v>
      </c>
      <c r="B79" s="6">
        <v>10.0</v>
      </c>
      <c r="C79" s="5">
        <v>1.0</v>
      </c>
      <c r="D79" s="7" t="s">
        <v>142</v>
      </c>
      <c r="E79" s="7" t="s">
        <v>143</v>
      </c>
      <c r="F79" s="8"/>
    </row>
    <row r="80" ht="21.0" customHeight="1">
      <c r="A80" s="5">
        <v>16.0</v>
      </c>
      <c r="B80" s="6">
        <v>11.0</v>
      </c>
      <c r="C80" s="6">
        <v>1.0</v>
      </c>
      <c r="D80" s="7" t="s">
        <v>144</v>
      </c>
      <c r="E80" s="9" t="s">
        <v>145</v>
      </c>
      <c r="F80" s="8"/>
    </row>
    <row r="81" ht="21.0" customHeight="1">
      <c r="A81" s="5">
        <v>16.0</v>
      </c>
      <c r="B81" s="6">
        <v>12.0</v>
      </c>
      <c r="C81" s="5">
        <v>1.0</v>
      </c>
      <c r="D81" s="7" t="s">
        <v>146</v>
      </c>
      <c r="E81" s="7" t="s">
        <v>147</v>
      </c>
      <c r="F81" s="8"/>
    </row>
    <row r="82" ht="21.0" customHeight="1">
      <c r="A82" s="5">
        <v>16.0</v>
      </c>
      <c r="B82" s="6">
        <v>13.0</v>
      </c>
      <c r="C82" s="6">
        <v>1.0</v>
      </c>
      <c r="D82" s="7" t="s">
        <v>148</v>
      </c>
      <c r="E82" s="9" t="s">
        <v>149</v>
      </c>
      <c r="F82" s="8"/>
    </row>
    <row r="83" ht="21.0" customHeight="1">
      <c r="A83" s="5">
        <v>16.0</v>
      </c>
      <c r="B83" s="6">
        <v>14.0</v>
      </c>
      <c r="C83" s="5">
        <v>1.0</v>
      </c>
      <c r="D83" s="7" t="s">
        <v>150</v>
      </c>
      <c r="E83" s="7" t="s">
        <v>151</v>
      </c>
      <c r="F83" s="8"/>
    </row>
    <row r="84" ht="21.0" customHeight="1">
      <c r="A84" s="5">
        <v>16.0</v>
      </c>
      <c r="B84" s="6">
        <v>15.0</v>
      </c>
      <c r="C84" s="6">
        <v>1.0</v>
      </c>
      <c r="D84" s="7" t="s">
        <v>152</v>
      </c>
      <c r="E84" s="9" t="s">
        <v>153</v>
      </c>
      <c r="F84" s="8"/>
    </row>
    <row r="85" ht="21.0" customHeight="1">
      <c r="A85" s="5">
        <v>16.0</v>
      </c>
      <c r="B85" s="6">
        <v>16.0</v>
      </c>
      <c r="C85" s="5">
        <v>1.0</v>
      </c>
      <c r="D85" s="7" t="s">
        <v>154</v>
      </c>
      <c r="E85" s="7" t="s">
        <v>155</v>
      </c>
      <c r="F85" s="8"/>
    </row>
    <row r="86" ht="21.0" customHeight="1">
      <c r="A86" s="5">
        <v>16.0</v>
      </c>
      <c r="B86" s="6">
        <v>17.0</v>
      </c>
      <c r="C86" s="6">
        <v>1.0</v>
      </c>
      <c r="D86" s="7" t="s">
        <v>156</v>
      </c>
      <c r="E86" s="9" t="s">
        <v>157</v>
      </c>
      <c r="F86" s="8"/>
    </row>
    <row r="87" ht="21.0" customHeight="1">
      <c r="A87" s="5">
        <v>16.0</v>
      </c>
      <c r="B87" s="6">
        <v>18.0</v>
      </c>
      <c r="C87" s="5">
        <v>1.0</v>
      </c>
      <c r="D87" s="7" t="s">
        <v>158</v>
      </c>
      <c r="E87" s="7" t="s">
        <v>159</v>
      </c>
      <c r="F87" s="8"/>
    </row>
    <row r="88" ht="21.0" customHeight="1">
      <c r="A88" s="5">
        <v>16.0</v>
      </c>
      <c r="B88" s="6">
        <v>19.0</v>
      </c>
      <c r="C88" s="6">
        <v>1.0</v>
      </c>
      <c r="D88" s="7" t="s">
        <v>160</v>
      </c>
      <c r="E88" s="9" t="s">
        <v>161</v>
      </c>
      <c r="F88" s="8"/>
    </row>
    <row r="89" ht="21.0" customHeight="1">
      <c r="A89" s="5">
        <v>16.0</v>
      </c>
      <c r="B89" s="6">
        <v>20.0</v>
      </c>
      <c r="C89" s="5">
        <v>1.0</v>
      </c>
      <c r="D89" s="15" t="s">
        <v>162</v>
      </c>
      <c r="E89" s="7" t="s">
        <v>163</v>
      </c>
      <c r="F89" s="8"/>
    </row>
    <row r="90" ht="21.0" customHeight="1">
      <c r="A90" s="5">
        <v>16.0</v>
      </c>
      <c r="B90" s="6">
        <v>21.0</v>
      </c>
      <c r="C90" s="5">
        <v>1.0</v>
      </c>
      <c r="D90" s="15" t="s">
        <v>164</v>
      </c>
      <c r="E90" s="7" t="s">
        <v>165</v>
      </c>
      <c r="F90" s="8"/>
    </row>
    <row r="91" ht="21.0" customHeight="1">
      <c r="A91" s="5">
        <v>16.0</v>
      </c>
      <c r="B91" s="6">
        <v>22.0</v>
      </c>
      <c r="C91" s="5">
        <v>1.0</v>
      </c>
      <c r="D91" s="15" t="s">
        <v>166</v>
      </c>
      <c r="E91" s="7" t="s">
        <v>167</v>
      </c>
      <c r="F91" s="8"/>
    </row>
    <row r="92" ht="21.0" customHeight="1">
      <c r="A92" s="5">
        <v>16.0</v>
      </c>
      <c r="B92" s="6">
        <v>23.0</v>
      </c>
      <c r="C92" s="5">
        <v>1.0</v>
      </c>
      <c r="D92" s="7" t="s">
        <v>168</v>
      </c>
      <c r="E92" s="7" t="s">
        <v>169</v>
      </c>
      <c r="F92" s="8"/>
    </row>
    <row r="93" ht="21.0" customHeight="1">
      <c r="A93" s="5">
        <v>16.0</v>
      </c>
      <c r="B93" s="6">
        <v>24.0</v>
      </c>
      <c r="C93" s="5">
        <v>1.0</v>
      </c>
      <c r="D93" s="7" t="s">
        <v>170</v>
      </c>
      <c r="E93" s="7" t="s">
        <v>171</v>
      </c>
      <c r="F93" s="8"/>
    </row>
    <row r="94" ht="21.0" customHeight="1">
      <c r="A94" s="5">
        <v>16.0</v>
      </c>
      <c r="B94" s="6">
        <v>25.0</v>
      </c>
      <c r="C94" s="6">
        <v>1.0</v>
      </c>
      <c r="D94" s="16" t="s">
        <v>172</v>
      </c>
      <c r="E94" s="9" t="s">
        <v>173</v>
      </c>
      <c r="F94" s="8"/>
    </row>
    <row r="95" ht="21.0" customHeight="1">
      <c r="A95" s="5">
        <v>16.0</v>
      </c>
      <c r="B95" s="6">
        <v>26.0</v>
      </c>
      <c r="C95" s="6">
        <v>1.0</v>
      </c>
      <c r="D95" s="16" t="s">
        <v>174</v>
      </c>
      <c r="E95" s="9" t="s">
        <v>175</v>
      </c>
      <c r="F95" s="8"/>
    </row>
    <row r="96" ht="21.0" customHeight="1">
      <c r="A96" s="5">
        <v>16.0</v>
      </c>
      <c r="B96" s="6">
        <v>27.0</v>
      </c>
      <c r="C96" s="6">
        <v>1.0</v>
      </c>
      <c r="D96" s="16" t="s">
        <v>176</v>
      </c>
      <c r="E96" s="9" t="s">
        <v>177</v>
      </c>
      <c r="F96" s="8"/>
    </row>
    <row r="97" ht="21.0" customHeight="1">
      <c r="A97" s="5">
        <v>16.0</v>
      </c>
      <c r="B97" s="6">
        <v>28.0</v>
      </c>
      <c r="C97" s="6">
        <v>1.0</v>
      </c>
      <c r="D97" s="16" t="s">
        <v>178</v>
      </c>
      <c r="E97" s="9" t="s">
        <v>179</v>
      </c>
      <c r="F97" s="8"/>
    </row>
    <row r="98" ht="21.0" customHeight="1">
      <c r="A98" s="5">
        <v>16.0</v>
      </c>
      <c r="B98" s="6">
        <v>29.0</v>
      </c>
      <c r="C98" s="6">
        <v>1.0</v>
      </c>
      <c r="D98" s="16" t="s">
        <v>180</v>
      </c>
      <c r="E98" s="9" t="s">
        <v>181</v>
      </c>
      <c r="F98" s="8"/>
    </row>
    <row r="99" ht="21.0" customHeight="1">
      <c r="A99" s="5">
        <v>16.0</v>
      </c>
      <c r="B99" s="6">
        <v>30.0</v>
      </c>
      <c r="C99" s="6">
        <v>1.0</v>
      </c>
      <c r="D99" s="16" t="s">
        <v>182</v>
      </c>
      <c r="E99" s="9" t="s">
        <v>183</v>
      </c>
      <c r="F99" s="8"/>
    </row>
    <row r="100" ht="21.0" customHeight="1">
      <c r="A100" s="5">
        <v>16.0</v>
      </c>
      <c r="B100" s="6">
        <v>31.0</v>
      </c>
      <c r="C100" s="6">
        <v>1.0</v>
      </c>
      <c r="D100" s="16" t="s">
        <v>184</v>
      </c>
      <c r="E100" s="9" t="s">
        <v>185</v>
      </c>
      <c r="F100" s="8"/>
    </row>
    <row r="101" ht="21.0" customHeight="1">
      <c r="A101" s="5">
        <v>16.0</v>
      </c>
      <c r="B101" s="6">
        <v>32.0</v>
      </c>
      <c r="C101" s="6">
        <v>1.0</v>
      </c>
      <c r="D101" s="16" t="s">
        <v>186</v>
      </c>
      <c r="E101" s="9" t="s">
        <v>187</v>
      </c>
      <c r="F101" s="8"/>
    </row>
    <row r="102" ht="21.0" customHeight="1">
      <c r="A102" s="5">
        <v>16.0</v>
      </c>
      <c r="B102" s="6">
        <v>33.0</v>
      </c>
      <c r="C102" s="6">
        <v>1.0</v>
      </c>
      <c r="D102" s="16" t="s">
        <v>188</v>
      </c>
      <c r="E102" s="9" t="s">
        <v>189</v>
      </c>
      <c r="F102" s="8"/>
    </row>
    <row r="103" ht="21.0" customHeight="1">
      <c r="A103" s="5">
        <v>16.0</v>
      </c>
      <c r="B103" s="6">
        <v>34.0</v>
      </c>
      <c r="C103" s="6">
        <v>1.0</v>
      </c>
      <c r="D103" s="16" t="s">
        <v>190</v>
      </c>
      <c r="E103" s="9" t="s">
        <v>191</v>
      </c>
      <c r="F103" s="8"/>
    </row>
    <row r="104" ht="21.0" customHeight="1">
      <c r="A104" s="5">
        <v>16.0</v>
      </c>
      <c r="B104" s="6">
        <v>35.0</v>
      </c>
      <c r="C104" s="6">
        <v>1.0</v>
      </c>
      <c r="D104" s="16" t="s">
        <v>192</v>
      </c>
      <c r="E104" s="9" t="s">
        <v>193</v>
      </c>
      <c r="F104" s="8"/>
    </row>
    <row r="105" ht="21.0" customHeight="1">
      <c r="A105" s="5">
        <v>16.0</v>
      </c>
      <c r="B105" s="6">
        <v>36.0</v>
      </c>
      <c r="C105" s="6">
        <v>1.0</v>
      </c>
      <c r="D105" s="16" t="s">
        <v>194</v>
      </c>
      <c r="E105" s="9" t="s">
        <v>195</v>
      </c>
      <c r="F105" s="8"/>
    </row>
    <row r="106" ht="21.0" customHeight="1">
      <c r="A106" s="5">
        <v>16.0</v>
      </c>
      <c r="B106" s="6">
        <v>37.0</v>
      </c>
      <c r="C106" s="6">
        <v>1.0</v>
      </c>
      <c r="D106" s="16" t="s">
        <v>196</v>
      </c>
      <c r="E106" s="9" t="s">
        <v>197</v>
      </c>
      <c r="F106" s="8"/>
    </row>
    <row r="107" ht="21.0" customHeight="1">
      <c r="A107" s="5">
        <v>16.0</v>
      </c>
      <c r="B107" s="6">
        <v>38.0</v>
      </c>
      <c r="C107" s="6">
        <v>1.0</v>
      </c>
      <c r="D107" s="16" t="s">
        <v>198</v>
      </c>
      <c r="E107" s="9" t="s">
        <v>199</v>
      </c>
      <c r="F107" s="8"/>
    </row>
    <row r="108" ht="21.0" customHeight="1">
      <c r="A108" s="5">
        <v>16.0</v>
      </c>
      <c r="B108" s="6">
        <v>39.0</v>
      </c>
      <c r="C108" s="6">
        <v>1.0</v>
      </c>
      <c r="D108" s="16" t="s">
        <v>200</v>
      </c>
      <c r="E108" s="9" t="s">
        <v>201</v>
      </c>
      <c r="F108" s="8"/>
    </row>
    <row r="109" ht="21.0" customHeight="1">
      <c r="A109" s="5">
        <v>16.0</v>
      </c>
      <c r="B109" s="6">
        <v>40.0</v>
      </c>
      <c r="C109" s="6">
        <v>1.0</v>
      </c>
      <c r="D109" s="16" t="s">
        <v>202</v>
      </c>
      <c r="E109" s="9" t="s">
        <v>203</v>
      </c>
      <c r="F109" s="8"/>
    </row>
    <row r="110" ht="21.0" customHeight="1">
      <c r="A110" s="5">
        <v>16.0</v>
      </c>
      <c r="B110" s="6">
        <v>41.0</v>
      </c>
      <c r="C110" s="6">
        <v>1.0</v>
      </c>
      <c r="D110" s="16" t="s">
        <v>204</v>
      </c>
      <c r="E110" s="9" t="s">
        <v>205</v>
      </c>
      <c r="F110" s="8"/>
    </row>
    <row r="111" ht="21.0" customHeight="1">
      <c r="A111" s="5">
        <v>16.0</v>
      </c>
      <c r="B111" s="6">
        <v>42.0</v>
      </c>
      <c r="C111" s="6">
        <v>1.0</v>
      </c>
      <c r="D111" s="11" t="s">
        <v>206</v>
      </c>
      <c r="E111" s="9" t="s">
        <v>207</v>
      </c>
      <c r="F111" s="8"/>
    </row>
    <row r="112" ht="21.0" customHeight="1">
      <c r="A112" s="5">
        <v>16.0</v>
      </c>
      <c r="B112" s="6">
        <v>43.0</v>
      </c>
      <c r="C112" s="6">
        <v>1.0</v>
      </c>
      <c r="D112" s="11" t="s">
        <v>208</v>
      </c>
      <c r="E112" s="9" t="s">
        <v>209</v>
      </c>
      <c r="F112" s="8"/>
    </row>
    <row r="113" ht="21.0" customHeight="1">
      <c r="A113" s="5">
        <v>16.0</v>
      </c>
      <c r="B113" s="6">
        <v>44.0</v>
      </c>
      <c r="C113" s="6">
        <v>1.0</v>
      </c>
      <c r="D113" s="11" t="s">
        <v>210</v>
      </c>
      <c r="E113" s="9" t="s">
        <v>211</v>
      </c>
      <c r="F113" s="8"/>
    </row>
    <row r="114" ht="21.0" customHeight="1">
      <c r="A114" s="5">
        <v>16.0</v>
      </c>
      <c r="B114" s="6">
        <v>45.0</v>
      </c>
      <c r="C114" s="6">
        <v>1.0</v>
      </c>
      <c r="D114" s="11" t="s">
        <v>212</v>
      </c>
      <c r="E114" s="9" t="s">
        <v>213</v>
      </c>
      <c r="F114" s="8"/>
    </row>
    <row r="115" ht="21.0" customHeight="1">
      <c r="A115" s="5">
        <v>16.0</v>
      </c>
      <c r="B115" s="6">
        <v>46.0</v>
      </c>
      <c r="C115" s="6">
        <v>1.0</v>
      </c>
      <c r="D115" s="11" t="s">
        <v>214</v>
      </c>
      <c r="E115" s="9" t="s">
        <v>215</v>
      </c>
      <c r="F115" s="8"/>
    </row>
    <row r="116" ht="21.0" customHeight="1">
      <c r="A116" s="5">
        <v>16.0</v>
      </c>
      <c r="B116" s="6">
        <v>47.0</v>
      </c>
      <c r="C116" s="6">
        <v>1.0</v>
      </c>
      <c r="D116" s="7" t="s">
        <v>216</v>
      </c>
      <c r="E116" s="9" t="s">
        <v>217</v>
      </c>
      <c r="F116" s="8"/>
    </row>
    <row r="117" ht="21.0" customHeight="1">
      <c r="A117" s="5">
        <v>16.0</v>
      </c>
      <c r="B117" s="6">
        <v>48.0</v>
      </c>
      <c r="C117" s="6">
        <v>1.0</v>
      </c>
      <c r="D117" s="7" t="s">
        <v>218</v>
      </c>
      <c r="E117" s="9" t="s">
        <v>219</v>
      </c>
      <c r="F117" s="8"/>
    </row>
    <row r="118" ht="21.0" customHeight="1">
      <c r="A118" s="5">
        <v>16.0</v>
      </c>
      <c r="B118" s="6">
        <v>49.0</v>
      </c>
      <c r="C118" s="6">
        <v>1.0</v>
      </c>
      <c r="D118" s="7" t="s">
        <v>220</v>
      </c>
      <c r="E118" s="9" t="s">
        <v>221</v>
      </c>
      <c r="F118" s="8"/>
    </row>
    <row r="119" ht="21.0" customHeight="1">
      <c r="A119" s="5">
        <v>16.0</v>
      </c>
      <c r="B119" s="6">
        <v>50.0</v>
      </c>
      <c r="C119" s="6">
        <v>1.0</v>
      </c>
      <c r="D119" s="7" t="s">
        <v>222</v>
      </c>
      <c r="E119" s="9" t="s">
        <v>223</v>
      </c>
      <c r="F119" s="8"/>
    </row>
    <row r="120" ht="21.0" customHeight="1">
      <c r="A120" s="5">
        <v>16.0</v>
      </c>
      <c r="B120" s="6">
        <v>51.0</v>
      </c>
      <c r="C120" s="6">
        <v>1.0</v>
      </c>
      <c r="D120" s="7" t="s">
        <v>224</v>
      </c>
      <c r="E120" s="9" t="s">
        <v>225</v>
      </c>
      <c r="F120" s="8"/>
    </row>
    <row r="121" ht="21.0" customHeight="1">
      <c r="A121" s="5">
        <v>16.0</v>
      </c>
      <c r="B121" s="6">
        <v>52.0</v>
      </c>
      <c r="C121" s="6">
        <v>1.0</v>
      </c>
      <c r="D121" s="7" t="s">
        <v>226</v>
      </c>
      <c r="E121" s="9" t="s">
        <v>227</v>
      </c>
      <c r="F121" s="8"/>
    </row>
    <row r="122" ht="21.0" customHeight="1">
      <c r="A122" s="5">
        <v>16.0</v>
      </c>
      <c r="B122" s="6">
        <v>53.0</v>
      </c>
      <c r="C122" s="6">
        <v>1.0</v>
      </c>
      <c r="D122" s="7" t="s">
        <v>228</v>
      </c>
      <c r="E122" s="9" t="s">
        <v>229</v>
      </c>
      <c r="F122" s="8"/>
    </row>
    <row r="123" ht="21.0" customHeight="1">
      <c r="A123" s="5">
        <v>16.0</v>
      </c>
      <c r="B123" s="6">
        <v>54.0</v>
      </c>
      <c r="C123" s="6">
        <v>1.0</v>
      </c>
      <c r="D123" s="7" t="s">
        <v>230</v>
      </c>
      <c r="E123" s="9" t="s">
        <v>231</v>
      </c>
      <c r="F123" s="8"/>
    </row>
    <row r="124" ht="21.0" customHeight="1">
      <c r="A124" s="5">
        <v>16.0</v>
      </c>
      <c r="B124" s="6">
        <v>55.0</v>
      </c>
      <c r="C124" s="6">
        <v>1.0</v>
      </c>
      <c r="D124" s="7" t="s">
        <v>232</v>
      </c>
      <c r="E124" s="9" t="s">
        <v>233</v>
      </c>
      <c r="F124" s="8"/>
    </row>
    <row r="125" ht="21.0" customHeight="1">
      <c r="A125" s="5">
        <v>16.0</v>
      </c>
      <c r="B125" s="6">
        <v>56.0</v>
      </c>
      <c r="C125" s="6">
        <v>1.0</v>
      </c>
      <c r="D125" s="7" t="s">
        <v>234</v>
      </c>
      <c r="E125" s="9" t="s">
        <v>235</v>
      </c>
      <c r="F125" s="8"/>
    </row>
    <row r="126" ht="21.0" customHeight="1">
      <c r="A126" s="5">
        <v>16.0</v>
      </c>
      <c r="B126" s="6">
        <v>57.0</v>
      </c>
      <c r="C126" s="6">
        <v>1.0</v>
      </c>
      <c r="D126" s="7" t="s">
        <v>236</v>
      </c>
      <c r="E126" s="9" t="s">
        <v>237</v>
      </c>
      <c r="F126" s="8"/>
    </row>
    <row r="127" ht="21.0" customHeight="1">
      <c r="A127" s="5">
        <v>16.0</v>
      </c>
      <c r="B127" s="6">
        <v>58.0</v>
      </c>
      <c r="C127" s="6">
        <v>1.0</v>
      </c>
      <c r="D127" s="7" t="s">
        <v>238</v>
      </c>
      <c r="E127" s="9" t="s">
        <v>239</v>
      </c>
      <c r="F127" s="8"/>
    </row>
    <row r="128" ht="21.0" customHeight="1">
      <c r="A128" s="5">
        <v>16.0</v>
      </c>
      <c r="B128" s="6">
        <v>59.0</v>
      </c>
      <c r="C128" s="6">
        <v>1.0</v>
      </c>
      <c r="D128" s="7" t="s">
        <v>240</v>
      </c>
      <c r="E128" s="9" t="s">
        <v>241</v>
      </c>
      <c r="F128" s="8"/>
    </row>
    <row r="129" ht="21.0" customHeight="1">
      <c r="A129" s="5">
        <v>16.0</v>
      </c>
      <c r="B129" s="6">
        <v>60.0</v>
      </c>
      <c r="C129" s="6">
        <v>1.0</v>
      </c>
      <c r="D129" s="7" t="s">
        <v>242</v>
      </c>
      <c r="E129" s="9" t="s">
        <v>243</v>
      </c>
      <c r="F129" s="8"/>
    </row>
    <row r="130" ht="21.0" customHeight="1">
      <c r="A130" s="5">
        <v>16.0</v>
      </c>
      <c r="B130" s="6">
        <v>61.0</v>
      </c>
      <c r="C130" s="6">
        <v>1.0</v>
      </c>
      <c r="D130" s="7" t="s">
        <v>244</v>
      </c>
      <c r="E130" s="9" t="s">
        <v>245</v>
      </c>
      <c r="F130" s="8"/>
    </row>
    <row r="131" ht="21.0" customHeight="1">
      <c r="A131" s="5">
        <v>16.0</v>
      </c>
      <c r="B131" s="6">
        <v>62.0</v>
      </c>
      <c r="C131" s="6">
        <v>1.0</v>
      </c>
      <c r="D131" s="7" t="s">
        <v>246</v>
      </c>
      <c r="E131" s="9" t="s">
        <v>247</v>
      </c>
      <c r="F131" s="8"/>
    </row>
    <row r="132" ht="21.0" customHeight="1">
      <c r="A132" s="5">
        <v>16.0</v>
      </c>
      <c r="B132" s="6">
        <v>63.0</v>
      </c>
      <c r="C132" s="6">
        <v>1.0</v>
      </c>
      <c r="D132" s="7" t="s">
        <v>248</v>
      </c>
      <c r="E132" s="9" t="s">
        <v>249</v>
      </c>
      <c r="F132" s="8"/>
    </row>
    <row r="133" ht="21.0" customHeight="1">
      <c r="A133" s="5">
        <v>16.0</v>
      </c>
      <c r="B133" s="6">
        <v>64.0</v>
      </c>
      <c r="C133" s="6">
        <v>1.0</v>
      </c>
      <c r="D133" s="7" t="s">
        <v>250</v>
      </c>
      <c r="E133" s="9" t="s">
        <v>251</v>
      </c>
      <c r="F133" s="8"/>
    </row>
    <row r="134" ht="21.0" customHeight="1">
      <c r="A134" s="5">
        <v>16.0</v>
      </c>
      <c r="B134" s="6">
        <v>65.0</v>
      </c>
      <c r="C134" s="6">
        <v>1.0</v>
      </c>
      <c r="D134" s="7" t="s">
        <v>252</v>
      </c>
      <c r="E134" s="9" t="s">
        <v>253</v>
      </c>
      <c r="F134" s="8"/>
    </row>
    <row r="135" ht="21.0" customHeight="1">
      <c r="A135" s="5">
        <v>16.0</v>
      </c>
      <c r="B135" s="6">
        <v>66.0</v>
      </c>
      <c r="C135" s="6">
        <v>1.0</v>
      </c>
      <c r="D135" s="7" t="s">
        <v>254</v>
      </c>
      <c r="E135" s="9" t="s">
        <v>255</v>
      </c>
      <c r="F135" s="8"/>
    </row>
    <row r="136" ht="21.0" customHeight="1">
      <c r="A136" s="5">
        <v>16.0</v>
      </c>
      <c r="B136" s="6">
        <v>67.0</v>
      </c>
      <c r="C136" s="6">
        <v>1.0</v>
      </c>
      <c r="D136" s="7" t="s">
        <v>256</v>
      </c>
      <c r="E136" s="9" t="s">
        <v>257</v>
      </c>
      <c r="F136" s="8"/>
    </row>
    <row r="137" ht="21.0" customHeight="1">
      <c r="A137" s="5">
        <v>16.0</v>
      </c>
      <c r="B137" s="6">
        <v>68.0</v>
      </c>
      <c r="C137" s="6">
        <v>1.0</v>
      </c>
      <c r="D137" s="7" t="s">
        <v>258</v>
      </c>
      <c r="E137" s="9" t="s">
        <v>259</v>
      </c>
      <c r="F137" s="8"/>
    </row>
    <row r="138" ht="21.0" customHeight="1">
      <c r="A138" s="5">
        <v>16.0</v>
      </c>
      <c r="B138" s="6">
        <v>69.0</v>
      </c>
      <c r="C138" s="6">
        <v>1.0</v>
      </c>
      <c r="D138" s="7" t="s">
        <v>260</v>
      </c>
      <c r="E138" s="9" t="s">
        <v>261</v>
      </c>
      <c r="F138" s="8"/>
    </row>
    <row r="139" ht="21.0" customHeight="1">
      <c r="A139" s="5">
        <v>16.0</v>
      </c>
      <c r="B139" s="6">
        <v>70.0</v>
      </c>
      <c r="C139" s="6">
        <v>1.0</v>
      </c>
      <c r="D139" s="7" t="s">
        <v>262</v>
      </c>
      <c r="E139" s="9" t="s">
        <v>263</v>
      </c>
      <c r="F139" s="8"/>
    </row>
    <row r="140" ht="21.0" customHeight="1">
      <c r="A140" s="5">
        <v>16.0</v>
      </c>
      <c r="B140" s="6">
        <v>71.0</v>
      </c>
      <c r="C140" s="6">
        <v>1.0</v>
      </c>
      <c r="D140" s="7" t="s">
        <v>264</v>
      </c>
      <c r="E140" s="9" t="s">
        <v>265</v>
      </c>
      <c r="F140" s="8"/>
    </row>
    <row r="141" ht="21.0" customHeight="1">
      <c r="A141" s="5">
        <v>16.0</v>
      </c>
      <c r="B141" s="6">
        <v>72.0</v>
      </c>
      <c r="C141" s="6">
        <v>1.0</v>
      </c>
      <c r="D141" s="7" t="s">
        <v>266</v>
      </c>
      <c r="E141" s="9" t="s">
        <v>267</v>
      </c>
      <c r="F141" s="8"/>
    </row>
    <row r="142" ht="21.0" customHeight="1">
      <c r="A142" s="5">
        <v>16.0</v>
      </c>
      <c r="B142" s="6">
        <v>73.0</v>
      </c>
      <c r="C142" s="6">
        <v>1.0</v>
      </c>
      <c r="D142" s="7" t="s">
        <v>268</v>
      </c>
      <c r="E142" s="9" t="s">
        <v>269</v>
      </c>
      <c r="F142" s="8"/>
    </row>
    <row r="143" ht="21.0" customHeight="1">
      <c r="A143" s="5">
        <v>16.0</v>
      </c>
      <c r="B143" s="6">
        <v>74.0</v>
      </c>
      <c r="C143" s="6">
        <v>1.0</v>
      </c>
      <c r="D143" s="7" t="s">
        <v>270</v>
      </c>
      <c r="E143" s="9" t="s">
        <v>271</v>
      </c>
      <c r="F143" s="8"/>
    </row>
    <row r="144" ht="21.0" customHeight="1">
      <c r="A144" s="5">
        <v>16.0</v>
      </c>
      <c r="B144" s="6">
        <v>75.0</v>
      </c>
      <c r="C144" s="6">
        <v>1.0</v>
      </c>
      <c r="D144" s="7" t="s">
        <v>272</v>
      </c>
      <c r="E144" s="9" t="s">
        <v>273</v>
      </c>
      <c r="F144" s="8"/>
    </row>
    <row r="145" ht="21.0" customHeight="1">
      <c r="A145" s="5">
        <v>16.0</v>
      </c>
      <c r="B145" s="6">
        <v>76.0</v>
      </c>
      <c r="C145" s="6">
        <v>1.0</v>
      </c>
      <c r="D145" s="7" t="s">
        <v>274</v>
      </c>
      <c r="E145" s="9" t="s">
        <v>275</v>
      </c>
      <c r="F145" s="8"/>
    </row>
    <row r="146" ht="21.0" customHeight="1">
      <c r="A146" s="5">
        <v>16.0</v>
      </c>
      <c r="B146" s="6">
        <v>77.0</v>
      </c>
      <c r="C146" s="6">
        <v>1.0</v>
      </c>
      <c r="D146" s="7" t="s">
        <v>276</v>
      </c>
      <c r="E146" s="9" t="s">
        <v>277</v>
      </c>
      <c r="F146" s="8"/>
    </row>
    <row r="147" ht="21.0" customHeight="1">
      <c r="A147" s="5">
        <v>16.0</v>
      </c>
      <c r="B147" s="6">
        <v>78.0</v>
      </c>
      <c r="C147" s="6">
        <v>1.0</v>
      </c>
      <c r="D147" s="7" t="s">
        <v>278</v>
      </c>
      <c r="E147" s="9" t="s">
        <v>279</v>
      </c>
      <c r="F147" s="8"/>
    </row>
    <row r="148" ht="21.0" customHeight="1">
      <c r="A148" s="5">
        <v>16.0</v>
      </c>
      <c r="B148" s="6">
        <v>79.0</v>
      </c>
      <c r="C148" s="6">
        <v>1.0</v>
      </c>
      <c r="D148" s="7" t="s">
        <v>280</v>
      </c>
      <c r="E148" s="9" t="s">
        <v>281</v>
      </c>
      <c r="F148" s="8"/>
    </row>
    <row r="149" ht="21.0" customHeight="1">
      <c r="A149" s="5">
        <v>16.0</v>
      </c>
      <c r="B149" s="6">
        <v>80.0</v>
      </c>
      <c r="C149" s="6">
        <v>1.0</v>
      </c>
      <c r="D149" s="7" t="s">
        <v>282</v>
      </c>
      <c r="E149" s="9" t="s">
        <v>283</v>
      </c>
      <c r="F149" s="8"/>
    </row>
    <row r="150" ht="21.0" customHeight="1">
      <c r="A150" s="5">
        <v>16.0</v>
      </c>
      <c r="B150" s="6">
        <v>81.0</v>
      </c>
      <c r="C150" s="6">
        <v>1.0</v>
      </c>
      <c r="D150" s="7" t="s">
        <v>284</v>
      </c>
      <c r="E150" s="9" t="s">
        <v>285</v>
      </c>
      <c r="F150" s="8"/>
    </row>
    <row r="151" ht="21.0" customHeight="1">
      <c r="A151" s="17">
        <v>16.0</v>
      </c>
      <c r="B151" s="18">
        <v>82.0</v>
      </c>
      <c r="C151" s="18">
        <v>1.0</v>
      </c>
      <c r="D151" s="19" t="s">
        <v>286</v>
      </c>
      <c r="E151" s="19" t="s">
        <v>287</v>
      </c>
      <c r="F151" s="20"/>
    </row>
    <row r="152" ht="21.0" customHeight="1">
      <c r="A152" s="17">
        <v>16.0</v>
      </c>
      <c r="B152" s="18">
        <v>83.0</v>
      </c>
      <c r="C152" s="18">
        <v>1.0</v>
      </c>
      <c r="D152" s="21" t="s">
        <v>288</v>
      </c>
      <c r="E152" s="19" t="s">
        <v>289</v>
      </c>
      <c r="F152" s="20"/>
    </row>
    <row r="153" ht="21.0" customHeight="1">
      <c r="A153" s="17">
        <v>16.0</v>
      </c>
      <c r="B153" s="18">
        <v>84.0</v>
      </c>
      <c r="C153" s="18">
        <v>1.0</v>
      </c>
      <c r="D153" s="19" t="s">
        <v>290</v>
      </c>
      <c r="E153" s="19" t="s">
        <v>291</v>
      </c>
      <c r="F153" s="20"/>
    </row>
    <row r="154" ht="21.0" customHeight="1">
      <c r="A154" s="17">
        <v>16.0</v>
      </c>
      <c r="B154" s="18">
        <v>85.0</v>
      </c>
      <c r="C154" s="18">
        <v>1.0</v>
      </c>
      <c r="D154" s="22" t="s">
        <v>292</v>
      </c>
      <c r="E154" s="19" t="s">
        <v>293</v>
      </c>
      <c r="F154" s="20"/>
    </row>
    <row r="155" ht="21.0" customHeight="1">
      <c r="A155" s="17">
        <v>16.0</v>
      </c>
      <c r="B155" s="18">
        <v>86.0</v>
      </c>
      <c r="C155" s="18">
        <v>1.0</v>
      </c>
      <c r="D155" s="22" t="s">
        <v>294</v>
      </c>
      <c r="E155" s="19" t="s">
        <v>295</v>
      </c>
      <c r="F155" s="20"/>
    </row>
    <row r="156" ht="21.0" customHeight="1">
      <c r="A156" s="5">
        <v>16.0</v>
      </c>
      <c r="B156" s="6">
        <v>87.0</v>
      </c>
      <c r="C156" s="6">
        <v>1.0</v>
      </c>
      <c r="D156" s="7" t="s">
        <v>296</v>
      </c>
      <c r="E156" s="9" t="s">
        <v>297</v>
      </c>
      <c r="F156" s="8"/>
    </row>
    <row r="157" ht="21.0" customHeight="1">
      <c r="A157" s="5">
        <v>16.0</v>
      </c>
      <c r="B157" s="6">
        <v>88.0</v>
      </c>
      <c r="C157" s="6">
        <v>1.0</v>
      </c>
      <c r="D157" s="7" t="s">
        <v>298</v>
      </c>
      <c r="E157" s="9" t="s">
        <v>299</v>
      </c>
      <c r="F157" s="8"/>
    </row>
    <row r="158" ht="21.0" customHeight="1">
      <c r="A158" s="5">
        <v>16.0</v>
      </c>
      <c r="B158" s="6">
        <v>89.0</v>
      </c>
      <c r="C158" s="6">
        <v>1.0</v>
      </c>
      <c r="D158" s="7" t="s">
        <v>300</v>
      </c>
      <c r="E158" s="9" t="s">
        <v>301</v>
      </c>
      <c r="F158" s="8"/>
    </row>
    <row r="159" ht="21.0" customHeight="1">
      <c r="A159" s="5">
        <v>16.0</v>
      </c>
      <c r="B159" s="6">
        <v>90.0</v>
      </c>
      <c r="C159" s="6">
        <v>1.0</v>
      </c>
      <c r="D159" s="7" t="s">
        <v>302</v>
      </c>
      <c r="E159" s="9" t="s">
        <v>303</v>
      </c>
      <c r="F159" s="8"/>
    </row>
    <row r="160" ht="21.0" customHeight="1">
      <c r="A160" s="5">
        <v>16.0</v>
      </c>
      <c r="B160" s="6">
        <v>91.0</v>
      </c>
      <c r="C160" s="6">
        <v>1.0</v>
      </c>
      <c r="D160" s="7" t="s">
        <v>304</v>
      </c>
      <c r="E160" s="9" t="s">
        <v>305</v>
      </c>
      <c r="F160" s="8"/>
    </row>
    <row r="161" ht="21.0" customHeight="1">
      <c r="A161" s="5">
        <v>16.0</v>
      </c>
      <c r="B161" s="6">
        <v>92.0</v>
      </c>
      <c r="C161" s="6">
        <v>1.0</v>
      </c>
      <c r="D161" s="23" t="s">
        <v>306</v>
      </c>
      <c r="E161" s="9" t="s">
        <v>307</v>
      </c>
      <c r="F161" s="8"/>
    </row>
    <row r="162" ht="21.0" customHeight="1">
      <c r="A162" s="5">
        <v>16.0</v>
      </c>
      <c r="B162" s="6">
        <v>93.0</v>
      </c>
      <c r="C162" s="6">
        <v>1.0</v>
      </c>
      <c r="D162" s="23" t="s">
        <v>308</v>
      </c>
      <c r="E162" s="9" t="s">
        <v>309</v>
      </c>
      <c r="F162" s="8"/>
    </row>
    <row r="163" ht="21.0" customHeight="1">
      <c r="A163" s="5">
        <v>16.0</v>
      </c>
      <c r="B163" s="6">
        <v>1.0</v>
      </c>
      <c r="C163" s="6">
        <v>1.0</v>
      </c>
      <c r="D163" s="7" t="s">
        <v>310</v>
      </c>
      <c r="E163" s="9" t="s">
        <v>311</v>
      </c>
      <c r="F163" s="8"/>
    </row>
    <row r="164" ht="21.0" customHeight="1">
      <c r="A164" s="5">
        <v>16.0</v>
      </c>
      <c r="B164" s="6">
        <v>1.0</v>
      </c>
      <c r="C164" s="6">
        <v>1.0</v>
      </c>
      <c r="D164" s="7" t="s">
        <v>312</v>
      </c>
      <c r="E164" s="9" t="s">
        <v>313</v>
      </c>
      <c r="F164" s="8"/>
    </row>
    <row r="165" ht="21.0" customHeight="1">
      <c r="A165" s="5">
        <v>16.0</v>
      </c>
      <c r="B165" s="6">
        <v>1.0</v>
      </c>
      <c r="C165" s="6">
        <v>1.0</v>
      </c>
      <c r="D165" s="7" t="s">
        <v>314</v>
      </c>
      <c r="E165" s="9" t="s">
        <v>315</v>
      </c>
      <c r="F165" s="8"/>
    </row>
    <row r="166" ht="21.0" customHeight="1">
      <c r="A166" s="5">
        <v>5.0</v>
      </c>
      <c r="B166" s="6">
        <v>532.0</v>
      </c>
      <c r="C166" s="6">
        <v>1.0</v>
      </c>
      <c r="D166" s="16" t="s">
        <v>316</v>
      </c>
      <c r="E166" s="9" t="s">
        <v>317</v>
      </c>
      <c r="F166" s="8"/>
    </row>
    <row r="167" ht="21.0" customHeight="1">
      <c r="A167" s="5">
        <v>5.0</v>
      </c>
      <c r="B167" s="6">
        <v>532.0</v>
      </c>
      <c r="C167" s="6">
        <v>1.0</v>
      </c>
      <c r="D167" s="16" t="s">
        <v>318</v>
      </c>
      <c r="E167" s="9" t="s">
        <v>319</v>
      </c>
      <c r="F167" s="8"/>
    </row>
    <row r="168" ht="21.0" customHeight="1">
      <c r="A168" s="5">
        <v>5.0</v>
      </c>
      <c r="B168" s="6">
        <v>532.0</v>
      </c>
      <c r="C168" s="6">
        <v>1.0</v>
      </c>
      <c r="D168" s="16" t="s">
        <v>320</v>
      </c>
      <c r="E168" s="9" t="s">
        <v>321</v>
      </c>
      <c r="F168" s="8"/>
    </row>
    <row r="169" ht="21.0" customHeight="1">
      <c r="A169" s="12">
        <v>5.0</v>
      </c>
      <c r="B169" s="13">
        <v>532.0</v>
      </c>
      <c r="C169" s="13">
        <v>1.0</v>
      </c>
      <c r="D169" s="10" t="s">
        <v>322</v>
      </c>
      <c r="E169" s="11" t="s">
        <v>323</v>
      </c>
      <c r="F169" s="14"/>
    </row>
    <row r="170" ht="21.0" customHeight="1">
      <c r="A170" s="24">
        <v>20.0</v>
      </c>
      <c r="B170" s="25">
        <v>532.0</v>
      </c>
      <c r="C170" s="25">
        <v>1.0</v>
      </c>
      <c r="D170" s="26" t="s">
        <v>324</v>
      </c>
      <c r="E170" s="11" t="s">
        <v>325</v>
      </c>
      <c r="F170" s="27"/>
    </row>
    <row r="171" ht="21.0" customHeight="1">
      <c r="A171" s="24">
        <v>20.0</v>
      </c>
      <c r="B171" s="25">
        <v>532.0</v>
      </c>
      <c r="C171" s="25">
        <v>1.0</v>
      </c>
      <c r="D171" s="26" t="s">
        <v>326</v>
      </c>
      <c r="E171" s="11" t="s">
        <v>325</v>
      </c>
      <c r="F171" s="27"/>
    </row>
    <row r="172" ht="21.0" customHeight="1">
      <c r="A172" s="24">
        <v>20.0</v>
      </c>
      <c r="B172" s="25">
        <v>532.0</v>
      </c>
      <c r="C172" s="25">
        <v>1.0</v>
      </c>
      <c r="D172" s="26" t="s">
        <v>318</v>
      </c>
      <c r="E172" s="11" t="s">
        <v>325</v>
      </c>
      <c r="F172" s="27"/>
    </row>
    <row r="173" ht="21.0" customHeight="1">
      <c r="A173" s="24">
        <v>20.0</v>
      </c>
      <c r="B173" s="25">
        <v>532.0</v>
      </c>
      <c r="C173" s="25">
        <v>1.0</v>
      </c>
      <c r="D173" s="26" t="s">
        <v>327</v>
      </c>
      <c r="E173" s="11" t="s">
        <v>325</v>
      </c>
      <c r="F173" s="27"/>
    </row>
    <row r="174" ht="21.0" customHeight="1">
      <c r="A174" s="5">
        <v>5.0</v>
      </c>
      <c r="B174" s="6">
        <v>532.0</v>
      </c>
      <c r="C174" s="6">
        <v>1.0</v>
      </c>
      <c r="D174" s="16" t="s">
        <v>328</v>
      </c>
      <c r="E174" s="9" t="s">
        <v>329</v>
      </c>
      <c r="F174" s="8"/>
    </row>
    <row r="175" ht="21.0" customHeight="1">
      <c r="A175" s="24">
        <v>20.0</v>
      </c>
      <c r="B175" s="25">
        <v>532.0</v>
      </c>
      <c r="C175" s="25">
        <v>1.0</v>
      </c>
      <c r="D175" s="26" t="s">
        <v>324</v>
      </c>
      <c r="E175" s="11" t="s">
        <v>325</v>
      </c>
      <c r="F175" s="27"/>
    </row>
    <row r="176" ht="21.0" customHeight="1">
      <c r="A176" s="24">
        <v>20.0</v>
      </c>
      <c r="B176" s="25">
        <v>532.0</v>
      </c>
      <c r="C176" s="25">
        <v>1.0</v>
      </c>
      <c r="D176" s="26" t="s">
        <v>326</v>
      </c>
      <c r="E176" s="11" t="s">
        <v>325</v>
      </c>
      <c r="F176" s="27"/>
    </row>
    <row r="177" ht="21.0" customHeight="1">
      <c r="A177" s="24">
        <v>20.0</v>
      </c>
      <c r="B177" s="25">
        <v>532.0</v>
      </c>
      <c r="C177" s="25">
        <v>1.0</v>
      </c>
      <c r="D177" s="26" t="s">
        <v>318</v>
      </c>
      <c r="E177" s="11" t="s">
        <v>325</v>
      </c>
      <c r="F177" s="27"/>
    </row>
    <row r="178" ht="21.0" customHeight="1">
      <c r="A178" s="24">
        <v>20.0</v>
      </c>
      <c r="B178" s="25">
        <v>532.0</v>
      </c>
      <c r="C178" s="25">
        <v>1.0</v>
      </c>
      <c r="D178" s="26" t="s">
        <v>327</v>
      </c>
      <c r="E178" s="11" t="s">
        <v>325</v>
      </c>
      <c r="F178" s="27"/>
    </row>
    <row r="179" ht="21.0" customHeight="1">
      <c r="A179" s="24">
        <v>14.0</v>
      </c>
      <c r="B179" s="25">
        <v>1.0</v>
      </c>
      <c r="C179" s="25">
        <v>1.0</v>
      </c>
      <c r="D179" s="26" t="s">
        <v>330</v>
      </c>
      <c r="E179" s="11" t="s">
        <v>331</v>
      </c>
      <c r="F179" s="27"/>
    </row>
    <row r="180" ht="21.0" customHeight="1">
      <c r="A180" s="24">
        <v>14.0</v>
      </c>
      <c r="B180" s="25">
        <v>1.0</v>
      </c>
      <c r="C180" s="25">
        <v>1.0</v>
      </c>
      <c r="D180" s="26" t="s">
        <v>332</v>
      </c>
      <c r="E180" s="11" t="s">
        <v>333</v>
      </c>
      <c r="F180" s="27"/>
    </row>
    <row r="181" ht="21.0" customHeight="1">
      <c r="A181" s="24">
        <v>14.0</v>
      </c>
      <c r="B181" s="25">
        <v>1.0</v>
      </c>
      <c r="C181" s="25">
        <v>1.0</v>
      </c>
      <c r="D181" s="26" t="s">
        <v>334</v>
      </c>
      <c r="E181" s="11" t="s">
        <v>335</v>
      </c>
      <c r="F181" s="27"/>
    </row>
    <row r="182" ht="21.0" customHeight="1">
      <c r="A182" s="5">
        <v>1.0</v>
      </c>
      <c r="B182" s="6">
        <v>103.0</v>
      </c>
      <c r="C182" s="6">
        <v>1.0</v>
      </c>
      <c r="D182" s="7" t="s">
        <v>336</v>
      </c>
      <c r="E182" s="9" t="s">
        <v>337</v>
      </c>
      <c r="F182" s="8"/>
    </row>
    <row r="183" ht="21.0" customHeight="1">
      <c r="A183" s="5">
        <v>1.0</v>
      </c>
      <c r="B183" s="6">
        <v>103.0</v>
      </c>
      <c r="C183" s="6">
        <v>2.0</v>
      </c>
      <c r="D183" s="7" t="s">
        <v>338</v>
      </c>
      <c r="E183" s="9" t="s">
        <v>339</v>
      </c>
      <c r="F183" s="8"/>
    </row>
    <row r="184" ht="21.0" customHeight="1">
      <c r="A184" s="5">
        <v>1.0</v>
      </c>
      <c r="B184" s="6">
        <v>103.0</v>
      </c>
      <c r="C184" s="6">
        <v>3.0</v>
      </c>
      <c r="D184" s="7" t="s">
        <v>340</v>
      </c>
      <c r="E184" s="9" t="s">
        <v>341</v>
      </c>
      <c r="F184" s="8"/>
    </row>
    <row r="185" ht="21.0" customHeight="1">
      <c r="A185" s="5">
        <v>1.0</v>
      </c>
      <c r="B185" s="6">
        <v>103.0</v>
      </c>
      <c r="C185" s="6">
        <v>4.0</v>
      </c>
      <c r="D185" s="7" t="s">
        <v>342</v>
      </c>
      <c r="E185" s="9" t="s">
        <v>343</v>
      </c>
      <c r="F185" s="8"/>
    </row>
    <row r="186" ht="21.0" customHeight="1">
      <c r="A186" s="5">
        <v>1.0</v>
      </c>
      <c r="B186" s="6">
        <v>103.0</v>
      </c>
      <c r="C186" s="6">
        <v>5.0</v>
      </c>
      <c r="D186" s="7" t="s">
        <v>345</v>
      </c>
      <c r="E186" s="9" t="s">
        <v>346</v>
      </c>
      <c r="F186" s="8"/>
    </row>
    <row r="187" ht="21.0" customHeight="1">
      <c r="A187" s="5">
        <v>1.0</v>
      </c>
      <c r="B187" s="6">
        <v>103.0</v>
      </c>
      <c r="C187" s="6">
        <v>6.0</v>
      </c>
      <c r="D187" s="7" t="s">
        <v>347</v>
      </c>
      <c r="E187" s="9" t="s">
        <v>348</v>
      </c>
      <c r="F187" s="8"/>
    </row>
    <row r="188" ht="21.0" customHeight="1">
      <c r="A188" s="28">
        <v>1.0</v>
      </c>
      <c r="B188" s="29">
        <v>103.0</v>
      </c>
      <c r="C188" s="6">
        <v>7.0</v>
      </c>
      <c r="D188" s="7" t="s">
        <v>349</v>
      </c>
      <c r="E188" s="9" t="s">
        <v>350</v>
      </c>
      <c r="F188" s="8"/>
    </row>
    <row r="189" ht="21.0" customHeight="1">
      <c r="A189" s="28">
        <v>1.0</v>
      </c>
      <c r="B189" s="29">
        <v>103.0</v>
      </c>
      <c r="C189" s="6">
        <v>8.0</v>
      </c>
      <c r="D189" s="7" t="s">
        <v>351</v>
      </c>
      <c r="E189" s="9" t="s">
        <v>352</v>
      </c>
      <c r="F189" s="8"/>
    </row>
    <row r="190" ht="21.0" customHeight="1">
      <c r="A190" s="28">
        <v>1.0</v>
      </c>
      <c r="B190" s="29">
        <v>103.0</v>
      </c>
      <c r="C190" s="6">
        <v>9.0</v>
      </c>
      <c r="D190" s="7" t="s">
        <v>353</v>
      </c>
      <c r="E190" s="9" t="s">
        <v>354</v>
      </c>
      <c r="F190" s="8"/>
    </row>
    <row r="191" ht="21.0" customHeight="1">
      <c r="A191" s="28">
        <v>1.0</v>
      </c>
      <c r="B191" s="29">
        <v>103.0</v>
      </c>
      <c r="C191" s="6">
        <v>10.0</v>
      </c>
      <c r="D191" s="7" t="s">
        <v>355</v>
      </c>
      <c r="E191" s="9" t="s">
        <v>356</v>
      </c>
      <c r="F191" s="8"/>
    </row>
    <row r="192" ht="21.0" customHeight="1">
      <c r="A192" s="5">
        <v>1.0</v>
      </c>
      <c r="B192" s="6">
        <v>103.0</v>
      </c>
      <c r="C192" s="6">
        <v>11.0</v>
      </c>
      <c r="D192" s="7" t="s">
        <v>357</v>
      </c>
      <c r="E192" s="9" t="s">
        <v>358</v>
      </c>
      <c r="F192" s="8"/>
    </row>
    <row r="193" ht="21.0" customHeight="1">
      <c r="A193" s="5">
        <v>13.0</v>
      </c>
      <c r="B193" s="6">
        <v>103.0</v>
      </c>
      <c r="C193" s="6">
        <v>12.0</v>
      </c>
      <c r="D193" s="7" t="s">
        <v>359</v>
      </c>
      <c r="E193" s="9" t="s">
        <v>360</v>
      </c>
      <c r="F193" s="8"/>
    </row>
    <row r="194" ht="21.0" customHeight="1">
      <c r="A194" s="5">
        <v>1.0</v>
      </c>
      <c r="B194" s="6">
        <v>104.0</v>
      </c>
      <c r="C194" s="6">
        <v>1.0</v>
      </c>
      <c r="D194" s="9" t="s">
        <v>361</v>
      </c>
      <c r="E194" s="9" t="s">
        <v>362</v>
      </c>
      <c r="F194" s="8"/>
    </row>
    <row r="195" ht="21.0" customHeight="1">
      <c r="A195" s="5">
        <v>1.0</v>
      </c>
      <c r="B195" s="6">
        <v>104.0</v>
      </c>
      <c r="C195" s="6">
        <v>2.0</v>
      </c>
      <c r="D195" s="9" t="s">
        <v>363</v>
      </c>
      <c r="E195" s="9" t="s">
        <v>364</v>
      </c>
      <c r="F195" s="8"/>
    </row>
    <row r="196" ht="21.0" customHeight="1">
      <c r="A196" s="5">
        <v>1.0</v>
      </c>
      <c r="B196" s="6">
        <v>104.0</v>
      </c>
      <c r="C196" s="6">
        <v>3.0</v>
      </c>
      <c r="D196" s="7" t="s">
        <v>365</v>
      </c>
      <c r="E196" s="9" t="s">
        <v>366</v>
      </c>
      <c r="F196" s="8"/>
    </row>
    <row r="197" ht="21.0" customHeight="1">
      <c r="A197" s="5">
        <v>1.0</v>
      </c>
      <c r="B197" s="6">
        <v>104.0</v>
      </c>
      <c r="C197" s="6">
        <v>4.0</v>
      </c>
      <c r="D197" s="7" t="s">
        <v>367</v>
      </c>
      <c r="E197" s="9" t="s">
        <v>368</v>
      </c>
      <c r="F197" s="8"/>
    </row>
    <row r="198" ht="21.0" customHeight="1">
      <c r="A198" s="5">
        <v>1.0</v>
      </c>
      <c r="B198" s="6">
        <v>104.0</v>
      </c>
      <c r="C198" s="6">
        <v>5.0</v>
      </c>
      <c r="D198" s="7" t="s">
        <v>369</v>
      </c>
      <c r="E198" s="9" t="s">
        <v>370</v>
      </c>
      <c r="F198" s="8"/>
    </row>
    <row r="199" ht="21.0" customHeight="1">
      <c r="A199" s="5">
        <v>1.0</v>
      </c>
      <c r="B199" s="6">
        <v>104.0</v>
      </c>
      <c r="C199" s="6">
        <v>6.0</v>
      </c>
      <c r="D199" s="7" t="s">
        <v>371</v>
      </c>
      <c r="E199" s="9" t="s">
        <v>372</v>
      </c>
      <c r="F199" s="8"/>
    </row>
    <row r="200" ht="21.0" customHeight="1">
      <c r="A200" s="5">
        <v>1.0</v>
      </c>
      <c r="B200" s="6">
        <v>104.0</v>
      </c>
      <c r="C200" s="6">
        <v>7.0</v>
      </c>
      <c r="D200" s="7" t="s">
        <v>373</v>
      </c>
      <c r="E200" s="9" t="s">
        <v>374</v>
      </c>
      <c r="F200" s="8"/>
    </row>
    <row r="201" ht="21.0" customHeight="1">
      <c r="A201" s="5">
        <v>1.0</v>
      </c>
      <c r="B201" s="6">
        <v>104.0</v>
      </c>
      <c r="C201" s="6">
        <v>8.0</v>
      </c>
      <c r="D201" s="7" t="s">
        <v>375</v>
      </c>
      <c r="E201" s="9" t="s">
        <v>376</v>
      </c>
      <c r="F201" s="8"/>
    </row>
    <row r="202" ht="21.0" customHeight="1">
      <c r="A202" s="5">
        <v>1.0</v>
      </c>
      <c r="B202" s="6">
        <v>104.0</v>
      </c>
      <c r="C202" s="6">
        <v>9.0</v>
      </c>
      <c r="D202" s="7" t="s">
        <v>377</v>
      </c>
      <c r="E202" s="9" t="s">
        <v>378</v>
      </c>
      <c r="F202" s="8"/>
    </row>
    <row r="203" ht="21.0" customHeight="1">
      <c r="A203" s="5">
        <v>1.0</v>
      </c>
      <c r="B203" s="6">
        <v>104.0</v>
      </c>
      <c r="C203" s="6">
        <v>10.0</v>
      </c>
      <c r="D203" s="7" t="s">
        <v>379</v>
      </c>
      <c r="E203" s="9" t="s">
        <v>380</v>
      </c>
      <c r="F203" s="8"/>
    </row>
    <row r="204" ht="21.0" customHeight="1">
      <c r="A204" s="5">
        <v>1.0</v>
      </c>
      <c r="B204" s="6">
        <v>105.0</v>
      </c>
      <c r="C204" s="6">
        <v>1.0</v>
      </c>
      <c r="D204" s="7" t="s">
        <v>381</v>
      </c>
      <c r="E204" s="9" t="s">
        <v>382</v>
      </c>
      <c r="F204" s="8"/>
    </row>
    <row r="205" ht="21.0" customHeight="1">
      <c r="A205" s="5">
        <v>1.0</v>
      </c>
      <c r="B205" s="6">
        <v>105.0</v>
      </c>
      <c r="C205" s="6">
        <v>2.0</v>
      </c>
      <c r="D205" s="7" t="s">
        <v>383</v>
      </c>
      <c r="E205" s="9" t="s">
        <v>384</v>
      </c>
      <c r="F205" s="8"/>
    </row>
    <row r="206" ht="21.0" customHeight="1">
      <c r="A206" s="5">
        <v>1.0</v>
      </c>
      <c r="B206" s="6">
        <v>105.0</v>
      </c>
      <c r="C206" s="6">
        <v>3.0</v>
      </c>
      <c r="D206" s="7" t="s">
        <v>385</v>
      </c>
      <c r="E206" s="9" t="s">
        <v>386</v>
      </c>
      <c r="F206" s="8"/>
    </row>
    <row r="207" ht="21.0" customHeight="1">
      <c r="A207" s="5">
        <v>1.0</v>
      </c>
      <c r="B207" s="6">
        <v>105.0</v>
      </c>
      <c r="C207" s="6">
        <v>4.0</v>
      </c>
      <c r="D207" s="7" t="s">
        <v>387</v>
      </c>
      <c r="E207" s="9" t="s">
        <v>388</v>
      </c>
      <c r="F207" s="8"/>
    </row>
    <row r="208" ht="21.0" customHeight="1">
      <c r="A208" s="5">
        <v>1.0</v>
      </c>
      <c r="B208" s="6">
        <v>105.0</v>
      </c>
      <c r="C208" s="6">
        <v>5.0</v>
      </c>
      <c r="D208" s="9" t="s">
        <v>389</v>
      </c>
      <c r="E208" s="9" t="s">
        <v>390</v>
      </c>
      <c r="F208" s="8"/>
    </row>
    <row r="209" ht="21.0" customHeight="1">
      <c r="A209" s="5">
        <v>1.0</v>
      </c>
      <c r="B209" s="6">
        <v>105.0</v>
      </c>
      <c r="C209" s="6">
        <v>6.0</v>
      </c>
      <c r="D209" s="7" t="s">
        <v>391</v>
      </c>
      <c r="E209" s="9" t="s">
        <v>392</v>
      </c>
      <c r="F209" s="8"/>
    </row>
    <row r="210" ht="21.0" customHeight="1">
      <c r="A210" s="5">
        <v>1.0</v>
      </c>
      <c r="B210" s="6">
        <v>105.0</v>
      </c>
      <c r="C210" s="6">
        <v>7.0</v>
      </c>
      <c r="D210" s="7" t="s">
        <v>393</v>
      </c>
      <c r="E210" s="7" t="s">
        <v>394</v>
      </c>
      <c r="F210" s="8"/>
    </row>
    <row r="211" ht="21.0" customHeight="1">
      <c r="A211" s="5">
        <v>1.0</v>
      </c>
      <c r="B211" s="6">
        <v>105.0</v>
      </c>
      <c r="C211" s="6">
        <v>8.0</v>
      </c>
      <c r="D211" s="7" t="s">
        <v>395</v>
      </c>
      <c r="E211" s="7" t="s">
        <v>396</v>
      </c>
      <c r="F211" s="8"/>
    </row>
    <row r="212" ht="21.0" customHeight="1">
      <c r="A212" s="5">
        <v>1.0</v>
      </c>
      <c r="B212" s="6">
        <v>105.0</v>
      </c>
      <c r="C212" s="6">
        <v>9.0</v>
      </c>
      <c r="D212" s="7" t="s">
        <v>397</v>
      </c>
      <c r="E212" s="7" t="s">
        <v>398</v>
      </c>
      <c r="F212" s="8"/>
    </row>
    <row r="213" ht="21.0" customHeight="1">
      <c r="A213" s="5">
        <v>1.0</v>
      </c>
      <c r="B213" s="6">
        <v>105.0</v>
      </c>
      <c r="C213" s="6">
        <v>10.0</v>
      </c>
      <c r="D213" s="7" t="s">
        <v>399</v>
      </c>
      <c r="E213" s="7" t="s">
        <v>400</v>
      </c>
      <c r="F213" s="8"/>
    </row>
    <row r="214" ht="21.0" customHeight="1">
      <c r="A214" s="5">
        <v>1.0</v>
      </c>
      <c r="B214" s="6">
        <v>102.0</v>
      </c>
      <c r="C214" s="6">
        <v>1.0</v>
      </c>
      <c r="D214" s="7" t="s">
        <v>401</v>
      </c>
      <c r="E214" s="7" t="s">
        <v>402</v>
      </c>
      <c r="F214" s="8"/>
    </row>
    <row r="215" ht="21.0" customHeight="1">
      <c r="A215" s="5">
        <v>1.0</v>
      </c>
      <c r="B215" s="6">
        <v>102.0</v>
      </c>
      <c r="C215" s="6">
        <v>2.0</v>
      </c>
      <c r="D215" s="7" t="s">
        <v>403</v>
      </c>
      <c r="E215" s="7" t="s">
        <v>404</v>
      </c>
      <c r="F215" s="8"/>
    </row>
    <row r="216" ht="21.0" customHeight="1">
      <c r="A216" s="5">
        <v>1.0</v>
      </c>
      <c r="B216" s="6">
        <v>102.0</v>
      </c>
      <c r="C216" s="6">
        <v>3.0</v>
      </c>
      <c r="D216" s="7" t="s">
        <v>405</v>
      </c>
      <c r="E216" s="9" t="s">
        <v>406</v>
      </c>
      <c r="F216" s="8"/>
    </row>
    <row r="217" ht="21.0" customHeight="1">
      <c r="A217" s="5">
        <v>1.0</v>
      </c>
      <c r="B217" s="6">
        <v>102.0</v>
      </c>
      <c r="C217" s="6">
        <v>4.0</v>
      </c>
      <c r="D217" s="7" t="s">
        <v>407</v>
      </c>
      <c r="E217" s="9" t="s">
        <v>408</v>
      </c>
      <c r="F217" s="8"/>
    </row>
    <row r="218" ht="21.0" customHeight="1">
      <c r="A218" s="5">
        <v>1.0</v>
      </c>
      <c r="B218" s="6">
        <v>102.0</v>
      </c>
      <c r="C218" s="6">
        <v>5.0</v>
      </c>
      <c r="D218" s="7" t="s">
        <v>409</v>
      </c>
      <c r="E218" s="9" t="s">
        <v>410</v>
      </c>
      <c r="F218" s="8"/>
    </row>
    <row r="219" ht="21.0" customHeight="1">
      <c r="A219" s="5">
        <v>1.0</v>
      </c>
      <c r="B219" s="6">
        <v>102.0</v>
      </c>
      <c r="C219" s="6">
        <v>6.0</v>
      </c>
      <c r="D219" s="7" t="s">
        <v>411</v>
      </c>
      <c r="E219" s="9" t="s">
        <v>412</v>
      </c>
      <c r="F219" s="8"/>
    </row>
    <row r="220" ht="21.0" customHeight="1">
      <c r="A220" s="5">
        <v>1.0</v>
      </c>
      <c r="B220" s="6">
        <v>102.0</v>
      </c>
      <c r="C220" s="6">
        <v>7.0</v>
      </c>
      <c r="D220" s="7" t="s">
        <v>413</v>
      </c>
      <c r="E220" s="9" t="s">
        <v>414</v>
      </c>
      <c r="F220" s="8"/>
    </row>
    <row r="221" ht="21.0" customHeight="1">
      <c r="A221" s="5">
        <v>1.0</v>
      </c>
      <c r="B221" s="6">
        <v>102.0</v>
      </c>
      <c r="C221" s="6">
        <v>8.0</v>
      </c>
      <c r="D221" s="7" t="s">
        <v>415</v>
      </c>
      <c r="E221" s="9" t="s">
        <v>416</v>
      </c>
      <c r="F221" s="8"/>
    </row>
    <row r="222" ht="21.0" customHeight="1">
      <c r="A222" s="5">
        <v>1.0</v>
      </c>
      <c r="B222" s="6">
        <v>102.0</v>
      </c>
      <c r="C222" s="6">
        <v>9.0</v>
      </c>
      <c r="D222" s="7" t="s">
        <v>417</v>
      </c>
      <c r="E222" s="9" t="s">
        <v>418</v>
      </c>
      <c r="F222" s="8"/>
    </row>
    <row r="223" ht="21.0" customHeight="1">
      <c r="A223" s="5">
        <v>1.0</v>
      </c>
      <c r="B223" s="6">
        <v>102.0</v>
      </c>
      <c r="C223" s="6">
        <v>10.0</v>
      </c>
      <c r="D223" s="7" t="s">
        <v>419</v>
      </c>
      <c r="E223" s="9" t="s">
        <v>420</v>
      </c>
      <c r="F223" s="8"/>
    </row>
    <row r="224" ht="21.0" customHeight="1">
      <c r="A224" s="5">
        <v>1.0</v>
      </c>
      <c r="B224" s="6">
        <v>106.0</v>
      </c>
      <c r="C224" s="6">
        <v>1.0</v>
      </c>
      <c r="D224" s="7" t="s">
        <v>421</v>
      </c>
      <c r="E224" s="9" t="s">
        <v>422</v>
      </c>
      <c r="F224" s="8"/>
    </row>
    <row r="225" ht="21.0" customHeight="1">
      <c r="A225" s="5">
        <v>1.0</v>
      </c>
      <c r="B225" s="6">
        <v>106.0</v>
      </c>
      <c r="C225" s="6">
        <v>2.0</v>
      </c>
      <c r="D225" s="7" t="s">
        <v>423</v>
      </c>
      <c r="E225" s="9" t="s">
        <v>424</v>
      </c>
      <c r="F225" s="8"/>
    </row>
    <row r="226" ht="21.0" customHeight="1">
      <c r="A226" s="5">
        <v>1.0</v>
      </c>
      <c r="B226" s="6">
        <v>106.0</v>
      </c>
      <c r="C226" s="6">
        <v>3.0</v>
      </c>
      <c r="D226" s="7" t="s">
        <v>425</v>
      </c>
      <c r="E226" s="9" t="s">
        <v>426</v>
      </c>
      <c r="F226" s="8"/>
    </row>
    <row r="227" ht="21.0" customHeight="1">
      <c r="A227" s="5">
        <v>1.0</v>
      </c>
      <c r="B227" s="6">
        <v>106.0</v>
      </c>
      <c r="C227" s="6">
        <v>4.0</v>
      </c>
      <c r="D227" s="9" t="s">
        <v>427</v>
      </c>
      <c r="E227" s="9" t="s">
        <v>428</v>
      </c>
      <c r="F227" s="8"/>
    </row>
    <row r="228" ht="21.0" customHeight="1">
      <c r="A228" s="5">
        <v>1.0</v>
      </c>
      <c r="B228" s="6">
        <v>106.0</v>
      </c>
      <c r="C228" s="6">
        <v>5.0</v>
      </c>
      <c r="D228" s="7" t="s">
        <v>429</v>
      </c>
      <c r="E228" s="9" t="s">
        <v>430</v>
      </c>
      <c r="F228" s="8"/>
    </row>
    <row r="229" ht="21.0" customHeight="1">
      <c r="A229" s="5">
        <v>1.0</v>
      </c>
      <c r="B229" s="6">
        <v>106.0</v>
      </c>
      <c r="C229" s="6">
        <v>6.0</v>
      </c>
      <c r="D229" s="7" t="s">
        <v>431</v>
      </c>
      <c r="E229" s="9" t="s">
        <v>432</v>
      </c>
      <c r="F229" s="8"/>
    </row>
    <row r="230" ht="21.0" customHeight="1">
      <c r="A230" s="5">
        <v>1.0</v>
      </c>
      <c r="B230" s="6">
        <v>106.0</v>
      </c>
      <c r="C230" s="6">
        <v>7.0</v>
      </c>
      <c r="D230" s="7" t="s">
        <v>433</v>
      </c>
      <c r="E230" s="9" t="s">
        <v>434</v>
      </c>
      <c r="F230" s="8"/>
    </row>
    <row r="231" ht="21.0" customHeight="1">
      <c r="A231" s="5">
        <v>1.0</v>
      </c>
      <c r="B231" s="6">
        <v>106.0</v>
      </c>
      <c r="C231" s="6">
        <v>8.0</v>
      </c>
      <c r="D231" s="7" t="s">
        <v>435</v>
      </c>
      <c r="E231" s="9" t="s">
        <v>436</v>
      </c>
      <c r="F231" s="8"/>
    </row>
    <row r="232" ht="21.0" customHeight="1">
      <c r="A232" s="5">
        <v>1.0</v>
      </c>
      <c r="B232" s="6">
        <v>106.0</v>
      </c>
      <c r="C232" s="6">
        <v>9.0</v>
      </c>
      <c r="D232" s="7" t="s">
        <v>437</v>
      </c>
      <c r="E232" s="9" t="s">
        <v>438</v>
      </c>
      <c r="F232" s="8"/>
    </row>
    <row r="233" ht="21.0" customHeight="1">
      <c r="A233" s="5">
        <v>1.0</v>
      </c>
      <c r="B233" s="6">
        <v>106.0</v>
      </c>
      <c r="C233" s="6">
        <v>10.0</v>
      </c>
      <c r="D233" s="7" t="s">
        <v>439</v>
      </c>
      <c r="E233" s="9" t="s">
        <v>440</v>
      </c>
      <c r="F233" s="8"/>
    </row>
    <row r="234" ht="21.0" customHeight="1">
      <c r="A234" s="5">
        <v>1.0</v>
      </c>
      <c r="B234" s="6">
        <v>107.0</v>
      </c>
      <c r="C234" s="6">
        <v>1.0</v>
      </c>
      <c r="D234" s="7" t="s">
        <v>441</v>
      </c>
      <c r="E234" s="9" t="s">
        <v>442</v>
      </c>
      <c r="F234" s="8"/>
    </row>
    <row r="235" ht="21.0" customHeight="1">
      <c r="A235" s="5">
        <v>1.0</v>
      </c>
      <c r="B235" s="6">
        <v>107.0</v>
      </c>
      <c r="C235" s="6">
        <v>2.0</v>
      </c>
      <c r="D235" s="7" t="s">
        <v>443</v>
      </c>
      <c r="E235" s="9" t="s">
        <v>444</v>
      </c>
      <c r="F235" s="8"/>
    </row>
    <row r="236" ht="21.0" customHeight="1">
      <c r="A236" s="5">
        <v>1.0</v>
      </c>
      <c r="B236" s="6">
        <v>107.0</v>
      </c>
      <c r="C236" s="6">
        <v>3.0</v>
      </c>
      <c r="D236" s="7" t="s">
        <v>445</v>
      </c>
      <c r="E236" s="9" t="s">
        <v>446</v>
      </c>
      <c r="F236" s="8"/>
    </row>
    <row r="237" ht="21.0" customHeight="1">
      <c r="A237" s="5">
        <v>1.0</v>
      </c>
      <c r="B237" s="6">
        <v>107.0</v>
      </c>
      <c r="C237" s="6">
        <v>4.0</v>
      </c>
      <c r="D237" s="7" t="s">
        <v>447</v>
      </c>
      <c r="E237" s="9" t="s">
        <v>448</v>
      </c>
      <c r="F237" s="8"/>
    </row>
    <row r="238" ht="21.0" customHeight="1">
      <c r="A238" s="5">
        <v>1.0</v>
      </c>
      <c r="B238" s="6">
        <v>107.0</v>
      </c>
      <c r="C238" s="6">
        <v>5.0</v>
      </c>
      <c r="D238" s="7" t="s">
        <v>449</v>
      </c>
      <c r="E238" s="9" t="s">
        <v>450</v>
      </c>
      <c r="F238" s="8"/>
    </row>
    <row r="239" ht="21.0" customHeight="1">
      <c r="A239" s="5">
        <v>1.0</v>
      </c>
      <c r="B239" s="6">
        <v>107.0</v>
      </c>
      <c r="C239" s="6">
        <v>6.0</v>
      </c>
      <c r="D239" s="7" t="s">
        <v>451</v>
      </c>
      <c r="E239" s="9" t="s">
        <v>452</v>
      </c>
      <c r="F239" s="8"/>
    </row>
    <row r="240" ht="21.0" customHeight="1">
      <c r="A240" s="5">
        <v>1.0</v>
      </c>
      <c r="B240" s="6">
        <v>107.0</v>
      </c>
      <c r="C240" s="6">
        <v>7.0</v>
      </c>
      <c r="D240" s="7" t="s">
        <v>453</v>
      </c>
      <c r="E240" s="9" t="s">
        <v>454</v>
      </c>
      <c r="F240" s="8"/>
    </row>
    <row r="241" ht="21.0" customHeight="1">
      <c r="A241" s="5">
        <v>1.0</v>
      </c>
      <c r="B241" s="6">
        <v>107.0</v>
      </c>
      <c r="C241" s="6">
        <v>8.0</v>
      </c>
      <c r="D241" s="7" t="s">
        <v>455</v>
      </c>
      <c r="E241" s="9" t="s">
        <v>456</v>
      </c>
      <c r="F241" s="8"/>
    </row>
    <row r="242" ht="21.0" customHeight="1">
      <c r="A242" s="5">
        <v>1.0</v>
      </c>
      <c r="B242" s="6">
        <v>107.0</v>
      </c>
      <c r="C242" s="6">
        <v>9.0</v>
      </c>
      <c r="D242" s="7" t="s">
        <v>457</v>
      </c>
      <c r="E242" s="9" t="s">
        <v>458</v>
      </c>
      <c r="F242" s="8"/>
    </row>
    <row r="243" ht="21.0" customHeight="1">
      <c r="A243" s="5">
        <v>1.0</v>
      </c>
      <c r="B243" s="6">
        <v>107.0</v>
      </c>
      <c r="C243" s="6">
        <v>10.0</v>
      </c>
      <c r="D243" s="7" t="s">
        <v>459</v>
      </c>
      <c r="E243" s="9" t="s">
        <v>460</v>
      </c>
      <c r="F243" s="8"/>
    </row>
    <row r="244" ht="21.0" customHeight="1">
      <c r="A244" s="5">
        <v>13.0</v>
      </c>
      <c r="B244" s="6">
        <v>107.0</v>
      </c>
      <c r="C244" s="6">
        <v>11.0</v>
      </c>
      <c r="D244" s="7" t="s">
        <v>461</v>
      </c>
      <c r="E244" s="9" t="s">
        <v>462</v>
      </c>
      <c r="F244" s="8"/>
    </row>
    <row r="245" ht="21.0" customHeight="1">
      <c r="A245" s="5">
        <v>2.0</v>
      </c>
      <c r="B245" s="6">
        <v>201.0</v>
      </c>
      <c r="C245" s="6">
        <v>1.0</v>
      </c>
      <c r="D245" s="7" t="s">
        <v>463</v>
      </c>
      <c r="E245" s="9" t="s">
        <v>464</v>
      </c>
      <c r="F245" s="8"/>
    </row>
    <row r="246" ht="21.0" customHeight="1">
      <c r="A246" s="5">
        <v>2.0</v>
      </c>
      <c r="B246" s="6">
        <v>201.0</v>
      </c>
      <c r="C246" s="6">
        <v>2.0</v>
      </c>
      <c r="D246" s="7" t="s">
        <v>465</v>
      </c>
      <c r="E246" s="9" t="s">
        <v>466</v>
      </c>
      <c r="F246" s="8"/>
    </row>
    <row r="247" ht="21.0" customHeight="1">
      <c r="A247" s="5">
        <v>2.0</v>
      </c>
      <c r="B247" s="6">
        <v>201.0</v>
      </c>
      <c r="C247" s="6">
        <v>3.0</v>
      </c>
      <c r="D247" s="7" t="s">
        <v>467</v>
      </c>
      <c r="E247" s="9" t="s">
        <v>468</v>
      </c>
      <c r="F247" s="8"/>
    </row>
    <row r="248" ht="21.0" customHeight="1">
      <c r="A248" s="5">
        <v>2.0</v>
      </c>
      <c r="B248" s="6">
        <v>201.0</v>
      </c>
      <c r="C248" s="6">
        <v>4.0</v>
      </c>
      <c r="D248" s="7" t="s">
        <v>469</v>
      </c>
      <c r="E248" s="9" t="s">
        <v>470</v>
      </c>
      <c r="F248" s="8"/>
    </row>
    <row r="249" ht="21.0" customHeight="1">
      <c r="A249" s="5">
        <v>2.0</v>
      </c>
      <c r="B249" s="6">
        <v>201.0</v>
      </c>
      <c r="C249" s="6">
        <v>5.0</v>
      </c>
      <c r="D249" s="7" t="s">
        <v>471</v>
      </c>
      <c r="E249" s="9" t="s">
        <v>472</v>
      </c>
      <c r="F249" s="8"/>
    </row>
    <row r="250" ht="21.0" customHeight="1">
      <c r="A250" s="5">
        <v>2.0</v>
      </c>
      <c r="B250" s="6">
        <v>201.0</v>
      </c>
      <c r="C250" s="6">
        <v>6.0</v>
      </c>
      <c r="D250" s="7" t="s">
        <v>473</v>
      </c>
      <c r="E250" s="9" t="s">
        <v>474</v>
      </c>
      <c r="F250" s="8"/>
    </row>
    <row r="251" ht="21.0" customHeight="1">
      <c r="A251" s="5">
        <v>2.0</v>
      </c>
      <c r="B251" s="6">
        <v>201.0</v>
      </c>
      <c r="C251" s="6">
        <v>6.0</v>
      </c>
      <c r="D251" s="7" t="s">
        <v>475</v>
      </c>
      <c r="E251" s="9" t="s">
        <v>476</v>
      </c>
      <c r="F251" s="8"/>
    </row>
    <row r="252" ht="21.0" customHeight="1">
      <c r="A252" s="30">
        <v>2.0</v>
      </c>
      <c r="B252" s="31">
        <v>202.0</v>
      </c>
      <c r="C252" s="31">
        <v>1.0</v>
      </c>
      <c r="D252" s="32" t="s">
        <v>477</v>
      </c>
      <c r="E252" s="33" t="s">
        <v>464</v>
      </c>
      <c r="F252" s="27"/>
    </row>
    <row r="253" ht="21.0" customHeight="1">
      <c r="A253" s="30">
        <v>2.0</v>
      </c>
      <c r="B253" s="31">
        <v>202.0</v>
      </c>
      <c r="C253" s="31">
        <v>2.0</v>
      </c>
      <c r="D253" s="32" t="s">
        <v>478</v>
      </c>
      <c r="E253" s="33" t="s">
        <v>466</v>
      </c>
      <c r="F253" s="27"/>
    </row>
    <row r="254" ht="21.0" customHeight="1">
      <c r="A254" s="30">
        <v>2.0</v>
      </c>
      <c r="B254" s="31">
        <v>202.0</v>
      </c>
      <c r="C254" s="31">
        <v>3.0</v>
      </c>
      <c r="D254" s="32" t="s">
        <v>479</v>
      </c>
      <c r="E254" s="33" t="s">
        <v>468</v>
      </c>
      <c r="F254" s="27"/>
    </row>
    <row r="255" ht="21.0" customHeight="1">
      <c r="A255" s="30">
        <v>2.0</v>
      </c>
      <c r="B255" s="31">
        <v>202.0</v>
      </c>
      <c r="C255" s="31">
        <v>4.0</v>
      </c>
      <c r="D255" s="32" t="s">
        <v>480</v>
      </c>
      <c r="E255" s="33" t="s">
        <v>470</v>
      </c>
      <c r="F255" s="27"/>
    </row>
    <row r="256" ht="21.0" customHeight="1">
      <c r="A256" s="30">
        <v>2.0</v>
      </c>
      <c r="B256" s="31">
        <v>202.0</v>
      </c>
      <c r="C256" s="31">
        <v>5.0</v>
      </c>
      <c r="D256" s="32" t="s">
        <v>481</v>
      </c>
      <c r="E256" s="33" t="s">
        <v>472</v>
      </c>
      <c r="F256" s="27"/>
    </row>
    <row r="257" ht="21.0" customHeight="1">
      <c r="A257" s="30">
        <v>2.0</v>
      </c>
      <c r="B257" s="31">
        <v>202.0</v>
      </c>
      <c r="C257" s="31">
        <v>6.0</v>
      </c>
      <c r="D257" s="32" t="s">
        <v>482</v>
      </c>
      <c r="E257" s="33" t="s">
        <v>474</v>
      </c>
      <c r="F257" s="27"/>
    </row>
    <row r="258" ht="21.0" customHeight="1">
      <c r="A258" s="30">
        <v>2.0</v>
      </c>
      <c r="B258" s="31">
        <v>202.0</v>
      </c>
      <c r="C258" s="31">
        <v>1.0</v>
      </c>
      <c r="D258" s="32" t="s">
        <v>483</v>
      </c>
      <c r="E258" s="33" t="s">
        <v>484</v>
      </c>
      <c r="F258" s="27"/>
    </row>
    <row r="259" ht="21.0" customHeight="1">
      <c r="A259" s="30">
        <v>2.0</v>
      </c>
      <c r="B259" s="31">
        <v>202.0</v>
      </c>
      <c r="C259" s="31">
        <v>1.0</v>
      </c>
      <c r="D259" s="32" t="s">
        <v>485</v>
      </c>
      <c r="E259" s="33" t="s">
        <v>486</v>
      </c>
      <c r="F259" s="27"/>
    </row>
    <row r="260" ht="21.0" customHeight="1">
      <c r="A260" s="30">
        <v>2.0</v>
      </c>
      <c r="B260" s="31">
        <v>202.0</v>
      </c>
      <c r="C260" s="31">
        <v>1.0</v>
      </c>
      <c r="D260" s="32" t="s">
        <v>487</v>
      </c>
      <c r="E260" s="33" t="s">
        <v>488</v>
      </c>
      <c r="F260" s="8"/>
    </row>
    <row r="261" ht="21.0" customHeight="1">
      <c r="A261" s="30">
        <v>2.0</v>
      </c>
      <c r="B261" s="31">
        <v>202.0</v>
      </c>
      <c r="C261" s="31">
        <v>1.0</v>
      </c>
      <c r="D261" s="32" t="s">
        <v>489</v>
      </c>
      <c r="E261" s="33" t="s">
        <v>490</v>
      </c>
      <c r="F261" s="8"/>
    </row>
    <row r="262" ht="21.0" customHeight="1">
      <c r="A262" s="2">
        <v>2.0</v>
      </c>
      <c r="B262" s="23">
        <v>203.0</v>
      </c>
      <c r="C262" s="23">
        <v>1.0</v>
      </c>
      <c r="D262" s="7" t="s">
        <v>483</v>
      </c>
      <c r="E262" s="9" t="s">
        <v>484</v>
      </c>
      <c r="F262" s="8"/>
    </row>
    <row r="263" ht="21.0" customHeight="1">
      <c r="A263" s="2">
        <v>2.0</v>
      </c>
      <c r="B263" s="23">
        <v>203.0</v>
      </c>
      <c r="C263" s="23">
        <v>1.0</v>
      </c>
      <c r="D263" s="7" t="s">
        <v>491</v>
      </c>
      <c r="E263" s="9" t="s">
        <v>492</v>
      </c>
      <c r="F263" s="8"/>
    </row>
    <row r="264" ht="21.0" customHeight="1">
      <c r="A264" s="2">
        <v>2.0</v>
      </c>
      <c r="B264" s="23">
        <v>204.0</v>
      </c>
      <c r="C264" s="23">
        <v>1.0</v>
      </c>
      <c r="D264" s="7" t="s">
        <v>485</v>
      </c>
      <c r="E264" s="9" t="s">
        <v>486</v>
      </c>
      <c r="F264" s="8"/>
    </row>
    <row r="265" ht="21.0" customHeight="1">
      <c r="A265" s="2">
        <v>2.0</v>
      </c>
      <c r="B265" s="23">
        <v>205.0</v>
      </c>
      <c r="C265" s="23">
        <v>1.0</v>
      </c>
      <c r="D265" s="7" t="s">
        <v>487</v>
      </c>
      <c r="E265" s="9" t="s">
        <v>488</v>
      </c>
      <c r="F265" s="8"/>
    </row>
    <row r="266" ht="21.0" customHeight="1">
      <c r="A266" s="2">
        <v>2.0</v>
      </c>
      <c r="B266" s="23">
        <v>206.0</v>
      </c>
      <c r="C266" s="23">
        <v>1.0</v>
      </c>
      <c r="D266" s="7" t="s">
        <v>489</v>
      </c>
      <c r="E266" s="9" t="s">
        <v>490</v>
      </c>
      <c r="F266" s="8"/>
    </row>
    <row r="267" ht="21.0" customHeight="1">
      <c r="A267" s="2">
        <v>2.0</v>
      </c>
      <c r="B267" s="23">
        <v>207.0</v>
      </c>
      <c r="C267" s="23">
        <v>1.0</v>
      </c>
      <c r="D267" s="7" t="s">
        <v>493</v>
      </c>
      <c r="E267" s="9" t="s">
        <v>494</v>
      </c>
      <c r="F267" s="8"/>
    </row>
    <row r="268" ht="21.0" customHeight="1">
      <c r="A268" s="2">
        <v>2.0</v>
      </c>
      <c r="B268" s="23">
        <v>207.0</v>
      </c>
      <c r="C268" s="23">
        <v>1.0</v>
      </c>
      <c r="D268" s="7" t="s">
        <v>495</v>
      </c>
      <c r="E268" s="9" t="s">
        <v>496</v>
      </c>
      <c r="F268" s="8"/>
    </row>
    <row r="269" ht="21.0" customHeight="1">
      <c r="A269" s="2">
        <v>2.0</v>
      </c>
      <c r="B269" s="23">
        <v>208.0</v>
      </c>
      <c r="C269" s="23">
        <v>1.0</v>
      </c>
      <c r="D269" s="7" t="s">
        <v>497</v>
      </c>
      <c r="E269" s="9" t="s">
        <v>498</v>
      </c>
      <c r="F269" s="8"/>
    </row>
    <row r="270" ht="21.0" customHeight="1">
      <c r="A270" s="5">
        <v>2.0</v>
      </c>
      <c r="B270" s="6">
        <v>209.0</v>
      </c>
      <c r="C270" s="6">
        <v>1.0</v>
      </c>
      <c r="D270" s="7" t="s">
        <v>499</v>
      </c>
      <c r="E270" s="9" t="s">
        <v>500</v>
      </c>
      <c r="F270" s="8"/>
    </row>
    <row r="271" ht="21.0" customHeight="1">
      <c r="A271" s="5">
        <v>2.0</v>
      </c>
      <c r="B271" s="6">
        <v>209.0</v>
      </c>
      <c r="C271" s="6">
        <v>1.0</v>
      </c>
      <c r="D271" s="7" t="s">
        <v>501</v>
      </c>
      <c r="E271" s="9" t="s">
        <v>502</v>
      </c>
      <c r="F271" s="8"/>
    </row>
    <row r="272" ht="21.0" customHeight="1">
      <c r="A272" s="5">
        <v>2.0</v>
      </c>
      <c r="B272" s="6">
        <v>209.0</v>
      </c>
      <c r="C272" s="6">
        <v>1.0</v>
      </c>
      <c r="D272" s="7" t="s">
        <v>503</v>
      </c>
      <c r="E272" s="9" t="s">
        <v>504</v>
      </c>
      <c r="F272" s="8"/>
    </row>
    <row r="273" ht="21.0" customHeight="1">
      <c r="A273" s="5">
        <v>2.0</v>
      </c>
      <c r="B273" s="6">
        <v>209.0</v>
      </c>
      <c r="C273" s="6">
        <v>1.0</v>
      </c>
      <c r="D273" s="7" t="s">
        <v>505</v>
      </c>
      <c r="E273" s="9" t="s">
        <v>506</v>
      </c>
      <c r="F273" s="8"/>
    </row>
    <row r="274" ht="21.0" customHeight="1">
      <c r="A274" s="5">
        <v>2.0</v>
      </c>
      <c r="B274" s="6">
        <v>209.0</v>
      </c>
      <c r="C274" s="6">
        <v>1.0</v>
      </c>
      <c r="D274" s="7" t="s">
        <v>507</v>
      </c>
      <c r="E274" s="9" t="s">
        <v>508</v>
      </c>
      <c r="F274" s="8"/>
    </row>
    <row r="275" ht="21.0" customHeight="1">
      <c r="A275" s="5">
        <v>2.0</v>
      </c>
      <c r="B275" s="6">
        <v>209.0</v>
      </c>
      <c r="C275" s="6">
        <v>1.0</v>
      </c>
      <c r="D275" s="7" t="s">
        <v>509</v>
      </c>
      <c r="E275" s="9" t="s">
        <v>510</v>
      </c>
      <c r="F275" s="8"/>
    </row>
    <row r="276" ht="21.0" customHeight="1">
      <c r="A276" s="5">
        <v>2.0</v>
      </c>
      <c r="B276" s="6">
        <v>209.0</v>
      </c>
      <c r="C276" s="6">
        <v>1.0</v>
      </c>
      <c r="D276" s="7" t="s">
        <v>511</v>
      </c>
      <c r="E276" s="9" t="s">
        <v>510</v>
      </c>
      <c r="F276" s="8"/>
    </row>
    <row r="277" ht="21.0" customHeight="1">
      <c r="A277" s="5">
        <v>3.0</v>
      </c>
      <c r="B277" s="6">
        <v>301.0</v>
      </c>
      <c r="C277" s="6">
        <v>1.0</v>
      </c>
      <c r="D277" s="7" t="s">
        <v>512</v>
      </c>
      <c r="E277" s="9" t="s">
        <v>513</v>
      </c>
      <c r="F277" s="8"/>
    </row>
    <row r="278" ht="21.0" customHeight="1">
      <c r="A278" s="5">
        <v>3.0</v>
      </c>
      <c r="B278" s="6">
        <v>301.0</v>
      </c>
      <c r="C278" s="6">
        <v>2.0</v>
      </c>
      <c r="D278" s="7" t="s">
        <v>514</v>
      </c>
      <c r="E278" s="9" t="s">
        <v>515</v>
      </c>
      <c r="F278" s="8"/>
    </row>
    <row r="279" ht="21.0" customHeight="1">
      <c r="A279" s="5">
        <v>3.0</v>
      </c>
      <c r="B279" s="6">
        <v>301.0</v>
      </c>
      <c r="C279" s="6">
        <v>3.0</v>
      </c>
      <c r="D279" s="7" t="s">
        <v>516</v>
      </c>
      <c r="E279" s="9" t="s">
        <v>517</v>
      </c>
      <c r="F279" s="8"/>
    </row>
    <row r="280" ht="21.0" customHeight="1">
      <c r="A280" s="5">
        <v>3.0</v>
      </c>
      <c r="B280" s="6">
        <v>301.0</v>
      </c>
      <c r="C280" s="6">
        <v>4.0</v>
      </c>
      <c r="D280" s="7" t="s">
        <v>518</v>
      </c>
      <c r="E280" s="9" t="s">
        <v>519</v>
      </c>
      <c r="F280" s="8"/>
    </row>
    <row r="281" ht="21.0" customHeight="1">
      <c r="A281" s="5">
        <v>3.0</v>
      </c>
      <c r="B281" s="6">
        <v>301.0</v>
      </c>
      <c r="C281" s="6">
        <v>5.0</v>
      </c>
      <c r="D281" s="7" t="s">
        <v>520</v>
      </c>
      <c r="E281" s="9" t="s">
        <v>521</v>
      </c>
      <c r="F281" s="8"/>
    </row>
    <row r="282" ht="21.0" customHeight="1">
      <c r="A282" s="5">
        <v>3.0</v>
      </c>
      <c r="B282" s="6">
        <v>301.0</v>
      </c>
      <c r="C282" s="6">
        <v>6.0</v>
      </c>
      <c r="D282" s="7" t="s">
        <v>522</v>
      </c>
      <c r="E282" s="9" t="s">
        <v>523</v>
      </c>
      <c r="F282" s="8"/>
    </row>
    <row r="283" ht="21.0" customHeight="1">
      <c r="A283" s="5">
        <v>3.0</v>
      </c>
      <c r="B283" s="6">
        <v>302.0</v>
      </c>
      <c r="C283" s="6">
        <v>1.0</v>
      </c>
      <c r="D283" s="7" t="s">
        <v>524</v>
      </c>
      <c r="E283" s="9" t="s">
        <v>525</v>
      </c>
      <c r="F283" s="8"/>
    </row>
    <row r="284" ht="21.0" customHeight="1">
      <c r="A284" s="5">
        <v>3.0</v>
      </c>
      <c r="B284" s="6">
        <v>302.0</v>
      </c>
      <c r="C284" s="6">
        <v>1.0</v>
      </c>
      <c r="D284" s="7" t="s">
        <v>526</v>
      </c>
      <c r="E284" s="9" t="s">
        <v>527</v>
      </c>
      <c r="F284" s="8"/>
    </row>
    <row r="285" ht="21.0" customHeight="1">
      <c r="A285" s="5">
        <v>3.0</v>
      </c>
      <c r="B285" s="6">
        <v>302.0</v>
      </c>
      <c r="C285" s="6">
        <v>1.0</v>
      </c>
      <c r="D285" s="7" t="s">
        <v>528</v>
      </c>
      <c r="E285" s="9" t="s">
        <v>529</v>
      </c>
      <c r="F285" s="8"/>
    </row>
    <row r="286" ht="21.0" customHeight="1">
      <c r="A286" s="5">
        <v>15.0</v>
      </c>
      <c r="B286" s="6">
        <v>303.0</v>
      </c>
      <c r="C286" s="6">
        <v>1.0</v>
      </c>
      <c r="D286" s="7" t="s">
        <v>530</v>
      </c>
      <c r="E286" s="9" t="s">
        <v>531</v>
      </c>
      <c r="F286" s="8"/>
    </row>
    <row r="287" ht="21.0" customHeight="1">
      <c r="A287" s="5">
        <v>30.0</v>
      </c>
      <c r="B287" s="6">
        <v>305.0</v>
      </c>
      <c r="C287" s="6">
        <v>1.0</v>
      </c>
      <c r="D287" s="7" t="s">
        <v>532</v>
      </c>
      <c r="E287" s="9" t="s">
        <v>533</v>
      </c>
      <c r="F287" s="8"/>
    </row>
    <row r="288" ht="21.0" customHeight="1">
      <c r="A288" s="12">
        <v>30.0</v>
      </c>
      <c r="B288" s="13">
        <v>306.0</v>
      </c>
      <c r="C288" s="13">
        <v>1.0</v>
      </c>
      <c r="D288" s="10" t="s">
        <v>534</v>
      </c>
      <c r="E288" s="11" t="s">
        <v>533</v>
      </c>
      <c r="F288" s="14"/>
    </row>
    <row r="289" ht="21.0" customHeight="1">
      <c r="A289" s="5">
        <v>19.0</v>
      </c>
      <c r="B289" s="6">
        <v>304.0</v>
      </c>
      <c r="C289" s="6">
        <v>1.0</v>
      </c>
      <c r="D289" s="7" t="s">
        <v>535</v>
      </c>
      <c r="E289" s="9" t="s">
        <v>536</v>
      </c>
      <c r="F289" s="8"/>
    </row>
    <row r="290" ht="21.0" customHeight="1">
      <c r="A290" s="5">
        <v>4.0</v>
      </c>
      <c r="B290" s="6">
        <v>401.0</v>
      </c>
      <c r="C290" s="6">
        <v>1.0</v>
      </c>
      <c r="D290" s="7" t="s">
        <v>537</v>
      </c>
      <c r="E290" s="9" t="s">
        <v>538</v>
      </c>
      <c r="F290" s="8"/>
    </row>
    <row r="291" ht="21.0" customHeight="1">
      <c r="A291" s="5">
        <v>4.0</v>
      </c>
      <c r="B291" s="6">
        <v>402.0</v>
      </c>
      <c r="C291" s="6">
        <v>1.0</v>
      </c>
      <c r="D291" s="7" t="s">
        <v>539</v>
      </c>
      <c r="E291" s="9" t="s">
        <v>538</v>
      </c>
      <c r="F291" s="8"/>
    </row>
    <row r="292" ht="21.0" customHeight="1">
      <c r="A292" s="5">
        <v>4.0</v>
      </c>
      <c r="B292" s="6">
        <v>403.0</v>
      </c>
      <c r="C292" s="6">
        <v>1.0</v>
      </c>
      <c r="D292" s="7" t="s">
        <v>540</v>
      </c>
      <c r="E292" s="9" t="s">
        <v>538</v>
      </c>
      <c r="F292" s="8"/>
    </row>
    <row r="293" ht="21.0" customHeight="1">
      <c r="A293" s="5">
        <v>4.0</v>
      </c>
      <c r="B293" s="6">
        <v>404.0</v>
      </c>
      <c r="C293" s="6">
        <v>1.0</v>
      </c>
      <c r="D293" s="7" t="s">
        <v>541</v>
      </c>
      <c r="E293" s="9" t="s">
        <v>538</v>
      </c>
      <c r="F293" s="8"/>
    </row>
    <row r="294" ht="21.0" customHeight="1">
      <c r="A294" s="5">
        <v>4.0</v>
      </c>
      <c r="B294" s="6">
        <v>405.0</v>
      </c>
      <c r="C294" s="6">
        <v>1.0</v>
      </c>
      <c r="D294" s="7" t="s">
        <v>542</v>
      </c>
      <c r="E294" s="9" t="s">
        <v>538</v>
      </c>
      <c r="F294" s="8"/>
    </row>
    <row r="295" ht="21.0" customHeight="1">
      <c r="A295" s="30">
        <v>4.0</v>
      </c>
      <c r="B295" s="31">
        <v>410.0</v>
      </c>
      <c r="C295" s="31">
        <v>1.0</v>
      </c>
      <c r="D295" s="34" t="s">
        <v>543</v>
      </c>
      <c r="E295" s="33" t="s">
        <v>544</v>
      </c>
      <c r="F295" s="27"/>
    </row>
    <row r="296" ht="21.0" customHeight="1">
      <c r="A296" s="30">
        <v>4.0</v>
      </c>
      <c r="B296" s="31">
        <v>410.0</v>
      </c>
      <c r="C296" s="31">
        <v>1.0</v>
      </c>
      <c r="D296" s="34" t="s">
        <v>545</v>
      </c>
      <c r="E296" s="33" t="s">
        <v>546</v>
      </c>
      <c r="F296" s="27"/>
    </row>
    <row r="297" ht="21.0" customHeight="1">
      <c r="A297" s="30">
        <v>4.0</v>
      </c>
      <c r="B297" s="31">
        <v>410.0</v>
      </c>
      <c r="C297" s="31">
        <v>1.0</v>
      </c>
      <c r="D297" s="34" t="s">
        <v>547</v>
      </c>
      <c r="E297" s="33" t="s">
        <v>548</v>
      </c>
      <c r="F297" s="27"/>
    </row>
    <row r="298" ht="21.0" customHeight="1">
      <c r="A298" s="30">
        <v>4.0</v>
      </c>
      <c r="B298" s="31">
        <v>410.0</v>
      </c>
      <c r="C298" s="31">
        <v>1.0</v>
      </c>
      <c r="D298" s="34" t="s">
        <v>549</v>
      </c>
      <c r="E298" s="33" t="s">
        <v>550</v>
      </c>
      <c r="F298" s="27"/>
    </row>
    <row r="299" ht="21.0" customHeight="1">
      <c r="A299" s="30">
        <v>4.0</v>
      </c>
      <c r="B299" s="31">
        <v>410.0</v>
      </c>
      <c r="C299" s="31">
        <v>1.0</v>
      </c>
      <c r="D299" s="34" t="s">
        <v>551</v>
      </c>
      <c r="E299" s="33" t="s">
        <v>552</v>
      </c>
      <c r="F299" s="27"/>
    </row>
    <row r="300" ht="21.0" customHeight="1">
      <c r="A300" s="30">
        <v>14.0</v>
      </c>
      <c r="B300" s="31">
        <v>410.0</v>
      </c>
      <c r="C300" s="31">
        <v>1.0</v>
      </c>
      <c r="D300" s="34" t="s">
        <v>553</v>
      </c>
      <c r="E300" s="33" t="s">
        <v>554</v>
      </c>
      <c r="F300" s="27"/>
    </row>
    <row r="301" ht="21.0" customHeight="1">
      <c r="A301" s="30">
        <v>14.0</v>
      </c>
      <c r="B301" s="31">
        <v>410.0</v>
      </c>
      <c r="C301" s="31">
        <v>1.0</v>
      </c>
      <c r="D301" s="34" t="s">
        <v>555</v>
      </c>
      <c r="E301" s="33" t="s">
        <v>556</v>
      </c>
      <c r="F301" s="27"/>
    </row>
    <row r="302" ht="21.0" customHeight="1">
      <c r="A302" s="30">
        <v>14.0</v>
      </c>
      <c r="B302" s="31">
        <v>410.0</v>
      </c>
      <c r="C302" s="31">
        <v>1.0</v>
      </c>
      <c r="D302" s="34" t="s">
        <v>557</v>
      </c>
      <c r="E302" s="33" t="s">
        <v>558</v>
      </c>
      <c r="F302" s="27"/>
    </row>
    <row r="303" ht="21.0" customHeight="1">
      <c r="A303" s="30">
        <v>14.0</v>
      </c>
      <c r="B303" s="31">
        <v>410.0</v>
      </c>
      <c r="C303" s="31">
        <v>1.0</v>
      </c>
      <c r="D303" s="34" t="s">
        <v>559</v>
      </c>
      <c r="E303" s="33" t="s">
        <v>560</v>
      </c>
      <c r="F303" s="27"/>
    </row>
    <row r="304" ht="21.0" customHeight="1">
      <c r="A304" s="30">
        <v>14.0</v>
      </c>
      <c r="B304" s="31">
        <v>410.0</v>
      </c>
      <c r="C304" s="31">
        <v>1.0</v>
      </c>
      <c r="D304" s="34" t="s">
        <v>561</v>
      </c>
      <c r="E304" s="33" t="s">
        <v>562</v>
      </c>
      <c r="F304" s="27"/>
    </row>
    <row r="305" ht="21.0" customHeight="1">
      <c r="A305" s="30">
        <v>14.0</v>
      </c>
      <c r="B305" s="31">
        <v>410.0</v>
      </c>
      <c r="C305" s="31">
        <v>1.0</v>
      </c>
      <c r="D305" s="34" t="s">
        <v>563</v>
      </c>
      <c r="E305" s="33" t="s">
        <v>564</v>
      </c>
      <c r="F305" s="27"/>
    </row>
    <row r="306" ht="21.0" customHeight="1">
      <c r="A306" s="30">
        <v>14.0</v>
      </c>
      <c r="B306" s="31">
        <v>410.0</v>
      </c>
      <c r="C306" s="31">
        <v>1.0</v>
      </c>
      <c r="D306" s="34" t="s">
        <v>565</v>
      </c>
      <c r="E306" s="33" t="s">
        <v>566</v>
      </c>
      <c r="F306" s="27"/>
    </row>
    <row r="307" ht="21.0" customHeight="1">
      <c r="A307" s="30">
        <v>14.0</v>
      </c>
      <c r="B307" s="31">
        <v>410.0</v>
      </c>
      <c r="C307" s="31">
        <v>1.0</v>
      </c>
      <c r="D307" s="34" t="s">
        <v>567</v>
      </c>
      <c r="E307" s="33" t="s">
        <v>568</v>
      </c>
      <c r="F307" s="27"/>
    </row>
    <row r="308" ht="21.0" customHeight="1">
      <c r="A308" s="30">
        <v>14.0</v>
      </c>
      <c r="B308" s="31">
        <v>410.0</v>
      </c>
      <c r="C308" s="31">
        <v>1.0</v>
      </c>
      <c r="D308" s="34" t="s">
        <v>569</v>
      </c>
      <c r="E308" s="33" t="s">
        <v>570</v>
      </c>
      <c r="F308" s="27"/>
    </row>
    <row r="309" ht="21.0" customHeight="1">
      <c r="A309" s="30">
        <v>14.0</v>
      </c>
      <c r="B309" s="31">
        <v>410.0</v>
      </c>
      <c r="C309" s="31">
        <v>1.0</v>
      </c>
      <c r="D309" s="34" t="s">
        <v>571</v>
      </c>
      <c r="E309" s="33" t="s">
        <v>572</v>
      </c>
      <c r="F309" s="27"/>
    </row>
    <row r="310" ht="21.0" customHeight="1">
      <c r="A310" s="30">
        <v>14.0</v>
      </c>
      <c r="B310" s="31">
        <v>410.0</v>
      </c>
      <c r="C310" s="31">
        <v>1.0</v>
      </c>
      <c r="D310" s="34" t="s">
        <v>573</v>
      </c>
      <c r="E310" s="33" t="s">
        <v>574</v>
      </c>
      <c r="F310" s="27"/>
    </row>
    <row r="311" ht="21.0" customHeight="1">
      <c r="A311" s="30">
        <v>14.0</v>
      </c>
      <c r="B311" s="31">
        <v>410.0</v>
      </c>
      <c r="C311" s="31">
        <v>1.0</v>
      </c>
      <c r="D311" s="34" t="s">
        <v>575</v>
      </c>
      <c r="E311" s="33" t="s">
        <v>576</v>
      </c>
      <c r="F311" s="27"/>
    </row>
    <row r="312" ht="21.0" customHeight="1">
      <c r="A312" s="5">
        <v>14.0</v>
      </c>
      <c r="B312" s="6">
        <v>410.0</v>
      </c>
      <c r="C312" s="6">
        <v>1.0</v>
      </c>
      <c r="D312" s="35" t="s">
        <v>577</v>
      </c>
      <c r="E312" s="9" t="s">
        <v>578</v>
      </c>
      <c r="F312" s="8"/>
    </row>
    <row r="313" ht="21.0" customHeight="1">
      <c r="A313" s="5">
        <v>14.0</v>
      </c>
      <c r="B313" s="6">
        <v>410.0</v>
      </c>
      <c r="C313" s="6">
        <v>1.0</v>
      </c>
      <c r="D313" s="36" t="s">
        <v>579</v>
      </c>
      <c r="E313" s="9" t="s">
        <v>580</v>
      </c>
      <c r="F313" s="8"/>
    </row>
    <row r="314" ht="21.0" customHeight="1">
      <c r="A314" s="5">
        <v>14.0</v>
      </c>
      <c r="B314" s="6">
        <v>410.0</v>
      </c>
      <c r="C314" s="6">
        <v>1.0</v>
      </c>
      <c r="D314" s="35" t="s">
        <v>581</v>
      </c>
      <c r="E314" s="9" t="s">
        <v>582</v>
      </c>
      <c r="F314" s="8"/>
    </row>
    <row r="315" ht="21.0" customHeight="1">
      <c r="A315" s="5">
        <v>14.0</v>
      </c>
      <c r="B315" s="6">
        <v>410.0</v>
      </c>
      <c r="C315" s="6">
        <v>1.0</v>
      </c>
      <c r="D315" s="36" t="s">
        <v>583</v>
      </c>
      <c r="E315" s="9" t="s">
        <v>584</v>
      </c>
      <c r="F315" s="8"/>
    </row>
    <row r="316" ht="21.0" customHeight="1">
      <c r="A316" s="5">
        <v>14.0</v>
      </c>
      <c r="B316" s="6">
        <v>410.0</v>
      </c>
      <c r="C316" s="6">
        <v>1.0</v>
      </c>
      <c r="D316" s="35" t="s">
        <v>585</v>
      </c>
      <c r="E316" s="9" t="s">
        <v>586</v>
      </c>
      <c r="F316" s="8"/>
    </row>
    <row r="317" ht="21.0" customHeight="1">
      <c r="A317" s="5">
        <v>14.0</v>
      </c>
      <c r="B317" s="6">
        <v>410.0</v>
      </c>
      <c r="C317" s="6">
        <v>1.0</v>
      </c>
      <c r="D317" s="36" t="s">
        <v>587</v>
      </c>
      <c r="E317" s="9" t="s">
        <v>588</v>
      </c>
      <c r="F317" s="8"/>
    </row>
    <row r="318" ht="21.0" customHeight="1">
      <c r="A318" s="5">
        <v>14.0</v>
      </c>
      <c r="B318" s="6">
        <v>410.0</v>
      </c>
      <c r="C318" s="6">
        <v>1.0</v>
      </c>
      <c r="D318" s="35" t="s">
        <v>589</v>
      </c>
      <c r="E318" s="9" t="s">
        <v>590</v>
      </c>
      <c r="F318" s="8"/>
    </row>
    <row r="319" ht="21.0" customHeight="1">
      <c r="A319" s="5">
        <v>14.0</v>
      </c>
      <c r="B319" s="6">
        <v>410.0</v>
      </c>
      <c r="C319" s="6">
        <v>1.0</v>
      </c>
      <c r="D319" s="35" t="s">
        <v>591</v>
      </c>
      <c r="E319" s="9" t="s">
        <v>592</v>
      </c>
      <c r="F319" s="8"/>
    </row>
    <row r="320" ht="21.0" customHeight="1">
      <c r="A320" s="5">
        <v>14.0</v>
      </c>
      <c r="B320" s="6">
        <v>410.0</v>
      </c>
      <c r="C320" s="6">
        <v>1.0</v>
      </c>
      <c r="D320" s="35" t="s">
        <v>593</v>
      </c>
      <c r="E320" s="9" t="s">
        <v>594</v>
      </c>
      <c r="F320" s="8"/>
    </row>
    <row r="321" ht="21.0" customHeight="1">
      <c r="A321" s="5">
        <v>14.0</v>
      </c>
      <c r="B321" s="6">
        <v>418.0</v>
      </c>
      <c r="C321" s="6">
        <v>1.0</v>
      </c>
      <c r="D321" s="35" t="s">
        <v>595</v>
      </c>
      <c r="E321" s="9" t="s">
        <v>596</v>
      </c>
      <c r="F321" s="8"/>
    </row>
    <row r="322" ht="21.0" customHeight="1">
      <c r="A322" s="5">
        <v>14.0</v>
      </c>
      <c r="B322" s="6">
        <v>418.0</v>
      </c>
      <c r="C322" s="6">
        <v>1.0</v>
      </c>
      <c r="D322" s="35" t="s">
        <v>597</v>
      </c>
      <c r="E322" s="9" t="s">
        <v>598</v>
      </c>
      <c r="F322" s="8"/>
    </row>
    <row r="323" ht="21.0" customHeight="1">
      <c r="A323" s="5">
        <v>14.0</v>
      </c>
      <c r="B323" s="6">
        <v>418.0</v>
      </c>
      <c r="C323" s="6">
        <v>1.0</v>
      </c>
      <c r="D323" s="35" t="s">
        <v>599</v>
      </c>
      <c r="E323" s="9" t="s">
        <v>600</v>
      </c>
      <c r="F323" s="8"/>
    </row>
    <row r="324" ht="21.0" customHeight="1">
      <c r="A324" s="5">
        <v>14.0</v>
      </c>
      <c r="B324" s="6">
        <v>418.0</v>
      </c>
      <c r="C324" s="6">
        <v>1.0</v>
      </c>
      <c r="D324" s="35" t="s">
        <v>601</v>
      </c>
      <c r="E324" s="9" t="s">
        <v>602</v>
      </c>
      <c r="F324" s="8"/>
    </row>
    <row r="325" ht="21.0" customHeight="1">
      <c r="A325" s="5">
        <v>4.0</v>
      </c>
      <c r="B325" s="6">
        <v>407.0</v>
      </c>
      <c r="C325" s="6">
        <v>1.0</v>
      </c>
      <c r="D325" s="7" t="s">
        <v>603</v>
      </c>
      <c r="E325" s="9" t="s">
        <v>604</v>
      </c>
      <c r="F325" s="8"/>
    </row>
    <row r="326" ht="21.0" customHeight="1">
      <c r="A326" s="5">
        <v>4.0</v>
      </c>
      <c r="B326" s="6">
        <v>407.0</v>
      </c>
      <c r="C326" s="6">
        <v>1.0</v>
      </c>
      <c r="D326" s="7" t="s">
        <v>603</v>
      </c>
      <c r="E326" s="9" t="s">
        <v>604</v>
      </c>
      <c r="F326" s="8"/>
    </row>
    <row r="327" ht="21.0" customHeight="1">
      <c r="A327" s="5">
        <v>4.0</v>
      </c>
      <c r="B327" s="6">
        <v>407.0</v>
      </c>
      <c r="C327" s="6">
        <v>1.0</v>
      </c>
      <c r="D327" s="9" t="s">
        <v>603</v>
      </c>
      <c r="E327" s="9" t="s">
        <v>604</v>
      </c>
      <c r="F327" s="8"/>
    </row>
    <row r="328" ht="21.0" customHeight="1">
      <c r="A328" s="5">
        <v>4.0</v>
      </c>
      <c r="B328" s="6">
        <v>408.0</v>
      </c>
      <c r="C328" s="6">
        <v>1.0</v>
      </c>
      <c r="D328" s="16" t="s">
        <v>605</v>
      </c>
      <c r="E328" s="9" t="s">
        <v>606</v>
      </c>
      <c r="F328" s="8"/>
    </row>
    <row r="329" ht="21.0" customHeight="1">
      <c r="A329" s="5">
        <v>4.0</v>
      </c>
      <c r="B329" s="6">
        <v>408.0</v>
      </c>
      <c r="C329" s="6">
        <v>1.0</v>
      </c>
      <c r="D329" s="16" t="s">
        <v>607</v>
      </c>
      <c r="E329" s="9" t="s">
        <v>606</v>
      </c>
      <c r="F329" s="8"/>
    </row>
    <row r="330" ht="21.0" customHeight="1">
      <c r="A330" s="5">
        <v>4.0</v>
      </c>
      <c r="B330" s="6">
        <v>408.0</v>
      </c>
      <c r="C330" s="6">
        <v>1.0</v>
      </c>
      <c r="D330" s="16" t="s">
        <v>608</v>
      </c>
      <c r="E330" s="9" t="s">
        <v>606</v>
      </c>
      <c r="F330" s="8"/>
    </row>
    <row r="331" ht="21.0" customHeight="1">
      <c r="A331" s="5">
        <v>28.0</v>
      </c>
      <c r="B331" s="6">
        <v>408.0</v>
      </c>
      <c r="C331" s="6">
        <v>1.0</v>
      </c>
      <c r="D331" s="16" t="s">
        <v>609</v>
      </c>
      <c r="E331" s="9" t="s">
        <v>610</v>
      </c>
      <c r="F331" s="8"/>
    </row>
    <row r="332" ht="21.0" customHeight="1">
      <c r="A332" s="5">
        <v>29.0</v>
      </c>
      <c r="B332" s="6">
        <v>408.0</v>
      </c>
      <c r="C332" s="6">
        <v>1.0</v>
      </c>
      <c r="D332" s="16" t="s">
        <v>611</v>
      </c>
      <c r="E332" s="9" t="s">
        <v>612</v>
      </c>
      <c r="F332" s="8"/>
    </row>
    <row r="333" ht="21.0" customHeight="1">
      <c r="A333" s="30">
        <v>5.0</v>
      </c>
      <c r="B333" s="31">
        <v>409.0</v>
      </c>
      <c r="C333" s="31">
        <v>1.0</v>
      </c>
      <c r="D333" s="34" t="s">
        <v>613</v>
      </c>
      <c r="E333" s="33" t="s">
        <v>614</v>
      </c>
      <c r="F333" s="27"/>
    </row>
    <row r="334" ht="21.0" customHeight="1">
      <c r="A334" s="30">
        <v>20.0</v>
      </c>
      <c r="B334" s="31">
        <v>417.0</v>
      </c>
      <c r="C334" s="31">
        <v>1.0</v>
      </c>
      <c r="D334" s="34" t="s">
        <v>613</v>
      </c>
      <c r="E334" s="33" t="s">
        <v>615</v>
      </c>
      <c r="F334" s="27"/>
    </row>
    <row r="335" ht="21.0" customHeight="1">
      <c r="A335" s="30">
        <v>5.0</v>
      </c>
      <c r="B335" s="31">
        <v>417.0</v>
      </c>
      <c r="C335" s="31">
        <v>1.0</v>
      </c>
      <c r="D335" s="34" t="s">
        <v>616</v>
      </c>
      <c r="E335" s="33" t="s">
        <v>614</v>
      </c>
      <c r="F335" s="27"/>
    </row>
    <row r="336" ht="21.0" customHeight="1">
      <c r="A336" s="30">
        <v>4.0</v>
      </c>
      <c r="B336" s="31">
        <v>411.0</v>
      </c>
      <c r="C336" s="31">
        <v>1.0</v>
      </c>
      <c r="D336" s="34" t="s">
        <v>617</v>
      </c>
      <c r="E336" s="33" t="s">
        <v>618</v>
      </c>
      <c r="F336" s="27"/>
    </row>
    <row r="337" ht="21.0" customHeight="1">
      <c r="A337" s="30">
        <v>4.0</v>
      </c>
      <c r="B337" s="31">
        <v>411.0</v>
      </c>
      <c r="C337" s="31">
        <v>1.0</v>
      </c>
      <c r="D337" s="34" t="s">
        <v>617</v>
      </c>
      <c r="E337" s="33" t="s">
        <v>618</v>
      </c>
      <c r="F337" s="27"/>
    </row>
    <row r="338" ht="21.0" customHeight="1">
      <c r="A338" s="30">
        <v>4.0</v>
      </c>
      <c r="B338" s="31">
        <v>411.0</v>
      </c>
      <c r="C338" s="31">
        <v>1.0</v>
      </c>
      <c r="D338" s="34" t="s">
        <v>617</v>
      </c>
      <c r="E338" s="33" t="s">
        <v>618</v>
      </c>
      <c r="F338" s="27"/>
    </row>
    <row r="339" ht="21.0" customHeight="1">
      <c r="A339" s="30">
        <v>4.0</v>
      </c>
      <c r="B339" s="31">
        <v>411.0</v>
      </c>
      <c r="C339" s="31">
        <v>1.0</v>
      </c>
      <c r="D339" s="34" t="s">
        <v>617</v>
      </c>
      <c r="E339" s="33" t="s">
        <v>618</v>
      </c>
      <c r="F339" s="27"/>
    </row>
    <row r="340" ht="21.0" customHeight="1">
      <c r="A340" s="30">
        <v>4.0</v>
      </c>
      <c r="B340" s="31">
        <v>411.0</v>
      </c>
      <c r="C340" s="31">
        <v>1.0</v>
      </c>
      <c r="D340" s="34" t="s">
        <v>617</v>
      </c>
      <c r="E340" s="33" t="s">
        <v>618</v>
      </c>
      <c r="F340" s="27"/>
    </row>
    <row r="341" ht="21.0" customHeight="1">
      <c r="A341" s="30">
        <v>4.0</v>
      </c>
      <c r="B341" s="31">
        <v>411.0</v>
      </c>
      <c r="C341" s="31">
        <v>1.0</v>
      </c>
      <c r="D341" s="34" t="s">
        <v>619</v>
      </c>
      <c r="E341" s="33" t="s">
        <v>618</v>
      </c>
      <c r="F341" s="27"/>
    </row>
    <row r="342" ht="21.0" customHeight="1">
      <c r="A342" s="30">
        <v>4.0</v>
      </c>
      <c r="B342" s="31">
        <v>412.0</v>
      </c>
      <c r="C342" s="31">
        <v>1.0</v>
      </c>
      <c r="D342" s="34" t="s">
        <v>620</v>
      </c>
      <c r="E342" s="33" t="s">
        <v>621</v>
      </c>
      <c r="F342" s="27"/>
    </row>
    <row r="343" ht="12.0" customHeight="1">
      <c r="A343" s="30">
        <v>4.0</v>
      </c>
      <c r="B343" s="31">
        <v>412.0</v>
      </c>
      <c r="C343" s="31">
        <v>1.0</v>
      </c>
      <c r="D343" s="34" t="s">
        <v>620</v>
      </c>
      <c r="E343" s="33" t="s">
        <v>621</v>
      </c>
      <c r="F343" s="27"/>
    </row>
    <row r="344" ht="12.0" customHeight="1">
      <c r="A344" s="30">
        <v>4.0</v>
      </c>
      <c r="B344" s="31">
        <v>412.0</v>
      </c>
      <c r="C344" s="31">
        <v>1.0</v>
      </c>
      <c r="D344" s="34" t="s">
        <v>620</v>
      </c>
      <c r="E344" s="33" t="s">
        <v>621</v>
      </c>
      <c r="F344" s="27"/>
    </row>
    <row r="345" ht="12.0" customHeight="1">
      <c r="A345" s="30">
        <v>4.0</v>
      </c>
      <c r="B345" s="31">
        <v>412.0</v>
      </c>
      <c r="C345" s="31">
        <v>1.0</v>
      </c>
      <c r="D345" s="34" t="s">
        <v>620</v>
      </c>
      <c r="E345" s="33" t="s">
        <v>621</v>
      </c>
      <c r="F345" s="27"/>
    </row>
    <row r="346" ht="12.0" customHeight="1">
      <c r="A346" s="30">
        <v>4.0</v>
      </c>
      <c r="B346" s="31">
        <v>412.0</v>
      </c>
      <c r="C346" s="31">
        <v>1.0</v>
      </c>
      <c r="D346" s="34" t="s">
        <v>620</v>
      </c>
      <c r="E346" s="33" t="s">
        <v>621</v>
      </c>
      <c r="F346" s="27"/>
    </row>
    <row r="347" ht="12.0" customHeight="1">
      <c r="A347" s="30">
        <v>14.0</v>
      </c>
      <c r="B347" s="31">
        <v>413.0</v>
      </c>
      <c r="C347" s="31">
        <v>1.0</v>
      </c>
      <c r="D347" s="34" t="s">
        <v>622</v>
      </c>
      <c r="E347" s="33" t="s">
        <v>623</v>
      </c>
      <c r="F347" s="27"/>
    </row>
    <row r="348" ht="12.0" customHeight="1">
      <c r="A348" s="30">
        <v>14.0</v>
      </c>
      <c r="B348" s="31">
        <v>413.0</v>
      </c>
      <c r="C348" s="31">
        <v>1.0</v>
      </c>
      <c r="D348" s="34" t="s">
        <v>622</v>
      </c>
      <c r="E348" s="33" t="s">
        <v>624</v>
      </c>
      <c r="F348" s="27"/>
    </row>
    <row r="349" ht="12.0" customHeight="1">
      <c r="A349" s="30">
        <v>14.0</v>
      </c>
      <c r="B349" s="31">
        <v>413.0</v>
      </c>
      <c r="C349" s="31">
        <v>1.0</v>
      </c>
      <c r="D349" s="34" t="s">
        <v>622</v>
      </c>
      <c r="E349" s="33" t="s">
        <v>625</v>
      </c>
      <c r="F349" s="27"/>
    </row>
    <row r="350" ht="12.0" customHeight="1">
      <c r="A350" s="30">
        <v>14.0</v>
      </c>
      <c r="B350" s="31">
        <v>413.0</v>
      </c>
      <c r="C350" s="31">
        <v>1.0</v>
      </c>
      <c r="D350" s="34" t="s">
        <v>622</v>
      </c>
      <c r="E350" s="33" t="s">
        <v>626</v>
      </c>
      <c r="F350" s="27"/>
    </row>
    <row r="351" ht="12.0" customHeight="1">
      <c r="A351" s="30">
        <v>14.0</v>
      </c>
      <c r="B351" s="31">
        <v>413.0</v>
      </c>
      <c r="C351" s="31">
        <v>1.0</v>
      </c>
      <c r="D351" s="34" t="s">
        <v>627</v>
      </c>
      <c r="E351" s="33" t="s">
        <v>628</v>
      </c>
      <c r="F351" s="27"/>
    </row>
    <row r="352" ht="12.0" customHeight="1">
      <c r="A352" s="30">
        <v>14.0</v>
      </c>
      <c r="B352" s="31">
        <v>413.0</v>
      </c>
      <c r="C352" s="31">
        <v>1.0</v>
      </c>
      <c r="D352" s="34" t="s">
        <v>627</v>
      </c>
      <c r="E352" s="33" t="s">
        <v>629</v>
      </c>
      <c r="F352" s="27"/>
    </row>
    <row r="353" ht="12.0" customHeight="1">
      <c r="A353" s="30">
        <v>14.0</v>
      </c>
      <c r="B353" s="31">
        <v>413.0</v>
      </c>
      <c r="C353" s="31">
        <v>1.0</v>
      </c>
      <c r="D353" s="34" t="s">
        <v>627</v>
      </c>
      <c r="E353" s="33" t="s">
        <v>630</v>
      </c>
      <c r="F353" s="27"/>
    </row>
    <row r="354" ht="12.0" customHeight="1">
      <c r="A354" s="30">
        <v>14.0</v>
      </c>
      <c r="B354" s="31">
        <v>413.0</v>
      </c>
      <c r="C354" s="31">
        <v>1.0</v>
      </c>
      <c r="D354" s="34" t="s">
        <v>627</v>
      </c>
      <c r="E354" s="33" t="s">
        <v>631</v>
      </c>
      <c r="F354" s="27"/>
    </row>
    <row r="355" ht="12.0" customHeight="1">
      <c r="A355" s="30">
        <v>14.0</v>
      </c>
      <c r="B355" s="31">
        <v>413.0</v>
      </c>
      <c r="C355" s="31">
        <v>1.0</v>
      </c>
      <c r="D355" s="34" t="s">
        <v>622</v>
      </c>
      <c r="E355" s="33" t="s">
        <v>632</v>
      </c>
      <c r="F355" s="27"/>
    </row>
    <row r="356" ht="12.0" customHeight="1">
      <c r="A356" s="30">
        <v>14.0</v>
      </c>
      <c r="B356" s="31">
        <v>413.0</v>
      </c>
      <c r="C356" s="31">
        <v>1.0</v>
      </c>
      <c r="D356" s="34" t="s">
        <v>622</v>
      </c>
      <c r="E356" s="33" t="s">
        <v>633</v>
      </c>
      <c r="F356" s="27"/>
    </row>
    <row r="357" ht="12.0" customHeight="1">
      <c r="A357" s="30">
        <v>14.0</v>
      </c>
      <c r="B357" s="31">
        <v>413.0</v>
      </c>
      <c r="C357" s="31">
        <v>1.0</v>
      </c>
      <c r="D357" s="34" t="s">
        <v>622</v>
      </c>
      <c r="E357" s="33" t="s">
        <v>634</v>
      </c>
      <c r="F357" s="27"/>
    </row>
    <row r="358" ht="12.0" customHeight="1">
      <c r="A358" s="30">
        <v>14.0</v>
      </c>
      <c r="B358" s="31">
        <v>413.0</v>
      </c>
      <c r="C358" s="31">
        <v>1.0</v>
      </c>
      <c r="D358" s="34" t="s">
        <v>622</v>
      </c>
      <c r="E358" s="33" t="s">
        <v>635</v>
      </c>
      <c r="F358" s="27"/>
    </row>
    <row r="359" ht="12.0" customHeight="1">
      <c r="A359" s="30">
        <v>14.0</v>
      </c>
      <c r="B359" s="31">
        <v>413.0</v>
      </c>
      <c r="C359" s="31">
        <v>1.0</v>
      </c>
      <c r="D359" s="34" t="s">
        <v>627</v>
      </c>
      <c r="E359" s="33" t="s">
        <v>636</v>
      </c>
      <c r="F359" s="27"/>
    </row>
    <row r="360" ht="12.0" customHeight="1">
      <c r="A360" s="30">
        <v>14.0</v>
      </c>
      <c r="B360" s="31">
        <v>413.0</v>
      </c>
      <c r="C360" s="31">
        <v>1.0</v>
      </c>
      <c r="D360" s="34" t="s">
        <v>627</v>
      </c>
      <c r="E360" s="33" t="s">
        <v>637</v>
      </c>
      <c r="F360" s="27"/>
    </row>
    <row r="361" ht="12.0" customHeight="1">
      <c r="A361" s="30">
        <v>14.0</v>
      </c>
      <c r="B361" s="31">
        <v>413.0</v>
      </c>
      <c r="C361" s="31">
        <v>1.0</v>
      </c>
      <c r="D361" s="34" t="s">
        <v>627</v>
      </c>
      <c r="E361" s="33" t="s">
        <v>638</v>
      </c>
      <c r="F361" s="27"/>
    </row>
    <row r="362" ht="12.0" customHeight="1">
      <c r="A362" s="30">
        <v>14.0</v>
      </c>
      <c r="B362" s="31">
        <v>413.0</v>
      </c>
      <c r="C362" s="31">
        <v>1.0</v>
      </c>
      <c r="D362" s="34" t="s">
        <v>627</v>
      </c>
      <c r="E362" s="33" t="s">
        <v>639</v>
      </c>
      <c r="F362" s="27"/>
    </row>
    <row r="363" ht="12.0" customHeight="1">
      <c r="A363" s="30">
        <v>14.0</v>
      </c>
      <c r="B363" s="31">
        <v>413.0</v>
      </c>
      <c r="C363" s="31">
        <v>1.0</v>
      </c>
      <c r="D363" s="34" t="s">
        <v>640</v>
      </c>
      <c r="E363" s="33" t="s">
        <v>641</v>
      </c>
      <c r="F363" s="27"/>
    </row>
    <row r="364" ht="12.0" customHeight="1">
      <c r="A364" s="30">
        <v>14.0</v>
      </c>
      <c r="B364" s="31">
        <v>413.0</v>
      </c>
      <c r="C364" s="31">
        <v>1.0</v>
      </c>
      <c r="D364" s="34" t="s">
        <v>640</v>
      </c>
      <c r="E364" s="33" t="s">
        <v>641</v>
      </c>
      <c r="F364" s="8"/>
    </row>
    <row r="365" ht="12.0" customHeight="1">
      <c r="A365" s="30">
        <v>14.0</v>
      </c>
      <c r="B365" s="31">
        <v>413.0</v>
      </c>
      <c r="C365" s="31">
        <v>1.0</v>
      </c>
      <c r="D365" s="34" t="s">
        <v>640</v>
      </c>
      <c r="E365" s="33" t="s">
        <v>641</v>
      </c>
      <c r="F365" s="8"/>
    </row>
    <row r="366" ht="12.0" customHeight="1">
      <c r="A366" s="30">
        <v>14.0</v>
      </c>
      <c r="B366" s="31">
        <v>413.0</v>
      </c>
      <c r="C366" s="31">
        <v>1.0</v>
      </c>
      <c r="D366" s="34" t="s">
        <v>640</v>
      </c>
      <c r="E366" s="33" t="s">
        <v>641</v>
      </c>
      <c r="F366" s="8"/>
    </row>
    <row r="367" ht="12.0" customHeight="1">
      <c r="A367" s="30">
        <v>14.0</v>
      </c>
      <c r="B367" s="31">
        <v>413.0</v>
      </c>
      <c r="C367" s="31">
        <v>1.0</v>
      </c>
      <c r="D367" s="34" t="s">
        <v>640</v>
      </c>
      <c r="E367" s="33" t="s">
        <v>641</v>
      </c>
      <c r="F367" s="8"/>
    </row>
    <row r="368" ht="12.0" customHeight="1">
      <c r="A368" s="30">
        <v>14.0</v>
      </c>
      <c r="B368" s="31">
        <v>413.0</v>
      </c>
      <c r="C368" s="31">
        <v>1.0</v>
      </c>
      <c r="D368" s="34" t="s">
        <v>640</v>
      </c>
      <c r="E368" s="33" t="s">
        <v>641</v>
      </c>
      <c r="F368" s="8"/>
    </row>
    <row r="369" ht="12.0" customHeight="1">
      <c r="A369" s="30">
        <v>14.0</v>
      </c>
      <c r="B369" s="31">
        <v>413.0</v>
      </c>
      <c r="C369" s="31">
        <v>1.0</v>
      </c>
      <c r="D369" s="34" t="s">
        <v>640</v>
      </c>
      <c r="E369" s="33" t="s">
        <v>641</v>
      </c>
      <c r="F369" s="8"/>
    </row>
    <row r="370" ht="12.0" customHeight="1">
      <c r="A370" s="30">
        <v>14.0</v>
      </c>
      <c r="B370" s="31">
        <v>413.0</v>
      </c>
      <c r="C370" s="31">
        <v>1.0</v>
      </c>
      <c r="D370" s="34" t="s">
        <v>642</v>
      </c>
      <c r="E370" s="33" t="s">
        <v>643</v>
      </c>
      <c r="F370" s="8"/>
    </row>
    <row r="371" ht="12.0" customHeight="1">
      <c r="A371" s="30">
        <v>14.0</v>
      </c>
      <c r="B371" s="31">
        <v>413.0</v>
      </c>
      <c r="C371" s="31">
        <v>1.0</v>
      </c>
      <c r="D371" s="34" t="s">
        <v>644</v>
      </c>
      <c r="E371" s="33" t="s">
        <v>643</v>
      </c>
      <c r="F371" s="8"/>
    </row>
    <row r="372" ht="12.0" customHeight="1">
      <c r="A372" s="30">
        <v>14.0</v>
      </c>
      <c r="B372" s="31">
        <v>413.0</v>
      </c>
      <c r="C372" s="31">
        <v>1.0</v>
      </c>
      <c r="D372" s="34" t="s">
        <v>645</v>
      </c>
      <c r="E372" s="33" t="s">
        <v>643</v>
      </c>
      <c r="F372" s="8"/>
    </row>
    <row r="373" ht="12.0" customHeight="1">
      <c r="A373" s="30">
        <v>14.0</v>
      </c>
      <c r="B373" s="31">
        <v>413.0</v>
      </c>
      <c r="C373" s="31">
        <v>1.0</v>
      </c>
      <c r="D373" s="34" t="s">
        <v>646</v>
      </c>
      <c r="E373" s="33" t="s">
        <v>643</v>
      </c>
      <c r="F373" s="8"/>
    </row>
    <row r="374" ht="12.0" customHeight="1">
      <c r="A374" s="30">
        <v>14.0</v>
      </c>
      <c r="B374" s="31">
        <v>413.0</v>
      </c>
      <c r="C374" s="31">
        <v>1.0</v>
      </c>
      <c r="D374" s="34" t="s">
        <v>647</v>
      </c>
      <c r="E374" s="33" t="s">
        <v>643</v>
      </c>
      <c r="F374" s="8"/>
    </row>
    <row r="375" ht="12.0" customHeight="1">
      <c r="A375" s="30">
        <v>14.0</v>
      </c>
      <c r="B375" s="31">
        <v>413.0</v>
      </c>
      <c r="C375" s="31">
        <v>1.0</v>
      </c>
      <c r="D375" s="34" t="s">
        <v>648</v>
      </c>
      <c r="E375" s="33" t="s">
        <v>649</v>
      </c>
      <c r="F375" s="8"/>
    </row>
    <row r="376" ht="12.0" customHeight="1">
      <c r="A376" s="30">
        <v>14.0</v>
      </c>
      <c r="B376" s="31">
        <v>413.0</v>
      </c>
      <c r="C376" s="31">
        <v>1.0</v>
      </c>
      <c r="D376" s="34" t="s">
        <v>650</v>
      </c>
      <c r="E376" s="33" t="s">
        <v>651</v>
      </c>
      <c r="F376" s="8"/>
    </row>
    <row r="377" ht="12.0" customHeight="1">
      <c r="A377" s="30">
        <v>14.0</v>
      </c>
      <c r="B377" s="31">
        <v>413.0</v>
      </c>
      <c r="C377" s="31">
        <v>1.0</v>
      </c>
      <c r="D377" s="34" t="s">
        <v>652</v>
      </c>
      <c r="E377" s="33" t="s">
        <v>653</v>
      </c>
      <c r="F377" s="8"/>
    </row>
    <row r="378" ht="21.75" customHeight="1">
      <c r="A378" s="37">
        <v>4.0</v>
      </c>
      <c r="B378" s="38">
        <v>414.0</v>
      </c>
      <c r="C378" s="38">
        <v>1.0</v>
      </c>
      <c r="D378" s="39" t="s">
        <v>654</v>
      </c>
      <c r="E378" s="40" t="s">
        <v>538</v>
      </c>
      <c r="F378" s="41"/>
    </row>
    <row r="379" ht="21.75" customHeight="1">
      <c r="A379" s="37">
        <v>4.0</v>
      </c>
      <c r="B379" s="38">
        <v>414.0</v>
      </c>
      <c r="C379" s="38">
        <v>1.0</v>
      </c>
      <c r="D379" s="39" t="s">
        <v>654</v>
      </c>
      <c r="E379" s="40" t="s">
        <v>538</v>
      </c>
      <c r="F379" s="41"/>
    </row>
    <row r="380" ht="21.75" customHeight="1">
      <c r="A380" s="37">
        <v>4.0</v>
      </c>
      <c r="B380" s="38">
        <v>414.0</v>
      </c>
      <c r="C380" s="38">
        <v>1.0</v>
      </c>
      <c r="D380" s="39" t="s">
        <v>654</v>
      </c>
      <c r="E380" s="40" t="s">
        <v>538</v>
      </c>
      <c r="F380" s="41"/>
    </row>
    <row r="381" ht="21.75" customHeight="1">
      <c r="A381" s="37">
        <v>4.0</v>
      </c>
      <c r="B381" s="38">
        <v>414.0</v>
      </c>
      <c r="C381" s="38">
        <v>1.0</v>
      </c>
      <c r="D381" s="39" t="s">
        <v>654</v>
      </c>
      <c r="E381" s="40" t="s">
        <v>538</v>
      </c>
      <c r="F381" s="41"/>
    </row>
    <row r="382" ht="21.75" customHeight="1">
      <c r="A382" s="37">
        <v>4.0</v>
      </c>
      <c r="B382" s="38">
        <v>414.0</v>
      </c>
      <c r="C382" s="38">
        <v>1.0</v>
      </c>
      <c r="D382" s="39" t="s">
        <v>654</v>
      </c>
      <c r="E382" s="40" t="s">
        <v>538</v>
      </c>
      <c r="F382" s="41"/>
    </row>
    <row r="383" ht="21.75" customHeight="1">
      <c r="A383" s="37">
        <v>4.0</v>
      </c>
      <c r="B383" s="38">
        <v>414.0</v>
      </c>
      <c r="C383" s="38">
        <v>1.0</v>
      </c>
      <c r="D383" s="39" t="s">
        <v>654</v>
      </c>
      <c r="E383" s="40" t="s">
        <v>538</v>
      </c>
      <c r="F383" s="41"/>
    </row>
    <row r="384" ht="21.75" customHeight="1">
      <c r="A384" s="37">
        <v>4.0</v>
      </c>
      <c r="B384" s="38">
        <v>414.0</v>
      </c>
      <c r="C384" s="38">
        <v>1.0</v>
      </c>
      <c r="D384" s="39" t="s">
        <v>654</v>
      </c>
      <c r="E384" s="40" t="s">
        <v>538</v>
      </c>
      <c r="F384" s="41"/>
    </row>
    <row r="385" ht="21.75" customHeight="1">
      <c r="A385" s="37">
        <v>4.0</v>
      </c>
      <c r="B385" s="38">
        <v>414.0</v>
      </c>
      <c r="C385" s="38">
        <v>1.0</v>
      </c>
      <c r="D385" s="39" t="s">
        <v>654</v>
      </c>
      <c r="E385" s="40" t="s">
        <v>538</v>
      </c>
      <c r="F385" s="41"/>
    </row>
    <row r="386" ht="21.75" customHeight="1">
      <c r="A386" s="37">
        <v>4.0</v>
      </c>
      <c r="B386" s="38">
        <v>414.0</v>
      </c>
      <c r="C386" s="38">
        <v>1.0</v>
      </c>
      <c r="D386" s="39" t="s">
        <v>654</v>
      </c>
      <c r="E386" s="40" t="s">
        <v>538</v>
      </c>
      <c r="F386" s="41"/>
    </row>
    <row r="387" ht="21.75" customHeight="1">
      <c r="A387" s="37">
        <v>4.0</v>
      </c>
      <c r="B387" s="38">
        <v>414.0</v>
      </c>
      <c r="C387" s="38">
        <v>1.0</v>
      </c>
      <c r="D387" s="39" t="s">
        <v>654</v>
      </c>
      <c r="E387" s="40" t="s">
        <v>538</v>
      </c>
      <c r="F387" s="41"/>
    </row>
    <row r="388" ht="21.75" customHeight="1">
      <c r="A388" s="37">
        <v>4.0</v>
      </c>
      <c r="B388" s="38">
        <v>414.0</v>
      </c>
      <c r="C388" s="38">
        <v>1.0</v>
      </c>
      <c r="D388" s="39" t="s">
        <v>654</v>
      </c>
      <c r="E388" s="40" t="s">
        <v>538</v>
      </c>
      <c r="F388" s="41"/>
    </row>
    <row r="389" ht="21.75" customHeight="1">
      <c r="A389" s="37">
        <v>4.0</v>
      </c>
      <c r="B389" s="38">
        <v>414.0</v>
      </c>
      <c r="C389" s="38">
        <v>1.0</v>
      </c>
      <c r="D389" s="39" t="s">
        <v>654</v>
      </c>
      <c r="E389" s="40" t="s">
        <v>538</v>
      </c>
      <c r="F389" s="41"/>
    </row>
    <row r="390" ht="21.75" customHeight="1">
      <c r="A390" s="37">
        <v>4.0</v>
      </c>
      <c r="B390" s="38">
        <v>414.0</v>
      </c>
      <c r="C390" s="38">
        <v>1.0</v>
      </c>
      <c r="D390" s="39" t="s">
        <v>654</v>
      </c>
      <c r="E390" s="40" t="s">
        <v>538</v>
      </c>
      <c r="F390" s="41"/>
    </row>
    <row r="391" ht="21.75" customHeight="1">
      <c r="A391" s="37">
        <v>4.0</v>
      </c>
      <c r="B391" s="38">
        <v>414.0</v>
      </c>
      <c r="C391" s="38">
        <v>1.0</v>
      </c>
      <c r="D391" s="39" t="s">
        <v>654</v>
      </c>
      <c r="E391" s="40" t="s">
        <v>538</v>
      </c>
      <c r="F391" s="41"/>
    </row>
    <row r="392" ht="21.75" customHeight="1">
      <c r="A392" s="37">
        <v>4.0</v>
      </c>
      <c r="B392" s="38">
        <v>414.0</v>
      </c>
      <c r="C392" s="38">
        <v>1.0</v>
      </c>
      <c r="D392" s="39" t="s">
        <v>654</v>
      </c>
      <c r="E392" s="40" t="s">
        <v>538</v>
      </c>
      <c r="F392" s="41"/>
    </row>
    <row r="393" ht="21.75" customHeight="1">
      <c r="A393" s="37">
        <v>4.0</v>
      </c>
      <c r="B393" s="38">
        <v>414.0</v>
      </c>
      <c r="C393" s="38">
        <v>1.0</v>
      </c>
      <c r="D393" s="39" t="s">
        <v>654</v>
      </c>
      <c r="E393" s="40" t="s">
        <v>538</v>
      </c>
      <c r="F393" s="41"/>
    </row>
    <row r="394" ht="21.75" customHeight="1">
      <c r="A394" s="37">
        <v>4.0</v>
      </c>
      <c r="B394" s="38">
        <v>414.0</v>
      </c>
      <c r="C394" s="38">
        <v>1.0</v>
      </c>
      <c r="D394" s="39" t="s">
        <v>654</v>
      </c>
      <c r="E394" s="40" t="s">
        <v>538</v>
      </c>
      <c r="F394" s="41"/>
    </row>
    <row r="395" ht="21.75" customHeight="1">
      <c r="A395" s="37">
        <v>4.0</v>
      </c>
      <c r="B395" s="38">
        <v>414.0</v>
      </c>
      <c r="C395" s="38">
        <v>1.0</v>
      </c>
      <c r="D395" s="39" t="s">
        <v>654</v>
      </c>
      <c r="E395" s="40" t="s">
        <v>538</v>
      </c>
      <c r="F395" s="41"/>
    </row>
    <row r="396" ht="21.75" customHeight="1">
      <c r="A396" s="37">
        <v>4.0</v>
      </c>
      <c r="B396" s="38">
        <v>414.0</v>
      </c>
      <c r="C396" s="38">
        <v>1.0</v>
      </c>
      <c r="D396" s="39" t="s">
        <v>654</v>
      </c>
      <c r="E396" s="40" t="s">
        <v>538</v>
      </c>
      <c r="F396" s="41"/>
    </row>
    <row r="397" ht="21.75" customHeight="1">
      <c r="A397" s="37">
        <v>4.0</v>
      </c>
      <c r="B397" s="38">
        <v>414.0</v>
      </c>
      <c r="C397" s="38">
        <v>1.0</v>
      </c>
      <c r="D397" s="39" t="s">
        <v>654</v>
      </c>
      <c r="E397" s="40" t="s">
        <v>538</v>
      </c>
      <c r="F397" s="41"/>
    </row>
    <row r="398" ht="21.75" customHeight="1">
      <c r="A398" s="37">
        <v>4.0</v>
      </c>
      <c r="B398" s="38">
        <v>414.0</v>
      </c>
      <c r="C398" s="38">
        <v>1.0</v>
      </c>
      <c r="D398" s="39" t="s">
        <v>654</v>
      </c>
      <c r="E398" s="40" t="s">
        <v>538</v>
      </c>
      <c r="F398" s="41"/>
    </row>
    <row r="399" ht="21.0" customHeight="1">
      <c r="A399" s="5">
        <v>5.0</v>
      </c>
      <c r="B399" s="6">
        <v>415.0</v>
      </c>
      <c r="C399" s="6">
        <v>1.0</v>
      </c>
      <c r="D399" s="16" t="s">
        <v>655</v>
      </c>
      <c r="E399" s="9" t="s">
        <v>656</v>
      </c>
      <c r="F399" s="8"/>
    </row>
    <row r="400" ht="21.0" customHeight="1">
      <c r="A400" s="5">
        <v>5.0</v>
      </c>
      <c r="B400" s="6">
        <v>415.0</v>
      </c>
      <c r="C400" s="6">
        <v>1.0</v>
      </c>
      <c r="D400" s="16" t="s">
        <v>657</v>
      </c>
      <c r="E400" s="9" t="s">
        <v>658</v>
      </c>
      <c r="F400" s="8"/>
    </row>
    <row r="401" ht="21.0" customHeight="1">
      <c r="A401" s="5">
        <v>5.0</v>
      </c>
      <c r="B401" s="6">
        <v>415.0</v>
      </c>
      <c r="C401" s="6">
        <v>1.0</v>
      </c>
      <c r="D401" s="16" t="s">
        <v>659</v>
      </c>
      <c r="E401" s="9" t="s">
        <v>660</v>
      </c>
      <c r="F401" s="8"/>
    </row>
    <row r="402" ht="21.0" customHeight="1">
      <c r="A402" s="5">
        <v>5.0</v>
      </c>
      <c r="B402" s="6">
        <v>415.0</v>
      </c>
      <c r="C402" s="6">
        <v>1.0</v>
      </c>
      <c r="D402" s="16" t="s">
        <v>661</v>
      </c>
      <c r="E402" s="9" t="s">
        <v>662</v>
      </c>
      <c r="F402" s="8"/>
    </row>
    <row r="403" ht="21.0" customHeight="1">
      <c r="A403" s="5">
        <v>5.0</v>
      </c>
      <c r="B403" s="6">
        <v>416.0</v>
      </c>
      <c r="C403" s="6">
        <v>1.0</v>
      </c>
      <c r="D403" s="16" t="s">
        <v>663</v>
      </c>
      <c r="E403" s="9" t="s">
        <v>664</v>
      </c>
      <c r="F403" s="8"/>
    </row>
    <row r="404" ht="21.0" customHeight="1">
      <c r="A404" s="5">
        <v>5.0</v>
      </c>
      <c r="B404" s="6">
        <v>416.0</v>
      </c>
      <c r="C404" s="6">
        <v>1.0</v>
      </c>
      <c r="D404" s="16" t="s">
        <v>665</v>
      </c>
      <c r="E404" s="9" t="s">
        <v>666</v>
      </c>
      <c r="F404" s="8"/>
    </row>
    <row r="405" ht="21.0" customHeight="1">
      <c r="A405" s="5">
        <v>20.0</v>
      </c>
      <c r="B405" s="6">
        <v>415.0</v>
      </c>
      <c r="C405" s="6">
        <v>1.0</v>
      </c>
      <c r="D405" s="16" t="s">
        <v>667</v>
      </c>
      <c r="E405" s="9" t="s">
        <v>615</v>
      </c>
      <c r="F405" s="8"/>
    </row>
    <row r="406" ht="21.0" customHeight="1">
      <c r="A406" s="5">
        <v>20.0</v>
      </c>
      <c r="B406" s="6">
        <v>415.0</v>
      </c>
      <c r="C406" s="6">
        <v>1.0</v>
      </c>
      <c r="D406" s="16" t="s">
        <v>668</v>
      </c>
      <c r="E406" s="9" t="s">
        <v>615</v>
      </c>
      <c r="F406" s="8"/>
    </row>
    <row r="407" ht="21.0" customHeight="1">
      <c r="A407" s="5">
        <v>5.0</v>
      </c>
      <c r="B407" s="6">
        <v>415.0</v>
      </c>
      <c r="C407" s="6">
        <v>1.0</v>
      </c>
      <c r="D407" s="16" t="s">
        <v>669</v>
      </c>
      <c r="E407" s="9" t="s">
        <v>538</v>
      </c>
      <c r="F407" s="8"/>
    </row>
    <row r="408" ht="21.0" customHeight="1">
      <c r="A408" s="5">
        <v>5.0</v>
      </c>
      <c r="B408" s="6">
        <v>415.0</v>
      </c>
      <c r="C408" s="6">
        <v>1.0</v>
      </c>
      <c r="D408" s="16" t="s">
        <v>661</v>
      </c>
      <c r="E408" s="9" t="s">
        <v>662</v>
      </c>
      <c r="F408" s="8"/>
    </row>
    <row r="409" ht="21.0" customHeight="1">
      <c r="A409" s="5">
        <v>20.0</v>
      </c>
      <c r="B409" s="6">
        <v>518.0</v>
      </c>
      <c r="C409" s="6">
        <v>1.0</v>
      </c>
      <c r="D409" s="16" t="s">
        <v>670</v>
      </c>
      <c r="E409" s="9" t="s">
        <v>671</v>
      </c>
      <c r="F409" s="8"/>
    </row>
    <row r="410" ht="21.0" customHeight="1">
      <c r="A410" s="5">
        <v>5.0</v>
      </c>
      <c r="B410" s="6">
        <v>415.0</v>
      </c>
      <c r="C410" s="6">
        <v>1.0</v>
      </c>
      <c r="D410" s="16" t="s">
        <v>672</v>
      </c>
      <c r="E410" s="9" t="s">
        <v>538</v>
      </c>
      <c r="F410" s="8"/>
    </row>
    <row r="411" ht="21.0" customHeight="1">
      <c r="A411" s="5">
        <v>5.0</v>
      </c>
      <c r="B411" s="6">
        <v>415.0</v>
      </c>
      <c r="C411" s="6">
        <v>1.0</v>
      </c>
      <c r="D411" s="16" t="s">
        <v>673</v>
      </c>
      <c r="E411" s="9" t="s">
        <v>538</v>
      </c>
      <c r="F411" s="8"/>
    </row>
    <row r="412" ht="21.0" customHeight="1">
      <c r="A412" s="5">
        <v>20.0</v>
      </c>
      <c r="B412" s="6">
        <v>415.0</v>
      </c>
      <c r="C412" s="6">
        <v>1.0</v>
      </c>
      <c r="D412" s="16" t="s">
        <v>674</v>
      </c>
      <c r="E412" s="9" t="s">
        <v>615</v>
      </c>
      <c r="F412" s="8"/>
    </row>
    <row r="413" ht="21.0" customHeight="1">
      <c r="A413" s="5">
        <v>20.0</v>
      </c>
      <c r="B413" s="6">
        <v>415.0</v>
      </c>
      <c r="C413" s="6">
        <v>1.0</v>
      </c>
      <c r="D413" s="16" t="s">
        <v>675</v>
      </c>
      <c r="E413" s="9" t="s">
        <v>615</v>
      </c>
      <c r="F413" s="8"/>
    </row>
    <row r="414" ht="21.0" customHeight="1">
      <c r="A414" s="5">
        <v>5.0</v>
      </c>
      <c r="B414" s="6">
        <v>415.0</v>
      </c>
      <c r="C414" s="6">
        <v>1.0</v>
      </c>
      <c r="D414" s="16" t="s">
        <v>676</v>
      </c>
      <c r="E414" s="9" t="s">
        <v>538</v>
      </c>
      <c r="F414" s="8"/>
    </row>
    <row r="415" ht="21.0" customHeight="1">
      <c r="A415" s="5">
        <v>20.0</v>
      </c>
      <c r="B415" s="6">
        <v>415.0</v>
      </c>
      <c r="C415" s="6">
        <v>1.0</v>
      </c>
      <c r="D415" s="16" t="s">
        <v>677</v>
      </c>
      <c r="E415" s="9" t="s">
        <v>615</v>
      </c>
      <c r="F415" s="8"/>
    </row>
    <row r="416" ht="21.0" customHeight="1">
      <c r="A416" s="5">
        <v>5.0</v>
      </c>
      <c r="B416" s="6">
        <v>415.0</v>
      </c>
      <c r="C416" s="6">
        <v>1.0</v>
      </c>
      <c r="D416" s="16" t="s">
        <v>678</v>
      </c>
      <c r="E416" s="9" t="s">
        <v>679</v>
      </c>
      <c r="F416" s="8"/>
    </row>
    <row r="417" ht="21.0" customHeight="1">
      <c r="A417" s="5">
        <v>5.0</v>
      </c>
      <c r="B417" s="6">
        <v>415.0</v>
      </c>
      <c r="C417" s="6">
        <v>1.0</v>
      </c>
      <c r="D417" s="16" t="s">
        <v>680</v>
      </c>
      <c r="E417" s="9" t="s">
        <v>681</v>
      </c>
      <c r="F417" s="8"/>
    </row>
    <row r="418" ht="21.0" customHeight="1">
      <c r="A418" s="5">
        <v>5.0</v>
      </c>
      <c r="B418" s="6">
        <v>415.0</v>
      </c>
      <c r="C418" s="6">
        <v>1.0</v>
      </c>
      <c r="D418" s="16" t="s">
        <v>682</v>
      </c>
      <c r="E418" s="9" t="s">
        <v>683</v>
      </c>
      <c r="F418" s="8"/>
    </row>
    <row r="419" ht="21.0" customHeight="1">
      <c r="A419" s="5">
        <v>20.0</v>
      </c>
      <c r="B419" s="6">
        <v>415.0</v>
      </c>
      <c r="C419" s="6">
        <v>1.0</v>
      </c>
      <c r="D419" s="16" t="s">
        <v>684</v>
      </c>
      <c r="E419" s="9" t="s">
        <v>615</v>
      </c>
      <c r="F419" s="8"/>
    </row>
    <row r="420" ht="21.0" customHeight="1">
      <c r="A420" s="5">
        <v>20.0</v>
      </c>
      <c r="B420" s="6">
        <v>415.0</v>
      </c>
      <c r="C420" s="6">
        <v>1.0</v>
      </c>
      <c r="D420" s="16" t="s">
        <v>685</v>
      </c>
      <c r="E420" s="9" t="s">
        <v>615</v>
      </c>
      <c r="F420" s="8"/>
    </row>
    <row r="421" ht="21.0" customHeight="1">
      <c r="A421" s="5">
        <v>20.0</v>
      </c>
      <c r="B421" s="6">
        <v>415.0</v>
      </c>
      <c r="C421" s="6">
        <v>1.0</v>
      </c>
      <c r="D421" s="16" t="s">
        <v>686</v>
      </c>
      <c r="E421" s="9" t="s">
        <v>615</v>
      </c>
      <c r="F421" s="8"/>
    </row>
    <row r="422" ht="21.0" customHeight="1">
      <c r="A422" s="5">
        <v>20.0</v>
      </c>
      <c r="B422" s="6">
        <v>415.0</v>
      </c>
      <c r="C422" s="6">
        <v>1.0</v>
      </c>
      <c r="D422" s="16" t="s">
        <v>687</v>
      </c>
      <c r="E422" s="9" t="s">
        <v>615</v>
      </c>
      <c r="F422" s="8"/>
    </row>
    <row r="423" ht="21.0" customHeight="1">
      <c r="A423" s="5">
        <v>20.0</v>
      </c>
      <c r="B423" s="6">
        <v>415.0</v>
      </c>
      <c r="C423" s="6">
        <v>1.0</v>
      </c>
      <c r="D423" s="16" t="s">
        <v>688</v>
      </c>
      <c r="E423" s="9" t="s">
        <v>615</v>
      </c>
      <c r="F423" s="8"/>
    </row>
    <row r="424" ht="21.0" customHeight="1">
      <c r="A424" s="5">
        <v>20.0</v>
      </c>
      <c r="B424" s="6">
        <v>415.0</v>
      </c>
      <c r="C424" s="6">
        <v>1.0</v>
      </c>
      <c r="D424" s="16" t="s">
        <v>689</v>
      </c>
      <c r="E424" s="9" t="s">
        <v>615</v>
      </c>
      <c r="F424" s="8"/>
    </row>
    <row r="425" ht="21.0" customHeight="1">
      <c r="A425" s="5">
        <v>20.0</v>
      </c>
      <c r="B425" s="6">
        <v>415.0</v>
      </c>
      <c r="C425" s="6">
        <v>1.0</v>
      </c>
      <c r="D425" s="16" t="s">
        <v>690</v>
      </c>
      <c r="E425" s="9" t="s">
        <v>615</v>
      </c>
      <c r="F425" s="8"/>
    </row>
    <row r="426" ht="21.0" customHeight="1">
      <c r="A426" s="5">
        <v>5.0</v>
      </c>
      <c r="B426" s="6">
        <v>501.0</v>
      </c>
      <c r="C426" s="6">
        <v>1.0</v>
      </c>
      <c r="D426" s="16" t="s">
        <v>691</v>
      </c>
      <c r="E426" s="9" t="s">
        <v>538</v>
      </c>
      <c r="F426" s="8"/>
    </row>
    <row r="427" ht="21.0" customHeight="1">
      <c r="A427" s="5">
        <v>5.0</v>
      </c>
      <c r="B427" s="6">
        <v>502.0</v>
      </c>
      <c r="C427" s="6">
        <v>1.0</v>
      </c>
      <c r="D427" s="16" t="s">
        <v>692</v>
      </c>
      <c r="E427" s="9" t="s">
        <v>538</v>
      </c>
      <c r="F427" s="8"/>
    </row>
    <row r="428" ht="21.0" customHeight="1">
      <c r="A428" s="5">
        <v>5.0</v>
      </c>
      <c r="B428" s="6">
        <v>503.0</v>
      </c>
      <c r="C428" s="6">
        <v>1.0</v>
      </c>
      <c r="D428" s="16" t="s">
        <v>693</v>
      </c>
      <c r="E428" s="9" t="s">
        <v>538</v>
      </c>
      <c r="F428" s="8"/>
    </row>
    <row r="429" ht="21.0" customHeight="1">
      <c r="A429" s="5">
        <v>5.0</v>
      </c>
      <c r="B429" s="6">
        <v>506.0</v>
      </c>
      <c r="C429" s="6">
        <v>1.0</v>
      </c>
      <c r="D429" s="42" t="s">
        <v>694</v>
      </c>
      <c r="E429" s="9" t="s">
        <v>695</v>
      </c>
      <c r="F429" s="8"/>
    </row>
    <row r="430" ht="21.0" customHeight="1">
      <c r="A430" s="5">
        <v>5.0</v>
      </c>
      <c r="B430" s="6">
        <v>506.0</v>
      </c>
      <c r="C430" s="6">
        <v>1.0</v>
      </c>
      <c r="D430" s="42" t="s">
        <v>696</v>
      </c>
      <c r="E430" s="9" t="s">
        <v>697</v>
      </c>
      <c r="F430" s="8"/>
    </row>
    <row r="431" ht="21.0" customHeight="1">
      <c r="A431" s="5">
        <v>5.0</v>
      </c>
      <c r="B431" s="6">
        <v>506.0</v>
      </c>
      <c r="C431" s="6">
        <v>1.0</v>
      </c>
      <c r="D431" s="42" t="s">
        <v>698</v>
      </c>
      <c r="E431" s="9" t="s">
        <v>699</v>
      </c>
      <c r="F431" s="8"/>
    </row>
    <row r="432" ht="21.0" customHeight="1">
      <c r="A432" s="5">
        <v>5.0</v>
      </c>
      <c r="B432" s="6">
        <v>506.0</v>
      </c>
      <c r="C432" s="6">
        <v>1.0</v>
      </c>
      <c r="D432" s="42" t="s">
        <v>700</v>
      </c>
      <c r="E432" s="9" t="s">
        <v>701</v>
      </c>
      <c r="F432" s="8"/>
    </row>
    <row r="433" ht="21.0" customHeight="1">
      <c r="A433" s="5">
        <v>5.0</v>
      </c>
      <c r="B433" s="6">
        <v>506.0</v>
      </c>
      <c r="C433" s="6">
        <v>1.0</v>
      </c>
      <c r="D433" s="42" t="s">
        <v>702</v>
      </c>
      <c r="E433" s="9" t="s">
        <v>703</v>
      </c>
      <c r="F433" s="8"/>
    </row>
    <row r="434" ht="21.0" customHeight="1">
      <c r="A434" s="5">
        <v>5.0</v>
      </c>
      <c r="B434" s="6">
        <v>506.0</v>
      </c>
      <c r="C434" s="6">
        <v>1.0</v>
      </c>
      <c r="D434" s="42" t="s">
        <v>704</v>
      </c>
      <c r="E434" s="9" t="s">
        <v>705</v>
      </c>
      <c r="F434" s="8"/>
    </row>
    <row r="435" ht="21.0" customHeight="1">
      <c r="A435" s="5">
        <v>5.0</v>
      </c>
      <c r="B435" s="6">
        <v>506.0</v>
      </c>
      <c r="C435" s="6">
        <v>1.0</v>
      </c>
      <c r="D435" s="42" t="s">
        <v>706</v>
      </c>
      <c r="E435" s="9" t="s">
        <v>707</v>
      </c>
      <c r="F435" s="8"/>
    </row>
    <row r="436" ht="21.0" customHeight="1">
      <c r="A436" s="5">
        <v>5.0</v>
      </c>
      <c r="B436" s="6">
        <v>506.0</v>
      </c>
      <c r="C436" s="6">
        <v>1.0</v>
      </c>
      <c r="D436" s="42" t="s">
        <v>708</v>
      </c>
      <c r="E436" s="9" t="s">
        <v>709</v>
      </c>
      <c r="F436" s="8"/>
    </row>
    <row r="437" ht="21.0" customHeight="1">
      <c r="A437" s="5">
        <v>5.0</v>
      </c>
      <c r="B437" s="6">
        <v>506.0</v>
      </c>
      <c r="C437" s="6">
        <v>1.0</v>
      </c>
      <c r="D437" s="42" t="s">
        <v>710</v>
      </c>
      <c r="E437" s="9" t="s">
        <v>711</v>
      </c>
      <c r="F437" s="8"/>
    </row>
    <row r="438" ht="21.0" customHeight="1">
      <c r="A438" s="5">
        <v>5.0</v>
      </c>
      <c r="B438" s="6">
        <v>506.0</v>
      </c>
      <c r="C438" s="6">
        <v>1.0</v>
      </c>
      <c r="D438" s="42" t="s">
        <v>712</v>
      </c>
      <c r="E438" s="9" t="s">
        <v>713</v>
      </c>
      <c r="F438" s="8"/>
    </row>
    <row r="439" ht="21.0" customHeight="1">
      <c r="A439" s="5">
        <v>5.0</v>
      </c>
      <c r="B439" s="6">
        <v>506.0</v>
      </c>
      <c r="C439" s="6">
        <v>1.0</v>
      </c>
      <c r="D439" s="42" t="s">
        <v>714</v>
      </c>
      <c r="E439" s="9" t="s">
        <v>715</v>
      </c>
      <c r="F439" s="8"/>
    </row>
    <row r="440" ht="21.0" customHeight="1">
      <c r="A440" s="5">
        <v>5.0</v>
      </c>
      <c r="B440" s="6">
        <v>509.0</v>
      </c>
      <c r="C440" s="6">
        <v>1.0</v>
      </c>
      <c r="D440" s="16" t="s">
        <v>716</v>
      </c>
      <c r="E440" s="9" t="s">
        <v>717</v>
      </c>
      <c r="F440" s="8"/>
    </row>
    <row r="441" ht="21.0" customHeight="1">
      <c r="A441" s="5">
        <v>5.0</v>
      </c>
      <c r="B441" s="6">
        <v>509.0</v>
      </c>
      <c r="C441" s="6">
        <v>1.0</v>
      </c>
      <c r="D441" s="16" t="s">
        <v>718</v>
      </c>
      <c r="E441" s="9" t="s">
        <v>717</v>
      </c>
      <c r="F441" s="8"/>
    </row>
    <row r="442" ht="21.0" customHeight="1">
      <c r="A442" s="5">
        <v>5.0</v>
      </c>
      <c r="B442" s="6">
        <v>509.0</v>
      </c>
      <c r="C442" s="6">
        <v>1.0</v>
      </c>
      <c r="D442" s="16" t="s">
        <v>719</v>
      </c>
      <c r="E442" s="9" t="s">
        <v>717</v>
      </c>
      <c r="F442" s="8"/>
    </row>
    <row r="443" ht="21.0" customHeight="1">
      <c r="A443" s="5">
        <v>5.0</v>
      </c>
      <c r="B443" s="6">
        <v>510.0</v>
      </c>
      <c r="C443" s="6">
        <v>1.0</v>
      </c>
      <c r="D443" s="16" t="s">
        <v>720</v>
      </c>
      <c r="E443" s="9" t="s">
        <v>721</v>
      </c>
      <c r="F443" s="8"/>
    </row>
    <row r="444" ht="21.0" customHeight="1">
      <c r="A444" s="5">
        <v>5.0</v>
      </c>
      <c r="B444" s="6">
        <v>510.0</v>
      </c>
      <c r="C444" s="6">
        <v>1.0</v>
      </c>
      <c r="D444" s="16" t="s">
        <v>722</v>
      </c>
      <c r="E444" s="9" t="s">
        <v>721</v>
      </c>
      <c r="F444" s="8"/>
    </row>
    <row r="445" ht="21.0" customHeight="1">
      <c r="A445" s="5">
        <v>5.0</v>
      </c>
      <c r="B445" s="6">
        <v>510.0</v>
      </c>
      <c r="C445" s="6">
        <v>1.0</v>
      </c>
      <c r="D445" s="16" t="s">
        <v>723</v>
      </c>
      <c r="E445" s="9" t="s">
        <v>721</v>
      </c>
      <c r="F445" s="8"/>
    </row>
    <row r="446" ht="21.0" customHeight="1">
      <c r="A446" s="5">
        <v>5.0</v>
      </c>
      <c r="B446" s="6">
        <v>511.0</v>
      </c>
      <c r="C446" s="6">
        <v>1.0</v>
      </c>
      <c r="D446" s="16" t="s">
        <v>724</v>
      </c>
      <c r="E446" s="9" t="s">
        <v>725</v>
      </c>
      <c r="F446" s="8"/>
    </row>
    <row r="447" ht="21.0" customHeight="1">
      <c r="A447" s="5">
        <v>5.0</v>
      </c>
      <c r="B447" s="6">
        <v>511.0</v>
      </c>
      <c r="C447" s="6">
        <v>1.0</v>
      </c>
      <c r="D447" s="16" t="s">
        <v>726</v>
      </c>
      <c r="E447" s="9" t="s">
        <v>725</v>
      </c>
      <c r="F447" s="8"/>
    </row>
    <row r="448" ht="21.0" customHeight="1">
      <c r="A448" s="5">
        <v>5.0</v>
      </c>
      <c r="B448" s="6">
        <v>511.0</v>
      </c>
      <c r="C448" s="6">
        <v>1.0</v>
      </c>
      <c r="D448" s="16" t="s">
        <v>727</v>
      </c>
      <c r="E448" s="9" t="s">
        <v>725</v>
      </c>
      <c r="F448" s="8"/>
    </row>
    <row r="449" ht="21.0" customHeight="1">
      <c r="A449" s="5">
        <v>5.0</v>
      </c>
      <c r="B449" s="6">
        <v>512.0</v>
      </c>
      <c r="C449" s="6">
        <v>1.0</v>
      </c>
      <c r="D449" s="16" t="s">
        <v>728</v>
      </c>
      <c r="E449" s="9" t="s">
        <v>729</v>
      </c>
      <c r="F449" s="8"/>
    </row>
    <row r="450" ht="21.0" customHeight="1">
      <c r="A450" s="5">
        <v>5.0</v>
      </c>
      <c r="B450" s="6">
        <v>512.0</v>
      </c>
      <c r="C450" s="6">
        <v>1.0</v>
      </c>
      <c r="D450" s="16" t="s">
        <v>730</v>
      </c>
      <c r="E450" s="9" t="s">
        <v>729</v>
      </c>
      <c r="F450" s="8"/>
    </row>
    <row r="451" ht="21.0" customHeight="1">
      <c r="A451" s="5">
        <v>5.0</v>
      </c>
      <c r="B451" s="6">
        <v>512.0</v>
      </c>
      <c r="C451" s="6">
        <v>1.0</v>
      </c>
      <c r="D451" s="16" t="s">
        <v>731</v>
      </c>
      <c r="E451" s="9" t="s">
        <v>729</v>
      </c>
      <c r="F451" s="8"/>
    </row>
    <row r="452" ht="21.0" customHeight="1">
      <c r="A452" s="5">
        <v>5.0</v>
      </c>
      <c r="B452" s="6">
        <v>513.0</v>
      </c>
      <c r="C452" s="6">
        <v>1.0</v>
      </c>
      <c r="D452" s="16" t="s">
        <v>732</v>
      </c>
      <c r="E452" s="9" t="s">
        <v>733</v>
      </c>
      <c r="F452" s="8"/>
    </row>
    <row r="453" ht="21.0" customHeight="1">
      <c r="A453" s="5">
        <v>5.0</v>
      </c>
      <c r="B453" s="6">
        <v>513.0</v>
      </c>
      <c r="C453" s="6">
        <v>1.0</v>
      </c>
      <c r="D453" s="16" t="s">
        <v>734</v>
      </c>
      <c r="E453" s="9" t="s">
        <v>735</v>
      </c>
      <c r="F453" s="8"/>
    </row>
    <row r="454" ht="21.0" customHeight="1">
      <c r="A454" s="5">
        <v>5.0</v>
      </c>
      <c r="B454" s="6">
        <v>513.0</v>
      </c>
      <c r="C454" s="6">
        <v>1.0</v>
      </c>
      <c r="D454" s="16" t="s">
        <v>736</v>
      </c>
      <c r="E454" s="9" t="s">
        <v>735</v>
      </c>
      <c r="F454" s="8"/>
    </row>
    <row r="455" ht="21.75" customHeight="1">
      <c r="A455" s="5">
        <v>5.0</v>
      </c>
      <c r="B455" s="6">
        <v>510.0</v>
      </c>
      <c r="C455" s="6">
        <v>1.0</v>
      </c>
      <c r="D455" s="16" t="s">
        <v>737</v>
      </c>
      <c r="E455" s="9" t="s">
        <v>721</v>
      </c>
      <c r="F455" s="8"/>
    </row>
    <row r="456" ht="21.75" customHeight="1">
      <c r="A456" s="5">
        <v>5.0</v>
      </c>
      <c r="B456" s="6">
        <v>509.0</v>
      </c>
      <c r="C456" s="6">
        <v>1.0</v>
      </c>
      <c r="D456" s="16" t="s">
        <v>738</v>
      </c>
      <c r="E456" s="9" t="s">
        <v>717</v>
      </c>
      <c r="F456" s="8"/>
    </row>
    <row r="457" ht="21.75" customHeight="1">
      <c r="A457" s="5">
        <v>5.0</v>
      </c>
      <c r="B457" s="6">
        <v>512.0</v>
      </c>
      <c r="C457" s="6">
        <v>1.0</v>
      </c>
      <c r="D457" s="16" t="s">
        <v>739</v>
      </c>
      <c r="E457" s="9" t="s">
        <v>729</v>
      </c>
      <c r="F457" s="8"/>
    </row>
    <row r="458" ht="21.75" customHeight="1">
      <c r="A458" s="5">
        <v>5.0</v>
      </c>
      <c r="B458" s="6">
        <v>511.0</v>
      </c>
      <c r="C458" s="6">
        <v>1.0</v>
      </c>
      <c r="D458" s="16" t="s">
        <v>740</v>
      </c>
      <c r="E458" s="9" t="s">
        <v>725</v>
      </c>
      <c r="F458" s="8"/>
    </row>
    <row r="459" ht="21.75" customHeight="1">
      <c r="A459" s="5">
        <v>5.0</v>
      </c>
      <c r="B459" s="6">
        <v>506.0</v>
      </c>
      <c r="C459" s="6">
        <v>1.0</v>
      </c>
      <c r="D459" s="16" t="s">
        <v>741</v>
      </c>
      <c r="E459" s="9" t="s">
        <v>742</v>
      </c>
      <c r="F459" s="8"/>
    </row>
    <row r="460" ht="21.75" customHeight="1">
      <c r="A460" s="5">
        <v>5.0</v>
      </c>
      <c r="B460" s="6">
        <v>507.0</v>
      </c>
      <c r="C460" s="6">
        <v>1.0</v>
      </c>
      <c r="D460" s="16" t="s">
        <v>743</v>
      </c>
      <c r="E460" s="9" t="s">
        <v>744</v>
      </c>
      <c r="F460" s="8"/>
    </row>
    <row r="461" ht="21.0" customHeight="1">
      <c r="A461" s="5">
        <v>5.0</v>
      </c>
      <c r="B461" s="6">
        <v>507.0</v>
      </c>
      <c r="C461" s="6">
        <v>1.0</v>
      </c>
      <c r="D461" s="16" t="s">
        <v>745</v>
      </c>
      <c r="E461" s="9" t="s">
        <v>746</v>
      </c>
      <c r="F461" s="8"/>
    </row>
    <row r="462" ht="21.0" customHeight="1">
      <c r="A462" s="5">
        <v>5.0</v>
      </c>
      <c r="B462" s="6">
        <v>507.0</v>
      </c>
      <c r="C462" s="6">
        <v>1.0</v>
      </c>
      <c r="D462" s="16" t="s">
        <v>747</v>
      </c>
      <c r="E462" s="9" t="s">
        <v>748</v>
      </c>
      <c r="F462" s="8"/>
    </row>
    <row r="463" ht="21.0" customHeight="1">
      <c r="A463" s="5">
        <v>5.0</v>
      </c>
      <c r="B463" s="6">
        <v>507.0</v>
      </c>
      <c r="C463" s="6">
        <v>1.0</v>
      </c>
      <c r="D463" s="16" t="s">
        <v>749</v>
      </c>
      <c r="E463" s="9" t="s">
        <v>750</v>
      </c>
      <c r="F463" s="8"/>
    </row>
    <row r="464" ht="21.0" customHeight="1">
      <c r="A464" s="5">
        <v>5.0</v>
      </c>
      <c r="B464" s="6">
        <v>507.0</v>
      </c>
      <c r="C464" s="6">
        <v>1.0</v>
      </c>
      <c r="D464" s="16" t="s">
        <v>751</v>
      </c>
      <c r="E464" s="9" t="s">
        <v>752</v>
      </c>
      <c r="F464" s="8"/>
    </row>
    <row r="465" ht="21.0" customHeight="1">
      <c r="A465" s="5">
        <v>5.0</v>
      </c>
      <c r="B465" s="6">
        <v>507.0</v>
      </c>
      <c r="C465" s="6">
        <v>1.0</v>
      </c>
      <c r="D465" s="16" t="s">
        <v>753</v>
      </c>
      <c r="E465" s="9" t="s">
        <v>754</v>
      </c>
      <c r="F465" s="8"/>
    </row>
    <row r="466" ht="21.0" customHeight="1">
      <c r="A466" s="5">
        <v>5.0</v>
      </c>
      <c r="B466" s="6">
        <v>507.0</v>
      </c>
      <c r="C466" s="6">
        <v>1.0</v>
      </c>
      <c r="D466" s="16" t="s">
        <v>755</v>
      </c>
      <c r="E466" s="9" t="s">
        <v>756</v>
      </c>
      <c r="F466" s="8"/>
    </row>
    <row r="467" ht="21.0" customHeight="1">
      <c r="A467" s="5">
        <v>5.0</v>
      </c>
      <c r="B467" s="6">
        <v>507.0</v>
      </c>
      <c r="C467" s="6">
        <v>1.0</v>
      </c>
      <c r="D467" s="16" t="s">
        <v>757</v>
      </c>
      <c r="E467" s="9" t="s">
        <v>758</v>
      </c>
      <c r="F467" s="8"/>
    </row>
    <row r="468" ht="21.0" customHeight="1">
      <c r="A468" s="5">
        <v>5.0</v>
      </c>
      <c r="B468" s="6">
        <v>507.0</v>
      </c>
      <c r="C468" s="6">
        <v>1.0</v>
      </c>
      <c r="D468" s="16" t="s">
        <v>759</v>
      </c>
      <c r="E468" s="9" t="s">
        <v>760</v>
      </c>
      <c r="F468" s="8"/>
    </row>
    <row r="469" ht="21.0" customHeight="1">
      <c r="A469" s="5">
        <v>5.0</v>
      </c>
      <c r="B469" s="6">
        <v>507.0</v>
      </c>
      <c r="C469" s="6">
        <v>1.0</v>
      </c>
      <c r="D469" s="16" t="s">
        <v>761</v>
      </c>
      <c r="E469" s="9" t="s">
        <v>762</v>
      </c>
      <c r="F469" s="8"/>
    </row>
    <row r="470" ht="21.0" customHeight="1">
      <c r="A470" s="5">
        <v>5.0</v>
      </c>
      <c r="B470" s="6">
        <v>507.0</v>
      </c>
      <c r="C470" s="6">
        <v>1.0</v>
      </c>
      <c r="D470" s="16" t="s">
        <v>763</v>
      </c>
      <c r="E470" s="9" t="s">
        <v>764</v>
      </c>
      <c r="F470" s="8"/>
    </row>
    <row r="471" ht="21.0" customHeight="1">
      <c r="A471" s="5">
        <v>5.0</v>
      </c>
      <c r="B471" s="6">
        <v>507.0</v>
      </c>
      <c r="C471" s="6">
        <v>1.0</v>
      </c>
      <c r="D471" s="16" t="s">
        <v>765</v>
      </c>
      <c r="E471" s="9" t="s">
        <v>766</v>
      </c>
      <c r="F471" s="8"/>
    </row>
    <row r="472" ht="21.0" customHeight="1">
      <c r="A472" s="5">
        <v>5.0</v>
      </c>
      <c r="B472" s="6">
        <v>507.0</v>
      </c>
      <c r="C472" s="6">
        <v>1.0</v>
      </c>
      <c r="D472" s="16" t="s">
        <v>767</v>
      </c>
      <c r="E472" s="9" t="s">
        <v>768</v>
      </c>
      <c r="F472" s="8"/>
    </row>
    <row r="473" ht="21.0" customHeight="1">
      <c r="A473" s="5">
        <v>5.0</v>
      </c>
      <c r="B473" s="6">
        <v>507.0</v>
      </c>
      <c r="C473" s="6">
        <v>1.0</v>
      </c>
      <c r="D473" s="16" t="s">
        <v>769</v>
      </c>
      <c r="E473" s="9" t="s">
        <v>770</v>
      </c>
      <c r="F473" s="8"/>
    </row>
    <row r="474" ht="21.0" customHeight="1">
      <c r="A474" s="5">
        <v>5.0</v>
      </c>
      <c r="B474" s="6">
        <v>507.0</v>
      </c>
      <c r="C474" s="6">
        <v>1.0</v>
      </c>
      <c r="D474" s="16" t="s">
        <v>771</v>
      </c>
      <c r="E474" s="9" t="s">
        <v>772</v>
      </c>
      <c r="F474" s="8"/>
    </row>
    <row r="475" ht="21.0" customHeight="1">
      <c r="A475" s="43">
        <v>5.0</v>
      </c>
      <c r="B475" s="44">
        <v>507.0</v>
      </c>
      <c r="C475" s="44">
        <v>1.0</v>
      </c>
      <c r="D475" s="45" t="s">
        <v>773</v>
      </c>
      <c r="E475" s="46" t="s">
        <v>774</v>
      </c>
      <c r="F475" s="47"/>
    </row>
    <row r="476" ht="21.0" customHeight="1">
      <c r="A476" s="5">
        <v>5.0</v>
      </c>
      <c r="B476" s="6">
        <v>507.0</v>
      </c>
      <c r="C476" s="6">
        <v>1.0</v>
      </c>
      <c r="D476" s="16" t="s">
        <v>775</v>
      </c>
      <c r="E476" s="9" t="s">
        <v>776</v>
      </c>
      <c r="F476" s="8"/>
    </row>
    <row r="477" ht="21.0" customHeight="1">
      <c r="A477" s="5">
        <v>5.0</v>
      </c>
      <c r="B477" s="6">
        <v>507.0</v>
      </c>
      <c r="C477" s="6">
        <v>1.0</v>
      </c>
      <c r="D477" s="16" t="s">
        <v>777</v>
      </c>
      <c r="E477" s="9" t="s">
        <v>778</v>
      </c>
      <c r="F477" s="8"/>
    </row>
    <row r="478" ht="21.0" customHeight="1">
      <c r="A478" s="5">
        <v>5.0</v>
      </c>
      <c r="B478" s="6">
        <v>507.0</v>
      </c>
      <c r="C478" s="6">
        <v>1.0</v>
      </c>
      <c r="D478" s="16" t="s">
        <v>779</v>
      </c>
      <c r="E478" s="9" t="s">
        <v>780</v>
      </c>
      <c r="F478" s="8"/>
    </row>
    <row r="479" ht="21.0" customHeight="1">
      <c r="A479" s="5">
        <v>5.0</v>
      </c>
      <c r="B479" s="6">
        <v>507.0</v>
      </c>
      <c r="C479" s="6">
        <v>1.0</v>
      </c>
      <c r="D479" s="16" t="s">
        <v>781</v>
      </c>
      <c r="E479" s="9" t="s">
        <v>782</v>
      </c>
      <c r="F479" s="8"/>
    </row>
    <row r="480" ht="21.0" customHeight="1">
      <c r="A480" s="5">
        <v>5.0</v>
      </c>
      <c r="B480" s="6">
        <v>507.0</v>
      </c>
      <c r="C480" s="6">
        <v>1.0</v>
      </c>
      <c r="D480" s="16" t="s">
        <v>783</v>
      </c>
      <c r="E480" s="9" t="s">
        <v>784</v>
      </c>
      <c r="F480" s="8"/>
    </row>
    <row r="481" ht="21.0" customHeight="1">
      <c r="A481" s="5">
        <v>5.0</v>
      </c>
      <c r="B481" s="6">
        <v>507.0</v>
      </c>
      <c r="C481" s="6">
        <v>1.0</v>
      </c>
      <c r="D481" s="16" t="s">
        <v>785</v>
      </c>
      <c r="E481" s="9" t="s">
        <v>786</v>
      </c>
      <c r="F481" s="8"/>
    </row>
    <row r="482" ht="21.0" customHeight="1">
      <c r="A482" s="5">
        <v>5.0</v>
      </c>
      <c r="B482" s="6">
        <v>508.0</v>
      </c>
      <c r="C482" s="6">
        <v>1.0</v>
      </c>
      <c r="D482" s="16" t="s">
        <v>787</v>
      </c>
      <c r="E482" s="9" t="s">
        <v>788</v>
      </c>
      <c r="F482" s="8"/>
    </row>
    <row r="483" ht="21.0" customHeight="1">
      <c r="A483" s="5">
        <v>5.0</v>
      </c>
      <c r="B483" s="6">
        <v>508.0</v>
      </c>
      <c r="C483" s="6">
        <v>1.0</v>
      </c>
      <c r="D483" s="16" t="s">
        <v>789</v>
      </c>
      <c r="E483" s="9" t="s">
        <v>790</v>
      </c>
      <c r="F483" s="8"/>
    </row>
    <row r="484" ht="21.0" customHeight="1">
      <c r="A484" s="5">
        <v>5.0</v>
      </c>
      <c r="B484" s="6">
        <v>508.0</v>
      </c>
      <c r="C484" s="6">
        <v>1.0</v>
      </c>
      <c r="D484" s="16" t="s">
        <v>791</v>
      </c>
      <c r="E484" s="9" t="s">
        <v>792</v>
      </c>
      <c r="F484" s="8"/>
    </row>
    <row r="485" ht="21.0" customHeight="1">
      <c r="A485" s="5">
        <v>5.0</v>
      </c>
      <c r="B485" s="6">
        <v>508.0</v>
      </c>
      <c r="C485" s="6">
        <v>1.0</v>
      </c>
      <c r="D485" s="16" t="s">
        <v>793</v>
      </c>
      <c r="E485" s="9" t="s">
        <v>794</v>
      </c>
      <c r="F485" s="8"/>
    </row>
    <row r="486" ht="21.0" customHeight="1">
      <c r="A486" s="5">
        <v>5.0</v>
      </c>
      <c r="B486" s="6">
        <v>508.0</v>
      </c>
      <c r="C486" s="6">
        <v>1.0</v>
      </c>
      <c r="D486" s="16" t="s">
        <v>795</v>
      </c>
      <c r="E486" s="9" t="s">
        <v>796</v>
      </c>
      <c r="F486" s="8"/>
    </row>
    <row r="487" ht="21.0" customHeight="1">
      <c r="A487" s="5">
        <v>5.0</v>
      </c>
      <c r="B487" s="6">
        <v>513.0</v>
      </c>
      <c r="C487" s="6">
        <v>1.0</v>
      </c>
      <c r="D487" s="16" t="s">
        <v>797</v>
      </c>
      <c r="E487" s="9" t="s">
        <v>798</v>
      </c>
      <c r="F487" s="8"/>
    </row>
    <row r="488" ht="21.0" customHeight="1">
      <c r="A488" s="5">
        <v>5.0</v>
      </c>
      <c r="B488" s="6">
        <v>507.0</v>
      </c>
      <c r="C488" s="6">
        <v>1.0</v>
      </c>
      <c r="D488" s="16" t="s">
        <v>799</v>
      </c>
      <c r="E488" s="9" t="s">
        <v>800</v>
      </c>
      <c r="F488" s="8"/>
    </row>
    <row r="489" ht="21.0" customHeight="1">
      <c r="A489" s="5">
        <v>5.0</v>
      </c>
      <c r="B489" s="6">
        <v>507.0</v>
      </c>
      <c r="C489" s="6">
        <v>1.0</v>
      </c>
      <c r="D489" s="16" t="s">
        <v>801</v>
      </c>
      <c r="E489" s="9" t="s">
        <v>800</v>
      </c>
      <c r="F489" s="8"/>
    </row>
    <row r="490" ht="21.0" customHeight="1">
      <c r="A490" s="5">
        <v>5.0</v>
      </c>
      <c r="B490" s="6">
        <v>507.0</v>
      </c>
      <c r="C490" s="6">
        <v>1.0</v>
      </c>
      <c r="D490" s="16" t="s">
        <v>802</v>
      </c>
      <c r="E490" s="9" t="s">
        <v>800</v>
      </c>
      <c r="F490" s="8"/>
    </row>
    <row r="491" ht="21.0" customHeight="1">
      <c r="A491" s="5">
        <v>5.0</v>
      </c>
      <c r="B491" s="6">
        <v>507.0</v>
      </c>
      <c r="C491" s="6">
        <v>1.0</v>
      </c>
      <c r="D491" s="16" t="s">
        <v>803</v>
      </c>
      <c r="E491" s="9" t="s">
        <v>800</v>
      </c>
      <c r="F491" s="8"/>
    </row>
    <row r="492" ht="21.0" customHeight="1">
      <c r="A492" s="5">
        <v>5.0</v>
      </c>
      <c r="B492" s="6">
        <v>507.0</v>
      </c>
      <c r="C492" s="6">
        <v>1.0</v>
      </c>
      <c r="D492" s="16" t="s">
        <v>804</v>
      </c>
      <c r="E492" s="9" t="s">
        <v>800</v>
      </c>
      <c r="F492" s="8"/>
    </row>
    <row r="493" ht="21.0" customHeight="1">
      <c r="A493" s="5">
        <v>5.0</v>
      </c>
      <c r="B493" s="6">
        <v>507.0</v>
      </c>
      <c r="C493" s="6">
        <v>1.0</v>
      </c>
      <c r="D493" s="16" t="s">
        <v>805</v>
      </c>
      <c r="E493" s="9" t="s">
        <v>800</v>
      </c>
      <c r="F493" s="8"/>
    </row>
    <row r="494" ht="21.0" customHeight="1">
      <c r="A494" s="5">
        <v>5.0</v>
      </c>
      <c r="B494" s="6">
        <v>507.0</v>
      </c>
      <c r="C494" s="6">
        <v>1.0</v>
      </c>
      <c r="D494" s="16" t="s">
        <v>806</v>
      </c>
      <c r="E494" s="9" t="s">
        <v>800</v>
      </c>
      <c r="F494" s="8"/>
    </row>
    <row r="495" ht="21.0" customHeight="1">
      <c r="A495" s="5">
        <v>5.0</v>
      </c>
      <c r="B495" s="6">
        <v>507.0</v>
      </c>
      <c r="C495" s="6">
        <v>1.0</v>
      </c>
      <c r="D495" s="16" t="s">
        <v>807</v>
      </c>
      <c r="E495" s="9" t="s">
        <v>800</v>
      </c>
      <c r="F495" s="8"/>
    </row>
    <row r="496" ht="21.0" customHeight="1">
      <c r="A496" s="5">
        <v>5.0</v>
      </c>
      <c r="B496" s="6">
        <v>507.0</v>
      </c>
      <c r="C496" s="6">
        <v>1.0</v>
      </c>
      <c r="D496" s="16" t="s">
        <v>808</v>
      </c>
      <c r="E496" s="9" t="s">
        <v>800</v>
      </c>
      <c r="F496" s="8"/>
    </row>
    <row r="497" ht="21.0" customHeight="1">
      <c r="A497" s="5">
        <v>5.0</v>
      </c>
      <c r="B497" s="6">
        <v>507.0</v>
      </c>
      <c r="C497" s="6">
        <v>1.0</v>
      </c>
      <c r="D497" s="16" t="s">
        <v>809</v>
      </c>
      <c r="E497" s="9" t="s">
        <v>800</v>
      </c>
      <c r="F497" s="8"/>
    </row>
    <row r="498" ht="21.0" customHeight="1">
      <c r="A498" s="5">
        <v>5.0</v>
      </c>
      <c r="B498" s="6">
        <v>507.0</v>
      </c>
      <c r="C498" s="6">
        <v>1.0</v>
      </c>
      <c r="D498" s="16" t="s">
        <v>810</v>
      </c>
      <c r="E498" s="9" t="s">
        <v>800</v>
      </c>
      <c r="F498" s="8"/>
    </row>
    <row r="499" ht="21.0" customHeight="1">
      <c r="A499" s="5">
        <v>5.0</v>
      </c>
      <c r="B499" s="6">
        <v>507.0</v>
      </c>
      <c r="C499" s="6">
        <v>1.0</v>
      </c>
      <c r="D499" s="16" t="s">
        <v>811</v>
      </c>
      <c r="E499" s="9" t="s">
        <v>812</v>
      </c>
      <c r="F499" s="8"/>
    </row>
    <row r="500" ht="21.0" customHeight="1">
      <c r="A500" s="5">
        <v>5.0</v>
      </c>
      <c r="B500" s="6">
        <v>513.0</v>
      </c>
      <c r="C500" s="6">
        <v>1.0</v>
      </c>
      <c r="D500" s="16" t="s">
        <v>813</v>
      </c>
      <c r="E500" s="9" t="s">
        <v>814</v>
      </c>
      <c r="F500" s="8"/>
    </row>
    <row r="501" ht="21.0" customHeight="1">
      <c r="A501" s="5">
        <v>5.0</v>
      </c>
      <c r="B501" s="6">
        <v>513.0</v>
      </c>
      <c r="C501" s="6">
        <v>1.0</v>
      </c>
      <c r="D501" s="16" t="s">
        <v>815</v>
      </c>
      <c r="E501" s="9" t="s">
        <v>814</v>
      </c>
      <c r="F501" s="8"/>
    </row>
    <row r="502" ht="21.0" customHeight="1">
      <c r="A502" s="5">
        <v>5.0</v>
      </c>
      <c r="B502" s="6">
        <v>513.0</v>
      </c>
      <c r="C502" s="6">
        <v>1.0</v>
      </c>
      <c r="D502" s="16" t="s">
        <v>816</v>
      </c>
      <c r="E502" s="9" t="s">
        <v>817</v>
      </c>
      <c r="F502" s="8"/>
    </row>
    <row r="503" ht="21.0" customHeight="1">
      <c r="A503" s="5">
        <v>5.0</v>
      </c>
      <c r="B503" s="6">
        <v>537.0</v>
      </c>
      <c r="C503" s="6">
        <v>1.0</v>
      </c>
      <c r="D503" s="15" t="s">
        <v>818</v>
      </c>
      <c r="E503" s="9" t="s">
        <v>819</v>
      </c>
      <c r="F503" s="8"/>
    </row>
    <row r="504" ht="21.0" customHeight="1">
      <c r="A504" s="5">
        <v>5.0</v>
      </c>
      <c r="B504" s="6">
        <v>537.0</v>
      </c>
      <c r="C504" s="6">
        <v>1.0</v>
      </c>
      <c r="D504" s="15" t="s">
        <v>820</v>
      </c>
      <c r="E504" s="9" t="s">
        <v>821</v>
      </c>
      <c r="F504" s="8"/>
    </row>
    <row r="505" ht="21.0" customHeight="1">
      <c r="A505" s="5">
        <v>5.0</v>
      </c>
      <c r="B505" s="6">
        <v>537.0</v>
      </c>
      <c r="C505" s="6">
        <v>1.0</v>
      </c>
      <c r="D505" s="15" t="s">
        <v>822</v>
      </c>
      <c r="E505" s="9" t="s">
        <v>823</v>
      </c>
      <c r="F505" s="8"/>
    </row>
    <row r="506" ht="21.0" customHeight="1">
      <c r="A506" s="5">
        <v>5.0</v>
      </c>
      <c r="B506" s="6">
        <v>537.0</v>
      </c>
      <c r="C506" s="6">
        <v>1.0</v>
      </c>
      <c r="D506" s="15" t="s">
        <v>824</v>
      </c>
      <c r="E506" s="9" t="s">
        <v>825</v>
      </c>
      <c r="F506" s="8"/>
    </row>
    <row r="507" ht="21.0" customHeight="1">
      <c r="A507" s="5">
        <v>5.0</v>
      </c>
      <c r="B507" s="6">
        <v>537.0</v>
      </c>
      <c r="C507" s="6">
        <v>1.0</v>
      </c>
      <c r="D507" s="15" t="s">
        <v>826</v>
      </c>
      <c r="E507" s="9" t="s">
        <v>825</v>
      </c>
      <c r="F507" s="8"/>
    </row>
    <row r="508" ht="21.0" customHeight="1">
      <c r="A508" s="5">
        <v>5.0</v>
      </c>
      <c r="B508" s="6">
        <v>507.0</v>
      </c>
      <c r="C508" s="6">
        <v>1.0</v>
      </c>
      <c r="D508" s="16" t="s">
        <v>827</v>
      </c>
      <c r="E508" s="9" t="s">
        <v>800</v>
      </c>
      <c r="F508" s="8"/>
    </row>
    <row r="509" ht="21.0" customHeight="1">
      <c r="A509" s="5">
        <v>5.0</v>
      </c>
      <c r="B509" s="6">
        <v>507.0</v>
      </c>
      <c r="C509" s="6">
        <v>1.0</v>
      </c>
      <c r="D509" s="16" t="s">
        <v>827</v>
      </c>
      <c r="E509" s="9" t="s">
        <v>800</v>
      </c>
      <c r="F509" s="8"/>
    </row>
    <row r="510" ht="21.0" customHeight="1">
      <c r="A510" s="5">
        <v>5.0</v>
      </c>
      <c r="B510" s="6">
        <v>507.0</v>
      </c>
      <c r="C510" s="6">
        <v>1.0</v>
      </c>
      <c r="D510" s="16" t="s">
        <v>827</v>
      </c>
      <c r="E510" s="9" t="s">
        <v>800</v>
      </c>
      <c r="F510" s="8"/>
    </row>
    <row r="511" ht="21.0" customHeight="1">
      <c r="A511" s="5">
        <v>5.0</v>
      </c>
      <c r="B511" s="6">
        <v>507.0</v>
      </c>
      <c r="C511" s="6">
        <v>1.0</v>
      </c>
      <c r="D511" s="16" t="s">
        <v>827</v>
      </c>
      <c r="E511" s="9" t="s">
        <v>800</v>
      </c>
      <c r="F511" s="8"/>
    </row>
    <row r="512" ht="21.0" customHeight="1">
      <c r="A512" s="5">
        <v>5.0</v>
      </c>
      <c r="B512" s="6">
        <v>507.0</v>
      </c>
      <c r="C512" s="6">
        <v>1.0</v>
      </c>
      <c r="D512" s="16" t="s">
        <v>827</v>
      </c>
      <c r="E512" s="9" t="s">
        <v>800</v>
      </c>
      <c r="F512" s="8"/>
    </row>
    <row r="513" ht="21.0" customHeight="1">
      <c r="A513" s="5">
        <v>5.0</v>
      </c>
      <c r="B513" s="6">
        <v>514.0</v>
      </c>
      <c r="C513" s="6">
        <v>1.0</v>
      </c>
      <c r="D513" s="15" t="s">
        <v>828</v>
      </c>
      <c r="E513" s="9" t="s">
        <v>829</v>
      </c>
      <c r="F513" s="8"/>
    </row>
    <row r="514" ht="21.0" customHeight="1">
      <c r="A514" s="5">
        <v>5.0</v>
      </c>
      <c r="B514" s="6">
        <v>514.0</v>
      </c>
      <c r="C514" s="6">
        <v>1.0</v>
      </c>
      <c r="D514" s="15" t="s">
        <v>830</v>
      </c>
      <c r="E514" s="9" t="s">
        <v>831</v>
      </c>
      <c r="F514" s="8"/>
    </row>
    <row r="515" ht="21.0" customHeight="1">
      <c r="A515" s="5">
        <v>5.0</v>
      </c>
      <c r="B515" s="6">
        <v>514.0</v>
      </c>
      <c r="C515" s="6">
        <v>1.0</v>
      </c>
      <c r="D515" s="15" t="s">
        <v>832</v>
      </c>
      <c r="E515" s="9" t="s">
        <v>829</v>
      </c>
      <c r="F515" s="8"/>
    </row>
    <row r="516" ht="21.0" customHeight="1">
      <c r="A516" s="5">
        <v>5.0</v>
      </c>
      <c r="B516" s="6">
        <v>514.0</v>
      </c>
      <c r="C516" s="6">
        <v>1.0</v>
      </c>
      <c r="D516" s="15" t="s">
        <v>833</v>
      </c>
      <c r="E516" s="9" t="s">
        <v>831</v>
      </c>
      <c r="F516" s="8"/>
    </row>
    <row r="517" ht="21.0" customHeight="1">
      <c r="A517" s="5">
        <v>17.0</v>
      </c>
      <c r="B517" s="6">
        <v>515.0</v>
      </c>
      <c r="C517" s="6">
        <v>1.0</v>
      </c>
      <c r="D517" s="16" t="s">
        <v>834</v>
      </c>
      <c r="E517" s="9" t="s">
        <v>615</v>
      </c>
      <c r="F517" s="8"/>
    </row>
    <row r="518" ht="21.0" customHeight="1">
      <c r="A518" s="5">
        <v>17.0</v>
      </c>
      <c r="B518" s="6">
        <v>516.0</v>
      </c>
      <c r="C518" s="6">
        <v>1.0</v>
      </c>
      <c r="D518" s="16" t="s">
        <v>835</v>
      </c>
      <c r="E518" s="9" t="s">
        <v>615</v>
      </c>
      <c r="F518" s="8"/>
    </row>
    <row r="519" ht="21.0" customHeight="1">
      <c r="A519" s="5">
        <v>14.0</v>
      </c>
      <c r="B519" s="6">
        <v>517.0</v>
      </c>
      <c r="C519" s="6">
        <v>1.0</v>
      </c>
      <c r="D519" s="16" t="s">
        <v>836</v>
      </c>
      <c r="E519" s="9" t="s">
        <v>615</v>
      </c>
      <c r="F519" s="8"/>
    </row>
    <row r="520" ht="21.0" customHeight="1">
      <c r="A520" s="5">
        <v>17.0</v>
      </c>
      <c r="B520" s="6">
        <v>518.0</v>
      </c>
      <c r="C520" s="6">
        <v>1.0</v>
      </c>
      <c r="D520" s="16" t="s">
        <v>837</v>
      </c>
      <c r="E520" s="9" t="s">
        <v>615</v>
      </c>
      <c r="F520" s="8"/>
    </row>
    <row r="521" ht="21.0" customHeight="1">
      <c r="A521" s="5">
        <v>14.0</v>
      </c>
      <c r="B521" s="6">
        <v>518.0</v>
      </c>
      <c r="C521" s="6">
        <v>1.0</v>
      </c>
      <c r="D521" s="16" t="s">
        <v>838</v>
      </c>
      <c r="E521" s="9" t="s">
        <v>839</v>
      </c>
      <c r="F521" s="8"/>
    </row>
    <row r="522" ht="21.0" customHeight="1">
      <c r="A522" s="5">
        <v>14.0</v>
      </c>
      <c r="B522" s="6">
        <v>518.0</v>
      </c>
      <c r="C522" s="6">
        <v>1.0</v>
      </c>
      <c r="D522" s="16" t="s">
        <v>840</v>
      </c>
      <c r="E522" s="9" t="s">
        <v>841</v>
      </c>
      <c r="F522" s="8"/>
    </row>
    <row r="523" ht="21.0" customHeight="1">
      <c r="A523" s="5">
        <v>14.0</v>
      </c>
      <c r="B523" s="6">
        <v>518.0</v>
      </c>
      <c r="C523" s="6">
        <v>1.0</v>
      </c>
      <c r="D523" s="16" t="s">
        <v>842</v>
      </c>
      <c r="E523" s="9" t="s">
        <v>843</v>
      </c>
      <c r="F523" s="8"/>
    </row>
    <row r="524" ht="21.0" customHeight="1">
      <c r="A524" s="5">
        <v>17.0</v>
      </c>
      <c r="B524" s="6">
        <v>518.0</v>
      </c>
      <c r="C524" s="6">
        <v>1.0</v>
      </c>
      <c r="D524" s="16" t="s">
        <v>844</v>
      </c>
      <c r="E524" s="9" t="s">
        <v>615</v>
      </c>
      <c r="F524" s="8"/>
    </row>
    <row r="525" ht="21.0" customHeight="1">
      <c r="A525" s="5">
        <v>17.0</v>
      </c>
      <c r="B525" s="6">
        <v>518.0</v>
      </c>
      <c r="C525" s="6">
        <v>1.0</v>
      </c>
      <c r="D525" s="16" t="s">
        <v>845</v>
      </c>
      <c r="E525" s="9" t="s">
        <v>615</v>
      </c>
      <c r="F525" s="8"/>
    </row>
    <row r="526" ht="21.0" customHeight="1">
      <c r="A526" s="5">
        <v>17.0</v>
      </c>
      <c r="B526" s="6">
        <v>518.0</v>
      </c>
      <c r="C526" s="6">
        <v>1.0</v>
      </c>
      <c r="D526" s="16" t="s">
        <v>846</v>
      </c>
      <c r="E526" s="9" t="s">
        <v>615</v>
      </c>
      <c r="F526" s="8"/>
    </row>
    <row r="527" ht="21.0" customHeight="1">
      <c r="A527" s="5">
        <v>17.0</v>
      </c>
      <c r="B527" s="6">
        <v>518.0</v>
      </c>
      <c r="C527" s="6">
        <v>1.0</v>
      </c>
      <c r="D527" s="16" t="s">
        <v>847</v>
      </c>
      <c r="E527" s="9" t="s">
        <v>848</v>
      </c>
      <c r="F527" s="8"/>
    </row>
    <row r="528" ht="21.0" customHeight="1">
      <c r="A528" s="5">
        <v>17.0</v>
      </c>
      <c r="B528" s="6">
        <v>518.0</v>
      </c>
      <c r="C528" s="6">
        <v>1.0</v>
      </c>
      <c r="D528" s="16" t="s">
        <v>849</v>
      </c>
      <c r="E528" s="9" t="s">
        <v>615</v>
      </c>
      <c r="F528" s="8"/>
    </row>
    <row r="529" ht="21.0" customHeight="1">
      <c r="A529" s="5">
        <v>17.0</v>
      </c>
      <c r="B529" s="6">
        <v>518.0</v>
      </c>
      <c r="C529" s="6">
        <v>1.0</v>
      </c>
      <c r="D529" s="16" t="s">
        <v>850</v>
      </c>
      <c r="E529" s="9" t="s">
        <v>615</v>
      </c>
      <c r="F529" s="8"/>
    </row>
    <row r="530" ht="21.0" customHeight="1">
      <c r="A530" s="5">
        <v>17.0</v>
      </c>
      <c r="B530" s="6">
        <v>518.0</v>
      </c>
      <c r="C530" s="6">
        <v>1.0</v>
      </c>
      <c r="D530" s="16" t="s">
        <v>851</v>
      </c>
      <c r="E530" s="9" t="s">
        <v>615</v>
      </c>
      <c r="F530" s="8"/>
    </row>
    <row r="531" ht="21.0" customHeight="1">
      <c r="A531" s="5">
        <v>17.0</v>
      </c>
      <c r="B531" s="6">
        <v>518.0</v>
      </c>
      <c r="C531" s="6">
        <v>1.0</v>
      </c>
      <c r="D531" s="16" t="s">
        <v>852</v>
      </c>
      <c r="E531" s="9" t="s">
        <v>615</v>
      </c>
      <c r="F531" s="8"/>
    </row>
    <row r="532" ht="21.0" customHeight="1">
      <c r="A532" s="5">
        <v>17.0</v>
      </c>
      <c r="B532" s="6">
        <v>518.0</v>
      </c>
      <c r="C532" s="6">
        <v>1.0</v>
      </c>
      <c r="D532" s="16" t="s">
        <v>853</v>
      </c>
      <c r="E532" s="9" t="s">
        <v>615</v>
      </c>
      <c r="F532" s="8"/>
    </row>
    <row r="533" ht="21.0" customHeight="1">
      <c r="A533" s="5">
        <v>17.0</v>
      </c>
      <c r="B533" s="6">
        <v>518.0</v>
      </c>
      <c r="C533" s="6">
        <v>1.0</v>
      </c>
      <c r="D533" s="16" t="s">
        <v>854</v>
      </c>
      <c r="E533" s="9" t="s">
        <v>615</v>
      </c>
      <c r="F533" s="8"/>
    </row>
    <row r="534" ht="21.0" customHeight="1">
      <c r="A534" s="30">
        <v>20.0</v>
      </c>
      <c r="B534" s="31">
        <v>518.0</v>
      </c>
      <c r="C534" s="31">
        <v>1.0</v>
      </c>
      <c r="D534" s="34" t="s">
        <v>837</v>
      </c>
      <c r="E534" s="33" t="s">
        <v>615</v>
      </c>
      <c r="F534" s="27"/>
    </row>
    <row r="535" ht="21.0" customHeight="1">
      <c r="A535" s="5">
        <v>20.0</v>
      </c>
      <c r="B535" s="6">
        <v>518.0</v>
      </c>
      <c r="C535" s="6">
        <v>1.0</v>
      </c>
      <c r="D535" s="16" t="s">
        <v>855</v>
      </c>
      <c r="E535" s="9" t="s">
        <v>615</v>
      </c>
      <c r="F535" s="8"/>
    </row>
    <row r="536" ht="21.0" customHeight="1">
      <c r="A536" s="5">
        <v>20.0</v>
      </c>
      <c r="B536" s="6">
        <v>518.0</v>
      </c>
      <c r="C536" s="6">
        <v>1.0</v>
      </c>
      <c r="D536" s="16" t="s">
        <v>856</v>
      </c>
      <c r="E536" s="9" t="s">
        <v>615</v>
      </c>
      <c r="F536" s="8"/>
    </row>
    <row r="537" ht="21.0" customHeight="1">
      <c r="A537" s="5">
        <v>20.0</v>
      </c>
      <c r="B537" s="6">
        <v>518.0</v>
      </c>
      <c r="C537" s="6">
        <v>1.0</v>
      </c>
      <c r="D537" s="16" t="s">
        <v>857</v>
      </c>
      <c r="E537" s="9" t="s">
        <v>615</v>
      </c>
      <c r="F537" s="8"/>
    </row>
    <row r="538" ht="21.0" customHeight="1">
      <c r="A538" s="5">
        <v>20.0</v>
      </c>
      <c r="B538" s="6">
        <v>518.0</v>
      </c>
      <c r="C538" s="6">
        <v>1.0</v>
      </c>
      <c r="D538" s="16" t="s">
        <v>858</v>
      </c>
      <c r="E538" s="9" t="s">
        <v>615</v>
      </c>
      <c r="F538" s="8"/>
    </row>
    <row r="539" ht="21.0" customHeight="1">
      <c r="A539" s="5">
        <v>17.0</v>
      </c>
      <c r="B539" s="6">
        <v>518.0</v>
      </c>
      <c r="C539" s="6">
        <v>1.0</v>
      </c>
      <c r="D539" s="16" t="s">
        <v>859</v>
      </c>
      <c r="E539" s="9" t="s">
        <v>615</v>
      </c>
      <c r="F539" s="8"/>
    </row>
    <row r="540" ht="21.0" customHeight="1">
      <c r="A540" s="5">
        <v>17.0</v>
      </c>
      <c r="B540" s="6">
        <v>518.0</v>
      </c>
      <c r="C540" s="6">
        <v>1.0</v>
      </c>
      <c r="D540" s="16" t="s">
        <v>860</v>
      </c>
      <c r="E540" s="9" t="s">
        <v>615</v>
      </c>
      <c r="F540" s="8"/>
    </row>
    <row r="541" ht="21.0" customHeight="1">
      <c r="A541" s="5">
        <v>17.0</v>
      </c>
      <c r="B541" s="6">
        <v>518.0</v>
      </c>
      <c r="C541" s="6">
        <v>1.0</v>
      </c>
      <c r="D541" s="16" t="s">
        <v>320</v>
      </c>
      <c r="E541" s="9" t="s">
        <v>615</v>
      </c>
      <c r="F541" s="8"/>
    </row>
    <row r="542" ht="21.0" customHeight="1">
      <c r="A542" s="5">
        <v>17.0</v>
      </c>
      <c r="B542" s="6">
        <v>518.0</v>
      </c>
      <c r="C542" s="6">
        <v>1.0</v>
      </c>
      <c r="D542" s="16" t="s">
        <v>318</v>
      </c>
      <c r="E542" s="9" t="s">
        <v>615</v>
      </c>
      <c r="F542" s="8"/>
    </row>
    <row r="543" ht="21.0" customHeight="1">
      <c r="A543" s="5">
        <v>20.0</v>
      </c>
      <c r="B543" s="6">
        <v>518.0</v>
      </c>
      <c r="C543" s="6">
        <v>1.0</v>
      </c>
      <c r="D543" s="16" t="s">
        <v>861</v>
      </c>
      <c r="E543" s="9" t="s">
        <v>615</v>
      </c>
      <c r="F543" s="8"/>
    </row>
    <row r="544" ht="21.0" customHeight="1">
      <c r="A544" s="5">
        <v>20.0</v>
      </c>
      <c r="B544" s="6">
        <v>518.0</v>
      </c>
      <c r="C544" s="6">
        <v>1.0</v>
      </c>
      <c r="D544" s="16" t="s">
        <v>862</v>
      </c>
      <c r="E544" s="9" t="s">
        <v>615</v>
      </c>
      <c r="F544" s="8"/>
    </row>
    <row r="545" ht="21.0" customHeight="1">
      <c r="A545" s="5">
        <v>20.0</v>
      </c>
      <c r="B545" s="6">
        <v>518.0</v>
      </c>
      <c r="C545" s="6">
        <v>1.0</v>
      </c>
      <c r="D545" s="16" t="s">
        <v>863</v>
      </c>
      <c r="E545" s="9" t="s">
        <v>615</v>
      </c>
      <c r="F545" s="8"/>
    </row>
    <row r="546" ht="21.0" customHeight="1">
      <c r="A546" s="5">
        <v>20.0</v>
      </c>
      <c r="B546" s="6">
        <v>518.0</v>
      </c>
      <c r="C546" s="6">
        <v>1.0</v>
      </c>
      <c r="D546" s="16" t="s">
        <v>856</v>
      </c>
      <c r="E546" s="9" t="s">
        <v>615</v>
      </c>
      <c r="F546" s="8"/>
    </row>
    <row r="547" ht="21.0" customHeight="1">
      <c r="A547" s="5">
        <v>20.0</v>
      </c>
      <c r="B547" s="6">
        <v>518.0</v>
      </c>
      <c r="C547" s="6">
        <v>1.0</v>
      </c>
      <c r="D547" s="16" t="s">
        <v>670</v>
      </c>
      <c r="E547" s="9" t="s">
        <v>864</v>
      </c>
      <c r="F547" s="8"/>
    </row>
    <row r="548" ht="21.0" customHeight="1">
      <c r="A548" s="5">
        <v>20.0</v>
      </c>
      <c r="B548" s="6">
        <v>518.0</v>
      </c>
      <c r="C548" s="6">
        <v>1.0</v>
      </c>
      <c r="D548" s="16" t="s">
        <v>670</v>
      </c>
      <c r="E548" s="9" t="s">
        <v>671</v>
      </c>
      <c r="F548" s="8"/>
    </row>
    <row r="549" ht="21.0" customHeight="1">
      <c r="A549" s="5">
        <v>20.0</v>
      </c>
      <c r="B549" s="6">
        <v>518.0</v>
      </c>
      <c r="C549" s="6">
        <v>1.0</v>
      </c>
      <c r="D549" s="16" t="s">
        <v>670</v>
      </c>
      <c r="E549" s="9" t="s">
        <v>865</v>
      </c>
      <c r="F549" s="8"/>
    </row>
    <row r="550" ht="21.0" customHeight="1">
      <c r="A550" s="5">
        <v>20.0</v>
      </c>
      <c r="B550" s="6">
        <v>518.0</v>
      </c>
      <c r="C550" s="6">
        <v>1.0</v>
      </c>
      <c r="D550" s="16" t="s">
        <v>670</v>
      </c>
      <c r="E550" s="9" t="s">
        <v>866</v>
      </c>
      <c r="F550" s="8"/>
    </row>
    <row r="551" ht="21.0" customHeight="1">
      <c r="A551" s="5">
        <v>20.0</v>
      </c>
      <c r="B551" s="6">
        <v>518.0</v>
      </c>
      <c r="C551" s="6">
        <v>1.0</v>
      </c>
      <c r="D551" s="16" t="s">
        <v>670</v>
      </c>
      <c r="E551" s="9" t="s">
        <v>864</v>
      </c>
      <c r="F551" s="8"/>
    </row>
    <row r="552" ht="21.0" customHeight="1">
      <c r="A552" s="5">
        <v>20.0</v>
      </c>
      <c r="B552" s="6">
        <v>518.0</v>
      </c>
      <c r="C552" s="6">
        <v>1.0</v>
      </c>
      <c r="D552" s="16" t="s">
        <v>867</v>
      </c>
      <c r="E552" s="9" t="s">
        <v>615</v>
      </c>
      <c r="F552" s="8"/>
    </row>
    <row r="553" ht="21.0" customHeight="1">
      <c r="A553" s="5">
        <v>20.0</v>
      </c>
      <c r="B553" s="6">
        <v>518.0</v>
      </c>
      <c r="C553" s="6">
        <v>1.0</v>
      </c>
      <c r="D553" s="16" t="s">
        <v>868</v>
      </c>
      <c r="E553" s="9" t="s">
        <v>671</v>
      </c>
      <c r="F553" s="8"/>
    </row>
    <row r="554" ht="21.0" customHeight="1">
      <c r="A554" s="5">
        <v>20.0</v>
      </c>
      <c r="B554" s="6">
        <v>518.0</v>
      </c>
      <c r="C554" s="6">
        <v>1.0</v>
      </c>
      <c r="D554" s="16" t="s">
        <v>869</v>
      </c>
      <c r="E554" s="9" t="s">
        <v>870</v>
      </c>
      <c r="F554" s="8"/>
    </row>
    <row r="555" ht="21.0" customHeight="1">
      <c r="A555" s="30">
        <v>14.0</v>
      </c>
      <c r="B555" s="31">
        <v>518.0</v>
      </c>
      <c r="C555" s="31">
        <v>1.0</v>
      </c>
      <c r="D555" s="34" t="s">
        <v>871</v>
      </c>
      <c r="E555" s="33" t="s">
        <v>641</v>
      </c>
      <c r="F555" s="27"/>
    </row>
    <row r="556" ht="21.0" customHeight="1">
      <c r="A556" s="30">
        <v>14.0</v>
      </c>
      <c r="B556" s="31">
        <v>518.0</v>
      </c>
      <c r="C556" s="31">
        <v>1.0</v>
      </c>
      <c r="D556" s="34" t="s">
        <v>871</v>
      </c>
      <c r="E556" s="33" t="s">
        <v>641</v>
      </c>
      <c r="F556" s="27"/>
    </row>
    <row r="557" ht="21.0" customHeight="1">
      <c r="A557" s="30">
        <v>14.0</v>
      </c>
      <c r="B557" s="31">
        <v>518.0</v>
      </c>
      <c r="C557" s="31">
        <v>1.0</v>
      </c>
      <c r="D557" s="34" t="s">
        <v>871</v>
      </c>
      <c r="E557" s="33" t="s">
        <v>641</v>
      </c>
      <c r="F557" s="27"/>
    </row>
    <row r="558" ht="21.0" customHeight="1">
      <c r="A558" s="5">
        <v>20.0</v>
      </c>
      <c r="B558" s="6">
        <v>1.0</v>
      </c>
      <c r="C558" s="6">
        <v>1.0</v>
      </c>
      <c r="D558" s="16" t="s">
        <v>867</v>
      </c>
      <c r="E558" s="9" t="s">
        <v>615</v>
      </c>
      <c r="F558" s="8"/>
    </row>
    <row r="559" ht="21.0" customHeight="1">
      <c r="A559" s="5">
        <v>20.0</v>
      </c>
      <c r="B559" s="6">
        <v>1.0</v>
      </c>
      <c r="C559" s="6">
        <v>1.0</v>
      </c>
      <c r="D559" s="16" t="s">
        <v>867</v>
      </c>
      <c r="E559" s="9" t="s">
        <v>615</v>
      </c>
      <c r="F559" s="8"/>
    </row>
    <row r="560" ht="21.0" customHeight="1">
      <c r="A560" s="5">
        <v>5.0</v>
      </c>
      <c r="B560" s="6">
        <v>519.0</v>
      </c>
      <c r="C560" s="6">
        <v>1.0</v>
      </c>
      <c r="D560" s="16" t="s">
        <v>872</v>
      </c>
      <c r="E560" s="9" t="s">
        <v>873</v>
      </c>
      <c r="F560" s="8"/>
    </row>
    <row r="561" ht="21.0" customHeight="1">
      <c r="A561" s="5">
        <v>5.0</v>
      </c>
      <c r="B561" s="6">
        <v>519.0</v>
      </c>
      <c r="C561" s="6">
        <v>1.0</v>
      </c>
      <c r="D561" s="16" t="s">
        <v>874</v>
      </c>
      <c r="E561" s="9" t="s">
        <v>873</v>
      </c>
      <c r="F561" s="8"/>
    </row>
    <row r="562" ht="21.0" customHeight="1">
      <c r="A562" s="5">
        <v>5.0</v>
      </c>
      <c r="B562" s="6">
        <v>519.0</v>
      </c>
      <c r="C562" s="6">
        <v>1.0</v>
      </c>
      <c r="D562" s="16" t="s">
        <v>875</v>
      </c>
      <c r="E562" s="9" t="s">
        <v>873</v>
      </c>
      <c r="F562" s="8"/>
    </row>
    <row r="563" ht="21.0" customHeight="1">
      <c r="A563" s="5">
        <v>5.0</v>
      </c>
      <c r="B563" s="6">
        <v>519.0</v>
      </c>
      <c r="C563" s="6">
        <v>1.0</v>
      </c>
      <c r="D563" s="16" t="s">
        <v>876</v>
      </c>
      <c r="E563" s="9" t="s">
        <v>873</v>
      </c>
      <c r="F563" s="8"/>
    </row>
    <row r="564" ht="21.0" customHeight="1">
      <c r="A564" s="5">
        <v>5.0</v>
      </c>
      <c r="B564" s="6">
        <v>519.0</v>
      </c>
      <c r="C564" s="6">
        <v>1.0</v>
      </c>
      <c r="D564" s="16" t="s">
        <v>877</v>
      </c>
      <c r="E564" s="9" t="s">
        <v>873</v>
      </c>
      <c r="F564" s="8"/>
    </row>
    <row r="565" ht="21.0" customHeight="1">
      <c r="A565" s="5">
        <v>5.0</v>
      </c>
      <c r="B565" s="6">
        <v>519.0</v>
      </c>
      <c r="C565" s="6">
        <v>1.0</v>
      </c>
      <c r="D565" s="16" t="s">
        <v>878</v>
      </c>
      <c r="E565" s="9" t="s">
        <v>873</v>
      </c>
      <c r="F565" s="8"/>
    </row>
    <row r="566" ht="21.0" customHeight="1">
      <c r="A566" s="5">
        <v>5.0</v>
      </c>
      <c r="B566" s="6">
        <v>519.0</v>
      </c>
      <c r="C566" s="6">
        <v>1.0</v>
      </c>
      <c r="D566" s="16" t="s">
        <v>879</v>
      </c>
      <c r="E566" s="9" t="s">
        <v>873</v>
      </c>
      <c r="F566" s="8"/>
    </row>
    <row r="567" ht="21.0" customHeight="1">
      <c r="A567" s="5">
        <v>5.0</v>
      </c>
      <c r="B567" s="6">
        <v>519.0</v>
      </c>
      <c r="C567" s="6">
        <v>1.0</v>
      </c>
      <c r="D567" s="16" t="s">
        <v>880</v>
      </c>
      <c r="E567" s="9" t="s">
        <v>873</v>
      </c>
      <c r="F567" s="8"/>
    </row>
    <row r="568" ht="21.0" customHeight="1">
      <c r="A568" s="5">
        <v>5.0</v>
      </c>
      <c r="B568" s="6">
        <v>520.0</v>
      </c>
      <c r="C568" s="6">
        <v>1.0</v>
      </c>
      <c r="D568" s="16" t="s">
        <v>872</v>
      </c>
      <c r="E568" s="9" t="s">
        <v>873</v>
      </c>
      <c r="F568" s="8"/>
    </row>
    <row r="569" ht="21.0" customHeight="1">
      <c r="A569" s="5">
        <v>5.0</v>
      </c>
      <c r="B569" s="6">
        <v>520.0</v>
      </c>
      <c r="C569" s="6">
        <v>1.0</v>
      </c>
      <c r="D569" s="16" t="s">
        <v>874</v>
      </c>
      <c r="E569" s="9" t="s">
        <v>873</v>
      </c>
      <c r="F569" s="8"/>
    </row>
    <row r="570" ht="21.0" customHeight="1">
      <c r="A570" s="5">
        <v>5.0</v>
      </c>
      <c r="B570" s="6">
        <v>520.0</v>
      </c>
      <c r="C570" s="6">
        <v>1.0</v>
      </c>
      <c r="D570" s="16" t="s">
        <v>875</v>
      </c>
      <c r="E570" s="9" t="s">
        <v>873</v>
      </c>
      <c r="F570" s="8"/>
    </row>
    <row r="571" ht="21.0" customHeight="1">
      <c r="A571" s="5">
        <v>5.0</v>
      </c>
      <c r="B571" s="6">
        <v>520.0</v>
      </c>
      <c r="C571" s="6">
        <v>1.0</v>
      </c>
      <c r="D571" s="16" t="s">
        <v>876</v>
      </c>
      <c r="E571" s="9" t="s">
        <v>873</v>
      </c>
      <c r="F571" s="8"/>
    </row>
    <row r="572" ht="21.0" customHeight="1">
      <c r="A572" s="5">
        <v>5.0</v>
      </c>
      <c r="B572" s="6">
        <v>520.0</v>
      </c>
      <c r="C572" s="6">
        <v>1.0</v>
      </c>
      <c r="D572" s="16" t="s">
        <v>877</v>
      </c>
      <c r="E572" s="9" t="s">
        <v>873</v>
      </c>
      <c r="F572" s="8"/>
    </row>
    <row r="573" ht="21.0" customHeight="1">
      <c r="A573" s="5">
        <v>5.0</v>
      </c>
      <c r="B573" s="6">
        <v>520.0</v>
      </c>
      <c r="C573" s="6">
        <v>1.0</v>
      </c>
      <c r="D573" s="16" t="s">
        <v>878</v>
      </c>
      <c r="E573" s="9" t="s">
        <v>873</v>
      </c>
      <c r="F573" s="8"/>
    </row>
    <row r="574" ht="21.0" customHeight="1">
      <c r="A574" s="5">
        <v>5.0</v>
      </c>
      <c r="B574" s="6">
        <v>520.0</v>
      </c>
      <c r="C574" s="6">
        <v>1.0</v>
      </c>
      <c r="D574" s="16" t="s">
        <v>879</v>
      </c>
      <c r="E574" s="9" t="s">
        <v>873</v>
      </c>
      <c r="F574" s="8"/>
    </row>
    <row r="575" ht="21.0" customHeight="1">
      <c r="A575" s="5">
        <v>5.0</v>
      </c>
      <c r="B575" s="6">
        <v>520.0</v>
      </c>
      <c r="C575" s="6">
        <v>1.0</v>
      </c>
      <c r="D575" s="16" t="s">
        <v>880</v>
      </c>
      <c r="E575" s="9" t="s">
        <v>873</v>
      </c>
      <c r="F575" s="8"/>
    </row>
    <row r="576" ht="21.0" customHeight="1">
      <c r="A576" s="5">
        <v>5.0</v>
      </c>
      <c r="B576" s="6">
        <v>521.0</v>
      </c>
      <c r="C576" s="6">
        <v>1.0</v>
      </c>
      <c r="D576" s="16" t="s">
        <v>872</v>
      </c>
      <c r="E576" s="9" t="s">
        <v>873</v>
      </c>
      <c r="F576" s="8"/>
    </row>
    <row r="577" ht="21.0" customHeight="1">
      <c r="A577" s="5">
        <v>5.0</v>
      </c>
      <c r="B577" s="6">
        <v>521.0</v>
      </c>
      <c r="C577" s="6">
        <v>1.0</v>
      </c>
      <c r="D577" s="16" t="s">
        <v>874</v>
      </c>
      <c r="E577" s="9" t="s">
        <v>873</v>
      </c>
      <c r="F577" s="8"/>
    </row>
    <row r="578" ht="21.0" customHeight="1">
      <c r="A578" s="5">
        <v>5.0</v>
      </c>
      <c r="B578" s="6">
        <v>521.0</v>
      </c>
      <c r="C578" s="6">
        <v>1.0</v>
      </c>
      <c r="D578" s="16" t="s">
        <v>875</v>
      </c>
      <c r="E578" s="9" t="s">
        <v>873</v>
      </c>
      <c r="F578" s="8"/>
    </row>
    <row r="579" ht="21.0" customHeight="1">
      <c r="A579" s="5">
        <v>5.0</v>
      </c>
      <c r="B579" s="6">
        <v>521.0</v>
      </c>
      <c r="C579" s="6">
        <v>1.0</v>
      </c>
      <c r="D579" s="16" t="s">
        <v>876</v>
      </c>
      <c r="E579" s="9" t="s">
        <v>873</v>
      </c>
      <c r="F579" s="8"/>
    </row>
    <row r="580" ht="21.0" customHeight="1">
      <c r="A580" s="5">
        <v>5.0</v>
      </c>
      <c r="B580" s="6">
        <v>521.0</v>
      </c>
      <c r="C580" s="6">
        <v>1.0</v>
      </c>
      <c r="D580" s="16" t="s">
        <v>877</v>
      </c>
      <c r="E580" s="9" t="s">
        <v>873</v>
      </c>
      <c r="F580" s="8"/>
    </row>
    <row r="581" ht="21.0" customHeight="1">
      <c r="A581" s="5">
        <v>5.0</v>
      </c>
      <c r="B581" s="6">
        <v>521.0</v>
      </c>
      <c r="C581" s="6">
        <v>1.0</v>
      </c>
      <c r="D581" s="16" t="s">
        <v>878</v>
      </c>
      <c r="E581" s="9" t="s">
        <v>873</v>
      </c>
      <c r="F581" s="8"/>
    </row>
    <row r="582" ht="21.0" customHeight="1">
      <c r="A582" s="5">
        <v>5.0</v>
      </c>
      <c r="B582" s="6">
        <v>521.0</v>
      </c>
      <c r="C582" s="6">
        <v>1.0</v>
      </c>
      <c r="D582" s="16" t="s">
        <v>879</v>
      </c>
      <c r="E582" s="9" t="s">
        <v>873</v>
      </c>
      <c r="F582" s="8"/>
    </row>
    <row r="583" ht="21.0" customHeight="1">
      <c r="A583" s="5">
        <v>5.0</v>
      </c>
      <c r="B583" s="6">
        <v>521.0</v>
      </c>
      <c r="C583" s="6">
        <v>1.0</v>
      </c>
      <c r="D583" s="16" t="s">
        <v>880</v>
      </c>
      <c r="E583" s="9" t="s">
        <v>873</v>
      </c>
      <c r="F583" s="8"/>
    </row>
    <row r="584" ht="21.0" customHeight="1">
      <c r="A584" s="5">
        <v>5.0</v>
      </c>
      <c r="B584" s="6">
        <v>522.0</v>
      </c>
      <c r="C584" s="6">
        <v>1.0</v>
      </c>
      <c r="D584" s="16" t="s">
        <v>872</v>
      </c>
      <c r="E584" s="9" t="s">
        <v>873</v>
      </c>
      <c r="F584" s="8"/>
    </row>
    <row r="585" ht="21.0" customHeight="1">
      <c r="A585" s="5">
        <v>5.0</v>
      </c>
      <c r="B585" s="6">
        <v>522.0</v>
      </c>
      <c r="C585" s="6">
        <v>1.0</v>
      </c>
      <c r="D585" s="16" t="s">
        <v>874</v>
      </c>
      <c r="E585" s="9" t="s">
        <v>873</v>
      </c>
      <c r="F585" s="8"/>
    </row>
    <row r="586" ht="21.0" customHeight="1">
      <c r="A586" s="5">
        <v>5.0</v>
      </c>
      <c r="B586" s="6">
        <v>522.0</v>
      </c>
      <c r="C586" s="6">
        <v>1.0</v>
      </c>
      <c r="D586" s="16" t="s">
        <v>875</v>
      </c>
      <c r="E586" s="9" t="s">
        <v>873</v>
      </c>
      <c r="F586" s="8"/>
    </row>
    <row r="587" ht="21.0" customHeight="1">
      <c r="A587" s="5">
        <v>5.0</v>
      </c>
      <c r="B587" s="6">
        <v>522.0</v>
      </c>
      <c r="C587" s="6">
        <v>1.0</v>
      </c>
      <c r="D587" s="16" t="s">
        <v>876</v>
      </c>
      <c r="E587" s="9" t="s">
        <v>873</v>
      </c>
      <c r="F587" s="8"/>
    </row>
    <row r="588" ht="21.0" customHeight="1">
      <c r="A588" s="5">
        <v>5.0</v>
      </c>
      <c r="B588" s="6">
        <v>522.0</v>
      </c>
      <c r="C588" s="6">
        <v>1.0</v>
      </c>
      <c r="D588" s="16" t="s">
        <v>877</v>
      </c>
      <c r="E588" s="9" t="s">
        <v>873</v>
      </c>
      <c r="F588" s="8"/>
    </row>
    <row r="589" ht="21.0" customHeight="1">
      <c r="A589" s="5">
        <v>5.0</v>
      </c>
      <c r="B589" s="6">
        <v>522.0</v>
      </c>
      <c r="C589" s="6">
        <v>1.0</v>
      </c>
      <c r="D589" s="16" t="s">
        <v>878</v>
      </c>
      <c r="E589" s="9" t="s">
        <v>873</v>
      </c>
      <c r="F589" s="8"/>
    </row>
    <row r="590" ht="21.0" customHeight="1">
      <c r="A590" s="5">
        <v>5.0</v>
      </c>
      <c r="B590" s="6">
        <v>522.0</v>
      </c>
      <c r="C590" s="6">
        <v>1.0</v>
      </c>
      <c r="D590" s="16" t="s">
        <v>879</v>
      </c>
      <c r="E590" s="9" t="s">
        <v>873</v>
      </c>
      <c r="F590" s="8"/>
    </row>
    <row r="591" ht="21.0" customHeight="1">
      <c r="A591" s="5">
        <v>5.0</v>
      </c>
      <c r="B591" s="6">
        <v>522.0</v>
      </c>
      <c r="C591" s="6">
        <v>1.0</v>
      </c>
      <c r="D591" s="16" t="s">
        <v>880</v>
      </c>
      <c r="E591" s="9" t="s">
        <v>873</v>
      </c>
      <c r="F591" s="8"/>
    </row>
    <row r="592" ht="21.0" customHeight="1">
      <c r="A592" s="5">
        <v>5.0</v>
      </c>
      <c r="B592" s="6">
        <v>523.0</v>
      </c>
      <c r="C592" s="6">
        <v>1.0</v>
      </c>
      <c r="D592" s="16" t="s">
        <v>872</v>
      </c>
      <c r="E592" s="9" t="s">
        <v>873</v>
      </c>
      <c r="F592" s="8"/>
    </row>
    <row r="593" ht="21.0" customHeight="1">
      <c r="A593" s="5">
        <v>5.0</v>
      </c>
      <c r="B593" s="6">
        <v>523.0</v>
      </c>
      <c r="C593" s="6">
        <v>1.0</v>
      </c>
      <c r="D593" s="16" t="s">
        <v>874</v>
      </c>
      <c r="E593" s="9" t="s">
        <v>873</v>
      </c>
      <c r="F593" s="8"/>
    </row>
    <row r="594" ht="21.0" customHeight="1">
      <c r="A594" s="5">
        <v>5.0</v>
      </c>
      <c r="B594" s="6">
        <v>523.0</v>
      </c>
      <c r="C594" s="6">
        <v>1.0</v>
      </c>
      <c r="D594" s="16" t="s">
        <v>875</v>
      </c>
      <c r="E594" s="9" t="s">
        <v>873</v>
      </c>
      <c r="F594" s="8"/>
    </row>
    <row r="595" ht="21.0" customHeight="1">
      <c r="A595" s="5">
        <v>5.0</v>
      </c>
      <c r="B595" s="6">
        <v>523.0</v>
      </c>
      <c r="C595" s="6">
        <v>1.0</v>
      </c>
      <c r="D595" s="16" t="s">
        <v>876</v>
      </c>
      <c r="E595" s="9" t="s">
        <v>873</v>
      </c>
      <c r="F595" s="8"/>
    </row>
    <row r="596" ht="21.0" customHeight="1">
      <c r="A596" s="5">
        <v>5.0</v>
      </c>
      <c r="B596" s="6">
        <v>523.0</v>
      </c>
      <c r="C596" s="6">
        <v>1.0</v>
      </c>
      <c r="D596" s="16" t="s">
        <v>877</v>
      </c>
      <c r="E596" s="9" t="s">
        <v>873</v>
      </c>
      <c r="F596" s="8"/>
    </row>
    <row r="597" ht="21.0" customHeight="1">
      <c r="A597" s="5">
        <v>5.0</v>
      </c>
      <c r="B597" s="6">
        <v>523.0</v>
      </c>
      <c r="C597" s="6">
        <v>1.0</v>
      </c>
      <c r="D597" s="16" t="s">
        <v>878</v>
      </c>
      <c r="E597" s="9" t="s">
        <v>873</v>
      </c>
      <c r="F597" s="8"/>
    </row>
    <row r="598" ht="21.0" customHeight="1">
      <c r="A598" s="5">
        <v>5.0</v>
      </c>
      <c r="B598" s="6">
        <v>523.0</v>
      </c>
      <c r="C598" s="6">
        <v>1.0</v>
      </c>
      <c r="D598" s="16" t="s">
        <v>879</v>
      </c>
      <c r="E598" s="9" t="s">
        <v>873</v>
      </c>
      <c r="F598" s="8"/>
    </row>
    <row r="599" ht="21.0" customHeight="1">
      <c r="A599" s="5">
        <v>5.0</v>
      </c>
      <c r="B599" s="6">
        <v>523.0</v>
      </c>
      <c r="C599" s="6">
        <v>1.0</v>
      </c>
      <c r="D599" s="16" t="s">
        <v>880</v>
      </c>
      <c r="E599" s="9" t="s">
        <v>873</v>
      </c>
      <c r="F599" s="8"/>
    </row>
    <row r="600" ht="21.0" customHeight="1">
      <c r="A600" s="5">
        <v>5.0</v>
      </c>
      <c r="B600" s="6">
        <v>519.0</v>
      </c>
      <c r="C600" s="6">
        <v>1.0</v>
      </c>
      <c r="D600" s="16" t="s">
        <v>872</v>
      </c>
      <c r="E600" s="9" t="s">
        <v>873</v>
      </c>
      <c r="F600" s="8"/>
    </row>
    <row r="601" ht="21.0" customHeight="1">
      <c r="A601" s="5">
        <v>5.0</v>
      </c>
      <c r="B601" s="6">
        <v>519.0</v>
      </c>
      <c r="C601" s="6">
        <v>1.0</v>
      </c>
      <c r="D601" s="16" t="s">
        <v>874</v>
      </c>
      <c r="E601" s="9" t="s">
        <v>873</v>
      </c>
      <c r="F601" s="8"/>
    </row>
    <row r="602" ht="21.0" customHeight="1">
      <c r="A602" s="5">
        <v>5.0</v>
      </c>
      <c r="B602" s="6">
        <v>519.0</v>
      </c>
      <c r="C602" s="6">
        <v>1.0</v>
      </c>
      <c r="D602" s="16" t="s">
        <v>875</v>
      </c>
      <c r="E602" s="9" t="s">
        <v>873</v>
      </c>
      <c r="F602" s="8"/>
    </row>
    <row r="603" ht="21.0" customHeight="1">
      <c r="A603" s="5">
        <v>5.0</v>
      </c>
      <c r="B603" s="6">
        <v>519.0</v>
      </c>
      <c r="C603" s="6">
        <v>1.0</v>
      </c>
      <c r="D603" s="16" t="s">
        <v>876</v>
      </c>
      <c r="E603" s="9" t="s">
        <v>873</v>
      </c>
      <c r="F603" s="8"/>
    </row>
    <row r="604" ht="21.0" customHeight="1">
      <c r="A604" s="5">
        <v>5.0</v>
      </c>
      <c r="B604" s="6">
        <v>519.0</v>
      </c>
      <c r="C604" s="6">
        <v>1.0</v>
      </c>
      <c r="D604" s="16" t="s">
        <v>877</v>
      </c>
      <c r="E604" s="9" t="s">
        <v>873</v>
      </c>
      <c r="F604" s="8"/>
    </row>
    <row r="605" ht="21.0" customHeight="1">
      <c r="A605" s="5">
        <v>5.0</v>
      </c>
      <c r="B605" s="6">
        <v>519.0</v>
      </c>
      <c r="C605" s="6">
        <v>1.0</v>
      </c>
      <c r="D605" s="16" t="s">
        <v>878</v>
      </c>
      <c r="E605" s="9" t="s">
        <v>873</v>
      </c>
      <c r="F605" s="8"/>
    </row>
    <row r="606" ht="21.0" customHeight="1">
      <c r="A606" s="5">
        <v>5.0</v>
      </c>
      <c r="B606" s="6">
        <v>519.0</v>
      </c>
      <c r="C606" s="6">
        <v>1.0</v>
      </c>
      <c r="D606" s="16" t="s">
        <v>879</v>
      </c>
      <c r="E606" s="9" t="s">
        <v>873</v>
      </c>
      <c r="F606" s="8"/>
    </row>
    <row r="607" ht="21.0" customHeight="1">
      <c r="A607" s="5">
        <v>5.0</v>
      </c>
      <c r="B607" s="6">
        <v>519.0</v>
      </c>
      <c r="C607" s="6">
        <v>1.0</v>
      </c>
      <c r="D607" s="16" t="s">
        <v>880</v>
      </c>
      <c r="E607" s="9" t="s">
        <v>873</v>
      </c>
      <c r="F607" s="8"/>
    </row>
    <row r="608" ht="21.0" customHeight="1">
      <c r="A608" s="5">
        <v>5.0</v>
      </c>
      <c r="B608" s="6">
        <v>520.0</v>
      </c>
      <c r="C608" s="6">
        <v>1.0</v>
      </c>
      <c r="D608" s="16" t="s">
        <v>872</v>
      </c>
      <c r="E608" s="9" t="s">
        <v>873</v>
      </c>
      <c r="F608" s="8"/>
    </row>
    <row r="609" ht="21.0" customHeight="1">
      <c r="A609" s="5">
        <v>5.0</v>
      </c>
      <c r="B609" s="6">
        <v>520.0</v>
      </c>
      <c r="C609" s="6">
        <v>1.0</v>
      </c>
      <c r="D609" s="16" t="s">
        <v>874</v>
      </c>
      <c r="E609" s="9" t="s">
        <v>873</v>
      </c>
      <c r="F609" s="8"/>
    </row>
    <row r="610" ht="21.0" customHeight="1">
      <c r="A610" s="5">
        <v>5.0</v>
      </c>
      <c r="B610" s="6">
        <v>520.0</v>
      </c>
      <c r="C610" s="6">
        <v>1.0</v>
      </c>
      <c r="D610" s="16" t="s">
        <v>875</v>
      </c>
      <c r="E610" s="9" t="s">
        <v>873</v>
      </c>
      <c r="F610" s="8"/>
    </row>
    <row r="611" ht="21.0" customHeight="1">
      <c r="A611" s="5">
        <v>5.0</v>
      </c>
      <c r="B611" s="6">
        <v>520.0</v>
      </c>
      <c r="C611" s="6">
        <v>1.0</v>
      </c>
      <c r="D611" s="16" t="s">
        <v>876</v>
      </c>
      <c r="E611" s="9" t="s">
        <v>873</v>
      </c>
      <c r="F611" s="8"/>
    </row>
    <row r="612" ht="21.0" customHeight="1">
      <c r="A612" s="5">
        <v>5.0</v>
      </c>
      <c r="B612" s="6">
        <v>520.0</v>
      </c>
      <c r="C612" s="6">
        <v>1.0</v>
      </c>
      <c r="D612" s="16" t="s">
        <v>877</v>
      </c>
      <c r="E612" s="9" t="s">
        <v>873</v>
      </c>
      <c r="F612" s="8"/>
    </row>
    <row r="613" ht="21.0" customHeight="1">
      <c r="A613" s="5">
        <v>5.0</v>
      </c>
      <c r="B613" s="6">
        <v>520.0</v>
      </c>
      <c r="C613" s="6">
        <v>1.0</v>
      </c>
      <c r="D613" s="16" t="s">
        <v>878</v>
      </c>
      <c r="E613" s="9" t="s">
        <v>873</v>
      </c>
      <c r="F613" s="8"/>
    </row>
    <row r="614" ht="21.0" customHeight="1">
      <c r="A614" s="5">
        <v>5.0</v>
      </c>
      <c r="B614" s="6">
        <v>520.0</v>
      </c>
      <c r="C614" s="6">
        <v>1.0</v>
      </c>
      <c r="D614" s="16" t="s">
        <v>879</v>
      </c>
      <c r="E614" s="9" t="s">
        <v>873</v>
      </c>
      <c r="F614" s="8"/>
    </row>
    <row r="615" ht="21.0" customHeight="1">
      <c r="A615" s="5">
        <v>5.0</v>
      </c>
      <c r="B615" s="6">
        <v>520.0</v>
      </c>
      <c r="C615" s="6">
        <v>1.0</v>
      </c>
      <c r="D615" s="16" t="s">
        <v>880</v>
      </c>
      <c r="E615" s="9" t="s">
        <v>873</v>
      </c>
      <c r="F615" s="8"/>
    </row>
    <row r="616" ht="21.0" customHeight="1">
      <c r="A616" s="5">
        <v>5.0</v>
      </c>
      <c r="B616" s="6">
        <v>521.0</v>
      </c>
      <c r="C616" s="6">
        <v>1.0</v>
      </c>
      <c r="D616" s="16" t="s">
        <v>872</v>
      </c>
      <c r="E616" s="9" t="s">
        <v>873</v>
      </c>
      <c r="F616" s="8"/>
    </row>
    <row r="617" ht="21.0" customHeight="1">
      <c r="A617" s="5">
        <v>5.0</v>
      </c>
      <c r="B617" s="6">
        <v>521.0</v>
      </c>
      <c r="C617" s="6">
        <v>1.0</v>
      </c>
      <c r="D617" s="16" t="s">
        <v>874</v>
      </c>
      <c r="E617" s="9" t="s">
        <v>873</v>
      </c>
      <c r="F617" s="8"/>
    </row>
    <row r="618" ht="21.0" customHeight="1">
      <c r="A618" s="5">
        <v>5.0</v>
      </c>
      <c r="B618" s="6">
        <v>521.0</v>
      </c>
      <c r="C618" s="6">
        <v>1.0</v>
      </c>
      <c r="D618" s="16" t="s">
        <v>875</v>
      </c>
      <c r="E618" s="9" t="s">
        <v>873</v>
      </c>
      <c r="F618" s="8"/>
    </row>
    <row r="619" ht="21.0" customHeight="1">
      <c r="A619" s="5">
        <v>5.0</v>
      </c>
      <c r="B619" s="6">
        <v>521.0</v>
      </c>
      <c r="C619" s="6">
        <v>1.0</v>
      </c>
      <c r="D619" s="16" t="s">
        <v>876</v>
      </c>
      <c r="E619" s="9" t="s">
        <v>873</v>
      </c>
      <c r="F619" s="8"/>
    </row>
    <row r="620" ht="21.0" customHeight="1">
      <c r="A620" s="5">
        <v>5.0</v>
      </c>
      <c r="B620" s="6">
        <v>521.0</v>
      </c>
      <c r="C620" s="6">
        <v>1.0</v>
      </c>
      <c r="D620" s="16" t="s">
        <v>877</v>
      </c>
      <c r="E620" s="9" t="s">
        <v>873</v>
      </c>
      <c r="F620" s="8"/>
    </row>
    <row r="621" ht="21.0" customHeight="1">
      <c r="A621" s="5">
        <v>5.0</v>
      </c>
      <c r="B621" s="6">
        <v>521.0</v>
      </c>
      <c r="C621" s="6">
        <v>1.0</v>
      </c>
      <c r="D621" s="16" t="s">
        <v>878</v>
      </c>
      <c r="E621" s="9" t="s">
        <v>873</v>
      </c>
      <c r="F621" s="8"/>
    </row>
    <row r="622" ht="21.0" customHeight="1">
      <c r="A622" s="5">
        <v>5.0</v>
      </c>
      <c r="B622" s="6">
        <v>521.0</v>
      </c>
      <c r="C622" s="6">
        <v>1.0</v>
      </c>
      <c r="D622" s="16" t="s">
        <v>879</v>
      </c>
      <c r="E622" s="9" t="s">
        <v>873</v>
      </c>
      <c r="F622" s="8"/>
    </row>
    <row r="623" ht="21.0" customHeight="1">
      <c r="A623" s="5">
        <v>5.0</v>
      </c>
      <c r="B623" s="6">
        <v>521.0</v>
      </c>
      <c r="C623" s="6">
        <v>1.0</v>
      </c>
      <c r="D623" s="16" t="s">
        <v>880</v>
      </c>
      <c r="E623" s="9" t="s">
        <v>873</v>
      </c>
      <c r="F623" s="8"/>
    </row>
    <row r="624" ht="21.0" customHeight="1">
      <c r="A624" s="5">
        <v>5.0</v>
      </c>
      <c r="B624" s="6">
        <v>522.0</v>
      </c>
      <c r="C624" s="6">
        <v>1.0</v>
      </c>
      <c r="D624" s="16" t="s">
        <v>872</v>
      </c>
      <c r="E624" s="9" t="s">
        <v>873</v>
      </c>
      <c r="F624" s="8"/>
    </row>
    <row r="625" ht="21.0" customHeight="1">
      <c r="A625" s="5">
        <v>5.0</v>
      </c>
      <c r="B625" s="6">
        <v>522.0</v>
      </c>
      <c r="C625" s="6">
        <v>1.0</v>
      </c>
      <c r="D625" s="16" t="s">
        <v>874</v>
      </c>
      <c r="E625" s="9" t="s">
        <v>873</v>
      </c>
      <c r="F625" s="8"/>
    </row>
    <row r="626" ht="21.0" customHeight="1">
      <c r="A626" s="5">
        <v>5.0</v>
      </c>
      <c r="B626" s="6">
        <v>522.0</v>
      </c>
      <c r="C626" s="6">
        <v>1.0</v>
      </c>
      <c r="D626" s="16" t="s">
        <v>875</v>
      </c>
      <c r="E626" s="9" t="s">
        <v>873</v>
      </c>
      <c r="F626" s="8"/>
    </row>
    <row r="627" ht="21.0" customHeight="1">
      <c r="A627" s="5">
        <v>5.0</v>
      </c>
      <c r="B627" s="6">
        <v>522.0</v>
      </c>
      <c r="C627" s="6">
        <v>1.0</v>
      </c>
      <c r="D627" s="16" t="s">
        <v>876</v>
      </c>
      <c r="E627" s="9" t="s">
        <v>873</v>
      </c>
      <c r="F627" s="8"/>
    </row>
    <row r="628" ht="21.0" customHeight="1">
      <c r="A628" s="5">
        <v>5.0</v>
      </c>
      <c r="B628" s="6">
        <v>522.0</v>
      </c>
      <c r="C628" s="6">
        <v>1.0</v>
      </c>
      <c r="D628" s="16" t="s">
        <v>877</v>
      </c>
      <c r="E628" s="9" t="s">
        <v>873</v>
      </c>
      <c r="F628" s="8"/>
    </row>
    <row r="629" ht="21.0" customHeight="1">
      <c r="A629" s="5">
        <v>5.0</v>
      </c>
      <c r="B629" s="6">
        <v>522.0</v>
      </c>
      <c r="C629" s="6">
        <v>1.0</v>
      </c>
      <c r="D629" s="16" t="s">
        <v>878</v>
      </c>
      <c r="E629" s="9" t="s">
        <v>873</v>
      </c>
      <c r="F629" s="8"/>
    </row>
    <row r="630" ht="21.0" customHeight="1">
      <c r="A630" s="5">
        <v>5.0</v>
      </c>
      <c r="B630" s="6">
        <v>522.0</v>
      </c>
      <c r="C630" s="6">
        <v>1.0</v>
      </c>
      <c r="D630" s="16" t="s">
        <v>879</v>
      </c>
      <c r="E630" s="9" t="s">
        <v>873</v>
      </c>
      <c r="F630" s="8"/>
    </row>
    <row r="631" ht="21.0" customHeight="1">
      <c r="A631" s="5">
        <v>5.0</v>
      </c>
      <c r="B631" s="6">
        <v>522.0</v>
      </c>
      <c r="C631" s="6">
        <v>1.0</v>
      </c>
      <c r="D631" s="16" t="s">
        <v>880</v>
      </c>
      <c r="E631" s="9" t="s">
        <v>873</v>
      </c>
      <c r="F631" s="8"/>
    </row>
    <row r="632" ht="21.0" customHeight="1">
      <c r="A632" s="5">
        <v>5.0</v>
      </c>
      <c r="B632" s="6">
        <v>523.0</v>
      </c>
      <c r="C632" s="6">
        <v>1.0</v>
      </c>
      <c r="D632" s="16" t="s">
        <v>872</v>
      </c>
      <c r="E632" s="9" t="s">
        <v>873</v>
      </c>
      <c r="F632" s="8"/>
    </row>
    <row r="633" ht="21.0" customHeight="1">
      <c r="A633" s="5">
        <v>5.0</v>
      </c>
      <c r="B633" s="6">
        <v>523.0</v>
      </c>
      <c r="C633" s="6">
        <v>1.0</v>
      </c>
      <c r="D633" s="16" t="s">
        <v>874</v>
      </c>
      <c r="E633" s="9" t="s">
        <v>873</v>
      </c>
      <c r="F633" s="8"/>
    </row>
    <row r="634" ht="21.0" customHeight="1">
      <c r="A634" s="5">
        <v>5.0</v>
      </c>
      <c r="B634" s="6">
        <v>523.0</v>
      </c>
      <c r="C634" s="6">
        <v>1.0</v>
      </c>
      <c r="D634" s="16" t="s">
        <v>875</v>
      </c>
      <c r="E634" s="9" t="s">
        <v>873</v>
      </c>
      <c r="F634" s="8"/>
    </row>
    <row r="635" ht="21.0" customHeight="1">
      <c r="A635" s="5">
        <v>5.0</v>
      </c>
      <c r="B635" s="6">
        <v>523.0</v>
      </c>
      <c r="C635" s="6">
        <v>1.0</v>
      </c>
      <c r="D635" s="16" t="s">
        <v>876</v>
      </c>
      <c r="E635" s="9" t="s">
        <v>873</v>
      </c>
      <c r="F635" s="8"/>
    </row>
    <row r="636" ht="21.0" customHeight="1">
      <c r="A636" s="5">
        <v>5.0</v>
      </c>
      <c r="B636" s="6">
        <v>523.0</v>
      </c>
      <c r="C636" s="6">
        <v>1.0</v>
      </c>
      <c r="D636" s="16" t="s">
        <v>877</v>
      </c>
      <c r="E636" s="9" t="s">
        <v>873</v>
      </c>
      <c r="F636" s="8"/>
    </row>
    <row r="637" ht="21.0" customHeight="1">
      <c r="A637" s="5">
        <v>5.0</v>
      </c>
      <c r="B637" s="6">
        <v>523.0</v>
      </c>
      <c r="C637" s="6">
        <v>1.0</v>
      </c>
      <c r="D637" s="16" t="s">
        <v>878</v>
      </c>
      <c r="E637" s="9" t="s">
        <v>873</v>
      </c>
      <c r="F637" s="8"/>
    </row>
    <row r="638" ht="21.0" customHeight="1">
      <c r="A638" s="5">
        <v>5.0</v>
      </c>
      <c r="B638" s="6">
        <v>523.0</v>
      </c>
      <c r="C638" s="6">
        <v>1.0</v>
      </c>
      <c r="D638" s="16" t="s">
        <v>879</v>
      </c>
      <c r="E638" s="9" t="s">
        <v>873</v>
      </c>
      <c r="F638" s="8"/>
    </row>
    <row r="639" ht="21.0" customHeight="1">
      <c r="A639" s="5">
        <v>5.0</v>
      </c>
      <c r="B639" s="6">
        <v>523.0</v>
      </c>
      <c r="C639" s="6">
        <v>1.0</v>
      </c>
      <c r="D639" s="16" t="s">
        <v>880</v>
      </c>
      <c r="E639" s="9" t="s">
        <v>873</v>
      </c>
      <c r="F639" s="8"/>
    </row>
    <row r="640" ht="21.0" customHeight="1">
      <c r="A640" s="5">
        <v>5.0</v>
      </c>
      <c r="B640" s="6">
        <v>524.0</v>
      </c>
      <c r="C640" s="6">
        <v>1.0</v>
      </c>
      <c r="D640" s="16" t="s">
        <v>872</v>
      </c>
      <c r="E640" s="9" t="s">
        <v>873</v>
      </c>
      <c r="F640" s="8"/>
    </row>
    <row r="641" ht="21.0" customHeight="1">
      <c r="A641" s="5">
        <v>5.0</v>
      </c>
      <c r="B641" s="6">
        <v>524.0</v>
      </c>
      <c r="C641" s="6">
        <v>1.0</v>
      </c>
      <c r="D641" s="16" t="s">
        <v>874</v>
      </c>
      <c r="E641" s="9" t="s">
        <v>873</v>
      </c>
      <c r="F641" s="8"/>
    </row>
    <row r="642" ht="21.0" customHeight="1">
      <c r="A642" s="5">
        <v>5.0</v>
      </c>
      <c r="B642" s="6">
        <v>524.0</v>
      </c>
      <c r="C642" s="6">
        <v>1.0</v>
      </c>
      <c r="D642" s="16" t="s">
        <v>875</v>
      </c>
      <c r="E642" s="9" t="s">
        <v>873</v>
      </c>
      <c r="F642" s="8"/>
    </row>
    <row r="643" ht="21.0" customHeight="1">
      <c r="A643" s="5">
        <v>5.0</v>
      </c>
      <c r="B643" s="6">
        <v>524.0</v>
      </c>
      <c r="C643" s="6">
        <v>1.0</v>
      </c>
      <c r="D643" s="16" t="s">
        <v>876</v>
      </c>
      <c r="E643" s="9" t="s">
        <v>873</v>
      </c>
      <c r="F643" s="8"/>
    </row>
    <row r="644" ht="21.0" customHeight="1">
      <c r="A644" s="5">
        <v>5.0</v>
      </c>
      <c r="B644" s="6">
        <v>524.0</v>
      </c>
      <c r="C644" s="6">
        <v>1.0</v>
      </c>
      <c r="D644" s="16" t="s">
        <v>877</v>
      </c>
      <c r="E644" s="9" t="s">
        <v>873</v>
      </c>
      <c r="F644" s="8"/>
    </row>
    <row r="645" ht="21.0" customHeight="1">
      <c r="A645" s="5">
        <v>5.0</v>
      </c>
      <c r="B645" s="6">
        <v>524.0</v>
      </c>
      <c r="C645" s="6">
        <v>1.0</v>
      </c>
      <c r="D645" s="16" t="s">
        <v>878</v>
      </c>
      <c r="E645" s="9" t="s">
        <v>873</v>
      </c>
      <c r="F645" s="8"/>
    </row>
    <row r="646" ht="21.0" customHeight="1">
      <c r="A646" s="5">
        <v>5.0</v>
      </c>
      <c r="B646" s="6">
        <v>524.0</v>
      </c>
      <c r="C646" s="6">
        <v>1.0</v>
      </c>
      <c r="D646" s="16" t="s">
        <v>879</v>
      </c>
      <c r="E646" s="9" t="s">
        <v>873</v>
      </c>
      <c r="F646" s="8"/>
    </row>
    <row r="647" ht="21.0" customHeight="1">
      <c r="A647" s="5">
        <v>5.0</v>
      </c>
      <c r="B647" s="6">
        <v>524.0</v>
      </c>
      <c r="C647" s="6">
        <v>1.0</v>
      </c>
      <c r="D647" s="16" t="s">
        <v>880</v>
      </c>
      <c r="E647" s="9" t="s">
        <v>873</v>
      </c>
      <c r="F647" s="8"/>
    </row>
    <row r="648" ht="21.0" customHeight="1">
      <c r="A648" s="5">
        <v>5.0</v>
      </c>
      <c r="B648" s="6">
        <v>525.0</v>
      </c>
      <c r="C648" s="6">
        <v>1.0</v>
      </c>
      <c r="D648" s="16" t="s">
        <v>872</v>
      </c>
      <c r="E648" s="9" t="s">
        <v>873</v>
      </c>
      <c r="F648" s="8"/>
    </row>
    <row r="649" ht="21.0" customHeight="1">
      <c r="A649" s="5">
        <v>5.0</v>
      </c>
      <c r="B649" s="6">
        <v>525.0</v>
      </c>
      <c r="C649" s="6">
        <v>1.0</v>
      </c>
      <c r="D649" s="16" t="s">
        <v>874</v>
      </c>
      <c r="E649" s="9" t="s">
        <v>873</v>
      </c>
      <c r="F649" s="8"/>
    </row>
    <row r="650" ht="21.0" customHeight="1">
      <c r="A650" s="5">
        <v>5.0</v>
      </c>
      <c r="B650" s="6">
        <v>525.0</v>
      </c>
      <c r="C650" s="6">
        <v>1.0</v>
      </c>
      <c r="D650" s="16" t="s">
        <v>875</v>
      </c>
      <c r="E650" s="9" t="s">
        <v>873</v>
      </c>
      <c r="F650" s="8"/>
    </row>
    <row r="651" ht="21.0" customHeight="1">
      <c r="A651" s="5">
        <v>5.0</v>
      </c>
      <c r="B651" s="6">
        <v>525.0</v>
      </c>
      <c r="C651" s="6">
        <v>1.0</v>
      </c>
      <c r="D651" s="16" t="s">
        <v>876</v>
      </c>
      <c r="E651" s="9" t="s">
        <v>873</v>
      </c>
      <c r="F651" s="8"/>
    </row>
    <row r="652" ht="21.0" customHeight="1">
      <c r="A652" s="5">
        <v>5.0</v>
      </c>
      <c r="B652" s="6">
        <v>525.0</v>
      </c>
      <c r="C652" s="6">
        <v>1.0</v>
      </c>
      <c r="D652" s="16" t="s">
        <v>877</v>
      </c>
      <c r="E652" s="9" t="s">
        <v>873</v>
      </c>
      <c r="F652" s="8"/>
    </row>
    <row r="653" ht="21.0" customHeight="1">
      <c r="A653" s="5">
        <v>5.0</v>
      </c>
      <c r="B653" s="6">
        <v>525.0</v>
      </c>
      <c r="C653" s="6">
        <v>1.0</v>
      </c>
      <c r="D653" s="16" t="s">
        <v>878</v>
      </c>
      <c r="E653" s="9" t="s">
        <v>873</v>
      </c>
      <c r="F653" s="8"/>
    </row>
    <row r="654" ht="21.0" customHeight="1">
      <c r="A654" s="5">
        <v>5.0</v>
      </c>
      <c r="B654" s="6">
        <v>525.0</v>
      </c>
      <c r="C654" s="6">
        <v>1.0</v>
      </c>
      <c r="D654" s="16" t="s">
        <v>879</v>
      </c>
      <c r="E654" s="9" t="s">
        <v>873</v>
      </c>
      <c r="F654" s="8"/>
    </row>
    <row r="655" ht="21.0" customHeight="1">
      <c r="A655" s="5">
        <v>5.0</v>
      </c>
      <c r="B655" s="6">
        <v>525.0</v>
      </c>
      <c r="C655" s="6">
        <v>1.0</v>
      </c>
      <c r="D655" s="16" t="s">
        <v>880</v>
      </c>
      <c r="E655" s="9" t="s">
        <v>873</v>
      </c>
      <c r="F655" s="8"/>
    </row>
    <row r="656" ht="21.0" customHeight="1">
      <c r="A656" s="5">
        <v>5.0</v>
      </c>
      <c r="B656" s="6">
        <v>526.0</v>
      </c>
      <c r="C656" s="6">
        <v>1.0</v>
      </c>
      <c r="D656" s="16" t="s">
        <v>872</v>
      </c>
      <c r="E656" s="9" t="s">
        <v>873</v>
      </c>
      <c r="F656" s="8"/>
    </row>
    <row r="657" ht="21.0" customHeight="1">
      <c r="A657" s="5">
        <v>5.0</v>
      </c>
      <c r="B657" s="6">
        <v>526.0</v>
      </c>
      <c r="C657" s="6">
        <v>1.0</v>
      </c>
      <c r="D657" s="16" t="s">
        <v>874</v>
      </c>
      <c r="E657" s="9" t="s">
        <v>873</v>
      </c>
      <c r="F657" s="8"/>
    </row>
    <row r="658" ht="21.0" customHeight="1">
      <c r="A658" s="5">
        <v>5.0</v>
      </c>
      <c r="B658" s="6">
        <v>526.0</v>
      </c>
      <c r="C658" s="6">
        <v>1.0</v>
      </c>
      <c r="D658" s="16" t="s">
        <v>875</v>
      </c>
      <c r="E658" s="9" t="s">
        <v>873</v>
      </c>
      <c r="F658" s="8"/>
    </row>
    <row r="659" ht="21.0" customHeight="1">
      <c r="A659" s="5">
        <v>5.0</v>
      </c>
      <c r="B659" s="6">
        <v>526.0</v>
      </c>
      <c r="C659" s="6">
        <v>1.0</v>
      </c>
      <c r="D659" s="16" t="s">
        <v>876</v>
      </c>
      <c r="E659" s="9" t="s">
        <v>873</v>
      </c>
      <c r="F659" s="8"/>
    </row>
    <row r="660" ht="21.0" customHeight="1">
      <c r="A660" s="5">
        <v>5.0</v>
      </c>
      <c r="B660" s="6">
        <v>526.0</v>
      </c>
      <c r="C660" s="6">
        <v>1.0</v>
      </c>
      <c r="D660" s="16" t="s">
        <v>877</v>
      </c>
      <c r="E660" s="9" t="s">
        <v>873</v>
      </c>
      <c r="F660" s="8"/>
    </row>
    <row r="661" ht="21.0" customHeight="1">
      <c r="A661" s="5">
        <v>5.0</v>
      </c>
      <c r="B661" s="6">
        <v>526.0</v>
      </c>
      <c r="C661" s="6">
        <v>1.0</v>
      </c>
      <c r="D661" s="16" t="s">
        <v>878</v>
      </c>
      <c r="E661" s="9" t="s">
        <v>873</v>
      </c>
      <c r="F661" s="8"/>
    </row>
    <row r="662" ht="21.0" customHeight="1">
      <c r="A662" s="5">
        <v>5.0</v>
      </c>
      <c r="B662" s="6">
        <v>526.0</v>
      </c>
      <c r="C662" s="6">
        <v>1.0</v>
      </c>
      <c r="D662" s="16" t="s">
        <v>879</v>
      </c>
      <c r="E662" s="9" t="s">
        <v>873</v>
      </c>
      <c r="F662" s="8"/>
    </row>
    <row r="663" ht="21.0" customHeight="1">
      <c r="A663" s="5">
        <v>5.0</v>
      </c>
      <c r="B663" s="6">
        <v>526.0</v>
      </c>
      <c r="C663" s="6">
        <v>1.0</v>
      </c>
      <c r="D663" s="16" t="s">
        <v>880</v>
      </c>
      <c r="E663" s="9" t="s">
        <v>873</v>
      </c>
      <c r="F663" s="8"/>
    </row>
    <row r="664" ht="21.0" customHeight="1">
      <c r="A664" s="5">
        <v>5.0</v>
      </c>
      <c r="B664" s="6">
        <v>527.0</v>
      </c>
      <c r="C664" s="6">
        <v>1.0</v>
      </c>
      <c r="D664" s="16" t="s">
        <v>872</v>
      </c>
      <c r="E664" s="9" t="s">
        <v>873</v>
      </c>
      <c r="F664" s="8"/>
    </row>
    <row r="665" ht="21.0" customHeight="1">
      <c r="A665" s="5">
        <v>5.0</v>
      </c>
      <c r="B665" s="6">
        <v>527.0</v>
      </c>
      <c r="C665" s="6">
        <v>1.0</v>
      </c>
      <c r="D665" s="16" t="s">
        <v>874</v>
      </c>
      <c r="E665" s="9" t="s">
        <v>873</v>
      </c>
      <c r="F665" s="8"/>
    </row>
    <row r="666" ht="21.0" customHeight="1">
      <c r="A666" s="5">
        <v>5.0</v>
      </c>
      <c r="B666" s="6">
        <v>527.0</v>
      </c>
      <c r="C666" s="6">
        <v>1.0</v>
      </c>
      <c r="D666" s="16" t="s">
        <v>875</v>
      </c>
      <c r="E666" s="9" t="s">
        <v>873</v>
      </c>
      <c r="F666" s="8"/>
    </row>
    <row r="667" ht="21.0" customHeight="1">
      <c r="A667" s="5">
        <v>5.0</v>
      </c>
      <c r="B667" s="6">
        <v>527.0</v>
      </c>
      <c r="C667" s="6">
        <v>1.0</v>
      </c>
      <c r="D667" s="16" t="s">
        <v>876</v>
      </c>
      <c r="E667" s="9" t="s">
        <v>873</v>
      </c>
      <c r="F667" s="8"/>
    </row>
    <row r="668" ht="21.0" customHeight="1">
      <c r="A668" s="5">
        <v>5.0</v>
      </c>
      <c r="B668" s="6">
        <v>527.0</v>
      </c>
      <c r="C668" s="6">
        <v>1.0</v>
      </c>
      <c r="D668" s="16" t="s">
        <v>877</v>
      </c>
      <c r="E668" s="9" t="s">
        <v>873</v>
      </c>
      <c r="F668" s="8"/>
    </row>
    <row r="669" ht="21.0" customHeight="1">
      <c r="A669" s="5">
        <v>5.0</v>
      </c>
      <c r="B669" s="6">
        <v>527.0</v>
      </c>
      <c r="C669" s="6">
        <v>1.0</v>
      </c>
      <c r="D669" s="16" t="s">
        <v>878</v>
      </c>
      <c r="E669" s="9" t="s">
        <v>873</v>
      </c>
      <c r="F669" s="8"/>
    </row>
    <row r="670" ht="21.0" customHeight="1">
      <c r="A670" s="5">
        <v>5.0</v>
      </c>
      <c r="B670" s="6">
        <v>527.0</v>
      </c>
      <c r="C670" s="6">
        <v>1.0</v>
      </c>
      <c r="D670" s="16" t="s">
        <v>879</v>
      </c>
      <c r="E670" s="9" t="s">
        <v>873</v>
      </c>
      <c r="F670" s="8"/>
    </row>
    <row r="671" ht="21.0" customHeight="1">
      <c r="A671" s="5">
        <v>5.0</v>
      </c>
      <c r="B671" s="6">
        <v>527.0</v>
      </c>
      <c r="C671" s="6">
        <v>1.0</v>
      </c>
      <c r="D671" s="16" t="s">
        <v>880</v>
      </c>
      <c r="E671" s="9" t="s">
        <v>873</v>
      </c>
      <c r="F671" s="8"/>
    </row>
    <row r="672" ht="21.0" customHeight="1">
      <c r="A672" s="5">
        <v>5.0</v>
      </c>
      <c r="B672" s="6">
        <v>528.0</v>
      </c>
      <c r="C672" s="6">
        <v>1.0</v>
      </c>
      <c r="D672" s="16" t="s">
        <v>872</v>
      </c>
      <c r="E672" s="9" t="s">
        <v>873</v>
      </c>
      <c r="F672" s="8"/>
    </row>
    <row r="673" ht="21.0" customHeight="1">
      <c r="A673" s="5">
        <v>5.0</v>
      </c>
      <c r="B673" s="6">
        <v>528.0</v>
      </c>
      <c r="C673" s="6">
        <v>1.0</v>
      </c>
      <c r="D673" s="16" t="s">
        <v>874</v>
      </c>
      <c r="E673" s="9" t="s">
        <v>873</v>
      </c>
      <c r="F673" s="8"/>
    </row>
    <row r="674" ht="21.0" customHeight="1">
      <c r="A674" s="5">
        <v>5.0</v>
      </c>
      <c r="B674" s="6">
        <v>528.0</v>
      </c>
      <c r="C674" s="6">
        <v>1.0</v>
      </c>
      <c r="D674" s="16" t="s">
        <v>875</v>
      </c>
      <c r="E674" s="9" t="s">
        <v>873</v>
      </c>
      <c r="F674" s="8"/>
    </row>
    <row r="675" ht="21.0" customHeight="1">
      <c r="A675" s="5">
        <v>5.0</v>
      </c>
      <c r="B675" s="6">
        <v>528.0</v>
      </c>
      <c r="C675" s="6">
        <v>1.0</v>
      </c>
      <c r="D675" s="16" t="s">
        <v>876</v>
      </c>
      <c r="E675" s="9" t="s">
        <v>873</v>
      </c>
      <c r="F675" s="8"/>
    </row>
    <row r="676" ht="21.0" customHeight="1">
      <c r="A676" s="5">
        <v>5.0</v>
      </c>
      <c r="B676" s="6">
        <v>528.0</v>
      </c>
      <c r="C676" s="6">
        <v>1.0</v>
      </c>
      <c r="D676" s="16" t="s">
        <v>877</v>
      </c>
      <c r="E676" s="9" t="s">
        <v>873</v>
      </c>
      <c r="F676" s="8"/>
    </row>
    <row r="677" ht="21.0" customHeight="1">
      <c r="A677" s="5">
        <v>5.0</v>
      </c>
      <c r="B677" s="6">
        <v>528.0</v>
      </c>
      <c r="C677" s="6">
        <v>1.0</v>
      </c>
      <c r="D677" s="16" t="s">
        <v>878</v>
      </c>
      <c r="E677" s="9" t="s">
        <v>873</v>
      </c>
      <c r="F677" s="8"/>
    </row>
    <row r="678" ht="21.0" customHeight="1">
      <c r="A678" s="5">
        <v>5.0</v>
      </c>
      <c r="B678" s="6">
        <v>528.0</v>
      </c>
      <c r="C678" s="6">
        <v>1.0</v>
      </c>
      <c r="D678" s="16" t="s">
        <v>879</v>
      </c>
      <c r="E678" s="9" t="s">
        <v>873</v>
      </c>
      <c r="F678" s="8"/>
    </row>
    <row r="679" ht="21.0" customHeight="1">
      <c r="A679" s="5">
        <v>5.0</v>
      </c>
      <c r="B679" s="6">
        <v>528.0</v>
      </c>
      <c r="C679" s="6">
        <v>1.0</v>
      </c>
      <c r="D679" s="16" t="s">
        <v>880</v>
      </c>
      <c r="E679" s="9" t="s">
        <v>873</v>
      </c>
      <c r="F679" s="8"/>
    </row>
    <row r="680" ht="21.0" customHeight="1">
      <c r="A680" s="5">
        <v>5.0</v>
      </c>
      <c r="B680" s="6">
        <v>529.0</v>
      </c>
      <c r="C680" s="6">
        <v>1.0</v>
      </c>
      <c r="D680" s="16" t="s">
        <v>872</v>
      </c>
      <c r="E680" s="9" t="s">
        <v>873</v>
      </c>
      <c r="F680" s="8"/>
    </row>
    <row r="681" ht="21.0" customHeight="1">
      <c r="A681" s="5">
        <v>5.0</v>
      </c>
      <c r="B681" s="6">
        <v>529.0</v>
      </c>
      <c r="C681" s="6">
        <v>1.0</v>
      </c>
      <c r="D681" s="16" t="s">
        <v>874</v>
      </c>
      <c r="E681" s="9" t="s">
        <v>873</v>
      </c>
      <c r="F681" s="8"/>
    </row>
    <row r="682" ht="21.0" customHeight="1">
      <c r="A682" s="5">
        <v>5.0</v>
      </c>
      <c r="B682" s="6">
        <v>529.0</v>
      </c>
      <c r="C682" s="6">
        <v>1.0</v>
      </c>
      <c r="D682" s="16" t="s">
        <v>875</v>
      </c>
      <c r="E682" s="9" t="s">
        <v>873</v>
      </c>
      <c r="F682" s="8"/>
    </row>
    <row r="683" ht="21.0" customHeight="1">
      <c r="A683" s="5">
        <v>5.0</v>
      </c>
      <c r="B683" s="6">
        <v>529.0</v>
      </c>
      <c r="C683" s="6">
        <v>1.0</v>
      </c>
      <c r="D683" s="16" t="s">
        <v>876</v>
      </c>
      <c r="E683" s="9" t="s">
        <v>873</v>
      </c>
      <c r="F683" s="8"/>
    </row>
    <row r="684" ht="21.0" customHeight="1">
      <c r="A684" s="5">
        <v>5.0</v>
      </c>
      <c r="B684" s="6">
        <v>529.0</v>
      </c>
      <c r="C684" s="6">
        <v>1.0</v>
      </c>
      <c r="D684" s="16" t="s">
        <v>877</v>
      </c>
      <c r="E684" s="9" t="s">
        <v>873</v>
      </c>
      <c r="F684" s="8"/>
    </row>
    <row r="685" ht="21.0" customHeight="1">
      <c r="A685" s="5">
        <v>5.0</v>
      </c>
      <c r="B685" s="6">
        <v>529.0</v>
      </c>
      <c r="C685" s="6">
        <v>1.0</v>
      </c>
      <c r="D685" s="16" t="s">
        <v>878</v>
      </c>
      <c r="E685" s="9" t="s">
        <v>873</v>
      </c>
      <c r="F685" s="8"/>
    </row>
    <row r="686" ht="21.0" customHeight="1">
      <c r="A686" s="5">
        <v>5.0</v>
      </c>
      <c r="B686" s="6">
        <v>529.0</v>
      </c>
      <c r="C686" s="6">
        <v>1.0</v>
      </c>
      <c r="D686" s="16" t="s">
        <v>879</v>
      </c>
      <c r="E686" s="9" t="s">
        <v>873</v>
      </c>
      <c r="F686" s="8"/>
    </row>
    <row r="687" ht="21.0" customHeight="1">
      <c r="A687" s="5">
        <v>5.0</v>
      </c>
      <c r="B687" s="6">
        <v>529.0</v>
      </c>
      <c r="C687" s="6">
        <v>1.0</v>
      </c>
      <c r="D687" s="16" t="s">
        <v>880</v>
      </c>
      <c r="E687" s="9" t="s">
        <v>873</v>
      </c>
      <c r="F687" s="8"/>
    </row>
    <row r="688" ht="21.0" customHeight="1">
      <c r="A688" s="5">
        <v>5.0</v>
      </c>
      <c r="B688" s="6">
        <v>534.0</v>
      </c>
      <c r="C688" s="6">
        <v>1.0</v>
      </c>
      <c r="D688" s="16" t="s">
        <v>872</v>
      </c>
      <c r="E688" s="9" t="s">
        <v>873</v>
      </c>
      <c r="F688" s="8"/>
    </row>
    <row r="689" ht="21.0" customHeight="1">
      <c r="A689" s="5">
        <v>5.0</v>
      </c>
      <c r="B689" s="6">
        <v>534.0</v>
      </c>
      <c r="C689" s="6">
        <v>1.0</v>
      </c>
      <c r="D689" s="16" t="s">
        <v>874</v>
      </c>
      <c r="E689" s="9" t="s">
        <v>873</v>
      </c>
      <c r="F689" s="8"/>
    </row>
    <row r="690" ht="21.0" customHeight="1">
      <c r="A690" s="5">
        <v>5.0</v>
      </c>
      <c r="B690" s="6">
        <v>534.0</v>
      </c>
      <c r="C690" s="6">
        <v>1.0</v>
      </c>
      <c r="D690" s="16" t="s">
        <v>875</v>
      </c>
      <c r="E690" s="9" t="s">
        <v>873</v>
      </c>
      <c r="F690" s="8"/>
    </row>
    <row r="691" ht="21.0" customHeight="1">
      <c r="A691" s="5">
        <v>5.0</v>
      </c>
      <c r="B691" s="6">
        <v>534.0</v>
      </c>
      <c r="C691" s="6">
        <v>1.0</v>
      </c>
      <c r="D691" s="16" t="s">
        <v>876</v>
      </c>
      <c r="E691" s="9" t="s">
        <v>873</v>
      </c>
      <c r="F691" s="8"/>
    </row>
    <row r="692" ht="21.0" customHeight="1">
      <c r="A692" s="5">
        <v>5.0</v>
      </c>
      <c r="B692" s="6">
        <v>534.0</v>
      </c>
      <c r="C692" s="6">
        <v>1.0</v>
      </c>
      <c r="D692" s="16" t="s">
        <v>877</v>
      </c>
      <c r="E692" s="9" t="s">
        <v>873</v>
      </c>
      <c r="F692" s="8"/>
    </row>
    <row r="693" ht="21.0" customHeight="1">
      <c r="A693" s="5">
        <v>5.0</v>
      </c>
      <c r="B693" s="6">
        <v>534.0</v>
      </c>
      <c r="C693" s="6">
        <v>1.0</v>
      </c>
      <c r="D693" s="16" t="s">
        <v>878</v>
      </c>
      <c r="E693" s="9" t="s">
        <v>873</v>
      </c>
      <c r="F693" s="8"/>
    </row>
    <row r="694" ht="21.0" customHeight="1">
      <c r="A694" s="5">
        <v>5.0</v>
      </c>
      <c r="B694" s="6">
        <v>534.0</v>
      </c>
      <c r="C694" s="6">
        <v>1.0</v>
      </c>
      <c r="D694" s="16" t="s">
        <v>879</v>
      </c>
      <c r="E694" s="9" t="s">
        <v>873</v>
      </c>
      <c r="F694" s="8"/>
    </row>
    <row r="695" ht="21.0" customHeight="1">
      <c r="A695" s="5">
        <v>5.0</v>
      </c>
      <c r="B695" s="6">
        <v>534.0</v>
      </c>
      <c r="C695" s="6">
        <v>1.0</v>
      </c>
      <c r="D695" s="16" t="s">
        <v>880</v>
      </c>
      <c r="E695" s="9" t="s">
        <v>873</v>
      </c>
      <c r="F695" s="8"/>
    </row>
    <row r="696" ht="21.0" customHeight="1">
      <c r="A696" s="5">
        <v>5.0</v>
      </c>
      <c r="B696" s="6">
        <v>535.0</v>
      </c>
      <c r="C696" s="6">
        <v>1.0</v>
      </c>
      <c r="D696" s="16" t="s">
        <v>872</v>
      </c>
      <c r="E696" s="9" t="s">
        <v>873</v>
      </c>
      <c r="F696" s="8"/>
    </row>
    <row r="697" ht="21.0" customHeight="1">
      <c r="A697" s="5">
        <v>5.0</v>
      </c>
      <c r="B697" s="6">
        <v>535.0</v>
      </c>
      <c r="C697" s="6">
        <v>1.0</v>
      </c>
      <c r="D697" s="16" t="s">
        <v>874</v>
      </c>
      <c r="E697" s="9" t="s">
        <v>873</v>
      </c>
      <c r="F697" s="8"/>
    </row>
    <row r="698" ht="21.0" customHeight="1">
      <c r="A698" s="5">
        <v>5.0</v>
      </c>
      <c r="B698" s="6">
        <v>535.0</v>
      </c>
      <c r="C698" s="6">
        <v>1.0</v>
      </c>
      <c r="D698" s="16" t="s">
        <v>875</v>
      </c>
      <c r="E698" s="9" t="s">
        <v>873</v>
      </c>
      <c r="F698" s="8"/>
    </row>
    <row r="699" ht="21.0" customHeight="1">
      <c r="A699" s="5">
        <v>5.0</v>
      </c>
      <c r="B699" s="6">
        <v>535.0</v>
      </c>
      <c r="C699" s="6">
        <v>1.0</v>
      </c>
      <c r="D699" s="16" t="s">
        <v>876</v>
      </c>
      <c r="E699" s="9" t="s">
        <v>873</v>
      </c>
      <c r="F699" s="8"/>
    </row>
    <row r="700" ht="21.0" customHeight="1">
      <c r="A700" s="5">
        <v>5.0</v>
      </c>
      <c r="B700" s="6">
        <v>535.0</v>
      </c>
      <c r="C700" s="6">
        <v>1.0</v>
      </c>
      <c r="D700" s="16" t="s">
        <v>877</v>
      </c>
      <c r="E700" s="9" t="s">
        <v>873</v>
      </c>
      <c r="F700" s="8"/>
    </row>
    <row r="701" ht="21.0" customHeight="1">
      <c r="A701" s="5">
        <v>5.0</v>
      </c>
      <c r="B701" s="6">
        <v>535.0</v>
      </c>
      <c r="C701" s="6">
        <v>1.0</v>
      </c>
      <c r="D701" s="16" t="s">
        <v>878</v>
      </c>
      <c r="E701" s="9" t="s">
        <v>873</v>
      </c>
      <c r="F701" s="8"/>
    </row>
    <row r="702" ht="21.0" customHeight="1">
      <c r="A702" s="5">
        <v>5.0</v>
      </c>
      <c r="B702" s="6">
        <v>535.0</v>
      </c>
      <c r="C702" s="6">
        <v>1.0</v>
      </c>
      <c r="D702" s="16" t="s">
        <v>879</v>
      </c>
      <c r="E702" s="9" t="s">
        <v>873</v>
      </c>
      <c r="F702" s="8"/>
    </row>
    <row r="703" ht="21.0" customHeight="1">
      <c r="A703" s="5">
        <v>5.0</v>
      </c>
      <c r="B703" s="6">
        <v>535.0</v>
      </c>
      <c r="C703" s="6">
        <v>1.0</v>
      </c>
      <c r="D703" s="16" t="s">
        <v>880</v>
      </c>
      <c r="E703" s="9" t="s">
        <v>873</v>
      </c>
      <c r="F703" s="8"/>
    </row>
    <row r="704" ht="21.0" customHeight="1">
      <c r="A704" s="5">
        <v>5.0</v>
      </c>
      <c r="B704" s="6">
        <v>536.0</v>
      </c>
      <c r="C704" s="6">
        <v>1.0</v>
      </c>
      <c r="D704" s="16" t="s">
        <v>872</v>
      </c>
      <c r="E704" s="9" t="s">
        <v>873</v>
      </c>
      <c r="F704" s="8"/>
    </row>
    <row r="705" ht="21.0" customHeight="1">
      <c r="A705" s="5">
        <v>5.0</v>
      </c>
      <c r="B705" s="6">
        <v>536.0</v>
      </c>
      <c r="C705" s="6">
        <v>1.0</v>
      </c>
      <c r="D705" s="16" t="s">
        <v>874</v>
      </c>
      <c r="E705" s="9" t="s">
        <v>873</v>
      </c>
      <c r="F705" s="8"/>
    </row>
    <row r="706" ht="21.0" customHeight="1">
      <c r="A706" s="5">
        <v>5.0</v>
      </c>
      <c r="B706" s="6">
        <v>536.0</v>
      </c>
      <c r="C706" s="6">
        <v>1.0</v>
      </c>
      <c r="D706" s="16" t="s">
        <v>875</v>
      </c>
      <c r="E706" s="9" t="s">
        <v>873</v>
      </c>
      <c r="F706" s="8"/>
    </row>
    <row r="707" ht="21.0" customHeight="1">
      <c r="A707" s="5">
        <v>5.0</v>
      </c>
      <c r="B707" s="6">
        <v>536.0</v>
      </c>
      <c r="C707" s="6">
        <v>1.0</v>
      </c>
      <c r="D707" s="16" t="s">
        <v>876</v>
      </c>
      <c r="E707" s="9" t="s">
        <v>873</v>
      </c>
      <c r="F707" s="8"/>
    </row>
    <row r="708" ht="21.0" customHeight="1">
      <c r="A708" s="5">
        <v>5.0</v>
      </c>
      <c r="B708" s="6">
        <v>536.0</v>
      </c>
      <c r="C708" s="6">
        <v>1.0</v>
      </c>
      <c r="D708" s="16" t="s">
        <v>877</v>
      </c>
      <c r="E708" s="9" t="s">
        <v>873</v>
      </c>
      <c r="F708" s="8"/>
    </row>
    <row r="709" ht="21.0" customHeight="1">
      <c r="A709" s="5">
        <v>5.0</v>
      </c>
      <c r="B709" s="6">
        <v>536.0</v>
      </c>
      <c r="C709" s="6">
        <v>1.0</v>
      </c>
      <c r="D709" s="16" t="s">
        <v>878</v>
      </c>
      <c r="E709" s="9" t="s">
        <v>873</v>
      </c>
      <c r="F709" s="8"/>
    </row>
    <row r="710" ht="21.0" customHeight="1">
      <c r="A710" s="5">
        <v>5.0</v>
      </c>
      <c r="B710" s="6">
        <v>536.0</v>
      </c>
      <c r="C710" s="6">
        <v>1.0</v>
      </c>
      <c r="D710" s="16" t="s">
        <v>879</v>
      </c>
      <c r="E710" s="9" t="s">
        <v>873</v>
      </c>
      <c r="F710" s="8"/>
    </row>
    <row r="711" ht="21.0" customHeight="1">
      <c r="A711" s="5">
        <v>5.0</v>
      </c>
      <c r="B711" s="6">
        <v>536.0</v>
      </c>
      <c r="C711" s="6">
        <v>1.0</v>
      </c>
      <c r="D711" s="16" t="s">
        <v>880</v>
      </c>
      <c r="E711" s="9" t="s">
        <v>873</v>
      </c>
      <c r="F711" s="8"/>
    </row>
    <row r="712" ht="21.0" customHeight="1">
      <c r="A712" s="5">
        <v>5.0</v>
      </c>
      <c r="B712" s="6">
        <v>533.0</v>
      </c>
      <c r="C712" s="6">
        <v>1.0</v>
      </c>
      <c r="D712" s="16" t="s">
        <v>872</v>
      </c>
      <c r="E712" s="9" t="s">
        <v>873</v>
      </c>
      <c r="F712" s="8"/>
    </row>
    <row r="713" ht="21.0" customHeight="1">
      <c r="A713" s="5">
        <v>5.0</v>
      </c>
      <c r="B713" s="6">
        <v>533.0</v>
      </c>
      <c r="C713" s="6">
        <v>1.0</v>
      </c>
      <c r="D713" s="16" t="s">
        <v>874</v>
      </c>
      <c r="E713" s="9" t="s">
        <v>873</v>
      </c>
      <c r="F713" s="8"/>
    </row>
    <row r="714" ht="21.0" customHeight="1">
      <c r="A714" s="5">
        <v>5.0</v>
      </c>
      <c r="B714" s="6">
        <v>533.0</v>
      </c>
      <c r="C714" s="6">
        <v>1.0</v>
      </c>
      <c r="D714" s="16" t="s">
        <v>875</v>
      </c>
      <c r="E714" s="9" t="s">
        <v>873</v>
      </c>
      <c r="F714" s="8"/>
    </row>
    <row r="715" ht="21.0" customHeight="1">
      <c r="A715" s="5">
        <v>5.0</v>
      </c>
      <c r="B715" s="6">
        <v>533.0</v>
      </c>
      <c r="C715" s="6">
        <v>1.0</v>
      </c>
      <c r="D715" s="16" t="s">
        <v>876</v>
      </c>
      <c r="E715" s="9" t="s">
        <v>873</v>
      </c>
      <c r="F715" s="8"/>
    </row>
    <row r="716" ht="21.0" customHeight="1">
      <c r="A716" s="5">
        <v>5.0</v>
      </c>
      <c r="B716" s="6">
        <v>533.0</v>
      </c>
      <c r="C716" s="6">
        <v>1.0</v>
      </c>
      <c r="D716" s="16" t="s">
        <v>877</v>
      </c>
      <c r="E716" s="9" t="s">
        <v>873</v>
      </c>
      <c r="F716" s="8"/>
    </row>
    <row r="717" ht="21.0" customHeight="1">
      <c r="A717" s="5">
        <v>5.0</v>
      </c>
      <c r="B717" s="6">
        <v>533.0</v>
      </c>
      <c r="C717" s="6">
        <v>1.0</v>
      </c>
      <c r="D717" s="16" t="s">
        <v>878</v>
      </c>
      <c r="E717" s="9" t="s">
        <v>873</v>
      </c>
      <c r="F717" s="8"/>
    </row>
    <row r="718" ht="21.0" customHeight="1">
      <c r="A718" s="5">
        <v>5.0</v>
      </c>
      <c r="B718" s="6">
        <v>533.0</v>
      </c>
      <c r="C718" s="6">
        <v>1.0</v>
      </c>
      <c r="D718" s="16" t="s">
        <v>879</v>
      </c>
      <c r="E718" s="9" t="s">
        <v>873</v>
      </c>
      <c r="F718" s="8"/>
    </row>
    <row r="719" ht="21.0" customHeight="1">
      <c r="A719" s="5">
        <v>5.0</v>
      </c>
      <c r="B719" s="6">
        <v>533.0</v>
      </c>
      <c r="C719" s="6">
        <v>1.0</v>
      </c>
      <c r="D719" s="16" t="s">
        <v>880</v>
      </c>
      <c r="E719" s="9" t="s">
        <v>873</v>
      </c>
      <c r="F719" s="8"/>
    </row>
    <row r="720" ht="21.0" customHeight="1">
      <c r="A720" s="5">
        <v>5.0</v>
      </c>
      <c r="B720" s="6">
        <v>537.0</v>
      </c>
      <c r="C720" s="6">
        <v>1.0</v>
      </c>
      <c r="D720" s="16" t="s">
        <v>872</v>
      </c>
      <c r="E720" s="9" t="s">
        <v>873</v>
      </c>
      <c r="F720" s="8"/>
    </row>
    <row r="721" ht="21.0" customHeight="1">
      <c r="A721" s="5">
        <v>5.0</v>
      </c>
      <c r="B721" s="6">
        <v>537.0</v>
      </c>
      <c r="C721" s="6">
        <v>1.0</v>
      </c>
      <c r="D721" s="16" t="s">
        <v>874</v>
      </c>
      <c r="E721" s="9" t="s">
        <v>873</v>
      </c>
      <c r="F721" s="8"/>
    </row>
    <row r="722" ht="21.0" customHeight="1">
      <c r="A722" s="5">
        <v>5.0</v>
      </c>
      <c r="B722" s="6">
        <v>537.0</v>
      </c>
      <c r="C722" s="6">
        <v>1.0</v>
      </c>
      <c r="D722" s="16" t="s">
        <v>875</v>
      </c>
      <c r="E722" s="9" t="s">
        <v>873</v>
      </c>
      <c r="F722" s="8"/>
    </row>
    <row r="723" ht="21.0" customHeight="1">
      <c r="A723" s="5">
        <v>5.0</v>
      </c>
      <c r="B723" s="6">
        <v>537.0</v>
      </c>
      <c r="C723" s="6">
        <v>1.0</v>
      </c>
      <c r="D723" s="16" t="s">
        <v>876</v>
      </c>
      <c r="E723" s="9" t="s">
        <v>873</v>
      </c>
      <c r="F723" s="8"/>
    </row>
    <row r="724" ht="21.0" customHeight="1">
      <c r="A724" s="5">
        <v>5.0</v>
      </c>
      <c r="B724" s="6">
        <v>537.0</v>
      </c>
      <c r="C724" s="6">
        <v>1.0</v>
      </c>
      <c r="D724" s="16" t="s">
        <v>877</v>
      </c>
      <c r="E724" s="9" t="s">
        <v>873</v>
      </c>
      <c r="F724" s="8"/>
    </row>
    <row r="725" ht="21.0" customHeight="1">
      <c r="A725" s="5">
        <v>5.0</v>
      </c>
      <c r="B725" s="6">
        <v>537.0</v>
      </c>
      <c r="C725" s="6">
        <v>1.0</v>
      </c>
      <c r="D725" s="16" t="s">
        <v>878</v>
      </c>
      <c r="E725" s="9" t="s">
        <v>873</v>
      </c>
      <c r="F725" s="8"/>
    </row>
    <row r="726" ht="21.0" customHeight="1">
      <c r="A726" s="5">
        <v>5.0</v>
      </c>
      <c r="B726" s="6">
        <v>537.0</v>
      </c>
      <c r="C726" s="6">
        <v>1.0</v>
      </c>
      <c r="D726" s="16" t="s">
        <v>879</v>
      </c>
      <c r="E726" s="9" t="s">
        <v>873</v>
      </c>
      <c r="F726" s="8"/>
    </row>
    <row r="727" ht="21.0" customHeight="1">
      <c r="A727" s="5">
        <v>5.0</v>
      </c>
      <c r="B727" s="6">
        <v>537.0</v>
      </c>
      <c r="C727" s="6">
        <v>1.0</v>
      </c>
      <c r="D727" s="16" t="s">
        <v>880</v>
      </c>
      <c r="E727" s="9" t="s">
        <v>873</v>
      </c>
      <c r="F727" s="8"/>
    </row>
    <row r="728" ht="21.0" customHeight="1">
      <c r="A728" s="5">
        <v>5.0</v>
      </c>
      <c r="B728" s="6">
        <v>538.0</v>
      </c>
      <c r="C728" s="6">
        <v>1.0</v>
      </c>
      <c r="D728" s="16" t="s">
        <v>872</v>
      </c>
      <c r="E728" s="9" t="s">
        <v>873</v>
      </c>
      <c r="F728" s="8"/>
    </row>
    <row r="729" ht="21.0" customHeight="1">
      <c r="A729" s="5">
        <v>5.0</v>
      </c>
      <c r="B729" s="6">
        <v>538.0</v>
      </c>
      <c r="C729" s="6">
        <v>1.0</v>
      </c>
      <c r="D729" s="16" t="s">
        <v>874</v>
      </c>
      <c r="E729" s="9" t="s">
        <v>873</v>
      </c>
      <c r="F729" s="8"/>
    </row>
    <row r="730" ht="21.0" customHeight="1">
      <c r="A730" s="5">
        <v>5.0</v>
      </c>
      <c r="B730" s="6">
        <v>538.0</v>
      </c>
      <c r="C730" s="6">
        <v>1.0</v>
      </c>
      <c r="D730" s="16" t="s">
        <v>875</v>
      </c>
      <c r="E730" s="9" t="s">
        <v>873</v>
      </c>
      <c r="F730" s="8"/>
    </row>
    <row r="731" ht="21.0" customHeight="1">
      <c r="A731" s="5">
        <v>5.0</v>
      </c>
      <c r="B731" s="6">
        <v>538.0</v>
      </c>
      <c r="C731" s="6">
        <v>1.0</v>
      </c>
      <c r="D731" s="16" t="s">
        <v>876</v>
      </c>
      <c r="E731" s="9" t="s">
        <v>873</v>
      </c>
      <c r="F731" s="8"/>
    </row>
    <row r="732" ht="21.0" customHeight="1">
      <c r="A732" s="5">
        <v>5.0</v>
      </c>
      <c r="B732" s="6">
        <v>538.0</v>
      </c>
      <c r="C732" s="6">
        <v>1.0</v>
      </c>
      <c r="D732" s="16" t="s">
        <v>877</v>
      </c>
      <c r="E732" s="9" t="s">
        <v>873</v>
      </c>
      <c r="F732" s="8"/>
    </row>
    <row r="733" ht="21.0" customHeight="1">
      <c r="A733" s="5">
        <v>5.0</v>
      </c>
      <c r="B733" s="6">
        <v>538.0</v>
      </c>
      <c r="C733" s="6">
        <v>1.0</v>
      </c>
      <c r="D733" s="16" t="s">
        <v>878</v>
      </c>
      <c r="E733" s="9" t="s">
        <v>873</v>
      </c>
      <c r="F733" s="8"/>
    </row>
    <row r="734" ht="21.0" customHeight="1">
      <c r="A734" s="5">
        <v>5.0</v>
      </c>
      <c r="B734" s="6">
        <v>538.0</v>
      </c>
      <c r="C734" s="6">
        <v>1.0</v>
      </c>
      <c r="D734" s="16" t="s">
        <v>879</v>
      </c>
      <c r="E734" s="9" t="s">
        <v>873</v>
      </c>
      <c r="F734" s="8"/>
    </row>
    <row r="735" ht="21.0" customHeight="1">
      <c r="A735" s="5">
        <v>5.0</v>
      </c>
      <c r="B735" s="6">
        <v>538.0</v>
      </c>
      <c r="C735" s="6">
        <v>1.0</v>
      </c>
      <c r="D735" s="16" t="s">
        <v>880</v>
      </c>
      <c r="E735" s="9" t="s">
        <v>873</v>
      </c>
      <c r="F735" s="8"/>
    </row>
    <row r="736" ht="21.0" customHeight="1">
      <c r="A736" s="5">
        <v>5.0</v>
      </c>
      <c r="B736" s="6">
        <v>539.0</v>
      </c>
      <c r="C736" s="6">
        <v>1.0</v>
      </c>
      <c r="D736" s="16" t="s">
        <v>872</v>
      </c>
      <c r="E736" s="9" t="s">
        <v>873</v>
      </c>
      <c r="F736" s="8"/>
    </row>
    <row r="737" ht="21.0" customHeight="1">
      <c r="A737" s="5">
        <v>5.0</v>
      </c>
      <c r="B737" s="6">
        <v>539.0</v>
      </c>
      <c r="C737" s="6">
        <v>1.0</v>
      </c>
      <c r="D737" s="16" t="s">
        <v>874</v>
      </c>
      <c r="E737" s="9" t="s">
        <v>873</v>
      </c>
      <c r="F737" s="8"/>
    </row>
    <row r="738" ht="21.0" customHeight="1">
      <c r="A738" s="5">
        <v>5.0</v>
      </c>
      <c r="B738" s="6">
        <v>539.0</v>
      </c>
      <c r="C738" s="6">
        <v>1.0</v>
      </c>
      <c r="D738" s="16" t="s">
        <v>875</v>
      </c>
      <c r="E738" s="9" t="s">
        <v>873</v>
      </c>
      <c r="F738" s="8"/>
    </row>
    <row r="739" ht="21.0" customHeight="1">
      <c r="A739" s="5">
        <v>5.0</v>
      </c>
      <c r="B739" s="6">
        <v>539.0</v>
      </c>
      <c r="C739" s="6">
        <v>1.0</v>
      </c>
      <c r="D739" s="16" t="s">
        <v>876</v>
      </c>
      <c r="E739" s="9" t="s">
        <v>873</v>
      </c>
      <c r="F739" s="8"/>
    </row>
    <row r="740" ht="21.0" customHeight="1">
      <c r="A740" s="5">
        <v>5.0</v>
      </c>
      <c r="B740" s="6">
        <v>539.0</v>
      </c>
      <c r="C740" s="6">
        <v>1.0</v>
      </c>
      <c r="D740" s="16" t="s">
        <v>877</v>
      </c>
      <c r="E740" s="9" t="s">
        <v>873</v>
      </c>
      <c r="F740" s="8"/>
    </row>
    <row r="741" ht="21.0" customHeight="1">
      <c r="A741" s="5">
        <v>5.0</v>
      </c>
      <c r="B741" s="6">
        <v>539.0</v>
      </c>
      <c r="C741" s="6">
        <v>1.0</v>
      </c>
      <c r="D741" s="16" t="s">
        <v>878</v>
      </c>
      <c r="E741" s="9" t="s">
        <v>873</v>
      </c>
      <c r="F741" s="8"/>
    </row>
    <row r="742" ht="21.0" customHeight="1">
      <c r="A742" s="5">
        <v>5.0</v>
      </c>
      <c r="B742" s="6">
        <v>539.0</v>
      </c>
      <c r="C742" s="6">
        <v>1.0</v>
      </c>
      <c r="D742" s="16" t="s">
        <v>879</v>
      </c>
      <c r="E742" s="9" t="s">
        <v>873</v>
      </c>
      <c r="F742" s="8"/>
    </row>
    <row r="743" ht="21.0" customHeight="1">
      <c r="A743" s="5">
        <v>5.0</v>
      </c>
      <c r="B743" s="6">
        <v>539.0</v>
      </c>
      <c r="C743" s="6">
        <v>1.0</v>
      </c>
      <c r="D743" s="16" t="s">
        <v>880</v>
      </c>
      <c r="E743" s="9" t="s">
        <v>873</v>
      </c>
      <c r="F743" s="8"/>
    </row>
    <row r="744" ht="21.0" customHeight="1">
      <c r="A744" s="5">
        <v>5.0</v>
      </c>
      <c r="B744" s="6">
        <v>540.0</v>
      </c>
      <c r="C744" s="6">
        <v>1.0</v>
      </c>
      <c r="D744" s="16" t="s">
        <v>872</v>
      </c>
      <c r="E744" s="9" t="s">
        <v>873</v>
      </c>
      <c r="F744" s="8"/>
    </row>
    <row r="745" ht="21.0" customHeight="1">
      <c r="A745" s="5">
        <v>5.0</v>
      </c>
      <c r="B745" s="6">
        <v>540.0</v>
      </c>
      <c r="C745" s="6">
        <v>1.0</v>
      </c>
      <c r="D745" s="16" t="s">
        <v>874</v>
      </c>
      <c r="E745" s="9" t="s">
        <v>873</v>
      </c>
      <c r="F745" s="8"/>
    </row>
    <row r="746" ht="21.0" customHeight="1">
      <c r="A746" s="5">
        <v>5.0</v>
      </c>
      <c r="B746" s="6">
        <v>540.0</v>
      </c>
      <c r="C746" s="6">
        <v>1.0</v>
      </c>
      <c r="D746" s="16" t="s">
        <v>875</v>
      </c>
      <c r="E746" s="9" t="s">
        <v>873</v>
      </c>
      <c r="F746" s="8"/>
    </row>
    <row r="747" ht="21.0" customHeight="1">
      <c r="A747" s="5">
        <v>5.0</v>
      </c>
      <c r="B747" s="6">
        <v>540.0</v>
      </c>
      <c r="C747" s="6">
        <v>1.0</v>
      </c>
      <c r="D747" s="16" t="s">
        <v>876</v>
      </c>
      <c r="E747" s="9" t="s">
        <v>873</v>
      </c>
      <c r="F747" s="8"/>
    </row>
    <row r="748" ht="21.0" customHeight="1">
      <c r="A748" s="5">
        <v>5.0</v>
      </c>
      <c r="B748" s="6">
        <v>540.0</v>
      </c>
      <c r="C748" s="6">
        <v>1.0</v>
      </c>
      <c r="D748" s="16" t="s">
        <v>877</v>
      </c>
      <c r="E748" s="9" t="s">
        <v>873</v>
      </c>
      <c r="F748" s="8"/>
    </row>
    <row r="749" ht="21.0" customHeight="1">
      <c r="A749" s="5">
        <v>5.0</v>
      </c>
      <c r="B749" s="6">
        <v>540.0</v>
      </c>
      <c r="C749" s="6">
        <v>1.0</v>
      </c>
      <c r="D749" s="16" t="s">
        <v>878</v>
      </c>
      <c r="E749" s="9" t="s">
        <v>873</v>
      </c>
      <c r="F749" s="8"/>
    </row>
    <row r="750" ht="21.0" customHeight="1">
      <c r="A750" s="5">
        <v>5.0</v>
      </c>
      <c r="B750" s="6">
        <v>540.0</v>
      </c>
      <c r="C750" s="6">
        <v>1.0</v>
      </c>
      <c r="D750" s="16" t="s">
        <v>879</v>
      </c>
      <c r="E750" s="9" t="s">
        <v>873</v>
      </c>
      <c r="F750" s="8"/>
    </row>
    <row r="751" ht="21.0" customHeight="1">
      <c r="A751" s="5">
        <v>5.0</v>
      </c>
      <c r="B751" s="6">
        <v>540.0</v>
      </c>
      <c r="C751" s="6">
        <v>1.0</v>
      </c>
      <c r="D751" s="16" t="s">
        <v>880</v>
      </c>
      <c r="E751" s="9" t="s">
        <v>873</v>
      </c>
      <c r="F751" s="8"/>
    </row>
    <row r="752" ht="21.0" customHeight="1">
      <c r="A752" s="5">
        <v>5.0</v>
      </c>
      <c r="B752" s="6">
        <v>541.0</v>
      </c>
      <c r="C752" s="6">
        <v>1.0</v>
      </c>
      <c r="D752" s="16" t="s">
        <v>872</v>
      </c>
      <c r="E752" s="9" t="s">
        <v>873</v>
      </c>
      <c r="F752" s="8"/>
    </row>
    <row r="753" ht="21.0" customHeight="1">
      <c r="A753" s="5">
        <v>5.0</v>
      </c>
      <c r="B753" s="6">
        <v>541.0</v>
      </c>
      <c r="C753" s="6">
        <v>1.0</v>
      </c>
      <c r="D753" s="16" t="s">
        <v>874</v>
      </c>
      <c r="E753" s="9" t="s">
        <v>873</v>
      </c>
      <c r="F753" s="8"/>
    </row>
    <row r="754" ht="21.0" customHeight="1">
      <c r="A754" s="5">
        <v>5.0</v>
      </c>
      <c r="B754" s="6">
        <v>541.0</v>
      </c>
      <c r="C754" s="6">
        <v>1.0</v>
      </c>
      <c r="D754" s="16" t="s">
        <v>875</v>
      </c>
      <c r="E754" s="9" t="s">
        <v>873</v>
      </c>
      <c r="F754" s="8"/>
    </row>
    <row r="755" ht="21.0" customHeight="1">
      <c r="A755" s="5">
        <v>5.0</v>
      </c>
      <c r="B755" s="6">
        <v>541.0</v>
      </c>
      <c r="C755" s="6">
        <v>1.0</v>
      </c>
      <c r="D755" s="16" t="s">
        <v>876</v>
      </c>
      <c r="E755" s="9" t="s">
        <v>873</v>
      </c>
      <c r="F755" s="8"/>
    </row>
    <row r="756" ht="21.0" customHeight="1">
      <c r="A756" s="5">
        <v>5.0</v>
      </c>
      <c r="B756" s="6">
        <v>541.0</v>
      </c>
      <c r="C756" s="6">
        <v>1.0</v>
      </c>
      <c r="D756" s="16" t="s">
        <v>877</v>
      </c>
      <c r="E756" s="9" t="s">
        <v>873</v>
      </c>
      <c r="F756" s="8"/>
    </row>
    <row r="757" ht="21.0" customHeight="1">
      <c r="A757" s="5">
        <v>5.0</v>
      </c>
      <c r="B757" s="6">
        <v>541.0</v>
      </c>
      <c r="C757" s="6">
        <v>1.0</v>
      </c>
      <c r="D757" s="16" t="s">
        <v>878</v>
      </c>
      <c r="E757" s="9" t="s">
        <v>873</v>
      </c>
      <c r="F757" s="8"/>
    </row>
    <row r="758" ht="21.0" customHeight="1">
      <c r="A758" s="5">
        <v>5.0</v>
      </c>
      <c r="B758" s="6">
        <v>541.0</v>
      </c>
      <c r="C758" s="6">
        <v>1.0</v>
      </c>
      <c r="D758" s="16" t="s">
        <v>879</v>
      </c>
      <c r="E758" s="9" t="s">
        <v>873</v>
      </c>
      <c r="F758" s="8"/>
    </row>
    <row r="759" ht="21.0" customHeight="1">
      <c r="A759" s="5">
        <v>5.0</v>
      </c>
      <c r="B759" s="6">
        <v>541.0</v>
      </c>
      <c r="C759" s="6">
        <v>1.0</v>
      </c>
      <c r="D759" s="16" t="s">
        <v>880</v>
      </c>
      <c r="E759" s="9" t="s">
        <v>873</v>
      </c>
      <c r="F759" s="8"/>
    </row>
    <row r="760" ht="21.0" customHeight="1">
      <c r="A760" s="5">
        <v>5.0</v>
      </c>
      <c r="B760" s="6">
        <v>527.0</v>
      </c>
      <c r="C760" s="6">
        <v>1.0</v>
      </c>
      <c r="D760" s="16" t="s">
        <v>872</v>
      </c>
      <c r="E760" s="9" t="s">
        <v>873</v>
      </c>
      <c r="F760" s="8"/>
    </row>
    <row r="761" ht="21.0" customHeight="1">
      <c r="A761" s="5">
        <v>5.0</v>
      </c>
      <c r="B761" s="6">
        <v>527.0</v>
      </c>
      <c r="C761" s="6">
        <v>1.0</v>
      </c>
      <c r="D761" s="16" t="s">
        <v>874</v>
      </c>
      <c r="E761" s="9" t="s">
        <v>873</v>
      </c>
      <c r="F761" s="8"/>
    </row>
    <row r="762" ht="21.0" customHeight="1">
      <c r="A762" s="5">
        <v>5.0</v>
      </c>
      <c r="B762" s="6">
        <v>527.0</v>
      </c>
      <c r="C762" s="6">
        <v>1.0</v>
      </c>
      <c r="D762" s="16" t="s">
        <v>875</v>
      </c>
      <c r="E762" s="9" t="s">
        <v>873</v>
      </c>
      <c r="F762" s="8"/>
    </row>
    <row r="763" ht="21.0" customHeight="1">
      <c r="A763" s="5">
        <v>5.0</v>
      </c>
      <c r="B763" s="6">
        <v>527.0</v>
      </c>
      <c r="C763" s="6">
        <v>1.0</v>
      </c>
      <c r="D763" s="16" t="s">
        <v>876</v>
      </c>
      <c r="E763" s="9" t="s">
        <v>873</v>
      </c>
      <c r="F763" s="8"/>
    </row>
    <row r="764" ht="21.0" customHeight="1">
      <c r="A764" s="5">
        <v>5.0</v>
      </c>
      <c r="B764" s="6">
        <v>527.0</v>
      </c>
      <c r="C764" s="6">
        <v>1.0</v>
      </c>
      <c r="D764" s="16" t="s">
        <v>877</v>
      </c>
      <c r="E764" s="9" t="s">
        <v>873</v>
      </c>
      <c r="F764" s="8"/>
    </row>
    <row r="765" ht="21.0" customHeight="1">
      <c r="A765" s="5">
        <v>5.0</v>
      </c>
      <c r="B765" s="6">
        <v>527.0</v>
      </c>
      <c r="C765" s="6">
        <v>1.0</v>
      </c>
      <c r="D765" s="16" t="s">
        <v>878</v>
      </c>
      <c r="E765" s="9" t="s">
        <v>873</v>
      </c>
      <c r="F765" s="8"/>
    </row>
    <row r="766" ht="21.0" customHeight="1">
      <c r="A766" s="5">
        <v>5.0</v>
      </c>
      <c r="B766" s="6">
        <v>527.0</v>
      </c>
      <c r="C766" s="6">
        <v>1.0</v>
      </c>
      <c r="D766" s="16" t="s">
        <v>879</v>
      </c>
      <c r="E766" s="9" t="s">
        <v>873</v>
      </c>
      <c r="F766" s="8"/>
    </row>
    <row r="767" ht="21.0" customHeight="1">
      <c r="A767" s="5">
        <v>5.0</v>
      </c>
      <c r="B767" s="6">
        <v>527.0</v>
      </c>
      <c r="C767" s="6">
        <v>1.0</v>
      </c>
      <c r="D767" s="16" t="s">
        <v>880</v>
      </c>
      <c r="E767" s="9" t="s">
        <v>873</v>
      </c>
      <c r="F767" s="8"/>
    </row>
    <row r="768" ht="21.0" customHeight="1">
      <c r="A768" s="5">
        <v>5.0</v>
      </c>
      <c r="B768" s="6">
        <v>524.0</v>
      </c>
      <c r="C768" s="6">
        <v>1.0</v>
      </c>
      <c r="D768" s="16" t="s">
        <v>872</v>
      </c>
      <c r="E768" s="9" t="s">
        <v>873</v>
      </c>
      <c r="F768" s="8"/>
    </row>
    <row r="769" ht="21.0" customHeight="1">
      <c r="A769" s="5">
        <v>5.0</v>
      </c>
      <c r="B769" s="6">
        <v>524.0</v>
      </c>
      <c r="C769" s="6">
        <v>1.0</v>
      </c>
      <c r="D769" s="16" t="s">
        <v>874</v>
      </c>
      <c r="E769" s="9" t="s">
        <v>873</v>
      </c>
      <c r="F769" s="8"/>
    </row>
    <row r="770" ht="21.0" customHeight="1">
      <c r="A770" s="5">
        <v>5.0</v>
      </c>
      <c r="B770" s="6">
        <v>524.0</v>
      </c>
      <c r="C770" s="6">
        <v>1.0</v>
      </c>
      <c r="D770" s="16" t="s">
        <v>875</v>
      </c>
      <c r="E770" s="9" t="s">
        <v>873</v>
      </c>
      <c r="F770" s="8"/>
    </row>
    <row r="771" ht="21.0" customHeight="1">
      <c r="A771" s="5">
        <v>5.0</v>
      </c>
      <c r="B771" s="6">
        <v>524.0</v>
      </c>
      <c r="C771" s="6">
        <v>1.0</v>
      </c>
      <c r="D771" s="16" t="s">
        <v>876</v>
      </c>
      <c r="E771" s="9" t="s">
        <v>873</v>
      </c>
      <c r="F771" s="8"/>
    </row>
    <row r="772" ht="21.0" customHeight="1">
      <c r="A772" s="5">
        <v>5.0</v>
      </c>
      <c r="B772" s="6">
        <v>524.0</v>
      </c>
      <c r="C772" s="6">
        <v>1.0</v>
      </c>
      <c r="D772" s="16" t="s">
        <v>877</v>
      </c>
      <c r="E772" s="9" t="s">
        <v>873</v>
      </c>
      <c r="F772" s="8"/>
    </row>
    <row r="773" ht="21.0" customHeight="1">
      <c r="A773" s="5">
        <v>5.0</v>
      </c>
      <c r="B773" s="6">
        <v>524.0</v>
      </c>
      <c r="C773" s="6">
        <v>1.0</v>
      </c>
      <c r="D773" s="16" t="s">
        <v>878</v>
      </c>
      <c r="E773" s="9" t="s">
        <v>873</v>
      </c>
      <c r="F773" s="8"/>
    </row>
    <row r="774" ht="21.0" customHeight="1">
      <c r="A774" s="5">
        <v>5.0</v>
      </c>
      <c r="B774" s="6">
        <v>524.0</v>
      </c>
      <c r="C774" s="6">
        <v>1.0</v>
      </c>
      <c r="D774" s="16" t="s">
        <v>879</v>
      </c>
      <c r="E774" s="9" t="s">
        <v>873</v>
      </c>
      <c r="F774" s="8"/>
    </row>
    <row r="775" ht="21.0" customHeight="1">
      <c r="A775" s="5">
        <v>5.0</v>
      </c>
      <c r="B775" s="6">
        <v>524.0</v>
      </c>
      <c r="C775" s="6">
        <v>1.0</v>
      </c>
      <c r="D775" s="16" t="s">
        <v>880</v>
      </c>
      <c r="E775" s="9" t="s">
        <v>873</v>
      </c>
      <c r="F775" s="8"/>
    </row>
    <row r="776" ht="21.0" customHeight="1">
      <c r="A776" s="5">
        <v>5.0</v>
      </c>
      <c r="B776" s="6">
        <v>538.0</v>
      </c>
      <c r="C776" s="6">
        <v>1.0</v>
      </c>
      <c r="D776" s="16" t="s">
        <v>872</v>
      </c>
      <c r="E776" s="9" t="s">
        <v>873</v>
      </c>
      <c r="F776" s="8"/>
    </row>
    <row r="777" ht="21.0" customHeight="1">
      <c r="A777" s="5">
        <v>5.0</v>
      </c>
      <c r="B777" s="6">
        <v>538.0</v>
      </c>
      <c r="C777" s="6">
        <v>1.0</v>
      </c>
      <c r="D777" s="16" t="s">
        <v>874</v>
      </c>
      <c r="E777" s="9" t="s">
        <v>873</v>
      </c>
      <c r="F777" s="8"/>
    </row>
    <row r="778" ht="21.0" customHeight="1">
      <c r="A778" s="5">
        <v>5.0</v>
      </c>
      <c r="B778" s="6">
        <v>538.0</v>
      </c>
      <c r="C778" s="6">
        <v>1.0</v>
      </c>
      <c r="D778" s="16" t="s">
        <v>875</v>
      </c>
      <c r="E778" s="9" t="s">
        <v>873</v>
      </c>
      <c r="F778" s="8"/>
    </row>
    <row r="779" ht="21.0" customHeight="1">
      <c r="A779" s="5">
        <v>5.0</v>
      </c>
      <c r="B779" s="6">
        <v>538.0</v>
      </c>
      <c r="C779" s="6">
        <v>1.0</v>
      </c>
      <c r="D779" s="16" t="s">
        <v>876</v>
      </c>
      <c r="E779" s="9" t="s">
        <v>873</v>
      </c>
      <c r="F779" s="8"/>
    </row>
    <row r="780" ht="21.0" customHeight="1">
      <c r="A780" s="5">
        <v>5.0</v>
      </c>
      <c r="B780" s="6">
        <v>538.0</v>
      </c>
      <c r="C780" s="6">
        <v>1.0</v>
      </c>
      <c r="D780" s="16" t="s">
        <v>877</v>
      </c>
      <c r="E780" s="9" t="s">
        <v>873</v>
      </c>
      <c r="F780" s="8"/>
    </row>
    <row r="781" ht="21.0" customHeight="1">
      <c r="A781" s="5">
        <v>5.0</v>
      </c>
      <c r="B781" s="6">
        <v>538.0</v>
      </c>
      <c r="C781" s="6">
        <v>1.0</v>
      </c>
      <c r="D781" s="16" t="s">
        <v>878</v>
      </c>
      <c r="E781" s="9" t="s">
        <v>873</v>
      </c>
      <c r="F781" s="8"/>
    </row>
    <row r="782" ht="21.0" customHeight="1">
      <c r="A782" s="5">
        <v>5.0</v>
      </c>
      <c r="B782" s="6">
        <v>538.0</v>
      </c>
      <c r="C782" s="6">
        <v>1.0</v>
      </c>
      <c r="D782" s="16" t="s">
        <v>879</v>
      </c>
      <c r="E782" s="9" t="s">
        <v>873</v>
      </c>
      <c r="F782" s="8"/>
    </row>
    <row r="783" ht="21.0" customHeight="1">
      <c r="A783" s="5">
        <v>5.0</v>
      </c>
      <c r="B783" s="6">
        <v>538.0</v>
      </c>
      <c r="C783" s="6">
        <v>1.0</v>
      </c>
      <c r="D783" s="16" t="s">
        <v>880</v>
      </c>
      <c r="E783" s="9" t="s">
        <v>873</v>
      </c>
      <c r="F783" s="8"/>
    </row>
    <row r="784" ht="21.0" customHeight="1">
      <c r="A784" s="5">
        <v>5.0</v>
      </c>
      <c r="B784" s="6">
        <v>538.0</v>
      </c>
      <c r="C784" s="6">
        <v>1.0</v>
      </c>
      <c r="D784" s="16" t="s">
        <v>872</v>
      </c>
      <c r="E784" s="9" t="s">
        <v>873</v>
      </c>
      <c r="F784" s="8"/>
    </row>
    <row r="785" ht="21.0" customHeight="1">
      <c r="A785" s="5">
        <v>5.0</v>
      </c>
      <c r="B785" s="6">
        <v>538.0</v>
      </c>
      <c r="C785" s="6">
        <v>1.0</v>
      </c>
      <c r="D785" s="16" t="s">
        <v>874</v>
      </c>
      <c r="E785" s="9" t="s">
        <v>873</v>
      </c>
      <c r="F785" s="8"/>
    </row>
    <row r="786" ht="21.0" customHeight="1">
      <c r="A786" s="5">
        <v>5.0</v>
      </c>
      <c r="B786" s="6">
        <v>538.0</v>
      </c>
      <c r="C786" s="6">
        <v>1.0</v>
      </c>
      <c r="D786" s="16" t="s">
        <v>875</v>
      </c>
      <c r="E786" s="9" t="s">
        <v>873</v>
      </c>
      <c r="F786" s="8"/>
    </row>
    <row r="787" ht="21.0" customHeight="1">
      <c r="A787" s="5">
        <v>5.0</v>
      </c>
      <c r="B787" s="6">
        <v>538.0</v>
      </c>
      <c r="C787" s="6">
        <v>1.0</v>
      </c>
      <c r="D787" s="16" t="s">
        <v>876</v>
      </c>
      <c r="E787" s="9" t="s">
        <v>873</v>
      </c>
      <c r="F787" s="8"/>
    </row>
    <row r="788" ht="21.0" customHeight="1">
      <c r="A788" s="5">
        <v>5.0</v>
      </c>
      <c r="B788" s="6">
        <v>538.0</v>
      </c>
      <c r="C788" s="6">
        <v>1.0</v>
      </c>
      <c r="D788" s="16" t="s">
        <v>877</v>
      </c>
      <c r="E788" s="9" t="s">
        <v>873</v>
      </c>
      <c r="F788" s="8"/>
    </row>
    <row r="789" ht="21.0" customHeight="1">
      <c r="A789" s="5">
        <v>5.0</v>
      </c>
      <c r="B789" s="6">
        <v>538.0</v>
      </c>
      <c r="C789" s="6">
        <v>1.0</v>
      </c>
      <c r="D789" s="16" t="s">
        <v>878</v>
      </c>
      <c r="E789" s="9" t="s">
        <v>873</v>
      </c>
      <c r="F789" s="8"/>
    </row>
    <row r="790" ht="21.0" customHeight="1">
      <c r="A790" s="5">
        <v>5.0</v>
      </c>
      <c r="B790" s="6">
        <v>538.0</v>
      </c>
      <c r="C790" s="6">
        <v>1.0</v>
      </c>
      <c r="D790" s="16" t="s">
        <v>879</v>
      </c>
      <c r="E790" s="9" t="s">
        <v>873</v>
      </c>
      <c r="F790" s="8"/>
    </row>
    <row r="791" ht="21.0" customHeight="1">
      <c r="A791" s="5">
        <v>5.0</v>
      </c>
      <c r="B791" s="6">
        <v>538.0</v>
      </c>
      <c r="C791" s="6">
        <v>1.0</v>
      </c>
      <c r="D791" s="16" t="s">
        <v>880</v>
      </c>
      <c r="E791" s="9" t="s">
        <v>873</v>
      </c>
      <c r="F791" s="8"/>
    </row>
    <row r="792" ht="21.0" customHeight="1">
      <c r="A792" s="5">
        <v>5.0</v>
      </c>
      <c r="B792" s="6">
        <v>544.0</v>
      </c>
      <c r="C792" s="6">
        <v>1.0</v>
      </c>
      <c r="D792" s="16" t="s">
        <v>872</v>
      </c>
      <c r="E792" s="9" t="s">
        <v>873</v>
      </c>
      <c r="F792" s="8"/>
    </row>
    <row r="793" ht="21.0" customHeight="1">
      <c r="A793" s="5">
        <v>5.0</v>
      </c>
      <c r="B793" s="6">
        <v>544.0</v>
      </c>
      <c r="C793" s="6">
        <v>1.0</v>
      </c>
      <c r="D793" s="16" t="s">
        <v>874</v>
      </c>
      <c r="E793" s="9" t="s">
        <v>873</v>
      </c>
      <c r="F793" s="8"/>
    </row>
    <row r="794" ht="21.0" customHeight="1">
      <c r="A794" s="5">
        <v>5.0</v>
      </c>
      <c r="B794" s="6">
        <v>544.0</v>
      </c>
      <c r="C794" s="6">
        <v>1.0</v>
      </c>
      <c r="D794" s="16" t="s">
        <v>875</v>
      </c>
      <c r="E794" s="9" t="s">
        <v>873</v>
      </c>
      <c r="F794" s="8"/>
    </row>
    <row r="795" ht="21.0" customHeight="1">
      <c r="A795" s="5">
        <v>5.0</v>
      </c>
      <c r="B795" s="6">
        <v>544.0</v>
      </c>
      <c r="C795" s="6">
        <v>1.0</v>
      </c>
      <c r="D795" s="16" t="s">
        <v>876</v>
      </c>
      <c r="E795" s="9" t="s">
        <v>873</v>
      </c>
      <c r="F795" s="8"/>
    </row>
    <row r="796" ht="21.0" customHeight="1">
      <c r="A796" s="5">
        <v>5.0</v>
      </c>
      <c r="B796" s="6">
        <v>544.0</v>
      </c>
      <c r="C796" s="6">
        <v>1.0</v>
      </c>
      <c r="D796" s="16" t="s">
        <v>877</v>
      </c>
      <c r="E796" s="9" t="s">
        <v>873</v>
      </c>
      <c r="F796" s="8"/>
    </row>
    <row r="797" ht="21.0" customHeight="1">
      <c r="A797" s="5">
        <v>5.0</v>
      </c>
      <c r="B797" s="6">
        <v>544.0</v>
      </c>
      <c r="C797" s="6">
        <v>1.0</v>
      </c>
      <c r="D797" s="16" t="s">
        <v>878</v>
      </c>
      <c r="E797" s="9" t="s">
        <v>873</v>
      </c>
      <c r="F797" s="8"/>
    </row>
    <row r="798" ht="21.0" customHeight="1">
      <c r="A798" s="5">
        <v>5.0</v>
      </c>
      <c r="B798" s="6">
        <v>544.0</v>
      </c>
      <c r="C798" s="6">
        <v>1.0</v>
      </c>
      <c r="D798" s="16" t="s">
        <v>879</v>
      </c>
      <c r="E798" s="9" t="s">
        <v>873</v>
      </c>
      <c r="F798" s="8"/>
    </row>
    <row r="799" ht="21.0" customHeight="1">
      <c r="A799" s="5">
        <v>5.0</v>
      </c>
      <c r="B799" s="6">
        <v>544.0</v>
      </c>
      <c r="C799" s="6">
        <v>1.0</v>
      </c>
      <c r="D799" s="16" t="s">
        <v>880</v>
      </c>
      <c r="E799" s="9" t="s">
        <v>873</v>
      </c>
      <c r="F799" s="8"/>
    </row>
    <row r="800" ht="21.0" customHeight="1">
      <c r="A800" s="5">
        <v>5.0</v>
      </c>
      <c r="B800" s="6">
        <v>545.0</v>
      </c>
      <c r="C800" s="6">
        <v>1.0</v>
      </c>
      <c r="D800" s="16" t="s">
        <v>872</v>
      </c>
      <c r="E800" s="9" t="s">
        <v>873</v>
      </c>
      <c r="F800" s="8"/>
    </row>
    <row r="801" ht="21.0" customHeight="1">
      <c r="A801" s="5">
        <v>5.0</v>
      </c>
      <c r="B801" s="6">
        <v>545.0</v>
      </c>
      <c r="C801" s="6">
        <v>1.0</v>
      </c>
      <c r="D801" s="16" t="s">
        <v>874</v>
      </c>
      <c r="E801" s="9" t="s">
        <v>873</v>
      </c>
      <c r="F801" s="8"/>
    </row>
    <row r="802" ht="21.0" customHeight="1">
      <c r="A802" s="5">
        <v>5.0</v>
      </c>
      <c r="B802" s="6">
        <v>545.0</v>
      </c>
      <c r="C802" s="6">
        <v>1.0</v>
      </c>
      <c r="D802" s="16" t="s">
        <v>875</v>
      </c>
      <c r="E802" s="9" t="s">
        <v>873</v>
      </c>
      <c r="F802" s="8"/>
    </row>
    <row r="803" ht="21.0" customHeight="1">
      <c r="A803" s="5">
        <v>5.0</v>
      </c>
      <c r="B803" s="6">
        <v>545.0</v>
      </c>
      <c r="C803" s="6">
        <v>1.0</v>
      </c>
      <c r="D803" s="16" t="s">
        <v>876</v>
      </c>
      <c r="E803" s="9" t="s">
        <v>873</v>
      </c>
      <c r="F803" s="8"/>
    </row>
    <row r="804" ht="21.0" customHeight="1">
      <c r="A804" s="5">
        <v>5.0</v>
      </c>
      <c r="B804" s="6">
        <v>545.0</v>
      </c>
      <c r="C804" s="6">
        <v>1.0</v>
      </c>
      <c r="D804" s="16" t="s">
        <v>877</v>
      </c>
      <c r="E804" s="9" t="s">
        <v>873</v>
      </c>
      <c r="F804" s="8"/>
    </row>
    <row r="805" ht="21.0" customHeight="1">
      <c r="A805" s="5">
        <v>5.0</v>
      </c>
      <c r="B805" s="6">
        <v>545.0</v>
      </c>
      <c r="C805" s="6">
        <v>1.0</v>
      </c>
      <c r="D805" s="16" t="s">
        <v>878</v>
      </c>
      <c r="E805" s="9" t="s">
        <v>873</v>
      </c>
      <c r="F805" s="8"/>
    </row>
    <row r="806" ht="21.0" customHeight="1">
      <c r="A806" s="5">
        <v>5.0</v>
      </c>
      <c r="B806" s="6">
        <v>545.0</v>
      </c>
      <c r="C806" s="6">
        <v>1.0</v>
      </c>
      <c r="D806" s="16" t="s">
        <v>879</v>
      </c>
      <c r="E806" s="9" t="s">
        <v>873</v>
      </c>
      <c r="F806" s="8"/>
    </row>
    <row r="807" ht="21.0" customHeight="1">
      <c r="A807" s="5">
        <v>5.0</v>
      </c>
      <c r="B807" s="6">
        <v>545.0</v>
      </c>
      <c r="C807" s="6">
        <v>1.0</v>
      </c>
      <c r="D807" s="16" t="s">
        <v>880</v>
      </c>
      <c r="E807" s="9" t="s">
        <v>873</v>
      </c>
      <c r="F807" s="8"/>
    </row>
    <row r="808" ht="21.0" customHeight="1">
      <c r="A808" s="5">
        <v>5.0</v>
      </c>
      <c r="B808" s="6">
        <v>546.0</v>
      </c>
      <c r="C808" s="6">
        <v>1.0</v>
      </c>
      <c r="D808" s="16" t="s">
        <v>872</v>
      </c>
      <c r="E808" s="9" t="s">
        <v>873</v>
      </c>
      <c r="F808" s="8"/>
    </row>
    <row r="809" ht="21.0" customHeight="1">
      <c r="A809" s="5">
        <v>5.0</v>
      </c>
      <c r="B809" s="6">
        <v>546.0</v>
      </c>
      <c r="C809" s="6">
        <v>1.0</v>
      </c>
      <c r="D809" s="16" t="s">
        <v>874</v>
      </c>
      <c r="E809" s="9" t="s">
        <v>873</v>
      </c>
      <c r="F809" s="8"/>
    </row>
    <row r="810" ht="21.0" customHeight="1">
      <c r="A810" s="5">
        <v>5.0</v>
      </c>
      <c r="B810" s="6">
        <v>546.0</v>
      </c>
      <c r="C810" s="6">
        <v>1.0</v>
      </c>
      <c r="D810" s="16" t="s">
        <v>875</v>
      </c>
      <c r="E810" s="9" t="s">
        <v>873</v>
      </c>
      <c r="F810" s="8"/>
    </row>
    <row r="811" ht="21.0" customHeight="1">
      <c r="A811" s="5">
        <v>5.0</v>
      </c>
      <c r="B811" s="6">
        <v>546.0</v>
      </c>
      <c r="C811" s="6">
        <v>1.0</v>
      </c>
      <c r="D811" s="16" t="s">
        <v>876</v>
      </c>
      <c r="E811" s="9" t="s">
        <v>873</v>
      </c>
      <c r="F811" s="8"/>
    </row>
    <row r="812" ht="21.0" customHeight="1">
      <c r="A812" s="5">
        <v>5.0</v>
      </c>
      <c r="B812" s="6">
        <v>546.0</v>
      </c>
      <c r="C812" s="6">
        <v>1.0</v>
      </c>
      <c r="D812" s="16" t="s">
        <v>877</v>
      </c>
      <c r="E812" s="9" t="s">
        <v>873</v>
      </c>
      <c r="F812" s="8"/>
    </row>
    <row r="813" ht="21.0" customHeight="1">
      <c r="A813" s="5">
        <v>5.0</v>
      </c>
      <c r="B813" s="6">
        <v>546.0</v>
      </c>
      <c r="C813" s="6">
        <v>1.0</v>
      </c>
      <c r="D813" s="16" t="s">
        <v>878</v>
      </c>
      <c r="E813" s="9" t="s">
        <v>873</v>
      </c>
      <c r="F813" s="8"/>
    </row>
    <row r="814" ht="21.0" customHeight="1">
      <c r="A814" s="5">
        <v>5.0</v>
      </c>
      <c r="B814" s="6">
        <v>546.0</v>
      </c>
      <c r="C814" s="6">
        <v>1.0</v>
      </c>
      <c r="D814" s="16" t="s">
        <v>879</v>
      </c>
      <c r="E814" s="9" t="s">
        <v>873</v>
      </c>
      <c r="F814" s="8"/>
    </row>
    <row r="815" ht="21.0" customHeight="1">
      <c r="A815" s="5">
        <v>5.0</v>
      </c>
      <c r="B815" s="6">
        <v>546.0</v>
      </c>
      <c r="C815" s="6">
        <v>1.0</v>
      </c>
      <c r="D815" s="16" t="s">
        <v>880</v>
      </c>
      <c r="E815" s="9" t="s">
        <v>873</v>
      </c>
      <c r="F815" s="8"/>
    </row>
    <row r="816" ht="21.0" customHeight="1">
      <c r="A816" s="5">
        <v>5.0</v>
      </c>
      <c r="B816" s="6">
        <v>547.0</v>
      </c>
      <c r="C816" s="6">
        <v>1.0</v>
      </c>
      <c r="D816" s="16" t="s">
        <v>872</v>
      </c>
      <c r="E816" s="9" t="s">
        <v>873</v>
      </c>
      <c r="F816" s="8"/>
    </row>
    <row r="817" ht="21.0" customHeight="1">
      <c r="A817" s="5">
        <v>5.0</v>
      </c>
      <c r="B817" s="6">
        <v>547.0</v>
      </c>
      <c r="C817" s="6">
        <v>1.0</v>
      </c>
      <c r="D817" s="16" t="s">
        <v>874</v>
      </c>
      <c r="E817" s="9" t="s">
        <v>873</v>
      </c>
      <c r="F817" s="8"/>
    </row>
    <row r="818" ht="21.0" customHeight="1">
      <c r="A818" s="5">
        <v>5.0</v>
      </c>
      <c r="B818" s="6">
        <v>547.0</v>
      </c>
      <c r="C818" s="6">
        <v>1.0</v>
      </c>
      <c r="D818" s="16" t="s">
        <v>875</v>
      </c>
      <c r="E818" s="9" t="s">
        <v>873</v>
      </c>
      <c r="F818" s="8"/>
    </row>
    <row r="819" ht="21.0" customHeight="1">
      <c r="A819" s="5">
        <v>5.0</v>
      </c>
      <c r="B819" s="6">
        <v>547.0</v>
      </c>
      <c r="C819" s="6">
        <v>1.0</v>
      </c>
      <c r="D819" s="16" t="s">
        <v>876</v>
      </c>
      <c r="E819" s="9" t="s">
        <v>873</v>
      </c>
      <c r="F819" s="8"/>
    </row>
    <row r="820" ht="21.0" customHeight="1">
      <c r="A820" s="5">
        <v>5.0</v>
      </c>
      <c r="B820" s="6">
        <v>547.0</v>
      </c>
      <c r="C820" s="6">
        <v>1.0</v>
      </c>
      <c r="D820" s="16" t="s">
        <v>877</v>
      </c>
      <c r="E820" s="9" t="s">
        <v>873</v>
      </c>
      <c r="F820" s="8"/>
    </row>
    <row r="821" ht="21.0" customHeight="1">
      <c r="A821" s="5">
        <v>5.0</v>
      </c>
      <c r="B821" s="6">
        <v>547.0</v>
      </c>
      <c r="C821" s="6">
        <v>1.0</v>
      </c>
      <c r="D821" s="16" t="s">
        <v>878</v>
      </c>
      <c r="E821" s="9" t="s">
        <v>873</v>
      </c>
      <c r="F821" s="8"/>
    </row>
    <row r="822" ht="21.0" customHeight="1">
      <c r="A822" s="5">
        <v>5.0</v>
      </c>
      <c r="B822" s="6">
        <v>547.0</v>
      </c>
      <c r="C822" s="6">
        <v>1.0</v>
      </c>
      <c r="D822" s="16" t="s">
        <v>879</v>
      </c>
      <c r="E822" s="9" t="s">
        <v>873</v>
      </c>
      <c r="F822" s="8"/>
    </row>
    <row r="823" ht="21.0" customHeight="1">
      <c r="A823" s="5">
        <v>5.0</v>
      </c>
      <c r="B823" s="6">
        <v>547.0</v>
      </c>
      <c r="C823" s="6">
        <v>1.0</v>
      </c>
      <c r="D823" s="16" t="s">
        <v>880</v>
      </c>
      <c r="E823" s="9" t="s">
        <v>873</v>
      </c>
      <c r="F823" s="8"/>
    </row>
    <row r="824" ht="21.0" customHeight="1">
      <c r="A824" s="5">
        <v>5.0</v>
      </c>
      <c r="B824" s="6">
        <v>548.0</v>
      </c>
      <c r="C824" s="6">
        <v>1.0</v>
      </c>
      <c r="D824" s="16" t="s">
        <v>872</v>
      </c>
      <c r="E824" s="9" t="s">
        <v>873</v>
      </c>
      <c r="F824" s="8"/>
    </row>
    <row r="825" ht="21.0" customHeight="1">
      <c r="A825" s="5">
        <v>5.0</v>
      </c>
      <c r="B825" s="6">
        <v>548.0</v>
      </c>
      <c r="C825" s="6">
        <v>1.0</v>
      </c>
      <c r="D825" s="16" t="s">
        <v>874</v>
      </c>
      <c r="E825" s="9" t="s">
        <v>873</v>
      </c>
      <c r="F825" s="8"/>
    </row>
    <row r="826" ht="21.0" customHeight="1">
      <c r="A826" s="5">
        <v>5.0</v>
      </c>
      <c r="B826" s="6">
        <v>548.0</v>
      </c>
      <c r="C826" s="6">
        <v>1.0</v>
      </c>
      <c r="D826" s="16" t="s">
        <v>875</v>
      </c>
      <c r="E826" s="9" t="s">
        <v>873</v>
      </c>
      <c r="F826" s="8"/>
    </row>
    <row r="827" ht="21.0" customHeight="1">
      <c r="A827" s="5">
        <v>5.0</v>
      </c>
      <c r="B827" s="6">
        <v>548.0</v>
      </c>
      <c r="C827" s="6">
        <v>1.0</v>
      </c>
      <c r="D827" s="16" t="s">
        <v>876</v>
      </c>
      <c r="E827" s="9" t="s">
        <v>873</v>
      </c>
      <c r="F827" s="8"/>
    </row>
    <row r="828" ht="21.0" customHeight="1">
      <c r="A828" s="5">
        <v>5.0</v>
      </c>
      <c r="B828" s="6">
        <v>548.0</v>
      </c>
      <c r="C828" s="6">
        <v>1.0</v>
      </c>
      <c r="D828" s="16" t="s">
        <v>877</v>
      </c>
      <c r="E828" s="9" t="s">
        <v>873</v>
      </c>
      <c r="F828" s="8"/>
    </row>
    <row r="829" ht="21.0" customHeight="1">
      <c r="A829" s="5">
        <v>5.0</v>
      </c>
      <c r="B829" s="6">
        <v>548.0</v>
      </c>
      <c r="C829" s="6">
        <v>1.0</v>
      </c>
      <c r="D829" s="16" t="s">
        <v>878</v>
      </c>
      <c r="E829" s="9" t="s">
        <v>873</v>
      </c>
      <c r="F829" s="8"/>
    </row>
    <row r="830" ht="21.0" customHeight="1">
      <c r="A830" s="5">
        <v>5.0</v>
      </c>
      <c r="B830" s="6">
        <v>548.0</v>
      </c>
      <c r="C830" s="6">
        <v>1.0</v>
      </c>
      <c r="D830" s="16" t="s">
        <v>879</v>
      </c>
      <c r="E830" s="9" t="s">
        <v>873</v>
      </c>
      <c r="F830" s="8"/>
    </row>
    <row r="831" ht="21.0" customHeight="1">
      <c r="A831" s="5">
        <v>5.0</v>
      </c>
      <c r="B831" s="6">
        <v>548.0</v>
      </c>
      <c r="C831" s="6">
        <v>1.0</v>
      </c>
      <c r="D831" s="16" t="s">
        <v>880</v>
      </c>
      <c r="E831" s="9" t="s">
        <v>873</v>
      </c>
      <c r="F831" s="8"/>
    </row>
    <row r="832" ht="21.0" customHeight="1">
      <c r="A832" s="5">
        <v>5.0</v>
      </c>
      <c r="B832" s="6">
        <v>549.0</v>
      </c>
      <c r="C832" s="6">
        <v>1.0</v>
      </c>
      <c r="D832" s="16" t="s">
        <v>872</v>
      </c>
      <c r="E832" s="9" t="s">
        <v>873</v>
      </c>
      <c r="F832" s="8"/>
    </row>
    <row r="833" ht="21.0" customHeight="1">
      <c r="A833" s="5">
        <v>5.0</v>
      </c>
      <c r="B833" s="6">
        <v>549.0</v>
      </c>
      <c r="C833" s="6">
        <v>1.0</v>
      </c>
      <c r="D833" s="16" t="s">
        <v>874</v>
      </c>
      <c r="E833" s="9" t="s">
        <v>873</v>
      </c>
      <c r="F833" s="8"/>
    </row>
    <row r="834" ht="21.0" customHeight="1">
      <c r="A834" s="5">
        <v>5.0</v>
      </c>
      <c r="B834" s="6">
        <v>549.0</v>
      </c>
      <c r="C834" s="6">
        <v>1.0</v>
      </c>
      <c r="D834" s="16" t="s">
        <v>875</v>
      </c>
      <c r="E834" s="9" t="s">
        <v>873</v>
      </c>
      <c r="F834" s="8"/>
    </row>
    <row r="835" ht="21.0" customHeight="1">
      <c r="A835" s="5">
        <v>5.0</v>
      </c>
      <c r="B835" s="6">
        <v>549.0</v>
      </c>
      <c r="C835" s="6">
        <v>1.0</v>
      </c>
      <c r="D835" s="16" t="s">
        <v>876</v>
      </c>
      <c r="E835" s="9" t="s">
        <v>873</v>
      </c>
      <c r="F835" s="8"/>
    </row>
    <row r="836" ht="21.0" customHeight="1">
      <c r="A836" s="5">
        <v>5.0</v>
      </c>
      <c r="B836" s="6">
        <v>549.0</v>
      </c>
      <c r="C836" s="6">
        <v>1.0</v>
      </c>
      <c r="D836" s="16" t="s">
        <v>877</v>
      </c>
      <c r="E836" s="9" t="s">
        <v>873</v>
      </c>
      <c r="F836" s="8"/>
    </row>
    <row r="837" ht="21.0" customHeight="1">
      <c r="A837" s="5">
        <v>5.0</v>
      </c>
      <c r="B837" s="6">
        <v>549.0</v>
      </c>
      <c r="C837" s="6">
        <v>1.0</v>
      </c>
      <c r="D837" s="16" t="s">
        <v>878</v>
      </c>
      <c r="E837" s="9" t="s">
        <v>873</v>
      </c>
      <c r="F837" s="8"/>
    </row>
    <row r="838" ht="21.0" customHeight="1">
      <c r="A838" s="5">
        <v>5.0</v>
      </c>
      <c r="B838" s="6">
        <v>549.0</v>
      </c>
      <c r="C838" s="6">
        <v>1.0</v>
      </c>
      <c r="D838" s="16" t="s">
        <v>879</v>
      </c>
      <c r="E838" s="9" t="s">
        <v>873</v>
      </c>
      <c r="F838" s="8"/>
    </row>
    <row r="839" ht="21.0" customHeight="1">
      <c r="A839" s="5">
        <v>5.0</v>
      </c>
      <c r="B839" s="6">
        <v>549.0</v>
      </c>
      <c r="C839" s="6">
        <v>1.0</v>
      </c>
      <c r="D839" s="16" t="s">
        <v>880</v>
      </c>
      <c r="E839" s="9" t="s">
        <v>873</v>
      </c>
      <c r="F839" s="8"/>
    </row>
    <row r="840" ht="21.0" customHeight="1">
      <c r="A840" s="5">
        <v>5.0</v>
      </c>
      <c r="B840" s="6">
        <v>550.0</v>
      </c>
      <c r="C840" s="6">
        <v>1.0</v>
      </c>
      <c r="D840" s="16" t="s">
        <v>872</v>
      </c>
      <c r="E840" s="9" t="s">
        <v>873</v>
      </c>
      <c r="F840" s="8"/>
    </row>
    <row r="841" ht="21.0" customHeight="1">
      <c r="A841" s="5">
        <v>5.0</v>
      </c>
      <c r="B841" s="6">
        <v>550.0</v>
      </c>
      <c r="C841" s="6">
        <v>1.0</v>
      </c>
      <c r="D841" s="16" t="s">
        <v>874</v>
      </c>
      <c r="E841" s="9" t="s">
        <v>873</v>
      </c>
      <c r="F841" s="8"/>
    </row>
    <row r="842" ht="21.0" customHeight="1">
      <c r="A842" s="5">
        <v>5.0</v>
      </c>
      <c r="B842" s="6">
        <v>550.0</v>
      </c>
      <c r="C842" s="6">
        <v>1.0</v>
      </c>
      <c r="D842" s="16" t="s">
        <v>875</v>
      </c>
      <c r="E842" s="9" t="s">
        <v>873</v>
      </c>
      <c r="F842" s="8"/>
    </row>
    <row r="843" ht="21.0" customHeight="1">
      <c r="A843" s="5">
        <v>5.0</v>
      </c>
      <c r="B843" s="6">
        <v>550.0</v>
      </c>
      <c r="C843" s="6">
        <v>1.0</v>
      </c>
      <c r="D843" s="16" t="s">
        <v>876</v>
      </c>
      <c r="E843" s="9" t="s">
        <v>873</v>
      </c>
      <c r="F843" s="8"/>
    </row>
    <row r="844" ht="21.0" customHeight="1">
      <c r="A844" s="5">
        <v>5.0</v>
      </c>
      <c r="B844" s="6">
        <v>550.0</v>
      </c>
      <c r="C844" s="6">
        <v>1.0</v>
      </c>
      <c r="D844" s="16" t="s">
        <v>877</v>
      </c>
      <c r="E844" s="9" t="s">
        <v>873</v>
      </c>
      <c r="F844" s="8"/>
    </row>
    <row r="845" ht="21.0" customHeight="1">
      <c r="A845" s="5">
        <v>5.0</v>
      </c>
      <c r="B845" s="6">
        <v>550.0</v>
      </c>
      <c r="C845" s="6">
        <v>1.0</v>
      </c>
      <c r="D845" s="16" t="s">
        <v>878</v>
      </c>
      <c r="E845" s="9" t="s">
        <v>873</v>
      </c>
      <c r="F845" s="8"/>
    </row>
    <row r="846" ht="21.0" customHeight="1">
      <c r="A846" s="5">
        <v>5.0</v>
      </c>
      <c r="B846" s="6">
        <v>550.0</v>
      </c>
      <c r="C846" s="6">
        <v>1.0</v>
      </c>
      <c r="D846" s="16" t="s">
        <v>879</v>
      </c>
      <c r="E846" s="9" t="s">
        <v>873</v>
      </c>
      <c r="F846" s="8"/>
    </row>
    <row r="847" ht="21.0" customHeight="1">
      <c r="A847" s="5">
        <v>5.0</v>
      </c>
      <c r="B847" s="6">
        <v>550.0</v>
      </c>
      <c r="C847" s="6">
        <v>1.0</v>
      </c>
      <c r="D847" s="16" t="s">
        <v>880</v>
      </c>
      <c r="E847" s="9" t="s">
        <v>873</v>
      </c>
      <c r="F847" s="8"/>
    </row>
    <row r="848" ht="21.0" customHeight="1">
      <c r="A848" s="5">
        <v>5.0</v>
      </c>
      <c r="B848" s="6">
        <v>551.0</v>
      </c>
      <c r="C848" s="6">
        <v>1.0</v>
      </c>
      <c r="D848" s="16" t="s">
        <v>872</v>
      </c>
      <c r="E848" s="9" t="s">
        <v>873</v>
      </c>
      <c r="F848" s="8"/>
    </row>
    <row r="849" ht="21.0" customHeight="1">
      <c r="A849" s="5">
        <v>5.0</v>
      </c>
      <c r="B849" s="6">
        <v>551.0</v>
      </c>
      <c r="C849" s="6">
        <v>1.0</v>
      </c>
      <c r="D849" s="16" t="s">
        <v>874</v>
      </c>
      <c r="E849" s="9" t="s">
        <v>873</v>
      </c>
      <c r="F849" s="8"/>
    </row>
    <row r="850" ht="21.0" customHeight="1">
      <c r="A850" s="5">
        <v>5.0</v>
      </c>
      <c r="B850" s="6">
        <v>551.0</v>
      </c>
      <c r="C850" s="6">
        <v>1.0</v>
      </c>
      <c r="D850" s="16" t="s">
        <v>875</v>
      </c>
      <c r="E850" s="9" t="s">
        <v>873</v>
      </c>
      <c r="F850" s="8"/>
    </row>
    <row r="851" ht="21.0" customHeight="1">
      <c r="A851" s="5">
        <v>5.0</v>
      </c>
      <c r="B851" s="6">
        <v>551.0</v>
      </c>
      <c r="C851" s="6">
        <v>1.0</v>
      </c>
      <c r="D851" s="16" t="s">
        <v>876</v>
      </c>
      <c r="E851" s="9" t="s">
        <v>873</v>
      </c>
      <c r="F851" s="8"/>
    </row>
    <row r="852" ht="21.0" customHeight="1">
      <c r="A852" s="5">
        <v>5.0</v>
      </c>
      <c r="B852" s="6">
        <v>551.0</v>
      </c>
      <c r="C852" s="6">
        <v>1.0</v>
      </c>
      <c r="D852" s="16" t="s">
        <v>877</v>
      </c>
      <c r="E852" s="9" t="s">
        <v>873</v>
      </c>
      <c r="F852" s="8"/>
    </row>
    <row r="853" ht="21.0" customHeight="1">
      <c r="A853" s="5">
        <v>5.0</v>
      </c>
      <c r="B853" s="6">
        <v>551.0</v>
      </c>
      <c r="C853" s="6">
        <v>1.0</v>
      </c>
      <c r="D853" s="16" t="s">
        <v>878</v>
      </c>
      <c r="E853" s="9" t="s">
        <v>873</v>
      </c>
      <c r="F853" s="8"/>
    </row>
    <row r="854" ht="21.0" customHeight="1">
      <c r="A854" s="5">
        <v>5.0</v>
      </c>
      <c r="B854" s="6">
        <v>551.0</v>
      </c>
      <c r="C854" s="6">
        <v>1.0</v>
      </c>
      <c r="D854" s="16" t="s">
        <v>879</v>
      </c>
      <c r="E854" s="9" t="s">
        <v>873</v>
      </c>
      <c r="F854" s="8"/>
    </row>
    <row r="855" ht="21.0" customHeight="1">
      <c r="A855" s="5">
        <v>5.0</v>
      </c>
      <c r="B855" s="6">
        <v>551.0</v>
      </c>
      <c r="C855" s="6">
        <v>1.0</v>
      </c>
      <c r="D855" s="16" t="s">
        <v>880</v>
      </c>
      <c r="E855" s="9" t="s">
        <v>873</v>
      </c>
      <c r="F855" s="8"/>
    </row>
    <row r="856" ht="21.0" customHeight="1">
      <c r="A856" s="5">
        <v>5.0</v>
      </c>
      <c r="B856" s="6">
        <v>552.0</v>
      </c>
      <c r="C856" s="6">
        <v>1.0</v>
      </c>
      <c r="D856" s="16" t="s">
        <v>872</v>
      </c>
      <c r="E856" s="9" t="s">
        <v>873</v>
      </c>
      <c r="F856" s="8"/>
    </row>
    <row r="857" ht="21.0" customHeight="1">
      <c r="A857" s="5">
        <v>5.0</v>
      </c>
      <c r="B857" s="6">
        <v>552.0</v>
      </c>
      <c r="C857" s="6">
        <v>1.0</v>
      </c>
      <c r="D857" s="16" t="s">
        <v>874</v>
      </c>
      <c r="E857" s="9" t="s">
        <v>873</v>
      </c>
      <c r="F857" s="8"/>
    </row>
    <row r="858" ht="21.0" customHeight="1">
      <c r="A858" s="5">
        <v>5.0</v>
      </c>
      <c r="B858" s="6">
        <v>552.0</v>
      </c>
      <c r="C858" s="6">
        <v>1.0</v>
      </c>
      <c r="D858" s="16" t="s">
        <v>875</v>
      </c>
      <c r="E858" s="9" t="s">
        <v>873</v>
      </c>
      <c r="F858" s="8"/>
    </row>
    <row r="859" ht="21.0" customHeight="1">
      <c r="A859" s="5">
        <v>5.0</v>
      </c>
      <c r="B859" s="6">
        <v>552.0</v>
      </c>
      <c r="C859" s="6">
        <v>1.0</v>
      </c>
      <c r="D859" s="16" t="s">
        <v>876</v>
      </c>
      <c r="E859" s="9" t="s">
        <v>873</v>
      </c>
      <c r="F859" s="8"/>
    </row>
    <row r="860" ht="21.0" customHeight="1">
      <c r="A860" s="5">
        <v>5.0</v>
      </c>
      <c r="B860" s="6">
        <v>552.0</v>
      </c>
      <c r="C860" s="6">
        <v>1.0</v>
      </c>
      <c r="D860" s="16" t="s">
        <v>877</v>
      </c>
      <c r="E860" s="9" t="s">
        <v>873</v>
      </c>
      <c r="F860" s="8"/>
    </row>
    <row r="861" ht="21.0" customHeight="1">
      <c r="A861" s="5">
        <v>5.0</v>
      </c>
      <c r="B861" s="6">
        <v>552.0</v>
      </c>
      <c r="C861" s="6">
        <v>1.0</v>
      </c>
      <c r="D861" s="16" t="s">
        <v>878</v>
      </c>
      <c r="E861" s="9" t="s">
        <v>873</v>
      </c>
      <c r="F861" s="8"/>
    </row>
    <row r="862" ht="21.0" customHeight="1">
      <c r="A862" s="5">
        <v>5.0</v>
      </c>
      <c r="B862" s="6">
        <v>552.0</v>
      </c>
      <c r="C862" s="6">
        <v>1.0</v>
      </c>
      <c r="D862" s="16" t="s">
        <v>879</v>
      </c>
      <c r="E862" s="9" t="s">
        <v>873</v>
      </c>
      <c r="F862" s="8"/>
    </row>
    <row r="863" ht="21.0" customHeight="1">
      <c r="A863" s="5">
        <v>5.0</v>
      </c>
      <c r="B863" s="6">
        <v>552.0</v>
      </c>
      <c r="C863" s="6">
        <v>1.0</v>
      </c>
      <c r="D863" s="16" t="s">
        <v>880</v>
      </c>
      <c r="E863" s="9" t="s">
        <v>873</v>
      </c>
      <c r="F863" s="8"/>
    </row>
    <row r="864" ht="21.0" customHeight="1">
      <c r="A864" s="5">
        <v>5.0</v>
      </c>
      <c r="B864" s="6">
        <v>553.0</v>
      </c>
      <c r="C864" s="6">
        <v>1.0</v>
      </c>
      <c r="D864" s="16" t="s">
        <v>872</v>
      </c>
      <c r="E864" s="9" t="s">
        <v>873</v>
      </c>
      <c r="F864" s="8"/>
    </row>
    <row r="865" ht="21.0" customHeight="1">
      <c r="A865" s="5">
        <v>5.0</v>
      </c>
      <c r="B865" s="6">
        <v>553.0</v>
      </c>
      <c r="C865" s="6">
        <v>1.0</v>
      </c>
      <c r="D865" s="16" t="s">
        <v>874</v>
      </c>
      <c r="E865" s="9" t="s">
        <v>873</v>
      </c>
      <c r="F865" s="8"/>
    </row>
    <row r="866" ht="21.0" customHeight="1">
      <c r="A866" s="5">
        <v>5.0</v>
      </c>
      <c r="B866" s="6">
        <v>553.0</v>
      </c>
      <c r="C866" s="6">
        <v>1.0</v>
      </c>
      <c r="D866" s="16" t="s">
        <v>875</v>
      </c>
      <c r="E866" s="9" t="s">
        <v>873</v>
      </c>
      <c r="F866" s="8"/>
    </row>
    <row r="867" ht="21.0" customHeight="1">
      <c r="A867" s="5">
        <v>5.0</v>
      </c>
      <c r="B867" s="6">
        <v>553.0</v>
      </c>
      <c r="C867" s="6">
        <v>1.0</v>
      </c>
      <c r="D867" s="16" t="s">
        <v>876</v>
      </c>
      <c r="E867" s="9" t="s">
        <v>873</v>
      </c>
      <c r="F867" s="8"/>
    </row>
    <row r="868" ht="21.0" customHeight="1">
      <c r="A868" s="5">
        <v>5.0</v>
      </c>
      <c r="B868" s="6">
        <v>553.0</v>
      </c>
      <c r="C868" s="6">
        <v>1.0</v>
      </c>
      <c r="D868" s="16" t="s">
        <v>877</v>
      </c>
      <c r="E868" s="9" t="s">
        <v>873</v>
      </c>
      <c r="F868" s="8"/>
    </row>
    <row r="869" ht="21.0" customHeight="1">
      <c r="A869" s="5">
        <v>5.0</v>
      </c>
      <c r="B869" s="6">
        <v>553.0</v>
      </c>
      <c r="C869" s="6">
        <v>1.0</v>
      </c>
      <c r="D869" s="16" t="s">
        <v>878</v>
      </c>
      <c r="E869" s="9" t="s">
        <v>873</v>
      </c>
      <c r="F869" s="8"/>
    </row>
    <row r="870" ht="21.0" customHeight="1">
      <c r="A870" s="5">
        <v>5.0</v>
      </c>
      <c r="B870" s="6">
        <v>553.0</v>
      </c>
      <c r="C870" s="6">
        <v>1.0</v>
      </c>
      <c r="D870" s="16" t="s">
        <v>879</v>
      </c>
      <c r="E870" s="9" t="s">
        <v>873</v>
      </c>
      <c r="F870" s="8"/>
    </row>
    <row r="871" ht="21.0" customHeight="1">
      <c r="A871" s="5">
        <v>5.0</v>
      </c>
      <c r="B871" s="6">
        <v>553.0</v>
      </c>
      <c r="C871" s="6">
        <v>1.0</v>
      </c>
      <c r="D871" s="16" t="s">
        <v>880</v>
      </c>
      <c r="E871" s="9" t="s">
        <v>873</v>
      </c>
      <c r="F871" s="8"/>
    </row>
    <row r="872" ht="21.0" customHeight="1">
      <c r="A872" s="5">
        <v>5.0</v>
      </c>
      <c r="B872" s="6">
        <v>554.0</v>
      </c>
      <c r="C872" s="6">
        <v>1.0</v>
      </c>
      <c r="D872" s="16" t="s">
        <v>872</v>
      </c>
      <c r="E872" s="9" t="s">
        <v>873</v>
      </c>
      <c r="F872" s="8"/>
    </row>
    <row r="873" ht="21.0" customHeight="1">
      <c r="A873" s="5">
        <v>5.0</v>
      </c>
      <c r="B873" s="6">
        <v>554.0</v>
      </c>
      <c r="C873" s="6">
        <v>1.0</v>
      </c>
      <c r="D873" s="16" t="s">
        <v>874</v>
      </c>
      <c r="E873" s="9" t="s">
        <v>873</v>
      </c>
      <c r="F873" s="8"/>
    </row>
    <row r="874" ht="21.0" customHeight="1">
      <c r="A874" s="5">
        <v>5.0</v>
      </c>
      <c r="B874" s="6">
        <v>554.0</v>
      </c>
      <c r="C874" s="6">
        <v>1.0</v>
      </c>
      <c r="D874" s="16" t="s">
        <v>875</v>
      </c>
      <c r="E874" s="9" t="s">
        <v>873</v>
      </c>
      <c r="F874" s="8"/>
    </row>
    <row r="875" ht="21.0" customHeight="1">
      <c r="A875" s="5">
        <v>5.0</v>
      </c>
      <c r="B875" s="6">
        <v>554.0</v>
      </c>
      <c r="C875" s="6">
        <v>1.0</v>
      </c>
      <c r="D875" s="16" t="s">
        <v>876</v>
      </c>
      <c r="E875" s="9" t="s">
        <v>873</v>
      </c>
      <c r="F875" s="8"/>
    </row>
    <row r="876" ht="21.0" customHeight="1">
      <c r="A876" s="5">
        <v>5.0</v>
      </c>
      <c r="B876" s="6">
        <v>554.0</v>
      </c>
      <c r="C876" s="6">
        <v>1.0</v>
      </c>
      <c r="D876" s="16" t="s">
        <v>877</v>
      </c>
      <c r="E876" s="9" t="s">
        <v>873</v>
      </c>
      <c r="F876" s="8"/>
    </row>
    <row r="877" ht="21.0" customHeight="1">
      <c r="A877" s="5">
        <v>5.0</v>
      </c>
      <c r="B877" s="6">
        <v>554.0</v>
      </c>
      <c r="C877" s="6">
        <v>1.0</v>
      </c>
      <c r="D877" s="16" t="s">
        <v>878</v>
      </c>
      <c r="E877" s="9" t="s">
        <v>873</v>
      </c>
      <c r="F877" s="8"/>
    </row>
    <row r="878" ht="21.0" customHeight="1">
      <c r="A878" s="5">
        <v>5.0</v>
      </c>
      <c r="B878" s="6">
        <v>554.0</v>
      </c>
      <c r="C878" s="6">
        <v>1.0</v>
      </c>
      <c r="D878" s="16" t="s">
        <v>879</v>
      </c>
      <c r="E878" s="9" t="s">
        <v>873</v>
      </c>
      <c r="F878" s="8"/>
    </row>
    <row r="879" ht="21.0" customHeight="1">
      <c r="A879" s="5">
        <v>5.0</v>
      </c>
      <c r="B879" s="6">
        <v>554.0</v>
      </c>
      <c r="C879" s="6">
        <v>1.0</v>
      </c>
      <c r="D879" s="16" t="s">
        <v>880</v>
      </c>
      <c r="E879" s="9" t="s">
        <v>873</v>
      </c>
      <c r="F879" s="8"/>
    </row>
    <row r="880" ht="21.0" customHeight="1">
      <c r="A880" s="5">
        <v>5.0</v>
      </c>
      <c r="B880" s="6">
        <v>555.0</v>
      </c>
      <c r="C880" s="6">
        <v>1.0</v>
      </c>
      <c r="D880" s="16" t="s">
        <v>872</v>
      </c>
      <c r="E880" s="9" t="s">
        <v>873</v>
      </c>
      <c r="F880" s="8"/>
    </row>
    <row r="881" ht="21.0" customHeight="1">
      <c r="A881" s="5">
        <v>5.0</v>
      </c>
      <c r="B881" s="6">
        <v>555.0</v>
      </c>
      <c r="C881" s="6">
        <v>1.0</v>
      </c>
      <c r="D881" s="16" t="s">
        <v>874</v>
      </c>
      <c r="E881" s="9" t="s">
        <v>873</v>
      </c>
      <c r="F881" s="8"/>
    </row>
    <row r="882" ht="21.0" customHeight="1">
      <c r="A882" s="5">
        <v>5.0</v>
      </c>
      <c r="B882" s="6">
        <v>555.0</v>
      </c>
      <c r="C882" s="6">
        <v>1.0</v>
      </c>
      <c r="D882" s="16" t="s">
        <v>875</v>
      </c>
      <c r="E882" s="9" t="s">
        <v>873</v>
      </c>
      <c r="F882" s="8"/>
    </row>
    <row r="883" ht="21.0" customHeight="1">
      <c r="A883" s="5">
        <v>5.0</v>
      </c>
      <c r="B883" s="6">
        <v>555.0</v>
      </c>
      <c r="C883" s="6">
        <v>1.0</v>
      </c>
      <c r="D883" s="16" t="s">
        <v>876</v>
      </c>
      <c r="E883" s="9" t="s">
        <v>873</v>
      </c>
      <c r="F883" s="8"/>
    </row>
    <row r="884" ht="21.0" customHeight="1">
      <c r="A884" s="5">
        <v>5.0</v>
      </c>
      <c r="B884" s="6">
        <v>555.0</v>
      </c>
      <c r="C884" s="6">
        <v>1.0</v>
      </c>
      <c r="D884" s="16" t="s">
        <v>877</v>
      </c>
      <c r="E884" s="9" t="s">
        <v>873</v>
      </c>
      <c r="F884" s="8"/>
    </row>
    <row r="885" ht="21.0" customHeight="1">
      <c r="A885" s="5">
        <v>5.0</v>
      </c>
      <c r="B885" s="6">
        <v>555.0</v>
      </c>
      <c r="C885" s="6">
        <v>1.0</v>
      </c>
      <c r="D885" s="16" t="s">
        <v>878</v>
      </c>
      <c r="E885" s="9" t="s">
        <v>873</v>
      </c>
      <c r="F885" s="8"/>
    </row>
    <row r="886" ht="21.0" customHeight="1">
      <c r="A886" s="5">
        <v>5.0</v>
      </c>
      <c r="B886" s="6">
        <v>555.0</v>
      </c>
      <c r="C886" s="6">
        <v>1.0</v>
      </c>
      <c r="D886" s="16" t="s">
        <v>879</v>
      </c>
      <c r="E886" s="9" t="s">
        <v>873</v>
      </c>
      <c r="F886" s="8"/>
    </row>
    <row r="887" ht="21.0" customHeight="1">
      <c r="A887" s="5">
        <v>5.0</v>
      </c>
      <c r="B887" s="6">
        <v>555.0</v>
      </c>
      <c r="C887" s="6">
        <v>1.0</v>
      </c>
      <c r="D887" s="16" t="s">
        <v>880</v>
      </c>
      <c r="E887" s="9" t="s">
        <v>873</v>
      </c>
      <c r="F887" s="8"/>
    </row>
    <row r="888" ht="21.0" customHeight="1">
      <c r="A888" s="5">
        <v>5.0</v>
      </c>
      <c r="B888" s="6">
        <v>556.0</v>
      </c>
      <c r="C888" s="6">
        <v>1.0</v>
      </c>
      <c r="D888" s="16" t="s">
        <v>872</v>
      </c>
      <c r="E888" s="9" t="s">
        <v>873</v>
      </c>
      <c r="F888" s="8"/>
    </row>
    <row r="889" ht="21.0" customHeight="1">
      <c r="A889" s="5">
        <v>5.0</v>
      </c>
      <c r="B889" s="6">
        <v>556.0</v>
      </c>
      <c r="C889" s="6">
        <v>1.0</v>
      </c>
      <c r="D889" s="16" t="s">
        <v>874</v>
      </c>
      <c r="E889" s="9" t="s">
        <v>873</v>
      </c>
      <c r="F889" s="8"/>
    </row>
    <row r="890" ht="21.0" customHeight="1">
      <c r="A890" s="5">
        <v>5.0</v>
      </c>
      <c r="B890" s="6">
        <v>556.0</v>
      </c>
      <c r="C890" s="6">
        <v>1.0</v>
      </c>
      <c r="D890" s="16" t="s">
        <v>875</v>
      </c>
      <c r="E890" s="9" t="s">
        <v>873</v>
      </c>
      <c r="F890" s="8"/>
    </row>
    <row r="891" ht="21.0" customHeight="1">
      <c r="A891" s="5">
        <v>5.0</v>
      </c>
      <c r="B891" s="6">
        <v>556.0</v>
      </c>
      <c r="C891" s="6">
        <v>1.0</v>
      </c>
      <c r="D891" s="16" t="s">
        <v>876</v>
      </c>
      <c r="E891" s="9" t="s">
        <v>873</v>
      </c>
      <c r="F891" s="8"/>
    </row>
    <row r="892" ht="21.0" customHeight="1">
      <c r="A892" s="5">
        <v>5.0</v>
      </c>
      <c r="B892" s="6">
        <v>556.0</v>
      </c>
      <c r="C892" s="6">
        <v>1.0</v>
      </c>
      <c r="D892" s="16" t="s">
        <v>877</v>
      </c>
      <c r="E892" s="9" t="s">
        <v>873</v>
      </c>
      <c r="F892" s="8"/>
    </row>
    <row r="893" ht="21.0" customHeight="1">
      <c r="A893" s="5">
        <v>5.0</v>
      </c>
      <c r="B893" s="6">
        <v>556.0</v>
      </c>
      <c r="C893" s="6">
        <v>1.0</v>
      </c>
      <c r="D893" s="16" t="s">
        <v>878</v>
      </c>
      <c r="E893" s="9" t="s">
        <v>873</v>
      </c>
      <c r="F893" s="8"/>
    </row>
    <row r="894" ht="21.0" customHeight="1">
      <c r="A894" s="5">
        <v>5.0</v>
      </c>
      <c r="B894" s="6">
        <v>556.0</v>
      </c>
      <c r="C894" s="6">
        <v>1.0</v>
      </c>
      <c r="D894" s="16" t="s">
        <v>879</v>
      </c>
      <c r="E894" s="9" t="s">
        <v>873</v>
      </c>
      <c r="F894" s="8"/>
    </row>
    <row r="895" ht="21.0" customHeight="1">
      <c r="A895" s="5">
        <v>5.0</v>
      </c>
      <c r="B895" s="6">
        <v>556.0</v>
      </c>
      <c r="C895" s="6">
        <v>1.0</v>
      </c>
      <c r="D895" s="16" t="s">
        <v>880</v>
      </c>
      <c r="E895" s="9" t="s">
        <v>873</v>
      </c>
      <c r="F895" s="8"/>
    </row>
    <row r="896" ht="21.0" customHeight="1">
      <c r="A896" s="5">
        <v>5.0</v>
      </c>
      <c r="B896" s="6">
        <v>1.0</v>
      </c>
      <c r="C896" s="6">
        <v>1.0</v>
      </c>
      <c r="D896" s="16" t="s">
        <v>872</v>
      </c>
      <c r="E896" s="9" t="s">
        <v>873</v>
      </c>
      <c r="F896" s="8"/>
    </row>
    <row r="897" ht="21.0" customHeight="1">
      <c r="A897" s="5">
        <v>5.0</v>
      </c>
      <c r="B897" s="6">
        <v>1.0</v>
      </c>
      <c r="C897" s="6">
        <v>1.0</v>
      </c>
      <c r="D897" s="16" t="s">
        <v>874</v>
      </c>
      <c r="E897" s="9" t="s">
        <v>873</v>
      </c>
      <c r="F897" s="8"/>
    </row>
    <row r="898" ht="21.0" customHeight="1">
      <c r="A898" s="5">
        <v>5.0</v>
      </c>
      <c r="B898" s="6">
        <v>1.0</v>
      </c>
      <c r="C898" s="6">
        <v>1.0</v>
      </c>
      <c r="D898" s="16" t="s">
        <v>875</v>
      </c>
      <c r="E898" s="9" t="s">
        <v>873</v>
      </c>
      <c r="F898" s="8"/>
    </row>
    <row r="899" ht="21.0" customHeight="1">
      <c r="A899" s="5">
        <v>5.0</v>
      </c>
      <c r="B899" s="6">
        <v>1.0</v>
      </c>
      <c r="C899" s="6">
        <v>1.0</v>
      </c>
      <c r="D899" s="16" t="s">
        <v>876</v>
      </c>
      <c r="E899" s="9" t="s">
        <v>873</v>
      </c>
      <c r="F899" s="8"/>
    </row>
    <row r="900" ht="21.0" customHeight="1">
      <c r="A900" s="5">
        <v>5.0</v>
      </c>
      <c r="B900" s="6">
        <v>1.0</v>
      </c>
      <c r="C900" s="6">
        <v>1.0</v>
      </c>
      <c r="D900" s="16" t="s">
        <v>877</v>
      </c>
      <c r="E900" s="9" t="s">
        <v>873</v>
      </c>
      <c r="F900" s="8"/>
    </row>
    <row r="901" ht="21.0" customHeight="1">
      <c r="A901" s="5">
        <v>5.0</v>
      </c>
      <c r="B901" s="6">
        <v>1.0</v>
      </c>
      <c r="C901" s="6">
        <v>1.0</v>
      </c>
      <c r="D901" s="16" t="s">
        <v>878</v>
      </c>
      <c r="E901" s="9" t="s">
        <v>873</v>
      </c>
      <c r="F901" s="8"/>
    </row>
    <row r="902" ht="21.0" customHeight="1">
      <c r="A902" s="5">
        <v>5.0</v>
      </c>
      <c r="B902" s="6">
        <v>1.0</v>
      </c>
      <c r="C902" s="6">
        <v>1.0</v>
      </c>
      <c r="D902" s="16" t="s">
        <v>879</v>
      </c>
      <c r="E902" s="9" t="s">
        <v>873</v>
      </c>
      <c r="F902" s="8"/>
    </row>
    <row r="903" ht="21.0" customHeight="1">
      <c r="A903" s="5">
        <v>5.0</v>
      </c>
      <c r="B903" s="6">
        <v>1.0</v>
      </c>
      <c r="C903" s="6">
        <v>1.0</v>
      </c>
      <c r="D903" s="16" t="s">
        <v>880</v>
      </c>
      <c r="E903" s="9" t="s">
        <v>873</v>
      </c>
      <c r="F903" s="8"/>
    </row>
    <row r="904" ht="21.0" customHeight="1">
      <c r="A904" s="5">
        <v>5.0</v>
      </c>
      <c r="B904" s="6">
        <v>1.0</v>
      </c>
      <c r="C904" s="6">
        <v>1.0</v>
      </c>
      <c r="D904" s="16" t="s">
        <v>872</v>
      </c>
      <c r="E904" s="9" t="s">
        <v>873</v>
      </c>
      <c r="F904" s="8"/>
    </row>
    <row r="905" ht="21.0" customHeight="1">
      <c r="A905" s="5">
        <v>5.0</v>
      </c>
      <c r="B905" s="6">
        <v>1.0</v>
      </c>
      <c r="C905" s="6">
        <v>1.0</v>
      </c>
      <c r="D905" s="16" t="s">
        <v>874</v>
      </c>
      <c r="E905" s="9" t="s">
        <v>873</v>
      </c>
      <c r="F905" s="8"/>
    </row>
    <row r="906" ht="21.0" customHeight="1">
      <c r="A906" s="5">
        <v>5.0</v>
      </c>
      <c r="B906" s="6">
        <v>1.0</v>
      </c>
      <c r="C906" s="6">
        <v>1.0</v>
      </c>
      <c r="D906" s="16" t="s">
        <v>875</v>
      </c>
      <c r="E906" s="9" t="s">
        <v>873</v>
      </c>
      <c r="F906" s="8"/>
    </row>
    <row r="907" ht="21.0" customHeight="1">
      <c r="A907" s="5">
        <v>5.0</v>
      </c>
      <c r="B907" s="6">
        <v>1.0</v>
      </c>
      <c r="C907" s="6">
        <v>1.0</v>
      </c>
      <c r="D907" s="16" t="s">
        <v>876</v>
      </c>
      <c r="E907" s="9" t="s">
        <v>873</v>
      </c>
      <c r="F907" s="8"/>
    </row>
    <row r="908" ht="21.0" customHeight="1">
      <c r="A908" s="5">
        <v>5.0</v>
      </c>
      <c r="B908" s="6">
        <v>1.0</v>
      </c>
      <c r="C908" s="6">
        <v>1.0</v>
      </c>
      <c r="D908" s="16" t="s">
        <v>877</v>
      </c>
      <c r="E908" s="9" t="s">
        <v>873</v>
      </c>
      <c r="F908" s="8"/>
    </row>
    <row r="909" ht="21.0" customHeight="1">
      <c r="A909" s="5">
        <v>5.0</v>
      </c>
      <c r="B909" s="6">
        <v>1.0</v>
      </c>
      <c r="C909" s="6">
        <v>1.0</v>
      </c>
      <c r="D909" s="16" t="s">
        <v>878</v>
      </c>
      <c r="E909" s="9" t="s">
        <v>873</v>
      </c>
      <c r="F909" s="8"/>
    </row>
    <row r="910" ht="21.0" customHeight="1">
      <c r="A910" s="5">
        <v>5.0</v>
      </c>
      <c r="B910" s="6">
        <v>1.0</v>
      </c>
      <c r="C910" s="6">
        <v>1.0</v>
      </c>
      <c r="D910" s="16" t="s">
        <v>879</v>
      </c>
      <c r="E910" s="9" t="s">
        <v>873</v>
      </c>
      <c r="F910" s="8"/>
    </row>
    <row r="911" ht="21.0" customHeight="1">
      <c r="A911" s="5">
        <v>5.0</v>
      </c>
      <c r="B911" s="6">
        <v>1.0</v>
      </c>
      <c r="C911" s="6">
        <v>1.0</v>
      </c>
      <c r="D911" s="16" t="s">
        <v>880</v>
      </c>
      <c r="E911" s="9" t="s">
        <v>873</v>
      </c>
      <c r="F911" s="8"/>
    </row>
    <row r="912" ht="21.0" customHeight="1">
      <c r="A912" s="5">
        <v>17.0</v>
      </c>
      <c r="B912" s="6">
        <v>516.0</v>
      </c>
      <c r="C912" s="6">
        <v>1.0</v>
      </c>
      <c r="D912" s="16" t="s">
        <v>881</v>
      </c>
      <c r="E912" s="9" t="s">
        <v>671</v>
      </c>
      <c r="F912" s="8"/>
    </row>
    <row r="913" ht="21.0" customHeight="1">
      <c r="A913" s="5">
        <v>17.0</v>
      </c>
      <c r="B913" s="6">
        <v>516.0</v>
      </c>
      <c r="C913" s="6">
        <v>1.0</v>
      </c>
      <c r="D913" s="16" t="s">
        <v>881</v>
      </c>
      <c r="E913" s="9" t="s">
        <v>671</v>
      </c>
      <c r="F913" s="8"/>
    </row>
    <row r="914" ht="21.0" customHeight="1">
      <c r="A914" s="5">
        <v>20.0</v>
      </c>
      <c r="B914" s="6">
        <v>515.0</v>
      </c>
      <c r="C914" s="6">
        <v>1.0</v>
      </c>
      <c r="D914" s="16" t="s">
        <v>882</v>
      </c>
      <c r="E914" s="9" t="s">
        <v>883</v>
      </c>
      <c r="F914" s="8"/>
    </row>
    <row r="915" ht="21.0" customHeight="1">
      <c r="A915" s="5">
        <v>20.0</v>
      </c>
      <c r="B915" s="6">
        <v>530.0</v>
      </c>
      <c r="C915" s="6">
        <v>1.0</v>
      </c>
      <c r="D915" s="16" t="s">
        <v>844</v>
      </c>
      <c r="E915" s="9" t="s">
        <v>325</v>
      </c>
      <c r="F915" s="8"/>
    </row>
    <row r="916" ht="21.0" customHeight="1">
      <c r="A916" s="5">
        <v>20.0</v>
      </c>
      <c r="B916" s="6">
        <v>530.0</v>
      </c>
      <c r="C916" s="6">
        <v>1.0</v>
      </c>
      <c r="D916" s="16" t="s">
        <v>845</v>
      </c>
      <c r="E916" s="9" t="s">
        <v>325</v>
      </c>
      <c r="F916" s="8"/>
    </row>
    <row r="917" ht="21.0" customHeight="1">
      <c r="A917" s="5">
        <v>20.0</v>
      </c>
      <c r="B917" s="6">
        <v>530.0</v>
      </c>
      <c r="C917" s="6">
        <v>1.0</v>
      </c>
      <c r="D917" s="16" t="s">
        <v>846</v>
      </c>
      <c r="E917" s="9" t="s">
        <v>325</v>
      </c>
      <c r="F917" s="8"/>
    </row>
    <row r="918" ht="21.0" customHeight="1">
      <c r="A918" s="5">
        <v>20.0</v>
      </c>
      <c r="B918" s="6">
        <v>530.0</v>
      </c>
      <c r="C918" s="6">
        <v>1.0</v>
      </c>
      <c r="D918" s="16" t="s">
        <v>884</v>
      </c>
      <c r="E918" s="9" t="s">
        <v>325</v>
      </c>
      <c r="F918" s="8"/>
    </row>
    <row r="919" ht="21.0" customHeight="1">
      <c r="A919" s="5">
        <v>20.0</v>
      </c>
      <c r="B919" s="6">
        <v>530.0</v>
      </c>
      <c r="C919" s="6">
        <v>1.0</v>
      </c>
      <c r="D919" s="16" t="s">
        <v>885</v>
      </c>
      <c r="E919" s="9" t="s">
        <v>325</v>
      </c>
      <c r="F919" s="8"/>
    </row>
    <row r="920" ht="21.0" customHeight="1">
      <c r="A920" s="5">
        <v>20.0</v>
      </c>
      <c r="B920" s="6">
        <v>530.0</v>
      </c>
      <c r="C920" s="6">
        <v>1.0</v>
      </c>
      <c r="D920" s="16" t="s">
        <v>886</v>
      </c>
      <c r="E920" s="9" t="s">
        <v>325</v>
      </c>
      <c r="F920" s="8"/>
    </row>
    <row r="921" ht="21.0" customHeight="1">
      <c r="A921" s="5">
        <v>20.0</v>
      </c>
      <c r="B921" s="6">
        <v>530.0</v>
      </c>
      <c r="C921" s="6">
        <v>1.0</v>
      </c>
      <c r="D921" s="16" t="s">
        <v>887</v>
      </c>
      <c r="E921" s="9" t="s">
        <v>325</v>
      </c>
      <c r="F921" s="8"/>
    </row>
    <row r="922" ht="21.0" customHeight="1">
      <c r="A922" s="5">
        <v>20.0</v>
      </c>
      <c r="B922" s="6">
        <v>530.0</v>
      </c>
      <c r="C922" s="6">
        <v>1.0</v>
      </c>
      <c r="D922" s="16" t="s">
        <v>888</v>
      </c>
      <c r="E922" s="9" t="s">
        <v>325</v>
      </c>
      <c r="F922" s="8"/>
    </row>
    <row r="923" ht="21.0" customHeight="1">
      <c r="A923" s="30">
        <v>20.0</v>
      </c>
      <c r="B923" s="31">
        <v>530.0</v>
      </c>
      <c r="C923" s="31">
        <v>1.0</v>
      </c>
      <c r="D923" s="34" t="s">
        <v>889</v>
      </c>
      <c r="E923" s="33" t="s">
        <v>325</v>
      </c>
      <c r="F923" s="27"/>
    </row>
    <row r="924" ht="21.0" customHeight="1">
      <c r="A924" s="30">
        <v>20.0</v>
      </c>
      <c r="B924" s="31">
        <v>530.0</v>
      </c>
      <c r="C924" s="31">
        <v>1.0</v>
      </c>
      <c r="D924" s="34" t="s">
        <v>890</v>
      </c>
      <c r="E924" s="33" t="s">
        <v>325</v>
      </c>
      <c r="F924" s="27"/>
    </row>
    <row r="925" ht="21.0" customHeight="1">
      <c r="A925" s="30">
        <v>20.0</v>
      </c>
      <c r="B925" s="31">
        <v>530.0</v>
      </c>
      <c r="C925" s="31">
        <v>1.0</v>
      </c>
      <c r="D925" s="34" t="s">
        <v>891</v>
      </c>
      <c r="E925" s="33" t="s">
        <v>325</v>
      </c>
      <c r="F925" s="27"/>
    </row>
    <row r="926" ht="21.0" customHeight="1">
      <c r="A926" s="30">
        <v>20.0</v>
      </c>
      <c r="B926" s="31">
        <v>530.0</v>
      </c>
      <c r="C926" s="31">
        <v>1.0</v>
      </c>
      <c r="D926" s="34" t="s">
        <v>892</v>
      </c>
      <c r="E926" s="33" t="s">
        <v>325</v>
      </c>
      <c r="F926" s="27"/>
    </row>
    <row r="927" ht="21.0" customHeight="1">
      <c r="A927" s="30">
        <v>20.0</v>
      </c>
      <c r="B927" s="31">
        <v>530.0</v>
      </c>
      <c r="C927" s="31">
        <v>1.0</v>
      </c>
      <c r="D927" s="34" t="s">
        <v>893</v>
      </c>
      <c r="E927" s="33" t="s">
        <v>325</v>
      </c>
      <c r="F927" s="27"/>
    </row>
    <row r="928" ht="21.0" customHeight="1">
      <c r="A928" s="30">
        <v>20.0</v>
      </c>
      <c r="B928" s="31">
        <v>530.0</v>
      </c>
      <c r="C928" s="31">
        <v>1.0</v>
      </c>
      <c r="D928" s="34" t="s">
        <v>894</v>
      </c>
      <c r="E928" s="33" t="s">
        <v>325</v>
      </c>
      <c r="F928" s="27"/>
    </row>
    <row r="929" ht="21.0" customHeight="1">
      <c r="A929" s="30">
        <v>20.0</v>
      </c>
      <c r="B929" s="31">
        <v>530.0</v>
      </c>
      <c r="C929" s="31">
        <v>1.0</v>
      </c>
      <c r="D929" s="34" t="s">
        <v>895</v>
      </c>
      <c r="E929" s="33" t="s">
        <v>325</v>
      </c>
      <c r="F929" s="27"/>
    </row>
    <row r="930" ht="21.0" customHeight="1">
      <c r="A930" s="30">
        <v>20.0</v>
      </c>
      <c r="B930" s="31">
        <v>530.0</v>
      </c>
      <c r="C930" s="31">
        <v>1.0</v>
      </c>
      <c r="D930" s="34" t="s">
        <v>896</v>
      </c>
      <c r="E930" s="33" t="s">
        <v>325</v>
      </c>
      <c r="F930" s="27"/>
    </row>
    <row r="931" ht="21.0" customHeight="1">
      <c r="A931" s="30">
        <v>20.0</v>
      </c>
      <c r="B931" s="31">
        <v>530.0</v>
      </c>
      <c r="C931" s="31">
        <v>1.0</v>
      </c>
      <c r="D931" s="34" t="s">
        <v>897</v>
      </c>
      <c r="E931" s="33" t="s">
        <v>325</v>
      </c>
      <c r="F931" s="27"/>
    </row>
    <row r="932" ht="21.0" customHeight="1">
      <c r="A932" s="30">
        <v>20.0</v>
      </c>
      <c r="B932" s="31">
        <v>530.0</v>
      </c>
      <c r="C932" s="31">
        <v>1.0</v>
      </c>
      <c r="D932" s="34" t="s">
        <v>898</v>
      </c>
      <c r="E932" s="33" t="s">
        <v>325</v>
      </c>
      <c r="F932" s="27"/>
    </row>
    <row r="933" ht="21.0" customHeight="1">
      <c r="A933" s="30">
        <v>20.0</v>
      </c>
      <c r="B933" s="31">
        <v>530.0</v>
      </c>
      <c r="C933" s="31">
        <v>1.0</v>
      </c>
      <c r="D933" s="34" t="s">
        <v>894</v>
      </c>
      <c r="E933" s="33" t="s">
        <v>325</v>
      </c>
      <c r="F933" s="27"/>
    </row>
    <row r="934" ht="21.0" customHeight="1">
      <c r="A934" s="30">
        <v>20.0</v>
      </c>
      <c r="B934" s="31">
        <v>530.0</v>
      </c>
      <c r="C934" s="31">
        <v>1.0</v>
      </c>
      <c r="D934" s="34" t="s">
        <v>895</v>
      </c>
      <c r="E934" s="33" t="s">
        <v>325</v>
      </c>
      <c r="F934" s="27"/>
    </row>
    <row r="935" ht="21.0" customHeight="1">
      <c r="A935" s="30">
        <v>20.0</v>
      </c>
      <c r="B935" s="31">
        <v>530.0</v>
      </c>
      <c r="C935" s="31">
        <v>1.0</v>
      </c>
      <c r="D935" s="34" t="s">
        <v>896</v>
      </c>
      <c r="E935" s="33" t="s">
        <v>325</v>
      </c>
      <c r="F935" s="27"/>
    </row>
    <row r="936" ht="21.0" customHeight="1">
      <c r="A936" s="30">
        <v>20.0</v>
      </c>
      <c r="B936" s="31">
        <v>530.0</v>
      </c>
      <c r="C936" s="31">
        <v>1.0</v>
      </c>
      <c r="D936" s="34" t="s">
        <v>897</v>
      </c>
      <c r="E936" s="33" t="s">
        <v>325</v>
      </c>
      <c r="F936" s="27"/>
    </row>
    <row r="937" ht="21.0" customHeight="1">
      <c r="A937" s="30">
        <v>20.0</v>
      </c>
      <c r="B937" s="31">
        <v>530.0</v>
      </c>
      <c r="C937" s="31">
        <v>1.0</v>
      </c>
      <c r="D937" s="34" t="s">
        <v>898</v>
      </c>
      <c r="E937" s="33" t="s">
        <v>325</v>
      </c>
      <c r="F937" s="27"/>
    </row>
    <row r="938" ht="21.0" customHeight="1">
      <c r="A938" s="30">
        <v>20.0</v>
      </c>
      <c r="B938" s="31">
        <v>530.0</v>
      </c>
      <c r="C938" s="31">
        <v>1.0</v>
      </c>
      <c r="D938" s="34" t="s">
        <v>894</v>
      </c>
      <c r="E938" s="33" t="s">
        <v>325</v>
      </c>
      <c r="F938" s="27"/>
    </row>
    <row r="939" ht="21.0" customHeight="1">
      <c r="A939" s="30">
        <v>20.0</v>
      </c>
      <c r="B939" s="31">
        <v>530.0</v>
      </c>
      <c r="C939" s="31">
        <v>1.0</v>
      </c>
      <c r="D939" s="34" t="s">
        <v>895</v>
      </c>
      <c r="E939" s="33" t="s">
        <v>325</v>
      </c>
      <c r="F939" s="27"/>
    </row>
    <row r="940" ht="21.0" customHeight="1">
      <c r="A940" s="30">
        <v>20.0</v>
      </c>
      <c r="B940" s="31">
        <v>530.0</v>
      </c>
      <c r="C940" s="31">
        <v>1.0</v>
      </c>
      <c r="D940" s="34" t="s">
        <v>896</v>
      </c>
      <c r="E940" s="33" t="s">
        <v>325</v>
      </c>
      <c r="F940" s="27"/>
    </row>
    <row r="941" ht="21.0" customHeight="1">
      <c r="A941" s="30">
        <v>20.0</v>
      </c>
      <c r="B941" s="31">
        <v>530.0</v>
      </c>
      <c r="C941" s="31">
        <v>1.0</v>
      </c>
      <c r="D941" s="34" t="s">
        <v>897</v>
      </c>
      <c r="E941" s="33" t="s">
        <v>325</v>
      </c>
      <c r="F941" s="27"/>
    </row>
    <row r="942" ht="21.0" customHeight="1">
      <c r="A942" s="30">
        <v>20.0</v>
      </c>
      <c r="B942" s="31">
        <v>530.0</v>
      </c>
      <c r="C942" s="31">
        <v>1.0</v>
      </c>
      <c r="D942" s="34" t="s">
        <v>898</v>
      </c>
      <c r="E942" s="33" t="s">
        <v>325</v>
      </c>
      <c r="F942" s="27"/>
    </row>
    <row r="943" ht="21.0" customHeight="1">
      <c r="A943" s="30">
        <v>14.0</v>
      </c>
      <c r="B943" s="31">
        <v>530.0</v>
      </c>
      <c r="C943" s="31">
        <v>1.0</v>
      </c>
      <c r="D943" s="34" t="s">
        <v>899</v>
      </c>
      <c r="E943" s="33" t="s">
        <v>641</v>
      </c>
      <c r="F943" s="27"/>
    </row>
    <row r="944" ht="21.0" customHeight="1">
      <c r="A944" s="30">
        <v>14.0</v>
      </c>
      <c r="B944" s="31">
        <v>530.0</v>
      </c>
      <c r="C944" s="31">
        <v>1.0</v>
      </c>
      <c r="D944" s="34" t="s">
        <v>900</v>
      </c>
      <c r="E944" s="33" t="s">
        <v>641</v>
      </c>
      <c r="F944" s="27"/>
    </row>
    <row r="945" ht="21.0" customHeight="1">
      <c r="A945" s="30">
        <v>14.0</v>
      </c>
      <c r="B945" s="31">
        <v>530.0</v>
      </c>
      <c r="C945" s="31">
        <v>1.0</v>
      </c>
      <c r="D945" s="34" t="s">
        <v>901</v>
      </c>
      <c r="E945" s="33" t="s">
        <v>641</v>
      </c>
      <c r="F945" s="27"/>
    </row>
    <row r="946" ht="21.0" customHeight="1">
      <c r="A946" s="30">
        <v>14.0</v>
      </c>
      <c r="B946" s="31">
        <v>530.0</v>
      </c>
      <c r="C946" s="31">
        <v>1.0</v>
      </c>
      <c r="D946" s="34" t="s">
        <v>902</v>
      </c>
      <c r="E946" s="33" t="s">
        <v>641</v>
      </c>
      <c r="F946" s="27"/>
    </row>
    <row r="947" ht="21.0" customHeight="1">
      <c r="A947" s="30">
        <v>20.0</v>
      </c>
      <c r="B947" s="31">
        <v>530.0</v>
      </c>
      <c r="C947" s="31">
        <v>1.0</v>
      </c>
      <c r="D947" s="34" t="s">
        <v>903</v>
      </c>
      <c r="E947" s="33" t="s">
        <v>325</v>
      </c>
      <c r="F947" s="27"/>
    </row>
    <row r="948" ht="21.0" customHeight="1">
      <c r="A948" s="30">
        <v>20.0</v>
      </c>
      <c r="B948" s="31">
        <v>530.0</v>
      </c>
      <c r="C948" s="31">
        <v>1.0</v>
      </c>
      <c r="D948" s="34" t="s">
        <v>894</v>
      </c>
      <c r="E948" s="33" t="s">
        <v>325</v>
      </c>
      <c r="F948" s="27"/>
    </row>
    <row r="949" ht="21.0" customHeight="1">
      <c r="A949" s="30">
        <v>20.0</v>
      </c>
      <c r="B949" s="31">
        <v>530.0</v>
      </c>
      <c r="C949" s="31">
        <v>1.0</v>
      </c>
      <c r="D949" s="34" t="s">
        <v>895</v>
      </c>
      <c r="E949" s="33" t="s">
        <v>325</v>
      </c>
      <c r="F949" s="27"/>
    </row>
    <row r="950" ht="21.0" customHeight="1">
      <c r="A950" s="30">
        <v>20.0</v>
      </c>
      <c r="B950" s="31">
        <v>530.0</v>
      </c>
      <c r="C950" s="31">
        <v>1.0</v>
      </c>
      <c r="D950" s="34" t="s">
        <v>896</v>
      </c>
      <c r="E950" s="33" t="s">
        <v>325</v>
      </c>
      <c r="F950" s="27"/>
    </row>
    <row r="951" ht="21.0" customHeight="1">
      <c r="A951" s="30">
        <v>20.0</v>
      </c>
      <c r="B951" s="31">
        <v>530.0</v>
      </c>
      <c r="C951" s="31">
        <v>1.0</v>
      </c>
      <c r="D951" s="34" t="s">
        <v>897</v>
      </c>
      <c r="E951" s="33" t="s">
        <v>325</v>
      </c>
      <c r="F951" s="27"/>
    </row>
    <row r="952" ht="21.0" customHeight="1">
      <c r="A952" s="30">
        <v>20.0</v>
      </c>
      <c r="B952" s="31">
        <v>530.0</v>
      </c>
      <c r="C952" s="31">
        <v>1.0</v>
      </c>
      <c r="D952" s="34" t="s">
        <v>898</v>
      </c>
      <c r="E952" s="33" t="s">
        <v>325</v>
      </c>
      <c r="F952" s="27"/>
    </row>
    <row r="953" ht="21.0" customHeight="1">
      <c r="A953" s="30">
        <v>20.0</v>
      </c>
      <c r="B953" s="31">
        <v>530.0</v>
      </c>
      <c r="C953" s="31">
        <v>1.0</v>
      </c>
      <c r="D953" s="34" t="s">
        <v>894</v>
      </c>
      <c r="E953" s="33" t="s">
        <v>325</v>
      </c>
      <c r="F953" s="27"/>
    </row>
    <row r="954" ht="21.0" customHeight="1">
      <c r="A954" s="30">
        <v>20.0</v>
      </c>
      <c r="B954" s="31">
        <v>530.0</v>
      </c>
      <c r="C954" s="31">
        <v>1.0</v>
      </c>
      <c r="D954" s="34" t="s">
        <v>895</v>
      </c>
      <c r="E954" s="33" t="s">
        <v>325</v>
      </c>
      <c r="F954" s="27"/>
    </row>
    <row r="955" ht="21.0" customHeight="1">
      <c r="A955" s="30">
        <v>20.0</v>
      </c>
      <c r="B955" s="31">
        <v>530.0</v>
      </c>
      <c r="C955" s="31">
        <v>1.0</v>
      </c>
      <c r="D955" s="34" t="s">
        <v>896</v>
      </c>
      <c r="E955" s="33" t="s">
        <v>325</v>
      </c>
      <c r="F955" s="27"/>
    </row>
    <row r="956" ht="21.0" customHeight="1">
      <c r="A956" s="30">
        <v>20.0</v>
      </c>
      <c r="B956" s="31">
        <v>530.0</v>
      </c>
      <c r="C956" s="31">
        <v>1.0</v>
      </c>
      <c r="D956" s="34" t="s">
        <v>897</v>
      </c>
      <c r="E956" s="33" t="s">
        <v>325</v>
      </c>
      <c r="F956" s="27"/>
    </row>
    <row r="957" ht="21.0" customHeight="1">
      <c r="A957" s="30">
        <v>20.0</v>
      </c>
      <c r="B957" s="31">
        <v>530.0</v>
      </c>
      <c r="C957" s="31">
        <v>1.0</v>
      </c>
      <c r="D957" s="34" t="s">
        <v>898</v>
      </c>
      <c r="E957" s="33" t="s">
        <v>325</v>
      </c>
      <c r="F957" s="27"/>
    </row>
    <row r="958" ht="21.0" customHeight="1">
      <c r="A958" s="48">
        <v>20.0</v>
      </c>
      <c r="B958" s="49">
        <v>530.0</v>
      </c>
      <c r="C958" s="49">
        <v>1.0</v>
      </c>
      <c r="D958" s="50" t="s">
        <v>894</v>
      </c>
      <c r="E958" s="51" t="s">
        <v>325</v>
      </c>
      <c r="F958" s="52"/>
    </row>
    <row r="959" ht="21.0" customHeight="1">
      <c r="A959" s="48">
        <v>20.0</v>
      </c>
      <c r="B959" s="49">
        <v>530.0</v>
      </c>
      <c r="C959" s="49">
        <v>1.0</v>
      </c>
      <c r="D959" s="50" t="s">
        <v>895</v>
      </c>
      <c r="E959" s="51" t="s">
        <v>325</v>
      </c>
      <c r="F959" s="52"/>
    </row>
    <row r="960" ht="21.0" customHeight="1">
      <c r="A960" s="48">
        <v>20.0</v>
      </c>
      <c r="B960" s="49">
        <v>530.0</v>
      </c>
      <c r="C960" s="49">
        <v>1.0</v>
      </c>
      <c r="D960" s="50" t="s">
        <v>896</v>
      </c>
      <c r="E960" s="51" t="s">
        <v>325</v>
      </c>
      <c r="F960" s="52"/>
    </row>
    <row r="961" ht="21.0" customHeight="1">
      <c r="A961" s="48">
        <v>20.0</v>
      </c>
      <c r="B961" s="49">
        <v>530.0</v>
      </c>
      <c r="C961" s="49">
        <v>1.0</v>
      </c>
      <c r="D961" s="50" t="s">
        <v>897</v>
      </c>
      <c r="E961" s="51" t="s">
        <v>325</v>
      </c>
      <c r="F961" s="52"/>
    </row>
    <row r="962" ht="21.0" customHeight="1">
      <c r="A962" s="48">
        <v>20.0</v>
      </c>
      <c r="B962" s="49">
        <v>530.0</v>
      </c>
      <c r="C962" s="49">
        <v>1.0</v>
      </c>
      <c r="D962" s="50" t="s">
        <v>898</v>
      </c>
      <c r="E962" s="51" t="s">
        <v>325</v>
      </c>
      <c r="F962" s="52"/>
    </row>
    <row r="963" ht="21.0" customHeight="1">
      <c r="A963" s="30">
        <v>20.0</v>
      </c>
      <c r="B963" s="31">
        <v>530.0</v>
      </c>
      <c r="C963" s="31">
        <v>1.0</v>
      </c>
      <c r="D963" s="34" t="s">
        <v>904</v>
      </c>
      <c r="E963" s="33" t="s">
        <v>325</v>
      </c>
      <c r="F963" s="27"/>
    </row>
    <row r="964" ht="21.0" customHeight="1">
      <c r="A964" s="30">
        <v>20.0</v>
      </c>
      <c r="B964" s="31">
        <v>530.0</v>
      </c>
      <c r="C964" s="31">
        <v>1.0</v>
      </c>
      <c r="D964" s="34" t="s">
        <v>905</v>
      </c>
      <c r="E964" s="33" t="s">
        <v>325</v>
      </c>
      <c r="F964" s="27"/>
    </row>
    <row r="965" ht="21.0" customHeight="1">
      <c r="A965" s="30">
        <v>20.0</v>
      </c>
      <c r="B965" s="31">
        <v>530.0</v>
      </c>
      <c r="C965" s="31">
        <v>1.0</v>
      </c>
      <c r="D965" s="34" t="s">
        <v>906</v>
      </c>
      <c r="E965" s="33" t="s">
        <v>325</v>
      </c>
      <c r="F965" s="27"/>
    </row>
    <row r="966" ht="21.0" customHeight="1">
      <c r="A966" s="30">
        <v>20.0</v>
      </c>
      <c r="B966" s="31">
        <v>530.0</v>
      </c>
      <c r="C966" s="31">
        <v>1.0</v>
      </c>
      <c r="D966" s="34" t="s">
        <v>907</v>
      </c>
      <c r="E966" s="33" t="s">
        <v>325</v>
      </c>
      <c r="F966" s="27"/>
    </row>
    <row r="967" ht="21.0" customHeight="1">
      <c r="A967" s="30">
        <v>20.0</v>
      </c>
      <c r="B967" s="31">
        <v>530.0</v>
      </c>
      <c r="C967" s="31">
        <v>1.0</v>
      </c>
      <c r="D967" s="34" t="s">
        <v>894</v>
      </c>
      <c r="E967" s="33" t="s">
        <v>325</v>
      </c>
      <c r="F967" s="27"/>
    </row>
    <row r="968" ht="21.0" customHeight="1">
      <c r="A968" s="30">
        <v>20.0</v>
      </c>
      <c r="B968" s="31">
        <v>530.0</v>
      </c>
      <c r="C968" s="31">
        <v>1.0</v>
      </c>
      <c r="D968" s="34" t="s">
        <v>907</v>
      </c>
      <c r="E968" s="33" t="s">
        <v>325</v>
      </c>
      <c r="F968" s="27"/>
    </row>
    <row r="969" ht="21.0" customHeight="1">
      <c r="A969" s="30">
        <v>20.0</v>
      </c>
      <c r="B969" s="31">
        <v>530.0</v>
      </c>
      <c r="C969" s="31">
        <v>1.0</v>
      </c>
      <c r="D969" s="34" t="s">
        <v>898</v>
      </c>
      <c r="E969" s="33" t="s">
        <v>325</v>
      </c>
      <c r="F969" s="27"/>
    </row>
    <row r="970" ht="21.0" customHeight="1">
      <c r="A970" s="30">
        <v>20.0</v>
      </c>
      <c r="B970" s="31">
        <v>530.0</v>
      </c>
      <c r="C970" s="31">
        <v>1.0</v>
      </c>
      <c r="D970" s="34" t="s">
        <v>894</v>
      </c>
      <c r="E970" s="33" t="s">
        <v>325</v>
      </c>
      <c r="F970" s="27"/>
    </row>
    <row r="971" ht="21.0" customHeight="1">
      <c r="A971" s="30">
        <v>20.0</v>
      </c>
      <c r="B971" s="31">
        <v>530.0</v>
      </c>
      <c r="C971" s="31">
        <v>1.0</v>
      </c>
      <c r="D971" s="34" t="s">
        <v>907</v>
      </c>
      <c r="E971" s="33" t="s">
        <v>325</v>
      </c>
      <c r="F971" s="27"/>
    </row>
    <row r="972" ht="21.0" customHeight="1">
      <c r="A972" s="30">
        <v>20.0</v>
      </c>
      <c r="B972" s="31">
        <v>530.0</v>
      </c>
      <c r="C972" s="31">
        <v>1.0</v>
      </c>
      <c r="D972" s="34" t="s">
        <v>898</v>
      </c>
      <c r="E972" s="33" t="s">
        <v>325</v>
      </c>
      <c r="F972" s="27"/>
    </row>
    <row r="973" ht="21.0" customHeight="1">
      <c r="A973" s="24">
        <v>20.0</v>
      </c>
      <c r="B973" s="25">
        <v>530.0</v>
      </c>
      <c r="C973" s="25">
        <v>1.0</v>
      </c>
      <c r="D973" s="26" t="s">
        <v>894</v>
      </c>
      <c r="E973" s="11" t="s">
        <v>325</v>
      </c>
      <c r="F973" s="14"/>
    </row>
    <row r="974" ht="21.0" customHeight="1">
      <c r="A974" s="24">
        <v>20.0</v>
      </c>
      <c r="B974" s="25">
        <v>530.0</v>
      </c>
      <c r="C974" s="25">
        <v>1.0</v>
      </c>
      <c r="D974" s="26" t="s">
        <v>907</v>
      </c>
      <c r="E974" s="11" t="s">
        <v>325</v>
      </c>
      <c r="F974" s="14"/>
    </row>
    <row r="975" ht="21.0" customHeight="1">
      <c r="A975" s="24">
        <v>20.0</v>
      </c>
      <c r="B975" s="25">
        <v>530.0</v>
      </c>
      <c r="C975" s="25">
        <v>1.0</v>
      </c>
      <c r="D975" s="26" t="s">
        <v>898</v>
      </c>
      <c r="E975" s="11" t="s">
        <v>325</v>
      </c>
      <c r="F975" s="14"/>
    </row>
    <row r="976" ht="21.0" customHeight="1">
      <c r="A976" s="24">
        <v>20.0</v>
      </c>
      <c r="B976" s="25">
        <v>530.0</v>
      </c>
      <c r="C976" s="25">
        <v>1.0</v>
      </c>
      <c r="D976" s="26" t="s">
        <v>908</v>
      </c>
      <c r="E976" s="11" t="s">
        <v>325</v>
      </c>
      <c r="F976" s="14"/>
    </row>
    <row r="977" ht="21.0" customHeight="1">
      <c r="A977" s="24">
        <v>20.0</v>
      </c>
      <c r="B977" s="25">
        <v>530.0</v>
      </c>
      <c r="C977" s="25">
        <v>1.0</v>
      </c>
      <c r="D977" s="26" t="s">
        <v>909</v>
      </c>
      <c r="E977" s="11" t="s">
        <v>325</v>
      </c>
      <c r="F977" s="14"/>
    </row>
    <row r="978" ht="21.0" customHeight="1">
      <c r="A978" s="24">
        <v>20.0</v>
      </c>
      <c r="B978" s="25">
        <v>530.0</v>
      </c>
      <c r="C978" s="25">
        <v>1.0</v>
      </c>
      <c r="D978" s="26" t="s">
        <v>910</v>
      </c>
      <c r="E978" s="11" t="s">
        <v>325</v>
      </c>
      <c r="F978" s="14"/>
    </row>
    <row r="979" ht="21.0" customHeight="1">
      <c r="A979" s="24">
        <v>20.0</v>
      </c>
      <c r="B979" s="25">
        <v>530.0</v>
      </c>
      <c r="C979" s="25">
        <v>1.0</v>
      </c>
      <c r="D979" s="26" t="s">
        <v>894</v>
      </c>
      <c r="E979" s="11" t="s">
        <v>325</v>
      </c>
      <c r="F979" s="27"/>
    </row>
    <row r="980" ht="21.0" customHeight="1">
      <c r="A980" s="24">
        <v>20.0</v>
      </c>
      <c r="B980" s="25">
        <v>530.0</v>
      </c>
      <c r="C980" s="25">
        <v>1.0</v>
      </c>
      <c r="D980" s="26" t="s">
        <v>907</v>
      </c>
      <c r="E980" s="11" t="s">
        <v>325</v>
      </c>
      <c r="F980" s="27"/>
    </row>
    <row r="981" ht="21.0" customHeight="1">
      <c r="A981" s="24">
        <v>20.0</v>
      </c>
      <c r="B981" s="25">
        <v>530.0</v>
      </c>
      <c r="C981" s="25">
        <v>1.0</v>
      </c>
      <c r="D981" s="26" t="s">
        <v>898</v>
      </c>
      <c r="E981" s="11" t="s">
        <v>325</v>
      </c>
      <c r="F981" s="27"/>
    </row>
    <row r="982" ht="21.0" customHeight="1">
      <c r="A982" s="24">
        <v>20.0</v>
      </c>
      <c r="B982" s="25">
        <v>530.0</v>
      </c>
      <c r="C982" s="25">
        <v>1.0</v>
      </c>
      <c r="D982" s="26" t="s">
        <v>908</v>
      </c>
      <c r="E982" s="11" t="s">
        <v>325</v>
      </c>
      <c r="F982" s="27"/>
    </row>
    <row r="983" ht="21.0" customHeight="1">
      <c r="A983" s="24">
        <v>20.0</v>
      </c>
      <c r="B983" s="25">
        <v>530.0</v>
      </c>
      <c r="C983" s="25">
        <v>1.0</v>
      </c>
      <c r="D983" s="26" t="s">
        <v>909</v>
      </c>
      <c r="E983" s="11" t="s">
        <v>325</v>
      </c>
      <c r="F983" s="27"/>
    </row>
    <row r="984" ht="21.0" customHeight="1">
      <c r="A984" s="24">
        <v>20.0</v>
      </c>
      <c r="B984" s="25">
        <v>530.0</v>
      </c>
      <c r="C984" s="25">
        <v>1.0</v>
      </c>
      <c r="D984" s="26" t="s">
        <v>910</v>
      </c>
      <c r="E984" s="11" t="s">
        <v>325</v>
      </c>
      <c r="F984" s="27"/>
    </row>
    <row r="985" ht="21.0" customHeight="1">
      <c r="A985" s="24">
        <v>20.0</v>
      </c>
      <c r="B985" s="25">
        <v>530.0</v>
      </c>
      <c r="C985" s="31">
        <v>1.0</v>
      </c>
      <c r="D985" s="34" t="s">
        <v>911</v>
      </c>
      <c r="E985" s="11" t="s">
        <v>325</v>
      </c>
      <c r="F985" s="27"/>
    </row>
    <row r="986" ht="21.0" customHeight="1">
      <c r="A986" s="24">
        <v>20.0</v>
      </c>
      <c r="B986" s="25">
        <v>530.0</v>
      </c>
      <c r="C986" s="31">
        <v>1.0</v>
      </c>
      <c r="D986" s="34" t="s">
        <v>912</v>
      </c>
      <c r="E986" s="11" t="s">
        <v>325</v>
      </c>
      <c r="F986" s="27"/>
    </row>
    <row r="987" ht="21.0" customHeight="1">
      <c r="A987" s="24">
        <v>20.0</v>
      </c>
      <c r="B987" s="25">
        <v>530.0</v>
      </c>
      <c r="C987" s="31">
        <v>1.0</v>
      </c>
      <c r="D987" s="34" t="s">
        <v>913</v>
      </c>
      <c r="E987" s="11" t="s">
        <v>325</v>
      </c>
      <c r="F987" s="27"/>
    </row>
    <row r="988" ht="21.0" customHeight="1">
      <c r="A988" s="24">
        <v>20.0</v>
      </c>
      <c r="B988" s="25">
        <v>530.0</v>
      </c>
      <c r="C988" s="31">
        <v>1.0</v>
      </c>
      <c r="D988" s="34" t="s">
        <v>914</v>
      </c>
      <c r="E988" s="11" t="s">
        <v>325</v>
      </c>
      <c r="F988" s="27"/>
    </row>
    <row r="989" ht="21.0" customHeight="1">
      <c r="A989" s="24">
        <v>20.0</v>
      </c>
      <c r="B989" s="31">
        <v>530.0</v>
      </c>
      <c r="C989" s="31">
        <v>1.0</v>
      </c>
      <c r="D989" s="34" t="s">
        <v>895</v>
      </c>
      <c r="E989" s="11" t="s">
        <v>325</v>
      </c>
      <c r="F989" s="27"/>
    </row>
    <row r="990" ht="21.0" customHeight="1">
      <c r="A990" s="24">
        <v>20.0</v>
      </c>
      <c r="B990" s="25">
        <v>530.0</v>
      </c>
      <c r="C990" s="31">
        <v>1.0</v>
      </c>
      <c r="D990" s="26" t="s">
        <v>915</v>
      </c>
      <c r="E990" s="11" t="s">
        <v>325</v>
      </c>
      <c r="F990" s="27"/>
    </row>
    <row r="991" ht="21.0" customHeight="1">
      <c r="A991" s="24">
        <v>20.0</v>
      </c>
      <c r="B991" s="25">
        <v>530.0</v>
      </c>
      <c r="C991" s="31">
        <v>1.0</v>
      </c>
      <c r="D991" s="34" t="s">
        <v>916</v>
      </c>
      <c r="E991" s="11" t="s">
        <v>325</v>
      </c>
      <c r="F991" s="27"/>
    </row>
    <row r="992" ht="21.0" customHeight="1">
      <c r="A992" s="24">
        <v>20.0</v>
      </c>
      <c r="B992" s="31">
        <v>530.0</v>
      </c>
      <c r="C992" s="31">
        <v>1.0</v>
      </c>
      <c r="D992" s="26" t="s">
        <v>917</v>
      </c>
      <c r="E992" s="11" t="s">
        <v>325</v>
      </c>
      <c r="F992" s="27"/>
    </row>
    <row r="993" ht="21.0" customHeight="1">
      <c r="A993" s="24">
        <v>20.0</v>
      </c>
      <c r="B993" s="25">
        <v>530.0</v>
      </c>
      <c r="C993" s="31">
        <v>1.0</v>
      </c>
      <c r="D993" s="34" t="s">
        <v>895</v>
      </c>
      <c r="E993" s="11" t="s">
        <v>325</v>
      </c>
      <c r="F993" s="27"/>
    </row>
    <row r="994" ht="21.0" customHeight="1">
      <c r="A994" s="24">
        <v>20.0</v>
      </c>
      <c r="B994" s="25">
        <v>530.0</v>
      </c>
      <c r="C994" s="31">
        <v>1.0</v>
      </c>
      <c r="D994" s="26" t="s">
        <v>915</v>
      </c>
      <c r="E994" s="11" t="s">
        <v>325</v>
      </c>
      <c r="F994" s="27"/>
    </row>
    <row r="995" ht="21.0" customHeight="1">
      <c r="A995" s="24">
        <v>20.0</v>
      </c>
      <c r="B995" s="31">
        <v>530.0</v>
      </c>
      <c r="C995" s="31">
        <v>1.0</v>
      </c>
      <c r="D995" s="34" t="s">
        <v>916</v>
      </c>
      <c r="E995" s="11" t="s">
        <v>325</v>
      </c>
      <c r="F995" s="27"/>
    </row>
    <row r="996" ht="21.0" customHeight="1">
      <c r="A996" s="24">
        <v>20.0</v>
      </c>
      <c r="B996" s="25">
        <v>530.0</v>
      </c>
      <c r="C996" s="31">
        <v>1.0</v>
      </c>
      <c r="D996" s="26" t="s">
        <v>917</v>
      </c>
      <c r="E996" s="11" t="s">
        <v>325</v>
      </c>
      <c r="F996" s="27"/>
    </row>
    <row r="997" ht="21.0" customHeight="1">
      <c r="A997" s="24">
        <v>20.0</v>
      </c>
      <c r="B997" s="25">
        <v>530.0</v>
      </c>
      <c r="C997" s="31">
        <v>1.0</v>
      </c>
      <c r="D997" s="26" t="s">
        <v>914</v>
      </c>
      <c r="E997" s="11" t="s">
        <v>325</v>
      </c>
      <c r="F997" s="27"/>
    </row>
    <row r="998" ht="21.0" customHeight="1">
      <c r="A998" s="24">
        <v>20.0</v>
      </c>
      <c r="B998" s="25">
        <v>530.0</v>
      </c>
      <c r="C998" s="31">
        <v>1.0</v>
      </c>
      <c r="D998" s="34" t="s">
        <v>913</v>
      </c>
      <c r="E998" s="11" t="s">
        <v>325</v>
      </c>
      <c r="F998" s="27"/>
    </row>
    <row r="999" ht="21.0" customHeight="1">
      <c r="A999" s="24">
        <v>20.0</v>
      </c>
      <c r="B999" s="25">
        <v>530.0</v>
      </c>
      <c r="C999" s="25">
        <v>1.0</v>
      </c>
      <c r="D999" s="26" t="s">
        <v>894</v>
      </c>
      <c r="E999" s="11" t="s">
        <v>325</v>
      </c>
      <c r="F999" s="27"/>
    </row>
    <row r="1000" ht="21.0" customHeight="1">
      <c r="A1000" s="24">
        <v>20.0</v>
      </c>
      <c r="B1000" s="25">
        <v>530.0</v>
      </c>
      <c r="C1000" s="25">
        <v>1.0</v>
      </c>
      <c r="D1000" s="26" t="s">
        <v>895</v>
      </c>
      <c r="E1000" s="11" t="s">
        <v>325</v>
      </c>
      <c r="F1000" s="27"/>
    </row>
    <row r="1001" ht="21.0" customHeight="1">
      <c r="A1001" s="24">
        <v>20.0</v>
      </c>
      <c r="B1001" s="25">
        <v>530.0</v>
      </c>
      <c r="C1001" s="31">
        <v>1.0</v>
      </c>
      <c r="D1001" s="26" t="s">
        <v>915</v>
      </c>
      <c r="E1001" s="11" t="s">
        <v>325</v>
      </c>
      <c r="F1001" s="27"/>
    </row>
    <row r="1002" ht="21.0" customHeight="1">
      <c r="A1002" s="24">
        <v>20.0</v>
      </c>
      <c r="B1002" s="25">
        <v>530.0</v>
      </c>
      <c r="C1002" s="31">
        <v>1.0</v>
      </c>
      <c r="D1002" s="26" t="s">
        <v>918</v>
      </c>
      <c r="E1002" s="11" t="s">
        <v>325</v>
      </c>
      <c r="F1002" s="27"/>
    </row>
    <row r="1003" ht="21.0" customHeight="1">
      <c r="A1003" s="24">
        <v>20.0</v>
      </c>
      <c r="B1003" s="25">
        <v>530.0</v>
      </c>
      <c r="C1003" s="31">
        <v>1.0</v>
      </c>
      <c r="D1003" s="26" t="s">
        <v>898</v>
      </c>
      <c r="E1003" s="11" t="s">
        <v>325</v>
      </c>
      <c r="F1003" s="27"/>
    </row>
    <row r="1004" ht="21.0" customHeight="1">
      <c r="A1004" s="24">
        <v>20.0</v>
      </c>
      <c r="B1004" s="25">
        <v>530.0</v>
      </c>
      <c r="C1004" s="31">
        <v>1.0</v>
      </c>
      <c r="D1004" s="26" t="s">
        <v>919</v>
      </c>
      <c r="E1004" s="11" t="s">
        <v>325</v>
      </c>
      <c r="F1004" s="27"/>
    </row>
    <row r="1005" ht="21.0" customHeight="1">
      <c r="A1005" s="53">
        <v>14.0</v>
      </c>
      <c r="B1005" s="25">
        <v>530.0</v>
      </c>
      <c r="C1005" s="31">
        <v>1.0</v>
      </c>
      <c r="D1005" s="26" t="s">
        <v>920</v>
      </c>
      <c r="E1005" s="11" t="s">
        <v>325</v>
      </c>
      <c r="F1005" s="27"/>
    </row>
    <row r="1006" ht="21.0" customHeight="1">
      <c r="A1006" s="24">
        <v>20.0</v>
      </c>
      <c r="B1006" s="25">
        <v>530.0</v>
      </c>
      <c r="C1006" s="31">
        <v>1.0</v>
      </c>
      <c r="D1006" s="26" t="s">
        <v>921</v>
      </c>
      <c r="E1006" s="11" t="s">
        <v>325</v>
      </c>
      <c r="F1006" s="27"/>
    </row>
    <row r="1007" ht="21.0" customHeight="1">
      <c r="A1007" s="24">
        <v>20.0</v>
      </c>
      <c r="B1007" s="25">
        <v>530.0</v>
      </c>
      <c r="C1007" s="25">
        <v>1.0</v>
      </c>
      <c r="D1007" s="26" t="s">
        <v>908</v>
      </c>
      <c r="E1007" s="11" t="s">
        <v>325</v>
      </c>
      <c r="F1007" s="27"/>
    </row>
    <row r="1008" ht="21.0" customHeight="1">
      <c r="A1008" s="24">
        <v>20.0</v>
      </c>
      <c r="B1008" s="25">
        <v>530.0</v>
      </c>
      <c r="C1008" s="25">
        <v>1.0</v>
      </c>
      <c r="D1008" s="26" t="s">
        <v>916</v>
      </c>
      <c r="E1008" s="11" t="s">
        <v>325</v>
      </c>
      <c r="F1008" s="27"/>
    </row>
    <row r="1009" ht="21.0" customHeight="1">
      <c r="A1009" s="24">
        <v>20.0</v>
      </c>
      <c r="B1009" s="25">
        <v>530.0</v>
      </c>
      <c r="C1009" s="25">
        <v>1.0</v>
      </c>
      <c r="D1009" s="26" t="s">
        <v>917</v>
      </c>
      <c r="E1009" s="11" t="s">
        <v>325</v>
      </c>
      <c r="F1009" s="27"/>
    </row>
    <row r="1010" ht="21.0" customHeight="1">
      <c r="A1010" s="24">
        <v>20.0</v>
      </c>
      <c r="B1010" s="25">
        <v>530.0</v>
      </c>
      <c r="C1010" s="25">
        <v>1.0</v>
      </c>
      <c r="D1010" s="26" t="s">
        <v>922</v>
      </c>
      <c r="E1010" s="11" t="s">
        <v>325</v>
      </c>
      <c r="F1010" s="27"/>
    </row>
    <row r="1011" ht="21.0" customHeight="1">
      <c r="A1011" s="24">
        <v>20.0</v>
      </c>
      <c r="B1011" s="25">
        <v>530.0</v>
      </c>
      <c r="C1011" s="25">
        <v>1.0</v>
      </c>
      <c r="D1011" s="26" t="s">
        <v>910</v>
      </c>
      <c r="E1011" s="11" t="s">
        <v>325</v>
      </c>
      <c r="F1011" s="27"/>
    </row>
    <row r="1012" ht="21.0" customHeight="1">
      <c r="A1012" s="24">
        <v>20.0</v>
      </c>
      <c r="B1012" s="25">
        <v>530.0</v>
      </c>
      <c r="C1012" s="25">
        <v>1.0</v>
      </c>
      <c r="D1012" s="26" t="s">
        <v>917</v>
      </c>
      <c r="E1012" s="11" t="s">
        <v>325</v>
      </c>
      <c r="F1012" s="27"/>
    </row>
    <row r="1013" ht="21.0" customHeight="1">
      <c r="A1013" s="24">
        <v>20.0</v>
      </c>
      <c r="B1013" s="25">
        <v>530.0</v>
      </c>
      <c r="C1013" s="25">
        <v>1.0</v>
      </c>
      <c r="D1013" s="26" t="s">
        <v>917</v>
      </c>
      <c r="E1013" s="11" t="s">
        <v>325</v>
      </c>
      <c r="F1013" s="27"/>
    </row>
    <row r="1014" ht="21.0" customHeight="1">
      <c r="A1014" s="54">
        <v>14.0</v>
      </c>
      <c r="B1014" s="55">
        <v>530.0</v>
      </c>
      <c r="C1014" s="55">
        <v>1.0</v>
      </c>
      <c r="D1014" s="56" t="s">
        <v>923</v>
      </c>
      <c r="E1014" s="33" t="s">
        <v>641</v>
      </c>
      <c r="F1014" s="20"/>
    </row>
    <row r="1015" ht="21.0" customHeight="1">
      <c r="A1015" s="54">
        <v>14.0</v>
      </c>
      <c r="B1015" s="55">
        <v>530.0</v>
      </c>
      <c r="C1015" s="55">
        <v>1.0</v>
      </c>
      <c r="D1015" s="56" t="s">
        <v>924</v>
      </c>
      <c r="E1015" s="33" t="s">
        <v>641</v>
      </c>
      <c r="F1015" s="20"/>
    </row>
    <row r="1016" ht="21.0" customHeight="1">
      <c r="A1016" s="24">
        <v>20.0</v>
      </c>
      <c r="B1016" s="25">
        <v>530.0</v>
      </c>
      <c r="C1016" s="25">
        <v>1.0</v>
      </c>
      <c r="D1016" s="26" t="s">
        <v>670</v>
      </c>
      <c r="E1016" s="11" t="s">
        <v>325</v>
      </c>
      <c r="F1016" s="27"/>
    </row>
    <row r="1017" ht="21.0" customHeight="1">
      <c r="A1017" s="24">
        <v>20.0</v>
      </c>
      <c r="B1017" s="25">
        <v>530.0</v>
      </c>
      <c r="C1017" s="25">
        <v>1.0</v>
      </c>
      <c r="D1017" s="26" t="s">
        <v>925</v>
      </c>
      <c r="E1017" s="11" t="s">
        <v>325</v>
      </c>
      <c r="F1017" s="27"/>
    </row>
    <row r="1018" ht="21.0" customHeight="1">
      <c r="A1018" s="24">
        <v>20.0</v>
      </c>
      <c r="B1018" s="25">
        <v>530.0</v>
      </c>
      <c r="C1018" s="25">
        <v>1.0</v>
      </c>
      <c r="D1018" s="26" t="s">
        <v>926</v>
      </c>
      <c r="E1018" s="11" t="s">
        <v>325</v>
      </c>
      <c r="F1018" s="27"/>
    </row>
    <row r="1019" ht="21.0" customHeight="1">
      <c r="A1019" s="24">
        <v>20.0</v>
      </c>
      <c r="B1019" s="25">
        <v>530.0</v>
      </c>
      <c r="C1019" s="25">
        <v>1.0</v>
      </c>
      <c r="D1019" s="26" t="s">
        <v>926</v>
      </c>
      <c r="E1019" s="11" t="s">
        <v>325</v>
      </c>
      <c r="F1019" s="27"/>
    </row>
    <row r="1020" ht="21.0" customHeight="1">
      <c r="A1020" s="24">
        <v>20.0</v>
      </c>
      <c r="B1020" s="25">
        <v>530.0</v>
      </c>
      <c r="C1020" s="25">
        <v>1.0</v>
      </c>
      <c r="D1020" s="26" t="s">
        <v>926</v>
      </c>
      <c r="E1020" s="11" t="s">
        <v>325</v>
      </c>
      <c r="F1020" s="27"/>
    </row>
    <row r="1021" ht="21.0" customHeight="1">
      <c r="A1021" s="57">
        <v>4.0</v>
      </c>
      <c r="B1021" s="58">
        <v>542.0</v>
      </c>
      <c r="C1021" s="58">
        <v>1.0</v>
      </c>
      <c r="D1021" s="59" t="s">
        <v>927</v>
      </c>
      <c r="E1021" s="60" t="s">
        <v>928</v>
      </c>
      <c r="F1021" s="61"/>
    </row>
    <row r="1022" ht="21.0" customHeight="1">
      <c r="A1022" s="57">
        <v>14.0</v>
      </c>
      <c r="B1022" s="58">
        <v>542.0</v>
      </c>
      <c r="C1022" s="58">
        <v>1.0</v>
      </c>
      <c r="D1022" s="59" t="s">
        <v>929</v>
      </c>
      <c r="E1022" s="60" t="s">
        <v>930</v>
      </c>
      <c r="F1022" s="61"/>
    </row>
    <row r="1023" ht="21.0" customHeight="1">
      <c r="A1023" s="57">
        <v>14.0</v>
      </c>
      <c r="B1023" s="58">
        <v>542.0</v>
      </c>
      <c r="C1023" s="58">
        <v>1.0</v>
      </c>
      <c r="D1023" s="59" t="s">
        <v>931</v>
      </c>
      <c r="E1023" s="60" t="s">
        <v>932</v>
      </c>
      <c r="F1023" s="61"/>
    </row>
    <row r="1024" ht="21.0" customHeight="1">
      <c r="A1024" s="57">
        <v>14.0</v>
      </c>
      <c r="B1024" s="58">
        <v>542.0</v>
      </c>
      <c r="C1024" s="58">
        <v>1.0</v>
      </c>
      <c r="D1024" s="59" t="s">
        <v>933</v>
      </c>
      <c r="E1024" s="60" t="s">
        <v>934</v>
      </c>
      <c r="F1024" s="61"/>
    </row>
    <row r="1025" ht="21.0" customHeight="1">
      <c r="A1025" s="57">
        <v>14.0</v>
      </c>
      <c r="B1025" s="58">
        <v>542.0</v>
      </c>
      <c r="C1025" s="58">
        <v>1.0</v>
      </c>
      <c r="D1025" s="59" t="s">
        <v>935</v>
      </c>
      <c r="E1025" s="60" t="s">
        <v>936</v>
      </c>
      <c r="F1025" s="61"/>
    </row>
    <row r="1026" ht="21.0" customHeight="1">
      <c r="A1026" s="57">
        <v>14.0</v>
      </c>
      <c r="B1026" s="58">
        <v>542.0</v>
      </c>
      <c r="C1026" s="58">
        <v>1.0</v>
      </c>
      <c r="D1026" s="59" t="s">
        <v>937</v>
      </c>
      <c r="E1026" s="60" t="s">
        <v>938</v>
      </c>
      <c r="F1026" s="61"/>
    </row>
    <row r="1027" ht="21.0" customHeight="1">
      <c r="A1027" s="57">
        <v>14.0</v>
      </c>
      <c r="B1027" s="58">
        <v>542.0</v>
      </c>
      <c r="C1027" s="58">
        <v>1.0</v>
      </c>
      <c r="D1027" s="59" t="s">
        <v>939</v>
      </c>
      <c r="E1027" s="60" t="s">
        <v>940</v>
      </c>
      <c r="F1027" s="61"/>
    </row>
    <row r="1028" ht="21.0" customHeight="1">
      <c r="A1028" s="57">
        <v>14.0</v>
      </c>
      <c r="B1028" s="58">
        <v>542.0</v>
      </c>
      <c r="C1028" s="58">
        <v>1.0</v>
      </c>
      <c r="D1028" s="59" t="s">
        <v>941</v>
      </c>
      <c r="E1028" s="60" t="s">
        <v>942</v>
      </c>
      <c r="F1028" s="61"/>
    </row>
    <row r="1029" ht="21.0" customHeight="1">
      <c r="A1029" s="57">
        <v>14.0</v>
      </c>
      <c r="B1029" s="58">
        <v>542.0</v>
      </c>
      <c r="C1029" s="58">
        <v>1.0</v>
      </c>
      <c r="D1029" s="59" t="s">
        <v>943</v>
      </c>
      <c r="E1029" s="60" t="s">
        <v>944</v>
      </c>
      <c r="F1029" s="61"/>
    </row>
    <row r="1030" ht="21.0" customHeight="1">
      <c r="A1030" s="57">
        <v>14.0</v>
      </c>
      <c r="B1030" s="58">
        <v>542.0</v>
      </c>
      <c r="C1030" s="58">
        <v>1.0</v>
      </c>
      <c r="D1030" s="59" t="s">
        <v>945</v>
      </c>
      <c r="E1030" s="60" t="s">
        <v>946</v>
      </c>
      <c r="F1030" s="61"/>
    </row>
    <row r="1031" ht="21.0" customHeight="1">
      <c r="A1031" s="24">
        <v>4.0</v>
      </c>
      <c r="B1031" s="25">
        <v>543.0</v>
      </c>
      <c r="C1031" s="25">
        <v>1.0</v>
      </c>
      <c r="D1031" s="26" t="s">
        <v>947</v>
      </c>
      <c r="E1031" s="11" t="s">
        <v>928</v>
      </c>
      <c r="F1031" s="14"/>
    </row>
    <row r="1032" ht="21.0" customHeight="1">
      <c r="A1032" s="24">
        <v>5.0</v>
      </c>
      <c r="B1032" s="25">
        <v>543.0</v>
      </c>
      <c r="C1032" s="25">
        <v>1.0</v>
      </c>
      <c r="D1032" s="26" t="s">
        <v>948</v>
      </c>
      <c r="E1032" s="11" t="s">
        <v>928</v>
      </c>
      <c r="F1032" s="14"/>
    </row>
    <row r="1033" ht="21.0" customHeight="1">
      <c r="A1033" s="24">
        <v>20.0</v>
      </c>
      <c r="B1033" s="25">
        <v>543.0</v>
      </c>
      <c r="C1033" s="25">
        <v>1.0</v>
      </c>
      <c r="D1033" s="26" t="s">
        <v>949</v>
      </c>
      <c r="E1033" s="11" t="s">
        <v>325</v>
      </c>
      <c r="F1033" s="14"/>
    </row>
    <row r="1034" ht="21.0" customHeight="1">
      <c r="A1034" s="24">
        <v>14.0</v>
      </c>
      <c r="B1034" s="25">
        <v>543.0</v>
      </c>
      <c r="C1034" s="25">
        <v>1.0</v>
      </c>
      <c r="D1034" s="26" t="s">
        <v>950</v>
      </c>
      <c r="E1034" s="11" t="s">
        <v>951</v>
      </c>
      <c r="F1034" s="14"/>
    </row>
    <row r="1035" ht="21.0" customHeight="1">
      <c r="A1035" s="24">
        <v>14.0</v>
      </c>
      <c r="B1035" s="25">
        <v>543.0</v>
      </c>
      <c r="C1035" s="25">
        <v>1.0</v>
      </c>
      <c r="D1035" s="26" t="s">
        <v>952</v>
      </c>
      <c r="E1035" s="11" t="s">
        <v>951</v>
      </c>
      <c r="F1035" s="14"/>
    </row>
    <row r="1036" ht="21.0" customHeight="1">
      <c r="A1036" s="24">
        <v>14.0</v>
      </c>
      <c r="B1036" s="25">
        <v>543.0</v>
      </c>
      <c r="C1036" s="25">
        <v>1.0</v>
      </c>
      <c r="D1036" s="26" t="s">
        <v>953</v>
      </c>
      <c r="E1036" s="11" t="s">
        <v>951</v>
      </c>
      <c r="F1036" s="14"/>
    </row>
    <row r="1037" ht="21.0" customHeight="1">
      <c r="A1037" s="24">
        <v>17.0</v>
      </c>
      <c r="B1037" s="25">
        <v>543.0</v>
      </c>
      <c r="C1037" s="25">
        <v>1.0</v>
      </c>
      <c r="D1037" s="26" t="s">
        <v>954</v>
      </c>
      <c r="E1037" s="11" t="s">
        <v>325</v>
      </c>
      <c r="F1037" s="14"/>
    </row>
    <row r="1038" ht="21.0" customHeight="1">
      <c r="A1038" s="57">
        <v>17.0</v>
      </c>
      <c r="B1038" s="58">
        <v>543.0</v>
      </c>
      <c r="C1038" s="58">
        <v>1.0</v>
      </c>
      <c r="D1038" s="59" t="s">
        <v>955</v>
      </c>
      <c r="E1038" s="60" t="s">
        <v>956</v>
      </c>
      <c r="F1038" s="61"/>
    </row>
    <row r="1039" ht="21.0" customHeight="1">
      <c r="A1039" s="5">
        <v>17.0</v>
      </c>
      <c r="B1039" s="6">
        <v>543.0</v>
      </c>
      <c r="C1039" s="6">
        <v>1.0</v>
      </c>
      <c r="D1039" s="16" t="s">
        <v>957</v>
      </c>
      <c r="E1039" s="9" t="s">
        <v>958</v>
      </c>
      <c r="F1039" s="8"/>
    </row>
    <row r="1040" ht="21.0" customHeight="1">
      <c r="A1040" s="5">
        <v>17.0</v>
      </c>
      <c r="B1040" s="6">
        <v>543.0</v>
      </c>
      <c r="C1040" s="6">
        <v>1.0</v>
      </c>
      <c r="D1040" s="16" t="s">
        <v>959</v>
      </c>
      <c r="E1040" s="9" t="s">
        <v>958</v>
      </c>
      <c r="F1040" s="8"/>
    </row>
    <row r="1041" ht="21.0" customHeight="1">
      <c r="A1041" s="30">
        <v>5.0</v>
      </c>
      <c r="B1041" s="31">
        <v>417.0</v>
      </c>
      <c r="C1041" s="31">
        <v>1.0</v>
      </c>
      <c r="D1041" s="34" t="s">
        <v>960</v>
      </c>
      <c r="E1041" s="33" t="s">
        <v>961</v>
      </c>
      <c r="F1041" s="27"/>
    </row>
    <row r="1042" ht="21.0" customHeight="1">
      <c r="A1042" s="30">
        <v>5.0</v>
      </c>
      <c r="B1042" s="31">
        <v>417.0</v>
      </c>
      <c r="C1042" s="31">
        <v>1.0</v>
      </c>
      <c r="D1042" s="34" t="s">
        <v>962</v>
      </c>
      <c r="E1042" s="33" t="s">
        <v>963</v>
      </c>
      <c r="F1042" s="27"/>
    </row>
    <row r="1043" ht="21.0" customHeight="1">
      <c r="A1043" s="30">
        <v>5.0</v>
      </c>
      <c r="B1043" s="31">
        <v>417.0</v>
      </c>
      <c r="C1043" s="31">
        <v>1.0</v>
      </c>
      <c r="D1043" s="34" t="s">
        <v>964</v>
      </c>
      <c r="E1043" s="33" t="s">
        <v>965</v>
      </c>
      <c r="F1043" s="27"/>
    </row>
    <row r="1044" ht="21.0" customHeight="1">
      <c r="A1044" s="5">
        <v>17.0</v>
      </c>
      <c r="B1044" s="6">
        <v>543.0</v>
      </c>
      <c r="C1044" s="6">
        <v>1.0</v>
      </c>
      <c r="D1044" s="16" t="s">
        <v>966</v>
      </c>
      <c r="E1044" s="9" t="s">
        <v>958</v>
      </c>
      <c r="F1044" s="8"/>
    </row>
    <row r="1045" ht="21.0" customHeight="1">
      <c r="A1045" s="5">
        <v>17.0</v>
      </c>
      <c r="B1045" s="6">
        <v>543.0</v>
      </c>
      <c r="C1045" s="6">
        <v>1.0</v>
      </c>
      <c r="D1045" s="16" t="s">
        <v>967</v>
      </c>
      <c r="E1045" s="9" t="s">
        <v>958</v>
      </c>
      <c r="F1045" s="8"/>
    </row>
    <row r="1046" ht="21.0" customHeight="1">
      <c r="A1046" s="57">
        <v>14.0</v>
      </c>
      <c r="B1046" s="58">
        <v>542.0</v>
      </c>
      <c r="C1046" s="58">
        <v>1.0</v>
      </c>
      <c r="D1046" s="59" t="s">
        <v>968</v>
      </c>
      <c r="E1046" s="60" t="s">
        <v>969</v>
      </c>
      <c r="F1046" s="61"/>
    </row>
    <row r="1047" ht="21.0" customHeight="1">
      <c r="A1047" s="5">
        <v>17.0</v>
      </c>
      <c r="B1047" s="6">
        <v>543.0</v>
      </c>
      <c r="C1047" s="6">
        <v>1.0</v>
      </c>
      <c r="D1047" s="16" t="s">
        <v>970</v>
      </c>
      <c r="E1047" s="9" t="s">
        <v>958</v>
      </c>
      <c r="F1047" s="8"/>
    </row>
    <row r="1048" ht="21.0" customHeight="1">
      <c r="A1048" s="5">
        <v>17.0</v>
      </c>
      <c r="B1048" s="6">
        <v>543.0</v>
      </c>
      <c r="C1048" s="6">
        <v>1.0</v>
      </c>
      <c r="D1048" s="16" t="s">
        <v>971</v>
      </c>
      <c r="E1048" s="9" t="s">
        <v>958</v>
      </c>
      <c r="F1048" s="8"/>
    </row>
    <row r="1049" ht="21.0" customHeight="1">
      <c r="A1049" s="57">
        <v>14.0</v>
      </c>
      <c r="B1049" s="58">
        <v>1.0</v>
      </c>
      <c r="C1049" s="58">
        <v>1.0</v>
      </c>
      <c r="D1049" s="59" t="s">
        <v>935</v>
      </c>
      <c r="E1049" s="60" t="s">
        <v>972</v>
      </c>
      <c r="F1049" s="61"/>
    </row>
    <row r="1050" ht="21.0" customHeight="1">
      <c r="A1050" s="57">
        <v>14.0</v>
      </c>
      <c r="B1050" s="58">
        <v>1.0</v>
      </c>
      <c r="C1050" s="58">
        <v>1.0</v>
      </c>
      <c r="D1050" s="59" t="s">
        <v>937</v>
      </c>
      <c r="E1050" s="60" t="s">
        <v>973</v>
      </c>
      <c r="F1050" s="61"/>
    </row>
    <row r="1051" ht="21.0" customHeight="1">
      <c r="A1051" s="57">
        <v>14.0</v>
      </c>
      <c r="B1051" s="58">
        <v>1.0</v>
      </c>
      <c r="C1051" s="58">
        <v>1.0</v>
      </c>
      <c r="D1051" s="59" t="s">
        <v>939</v>
      </c>
      <c r="E1051" s="60" t="s">
        <v>974</v>
      </c>
      <c r="F1051" s="61"/>
    </row>
    <row r="1052" ht="21.0" customHeight="1">
      <c r="A1052" s="57">
        <v>14.0</v>
      </c>
      <c r="B1052" s="58">
        <v>1.0</v>
      </c>
      <c r="C1052" s="58">
        <v>1.0</v>
      </c>
      <c r="D1052" s="59" t="s">
        <v>941</v>
      </c>
      <c r="E1052" s="60" t="s">
        <v>975</v>
      </c>
      <c r="F1052" s="61"/>
    </row>
    <row r="1053" ht="21.0" customHeight="1">
      <c r="A1053" s="24">
        <v>20.0</v>
      </c>
      <c r="B1053" s="6">
        <v>1.0</v>
      </c>
      <c r="C1053" s="6">
        <v>1.0</v>
      </c>
      <c r="D1053" s="16" t="s">
        <v>976</v>
      </c>
      <c r="E1053" s="11" t="s">
        <v>325</v>
      </c>
      <c r="F1053" s="8"/>
    </row>
    <row r="1054" ht="21.0" customHeight="1">
      <c r="A1054" s="24">
        <v>20.0</v>
      </c>
      <c r="B1054" s="6">
        <v>1.0</v>
      </c>
      <c r="C1054" s="6">
        <v>1.0</v>
      </c>
      <c r="D1054" s="16" t="s">
        <v>977</v>
      </c>
      <c r="E1054" s="11" t="s">
        <v>325</v>
      </c>
      <c r="F1054" s="8"/>
    </row>
    <row r="1055" ht="21.0" customHeight="1">
      <c r="A1055" s="24">
        <v>20.0</v>
      </c>
      <c r="B1055" s="6">
        <v>1.0</v>
      </c>
      <c r="C1055" s="6">
        <v>1.0</v>
      </c>
      <c r="D1055" s="16" t="s">
        <v>978</v>
      </c>
      <c r="E1055" s="11" t="s">
        <v>325</v>
      </c>
      <c r="F1055" s="8"/>
    </row>
    <row r="1056" ht="21.0" customHeight="1">
      <c r="A1056" s="5">
        <v>17.0</v>
      </c>
      <c r="B1056" s="6">
        <v>543.0</v>
      </c>
      <c r="C1056" s="6">
        <v>1.0</v>
      </c>
      <c r="D1056" s="16" t="s">
        <v>979</v>
      </c>
      <c r="E1056" s="9" t="s">
        <v>958</v>
      </c>
      <c r="F1056" s="8"/>
    </row>
    <row r="1057" ht="21.0" customHeight="1">
      <c r="A1057" s="5">
        <v>17.0</v>
      </c>
      <c r="B1057" s="6">
        <v>543.0</v>
      </c>
      <c r="C1057" s="6">
        <v>1.0</v>
      </c>
      <c r="D1057" s="16" t="s">
        <v>980</v>
      </c>
      <c r="E1057" s="9" t="s">
        <v>958</v>
      </c>
      <c r="F1057" s="8"/>
    </row>
    <row r="1058" ht="21.0" customHeight="1">
      <c r="A1058" s="30">
        <v>20.0</v>
      </c>
      <c r="B1058" s="31">
        <v>620.0</v>
      </c>
      <c r="C1058" s="31">
        <v>1.0</v>
      </c>
      <c r="D1058" s="34" t="s">
        <v>981</v>
      </c>
      <c r="E1058" s="33" t="s">
        <v>325</v>
      </c>
      <c r="F1058" s="27"/>
    </row>
    <row r="1059" ht="21.0" customHeight="1">
      <c r="A1059" s="30">
        <v>20.0</v>
      </c>
      <c r="B1059" s="31">
        <v>620.0</v>
      </c>
      <c r="C1059" s="31">
        <v>1.0</v>
      </c>
      <c r="D1059" s="34" t="s">
        <v>982</v>
      </c>
      <c r="E1059" s="33" t="s">
        <v>325</v>
      </c>
      <c r="F1059" s="27"/>
    </row>
    <row r="1060" ht="21.0" customHeight="1">
      <c r="A1060" s="30">
        <v>20.0</v>
      </c>
      <c r="B1060" s="31">
        <v>620.0</v>
      </c>
      <c r="C1060" s="31">
        <v>1.0</v>
      </c>
      <c r="D1060" s="34" t="s">
        <v>983</v>
      </c>
      <c r="E1060" s="33" t="s">
        <v>325</v>
      </c>
      <c r="F1060" s="27"/>
    </row>
    <row r="1061" ht="21.0" customHeight="1">
      <c r="A1061" s="30">
        <v>20.0</v>
      </c>
      <c r="B1061" s="31">
        <v>620.0</v>
      </c>
      <c r="C1061" s="31">
        <v>1.0</v>
      </c>
      <c r="D1061" s="34" t="s">
        <v>984</v>
      </c>
      <c r="E1061" s="33" t="s">
        <v>325</v>
      </c>
      <c r="F1061" s="27"/>
    </row>
    <row r="1062" ht="21.0" customHeight="1">
      <c r="A1062" s="30">
        <v>20.0</v>
      </c>
      <c r="B1062" s="31">
        <v>620.0</v>
      </c>
      <c r="C1062" s="31">
        <v>1.0</v>
      </c>
      <c r="D1062" s="34" t="s">
        <v>985</v>
      </c>
      <c r="E1062" s="33" t="s">
        <v>325</v>
      </c>
      <c r="F1062" s="27"/>
    </row>
    <row r="1063" ht="21.0" customHeight="1">
      <c r="A1063" s="54">
        <v>20.0</v>
      </c>
      <c r="B1063" s="55">
        <v>620.0</v>
      </c>
      <c r="C1063" s="55">
        <v>1.0</v>
      </c>
      <c r="D1063" s="56" t="s">
        <v>986</v>
      </c>
      <c r="E1063" s="19" t="s">
        <v>325</v>
      </c>
      <c r="F1063" s="20"/>
    </row>
    <row r="1064" ht="21.0" customHeight="1">
      <c r="A1064" s="54">
        <v>20.0</v>
      </c>
      <c r="B1064" s="55">
        <v>620.0</v>
      </c>
      <c r="C1064" s="55">
        <v>1.0</v>
      </c>
      <c r="D1064" s="56" t="s">
        <v>987</v>
      </c>
      <c r="E1064" s="19" t="s">
        <v>325</v>
      </c>
      <c r="F1064" s="20"/>
    </row>
    <row r="1065" ht="21.0" customHeight="1">
      <c r="A1065" s="54">
        <v>20.0</v>
      </c>
      <c r="B1065" s="55">
        <v>620.0</v>
      </c>
      <c r="C1065" s="55">
        <v>1.0</v>
      </c>
      <c r="D1065" s="56" t="s">
        <v>988</v>
      </c>
      <c r="E1065" s="19" t="s">
        <v>325</v>
      </c>
      <c r="F1065" s="20"/>
    </row>
    <row r="1066" ht="21.0" customHeight="1">
      <c r="A1066" s="54">
        <v>20.0</v>
      </c>
      <c r="B1066" s="55">
        <v>620.0</v>
      </c>
      <c r="C1066" s="55">
        <v>1.0</v>
      </c>
      <c r="D1066" s="56" t="s">
        <v>989</v>
      </c>
      <c r="E1066" s="19" t="s">
        <v>325</v>
      </c>
      <c r="F1066" s="20"/>
    </row>
    <row r="1067" ht="21.0" customHeight="1">
      <c r="A1067" s="5">
        <v>7.0</v>
      </c>
      <c r="B1067" s="6">
        <v>701.0</v>
      </c>
      <c r="C1067" s="6">
        <v>1.0</v>
      </c>
      <c r="D1067" s="16" t="s">
        <v>990</v>
      </c>
      <c r="E1067" s="9" t="s">
        <v>991</v>
      </c>
      <c r="F1067" s="8"/>
    </row>
    <row r="1068" ht="21.0" customHeight="1">
      <c r="A1068" s="5">
        <v>7.0</v>
      </c>
      <c r="B1068" s="6">
        <v>702.0</v>
      </c>
      <c r="C1068" s="6">
        <v>1.0</v>
      </c>
      <c r="D1068" s="16" t="s">
        <v>992</v>
      </c>
      <c r="E1068" s="9" t="s">
        <v>993</v>
      </c>
      <c r="F1068" s="8"/>
    </row>
    <row r="1069" ht="21.0" customHeight="1">
      <c r="A1069" s="5">
        <v>7.0</v>
      </c>
      <c r="B1069" s="6">
        <v>703.0</v>
      </c>
      <c r="C1069" s="6">
        <v>1.0</v>
      </c>
      <c r="D1069" s="16" t="s">
        <v>994</v>
      </c>
      <c r="E1069" s="9" t="s">
        <v>995</v>
      </c>
      <c r="F1069" s="8"/>
    </row>
    <row r="1070" ht="21.0" customHeight="1">
      <c r="A1070" s="5">
        <v>7.0</v>
      </c>
      <c r="B1070" s="6">
        <v>704.0</v>
      </c>
      <c r="C1070" s="6">
        <v>1.0</v>
      </c>
      <c r="D1070" s="16" t="s">
        <v>996</v>
      </c>
      <c r="E1070" s="9" t="s">
        <v>997</v>
      </c>
      <c r="F1070" s="8"/>
    </row>
    <row r="1071" ht="21.0" customHeight="1">
      <c r="A1071" s="17">
        <v>22.0</v>
      </c>
      <c r="B1071" s="18">
        <v>705.0</v>
      </c>
      <c r="C1071" s="18">
        <v>1.0</v>
      </c>
      <c r="D1071" s="56" t="s">
        <v>998</v>
      </c>
      <c r="E1071" s="19" t="s">
        <v>999</v>
      </c>
      <c r="F1071" s="20"/>
    </row>
    <row r="1072" ht="21.0" customHeight="1">
      <c r="A1072" s="17">
        <v>22.0</v>
      </c>
      <c r="B1072" s="18">
        <v>705.0</v>
      </c>
      <c r="C1072" s="18">
        <v>2.0</v>
      </c>
      <c r="D1072" s="56" t="s">
        <v>1000</v>
      </c>
      <c r="E1072" s="19" t="s">
        <v>999</v>
      </c>
      <c r="F1072" s="20"/>
    </row>
    <row r="1073" ht="21.0" customHeight="1">
      <c r="A1073" s="17">
        <v>22.0</v>
      </c>
      <c r="B1073" s="18">
        <v>705.0</v>
      </c>
      <c r="C1073" s="18">
        <v>3.0</v>
      </c>
      <c r="D1073" s="56" t="s">
        <v>1001</v>
      </c>
      <c r="E1073" s="19" t="s">
        <v>999</v>
      </c>
      <c r="F1073" s="20"/>
    </row>
    <row r="1074" ht="21.0" customHeight="1">
      <c r="A1074" s="17">
        <v>20.0</v>
      </c>
      <c r="B1074" s="18">
        <v>706.0</v>
      </c>
      <c r="C1074" s="18">
        <v>1.0</v>
      </c>
      <c r="D1074" s="56" t="s">
        <v>1002</v>
      </c>
      <c r="E1074" s="19" t="s">
        <v>325</v>
      </c>
      <c r="F1074" s="20"/>
    </row>
    <row r="1075" ht="21.0" customHeight="1">
      <c r="A1075" s="17">
        <v>20.0</v>
      </c>
      <c r="B1075" s="18">
        <v>706.0</v>
      </c>
      <c r="C1075" s="18">
        <v>1.0</v>
      </c>
      <c r="D1075" s="56" t="s">
        <v>1003</v>
      </c>
      <c r="E1075" s="19" t="s">
        <v>325</v>
      </c>
      <c r="F1075" s="20"/>
    </row>
    <row r="1076" ht="21.0" customHeight="1">
      <c r="A1076" s="17">
        <v>20.0</v>
      </c>
      <c r="B1076" s="18">
        <v>706.0</v>
      </c>
      <c r="C1076" s="18">
        <v>1.0</v>
      </c>
      <c r="D1076" s="56" t="s">
        <v>1004</v>
      </c>
      <c r="E1076" s="19" t="s">
        <v>325</v>
      </c>
      <c r="F1076" s="20"/>
    </row>
    <row r="1077" ht="21.0" customHeight="1">
      <c r="A1077" s="5">
        <v>44.0</v>
      </c>
      <c r="B1077" s="6">
        <v>705.0</v>
      </c>
      <c r="C1077" s="6">
        <v>4.0</v>
      </c>
      <c r="D1077" s="16" t="s">
        <v>1005</v>
      </c>
      <c r="E1077" s="9" t="s">
        <v>1006</v>
      </c>
      <c r="F1077" s="8"/>
    </row>
    <row r="1078" ht="21.0" customHeight="1">
      <c r="A1078" s="5">
        <v>8.0</v>
      </c>
      <c r="B1078" s="6">
        <v>801.0</v>
      </c>
      <c r="C1078" s="6">
        <v>1.0</v>
      </c>
      <c r="D1078" s="16" t="s">
        <v>1007</v>
      </c>
      <c r="E1078" s="9" t="s">
        <v>1008</v>
      </c>
      <c r="F1078" s="8"/>
    </row>
    <row r="1079" ht="21.0" customHeight="1">
      <c r="A1079" s="5">
        <v>8.0</v>
      </c>
      <c r="B1079" s="6">
        <v>802.0</v>
      </c>
      <c r="C1079" s="6">
        <v>1.0</v>
      </c>
      <c r="D1079" s="16" t="s">
        <v>1009</v>
      </c>
      <c r="E1079" s="9" t="s">
        <v>1010</v>
      </c>
      <c r="F1079" s="8"/>
    </row>
    <row r="1080" ht="21.0" customHeight="1">
      <c r="A1080" s="5">
        <v>8.0</v>
      </c>
      <c r="B1080" s="6">
        <v>803.0</v>
      </c>
      <c r="C1080" s="6">
        <v>1.0</v>
      </c>
      <c r="D1080" s="16" t="s">
        <v>1011</v>
      </c>
      <c r="E1080" s="9" t="s">
        <v>1012</v>
      </c>
      <c r="F1080" s="8"/>
    </row>
    <row r="1081" ht="21.0" customHeight="1">
      <c r="A1081" s="5">
        <v>8.0</v>
      </c>
      <c r="B1081" s="6">
        <v>804.0</v>
      </c>
      <c r="C1081" s="6">
        <v>1.0</v>
      </c>
      <c r="D1081" s="16" t="s">
        <v>1013</v>
      </c>
      <c r="E1081" s="9" t="s">
        <v>1014</v>
      </c>
      <c r="F1081" s="8"/>
    </row>
    <row r="1082" ht="21.0" customHeight="1">
      <c r="A1082" s="17">
        <v>23.0</v>
      </c>
      <c r="B1082" s="18">
        <v>805.0</v>
      </c>
      <c r="C1082" s="18">
        <v>1.0</v>
      </c>
      <c r="D1082" s="56" t="s">
        <v>1015</v>
      </c>
      <c r="E1082" s="19" t="s">
        <v>1016</v>
      </c>
      <c r="F1082" s="20"/>
    </row>
    <row r="1083" ht="21.0" customHeight="1">
      <c r="A1083" s="17">
        <v>23.0</v>
      </c>
      <c r="B1083" s="18">
        <v>805.0</v>
      </c>
      <c r="C1083" s="18">
        <v>2.0</v>
      </c>
      <c r="D1083" s="56" t="s">
        <v>1017</v>
      </c>
      <c r="E1083" s="19" t="s">
        <v>1016</v>
      </c>
      <c r="F1083" s="20"/>
    </row>
    <row r="1084" ht="21.0" customHeight="1">
      <c r="A1084" s="17">
        <v>23.0</v>
      </c>
      <c r="B1084" s="18">
        <v>805.0</v>
      </c>
      <c r="C1084" s="18">
        <v>3.0</v>
      </c>
      <c r="D1084" s="56" t="s">
        <v>1018</v>
      </c>
      <c r="E1084" s="19" t="s">
        <v>1016</v>
      </c>
      <c r="F1084" s="20"/>
    </row>
    <row r="1085" ht="21.0" customHeight="1">
      <c r="A1085" s="5">
        <v>45.0</v>
      </c>
      <c r="B1085" s="6">
        <v>805.0</v>
      </c>
      <c r="C1085" s="6">
        <v>4.0</v>
      </c>
      <c r="D1085" s="16" t="s">
        <v>1019</v>
      </c>
      <c r="E1085" s="9" t="s">
        <v>1020</v>
      </c>
      <c r="F1085" s="8"/>
    </row>
    <row r="1086" ht="21.0" customHeight="1">
      <c r="A1086" s="5">
        <v>9.0</v>
      </c>
      <c r="B1086" s="6">
        <v>901.0</v>
      </c>
      <c r="C1086" s="6">
        <v>1.0</v>
      </c>
      <c r="D1086" s="16" t="s">
        <v>1021</v>
      </c>
      <c r="E1086" s="9" t="s">
        <v>1022</v>
      </c>
      <c r="F1086" s="8"/>
    </row>
    <row r="1087" ht="21.0" customHeight="1">
      <c r="A1087" s="17">
        <v>21.0</v>
      </c>
      <c r="B1087" s="18">
        <v>902.0</v>
      </c>
      <c r="C1087" s="18">
        <v>1.0</v>
      </c>
      <c r="D1087" s="56" t="s">
        <v>1023</v>
      </c>
      <c r="E1087" s="19" t="s">
        <v>1024</v>
      </c>
      <c r="F1087" s="20"/>
    </row>
    <row r="1088" ht="21.0" customHeight="1">
      <c r="A1088" s="17">
        <v>21.0</v>
      </c>
      <c r="B1088" s="18">
        <v>902.0</v>
      </c>
      <c r="C1088" s="18">
        <v>2.0</v>
      </c>
      <c r="D1088" s="56" t="s">
        <v>1025</v>
      </c>
      <c r="E1088" s="19" t="s">
        <v>1024</v>
      </c>
      <c r="F1088" s="20"/>
    </row>
    <row r="1089" ht="21.0" customHeight="1">
      <c r="A1089" s="17">
        <v>21.0</v>
      </c>
      <c r="B1089" s="18">
        <v>902.0</v>
      </c>
      <c r="C1089" s="18">
        <v>3.0</v>
      </c>
      <c r="D1089" s="56" t="s">
        <v>1026</v>
      </c>
      <c r="E1089" s="19" t="s">
        <v>1024</v>
      </c>
      <c r="F1089" s="20"/>
    </row>
    <row r="1090" ht="21.0" customHeight="1">
      <c r="A1090" s="5">
        <v>46.0</v>
      </c>
      <c r="B1090" s="6">
        <v>902.0</v>
      </c>
      <c r="C1090" s="6">
        <v>4.0</v>
      </c>
      <c r="D1090" s="16" t="s">
        <v>1027</v>
      </c>
      <c r="E1090" s="9" t="s">
        <v>1028</v>
      </c>
      <c r="F1090" s="8"/>
    </row>
    <row r="1091" ht="21.0" customHeight="1">
      <c r="A1091" s="5">
        <v>6.0</v>
      </c>
      <c r="B1091" s="6">
        <v>600.0</v>
      </c>
      <c r="C1091" s="6">
        <v>1.0</v>
      </c>
      <c r="D1091" s="16" t="s">
        <v>603</v>
      </c>
      <c r="E1091" s="9" t="s">
        <v>604</v>
      </c>
      <c r="F1091" s="8"/>
    </row>
    <row r="1092" ht="21.0" customHeight="1">
      <c r="A1092" s="5">
        <v>6.0</v>
      </c>
      <c r="B1092" s="6">
        <v>601.0</v>
      </c>
      <c r="C1092" s="6">
        <v>1.0</v>
      </c>
      <c r="D1092" s="16" t="s">
        <v>603</v>
      </c>
      <c r="E1092" s="9" t="s">
        <v>604</v>
      </c>
      <c r="F1092" s="8"/>
    </row>
    <row r="1093" ht="21.0" customHeight="1">
      <c r="A1093" s="5">
        <v>6.0</v>
      </c>
      <c r="B1093" s="6">
        <v>602.0</v>
      </c>
      <c r="C1093" s="6">
        <v>1.0</v>
      </c>
      <c r="D1093" s="23" t="s">
        <v>603</v>
      </c>
      <c r="E1093" s="9" t="s">
        <v>604</v>
      </c>
      <c r="F1093" s="8"/>
    </row>
    <row r="1094" ht="21.0" customHeight="1">
      <c r="A1094" s="5">
        <v>25.0</v>
      </c>
      <c r="B1094" s="6">
        <v>605.0</v>
      </c>
      <c r="C1094" s="6">
        <v>1.0</v>
      </c>
      <c r="D1094" s="16" t="s">
        <v>1029</v>
      </c>
      <c r="E1094" s="9" t="s">
        <v>1030</v>
      </c>
      <c r="F1094" s="8"/>
    </row>
    <row r="1095" ht="21.0" customHeight="1">
      <c r="A1095" s="5">
        <v>26.0</v>
      </c>
      <c r="B1095" s="6">
        <v>606.0</v>
      </c>
      <c r="C1095" s="6">
        <v>1.0</v>
      </c>
      <c r="D1095" s="16" t="s">
        <v>1031</v>
      </c>
      <c r="E1095" s="9" t="s">
        <v>1032</v>
      </c>
      <c r="F1095" s="8"/>
    </row>
    <row r="1096" ht="21.0" customHeight="1">
      <c r="A1096" s="5">
        <v>24.0</v>
      </c>
      <c r="B1096" s="6">
        <v>604.0</v>
      </c>
      <c r="C1096" s="6">
        <v>1.0</v>
      </c>
      <c r="D1096" s="16" t="s">
        <v>1033</v>
      </c>
      <c r="E1096" s="9" t="s">
        <v>1034</v>
      </c>
      <c r="F1096" s="8"/>
    </row>
    <row r="1097" ht="21.0" customHeight="1">
      <c r="A1097" s="5">
        <v>25.0</v>
      </c>
      <c r="B1097" s="6">
        <v>609.0</v>
      </c>
      <c r="C1097" s="6">
        <v>1.0</v>
      </c>
      <c r="D1097" s="16" t="s">
        <v>1035</v>
      </c>
      <c r="E1097" s="9" t="s">
        <v>1036</v>
      </c>
      <c r="F1097" s="8"/>
    </row>
    <row r="1098" ht="21.0" customHeight="1">
      <c r="A1098" s="5">
        <v>26.0</v>
      </c>
      <c r="B1098" s="6">
        <v>610.0</v>
      </c>
      <c r="C1098" s="6">
        <v>1.0</v>
      </c>
      <c r="D1098" s="16" t="s">
        <v>1037</v>
      </c>
      <c r="E1098" s="9" t="s">
        <v>1038</v>
      </c>
      <c r="F1098" s="8"/>
    </row>
    <row r="1099" ht="21.0" customHeight="1">
      <c r="A1099" s="5">
        <v>11.0</v>
      </c>
      <c r="B1099" s="6">
        <v>1001.0</v>
      </c>
      <c r="C1099" s="6">
        <v>1.0</v>
      </c>
      <c r="D1099" s="9" t="s">
        <v>1039</v>
      </c>
      <c r="E1099" s="9" t="s">
        <v>1040</v>
      </c>
      <c r="F1099" s="8"/>
    </row>
    <row r="1100" ht="21.0" customHeight="1">
      <c r="A1100" s="5">
        <v>11.0</v>
      </c>
      <c r="B1100" s="6">
        <v>1001.0</v>
      </c>
      <c r="C1100" s="6">
        <v>2.0</v>
      </c>
      <c r="D1100" s="9" t="s">
        <v>1041</v>
      </c>
      <c r="E1100" s="9" t="s">
        <v>1042</v>
      </c>
      <c r="F1100" s="8"/>
    </row>
    <row r="1101" ht="21.0" customHeight="1">
      <c r="A1101" s="5">
        <v>11.0</v>
      </c>
      <c r="B1101" s="6">
        <v>1001.0</v>
      </c>
      <c r="C1101" s="6">
        <v>3.0</v>
      </c>
      <c r="D1101" s="9" t="s">
        <v>1043</v>
      </c>
      <c r="E1101" s="9" t="s">
        <v>1044</v>
      </c>
      <c r="F1101" s="8"/>
    </row>
    <row r="1102" ht="21.0" customHeight="1">
      <c r="A1102" s="5">
        <v>11.0</v>
      </c>
      <c r="B1102" s="6">
        <v>1001.0</v>
      </c>
      <c r="C1102" s="6">
        <v>4.0</v>
      </c>
      <c r="D1102" s="9" t="s">
        <v>1045</v>
      </c>
      <c r="E1102" s="9" t="s">
        <v>1046</v>
      </c>
      <c r="F1102" s="8"/>
    </row>
    <row r="1103" ht="21.0" customHeight="1">
      <c r="A1103" s="5">
        <v>10.0</v>
      </c>
      <c r="B1103" s="6">
        <v>1001.0</v>
      </c>
      <c r="C1103" s="6">
        <v>5.0</v>
      </c>
      <c r="D1103" s="9" t="s">
        <v>1047</v>
      </c>
      <c r="E1103" s="9" t="s">
        <v>1048</v>
      </c>
      <c r="F1103" s="8"/>
    </row>
    <row r="1104" ht="21.0" customHeight="1">
      <c r="A1104" s="5">
        <v>10.0</v>
      </c>
      <c r="B1104" s="6">
        <v>1001.0</v>
      </c>
      <c r="C1104" s="6">
        <v>6.0</v>
      </c>
      <c r="D1104" s="9" t="s">
        <v>1049</v>
      </c>
      <c r="E1104" s="9" t="s">
        <v>1050</v>
      </c>
      <c r="F1104" s="8"/>
    </row>
    <row r="1105" ht="21.0" customHeight="1">
      <c r="A1105" s="5">
        <v>10.0</v>
      </c>
      <c r="B1105" s="6">
        <v>1001.0</v>
      </c>
      <c r="C1105" s="6">
        <v>7.0</v>
      </c>
      <c r="D1105" s="9" t="s">
        <v>1051</v>
      </c>
      <c r="E1105" s="9" t="s">
        <v>1052</v>
      </c>
      <c r="F1105" s="8"/>
    </row>
    <row r="1106" ht="21.0" customHeight="1">
      <c r="A1106" s="5">
        <v>10.0</v>
      </c>
      <c r="B1106" s="6">
        <v>1001.0</v>
      </c>
      <c r="C1106" s="6">
        <v>8.0</v>
      </c>
      <c r="D1106" s="9" t="s">
        <v>1053</v>
      </c>
      <c r="E1106" s="9" t="s">
        <v>1054</v>
      </c>
      <c r="F1106" s="8"/>
    </row>
    <row r="1107" ht="21.0" customHeight="1">
      <c r="A1107" s="5">
        <v>11.0</v>
      </c>
      <c r="B1107" s="6">
        <v>1002.0</v>
      </c>
      <c r="C1107" s="6">
        <v>1.0</v>
      </c>
      <c r="D1107" s="9" t="s">
        <v>1055</v>
      </c>
      <c r="E1107" s="9" t="s">
        <v>1056</v>
      </c>
      <c r="F1107" s="8"/>
    </row>
    <row r="1108" ht="21.0" customHeight="1">
      <c r="A1108" s="5">
        <v>11.0</v>
      </c>
      <c r="B1108" s="6">
        <v>1002.0</v>
      </c>
      <c r="C1108" s="6">
        <v>2.0</v>
      </c>
      <c r="D1108" s="9" t="s">
        <v>1057</v>
      </c>
      <c r="E1108" s="9" t="s">
        <v>1058</v>
      </c>
      <c r="F1108" s="8"/>
    </row>
    <row r="1109" ht="21.0" customHeight="1">
      <c r="A1109" s="5">
        <v>11.0</v>
      </c>
      <c r="B1109" s="6">
        <v>1002.0</v>
      </c>
      <c r="C1109" s="6">
        <v>3.0</v>
      </c>
      <c r="D1109" s="9" t="s">
        <v>1059</v>
      </c>
      <c r="E1109" s="9" t="s">
        <v>1060</v>
      </c>
      <c r="F1109" s="8"/>
    </row>
    <row r="1110" ht="21.0" customHeight="1">
      <c r="A1110" s="5">
        <v>10.0</v>
      </c>
      <c r="B1110" s="6">
        <v>1002.0</v>
      </c>
      <c r="C1110" s="6">
        <v>4.0</v>
      </c>
      <c r="D1110" s="9" t="s">
        <v>1061</v>
      </c>
      <c r="E1110" s="9" t="s">
        <v>1062</v>
      </c>
      <c r="F1110" s="8"/>
    </row>
    <row r="1111" ht="21.0" customHeight="1">
      <c r="A1111" s="5">
        <v>10.0</v>
      </c>
      <c r="B1111" s="6">
        <v>1002.0</v>
      </c>
      <c r="C1111" s="6">
        <v>5.0</v>
      </c>
      <c r="D1111" s="9" t="s">
        <v>1063</v>
      </c>
      <c r="E1111" s="9" t="s">
        <v>1064</v>
      </c>
      <c r="F1111" s="8"/>
    </row>
    <row r="1112" ht="21.0" customHeight="1">
      <c r="A1112" s="5">
        <v>10.0</v>
      </c>
      <c r="B1112" s="6">
        <v>1002.0</v>
      </c>
      <c r="C1112" s="6">
        <v>6.0</v>
      </c>
      <c r="D1112" s="9" t="s">
        <v>1065</v>
      </c>
      <c r="E1112" s="9" t="s">
        <v>1066</v>
      </c>
      <c r="F1112" s="8"/>
    </row>
    <row r="1113" ht="21.0" customHeight="1">
      <c r="A1113" s="6">
        <v>10.0</v>
      </c>
      <c r="B1113" s="6">
        <v>1002.0</v>
      </c>
      <c r="C1113" s="6">
        <v>7.0</v>
      </c>
      <c r="D1113" s="9" t="s">
        <v>1067</v>
      </c>
      <c r="E1113" s="9" t="s">
        <v>1068</v>
      </c>
      <c r="F1113" s="8"/>
    </row>
    <row r="1114" ht="21.0" customHeight="1">
      <c r="A1114" s="6">
        <v>10.0</v>
      </c>
      <c r="B1114" s="6">
        <v>1002.0</v>
      </c>
      <c r="C1114" s="6">
        <v>8.0</v>
      </c>
      <c r="D1114" s="9" t="s">
        <v>1069</v>
      </c>
      <c r="E1114" s="9" t="s">
        <v>1070</v>
      </c>
      <c r="F1114" s="8"/>
    </row>
    <row r="1115" ht="21.0" customHeight="1">
      <c r="A1115" s="6">
        <v>10.0</v>
      </c>
      <c r="B1115" s="6">
        <v>1002.0</v>
      </c>
      <c r="C1115" s="6">
        <v>9.0</v>
      </c>
      <c r="D1115" s="9" t="s">
        <v>1071</v>
      </c>
      <c r="E1115" s="9" t="s">
        <v>1072</v>
      </c>
      <c r="F1115" s="8"/>
    </row>
    <row r="1116" ht="21.0" customHeight="1">
      <c r="A1116" s="6">
        <v>11.0</v>
      </c>
      <c r="B1116" s="6">
        <v>1003.0</v>
      </c>
      <c r="C1116" s="6">
        <v>1.0</v>
      </c>
      <c r="D1116" s="9" t="s">
        <v>1073</v>
      </c>
      <c r="E1116" s="9" t="s">
        <v>1074</v>
      </c>
      <c r="F1116" s="8"/>
    </row>
    <row r="1117" ht="21.0" customHeight="1">
      <c r="A1117" s="6">
        <v>11.0</v>
      </c>
      <c r="B1117" s="6">
        <v>1003.0</v>
      </c>
      <c r="C1117" s="6">
        <v>2.0</v>
      </c>
      <c r="D1117" s="9" t="s">
        <v>1075</v>
      </c>
      <c r="E1117" s="9" t="s">
        <v>1076</v>
      </c>
      <c r="F1117" s="8"/>
    </row>
    <row r="1118" ht="21.0" customHeight="1">
      <c r="A1118" s="6">
        <v>11.0</v>
      </c>
      <c r="B1118" s="6">
        <v>1003.0</v>
      </c>
      <c r="C1118" s="6">
        <v>3.0</v>
      </c>
      <c r="D1118" s="9" t="s">
        <v>1077</v>
      </c>
      <c r="E1118" s="9" t="s">
        <v>1078</v>
      </c>
      <c r="F1118" s="8"/>
    </row>
    <row r="1119" ht="21.0" customHeight="1">
      <c r="A1119" s="6">
        <v>11.0</v>
      </c>
      <c r="B1119" s="6">
        <v>1003.0</v>
      </c>
      <c r="C1119" s="6">
        <v>4.0</v>
      </c>
      <c r="D1119" s="9" t="s">
        <v>1079</v>
      </c>
      <c r="E1119" s="9" t="s">
        <v>1080</v>
      </c>
      <c r="F1119" s="8"/>
    </row>
    <row r="1120" ht="21.0" customHeight="1">
      <c r="A1120" s="6">
        <v>10.0</v>
      </c>
      <c r="B1120" s="6">
        <v>1003.0</v>
      </c>
      <c r="C1120" s="6">
        <v>5.0</v>
      </c>
      <c r="D1120" s="9" t="s">
        <v>1081</v>
      </c>
      <c r="E1120" s="9" t="s">
        <v>1082</v>
      </c>
      <c r="F1120" s="8"/>
    </row>
    <row r="1121" ht="21.0" customHeight="1">
      <c r="A1121" s="6">
        <v>10.0</v>
      </c>
      <c r="B1121" s="6">
        <v>1003.0</v>
      </c>
      <c r="C1121" s="6">
        <v>6.0</v>
      </c>
      <c r="D1121" s="9" t="s">
        <v>1083</v>
      </c>
      <c r="E1121" s="9" t="s">
        <v>1084</v>
      </c>
      <c r="F1121" s="8"/>
    </row>
    <row r="1122" ht="21.0" customHeight="1">
      <c r="A1122" s="6">
        <v>10.0</v>
      </c>
      <c r="B1122" s="6">
        <v>1003.0</v>
      </c>
      <c r="C1122" s="6">
        <v>7.0</v>
      </c>
      <c r="D1122" s="9" t="s">
        <v>1085</v>
      </c>
      <c r="E1122" s="9" t="s">
        <v>1086</v>
      </c>
      <c r="F1122" s="8"/>
    </row>
    <row r="1123" ht="21.0" customHeight="1">
      <c r="A1123" s="6">
        <v>10.0</v>
      </c>
      <c r="B1123" s="6">
        <v>1003.0</v>
      </c>
      <c r="C1123" s="6">
        <v>8.0</v>
      </c>
      <c r="D1123" s="9" t="s">
        <v>1087</v>
      </c>
      <c r="E1123" s="9" t="s">
        <v>1088</v>
      </c>
      <c r="F1123" s="8"/>
    </row>
    <row r="1124" ht="21.0" customHeight="1">
      <c r="A1124" s="6">
        <v>10.0</v>
      </c>
      <c r="B1124" s="6">
        <v>1003.0</v>
      </c>
      <c r="C1124" s="6">
        <v>9.0</v>
      </c>
      <c r="D1124" s="9" t="s">
        <v>1089</v>
      </c>
      <c r="E1124" s="9" t="s">
        <v>1090</v>
      </c>
      <c r="F1124" s="8"/>
    </row>
    <row r="1125" ht="21.0" customHeight="1">
      <c r="A1125" s="6">
        <v>10.0</v>
      </c>
      <c r="B1125" s="6">
        <v>1003.0</v>
      </c>
      <c r="C1125" s="6">
        <v>10.0</v>
      </c>
      <c r="D1125" s="9" t="s">
        <v>1091</v>
      </c>
      <c r="E1125" s="9" t="s">
        <v>1092</v>
      </c>
      <c r="F1125" s="8"/>
    </row>
    <row r="1126" ht="21.0" customHeight="1">
      <c r="A1126" s="6">
        <v>11.0</v>
      </c>
      <c r="B1126" s="6">
        <v>1004.0</v>
      </c>
      <c r="C1126" s="6">
        <v>1.0</v>
      </c>
      <c r="D1126" s="9" t="s">
        <v>1093</v>
      </c>
      <c r="E1126" s="9" t="s">
        <v>1094</v>
      </c>
      <c r="F1126" s="8"/>
    </row>
    <row r="1127" ht="21.0" customHeight="1">
      <c r="A1127" s="6">
        <v>11.0</v>
      </c>
      <c r="B1127" s="6">
        <v>1004.0</v>
      </c>
      <c r="C1127" s="6">
        <v>2.0</v>
      </c>
      <c r="D1127" s="9" t="s">
        <v>1095</v>
      </c>
      <c r="E1127" s="9" t="s">
        <v>1096</v>
      </c>
      <c r="F1127" s="8"/>
    </row>
    <row r="1128" ht="21.0" customHeight="1">
      <c r="A1128" s="6">
        <v>11.0</v>
      </c>
      <c r="B1128" s="6">
        <v>1004.0</v>
      </c>
      <c r="C1128" s="6">
        <v>3.0</v>
      </c>
      <c r="D1128" s="9" t="s">
        <v>1097</v>
      </c>
      <c r="E1128" s="9" t="s">
        <v>1098</v>
      </c>
      <c r="F1128" s="8"/>
    </row>
    <row r="1129" ht="19.5" customHeight="1">
      <c r="A1129" s="6">
        <v>11.0</v>
      </c>
      <c r="B1129" s="6">
        <v>1004.0</v>
      </c>
      <c r="C1129" s="6">
        <v>4.0</v>
      </c>
      <c r="D1129" s="9" t="s">
        <v>1099</v>
      </c>
      <c r="E1129" s="9" t="s">
        <v>1100</v>
      </c>
      <c r="F1129" s="8"/>
    </row>
    <row r="1130" ht="21.0" customHeight="1">
      <c r="A1130" s="6">
        <v>10.0</v>
      </c>
      <c r="B1130" s="6">
        <v>1004.0</v>
      </c>
      <c r="C1130" s="6">
        <v>5.0</v>
      </c>
      <c r="D1130" s="9" t="s">
        <v>1101</v>
      </c>
      <c r="E1130" s="9" t="s">
        <v>1102</v>
      </c>
      <c r="F1130" s="8"/>
    </row>
    <row r="1131" ht="21.0" customHeight="1">
      <c r="A1131" s="6">
        <v>10.0</v>
      </c>
      <c r="B1131" s="6">
        <v>1004.0</v>
      </c>
      <c r="C1131" s="6">
        <v>6.0</v>
      </c>
      <c r="D1131" s="9" t="s">
        <v>1103</v>
      </c>
      <c r="E1131" s="9" t="s">
        <v>1104</v>
      </c>
      <c r="F1131" s="8"/>
    </row>
    <row r="1132" ht="21.0" customHeight="1">
      <c r="A1132" s="6">
        <v>10.0</v>
      </c>
      <c r="B1132" s="6">
        <v>1004.0</v>
      </c>
      <c r="C1132" s="6">
        <v>7.0</v>
      </c>
      <c r="D1132" s="9" t="s">
        <v>1105</v>
      </c>
      <c r="E1132" s="9" t="s">
        <v>1106</v>
      </c>
      <c r="F1132" s="8"/>
    </row>
    <row r="1133" ht="21.0" customHeight="1">
      <c r="A1133" s="6">
        <v>1.0</v>
      </c>
      <c r="B1133" s="6">
        <v>128.0</v>
      </c>
      <c r="C1133" s="6">
        <v>1.0</v>
      </c>
      <c r="D1133" s="9" t="s">
        <v>1107</v>
      </c>
      <c r="E1133" s="9" t="s">
        <v>1108</v>
      </c>
      <c r="F1133" s="8"/>
    </row>
    <row r="1134" ht="21.0" customHeight="1">
      <c r="A1134" s="6">
        <v>1.0</v>
      </c>
      <c r="B1134" s="6">
        <v>128.0</v>
      </c>
      <c r="C1134" s="6">
        <v>2.0</v>
      </c>
      <c r="D1134" s="9" t="s">
        <v>1109</v>
      </c>
      <c r="E1134" s="9" t="s">
        <v>1110</v>
      </c>
      <c r="F1134" s="8"/>
    </row>
    <row r="1135" ht="21.0" customHeight="1">
      <c r="A1135" s="6">
        <v>1.0</v>
      </c>
      <c r="B1135" s="6">
        <v>128.0</v>
      </c>
      <c r="C1135" s="6">
        <v>3.0</v>
      </c>
      <c r="D1135" s="9" t="s">
        <v>1111</v>
      </c>
      <c r="E1135" s="9" t="s">
        <v>1112</v>
      </c>
      <c r="F1135" s="8"/>
    </row>
    <row r="1136" ht="21.0" customHeight="1">
      <c r="A1136" s="6">
        <v>1.0</v>
      </c>
      <c r="B1136" s="6">
        <v>128.0</v>
      </c>
      <c r="C1136" s="6">
        <v>4.0</v>
      </c>
      <c r="D1136" s="23" t="s">
        <v>1113</v>
      </c>
      <c r="E1136" s="9" t="s">
        <v>1114</v>
      </c>
      <c r="F1136" s="8"/>
    </row>
    <row r="1137" ht="21.0" customHeight="1">
      <c r="A1137" s="6">
        <v>1.0</v>
      </c>
      <c r="B1137" s="6">
        <v>128.0</v>
      </c>
      <c r="C1137" s="6">
        <v>5.0</v>
      </c>
      <c r="D1137" s="9" t="s">
        <v>1115</v>
      </c>
      <c r="E1137" s="9" t="s">
        <v>1116</v>
      </c>
      <c r="F1137" s="8"/>
    </row>
    <row r="1138" ht="21.0" customHeight="1">
      <c r="A1138" s="6">
        <v>1.0</v>
      </c>
      <c r="B1138" s="6">
        <v>128.0</v>
      </c>
      <c r="C1138" s="6">
        <v>6.0</v>
      </c>
      <c r="D1138" s="9" t="s">
        <v>1117</v>
      </c>
      <c r="E1138" s="9" t="s">
        <v>1118</v>
      </c>
      <c r="F1138" s="8"/>
    </row>
    <row r="1139" ht="21.0" customHeight="1">
      <c r="A1139" s="6">
        <v>1.0</v>
      </c>
      <c r="B1139" s="6">
        <v>128.0</v>
      </c>
      <c r="C1139" s="6">
        <v>7.0</v>
      </c>
      <c r="D1139" s="9" t="s">
        <v>1119</v>
      </c>
      <c r="E1139" s="9" t="s">
        <v>1120</v>
      </c>
      <c r="F1139" s="8"/>
    </row>
    <row r="1140" ht="21.0" customHeight="1">
      <c r="A1140" s="6">
        <v>1.0</v>
      </c>
      <c r="B1140" s="6">
        <v>128.0</v>
      </c>
      <c r="C1140" s="6">
        <v>8.0</v>
      </c>
      <c r="D1140" s="23" t="s">
        <v>1121</v>
      </c>
      <c r="E1140" s="9" t="s">
        <v>1122</v>
      </c>
      <c r="F1140" s="8"/>
    </row>
    <row r="1141" ht="21.0" customHeight="1">
      <c r="A1141" s="6">
        <v>1.0</v>
      </c>
      <c r="B1141" s="6">
        <v>128.0</v>
      </c>
      <c r="C1141" s="6">
        <v>9.0</v>
      </c>
      <c r="D1141" s="9" t="s">
        <v>1123</v>
      </c>
      <c r="E1141" s="9" t="s">
        <v>1124</v>
      </c>
      <c r="F1141" s="8"/>
    </row>
    <row r="1142" ht="21.0" customHeight="1">
      <c r="A1142" s="6">
        <v>1.0</v>
      </c>
      <c r="B1142" s="6">
        <v>128.0</v>
      </c>
      <c r="C1142" s="6">
        <v>10.0</v>
      </c>
      <c r="D1142" s="9" t="s">
        <v>1125</v>
      </c>
      <c r="E1142" s="9" t="s">
        <v>1126</v>
      </c>
      <c r="F1142" s="8"/>
    </row>
    <row r="1143" ht="21.0" customHeight="1">
      <c r="A1143" s="6">
        <v>11.0</v>
      </c>
      <c r="B1143" s="6">
        <v>1005.0</v>
      </c>
      <c r="C1143" s="6">
        <v>1.0</v>
      </c>
      <c r="D1143" s="9" t="s">
        <v>1127</v>
      </c>
      <c r="E1143" s="9" t="s">
        <v>1128</v>
      </c>
      <c r="F1143" s="8"/>
    </row>
    <row r="1144" ht="21.0" customHeight="1">
      <c r="A1144" s="6">
        <v>11.0</v>
      </c>
      <c r="B1144" s="6">
        <v>1005.0</v>
      </c>
      <c r="C1144" s="6">
        <v>2.0</v>
      </c>
      <c r="D1144" s="9" t="s">
        <v>1129</v>
      </c>
      <c r="E1144" s="9" t="s">
        <v>1130</v>
      </c>
      <c r="F1144" s="8"/>
    </row>
    <row r="1145" ht="21.0" customHeight="1">
      <c r="A1145" s="6">
        <v>11.0</v>
      </c>
      <c r="B1145" s="6">
        <v>1005.0</v>
      </c>
      <c r="C1145" s="6">
        <v>3.0</v>
      </c>
      <c r="D1145" s="9" t="s">
        <v>1131</v>
      </c>
      <c r="E1145" s="9" t="s">
        <v>1132</v>
      </c>
      <c r="F1145" s="8"/>
    </row>
    <row r="1146" ht="21.0" customHeight="1">
      <c r="A1146" s="6">
        <v>11.0</v>
      </c>
      <c r="B1146" s="6">
        <v>1005.0</v>
      </c>
      <c r="C1146" s="6">
        <v>4.0</v>
      </c>
      <c r="D1146" s="9" t="s">
        <v>1133</v>
      </c>
      <c r="E1146" s="9" t="s">
        <v>1134</v>
      </c>
      <c r="F1146" s="8"/>
    </row>
    <row r="1147" ht="21.0" customHeight="1">
      <c r="A1147" s="6">
        <v>10.0</v>
      </c>
      <c r="B1147" s="6">
        <v>1005.0</v>
      </c>
      <c r="C1147" s="6">
        <v>5.0</v>
      </c>
      <c r="D1147" s="9" t="s">
        <v>1135</v>
      </c>
      <c r="E1147" s="9" t="s">
        <v>1136</v>
      </c>
      <c r="F1147" s="8"/>
    </row>
    <row r="1148" ht="21.0" customHeight="1">
      <c r="A1148" s="6">
        <v>10.0</v>
      </c>
      <c r="B1148" s="6">
        <v>1005.0</v>
      </c>
      <c r="C1148" s="6">
        <v>6.0</v>
      </c>
      <c r="D1148" s="9" t="s">
        <v>1137</v>
      </c>
      <c r="E1148" s="9" t="s">
        <v>1138</v>
      </c>
      <c r="F1148" s="8"/>
    </row>
    <row r="1149" ht="21.0" customHeight="1">
      <c r="A1149" s="6">
        <v>10.0</v>
      </c>
      <c r="B1149" s="6">
        <v>1005.0</v>
      </c>
      <c r="C1149" s="6">
        <v>7.0</v>
      </c>
      <c r="D1149" s="9" t="s">
        <v>1139</v>
      </c>
      <c r="E1149" s="9" t="s">
        <v>1140</v>
      </c>
      <c r="F1149" s="8"/>
    </row>
    <row r="1150" ht="21.0" customHeight="1">
      <c r="A1150" s="6">
        <v>10.0</v>
      </c>
      <c r="B1150" s="6">
        <v>1005.0</v>
      </c>
      <c r="C1150" s="6">
        <v>8.0</v>
      </c>
      <c r="D1150" s="9" t="s">
        <v>1141</v>
      </c>
      <c r="E1150" s="9" t="s">
        <v>1142</v>
      </c>
      <c r="F1150" s="8"/>
    </row>
    <row r="1151" ht="21.0" customHeight="1">
      <c r="A1151" s="6">
        <v>1.0</v>
      </c>
      <c r="B1151" s="6">
        <v>108.0</v>
      </c>
      <c r="C1151" s="6">
        <v>1.0</v>
      </c>
      <c r="D1151" s="9" t="s">
        <v>1143</v>
      </c>
      <c r="E1151" s="9" t="s">
        <v>1144</v>
      </c>
      <c r="F1151" s="8"/>
    </row>
    <row r="1152" ht="21.0" customHeight="1">
      <c r="A1152" s="6">
        <v>1.0</v>
      </c>
      <c r="B1152" s="6">
        <v>108.0</v>
      </c>
      <c r="C1152" s="6">
        <v>2.0</v>
      </c>
      <c r="D1152" s="9" t="s">
        <v>1145</v>
      </c>
      <c r="E1152" s="9" t="s">
        <v>1146</v>
      </c>
      <c r="F1152" s="8"/>
    </row>
    <row r="1153" ht="21.0" customHeight="1">
      <c r="A1153" s="6">
        <v>1.0</v>
      </c>
      <c r="B1153" s="6">
        <v>108.0</v>
      </c>
      <c r="C1153" s="6">
        <v>3.0</v>
      </c>
      <c r="D1153" s="9" t="s">
        <v>1147</v>
      </c>
      <c r="E1153" s="9" t="s">
        <v>1148</v>
      </c>
      <c r="F1153" s="8"/>
    </row>
    <row r="1154" ht="21.0" customHeight="1">
      <c r="A1154" s="6">
        <v>1.0</v>
      </c>
      <c r="B1154" s="6">
        <v>108.0</v>
      </c>
      <c r="C1154" s="6">
        <v>4.0</v>
      </c>
      <c r="D1154" s="9" t="s">
        <v>1149</v>
      </c>
      <c r="E1154" s="9" t="s">
        <v>1150</v>
      </c>
      <c r="F1154" s="8"/>
    </row>
    <row r="1155" ht="21.0" customHeight="1">
      <c r="A1155" s="6">
        <v>1.0</v>
      </c>
      <c r="B1155" s="6">
        <v>108.0</v>
      </c>
      <c r="C1155" s="6">
        <v>5.0</v>
      </c>
      <c r="D1155" s="9" t="s">
        <v>1151</v>
      </c>
      <c r="E1155" s="9" t="s">
        <v>1152</v>
      </c>
      <c r="F1155" s="8"/>
    </row>
    <row r="1156" ht="21.0" customHeight="1">
      <c r="A1156" s="6">
        <v>1.0</v>
      </c>
      <c r="B1156" s="6">
        <v>108.0</v>
      </c>
      <c r="C1156" s="6">
        <v>6.0</v>
      </c>
      <c r="D1156" s="9" t="s">
        <v>1153</v>
      </c>
      <c r="E1156" s="9" t="s">
        <v>1154</v>
      </c>
      <c r="F1156" s="8"/>
    </row>
    <row r="1157" ht="21.0" customHeight="1">
      <c r="A1157" s="6">
        <v>1.0</v>
      </c>
      <c r="B1157" s="6">
        <v>108.0</v>
      </c>
      <c r="C1157" s="6">
        <v>7.0</v>
      </c>
      <c r="D1157" s="9" t="s">
        <v>1155</v>
      </c>
      <c r="E1157" s="9" t="s">
        <v>1156</v>
      </c>
      <c r="F1157" s="8"/>
    </row>
    <row r="1158" ht="21.0" customHeight="1">
      <c r="A1158" s="6">
        <v>1.0</v>
      </c>
      <c r="B1158" s="6">
        <v>108.0</v>
      </c>
      <c r="C1158" s="6">
        <v>8.0</v>
      </c>
      <c r="D1158" s="9" t="s">
        <v>1157</v>
      </c>
      <c r="E1158" s="9" t="s">
        <v>1158</v>
      </c>
      <c r="F1158" s="8"/>
    </row>
    <row r="1159" ht="21.0" customHeight="1">
      <c r="A1159" s="6">
        <v>1.0</v>
      </c>
      <c r="B1159" s="6">
        <v>108.0</v>
      </c>
      <c r="C1159" s="6">
        <v>9.0</v>
      </c>
      <c r="D1159" s="9" t="s">
        <v>1159</v>
      </c>
      <c r="E1159" s="9" t="s">
        <v>1160</v>
      </c>
      <c r="F1159" s="8"/>
    </row>
    <row r="1160" ht="21.0" customHeight="1">
      <c r="A1160" s="6">
        <v>1.0</v>
      </c>
      <c r="B1160" s="6">
        <v>108.0</v>
      </c>
      <c r="C1160" s="6">
        <v>10.0</v>
      </c>
      <c r="D1160" s="9" t="s">
        <v>1161</v>
      </c>
      <c r="E1160" s="9" t="s">
        <v>1162</v>
      </c>
      <c r="F1160" s="8"/>
    </row>
    <row r="1161" ht="21.0" customHeight="1">
      <c r="A1161" s="6">
        <v>1.0</v>
      </c>
      <c r="B1161" s="6">
        <v>108.0</v>
      </c>
      <c r="C1161" s="6">
        <v>11.0</v>
      </c>
      <c r="D1161" s="9" t="s">
        <v>1163</v>
      </c>
      <c r="E1161" s="9" t="s">
        <v>1164</v>
      </c>
      <c r="F1161" s="8"/>
    </row>
    <row r="1162" ht="21.0" customHeight="1">
      <c r="A1162" s="6">
        <v>1.0</v>
      </c>
      <c r="B1162" s="6">
        <v>108.0</v>
      </c>
      <c r="C1162" s="6">
        <v>12.0</v>
      </c>
      <c r="D1162" s="9" t="s">
        <v>1165</v>
      </c>
      <c r="E1162" s="9" t="s">
        <v>1166</v>
      </c>
      <c r="F1162" s="8"/>
    </row>
    <row r="1163" ht="21.0" customHeight="1">
      <c r="A1163" s="6">
        <v>1.0</v>
      </c>
      <c r="B1163" s="6">
        <v>108.0</v>
      </c>
      <c r="C1163" s="6">
        <v>13.0</v>
      </c>
      <c r="D1163" s="11" t="s">
        <v>1167</v>
      </c>
      <c r="E1163" s="9" t="s">
        <v>1168</v>
      </c>
      <c r="F1163" s="8"/>
    </row>
    <row r="1164" ht="21.0" customHeight="1">
      <c r="A1164" s="6">
        <v>1.0</v>
      </c>
      <c r="B1164" s="6">
        <v>108.0</v>
      </c>
      <c r="C1164" s="6">
        <v>14.0</v>
      </c>
      <c r="D1164" s="11" t="s">
        <v>1169</v>
      </c>
      <c r="E1164" s="9" t="s">
        <v>1170</v>
      </c>
      <c r="F1164" s="8"/>
    </row>
    <row r="1165" ht="21.0" customHeight="1">
      <c r="A1165" s="6">
        <v>1.0</v>
      </c>
      <c r="B1165" s="6">
        <v>108.0</v>
      </c>
      <c r="C1165" s="6">
        <v>15.0</v>
      </c>
      <c r="D1165" s="9" t="s">
        <v>1171</v>
      </c>
      <c r="E1165" s="9" t="s">
        <v>1172</v>
      </c>
      <c r="F1165" s="8"/>
    </row>
    <row r="1166" ht="21.0" customHeight="1">
      <c r="A1166" s="6">
        <v>1.0</v>
      </c>
      <c r="B1166" s="6">
        <v>109.0</v>
      </c>
      <c r="C1166" s="6">
        <v>1.0</v>
      </c>
      <c r="D1166" s="9" t="s">
        <v>1173</v>
      </c>
      <c r="E1166" s="9" t="s">
        <v>1174</v>
      </c>
      <c r="F1166" s="8"/>
    </row>
    <row r="1167" ht="21.0" customHeight="1">
      <c r="A1167" s="6">
        <v>1.0</v>
      </c>
      <c r="B1167" s="6">
        <v>109.0</v>
      </c>
      <c r="C1167" s="6">
        <v>2.0</v>
      </c>
      <c r="D1167" s="9" t="s">
        <v>1175</v>
      </c>
      <c r="E1167" s="9" t="s">
        <v>1176</v>
      </c>
      <c r="F1167" s="8"/>
    </row>
    <row r="1168" ht="21.0" customHeight="1">
      <c r="A1168" s="6">
        <v>1.0</v>
      </c>
      <c r="B1168" s="6">
        <v>109.0</v>
      </c>
      <c r="C1168" s="6">
        <v>3.0</v>
      </c>
      <c r="D1168" s="9" t="s">
        <v>1177</v>
      </c>
      <c r="E1168" s="9" t="s">
        <v>1178</v>
      </c>
      <c r="F1168" s="8"/>
    </row>
    <row r="1169" ht="21.0" customHeight="1">
      <c r="A1169" s="6">
        <v>1.0</v>
      </c>
      <c r="B1169" s="6">
        <v>109.0</v>
      </c>
      <c r="C1169" s="6">
        <v>4.0</v>
      </c>
      <c r="D1169" s="9" t="s">
        <v>1179</v>
      </c>
      <c r="E1169" s="9" t="s">
        <v>1180</v>
      </c>
      <c r="F1169" s="8"/>
    </row>
    <row r="1170" ht="21.0" customHeight="1">
      <c r="A1170" s="6">
        <v>1.0</v>
      </c>
      <c r="B1170" s="6">
        <v>109.0</v>
      </c>
      <c r="C1170" s="6">
        <v>5.0</v>
      </c>
      <c r="D1170" s="9" t="s">
        <v>1181</v>
      </c>
      <c r="E1170" s="9" t="s">
        <v>1182</v>
      </c>
      <c r="F1170" s="8"/>
    </row>
    <row r="1171" ht="21.0" customHeight="1">
      <c r="A1171" s="6">
        <v>1.0</v>
      </c>
      <c r="B1171" s="6">
        <v>109.0</v>
      </c>
      <c r="C1171" s="6">
        <v>6.0</v>
      </c>
      <c r="D1171" s="9" t="s">
        <v>1183</v>
      </c>
      <c r="E1171" s="9" t="s">
        <v>1184</v>
      </c>
      <c r="F1171" s="8"/>
    </row>
    <row r="1172" ht="21.0" customHeight="1">
      <c r="A1172" s="6">
        <v>1.0</v>
      </c>
      <c r="B1172" s="6">
        <v>109.0</v>
      </c>
      <c r="C1172" s="6">
        <v>7.0</v>
      </c>
      <c r="D1172" s="9" t="s">
        <v>1185</v>
      </c>
      <c r="E1172" s="9" t="s">
        <v>1186</v>
      </c>
      <c r="F1172" s="8"/>
    </row>
    <row r="1173" ht="21.0" customHeight="1">
      <c r="A1173" s="6">
        <v>1.0</v>
      </c>
      <c r="B1173" s="6">
        <v>109.0</v>
      </c>
      <c r="C1173" s="6">
        <v>8.0</v>
      </c>
      <c r="D1173" s="9" t="s">
        <v>1187</v>
      </c>
      <c r="E1173" s="9" t="s">
        <v>1188</v>
      </c>
      <c r="F1173" s="8"/>
    </row>
    <row r="1174" ht="21.0" customHeight="1">
      <c r="A1174" s="6">
        <v>1.0</v>
      </c>
      <c r="B1174" s="6">
        <v>109.0</v>
      </c>
      <c r="C1174" s="6">
        <v>9.0</v>
      </c>
      <c r="D1174" s="9" t="s">
        <v>1189</v>
      </c>
      <c r="E1174" s="9" t="s">
        <v>1190</v>
      </c>
      <c r="F1174" s="8"/>
    </row>
    <row r="1175" ht="21.0" customHeight="1">
      <c r="A1175" s="6">
        <v>1.0</v>
      </c>
      <c r="B1175" s="6">
        <v>109.0</v>
      </c>
      <c r="C1175" s="6">
        <v>10.0</v>
      </c>
      <c r="D1175" s="9" t="s">
        <v>1191</v>
      </c>
      <c r="E1175" s="9" t="s">
        <v>1192</v>
      </c>
      <c r="F1175" s="8"/>
    </row>
    <row r="1176" ht="21.0" customHeight="1">
      <c r="A1176" s="6">
        <v>1.0</v>
      </c>
      <c r="B1176" s="6">
        <v>110.0</v>
      </c>
      <c r="C1176" s="6">
        <v>1.0</v>
      </c>
      <c r="D1176" s="9" t="s">
        <v>1193</v>
      </c>
      <c r="E1176" s="9" t="s">
        <v>1194</v>
      </c>
      <c r="F1176" s="8"/>
    </row>
    <row r="1177" ht="21.0" customHeight="1">
      <c r="A1177" s="6">
        <v>1.0</v>
      </c>
      <c r="B1177" s="6">
        <v>110.0</v>
      </c>
      <c r="C1177" s="6">
        <v>2.0</v>
      </c>
      <c r="D1177" s="9" t="s">
        <v>1195</v>
      </c>
      <c r="E1177" s="9" t="s">
        <v>1196</v>
      </c>
      <c r="F1177" s="8"/>
    </row>
    <row r="1178" ht="21.0" customHeight="1">
      <c r="A1178" s="6">
        <v>1.0</v>
      </c>
      <c r="B1178" s="6">
        <v>110.0</v>
      </c>
      <c r="C1178" s="6">
        <v>3.0</v>
      </c>
      <c r="D1178" s="9" t="s">
        <v>1197</v>
      </c>
      <c r="E1178" s="9" t="s">
        <v>1198</v>
      </c>
      <c r="F1178" s="8"/>
    </row>
    <row r="1179" ht="21.0" customHeight="1">
      <c r="A1179" s="6">
        <v>1.0</v>
      </c>
      <c r="B1179" s="6">
        <v>110.0</v>
      </c>
      <c r="C1179" s="6">
        <v>4.0</v>
      </c>
      <c r="D1179" s="9" t="s">
        <v>1199</v>
      </c>
      <c r="E1179" s="9" t="s">
        <v>1200</v>
      </c>
      <c r="F1179" s="8"/>
    </row>
    <row r="1180" ht="21.0" customHeight="1">
      <c r="A1180" s="6">
        <v>1.0</v>
      </c>
      <c r="B1180" s="6">
        <v>110.0</v>
      </c>
      <c r="C1180" s="6">
        <v>5.0</v>
      </c>
      <c r="D1180" s="9" t="s">
        <v>1201</v>
      </c>
      <c r="E1180" s="9" t="s">
        <v>1202</v>
      </c>
      <c r="F1180" s="8"/>
    </row>
    <row r="1181" ht="21.0" customHeight="1">
      <c r="A1181" s="6">
        <v>1.0</v>
      </c>
      <c r="B1181" s="6">
        <v>110.0</v>
      </c>
      <c r="C1181" s="6">
        <v>6.0</v>
      </c>
      <c r="D1181" s="9" t="s">
        <v>1203</v>
      </c>
      <c r="E1181" s="9" t="s">
        <v>1204</v>
      </c>
      <c r="F1181" s="8"/>
    </row>
    <row r="1182" ht="21.0" customHeight="1">
      <c r="A1182" s="6">
        <v>1.0</v>
      </c>
      <c r="B1182" s="6">
        <v>110.0</v>
      </c>
      <c r="C1182" s="6">
        <v>7.0</v>
      </c>
      <c r="D1182" s="9" t="s">
        <v>1205</v>
      </c>
      <c r="E1182" s="9" t="s">
        <v>1206</v>
      </c>
      <c r="F1182" s="8"/>
    </row>
    <row r="1183" ht="21.0" customHeight="1">
      <c r="A1183" s="6">
        <v>1.0</v>
      </c>
      <c r="B1183" s="6">
        <v>110.0</v>
      </c>
      <c r="C1183" s="6">
        <v>8.0</v>
      </c>
      <c r="D1183" s="9" t="s">
        <v>1207</v>
      </c>
      <c r="E1183" s="9" t="s">
        <v>1208</v>
      </c>
      <c r="F1183" s="8"/>
    </row>
    <row r="1184" ht="21.0" customHeight="1">
      <c r="A1184" s="6">
        <v>1.0</v>
      </c>
      <c r="B1184" s="6">
        <v>110.0</v>
      </c>
      <c r="C1184" s="6">
        <v>9.0</v>
      </c>
      <c r="D1184" s="9" t="s">
        <v>1209</v>
      </c>
      <c r="E1184" s="9" t="s">
        <v>1210</v>
      </c>
      <c r="F1184" s="8"/>
    </row>
    <row r="1185" ht="21.0" customHeight="1">
      <c r="A1185" s="6">
        <v>1.0</v>
      </c>
      <c r="B1185" s="6">
        <v>110.0</v>
      </c>
      <c r="C1185" s="6">
        <v>10.0</v>
      </c>
      <c r="D1185" s="9" t="s">
        <v>1211</v>
      </c>
      <c r="E1185" s="9" t="s">
        <v>1212</v>
      </c>
      <c r="F1185" s="8"/>
    </row>
    <row r="1186" ht="21.0" customHeight="1">
      <c r="A1186" s="6">
        <v>11.0</v>
      </c>
      <c r="B1186" s="6">
        <v>1006.0</v>
      </c>
      <c r="C1186" s="6">
        <v>1.0</v>
      </c>
      <c r="D1186" s="9" t="s">
        <v>1213</v>
      </c>
      <c r="E1186" s="9" t="s">
        <v>1214</v>
      </c>
      <c r="F1186" s="8"/>
    </row>
    <row r="1187" ht="21.0" customHeight="1">
      <c r="A1187" s="6">
        <v>11.0</v>
      </c>
      <c r="B1187" s="6">
        <v>1006.0</v>
      </c>
      <c r="C1187" s="6">
        <v>2.0</v>
      </c>
      <c r="D1187" s="9" t="s">
        <v>1215</v>
      </c>
      <c r="E1187" s="9" t="s">
        <v>1216</v>
      </c>
      <c r="F1187" s="8"/>
    </row>
    <row r="1188" ht="21.0" customHeight="1">
      <c r="A1188" s="6">
        <v>11.0</v>
      </c>
      <c r="B1188" s="6">
        <v>1006.0</v>
      </c>
      <c r="C1188" s="6">
        <v>3.0</v>
      </c>
      <c r="D1188" s="9" t="s">
        <v>1217</v>
      </c>
      <c r="E1188" s="9" t="s">
        <v>1218</v>
      </c>
      <c r="F1188" s="8"/>
    </row>
    <row r="1189" ht="21.0" customHeight="1">
      <c r="A1189" s="6">
        <v>11.0</v>
      </c>
      <c r="B1189" s="6">
        <v>1006.0</v>
      </c>
      <c r="C1189" s="6">
        <v>4.0</v>
      </c>
      <c r="D1189" s="9" t="s">
        <v>1219</v>
      </c>
      <c r="E1189" s="9" t="s">
        <v>1220</v>
      </c>
      <c r="F1189" s="8"/>
    </row>
    <row r="1190" ht="21.0" customHeight="1">
      <c r="A1190" s="6">
        <v>10.0</v>
      </c>
      <c r="B1190" s="6">
        <v>1006.0</v>
      </c>
      <c r="C1190" s="6">
        <v>5.0</v>
      </c>
      <c r="D1190" s="9" t="s">
        <v>1221</v>
      </c>
      <c r="E1190" s="9" t="s">
        <v>1222</v>
      </c>
      <c r="F1190" s="8"/>
    </row>
    <row r="1191" ht="21.0" customHeight="1">
      <c r="A1191" s="6">
        <v>10.0</v>
      </c>
      <c r="B1191" s="6">
        <v>1006.0</v>
      </c>
      <c r="C1191" s="6">
        <v>6.0</v>
      </c>
      <c r="D1191" s="9" t="s">
        <v>1223</v>
      </c>
      <c r="E1191" s="9" t="s">
        <v>1224</v>
      </c>
      <c r="F1191" s="8"/>
    </row>
    <row r="1192" ht="21.0" customHeight="1">
      <c r="A1192" s="6">
        <v>10.0</v>
      </c>
      <c r="B1192" s="6">
        <v>1006.0</v>
      </c>
      <c r="C1192" s="6">
        <v>7.0</v>
      </c>
      <c r="D1192" s="9" t="s">
        <v>1225</v>
      </c>
      <c r="E1192" s="9" t="s">
        <v>1226</v>
      </c>
      <c r="F1192" s="8"/>
    </row>
    <row r="1193" ht="21.0" customHeight="1">
      <c r="A1193" s="6">
        <v>10.0</v>
      </c>
      <c r="B1193" s="6">
        <v>1006.0</v>
      </c>
      <c r="C1193" s="6">
        <v>8.0</v>
      </c>
      <c r="D1193" s="9" t="s">
        <v>1227</v>
      </c>
      <c r="E1193" s="9" t="s">
        <v>1228</v>
      </c>
      <c r="F1193" s="8"/>
    </row>
    <row r="1194" ht="21.0" customHeight="1">
      <c r="A1194" s="6">
        <v>10.0</v>
      </c>
      <c r="B1194" s="6">
        <v>1006.0</v>
      </c>
      <c r="C1194" s="6">
        <v>9.0</v>
      </c>
      <c r="D1194" s="9" t="s">
        <v>1229</v>
      </c>
      <c r="E1194" s="9" t="s">
        <v>1230</v>
      </c>
      <c r="F1194" s="8"/>
    </row>
    <row r="1195" ht="21.0" customHeight="1">
      <c r="A1195" s="6">
        <v>10.0</v>
      </c>
      <c r="B1195" s="6">
        <v>1006.0</v>
      </c>
      <c r="C1195" s="6">
        <v>10.0</v>
      </c>
      <c r="D1195" s="9" t="s">
        <v>1231</v>
      </c>
      <c r="E1195" s="9" t="s">
        <v>1232</v>
      </c>
      <c r="F1195" s="8"/>
    </row>
    <row r="1196" ht="21.0" customHeight="1">
      <c r="A1196" s="6">
        <v>1.0</v>
      </c>
      <c r="B1196" s="6">
        <v>111.0</v>
      </c>
      <c r="C1196" s="6">
        <v>1.0</v>
      </c>
      <c r="D1196" s="9" t="s">
        <v>1233</v>
      </c>
      <c r="E1196" s="9" t="s">
        <v>1234</v>
      </c>
      <c r="F1196" s="8"/>
    </row>
    <row r="1197" ht="21.0" customHeight="1">
      <c r="A1197" s="6">
        <v>1.0</v>
      </c>
      <c r="B1197" s="6">
        <v>111.0</v>
      </c>
      <c r="C1197" s="6">
        <v>2.0</v>
      </c>
      <c r="D1197" s="9" t="s">
        <v>1235</v>
      </c>
      <c r="E1197" s="9" t="s">
        <v>1236</v>
      </c>
      <c r="F1197" s="8"/>
    </row>
    <row r="1198" ht="21.0" customHeight="1">
      <c r="A1198" s="6">
        <v>1.0</v>
      </c>
      <c r="B1198" s="6">
        <v>111.0</v>
      </c>
      <c r="C1198" s="6">
        <v>3.0</v>
      </c>
      <c r="D1198" s="9" t="s">
        <v>1237</v>
      </c>
      <c r="E1198" s="9" t="s">
        <v>1238</v>
      </c>
      <c r="F1198" s="8"/>
    </row>
    <row r="1199" ht="21.0" customHeight="1">
      <c r="A1199" s="6">
        <v>1.0</v>
      </c>
      <c r="B1199" s="6">
        <v>111.0</v>
      </c>
      <c r="C1199" s="6">
        <v>4.0</v>
      </c>
      <c r="D1199" s="9" t="s">
        <v>1239</v>
      </c>
      <c r="E1199" s="9" t="s">
        <v>1240</v>
      </c>
      <c r="F1199" s="8"/>
    </row>
    <row r="1200" ht="21.0" customHeight="1">
      <c r="A1200" s="6">
        <v>1.0</v>
      </c>
      <c r="B1200" s="6">
        <v>111.0</v>
      </c>
      <c r="C1200" s="6">
        <v>5.0</v>
      </c>
      <c r="D1200" s="9" t="s">
        <v>1241</v>
      </c>
      <c r="E1200" s="9" t="s">
        <v>1242</v>
      </c>
      <c r="F1200" s="8"/>
    </row>
    <row r="1201" ht="21.0" customHeight="1">
      <c r="A1201" s="6">
        <v>1.0</v>
      </c>
      <c r="B1201" s="6">
        <v>111.0</v>
      </c>
      <c r="C1201" s="6">
        <v>6.0</v>
      </c>
      <c r="D1201" s="9" t="s">
        <v>1243</v>
      </c>
      <c r="E1201" s="9" t="s">
        <v>1244</v>
      </c>
      <c r="F1201" s="8"/>
    </row>
    <row r="1202" ht="21.0" customHeight="1">
      <c r="A1202" s="6">
        <v>1.0</v>
      </c>
      <c r="B1202" s="6">
        <v>111.0</v>
      </c>
      <c r="C1202" s="6">
        <v>7.0</v>
      </c>
      <c r="D1202" s="9" t="s">
        <v>1245</v>
      </c>
      <c r="E1202" s="9" t="s">
        <v>1246</v>
      </c>
      <c r="F1202" s="8"/>
    </row>
    <row r="1203" ht="21.0" customHeight="1">
      <c r="A1203" s="6">
        <v>1.0</v>
      </c>
      <c r="B1203" s="6">
        <v>111.0</v>
      </c>
      <c r="C1203" s="6">
        <v>8.0</v>
      </c>
      <c r="D1203" s="9" t="s">
        <v>1247</v>
      </c>
      <c r="E1203" s="9" t="s">
        <v>1248</v>
      </c>
      <c r="F1203" s="8"/>
    </row>
    <row r="1204" ht="21.0" customHeight="1">
      <c r="A1204" s="6">
        <v>1.0</v>
      </c>
      <c r="B1204" s="6">
        <v>111.0</v>
      </c>
      <c r="C1204" s="6">
        <v>9.0</v>
      </c>
      <c r="D1204" s="9" t="s">
        <v>1249</v>
      </c>
      <c r="E1204" s="9" t="s">
        <v>1250</v>
      </c>
      <c r="F1204" s="8"/>
    </row>
    <row r="1205" ht="21.0" customHeight="1">
      <c r="A1205" s="6">
        <v>13.0</v>
      </c>
      <c r="B1205" s="6">
        <v>111.0</v>
      </c>
      <c r="C1205" s="6">
        <v>10.0</v>
      </c>
      <c r="D1205" s="33" t="s">
        <v>1251</v>
      </c>
      <c r="E1205" s="33" t="s">
        <v>1252</v>
      </c>
      <c r="F1205" s="8"/>
    </row>
    <row r="1206" ht="21.0" customHeight="1">
      <c r="A1206" s="6">
        <v>1.0</v>
      </c>
      <c r="B1206" s="6">
        <v>112.0</v>
      </c>
      <c r="C1206" s="6">
        <v>1.0</v>
      </c>
      <c r="D1206" s="9" t="s">
        <v>1253</v>
      </c>
      <c r="E1206" s="9" t="s">
        <v>1254</v>
      </c>
      <c r="F1206" s="8"/>
    </row>
    <row r="1207" ht="21.0" customHeight="1">
      <c r="A1207" s="6">
        <v>1.0</v>
      </c>
      <c r="B1207" s="6">
        <v>112.0</v>
      </c>
      <c r="C1207" s="6">
        <v>2.0</v>
      </c>
      <c r="D1207" s="9" t="s">
        <v>1255</v>
      </c>
      <c r="E1207" s="9" t="s">
        <v>1256</v>
      </c>
      <c r="F1207" s="8"/>
    </row>
    <row r="1208" ht="21.0" customHeight="1">
      <c r="A1208" s="6">
        <v>1.0</v>
      </c>
      <c r="B1208" s="6">
        <v>112.0</v>
      </c>
      <c r="C1208" s="6">
        <v>3.0</v>
      </c>
      <c r="D1208" s="9" t="s">
        <v>1257</v>
      </c>
      <c r="E1208" s="9" t="s">
        <v>1258</v>
      </c>
      <c r="F1208" s="8"/>
    </row>
    <row r="1209" ht="21.0" customHeight="1">
      <c r="A1209" s="6">
        <v>1.0</v>
      </c>
      <c r="B1209" s="6">
        <v>112.0</v>
      </c>
      <c r="C1209" s="6">
        <v>4.0</v>
      </c>
      <c r="D1209" s="9" t="s">
        <v>1259</v>
      </c>
      <c r="E1209" s="9" t="s">
        <v>1260</v>
      </c>
      <c r="F1209" s="8"/>
    </row>
    <row r="1210" ht="21.0" customHeight="1">
      <c r="A1210" s="6">
        <v>1.0</v>
      </c>
      <c r="B1210" s="6">
        <v>112.0</v>
      </c>
      <c r="C1210" s="6">
        <v>5.0</v>
      </c>
      <c r="D1210" s="9" t="s">
        <v>1261</v>
      </c>
      <c r="E1210" s="9" t="s">
        <v>1262</v>
      </c>
      <c r="F1210" s="8"/>
    </row>
    <row r="1211" ht="21.0" customHeight="1">
      <c r="A1211" s="6">
        <v>1.0</v>
      </c>
      <c r="B1211" s="6">
        <v>112.0</v>
      </c>
      <c r="C1211" s="6">
        <v>6.0</v>
      </c>
      <c r="D1211" s="9" t="s">
        <v>1263</v>
      </c>
      <c r="E1211" s="9" t="s">
        <v>1264</v>
      </c>
      <c r="F1211" s="8"/>
    </row>
    <row r="1212" ht="21.0" customHeight="1">
      <c r="A1212" s="6">
        <v>1.0</v>
      </c>
      <c r="B1212" s="6">
        <v>112.0</v>
      </c>
      <c r="C1212" s="6">
        <v>7.0</v>
      </c>
      <c r="D1212" s="9" t="s">
        <v>1265</v>
      </c>
      <c r="E1212" s="9" t="s">
        <v>1266</v>
      </c>
      <c r="F1212" s="8"/>
    </row>
    <row r="1213" ht="21.0" customHeight="1">
      <c r="A1213" s="6">
        <v>1.0</v>
      </c>
      <c r="B1213" s="6">
        <v>112.0</v>
      </c>
      <c r="C1213" s="6">
        <v>8.0</v>
      </c>
      <c r="D1213" s="9" t="s">
        <v>1267</v>
      </c>
      <c r="E1213" s="9" t="s">
        <v>1268</v>
      </c>
      <c r="F1213" s="8"/>
    </row>
    <row r="1214" ht="21.0" customHeight="1">
      <c r="A1214" s="6">
        <v>1.0</v>
      </c>
      <c r="B1214" s="6">
        <v>112.0</v>
      </c>
      <c r="C1214" s="6">
        <v>9.0</v>
      </c>
      <c r="D1214" s="9" t="s">
        <v>1269</v>
      </c>
      <c r="E1214" s="9" t="s">
        <v>1270</v>
      </c>
      <c r="F1214" s="8"/>
    </row>
    <row r="1215" ht="21.0" customHeight="1">
      <c r="A1215" s="6">
        <v>1.0</v>
      </c>
      <c r="B1215" s="6">
        <v>112.0</v>
      </c>
      <c r="C1215" s="6">
        <v>10.0</v>
      </c>
      <c r="D1215" s="9" t="s">
        <v>1271</v>
      </c>
      <c r="E1215" s="9" t="s">
        <v>1272</v>
      </c>
      <c r="F1215" s="8"/>
    </row>
    <row r="1216" ht="21.0" customHeight="1">
      <c r="A1216" s="6">
        <v>13.0</v>
      </c>
      <c r="B1216" s="6">
        <v>112.0</v>
      </c>
      <c r="C1216" s="6">
        <v>11.0</v>
      </c>
      <c r="D1216" s="33" t="s">
        <v>1273</v>
      </c>
      <c r="E1216" s="33" t="s">
        <v>1274</v>
      </c>
      <c r="F1216" s="8"/>
    </row>
    <row r="1217" ht="21.0" customHeight="1">
      <c r="A1217" s="6">
        <v>11.0</v>
      </c>
      <c r="B1217" s="6">
        <v>1007.0</v>
      </c>
      <c r="C1217" s="6">
        <v>1.0</v>
      </c>
      <c r="D1217" s="9" t="s">
        <v>1275</v>
      </c>
      <c r="E1217" s="9" t="s">
        <v>1276</v>
      </c>
      <c r="F1217" s="8"/>
    </row>
    <row r="1218" ht="21.0" customHeight="1">
      <c r="A1218" s="6">
        <v>11.0</v>
      </c>
      <c r="B1218" s="6">
        <v>1007.0</v>
      </c>
      <c r="C1218" s="6">
        <v>2.0</v>
      </c>
      <c r="D1218" s="9" t="s">
        <v>1277</v>
      </c>
      <c r="E1218" s="9" t="s">
        <v>1278</v>
      </c>
      <c r="F1218" s="8"/>
    </row>
    <row r="1219" ht="21.0" customHeight="1">
      <c r="A1219" s="6">
        <v>11.0</v>
      </c>
      <c r="B1219" s="6">
        <v>1007.0</v>
      </c>
      <c r="C1219" s="6">
        <v>3.0</v>
      </c>
      <c r="D1219" s="9" t="s">
        <v>1279</v>
      </c>
      <c r="E1219" s="9" t="s">
        <v>1280</v>
      </c>
      <c r="F1219" s="8"/>
    </row>
    <row r="1220" ht="21.0" customHeight="1">
      <c r="A1220" s="6">
        <v>11.0</v>
      </c>
      <c r="B1220" s="6">
        <v>1007.0</v>
      </c>
      <c r="C1220" s="6">
        <v>4.0</v>
      </c>
      <c r="D1220" s="9" t="s">
        <v>1281</v>
      </c>
      <c r="E1220" s="9" t="s">
        <v>1282</v>
      </c>
      <c r="F1220" s="8"/>
    </row>
    <row r="1221" ht="21.0" customHeight="1">
      <c r="A1221" s="6">
        <v>10.0</v>
      </c>
      <c r="B1221" s="6">
        <v>1007.0</v>
      </c>
      <c r="C1221" s="6">
        <v>5.0</v>
      </c>
      <c r="D1221" s="9" t="s">
        <v>1283</v>
      </c>
      <c r="E1221" s="9" t="s">
        <v>1284</v>
      </c>
      <c r="F1221" s="8"/>
    </row>
    <row r="1222" ht="21.0" customHeight="1">
      <c r="A1222" s="6">
        <v>10.0</v>
      </c>
      <c r="B1222" s="6">
        <v>1007.0</v>
      </c>
      <c r="C1222" s="6">
        <v>6.0</v>
      </c>
      <c r="D1222" s="9" t="s">
        <v>1285</v>
      </c>
      <c r="E1222" s="9" t="s">
        <v>1286</v>
      </c>
      <c r="F1222" s="8"/>
    </row>
    <row r="1223" ht="21.0" customHeight="1">
      <c r="A1223" s="6">
        <v>10.0</v>
      </c>
      <c r="B1223" s="6">
        <v>1007.0</v>
      </c>
      <c r="C1223" s="6">
        <v>7.0</v>
      </c>
      <c r="D1223" s="9" t="s">
        <v>1287</v>
      </c>
      <c r="E1223" s="9" t="s">
        <v>1288</v>
      </c>
      <c r="F1223" s="8"/>
    </row>
    <row r="1224" ht="21.0" customHeight="1">
      <c r="A1224" s="6">
        <v>10.0</v>
      </c>
      <c r="B1224" s="6">
        <v>1007.0</v>
      </c>
      <c r="C1224" s="6">
        <v>8.0</v>
      </c>
      <c r="D1224" s="9" t="s">
        <v>1289</v>
      </c>
      <c r="E1224" s="9" t="s">
        <v>1290</v>
      </c>
      <c r="F1224" s="8"/>
    </row>
    <row r="1225" ht="21.0" customHeight="1">
      <c r="A1225" s="6">
        <v>10.0</v>
      </c>
      <c r="B1225" s="6">
        <v>1007.0</v>
      </c>
      <c r="C1225" s="6">
        <v>9.0</v>
      </c>
      <c r="D1225" s="9" t="s">
        <v>1291</v>
      </c>
      <c r="E1225" s="9" t="s">
        <v>1292</v>
      </c>
      <c r="F1225" s="8"/>
    </row>
    <row r="1226" ht="21.0" customHeight="1">
      <c r="A1226" s="6">
        <v>10.0</v>
      </c>
      <c r="B1226" s="6">
        <v>1007.0</v>
      </c>
      <c r="C1226" s="6">
        <v>10.0</v>
      </c>
      <c r="D1226" s="9" t="s">
        <v>1293</v>
      </c>
      <c r="E1226" s="9" t="s">
        <v>1294</v>
      </c>
      <c r="F1226" s="8"/>
    </row>
    <row r="1227" ht="21.0" customHeight="1">
      <c r="A1227" s="6">
        <v>1.0</v>
      </c>
      <c r="B1227" s="6">
        <v>113.0</v>
      </c>
      <c r="C1227" s="6">
        <v>1.0</v>
      </c>
      <c r="D1227" s="9" t="s">
        <v>1295</v>
      </c>
      <c r="E1227" s="9" t="s">
        <v>1296</v>
      </c>
      <c r="F1227" s="8"/>
    </row>
    <row r="1228" ht="21.0" customHeight="1">
      <c r="A1228" s="6">
        <v>1.0</v>
      </c>
      <c r="B1228" s="6">
        <v>113.0</v>
      </c>
      <c r="C1228" s="6">
        <v>2.0</v>
      </c>
      <c r="D1228" s="9" t="s">
        <v>1297</v>
      </c>
      <c r="E1228" s="9" t="s">
        <v>1298</v>
      </c>
      <c r="F1228" s="8"/>
    </row>
    <row r="1229" ht="21.0" customHeight="1">
      <c r="A1229" s="6">
        <v>1.0</v>
      </c>
      <c r="B1229" s="6">
        <v>113.0</v>
      </c>
      <c r="C1229" s="6">
        <v>3.0</v>
      </c>
      <c r="D1229" s="9" t="s">
        <v>1299</v>
      </c>
      <c r="E1229" s="9" t="s">
        <v>1300</v>
      </c>
      <c r="F1229" s="8"/>
    </row>
    <row r="1230" ht="21.0" customHeight="1">
      <c r="A1230" s="6">
        <v>1.0</v>
      </c>
      <c r="B1230" s="6">
        <v>113.0</v>
      </c>
      <c r="C1230" s="6">
        <v>4.0</v>
      </c>
      <c r="D1230" s="9" t="s">
        <v>1301</v>
      </c>
      <c r="E1230" s="9" t="s">
        <v>1302</v>
      </c>
      <c r="F1230" s="8"/>
    </row>
    <row r="1231" ht="21.0" customHeight="1">
      <c r="A1231" s="6">
        <v>1.0</v>
      </c>
      <c r="B1231" s="6">
        <v>113.0</v>
      </c>
      <c r="C1231" s="6">
        <v>5.0</v>
      </c>
      <c r="D1231" s="23" t="s">
        <v>1303</v>
      </c>
      <c r="E1231" s="9" t="s">
        <v>1304</v>
      </c>
      <c r="F1231" s="8"/>
    </row>
    <row r="1232" ht="21.0" customHeight="1">
      <c r="A1232" s="6">
        <v>1.0</v>
      </c>
      <c r="B1232" s="6">
        <v>113.0</v>
      </c>
      <c r="C1232" s="6">
        <v>6.0</v>
      </c>
      <c r="D1232" s="23" t="s">
        <v>1305</v>
      </c>
      <c r="E1232" s="9" t="s">
        <v>1306</v>
      </c>
      <c r="F1232" s="8"/>
    </row>
    <row r="1233" ht="21.0" customHeight="1">
      <c r="A1233" s="6">
        <v>1.0</v>
      </c>
      <c r="B1233" s="6">
        <v>113.0</v>
      </c>
      <c r="C1233" s="6">
        <v>7.0</v>
      </c>
      <c r="D1233" s="23" t="s">
        <v>1307</v>
      </c>
      <c r="E1233" s="9" t="s">
        <v>1308</v>
      </c>
      <c r="F1233" s="8"/>
    </row>
    <row r="1234" ht="21.0" customHeight="1">
      <c r="A1234" s="6">
        <v>1.0</v>
      </c>
      <c r="B1234" s="6">
        <v>113.0</v>
      </c>
      <c r="C1234" s="6">
        <v>8.0</v>
      </c>
      <c r="D1234" s="9" t="s">
        <v>1309</v>
      </c>
      <c r="E1234" s="9" t="s">
        <v>1310</v>
      </c>
      <c r="F1234" s="8"/>
    </row>
    <row r="1235" ht="21.0" customHeight="1">
      <c r="A1235" s="6">
        <v>1.0</v>
      </c>
      <c r="B1235" s="6">
        <v>113.0</v>
      </c>
      <c r="C1235" s="6">
        <v>9.0</v>
      </c>
      <c r="D1235" s="9" t="s">
        <v>1311</v>
      </c>
      <c r="E1235" s="9" t="s">
        <v>1312</v>
      </c>
      <c r="F1235" s="8"/>
    </row>
    <row r="1236" ht="21.0" customHeight="1">
      <c r="A1236" s="6">
        <v>1.0</v>
      </c>
      <c r="B1236" s="6">
        <v>113.0</v>
      </c>
      <c r="C1236" s="6">
        <v>10.0</v>
      </c>
      <c r="D1236" s="9" t="s">
        <v>1313</v>
      </c>
      <c r="E1236" s="9" t="s">
        <v>1314</v>
      </c>
      <c r="F1236" s="8"/>
    </row>
    <row r="1237" ht="21.0" customHeight="1">
      <c r="A1237" s="6">
        <v>1.0</v>
      </c>
      <c r="B1237" s="6">
        <v>114.0</v>
      </c>
      <c r="C1237" s="6">
        <v>1.0</v>
      </c>
      <c r="D1237" s="9" t="s">
        <v>1315</v>
      </c>
      <c r="E1237" s="9" t="s">
        <v>1316</v>
      </c>
      <c r="F1237" s="8"/>
    </row>
    <row r="1238" ht="21.0" customHeight="1">
      <c r="A1238" s="6">
        <v>1.0</v>
      </c>
      <c r="B1238" s="6">
        <v>114.0</v>
      </c>
      <c r="C1238" s="6">
        <v>2.0</v>
      </c>
      <c r="D1238" s="9" t="s">
        <v>1317</v>
      </c>
      <c r="E1238" s="9" t="s">
        <v>1318</v>
      </c>
      <c r="F1238" s="8"/>
    </row>
    <row r="1239" ht="21.0" customHeight="1">
      <c r="A1239" s="6">
        <v>1.0</v>
      </c>
      <c r="B1239" s="6">
        <v>114.0</v>
      </c>
      <c r="C1239" s="6">
        <v>3.0</v>
      </c>
      <c r="D1239" s="9" t="s">
        <v>1319</v>
      </c>
      <c r="E1239" s="9" t="s">
        <v>1320</v>
      </c>
      <c r="F1239" s="8"/>
    </row>
    <row r="1240" ht="21.0" customHeight="1">
      <c r="A1240" s="6">
        <v>1.0</v>
      </c>
      <c r="B1240" s="6">
        <v>114.0</v>
      </c>
      <c r="C1240" s="6">
        <v>4.0</v>
      </c>
      <c r="D1240" s="9" t="s">
        <v>1321</v>
      </c>
      <c r="E1240" s="9" t="s">
        <v>1322</v>
      </c>
      <c r="F1240" s="8"/>
    </row>
    <row r="1241" ht="21.0" customHeight="1">
      <c r="A1241" s="6">
        <v>1.0</v>
      </c>
      <c r="B1241" s="6">
        <v>114.0</v>
      </c>
      <c r="C1241" s="6">
        <v>5.0</v>
      </c>
      <c r="D1241" s="9" t="s">
        <v>1323</v>
      </c>
      <c r="E1241" s="9" t="s">
        <v>1324</v>
      </c>
      <c r="F1241" s="8"/>
    </row>
    <row r="1242" ht="21.0" customHeight="1">
      <c r="A1242" s="6">
        <v>1.0</v>
      </c>
      <c r="B1242" s="6">
        <v>114.0</v>
      </c>
      <c r="C1242" s="6">
        <v>6.0</v>
      </c>
      <c r="D1242" s="9" t="s">
        <v>1325</v>
      </c>
      <c r="E1242" s="9" t="s">
        <v>1326</v>
      </c>
      <c r="F1242" s="8"/>
    </row>
    <row r="1243" ht="21.0" customHeight="1">
      <c r="A1243" s="6">
        <v>1.0</v>
      </c>
      <c r="B1243" s="6">
        <v>114.0</v>
      </c>
      <c r="C1243" s="6">
        <v>7.0</v>
      </c>
      <c r="D1243" s="9" t="s">
        <v>1327</v>
      </c>
      <c r="E1243" s="9" t="s">
        <v>1328</v>
      </c>
      <c r="F1243" s="8"/>
    </row>
    <row r="1244" ht="21.0" customHeight="1">
      <c r="A1244" s="6">
        <v>1.0</v>
      </c>
      <c r="B1244" s="6">
        <v>114.0</v>
      </c>
      <c r="C1244" s="6">
        <v>8.0</v>
      </c>
      <c r="D1244" s="9" t="s">
        <v>1329</v>
      </c>
      <c r="E1244" s="9" t="s">
        <v>1330</v>
      </c>
      <c r="F1244" s="8"/>
    </row>
    <row r="1245" ht="21.0" customHeight="1">
      <c r="A1245" s="6">
        <v>1.0</v>
      </c>
      <c r="B1245" s="6">
        <v>114.0</v>
      </c>
      <c r="C1245" s="6">
        <v>9.0</v>
      </c>
      <c r="D1245" s="9" t="s">
        <v>1331</v>
      </c>
      <c r="E1245" s="9" t="s">
        <v>1332</v>
      </c>
      <c r="F1245" s="8"/>
    </row>
    <row r="1246" ht="21.0" customHeight="1">
      <c r="A1246" s="6">
        <v>1.0</v>
      </c>
      <c r="B1246" s="6">
        <v>114.0</v>
      </c>
      <c r="C1246" s="6">
        <v>10.0</v>
      </c>
      <c r="D1246" s="9" t="s">
        <v>1333</v>
      </c>
      <c r="E1246" s="9" t="s">
        <v>1334</v>
      </c>
      <c r="F1246" s="8"/>
    </row>
    <row r="1247" ht="21.0" customHeight="1">
      <c r="A1247" s="30">
        <v>13.0</v>
      </c>
      <c r="B1247" s="31">
        <v>114.0</v>
      </c>
      <c r="C1247" s="31">
        <v>11.0</v>
      </c>
      <c r="D1247" s="33" t="s">
        <v>1335</v>
      </c>
      <c r="E1247" s="33" t="s">
        <v>462</v>
      </c>
      <c r="F1247" s="27"/>
    </row>
    <row r="1248" ht="21.0" customHeight="1">
      <c r="A1248" s="6">
        <v>11.0</v>
      </c>
      <c r="B1248" s="6">
        <v>1008.0</v>
      </c>
      <c r="C1248" s="6">
        <v>1.0</v>
      </c>
      <c r="D1248" s="9" t="s">
        <v>1336</v>
      </c>
      <c r="E1248" s="9" t="s">
        <v>1337</v>
      </c>
      <c r="F1248" s="8"/>
    </row>
    <row r="1249" ht="21.0" customHeight="1">
      <c r="A1249" s="6">
        <v>11.0</v>
      </c>
      <c r="B1249" s="6">
        <v>1008.0</v>
      </c>
      <c r="C1249" s="6">
        <v>2.0</v>
      </c>
      <c r="D1249" s="9" t="s">
        <v>1338</v>
      </c>
      <c r="E1249" s="9" t="s">
        <v>1339</v>
      </c>
      <c r="F1249" s="8"/>
    </row>
    <row r="1250" ht="21.0" customHeight="1">
      <c r="A1250" s="6">
        <v>11.0</v>
      </c>
      <c r="B1250" s="6">
        <v>1008.0</v>
      </c>
      <c r="C1250" s="6">
        <v>3.0</v>
      </c>
      <c r="D1250" s="9" t="s">
        <v>1340</v>
      </c>
      <c r="E1250" s="9" t="s">
        <v>1341</v>
      </c>
      <c r="F1250" s="8"/>
    </row>
    <row r="1251" ht="21.0" customHeight="1">
      <c r="A1251" s="6">
        <v>11.0</v>
      </c>
      <c r="B1251" s="6">
        <v>1008.0</v>
      </c>
      <c r="C1251" s="6">
        <v>4.0</v>
      </c>
      <c r="D1251" s="9" t="s">
        <v>1342</v>
      </c>
      <c r="E1251" s="9" t="s">
        <v>1343</v>
      </c>
      <c r="F1251" s="8"/>
    </row>
    <row r="1252" ht="21.0" customHeight="1">
      <c r="A1252" s="6">
        <v>10.0</v>
      </c>
      <c r="B1252" s="6">
        <v>1008.0</v>
      </c>
      <c r="C1252" s="6">
        <v>5.0</v>
      </c>
      <c r="D1252" s="9" t="s">
        <v>1344</v>
      </c>
      <c r="E1252" s="9" t="s">
        <v>1345</v>
      </c>
      <c r="F1252" s="8"/>
    </row>
    <row r="1253" ht="21.0" customHeight="1">
      <c r="A1253" s="6">
        <v>10.0</v>
      </c>
      <c r="B1253" s="6">
        <v>1008.0</v>
      </c>
      <c r="C1253" s="6">
        <v>6.0</v>
      </c>
      <c r="D1253" s="9" t="s">
        <v>1346</v>
      </c>
      <c r="E1253" s="9" t="s">
        <v>1347</v>
      </c>
      <c r="F1253" s="8"/>
    </row>
    <row r="1254" ht="21.0" customHeight="1">
      <c r="A1254" s="6">
        <v>10.0</v>
      </c>
      <c r="B1254" s="6">
        <v>1008.0</v>
      </c>
      <c r="C1254" s="6">
        <v>7.0</v>
      </c>
      <c r="D1254" s="9" t="s">
        <v>1348</v>
      </c>
      <c r="E1254" s="9" t="s">
        <v>1349</v>
      </c>
      <c r="F1254" s="8"/>
    </row>
    <row r="1255" ht="21.0" customHeight="1">
      <c r="A1255" s="6">
        <v>10.0</v>
      </c>
      <c r="B1255" s="6">
        <v>1008.0</v>
      </c>
      <c r="C1255" s="6">
        <v>8.0</v>
      </c>
      <c r="D1255" s="9" t="s">
        <v>1350</v>
      </c>
      <c r="E1255" s="9" t="s">
        <v>1351</v>
      </c>
      <c r="F1255" s="8"/>
    </row>
    <row r="1256" ht="21.0" customHeight="1">
      <c r="A1256" s="6">
        <v>1.0</v>
      </c>
      <c r="B1256" s="6">
        <v>115.0</v>
      </c>
      <c r="C1256" s="6">
        <v>1.0</v>
      </c>
      <c r="D1256" s="9" t="s">
        <v>1352</v>
      </c>
      <c r="E1256" s="9" t="s">
        <v>1353</v>
      </c>
      <c r="F1256" s="8"/>
    </row>
    <row r="1257" ht="21.0" customHeight="1">
      <c r="A1257" s="6">
        <v>1.0</v>
      </c>
      <c r="B1257" s="6">
        <v>115.0</v>
      </c>
      <c r="C1257" s="6">
        <v>2.0</v>
      </c>
      <c r="D1257" s="9" t="s">
        <v>1354</v>
      </c>
      <c r="E1257" s="9" t="s">
        <v>1355</v>
      </c>
      <c r="F1257" s="8"/>
    </row>
    <row r="1258" ht="21.0" customHeight="1">
      <c r="A1258" s="6">
        <v>1.0</v>
      </c>
      <c r="B1258" s="6">
        <v>115.0</v>
      </c>
      <c r="C1258" s="6">
        <v>3.0</v>
      </c>
      <c r="D1258" s="9" t="s">
        <v>1356</v>
      </c>
      <c r="E1258" s="9" t="s">
        <v>1357</v>
      </c>
      <c r="F1258" s="8"/>
    </row>
    <row r="1259" ht="21.0" customHeight="1">
      <c r="A1259" s="6">
        <v>1.0</v>
      </c>
      <c r="B1259" s="6">
        <v>115.0</v>
      </c>
      <c r="C1259" s="6">
        <v>4.0</v>
      </c>
      <c r="D1259" s="9" t="s">
        <v>1358</v>
      </c>
      <c r="E1259" s="9" t="s">
        <v>1359</v>
      </c>
      <c r="F1259" s="8"/>
    </row>
    <row r="1260" ht="21.0" customHeight="1">
      <c r="A1260" s="6">
        <v>1.0</v>
      </c>
      <c r="B1260" s="6">
        <v>115.0</v>
      </c>
      <c r="C1260" s="6">
        <v>5.0</v>
      </c>
      <c r="D1260" s="9" t="s">
        <v>1360</v>
      </c>
      <c r="E1260" s="9" t="s">
        <v>1361</v>
      </c>
      <c r="F1260" s="8"/>
    </row>
    <row r="1261" ht="21.0" customHeight="1">
      <c r="A1261" s="6">
        <v>1.0</v>
      </c>
      <c r="B1261" s="6">
        <v>115.0</v>
      </c>
      <c r="C1261" s="6">
        <v>6.0</v>
      </c>
      <c r="D1261" s="9" t="s">
        <v>1362</v>
      </c>
      <c r="E1261" s="9" t="s">
        <v>1363</v>
      </c>
      <c r="F1261" s="8"/>
    </row>
    <row r="1262" ht="21.0" customHeight="1">
      <c r="A1262" s="6">
        <v>1.0</v>
      </c>
      <c r="B1262" s="6">
        <v>115.0</v>
      </c>
      <c r="C1262" s="6">
        <v>7.0</v>
      </c>
      <c r="D1262" s="9" t="s">
        <v>1364</v>
      </c>
      <c r="E1262" s="9" t="s">
        <v>1365</v>
      </c>
      <c r="F1262" s="8"/>
    </row>
    <row r="1263" ht="21.0" customHeight="1">
      <c r="A1263" s="6">
        <v>1.0</v>
      </c>
      <c r="B1263" s="6">
        <v>115.0</v>
      </c>
      <c r="C1263" s="6">
        <v>8.0</v>
      </c>
      <c r="D1263" s="9" t="s">
        <v>1366</v>
      </c>
      <c r="E1263" s="9" t="s">
        <v>1367</v>
      </c>
      <c r="F1263" s="8"/>
    </row>
    <row r="1264" ht="21.0" customHeight="1">
      <c r="A1264" s="6">
        <v>1.0</v>
      </c>
      <c r="B1264" s="6">
        <v>115.0</v>
      </c>
      <c r="C1264" s="6">
        <v>9.0</v>
      </c>
      <c r="D1264" s="9" t="s">
        <v>1368</v>
      </c>
      <c r="E1264" s="9" t="s">
        <v>1369</v>
      </c>
      <c r="F1264" s="8"/>
    </row>
    <row r="1265" ht="21.0" customHeight="1">
      <c r="A1265" s="6">
        <v>1.0</v>
      </c>
      <c r="B1265" s="6">
        <v>115.0</v>
      </c>
      <c r="C1265" s="6">
        <v>10.0</v>
      </c>
      <c r="D1265" s="9" t="s">
        <v>1370</v>
      </c>
      <c r="E1265" s="9" t="s">
        <v>1371</v>
      </c>
      <c r="F1265" s="8"/>
    </row>
    <row r="1266" ht="21.0" customHeight="1">
      <c r="A1266" s="6">
        <v>13.0</v>
      </c>
      <c r="B1266" s="6">
        <v>115.0</v>
      </c>
      <c r="C1266" s="6">
        <v>11.0</v>
      </c>
      <c r="D1266" s="9" t="s">
        <v>1372</v>
      </c>
      <c r="E1266" s="9" t="s">
        <v>1373</v>
      </c>
      <c r="F1266" s="8"/>
    </row>
    <row r="1267" ht="21.0" customHeight="1">
      <c r="A1267" s="6">
        <v>1.0</v>
      </c>
      <c r="B1267" s="6">
        <v>126.0</v>
      </c>
      <c r="C1267" s="6">
        <v>1.0</v>
      </c>
      <c r="D1267" s="9" t="s">
        <v>1374</v>
      </c>
      <c r="E1267" s="9" t="s">
        <v>1375</v>
      </c>
      <c r="F1267" s="8"/>
    </row>
    <row r="1268" ht="21.0" customHeight="1">
      <c r="A1268" s="6">
        <v>1.0</v>
      </c>
      <c r="B1268" s="6">
        <v>126.0</v>
      </c>
      <c r="C1268" s="6">
        <v>2.0</v>
      </c>
      <c r="D1268" s="9" t="s">
        <v>1376</v>
      </c>
      <c r="E1268" s="9" t="s">
        <v>1377</v>
      </c>
      <c r="F1268" s="8"/>
    </row>
    <row r="1269" ht="21.0" customHeight="1">
      <c r="A1269" s="6">
        <v>1.0</v>
      </c>
      <c r="B1269" s="6">
        <v>126.0</v>
      </c>
      <c r="C1269" s="6">
        <v>3.0</v>
      </c>
      <c r="D1269" s="9" t="s">
        <v>1378</v>
      </c>
      <c r="E1269" s="9" t="s">
        <v>1379</v>
      </c>
      <c r="F1269" s="8"/>
    </row>
    <row r="1270" ht="21.0" customHeight="1">
      <c r="A1270" s="6">
        <v>1.0</v>
      </c>
      <c r="B1270" s="6">
        <v>126.0</v>
      </c>
      <c r="C1270" s="6">
        <v>4.0</v>
      </c>
      <c r="D1270" s="9" t="s">
        <v>1380</v>
      </c>
      <c r="E1270" s="9" t="s">
        <v>1381</v>
      </c>
      <c r="F1270" s="8"/>
    </row>
    <row r="1271" ht="21.0" customHeight="1">
      <c r="A1271" s="6">
        <v>1.0</v>
      </c>
      <c r="B1271" s="6">
        <v>126.0</v>
      </c>
      <c r="C1271" s="6">
        <v>5.0</v>
      </c>
      <c r="D1271" s="9" t="s">
        <v>1382</v>
      </c>
      <c r="E1271" s="9" t="s">
        <v>1383</v>
      </c>
      <c r="F1271" s="8"/>
    </row>
    <row r="1272" ht="21.0" customHeight="1">
      <c r="A1272" s="6">
        <v>1.0</v>
      </c>
      <c r="B1272" s="6">
        <v>126.0</v>
      </c>
      <c r="C1272" s="6">
        <v>6.0</v>
      </c>
      <c r="D1272" s="9" t="s">
        <v>1384</v>
      </c>
      <c r="E1272" s="9" t="s">
        <v>1385</v>
      </c>
      <c r="F1272" s="8"/>
    </row>
    <row r="1273" ht="21.0" customHeight="1">
      <c r="A1273" s="6">
        <v>1.0</v>
      </c>
      <c r="B1273" s="6">
        <v>126.0</v>
      </c>
      <c r="C1273" s="6">
        <v>7.0</v>
      </c>
      <c r="D1273" s="9" t="s">
        <v>1386</v>
      </c>
      <c r="E1273" s="9" t="s">
        <v>1387</v>
      </c>
      <c r="F1273" s="8"/>
    </row>
    <row r="1274" ht="21.0" customHeight="1">
      <c r="A1274" s="6">
        <v>1.0</v>
      </c>
      <c r="B1274" s="6">
        <v>126.0</v>
      </c>
      <c r="C1274" s="6">
        <v>8.0</v>
      </c>
      <c r="D1274" s="9" t="s">
        <v>1388</v>
      </c>
      <c r="E1274" s="9" t="s">
        <v>1389</v>
      </c>
      <c r="F1274" s="8"/>
    </row>
    <row r="1275" ht="21.0" customHeight="1">
      <c r="A1275" s="6">
        <v>1.0</v>
      </c>
      <c r="B1275" s="6">
        <v>126.0</v>
      </c>
      <c r="C1275" s="6">
        <v>9.0</v>
      </c>
      <c r="D1275" s="9" t="s">
        <v>1390</v>
      </c>
      <c r="E1275" s="9" t="s">
        <v>1391</v>
      </c>
      <c r="F1275" s="8"/>
    </row>
    <row r="1276" ht="21.0" customHeight="1">
      <c r="A1276" s="6">
        <v>1.0</v>
      </c>
      <c r="B1276" s="6">
        <v>126.0</v>
      </c>
      <c r="C1276" s="6">
        <v>10.0</v>
      </c>
      <c r="D1276" s="9" t="s">
        <v>1392</v>
      </c>
      <c r="E1276" s="9" t="s">
        <v>1393</v>
      </c>
      <c r="F1276" s="8"/>
    </row>
    <row r="1277" ht="21.0" customHeight="1">
      <c r="A1277" s="30">
        <v>13.0</v>
      </c>
      <c r="B1277" s="31">
        <v>126.0</v>
      </c>
      <c r="C1277" s="31">
        <v>11.0</v>
      </c>
      <c r="D1277" s="33" t="s">
        <v>1394</v>
      </c>
      <c r="E1277" s="33" t="s">
        <v>1395</v>
      </c>
      <c r="F1277" s="27"/>
    </row>
    <row r="1278" ht="21.0" customHeight="1">
      <c r="A1278" s="30">
        <v>5.0</v>
      </c>
      <c r="B1278" s="31">
        <v>531.0</v>
      </c>
      <c r="C1278" s="31">
        <v>1.0</v>
      </c>
      <c r="D1278" s="33" t="s">
        <v>1396</v>
      </c>
      <c r="E1278" s="33" t="s">
        <v>873</v>
      </c>
      <c r="F1278" s="27"/>
    </row>
    <row r="1279" ht="21.0" customHeight="1">
      <c r="A1279" s="30">
        <v>5.0</v>
      </c>
      <c r="B1279" s="31">
        <v>531.0</v>
      </c>
      <c r="C1279" s="31">
        <v>1.0</v>
      </c>
      <c r="D1279" s="33" t="s">
        <v>1397</v>
      </c>
      <c r="E1279" s="33" t="s">
        <v>873</v>
      </c>
      <c r="F1279" s="27"/>
    </row>
    <row r="1280" ht="21.0" customHeight="1">
      <c r="A1280" s="30">
        <v>5.0</v>
      </c>
      <c r="B1280" s="31">
        <v>531.0</v>
      </c>
      <c r="C1280" s="31">
        <v>1.0</v>
      </c>
      <c r="D1280" s="33" t="s">
        <v>1398</v>
      </c>
      <c r="E1280" s="33" t="s">
        <v>873</v>
      </c>
      <c r="F1280" s="27"/>
    </row>
    <row r="1281" ht="21.0" customHeight="1">
      <c r="A1281" s="30">
        <v>5.0</v>
      </c>
      <c r="B1281" s="31">
        <v>531.0</v>
      </c>
      <c r="C1281" s="31">
        <v>1.0</v>
      </c>
      <c r="D1281" s="33" t="s">
        <v>1399</v>
      </c>
      <c r="E1281" s="33" t="s">
        <v>873</v>
      </c>
      <c r="F1281" s="27"/>
    </row>
    <row r="1282" ht="21.0" customHeight="1">
      <c r="A1282" s="30">
        <v>5.0</v>
      </c>
      <c r="B1282" s="31">
        <v>531.0</v>
      </c>
      <c r="C1282" s="31">
        <v>1.0</v>
      </c>
      <c r="D1282" s="33" t="s">
        <v>1400</v>
      </c>
      <c r="E1282" s="33" t="s">
        <v>873</v>
      </c>
      <c r="F1282" s="27"/>
    </row>
    <row r="1283" ht="21.0" customHeight="1">
      <c r="A1283" s="30">
        <v>5.0</v>
      </c>
      <c r="B1283" s="31">
        <v>531.0</v>
      </c>
      <c r="C1283" s="31">
        <v>1.0</v>
      </c>
      <c r="D1283" s="33" t="s">
        <v>1401</v>
      </c>
      <c r="E1283" s="33" t="s">
        <v>1402</v>
      </c>
      <c r="F1283" s="27"/>
    </row>
    <row r="1284" ht="21.0" customHeight="1">
      <c r="A1284" s="30">
        <v>5.0</v>
      </c>
      <c r="B1284" s="31">
        <v>531.0</v>
      </c>
      <c r="C1284" s="31">
        <v>1.0</v>
      </c>
      <c r="D1284" s="33" t="s">
        <v>1403</v>
      </c>
      <c r="E1284" s="33" t="s">
        <v>1402</v>
      </c>
      <c r="F1284" s="27"/>
    </row>
    <row r="1285" ht="21.0" customHeight="1">
      <c r="A1285" s="30">
        <v>43.0</v>
      </c>
      <c r="B1285" s="31">
        <v>531.0</v>
      </c>
      <c r="C1285" s="31">
        <v>1.0</v>
      </c>
      <c r="D1285" s="33" t="s">
        <v>1404</v>
      </c>
      <c r="E1285" s="33" t="s">
        <v>1405</v>
      </c>
      <c r="F1285" s="27"/>
    </row>
    <row r="1286" ht="21.0" customHeight="1">
      <c r="A1286" s="6">
        <v>11.0</v>
      </c>
      <c r="B1286" s="6">
        <v>1009.0</v>
      </c>
      <c r="C1286" s="6">
        <v>1.0</v>
      </c>
      <c r="D1286" s="9" t="s">
        <v>1406</v>
      </c>
      <c r="E1286" s="9" t="s">
        <v>1407</v>
      </c>
      <c r="F1286" s="8"/>
    </row>
    <row r="1287" ht="21.0" customHeight="1">
      <c r="A1287" s="6">
        <v>11.0</v>
      </c>
      <c r="B1287" s="6">
        <v>1009.0</v>
      </c>
      <c r="C1287" s="6">
        <v>2.0</v>
      </c>
      <c r="D1287" s="9" t="s">
        <v>1406</v>
      </c>
      <c r="E1287" s="9" t="s">
        <v>1407</v>
      </c>
      <c r="F1287" s="8"/>
    </row>
    <row r="1288" ht="21.0" customHeight="1">
      <c r="A1288" s="6">
        <v>11.0</v>
      </c>
      <c r="B1288" s="6">
        <v>1009.0</v>
      </c>
      <c r="C1288" s="6">
        <v>3.0</v>
      </c>
      <c r="D1288" s="9" t="s">
        <v>1406</v>
      </c>
      <c r="E1288" s="9" t="s">
        <v>1407</v>
      </c>
      <c r="F1288" s="8"/>
    </row>
    <row r="1289" ht="21.0" customHeight="1">
      <c r="A1289" s="6">
        <v>11.0</v>
      </c>
      <c r="B1289" s="6">
        <v>1009.0</v>
      </c>
      <c r="C1289" s="6">
        <v>4.0</v>
      </c>
      <c r="D1289" s="9" t="s">
        <v>1406</v>
      </c>
      <c r="E1289" s="9" t="s">
        <v>1407</v>
      </c>
      <c r="F1289" s="8"/>
    </row>
    <row r="1290" ht="21.0" customHeight="1">
      <c r="A1290" s="6">
        <v>11.0</v>
      </c>
      <c r="B1290" s="6">
        <v>1009.0</v>
      </c>
      <c r="C1290" s="6">
        <v>5.0</v>
      </c>
      <c r="D1290" s="9" t="s">
        <v>1406</v>
      </c>
      <c r="E1290" s="9" t="s">
        <v>1407</v>
      </c>
      <c r="F1290" s="62"/>
    </row>
    <row r="1291" ht="21.0" customHeight="1">
      <c r="A1291" s="6">
        <v>11.0</v>
      </c>
      <c r="B1291" s="6">
        <v>1009.0</v>
      </c>
      <c r="C1291" s="6">
        <v>6.0</v>
      </c>
      <c r="D1291" s="9" t="s">
        <v>1406</v>
      </c>
      <c r="E1291" s="9" t="s">
        <v>1407</v>
      </c>
      <c r="F1291" s="62"/>
    </row>
    <row r="1292" ht="21.0" customHeight="1">
      <c r="A1292" s="6">
        <v>11.0</v>
      </c>
      <c r="B1292" s="6">
        <v>1009.0</v>
      </c>
      <c r="C1292" s="6">
        <v>7.0</v>
      </c>
      <c r="D1292" s="9" t="s">
        <v>1406</v>
      </c>
      <c r="E1292" s="9" t="s">
        <v>1407</v>
      </c>
      <c r="F1292" s="62"/>
    </row>
    <row r="1293" ht="21.0" customHeight="1">
      <c r="A1293" s="6">
        <v>11.0</v>
      </c>
      <c r="B1293" s="6">
        <v>1009.0</v>
      </c>
      <c r="C1293" s="6">
        <v>8.0</v>
      </c>
      <c r="D1293" s="9" t="s">
        <v>1406</v>
      </c>
      <c r="E1293" s="9" t="s">
        <v>1407</v>
      </c>
      <c r="F1293" s="62"/>
    </row>
    <row r="1294" ht="21.0" customHeight="1">
      <c r="A1294" s="6">
        <v>11.0</v>
      </c>
      <c r="B1294" s="6">
        <v>1009.0</v>
      </c>
      <c r="C1294" s="6">
        <v>9.0</v>
      </c>
      <c r="D1294" s="9" t="s">
        <v>1406</v>
      </c>
      <c r="E1294" s="9" t="s">
        <v>1407</v>
      </c>
      <c r="F1294" s="62"/>
    </row>
    <row r="1295" ht="21.0" customHeight="1">
      <c r="A1295" s="6">
        <v>11.0</v>
      </c>
      <c r="B1295" s="6">
        <v>1009.0</v>
      </c>
      <c r="C1295" s="6">
        <v>10.0</v>
      </c>
      <c r="D1295" s="9" t="s">
        <v>1406</v>
      </c>
      <c r="E1295" s="9" t="s">
        <v>1408</v>
      </c>
      <c r="F1295" s="62"/>
    </row>
    <row r="1296" ht="21.0" customHeight="1">
      <c r="A1296" s="6">
        <v>1.0</v>
      </c>
      <c r="B1296" s="6">
        <v>116.0</v>
      </c>
      <c r="C1296" s="6">
        <v>1.0</v>
      </c>
      <c r="D1296" s="9" t="s">
        <v>1409</v>
      </c>
      <c r="E1296" s="9" t="s">
        <v>1408</v>
      </c>
      <c r="F1296" s="62"/>
    </row>
    <row r="1297" ht="21.0" customHeight="1">
      <c r="A1297" s="6">
        <v>1.0</v>
      </c>
      <c r="B1297" s="6">
        <v>116.0</v>
      </c>
      <c r="C1297" s="6">
        <v>2.0</v>
      </c>
      <c r="D1297" s="9" t="s">
        <v>1409</v>
      </c>
      <c r="E1297" s="9" t="s">
        <v>1408</v>
      </c>
      <c r="F1297" s="62"/>
    </row>
    <row r="1298" ht="21.0" customHeight="1">
      <c r="A1298" s="6">
        <v>1.0</v>
      </c>
      <c r="B1298" s="6">
        <v>116.0</v>
      </c>
      <c r="C1298" s="6">
        <v>3.0</v>
      </c>
      <c r="D1298" s="9" t="s">
        <v>1409</v>
      </c>
      <c r="E1298" s="9" t="s">
        <v>1408</v>
      </c>
      <c r="F1298" s="62"/>
    </row>
    <row r="1299" ht="21.0" customHeight="1">
      <c r="A1299" s="6">
        <v>1.0</v>
      </c>
      <c r="B1299" s="6">
        <v>116.0</v>
      </c>
      <c r="C1299" s="6">
        <v>4.0</v>
      </c>
      <c r="D1299" s="9" t="s">
        <v>1409</v>
      </c>
      <c r="E1299" s="9" t="s">
        <v>1408</v>
      </c>
      <c r="F1299" s="62"/>
    </row>
    <row r="1300" ht="21.0" customHeight="1">
      <c r="A1300" s="6">
        <v>1.0</v>
      </c>
      <c r="B1300" s="6">
        <v>116.0</v>
      </c>
      <c r="C1300" s="6">
        <v>5.0</v>
      </c>
      <c r="D1300" s="9" t="s">
        <v>1409</v>
      </c>
      <c r="E1300" s="9" t="s">
        <v>1408</v>
      </c>
      <c r="F1300" s="62"/>
    </row>
    <row r="1301" ht="21.0" customHeight="1">
      <c r="A1301" s="6">
        <v>1.0</v>
      </c>
      <c r="B1301" s="6">
        <v>116.0</v>
      </c>
      <c r="C1301" s="6">
        <v>6.0</v>
      </c>
      <c r="D1301" s="9" t="s">
        <v>1409</v>
      </c>
      <c r="E1301" s="9" t="s">
        <v>1408</v>
      </c>
      <c r="F1301" s="62"/>
    </row>
    <row r="1302" ht="21.0" customHeight="1">
      <c r="A1302" s="6">
        <v>1.0</v>
      </c>
      <c r="B1302" s="6">
        <v>116.0</v>
      </c>
      <c r="C1302" s="6">
        <v>7.0</v>
      </c>
      <c r="D1302" s="9" t="s">
        <v>1409</v>
      </c>
      <c r="E1302" s="9" t="s">
        <v>1408</v>
      </c>
      <c r="F1302" s="62"/>
    </row>
    <row r="1303" ht="21.0" customHeight="1">
      <c r="A1303" s="6">
        <v>1.0</v>
      </c>
      <c r="B1303" s="6">
        <v>116.0</v>
      </c>
      <c r="C1303" s="6">
        <v>8.0</v>
      </c>
      <c r="D1303" s="9" t="s">
        <v>1409</v>
      </c>
      <c r="E1303" s="9" t="s">
        <v>1408</v>
      </c>
      <c r="F1303" s="62"/>
    </row>
    <row r="1304" ht="21.0" customHeight="1">
      <c r="A1304" s="6">
        <v>1.0</v>
      </c>
      <c r="B1304" s="6">
        <v>116.0</v>
      </c>
      <c r="C1304" s="6">
        <v>9.0</v>
      </c>
      <c r="D1304" s="9" t="s">
        <v>1409</v>
      </c>
      <c r="E1304" s="9" t="s">
        <v>1408</v>
      </c>
      <c r="F1304" s="62"/>
    </row>
    <row r="1305" ht="21.0" customHeight="1">
      <c r="A1305" s="6">
        <v>1.0</v>
      </c>
      <c r="B1305" s="6">
        <v>116.0</v>
      </c>
      <c r="C1305" s="6">
        <v>10.0</v>
      </c>
      <c r="D1305" s="9" t="s">
        <v>1409</v>
      </c>
      <c r="E1305" s="9" t="s">
        <v>1410</v>
      </c>
      <c r="F1305" s="62"/>
    </row>
    <row r="1306" ht="21.0" customHeight="1">
      <c r="A1306" s="6">
        <v>11.0</v>
      </c>
      <c r="B1306" s="6">
        <v>1010.0</v>
      </c>
      <c r="C1306" s="6">
        <v>1.0</v>
      </c>
      <c r="D1306" s="9" t="s">
        <v>1411</v>
      </c>
      <c r="E1306" s="9" t="s">
        <v>1412</v>
      </c>
      <c r="F1306" s="8"/>
    </row>
    <row r="1307" ht="21.0" customHeight="1">
      <c r="A1307" s="6">
        <v>11.0</v>
      </c>
      <c r="B1307" s="6">
        <v>1010.0</v>
      </c>
      <c r="C1307" s="6">
        <v>2.0</v>
      </c>
      <c r="D1307" s="9" t="s">
        <v>1413</v>
      </c>
      <c r="E1307" s="9" t="s">
        <v>1414</v>
      </c>
      <c r="F1307" s="8"/>
    </row>
    <row r="1308" ht="21.0" customHeight="1">
      <c r="A1308" s="6">
        <v>11.0</v>
      </c>
      <c r="B1308" s="6">
        <v>1010.0</v>
      </c>
      <c r="C1308" s="6">
        <v>3.0</v>
      </c>
      <c r="D1308" s="9" t="s">
        <v>1415</v>
      </c>
      <c r="E1308" s="9" t="s">
        <v>1416</v>
      </c>
      <c r="F1308" s="8"/>
    </row>
    <row r="1309" ht="21.0" customHeight="1">
      <c r="A1309" s="6">
        <v>11.0</v>
      </c>
      <c r="B1309" s="6">
        <v>1010.0</v>
      </c>
      <c r="C1309" s="6">
        <v>4.0</v>
      </c>
      <c r="D1309" s="9" t="s">
        <v>1417</v>
      </c>
      <c r="E1309" s="9" t="s">
        <v>1418</v>
      </c>
      <c r="F1309" s="8"/>
    </row>
    <row r="1310" ht="21.0" customHeight="1">
      <c r="A1310" s="6">
        <v>10.0</v>
      </c>
      <c r="B1310" s="6">
        <v>1010.0</v>
      </c>
      <c r="C1310" s="6">
        <v>5.0</v>
      </c>
      <c r="D1310" s="9" t="s">
        <v>1419</v>
      </c>
      <c r="E1310" s="9" t="s">
        <v>1420</v>
      </c>
      <c r="F1310" s="8"/>
    </row>
    <row r="1311" ht="21.0" customHeight="1">
      <c r="A1311" s="6">
        <v>10.0</v>
      </c>
      <c r="B1311" s="6">
        <v>1010.0</v>
      </c>
      <c r="C1311" s="6">
        <v>6.0</v>
      </c>
      <c r="D1311" s="9" t="s">
        <v>1421</v>
      </c>
      <c r="E1311" s="9" t="s">
        <v>1422</v>
      </c>
      <c r="F1311" s="8"/>
    </row>
    <row r="1312" ht="21.0" customHeight="1">
      <c r="A1312" s="6">
        <v>10.0</v>
      </c>
      <c r="B1312" s="6">
        <v>1010.0</v>
      </c>
      <c r="C1312" s="6">
        <v>7.0</v>
      </c>
      <c r="D1312" s="9" t="s">
        <v>1423</v>
      </c>
      <c r="E1312" s="9" t="s">
        <v>1424</v>
      </c>
      <c r="F1312" s="8"/>
    </row>
    <row r="1313" ht="21.0" customHeight="1">
      <c r="A1313" s="6">
        <v>10.0</v>
      </c>
      <c r="B1313" s="6">
        <v>1010.0</v>
      </c>
      <c r="C1313" s="6">
        <v>8.0</v>
      </c>
      <c r="D1313" s="9" t="s">
        <v>1425</v>
      </c>
      <c r="E1313" s="9" t="s">
        <v>1426</v>
      </c>
      <c r="F1313" s="8"/>
    </row>
    <row r="1314" ht="21.0" customHeight="1">
      <c r="A1314" s="6">
        <v>10.0</v>
      </c>
      <c r="B1314" s="6">
        <v>1010.0</v>
      </c>
      <c r="C1314" s="6">
        <v>9.0</v>
      </c>
      <c r="D1314" s="9" t="s">
        <v>1427</v>
      </c>
      <c r="E1314" s="9" t="s">
        <v>1428</v>
      </c>
      <c r="F1314" s="8"/>
    </row>
    <row r="1315" ht="21.0" customHeight="1">
      <c r="A1315" s="6">
        <v>10.0</v>
      </c>
      <c r="B1315" s="6">
        <v>1010.0</v>
      </c>
      <c r="C1315" s="6">
        <v>10.0</v>
      </c>
      <c r="D1315" s="9" t="s">
        <v>1429</v>
      </c>
      <c r="E1315" s="9" t="s">
        <v>1430</v>
      </c>
      <c r="F1315" s="8"/>
    </row>
    <row r="1316" ht="21.0" customHeight="1">
      <c r="A1316" s="6">
        <v>1.0</v>
      </c>
      <c r="B1316" s="6">
        <v>117.0</v>
      </c>
      <c r="C1316" s="6">
        <v>1.0</v>
      </c>
      <c r="D1316" s="9" t="s">
        <v>1431</v>
      </c>
      <c r="E1316" s="9" t="s">
        <v>1432</v>
      </c>
      <c r="F1316" s="8"/>
    </row>
    <row r="1317" ht="21.0" customHeight="1">
      <c r="A1317" s="6">
        <v>1.0</v>
      </c>
      <c r="B1317" s="6">
        <v>117.0</v>
      </c>
      <c r="C1317" s="6">
        <v>2.0</v>
      </c>
      <c r="D1317" s="9" t="s">
        <v>1433</v>
      </c>
      <c r="E1317" s="9" t="s">
        <v>1434</v>
      </c>
      <c r="F1317" s="8"/>
    </row>
    <row r="1318" ht="21.0" customHeight="1">
      <c r="A1318" s="6">
        <v>1.0</v>
      </c>
      <c r="B1318" s="6">
        <v>117.0</v>
      </c>
      <c r="C1318" s="6">
        <v>3.0</v>
      </c>
      <c r="D1318" s="9" t="s">
        <v>1435</v>
      </c>
      <c r="E1318" s="9" t="s">
        <v>1436</v>
      </c>
      <c r="F1318" s="8"/>
    </row>
    <row r="1319" ht="21.0" customHeight="1">
      <c r="A1319" s="6">
        <v>1.0</v>
      </c>
      <c r="B1319" s="6">
        <v>117.0</v>
      </c>
      <c r="C1319" s="6">
        <v>4.0</v>
      </c>
      <c r="D1319" s="9" t="s">
        <v>1437</v>
      </c>
      <c r="E1319" s="9" t="s">
        <v>1438</v>
      </c>
      <c r="F1319" s="8"/>
    </row>
    <row r="1320" ht="21.0" customHeight="1">
      <c r="A1320" s="6">
        <v>1.0</v>
      </c>
      <c r="B1320" s="6">
        <v>117.0</v>
      </c>
      <c r="C1320" s="6">
        <v>5.0</v>
      </c>
      <c r="D1320" s="9" t="s">
        <v>1439</v>
      </c>
      <c r="E1320" s="9" t="s">
        <v>1440</v>
      </c>
      <c r="F1320" s="8"/>
    </row>
    <row r="1321" ht="21.0" customHeight="1">
      <c r="A1321" s="6">
        <v>1.0</v>
      </c>
      <c r="B1321" s="6">
        <v>117.0</v>
      </c>
      <c r="C1321" s="6">
        <v>6.0</v>
      </c>
      <c r="D1321" s="9" t="s">
        <v>1441</v>
      </c>
      <c r="E1321" s="9" t="s">
        <v>1442</v>
      </c>
      <c r="F1321" s="8"/>
    </row>
    <row r="1322" ht="21.0" customHeight="1">
      <c r="A1322" s="6">
        <v>1.0</v>
      </c>
      <c r="B1322" s="6">
        <v>117.0</v>
      </c>
      <c r="C1322" s="6">
        <v>7.0</v>
      </c>
      <c r="D1322" s="9" t="s">
        <v>1443</v>
      </c>
      <c r="E1322" s="9" t="s">
        <v>1444</v>
      </c>
      <c r="F1322" s="8"/>
    </row>
    <row r="1323" ht="21.0" customHeight="1">
      <c r="A1323" s="6">
        <v>1.0</v>
      </c>
      <c r="B1323" s="6">
        <v>117.0</v>
      </c>
      <c r="C1323" s="6">
        <v>8.0</v>
      </c>
      <c r="D1323" s="9" t="s">
        <v>1445</v>
      </c>
      <c r="E1323" s="9" t="s">
        <v>1446</v>
      </c>
      <c r="F1323" s="8"/>
    </row>
    <row r="1324" ht="21.0" customHeight="1">
      <c r="A1324" s="6">
        <v>1.0</v>
      </c>
      <c r="B1324" s="6">
        <v>117.0</v>
      </c>
      <c r="C1324" s="6">
        <v>9.0</v>
      </c>
      <c r="D1324" s="9" t="s">
        <v>1447</v>
      </c>
      <c r="E1324" s="9" t="s">
        <v>1448</v>
      </c>
      <c r="F1324" s="8"/>
    </row>
    <row r="1325" ht="21.0" customHeight="1">
      <c r="A1325" s="6">
        <v>1.0</v>
      </c>
      <c r="B1325" s="6">
        <v>117.0</v>
      </c>
      <c r="C1325" s="6">
        <v>10.0</v>
      </c>
      <c r="D1325" s="9" t="s">
        <v>1449</v>
      </c>
      <c r="E1325" s="9" t="s">
        <v>1450</v>
      </c>
      <c r="F1325" s="8"/>
    </row>
    <row r="1326" ht="21.0" customHeight="1">
      <c r="A1326" s="6">
        <v>11.0</v>
      </c>
      <c r="B1326" s="6">
        <v>1011.0</v>
      </c>
      <c r="C1326" s="6">
        <v>1.0</v>
      </c>
      <c r="D1326" s="9" t="s">
        <v>1451</v>
      </c>
      <c r="E1326" s="9" t="s">
        <v>1452</v>
      </c>
      <c r="F1326" s="8"/>
    </row>
    <row r="1327" ht="21.0" customHeight="1">
      <c r="A1327" s="6">
        <v>11.0</v>
      </c>
      <c r="B1327" s="6">
        <v>1011.0</v>
      </c>
      <c r="C1327" s="6">
        <v>2.0</v>
      </c>
      <c r="D1327" s="9" t="s">
        <v>1453</v>
      </c>
      <c r="E1327" s="9" t="s">
        <v>1454</v>
      </c>
      <c r="F1327" s="8"/>
    </row>
    <row r="1328" ht="21.0" customHeight="1">
      <c r="A1328" s="6">
        <v>11.0</v>
      </c>
      <c r="B1328" s="6">
        <v>1011.0</v>
      </c>
      <c r="C1328" s="6">
        <v>3.0</v>
      </c>
      <c r="D1328" s="9" t="s">
        <v>1455</v>
      </c>
      <c r="E1328" s="9" t="s">
        <v>1456</v>
      </c>
      <c r="F1328" s="8"/>
    </row>
    <row r="1329" ht="21.0" customHeight="1">
      <c r="A1329" s="6">
        <v>11.0</v>
      </c>
      <c r="B1329" s="6">
        <v>1011.0</v>
      </c>
      <c r="C1329" s="6">
        <v>4.0</v>
      </c>
      <c r="D1329" s="9" t="s">
        <v>1457</v>
      </c>
      <c r="E1329" s="9" t="s">
        <v>1458</v>
      </c>
      <c r="F1329" s="8"/>
    </row>
    <row r="1330" ht="21.0" customHeight="1">
      <c r="A1330" s="6">
        <v>10.0</v>
      </c>
      <c r="B1330" s="6">
        <v>1011.0</v>
      </c>
      <c r="C1330" s="6">
        <v>5.0</v>
      </c>
      <c r="D1330" s="9" t="s">
        <v>1459</v>
      </c>
      <c r="E1330" s="9" t="s">
        <v>1460</v>
      </c>
      <c r="F1330" s="8"/>
    </row>
    <row r="1331" ht="21.0" customHeight="1">
      <c r="A1331" s="6">
        <v>10.0</v>
      </c>
      <c r="B1331" s="6">
        <v>1011.0</v>
      </c>
      <c r="C1331" s="6">
        <v>6.0</v>
      </c>
      <c r="D1331" s="9" t="s">
        <v>1461</v>
      </c>
      <c r="E1331" s="9" t="s">
        <v>1462</v>
      </c>
      <c r="F1331" s="8"/>
    </row>
    <row r="1332" ht="21.0" customHeight="1">
      <c r="A1332" s="6">
        <v>10.0</v>
      </c>
      <c r="B1332" s="6">
        <v>1011.0</v>
      </c>
      <c r="C1332" s="6">
        <v>7.0</v>
      </c>
      <c r="D1332" s="9" t="s">
        <v>1463</v>
      </c>
      <c r="E1332" s="9" t="s">
        <v>1464</v>
      </c>
      <c r="F1332" s="8"/>
    </row>
    <row r="1333" ht="21.0" customHeight="1">
      <c r="A1333" s="6">
        <v>1.0</v>
      </c>
      <c r="B1333" s="6">
        <v>118.0</v>
      </c>
      <c r="C1333" s="6">
        <v>1.0</v>
      </c>
      <c r="D1333" s="9" t="s">
        <v>1465</v>
      </c>
      <c r="E1333" s="9" t="s">
        <v>1466</v>
      </c>
      <c r="F1333" s="8"/>
    </row>
    <row r="1334" ht="21.0" customHeight="1">
      <c r="A1334" s="6">
        <v>1.0</v>
      </c>
      <c r="B1334" s="6">
        <v>118.0</v>
      </c>
      <c r="C1334" s="6">
        <v>2.0</v>
      </c>
      <c r="D1334" s="9" t="s">
        <v>1467</v>
      </c>
      <c r="E1334" s="9" t="s">
        <v>1468</v>
      </c>
      <c r="F1334" s="8"/>
    </row>
    <row r="1335" ht="21.0" customHeight="1">
      <c r="A1335" s="6">
        <v>1.0</v>
      </c>
      <c r="B1335" s="6">
        <v>118.0</v>
      </c>
      <c r="C1335" s="6">
        <v>3.0</v>
      </c>
      <c r="D1335" s="9" t="s">
        <v>1469</v>
      </c>
      <c r="E1335" s="9" t="s">
        <v>1470</v>
      </c>
      <c r="F1335" s="8"/>
    </row>
    <row r="1336" ht="21.0" customHeight="1">
      <c r="A1336" s="6">
        <v>1.0</v>
      </c>
      <c r="B1336" s="6">
        <v>118.0</v>
      </c>
      <c r="C1336" s="6">
        <v>4.0</v>
      </c>
      <c r="D1336" s="9" t="s">
        <v>1471</v>
      </c>
      <c r="E1336" s="9" t="s">
        <v>1472</v>
      </c>
      <c r="F1336" s="8"/>
    </row>
    <row r="1337" ht="21.0" customHeight="1">
      <c r="A1337" s="6">
        <v>1.0</v>
      </c>
      <c r="B1337" s="6">
        <v>118.0</v>
      </c>
      <c r="C1337" s="6">
        <v>5.0</v>
      </c>
      <c r="D1337" s="9" t="s">
        <v>1473</v>
      </c>
      <c r="E1337" s="9" t="s">
        <v>1474</v>
      </c>
      <c r="F1337" s="8"/>
    </row>
    <row r="1338" ht="21.0" customHeight="1">
      <c r="A1338" s="6">
        <v>1.0</v>
      </c>
      <c r="B1338" s="6">
        <v>118.0</v>
      </c>
      <c r="C1338" s="6">
        <v>6.0</v>
      </c>
      <c r="D1338" s="9" t="s">
        <v>1475</v>
      </c>
      <c r="E1338" s="9" t="s">
        <v>1476</v>
      </c>
      <c r="F1338" s="8"/>
    </row>
    <row r="1339" ht="21.0" customHeight="1">
      <c r="A1339" s="6">
        <v>1.0</v>
      </c>
      <c r="B1339" s="6">
        <v>118.0</v>
      </c>
      <c r="C1339" s="6">
        <v>7.0</v>
      </c>
      <c r="D1339" s="9" t="s">
        <v>1477</v>
      </c>
      <c r="E1339" s="9" t="s">
        <v>1478</v>
      </c>
      <c r="F1339" s="8"/>
    </row>
    <row r="1340" ht="21.0" customHeight="1">
      <c r="A1340" s="6">
        <v>1.0</v>
      </c>
      <c r="B1340" s="6">
        <v>118.0</v>
      </c>
      <c r="C1340" s="6">
        <v>8.0</v>
      </c>
      <c r="D1340" s="9" t="s">
        <v>1479</v>
      </c>
      <c r="E1340" s="9" t="s">
        <v>1480</v>
      </c>
      <c r="F1340" s="8"/>
    </row>
    <row r="1341" ht="21.0" customHeight="1">
      <c r="A1341" s="6">
        <v>1.0</v>
      </c>
      <c r="B1341" s="6">
        <v>118.0</v>
      </c>
      <c r="C1341" s="6">
        <v>9.0</v>
      </c>
      <c r="D1341" s="9" t="s">
        <v>1481</v>
      </c>
      <c r="E1341" s="9" t="s">
        <v>1482</v>
      </c>
      <c r="F1341" s="8"/>
    </row>
    <row r="1342" ht="21.0" customHeight="1">
      <c r="A1342" s="6">
        <v>1.0</v>
      </c>
      <c r="B1342" s="6">
        <v>118.0</v>
      </c>
      <c r="C1342" s="6">
        <v>10.0</v>
      </c>
      <c r="D1342" s="9" t="s">
        <v>1483</v>
      </c>
      <c r="E1342" s="9" t="s">
        <v>1484</v>
      </c>
      <c r="F1342" s="8"/>
    </row>
    <row r="1343" ht="21.0" customHeight="1">
      <c r="A1343" s="6">
        <v>1.0</v>
      </c>
      <c r="B1343" s="6">
        <v>119.0</v>
      </c>
      <c r="C1343" s="6">
        <v>1.0</v>
      </c>
      <c r="D1343" s="9" t="s">
        <v>1485</v>
      </c>
      <c r="E1343" s="9" t="s">
        <v>1486</v>
      </c>
      <c r="F1343" s="8"/>
    </row>
    <row r="1344" ht="21.0" customHeight="1">
      <c r="A1344" s="6">
        <v>1.0</v>
      </c>
      <c r="B1344" s="6">
        <v>119.0</v>
      </c>
      <c r="C1344" s="6">
        <v>2.0</v>
      </c>
      <c r="D1344" s="9" t="s">
        <v>1487</v>
      </c>
      <c r="E1344" s="9" t="s">
        <v>1488</v>
      </c>
      <c r="F1344" s="8"/>
    </row>
    <row r="1345" ht="21.0" customHeight="1">
      <c r="A1345" s="6">
        <v>1.0</v>
      </c>
      <c r="B1345" s="6">
        <v>119.0</v>
      </c>
      <c r="C1345" s="6">
        <v>3.0</v>
      </c>
      <c r="D1345" s="9" t="s">
        <v>1489</v>
      </c>
      <c r="E1345" s="9" t="s">
        <v>1490</v>
      </c>
      <c r="F1345" s="8"/>
    </row>
    <row r="1346" ht="21.0" customHeight="1">
      <c r="A1346" s="6">
        <v>1.0</v>
      </c>
      <c r="B1346" s="6">
        <v>119.0</v>
      </c>
      <c r="C1346" s="6">
        <v>4.0</v>
      </c>
      <c r="D1346" s="9" t="s">
        <v>1491</v>
      </c>
      <c r="E1346" s="9" t="s">
        <v>1492</v>
      </c>
      <c r="F1346" s="8"/>
    </row>
    <row r="1347" ht="21.0" customHeight="1">
      <c r="A1347" s="6">
        <v>1.0</v>
      </c>
      <c r="B1347" s="6">
        <v>119.0</v>
      </c>
      <c r="C1347" s="6">
        <v>5.0</v>
      </c>
      <c r="D1347" s="9" t="s">
        <v>1493</v>
      </c>
      <c r="E1347" s="9" t="s">
        <v>1494</v>
      </c>
      <c r="F1347" s="8"/>
    </row>
    <row r="1348" ht="21.0" customHeight="1">
      <c r="A1348" s="6">
        <v>1.0</v>
      </c>
      <c r="B1348" s="6">
        <v>119.0</v>
      </c>
      <c r="C1348" s="6">
        <v>6.0</v>
      </c>
      <c r="D1348" s="9" t="s">
        <v>1495</v>
      </c>
      <c r="E1348" s="9" t="s">
        <v>1496</v>
      </c>
      <c r="F1348" s="8"/>
    </row>
    <row r="1349" ht="21.0" customHeight="1">
      <c r="A1349" s="6">
        <v>1.0</v>
      </c>
      <c r="B1349" s="6">
        <v>119.0</v>
      </c>
      <c r="C1349" s="6">
        <v>7.0</v>
      </c>
      <c r="D1349" s="9" t="s">
        <v>1497</v>
      </c>
      <c r="E1349" s="9" t="s">
        <v>1498</v>
      </c>
      <c r="F1349" s="8"/>
    </row>
    <row r="1350" ht="21.0" customHeight="1">
      <c r="A1350" s="6">
        <v>1.0</v>
      </c>
      <c r="B1350" s="6">
        <v>119.0</v>
      </c>
      <c r="C1350" s="6">
        <v>8.0</v>
      </c>
      <c r="D1350" s="9" t="s">
        <v>1499</v>
      </c>
      <c r="E1350" s="9" t="s">
        <v>1500</v>
      </c>
      <c r="F1350" s="8"/>
    </row>
    <row r="1351" ht="21.0" customHeight="1">
      <c r="A1351" s="6">
        <v>1.0</v>
      </c>
      <c r="B1351" s="6">
        <v>119.0</v>
      </c>
      <c r="C1351" s="6">
        <v>9.0</v>
      </c>
      <c r="D1351" s="9" t="s">
        <v>1501</v>
      </c>
      <c r="E1351" s="9" t="s">
        <v>1502</v>
      </c>
      <c r="F1351" s="8"/>
    </row>
    <row r="1352" ht="21.0" customHeight="1">
      <c r="A1352" s="6">
        <v>1.0</v>
      </c>
      <c r="B1352" s="6">
        <v>119.0</v>
      </c>
      <c r="C1352" s="6">
        <v>10.0</v>
      </c>
      <c r="D1352" s="9" t="s">
        <v>1503</v>
      </c>
      <c r="E1352" s="9" t="s">
        <v>1504</v>
      </c>
      <c r="F1352" s="8"/>
    </row>
    <row r="1353" ht="21.0" customHeight="1">
      <c r="A1353" s="5">
        <v>1.0</v>
      </c>
      <c r="B1353" s="6">
        <v>119.0</v>
      </c>
      <c r="C1353" s="6">
        <v>11.0</v>
      </c>
      <c r="D1353" s="7" t="s">
        <v>1505</v>
      </c>
      <c r="E1353" s="9" t="s">
        <v>1506</v>
      </c>
      <c r="F1353" s="8"/>
    </row>
    <row r="1354" ht="21.0" customHeight="1">
      <c r="A1354" s="5">
        <v>13.0</v>
      </c>
      <c r="B1354" s="6">
        <v>119.0</v>
      </c>
      <c r="C1354" s="6">
        <v>12.0</v>
      </c>
      <c r="D1354" s="7" t="s">
        <v>1507</v>
      </c>
      <c r="E1354" s="9" t="s">
        <v>1508</v>
      </c>
      <c r="F1354" s="8"/>
    </row>
    <row r="1355" ht="21.0" customHeight="1">
      <c r="A1355" s="6">
        <v>1.0</v>
      </c>
      <c r="B1355" s="6">
        <v>127.0</v>
      </c>
      <c r="C1355" s="6">
        <v>1.0</v>
      </c>
      <c r="D1355" s="9" t="s">
        <v>1509</v>
      </c>
      <c r="E1355" s="9" t="s">
        <v>1510</v>
      </c>
      <c r="F1355" s="8"/>
    </row>
    <row r="1356" ht="21.0" customHeight="1">
      <c r="A1356" s="6">
        <v>1.0</v>
      </c>
      <c r="B1356" s="6">
        <v>127.0</v>
      </c>
      <c r="C1356" s="6">
        <v>2.0</v>
      </c>
      <c r="D1356" s="9" t="s">
        <v>1511</v>
      </c>
      <c r="E1356" s="9" t="s">
        <v>1512</v>
      </c>
      <c r="F1356" s="8"/>
    </row>
    <row r="1357" ht="21.0" customHeight="1">
      <c r="A1357" s="6">
        <v>1.0</v>
      </c>
      <c r="B1357" s="6">
        <v>127.0</v>
      </c>
      <c r="C1357" s="6">
        <v>3.0</v>
      </c>
      <c r="D1357" s="9" t="s">
        <v>1513</v>
      </c>
      <c r="E1357" s="9" t="s">
        <v>1514</v>
      </c>
      <c r="F1357" s="8"/>
    </row>
    <row r="1358" ht="21.0" customHeight="1">
      <c r="A1358" s="6">
        <v>1.0</v>
      </c>
      <c r="B1358" s="6">
        <v>127.0</v>
      </c>
      <c r="C1358" s="6">
        <v>4.0</v>
      </c>
      <c r="D1358" s="9" t="s">
        <v>1515</v>
      </c>
      <c r="E1358" s="9" t="s">
        <v>1516</v>
      </c>
      <c r="F1358" s="8"/>
    </row>
    <row r="1359" ht="21.0" customHeight="1">
      <c r="A1359" s="6">
        <v>1.0</v>
      </c>
      <c r="B1359" s="6">
        <v>127.0</v>
      </c>
      <c r="C1359" s="6">
        <v>5.0</v>
      </c>
      <c r="D1359" s="9" t="s">
        <v>1517</v>
      </c>
      <c r="E1359" s="9" t="s">
        <v>1518</v>
      </c>
      <c r="F1359" s="8"/>
    </row>
    <row r="1360" ht="21.0" customHeight="1">
      <c r="A1360" s="6">
        <v>1.0</v>
      </c>
      <c r="B1360" s="6">
        <v>127.0</v>
      </c>
      <c r="C1360" s="6">
        <v>6.0</v>
      </c>
      <c r="D1360" s="9" t="s">
        <v>1519</v>
      </c>
      <c r="E1360" s="9" t="s">
        <v>1520</v>
      </c>
      <c r="F1360" s="8"/>
    </row>
    <row r="1361" ht="21.0" customHeight="1">
      <c r="A1361" s="6">
        <v>1.0</v>
      </c>
      <c r="B1361" s="6">
        <v>127.0</v>
      </c>
      <c r="C1361" s="6">
        <v>7.0</v>
      </c>
      <c r="D1361" s="9" t="s">
        <v>1521</v>
      </c>
      <c r="E1361" s="9" t="s">
        <v>1522</v>
      </c>
      <c r="F1361" s="8"/>
    </row>
    <row r="1362" ht="21.0" customHeight="1">
      <c r="A1362" s="6">
        <v>1.0</v>
      </c>
      <c r="B1362" s="6">
        <v>127.0</v>
      </c>
      <c r="C1362" s="6">
        <v>8.0</v>
      </c>
      <c r="D1362" s="9" t="s">
        <v>1523</v>
      </c>
      <c r="E1362" s="9" t="s">
        <v>1524</v>
      </c>
      <c r="F1362" s="8"/>
    </row>
    <row r="1363" ht="21.0" customHeight="1">
      <c r="A1363" s="6">
        <v>1.0</v>
      </c>
      <c r="B1363" s="6">
        <v>127.0</v>
      </c>
      <c r="C1363" s="6">
        <v>9.0</v>
      </c>
      <c r="D1363" s="9" t="s">
        <v>1525</v>
      </c>
      <c r="E1363" s="9" t="s">
        <v>1526</v>
      </c>
      <c r="F1363" s="8"/>
    </row>
    <row r="1364" ht="21.0" customHeight="1">
      <c r="A1364" s="6">
        <v>1.0</v>
      </c>
      <c r="B1364" s="6">
        <v>127.0</v>
      </c>
      <c r="C1364" s="6">
        <v>10.0</v>
      </c>
      <c r="D1364" s="63" t="s">
        <v>1527</v>
      </c>
      <c r="E1364" s="63" t="s">
        <v>1528</v>
      </c>
      <c r="F1364" s="8"/>
    </row>
    <row r="1365" ht="21.0" customHeight="1">
      <c r="A1365" s="6">
        <v>1.0</v>
      </c>
      <c r="B1365" s="6">
        <v>127.0</v>
      </c>
      <c r="C1365" s="6">
        <v>11.0</v>
      </c>
      <c r="D1365" s="63" t="s">
        <v>1529</v>
      </c>
      <c r="E1365" s="63" t="s">
        <v>1530</v>
      </c>
      <c r="F1365" s="8"/>
    </row>
    <row r="1366" ht="21.0" customHeight="1">
      <c r="A1366" s="6">
        <v>1.0</v>
      </c>
      <c r="B1366" s="6">
        <v>127.0</v>
      </c>
      <c r="C1366" s="6">
        <v>12.0</v>
      </c>
      <c r="D1366" s="63" t="s">
        <v>1531</v>
      </c>
      <c r="E1366" s="63" t="s">
        <v>1532</v>
      </c>
      <c r="F1366" s="8"/>
    </row>
    <row r="1367" ht="21.0" customHeight="1">
      <c r="A1367" s="6">
        <v>1.0</v>
      </c>
      <c r="B1367" s="6">
        <v>127.0</v>
      </c>
      <c r="C1367" s="6">
        <v>13.0</v>
      </c>
      <c r="D1367" s="9" t="s">
        <v>1533</v>
      </c>
      <c r="E1367" s="9" t="s">
        <v>1534</v>
      </c>
      <c r="F1367" s="8"/>
    </row>
    <row r="1368" ht="21.0" customHeight="1">
      <c r="A1368" s="6">
        <v>11.0</v>
      </c>
      <c r="B1368" s="6">
        <v>1012.0</v>
      </c>
      <c r="C1368" s="6">
        <v>1.0</v>
      </c>
      <c r="D1368" s="9" t="s">
        <v>1535</v>
      </c>
      <c r="E1368" s="9" t="s">
        <v>1536</v>
      </c>
      <c r="F1368" s="8"/>
    </row>
    <row r="1369" ht="21.0" customHeight="1">
      <c r="A1369" s="6">
        <v>11.0</v>
      </c>
      <c r="B1369" s="6">
        <v>1012.0</v>
      </c>
      <c r="C1369" s="6">
        <v>2.0</v>
      </c>
      <c r="D1369" s="9" t="s">
        <v>1537</v>
      </c>
      <c r="E1369" s="9" t="s">
        <v>1538</v>
      </c>
      <c r="F1369" s="8"/>
    </row>
    <row r="1370" ht="21.0" customHeight="1">
      <c r="A1370" s="6">
        <v>11.0</v>
      </c>
      <c r="B1370" s="6">
        <v>1012.0</v>
      </c>
      <c r="C1370" s="6">
        <v>3.0</v>
      </c>
      <c r="D1370" s="9" t="s">
        <v>1539</v>
      </c>
      <c r="E1370" s="9" t="s">
        <v>1540</v>
      </c>
      <c r="F1370" s="8"/>
    </row>
    <row r="1371" ht="21.0" customHeight="1">
      <c r="A1371" s="6">
        <v>11.0</v>
      </c>
      <c r="B1371" s="6">
        <v>1012.0</v>
      </c>
      <c r="C1371" s="6">
        <v>4.0</v>
      </c>
      <c r="D1371" s="9" t="s">
        <v>1541</v>
      </c>
      <c r="E1371" s="9" t="s">
        <v>1542</v>
      </c>
      <c r="F1371" s="8"/>
    </row>
    <row r="1372" ht="21.0" customHeight="1">
      <c r="A1372" s="6">
        <v>10.0</v>
      </c>
      <c r="B1372" s="6">
        <v>1012.0</v>
      </c>
      <c r="C1372" s="6">
        <v>5.0</v>
      </c>
      <c r="D1372" s="9" t="s">
        <v>1543</v>
      </c>
      <c r="E1372" s="9" t="s">
        <v>1544</v>
      </c>
      <c r="F1372" s="8"/>
    </row>
    <row r="1373" ht="21.0" customHeight="1">
      <c r="A1373" s="6">
        <v>10.0</v>
      </c>
      <c r="B1373" s="6">
        <v>1012.0</v>
      </c>
      <c r="C1373" s="6">
        <v>6.0</v>
      </c>
      <c r="D1373" s="9" t="s">
        <v>1545</v>
      </c>
      <c r="E1373" s="9" t="s">
        <v>1546</v>
      </c>
      <c r="F1373" s="8"/>
    </row>
    <row r="1374" ht="21.0" customHeight="1">
      <c r="A1374" s="6">
        <v>10.0</v>
      </c>
      <c r="B1374" s="6">
        <v>1012.0</v>
      </c>
      <c r="C1374" s="6">
        <v>7.0</v>
      </c>
      <c r="D1374" s="9" t="s">
        <v>1547</v>
      </c>
      <c r="E1374" s="9" t="s">
        <v>1548</v>
      </c>
      <c r="F1374" s="8"/>
    </row>
    <row r="1375" ht="21.0" customHeight="1">
      <c r="A1375" s="6">
        <v>10.0</v>
      </c>
      <c r="B1375" s="6">
        <v>1012.0</v>
      </c>
      <c r="C1375" s="6">
        <v>8.0</v>
      </c>
      <c r="D1375" s="9" t="s">
        <v>1549</v>
      </c>
      <c r="E1375" s="9" t="s">
        <v>1550</v>
      </c>
      <c r="F1375" s="8"/>
    </row>
    <row r="1376" ht="21.0" customHeight="1">
      <c r="A1376" s="6">
        <v>10.0</v>
      </c>
      <c r="B1376" s="6">
        <v>1012.0</v>
      </c>
      <c r="C1376" s="6">
        <v>9.0</v>
      </c>
      <c r="D1376" s="9" t="s">
        <v>1551</v>
      </c>
      <c r="E1376" s="9" t="s">
        <v>1552</v>
      </c>
      <c r="F1376" s="8"/>
    </row>
    <row r="1377" ht="21.0" customHeight="1">
      <c r="A1377" s="6">
        <v>10.0</v>
      </c>
      <c r="B1377" s="6">
        <v>1012.0</v>
      </c>
      <c r="C1377" s="6">
        <v>10.0</v>
      </c>
      <c r="D1377" s="9" t="s">
        <v>1553</v>
      </c>
      <c r="E1377" s="9" t="s">
        <v>1554</v>
      </c>
      <c r="F1377" s="8"/>
    </row>
    <row r="1378" ht="21.0" customHeight="1">
      <c r="A1378" s="6">
        <v>1.0</v>
      </c>
      <c r="B1378" s="6">
        <v>136.0</v>
      </c>
      <c r="C1378" s="6">
        <v>1.0</v>
      </c>
      <c r="D1378" s="9" t="s">
        <v>1555</v>
      </c>
      <c r="E1378" s="9" t="s">
        <v>1556</v>
      </c>
      <c r="F1378" s="8"/>
    </row>
    <row r="1379" ht="21.0" customHeight="1">
      <c r="A1379" s="6">
        <v>1.0</v>
      </c>
      <c r="B1379" s="6">
        <v>136.0</v>
      </c>
      <c r="C1379" s="6">
        <v>2.0</v>
      </c>
      <c r="D1379" s="9" t="s">
        <v>1557</v>
      </c>
      <c r="E1379" s="9" t="s">
        <v>1558</v>
      </c>
      <c r="F1379" s="8"/>
    </row>
    <row r="1380" ht="21.0" customHeight="1">
      <c r="A1380" s="6">
        <v>1.0</v>
      </c>
      <c r="B1380" s="6">
        <v>136.0</v>
      </c>
      <c r="C1380" s="6">
        <v>3.0</v>
      </c>
      <c r="D1380" s="9" t="s">
        <v>1559</v>
      </c>
      <c r="E1380" s="9" t="s">
        <v>1560</v>
      </c>
      <c r="F1380" s="8"/>
    </row>
    <row r="1381" ht="21.0" customHeight="1">
      <c r="A1381" s="6">
        <v>1.0</v>
      </c>
      <c r="B1381" s="6">
        <v>136.0</v>
      </c>
      <c r="C1381" s="6">
        <v>4.0</v>
      </c>
      <c r="D1381" s="9" t="s">
        <v>1561</v>
      </c>
      <c r="E1381" s="9" t="s">
        <v>1562</v>
      </c>
      <c r="F1381" s="8"/>
    </row>
    <row r="1382" ht="21.0" customHeight="1">
      <c r="A1382" s="6">
        <v>1.0</v>
      </c>
      <c r="B1382" s="6">
        <v>136.0</v>
      </c>
      <c r="C1382" s="6">
        <v>5.0</v>
      </c>
      <c r="D1382" s="9" t="s">
        <v>1563</v>
      </c>
      <c r="E1382" s="9" t="s">
        <v>1564</v>
      </c>
      <c r="F1382" s="8"/>
    </row>
    <row r="1383" ht="21.0" customHeight="1">
      <c r="A1383" s="6">
        <v>1.0</v>
      </c>
      <c r="B1383" s="6">
        <v>136.0</v>
      </c>
      <c r="C1383" s="6">
        <v>6.0</v>
      </c>
      <c r="D1383" s="9" t="s">
        <v>1565</v>
      </c>
      <c r="E1383" s="9" t="s">
        <v>1566</v>
      </c>
      <c r="F1383" s="8"/>
    </row>
    <row r="1384" ht="21.0" customHeight="1">
      <c r="A1384" s="6">
        <v>1.0</v>
      </c>
      <c r="B1384" s="6">
        <v>136.0</v>
      </c>
      <c r="C1384" s="6">
        <v>7.0</v>
      </c>
      <c r="D1384" s="9" t="s">
        <v>1567</v>
      </c>
      <c r="E1384" s="9" t="s">
        <v>1568</v>
      </c>
      <c r="F1384" s="8"/>
    </row>
    <row r="1385" ht="21.0" customHeight="1">
      <c r="A1385" s="6">
        <v>1.0</v>
      </c>
      <c r="B1385" s="6">
        <v>136.0</v>
      </c>
      <c r="C1385" s="6">
        <v>8.0</v>
      </c>
      <c r="D1385" s="9" t="s">
        <v>1569</v>
      </c>
      <c r="E1385" s="9" t="s">
        <v>1570</v>
      </c>
      <c r="F1385" s="8"/>
    </row>
    <row r="1386" ht="21.0" customHeight="1">
      <c r="A1386" s="6">
        <v>1.0</v>
      </c>
      <c r="B1386" s="6">
        <v>136.0</v>
      </c>
      <c r="C1386" s="6">
        <v>9.0</v>
      </c>
      <c r="D1386" s="9" t="s">
        <v>1571</v>
      </c>
      <c r="E1386" s="9" t="s">
        <v>1572</v>
      </c>
      <c r="F1386" s="8"/>
    </row>
    <row r="1387" ht="21.0" customHeight="1">
      <c r="A1387" s="6">
        <v>1.0</v>
      </c>
      <c r="B1387" s="6">
        <v>136.0</v>
      </c>
      <c r="C1387" s="6">
        <v>10.0</v>
      </c>
      <c r="D1387" s="9" t="s">
        <v>1573</v>
      </c>
      <c r="E1387" s="9" t="s">
        <v>1574</v>
      </c>
      <c r="F1387" s="8"/>
    </row>
    <row r="1388" ht="21.0" customHeight="1">
      <c r="A1388" s="6">
        <v>1.0</v>
      </c>
      <c r="B1388" s="6">
        <v>137.0</v>
      </c>
      <c r="C1388" s="6">
        <v>1.0</v>
      </c>
      <c r="D1388" s="9" t="s">
        <v>1575</v>
      </c>
      <c r="E1388" s="9" t="s">
        <v>1576</v>
      </c>
      <c r="F1388" s="8"/>
    </row>
    <row r="1389" ht="21.0" customHeight="1">
      <c r="A1389" s="6">
        <v>1.0</v>
      </c>
      <c r="B1389" s="6">
        <v>137.0</v>
      </c>
      <c r="C1389" s="6">
        <v>2.0</v>
      </c>
      <c r="D1389" s="9" t="s">
        <v>1577</v>
      </c>
      <c r="E1389" s="9" t="s">
        <v>1578</v>
      </c>
      <c r="F1389" s="8"/>
    </row>
    <row r="1390" ht="21.0" customHeight="1">
      <c r="A1390" s="6">
        <v>1.0</v>
      </c>
      <c r="B1390" s="6">
        <v>137.0</v>
      </c>
      <c r="C1390" s="6">
        <v>3.0</v>
      </c>
      <c r="D1390" s="9" t="s">
        <v>1579</v>
      </c>
      <c r="E1390" s="9" t="s">
        <v>1580</v>
      </c>
      <c r="F1390" s="8"/>
    </row>
    <row r="1391" ht="21.0" customHeight="1">
      <c r="A1391" s="6">
        <v>1.0</v>
      </c>
      <c r="B1391" s="6">
        <v>137.0</v>
      </c>
      <c r="C1391" s="6">
        <v>4.0</v>
      </c>
      <c r="D1391" s="9" t="s">
        <v>1581</v>
      </c>
      <c r="E1391" s="9" t="s">
        <v>1582</v>
      </c>
      <c r="F1391" s="8"/>
    </row>
    <row r="1392" ht="21.0" customHeight="1">
      <c r="A1392" s="6">
        <v>1.0</v>
      </c>
      <c r="B1392" s="6">
        <v>137.0</v>
      </c>
      <c r="C1392" s="6">
        <v>5.0</v>
      </c>
      <c r="D1392" s="9" t="s">
        <v>1583</v>
      </c>
      <c r="E1392" s="9" t="s">
        <v>1584</v>
      </c>
      <c r="F1392" s="8"/>
    </row>
    <row r="1393" ht="21.0" customHeight="1">
      <c r="A1393" s="6">
        <v>1.0</v>
      </c>
      <c r="B1393" s="6">
        <v>137.0</v>
      </c>
      <c r="C1393" s="6">
        <v>6.0</v>
      </c>
      <c r="D1393" s="11" t="s">
        <v>1585</v>
      </c>
      <c r="E1393" s="9" t="s">
        <v>1586</v>
      </c>
      <c r="F1393" s="8"/>
    </row>
    <row r="1394" ht="21.0" customHeight="1">
      <c r="A1394" s="6">
        <v>1.0</v>
      </c>
      <c r="B1394" s="6">
        <v>137.0</v>
      </c>
      <c r="C1394" s="6">
        <v>7.0</v>
      </c>
      <c r="D1394" s="9" t="s">
        <v>1587</v>
      </c>
      <c r="E1394" s="9" t="s">
        <v>1588</v>
      </c>
      <c r="F1394" s="8"/>
    </row>
    <row r="1395" ht="21.0" customHeight="1">
      <c r="A1395" s="6">
        <v>1.0</v>
      </c>
      <c r="B1395" s="6">
        <v>137.0</v>
      </c>
      <c r="C1395" s="6">
        <v>8.0</v>
      </c>
      <c r="D1395" s="9" t="s">
        <v>1589</v>
      </c>
      <c r="E1395" s="9" t="s">
        <v>1590</v>
      </c>
      <c r="F1395" s="8"/>
    </row>
    <row r="1396" ht="21.0" customHeight="1">
      <c r="A1396" s="6">
        <v>1.0</v>
      </c>
      <c r="B1396" s="6">
        <v>137.0</v>
      </c>
      <c r="C1396" s="6">
        <v>9.0</v>
      </c>
      <c r="D1396" s="9" t="s">
        <v>1591</v>
      </c>
      <c r="E1396" s="9" t="s">
        <v>1592</v>
      </c>
      <c r="F1396" s="8"/>
    </row>
    <row r="1397" ht="21.0" customHeight="1">
      <c r="A1397" s="6">
        <v>1.0</v>
      </c>
      <c r="B1397" s="6">
        <v>137.0</v>
      </c>
      <c r="C1397" s="6">
        <v>10.0</v>
      </c>
      <c r="D1397" s="9" t="s">
        <v>1593</v>
      </c>
      <c r="E1397" s="9" t="s">
        <v>1594</v>
      </c>
      <c r="F1397" s="8"/>
    </row>
    <row r="1398" ht="21.0" customHeight="1">
      <c r="A1398" s="6">
        <v>1.0</v>
      </c>
      <c r="B1398" s="6">
        <v>120.0</v>
      </c>
      <c r="C1398" s="6">
        <v>1.0</v>
      </c>
      <c r="D1398" s="9" t="s">
        <v>1595</v>
      </c>
      <c r="E1398" s="9" t="s">
        <v>1596</v>
      </c>
      <c r="F1398" s="8"/>
    </row>
    <row r="1399" ht="21.0" customHeight="1">
      <c r="A1399" s="6">
        <v>1.0</v>
      </c>
      <c r="B1399" s="6">
        <v>120.0</v>
      </c>
      <c r="C1399" s="6">
        <v>2.0</v>
      </c>
      <c r="D1399" s="9" t="s">
        <v>1597</v>
      </c>
      <c r="E1399" s="9" t="s">
        <v>1598</v>
      </c>
      <c r="F1399" s="8"/>
    </row>
    <row r="1400" ht="21.0" customHeight="1">
      <c r="A1400" s="6">
        <v>1.0</v>
      </c>
      <c r="B1400" s="6">
        <v>120.0</v>
      </c>
      <c r="C1400" s="6">
        <v>3.0</v>
      </c>
      <c r="D1400" s="9" t="s">
        <v>1599</v>
      </c>
      <c r="E1400" s="9" t="s">
        <v>1600</v>
      </c>
      <c r="F1400" s="8"/>
    </row>
    <row r="1401" ht="21.0" customHeight="1">
      <c r="A1401" s="6">
        <v>1.0</v>
      </c>
      <c r="B1401" s="6">
        <v>120.0</v>
      </c>
      <c r="C1401" s="6">
        <v>4.0</v>
      </c>
      <c r="D1401" s="9" t="s">
        <v>1601</v>
      </c>
      <c r="E1401" s="9" t="s">
        <v>1602</v>
      </c>
      <c r="F1401" s="8"/>
    </row>
    <row r="1402" ht="21.0" customHeight="1">
      <c r="A1402" s="6">
        <v>1.0</v>
      </c>
      <c r="B1402" s="6">
        <v>120.0</v>
      </c>
      <c r="C1402" s="6">
        <v>5.0</v>
      </c>
      <c r="D1402" s="9" t="s">
        <v>1603</v>
      </c>
      <c r="E1402" s="9" t="s">
        <v>1604</v>
      </c>
      <c r="F1402" s="8"/>
    </row>
    <row r="1403" ht="21.0" customHeight="1">
      <c r="A1403" s="6">
        <v>1.0</v>
      </c>
      <c r="B1403" s="6">
        <v>120.0</v>
      </c>
      <c r="C1403" s="6">
        <v>6.0</v>
      </c>
      <c r="D1403" s="9" t="s">
        <v>1605</v>
      </c>
      <c r="E1403" s="9" t="s">
        <v>1606</v>
      </c>
      <c r="F1403" s="8"/>
    </row>
    <row r="1404" ht="21.0" customHeight="1">
      <c r="A1404" s="6">
        <v>1.0</v>
      </c>
      <c r="B1404" s="6">
        <v>120.0</v>
      </c>
      <c r="C1404" s="6">
        <v>7.0</v>
      </c>
      <c r="D1404" s="9" t="s">
        <v>1607</v>
      </c>
      <c r="E1404" s="9" t="s">
        <v>1608</v>
      </c>
      <c r="F1404" s="8"/>
    </row>
    <row r="1405" ht="21.0" customHeight="1">
      <c r="A1405" s="6">
        <v>1.0</v>
      </c>
      <c r="B1405" s="6">
        <v>120.0</v>
      </c>
      <c r="C1405" s="6">
        <v>8.0</v>
      </c>
      <c r="D1405" s="9" t="s">
        <v>1609</v>
      </c>
      <c r="E1405" s="9" t="s">
        <v>1610</v>
      </c>
      <c r="F1405" s="8"/>
    </row>
    <row r="1406" ht="21.0" customHeight="1">
      <c r="A1406" s="6">
        <v>1.0</v>
      </c>
      <c r="B1406" s="6">
        <v>120.0</v>
      </c>
      <c r="C1406" s="6">
        <v>9.0</v>
      </c>
      <c r="D1406" s="9" t="s">
        <v>1611</v>
      </c>
      <c r="E1406" s="9" t="s">
        <v>1612</v>
      </c>
      <c r="F1406" s="8"/>
    </row>
    <row r="1407" ht="21.0" customHeight="1">
      <c r="A1407" s="64">
        <v>1.0</v>
      </c>
      <c r="B1407" s="64">
        <v>120.0</v>
      </c>
      <c r="C1407" s="64">
        <v>10.0</v>
      </c>
      <c r="D1407" s="65" t="s">
        <v>1613</v>
      </c>
      <c r="E1407" s="65" t="s">
        <v>1614</v>
      </c>
      <c r="F1407" s="66"/>
    </row>
    <row r="1408" ht="21.0" customHeight="1">
      <c r="A1408" s="5">
        <v>13.0</v>
      </c>
      <c r="B1408" s="64">
        <v>120.0</v>
      </c>
      <c r="C1408" s="6">
        <v>11.0</v>
      </c>
      <c r="D1408" s="7" t="s">
        <v>1615</v>
      </c>
      <c r="E1408" s="67" t="s">
        <v>1616</v>
      </c>
      <c r="F1408" s="8"/>
    </row>
    <row r="1409" ht="21.0" customHeight="1">
      <c r="A1409" s="6">
        <v>1.0</v>
      </c>
      <c r="B1409" s="6">
        <v>121.0</v>
      </c>
      <c r="C1409" s="6">
        <v>1.0</v>
      </c>
      <c r="D1409" s="9" t="s">
        <v>1617</v>
      </c>
      <c r="E1409" s="9" t="s">
        <v>1618</v>
      </c>
      <c r="F1409" s="8"/>
    </row>
    <row r="1410" ht="21.0" customHeight="1">
      <c r="A1410" s="6">
        <v>1.0</v>
      </c>
      <c r="B1410" s="6">
        <v>121.0</v>
      </c>
      <c r="C1410" s="6">
        <v>2.0</v>
      </c>
      <c r="D1410" s="9" t="s">
        <v>1619</v>
      </c>
      <c r="E1410" s="9" t="s">
        <v>1620</v>
      </c>
      <c r="F1410" s="8"/>
    </row>
    <row r="1411" ht="21.0" customHeight="1">
      <c r="A1411" s="6">
        <v>1.0</v>
      </c>
      <c r="B1411" s="6">
        <v>121.0</v>
      </c>
      <c r="C1411" s="6">
        <v>3.0</v>
      </c>
      <c r="D1411" s="11" t="s">
        <v>1621</v>
      </c>
      <c r="E1411" s="9" t="s">
        <v>1622</v>
      </c>
      <c r="F1411" s="8"/>
    </row>
    <row r="1412" ht="21.0" customHeight="1">
      <c r="A1412" s="6">
        <v>1.0</v>
      </c>
      <c r="B1412" s="6">
        <v>121.0</v>
      </c>
      <c r="C1412" s="6">
        <v>4.0</v>
      </c>
      <c r="D1412" s="9" t="s">
        <v>1623</v>
      </c>
      <c r="E1412" s="9" t="s">
        <v>1624</v>
      </c>
      <c r="F1412" s="8"/>
    </row>
    <row r="1413" ht="21.0" customHeight="1">
      <c r="A1413" s="6">
        <v>1.0</v>
      </c>
      <c r="B1413" s="6">
        <v>121.0</v>
      </c>
      <c r="C1413" s="6">
        <v>5.0</v>
      </c>
      <c r="D1413" s="9" t="s">
        <v>1625</v>
      </c>
      <c r="E1413" s="9" t="s">
        <v>1626</v>
      </c>
      <c r="F1413" s="8"/>
    </row>
    <row r="1414" ht="21.0" customHeight="1">
      <c r="A1414" s="6">
        <v>1.0</v>
      </c>
      <c r="B1414" s="6">
        <v>121.0</v>
      </c>
      <c r="C1414" s="6">
        <v>6.0</v>
      </c>
      <c r="D1414" s="9" t="s">
        <v>1627</v>
      </c>
      <c r="E1414" s="9" t="s">
        <v>1628</v>
      </c>
      <c r="F1414" s="8"/>
    </row>
    <row r="1415" ht="21.0" customHeight="1">
      <c r="A1415" s="6">
        <v>1.0</v>
      </c>
      <c r="B1415" s="6">
        <v>121.0</v>
      </c>
      <c r="C1415" s="6">
        <v>7.0</v>
      </c>
      <c r="D1415" s="9" t="s">
        <v>1629</v>
      </c>
      <c r="E1415" s="9" t="s">
        <v>1630</v>
      </c>
      <c r="F1415" s="8"/>
    </row>
    <row r="1416" ht="21.0" customHeight="1">
      <c r="A1416" s="6">
        <v>1.0</v>
      </c>
      <c r="B1416" s="6">
        <v>121.0</v>
      </c>
      <c r="C1416" s="6">
        <v>8.0</v>
      </c>
      <c r="D1416" s="9" t="s">
        <v>1631</v>
      </c>
      <c r="E1416" s="9" t="s">
        <v>1632</v>
      </c>
      <c r="F1416" s="8"/>
    </row>
    <row r="1417" ht="21.0" customHeight="1">
      <c r="A1417" s="6">
        <v>1.0</v>
      </c>
      <c r="B1417" s="6">
        <v>121.0</v>
      </c>
      <c r="C1417" s="6">
        <v>9.0</v>
      </c>
      <c r="D1417" s="9" t="s">
        <v>1633</v>
      </c>
      <c r="E1417" s="9" t="s">
        <v>1634</v>
      </c>
      <c r="F1417" s="8"/>
    </row>
    <row r="1418" ht="21.0" customHeight="1">
      <c r="A1418" s="6">
        <v>1.0</v>
      </c>
      <c r="B1418" s="6">
        <v>121.0</v>
      </c>
      <c r="C1418" s="6">
        <v>10.0</v>
      </c>
      <c r="D1418" s="9" t="s">
        <v>1635</v>
      </c>
      <c r="E1418" s="9" t="s">
        <v>1636</v>
      </c>
      <c r="F1418" s="8"/>
    </row>
    <row r="1419" ht="21.0" customHeight="1">
      <c r="A1419" s="6">
        <v>11.0</v>
      </c>
      <c r="B1419" s="6">
        <v>1013.0</v>
      </c>
      <c r="C1419" s="6">
        <v>1.0</v>
      </c>
      <c r="D1419" s="9" t="s">
        <v>1637</v>
      </c>
      <c r="E1419" s="9" t="s">
        <v>1638</v>
      </c>
      <c r="F1419" s="8"/>
    </row>
    <row r="1420" ht="21.0" customHeight="1">
      <c r="A1420" s="6">
        <v>11.0</v>
      </c>
      <c r="B1420" s="6">
        <v>1013.0</v>
      </c>
      <c r="C1420" s="6">
        <v>2.0</v>
      </c>
      <c r="D1420" s="9" t="s">
        <v>1639</v>
      </c>
      <c r="E1420" s="9" t="s">
        <v>1640</v>
      </c>
      <c r="F1420" s="8"/>
    </row>
    <row r="1421" ht="21.0" customHeight="1">
      <c r="A1421" s="6">
        <v>11.0</v>
      </c>
      <c r="B1421" s="6">
        <v>1013.0</v>
      </c>
      <c r="C1421" s="6">
        <v>3.0</v>
      </c>
      <c r="D1421" s="9" t="s">
        <v>1641</v>
      </c>
      <c r="E1421" s="9" t="s">
        <v>1642</v>
      </c>
      <c r="F1421" s="8"/>
    </row>
    <row r="1422" ht="21.0" customHeight="1">
      <c r="A1422" s="6">
        <v>11.0</v>
      </c>
      <c r="B1422" s="6">
        <v>1013.0</v>
      </c>
      <c r="C1422" s="6">
        <v>4.0</v>
      </c>
      <c r="D1422" s="9" t="s">
        <v>1643</v>
      </c>
      <c r="E1422" s="9" t="s">
        <v>1644</v>
      </c>
      <c r="F1422" s="8"/>
    </row>
    <row r="1423" ht="21.0" customHeight="1">
      <c r="A1423" s="6">
        <v>10.0</v>
      </c>
      <c r="B1423" s="6">
        <v>1013.0</v>
      </c>
      <c r="C1423" s="6">
        <v>5.0</v>
      </c>
      <c r="D1423" s="9" t="s">
        <v>1645</v>
      </c>
      <c r="E1423" s="9" t="s">
        <v>1646</v>
      </c>
      <c r="F1423" s="8"/>
    </row>
    <row r="1424" ht="21.0" customHeight="1">
      <c r="A1424" s="6">
        <v>10.0</v>
      </c>
      <c r="B1424" s="6">
        <v>1013.0</v>
      </c>
      <c r="C1424" s="6">
        <v>6.0</v>
      </c>
      <c r="D1424" s="9" t="s">
        <v>1647</v>
      </c>
      <c r="E1424" s="9" t="s">
        <v>1648</v>
      </c>
      <c r="F1424" s="8"/>
    </row>
    <row r="1425" ht="21.0" customHeight="1">
      <c r="A1425" s="6">
        <v>10.0</v>
      </c>
      <c r="B1425" s="6">
        <v>1013.0</v>
      </c>
      <c r="C1425" s="6">
        <v>7.0</v>
      </c>
      <c r="D1425" s="9" t="s">
        <v>1649</v>
      </c>
      <c r="E1425" s="9" t="s">
        <v>1650</v>
      </c>
      <c r="F1425" s="8"/>
    </row>
    <row r="1426" ht="21.0" customHeight="1">
      <c r="A1426" s="6">
        <v>10.0</v>
      </c>
      <c r="B1426" s="6">
        <v>1013.0</v>
      </c>
      <c r="C1426" s="6">
        <v>8.0</v>
      </c>
      <c r="D1426" s="9" t="s">
        <v>1651</v>
      </c>
      <c r="E1426" s="9" t="s">
        <v>1652</v>
      </c>
      <c r="F1426" s="8"/>
    </row>
    <row r="1427" ht="21.0" customHeight="1">
      <c r="A1427" s="6">
        <v>10.0</v>
      </c>
      <c r="B1427" s="6">
        <v>1013.0</v>
      </c>
      <c r="C1427" s="6">
        <v>9.0</v>
      </c>
      <c r="D1427" s="9" t="s">
        <v>1653</v>
      </c>
      <c r="E1427" s="9" t="s">
        <v>1654</v>
      </c>
      <c r="F1427" s="8"/>
    </row>
    <row r="1428" ht="21.0" customHeight="1">
      <c r="A1428" s="6">
        <v>10.0</v>
      </c>
      <c r="B1428" s="6">
        <v>1013.0</v>
      </c>
      <c r="C1428" s="6">
        <v>10.0</v>
      </c>
      <c r="D1428" s="9" t="s">
        <v>1655</v>
      </c>
      <c r="E1428" s="9" t="s">
        <v>1656</v>
      </c>
      <c r="F1428" s="8"/>
    </row>
    <row r="1429" ht="21.0" customHeight="1">
      <c r="A1429" s="6">
        <v>1.0</v>
      </c>
      <c r="B1429" s="6">
        <v>122.0</v>
      </c>
      <c r="C1429" s="6">
        <v>1.0</v>
      </c>
      <c r="D1429" s="9" t="s">
        <v>1657</v>
      </c>
      <c r="E1429" s="9" t="s">
        <v>1658</v>
      </c>
      <c r="F1429" s="8"/>
    </row>
    <row r="1430" ht="21.0" customHeight="1">
      <c r="A1430" s="6">
        <v>1.0</v>
      </c>
      <c r="B1430" s="6">
        <v>122.0</v>
      </c>
      <c r="C1430" s="6">
        <v>2.0</v>
      </c>
      <c r="D1430" s="9" t="s">
        <v>1659</v>
      </c>
      <c r="E1430" s="9" t="s">
        <v>1660</v>
      </c>
      <c r="F1430" s="8"/>
    </row>
    <row r="1431" ht="21.0" customHeight="1">
      <c r="A1431" s="6">
        <v>1.0</v>
      </c>
      <c r="B1431" s="6">
        <v>122.0</v>
      </c>
      <c r="C1431" s="6">
        <v>3.0</v>
      </c>
      <c r="D1431" s="9" t="s">
        <v>1661</v>
      </c>
      <c r="E1431" s="9" t="s">
        <v>1662</v>
      </c>
      <c r="F1431" s="8"/>
    </row>
    <row r="1432" ht="21.0" customHeight="1">
      <c r="A1432" s="6">
        <v>1.0</v>
      </c>
      <c r="B1432" s="6">
        <v>122.0</v>
      </c>
      <c r="C1432" s="6">
        <v>4.0</v>
      </c>
      <c r="D1432" s="9" t="s">
        <v>1663</v>
      </c>
      <c r="E1432" s="9" t="s">
        <v>1664</v>
      </c>
      <c r="F1432" s="8"/>
    </row>
    <row r="1433" ht="21.0" customHeight="1">
      <c r="A1433" s="6">
        <v>1.0</v>
      </c>
      <c r="B1433" s="6">
        <v>122.0</v>
      </c>
      <c r="C1433" s="6">
        <v>5.0</v>
      </c>
      <c r="D1433" s="9" t="s">
        <v>1665</v>
      </c>
      <c r="E1433" s="9" t="s">
        <v>1666</v>
      </c>
      <c r="F1433" s="8"/>
    </row>
    <row r="1434" ht="21.0" customHeight="1">
      <c r="A1434" s="6">
        <v>1.0</v>
      </c>
      <c r="B1434" s="6">
        <v>122.0</v>
      </c>
      <c r="C1434" s="6">
        <v>6.0</v>
      </c>
      <c r="D1434" s="9" t="s">
        <v>1667</v>
      </c>
      <c r="E1434" s="9" t="s">
        <v>1668</v>
      </c>
      <c r="F1434" s="8"/>
    </row>
    <row r="1435" ht="21.0" customHeight="1">
      <c r="A1435" s="6">
        <v>1.0</v>
      </c>
      <c r="B1435" s="6">
        <v>122.0</v>
      </c>
      <c r="C1435" s="6">
        <v>7.0</v>
      </c>
      <c r="D1435" s="9" t="s">
        <v>1669</v>
      </c>
      <c r="E1435" s="9" t="s">
        <v>1670</v>
      </c>
      <c r="F1435" s="8"/>
    </row>
    <row r="1436" ht="21.0" customHeight="1">
      <c r="A1436" s="6">
        <v>1.0</v>
      </c>
      <c r="B1436" s="6">
        <v>122.0</v>
      </c>
      <c r="C1436" s="6">
        <v>8.0</v>
      </c>
      <c r="D1436" s="9" t="s">
        <v>1671</v>
      </c>
      <c r="E1436" s="9" t="s">
        <v>1672</v>
      </c>
      <c r="F1436" s="8"/>
    </row>
    <row r="1437" ht="21.0" customHeight="1">
      <c r="A1437" s="6">
        <v>1.0</v>
      </c>
      <c r="B1437" s="6">
        <v>122.0</v>
      </c>
      <c r="C1437" s="6">
        <v>9.0</v>
      </c>
      <c r="D1437" s="9" t="s">
        <v>1673</v>
      </c>
      <c r="E1437" s="9" t="s">
        <v>1674</v>
      </c>
      <c r="F1437" s="8"/>
    </row>
    <row r="1438" ht="21.0" customHeight="1">
      <c r="A1438" s="6">
        <v>1.0</v>
      </c>
      <c r="B1438" s="6">
        <v>122.0</v>
      </c>
      <c r="C1438" s="6">
        <v>10.0</v>
      </c>
      <c r="D1438" s="9" t="s">
        <v>1675</v>
      </c>
      <c r="E1438" s="9" t="s">
        <v>1676</v>
      </c>
      <c r="F1438" s="8"/>
    </row>
    <row r="1439" ht="21.0" customHeight="1">
      <c r="A1439" s="6">
        <v>1.0</v>
      </c>
      <c r="B1439" s="6">
        <v>129.0</v>
      </c>
      <c r="C1439" s="6">
        <v>1.0</v>
      </c>
      <c r="D1439" s="9" t="s">
        <v>1677</v>
      </c>
      <c r="E1439" s="9" t="s">
        <v>1678</v>
      </c>
      <c r="F1439" s="8"/>
    </row>
    <row r="1440" ht="21.0" customHeight="1">
      <c r="A1440" s="6">
        <v>1.0</v>
      </c>
      <c r="B1440" s="6">
        <v>129.0</v>
      </c>
      <c r="C1440" s="6">
        <v>2.0</v>
      </c>
      <c r="D1440" s="9" t="s">
        <v>1679</v>
      </c>
      <c r="E1440" s="9" t="s">
        <v>1680</v>
      </c>
      <c r="F1440" s="8"/>
    </row>
    <row r="1441" ht="21.0" customHeight="1">
      <c r="A1441" s="6">
        <v>1.0</v>
      </c>
      <c r="B1441" s="6">
        <v>129.0</v>
      </c>
      <c r="C1441" s="6">
        <v>3.0</v>
      </c>
      <c r="D1441" s="9" t="s">
        <v>1681</v>
      </c>
      <c r="E1441" s="9" t="s">
        <v>1682</v>
      </c>
      <c r="F1441" s="8"/>
    </row>
    <row r="1442" ht="21.0" customHeight="1">
      <c r="A1442" s="6">
        <v>1.0</v>
      </c>
      <c r="B1442" s="6">
        <v>129.0</v>
      </c>
      <c r="C1442" s="6">
        <v>4.0</v>
      </c>
      <c r="D1442" s="9" t="s">
        <v>1683</v>
      </c>
      <c r="E1442" s="9" t="s">
        <v>1684</v>
      </c>
      <c r="F1442" s="8"/>
    </row>
    <row r="1443" ht="21.0" customHeight="1">
      <c r="A1443" s="6">
        <v>1.0</v>
      </c>
      <c r="B1443" s="6">
        <v>129.0</v>
      </c>
      <c r="C1443" s="6">
        <v>5.0</v>
      </c>
      <c r="D1443" s="9" t="s">
        <v>1685</v>
      </c>
      <c r="E1443" s="9" t="s">
        <v>1686</v>
      </c>
      <c r="F1443" s="8"/>
    </row>
    <row r="1444" ht="21.0" customHeight="1">
      <c r="A1444" s="6">
        <v>1.0</v>
      </c>
      <c r="B1444" s="6">
        <v>129.0</v>
      </c>
      <c r="C1444" s="6">
        <v>6.0</v>
      </c>
      <c r="D1444" s="9" t="s">
        <v>1687</v>
      </c>
      <c r="E1444" s="9" t="s">
        <v>1688</v>
      </c>
      <c r="F1444" s="8"/>
    </row>
    <row r="1445" ht="21.0" customHeight="1">
      <c r="A1445" s="6">
        <v>1.0</v>
      </c>
      <c r="B1445" s="6">
        <v>129.0</v>
      </c>
      <c r="C1445" s="6">
        <v>7.0</v>
      </c>
      <c r="D1445" s="9" t="s">
        <v>1689</v>
      </c>
      <c r="E1445" s="9" t="s">
        <v>1690</v>
      </c>
      <c r="F1445" s="8"/>
    </row>
    <row r="1446" ht="21.0" customHeight="1">
      <c r="A1446" s="6">
        <v>1.0</v>
      </c>
      <c r="B1446" s="6">
        <v>129.0</v>
      </c>
      <c r="C1446" s="6">
        <v>8.0</v>
      </c>
      <c r="D1446" s="9" t="s">
        <v>1691</v>
      </c>
      <c r="E1446" s="9" t="s">
        <v>1692</v>
      </c>
      <c r="F1446" s="8"/>
    </row>
    <row r="1447" ht="21.0" customHeight="1">
      <c r="A1447" s="6">
        <v>1.0</v>
      </c>
      <c r="B1447" s="6">
        <v>129.0</v>
      </c>
      <c r="C1447" s="6">
        <v>9.0</v>
      </c>
      <c r="D1447" s="9" t="s">
        <v>1693</v>
      </c>
      <c r="E1447" s="9" t="s">
        <v>1694</v>
      </c>
      <c r="F1447" s="8"/>
    </row>
    <row r="1448" ht="21.0" customHeight="1">
      <c r="A1448" s="6">
        <v>1.0</v>
      </c>
      <c r="B1448" s="6">
        <v>129.0</v>
      </c>
      <c r="C1448" s="6">
        <v>10.0</v>
      </c>
      <c r="D1448" s="9" t="s">
        <v>1695</v>
      </c>
      <c r="E1448" s="9" t="s">
        <v>1696</v>
      </c>
      <c r="F1448" s="8"/>
    </row>
    <row r="1449" ht="21.0" customHeight="1">
      <c r="A1449" s="6">
        <v>11.0</v>
      </c>
      <c r="B1449" s="6">
        <v>1014.0</v>
      </c>
      <c r="C1449" s="6">
        <v>1.0</v>
      </c>
      <c r="D1449" s="9" t="s">
        <v>1697</v>
      </c>
      <c r="E1449" s="9" t="s">
        <v>1698</v>
      </c>
      <c r="F1449" s="8"/>
    </row>
    <row r="1450" ht="21.0" customHeight="1">
      <c r="A1450" s="6">
        <v>11.0</v>
      </c>
      <c r="B1450" s="6">
        <v>1014.0</v>
      </c>
      <c r="C1450" s="6">
        <v>2.0</v>
      </c>
      <c r="D1450" s="9" t="s">
        <v>1699</v>
      </c>
      <c r="E1450" s="9" t="s">
        <v>1700</v>
      </c>
      <c r="F1450" s="8"/>
    </row>
    <row r="1451" ht="21.0" customHeight="1">
      <c r="A1451" s="6">
        <v>11.0</v>
      </c>
      <c r="B1451" s="6">
        <v>1014.0</v>
      </c>
      <c r="C1451" s="6">
        <v>3.0</v>
      </c>
      <c r="D1451" s="9" t="s">
        <v>1701</v>
      </c>
      <c r="E1451" s="9" t="s">
        <v>1702</v>
      </c>
      <c r="F1451" s="8"/>
    </row>
    <row r="1452" ht="21.0" customHeight="1">
      <c r="A1452" s="6">
        <v>11.0</v>
      </c>
      <c r="B1452" s="6">
        <v>1014.0</v>
      </c>
      <c r="C1452" s="6">
        <v>4.0</v>
      </c>
      <c r="D1452" s="9" t="s">
        <v>1703</v>
      </c>
      <c r="E1452" s="9" t="s">
        <v>1704</v>
      </c>
      <c r="F1452" s="8"/>
    </row>
    <row r="1453" ht="21.0" customHeight="1">
      <c r="A1453" s="6">
        <v>10.0</v>
      </c>
      <c r="B1453" s="6">
        <v>1014.0</v>
      </c>
      <c r="C1453" s="6">
        <v>5.0</v>
      </c>
      <c r="D1453" s="9" t="s">
        <v>1705</v>
      </c>
      <c r="E1453" s="9" t="s">
        <v>1706</v>
      </c>
      <c r="F1453" s="8"/>
    </row>
    <row r="1454" ht="21.0" customHeight="1">
      <c r="A1454" s="6">
        <v>10.0</v>
      </c>
      <c r="B1454" s="6">
        <v>1014.0</v>
      </c>
      <c r="C1454" s="6">
        <v>6.0</v>
      </c>
      <c r="D1454" s="9" t="s">
        <v>1707</v>
      </c>
      <c r="E1454" s="9" t="s">
        <v>1708</v>
      </c>
      <c r="F1454" s="8"/>
    </row>
    <row r="1455" ht="21.0" customHeight="1">
      <c r="A1455" s="6">
        <v>10.0</v>
      </c>
      <c r="B1455" s="6">
        <v>1014.0</v>
      </c>
      <c r="C1455" s="6">
        <v>7.0</v>
      </c>
      <c r="D1455" s="9" t="s">
        <v>1709</v>
      </c>
      <c r="E1455" s="9" t="s">
        <v>1710</v>
      </c>
      <c r="F1455" s="8"/>
    </row>
    <row r="1456" ht="21.0" customHeight="1">
      <c r="A1456" s="6">
        <v>10.0</v>
      </c>
      <c r="B1456" s="6">
        <v>1014.0</v>
      </c>
      <c r="C1456" s="6">
        <v>8.0</v>
      </c>
      <c r="D1456" s="9" t="s">
        <v>1711</v>
      </c>
      <c r="E1456" s="9" t="s">
        <v>1712</v>
      </c>
      <c r="F1456" s="8"/>
    </row>
    <row r="1457" ht="21.0" customHeight="1">
      <c r="A1457" s="6">
        <v>1.0</v>
      </c>
      <c r="B1457" s="6">
        <v>123.0</v>
      </c>
      <c r="C1457" s="6">
        <v>1.0</v>
      </c>
      <c r="D1457" s="9" t="s">
        <v>1713</v>
      </c>
      <c r="E1457" s="9" t="s">
        <v>1714</v>
      </c>
      <c r="F1457" s="8"/>
    </row>
    <row r="1458" ht="21.0" customHeight="1">
      <c r="A1458" s="6">
        <v>1.0</v>
      </c>
      <c r="B1458" s="6">
        <v>123.0</v>
      </c>
      <c r="C1458" s="6">
        <v>2.0</v>
      </c>
      <c r="D1458" s="9" t="s">
        <v>1715</v>
      </c>
      <c r="E1458" s="9" t="s">
        <v>1716</v>
      </c>
      <c r="F1458" s="8"/>
    </row>
    <row r="1459" ht="21.0" customHeight="1">
      <c r="A1459" s="6">
        <v>1.0</v>
      </c>
      <c r="B1459" s="6">
        <v>123.0</v>
      </c>
      <c r="C1459" s="6">
        <v>3.0</v>
      </c>
      <c r="D1459" s="9" t="s">
        <v>1717</v>
      </c>
      <c r="E1459" s="9" t="s">
        <v>1718</v>
      </c>
      <c r="F1459" s="8"/>
    </row>
    <row r="1460" ht="21.0" customHeight="1">
      <c r="A1460" s="6">
        <v>1.0</v>
      </c>
      <c r="B1460" s="6">
        <v>123.0</v>
      </c>
      <c r="C1460" s="6">
        <v>4.0</v>
      </c>
      <c r="D1460" s="9" t="s">
        <v>1719</v>
      </c>
      <c r="E1460" s="9" t="s">
        <v>1720</v>
      </c>
      <c r="F1460" s="8"/>
    </row>
    <row r="1461" ht="21.0" customHeight="1">
      <c r="A1461" s="6">
        <v>1.0</v>
      </c>
      <c r="B1461" s="6">
        <v>123.0</v>
      </c>
      <c r="C1461" s="6">
        <v>5.0</v>
      </c>
      <c r="D1461" s="9" t="s">
        <v>1721</v>
      </c>
      <c r="E1461" s="9" t="s">
        <v>1722</v>
      </c>
      <c r="F1461" s="8"/>
    </row>
    <row r="1462" ht="21.0" customHeight="1">
      <c r="A1462" s="6">
        <v>1.0</v>
      </c>
      <c r="B1462" s="6">
        <v>123.0</v>
      </c>
      <c r="C1462" s="6">
        <v>6.0</v>
      </c>
      <c r="D1462" s="9" t="s">
        <v>1723</v>
      </c>
      <c r="E1462" s="9" t="s">
        <v>1724</v>
      </c>
      <c r="F1462" s="8"/>
    </row>
    <row r="1463" ht="21.0" customHeight="1">
      <c r="A1463" s="6">
        <v>1.0</v>
      </c>
      <c r="B1463" s="6">
        <v>123.0</v>
      </c>
      <c r="C1463" s="6">
        <v>7.0</v>
      </c>
      <c r="D1463" s="9" t="s">
        <v>1725</v>
      </c>
      <c r="E1463" s="9" t="s">
        <v>1726</v>
      </c>
      <c r="F1463" s="8"/>
    </row>
    <row r="1464" ht="21.0" customHeight="1">
      <c r="A1464" s="6">
        <v>1.0</v>
      </c>
      <c r="B1464" s="6">
        <v>123.0</v>
      </c>
      <c r="C1464" s="6">
        <v>8.0</v>
      </c>
      <c r="D1464" s="9" t="s">
        <v>1727</v>
      </c>
      <c r="E1464" s="9" t="s">
        <v>1728</v>
      </c>
      <c r="F1464" s="8"/>
    </row>
    <row r="1465" ht="21.0" customHeight="1">
      <c r="A1465" s="6">
        <v>1.0</v>
      </c>
      <c r="B1465" s="6">
        <v>123.0</v>
      </c>
      <c r="C1465" s="6">
        <v>9.0</v>
      </c>
      <c r="D1465" s="9" t="s">
        <v>1729</v>
      </c>
      <c r="E1465" s="9" t="s">
        <v>1730</v>
      </c>
      <c r="F1465" s="8"/>
    </row>
    <row r="1466" ht="21.0" customHeight="1">
      <c r="A1466" s="6">
        <v>1.0</v>
      </c>
      <c r="B1466" s="6">
        <v>123.0</v>
      </c>
      <c r="C1466" s="6">
        <v>10.0</v>
      </c>
      <c r="D1466" s="9" t="s">
        <v>1731</v>
      </c>
      <c r="E1466" s="9" t="s">
        <v>1732</v>
      </c>
      <c r="F1466" s="8"/>
    </row>
    <row r="1467" ht="21.0" customHeight="1">
      <c r="A1467" s="6">
        <v>1.0</v>
      </c>
      <c r="B1467" s="6">
        <v>123.0</v>
      </c>
      <c r="C1467" s="6">
        <v>11.0</v>
      </c>
      <c r="D1467" s="9" t="s">
        <v>1733</v>
      </c>
      <c r="E1467" s="9" t="s">
        <v>1734</v>
      </c>
      <c r="F1467" s="8"/>
    </row>
    <row r="1468" ht="21.0" customHeight="1">
      <c r="A1468" s="6">
        <v>1.0</v>
      </c>
      <c r="B1468" s="6">
        <v>123.0</v>
      </c>
      <c r="C1468" s="6">
        <v>12.0</v>
      </c>
      <c r="D1468" s="9" t="s">
        <v>1735</v>
      </c>
      <c r="E1468" s="9" t="s">
        <v>1736</v>
      </c>
      <c r="F1468" s="8"/>
    </row>
    <row r="1469" ht="21.0" customHeight="1">
      <c r="A1469" s="6">
        <v>11.0</v>
      </c>
      <c r="B1469" s="6">
        <v>1015.0</v>
      </c>
      <c r="C1469" s="6">
        <v>1.0</v>
      </c>
      <c r="D1469" s="9" t="s">
        <v>1737</v>
      </c>
      <c r="E1469" s="9" t="s">
        <v>1738</v>
      </c>
      <c r="F1469" s="8"/>
    </row>
    <row r="1470" ht="21.0" customHeight="1">
      <c r="A1470" s="6">
        <v>11.0</v>
      </c>
      <c r="B1470" s="6">
        <v>1015.0</v>
      </c>
      <c r="C1470" s="6">
        <v>2.0</v>
      </c>
      <c r="D1470" s="9" t="s">
        <v>1739</v>
      </c>
      <c r="E1470" s="9" t="s">
        <v>1740</v>
      </c>
      <c r="F1470" s="8"/>
    </row>
    <row r="1471" ht="21.0" customHeight="1">
      <c r="A1471" s="6">
        <v>11.0</v>
      </c>
      <c r="B1471" s="6">
        <v>1015.0</v>
      </c>
      <c r="C1471" s="6">
        <v>3.0</v>
      </c>
      <c r="D1471" s="9" t="s">
        <v>1741</v>
      </c>
      <c r="E1471" s="9" t="s">
        <v>1742</v>
      </c>
      <c r="F1471" s="8"/>
    </row>
    <row r="1472" ht="21.0" customHeight="1">
      <c r="A1472" s="6">
        <v>11.0</v>
      </c>
      <c r="B1472" s="6">
        <v>1015.0</v>
      </c>
      <c r="C1472" s="6">
        <v>4.0</v>
      </c>
      <c r="D1472" s="9" t="s">
        <v>1743</v>
      </c>
      <c r="E1472" s="9" t="s">
        <v>1744</v>
      </c>
      <c r="F1472" s="8"/>
    </row>
    <row r="1473" ht="21.0" customHeight="1">
      <c r="A1473" s="6">
        <v>10.0</v>
      </c>
      <c r="B1473" s="6">
        <v>1015.0</v>
      </c>
      <c r="C1473" s="6">
        <v>5.0</v>
      </c>
      <c r="D1473" s="9" t="s">
        <v>1745</v>
      </c>
      <c r="E1473" s="9" t="s">
        <v>1746</v>
      </c>
      <c r="F1473" s="8"/>
    </row>
    <row r="1474" ht="21.0" customHeight="1">
      <c r="A1474" s="6">
        <v>10.0</v>
      </c>
      <c r="B1474" s="6">
        <v>1015.0</v>
      </c>
      <c r="C1474" s="6">
        <v>6.0</v>
      </c>
      <c r="D1474" s="9" t="s">
        <v>1747</v>
      </c>
      <c r="E1474" s="9" t="s">
        <v>1748</v>
      </c>
      <c r="F1474" s="8"/>
    </row>
    <row r="1475" ht="21.0" customHeight="1">
      <c r="A1475" s="6">
        <v>1.0</v>
      </c>
      <c r="B1475" s="6">
        <v>124.0</v>
      </c>
      <c r="C1475" s="6">
        <v>1.0</v>
      </c>
      <c r="D1475" s="9" t="s">
        <v>1749</v>
      </c>
      <c r="E1475" s="9" t="s">
        <v>1750</v>
      </c>
      <c r="F1475" s="8"/>
    </row>
    <row r="1476" ht="21.0" customHeight="1">
      <c r="A1476" s="6">
        <v>1.0</v>
      </c>
      <c r="B1476" s="6">
        <v>124.0</v>
      </c>
      <c r="C1476" s="6">
        <v>2.0</v>
      </c>
      <c r="D1476" s="9" t="s">
        <v>1751</v>
      </c>
      <c r="E1476" s="9" t="s">
        <v>1752</v>
      </c>
      <c r="F1476" s="8"/>
    </row>
    <row r="1477" ht="21.0" customHeight="1">
      <c r="A1477" s="6">
        <v>1.0</v>
      </c>
      <c r="B1477" s="6">
        <v>124.0</v>
      </c>
      <c r="C1477" s="6">
        <v>3.0</v>
      </c>
      <c r="D1477" s="9" t="s">
        <v>1753</v>
      </c>
      <c r="E1477" s="9" t="s">
        <v>1754</v>
      </c>
      <c r="F1477" s="8"/>
    </row>
    <row r="1478" ht="21.0" customHeight="1">
      <c r="A1478" s="6">
        <v>1.0</v>
      </c>
      <c r="B1478" s="6">
        <v>124.0</v>
      </c>
      <c r="C1478" s="6">
        <v>4.0</v>
      </c>
      <c r="D1478" s="9" t="s">
        <v>1755</v>
      </c>
      <c r="E1478" s="9" t="s">
        <v>1756</v>
      </c>
      <c r="F1478" s="8"/>
    </row>
    <row r="1479" ht="21.0" customHeight="1">
      <c r="A1479" s="6">
        <v>1.0</v>
      </c>
      <c r="B1479" s="6">
        <v>124.0</v>
      </c>
      <c r="C1479" s="6">
        <v>5.0</v>
      </c>
      <c r="D1479" s="9" t="s">
        <v>1757</v>
      </c>
      <c r="E1479" s="9" t="s">
        <v>1758</v>
      </c>
      <c r="F1479" s="8"/>
    </row>
    <row r="1480" ht="21.0" customHeight="1">
      <c r="A1480" s="6">
        <v>1.0</v>
      </c>
      <c r="B1480" s="6">
        <v>124.0</v>
      </c>
      <c r="C1480" s="6">
        <v>6.0</v>
      </c>
      <c r="D1480" s="9" t="s">
        <v>1759</v>
      </c>
      <c r="E1480" s="9" t="s">
        <v>1760</v>
      </c>
      <c r="F1480" s="8"/>
    </row>
    <row r="1481" ht="21.0" customHeight="1">
      <c r="A1481" s="6">
        <v>1.0</v>
      </c>
      <c r="B1481" s="6">
        <v>124.0</v>
      </c>
      <c r="C1481" s="6">
        <v>7.0</v>
      </c>
      <c r="D1481" s="9" t="s">
        <v>1761</v>
      </c>
      <c r="E1481" s="9" t="s">
        <v>1762</v>
      </c>
      <c r="F1481" s="8"/>
    </row>
    <row r="1482" ht="21.0" customHeight="1">
      <c r="A1482" s="6">
        <v>1.0</v>
      </c>
      <c r="B1482" s="6">
        <v>124.0</v>
      </c>
      <c r="C1482" s="6">
        <v>8.0</v>
      </c>
      <c r="D1482" s="9" t="s">
        <v>1763</v>
      </c>
      <c r="E1482" s="9" t="s">
        <v>1764</v>
      </c>
      <c r="F1482" s="8"/>
    </row>
    <row r="1483" ht="21.0" customHeight="1">
      <c r="A1483" s="6">
        <v>1.0</v>
      </c>
      <c r="B1483" s="6">
        <v>124.0</v>
      </c>
      <c r="C1483" s="6">
        <v>9.0</v>
      </c>
      <c r="D1483" s="9" t="s">
        <v>1765</v>
      </c>
      <c r="E1483" s="9" t="s">
        <v>1766</v>
      </c>
      <c r="F1483" s="8"/>
    </row>
    <row r="1484" ht="21.0" customHeight="1">
      <c r="A1484" s="6">
        <v>1.0</v>
      </c>
      <c r="B1484" s="6">
        <v>124.0</v>
      </c>
      <c r="C1484" s="6">
        <v>10.0</v>
      </c>
      <c r="D1484" s="9" t="s">
        <v>1767</v>
      </c>
      <c r="E1484" s="9" t="s">
        <v>1768</v>
      </c>
      <c r="F1484" s="8"/>
    </row>
    <row r="1485" ht="21.0" customHeight="1">
      <c r="A1485" s="6">
        <v>1.0</v>
      </c>
      <c r="B1485" s="6">
        <v>125.0</v>
      </c>
      <c r="C1485" s="6">
        <v>1.0</v>
      </c>
      <c r="D1485" s="9" t="s">
        <v>1769</v>
      </c>
      <c r="E1485" s="9" t="s">
        <v>1770</v>
      </c>
      <c r="F1485" s="8"/>
    </row>
    <row r="1486" ht="21.0" customHeight="1">
      <c r="A1486" s="6">
        <v>1.0</v>
      </c>
      <c r="B1486" s="6">
        <v>125.0</v>
      </c>
      <c r="C1486" s="6">
        <v>2.0</v>
      </c>
      <c r="D1486" s="9" t="s">
        <v>1771</v>
      </c>
      <c r="E1486" s="9" t="s">
        <v>1772</v>
      </c>
      <c r="F1486" s="8"/>
    </row>
    <row r="1487" ht="21.0" customHeight="1">
      <c r="A1487" s="6">
        <v>1.0</v>
      </c>
      <c r="B1487" s="6">
        <v>125.0</v>
      </c>
      <c r="C1487" s="6">
        <v>3.0</v>
      </c>
      <c r="D1487" s="9" t="s">
        <v>1773</v>
      </c>
      <c r="E1487" s="9" t="s">
        <v>1774</v>
      </c>
      <c r="F1487" s="8"/>
    </row>
    <row r="1488" ht="21.0" customHeight="1">
      <c r="A1488" s="6">
        <v>1.0</v>
      </c>
      <c r="B1488" s="6">
        <v>125.0</v>
      </c>
      <c r="C1488" s="6">
        <v>4.0</v>
      </c>
      <c r="D1488" s="9" t="s">
        <v>1775</v>
      </c>
      <c r="E1488" s="9" t="s">
        <v>1776</v>
      </c>
      <c r="F1488" s="8"/>
    </row>
    <row r="1489" ht="21.0" customHeight="1">
      <c r="A1489" s="6">
        <v>1.0</v>
      </c>
      <c r="B1489" s="6">
        <v>125.0</v>
      </c>
      <c r="C1489" s="6">
        <v>5.0</v>
      </c>
      <c r="D1489" s="9" t="s">
        <v>1777</v>
      </c>
      <c r="E1489" s="9" t="s">
        <v>1778</v>
      </c>
      <c r="F1489" s="8"/>
    </row>
    <row r="1490" ht="21.0" customHeight="1">
      <c r="A1490" s="6">
        <v>1.0</v>
      </c>
      <c r="B1490" s="6">
        <v>125.0</v>
      </c>
      <c r="C1490" s="6">
        <v>6.0</v>
      </c>
      <c r="D1490" s="9" t="s">
        <v>1779</v>
      </c>
      <c r="E1490" s="9" t="s">
        <v>1780</v>
      </c>
      <c r="F1490" s="8"/>
    </row>
    <row r="1491" ht="21.0" customHeight="1">
      <c r="A1491" s="6">
        <v>1.0</v>
      </c>
      <c r="B1491" s="6">
        <v>125.0</v>
      </c>
      <c r="C1491" s="6">
        <v>7.0</v>
      </c>
      <c r="D1491" s="9" t="s">
        <v>1781</v>
      </c>
      <c r="E1491" s="9" t="s">
        <v>1782</v>
      </c>
      <c r="F1491" s="8"/>
    </row>
    <row r="1492" ht="21.0" customHeight="1">
      <c r="A1492" s="6">
        <v>1.0</v>
      </c>
      <c r="B1492" s="6">
        <v>125.0</v>
      </c>
      <c r="C1492" s="6">
        <v>8.0</v>
      </c>
      <c r="D1492" s="9" t="s">
        <v>1783</v>
      </c>
      <c r="E1492" s="9" t="s">
        <v>1784</v>
      </c>
      <c r="F1492" s="8"/>
    </row>
    <row r="1493" ht="21.0" customHeight="1">
      <c r="A1493" s="6">
        <v>1.0</v>
      </c>
      <c r="B1493" s="6">
        <v>125.0</v>
      </c>
      <c r="C1493" s="6">
        <v>9.0</v>
      </c>
      <c r="D1493" s="9" t="s">
        <v>1785</v>
      </c>
      <c r="E1493" s="9" t="s">
        <v>1786</v>
      </c>
      <c r="F1493" s="8"/>
    </row>
    <row r="1494" ht="21.0" customHeight="1">
      <c r="A1494" s="6">
        <v>1.0</v>
      </c>
      <c r="B1494" s="6">
        <v>125.0</v>
      </c>
      <c r="C1494" s="6">
        <v>10.0</v>
      </c>
      <c r="D1494" s="9" t="s">
        <v>1787</v>
      </c>
      <c r="E1494" s="9" t="s">
        <v>1788</v>
      </c>
      <c r="F1494" s="8"/>
    </row>
    <row r="1495" ht="21.0" customHeight="1">
      <c r="A1495" s="6">
        <v>1.0</v>
      </c>
      <c r="B1495" s="6">
        <v>138.0</v>
      </c>
      <c r="C1495" s="6">
        <v>1.0</v>
      </c>
      <c r="D1495" s="9" t="s">
        <v>1789</v>
      </c>
      <c r="E1495" s="9" t="s">
        <v>1790</v>
      </c>
      <c r="F1495" s="8"/>
    </row>
    <row r="1496" ht="21.0" customHeight="1">
      <c r="A1496" s="6">
        <v>1.0</v>
      </c>
      <c r="B1496" s="6">
        <v>138.0</v>
      </c>
      <c r="C1496" s="6">
        <v>2.0</v>
      </c>
      <c r="D1496" s="9" t="s">
        <v>1791</v>
      </c>
      <c r="E1496" s="9" t="s">
        <v>1792</v>
      </c>
      <c r="F1496" s="8"/>
    </row>
    <row r="1497" ht="21.0" customHeight="1">
      <c r="A1497" s="6">
        <v>1.0</v>
      </c>
      <c r="B1497" s="6">
        <v>138.0</v>
      </c>
      <c r="C1497" s="6">
        <v>3.0</v>
      </c>
      <c r="D1497" s="9" t="s">
        <v>1793</v>
      </c>
      <c r="E1497" s="9" t="s">
        <v>1794</v>
      </c>
      <c r="F1497" s="8"/>
    </row>
    <row r="1498" ht="21.0" customHeight="1">
      <c r="A1498" s="6">
        <v>1.0</v>
      </c>
      <c r="B1498" s="6">
        <v>138.0</v>
      </c>
      <c r="C1498" s="6">
        <v>4.0</v>
      </c>
      <c r="D1498" s="9" t="s">
        <v>1795</v>
      </c>
      <c r="E1498" s="9" t="s">
        <v>1796</v>
      </c>
      <c r="F1498" s="8"/>
    </row>
    <row r="1499" ht="21.0" customHeight="1">
      <c r="A1499" s="6">
        <v>1.0</v>
      </c>
      <c r="B1499" s="6">
        <v>138.0</v>
      </c>
      <c r="C1499" s="6">
        <v>5.0</v>
      </c>
      <c r="D1499" s="9" t="s">
        <v>1797</v>
      </c>
      <c r="E1499" s="9" t="s">
        <v>1798</v>
      </c>
      <c r="F1499" s="8"/>
    </row>
    <row r="1500" ht="21.0" customHeight="1">
      <c r="A1500" s="6">
        <v>1.0</v>
      </c>
      <c r="B1500" s="6">
        <v>138.0</v>
      </c>
      <c r="C1500" s="6">
        <v>6.0</v>
      </c>
      <c r="D1500" s="9" t="s">
        <v>1799</v>
      </c>
      <c r="E1500" s="9" t="s">
        <v>1800</v>
      </c>
      <c r="F1500" s="8"/>
    </row>
    <row r="1501" ht="21.0" customHeight="1">
      <c r="A1501" s="6">
        <v>1.0</v>
      </c>
      <c r="B1501" s="6">
        <v>138.0</v>
      </c>
      <c r="C1501" s="6">
        <v>7.0</v>
      </c>
      <c r="D1501" s="9" t="s">
        <v>1801</v>
      </c>
      <c r="E1501" s="9" t="s">
        <v>1802</v>
      </c>
      <c r="F1501" s="8"/>
    </row>
    <row r="1502" ht="21.0" customHeight="1">
      <c r="A1502" s="6">
        <v>1.0</v>
      </c>
      <c r="B1502" s="6">
        <v>138.0</v>
      </c>
      <c r="C1502" s="6">
        <v>8.0</v>
      </c>
      <c r="D1502" s="9" t="s">
        <v>1803</v>
      </c>
      <c r="E1502" s="9" t="s">
        <v>1804</v>
      </c>
      <c r="F1502" s="8"/>
    </row>
    <row r="1503" ht="21.0" customHeight="1">
      <c r="A1503" s="6">
        <v>1.0</v>
      </c>
      <c r="B1503" s="6">
        <v>138.0</v>
      </c>
      <c r="C1503" s="6">
        <v>9.0</v>
      </c>
      <c r="D1503" s="9" t="s">
        <v>1805</v>
      </c>
      <c r="E1503" s="9" t="s">
        <v>1806</v>
      </c>
      <c r="F1503" s="8"/>
    </row>
    <row r="1504" ht="21.0" customHeight="1">
      <c r="A1504" s="6">
        <v>1.0</v>
      </c>
      <c r="B1504" s="6">
        <v>138.0</v>
      </c>
      <c r="C1504" s="6">
        <v>10.0</v>
      </c>
      <c r="D1504" s="9" t="s">
        <v>1807</v>
      </c>
      <c r="E1504" s="9" t="s">
        <v>1808</v>
      </c>
      <c r="F1504" s="8"/>
    </row>
    <row r="1505" ht="21.0" customHeight="1">
      <c r="A1505" s="6">
        <v>1.0</v>
      </c>
      <c r="B1505" s="6">
        <v>138.0</v>
      </c>
      <c r="C1505" s="6">
        <v>11.0</v>
      </c>
      <c r="D1505" s="9" t="s">
        <v>1809</v>
      </c>
      <c r="E1505" s="9" t="s">
        <v>1810</v>
      </c>
      <c r="F1505" s="8"/>
    </row>
    <row r="1506" ht="21.0" customHeight="1">
      <c r="A1506" s="6">
        <v>1.0</v>
      </c>
      <c r="B1506" s="6">
        <v>138.0</v>
      </c>
      <c r="C1506" s="6">
        <v>12.0</v>
      </c>
      <c r="D1506" s="9" t="s">
        <v>1811</v>
      </c>
      <c r="E1506" s="9" t="s">
        <v>1812</v>
      </c>
      <c r="F1506" s="8"/>
    </row>
    <row r="1507" ht="21.0" customHeight="1">
      <c r="A1507" s="6">
        <v>11.0</v>
      </c>
      <c r="B1507" s="6">
        <v>1016.0</v>
      </c>
      <c r="C1507" s="6">
        <v>1.0</v>
      </c>
      <c r="D1507" s="9" t="s">
        <v>1813</v>
      </c>
      <c r="E1507" s="9" t="s">
        <v>1814</v>
      </c>
      <c r="F1507" s="8"/>
    </row>
    <row r="1508" ht="21.0" customHeight="1">
      <c r="A1508" s="6">
        <v>11.0</v>
      </c>
      <c r="B1508" s="6">
        <v>1016.0</v>
      </c>
      <c r="C1508" s="6">
        <v>2.0</v>
      </c>
      <c r="D1508" s="9" t="s">
        <v>1815</v>
      </c>
      <c r="E1508" s="9" t="s">
        <v>1816</v>
      </c>
      <c r="F1508" s="8"/>
    </row>
    <row r="1509" ht="21.0" customHeight="1">
      <c r="A1509" s="6">
        <v>11.0</v>
      </c>
      <c r="B1509" s="6">
        <v>1016.0</v>
      </c>
      <c r="C1509" s="6">
        <v>3.0</v>
      </c>
      <c r="D1509" s="11" t="s">
        <v>1817</v>
      </c>
      <c r="E1509" s="9" t="s">
        <v>1818</v>
      </c>
      <c r="F1509" s="8"/>
    </row>
    <row r="1510" ht="21.0" customHeight="1">
      <c r="A1510" s="6">
        <v>11.0</v>
      </c>
      <c r="B1510" s="6">
        <v>1016.0</v>
      </c>
      <c r="C1510" s="6">
        <v>4.0</v>
      </c>
      <c r="D1510" s="9" t="s">
        <v>1819</v>
      </c>
      <c r="E1510" s="9" t="s">
        <v>1820</v>
      </c>
      <c r="F1510" s="8"/>
    </row>
    <row r="1511" ht="21.0" customHeight="1">
      <c r="A1511" s="6">
        <v>10.0</v>
      </c>
      <c r="B1511" s="6">
        <v>1016.0</v>
      </c>
      <c r="C1511" s="6">
        <v>5.0</v>
      </c>
      <c r="D1511" s="9" t="s">
        <v>1821</v>
      </c>
      <c r="E1511" s="9" t="s">
        <v>1822</v>
      </c>
      <c r="F1511" s="8"/>
    </row>
    <row r="1512" ht="21.0" customHeight="1">
      <c r="A1512" s="6">
        <v>10.0</v>
      </c>
      <c r="B1512" s="6">
        <v>1016.0</v>
      </c>
      <c r="C1512" s="6">
        <v>6.0</v>
      </c>
      <c r="D1512" s="9" t="s">
        <v>1823</v>
      </c>
      <c r="E1512" s="9" t="s">
        <v>1824</v>
      </c>
      <c r="F1512" s="8"/>
    </row>
    <row r="1513" ht="21.0" customHeight="1">
      <c r="A1513" s="6">
        <v>10.0</v>
      </c>
      <c r="B1513" s="6">
        <v>1016.0</v>
      </c>
      <c r="C1513" s="6">
        <v>7.0</v>
      </c>
      <c r="D1513" s="9" t="s">
        <v>1825</v>
      </c>
      <c r="E1513" s="9" t="s">
        <v>1826</v>
      </c>
      <c r="F1513" s="8"/>
    </row>
    <row r="1514" ht="21.0" customHeight="1">
      <c r="A1514" s="6">
        <v>10.0</v>
      </c>
      <c r="B1514" s="6">
        <v>1016.0</v>
      </c>
      <c r="C1514" s="6">
        <v>8.0</v>
      </c>
      <c r="D1514" s="9" t="s">
        <v>1827</v>
      </c>
      <c r="E1514" s="9" t="s">
        <v>1828</v>
      </c>
      <c r="F1514" s="8"/>
    </row>
    <row r="1515" ht="21.0" customHeight="1">
      <c r="A1515" s="6">
        <v>10.0</v>
      </c>
      <c r="B1515" s="6">
        <v>1016.0</v>
      </c>
      <c r="C1515" s="6">
        <v>9.0</v>
      </c>
      <c r="D1515" s="9" t="s">
        <v>1829</v>
      </c>
      <c r="E1515" s="9" t="s">
        <v>1830</v>
      </c>
      <c r="F1515" s="8"/>
    </row>
    <row r="1516" ht="21.0" customHeight="1">
      <c r="A1516" s="6">
        <v>10.0</v>
      </c>
      <c r="B1516" s="6">
        <v>1016.0</v>
      </c>
      <c r="C1516" s="6">
        <v>10.0</v>
      </c>
      <c r="D1516" s="9" t="s">
        <v>1831</v>
      </c>
      <c r="E1516" s="9" t="s">
        <v>1832</v>
      </c>
      <c r="F1516" s="8"/>
    </row>
    <row r="1517" ht="21.0" customHeight="1">
      <c r="A1517" s="6">
        <v>1.0</v>
      </c>
      <c r="B1517" s="6">
        <v>130.0</v>
      </c>
      <c r="C1517" s="6">
        <v>1.0</v>
      </c>
      <c r="D1517" s="9" t="s">
        <v>1833</v>
      </c>
      <c r="E1517" s="9" t="s">
        <v>1834</v>
      </c>
      <c r="F1517" s="8"/>
    </row>
    <row r="1518" ht="21.0" customHeight="1">
      <c r="A1518" s="6">
        <v>1.0</v>
      </c>
      <c r="B1518" s="6">
        <v>130.0</v>
      </c>
      <c r="C1518" s="6">
        <v>2.0</v>
      </c>
      <c r="D1518" s="9" t="s">
        <v>1835</v>
      </c>
      <c r="E1518" s="9" t="s">
        <v>1836</v>
      </c>
      <c r="F1518" s="8"/>
    </row>
    <row r="1519" ht="21.0" customHeight="1">
      <c r="A1519" s="6">
        <v>1.0</v>
      </c>
      <c r="B1519" s="6">
        <v>130.0</v>
      </c>
      <c r="C1519" s="6">
        <v>3.0</v>
      </c>
      <c r="D1519" s="9" t="s">
        <v>1837</v>
      </c>
      <c r="E1519" s="9" t="s">
        <v>1838</v>
      </c>
      <c r="F1519" s="8"/>
    </row>
    <row r="1520" ht="21.0" customHeight="1">
      <c r="A1520" s="6">
        <v>1.0</v>
      </c>
      <c r="B1520" s="6">
        <v>130.0</v>
      </c>
      <c r="C1520" s="6">
        <v>4.0</v>
      </c>
      <c r="D1520" s="9" t="s">
        <v>1839</v>
      </c>
      <c r="E1520" s="9" t="s">
        <v>1840</v>
      </c>
      <c r="F1520" s="8"/>
    </row>
    <row r="1521" ht="21.0" customHeight="1">
      <c r="A1521" s="6">
        <v>1.0</v>
      </c>
      <c r="B1521" s="6">
        <v>130.0</v>
      </c>
      <c r="C1521" s="6">
        <v>5.0</v>
      </c>
      <c r="D1521" s="9" t="s">
        <v>1841</v>
      </c>
      <c r="E1521" s="9" t="s">
        <v>1842</v>
      </c>
      <c r="F1521" s="8"/>
    </row>
    <row r="1522" ht="21.0" customHeight="1">
      <c r="A1522" s="6">
        <v>1.0</v>
      </c>
      <c r="B1522" s="6">
        <v>130.0</v>
      </c>
      <c r="C1522" s="6">
        <v>6.0</v>
      </c>
      <c r="D1522" s="9" t="s">
        <v>1843</v>
      </c>
      <c r="E1522" s="9" t="s">
        <v>1844</v>
      </c>
      <c r="F1522" s="8"/>
    </row>
    <row r="1523" ht="21.0" customHeight="1">
      <c r="A1523" s="6">
        <v>1.0</v>
      </c>
      <c r="B1523" s="6">
        <v>130.0</v>
      </c>
      <c r="C1523" s="6">
        <v>7.0</v>
      </c>
      <c r="D1523" s="9" t="s">
        <v>1845</v>
      </c>
      <c r="E1523" s="9" t="s">
        <v>1846</v>
      </c>
      <c r="F1523" s="8"/>
    </row>
    <row r="1524" ht="21.0" customHeight="1">
      <c r="A1524" s="6">
        <v>1.0</v>
      </c>
      <c r="B1524" s="6">
        <v>130.0</v>
      </c>
      <c r="C1524" s="6">
        <v>8.0</v>
      </c>
      <c r="D1524" s="9" t="s">
        <v>1847</v>
      </c>
      <c r="E1524" s="9" t="s">
        <v>1848</v>
      </c>
      <c r="F1524" s="8"/>
    </row>
    <row r="1525" ht="21.0" customHeight="1">
      <c r="A1525" s="6">
        <v>1.0</v>
      </c>
      <c r="B1525" s="6">
        <v>130.0</v>
      </c>
      <c r="C1525" s="6">
        <v>9.0</v>
      </c>
      <c r="D1525" s="9" t="s">
        <v>1849</v>
      </c>
      <c r="E1525" s="9" t="s">
        <v>1850</v>
      </c>
      <c r="F1525" s="8"/>
    </row>
    <row r="1526" ht="21.0" customHeight="1">
      <c r="A1526" s="6">
        <v>1.0</v>
      </c>
      <c r="B1526" s="6">
        <v>130.0</v>
      </c>
      <c r="C1526" s="6">
        <v>10.0</v>
      </c>
      <c r="D1526" s="9" t="s">
        <v>1851</v>
      </c>
      <c r="E1526" s="9" t="s">
        <v>1852</v>
      </c>
      <c r="F1526" s="8"/>
    </row>
    <row r="1527" ht="21.0" customHeight="1">
      <c r="A1527" s="6">
        <v>1.0</v>
      </c>
      <c r="B1527" s="6">
        <v>130.0</v>
      </c>
      <c r="C1527" s="6">
        <v>11.0</v>
      </c>
      <c r="D1527" s="9" t="s">
        <v>1853</v>
      </c>
      <c r="E1527" s="9" t="s">
        <v>1854</v>
      </c>
      <c r="F1527" s="8"/>
    </row>
    <row r="1528" ht="21.0" customHeight="1">
      <c r="A1528" s="6">
        <v>1.0</v>
      </c>
      <c r="B1528" s="6">
        <v>130.0</v>
      </c>
      <c r="C1528" s="6">
        <v>12.0</v>
      </c>
      <c r="D1528" s="9" t="s">
        <v>1855</v>
      </c>
      <c r="E1528" s="9" t="s">
        <v>1856</v>
      </c>
      <c r="F1528" s="8"/>
    </row>
    <row r="1529" ht="21.0" customHeight="1">
      <c r="A1529" s="6">
        <v>1.0</v>
      </c>
      <c r="B1529" s="6">
        <v>130.0</v>
      </c>
      <c r="C1529" s="6">
        <v>13.0</v>
      </c>
      <c r="D1529" s="9" t="s">
        <v>1857</v>
      </c>
      <c r="E1529" s="9" t="s">
        <v>1858</v>
      </c>
      <c r="F1529" s="8"/>
    </row>
    <row r="1530" ht="21.0" customHeight="1">
      <c r="A1530" s="6">
        <v>1.0</v>
      </c>
      <c r="B1530" s="6">
        <v>131.0</v>
      </c>
      <c r="C1530" s="6">
        <v>1.0</v>
      </c>
      <c r="D1530" s="9" t="s">
        <v>1859</v>
      </c>
      <c r="E1530" s="9" t="s">
        <v>1860</v>
      </c>
      <c r="F1530" s="8"/>
    </row>
    <row r="1531" ht="21.0" customHeight="1">
      <c r="A1531" s="6">
        <v>1.0</v>
      </c>
      <c r="B1531" s="6">
        <v>131.0</v>
      </c>
      <c r="C1531" s="6">
        <v>2.0</v>
      </c>
      <c r="D1531" s="9" t="s">
        <v>1861</v>
      </c>
      <c r="E1531" s="9" t="s">
        <v>1862</v>
      </c>
      <c r="F1531" s="8"/>
    </row>
    <row r="1532" ht="21.0" customHeight="1">
      <c r="A1532" s="6">
        <v>1.0</v>
      </c>
      <c r="B1532" s="6">
        <v>131.0</v>
      </c>
      <c r="C1532" s="6">
        <v>3.0</v>
      </c>
      <c r="D1532" s="9" t="s">
        <v>1863</v>
      </c>
      <c r="E1532" s="9" t="s">
        <v>1864</v>
      </c>
      <c r="F1532" s="8"/>
    </row>
    <row r="1533" ht="21.0" customHeight="1">
      <c r="A1533" s="6">
        <v>1.0</v>
      </c>
      <c r="B1533" s="6">
        <v>131.0</v>
      </c>
      <c r="C1533" s="6">
        <v>4.0</v>
      </c>
      <c r="D1533" s="9" t="s">
        <v>1865</v>
      </c>
      <c r="E1533" s="9" t="s">
        <v>1866</v>
      </c>
      <c r="F1533" s="8"/>
    </row>
    <row r="1534" ht="21.0" customHeight="1">
      <c r="A1534" s="6">
        <v>1.0</v>
      </c>
      <c r="B1534" s="6">
        <v>131.0</v>
      </c>
      <c r="C1534" s="6">
        <v>5.0</v>
      </c>
      <c r="D1534" s="9" t="s">
        <v>1867</v>
      </c>
      <c r="E1534" s="9" t="s">
        <v>1868</v>
      </c>
      <c r="F1534" s="8"/>
    </row>
    <row r="1535" ht="21.0" customHeight="1">
      <c r="A1535" s="6">
        <v>1.0</v>
      </c>
      <c r="B1535" s="6">
        <v>131.0</v>
      </c>
      <c r="C1535" s="6">
        <v>6.0</v>
      </c>
      <c r="D1535" s="9" t="s">
        <v>1869</v>
      </c>
      <c r="E1535" s="9" t="s">
        <v>1870</v>
      </c>
      <c r="F1535" s="8"/>
    </row>
    <row r="1536" ht="21.0" customHeight="1">
      <c r="A1536" s="6">
        <v>1.0</v>
      </c>
      <c r="B1536" s="6">
        <v>131.0</v>
      </c>
      <c r="C1536" s="6">
        <v>7.0</v>
      </c>
      <c r="D1536" s="9" t="s">
        <v>1871</v>
      </c>
      <c r="E1536" s="9" t="s">
        <v>1872</v>
      </c>
      <c r="F1536" s="8"/>
    </row>
    <row r="1537" ht="21.0" customHeight="1">
      <c r="A1537" s="6">
        <v>1.0</v>
      </c>
      <c r="B1537" s="6">
        <v>131.0</v>
      </c>
      <c r="C1537" s="6">
        <v>8.0</v>
      </c>
      <c r="D1537" s="9" t="s">
        <v>1873</v>
      </c>
      <c r="E1537" s="9" t="s">
        <v>1874</v>
      </c>
      <c r="F1537" s="8"/>
    </row>
    <row r="1538" ht="21.0" customHeight="1">
      <c r="A1538" s="6">
        <v>1.0</v>
      </c>
      <c r="B1538" s="6">
        <v>131.0</v>
      </c>
      <c r="C1538" s="6">
        <v>9.0</v>
      </c>
      <c r="D1538" s="9" t="s">
        <v>1875</v>
      </c>
      <c r="E1538" s="9" t="s">
        <v>1876</v>
      </c>
      <c r="F1538" s="8"/>
    </row>
    <row r="1539" ht="21.0" customHeight="1">
      <c r="A1539" s="6">
        <v>1.0</v>
      </c>
      <c r="B1539" s="6">
        <v>131.0</v>
      </c>
      <c r="C1539" s="6">
        <v>10.0</v>
      </c>
      <c r="D1539" s="9" t="s">
        <v>1877</v>
      </c>
      <c r="E1539" s="9" t="s">
        <v>1878</v>
      </c>
      <c r="F1539" s="8"/>
    </row>
    <row r="1540" ht="21.0" customHeight="1">
      <c r="A1540" s="6">
        <v>1.0</v>
      </c>
      <c r="B1540" s="6">
        <v>132.0</v>
      </c>
      <c r="C1540" s="6">
        <v>1.0</v>
      </c>
      <c r="D1540" s="9" t="s">
        <v>1879</v>
      </c>
      <c r="E1540" s="9" t="s">
        <v>1880</v>
      </c>
      <c r="F1540" s="8"/>
    </row>
    <row r="1541" ht="21.0" customHeight="1">
      <c r="A1541" s="6">
        <v>1.0</v>
      </c>
      <c r="B1541" s="6">
        <v>132.0</v>
      </c>
      <c r="C1541" s="6">
        <v>2.0</v>
      </c>
      <c r="D1541" s="9" t="s">
        <v>1881</v>
      </c>
      <c r="E1541" s="9" t="s">
        <v>1882</v>
      </c>
      <c r="F1541" s="8"/>
    </row>
    <row r="1542" ht="21.0" customHeight="1">
      <c r="A1542" s="6">
        <v>1.0</v>
      </c>
      <c r="B1542" s="6">
        <v>132.0</v>
      </c>
      <c r="C1542" s="6">
        <v>3.0</v>
      </c>
      <c r="D1542" s="9" t="s">
        <v>1883</v>
      </c>
      <c r="E1542" s="9" t="s">
        <v>1884</v>
      </c>
      <c r="F1542" s="8"/>
    </row>
    <row r="1543" ht="21.0" customHeight="1">
      <c r="A1543" s="6">
        <v>1.0</v>
      </c>
      <c r="B1543" s="6">
        <v>132.0</v>
      </c>
      <c r="C1543" s="6">
        <v>4.0</v>
      </c>
      <c r="D1543" s="9" t="s">
        <v>1885</v>
      </c>
      <c r="E1543" s="9" t="s">
        <v>1886</v>
      </c>
      <c r="F1543" s="8"/>
    </row>
    <row r="1544" ht="21.0" customHeight="1">
      <c r="A1544" s="6">
        <v>1.0</v>
      </c>
      <c r="B1544" s="6">
        <v>132.0</v>
      </c>
      <c r="C1544" s="6">
        <v>5.0</v>
      </c>
      <c r="D1544" s="9" t="s">
        <v>1887</v>
      </c>
      <c r="E1544" s="9" t="s">
        <v>1888</v>
      </c>
      <c r="F1544" s="8"/>
    </row>
    <row r="1545" ht="21.0" customHeight="1">
      <c r="A1545" s="6">
        <v>1.0</v>
      </c>
      <c r="B1545" s="6">
        <v>132.0</v>
      </c>
      <c r="C1545" s="6">
        <v>6.0</v>
      </c>
      <c r="D1545" s="9" t="s">
        <v>1889</v>
      </c>
      <c r="E1545" s="9" t="s">
        <v>1890</v>
      </c>
      <c r="F1545" s="8"/>
    </row>
    <row r="1546" ht="21.0" customHeight="1">
      <c r="A1546" s="6">
        <v>1.0</v>
      </c>
      <c r="B1546" s="6">
        <v>132.0</v>
      </c>
      <c r="C1546" s="6">
        <v>7.0</v>
      </c>
      <c r="D1546" s="9" t="s">
        <v>1891</v>
      </c>
      <c r="E1546" s="9" t="s">
        <v>1892</v>
      </c>
      <c r="F1546" s="8"/>
    </row>
    <row r="1547" ht="21.0" customHeight="1">
      <c r="A1547" s="6">
        <v>1.0</v>
      </c>
      <c r="B1547" s="6">
        <v>132.0</v>
      </c>
      <c r="C1547" s="6">
        <v>8.0</v>
      </c>
      <c r="D1547" s="9" t="s">
        <v>1893</v>
      </c>
      <c r="E1547" s="9" t="s">
        <v>1894</v>
      </c>
      <c r="F1547" s="8"/>
    </row>
    <row r="1548" ht="21.0" customHeight="1">
      <c r="A1548" s="6">
        <v>1.0</v>
      </c>
      <c r="B1548" s="6">
        <v>132.0</v>
      </c>
      <c r="C1548" s="6">
        <v>9.0</v>
      </c>
      <c r="D1548" s="9" t="s">
        <v>1895</v>
      </c>
      <c r="E1548" s="9" t="s">
        <v>1896</v>
      </c>
      <c r="F1548" s="8"/>
    </row>
    <row r="1549" ht="21.0" customHeight="1">
      <c r="A1549" s="6">
        <v>1.0</v>
      </c>
      <c r="B1549" s="6">
        <v>132.0</v>
      </c>
      <c r="C1549" s="6">
        <v>10.0</v>
      </c>
      <c r="D1549" s="9" t="s">
        <v>1897</v>
      </c>
      <c r="E1549" s="9" t="s">
        <v>1898</v>
      </c>
      <c r="F1549" s="8"/>
    </row>
    <row r="1550" ht="21.0" customHeight="1">
      <c r="A1550" s="6">
        <v>1.0</v>
      </c>
      <c r="B1550" s="6">
        <v>133.0</v>
      </c>
      <c r="C1550" s="6">
        <v>1.0</v>
      </c>
      <c r="D1550" s="9" t="s">
        <v>1899</v>
      </c>
      <c r="E1550" s="9" t="s">
        <v>1900</v>
      </c>
      <c r="F1550" s="8"/>
    </row>
    <row r="1551" ht="21.0" customHeight="1">
      <c r="A1551" s="6">
        <v>1.0</v>
      </c>
      <c r="B1551" s="6">
        <v>133.0</v>
      </c>
      <c r="C1551" s="6">
        <v>2.0</v>
      </c>
      <c r="D1551" s="9" t="s">
        <v>1901</v>
      </c>
      <c r="E1551" s="9" t="s">
        <v>1902</v>
      </c>
      <c r="F1551" s="8"/>
    </row>
    <row r="1552" ht="21.0" customHeight="1">
      <c r="A1552" s="6">
        <v>1.0</v>
      </c>
      <c r="B1552" s="6">
        <v>133.0</v>
      </c>
      <c r="C1552" s="6">
        <v>3.0</v>
      </c>
      <c r="D1552" s="9" t="s">
        <v>1903</v>
      </c>
      <c r="E1552" s="9" t="s">
        <v>1904</v>
      </c>
      <c r="F1552" s="8"/>
    </row>
    <row r="1553" ht="21.0" customHeight="1">
      <c r="A1553" s="6">
        <v>1.0</v>
      </c>
      <c r="B1553" s="6">
        <v>133.0</v>
      </c>
      <c r="C1553" s="6">
        <v>4.0</v>
      </c>
      <c r="D1553" s="9" t="s">
        <v>1905</v>
      </c>
      <c r="E1553" s="9" t="s">
        <v>1906</v>
      </c>
      <c r="F1553" s="8"/>
    </row>
    <row r="1554" ht="21.0" customHeight="1">
      <c r="A1554" s="6">
        <v>1.0</v>
      </c>
      <c r="B1554" s="6">
        <v>133.0</v>
      </c>
      <c r="C1554" s="6">
        <v>5.0</v>
      </c>
      <c r="D1554" s="9" t="s">
        <v>1907</v>
      </c>
      <c r="E1554" s="9" t="s">
        <v>1908</v>
      </c>
      <c r="F1554" s="8"/>
    </row>
    <row r="1555" ht="21.0" customHeight="1">
      <c r="A1555" s="6">
        <v>1.0</v>
      </c>
      <c r="B1555" s="6">
        <v>133.0</v>
      </c>
      <c r="C1555" s="6">
        <v>6.0</v>
      </c>
      <c r="D1555" s="9" t="s">
        <v>1909</v>
      </c>
      <c r="E1555" s="9" t="s">
        <v>1910</v>
      </c>
      <c r="F1555" s="8"/>
    </row>
    <row r="1556" ht="21.0" customHeight="1">
      <c r="A1556" s="6">
        <v>1.0</v>
      </c>
      <c r="B1556" s="6">
        <v>133.0</v>
      </c>
      <c r="C1556" s="6">
        <v>7.0</v>
      </c>
      <c r="D1556" s="9" t="s">
        <v>1911</v>
      </c>
      <c r="E1556" s="9" t="s">
        <v>1912</v>
      </c>
      <c r="F1556" s="8"/>
    </row>
    <row r="1557" ht="21.0" customHeight="1">
      <c r="A1557" s="6">
        <v>1.0</v>
      </c>
      <c r="B1557" s="6">
        <v>133.0</v>
      </c>
      <c r="C1557" s="6">
        <v>8.0</v>
      </c>
      <c r="D1557" s="9" t="s">
        <v>1913</v>
      </c>
      <c r="E1557" s="9" t="s">
        <v>1914</v>
      </c>
      <c r="F1557" s="8"/>
    </row>
    <row r="1558" ht="21.0" customHeight="1">
      <c r="A1558" s="6">
        <v>1.0</v>
      </c>
      <c r="B1558" s="6">
        <v>133.0</v>
      </c>
      <c r="C1558" s="6">
        <v>9.0</v>
      </c>
      <c r="D1558" s="9" t="s">
        <v>1915</v>
      </c>
      <c r="E1558" s="9" t="s">
        <v>1916</v>
      </c>
      <c r="F1558" s="8"/>
    </row>
    <row r="1559" ht="21.0" customHeight="1">
      <c r="A1559" s="6">
        <v>1.0</v>
      </c>
      <c r="B1559" s="6">
        <v>133.0</v>
      </c>
      <c r="C1559" s="6">
        <v>10.0</v>
      </c>
      <c r="D1559" s="9" t="s">
        <v>1917</v>
      </c>
      <c r="E1559" s="9" t="s">
        <v>1918</v>
      </c>
      <c r="F1559" s="8"/>
    </row>
    <row r="1560" ht="21.0" customHeight="1">
      <c r="A1560" s="6">
        <v>1.0</v>
      </c>
      <c r="B1560" s="6">
        <v>134.0</v>
      </c>
      <c r="C1560" s="6">
        <v>1.0</v>
      </c>
      <c r="D1560" s="9" t="s">
        <v>1919</v>
      </c>
      <c r="E1560" s="9" t="s">
        <v>1920</v>
      </c>
      <c r="F1560" s="8"/>
    </row>
    <row r="1561" ht="21.0" customHeight="1">
      <c r="A1561" s="6">
        <v>1.0</v>
      </c>
      <c r="B1561" s="6">
        <v>134.0</v>
      </c>
      <c r="C1561" s="6">
        <v>2.0</v>
      </c>
      <c r="D1561" s="9" t="s">
        <v>1921</v>
      </c>
      <c r="E1561" s="9" t="s">
        <v>1922</v>
      </c>
      <c r="F1561" s="8"/>
    </row>
    <row r="1562" ht="21.0" customHeight="1">
      <c r="A1562" s="6">
        <v>1.0</v>
      </c>
      <c r="B1562" s="6">
        <v>134.0</v>
      </c>
      <c r="C1562" s="6">
        <v>3.0</v>
      </c>
      <c r="D1562" s="9" t="s">
        <v>1923</v>
      </c>
      <c r="E1562" s="9" t="s">
        <v>1924</v>
      </c>
      <c r="F1562" s="8"/>
    </row>
    <row r="1563" ht="21.0" customHeight="1">
      <c r="A1563" s="6">
        <v>1.0</v>
      </c>
      <c r="B1563" s="6">
        <v>134.0</v>
      </c>
      <c r="C1563" s="6">
        <v>4.0</v>
      </c>
      <c r="D1563" s="9" t="s">
        <v>1925</v>
      </c>
      <c r="E1563" s="9" t="s">
        <v>1926</v>
      </c>
      <c r="F1563" s="8"/>
    </row>
    <row r="1564" ht="21.0" customHeight="1">
      <c r="A1564" s="6">
        <v>1.0</v>
      </c>
      <c r="B1564" s="6">
        <v>134.0</v>
      </c>
      <c r="C1564" s="6">
        <v>5.0</v>
      </c>
      <c r="D1564" s="9" t="s">
        <v>1927</v>
      </c>
      <c r="E1564" s="9" t="s">
        <v>1928</v>
      </c>
      <c r="F1564" s="8"/>
    </row>
    <row r="1565" ht="21.0" customHeight="1">
      <c r="A1565" s="6">
        <v>1.0</v>
      </c>
      <c r="B1565" s="6">
        <v>134.0</v>
      </c>
      <c r="C1565" s="6">
        <v>6.0</v>
      </c>
      <c r="D1565" s="9" t="s">
        <v>1929</v>
      </c>
      <c r="E1565" s="9" t="s">
        <v>1930</v>
      </c>
      <c r="F1565" s="8"/>
    </row>
    <row r="1566" ht="21.0" customHeight="1">
      <c r="A1566" s="6">
        <v>1.0</v>
      </c>
      <c r="B1566" s="6">
        <v>134.0</v>
      </c>
      <c r="C1566" s="6">
        <v>7.0</v>
      </c>
      <c r="D1566" s="9" t="s">
        <v>1931</v>
      </c>
      <c r="E1566" s="9" t="s">
        <v>1932</v>
      </c>
      <c r="F1566" s="8"/>
    </row>
    <row r="1567" ht="21.0" customHeight="1">
      <c r="A1567" s="6">
        <v>1.0</v>
      </c>
      <c r="B1567" s="6">
        <v>134.0</v>
      </c>
      <c r="C1567" s="6">
        <v>8.0</v>
      </c>
      <c r="D1567" s="11" t="s">
        <v>1933</v>
      </c>
      <c r="E1567" s="9" t="s">
        <v>1934</v>
      </c>
      <c r="F1567" s="8"/>
    </row>
    <row r="1568" ht="21.0" customHeight="1">
      <c r="A1568" s="6">
        <v>1.0</v>
      </c>
      <c r="B1568" s="6">
        <v>134.0</v>
      </c>
      <c r="C1568" s="6">
        <v>9.0</v>
      </c>
      <c r="D1568" s="9" t="s">
        <v>1935</v>
      </c>
      <c r="E1568" s="9" t="s">
        <v>1936</v>
      </c>
      <c r="F1568" s="8"/>
    </row>
    <row r="1569" ht="21.0" customHeight="1">
      <c r="A1569" s="6">
        <v>1.0</v>
      </c>
      <c r="B1569" s="6">
        <v>134.0</v>
      </c>
      <c r="C1569" s="6">
        <v>10.0</v>
      </c>
      <c r="D1569" s="9" t="s">
        <v>1937</v>
      </c>
      <c r="E1569" s="9" t="s">
        <v>1938</v>
      </c>
      <c r="F1569" s="8"/>
    </row>
    <row r="1570" ht="21.0" customHeight="1">
      <c r="A1570" s="6">
        <v>1.0</v>
      </c>
      <c r="B1570" s="6">
        <v>134.0</v>
      </c>
      <c r="C1570" s="6">
        <v>11.0</v>
      </c>
      <c r="D1570" s="9" t="s">
        <v>1939</v>
      </c>
      <c r="E1570" s="9" t="s">
        <v>1940</v>
      </c>
      <c r="F1570" s="8"/>
    </row>
    <row r="1571" ht="21.0" customHeight="1">
      <c r="A1571" s="6">
        <v>1.0</v>
      </c>
      <c r="B1571" s="6">
        <v>134.0</v>
      </c>
      <c r="C1571" s="6">
        <v>12.0</v>
      </c>
      <c r="D1571" s="9" t="s">
        <v>1941</v>
      </c>
      <c r="E1571" s="9" t="s">
        <v>1942</v>
      </c>
      <c r="F1571" s="8"/>
    </row>
    <row r="1572" ht="21.0" customHeight="1">
      <c r="A1572" s="6">
        <v>1.0</v>
      </c>
      <c r="B1572" s="6">
        <v>134.0</v>
      </c>
      <c r="C1572" s="6">
        <v>13.0</v>
      </c>
      <c r="D1572" s="9" t="s">
        <v>1943</v>
      </c>
      <c r="E1572" s="9" t="s">
        <v>1944</v>
      </c>
      <c r="F1572" s="8"/>
    </row>
    <row r="1573" ht="21.0" customHeight="1">
      <c r="A1573" s="6">
        <v>1.0</v>
      </c>
      <c r="B1573" s="6">
        <v>135.0</v>
      </c>
      <c r="C1573" s="6">
        <v>1.0</v>
      </c>
      <c r="D1573" s="9" t="s">
        <v>1945</v>
      </c>
      <c r="E1573" s="9" t="s">
        <v>1946</v>
      </c>
      <c r="F1573" s="8"/>
    </row>
    <row r="1574" ht="21.0" customHeight="1">
      <c r="A1574" s="6">
        <v>1.0</v>
      </c>
      <c r="B1574" s="6">
        <v>135.0</v>
      </c>
      <c r="C1574" s="6">
        <v>2.0</v>
      </c>
      <c r="D1574" s="9" t="s">
        <v>1947</v>
      </c>
      <c r="E1574" s="9" t="s">
        <v>1948</v>
      </c>
      <c r="F1574" s="8"/>
    </row>
    <row r="1575" ht="21.0" customHeight="1">
      <c r="A1575" s="6">
        <v>1.0</v>
      </c>
      <c r="B1575" s="6">
        <v>135.0</v>
      </c>
      <c r="C1575" s="6">
        <v>3.0</v>
      </c>
      <c r="D1575" s="9" t="s">
        <v>1949</v>
      </c>
      <c r="E1575" s="9" t="s">
        <v>1950</v>
      </c>
      <c r="F1575" s="8"/>
    </row>
    <row r="1576" ht="21.0" customHeight="1">
      <c r="A1576" s="6">
        <v>1.0</v>
      </c>
      <c r="B1576" s="6">
        <v>135.0</v>
      </c>
      <c r="C1576" s="6">
        <v>4.0</v>
      </c>
      <c r="D1576" s="9" t="s">
        <v>1951</v>
      </c>
      <c r="E1576" s="9" t="s">
        <v>1952</v>
      </c>
      <c r="F1576" s="8"/>
    </row>
    <row r="1577" ht="21.0" customHeight="1">
      <c r="A1577" s="6">
        <v>1.0</v>
      </c>
      <c r="B1577" s="6">
        <v>135.0</v>
      </c>
      <c r="C1577" s="6">
        <v>5.0</v>
      </c>
      <c r="D1577" s="9" t="s">
        <v>1953</v>
      </c>
      <c r="E1577" s="9" t="s">
        <v>1954</v>
      </c>
      <c r="F1577" s="8"/>
    </row>
    <row r="1578" ht="21.0" customHeight="1">
      <c r="A1578" s="6">
        <v>1.0</v>
      </c>
      <c r="B1578" s="6">
        <v>135.0</v>
      </c>
      <c r="C1578" s="6">
        <v>6.0</v>
      </c>
      <c r="D1578" s="9" t="s">
        <v>1955</v>
      </c>
      <c r="E1578" s="9" t="s">
        <v>1956</v>
      </c>
      <c r="F1578" s="8"/>
    </row>
    <row r="1579" ht="21.0" customHeight="1">
      <c r="A1579" s="6">
        <v>1.0</v>
      </c>
      <c r="B1579" s="6">
        <v>135.0</v>
      </c>
      <c r="C1579" s="6">
        <v>7.0</v>
      </c>
      <c r="D1579" s="9" t="s">
        <v>1957</v>
      </c>
      <c r="E1579" s="9" t="s">
        <v>1958</v>
      </c>
      <c r="F1579" s="8"/>
    </row>
    <row r="1580" ht="21.0" customHeight="1">
      <c r="A1580" s="6">
        <v>1.0</v>
      </c>
      <c r="B1580" s="6">
        <v>135.0</v>
      </c>
      <c r="C1580" s="6">
        <v>8.0</v>
      </c>
      <c r="D1580" s="9" t="s">
        <v>1959</v>
      </c>
      <c r="E1580" s="9" t="s">
        <v>1960</v>
      </c>
      <c r="F1580" s="8"/>
    </row>
    <row r="1581" ht="21.0" customHeight="1">
      <c r="A1581" s="6">
        <v>1.0</v>
      </c>
      <c r="B1581" s="6">
        <v>135.0</v>
      </c>
      <c r="C1581" s="6">
        <v>9.0</v>
      </c>
      <c r="D1581" s="9" t="s">
        <v>1961</v>
      </c>
      <c r="E1581" s="9" t="s">
        <v>1962</v>
      </c>
      <c r="F1581" s="8"/>
    </row>
    <row r="1582" ht="21.0" customHeight="1">
      <c r="A1582" s="6">
        <v>1.0</v>
      </c>
      <c r="B1582" s="6">
        <v>135.0</v>
      </c>
      <c r="C1582" s="6">
        <v>10.0</v>
      </c>
      <c r="D1582" s="9" t="s">
        <v>1963</v>
      </c>
      <c r="E1582" s="9" t="s">
        <v>1964</v>
      </c>
      <c r="F1582" s="8"/>
    </row>
    <row r="1583" ht="21.0" customHeight="1">
      <c r="A1583" s="6">
        <v>11.0</v>
      </c>
      <c r="B1583" s="6">
        <v>1017.0</v>
      </c>
      <c r="C1583" s="6">
        <v>1.0</v>
      </c>
      <c r="D1583" s="9" t="s">
        <v>1965</v>
      </c>
      <c r="E1583" s="9" t="s">
        <v>1966</v>
      </c>
      <c r="F1583" s="8"/>
    </row>
    <row r="1584" ht="21.0" customHeight="1">
      <c r="A1584" s="6">
        <v>11.0</v>
      </c>
      <c r="B1584" s="6">
        <v>1017.0</v>
      </c>
      <c r="C1584" s="6">
        <v>2.0</v>
      </c>
      <c r="D1584" s="9" t="s">
        <v>1967</v>
      </c>
      <c r="E1584" s="9" t="s">
        <v>1968</v>
      </c>
      <c r="F1584" s="8"/>
    </row>
    <row r="1585" ht="21.0" customHeight="1">
      <c r="A1585" s="6">
        <v>11.0</v>
      </c>
      <c r="B1585" s="6">
        <v>1017.0</v>
      </c>
      <c r="C1585" s="6">
        <v>3.0</v>
      </c>
      <c r="D1585" s="9" t="s">
        <v>1969</v>
      </c>
      <c r="E1585" s="9" t="s">
        <v>1970</v>
      </c>
      <c r="F1585" s="8"/>
    </row>
    <row r="1586" ht="21.0" customHeight="1">
      <c r="A1586" s="6">
        <v>11.0</v>
      </c>
      <c r="B1586" s="6">
        <v>1017.0</v>
      </c>
      <c r="C1586" s="6">
        <v>4.0</v>
      </c>
      <c r="D1586" s="9" t="s">
        <v>1971</v>
      </c>
      <c r="E1586" s="9" t="s">
        <v>1972</v>
      </c>
      <c r="F1586" s="8"/>
    </row>
    <row r="1587" ht="21.0" customHeight="1">
      <c r="A1587" s="6">
        <v>10.0</v>
      </c>
      <c r="B1587" s="6">
        <v>1017.0</v>
      </c>
      <c r="C1587" s="6">
        <v>5.0</v>
      </c>
      <c r="D1587" s="9" t="s">
        <v>1973</v>
      </c>
      <c r="E1587" s="9" t="s">
        <v>1974</v>
      </c>
      <c r="F1587" s="8"/>
    </row>
    <row r="1588" ht="21.0" customHeight="1">
      <c r="A1588" s="6">
        <v>10.0</v>
      </c>
      <c r="B1588" s="6">
        <v>1017.0</v>
      </c>
      <c r="C1588" s="6">
        <v>6.0</v>
      </c>
      <c r="D1588" s="9" t="s">
        <v>1975</v>
      </c>
      <c r="E1588" s="9" t="s">
        <v>1976</v>
      </c>
      <c r="F1588" s="8"/>
    </row>
    <row r="1589" ht="21.0" customHeight="1">
      <c r="A1589" s="6">
        <v>10.0</v>
      </c>
      <c r="B1589" s="6">
        <v>1017.0</v>
      </c>
      <c r="C1589" s="6">
        <v>7.0</v>
      </c>
      <c r="D1589" s="9" t="s">
        <v>1977</v>
      </c>
      <c r="E1589" s="9" t="s">
        <v>1978</v>
      </c>
      <c r="F1589" s="8"/>
    </row>
    <row r="1590" ht="21.0" customHeight="1">
      <c r="A1590" s="6">
        <v>10.0</v>
      </c>
      <c r="B1590" s="6">
        <v>1017.0</v>
      </c>
      <c r="C1590" s="6">
        <v>8.0</v>
      </c>
      <c r="D1590" s="9" t="s">
        <v>1979</v>
      </c>
      <c r="E1590" s="9" t="s">
        <v>1980</v>
      </c>
      <c r="F1590" s="8"/>
    </row>
    <row r="1591" ht="21.0" customHeight="1">
      <c r="A1591" s="6">
        <v>10.0</v>
      </c>
      <c r="B1591" s="6">
        <v>1017.0</v>
      </c>
      <c r="C1591" s="6">
        <v>9.0</v>
      </c>
      <c r="D1591" s="9" t="s">
        <v>1981</v>
      </c>
      <c r="E1591" s="9" t="s">
        <v>1982</v>
      </c>
      <c r="F1591" s="8"/>
    </row>
    <row r="1592" ht="21.0" customHeight="1">
      <c r="A1592" s="6">
        <v>10.0</v>
      </c>
      <c r="B1592" s="6">
        <v>1017.0</v>
      </c>
      <c r="C1592" s="6">
        <v>10.0</v>
      </c>
      <c r="D1592" s="9" t="s">
        <v>1983</v>
      </c>
      <c r="E1592" s="9" t="s">
        <v>1984</v>
      </c>
      <c r="F1592" s="8"/>
    </row>
    <row r="1593" ht="21.0" customHeight="1">
      <c r="A1593" s="6">
        <v>1.0</v>
      </c>
      <c r="B1593" s="6">
        <v>142.0</v>
      </c>
      <c r="C1593" s="6">
        <v>1.0</v>
      </c>
      <c r="D1593" s="9" t="s">
        <v>1985</v>
      </c>
      <c r="E1593" s="9" t="s">
        <v>1986</v>
      </c>
      <c r="F1593" s="8"/>
    </row>
    <row r="1594" ht="21.0" customHeight="1">
      <c r="A1594" s="6">
        <v>1.0</v>
      </c>
      <c r="B1594" s="6">
        <v>142.0</v>
      </c>
      <c r="C1594" s="6">
        <v>2.0</v>
      </c>
      <c r="D1594" s="9" t="s">
        <v>1987</v>
      </c>
      <c r="E1594" s="9" t="s">
        <v>1988</v>
      </c>
      <c r="F1594" s="8"/>
    </row>
    <row r="1595" ht="21.0" customHeight="1">
      <c r="A1595" s="6">
        <v>1.0</v>
      </c>
      <c r="B1595" s="6">
        <v>142.0</v>
      </c>
      <c r="C1595" s="6">
        <v>3.0</v>
      </c>
      <c r="D1595" s="9" t="s">
        <v>1989</v>
      </c>
      <c r="E1595" s="9" t="s">
        <v>1990</v>
      </c>
      <c r="F1595" s="8"/>
    </row>
    <row r="1596" ht="21.0" customHeight="1">
      <c r="A1596" s="6">
        <v>1.0</v>
      </c>
      <c r="B1596" s="6">
        <v>142.0</v>
      </c>
      <c r="C1596" s="6">
        <v>4.0</v>
      </c>
      <c r="D1596" s="9" t="s">
        <v>1991</v>
      </c>
      <c r="E1596" s="9" t="s">
        <v>1992</v>
      </c>
      <c r="F1596" s="8"/>
    </row>
    <row r="1597" ht="21.0" customHeight="1">
      <c r="A1597" s="6">
        <v>1.0</v>
      </c>
      <c r="B1597" s="6">
        <v>142.0</v>
      </c>
      <c r="C1597" s="6">
        <v>5.0</v>
      </c>
      <c r="D1597" s="9" t="s">
        <v>1993</v>
      </c>
      <c r="E1597" s="9" t="s">
        <v>1994</v>
      </c>
      <c r="F1597" s="8"/>
    </row>
    <row r="1598" ht="21.0" customHeight="1">
      <c r="A1598" s="6">
        <v>1.0</v>
      </c>
      <c r="B1598" s="6">
        <v>142.0</v>
      </c>
      <c r="C1598" s="6">
        <v>6.0</v>
      </c>
      <c r="D1598" s="9" t="s">
        <v>1995</v>
      </c>
      <c r="E1598" s="9" t="s">
        <v>1996</v>
      </c>
      <c r="F1598" s="8"/>
    </row>
    <row r="1599" ht="21.0" customHeight="1">
      <c r="A1599" s="6">
        <v>1.0</v>
      </c>
      <c r="B1599" s="6">
        <v>142.0</v>
      </c>
      <c r="C1599" s="6">
        <v>7.0</v>
      </c>
      <c r="D1599" s="9" t="s">
        <v>1997</v>
      </c>
      <c r="E1599" s="9" t="s">
        <v>1998</v>
      </c>
      <c r="F1599" s="8"/>
    </row>
    <row r="1600" ht="21.0" customHeight="1">
      <c r="A1600" s="6">
        <v>1.0</v>
      </c>
      <c r="B1600" s="6">
        <v>142.0</v>
      </c>
      <c r="C1600" s="6">
        <v>8.0</v>
      </c>
      <c r="D1600" s="9" t="s">
        <v>1999</v>
      </c>
      <c r="E1600" s="9" t="s">
        <v>2000</v>
      </c>
      <c r="F1600" s="8"/>
    </row>
    <row r="1601" ht="21.0" customHeight="1">
      <c r="A1601" s="6">
        <v>1.0</v>
      </c>
      <c r="B1601" s="6">
        <v>142.0</v>
      </c>
      <c r="C1601" s="6">
        <v>9.0</v>
      </c>
      <c r="D1601" s="9" t="s">
        <v>2001</v>
      </c>
      <c r="E1601" s="9" t="s">
        <v>2002</v>
      </c>
      <c r="F1601" s="8"/>
    </row>
    <row r="1602" ht="21.0" customHeight="1">
      <c r="A1602" s="6">
        <v>1.0</v>
      </c>
      <c r="B1602" s="6">
        <v>142.0</v>
      </c>
      <c r="C1602" s="6">
        <v>10.0</v>
      </c>
      <c r="D1602" s="9" t="s">
        <v>2003</v>
      </c>
      <c r="E1602" s="9" t="s">
        <v>2004</v>
      </c>
      <c r="F1602" s="8"/>
    </row>
    <row r="1603" ht="21.0" customHeight="1">
      <c r="A1603" s="6">
        <v>1.0</v>
      </c>
      <c r="B1603" s="6">
        <v>142.0</v>
      </c>
      <c r="C1603" s="6">
        <v>11.0</v>
      </c>
      <c r="D1603" s="9" t="s">
        <v>2005</v>
      </c>
      <c r="E1603" s="9" t="s">
        <v>2006</v>
      </c>
      <c r="F1603" s="8"/>
    </row>
    <row r="1604" ht="21.0" customHeight="1">
      <c r="A1604" s="6">
        <v>1.0</v>
      </c>
      <c r="B1604" s="6">
        <v>142.0</v>
      </c>
      <c r="C1604" s="6">
        <v>12.0</v>
      </c>
      <c r="D1604" s="9" t="s">
        <v>2007</v>
      </c>
      <c r="E1604" s="9" t="s">
        <v>2008</v>
      </c>
      <c r="F1604" s="8"/>
    </row>
    <row r="1605" ht="21.0" customHeight="1">
      <c r="A1605" s="6">
        <v>1.0</v>
      </c>
      <c r="B1605" s="6">
        <v>142.0</v>
      </c>
      <c r="C1605" s="6">
        <v>13.0</v>
      </c>
      <c r="D1605" s="9" t="s">
        <v>2009</v>
      </c>
      <c r="E1605" s="9" t="s">
        <v>2010</v>
      </c>
      <c r="F1605" s="8"/>
    </row>
    <row r="1606" ht="21.0" customHeight="1">
      <c r="A1606" s="6">
        <v>1.0</v>
      </c>
      <c r="B1606" s="6">
        <v>141.0</v>
      </c>
      <c r="C1606" s="6">
        <v>1.0</v>
      </c>
      <c r="D1606" s="9" t="s">
        <v>2011</v>
      </c>
      <c r="E1606" s="9" t="s">
        <v>2012</v>
      </c>
      <c r="F1606" s="8"/>
    </row>
    <row r="1607" ht="21.0" customHeight="1">
      <c r="A1607" s="6">
        <v>1.0</v>
      </c>
      <c r="B1607" s="6">
        <v>141.0</v>
      </c>
      <c r="C1607" s="6">
        <v>2.0</v>
      </c>
      <c r="D1607" s="9" t="s">
        <v>2013</v>
      </c>
      <c r="E1607" s="9" t="s">
        <v>2014</v>
      </c>
      <c r="F1607" s="8"/>
    </row>
    <row r="1608" ht="21.0" customHeight="1">
      <c r="A1608" s="6">
        <v>1.0</v>
      </c>
      <c r="B1608" s="6">
        <v>141.0</v>
      </c>
      <c r="C1608" s="6">
        <v>3.0</v>
      </c>
      <c r="D1608" s="9" t="s">
        <v>2015</v>
      </c>
      <c r="E1608" s="9" t="s">
        <v>2016</v>
      </c>
      <c r="F1608" s="8"/>
    </row>
    <row r="1609" ht="21.0" customHeight="1">
      <c r="A1609" s="6">
        <v>1.0</v>
      </c>
      <c r="B1609" s="6">
        <v>141.0</v>
      </c>
      <c r="C1609" s="6">
        <v>4.0</v>
      </c>
      <c r="D1609" s="9" t="s">
        <v>2017</v>
      </c>
      <c r="E1609" s="9" t="s">
        <v>2018</v>
      </c>
      <c r="F1609" s="8"/>
    </row>
    <row r="1610" ht="21.0" customHeight="1">
      <c r="A1610" s="6">
        <v>1.0</v>
      </c>
      <c r="B1610" s="6">
        <v>141.0</v>
      </c>
      <c r="C1610" s="6">
        <v>5.0</v>
      </c>
      <c r="D1610" s="9" t="s">
        <v>2019</v>
      </c>
      <c r="E1610" s="9" t="s">
        <v>2020</v>
      </c>
      <c r="F1610" s="8"/>
    </row>
    <row r="1611" ht="21.0" customHeight="1">
      <c r="A1611" s="6">
        <v>1.0</v>
      </c>
      <c r="B1611" s="6">
        <v>141.0</v>
      </c>
      <c r="C1611" s="6">
        <v>6.0</v>
      </c>
      <c r="D1611" s="9" t="s">
        <v>2021</v>
      </c>
      <c r="E1611" s="9" t="s">
        <v>2022</v>
      </c>
      <c r="F1611" s="8"/>
    </row>
    <row r="1612" ht="21.0" customHeight="1">
      <c r="A1612" s="6">
        <v>1.0</v>
      </c>
      <c r="B1612" s="6">
        <v>141.0</v>
      </c>
      <c r="C1612" s="6">
        <v>7.0</v>
      </c>
      <c r="D1612" s="9" t="s">
        <v>2023</v>
      </c>
      <c r="E1612" s="9" t="s">
        <v>2024</v>
      </c>
      <c r="F1612" s="8"/>
    </row>
    <row r="1613" ht="21.0" customHeight="1">
      <c r="A1613" s="6">
        <v>1.0</v>
      </c>
      <c r="B1613" s="6">
        <v>141.0</v>
      </c>
      <c r="C1613" s="6">
        <v>8.0</v>
      </c>
      <c r="D1613" s="9" t="s">
        <v>2025</v>
      </c>
      <c r="E1613" s="9" t="s">
        <v>2026</v>
      </c>
      <c r="F1613" s="8"/>
    </row>
    <row r="1614" ht="21.0" customHeight="1">
      <c r="A1614" s="6">
        <v>1.0</v>
      </c>
      <c r="B1614" s="6">
        <v>141.0</v>
      </c>
      <c r="C1614" s="6">
        <v>9.0</v>
      </c>
      <c r="D1614" s="9" t="s">
        <v>2027</v>
      </c>
      <c r="E1614" s="9" t="s">
        <v>2028</v>
      </c>
      <c r="F1614" s="8"/>
    </row>
    <row r="1615" ht="21.0" customHeight="1">
      <c r="A1615" s="6">
        <v>1.0</v>
      </c>
      <c r="B1615" s="6">
        <v>141.0</v>
      </c>
      <c r="C1615" s="6">
        <v>10.0</v>
      </c>
      <c r="D1615" s="9" t="s">
        <v>2029</v>
      </c>
      <c r="E1615" s="9" t="s">
        <v>2030</v>
      </c>
      <c r="F1615" s="8"/>
    </row>
    <row r="1616" ht="21.0" customHeight="1">
      <c r="A1616" s="6">
        <v>1.0</v>
      </c>
      <c r="B1616" s="6">
        <v>141.0</v>
      </c>
      <c r="C1616" s="6">
        <v>11.0</v>
      </c>
      <c r="D1616" s="9" t="s">
        <v>2031</v>
      </c>
      <c r="E1616" s="9" t="s">
        <v>2032</v>
      </c>
      <c r="F1616" s="8"/>
    </row>
    <row r="1617" ht="21.0" customHeight="1">
      <c r="A1617" s="6">
        <v>1.0</v>
      </c>
      <c r="B1617" s="6">
        <v>141.0</v>
      </c>
      <c r="C1617" s="6">
        <v>12.0</v>
      </c>
      <c r="D1617" s="9" t="s">
        <v>2033</v>
      </c>
      <c r="E1617" s="9" t="s">
        <v>2034</v>
      </c>
      <c r="F1617" s="8"/>
    </row>
    <row r="1618" ht="21.0" customHeight="1">
      <c r="A1618" s="6">
        <v>1.0</v>
      </c>
      <c r="B1618" s="6">
        <v>141.0</v>
      </c>
      <c r="C1618" s="6">
        <v>13.0</v>
      </c>
      <c r="D1618" s="9" t="s">
        <v>2035</v>
      </c>
      <c r="E1618" s="9" t="s">
        <v>2036</v>
      </c>
      <c r="F1618" s="8"/>
    </row>
    <row r="1619" ht="21.0" customHeight="1">
      <c r="A1619" s="6">
        <v>1.0</v>
      </c>
      <c r="B1619" s="6">
        <v>143.0</v>
      </c>
      <c r="C1619" s="6">
        <v>1.0</v>
      </c>
      <c r="D1619" s="9" t="s">
        <v>2037</v>
      </c>
      <c r="E1619" s="9" t="s">
        <v>2038</v>
      </c>
      <c r="F1619" s="8"/>
    </row>
    <row r="1620" ht="21.0" customHeight="1">
      <c r="A1620" s="6">
        <v>1.0</v>
      </c>
      <c r="B1620" s="6">
        <v>143.0</v>
      </c>
      <c r="C1620" s="6">
        <v>2.0</v>
      </c>
      <c r="D1620" s="9" t="s">
        <v>2039</v>
      </c>
      <c r="E1620" s="9" t="s">
        <v>2040</v>
      </c>
      <c r="F1620" s="8"/>
    </row>
    <row r="1621" ht="21.0" customHeight="1">
      <c r="A1621" s="6">
        <v>1.0</v>
      </c>
      <c r="B1621" s="6">
        <v>143.0</v>
      </c>
      <c r="C1621" s="6">
        <v>3.0</v>
      </c>
      <c r="D1621" s="9" t="s">
        <v>2041</v>
      </c>
      <c r="E1621" s="9" t="s">
        <v>2042</v>
      </c>
      <c r="F1621" s="8"/>
    </row>
    <row r="1622" ht="21.0" customHeight="1">
      <c r="A1622" s="6">
        <v>1.0</v>
      </c>
      <c r="B1622" s="6">
        <v>143.0</v>
      </c>
      <c r="C1622" s="6">
        <v>4.0</v>
      </c>
      <c r="D1622" s="9" t="s">
        <v>2043</v>
      </c>
      <c r="E1622" s="9" t="s">
        <v>2044</v>
      </c>
      <c r="F1622" s="8"/>
    </row>
    <row r="1623" ht="21.0" customHeight="1">
      <c r="A1623" s="6">
        <v>1.0</v>
      </c>
      <c r="B1623" s="6">
        <v>143.0</v>
      </c>
      <c r="C1623" s="6">
        <v>5.0</v>
      </c>
      <c r="D1623" s="9" t="s">
        <v>2045</v>
      </c>
      <c r="E1623" s="9" t="s">
        <v>2046</v>
      </c>
      <c r="F1623" s="8"/>
    </row>
    <row r="1624" ht="21.0" customHeight="1">
      <c r="A1624" s="6">
        <v>1.0</v>
      </c>
      <c r="B1624" s="6">
        <v>143.0</v>
      </c>
      <c r="C1624" s="6">
        <v>6.0</v>
      </c>
      <c r="D1624" s="9" t="s">
        <v>2047</v>
      </c>
      <c r="E1624" s="9" t="s">
        <v>2048</v>
      </c>
      <c r="F1624" s="8"/>
    </row>
    <row r="1625" ht="21.0" customHeight="1">
      <c r="A1625" s="6">
        <v>1.0</v>
      </c>
      <c r="B1625" s="6">
        <v>143.0</v>
      </c>
      <c r="C1625" s="6">
        <v>7.0</v>
      </c>
      <c r="D1625" s="9" t="s">
        <v>2049</v>
      </c>
      <c r="E1625" s="9" t="s">
        <v>2050</v>
      </c>
      <c r="F1625" s="8"/>
    </row>
    <row r="1626" ht="21.0" customHeight="1">
      <c r="A1626" s="6">
        <v>1.0</v>
      </c>
      <c r="B1626" s="6">
        <v>143.0</v>
      </c>
      <c r="C1626" s="6">
        <v>8.0</v>
      </c>
      <c r="D1626" s="9" t="s">
        <v>2051</v>
      </c>
      <c r="E1626" s="9" t="s">
        <v>2052</v>
      </c>
      <c r="F1626" s="8"/>
    </row>
    <row r="1627" ht="21.0" customHeight="1">
      <c r="A1627" s="6">
        <v>1.0</v>
      </c>
      <c r="B1627" s="6">
        <v>143.0</v>
      </c>
      <c r="C1627" s="6">
        <v>9.0</v>
      </c>
      <c r="D1627" s="9" t="s">
        <v>2053</v>
      </c>
      <c r="E1627" s="9" t="s">
        <v>2054</v>
      </c>
      <c r="F1627" s="8"/>
    </row>
    <row r="1628" ht="21.0" customHeight="1">
      <c r="A1628" s="6">
        <v>1.0</v>
      </c>
      <c r="B1628" s="6">
        <v>143.0</v>
      </c>
      <c r="C1628" s="6">
        <v>10.0</v>
      </c>
      <c r="D1628" s="9" t="s">
        <v>2055</v>
      </c>
      <c r="E1628" s="9" t="s">
        <v>2056</v>
      </c>
      <c r="F1628" s="8"/>
    </row>
    <row r="1629" ht="21.0" customHeight="1">
      <c r="A1629" s="6">
        <v>1.0</v>
      </c>
      <c r="B1629" s="6">
        <v>143.0</v>
      </c>
      <c r="C1629" s="6">
        <v>11.0</v>
      </c>
      <c r="D1629" s="9" t="s">
        <v>2057</v>
      </c>
      <c r="E1629" s="9" t="s">
        <v>2058</v>
      </c>
      <c r="F1629" s="8"/>
    </row>
    <row r="1630" ht="21.0" customHeight="1">
      <c r="A1630" s="6">
        <v>1.0</v>
      </c>
      <c r="B1630" s="6">
        <v>143.0</v>
      </c>
      <c r="C1630" s="6">
        <v>12.0</v>
      </c>
      <c r="D1630" s="9" t="s">
        <v>2059</v>
      </c>
      <c r="E1630" s="9" t="s">
        <v>2060</v>
      </c>
      <c r="F1630" s="8"/>
    </row>
    <row r="1631" ht="21.0" customHeight="1">
      <c r="A1631" s="6">
        <v>1.0</v>
      </c>
      <c r="B1631" s="6">
        <v>143.0</v>
      </c>
      <c r="C1631" s="6">
        <v>13.0</v>
      </c>
      <c r="D1631" s="9" t="s">
        <v>2061</v>
      </c>
      <c r="E1631" s="9" t="s">
        <v>2062</v>
      </c>
      <c r="F1631" s="8"/>
    </row>
    <row r="1632" ht="21.0" customHeight="1">
      <c r="A1632" s="6">
        <v>11.0</v>
      </c>
      <c r="B1632" s="6">
        <v>1018.0</v>
      </c>
      <c r="C1632" s="6">
        <v>1.0</v>
      </c>
      <c r="D1632" s="9" t="s">
        <v>2063</v>
      </c>
      <c r="E1632" s="9" t="s">
        <v>2064</v>
      </c>
      <c r="F1632" s="8"/>
    </row>
    <row r="1633" ht="21.0" customHeight="1">
      <c r="A1633" s="6">
        <v>11.0</v>
      </c>
      <c r="B1633" s="6">
        <v>1018.0</v>
      </c>
      <c r="C1633" s="6">
        <v>2.0</v>
      </c>
      <c r="D1633" s="9" t="s">
        <v>2065</v>
      </c>
      <c r="E1633" s="9" t="s">
        <v>2066</v>
      </c>
      <c r="F1633" s="8"/>
    </row>
    <row r="1634" ht="21.0" customHeight="1">
      <c r="A1634" s="6">
        <v>11.0</v>
      </c>
      <c r="B1634" s="6">
        <v>1018.0</v>
      </c>
      <c r="C1634" s="6">
        <v>3.0</v>
      </c>
      <c r="D1634" s="9" t="s">
        <v>2067</v>
      </c>
      <c r="E1634" s="9" t="s">
        <v>2068</v>
      </c>
      <c r="F1634" s="8"/>
    </row>
    <row r="1635" ht="21.0" customHeight="1">
      <c r="A1635" s="6">
        <v>11.0</v>
      </c>
      <c r="B1635" s="6">
        <v>1018.0</v>
      </c>
      <c r="C1635" s="6">
        <v>4.0</v>
      </c>
      <c r="D1635" s="9" t="s">
        <v>2069</v>
      </c>
      <c r="E1635" s="9" t="s">
        <v>2070</v>
      </c>
      <c r="F1635" s="8"/>
    </row>
    <row r="1636" ht="21.0" customHeight="1">
      <c r="A1636" s="6">
        <v>10.0</v>
      </c>
      <c r="B1636" s="6">
        <v>1018.0</v>
      </c>
      <c r="C1636" s="6">
        <v>5.0</v>
      </c>
      <c r="D1636" s="9" t="s">
        <v>2071</v>
      </c>
      <c r="E1636" s="9" t="s">
        <v>2072</v>
      </c>
      <c r="F1636" s="8"/>
    </row>
    <row r="1637" ht="21.0" customHeight="1">
      <c r="A1637" s="6">
        <v>10.0</v>
      </c>
      <c r="B1637" s="6">
        <v>1018.0</v>
      </c>
      <c r="C1637" s="6">
        <v>6.0</v>
      </c>
      <c r="D1637" s="9" t="s">
        <v>2073</v>
      </c>
      <c r="E1637" s="9" t="s">
        <v>2074</v>
      </c>
      <c r="F1637" s="8"/>
    </row>
    <row r="1638" ht="21.0" customHeight="1">
      <c r="A1638" s="6">
        <v>10.0</v>
      </c>
      <c r="B1638" s="6">
        <v>1018.0</v>
      </c>
      <c r="C1638" s="6">
        <v>7.0</v>
      </c>
      <c r="D1638" s="9" t="s">
        <v>2075</v>
      </c>
      <c r="E1638" s="9" t="s">
        <v>2076</v>
      </c>
      <c r="F1638" s="8"/>
    </row>
    <row r="1639" ht="21.0" customHeight="1">
      <c r="A1639" s="6">
        <v>10.0</v>
      </c>
      <c r="B1639" s="6">
        <v>1018.0</v>
      </c>
      <c r="C1639" s="6">
        <v>8.0</v>
      </c>
      <c r="D1639" s="9" t="s">
        <v>2077</v>
      </c>
      <c r="E1639" s="9" t="s">
        <v>2078</v>
      </c>
      <c r="F1639" s="8"/>
    </row>
    <row r="1640" ht="21.0" customHeight="1">
      <c r="A1640" s="6">
        <v>10.0</v>
      </c>
      <c r="B1640" s="6">
        <v>1018.0</v>
      </c>
      <c r="C1640" s="6">
        <v>9.0</v>
      </c>
      <c r="D1640" s="9" t="s">
        <v>2079</v>
      </c>
      <c r="E1640" s="9" t="s">
        <v>2080</v>
      </c>
      <c r="F1640" s="8"/>
    </row>
    <row r="1641" ht="21.0" customHeight="1">
      <c r="A1641" s="6">
        <v>10.0</v>
      </c>
      <c r="B1641" s="6">
        <v>1018.0</v>
      </c>
      <c r="C1641" s="6">
        <v>10.0</v>
      </c>
      <c r="D1641" s="9" t="s">
        <v>2081</v>
      </c>
      <c r="E1641" s="9" t="s">
        <v>2082</v>
      </c>
      <c r="F1641" s="8"/>
    </row>
    <row r="1642" ht="21.0" customHeight="1">
      <c r="A1642" s="6">
        <v>11.0</v>
      </c>
      <c r="B1642" s="6">
        <v>1019.0</v>
      </c>
      <c r="C1642" s="6">
        <v>1.0</v>
      </c>
      <c r="D1642" s="9" t="s">
        <v>2083</v>
      </c>
      <c r="E1642" s="9" t="s">
        <v>2084</v>
      </c>
      <c r="F1642" s="8"/>
    </row>
    <row r="1643" ht="21.0" customHeight="1">
      <c r="A1643" s="6">
        <v>11.0</v>
      </c>
      <c r="B1643" s="6">
        <v>1019.0</v>
      </c>
      <c r="C1643" s="6">
        <v>2.0</v>
      </c>
      <c r="D1643" s="9" t="s">
        <v>2085</v>
      </c>
      <c r="E1643" s="9" t="s">
        <v>2086</v>
      </c>
      <c r="F1643" s="8"/>
    </row>
    <row r="1644" ht="21.0" customHeight="1">
      <c r="A1644" s="6">
        <v>11.0</v>
      </c>
      <c r="B1644" s="6">
        <v>1019.0</v>
      </c>
      <c r="C1644" s="6">
        <v>3.0</v>
      </c>
      <c r="D1644" s="9" t="s">
        <v>2087</v>
      </c>
      <c r="E1644" s="9" t="s">
        <v>2088</v>
      </c>
      <c r="F1644" s="8"/>
    </row>
    <row r="1645" ht="21.0" customHeight="1">
      <c r="A1645" s="6">
        <v>11.0</v>
      </c>
      <c r="B1645" s="6">
        <v>1019.0</v>
      </c>
      <c r="C1645" s="6">
        <v>4.0</v>
      </c>
      <c r="D1645" s="9" t="s">
        <v>2089</v>
      </c>
      <c r="E1645" s="9" t="s">
        <v>2090</v>
      </c>
      <c r="F1645" s="8"/>
    </row>
    <row r="1646" ht="21.0" customHeight="1">
      <c r="A1646" s="6">
        <v>10.0</v>
      </c>
      <c r="B1646" s="6">
        <v>1019.0</v>
      </c>
      <c r="C1646" s="6">
        <v>5.0</v>
      </c>
      <c r="D1646" s="9" t="s">
        <v>2091</v>
      </c>
      <c r="E1646" s="9" t="s">
        <v>2092</v>
      </c>
      <c r="F1646" s="8"/>
    </row>
    <row r="1647" ht="21.0" customHeight="1">
      <c r="A1647" s="6">
        <v>10.0</v>
      </c>
      <c r="B1647" s="6">
        <v>1019.0</v>
      </c>
      <c r="C1647" s="6">
        <v>6.0</v>
      </c>
      <c r="D1647" s="9" t="s">
        <v>2093</v>
      </c>
      <c r="E1647" s="9" t="s">
        <v>2094</v>
      </c>
      <c r="F1647" s="8"/>
    </row>
    <row r="1648" ht="21.0" customHeight="1">
      <c r="A1648" s="6">
        <v>10.0</v>
      </c>
      <c r="B1648" s="6">
        <v>1019.0</v>
      </c>
      <c r="C1648" s="6">
        <v>7.0</v>
      </c>
      <c r="D1648" s="11" t="s">
        <v>2095</v>
      </c>
      <c r="E1648" s="9" t="s">
        <v>2096</v>
      </c>
      <c r="F1648" s="8"/>
    </row>
    <row r="1649" ht="21.0" customHeight="1">
      <c r="A1649" s="6">
        <v>10.0</v>
      </c>
      <c r="B1649" s="6">
        <v>1019.0</v>
      </c>
      <c r="C1649" s="6">
        <v>8.0</v>
      </c>
      <c r="D1649" s="9" t="s">
        <v>2097</v>
      </c>
      <c r="E1649" s="9" t="s">
        <v>2098</v>
      </c>
      <c r="F1649" s="8"/>
    </row>
    <row r="1650" ht="21.0" customHeight="1">
      <c r="A1650" s="6">
        <v>10.0</v>
      </c>
      <c r="B1650" s="6">
        <v>1019.0</v>
      </c>
      <c r="C1650" s="6">
        <v>9.0</v>
      </c>
      <c r="D1650" s="9" t="s">
        <v>2099</v>
      </c>
      <c r="E1650" s="9" t="s">
        <v>2100</v>
      </c>
      <c r="F1650" s="8"/>
    </row>
    <row r="1651" ht="21.0" customHeight="1">
      <c r="A1651" s="6">
        <v>10.0</v>
      </c>
      <c r="B1651" s="6">
        <v>1019.0</v>
      </c>
      <c r="C1651" s="6">
        <v>10.0</v>
      </c>
      <c r="D1651" s="9" t="s">
        <v>2101</v>
      </c>
      <c r="E1651" s="9" t="s">
        <v>2102</v>
      </c>
      <c r="F1651" s="8"/>
    </row>
    <row r="1652" ht="21.0" customHeight="1">
      <c r="A1652" s="6">
        <v>1.0</v>
      </c>
      <c r="B1652" s="6">
        <v>139.0</v>
      </c>
      <c r="C1652" s="6">
        <v>1.0</v>
      </c>
      <c r="D1652" s="9" t="s">
        <v>2103</v>
      </c>
      <c r="E1652" s="9" t="s">
        <v>2104</v>
      </c>
      <c r="F1652" s="8"/>
    </row>
    <row r="1653" ht="21.0" customHeight="1">
      <c r="A1653" s="6">
        <v>1.0</v>
      </c>
      <c r="B1653" s="6">
        <v>139.0</v>
      </c>
      <c r="C1653" s="6">
        <v>2.0</v>
      </c>
      <c r="D1653" s="9" t="s">
        <v>2105</v>
      </c>
      <c r="E1653" s="9" t="s">
        <v>2106</v>
      </c>
      <c r="F1653" s="8"/>
    </row>
    <row r="1654" ht="21.0" customHeight="1">
      <c r="A1654" s="6">
        <v>1.0</v>
      </c>
      <c r="B1654" s="6">
        <v>139.0</v>
      </c>
      <c r="C1654" s="6">
        <v>3.0</v>
      </c>
      <c r="D1654" s="9" t="s">
        <v>2107</v>
      </c>
      <c r="E1654" s="9" t="s">
        <v>2108</v>
      </c>
      <c r="F1654" s="8"/>
    </row>
    <row r="1655" ht="21.0" customHeight="1">
      <c r="A1655" s="6">
        <v>1.0</v>
      </c>
      <c r="B1655" s="6">
        <v>139.0</v>
      </c>
      <c r="C1655" s="6">
        <v>4.0</v>
      </c>
      <c r="D1655" s="9" t="s">
        <v>2109</v>
      </c>
      <c r="E1655" s="9" t="s">
        <v>2110</v>
      </c>
      <c r="F1655" s="8"/>
    </row>
    <row r="1656" ht="21.0" customHeight="1">
      <c r="A1656" s="6">
        <v>1.0</v>
      </c>
      <c r="B1656" s="6">
        <v>139.0</v>
      </c>
      <c r="C1656" s="6">
        <v>5.0</v>
      </c>
      <c r="D1656" s="9" t="s">
        <v>2111</v>
      </c>
      <c r="E1656" s="9" t="s">
        <v>2112</v>
      </c>
      <c r="F1656" s="8"/>
    </row>
    <row r="1657" ht="21.0" customHeight="1">
      <c r="A1657" s="6">
        <v>1.0</v>
      </c>
      <c r="B1657" s="6">
        <v>139.0</v>
      </c>
      <c r="C1657" s="6">
        <v>6.0</v>
      </c>
      <c r="D1657" s="9" t="s">
        <v>2113</v>
      </c>
      <c r="E1657" s="9" t="s">
        <v>2114</v>
      </c>
      <c r="F1657" s="8"/>
    </row>
    <row r="1658" ht="21.0" customHeight="1">
      <c r="A1658" s="6">
        <v>1.0</v>
      </c>
      <c r="B1658" s="6">
        <v>139.0</v>
      </c>
      <c r="C1658" s="6">
        <v>7.0</v>
      </c>
      <c r="D1658" s="9" t="s">
        <v>2115</v>
      </c>
      <c r="E1658" s="9" t="s">
        <v>2116</v>
      </c>
      <c r="F1658" s="8"/>
    </row>
    <row r="1659" ht="21.0" customHeight="1">
      <c r="A1659" s="6">
        <v>1.0</v>
      </c>
      <c r="B1659" s="6">
        <v>139.0</v>
      </c>
      <c r="C1659" s="6">
        <v>8.0</v>
      </c>
      <c r="D1659" s="9" t="s">
        <v>2117</v>
      </c>
      <c r="E1659" s="9" t="s">
        <v>2118</v>
      </c>
      <c r="F1659" s="8"/>
    </row>
    <row r="1660" ht="21.0" customHeight="1">
      <c r="A1660" s="6">
        <v>1.0</v>
      </c>
      <c r="B1660" s="6">
        <v>139.0</v>
      </c>
      <c r="C1660" s="6">
        <v>9.0</v>
      </c>
      <c r="D1660" s="9" t="s">
        <v>2119</v>
      </c>
      <c r="E1660" s="9" t="s">
        <v>2120</v>
      </c>
      <c r="F1660" s="8"/>
    </row>
    <row r="1661" ht="21.0" customHeight="1">
      <c r="A1661" s="6">
        <v>1.0</v>
      </c>
      <c r="B1661" s="6">
        <v>139.0</v>
      </c>
      <c r="C1661" s="6">
        <v>10.0</v>
      </c>
      <c r="D1661" s="9" t="s">
        <v>2121</v>
      </c>
      <c r="E1661" s="9" t="s">
        <v>2122</v>
      </c>
      <c r="F1661" s="8"/>
    </row>
    <row r="1662" ht="21.0" customHeight="1">
      <c r="A1662" s="6">
        <v>1.0</v>
      </c>
      <c r="B1662" s="6">
        <v>139.0</v>
      </c>
      <c r="C1662" s="6">
        <v>11.0</v>
      </c>
      <c r="D1662" s="9" t="s">
        <v>2123</v>
      </c>
      <c r="E1662" s="9" t="s">
        <v>2124</v>
      </c>
      <c r="F1662" s="8"/>
    </row>
    <row r="1663" ht="21.0" customHeight="1">
      <c r="A1663" s="6">
        <v>1.0</v>
      </c>
      <c r="B1663" s="6">
        <v>139.0</v>
      </c>
      <c r="C1663" s="6">
        <v>12.0</v>
      </c>
      <c r="D1663" s="9" t="s">
        <v>2125</v>
      </c>
      <c r="E1663" s="9" t="s">
        <v>2126</v>
      </c>
      <c r="F1663" s="8"/>
    </row>
    <row r="1664" ht="21.0" customHeight="1">
      <c r="A1664" s="6">
        <v>1.0</v>
      </c>
      <c r="B1664" s="6">
        <v>139.0</v>
      </c>
      <c r="C1664" s="6">
        <v>13.0</v>
      </c>
      <c r="D1664" s="9" t="s">
        <v>2127</v>
      </c>
      <c r="E1664" s="9" t="s">
        <v>2128</v>
      </c>
      <c r="F1664" s="8"/>
    </row>
    <row r="1665" ht="21.0" customHeight="1">
      <c r="A1665" s="6">
        <v>1.0</v>
      </c>
      <c r="B1665" s="6">
        <v>144.0</v>
      </c>
      <c r="C1665" s="6">
        <v>1.0</v>
      </c>
      <c r="D1665" s="9" t="s">
        <v>2129</v>
      </c>
      <c r="E1665" s="9" t="s">
        <v>2130</v>
      </c>
      <c r="F1665" s="8"/>
    </row>
    <row r="1666" ht="21.0" customHeight="1">
      <c r="A1666" s="6">
        <v>1.0</v>
      </c>
      <c r="B1666" s="6">
        <v>144.0</v>
      </c>
      <c r="C1666" s="6">
        <v>2.0</v>
      </c>
      <c r="D1666" s="9" t="s">
        <v>2131</v>
      </c>
      <c r="E1666" s="9" t="s">
        <v>2132</v>
      </c>
      <c r="F1666" s="8"/>
    </row>
    <row r="1667" ht="21.0" customHeight="1">
      <c r="A1667" s="6">
        <v>1.0</v>
      </c>
      <c r="B1667" s="6">
        <v>144.0</v>
      </c>
      <c r="C1667" s="6">
        <v>3.0</v>
      </c>
      <c r="D1667" s="9" t="s">
        <v>2133</v>
      </c>
      <c r="E1667" s="9" t="s">
        <v>2134</v>
      </c>
      <c r="F1667" s="8"/>
    </row>
    <row r="1668" ht="21.0" customHeight="1">
      <c r="A1668" s="6">
        <v>1.0</v>
      </c>
      <c r="B1668" s="6">
        <v>144.0</v>
      </c>
      <c r="C1668" s="6">
        <v>4.0</v>
      </c>
      <c r="D1668" s="9" t="s">
        <v>2135</v>
      </c>
      <c r="E1668" s="9" t="s">
        <v>2136</v>
      </c>
      <c r="F1668" s="8"/>
    </row>
    <row r="1669" ht="21.0" customHeight="1">
      <c r="A1669" s="6">
        <v>1.0</v>
      </c>
      <c r="B1669" s="6">
        <v>144.0</v>
      </c>
      <c r="C1669" s="6">
        <v>5.0</v>
      </c>
      <c r="D1669" s="9" t="s">
        <v>2137</v>
      </c>
      <c r="E1669" s="9" t="s">
        <v>2138</v>
      </c>
      <c r="F1669" s="8"/>
    </row>
    <row r="1670" ht="21.0" customHeight="1">
      <c r="A1670" s="6">
        <v>1.0</v>
      </c>
      <c r="B1670" s="6">
        <v>144.0</v>
      </c>
      <c r="C1670" s="6">
        <v>6.0</v>
      </c>
      <c r="D1670" s="9" t="s">
        <v>2139</v>
      </c>
      <c r="E1670" s="9" t="s">
        <v>2140</v>
      </c>
      <c r="F1670" s="8"/>
    </row>
    <row r="1671" ht="21.0" customHeight="1">
      <c r="A1671" s="6">
        <v>1.0</v>
      </c>
      <c r="B1671" s="6">
        <v>144.0</v>
      </c>
      <c r="C1671" s="6">
        <v>7.0</v>
      </c>
      <c r="D1671" s="9" t="s">
        <v>2141</v>
      </c>
      <c r="E1671" s="9" t="s">
        <v>2142</v>
      </c>
      <c r="F1671" s="8"/>
    </row>
    <row r="1672" ht="21.0" customHeight="1">
      <c r="A1672" s="6">
        <v>1.0</v>
      </c>
      <c r="B1672" s="6">
        <v>144.0</v>
      </c>
      <c r="C1672" s="6">
        <v>8.0</v>
      </c>
      <c r="D1672" s="9" t="s">
        <v>2143</v>
      </c>
      <c r="E1672" s="9" t="s">
        <v>2144</v>
      </c>
      <c r="F1672" s="8"/>
    </row>
    <row r="1673" ht="21.0" customHeight="1">
      <c r="A1673" s="6">
        <v>1.0</v>
      </c>
      <c r="B1673" s="6">
        <v>144.0</v>
      </c>
      <c r="C1673" s="6">
        <v>9.0</v>
      </c>
      <c r="D1673" s="9" t="s">
        <v>2145</v>
      </c>
      <c r="E1673" s="9" t="s">
        <v>2146</v>
      </c>
      <c r="F1673" s="8"/>
    </row>
    <row r="1674" ht="21.0" customHeight="1">
      <c r="A1674" s="6">
        <v>1.0</v>
      </c>
      <c r="B1674" s="6">
        <v>144.0</v>
      </c>
      <c r="C1674" s="6">
        <v>10.0</v>
      </c>
      <c r="D1674" s="9" t="s">
        <v>2147</v>
      </c>
      <c r="E1674" s="9" t="s">
        <v>2148</v>
      </c>
      <c r="F1674" s="8"/>
    </row>
    <row r="1675" ht="21.0" customHeight="1">
      <c r="A1675" s="6">
        <v>1.0</v>
      </c>
      <c r="B1675" s="6">
        <v>144.0</v>
      </c>
      <c r="C1675" s="6">
        <v>11.0</v>
      </c>
      <c r="D1675" s="9" t="s">
        <v>2149</v>
      </c>
      <c r="E1675" s="9" t="s">
        <v>2150</v>
      </c>
      <c r="F1675" s="8"/>
    </row>
    <row r="1676" ht="21.0" customHeight="1">
      <c r="A1676" s="6">
        <v>1.0</v>
      </c>
      <c r="B1676" s="6">
        <v>144.0</v>
      </c>
      <c r="C1676" s="6">
        <v>12.0</v>
      </c>
      <c r="D1676" s="9" t="s">
        <v>2151</v>
      </c>
      <c r="E1676" s="9" t="s">
        <v>2152</v>
      </c>
      <c r="F1676" s="8"/>
    </row>
    <row r="1677" ht="21.0" customHeight="1">
      <c r="A1677" s="6">
        <v>1.0</v>
      </c>
      <c r="B1677" s="6">
        <v>144.0</v>
      </c>
      <c r="C1677" s="6">
        <v>13.0</v>
      </c>
      <c r="D1677" s="9" t="s">
        <v>2153</v>
      </c>
      <c r="E1677" s="9" t="s">
        <v>2154</v>
      </c>
      <c r="F1677" s="8"/>
    </row>
    <row r="1678" ht="21.0" customHeight="1">
      <c r="A1678" s="6">
        <v>1.0</v>
      </c>
      <c r="B1678" s="6">
        <v>145.0</v>
      </c>
      <c r="C1678" s="6">
        <v>1.0</v>
      </c>
      <c r="D1678" s="11" t="s">
        <v>2155</v>
      </c>
      <c r="E1678" s="9" t="s">
        <v>2156</v>
      </c>
      <c r="F1678" s="8"/>
    </row>
    <row r="1679" ht="21.0" customHeight="1">
      <c r="A1679" s="6">
        <v>1.0</v>
      </c>
      <c r="B1679" s="6">
        <v>145.0</v>
      </c>
      <c r="C1679" s="6">
        <v>2.0</v>
      </c>
      <c r="D1679" s="9" t="s">
        <v>2157</v>
      </c>
      <c r="E1679" s="9" t="s">
        <v>2158</v>
      </c>
      <c r="F1679" s="8"/>
    </row>
    <row r="1680" ht="21.0" customHeight="1">
      <c r="A1680" s="6">
        <v>1.0</v>
      </c>
      <c r="B1680" s="6">
        <v>145.0</v>
      </c>
      <c r="C1680" s="6">
        <v>3.0</v>
      </c>
      <c r="D1680" s="9" t="s">
        <v>2159</v>
      </c>
      <c r="E1680" s="9" t="s">
        <v>2160</v>
      </c>
      <c r="F1680" s="8"/>
    </row>
    <row r="1681" ht="21.0" customHeight="1">
      <c r="A1681" s="6">
        <v>1.0</v>
      </c>
      <c r="B1681" s="6">
        <v>145.0</v>
      </c>
      <c r="C1681" s="6">
        <v>4.0</v>
      </c>
      <c r="D1681" s="9" t="s">
        <v>2161</v>
      </c>
      <c r="E1681" s="9" t="s">
        <v>2162</v>
      </c>
      <c r="F1681" s="8"/>
    </row>
    <row r="1682" ht="21.0" customHeight="1">
      <c r="A1682" s="6">
        <v>1.0</v>
      </c>
      <c r="B1682" s="6">
        <v>145.0</v>
      </c>
      <c r="C1682" s="6">
        <v>5.0</v>
      </c>
      <c r="D1682" s="9" t="s">
        <v>2163</v>
      </c>
      <c r="E1682" s="9" t="s">
        <v>2164</v>
      </c>
      <c r="F1682" s="8"/>
    </row>
    <row r="1683" ht="21.0" customHeight="1">
      <c r="A1683" s="6">
        <v>1.0</v>
      </c>
      <c r="B1683" s="6">
        <v>145.0</v>
      </c>
      <c r="C1683" s="6">
        <v>6.0</v>
      </c>
      <c r="D1683" s="9" t="s">
        <v>2165</v>
      </c>
      <c r="E1683" s="9" t="s">
        <v>2166</v>
      </c>
      <c r="F1683" s="8"/>
    </row>
    <row r="1684" ht="21.0" customHeight="1">
      <c r="A1684" s="6">
        <v>1.0</v>
      </c>
      <c r="B1684" s="6">
        <v>145.0</v>
      </c>
      <c r="C1684" s="6">
        <v>7.0</v>
      </c>
      <c r="D1684" s="9" t="s">
        <v>2167</v>
      </c>
      <c r="E1684" s="9" t="s">
        <v>2168</v>
      </c>
      <c r="F1684" s="8"/>
    </row>
    <row r="1685" ht="21.0" customHeight="1">
      <c r="A1685" s="6">
        <v>1.0</v>
      </c>
      <c r="B1685" s="6">
        <v>145.0</v>
      </c>
      <c r="C1685" s="6">
        <v>8.0</v>
      </c>
      <c r="D1685" s="9" t="s">
        <v>2169</v>
      </c>
      <c r="E1685" s="9" t="s">
        <v>2170</v>
      </c>
      <c r="F1685" s="8"/>
    </row>
    <row r="1686" ht="21.0" customHeight="1">
      <c r="A1686" s="6">
        <v>1.0</v>
      </c>
      <c r="B1686" s="6">
        <v>145.0</v>
      </c>
      <c r="C1686" s="6">
        <v>9.0</v>
      </c>
      <c r="D1686" s="9" t="s">
        <v>2171</v>
      </c>
      <c r="E1686" s="9" t="s">
        <v>2172</v>
      </c>
      <c r="F1686" s="8"/>
    </row>
    <row r="1687" ht="21.0" customHeight="1">
      <c r="A1687" s="6">
        <v>1.0</v>
      </c>
      <c r="B1687" s="6">
        <v>145.0</v>
      </c>
      <c r="C1687" s="6">
        <v>10.0</v>
      </c>
      <c r="D1687" s="9" t="s">
        <v>2173</v>
      </c>
      <c r="E1687" s="9" t="s">
        <v>2174</v>
      </c>
      <c r="F1687" s="8"/>
    </row>
    <row r="1688" ht="21.0" customHeight="1">
      <c r="A1688" s="6">
        <v>1.0</v>
      </c>
      <c r="B1688" s="6">
        <v>145.0</v>
      </c>
      <c r="C1688" s="6">
        <v>11.0</v>
      </c>
      <c r="D1688" s="9" t="s">
        <v>2175</v>
      </c>
      <c r="E1688" s="9" t="s">
        <v>2176</v>
      </c>
      <c r="F1688" s="8"/>
    </row>
    <row r="1689" ht="21.0" customHeight="1">
      <c r="A1689" s="6">
        <v>1.0</v>
      </c>
      <c r="B1689" s="6">
        <v>145.0</v>
      </c>
      <c r="C1689" s="6">
        <v>12.0</v>
      </c>
      <c r="D1689" s="9" t="s">
        <v>2177</v>
      </c>
      <c r="E1689" s="9" t="s">
        <v>2178</v>
      </c>
      <c r="F1689" s="8"/>
    </row>
    <row r="1690" ht="21.0" customHeight="1">
      <c r="A1690" s="6">
        <v>1.0</v>
      </c>
      <c r="B1690" s="6">
        <v>145.0</v>
      </c>
      <c r="C1690" s="6">
        <v>13.0</v>
      </c>
      <c r="D1690" s="9" t="s">
        <v>2179</v>
      </c>
      <c r="E1690" s="9" t="s">
        <v>2180</v>
      </c>
      <c r="F1690" s="8"/>
    </row>
    <row r="1691" ht="21.0" customHeight="1">
      <c r="A1691" s="6">
        <v>1.0</v>
      </c>
      <c r="B1691" s="6">
        <v>146.0</v>
      </c>
      <c r="C1691" s="6">
        <v>1.0</v>
      </c>
      <c r="D1691" s="9" t="s">
        <v>2181</v>
      </c>
      <c r="E1691" s="9" t="s">
        <v>2182</v>
      </c>
      <c r="F1691" s="8"/>
    </row>
    <row r="1692" ht="21.0" customHeight="1">
      <c r="A1692" s="6">
        <v>1.0</v>
      </c>
      <c r="B1692" s="6">
        <v>146.0</v>
      </c>
      <c r="C1692" s="6">
        <v>2.0</v>
      </c>
      <c r="D1692" s="9" t="s">
        <v>2183</v>
      </c>
      <c r="E1692" s="9" t="s">
        <v>2184</v>
      </c>
      <c r="F1692" s="8"/>
    </row>
    <row r="1693" ht="21.0" customHeight="1">
      <c r="A1693" s="6">
        <v>1.0</v>
      </c>
      <c r="B1693" s="6">
        <v>146.0</v>
      </c>
      <c r="C1693" s="6">
        <v>3.0</v>
      </c>
      <c r="D1693" s="9" t="s">
        <v>2185</v>
      </c>
      <c r="E1693" s="9" t="s">
        <v>2186</v>
      </c>
      <c r="F1693" s="8"/>
    </row>
    <row r="1694" ht="21.0" customHeight="1">
      <c r="A1694" s="6">
        <v>1.0</v>
      </c>
      <c r="B1694" s="6">
        <v>146.0</v>
      </c>
      <c r="C1694" s="6">
        <v>4.0</v>
      </c>
      <c r="D1694" s="9" t="s">
        <v>2187</v>
      </c>
      <c r="E1694" s="9" t="s">
        <v>2188</v>
      </c>
      <c r="F1694" s="8"/>
    </row>
    <row r="1695" ht="21.0" customHeight="1">
      <c r="A1695" s="6">
        <v>1.0</v>
      </c>
      <c r="B1695" s="6">
        <v>146.0</v>
      </c>
      <c r="C1695" s="6">
        <v>5.0</v>
      </c>
      <c r="D1695" s="9" t="s">
        <v>2189</v>
      </c>
      <c r="E1695" s="9" t="s">
        <v>2190</v>
      </c>
      <c r="F1695" s="8"/>
    </row>
    <row r="1696" ht="21.0" customHeight="1">
      <c r="A1696" s="6">
        <v>1.0</v>
      </c>
      <c r="B1696" s="6">
        <v>146.0</v>
      </c>
      <c r="C1696" s="6">
        <v>6.0</v>
      </c>
      <c r="D1696" s="9" t="s">
        <v>2191</v>
      </c>
      <c r="E1696" s="9" t="s">
        <v>2192</v>
      </c>
      <c r="F1696" s="8"/>
    </row>
    <row r="1697" ht="21.0" customHeight="1">
      <c r="A1697" s="6">
        <v>1.0</v>
      </c>
      <c r="B1697" s="6">
        <v>146.0</v>
      </c>
      <c r="C1697" s="6">
        <v>7.0</v>
      </c>
      <c r="D1697" s="9" t="s">
        <v>2193</v>
      </c>
      <c r="E1697" s="9" t="s">
        <v>2194</v>
      </c>
      <c r="F1697" s="8"/>
    </row>
    <row r="1698" ht="21.0" customHeight="1">
      <c r="A1698" s="6">
        <v>1.0</v>
      </c>
      <c r="B1698" s="6">
        <v>146.0</v>
      </c>
      <c r="C1698" s="6">
        <v>8.0</v>
      </c>
      <c r="D1698" s="9" t="s">
        <v>2195</v>
      </c>
      <c r="E1698" s="9" t="s">
        <v>2196</v>
      </c>
      <c r="F1698" s="8"/>
    </row>
    <row r="1699" ht="21.0" customHeight="1">
      <c r="A1699" s="6">
        <v>1.0</v>
      </c>
      <c r="B1699" s="6">
        <v>146.0</v>
      </c>
      <c r="C1699" s="6">
        <v>9.0</v>
      </c>
      <c r="D1699" s="9" t="s">
        <v>2197</v>
      </c>
      <c r="E1699" s="9" t="s">
        <v>2198</v>
      </c>
      <c r="F1699" s="8"/>
    </row>
    <row r="1700" ht="21.0" customHeight="1">
      <c r="A1700" s="6">
        <v>1.0</v>
      </c>
      <c r="B1700" s="6">
        <v>146.0</v>
      </c>
      <c r="C1700" s="6">
        <v>10.0</v>
      </c>
      <c r="D1700" s="9" t="s">
        <v>2199</v>
      </c>
      <c r="E1700" s="9" t="s">
        <v>2200</v>
      </c>
      <c r="F1700" s="8"/>
    </row>
    <row r="1701" ht="21.0" customHeight="1">
      <c r="A1701" s="6">
        <v>1.0</v>
      </c>
      <c r="B1701" s="6">
        <v>146.0</v>
      </c>
      <c r="C1701" s="6">
        <v>11.0</v>
      </c>
      <c r="D1701" s="9" t="s">
        <v>2201</v>
      </c>
      <c r="E1701" s="9" t="s">
        <v>2202</v>
      </c>
      <c r="F1701" s="8"/>
    </row>
    <row r="1702" ht="21.0" customHeight="1">
      <c r="A1702" s="6">
        <v>1.0</v>
      </c>
      <c r="B1702" s="6">
        <v>146.0</v>
      </c>
      <c r="C1702" s="6">
        <v>12.0</v>
      </c>
      <c r="D1702" s="9" t="s">
        <v>2203</v>
      </c>
      <c r="E1702" s="9" t="s">
        <v>2204</v>
      </c>
      <c r="F1702" s="8"/>
    </row>
    <row r="1703" ht="21.0" customHeight="1">
      <c r="A1703" s="6">
        <v>1.0</v>
      </c>
      <c r="B1703" s="6">
        <v>146.0</v>
      </c>
      <c r="C1703" s="6">
        <v>13.0</v>
      </c>
      <c r="D1703" s="9" t="s">
        <v>2205</v>
      </c>
      <c r="E1703" s="9" t="s">
        <v>2206</v>
      </c>
      <c r="F1703" s="8"/>
    </row>
    <row r="1704" ht="21.0" customHeight="1">
      <c r="A1704" s="6">
        <v>11.0</v>
      </c>
      <c r="B1704" s="6">
        <v>1020.0</v>
      </c>
      <c r="C1704" s="6">
        <v>1.0</v>
      </c>
      <c r="D1704" s="9" t="s">
        <v>2207</v>
      </c>
      <c r="E1704" s="9" t="s">
        <v>2208</v>
      </c>
      <c r="F1704" s="8"/>
    </row>
    <row r="1705" ht="21.0" customHeight="1">
      <c r="A1705" s="6">
        <v>11.0</v>
      </c>
      <c r="B1705" s="6">
        <v>1020.0</v>
      </c>
      <c r="C1705" s="6">
        <v>2.0</v>
      </c>
      <c r="D1705" s="9" t="s">
        <v>2209</v>
      </c>
      <c r="E1705" s="9" t="s">
        <v>2210</v>
      </c>
      <c r="F1705" s="8"/>
    </row>
    <row r="1706" ht="21.0" customHeight="1">
      <c r="A1706" s="6">
        <v>11.0</v>
      </c>
      <c r="B1706" s="6">
        <v>1020.0</v>
      </c>
      <c r="C1706" s="6">
        <v>3.0</v>
      </c>
      <c r="D1706" s="9" t="s">
        <v>2211</v>
      </c>
      <c r="E1706" s="9" t="s">
        <v>2212</v>
      </c>
      <c r="F1706" s="8"/>
    </row>
    <row r="1707" ht="21.0" customHeight="1">
      <c r="A1707" s="6">
        <v>11.0</v>
      </c>
      <c r="B1707" s="6">
        <v>1020.0</v>
      </c>
      <c r="C1707" s="6">
        <v>4.0</v>
      </c>
      <c r="D1707" s="9" t="s">
        <v>2213</v>
      </c>
      <c r="E1707" s="9" t="s">
        <v>2214</v>
      </c>
      <c r="F1707" s="8"/>
    </row>
    <row r="1708" ht="21.0" customHeight="1">
      <c r="A1708" s="6">
        <v>10.0</v>
      </c>
      <c r="B1708" s="6">
        <v>1020.0</v>
      </c>
      <c r="C1708" s="6">
        <v>5.0</v>
      </c>
      <c r="D1708" s="9" t="s">
        <v>2215</v>
      </c>
      <c r="E1708" s="9" t="s">
        <v>2216</v>
      </c>
      <c r="F1708" s="8"/>
    </row>
    <row r="1709" ht="21.0" customHeight="1">
      <c r="A1709" s="6">
        <v>10.0</v>
      </c>
      <c r="B1709" s="6">
        <v>1020.0</v>
      </c>
      <c r="C1709" s="6">
        <v>6.0</v>
      </c>
      <c r="D1709" s="9" t="s">
        <v>2217</v>
      </c>
      <c r="E1709" s="9" t="s">
        <v>2218</v>
      </c>
      <c r="F1709" s="8"/>
    </row>
    <row r="1710" ht="21.0" customHeight="1">
      <c r="A1710" s="6">
        <v>10.0</v>
      </c>
      <c r="B1710" s="6">
        <v>1020.0</v>
      </c>
      <c r="C1710" s="6">
        <v>7.0</v>
      </c>
      <c r="D1710" s="9" t="s">
        <v>2219</v>
      </c>
      <c r="E1710" s="9" t="s">
        <v>2220</v>
      </c>
      <c r="F1710" s="8"/>
    </row>
    <row r="1711" ht="21.0" customHeight="1">
      <c r="A1711" s="6">
        <v>10.0</v>
      </c>
      <c r="B1711" s="6">
        <v>1020.0</v>
      </c>
      <c r="C1711" s="6">
        <v>8.0</v>
      </c>
      <c r="D1711" s="9" t="s">
        <v>2221</v>
      </c>
      <c r="E1711" s="9" t="s">
        <v>2222</v>
      </c>
      <c r="F1711" s="8"/>
    </row>
    <row r="1712" ht="21.0" customHeight="1">
      <c r="A1712" s="6">
        <v>10.0</v>
      </c>
      <c r="B1712" s="6">
        <v>1020.0</v>
      </c>
      <c r="C1712" s="6">
        <v>9.0</v>
      </c>
      <c r="D1712" s="9" t="s">
        <v>2223</v>
      </c>
      <c r="E1712" s="9" t="s">
        <v>2224</v>
      </c>
      <c r="F1712" s="8"/>
    </row>
    <row r="1713" ht="21.0" customHeight="1">
      <c r="A1713" s="6">
        <v>10.0</v>
      </c>
      <c r="B1713" s="6">
        <v>1020.0</v>
      </c>
      <c r="C1713" s="6">
        <v>10.0</v>
      </c>
      <c r="D1713" s="9" t="s">
        <v>2225</v>
      </c>
      <c r="E1713" s="9" t="s">
        <v>2226</v>
      </c>
      <c r="F1713" s="8"/>
    </row>
    <row r="1714" ht="21.0" customHeight="1">
      <c r="A1714" s="6">
        <v>1.0</v>
      </c>
      <c r="B1714" s="6">
        <v>147.0</v>
      </c>
      <c r="C1714" s="6">
        <v>1.0</v>
      </c>
      <c r="D1714" s="9" t="s">
        <v>2227</v>
      </c>
      <c r="E1714" s="9" t="s">
        <v>2228</v>
      </c>
      <c r="F1714" s="8"/>
    </row>
    <row r="1715" ht="21.0" customHeight="1">
      <c r="A1715" s="6">
        <v>1.0</v>
      </c>
      <c r="B1715" s="6">
        <v>147.0</v>
      </c>
      <c r="C1715" s="6">
        <v>2.0</v>
      </c>
      <c r="D1715" s="9" t="s">
        <v>2229</v>
      </c>
      <c r="E1715" s="9" t="s">
        <v>2230</v>
      </c>
      <c r="F1715" s="8"/>
    </row>
    <row r="1716" ht="21.0" customHeight="1">
      <c r="A1716" s="6">
        <v>1.0</v>
      </c>
      <c r="B1716" s="6">
        <v>147.0</v>
      </c>
      <c r="C1716" s="6">
        <v>3.0</v>
      </c>
      <c r="D1716" s="9" t="s">
        <v>2231</v>
      </c>
      <c r="E1716" s="9" t="s">
        <v>2232</v>
      </c>
      <c r="F1716" s="8"/>
    </row>
    <row r="1717" ht="21.0" customHeight="1">
      <c r="A1717" s="6">
        <v>1.0</v>
      </c>
      <c r="B1717" s="6">
        <v>147.0</v>
      </c>
      <c r="C1717" s="6">
        <v>4.0</v>
      </c>
      <c r="D1717" s="9" t="s">
        <v>2233</v>
      </c>
      <c r="E1717" s="9" t="s">
        <v>2234</v>
      </c>
      <c r="F1717" s="8"/>
    </row>
    <row r="1718" ht="21.0" customHeight="1">
      <c r="A1718" s="6">
        <v>1.0</v>
      </c>
      <c r="B1718" s="6">
        <v>147.0</v>
      </c>
      <c r="C1718" s="6">
        <v>5.0</v>
      </c>
      <c r="D1718" s="9" t="s">
        <v>2235</v>
      </c>
      <c r="E1718" s="9" t="s">
        <v>2236</v>
      </c>
      <c r="F1718" s="8"/>
    </row>
    <row r="1719" ht="21.0" customHeight="1">
      <c r="A1719" s="6">
        <v>1.0</v>
      </c>
      <c r="B1719" s="6">
        <v>147.0</v>
      </c>
      <c r="C1719" s="6">
        <v>6.0</v>
      </c>
      <c r="D1719" s="9" t="s">
        <v>2237</v>
      </c>
      <c r="E1719" s="9" t="s">
        <v>2238</v>
      </c>
      <c r="F1719" s="8"/>
    </row>
    <row r="1720" ht="21.0" customHeight="1">
      <c r="A1720" s="6">
        <v>1.0</v>
      </c>
      <c r="B1720" s="6">
        <v>147.0</v>
      </c>
      <c r="C1720" s="6">
        <v>7.0</v>
      </c>
      <c r="D1720" s="9" t="s">
        <v>2239</v>
      </c>
      <c r="E1720" s="9" t="s">
        <v>2240</v>
      </c>
      <c r="F1720" s="8"/>
    </row>
    <row r="1721" ht="21.0" customHeight="1">
      <c r="A1721" s="6">
        <v>1.0</v>
      </c>
      <c r="B1721" s="6">
        <v>147.0</v>
      </c>
      <c r="C1721" s="6">
        <v>8.0</v>
      </c>
      <c r="D1721" s="9" t="s">
        <v>2241</v>
      </c>
      <c r="E1721" s="9" t="s">
        <v>2242</v>
      </c>
      <c r="F1721" s="8"/>
    </row>
    <row r="1722" ht="21.0" customHeight="1">
      <c r="A1722" s="6">
        <v>1.0</v>
      </c>
      <c r="B1722" s="6">
        <v>147.0</v>
      </c>
      <c r="C1722" s="6">
        <v>9.0</v>
      </c>
      <c r="D1722" s="9" t="s">
        <v>2243</v>
      </c>
      <c r="E1722" s="9" t="s">
        <v>2244</v>
      </c>
      <c r="F1722" s="8"/>
    </row>
    <row r="1723" ht="21.0" customHeight="1">
      <c r="A1723" s="6">
        <v>1.0</v>
      </c>
      <c r="B1723" s="6">
        <v>147.0</v>
      </c>
      <c r="C1723" s="6">
        <v>10.0</v>
      </c>
      <c r="D1723" s="9" t="s">
        <v>2245</v>
      </c>
      <c r="E1723" s="9" t="s">
        <v>2246</v>
      </c>
      <c r="F1723" s="8"/>
    </row>
    <row r="1724" ht="21.0" customHeight="1">
      <c r="A1724" s="6">
        <v>1.0</v>
      </c>
      <c r="B1724" s="6">
        <v>147.0</v>
      </c>
      <c r="C1724" s="6">
        <v>11.0</v>
      </c>
      <c r="D1724" s="9" t="s">
        <v>2247</v>
      </c>
      <c r="E1724" s="9" t="s">
        <v>2248</v>
      </c>
      <c r="F1724" s="8"/>
    </row>
    <row r="1725" ht="21.0" customHeight="1">
      <c r="A1725" s="6">
        <v>1.0</v>
      </c>
      <c r="B1725" s="6">
        <v>147.0</v>
      </c>
      <c r="C1725" s="6">
        <v>12.0</v>
      </c>
      <c r="D1725" s="9" t="s">
        <v>2249</v>
      </c>
      <c r="E1725" s="9" t="s">
        <v>2250</v>
      </c>
      <c r="F1725" s="8"/>
    </row>
    <row r="1726" ht="21.0" customHeight="1">
      <c r="A1726" s="6">
        <v>1.0</v>
      </c>
      <c r="B1726" s="6">
        <v>147.0</v>
      </c>
      <c r="C1726" s="6">
        <v>13.0</v>
      </c>
      <c r="D1726" s="9" t="s">
        <v>2251</v>
      </c>
      <c r="E1726" s="9" t="s">
        <v>2252</v>
      </c>
      <c r="F1726" s="8"/>
    </row>
    <row r="1727" ht="21.0" customHeight="1">
      <c r="A1727" s="6">
        <v>1.0</v>
      </c>
      <c r="B1727" s="6">
        <v>148.0</v>
      </c>
      <c r="C1727" s="6">
        <v>1.0</v>
      </c>
      <c r="D1727" s="9" t="s">
        <v>2253</v>
      </c>
      <c r="E1727" s="9" t="s">
        <v>2254</v>
      </c>
      <c r="F1727" s="8"/>
    </row>
    <row r="1728" ht="21.0" customHeight="1">
      <c r="A1728" s="6">
        <v>1.0</v>
      </c>
      <c r="B1728" s="6">
        <v>148.0</v>
      </c>
      <c r="C1728" s="6">
        <v>2.0</v>
      </c>
      <c r="D1728" s="9" t="s">
        <v>2255</v>
      </c>
      <c r="E1728" s="9" t="s">
        <v>2256</v>
      </c>
      <c r="F1728" s="8"/>
    </row>
    <row r="1729" ht="21.0" customHeight="1">
      <c r="A1729" s="6">
        <v>1.0</v>
      </c>
      <c r="B1729" s="6">
        <v>148.0</v>
      </c>
      <c r="C1729" s="6">
        <v>3.0</v>
      </c>
      <c r="D1729" s="9" t="s">
        <v>2257</v>
      </c>
      <c r="E1729" s="9" t="s">
        <v>2258</v>
      </c>
      <c r="F1729" s="8"/>
    </row>
    <row r="1730" ht="21.0" customHeight="1">
      <c r="A1730" s="6">
        <v>1.0</v>
      </c>
      <c r="B1730" s="6">
        <v>148.0</v>
      </c>
      <c r="C1730" s="6">
        <v>4.0</v>
      </c>
      <c r="D1730" s="9" t="s">
        <v>2259</v>
      </c>
      <c r="E1730" s="9" t="s">
        <v>2260</v>
      </c>
      <c r="F1730" s="8"/>
    </row>
    <row r="1731" ht="21.0" customHeight="1">
      <c r="A1731" s="6">
        <v>1.0</v>
      </c>
      <c r="B1731" s="6">
        <v>148.0</v>
      </c>
      <c r="C1731" s="6">
        <v>5.0</v>
      </c>
      <c r="D1731" s="9" t="s">
        <v>2261</v>
      </c>
      <c r="E1731" s="9" t="s">
        <v>2262</v>
      </c>
      <c r="F1731" s="8"/>
    </row>
    <row r="1732" ht="21.0" customHeight="1">
      <c r="A1732" s="6">
        <v>1.0</v>
      </c>
      <c r="B1732" s="6">
        <v>148.0</v>
      </c>
      <c r="C1732" s="6">
        <v>6.0</v>
      </c>
      <c r="D1732" s="9" t="s">
        <v>2263</v>
      </c>
      <c r="E1732" s="9" t="s">
        <v>2264</v>
      </c>
      <c r="F1732" s="8"/>
    </row>
    <row r="1733" ht="21.0" customHeight="1">
      <c r="A1733" s="6">
        <v>1.0</v>
      </c>
      <c r="B1733" s="6">
        <v>148.0</v>
      </c>
      <c r="C1733" s="6">
        <v>7.0</v>
      </c>
      <c r="D1733" s="9" t="s">
        <v>2265</v>
      </c>
      <c r="E1733" s="9" t="s">
        <v>2266</v>
      </c>
      <c r="F1733" s="8"/>
    </row>
    <row r="1734" ht="21.0" customHeight="1">
      <c r="A1734" s="6">
        <v>1.0</v>
      </c>
      <c r="B1734" s="6">
        <v>148.0</v>
      </c>
      <c r="C1734" s="6">
        <v>8.0</v>
      </c>
      <c r="D1734" s="9" t="s">
        <v>2267</v>
      </c>
      <c r="E1734" s="9" t="s">
        <v>2268</v>
      </c>
      <c r="F1734" s="8"/>
    </row>
    <row r="1735" ht="21.0" customHeight="1">
      <c r="A1735" s="6">
        <v>1.0</v>
      </c>
      <c r="B1735" s="6">
        <v>148.0</v>
      </c>
      <c r="C1735" s="6">
        <v>9.0</v>
      </c>
      <c r="D1735" s="9" t="s">
        <v>2269</v>
      </c>
      <c r="E1735" s="9" t="s">
        <v>2270</v>
      </c>
      <c r="F1735" s="8"/>
    </row>
    <row r="1736" ht="21.0" customHeight="1">
      <c r="A1736" s="6">
        <v>1.0</v>
      </c>
      <c r="B1736" s="6">
        <v>148.0</v>
      </c>
      <c r="C1736" s="6">
        <v>10.0</v>
      </c>
      <c r="D1736" s="9" t="s">
        <v>2271</v>
      </c>
      <c r="E1736" s="9" t="s">
        <v>2272</v>
      </c>
      <c r="F1736" s="8"/>
    </row>
    <row r="1737" ht="21.0" customHeight="1">
      <c r="A1737" s="6">
        <v>1.0</v>
      </c>
      <c r="B1737" s="6">
        <v>148.0</v>
      </c>
      <c r="C1737" s="6">
        <v>11.0</v>
      </c>
      <c r="D1737" s="9" t="s">
        <v>2273</v>
      </c>
      <c r="E1737" s="9" t="s">
        <v>2274</v>
      </c>
      <c r="F1737" s="8"/>
    </row>
    <row r="1738" ht="21.0" customHeight="1">
      <c r="A1738" s="6">
        <v>1.0</v>
      </c>
      <c r="B1738" s="6">
        <v>148.0</v>
      </c>
      <c r="C1738" s="6">
        <v>12.0</v>
      </c>
      <c r="D1738" s="9" t="s">
        <v>2275</v>
      </c>
      <c r="E1738" s="9" t="s">
        <v>2276</v>
      </c>
      <c r="F1738" s="8"/>
    </row>
    <row r="1739" ht="21.0" customHeight="1">
      <c r="A1739" s="6">
        <v>1.0</v>
      </c>
      <c r="B1739" s="6">
        <v>148.0</v>
      </c>
      <c r="C1739" s="6">
        <v>13.0</v>
      </c>
      <c r="D1739" s="9" t="s">
        <v>2277</v>
      </c>
      <c r="E1739" s="9" t="s">
        <v>2278</v>
      </c>
      <c r="F1739" s="8"/>
    </row>
    <row r="1740" ht="21.0" customHeight="1">
      <c r="A1740" s="6">
        <v>11.0</v>
      </c>
      <c r="B1740" s="6">
        <v>1021.0</v>
      </c>
      <c r="C1740" s="6">
        <v>1.0</v>
      </c>
      <c r="D1740" s="9" t="s">
        <v>2279</v>
      </c>
      <c r="E1740" s="9" t="s">
        <v>2280</v>
      </c>
      <c r="F1740" s="8"/>
    </row>
    <row r="1741" ht="21.0" customHeight="1">
      <c r="A1741" s="6">
        <v>11.0</v>
      </c>
      <c r="B1741" s="6">
        <v>1021.0</v>
      </c>
      <c r="C1741" s="6">
        <v>2.0</v>
      </c>
      <c r="D1741" s="9" t="s">
        <v>2281</v>
      </c>
      <c r="E1741" s="9" t="s">
        <v>2282</v>
      </c>
      <c r="F1741" s="8"/>
    </row>
    <row r="1742" ht="21.0" customHeight="1">
      <c r="A1742" s="6">
        <v>11.0</v>
      </c>
      <c r="B1742" s="6">
        <v>1021.0</v>
      </c>
      <c r="C1742" s="6">
        <v>3.0</v>
      </c>
      <c r="D1742" s="9" t="s">
        <v>2283</v>
      </c>
      <c r="E1742" s="9" t="s">
        <v>2284</v>
      </c>
      <c r="F1742" s="8"/>
    </row>
    <row r="1743" ht="21.0" customHeight="1">
      <c r="A1743" s="6">
        <v>11.0</v>
      </c>
      <c r="B1743" s="6">
        <v>1021.0</v>
      </c>
      <c r="C1743" s="6">
        <v>4.0</v>
      </c>
      <c r="D1743" s="9" t="s">
        <v>2285</v>
      </c>
      <c r="E1743" s="9" t="s">
        <v>2286</v>
      </c>
      <c r="F1743" s="8"/>
    </row>
    <row r="1744" ht="21.0" customHeight="1">
      <c r="A1744" s="6">
        <v>10.0</v>
      </c>
      <c r="B1744" s="6">
        <v>1021.0</v>
      </c>
      <c r="C1744" s="6">
        <v>5.0</v>
      </c>
      <c r="D1744" s="9" t="s">
        <v>2287</v>
      </c>
      <c r="E1744" s="9" t="s">
        <v>2288</v>
      </c>
      <c r="F1744" s="8"/>
    </row>
    <row r="1745" ht="21.0" customHeight="1">
      <c r="A1745" s="6">
        <v>10.0</v>
      </c>
      <c r="B1745" s="6">
        <v>1021.0</v>
      </c>
      <c r="C1745" s="6">
        <v>6.0</v>
      </c>
      <c r="D1745" s="9" t="s">
        <v>2289</v>
      </c>
      <c r="E1745" s="9" t="s">
        <v>2290</v>
      </c>
      <c r="F1745" s="8"/>
    </row>
    <row r="1746" ht="21.0" customHeight="1">
      <c r="A1746" s="6">
        <v>10.0</v>
      </c>
      <c r="B1746" s="6">
        <v>1021.0</v>
      </c>
      <c r="C1746" s="6">
        <v>7.0</v>
      </c>
      <c r="D1746" s="9" t="s">
        <v>2291</v>
      </c>
      <c r="E1746" s="9" t="s">
        <v>2292</v>
      </c>
      <c r="F1746" s="8"/>
    </row>
    <row r="1747" ht="21.0" customHeight="1">
      <c r="A1747" s="6">
        <v>10.0</v>
      </c>
      <c r="B1747" s="6">
        <v>1021.0</v>
      </c>
      <c r="C1747" s="6">
        <v>8.0</v>
      </c>
      <c r="D1747" s="9" t="s">
        <v>2293</v>
      </c>
      <c r="E1747" s="9" t="s">
        <v>2294</v>
      </c>
      <c r="F1747" s="8"/>
    </row>
    <row r="1748" ht="21.0" customHeight="1">
      <c r="A1748" s="6">
        <v>10.0</v>
      </c>
      <c r="B1748" s="6">
        <v>1021.0</v>
      </c>
      <c r="C1748" s="6">
        <v>9.0</v>
      </c>
      <c r="D1748" s="9" t="s">
        <v>2295</v>
      </c>
      <c r="E1748" s="9" t="s">
        <v>2296</v>
      </c>
      <c r="F1748" s="8"/>
    </row>
    <row r="1749" ht="21.0" customHeight="1">
      <c r="A1749" s="6">
        <v>10.0</v>
      </c>
      <c r="B1749" s="6">
        <v>1021.0</v>
      </c>
      <c r="C1749" s="6">
        <v>10.0</v>
      </c>
      <c r="D1749" s="9" t="s">
        <v>2297</v>
      </c>
      <c r="E1749" s="9" t="s">
        <v>2298</v>
      </c>
      <c r="F1749" s="8"/>
    </row>
    <row r="1750" ht="21.0" customHeight="1">
      <c r="A1750" s="6">
        <v>11.0</v>
      </c>
      <c r="B1750" s="6">
        <v>1022.0</v>
      </c>
      <c r="C1750" s="6">
        <v>1.0</v>
      </c>
      <c r="D1750" s="9" t="s">
        <v>2299</v>
      </c>
      <c r="E1750" s="9" t="s">
        <v>2300</v>
      </c>
      <c r="F1750" s="8"/>
    </row>
    <row r="1751" ht="21.0" customHeight="1">
      <c r="A1751" s="6">
        <v>11.0</v>
      </c>
      <c r="B1751" s="6">
        <v>1022.0</v>
      </c>
      <c r="C1751" s="6">
        <v>2.0</v>
      </c>
      <c r="D1751" s="9" t="s">
        <v>2301</v>
      </c>
      <c r="E1751" s="9" t="s">
        <v>2302</v>
      </c>
      <c r="F1751" s="8"/>
    </row>
    <row r="1752" ht="21.0" customHeight="1">
      <c r="A1752" s="6">
        <v>11.0</v>
      </c>
      <c r="B1752" s="6">
        <v>1022.0</v>
      </c>
      <c r="C1752" s="6">
        <v>3.0</v>
      </c>
      <c r="D1752" s="9" t="s">
        <v>2303</v>
      </c>
      <c r="E1752" s="9" t="s">
        <v>2304</v>
      </c>
      <c r="F1752" s="8"/>
    </row>
    <row r="1753" ht="21.0" customHeight="1">
      <c r="A1753" s="6">
        <v>11.0</v>
      </c>
      <c r="B1753" s="6">
        <v>1022.0</v>
      </c>
      <c r="C1753" s="6">
        <v>4.0</v>
      </c>
      <c r="D1753" s="9" t="s">
        <v>2305</v>
      </c>
      <c r="E1753" s="9" t="s">
        <v>2306</v>
      </c>
      <c r="F1753" s="8"/>
    </row>
    <row r="1754" ht="21.0" customHeight="1">
      <c r="A1754" s="6">
        <v>10.0</v>
      </c>
      <c r="B1754" s="6">
        <v>1022.0</v>
      </c>
      <c r="C1754" s="6">
        <v>5.0</v>
      </c>
      <c r="D1754" s="9" t="s">
        <v>2307</v>
      </c>
      <c r="E1754" s="9" t="s">
        <v>2308</v>
      </c>
      <c r="F1754" s="8"/>
    </row>
    <row r="1755" ht="21.0" customHeight="1">
      <c r="A1755" s="6">
        <v>10.0</v>
      </c>
      <c r="B1755" s="6">
        <v>1022.0</v>
      </c>
      <c r="C1755" s="6">
        <v>6.0</v>
      </c>
      <c r="D1755" s="9" t="s">
        <v>2309</v>
      </c>
      <c r="E1755" s="9" t="s">
        <v>2310</v>
      </c>
      <c r="F1755" s="8"/>
    </row>
    <row r="1756" ht="21.0" customHeight="1">
      <c r="A1756" s="6">
        <v>10.0</v>
      </c>
      <c r="B1756" s="6">
        <v>1022.0</v>
      </c>
      <c r="C1756" s="6">
        <v>7.0</v>
      </c>
      <c r="D1756" s="9" t="s">
        <v>2311</v>
      </c>
      <c r="E1756" s="9" t="s">
        <v>2312</v>
      </c>
      <c r="F1756" s="8"/>
    </row>
    <row r="1757" ht="21.0" customHeight="1">
      <c r="A1757" s="6">
        <v>10.0</v>
      </c>
      <c r="B1757" s="6">
        <v>1022.0</v>
      </c>
      <c r="C1757" s="6">
        <v>8.0</v>
      </c>
      <c r="D1757" s="9" t="s">
        <v>2313</v>
      </c>
      <c r="E1757" s="9" t="s">
        <v>2314</v>
      </c>
      <c r="F1757" s="8"/>
    </row>
    <row r="1758" ht="21.0" customHeight="1">
      <c r="A1758" s="6">
        <v>10.0</v>
      </c>
      <c r="B1758" s="6">
        <v>1022.0</v>
      </c>
      <c r="C1758" s="6">
        <v>9.0</v>
      </c>
      <c r="D1758" s="9" t="s">
        <v>2315</v>
      </c>
      <c r="E1758" s="9" t="s">
        <v>2316</v>
      </c>
      <c r="F1758" s="8"/>
    </row>
    <row r="1759" ht="21.0" customHeight="1">
      <c r="A1759" s="6">
        <v>10.0</v>
      </c>
      <c r="B1759" s="6">
        <v>1022.0</v>
      </c>
      <c r="C1759" s="6">
        <v>10.0</v>
      </c>
      <c r="D1759" s="9" t="s">
        <v>2317</v>
      </c>
      <c r="E1759" s="9" t="s">
        <v>2318</v>
      </c>
      <c r="F1759" s="8"/>
    </row>
    <row r="1760" ht="21.0" customHeight="1">
      <c r="A1760" s="6">
        <v>1.0</v>
      </c>
      <c r="B1760" s="6">
        <v>149.0</v>
      </c>
      <c r="C1760" s="6">
        <v>1.0</v>
      </c>
      <c r="D1760" s="9" t="s">
        <v>2319</v>
      </c>
      <c r="E1760" s="9" t="s">
        <v>2320</v>
      </c>
      <c r="F1760" s="8"/>
    </row>
    <row r="1761" ht="21.0" customHeight="1">
      <c r="A1761" s="6">
        <v>1.0</v>
      </c>
      <c r="B1761" s="6">
        <v>149.0</v>
      </c>
      <c r="C1761" s="6">
        <v>2.0</v>
      </c>
      <c r="D1761" s="9" t="s">
        <v>2321</v>
      </c>
      <c r="E1761" s="9" t="s">
        <v>2322</v>
      </c>
      <c r="F1761" s="8"/>
    </row>
    <row r="1762" ht="21.0" customHeight="1">
      <c r="A1762" s="6">
        <v>1.0</v>
      </c>
      <c r="B1762" s="6">
        <v>149.0</v>
      </c>
      <c r="C1762" s="6">
        <v>3.0</v>
      </c>
      <c r="D1762" s="9" t="s">
        <v>2323</v>
      </c>
      <c r="E1762" s="9" t="s">
        <v>2324</v>
      </c>
      <c r="F1762" s="8"/>
    </row>
    <row r="1763" ht="21.0" customHeight="1">
      <c r="A1763" s="6">
        <v>1.0</v>
      </c>
      <c r="B1763" s="6">
        <v>149.0</v>
      </c>
      <c r="C1763" s="6">
        <v>4.0</v>
      </c>
      <c r="D1763" s="9" t="s">
        <v>2325</v>
      </c>
      <c r="E1763" s="9" t="s">
        <v>2326</v>
      </c>
      <c r="F1763" s="8"/>
    </row>
    <row r="1764" ht="21.0" customHeight="1">
      <c r="A1764" s="6">
        <v>1.0</v>
      </c>
      <c r="B1764" s="6">
        <v>149.0</v>
      </c>
      <c r="C1764" s="6">
        <v>5.0</v>
      </c>
      <c r="D1764" s="9" t="s">
        <v>2327</v>
      </c>
      <c r="E1764" s="9" t="s">
        <v>2328</v>
      </c>
      <c r="F1764" s="8"/>
    </row>
    <row r="1765" ht="21.0" customHeight="1">
      <c r="A1765" s="6">
        <v>1.0</v>
      </c>
      <c r="B1765" s="6">
        <v>149.0</v>
      </c>
      <c r="C1765" s="6">
        <v>6.0</v>
      </c>
      <c r="D1765" s="9" t="s">
        <v>2329</v>
      </c>
      <c r="E1765" s="9" t="s">
        <v>2330</v>
      </c>
      <c r="F1765" s="8"/>
    </row>
    <row r="1766" ht="21.0" customHeight="1">
      <c r="A1766" s="6">
        <v>1.0</v>
      </c>
      <c r="B1766" s="6">
        <v>149.0</v>
      </c>
      <c r="C1766" s="6">
        <v>7.0</v>
      </c>
      <c r="D1766" s="9" t="s">
        <v>2331</v>
      </c>
      <c r="E1766" s="9" t="s">
        <v>2332</v>
      </c>
      <c r="F1766" s="8"/>
    </row>
    <row r="1767" ht="21.0" customHeight="1">
      <c r="A1767" s="6">
        <v>1.0</v>
      </c>
      <c r="B1767" s="6">
        <v>149.0</v>
      </c>
      <c r="C1767" s="6">
        <v>8.0</v>
      </c>
      <c r="D1767" s="9" t="s">
        <v>2333</v>
      </c>
      <c r="E1767" s="9" t="s">
        <v>2334</v>
      </c>
      <c r="F1767" s="8"/>
    </row>
    <row r="1768" ht="21.0" customHeight="1">
      <c r="A1768" s="6">
        <v>1.0</v>
      </c>
      <c r="B1768" s="6">
        <v>149.0</v>
      </c>
      <c r="C1768" s="6">
        <v>9.0</v>
      </c>
      <c r="D1768" s="9" t="s">
        <v>2335</v>
      </c>
      <c r="E1768" s="9" t="s">
        <v>2336</v>
      </c>
      <c r="F1768" s="8"/>
    </row>
    <row r="1769" ht="21.0" customHeight="1">
      <c r="A1769" s="6">
        <v>1.0</v>
      </c>
      <c r="B1769" s="6">
        <v>149.0</v>
      </c>
      <c r="C1769" s="6">
        <v>10.0</v>
      </c>
      <c r="D1769" s="9" t="s">
        <v>2337</v>
      </c>
      <c r="E1769" s="9" t="s">
        <v>2338</v>
      </c>
      <c r="F1769" s="8"/>
    </row>
    <row r="1770" ht="21.0" customHeight="1">
      <c r="A1770" s="6">
        <v>1.0</v>
      </c>
      <c r="B1770" s="6">
        <v>149.0</v>
      </c>
      <c r="C1770" s="6">
        <v>11.0</v>
      </c>
      <c r="D1770" s="9" t="s">
        <v>2339</v>
      </c>
      <c r="E1770" s="9" t="s">
        <v>2340</v>
      </c>
      <c r="F1770" s="8"/>
    </row>
    <row r="1771" ht="21.0" customHeight="1">
      <c r="A1771" s="6">
        <v>1.0</v>
      </c>
      <c r="B1771" s="6">
        <v>149.0</v>
      </c>
      <c r="C1771" s="6">
        <v>12.0</v>
      </c>
      <c r="D1771" s="9" t="s">
        <v>2341</v>
      </c>
      <c r="E1771" s="9" t="s">
        <v>2342</v>
      </c>
      <c r="F1771" s="8"/>
    </row>
    <row r="1772" ht="21.0" customHeight="1">
      <c r="A1772" s="6">
        <v>1.0</v>
      </c>
      <c r="B1772" s="6">
        <v>149.0</v>
      </c>
      <c r="C1772" s="6">
        <v>13.0</v>
      </c>
      <c r="D1772" s="9" t="s">
        <v>2343</v>
      </c>
      <c r="E1772" s="9" t="s">
        <v>2344</v>
      </c>
      <c r="F1772" s="8"/>
    </row>
    <row r="1773" ht="21.0" customHeight="1">
      <c r="A1773" s="6">
        <v>1.0</v>
      </c>
      <c r="B1773" s="6">
        <v>149.0</v>
      </c>
      <c r="C1773" s="6">
        <v>14.0</v>
      </c>
      <c r="D1773" s="9" t="s">
        <v>2345</v>
      </c>
      <c r="E1773" s="9" t="s">
        <v>2346</v>
      </c>
      <c r="F1773" s="8"/>
    </row>
    <row r="1774" ht="21.0" customHeight="1">
      <c r="A1774" s="6">
        <v>1.0</v>
      </c>
      <c r="B1774" s="6">
        <v>149.0</v>
      </c>
      <c r="C1774" s="6">
        <v>15.0</v>
      </c>
      <c r="D1774" s="9" t="s">
        <v>2347</v>
      </c>
      <c r="E1774" s="9" t="s">
        <v>2348</v>
      </c>
      <c r="F1774" s="8"/>
    </row>
    <row r="1775" ht="21.0" customHeight="1">
      <c r="A1775" s="6">
        <v>1.0</v>
      </c>
      <c r="B1775" s="6">
        <v>150.0</v>
      </c>
      <c r="C1775" s="6">
        <v>1.0</v>
      </c>
      <c r="D1775" s="9" t="s">
        <v>2349</v>
      </c>
      <c r="E1775" s="9" t="s">
        <v>2350</v>
      </c>
      <c r="F1775" s="8"/>
    </row>
    <row r="1776" ht="21.0" customHeight="1">
      <c r="A1776" s="6">
        <v>1.0</v>
      </c>
      <c r="B1776" s="6">
        <v>150.0</v>
      </c>
      <c r="C1776" s="6">
        <v>2.0</v>
      </c>
      <c r="D1776" s="9" t="s">
        <v>2351</v>
      </c>
      <c r="E1776" s="9" t="s">
        <v>2352</v>
      </c>
      <c r="F1776" s="8"/>
    </row>
    <row r="1777" ht="21.0" customHeight="1">
      <c r="A1777" s="6">
        <v>1.0</v>
      </c>
      <c r="B1777" s="6">
        <v>150.0</v>
      </c>
      <c r="C1777" s="6">
        <v>3.0</v>
      </c>
      <c r="D1777" s="9" t="s">
        <v>2353</v>
      </c>
      <c r="E1777" s="9" t="s">
        <v>2354</v>
      </c>
      <c r="F1777" s="8"/>
    </row>
    <row r="1778" ht="21.0" customHeight="1">
      <c r="A1778" s="6">
        <v>1.0</v>
      </c>
      <c r="B1778" s="6">
        <v>150.0</v>
      </c>
      <c r="C1778" s="6">
        <v>4.0</v>
      </c>
      <c r="D1778" s="9" t="s">
        <v>2355</v>
      </c>
      <c r="E1778" s="9" t="s">
        <v>2356</v>
      </c>
      <c r="F1778" s="8"/>
    </row>
    <row r="1779" ht="21.0" customHeight="1">
      <c r="A1779" s="6">
        <v>1.0</v>
      </c>
      <c r="B1779" s="6">
        <v>150.0</v>
      </c>
      <c r="C1779" s="6">
        <v>5.0</v>
      </c>
      <c r="D1779" s="9" t="s">
        <v>2357</v>
      </c>
      <c r="E1779" s="9" t="s">
        <v>2358</v>
      </c>
      <c r="F1779" s="8"/>
    </row>
    <row r="1780" ht="21.0" customHeight="1">
      <c r="A1780" s="6">
        <v>1.0</v>
      </c>
      <c r="B1780" s="6">
        <v>150.0</v>
      </c>
      <c r="C1780" s="6">
        <v>6.0</v>
      </c>
      <c r="D1780" s="9" t="s">
        <v>2359</v>
      </c>
      <c r="E1780" s="9" t="s">
        <v>2360</v>
      </c>
      <c r="F1780" s="8"/>
    </row>
    <row r="1781" ht="21.0" customHeight="1">
      <c r="A1781" s="6">
        <v>1.0</v>
      </c>
      <c r="B1781" s="6">
        <v>150.0</v>
      </c>
      <c r="C1781" s="6">
        <v>7.0</v>
      </c>
      <c r="D1781" s="9" t="s">
        <v>2361</v>
      </c>
      <c r="E1781" s="9" t="s">
        <v>2362</v>
      </c>
      <c r="F1781" s="8"/>
    </row>
    <row r="1782" ht="21.0" customHeight="1">
      <c r="A1782" s="6">
        <v>1.0</v>
      </c>
      <c r="B1782" s="6">
        <v>150.0</v>
      </c>
      <c r="C1782" s="6">
        <v>8.0</v>
      </c>
      <c r="D1782" s="9" t="s">
        <v>2363</v>
      </c>
      <c r="E1782" s="9" t="s">
        <v>2364</v>
      </c>
      <c r="F1782" s="8"/>
    </row>
    <row r="1783" ht="21.0" customHeight="1">
      <c r="A1783" s="6">
        <v>1.0</v>
      </c>
      <c r="B1783" s="6">
        <v>150.0</v>
      </c>
      <c r="C1783" s="6">
        <v>9.0</v>
      </c>
      <c r="D1783" s="9" t="s">
        <v>2365</v>
      </c>
      <c r="E1783" s="9" t="s">
        <v>2366</v>
      </c>
      <c r="F1783" s="8"/>
    </row>
    <row r="1784" ht="21.0" customHeight="1">
      <c r="A1784" s="6">
        <v>1.0</v>
      </c>
      <c r="B1784" s="6">
        <v>150.0</v>
      </c>
      <c r="C1784" s="6">
        <v>10.0</v>
      </c>
      <c r="D1784" s="9" t="s">
        <v>2367</v>
      </c>
      <c r="E1784" s="9" t="s">
        <v>2368</v>
      </c>
      <c r="F1784" s="8"/>
    </row>
    <row r="1785" ht="21.0" customHeight="1">
      <c r="A1785" s="6">
        <v>1.0</v>
      </c>
      <c r="B1785" s="6">
        <v>150.0</v>
      </c>
      <c r="C1785" s="6">
        <v>11.0</v>
      </c>
      <c r="D1785" s="9" t="s">
        <v>2369</v>
      </c>
      <c r="E1785" s="9" t="s">
        <v>2370</v>
      </c>
      <c r="F1785" s="8"/>
    </row>
    <row r="1786" ht="21.0" customHeight="1">
      <c r="A1786" s="6">
        <v>1.0</v>
      </c>
      <c r="B1786" s="6">
        <v>150.0</v>
      </c>
      <c r="C1786" s="6">
        <v>12.0</v>
      </c>
      <c r="D1786" s="9" t="s">
        <v>2371</v>
      </c>
      <c r="E1786" s="9" t="s">
        <v>2372</v>
      </c>
      <c r="F1786" s="8"/>
    </row>
    <row r="1787" ht="21.0" customHeight="1">
      <c r="A1787" s="6">
        <v>1.0</v>
      </c>
      <c r="B1787" s="6">
        <v>150.0</v>
      </c>
      <c r="C1787" s="6">
        <v>13.0</v>
      </c>
      <c r="D1787" s="9" t="s">
        <v>2373</v>
      </c>
      <c r="E1787" s="9" t="s">
        <v>2374</v>
      </c>
      <c r="F1787" s="8"/>
    </row>
    <row r="1788" ht="21.0" customHeight="1">
      <c r="A1788" s="6">
        <v>1.0</v>
      </c>
      <c r="B1788" s="6">
        <v>151.0</v>
      </c>
      <c r="C1788" s="6">
        <v>1.0</v>
      </c>
      <c r="D1788" s="9" t="s">
        <v>2375</v>
      </c>
      <c r="E1788" s="9" t="s">
        <v>2376</v>
      </c>
      <c r="F1788" s="8"/>
    </row>
    <row r="1789" ht="21.0" customHeight="1">
      <c r="A1789" s="6">
        <v>1.0</v>
      </c>
      <c r="B1789" s="6">
        <v>151.0</v>
      </c>
      <c r="C1789" s="6">
        <v>2.0</v>
      </c>
      <c r="D1789" s="9" t="s">
        <v>2377</v>
      </c>
      <c r="E1789" s="9" t="s">
        <v>2378</v>
      </c>
      <c r="F1789" s="8"/>
    </row>
    <row r="1790" ht="21.0" customHeight="1">
      <c r="A1790" s="6">
        <v>1.0</v>
      </c>
      <c r="B1790" s="6">
        <v>151.0</v>
      </c>
      <c r="C1790" s="6">
        <v>3.0</v>
      </c>
      <c r="D1790" s="9" t="s">
        <v>2379</v>
      </c>
      <c r="E1790" s="9" t="s">
        <v>2380</v>
      </c>
      <c r="F1790" s="8"/>
    </row>
    <row r="1791" ht="21.0" customHeight="1">
      <c r="A1791" s="6">
        <v>1.0</v>
      </c>
      <c r="B1791" s="6">
        <v>151.0</v>
      </c>
      <c r="C1791" s="6">
        <v>4.0</v>
      </c>
      <c r="D1791" s="9" t="s">
        <v>2381</v>
      </c>
      <c r="E1791" s="9" t="s">
        <v>2382</v>
      </c>
      <c r="F1791" s="8"/>
    </row>
    <row r="1792" ht="21.0" customHeight="1">
      <c r="A1792" s="6">
        <v>1.0</v>
      </c>
      <c r="B1792" s="6">
        <v>151.0</v>
      </c>
      <c r="C1792" s="6">
        <v>5.0</v>
      </c>
      <c r="D1792" s="9" t="s">
        <v>2383</v>
      </c>
      <c r="E1792" s="9" t="s">
        <v>2384</v>
      </c>
      <c r="F1792" s="8"/>
    </row>
    <row r="1793" ht="21.0" customHeight="1">
      <c r="A1793" s="6">
        <v>1.0</v>
      </c>
      <c r="B1793" s="6">
        <v>151.0</v>
      </c>
      <c r="C1793" s="6">
        <v>6.0</v>
      </c>
      <c r="D1793" s="9" t="s">
        <v>2385</v>
      </c>
      <c r="E1793" s="9" t="s">
        <v>2386</v>
      </c>
      <c r="F1793" s="8"/>
    </row>
    <row r="1794" ht="21.0" customHeight="1">
      <c r="A1794" s="6">
        <v>1.0</v>
      </c>
      <c r="B1794" s="6">
        <v>151.0</v>
      </c>
      <c r="C1794" s="6">
        <v>7.0</v>
      </c>
      <c r="D1794" s="9" t="s">
        <v>2387</v>
      </c>
      <c r="E1794" s="9" t="s">
        <v>2388</v>
      </c>
      <c r="F1794" s="8"/>
    </row>
    <row r="1795" ht="21.0" customHeight="1">
      <c r="A1795" s="6">
        <v>1.0</v>
      </c>
      <c r="B1795" s="6">
        <v>151.0</v>
      </c>
      <c r="C1795" s="6">
        <v>8.0</v>
      </c>
      <c r="D1795" s="9" t="s">
        <v>2389</v>
      </c>
      <c r="E1795" s="9" t="s">
        <v>2390</v>
      </c>
      <c r="F1795" s="8"/>
    </row>
    <row r="1796" ht="21.0" customHeight="1">
      <c r="A1796" s="6">
        <v>1.0</v>
      </c>
      <c r="B1796" s="6">
        <v>151.0</v>
      </c>
      <c r="C1796" s="6">
        <v>9.0</v>
      </c>
      <c r="D1796" s="9" t="s">
        <v>2391</v>
      </c>
      <c r="E1796" s="9" t="s">
        <v>2392</v>
      </c>
      <c r="F1796" s="8"/>
    </row>
    <row r="1797" ht="21.0" customHeight="1">
      <c r="A1797" s="6">
        <v>1.0</v>
      </c>
      <c r="B1797" s="6">
        <v>151.0</v>
      </c>
      <c r="C1797" s="6">
        <v>10.0</v>
      </c>
      <c r="D1797" s="9" t="s">
        <v>2393</v>
      </c>
      <c r="E1797" s="9" t="s">
        <v>2394</v>
      </c>
      <c r="F1797" s="8"/>
    </row>
    <row r="1798" ht="21.0" customHeight="1">
      <c r="A1798" s="6">
        <v>1.0</v>
      </c>
      <c r="B1798" s="6">
        <v>151.0</v>
      </c>
      <c r="C1798" s="6">
        <v>11.0</v>
      </c>
      <c r="D1798" s="9" t="s">
        <v>2395</v>
      </c>
      <c r="E1798" s="9" t="s">
        <v>2396</v>
      </c>
      <c r="F1798" s="8"/>
    </row>
    <row r="1799" ht="21.0" customHeight="1">
      <c r="A1799" s="6">
        <v>1.0</v>
      </c>
      <c r="B1799" s="6">
        <v>151.0</v>
      </c>
      <c r="C1799" s="6">
        <v>12.0</v>
      </c>
      <c r="D1799" s="9" t="s">
        <v>2397</v>
      </c>
      <c r="E1799" s="9" t="s">
        <v>2398</v>
      </c>
      <c r="F1799" s="8"/>
    </row>
    <row r="1800" ht="21.0" customHeight="1">
      <c r="A1800" s="6">
        <v>1.0</v>
      </c>
      <c r="B1800" s="6">
        <v>151.0</v>
      </c>
      <c r="C1800" s="6">
        <v>13.0</v>
      </c>
      <c r="D1800" s="9" t="s">
        <v>2399</v>
      </c>
      <c r="E1800" s="9" t="s">
        <v>2400</v>
      </c>
      <c r="F1800" s="8"/>
    </row>
    <row r="1801" ht="21.0" customHeight="1">
      <c r="A1801" s="6">
        <v>1.0</v>
      </c>
      <c r="B1801" s="6">
        <v>152.0</v>
      </c>
      <c r="C1801" s="6">
        <v>1.0</v>
      </c>
      <c r="D1801" s="9" t="s">
        <v>2401</v>
      </c>
      <c r="E1801" s="9" t="s">
        <v>2402</v>
      </c>
      <c r="F1801" s="8"/>
    </row>
    <row r="1802" ht="21.0" customHeight="1">
      <c r="A1802" s="6">
        <v>1.0</v>
      </c>
      <c r="B1802" s="6">
        <v>152.0</v>
      </c>
      <c r="C1802" s="6">
        <v>2.0</v>
      </c>
      <c r="D1802" s="9" t="s">
        <v>2403</v>
      </c>
      <c r="E1802" s="9" t="s">
        <v>2404</v>
      </c>
      <c r="F1802" s="8"/>
    </row>
    <row r="1803" ht="21.0" customHeight="1">
      <c r="A1803" s="6">
        <v>1.0</v>
      </c>
      <c r="B1803" s="6">
        <v>152.0</v>
      </c>
      <c r="C1803" s="6">
        <v>3.0</v>
      </c>
      <c r="D1803" s="9" t="s">
        <v>2405</v>
      </c>
      <c r="E1803" s="9" t="s">
        <v>2406</v>
      </c>
      <c r="F1803" s="8"/>
    </row>
    <row r="1804" ht="21.0" customHeight="1">
      <c r="A1804" s="6">
        <v>1.0</v>
      </c>
      <c r="B1804" s="6">
        <v>152.0</v>
      </c>
      <c r="C1804" s="6">
        <v>4.0</v>
      </c>
      <c r="D1804" s="9" t="s">
        <v>2407</v>
      </c>
      <c r="E1804" s="9" t="s">
        <v>2408</v>
      </c>
      <c r="F1804" s="8"/>
    </row>
    <row r="1805" ht="21.0" customHeight="1">
      <c r="A1805" s="6">
        <v>1.0</v>
      </c>
      <c r="B1805" s="6">
        <v>152.0</v>
      </c>
      <c r="C1805" s="6">
        <v>5.0</v>
      </c>
      <c r="D1805" s="9" t="s">
        <v>2409</v>
      </c>
      <c r="E1805" s="9" t="s">
        <v>2410</v>
      </c>
      <c r="F1805" s="8"/>
    </row>
    <row r="1806" ht="21.0" customHeight="1">
      <c r="A1806" s="6">
        <v>1.0</v>
      </c>
      <c r="B1806" s="6">
        <v>152.0</v>
      </c>
      <c r="C1806" s="6">
        <v>6.0</v>
      </c>
      <c r="D1806" s="9" t="s">
        <v>2411</v>
      </c>
      <c r="E1806" s="9" t="s">
        <v>2412</v>
      </c>
      <c r="F1806" s="8"/>
    </row>
    <row r="1807" ht="21.0" customHeight="1">
      <c r="A1807" s="6">
        <v>1.0</v>
      </c>
      <c r="B1807" s="6">
        <v>152.0</v>
      </c>
      <c r="C1807" s="6">
        <v>7.0</v>
      </c>
      <c r="D1807" s="9" t="s">
        <v>2413</v>
      </c>
      <c r="E1807" s="9" t="s">
        <v>2414</v>
      </c>
      <c r="F1807" s="8"/>
    </row>
    <row r="1808" ht="21.0" customHeight="1">
      <c r="A1808" s="6">
        <v>1.0</v>
      </c>
      <c r="B1808" s="6">
        <v>152.0</v>
      </c>
      <c r="C1808" s="6">
        <v>8.0</v>
      </c>
      <c r="D1808" s="9" t="s">
        <v>2415</v>
      </c>
      <c r="E1808" s="9" t="s">
        <v>2416</v>
      </c>
      <c r="F1808" s="8"/>
    </row>
    <row r="1809" ht="21.0" customHeight="1">
      <c r="A1809" s="6">
        <v>1.0</v>
      </c>
      <c r="B1809" s="6">
        <v>152.0</v>
      </c>
      <c r="C1809" s="6">
        <v>9.0</v>
      </c>
      <c r="D1809" s="9" t="s">
        <v>2417</v>
      </c>
      <c r="E1809" s="9" t="s">
        <v>2418</v>
      </c>
      <c r="F1809" s="8"/>
    </row>
    <row r="1810" ht="21.0" customHeight="1">
      <c r="A1810" s="6">
        <v>1.0</v>
      </c>
      <c r="B1810" s="6">
        <v>152.0</v>
      </c>
      <c r="C1810" s="6">
        <v>10.0</v>
      </c>
      <c r="D1810" s="9" t="s">
        <v>2419</v>
      </c>
      <c r="E1810" s="9" t="s">
        <v>2420</v>
      </c>
      <c r="F1810" s="8"/>
    </row>
    <row r="1811" ht="21.0" customHeight="1">
      <c r="A1811" s="6">
        <v>1.0</v>
      </c>
      <c r="B1811" s="6">
        <v>152.0</v>
      </c>
      <c r="C1811" s="6">
        <v>11.0</v>
      </c>
      <c r="D1811" s="9" t="s">
        <v>2421</v>
      </c>
      <c r="E1811" s="9" t="s">
        <v>2422</v>
      </c>
      <c r="F1811" s="8"/>
    </row>
    <row r="1812" ht="21.0" customHeight="1">
      <c r="A1812" s="6">
        <v>1.0</v>
      </c>
      <c r="B1812" s="6">
        <v>152.0</v>
      </c>
      <c r="C1812" s="6">
        <v>12.0</v>
      </c>
      <c r="D1812" s="9" t="s">
        <v>2423</v>
      </c>
      <c r="E1812" s="9" t="s">
        <v>2424</v>
      </c>
      <c r="F1812" s="8"/>
    </row>
    <row r="1813" ht="21.0" customHeight="1">
      <c r="A1813" s="6">
        <v>1.0</v>
      </c>
      <c r="B1813" s="6">
        <v>152.0</v>
      </c>
      <c r="C1813" s="6">
        <v>13.0</v>
      </c>
      <c r="D1813" s="9" t="s">
        <v>2425</v>
      </c>
      <c r="E1813" s="9" t="s">
        <v>2426</v>
      </c>
      <c r="F1813" s="8"/>
    </row>
    <row r="1814" ht="21.0" customHeight="1">
      <c r="A1814" s="6">
        <v>1.0</v>
      </c>
      <c r="B1814" s="6">
        <v>153.0</v>
      </c>
      <c r="C1814" s="6">
        <v>1.0</v>
      </c>
      <c r="D1814" s="9" t="s">
        <v>2427</v>
      </c>
      <c r="E1814" s="9" t="s">
        <v>2428</v>
      </c>
      <c r="F1814" s="8"/>
    </row>
    <row r="1815" ht="21.0" customHeight="1">
      <c r="A1815" s="6">
        <v>1.0</v>
      </c>
      <c r="B1815" s="6">
        <v>153.0</v>
      </c>
      <c r="C1815" s="6">
        <v>2.0</v>
      </c>
      <c r="D1815" s="9" t="s">
        <v>2429</v>
      </c>
      <c r="E1815" s="9" t="s">
        <v>2430</v>
      </c>
      <c r="F1815" s="8"/>
    </row>
    <row r="1816" ht="21.0" customHeight="1">
      <c r="A1816" s="6">
        <v>1.0</v>
      </c>
      <c r="B1816" s="6">
        <v>153.0</v>
      </c>
      <c r="C1816" s="6">
        <v>3.0</v>
      </c>
      <c r="D1816" s="9" t="s">
        <v>2431</v>
      </c>
      <c r="E1816" s="9" t="s">
        <v>2432</v>
      </c>
      <c r="F1816" s="8"/>
    </row>
    <row r="1817" ht="21.0" customHeight="1">
      <c r="A1817" s="6">
        <v>1.0</v>
      </c>
      <c r="B1817" s="6">
        <v>153.0</v>
      </c>
      <c r="C1817" s="6">
        <v>4.0</v>
      </c>
      <c r="D1817" s="9" t="s">
        <v>2433</v>
      </c>
      <c r="E1817" s="9" t="s">
        <v>2434</v>
      </c>
      <c r="F1817" s="8"/>
    </row>
    <row r="1818" ht="21.0" customHeight="1">
      <c r="A1818" s="6">
        <v>1.0</v>
      </c>
      <c r="B1818" s="6">
        <v>153.0</v>
      </c>
      <c r="C1818" s="6">
        <v>5.0</v>
      </c>
      <c r="D1818" s="9" t="s">
        <v>2435</v>
      </c>
      <c r="E1818" s="9" t="s">
        <v>2436</v>
      </c>
      <c r="F1818" s="8"/>
    </row>
    <row r="1819" ht="21.0" customHeight="1">
      <c r="A1819" s="6">
        <v>1.0</v>
      </c>
      <c r="B1819" s="6">
        <v>153.0</v>
      </c>
      <c r="C1819" s="6">
        <v>6.0</v>
      </c>
      <c r="D1819" s="9" t="s">
        <v>2437</v>
      </c>
      <c r="E1819" s="9" t="s">
        <v>2438</v>
      </c>
      <c r="F1819" s="8"/>
    </row>
    <row r="1820" ht="21.0" customHeight="1">
      <c r="A1820" s="6">
        <v>1.0</v>
      </c>
      <c r="B1820" s="6">
        <v>153.0</v>
      </c>
      <c r="C1820" s="6">
        <v>7.0</v>
      </c>
      <c r="D1820" s="9" t="s">
        <v>2439</v>
      </c>
      <c r="E1820" s="9" t="s">
        <v>2440</v>
      </c>
      <c r="F1820" s="8"/>
    </row>
    <row r="1821" ht="21.0" customHeight="1">
      <c r="A1821" s="6">
        <v>1.0</v>
      </c>
      <c r="B1821" s="6">
        <v>153.0</v>
      </c>
      <c r="C1821" s="6">
        <v>8.0</v>
      </c>
      <c r="D1821" s="9" t="s">
        <v>2441</v>
      </c>
      <c r="E1821" s="9" t="s">
        <v>2442</v>
      </c>
      <c r="F1821" s="8"/>
    </row>
    <row r="1822" ht="21.0" customHeight="1">
      <c r="A1822" s="6">
        <v>1.0</v>
      </c>
      <c r="B1822" s="6">
        <v>153.0</v>
      </c>
      <c r="C1822" s="6">
        <v>9.0</v>
      </c>
      <c r="D1822" s="9" t="s">
        <v>2443</v>
      </c>
      <c r="E1822" s="9" t="s">
        <v>2444</v>
      </c>
      <c r="F1822" s="8"/>
    </row>
    <row r="1823" ht="21.0" customHeight="1">
      <c r="A1823" s="6">
        <v>1.0</v>
      </c>
      <c r="B1823" s="6">
        <v>153.0</v>
      </c>
      <c r="C1823" s="6">
        <v>10.0</v>
      </c>
      <c r="D1823" s="9" t="s">
        <v>2445</v>
      </c>
      <c r="E1823" s="9" t="s">
        <v>2446</v>
      </c>
      <c r="F1823" s="8"/>
    </row>
    <row r="1824" ht="21.0" customHeight="1">
      <c r="A1824" s="6">
        <v>1.0</v>
      </c>
      <c r="B1824" s="6">
        <v>153.0</v>
      </c>
      <c r="C1824" s="6">
        <v>11.0</v>
      </c>
      <c r="D1824" s="9" t="s">
        <v>2447</v>
      </c>
      <c r="E1824" s="9" t="s">
        <v>2448</v>
      </c>
      <c r="F1824" s="8"/>
    </row>
    <row r="1825" ht="21.0" customHeight="1">
      <c r="A1825" s="6">
        <v>1.0</v>
      </c>
      <c r="B1825" s="6">
        <v>153.0</v>
      </c>
      <c r="C1825" s="6">
        <v>12.0</v>
      </c>
      <c r="D1825" s="9" t="s">
        <v>2449</v>
      </c>
      <c r="E1825" s="9" t="s">
        <v>2450</v>
      </c>
      <c r="F1825" s="8"/>
    </row>
    <row r="1826" ht="21.0" customHeight="1">
      <c r="A1826" s="6">
        <v>1.0</v>
      </c>
      <c r="B1826" s="6">
        <v>153.0</v>
      </c>
      <c r="C1826" s="6">
        <v>13.0</v>
      </c>
      <c r="D1826" s="9" t="s">
        <v>2451</v>
      </c>
      <c r="E1826" s="9" t="s">
        <v>2452</v>
      </c>
      <c r="F1826" s="8"/>
    </row>
    <row r="1827" ht="21.0" customHeight="1">
      <c r="A1827" s="6">
        <v>1.0</v>
      </c>
      <c r="B1827" s="6">
        <v>153.0</v>
      </c>
      <c r="C1827" s="6">
        <v>14.0</v>
      </c>
      <c r="D1827" s="9" t="s">
        <v>2453</v>
      </c>
      <c r="E1827" s="9" t="s">
        <v>2454</v>
      </c>
      <c r="F1827" s="8"/>
    </row>
    <row r="1828" ht="21.0" customHeight="1">
      <c r="A1828" s="6">
        <v>1.0</v>
      </c>
      <c r="B1828" s="6">
        <v>153.0</v>
      </c>
      <c r="C1828" s="6">
        <v>15.0</v>
      </c>
      <c r="D1828" s="9" t="s">
        <v>2455</v>
      </c>
      <c r="E1828" s="9" t="s">
        <v>2456</v>
      </c>
      <c r="F1828" s="8"/>
    </row>
    <row r="1829" ht="21.0" customHeight="1">
      <c r="A1829" s="6">
        <v>11.0</v>
      </c>
      <c r="B1829" s="6">
        <v>1023.0</v>
      </c>
      <c r="C1829" s="6">
        <v>1.0</v>
      </c>
      <c r="D1829" s="9" t="s">
        <v>2457</v>
      </c>
      <c r="E1829" s="9" t="s">
        <v>2458</v>
      </c>
      <c r="F1829" s="8"/>
    </row>
    <row r="1830" ht="21.0" customHeight="1">
      <c r="A1830" s="6">
        <v>11.0</v>
      </c>
      <c r="B1830" s="6">
        <v>1023.0</v>
      </c>
      <c r="C1830" s="6">
        <v>2.0</v>
      </c>
      <c r="D1830" s="9" t="s">
        <v>2459</v>
      </c>
      <c r="E1830" s="9" t="s">
        <v>2460</v>
      </c>
      <c r="F1830" s="8"/>
    </row>
    <row r="1831" ht="21.0" customHeight="1">
      <c r="A1831" s="6">
        <v>11.0</v>
      </c>
      <c r="B1831" s="6">
        <v>1023.0</v>
      </c>
      <c r="C1831" s="6">
        <v>3.0</v>
      </c>
      <c r="D1831" s="9" t="s">
        <v>2461</v>
      </c>
      <c r="E1831" s="9" t="s">
        <v>2462</v>
      </c>
      <c r="F1831" s="8"/>
    </row>
    <row r="1832" ht="21.0" customHeight="1">
      <c r="A1832" s="6">
        <v>11.0</v>
      </c>
      <c r="B1832" s="6">
        <v>1023.0</v>
      </c>
      <c r="C1832" s="6">
        <v>4.0</v>
      </c>
      <c r="D1832" s="9" t="s">
        <v>2463</v>
      </c>
      <c r="E1832" s="9" t="s">
        <v>2464</v>
      </c>
      <c r="F1832" s="8"/>
    </row>
    <row r="1833" ht="21.0" customHeight="1">
      <c r="A1833" s="6">
        <v>10.0</v>
      </c>
      <c r="B1833" s="6">
        <v>1023.0</v>
      </c>
      <c r="C1833" s="6">
        <v>5.0</v>
      </c>
      <c r="D1833" s="9" t="s">
        <v>2465</v>
      </c>
      <c r="E1833" s="9" t="s">
        <v>2466</v>
      </c>
      <c r="F1833" s="8"/>
    </row>
    <row r="1834" ht="21.0" customHeight="1">
      <c r="A1834" s="6">
        <v>10.0</v>
      </c>
      <c r="B1834" s="6">
        <v>1023.0</v>
      </c>
      <c r="C1834" s="6">
        <v>6.0</v>
      </c>
      <c r="D1834" s="9" t="s">
        <v>2467</v>
      </c>
      <c r="E1834" s="9" t="s">
        <v>2468</v>
      </c>
      <c r="F1834" s="8"/>
    </row>
    <row r="1835" ht="21.0" customHeight="1">
      <c r="A1835" s="6">
        <v>10.0</v>
      </c>
      <c r="B1835" s="6">
        <v>1023.0</v>
      </c>
      <c r="C1835" s="6">
        <v>7.0</v>
      </c>
      <c r="D1835" s="9" t="s">
        <v>2469</v>
      </c>
      <c r="E1835" s="9" t="s">
        <v>2470</v>
      </c>
      <c r="F1835" s="8"/>
    </row>
    <row r="1836" ht="21.0" customHeight="1">
      <c r="A1836" s="6">
        <v>10.0</v>
      </c>
      <c r="B1836" s="6">
        <v>1023.0</v>
      </c>
      <c r="C1836" s="6">
        <v>8.0</v>
      </c>
      <c r="D1836" s="9" t="s">
        <v>2471</v>
      </c>
      <c r="E1836" s="9" t="s">
        <v>2472</v>
      </c>
      <c r="F1836" s="8"/>
    </row>
    <row r="1837" ht="21.0" customHeight="1">
      <c r="A1837" s="6">
        <v>10.0</v>
      </c>
      <c r="B1837" s="6">
        <v>1023.0</v>
      </c>
      <c r="C1837" s="6">
        <v>9.0</v>
      </c>
      <c r="D1837" s="9" t="s">
        <v>2473</v>
      </c>
      <c r="E1837" s="9" t="s">
        <v>2474</v>
      </c>
      <c r="F1837" s="8"/>
    </row>
    <row r="1838" ht="21.0" customHeight="1">
      <c r="A1838" s="6">
        <v>10.0</v>
      </c>
      <c r="B1838" s="6">
        <v>1023.0</v>
      </c>
      <c r="C1838" s="6">
        <v>10.0</v>
      </c>
      <c r="D1838" s="9" t="s">
        <v>2475</v>
      </c>
      <c r="E1838" s="9" t="s">
        <v>2476</v>
      </c>
      <c r="F1838" s="8"/>
    </row>
    <row r="1839" ht="21.0" customHeight="1">
      <c r="A1839" s="6">
        <v>1.0</v>
      </c>
      <c r="B1839" s="6">
        <v>154.0</v>
      </c>
      <c r="C1839" s="6">
        <v>1.0</v>
      </c>
      <c r="D1839" s="9" t="s">
        <v>2477</v>
      </c>
      <c r="E1839" s="9" t="s">
        <v>2478</v>
      </c>
      <c r="F1839" s="8"/>
    </row>
    <row r="1840" ht="21.0" customHeight="1">
      <c r="A1840" s="6">
        <v>1.0</v>
      </c>
      <c r="B1840" s="6">
        <v>154.0</v>
      </c>
      <c r="C1840" s="6">
        <v>2.0</v>
      </c>
      <c r="D1840" s="9" t="s">
        <v>2479</v>
      </c>
      <c r="E1840" s="9" t="s">
        <v>2480</v>
      </c>
      <c r="F1840" s="8"/>
    </row>
    <row r="1841" ht="21.0" customHeight="1">
      <c r="A1841" s="6">
        <v>1.0</v>
      </c>
      <c r="B1841" s="6">
        <v>154.0</v>
      </c>
      <c r="C1841" s="6">
        <v>3.0</v>
      </c>
      <c r="D1841" s="9" t="s">
        <v>2481</v>
      </c>
      <c r="E1841" s="9" t="s">
        <v>2482</v>
      </c>
      <c r="F1841" s="8"/>
    </row>
    <row r="1842" ht="21.0" customHeight="1">
      <c r="A1842" s="6">
        <v>1.0</v>
      </c>
      <c r="B1842" s="6">
        <v>154.0</v>
      </c>
      <c r="C1842" s="6">
        <v>4.0</v>
      </c>
      <c r="D1842" s="9" t="s">
        <v>2483</v>
      </c>
      <c r="E1842" s="9" t="s">
        <v>2484</v>
      </c>
      <c r="F1842" s="8"/>
    </row>
    <row r="1843" ht="21.0" customHeight="1">
      <c r="A1843" s="6">
        <v>1.0</v>
      </c>
      <c r="B1843" s="6">
        <v>154.0</v>
      </c>
      <c r="C1843" s="6">
        <v>5.0</v>
      </c>
      <c r="D1843" s="9" t="s">
        <v>2485</v>
      </c>
      <c r="E1843" s="9" t="s">
        <v>2486</v>
      </c>
      <c r="F1843" s="8"/>
    </row>
    <row r="1844" ht="21.0" customHeight="1">
      <c r="A1844" s="6">
        <v>1.0</v>
      </c>
      <c r="B1844" s="6">
        <v>154.0</v>
      </c>
      <c r="C1844" s="6">
        <v>6.0</v>
      </c>
      <c r="D1844" s="9" t="s">
        <v>2487</v>
      </c>
      <c r="E1844" s="9" t="s">
        <v>2488</v>
      </c>
      <c r="F1844" s="8"/>
    </row>
    <row r="1845" ht="21.0" customHeight="1">
      <c r="A1845" s="6">
        <v>1.0</v>
      </c>
      <c r="B1845" s="6">
        <v>154.0</v>
      </c>
      <c r="C1845" s="6">
        <v>7.0</v>
      </c>
      <c r="D1845" s="9" t="s">
        <v>2489</v>
      </c>
      <c r="E1845" s="9" t="s">
        <v>2490</v>
      </c>
      <c r="F1845" s="8"/>
    </row>
    <row r="1846" ht="21.0" customHeight="1">
      <c r="A1846" s="6">
        <v>1.0</v>
      </c>
      <c r="B1846" s="6">
        <v>154.0</v>
      </c>
      <c r="C1846" s="6">
        <v>8.0</v>
      </c>
      <c r="D1846" s="9" t="s">
        <v>2491</v>
      </c>
      <c r="E1846" s="9" t="s">
        <v>2492</v>
      </c>
      <c r="F1846" s="8"/>
    </row>
    <row r="1847" ht="21.0" customHeight="1">
      <c r="A1847" s="6">
        <v>1.0</v>
      </c>
      <c r="B1847" s="6">
        <v>154.0</v>
      </c>
      <c r="C1847" s="6">
        <v>9.0</v>
      </c>
      <c r="D1847" s="9" t="s">
        <v>2493</v>
      </c>
      <c r="E1847" s="9" t="s">
        <v>2494</v>
      </c>
      <c r="F1847" s="8"/>
    </row>
    <row r="1848" ht="21.0" customHeight="1">
      <c r="A1848" s="6">
        <v>1.0</v>
      </c>
      <c r="B1848" s="6">
        <v>154.0</v>
      </c>
      <c r="C1848" s="6">
        <v>10.0</v>
      </c>
      <c r="D1848" s="9" t="s">
        <v>2495</v>
      </c>
      <c r="E1848" s="9" t="s">
        <v>2496</v>
      </c>
      <c r="F1848" s="8"/>
    </row>
    <row r="1849" ht="21.0" customHeight="1">
      <c r="A1849" s="6">
        <v>1.0</v>
      </c>
      <c r="B1849" s="6">
        <v>154.0</v>
      </c>
      <c r="C1849" s="6">
        <v>11.0</v>
      </c>
      <c r="D1849" s="9" t="s">
        <v>2497</v>
      </c>
      <c r="E1849" s="9" t="s">
        <v>2498</v>
      </c>
      <c r="F1849" s="8"/>
    </row>
    <row r="1850" ht="21.0" customHeight="1">
      <c r="A1850" s="6">
        <v>1.0</v>
      </c>
      <c r="B1850" s="6">
        <v>154.0</v>
      </c>
      <c r="C1850" s="6">
        <v>12.0</v>
      </c>
      <c r="D1850" s="9" t="s">
        <v>2499</v>
      </c>
      <c r="E1850" s="9" t="s">
        <v>2500</v>
      </c>
      <c r="F1850" s="8"/>
    </row>
    <row r="1851" ht="21.0" customHeight="1">
      <c r="A1851" s="6">
        <v>1.0</v>
      </c>
      <c r="B1851" s="6">
        <v>154.0</v>
      </c>
      <c r="C1851" s="6">
        <v>13.0</v>
      </c>
      <c r="D1851" s="9" t="s">
        <v>2501</v>
      </c>
      <c r="E1851" s="9" t="s">
        <v>2502</v>
      </c>
      <c r="F1851" s="8"/>
    </row>
    <row r="1852" ht="21.0" customHeight="1">
      <c r="A1852" s="6">
        <v>1.0</v>
      </c>
      <c r="B1852" s="6">
        <v>154.0</v>
      </c>
      <c r="C1852" s="6">
        <v>14.0</v>
      </c>
      <c r="D1852" s="9" t="s">
        <v>2503</v>
      </c>
      <c r="E1852" s="9" t="s">
        <v>2504</v>
      </c>
      <c r="F1852" s="8"/>
    </row>
    <row r="1853" ht="21.0" customHeight="1">
      <c r="A1853" s="6">
        <v>1.0</v>
      </c>
      <c r="B1853" s="6">
        <v>154.0</v>
      </c>
      <c r="C1853" s="6">
        <v>15.0</v>
      </c>
      <c r="D1853" s="9" t="s">
        <v>2505</v>
      </c>
      <c r="E1853" s="9" t="s">
        <v>2506</v>
      </c>
      <c r="F1853" s="8"/>
    </row>
    <row r="1854" ht="21.0" customHeight="1">
      <c r="A1854" s="6">
        <v>1.0</v>
      </c>
      <c r="B1854" s="6">
        <v>155.0</v>
      </c>
      <c r="C1854" s="6">
        <v>1.0</v>
      </c>
      <c r="D1854" s="9" t="s">
        <v>2507</v>
      </c>
      <c r="E1854" s="9" t="s">
        <v>2508</v>
      </c>
      <c r="F1854" s="8"/>
    </row>
    <row r="1855" ht="21.0" customHeight="1">
      <c r="A1855" s="6">
        <v>1.0</v>
      </c>
      <c r="B1855" s="6">
        <v>155.0</v>
      </c>
      <c r="C1855" s="6">
        <v>2.0</v>
      </c>
      <c r="D1855" s="9" t="s">
        <v>2509</v>
      </c>
      <c r="E1855" s="9" t="s">
        <v>2510</v>
      </c>
      <c r="F1855" s="8"/>
    </row>
    <row r="1856" ht="21.0" customHeight="1">
      <c r="A1856" s="6">
        <v>1.0</v>
      </c>
      <c r="B1856" s="6">
        <v>155.0</v>
      </c>
      <c r="C1856" s="6">
        <v>3.0</v>
      </c>
      <c r="D1856" s="11" t="s">
        <v>2511</v>
      </c>
      <c r="E1856" s="9" t="s">
        <v>2512</v>
      </c>
      <c r="F1856" s="8"/>
    </row>
    <row r="1857" ht="21.0" customHeight="1">
      <c r="A1857" s="6">
        <v>1.0</v>
      </c>
      <c r="B1857" s="6">
        <v>155.0</v>
      </c>
      <c r="C1857" s="6">
        <v>4.0</v>
      </c>
      <c r="D1857" s="9" t="s">
        <v>2513</v>
      </c>
      <c r="E1857" s="9" t="s">
        <v>2514</v>
      </c>
      <c r="F1857" s="8"/>
    </row>
    <row r="1858" ht="21.0" customHeight="1">
      <c r="A1858" s="6">
        <v>1.0</v>
      </c>
      <c r="B1858" s="6">
        <v>155.0</v>
      </c>
      <c r="C1858" s="6">
        <v>5.0</v>
      </c>
      <c r="D1858" s="9" t="s">
        <v>2515</v>
      </c>
      <c r="E1858" s="9" t="s">
        <v>2516</v>
      </c>
      <c r="F1858" s="8"/>
    </row>
    <row r="1859" ht="21.0" customHeight="1">
      <c r="A1859" s="6">
        <v>1.0</v>
      </c>
      <c r="B1859" s="6">
        <v>155.0</v>
      </c>
      <c r="C1859" s="6">
        <v>6.0</v>
      </c>
      <c r="D1859" s="9" t="s">
        <v>2517</v>
      </c>
      <c r="E1859" s="9" t="s">
        <v>2518</v>
      </c>
      <c r="F1859" s="8"/>
    </row>
    <row r="1860" ht="21.0" customHeight="1">
      <c r="A1860" s="6">
        <v>1.0</v>
      </c>
      <c r="B1860" s="6">
        <v>155.0</v>
      </c>
      <c r="C1860" s="6">
        <v>7.0</v>
      </c>
      <c r="D1860" s="9" t="s">
        <v>2519</v>
      </c>
      <c r="E1860" s="9" t="s">
        <v>2520</v>
      </c>
      <c r="F1860" s="8"/>
    </row>
    <row r="1861" ht="21.0" customHeight="1">
      <c r="A1861" s="6">
        <v>1.0</v>
      </c>
      <c r="B1861" s="6">
        <v>155.0</v>
      </c>
      <c r="C1861" s="6">
        <v>8.0</v>
      </c>
      <c r="D1861" s="9" t="s">
        <v>2521</v>
      </c>
      <c r="E1861" s="9" t="s">
        <v>2522</v>
      </c>
      <c r="F1861" s="8"/>
    </row>
    <row r="1862" ht="21.0" customHeight="1">
      <c r="A1862" s="6">
        <v>1.0</v>
      </c>
      <c r="B1862" s="6">
        <v>155.0</v>
      </c>
      <c r="C1862" s="6">
        <v>9.0</v>
      </c>
      <c r="D1862" s="11" t="s">
        <v>2523</v>
      </c>
      <c r="E1862" s="9" t="s">
        <v>2524</v>
      </c>
      <c r="F1862" s="8"/>
    </row>
    <row r="1863" ht="21.0" customHeight="1">
      <c r="A1863" s="6">
        <v>1.0</v>
      </c>
      <c r="B1863" s="6">
        <v>155.0</v>
      </c>
      <c r="C1863" s="6">
        <v>10.0</v>
      </c>
      <c r="D1863" s="9" t="s">
        <v>2525</v>
      </c>
      <c r="E1863" s="9" t="s">
        <v>2526</v>
      </c>
      <c r="F1863" s="8"/>
    </row>
    <row r="1864" ht="21.0" customHeight="1">
      <c r="A1864" s="6">
        <v>1.0</v>
      </c>
      <c r="B1864" s="6">
        <v>155.0</v>
      </c>
      <c r="C1864" s="6">
        <v>11.0</v>
      </c>
      <c r="D1864" s="9" t="s">
        <v>2527</v>
      </c>
      <c r="E1864" s="9" t="s">
        <v>2528</v>
      </c>
      <c r="F1864" s="8"/>
    </row>
    <row r="1865" ht="21.0" customHeight="1">
      <c r="A1865" s="6">
        <v>1.0</v>
      </c>
      <c r="B1865" s="6">
        <v>155.0</v>
      </c>
      <c r="C1865" s="6">
        <v>12.0</v>
      </c>
      <c r="D1865" s="9" t="s">
        <v>2529</v>
      </c>
      <c r="E1865" s="9" t="s">
        <v>2530</v>
      </c>
      <c r="F1865" s="8"/>
    </row>
    <row r="1866" ht="21.0" customHeight="1">
      <c r="A1866" s="6">
        <v>1.0</v>
      </c>
      <c r="B1866" s="6">
        <v>155.0</v>
      </c>
      <c r="C1866" s="6">
        <v>13.0</v>
      </c>
      <c r="D1866" s="9" t="s">
        <v>2531</v>
      </c>
      <c r="E1866" s="9" t="s">
        <v>2532</v>
      </c>
      <c r="F1866" s="8"/>
    </row>
    <row r="1867" ht="21.0" customHeight="1">
      <c r="A1867" s="6">
        <v>1.0</v>
      </c>
      <c r="B1867" s="6">
        <v>156.0</v>
      </c>
      <c r="C1867" s="6">
        <v>1.0</v>
      </c>
      <c r="D1867" s="9" t="s">
        <v>2533</v>
      </c>
      <c r="E1867" s="9" t="s">
        <v>2534</v>
      </c>
      <c r="F1867" s="8"/>
    </row>
    <row r="1868" ht="21.0" customHeight="1">
      <c r="A1868" s="6">
        <v>1.0</v>
      </c>
      <c r="B1868" s="6">
        <v>156.0</v>
      </c>
      <c r="C1868" s="6">
        <v>2.0</v>
      </c>
      <c r="D1868" s="9" t="s">
        <v>2535</v>
      </c>
      <c r="E1868" s="9" t="s">
        <v>2536</v>
      </c>
      <c r="F1868" s="8"/>
    </row>
    <row r="1869" ht="21.0" customHeight="1">
      <c r="A1869" s="6">
        <v>1.0</v>
      </c>
      <c r="B1869" s="6">
        <v>156.0</v>
      </c>
      <c r="C1869" s="6">
        <v>3.0</v>
      </c>
      <c r="D1869" s="9" t="s">
        <v>2537</v>
      </c>
      <c r="E1869" s="9" t="s">
        <v>2538</v>
      </c>
      <c r="F1869" s="8"/>
    </row>
    <row r="1870" ht="21.0" customHeight="1">
      <c r="A1870" s="6">
        <v>1.0</v>
      </c>
      <c r="B1870" s="6">
        <v>156.0</v>
      </c>
      <c r="C1870" s="6">
        <v>4.0</v>
      </c>
      <c r="D1870" s="9" t="s">
        <v>2539</v>
      </c>
      <c r="E1870" s="9" t="s">
        <v>2540</v>
      </c>
      <c r="F1870" s="8"/>
    </row>
    <row r="1871" ht="21.0" customHeight="1">
      <c r="A1871" s="6">
        <v>1.0</v>
      </c>
      <c r="B1871" s="6">
        <v>156.0</v>
      </c>
      <c r="C1871" s="6">
        <v>5.0</v>
      </c>
      <c r="D1871" s="9" t="s">
        <v>2541</v>
      </c>
      <c r="E1871" s="9" t="s">
        <v>2542</v>
      </c>
      <c r="F1871" s="8"/>
    </row>
    <row r="1872" ht="21.0" customHeight="1">
      <c r="A1872" s="6">
        <v>1.0</v>
      </c>
      <c r="B1872" s="6">
        <v>156.0</v>
      </c>
      <c r="C1872" s="6">
        <v>6.0</v>
      </c>
      <c r="D1872" s="9" t="s">
        <v>2543</v>
      </c>
      <c r="E1872" s="9" t="s">
        <v>2544</v>
      </c>
      <c r="F1872" s="8"/>
    </row>
    <row r="1873" ht="21.0" customHeight="1">
      <c r="A1873" s="6">
        <v>1.0</v>
      </c>
      <c r="B1873" s="6">
        <v>156.0</v>
      </c>
      <c r="C1873" s="6">
        <v>7.0</v>
      </c>
      <c r="D1873" s="9" t="s">
        <v>2545</v>
      </c>
      <c r="E1873" s="9" t="s">
        <v>2546</v>
      </c>
      <c r="F1873" s="8"/>
    </row>
    <row r="1874" ht="21.0" customHeight="1">
      <c r="A1874" s="6">
        <v>1.0</v>
      </c>
      <c r="B1874" s="6">
        <v>156.0</v>
      </c>
      <c r="C1874" s="6">
        <v>8.0</v>
      </c>
      <c r="D1874" s="9" t="s">
        <v>2547</v>
      </c>
      <c r="E1874" s="9" t="s">
        <v>2548</v>
      </c>
      <c r="F1874" s="8"/>
    </row>
    <row r="1875" ht="21.0" customHeight="1">
      <c r="A1875" s="6">
        <v>1.0</v>
      </c>
      <c r="B1875" s="6">
        <v>156.0</v>
      </c>
      <c r="C1875" s="6">
        <v>9.0</v>
      </c>
      <c r="D1875" s="9" t="s">
        <v>2549</v>
      </c>
      <c r="E1875" s="9" t="s">
        <v>2550</v>
      </c>
      <c r="F1875" s="8"/>
    </row>
    <row r="1876" ht="21.0" customHeight="1">
      <c r="A1876" s="6">
        <v>1.0</v>
      </c>
      <c r="B1876" s="6">
        <v>156.0</v>
      </c>
      <c r="C1876" s="6">
        <v>10.0</v>
      </c>
      <c r="D1876" s="9" t="s">
        <v>2551</v>
      </c>
      <c r="E1876" s="9" t="s">
        <v>2552</v>
      </c>
      <c r="F1876" s="8"/>
    </row>
    <row r="1877" ht="21.0" customHeight="1">
      <c r="A1877" s="6">
        <v>1.0</v>
      </c>
      <c r="B1877" s="6">
        <v>156.0</v>
      </c>
      <c r="C1877" s="6">
        <v>11.0</v>
      </c>
      <c r="D1877" s="9" t="s">
        <v>2553</v>
      </c>
      <c r="E1877" s="9" t="s">
        <v>2554</v>
      </c>
      <c r="F1877" s="8"/>
    </row>
    <row r="1878" ht="21.0" customHeight="1">
      <c r="A1878" s="6">
        <v>1.0</v>
      </c>
      <c r="B1878" s="6">
        <v>156.0</v>
      </c>
      <c r="C1878" s="6">
        <v>12.0</v>
      </c>
      <c r="D1878" s="9" t="s">
        <v>2555</v>
      </c>
      <c r="E1878" s="9" t="s">
        <v>2556</v>
      </c>
      <c r="F1878" s="8"/>
    </row>
    <row r="1879" ht="21.0" customHeight="1">
      <c r="A1879" s="6">
        <v>1.0</v>
      </c>
      <c r="B1879" s="6">
        <v>156.0</v>
      </c>
      <c r="C1879" s="6">
        <v>13.0</v>
      </c>
      <c r="D1879" s="9" t="s">
        <v>2557</v>
      </c>
      <c r="E1879" s="9" t="s">
        <v>2558</v>
      </c>
      <c r="F1879" s="8"/>
    </row>
    <row r="1880" ht="21.0" customHeight="1">
      <c r="A1880" s="6">
        <v>1.0</v>
      </c>
      <c r="B1880" s="6">
        <v>157.0</v>
      </c>
      <c r="C1880" s="6">
        <v>1.0</v>
      </c>
      <c r="D1880" s="9" t="s">
        <v>2559</v>
      </c>
      <c r="E1880" s="9" t="s">
        <v>2560</v>
      </c>
      <c r="F1880" s="8"/>
    </row>
    <row r="1881" ht="21.0" customHeight="1">
      <c r="A1881" s="6">
        <v>1.0</v>
      </c>
      <c r="B1881" s="6">
        <v>157.0</v>
      </c>
      <c r="C1881" s="6">
        <v>2.0</v>
      </c>
      <c r="D1881" s="9" t="s">
        <v>2561</v>
      </c>
      <c r="E1881" s="9" t="s">
        <v>2562</v>
      </c>
      <c r="F1881" s="8"/>
    </row>
    <row r="1882" ht="21.0" customHeight="1">
      <c r="A1882" s="6">
        <v>1.0</v>
      </c>
      <c r="B1882" s="6">
        <v>157.0</v>
      </c>
      <c r="C1882" s="6">
        <v>3.0</v>
      </c>
      <c r="D1882" s="9" t="s">
        <v>2563</v>
      </c>
      <c r="E1882" s="9" t="s">
        <v>2564</v>
      </c>
      <c r="F1882" s="8"/>
    </row>
    <row r="1883" ht="21.0" customHeight="1">
      <c r="A1883" s="6">
        <v>1.0</v>
      </c>
      <c r="B1883" s="6">
        <v>157.0</v>
      </c>
      <c r="C1883" s="6">
        <v>4.0</v>
      </c>
      <c r="D1883" s="9" t="s">
        <v>2565</v>
      </c>
      <c r="E1883" s="9" t="s">
        <v>2566</v>
      </c>
      <c r="F1883" s="8"/>
    </row>
    <row r="1884" ht="21.0" customHeight="1">
      <c r="A1884" s="6">
        <v>1.0</v>
      </c>
      <c r="B1884" s="6">
        <v>157.0</v>
      </c>
      <c r="C1884" s="6">
        <v>5.0</v>
      </c>
      <c r="D1884" s="9" t="s">
        <v>2567</v>
      </c>
      <c r="E1884" s="9" t="s">
        <v>2568</v>
      </c>
      <c r="F1884" s="8"/>
    </row>
    <row r="1885" ht="21.0" customHeight="1">
      <c r="A1885" s="6">
        <v>1.0</v>
      </c>
      <c r="B1885" s="6">
        <v>157.0</v>
      </c>
      <c r="C1885" s="6">
        <v>6.0</v>
      </c>
      <c r="D1885" s="9" t="s">
        <v>2569</v>
      </c>
      <c r="E1885" s="9" t="s">
        <v>2570</v>
      </c>
      <c r="F1885" s="8"/>
    </row>
    <row r="1886" ht="21.0" customHeight="1">
      <c r="A1886" s="6">
        <v>1.0</v>
      </c>
      <c r="B1886" s="6">
        <v>157.0</v>
      </c>
      <c r="C1886" s="6">
        <v>7.0</v>
      </c>
      <c r="D1886" s="9" t="s">
        <v>2571</v>
      </c>
      <c r="E1886" s="9" t="s">
        <v>2572</v>
      </c>
      <c r="F1886" s="8"/>
    </row>
    <row r="1887" ht="21.0" customHeight="1">
      <c r="A1887" s="6">
        <v>1.0</v>
      </c>
      <c r="B1887" s="6">
        <v>157.0</v>
      </c>
      <c r="C1887" s="6">
        <v>8.0</v>
      </c>
      <c r="D1887" s="9" t="s">
        <v>2573</v>
      </c>
      <c r="E1887" s="9" t="s">
        <v>2574</v>
      </c>
      <c r="F1887" s="8"/>
    </row>
    <row r="1888" ht="21.0" customHeight="1">
      <c r="A1888" s="6">
        <v>1.0</v>
      </c>
      <c r="B1888" s="6">
        <v>157.0</v>
      </c>
      <c r="C1888" s="6">
        <v>9.0</v>
      </c>
      <c r="D1888" s="9" t="s">
        <v>2575</v>
      </c>
      <c r="E1888" s="9" t="s">
        <v>2576</v>
      </c>
      <c r="F1888" s="8"/>
    </row>
    <row r="1889" ht="21.0" customHeight="1">
      <c r="A1889" s="6">
        <v>1.0</v>
      </c>
      <c r="B1889" s="6">
        <v>157.0</v>
      </c>
      <c r="C1889" s="6">
        <v>10.0</v>
      </c>
      <c r="D1889" s="9" t="s">
        <v>2577</v>
      </c>
      <c r="E1889" s="9" t="s">
        <v>2578</v>
      </c>
      <c r="F1889" s="8"/>
    </row>
    <row r="1890" ht="21.0" customHeight="1">
      <c r="A1890" s="6">
        <v>1.0</v>
      </c>
      <c r="B1890" s="6">
        <v>157.0</v>
      </c>
      <c r="C1890" s="6">
        <v>11.0</v>
      </c>
      <c r="D1890" s="9" t="s">
        <v>2579</v>
      </c>
      <c r="E1890" s="9" t="s">
        <v>2580</v>
      </c>
      <c r="F1890" s="8"/>
    </row>
    <row r="1891" ht="21.0" customHeight="1">
      <c r="A1891" s="6">
        <v>1.0</v>
      </c>
      <c r="B1891" s="6">
        <v>157.0</v>
      </c>
      <c r="C1891" s="6">
        <v>12.0</v>
      </c>
      <c r="D1891" s="9" t="s">
        <v>2581</v>
      </c>
      <c r="E1891" s="9" t="s">
        <v>2582</v>
      </c>
      <c r="F1891" s="8"/>
    </row>
    <row r="1892" ht="21.0" customHeight="1">
      <c r="A1892" s="6">
        <v>1.0</v>
      </c>
      <c r="B1892" s="6">
        <v>157.0</v>
      </c>
      <c r="C1892" s="6">
        <v>13.0</v>
      </c>
      <c r="D1892" s="9" t="s">
        <v>2583</v>
      </c>
      <c r="E1892" s="9" t="s">
        <v>2584</v>
      </c>
      <c r="F1892" s="8"/>
    </row>
    <row r="1893" ht="21.0" customHeight="1">
      <c r="A1893" s="68">
        <v>1.0</v>
      </c>
      <c r="B1893" s="68">
        <v>158.0</v>
      </c>
      <c r="C1893" s="68">
        <v>1.0</v>
      </c>
      <c r="D1893" s="68" t="s">
        <v>2585</v>
      </c>
      <c r="E1893" s="68" t="s">
        <v>2586</v>
      </c>
      <c r="F1893" s="8"/>
    </row>
    <row r="1894" ht="21.0" customHeight="1">
      <c r="A1894" s="35">
        <v>1.0</v>
      </c>
      <c r="B1894" s="35">
        <v>158.0</v>
      </c>
      <c r="C1894" s="35">
        <v>2.0</v>
      </c>
      <c r="D1894" s="35" t="s">
        <v>2587</v>
      </c>
      <c r="E1894" s="35" t="s">
        <v>2588</v>
      </c>
      <c r="F1894" s="8"/>
    </row>
    <row r="1895" ht="21.0" customHeight="1">
      <c r="A1895" s="68">
        <v>1.0</v>
      </c>
      <c r="B1895" s="68">
        <v>158.0</v>
      </c>
      <c r="C1895" s="68">
        <v>3.0</v>
      </c>
      <c r="D1895" s="68" t="s">
        <v>2589</v>
      </c>
      <c r="E1895" s="68" t="s">
        <v>2590</v>
      </c>
      <c r="F1895" s="8"/>
    </row>
    <row r="1896" ht="21.0" customHeight="1">
      <c r="A1896" s="35">
        <v>1.0</v>
      </c>
      <c r="B1896" s="35">
        <v>158.0</v>
      </c>
      <c r="C1896" s="35">
        <v>4.0</v>
      </c>
      <c r="D1896" s="35" t="s">
        <v>2591</v>
      </c>
      <c r="E1896" s="35" t="s">
        <v>2592</v>
      </c>
      <c r="F1896" s="8"/>
    </row>
    <row r="1897" ht="21.0" customHeight="1">
      <c r="A1897" s="68">
        <v>1.0</v>
      </c>
      <c r="B1897" s="68">
        <v>158.0</v>
      </c>
      <c r="C1897" s="68">
        <v>5.0</v>
      </c>
      <c r="D1897" s="68" t="s">
        <v>2593</v>
      </c>
      <c r="E1897" s="68" t="s">
        <v>2594</v>
      </c>
      <c r="F1897" s="8"/>
    </row>
    <row r="1898" ht="21.0" customHeight="1">
      <c r="A1898" s="35">
        <v>1.0</v>
      </c>
      <c r="B1898" s="35">
        <v>158.0</v>
      </c>
      <c r="C1898" s="35">
        <v>6.0</v>
      </c>
      <c r="D1898" s="35" t="s">
        <v>2595</v>
      </c>
      <c r="E1898" s="35" t="s">
        <v>2596</v>
      </c>
      <c r="F1898" s="8"/>
    </row>
    <row r="1899" ht="21.0" customHeight="1">
      <c r="A1899" s="68">
        <v>1.0</v>
      </c>
      <c r="B1899" s="68">
        <v>158.0</v>
      </c>
      <c r="C1899" s="68">
        <v>7.0</v>
      </c>
      <c r="D1899" s="68" t="s">
        <v>2597</v>
      </c>
      <c r="E1899" s="68" t="s">
        <v>2598</v>
      </c>
      <c r="F1899" s="8"/>
    </row>
    <row r="1900" ht="21.0" customHeight="1">
      <c r="A1900" s="35">
        <v>1.0</v>
      </c>
      <c r="B1900" s="35">
        <v>158.0</v>
      </c>
      <c r="C1900" s="35">
        <v>8.0</v>
      </c>
      <c r="D1900" s="35" t="s">
        <v>2599</v>
      </c>
      <c r="E1900" s="35" t="s">
        <v>2600</v>
      </c>
      <c r="F1900" s="8"/>
    </row>
    <row r="1901" ht="21.0" customHeight="1">
      <c r="A1901" s="68">
        <v>1.0</v>
      </c>
      <c r="B1901" s="68">
        <v>158.0</v>
      </c>
      <c r="C1901" s="68">
        <v>9.0</v>
      </c>
      <c r="D1901" s="68" t="s">
        <v>2601</v>
      </c>
      <c r="E1901" s="68" t="s">
        <v>2602</v>
      </c>
      <c r="F1901" s="8"/>
    </row>
    <row r="1902" ht="21.0" customHeight="1">
      <c r="A1902" s="35">
        <v>1.0</v>
      </c>
      <c r="B1902" s="35">
        <v>158.0</v>
      </c>
      <c r="C1902" s="35">
        <v>10.0</v>
      </c>
      <c r="D1902" s="35" t="s">
        <v>2603</v>
      </c>
      <c r="E1902" s="35" t="s">
        <v>2604</v>
      </c>
      <c r="F1902" s="8"/>
    </row>
    <row r="1903" ht="21.0" customHeight="1">
      <c r="A1903" s="68">
        <v>1.0</v>
      </c>
      <c r="B1903" s="68">
        <v>158.0</v>
      </c>
      <c r="C1903" s="68">
        <v>11.0</v>
      </c>
      <c r="D1903" s="68" t="s">
        <v>2605</v>
      </c>
      <c r="E1903" s="68" t="s">
        <v>2606</v>
      </c>
      <c r="F1903" s="8"/>
    </row>
    <row r="1904" ht="21.0" customHeight="1">
      <c r="A1904" s="35">
        <v>1.0</v>
      </c>
      <c r="B1904" s="35">
        <v>158.0</v>
      </c>
      <c r="C1904" s="35">
        <v>12.0</v>
      </c>
      <c r="D1904" s="35" t="s">
        <v>2607</v>
      </c>
      <c r="E1904" s="35" t="s">
        <v>2608</v>
      </c>
      <c r="F1904" s="8"/>
    </row>
    <row r="1905" ht="21.0" customHeight="1">
      <c r="A1905" s="68">
        <v>1.0</v>
      </c>
      <c r="B1905" s="68">
        <v>158.0</v>
      </c>
      <c r="C1905" s="68">
        <v>13.0</v>
      </c>
      <c r="D1905" s="68" t="s">
        <v>2609</v>
      </c>
      <c r="E1905" s="68" t="s">
        <v>2610</v>
      </c>
      <c r="F1905" s="8"/>
    </row>
    <row r="1906" ht="21.0" customHeight="1">
      <c r="A1906" s="35">
        <v>1.0</v>
      </c>
      <c r="B1906" s="35">
        <v>159.0</v>
      </c>
      <c r="C1906" s="35">
        <v>1.0</v>
      </c>
      <c r="D1906" s="35" t="s">
        <v>2611</v>
      </c>
      <c r="E1906" s="35" t="s">
        <v>2612</v>
      </c>
      <c r="F1906" s="8"/>
    </row>
    <row r="1907" ht="21.0" customHeight="1">
      <c r="A1907" s="68">
        <v>1.0</v>
      </c>
      <c r="B1907" s="68">
        <v>159.0</v>
      </c>
      <c r="C1907" s="68">
        <v>2.0</v>
      </c>
      <c r="D1907" s="68" t="s">
        <v>2613</v>
      </c>
      <c r="E1907" s="68" t="s">
        <v>2614</v>
      </c>
      <c r="F1907" s="8"/>
    </row>
    <row r="1908" ht="21.0" customHeight="1">
      <c r="A1908" s="35">
        <v>1.0</v>
      </c>
      <c r="B1908" s="35">
        <v>159.0</v>
      </c>
      <c r="C1908" s="35">
        <v>3.0</v>
      </c>
      <c r="D1908" s="35" t="s">
        <v>2615</v>
      </c>
      <c r="E1908" s="35" t="s">
        <v>2616</v>
      </c>
      <c r="F1908" s="8"/>
    </row>
    <row r="1909" ht="21.0" customHeight="1">
      <c r="A1909" s="68">
        <v>1.0</v>
      </c>
      <c r="B1909" s="68">
        <v>159.0</v>
      </c>
      <c r="C1909" s="68">
        <v>4.0</v>
      </c>
      <c r="D1909" s="68" t="s">
        <v>2617</v>
      </c>
      <c r="E1909" s="68" t="s">
        <v>2618</v>
      </c>
      <c r="F1909" s="8"/>
    </row>
    <row r="1910" ht="21.0" customHeight="1">
      <c r="A1910" s="35">
        <v>1.0</v>
      </c>
      <c r="B1910" s="35">
        <v>159.0</v>
      </c>
      <c r="C1910" s="35">
        <v>5.0</v>
      </c>
      <c r="D1910" s="35" t="s">
        <v>2619</v>
      </c>
      <c r="E1910" s="35" t="s">
        <v>2620</v>
      </c>
      <c r="F1910" s="8"/>
    </row>
    <row r="1911" ht="21.0" customHeight="1">
      <c r="A1911" s="68">
        <v>1.0</v>
      </c>
      <c r="B1911" s="68">
        <v>159.0</v>
      </c>
      <c r="C1911" s="68">
        <v>6.0</v>
      </c>
      <c r="D1911" s="68" t="s">
        <v>2621</v>
      </c>
      <c r="E1911" s="68" t="s">
        <v>2622</v>
      </c>
      <c r="F1911" s="8"/>
    </row>
    <row r="1912" ht="21.0" customHeight="1">
      <c r="A1912" s="35">
        <v>1.0</v>
      </c>
      <c r="B1912" s="35">
        <v>159.0</v>
      </c>
      <c r="C1912" s="35">
        <v>7.0</v>
      </c>
      <c r="D1912" s="35" t="s">
        <v>2623</v>
      </c>
      <c r="E1912" s="35" t="s">
        <v>2624</v>
      </c>
      <c r="F1912" s="8"/>
    </row>
    <row r="1913" ht="21.0" customHeight="1">
      <c r="A1913" s="68">
        <v>1.0</v>
      </c>
      <c r="B1913" s="68">
        <v>159.0</v>
      </c>
      <c r="C1913" s="68">
        <v>8.0</v>
      </c>
      <c r="D1913" s="68" t="s">
        <v>2625</v>
      </c>
      <c r="E1913" s="68" t="s">
        <v>2626</v>
      </c>
      <c r="F1913" s="8"/>
    </row>
    <row r="1914" ht="21.0" customHeight="1">
      <c r="A1914" s="35">
        <v>1.0</v>
      </c>
      <c r="B1914" s="35">
        <v>159.0</v>
      </c>
      <c r="C1914" s="35">
        <v>9.0</v>
      </c>
      <c r="D1914" s="68" t="s">
        <v>2627</v>
      </c>
      <c r="E1914" s="68" t="s">
        <v>2628</v>
      </c>
      <c r="F1914" s="8"/>
    </row>
    <row r="1915" ht="21.0" customHeight="1">
      <c r="A1915" s="68">
        <v>1.0</v>
      </c>
      <c r="B1915" s="68">
        <v>159.0</v>
      </c>
      <c r="C1915" s="68">
        <v>10.0</v>
      </c>
      <c r="D1915" s="35" t="s">
        <v>2629</v>
      </c>
      <c r="E1915" s="35" t="s">
        <v>2630</v>
      </c>
      <c r="F1915" s="8"/>
    </row>
    <row r="1916" ht="21.0" customHeight="1">
      <c r="A1916" s="35">
        <v>1.0</v>
      </c>
      <c r="B1916" s="35">
        <v>159.0</v>
      </c>
      <c r="C1916" s="35">
        <v>11.0</v>
      </c>
      <c r="D1916" s="35" t="s">
        <v>2631</v>
      </c>
      <c r="E1916" s="35" t="s">
        <v>2632</v>
      </c>
      <c r="F1916" s="8"/>
    </row>
    <row r="1917" ht="21.0" customHeight="1">
      <c r="A1917" s="68">
        <v>1.0</v>
      </c>
      <c r="B1917" s="68">
        <v>159.0</v>
      </c>
      <c r="C1917" s="68">
        <v>12.0</v>
      </c>
      <c r="D1917" s="68" t="s">
        <v>2633</v>
      </c>
      <c r="E1917" s="68" t="s">
        <v>2634</v>
      </c>
      <c r="F1917" s="8"/>
    </row>
    <row r="1918" ht="21.0" customHeight="1">
      <c r="A1918" s="35">
        <v>1.0</v>
      </c>
      <c r="B1918" s="35">
        <v>159.0</v>
      </c>
      <c r="C1918" s="35">
        <v>13.0</v>
      </c>
      <c r="D1918" s="35" t="s">
        <v>2635</v>
      </c>
      <c r="E1918" s="35" t="s">
        <v>2636</v>
      </c>
      <c r="F1918" s="8"/>
    </row>
    <row r="1919" ht="21.0" customHeight="1">
      <c r="A1919" s="35">
        <v>11.0</v>
      </c>
      <c r="B1919" s="35">
        <v>1024.0</v>
      </c>
      <c r="C1919" s="35">
        <v>1.0</v>
      </c>
      <c r="D1919" s="35" t="s">
        <v>2637</v>
      </c>
      <c r="E1919" s="35" t="s">
        <v>2638</v>
      </c>
      <c r="F1919" s="8"/>
    </row>
    <row r="1920" ht="21.0" customHeight="1">
      <c r="A1920" s="68">
        <v>11.0</v>
      </c>
      <c r="B1920" s="68">
        <v>1024.0</v>
      </c>
      <c r="C1920" s="68">
        <v>2.0</v>
      </c>
      <c r="D1920" s="68" t="s">
        <v>2639</v>
      </c>
      <c r="E1920" s="68" t="s">
        <v>2640</v>
      </c>
      <c r="F1920" s="8"/>
    </row>
    <row r="1921" ht="21.0" customHeight="1">
      <c r="A1921" s="35">
        <v>11.0</v>
      </c>
      <c r="B1921" s="35">
        <v>1024.0</v>
      </c>
      <c r="C1921" s="35">
        <v>3.0</v>
      </c>
      <c r="D1921" s="35" t="s">
        <v>2641</v>
      </c>
      <c r="E1921" s="35" t="s">
        <v>2642</v>
      </c>
      <c r="F1921" s="8"/>
    </row>
    <row r="1922" ht="21.0" customHeight="1">
      <c r="A1922" s="68">
        <v>11.0</v>
      </c>
      <c r="B1922" s="68">
        <v>1024.0</v>
      </c>
      <c r="C1922" s="68">
        <v>4.0</v>
      </c>
      <c r="D1922" s="68" t="s">
        <v>2643</v>
      </c>
      <c r="E1922" s="68" t="s">
        <v>2644</v>
      </c>
      <c r="F1922" s="8"/>
    </row>
    <row r="1923" ht="21.0" customHeight="1">
      <c r="A1923" s="35">
        <v>10.0</v>
      </c>
      <c r="B1923" s="35">
        <v>1024.0</v>
      </c>
      <c r="C1923" s="35">
        <v>5.0</v>
      </c>
      <c r="D1923" s="35" t="s">
        <v>2645</v>
      </c>
      <c r="E1923" s="35" t="s">
        <v>2646</v>
      </c>
      <c r="F1923" s="8"/>
    </row>
    <row r="1924" ht="21.0" customHeight="1">
      <c r="A1924" s="68">
        <v>10.0</v>
      </c>
      <c r="B1924" s="68">
        <v>1024.0</v>
      </c>
      <c r="C1924" s="68">
        <v>6.0</v>
      </c>
      <c r="D1924" s="68" t="s">
        <v>2647</v>
      </c>
      <c r="E1924" s="68" t="s">
        <v>2648</v>
      </c>
      <c r="F1924" s="8"/>
    </row>
    <row r="1925" ht="21.0" customHeight="1">
      <c r="A1925" s="35">
        <v>10.0</v>
      </c>
      <c r="B1925" s="35">
        <v>1024.0</v>
      </c>
      <c r="C1925" s="35">
        <v>7.0</v>
      </c>
      <c r="D1925" s="35" t="s">
        <v>2649</v>
      </c>
      <c r="E1925" s="35" t="s">
        <v>2650</v>
      </c>
      <c r="F1925" s="8"/>
    </row>
    <row r="1926" ht="21.0" customHeight="1">
      <c r="A1926" s="68">
        <v>10.0</v>
      </c>
      <c r="B1926" s="68">
        <v>1024.0</v>
      </c>
      <c r="C1926" s="68">
        <v>8.0</v>
      </c>
      <c r="D1926" s="68" t="s">
        <v>2651</v>
      </c>
      <c r="E1926" s="68" t="s">
        <v>2652</v>
      </c>
      <c r="F1926" s="8"/>
    </row>
    <row r="1927" ht="21.0" customHeight="1">
      <c r="A1927" s="35">
        <v>10.0</v>
      </c>
      <c r="B1927" s="35">
        <v>1024.0</v>
      </c>
      <c r="C1927" s="35">
        <v>9.0</v>
      </c>
      <c r="D1927" s="35" t="s">
        <v>2653</v>
      </c>
      <c r="E1927" s="35" t="s">
        <v>2654</v>
      </c>
      <c r="F1927" s="8"/>
    </row>
    <row r="1928" ht="21.0" customHeight="1">
      <c r="A1928" s="68">
        <v>10.0</v>
      </c>
      <c r="B1928" s="68">
        <v>1024.0</v>
      </c>
      <c r="C1928" s="68">
        <v>10.0</v>
      </c>
      <c r="D1928" s="68" t="s">
        <v>2655</v>
      </c>
      <c r="E1928" s="68" t="s">
        <v>2656</v>
      </c>
      <c r="F1928" s="8"/>
    </row>
    <row r="1929" ht="21.0" customHeight="1">
      <c r="A1929" s="35">
        <v>11.0</v>
      </c>
      <c r="B1929" s="35">
        <v>1025.0</v>
      </c>
      <c r="C1929" s="35">
        <v>1.0</v>
      </c>
      <c r="D1929" s="35" t="s">
        <v>2657</v>
      </c>
      <c r="E1929" s="69" t="s">
        <v>2658</v>
      </c>
      <c r="F1929" s="8"/>
    </row>
    <row r="1930" ht="21.0" customHeight="1">
      <c r="A1930" s="68">
        <v>11.0</v>
      </c>
      <c r="B1930" s="68">
        <v>1025.0</v>
      </c>
      <c r="C1930" s="68">
        <v>2.0</v>
      </c>
      <c r="D1930" s="68" t="s">
        <v>2659</v>
      </c>
      <c r="E1930" s="70" t="s">
        <v>2660</v>
      </c>
      <c r="F1930" s="8"/>
    </row>
    <row r="1931" ht="21.0" customHeight="1">
      <c r="A1931" s="35">
        <v>11.0</v>
      </c>
      <c r="B1931" s="35">
        <v>1025.0</v>
      </c>
      <c r="C1931" s="35">
        <v>3.0</v>
      </c>
      <c r="D1931" s="35" t="s">
        <v>2661</v>
      </c>
      <c r="E1931" s="69" t="s">
        <v>2662</v>
      </c>
      <c r="F1931" s="8"/>
    </row>
    <row r="1932" ht="21.0" customHeight="1">
      <c r="A1932" s="68">
        <v>11.0</v>
      </c>
      <c r="B1932" s="68">
        <v>1025.0</v>
      </c>
      <c r="C1932" s="68">
        <v>4.0</v>
      </c>
      <c r="D1932" s="68" t="s">
        <v>2663</v>
      </c>
      <c r="E1932" s="70" t="s">
        <v>2664</v>
      </c>
      <c r="F1932" s="8"/>
    </row>
    <row r="1933" ht="21.0" customHeight="1">
      <c r="A1933" s="35">
        <v>10.0</v>
      </c>
      <c r="B1933" s="35">
        <v>1025.0</v>
      </c>
      <c r="C1933" s="35">
        <v>5.0</v>
      </c>
      <c r="D1933" s="35" t="s">
        <v>2665</v>
      </c>
      <c r="E1933" s="69" t="s">
        <v>2666</v>
      </c>
      <c r="F1933" s="8"/>
    </row>
    <row r="1934" ht="21.0" customHeight="1">
      <c r="A1934" s="68">
        <v>10.0</v>
      </c>
      <c r="B1934" s="68">
        <v>1025.0</v>
      </c>
      <c r="C1934" s="68">
        <v>6.0</v>
      </c>
      <c r="D1934" s="68" t="s">
        <v>2667</v>
      </c>
      <c r="E1934" s="70" t="s">
        <v>2668</v>
      </c>
      <c r="F1934" s="8"/>
    </row>
    <row r="1935" ht="21.0" customHeight="1">
      <c r="A1935" s="35">
        <v>10.0</v>
      </c>
      <c r="B1935" s="35">
        <v>1025.0</v>
      </c>
      <c r="C1935" s="35">
        <v>7.0</v>
      </c>
      <c r="D1935" s="35" t="s">
        <v>2669</v>
      </c>
      <c r="E1935" s="69" t="s">
        <v>2670</v>
      </c>
      <c r="F1935" s="8"/>
    </row>
    <row r="1936" ht="21.0" customHeight="1">
      <c r="A1936" s="68">
        <v>10.0</v>
      </c>
      <c r="B1936" s="68">
        <v>1025.0</v>
      </c>
      <c r="C1936" s="68">
        <v>8.0</v>
      </c>
      <c r="D1936" s="68" t="s">
        <v>2671</v>
      </c>
      <c r="E1936" s="70" t="s">
        <v>2672</v>
      </c>
      <c r="F1936" s="8"/>
    </row>
    <row r="1937" ht="21.0" customHeight="1">
      <c r="A1937" s="35">
        <v>10.0</v>
      </c>
      <c r="B1937" s="35">
        <v>1025.0</v>
      </c>
      <c r="C1937" s="35">
        <v>9.0</v>
      </c>
      <c r="D1937" s="35" t="s">
        <v>2673</v>
      </c>
      <c r="E1937" s="69" t="s">
        <v>2674</v>
      </c>
      <c r="F1937" s="8"/>
    </row>
    <row r="1938" ht="21.0" customHeight="1">
      <c r="A1938" s="68">
        <v>10.0</v>
      </c>
      <c r="B1938" s="68">
        <v>1025.0</v>
      </c>
      <c r="C1938" s="68">
        <v>10.0</v>
      </c>
      <c r="D1938" s="68" t="s">
        <v>2675</v>
      </c>
      <c r="E1938" s="70" t="s">
        <v>2656</v>
      </c>
      <c r="F1938" s="8"/>
    </row>
    <row r="1939" ht="21.0" customHeight="1">
      <c r="A1939" s="35">
        <v>11.0</v>
      </c>
      <c r="B1939" s="35">
        <v>1026.0</v>
      </c>
      <c r="C1939" s="35">
        <v>1.0</v>
      </c>
      <c r="D1939" s="35" t="s">
        <v>2676</v>
      </c>
      <c r="E1939" s="69" t="s">
        <v>2677</v>
      </c>
      <c r="F1939" s="8"/>
    </row>
    <row r="1940" ht="21.0" customHeight="1">
      <c r="A1940" s="68">
        <v>11.0</v>
      </c>
      <c r="B1940" s="68">
        <v>1026.0</v>
      </c>
      <c r="C1940" s="68">
        <v>2.0</v>
      </c>
      <c r="D1940" s="68" t="s">
        <v>2678</v>
      </c>
      <c r="E1940" s="70" t="s">
        <v>2679</v>
      </c>
      <c r="F1940" s="8"/>
    </row>
    <row r="1941" ht="21.0" customHeight="1">
      <c r="A1941" s="35">
        <v>11.0</v>
      </c>
      <c r="B1941" s="35">
        <v>1026.0</v>
      </c>
      <c r="C1941" s="35">
        <v>3.0</v>
      </c>
      <c r="D1941" s="35" t="s">
        <v>2680</v>
      </c>
      <c r="E1941" s="69" t="s">
        <v>2681</v>
      </c>
      <c r="F1941" s="8"/>
    </row>
    <row r="1942" ht="21.0" customHeight="1">
      <c r="A1942" s="68">
        <v>11.0</v>
      </c>
      <c r="B1942" s="68">
        <v>1026.0</v>
      </c>
      <c r="C1942" s="68">
        <v>4.0</v>
      </c>
      <c r="D1942" s="68" t="s">
        <v>2682</v>
      </c>
      <c r="E1942" s="70" t="s">
        <v>2683</v>
      </c>
      <c r="F1942" s="8"/>
    </row>
    <row r="1943" ht="21.0" customHeight="1">
      <c r="A1943" s="35">
        <v>10.0</v>
      </c>
      <c r="B1943" s="35">
        <v>1026.0</v>
      </c>
      <c r="C1943" s="35">
        <v>5.0</v>
      </c>
      <c r="D1943" s="35" t="s">
        <v>2684</v>
      </c>
      <c r="E1943" s="69" t="s">
        <v>2685</v>
      </c>
      <c r="F1943" s="8"/>
    </row>
    <row r="1944" ht="21.0" customHeight="1">
      <c r="A1944" s="68">
        <v>10.0</v>
      </c>
      <c r="B1944" s="68">
        <v>1026.0</v>
      </c>
      <c r="C1944" s="68">
        <v>6.0</v>
      </c>
      <c r="D1944" s="68" t="s">
        <v>2686</v>
      </c>
      <c r="E1944" s="70" t="s">
        <v>2687</v>
      </c>
      <c r="F1944" s="8"/>
    </row>
    <row r="1945" ht="21.0" customHeight="1">
      <c r="A1945" s="35">
        <v>10.0</v>
      </c>
      <c r="B1945" s="35">
        <v>1026.0</v>
      </c>
      <c r="C1945" s="35">
        <v>7.0</v>
      </c>
      <c r="D1945" s="35" t="s">
        <v>2688</v>
      </c>
      <c r="E1945" s="69" t="s">
        <v>2689</v>
      </c>
      <c r="F1945" s="8"/>
    </row>
    <row r="1946" ht="21.0" customHeight="1">
      <c r="A1946" s="68">
        <v>10.0</v>
      </c>
      <c r="B1946" s="68">
        <v>1026.0</v>
      </c>
      <c r="C1946" s="68">
        <v>8.0</v>
      </c>
      <c r="D1946" s="68" t="s">
        <v>2690</v>
      </c>
      <c r="E1946" s="70" t="s">
        <v>2691</v>
      </c>
      <c r="F1946" s="8"/>
    </row>
    <row r="1947" ht="21.0" customHeight="1">
      <c r="A1947" s="35">
        <v>10.0</v>
      </c>
      <c r="B1947" s="35">
        <v>1026.0</v>
      </c>
      <c r="C1947" s="35">
        <v>9.0</v>
      </c>
      <c r="D1947" s="35" t="s">
        <v>2692</v>
      </c>
      <c r="E1947" s="69" t="s">
        <v>2693</v>
      </c>
      <c r="F1947" s="8"/>
    </row>
    <row r="1948" ht="21.0" customHeight="1">
      <c r="A1948" s="68">
        <v>10.0</v>
      </c>
      <c r="B1948" s="68">
        <v>1026.0</v>
      </c>
      <c r="C1948" s="68">
        <v>10.0</v>
      </c>
      <c r="D1948" s="68" t="s">
        <v>2694</v>
      </c>
      <c r="E1948" s="70" t="s">
        <v>2695</v>
      </c>
      <c r="F1948" s="8"/>
    </row>
    <row r="1949" ht="21.0" customHeight="1">
      <c r="A1949" s="35">
        <v>1.0</v>
      </c>
      <c r="B1949" s="35">
        <v>160.0</v>
      </c>
      <c r="C1949" s="35">
        <v>1.0</v>
      </c>
      <c r="D1949" s="35" t="s">
        <v>2696</v>
      </c>
      <c r="E1949" s="69" t="s">
        <v>2697</v>
      </c>
      <c r="F1949" s="8"/>
    </row>
    <row r="1950" ht="21.0" customHeight="1">
      <c r="A1950" s="68">
        <v>1.0</v>
      </c>
      <c r="B1950" s="35">
        <v>160.0</v>
      </c>
      <c r="C1950" s="68">
        <v>2.0</v>
      </c>
      <c r="D1950" s="35" t="s">
        <v>2698</v>
      </c>
      <c r="E1950" s="69" t="s">
        <v>2699</v>
      </c>
      <c r="F1950" s="8"/>
    </row>
    <row r="1951" ht="21.0" customHeight="1">
      <c r="A1951" s="35">
        <v>1.0</v>
      </c>
      <c r="B1951" s="35">
        <v>160.0</v>
      </c>
      <c r="C1951" s="35">
        <v>3.0</v>
      </c>
      <c r="D1951" s="35" t="s">
        <v>2700</v>
      </c>
      <c r="E1951" s="69" t="s">
        <v>2701</v>
      </c>
      <c r="F1951" s="8"/>
    </row>
    <row r="1952" ht="21.0" customHeight="1">
      <c r="A1952" s="68">
        <v>1.0</v>
      </c>
      <c r="B1952" s="35">
        <v>160.0</v>
      </c>
      <c r="C1952" s="68">
        <v>4.0</v>
      </c>
      <c r="D1952" s="35" t="s">
        <v>2702</v>
      </c>
      <c r="E1952" s="69" t="s">
        <v>2703</v>
      </c>
      <c r="F1952" s="8"/>
    </row>
    <row r="1953" ht="21.0" customHeight="1">
      <c r="A1953" s="35">
        <v>1.0</v>
      </c>
      <c r="B1953" s="35">
        <v>160.0</v>
      </c>
      <c r="C1953" s="35">
        <v>5.0</v>
      </c>
      <c r="D1953" s="35" t="s">
        <v>2704</v>
      </c>
      <c r="E1953" s="69" t="s">
        <v>2705</v>
      </c>
      <c r="F1953" s="8"/>
    </row>
    <row r="1954" ht="21.0" customHeight="1">
      <c r="A1954" s="68">
        <v>1.0</v>
      </c>
      <c r="B1954" s="35">
        <v>160.0</v>
      </c>
      <c r="C1954" s="68">
        <v>6.0</v>
      </c>
      <c r="D1954" s="35" t="s">
        <v>2706</v>
      </c>
      <c r="E1954" s="69" t="s">
        <v>2707</v>
      </c>
      <c r="F1954" s="8"/>
    </row>
    <row r="1955" ht="21.0" customHeight="1">
      <c r="A1955" s="35">
        <v>1.0</v>
      </c>
      <c r="B1955" s="35">
        <v>160.0</v>
      </c>
      <c r="C1955" s="35">
        <v>7.0</v>
      </c>
      <c r="D1955" s="35" t="s">
        <v>2708</v>
      </c>
      <c r="E1955" s="69" t="s">
        <v>2709</v>
      </c>
      <c r="F1955" s="8"/>
    </row>
    <row r="1956" ht="21.0" customHeight="1">
      <c r="A1956" s="68">
        <v>1.0</v>
      </c>
      <c r="B1956" s="35">
        <v>160.0</v>
      </c>
      <c r="C1956" s="68">
        <v>8.0</v>
      </c>
      <c r="D1956" s="35" t="s">
        <v>2710</v>
      </c>
      <c r="E1956" s="69" t="s">
        <v>2711</v>
      </c>
      <c r="F1956" s="8"/>
    </row>
    <row r="1957" ht="21.0" customHeight="1">
      <c r="A1957" s="35">
        <v>1.0</v>
      </c>
      <c r="B1957" s="35">
        <v>160.0</v>
      </c>
      <c r="C1957" s="35">
        <v>9.0</v>
      </c>
      <c r="D1957" s="35" t="s">
        <v>2712</v>
      </c>
      <c r="E1957" s="69" t="s">
        <v>2713</v>
      </c>
      <c r="F1957" s="8"/>
    </row>
    <row r="1958" ht="21.0" customHeight="1">
      <c r="A1958" s="68">
        <v>1.0</v>
      </c>
      <c r="B1958" s="35">
        <v>160.0</v>
      </c>
      <c r="C1958" s="68">
        <v>10.0</v>
      </c>
      <c r="D1958" s="35" t="s">
        <v>2714</v>
      </c>
      <c r="E1958" s="69" t="s">
        <v>2715</v>
      </c>
      <c r="F1958" s="8"/>
    </row>
    <row r="1959" ht="21.0" customHeight="1">
      <c r="A1959" s="35">
        <v>1.0</v>
      </c>
      <c r="B1959" s="35">
        <v>160.0</v>
      </c>
      <c r="C1959" s="35">
        <v>11.0</v>
      </c>
      <c r="D1959" s="35" t="s">
        <v>2716</v>
      </c>
      <c r="E1959" s="69" t="s">
        <v>2717</v>
      </c>
      <c r="F1959" s="8"/>
    </row>
    <row r="1960" ht="21.0" customHeight="1">
      <c r="A1960" s="68">
        <v>1.0</v>
      </c>
      <c r="B1960" s="35">
        <v>160.0</v>
      </c>
      <c r="C1960" s="68">
        <v>12.0</v>
      </c>
      <c r="D1960" s="35" t="s">
        <v>2718</v>
      </c>
      <c r="E1960" s="69" t="s">
        <v>2719</v>
      </c>
      <c r="F1960" s="8"/>
    </row>
    <row r="1961" ht="21.0" customHeight="1">
      <c r="A1961" s="35">
        <v>1.0</v>
      </c>
      <c r="B1961" s="35">
        <v>160.0</v>
      </c>
      <c r="C1961" s="35">
        <v>13.0</v>
      </c>
      <c r="D1961" s="35" t="s">
        <v>2720</v>
      </c>
      <c r="E1961" s="69" t="s">
        <v>2721</v>
      </c>
      <c r="F1961" s="8"/>
    </row>
    <row r="1962" ht="21.0" customHeight="1">
      <c r="A1962" s="68">
        <v>1.0</v>
      </c>
      <c r="B1962" s="35">
        <v>161.0</v>
      </c>
      <c r="C1962" s="68">
        <v>1.0</v>
      </c>
      <c r="D1962" s="35" t="s">
        <v>2722</v>
      </c>
      <c r="E1962" s="69" t="s">
        <v>2723</v>
      </c>
      <c r="F1962" s="8"/>
    </row>
    <row r="1963" ht="21.0" customHeight="1">
      <c r="A1963" s="35">
        <v>1.0</v>
      </c>
      <c r="B1963" s="35">
        <v>161.0</v>
      </c>
      <c r="C1963" s="35">
        <v>2.0</v>
      </c>
      <c r="D1963" s="35" t="s">
        <v>2724</v>
      </c>
      <c r="E1963" s="69" t="s">
        <v>2725</v>
      </c>
      <c r="F1963" s="8"/>
    </row>
    <row r="1964" ht="21.0" customHeight="1">
      <c r="A1964" s="68">
        <v>1.0</v>
      </c>
      <c r="B1964" s="35">
        <v>161.0</v>
      </c>
      <c r="C1964" s="68">
        <v>3.0</v>
      </c>
      <c r="D1964" s="35" t="s">
        <v>2726</v>
      </c>
      <c r="E1964" s="69" t="s">
        <v>2727</v>
      </c>
      <c r="F1964" s="8"/>
    </row>
    <row r="1965" ht="21.0" customHeight="1">
      <c r="A1965" s="35">
        <v>1.0</v>
      </c>
      <c r="B1965" s="35">
        <v>161.0</v>
      </c>
      <c r="C1965" s="35">
        <v>4.0</v>
      </c>
      <c r="D1965" s="35" t="s">
        <v>2728</v>
      </c>
      <c r="E1965" s="69" t="s">
        <v>2729</v>
      </c>
      <c r="F1965" s="8"/>
    </row>
    <row r="1966" ht="21.0" customHeight="1">
      <c r="A1966" s="68">
        <v>1.0</v>
      </c>
      <c r="B1966" s="35">
        <v>161.0</v>
      </c>
      <c r="C1966" s="68">
        <v>5.0</v>
      </c>
      <c r="D1966" s="35" t="s">
        <v>2730</v>
      </c>
      <c r="E1966" s="69" t="s">
        <v>2731</v>
      </c>
      <c r="F1966" s="8"/>
    </row>
    <row r="1967" ht="21.0" customHeight="1">
      <c r="A1967" s="35">
        <v>1.0</v>
      </c>
      <c r="B1967" s="35">
        <v>161.0</v>
      </c>
      <c r="C1967" s="35">
        <v>6.0</v>
      </c>
      <c r="D1967" s="35" t="s">
        <v>2732</v>
      </c>
      <c r="E1967" s="69" t="s">
        <v>2733</v>
      </c>
      <c r="F1967" s="8"/>
    </row>
    <row r="1968" ht="21.0" customHeight="1">
      <c r="A1968" s="68">
        <v>1.0</v>
      </c>
      <c r="B1968" s="35">
        <v>161.0</v>
      </c>
      <c r="C1968" s="68">
        <v>7.0</v>
      </c>
      <c r="D1968" s="35" t="s">
        <v>2734</v>
      </c>
      <c r="E1968" s="69" t="s">
        <v>2735</v>
      </c>
      <c r="F1968" s="8"/>
    </row>
    <row r="1969" ht="21.0" customHeight="1">
      <c r="A1969" s="35">
        <v>1.0</v>
      </c>
      <c r="B1969" s="35">
        <v>161.0</v>
      </c>
      <c r="C1969" s="35">
        <v>8.0</v>
      </c>
      <c r="D1969" s="35" t="s">
        <v>2736</v>
      </c>
      <c r="E1969" s="69" t="s">
        <v>2737</v>
      </c>
      <c r="F1969" s="8"/>
    </row>
    <row r="1970" ht="21.0" customHeight="1">
      <c r="A1970" s="68">
        <v>1.0</v>
      </c>
      <c r="B1970" s="35">
        <v>161.0</v>
      </c>
      <c r="C1970" s="68">
        <v>9.0</v>
      </c>
      <c r="D1970" s="35" t="s">
        <v>2738</v>
      </c>
      <c r="E1970" s="69" t="s">
        <v>2739</v>
      </c>
      <c r="F1970" s="8"/>
    </row>
    <row r="1971" ht="21.0" customHeight="1">
      <c r="A1971" s="35">
        <v>1.0</v>
      </c>
      <c r="B1971" s="35">
        <v>161.0</v>
      </c>
      <c r="C1971" s="35">
        <v>10.0</v>
      </c>
      <c r="D1971" s="35" t="s">
        <v>2740</v>
      </c>
      <c r="E1971" s="69" t="s">
        <v>2741</v>
      </c>
      <c r="F1971" s="8"/>
    </row>
    <row r="1972" ht="21.0" customHeight="1">
      <c r="A1972" s="68">
        <v>1.0</v>
      </c>
      <c r="B1972" s="35">
        <v>161.0</v>
      </c>
      <c r="C1972" s="68">
        <v>11.0</v>
      </c>
      <c r="D1972" s="35" t="s">
        <v>2742</v>
      </c>
      <c r="E1972" s="69" t="s">
        <v>2743</v>
      </c>
      <c r="F1972" s="8"/>
    </row>
    <row r="1973" ht="21.0" customHeight="1">
      <c r="A1973" s="35">
        <v>1.0</v>
      </c>
      <c r="B1973" s="35">
        <v>161.0</v>
      </c>
      <c r="C1973" s="35">
        <v>12.0</v>
      </c>
      <c r="D1973" s="35" t="s">
        <v>2744</v>
      </c>
      <c r="E1973" s="69" t="s">
        <v>2745</v>
      </c>
      <c r="F1973" s="8"/>
    </row>
    <row r="1974" ht="21.0" customHeight="1">
      <c r="A1974" s="68">
        <v>1.0</v>
      </c>
      <c r="B1974" s="35">
        <v>161.0</v>
      </c>
      <c r="C1974" s="68">
        <v>13.0</v>
      </c>
      <c r="D1974" s="35" t="s">
        <v>2746</v>
      </c>
      <c r="E1974" s="69" t="s">
        <v>2747</v>
      </c>
      <c r="F1974" s="8"/>
    </row>
    <row r="1975" ht="21.0" customHeight="1">
      <c r="A1975" s="35">
        <v>1.0</v>
      </c>
      <c r="B1975" s="35">
        <v>162.0</v>
      </c>
      <c r="C1975" s="35">
        <v>1.0</v>
      </c>
      <c r="D1975" s="35" t="s">
        <v>2748</v>
      </c>
      <c r="E1975" s="69" t="s">
        <v>2749</v>
      </c>
      <c r="F1975" s="8"/>
    </row>
    <row r="1976" ht="21.0" customHeight="1">
      <c r="A1976" s="68">
        <v>1.0</v>
      </c>
      <c r="B1976" s="35">
        <v>162.0</v>
      </c>
      <c r="C1976" s="68">
        <v>2.0</v>
      </c>
      <c r="D1976" s="35" t="s">
        <v>2750</v>
      </c>
      <c r="E1976" s="70" t="s">
        <v>2751</v>
      </c>
      <c r="F1976" s="8"/>
    </row>
    <row r="1977" ht="21.0" customHeight="1">
      <c r="A1977" s="35">
        <v>1.0</v>
      </c>
      <c r="B1977" s="35">
        <v>162.0</v>
      </c>
      <c r="C1977" s="35">
        <v>3.0</v>
      </c>
      <c r="D1977" s="35" t="s">
        <v>2752</v>
      </c>
      <c r="E1977" s="69" t="s">
        <v>2753</v>
      </c>
      <c r="F1977" s="8"/>
    </row>
    <row r="1978" ht="21.0" customHeight="1">
      <c r="A1978" s="68">
        <v>1.0</v>
      </c>
      <c r="B1978" s="35">
        <v>162.0</v>
      </c>
      <c r="C1978" s="35">
        <v>4.0</v>
      </c>
      <c r="D1978" s="35" t="s">
        <v>2754</v>
      </c>
      <c r="E1978" s="70" t="s">
        <v>2755</v>
      </c>
      <c r="F1978" s="8"/>
    </row>
    <row r="1979" ht="21.0" customHeight="1">
      <c r="A1979" s="35">
        <v>1.0</v>
      </c>
      <c r="B1979" s="35">
        <v>162.0</v>
      </c>
      <c r="C1979" s="68">
        <v>5.0</v>
      </c>
      <c r="D1979" s="35" t="s">
        <v>2756</v>
      </c>
      <c r="E1979" s="69" t="s">
        <v>2757</v>
      </c>
      <c r="F1979" s="8"/>
    </row>
    <row r="1980" ht="21.0" customHeight="1">
      <c r="A1980" s="68">
        <v>1.0</v>
      </c>
      <c r="B1980" s="35">
        <v>162.0</v>
      </c>
      <c r="C1980" s="35">
        <v>6.0</v>
      </c>
      <c r="D1980" s="35" t="s">
        <v>2758</v>
      </c>
      <c r="E1980" s="70" t="s">
        <v>2759</v>
      </c>
      <c r="F1980" s="8"/>
    </row>
    <row r="1981" ht="21.0" customHeight="1">
      <c r="A1981" s="35">
        <v>1.0</v>
      </c>
      <c r="B1981" s="35">
        <v>162.0</v>
      </c>
      <c r="C1981" s="35">
        <v>7.0</v>
      </c>
      <c r="D1981" s="35" t="s">
        <v>2760</v>
      </c>
      <c r="E1981" s="69" t="s">
        <v>2761</v>
      </c>
      <c r="F1981" s="8"/>
    </row>
    <row r="1982" ht="21.0" customHeight="1">
      <c r="A1982" s="68">
        <v>1.0</v>
      </c>
      <c r="B1982" s="35">
        <v>162.0</v>
      </c>
      <c r="C1982" s="68">
        <v>8.0</v>
      </c>
      <c r="D1982" s="35" t="s">
        <v>2762</v>
      </c>
      <c r="E1982" s="70" t="s">
        <v>2763</v>
      </c>
      <c r="F1982" s="8"/>
    </row>
    <row r="1983" ht="21.0" customHeight="1">
      <c r="A1983" s="35">
        <v>1.0</v>
      </c>
      <c r="B1983" s="35">
        <v>162.0</v>
      </c>
      <c r="C1983" s="35">
        <v>9.0</v>
      </c>
      <c r="D1983" s="35" t="s">
        <v>2764</v>
      </c>
      <c r="E1983" s="69" t="s">
        <v>2765</v>
      </c>
      <c r="F1983" s="8"/>
    </row>
    <row r="1984" ht="21.0" customHeight="1">
      <c r="A1984" s="68">
        <v>1.0</v>
      </c>
      <c r="B1984" s="35">
        <v>162.0</v>
      </c>
      <c r="C1984" s="35">
        <v>10.0</v>
      </c>
      <c r="D1984" s="35" t="s">
        <v>2766</v>
      </c>
      <c r="E1984" s="70" t="s">
        <v>2767</v>
      </c>
      <c r="F1984" s="8"/>
    </row>
    <row r="1985" ht="21.0" customHeight="1">
      <c r="A1985" s="35">
        <v>1.0</v>
      </c>
      <c r="B1985" s="35">
        <v>162.0</v>
      </c>
      <c r="C1985" s="68">
        <v>11.0</v>
      </c>
      <c r="D1985" s="35" t="s">
        <v>2768</v>
      </c>
      <c r="E1985" s="69" t="s">
        <v>2769</v>
      </c>
      <c r="F1985" s="8"/>
    </row>
    <row r="1986" ht="21.0" customHeight="1">
      <c r="A1986" s="68">
        <v>1.0</v>
      </c>
      <c r="B1986" s="35">
        <v>162.0</v>
      </c>
      <c r="C1986" s="35">
        <v>12.0</v>
      </c>
      <c r="D1986" s="35" t="s">
        <v>2770</v>
      </c>
      <c r="E1986" s="70" t="s">
        <v>2771</v>
      </c>
      <c r="F1986" s="8"/>
    </row>
    <row r="1987" ht="21.0" customHeight="1">
      <c r="A1987" s="35">
        <v>1.0</v>
      </c>
      <c r="B1987" s="35">
        <v>162.0</v>
      </c>
      <c r="C1987" s="35">
        <v>13.0</v>
      </c>
      <c r="D1987" s="35" t="s">
        <v>2772</v>
      </c>
      <c r="E1987" s="69" t="s">
        <v>2773</v>
      </c>
      <c r="F1987" s="8"/>
    </row>
    <row r="1988" ht="21.0" customHeight="1">
      <c r="A1988" s="68">
        <v>11.0</v>
      </c>
      <c r="B1988" s="35">
        <v>1027.0</v>
      </c>
      <c r="C1988" s="35">
        <v>1.0</v>
      </c>
      <c r="D1988" s="35" t="s">
        <v>2774</v>
      </c>
      <c r="E1988" s="69" t="s">
        <v>2775</v>
      </c>
      <c r="F1988" s="8"/>
    </row>
    <row r="1989" ht="21.0" customHeight="1">
      <c r="A1989" s="35">
        <v>11.0</v>
      </c>
      <c r="B1989" s="35">
        <v>1027.0</v>
      </c>
      <c r="C1989" s="35">
        <v>2.0</v>
      </c>
      <c r="D1989" s="35" t="s">
        <v>2776</v>
      </c>
      <c r="E1989" s="70" t="s">
        <v>2777</v>
      </c>
      <c r="F1989" s="8"/>
    </row>
    <row r="1990" ht="21.0" customHeight="1">
      <c r="A1990" s="68">
        <v>11.0</v>
      </c>
      <c r="B1990" s="35">
        <v>1027.0</v>
      </c>
      <c r="C1990" s="35">
        <v>3.0</v>
      </c>
      <c r="D1990" s="35" t="s">
        <v>2778</v>
      </c>
      <c r="E1990" s="69" t="s">
        <v>2779</v>
      </c>
      <c r="F1990" s="8"/>
    </row>
    <row r="1991" ht="21.0" customHeight="1">
      <c r="A1991" s="35">
        <v>11.0</v>
      </c>
      <c r="B1991" s="35">
        <v>1027.0</v>
      </c>
      <c r="C1991" s="35">
        <v>4.0</v>
      </c>
      <c r="D1991" s="35" t="s">
        <v>2780</v>
      </c>
      <c r="E1991" s="70" t="s">
        <v>2781</v>
      </c>
      <c r="F1991" s="8"/>
    </row>
    <row r="1992" ht="21.0" customHeight="1">
      <c r="A1992" s="68">
        <v>10.0</v>
      </c>
      <c r="B1992" s="35">
        <v>1027.0</v>
      </c>
      <c r="C1992" s="35">
        <v>5.0</v>
      </c>
      <c r="D1992" s="35" t="s">
        <v>2782</v>
      </c>
      <c r="E1992" s="69" t="s">
        <v>2783</v>
      </c>
      <c r="F1992" s="8"/>
    </row>
    <row r="1993" ht="21.0" customHeight="1">
      <c r="A1993" s="35">
        <v>10.0</v>
      </c>
      <c r="B1993" s="35">
        <v>1027.0</v>
      </c>
      <c r="C1993" s="35">
        <v>6.0</v>
      </c>
      <c r="D1993" s="35" t="s">
        <v>2784</v>
      </c>
      <c r="E1993" s="70" t="s">
        <v>2785</v>
      </c>
      <c r="F1993" s="8"/>
    </row>
    <row r="1994" ht="21.0" customHeight="1">
      <c r="A1994" s="68">
        <v>10.0</v>
      </c>
      <c r="B1994" s="35">
        <v>1027.0</v>
      </c>
      <c r="C1994" s="35">
        <v>7.0</v>
      </c>
      <c r="D1994" s="35" t="s">
        <v>2786</v>
      </c>
      <c r="E1994" s="69" t="s">
        <v>2787</v>
      </c>
      <c r="F1994" s="8"/>
    </row>
    <row r="1995" ht="21.0" customHeight="1">
      <c r="A1995" s="35">
        <v>10.0</v>
      </c>
      <c r="B1995" s="35">
        <v>1027.0</v>
      </c>
      <c r="C1995" s="35">
        <v>8.0</v>
      </c>
      <c r="D1995" s="35" t="s">
        <v>2788</v>
      </c>
      <c r="E1995" s="70" t="s">
        <v>2789</v>
      </c>
      <c r="F1995" s="8"/>
    </row>
    <row r="1996" ht="21.0" customHeight="1">
      <c r="A1996" s="68">
        <v>10.0</v>
      </c>
      <c r="B1996" s="35">
        <v>1027.0</v>
      </c>
      <c r="C1996" s="35">
        <v>9.0</v>
      </c>
      <c r="D1996" s="35" t="s">
        <v>2790</v>
      </c>
      <c r="E1996" s="69" t="s">
        <v>2791</v>
      </c>
      <c r="F1996" s="8"/>
    </row>
    <row r="1997" ht="21.0" customHeight="1">
      <c r="A1997" s="35">
        <v>10.0</v>
      </c>
      <c r="B1997" s="35">
        <v>1027.0</v>
      </c>
      <c r="C1997" s="35">
        <v>10.0</v>
      </c>
      <c r="D1997" s="35" t="s">
        <v>2792</v>
      </c>
      <c r="E1997" s="70" t="s">
        <v>2695</v>
      </c>
      <c r="F1997" s="8"/>
    </row>
    <row r="1998" ht="21.0" customHeight="1">
      <c r="A1998" s="68">
        <v>1.0</v>
      </c>
      <c r="B1998" s="68">
        <v>163.0</v>
      </c>
      <c r="C1998" s="68">
        <v>1.0</v>
      </c>
      <c r="D1998" s="68" t="s">
        <v>2793</v>
      </c>
      <c r="E1998" s="70" t="s">
        <v>2794</v>
      </c>
      <c r="F1998" s="8"/>
    </row>
    <row r="1999" ht="21.0" customHeight="1">
      <c r="A1999" s="35">
        <v>1.0</v>
      </c>
      <c r="B1999" s="35">
        <v>163.0</v>
      </c>
      <c r="C1999" s="35">
        <v>2.0</v>
      </c>
      <c r="D1999" s="35" t="s">
        <v>2795</v>
      </c>
      <c r="E1999" s="69" t="s">
        <v>2796</v>
      </c>
      <c r="F1999" s="8"/>
    </row>
    <row r="2000" ht="21.0" customHeight="1">
      <c r="A2000" s="68">
        <v>1.0</v>
      </c>
      <c r="B2000" s="68">
        <v>163.0</v>
      </c>
      <c r="C2000" s="68">
        <v>3.0</v>
      </c>
      <c r="D2000" s="68" t="s">
        <v>2797</v>
      </c>
      <c r="E2000" s="70" t="s">
        <v>2798</v>
      </c>
      <c r="F2000" s="8"/>
    </row>
    <row r="2001" ht="21.0" customHeight="1">
      <c r="A2001" s="35">
        <v>1.0</v>
      </c>
      <c r="B2001" s="35">
        <v>163.0</v>
      </c>
      <c r="C2001" s="35">
        <v>4.0</v>
      </c>
      <c r="D2001" s="35" t="s">
        <v>2799</v>
      </c>
      <c r="E2001" s="69" t="s">
        <v>2800</v>
      </c>
      <c r="F2001" s="8"/>
    </row>
    <row r="2002" ht="21.0" customHeight="1">
      <c r="A2002" s="68">
        <v>1.0</v>
      </c>
      <c r="B2002" s="68">
        <v>163.0</v>
      </c>
      <c r="C2002" s="68">
        <v>5.0</v>
      </c>
      <c r="D2002" s="68" t="s">
        <v>2801</v>
      </c>
      <c r="E2002" s="70" t="s">
        <v>2802</v>
      </c>
      <c r="F2002" s="8"/>
    </row>
    <row r="2003" ht="21.0" customHeight="1">
      <c r="A2003" s="35">
        <v>1.0</v>
      </c>
      <c r="B2003" s="35">
        <v>163.0</v>
      </c>
      <c r="C2003" s="35">
        <v>6.0</v>
      </c>
      <c r="D2003" s="35" t="s">
        <v>2803</v>
      </c>
      <c r="E2003" s="69" t="s">
        <v>2804</v>
      </c>
      <c r="F2003" s="8"/>
    </row>
    <row r="2004" ht="21.0" customHeight="1">
      <c r="A2004" s="68">
        <v>1.0</v>
      </c>
      <c r="B2004" s="68">
        <v>163.0</v>
      </c>
      <c r="C2004" s="68">
        <v>7.0</v>
      </c>
      <c r="D2004" s="68" t="s">
        <v>2805</v>
      </c>
      <c r="E2004" s="70" t="s">
        <v>2806</v>
      </c>
      <c r="F2004" s="8"/>
    </row>
    <row r="2005" ht="21.0" customHeight="1">
      <c r="A2005" s="35">
        <v>1.0</v>
      </c>
      <c r="B2005" s="35">
        <v>163.0</v>
      </c>
      <c r="C2005" s="35">
        <v>8.0</v>
      </c>
      <c r="D2005" s="35" t="s">
        <v>2807</v>
      </c>
      <c r="E2005" s="69" t="s">
        <v>2808</v>
      </c>
      <c r="F2005" s="8"/>
    </row>
    <row r="2006" ht="21.0" customHeight="1">
      <c r="A2006" s="68">
        <v>1.0</v>
      </c>
      <c r="B2006" s="68">
        <v>163.0</v>
      </c>
      <c r="C2006" s="68">
        <v>9.0</v>
      </c>
      <c r="D2006" s="68" t="s">
        <v>2809</v>
      </c>
      <c r="E2006" s="70" t="s">
        <v>2810</v>
      </c>
      <c r="F2006" s="8"/>
    </row>
    <row r="2007" ht="21.0" customHeight="1">
      <c r="A2007" s="35">
        <v>1.0</v>
      </c>
      <c r="B2007" s="35">
        <v>163.0</v>
      </c>
      <c r="C2007" s="35">
        <v>10.0</v>
      </c>
      <c r="D2007" s="35" t="s">
        <v>2811</v>
      </c>
      <c r="E2007" s="69" t="s">
        <v>2812</v>
      </c>
      <c r="F2007" s="8"/>
    </row>
    <row r="2008" ht="21.0" customHeight="1">
      <c r="A2008" s="68">
        <v>1.0</v>
      </c>
      <c r="B2008" s="68">
        <v>163.0</v>
      </c>
      <c r="C2008" s="68">
        <v>11.0</v>
      </c>
      <c r="D2008" s="68" t="s">
        <v>2813</v>
      </c>
      <c r="E2008" s="70" t="s">
        <v>2814</v>
      </c>
      <c r="F2008" s="8"/>
    </row>
    <row r="2009" ht="21.0" customHeight="1">
      <c r="A2009" s="35">
        <v>1.0</v>
      </c>
      <c r="B2009" s="35">
        <v>163.0</v>
      </c>
      <c r="C2009" s="35">
        <v>12.0</v>
      </c>
      <c r="D2009" s="35" t="s">
        <v>2815</v>
      </c>
      <c r="E2009" s="69" t="s">
        <v>2816</v>
      </c>
      <c r="F2009" s="8"/>
    </row>
    <row r="2010" ht="21.0" customHeight="1">
      <c r="A2010" s="68">
        <v>1.0</v>
      </c>
      <c r="B2010" s="68">
        <v>163.0</v>
      </c>
      <c r="C2010" s="68">
        <v>13.0</v>
      </c>
      <c r="D2010" s="68" t="s">
        <v>2817</v>
      </c>
      <c r="E2010" s="70" t="s">
        <v>2818</v>
      </c>
      <c r="F2010" s="8"/>
    </row>
    <row r="2011" ht="21.0" customHeight="1">
      <c r="A2011" s="35">
        <v>1.0</v>
      </c>
      <c r="B2011" s="35">
        <v>164.0</v>
      </c>
      <c r="C2011" s="35">
        <v>1.0</v>
      </c>
      <c r="D2011" s="35" t="s">
        <v>2819</v>
      </c>
      <c r="E2011" s="69" t="s">
        <v>2820</v>
      </c>
      <c r="F2011" s="8"/>
    </row>
    <row r="2012" ht="21.0" customHeight="1">
      <c r="A2012" s="68">
        <v>1.0</v>
      </c>
      <c r="B2012" s="68">
        <v>164.0</v>
      </c>
      <c r="C2012" s="68">
        <v>2.0</v>
      </c>
      <c r="D2012" s="68" t="s">
        <v>2821</v>
      </c>
      <c r="E2012" s="70" t="s">
        <v>2822</v>
      </c>
      <c r="F2012" s="8"/>
    </row>
    <row r="2013" ht="21.0" customHeight="1">
      <c r="A2013" s="35">
        <v>1.0</v>
      </c>
      <c r="B2013" s="35">
        <v>164.0</v>
      </c>
      <c r="C2013" s="35">
        <v>3.0</v>
      </c>
      <c r="D2013" s="35" t="s">
        <v>2823</v>
      </c>
      <c r="E2013" s="69" t="s">
        <v>2824</v>
      </c>
      <c r="F2013" s="8"/>
    </row>
    <row r="2014" ht="21.0" customHeight="1">
      <c r="A2014" s="68">
        <v>1.0</v>
      </c>
      <c r="B2014" s="68">
        <v>164.0</v>
      </c>
      <c r="C2014" s="68">
        <v>4.0</v>
      </c>
      <c r="D2014" s="68" t="s">
        <v>2825</v>
      </c>
      <c r="E2014" s="70" t="s">
        <v>2826</v>
      </c>
      <c r="F2014" s="8"/>
    </row>
    <row r="2015" ht="21.0" customHeight="1">
      <c r="A2015" s="35">
        <v>1.0</v>
      </c>
      <c r="B2015" s="35">
        <v>164.0</v>
      </c>
      <c r="C2015" s="35">
        <v>5.0</v>
      </c>
      <c r="D2015" s="35" t="s">
        <v>2827</v>
      </c>
      <c r="E2015" s="69" t="s">
        <v>2828</v>
      </c>
      <c r="F2015" s="8"/>
    </row>
    <row r="2016" ht="21.0" customHeight="1">
      <c r="A2016" s="68">
        <v>1.0</v>
      </c>
      <c r="B2016" s="68">
        <v>164.0</v>
      </c>
      <c r="C2016" s="68">
        <v>6.0</v>
      </c>
      <c r="D2016" s="68" t="s">
        <v>2829</v>
      </c>
      <c r="E2016" s="70" t="s">
        <v>2830</v>
      </c>
      <c r="F2016" s="8"/>
    </row>
    <row r="2017" ht="21.0" customHeight="1">
      <c r="A2017" s="35">
        <v>1.0</v>
      </c>
      <c r="B2017" s="35">
        <v>164.0</v>
      </c>
      <c r="C2017" s="35">
        <v>7.0</v>
      </c>
      <c r="D2017" s="35" t="s">
        <v>2831</v>
      </c>
      <c r="E2017" s="69" t="s">
        <v>2832</v>
      </c>
      <c r="F2017" s="8"/>
    </row>
    <row r="2018" ht="21.0" customHeight="1">
      <c r="A2018" s="68">
        <v>1.0</v>
      </c>
      <c r="B2018" s="68">
        <v>164.0</v>
      </c>
      <c r="C2018" s="68">
        <v>8.0</v>
      </c>
      <c r="D2018" s="68" t="s">
        <v>2833</v>
      </c>
      <c r="E2018" s="70" t="s">
        <v>2834</v>
      </c>
      <c r="F2018" s="8"/>
    </row>
    <row r="2019" ht="21.0" customHeight="1">
      <c r="A2019" s="35">
        <v>1.0</v>
      </c>
      <c r="B2019" s="35">
        <v>164.0</v>
      </c>
      <c r="C2019" s="35">
        <v>9.0</v>
      </c>
      <c r="D2019" s="35" t="s">
        <v>2835</v>
      </c>
      <c r="E2019" s="69" t="s">
        <v>2836</v>
      </c>
      <c r="F2019" s="8"/>
    </row>
    <row r="2020" ht="21.0" customHeight="1">
      <c r="A2020" s="68">
        <v>1.0</v>
      </c>
      <c r="B2020" s="68">
        <v>164.0</v>
      </c>
      <c r="C2020" s="68">
        <v>10.0</v>
      </c>
      <c r="D2020" s="68" t="s">
        <v>2837</v>
      </c>
      <c r="E2020" s="70" t="s">
        <v>2838</v>
      </c>
      <c r="F2020" s="8"/>
    </row>
    <row r="2021" ht="21.0" customHeight="1">
      <c r="A2021" s="35">
        <v>1.0</v>
      </c>
      <c r="B2021" s="35">
        <v>164.0</v>
      </c>
      <c r="C2021" s="35">
        <v>11.0</v>
      </c>
      <c r="D2021" s="35" t="s">
        <v>2839</v>
      </c>
      <c r="E2021" s="69" t="s">
        <v>2840</v>
      </c>
      <c r="F2021" s="8"/>
    </row>
    <row r="2022" ht="21.0" customHeight="1">
      <c r="A2022" s="68">
        <v>1.0</v>
      </c>
      <c r="B2022" s="68">
        <v>164.0</v>
      </c>
      <c r="C2022" s="68">
        <v>12.0</v>
      </c>
      <c r="D2022" s="68" t="s">
        <v>2841</v>
      </c>
      <c r="E2022" s="70" t="s">
        <v>2842</v>
      </c>
      <c r="F2022" s="8"/>
    </row>
    <row r="2023" ht="21.0" customHeight="1">
      <c r="A2023" s="35">
        <v>1.0</v>
      </c>
      <c r="B2023" s="35">
        <v>164.0</v>
      </c>
      <c r="C2023" s="35">
        <v>13.0</v>
      </c>
      <c r="D2023" s="35" t="s">
        <v>2843</v>
      </c>
      <c r="E2023" s="69" t="s">
        <v>2844</v>
      </c>
      <c r="F2023" s="8"/>
    </row>
    <row r="2024" ht="21.0" customHeight="1">
      <c r="A2024" s="68">
        <v>1.0</v>
      </c>
      <c r="B2024" s="68">
        <v>165.0</v>
      </c>
      <c r="C2024" s="68">
        <v>1.0</v>
      </c>
      <c r="D2024" s="68" t="s">
        <v>2845</v>
      </c>
      <c r="E2024" s="70" t="s">
        <v>2846</v>
      </c>
      <c r="F2024" s="8"/>
    </row>
    <row r="2025" ht="21.0" customHeight="1">
      <c r="A2025" s="35">
        <v>1.0</v>
      </c>
      <c r="B2025" s="35">
        <v>165.0</v>
      </c>
      <c r="C2025" s="35">
        <v>2.0</v>
      </c>
      <c r="D2025" s="35" t="s">
        <v>2847</v>
      </c>
      <c r="E2025" s="69" t="s">
        <v>2848</v>
      </c>
      <c r="F2025" s="8"/>
    </row>
    <row r="2026" ht="21.0" customHeight="1">
      <c r="A2026" s="68">
        <v>1.0</v>
      </c>
      <c r="B2026" s="68">
        <v>165.0</v>
      </c>
      <c r="C2026" s="68">
        <v>3.0</v>
      </c>
      <c r="D2026" s="68" t="s">
        <v>2849</v>
      </c>
      <c r="E2026" s="70" t="s">
        <v>2850</v>
      </c>
      <c r="F2026" s="8"/>
    </row>
    <row r="2027" ht="21.0" customHeight="1">
      <c r="A2027" s="35">
        <v>1.0</v>
      </c>
      <c r="B2027" s="35">
        <v>165.0</v>
      </c>
      <c r="C2027" s="35">
        <v>4.0</v>
      </c>
      <c r="D2027" s="35" t="s">
        <v>2851</v>
      </c>
      <c r="E2027" s="69" t="s">
        <v>2852</v>
      </c>
      <c r="F2027" s="8"/>
    </row>
    <row r="2028" ht="21.0" customHeight="1">
      <c r="A2028" s="68">
        <v>1.0</v>
      </c>
      <c r="B2028" s="68">
        <v>165.0</v>
      </c>
      <c r="C2028" s="68">
        <v>5.0</v>
      </c>
      <c r="D2028" s="68" t="s">
        <v>2853</v>
      </c>
      <c r="E2028" s="70" t="s">
        <v>2854</v>
      </c>
      <c r="F2028" s="8"/>
    </row>
    <row r="2029" ht="21.0" customHeight="1">
      <c r="A2029" s="35">
        <v>1.0</v>
      </c>
      <c r="B2029" s="35">
        <v>165.0</v>
      </c>
      <c r="C2029" s="35">
        <v>6.0</v>
      </c>
      <c r="D2029" s="35" t="s">
        <v>2855</v>
      </c>
      <c r="E2029" s="69" t="s">
        <v>2856</v>
      </c>
      <c r="F2029" s="8"/>
    </row>
    <row r="2030" ht="21.0" customHeight="1">
      <c r="A2030" s="68">
        <v>1.0</v>
      </c>
      <c r="B2030" s="68">
        <v>165.0</v>
      </c>
      <c r="C2030" s="68">
        <v>7.0</v>
      </c>
      <c r="D2030" s="68" t="s">
        <v>2857</v>
      </c>
      <c r="E2030" s="70" t="s">
        <v>2858</v>
      </c>
      <c r="F2030" s="8"/>
    </row>
    <row r="2031" ht="21.0" customHeight="1">
      <c r="A2031" s="35">
        <v>1.0</v>
      </c>
      <c r="B2031" s="35">
        <v>165.0</v>
      </c>
      <c r="C2031" s="35">
        <v>8.0</v>
      </c>
      <c r="D2031" s="35" t="s">
        <v>2859</v>
      </c>
      <c r="E2031" s="69" t="s">
        <v>2860</v>
      </c>
      <c r="F2031" s="8"/>
    </row>
    <row r="2032" ht="21.0" customHeight="1">
      <c r="A2032" s="68">
        <v>1.0</v>
      </c>
      <c r="B2032" s="68">
        <v>165.0</v>
      </c>
      <c r="C2032" s="68">
        <v>9.0</v>
      </c>
      <c r="D2032" s="68" t="s">
        <v>2861</v>
      </c>
      <c r="E2032" s="70" t="s">
        <v>2862</v>
      </c>
      <c r="F2032" s="8"/>
    </row>
    <row r="2033" ht="21.0" customHeight="1">
      <c r="A2033" s="35">
        <v>1.0</v>
      </c>
      <c r="B2033" s="35">
        <v>165.0</v>
      </c>
      <c r="C2033" s="35">
        <v>10.0</v>
      </c>
      <c r="D2033" s="35" t="s">
        <v>2863</v>
      </c>
      <c r="E2033" s="69" t="s">
        <v>2864</v>
      </c>
      <c r="F2033" s="8"/>
    </row>
    <row r="2034" ht="21.0" customHeight="1">
      <c r="A2034" s="68">
        <v>1.0</v>
      </c>
      <c r="B2034" s="68">
        <v>165.0</v>
      </c>
      <c r="C2034" s="68">
        <v>11.0</v>
      </c>
      <c r="D2034" s="68" t="s">
        <v>2865</v>
      </c>
      <c r="E2034" s="70" t="s">
        <v>2866</v>
      </c>
      <c r="F2034" s="8"/>
    </row>
    <row r="2035" ht="21.0" customHeight="1">
      <c r="A2035" s="35">
        <v>1.0</v>
      </c>
      <c r="B2035" s="35">
        <v>165.0</v>
      </c>
      <c r="C2035" s="35">
        <v>12.0</v>
      </c>
      <c r="D2035" s="35" t="s">
        <v>2867</v>
      </c>
      <c r="E2035" s="69" t="s">
        <v>2868</v>
      </c>
      <c r="F2035" s="8"/>
    </row>
    <row r="2036" ht="21.0" customHeight="1">
      <c r="A2036" s="68">
        <v>1.0</v>
      </c>
      <c r="B2036" s="68">
        <v>165.0</v>
      </c>
      <c r="C2036" s="68">
        <v>13.0</v>
      </c>
      <c r="D2036" s="68" t="s">
        <v>2869</v>
      </c>
      <c r="E2036" s="70" t="s">
        <v>2870</v>
      </c>
      <c r="F2036" s="8"/>
    </row>
    <row r="2037" ht="21.0" customHeight="1">
      <c r="A2037" s="35">
        <v>11.0</v>
      </c>
      <c r="B2037" s="35">
        <v>1028.0</v>
      </c>
      <c r="C2037" s="35">
        <v>1.0</v>
      </c>
      <c r="D2037" s="35" t="s">
        <v>2871</v>
      </c>
      <c r="E2037" s="69" t="s">
        <v>2872</v>
      </c>
      <c r="F2037" s="8"/>
    </row>
    <row r="2038" ht="21.0" customHeight="1">
      <c r="A2038" s="68">
        <v>11.0</v>
      </c>
      <c r="B2038" s="68">
        <v>1028.0</v>
      </c>
      <c r="C2038" s="68">
        <v>2.0</v>
      </c>
      <c r="D2038" s="68" t="s">
        <v>2873</v>
      </c>
      <c r="E2038" s="70" t="s">
        <v>2874</v>
      </c>
      <c r="F2038" s="8"/>
    </row>
    <row r="2039" ht="21.0" customHeight="1">
      <c r="A2039" s="35">
        <v>11.0</v>
      </c>
      <c r="B2039" s="35">
        <v>1028.0</v>
      </c>
      <c r="C2039" s="35">
        <v>3.0</v>
      </c>
      <c r="D2039" s="35" t="s">
        <v>2875</v>
      </c>
      <c r="E2039" s="69" t="s">
        <v>2876</v>
      </c>
      <c r="F2039" s="8"/>
    </row>
    <row r="2040" ht="21.0" customHeight="1">
      <c r="A2040" s="68">
        <v>11.0</v>
      </c>
      <c r="B2040" s="68">
        <v>1028.0</v>
      </c>
      <c r="C2040" s="68">
        <v>4.0</v>
      </c>
      <c r="D2040" s="68" t="s">
        <v>2877</v>
      </c>
      <c r="E2040" s="70" t="s">
        <v>2878</v>
      </c>
      <c r="F2040" s="8"/>
    </row>
    <row r="2041" ht="21.0" customHeight="1">
      <c r="A2041" s="35">
        <v>10.0</v>
      </c>
      <c r="B2041" s="35">
        <v>1028.0</v>
      </c>
      <c r="C2041" s="35">
        <v>5.0</v>
      </c>
      <c r="D2041" s="35" t="s">
        <v>2879</v>
      </c>
      <c r="E2041" s="69" t="s">
        <v>2880</v>
      </c>
      <c r="F2041" s="8"/>
    </row>
    <row r="2042" ht="21.0" customHeight="1">
      <c r="A2042" s="68">
        <v>10.0</v>
      </c>
      <c r="B2042" s="68">
        <v>1028.0</v>
      </c>
      <c r="C2042" s="68">
        <v>6.0</v>
      </c>
      <c r="D2042" s="68" t="s">
        <v>2881</v>
      </c>
      <c r="E2042" s="70" t="s">
        <v>2882</v>
      </c>
      <c r="F2042" s="8"/>
    </row>
    <row r="2043" ht="21.0" customHeight="1">
      <c r="A2043" s="35">
        <v>10.0</v>
      </c>
      <c r="B2043" s="35">
        <v>1028.0</v>
      </c>
      <c r="C2043" s="35">
        <v>7.0</v>
      </c>
      <c r="D2043" s="35" t="s">
        <v>2883</v>
      </c>
      <c r="E2043" s="69" t="s">
        <v>2884</v>
      </c>
      <c r="F2043" s="8"/>
    </row>
    <row r="2044" ht="21.0" customHeight="1">
      <c r="A2044" s="68">
        <v>10.0</v>
      </c>
      <c r="B2044" s="68">
        <v>1028.0</v>
      </c>
      <c r="C2044" s="68">
        <v>8.0</v>
      </c>
      <c r="D2044" s="68" t="s">
        <v>2885</v>
      </c>
      <c r="E2044" s="70" t="s">
        <v>2886</v>
      </c>
      <c r="F2044" s="8"/>
    </row>
    <row r="2045" ht="21.0" customHeight="1">
      <c r="A2045" s="35">
        <v>10.0</v>
      </c>
      <c r="B2045" s="35">
        <v>1028.0</v>
      </c>
      <c r="C2045" s="35">
        <v>9.0</v>
      </c>
      <c r="D2045" s="35" t="s">
        <v>2887</v>
      </c>
      <c r="E2045" s="69" t="s">
        <v>2888</v>
      </c>
      <c r="F2045" s="8"/>
    </row>
    <row r="2046" ht="21.0" customHeight="1">
      <c r="A2046" s="68">
        <v>10.0</v>
      </c>
      <c r="B2046" s="68">
        <v>1028.0</v>
      </c>
      <c r="C2046" s="68">
        <v>10.0</v>
      </c>
      <c r="D2046" s="68" t="s">
        <v>2889</v>
      </c>
      <c r="E2046" s="70" t="s">
        <v>2890</v>
      </c>
      <c r="F2046" s="8"/>
    </row>
    <row r="2047" ht="21.0" customHeight="1">
      <c r="A2047" s="35">
        <v>11.0</v>
      </c>
      <c r="B2047" s="35">
        <v>1029.0</v>
      </c>
      <c r="C2047" s="35">
        <v>1.0</v>
      </c>
      <c r="D2047" s="35" t="s">
        <v>2891</v>
      </c>
      <c r="E2047" s="69" t="s">
        <v>2892</v>
      </c>
      <c r="F2047" s="8"/>
    </row>
    <row r="2048" ht="21.0" customHeight="1">
      <c r="A2048" s="68">
        <v>11.0</v>
      </c>
      <c r="B2048" s="68">
        <v>1029.0</v>
      </c>
      <c r="C2048" s="68">
        <v>2.0</v>
      </c>
      <c r="D2048" s="68" t="s">
        <v>2893</v>
      </c>
      <c r="E2048" s="70" t="s">
        <v>2894</v>
      </c>
      <c r="F2048" s="8"/>
    </row>
    <row r="2049" ht="21.0" customHeight="1">
      <c r="A2049" s="35">
        <v>11.0</v>
      </c>
      <c r="B2049" s="35">
        <v>1029.0</v>
      </c>
      <c r="C2049" s="35">
        <v>3.0</v>
      </c>
      <c r="D2049" s="35" t="s">
        <v>2895</v>
      </c>
      <c r="E2049" s="69" t="s">
        <v>2896</v>
      </c>
      <c r="F2049" s="8"/>
    </row>
    <row r="2050" ht="21.0" customHeight="1">
      <c r="A2050" s="68">
        <v>11.0</v>
      </c>
      <c r="B2050" s="68">
        <v>1029.0</v>
      </c>
      <c r="C2050" s="68">
        <v>4.0</v>
      </c>
      <c r="D2050" s="68" t="s">
        <v>2897</v>
      </c>
      <c r="E2050" s="70" t="s">
        <v>2898</v>
      </c>
      <c r="F2050" s="8"/>
    </row>
    <row r="2051" ht="21.0" customHeight="1">
      <c r="A2051" s="35">
        <v>10.0</v>
      </c>
      <c r="B2051" s="35">
        <v>1029.0</v>
      </c>
      <c r="C2051" s="35">
        <v>5.0</v>
      </c>
      <c r="D2051" s="35" t="s">
        <v>2899</v>
      </c>
      <c r="E2051" s="69" t="s">
        <v>2900</v>
      </c>
      <c r="F2051" s="8"/>
    </row>
    <row r="2052" ht="21.0" customHeight="1">
      <c r="A2052" s="68">
        <v>10.0</v>
      </c>
      <c r="B2052" s="68">
        <v>1029.0</v>
      </c>
      <c r="C2052" s="68">
        <v>6.0</v>
      </c>
      <c r="D2052" s="68" t="s">
        <v>2901</v>
      </c>
      <c r="E2052" s="70" t="s">
        <v>2902</v>
      </c>
      <c r="F2052" s="8"/>
    </row>
    <row r="2053" ht="21.0" customHeight="1">
      <c r="A2053" s="35">
        <v>10.0</v>
      </c>
      <c r="B2053" s="35">
        <v>1029.0</v>
      </c>
      <c r="C2053" s="35">
        <v>7.0</v>
      </c>
      <c r="D2053" s="35" t="s">
        <v>2903</v>
      </c>
      <c r="E2053" s="69" t="s">
        <v>2904</v>
      </c>
      <c r="F2053" s="8"/>
    </row>
    <row r="2054" ht="21.0" customHeight="1">
      <c r="A2054" s="68">
        <v>10.0</v>
      </c>
      <c r="B2054" s="68">
        <v>1029.0</v>
      </c>
      <c r="C2054" s="68">
        <v>8.0</v>
      </c>
      <c r="D2054" s="68" t="s">
        <v>2905</v>
      </c>
      <c r="E2054" s="70" t="s">
        <v>2906</v>
      </c>
      <c r="F2054" s="8"/>
    </row>
    <row r="2055" ht="21.0" customHeight="1">
      <c r="A2055" s="35">
        <v>10.0</v>
      </c>
      <c r="B2055" s="35">
        <v>1029.0</v>
      </c>
      <c r="C2055" s="35">
        <v>9.0</v>
      </c>
      <c r="D2055" s="35" t="s">
        <v>2907</v>
      </c>
      <c r="E2055" s="69" t="s">
        <v>2908</v>
      </c>
      <c r="F2055" s="8"/>
    </row>
    <row r="2056" ht="21.0" customHeight="1">
      <c r="A2056" s="68">
        <v>10.0</v>
      </c>
      <c r="B2056" s="68">
        <v>1029.0</v>
      </c>
      <c r="C2056" s="68">
        <v>10.0</v>
      </c>
      <c r="D2056" s="68" t="s">
        <v>2909</v>
      </c>
      <c r="E2056" s="70" t="s">
        <v>2890</v>
      </c>
      <c r="F2056" s="8"/>
    </row>
    <row r="2057" ht="21.0" customHeight="1">
      <c r="A2057" s="68">
        <v>1.0</v>
      </c>
      <c r="B2057" s="68">
        <v>166.0</v>
      </c>
      <c r="C2057" s="68">
        <v>1.0</v>
      </c>
      <c r="D2057" s="68" t="s">
        <v>2910</v>
      </c>
      <c r="E2057" s="70" t="s">
        <v>2911</v>
      </c>
      <c r="F2057" s="8"/>
    </row>
    <row r="2058" ht="21.0" customHeight="1">
      <c r="A2058" s="35">
        <v>1.0</v>
      </c>
      <c r="B2058" s="35">
        <v>166.0</v>
      </c>
      <c r="C2058" s="35">
        <v>2.0</v>
      </c>
      <c r="D2058" s="35" t="s">
        <v>2912</v>
      </c>
      <c r="E2058" s="69" t="s">
        <v>2913</v>
      </c>
      <c r="F2058" s="8"/>
    </row>
    <row r="2059" ht="21.0" customHeight="1">
      <c r="A2059" s="68">
        <v>1.0</v>
      </c>
      <c r="B2059" s="68">
        <v>166.0</v>
      </c>
      <c r="C2059" s="68">
        <v>3.0</v>
      </c>
      <c r="D2059" s="68" t="s">
        <v>2914</v>
      </c>
      <c r="E2059" s="70" t="s">
        <v>2915</v>
      </c>
      <c r="F2059" s="8"/>
    </row>
    <row r="2060" ht="21.0" customHeight="1">
      <c r="A2060" s="35">
        <v>1.0</v>
      </c>
      <c r="B2060" s="35">
        <v>166.0</v>
      </c>
      <c r="C2060" s="35">
        <v>4.0</v>
      </c>
      <c r="D2060" s="35" t="s">
        <v>2916</v>
      </c>
      <c r="E2060" s="69" t="s">
        <v>2917</v>
      </c>
      <c r="F2060" s="8"/>
    </row>
    <row r="2061" ht="21.0" customHeight="1">
      <c r="A2061" s="68">
        <v>1.0</v>
      </c>
      <c r="B2061" s="68">
        <v>166.0</v>
      </c>
      <c r="C2061" s="68">
        <v>5.0</v>
      </c>
      <c r="D2061" s="68" t="s">
        <v>2918</v>
      </c>
      <c r="E2061" s="70" t="s">
        <v>2919</v>
      </c>
      <c r="F2061" s="8"/>
    </row>
    <row r="2062" ht="21.0" customHeight="1">
      <c r="A2062" s="35">
        <v>1.0</v>
      </c>
      <c r="B2062" s="35">
        <v>166.0</v>
      </c>
      <c r="C2062" s="35">
        <v>6.0</v>
      </c>
      <c r="D2062" s="35" t="s">
        <v>2920</v>
      </c>
      <c r="E2062" s="69" t="s">
        <v>2921</v>
      </c>
      <c r="F2062" s="8"/>
    </row>
    <row r="2063" ht="21.0" customHeight="1">
      <c r="A2063" s="68">
        <v>1.0</v>
      </c>
      <c r="B2063" s="68">
        <v>166.0</v>
      </c>
      <c r="C2063" s="68">
        <v>7.0</v>
      </c>
      <c r="D2063" s="68" t="s">
        <v>2922</v>
      </c>
      <c r="E2063" s="70" t="s">
        <v>2923</v>
      </c>
      <c r="F2063" s="8"/>
    </row>
    <row r="2064" ht="21.0" customHeight="1">
      <c r="A2064" s="35">
        <v>1.0</v>
      </c>
      <c r="B2064" s="35">
        <v>166.0</v>
      </c>
      <c r="C2064" s="35">
        <v>8.0</v>
      </c>
      <c r="D2064" s="35" t="s">
        <v>2924</v>
      </c>
      <c r="E2064" s="69" t="s">
        <v>2925</v>
      </c>
      <c r="F2064" s="8"/>
    </row>
    <row r="2065" ht="21.0" customHeight="1">
      <c r="A2065" s="68">
        <v>1.0</v>
      </c>
      <c r="B2065" s="68">
        <v>166.0</v>
      </c>
      <c r="C2065" s="68">
        <v>9.0</v>
      </c>
      <c r="D2065" s="68" t="s">
        <v>2926</v>
      </c>
      <c r="E2065" s="70" t="s">
        <v>2927</v>
      </c>
      <c r="F2065" s="8"/>
    </row>
    <row r="2066" ht="21.0" customHeight="1">
      <c r="A2066" s="35">
        <v>1.0</v>
      </c>
      <c r="B2066" s="35">
        <v>166.0</v>
      </c>
      <c r="C2066" s="35">
        <v>10.0</v>
      </c>
      <c r="D2066" s="35" t="s">
        <v>2928</v>
      </c>
      <c r="E2066" s="69" t="s">
        <v>2929</v>
      </c>
      <c r="F2066" s="8"/>
    </row>
    <row r="2067" ht="21.0" customHeight="1">
      <c r="A2067" s="68">
        <v>1.0</v>
      </c>
      <c r="B2067" s="68">
        <v>166.0</v>
      </c>
      <c r="C2067" s="68">
        <v>11.0</v>
      </c>
      <c r="D2067" s="68" t="s">
        <v>2930</v>
      </c>
      <c r="E2067" s="70" t="s">
        <v>2931</v>
      </c>
      <c r="F2067" s="8"/>
    </row>
    <row r="2068" ht="21.0" customHeight="1">
      <c r="A2068" s="35">
        <v>1.0</v>
      </c>
      <c r="B2068" s="35">
        <v>166.0</v>
      </c>
      <c r="C2068" s="35">
        <v>12.0</v>
      </c>
      <c r="D2068" s="35" t="s">
        <v>2932</v>
      </c>
      <c r="E2068" s="69" t="s">
        <v>2933</v>
      </c>
      <c r="F2068" s="8"/>
    </row>
    <row r="2069" ht="21.0" customHeight="1">
      <c r="A2069" s="68">
        <v>1.0</v>
      </c>
      <c r="B2069" s="68">
        <v>166.0</v>
      </c>
      <c r="C2069" s="68">
        <v>13.0</v>
      </c>
      <c r="D2069" s="68" t="s">
        <v>2934</v>
      </c>
      <c r="E2069" s="70" t="s">
        <v>2935</v>
      </c>
      <c r="F2069" s="8"/>
    </row>
    <row r="2070" ht="21.0" customHeight="1">
      <c r="A2070" s="35">
        <v>1.0</v>
      </c>
      <c r="B2070" s="35">
        <v>167.0</v>
      </c>
      <c r="C2070" s="35">
        <v>1.0</v>
      </c>
      <c r="D2070" s="35" t="s">
        <v>2936</v>
      </c>
      <c r="E2070" s="69" t="s">
        <v>2937</v>
      </c>
      <c r="F2070" s="8"/>
    </row>
    <row r="2071" ht="21.0" customHeight="1">
      <c r="A2071" s="68">
        <v>1.0</v>
      </c>
      <c r="B2071" s="68">
        <v>167.0</v>
      </c>
      <c r="C2071" s="68">
        <v>2.0</v>
      </c>
      <c r="D2071" s="68" t="s">
        <v>2938</v>
      </c>
      <c r="E2071" s="70" t="s">
        <v>2939</v>
      </c>
      <c r="F2071" s="8"/>
    </row>
    <row r="2072" ht="21.0" customHeight="1">
      <c r="A2072" s="35">
        <v>1.0</v>
      </c>
      <c r="B2072" s="35">
        <v>167.0</v>
      </c>
      <c r="C2072" s="35">
        <v>3.0</v>
      </c>
      <c r="D2072" s="35" t="s">
        <v>2940</v>
      </c>
      <c r="E2072" s="69" t="s">
        <v>2941</v>
      </c>
      <c r="F2072" s="8"/>
    </row>
    <row r="2073" ht="21.0" customHeight="1">
      <c r="A2073" s="68">
        <v>1.0</v>
      </c>
      <c r="B2073" s="68">
        <v>167.0</v>
      </c>
      <c r="C2073" s="68">
        <v>4.0</v>
      </c>
      <c r="D2073" s="68" t="s">
        <v>2942</v>
      </c>
      <c r="E2073" s="70" t="s">
        <v>2943</v>
      </c>
      <c r="F2073" s="8"/>
    </row>
    <row r="2074" ht="21.0" customHeight="1">
      <c r="A2074" s="35">
        <v>1.0</v>
      </c>
      <c r="B2074" s="35">
        <v>167.0</v>
      </c>
      <c r="C2074" s="35">
        <v>5.0</v>
      </c>
      <c r="D2074" s="35" t="s">
        <v>2944</v>
      </c>
      <c r="E2074" s="69" t="s">
        <v>2945</v>
      </c>
      <c r="F2074" s="8"/>
    </row>
    <row r="2075" ht="21.0" customHeight="1">
      <c r="A2075" s="68">
        <v>1.0</v>
      </c>
      <c r="B2075" s="68">
        <v>167.0</v>
      </c>
      <c r="C2075" s="68">
        <v>6.0</v>
      </c>
      <c r="D2075" s="68" t="s">
        <v>2946</v>
      </c>
      <c r="E2075" s="70" t="s">
        <v>2947</v>
      </c>
      <c r="F2075" s="8"/>
    </row>
    <row r="2076" ht="21.0" customHeight="1">
      <c r="A2076" s="35">
        <v>1.0</v>
      </c>
      <c r="B2076" s="35">
        <v>167.0</v>
      </c>
      <c r="C2076" s="35">
        <v>7.0</v>
      </c>
      <c r="D2076" s="35" t="s">
        <v>2948</v>
      </c>
      <c r="E2076" s="69" t="s">
        <v>2949</v>
      </c>
      <c r="F2076" s="8"/>
    </row>
    <row r="2077" ht="21.0" customHeight="1">
      <c r="A2077" s="68">
        <v>1.0</v>
      </c>
      <c r="B2077" s="68">
        <v>167.0</v>
      </c>
      <c r="C2077" s="68">
        <v>8.0</v>
      </c>
      <c r="D2077" s="68" t="s">
        <v>2950</v>
      </c>
      <c r="E2077" s="70" t="s">
        <v>2951</v>
      </c>
      <c r="F2077" s="8"/>
    </row>
    <row r="2078" ht="21.0" customHeight="1">
      <c r="A2078" s="35">
        <v>1.0</v>
      </c>
      <c r="B2078" s="35">
        <v>167.0</v>
      </c>
      <c r="C2078" s="35">
        <v>9.0</v>
      </c>
      <c r="D2078" s="35" t="s">
        <v>2952</v>
      </c>
      <c r="E2078" s="69" t="s">
        <v>2953</v>
      </c>
      <c r="F2078" s="8"/>
    </row>
    <row r="2079" ht="21.0" customHeight="1">
      <c r="A2079" s="68">
        <v>1.0</v>
      </c>
      <c r="B2079" s="68">
        <v>167.0</v>
      </c>
      <c r="C2079" s="68">
        <v>10.0</v>
      </c>
      <c r="D2079" s="68" t="s">
        <v>2954</v>
      </c>
      <c r="E2079" s="70" t="s">
        <v>2955</v>
      </c>
      <c r="F2079" s="8"/>
    </row>
    <row r="2080" ht="21.0" customHeight="1">
      <c r="A2080" s="35">
        <v>1.0</v>
      </c>
      <c r="B2080" s="35">
        <v>167.0</v>
      </c>
      <c r="C2080" s="35">
        <v>11.0</v>
      </c>
      <c r="D2080" s="35" t="s">
        <v>2956</v>
      </c>
      <c r="E2080" s="69" t="s">
        <v>2957</v>
      </c>
      <c r="F2080" s="8"/>
    </row>
    <row r="2081" ht="21.0" customHeight="1">
      <c r="A2081" s="68">
        <v>1.0</v>
      </c>
      <c r="B2081" s="68">
        <v>167.0</v>
      </c>
      <c r="C2081" s="68">
        <v>12.0</v>
      </c>
      <c r="D2081" s="68" t="s">
        <v>2958</v>
      </c>
      <c r="E2081" s="70" t="s">
        <v>2959</v>
      </c>
      <c r="F2081" s="8"/>
    </row>
    <row r="2082" ht="21.0" customHeight="1">
      <c r="A2082" s="35">
        <v>1.0</v>
      </c>
      <c r="B2082" s="35">
        <v>167.0</v>
      </c>
      <c r="C2082" s="35">
        <v>13.0</v>
      </c>
      <c r="D2082" s="35" t="s">
        <v>2960</v>
      </c>
      <c r="E2082" s="69" t="s">
        <v>2961</v>
      </c>
      <c r="F2082" s="8"/>
    </row>
    <row r="2083" ht="21.0" customHeight="1">
      <c r="A2083" s="68">
        <v>1.0</v>
      </c>
      <c r="B2083" s="68">
        <v>168.0</v>
      </c>
      <c r="C2083" s="68">
        <v>1.0</v>
      </c>
      <c r="D2083" s="68" t="s">
        <v>2962</v>
      </c>
      <c r="E2083" s="70" t="s">
        <v>2963</v>
      </c>
      <c r="F2083" s="8"/>
    </row>
    <row r="2084" ht="21.0" customHeight="1">
      <c r="A2084" s="35">
        <v>1.0</v>
      </c>
      <c r="B2084" s="35">
        <v>168.0</v>
      </c>
      <c r="C2084" s="35">
        <v>2.0</v>
      </c>
      <c r="D2084" s="35" t="s">
        <v>2964</v>
      </c>
      <c r="E2084" s="69" t="s">
        <v>2965</v>
      </c>
      <c r="F2084" s="8"/>
    </row>
    <row r="2085" ht="21.0" customHeight="1">
      <c r="A2085" s="68">
        <v>1.0</v>
      </c>
      <c r="B2085" s="68">
        <v>168.0</v>
      </c>
      <c r="C2085" s="68">
        <v>3.0</v>
      </c>
      <c r="D2085" s="68" t="s">
        <v>2966</v>
      </c>
      <c r="E2085" s="70" t="s">
        <v>2967</v>
      </c>
      <c r="F2085" s="8"/>
    </row>
    <row r="2086" ht="21.0" customHeight="1">
      <c r="A2086" s="35">
        <v>1.0</v>
      </c>
      <c r="B2086" s="35">
        <v>168.0</v>
      </c>
      <c r="C2086" s="35">
        <v>4.0</v>
      </c>
      <c r="D2086" s="35" t="s">
        <v>2968</v>
      </c>
      <c r="E2086" s="69" t="s">
        <v>2969</v>
      </c>
      <c r="F2086" s="8"/>
    </row>
    <row r="2087" ht="21.0" customHeight="1">
      <c r="A2087" s="68">
        <v>1.0</v>
      </c>
      <c r="B2087" s="68">
        <v>168.0</v>
      </c>
      <c r="C2087" s="68">
        <v>5.0</v>
      </c>
      <c r="D2087" s="68" t="s">
        <v>2970</v>
      </c>
      <c r="E2087" s="70" t="s">
        <v>2971</v>
      </c>
      <c r="F2087" s="8"/>
    </row>
    <row r="2088" ht="21.0" customHeight="1">
      <c r="A2088" s="35">
        <v>1.0</v>
      </c>
      <c r="B2088" s="35">
        <v>168.0</v>
      </c>
      <c r="C2088" s="35">
        <v>6.0</v>
      </c>
      <c r="D2088" s="35" t="s">
        <v>2972</v>
      </c>
      <c r="E2088" s="69" t="s">
        <v>2973</v>
      </c>
      <c r="F2088" s="8"/>
    </row>
    <row r="2089" ht="21.0" customHeight="1">
      <c r="A2089" s="68">
        <v>1.0</v>
      </c>
      <c r="B2089" s="68">
        <v>168.0</v>
      </c>
      <c r="C2089" s="68">
        <v>7.0</v>
      </c>
      <c r="D2089" s="68" t="s">
        <v>2974</v>
      </c>
      <c r="E2089" s="70" t="s">
        <v>2975</v>
      </c>
      <c r="F2089" s="8"/>
    </row>
    <row r="2090" ht="21.0" customHeight="1">
      <c r="A2090" s="35">
        <v>1.0</v>
      </c>
      <c r="B2090" s="35">
        <v>168.0</v>
      </c>
      <c r="C2090" s="35">
        <v>8.0</v>
      </c>
      <c r="D2090" s="35" t="s">
        <v>2976</v>
      </c>
      <c r="E2090" s="69" t="s">
        <v>2977</v>
      </c>
      <c r="F2090" s="8"/>
    </row>
    <row r="2091" ht="21.0" customHeight="1">
      <c r="A2091" s="68">
        <v>1.0</v>
      </c>
      <c r="B2091" s="68">
        <v>168.0</v>
      </c>
      <c r="C2091" s="68">
        <v>9.0</v>
      </c>
      <c r="D2091" s="68" t="s">
        <v>2978</v>
      </c>
      <c r="E2091" s="70" t="s">
        <v>2979</v>
      </c>
      <c r="F2091" s="8"/>
    </row>
    <row r="2092" ht="21.0" customHeight="1">
      <c r="A2092" s="35">
        <v>1.0</v>
      </c>
      <c r="B2092" s="35">
        <v>168.0</v>
      </c>
      <c r="C2092" s="35">
        <v>10.0</v>
      </c>
      <c r="D2092" s="35" t="s">
        <v>2980</v>
      </c>
      <c r="E2092" s="69" t="s">
        <v>2981</v>
      </c>
      <c r="F2092" s="8"/>
    </row>
    <row r="2093" ht="21.0" customHeight="1">
      <c r="A2093" s="68">
        <v>1.0</v>
      </c>
      <c r="B2093" s="68">
        <v>168.0</v>
      </c>
      <c r="C2093" s="68">
        <v>11.0</v>
      </c>
      <c r="D2093" s="68" t="s">
        <v>2982</v>
      </c>
      <c r="E2093" s="70" t="s">
        <v>2983</v>
      </c>
      <c r="F2093" s="8"/>
    </row>
    <row r="2094" ht="21.0" customHeight="1">
      <c r="A2094" s="35">
        <v>1.0</v>
      </c>
      <c r="B2094" s="35">
        <v>168.0</v>
      </c>
      <c r="C2094" s="35">
        <v>12.0</v>
      </c>
      <c r="D2094" s="35" t="s">
        <v>2984</v>
      </c>
      <c r="E2094" s="69" t="s">
        <v>2985</v>
      </c>
      <c r="F2094" s="8"/>
    </row>
    <row r="2095" ht="21.0" customHeight="1">
      <c r="A2095" s="68">
        <v>1.0</v>
      </c>
      <c r="B2095" s="68">
        <v>168.0</v>
      </c>
      <c r="C2095" s="68">
        <v>13.0</v>
      </c>
      <c r="D2095" s="68" t="s">
        <v>2986</v>
      </c>
      <c r="E2095" s="70" t="s">
        <v>2987</v>
      </c>
      <c r="F2095" s="8"/>
    </row>
    <row r="2096" ht="21.0" customHeight="1">
      <c r="A2096" s="35">
        <v>11.0</v>
      </c>
      <c r="B2096" s="35">
        <v>1030.0</v>
      </c>
      <c r="C2096" s="35">
        <v>1.0</v>
      </c>
      <c r="D2096" s="35" t="s">
        <v>2988</v>
      </c>
      <c r="E2096" s="69" t="s">
        <v>2989</v>
      </c>
      <c r="F2096" s="8"/>
    </row>
    <row r="2097" ht="21.0" customHeight="1">
      <c r="A2097" s="68">
        <v>11.0</v>
      </c>
      <c r="B2097" s="68">
        <v>1030.0</v>
      </c>
      <c r="C2097" s="68">
        <v>2.0</v>
      </c>
      <c r="D2097" s="68" t="s">
        <v>2990</v>
      </c>
      <c r="E2097" s="70" t="s">
        <v>2991</v>
      </c>
      <c r="F2097" s="8"/>
    </row>
    <row r="2098" ht="21.0" customHeight="1">
      <c r="A2098" s="35">
        <v>11.0</v>
      </c>
      <c r="B2098" s="35">
        <v>1030.0</v>
      </c>
      <c r="C2098" s="35">
        <v>3.0</v>
      </c>
      <c r="D2098" s="35" t="s">
        <v>2992</v>
      </c>
      <c r="E2098" s="69" t="s">
        <v>2993</v>
      </c>
      <c r="F2098" s="8"/>
    </row>
    <row r="2099" ht="21.0" customHeight="1">
      <c r="A2099" s="68">
        <v>11.0</v>
      </c>
      <c r="B2099" s="68">
        <v>1030.0</v>
      </c>
      <c r="C2099" s="68">
        <v>4.0</v>
      </c>
      <c r="D2099" s="68" t="s">
        <v>2994</v>
      </c>
      <c r="E2099" s="70" t="s">
        <v>2995</v>
      </c>
      <c r="F2099" s="8"/>
    </row>
    <row r="2100" ht="21.0" customHeight="1">
      <c r="A2100" s="35">
        <v>10.0</v>
      </c>
      <c r="B2100" s="35">
        <v>1030.0</v>
      </c>
      <c r="C2100" s="35">
        <v>5.0</v>
      </c>
      <c r="D2100" s="35" t="s">
        <v>2996</v>
      </c>
      <c r="E2100" s="69" t="s">
        <v>2997</v>
      </c>
      <c r="F2100" s="8"/>
    </row>
    <row r="2101" ht="21.0" customHeight="1">
      <c r="A2101" s="68">
        <v>10.0</v>
      </c>
      <c r="B2101" s="68">
        <v>1030.0</v>
      </c>
      <c r="C2101" s="68">
        <v>6.0</v>
      </c>
      <c r="D2101" s="68" t="s">
        <v>2998</v>
      </c>
      <c r="E2101" s="70" t="s">
        <v>2999</v>
      </c>
      <c r="F2101" s="8"/>
    </row>
    <row r="2102" ht="21.0" customHeight="1">
      <c r="A2102" s="35">
        <v>10.0</v>
      </c>
      <c r="B2102" s="35">
        <v>1030.0</v>
      </c>
      <c r="C2102" s="35">
        <v>7.0</v>
      </c>
      <c r="D2102" s="35" t="s">
        <v>3000</v>
      </c>
      <c r="E2102" s="69" t="s">
        <v>3001</v>
      </c>
      <c r="F2102" s="8"/>
    </row>
    <row r="2103" ht="21.0" customHeight="1">
      <c r="A2103" s="68">
        <v>10.0</v>
      </c>
      <c r="B2103" s="68">
        <v>1030.0</v>
      </c>
      <c r="C2103" s="68">
        <v>8.0</v>
      </c>
      <c r="D2103" s="68" t="s">
        <v>3002</v>
      </c>
      <c r="E2103" s="70" t="s">
        <v>3003</v>
      </c>
      <c r="F2103" s="8"/>
    </row>
    <row r="2104" ht="21.0" customHeight="1">
      <c r="A2104" s="35">
        <v>10.0</v>
      </c>
      <c r="B2104" s="35">
        <v>1030.0</v>
      </c>
      <c r="C2104" s="35">
        <v>9.0</v>
      </c>
      <c r="D2104" s="35" t="s">
        <v>3004</v>
      </c>
      <c r="E2104" s="69" t="s">
        <v>3005</v>
      </c>
      <c r="F2104" s="8"/>
    </row>
    <row r="2105" ht="21.0" customHeight="1">
      <c r="A2105" s="68">
        <v>10.0</v>
      </c>
      <c r="B2105" s="68">
        <v>1030.0</v>
      </c>
      <c r="C2105" s="68">
        <v>10.0</v>
      </c>
      <c r="D2105" s="68" t="s">
        <v>3006</v>
      </c>
      <c r="E2105" s="70" t="s">
        <v>3007</v>
      </c>
      <c r="F2105" s="8"/>
    </row>
    <row r="2106" ht="21.0" customHeight="1">
      <c r="A2106" s="35">
        <v>11.0</v>
      </c>
      <c r="B2106" s="35">
        <v>1031.0</v>
      </c>
      <c r="C2106" s="35">
        <v>1.0</v>
      </c>
      <c r="D2106" s="35" t="s">
        <v>3008</v>
      </c>
      <c r="E2106" s="69" t="s">
        <v>3009</v>
      </c>
      <c r="F2106" s="8"/>
    </row>
    <row r="2107" ht="21.0" customHeight="1">
      <c r="A2107" s="68">
        <v>11.0</v>
      </c>
      <c r="B2107" s="68">
        <v>1031.0</v>
      </c>
      <c r="C2107" s="68">
        <v>2.0</v>
      </c>
      <c r="D2107" s="68" t="s">
        <v>3010</v>
      </c>
      <c r="E2107" s="70" t="s">
        <v>3011</v>
      </c>
      <c r="F2107" s="8"/>
    </row>
    <row r="2108" ht="21.0" customHeight="1">
      <c r="A2108" s="35">
        <v>11.0</v>
      </c>
      <c r="B2108" s="35">
        <v>1031.0</v>
      </c>
      <c r="C2108" s="35">
        <v>3.0</v>
      </c>
      <c r="D2108" s="35" t="s">
        <v>3012</v>
      </c>
      <c r="E2108" s="69" t="s">
        <v>3013</v>
      </c>
      <c r="F2108" s="8"/>
    </row>
    <row r="2109" ht="21.0" customHeight="1">
      <c r="A2109" s="68">
        <v>11.0</v>
      </c>
      <c r="B2109" s="68">
        <v>1031.0</v>
      </c>
      <c r="C2109" s="68">
        <v>4.0</v>
      </c>
      <c r="D2109" s="68" t="s">
        <v>3014</v>
      </c>
      <c r="E2109" s="70" t="s">
        <v>3015</v>
      </c>
      <c r="F2109" s="8"/>
    </row>
    <row r="2110" ht="21.0" customHeight="1">
      <c r="A2110" s="35">
        <v>10.0</v>
      </c>
      <c r="B2110" s="35">
        <v>1031.0</v>
      </c>
      <c r="C2110" s="35">
        <v>5.0</v>
      </c>
      <c r="D2110" s="35" t="s">
        <v>3016</v>
      </c>
      <c r="E2110" s="69" t="s">
        <v>3017</v>
      </c>
      <c r="F2110" s="8"/>
    </row>
    <row r="2111" ht="21.0" customHeight="1">
      <c r="A2111" s="68">
        <v>10.0</v>
      </c>
      <c r="B2111" s="68">
        <v>1031.0</v>
      </c>
      <c r="C2111" s="68">
        <v>6.0</v>
      </c>
      <c r="D2111" s="68" t="s">
        <v>3018</v>
      </c>
      <c r="E2111" s="70" t="s">
        <v>3019</v>
      </c>
      <c r="F2111" s="8"/>
    </row>
    <row r="2112" ht="21.0" customHeight="1">
      <c r="A2112" s="35">
        <v>10.0</v>
      </c>
      <c r="B2112" s="35">
        <v>1031.0</v>
      </c>
      <c r="C2112" s="35">
        <v>7.0</v>
      </c>
      <c r="D2112" s="35" t="s">
        <v>3020</v>
      </c>
      <c r="E2112" s="69" t="s">
        <v>3021</v>
      </c>
      <c r="F2112" s="8"/>
    </row>
    <row r="2113" ht="21.0" customHeight="1">
      <c r="A2113" s="68">
        <v>10.0</v>
      </c>
      <c r="B2113" s="68">
        <v>1031.0</v>
      </c>
      <c r="C2113" s="68">
        <v>8.0</v>
      </c>
      <c r="D2113" s="68" t="s">
        <v>3022</v>
      </c>
      <c r="E2113" s="70" t="s">
        <v>3023</v>
      </c>
      <c r="F2113" s="8"/>
    </row>
    <row r="2114" ht="21.0" customHeight="1">
      <c r="A2114" s="35">
        <v>10.0</v>
      </c>
      <c r="B2114" s="35">
        <v>1031.0</v>
      </c>
      <c r="C2114" s="35">
        <v>9.0</v>
      </c>
      <c r="D2114" s="35" t="s">
        <v>3024</v>
      </c>
      <c r="E2114" s="69" t="s">
        <v>3025</v>
      </c>
      <c r="F2114" s="8"/>
    </row>
    <row r="2115" ht="21.0" customHeight="1">
      <c r="A2115" s="68">
        <v>10.0</v>
      </c>
      <c r="B2115" s="68">
        <v>1031.0</v>
      </c>
      <c r="C2115" s="68">
        <v>10.0</v>
      </c>
      <c r="D2115" s="68" t="s">
        <v>3026</v>
      </c>
      <c r="E2115" s="70" t="s">
        <v>3007</v>
      </c>
      <c r="F2115" s="8"/>
    </row>
    <row r="2116" ht="21.0" customHeight="1">
      <c r="A2116" s="35">
        <v>1.0</v>
      </c>
      <c r="B2116" s="35">
        <v>169.0</v>
      </c>
      <c r="C2116" s="35">
        <v>1.0</v>
      </c>
      <c r="D2116" s="35" t="s">
        <v>3027</v>
      </c>
      <c r="E2116" s="69" t="s">
        <v>3028</v>
      </c>
      <c r="F2116" s="8"/>
    </row>
    <row r="2117" ht="21.0" customHeight="1">
      <c r="A2117" s="68">
        <v>1.0</v>
      </c>
      <c r="B2117" s="68">
        <v>169.0</v>
      </c>
      <c r="C2117" s="68">
        <v>2.0</v>
      </c>
      <c r="D2117" s="68" t="s">
        <v>3029</v>
      </c>
      <c r="E2117" s="70" t="s">
        <v>3030</v>
      </c>
      <c r="F2117" s="8"/>
    </row>
    <row r="2118" ht="21.0" customHeight="1">
      <c r="A2118" s="35">
        <v>1.0</v>
      </c>
      <c r="B2118" s="35">
        <v>169.0</v>
      </c>
      <c r="C2118" s="35">
        <v>3.0</v>
      </c>
      <c r="D2118" s="35" t="s">
        <v>3031</v>
      </c>
      <c r="E2118" s="69" t="s">
        <v>3032</v>
      </c>
      <c r="F2118" s="8"/>
    </row>
    <row r="2119" ht="21.0" customHeight="1">
      <c r="A2119" s="68">
        <v>1.0</v>
      </c>
      <c r="B2119" s="68">
        <v>169.0</v>
      </c>
      <c r="C2119" s="68">
        <v>4.0</v>
      </c>
      <c r="D2119" s="68" t="s">
        <v>3033</v>
      </c>
      <c r="E2119" s="70" t="s">
        <v>3034</v>
      </c>
      <c r="F2119" s="8"/>
    </row>
    <row r="2120" ht="21.0" customHeight="1">
      <c r="A2120" s="35">
        <v>1.0</v>
      </c>
      <c r="B2120" s="35">
        <v>169.0</v>
      </c>
      <c r="C2120" s="35">
        <v>5.0</v>
      </c>
      <c r="D2120" s="35" t="s">
        <v>3035</v>
      </c>
      <c r="E2120" s="69" t="s">
        <v>3036</v>
      </c>
      <c r="F2120" s="8"/>
    </row>
    <row r="2121" ht="21.0" customHeight="1">
      <c r="A2121" s="68">
        <v>1.0</v>
      </c>
      <c r="B2121" s="68">
        <v>169.0</v>
      </c>
      <c r="C2121" s="68">
        <v>6.0</v>
      </c>
      <c r="D2121" s="68" t="s">
        <v>3037</v>
      </c>
      <c r="E2121" s="70" t="s">
        <v>3038</v>
      </c>
      <c r="F2121" s="8"/>
    </row>
    <row r="2122" ht="21.0" customHeight="1">
      <c r="A2122" s="35">
        <v>1.0</v>
      </c>
      <c r="B2122" s="35">
        <v>169.0</v>
      </c>
      <c r="C2122" s="35">
        <v>7.0</v>
      </c>
      <c r="D2122" s="35" t="s">
        <v>3039</v>
      </c>
      <c r="E2122" s="69" t="s">
        <v>3040</v>
      </c>
      <c r="F2122" s="8"/>
    </row>
    <row r="2123" ht="21.0" customHeight="1">
      <c r="A2123" s="68">
        <v>1.0</v>
      </c>
      <c r="B2123" s="68">
        <v>169.0</v>
      </c>
      <c r="C2123" s="68">
        <v>8.0</v>
      </c>
      <c r="D2123" s="71" t="s">
        <v>3041</v>
      </c>
      <c r="E2123" s="70" t="s">
        <v>3042</v>
      </c>
      <c r="F2123" s="8"/>
    </row>
    <row r="2124" ht="21.0" customHeight="1">
      <c r="A2124" s="35">
        <v>1.0</v>
      </c>
      <c r="B2124" s="35">
        <v>169.0</v>
      </c>
      <c r="C2124" s="35">
        <v>9.0</v>
      </c>
      <c r="D2124" s="35" t="s">
        <v>3043</v>
      </c>
      <c r="E2124" s="69" t="s">
        <v>3044</v>
      </c>
      <c r="F2124" s="8"/>
    </row>
    <row r="2125" ht="21.0" customHeight="1">
      <c r="A2125" s="68">
        <v>1.0</v>
      </c>
      <c r="B2125" s="68">
        <v>169.0</v>
      </c>
      <c r="C2125" s="68">
        <v>10.0</v>
      </c>
      <c r="D2125" s="68" t="s">
        <v>3045</v>
      </c>
      <c r="E2125" s="70" t="s">
        <v>3046</v>
      </c>
      <c r="F2125" s="8"/>
    </row>
    <row r="2126" ht="21.0" customHeight="1">
      <c r="A2126" s="35">
        <v>1.0</v>
      </c>
      <c r="B2126" s="35">
        <v>169.0</v>
      </c>
      <c r="C2126" s="35">
        <v>11.0</v>
      </c>
      <c r="D2126" s="35" t="s">
        <v>3047</v>
      </c>
      <c r="E2126" s="69" t="s">
        <v>3048</v>
      </c>
      <c r="F2126" s="8"/>
    </row>
    <row r="2127" ht="21.0" customHeight="1">
      <c r="A2127" s="68">
        <v>1.0</v>
      </c>
      <c r="B2127" s="68">
        <v>169.0</v>
      </c>
      <c r="C2127" s="68">
        <v>12.0</v>
      </c>
      <c r="D2127" s="68" t="s">
        <v>3049</v>
      </c>
      <c r="E2127" s="70" t="s">
        <v>3050</v>
      </c>
      <c r="F2127" s="8"/>
    </row>
    <row r="2128" ht="21.0" customHeight="1">
      <c r="A2128" s="35">
        <v>1.0</v>
      </c>
      <c r="B2128" s="35">
        <v>169.0</v>
      </c>
      <c r="C2128" s="35">
        <v>13.0</v>
      </c>
      <c r="D2128" s="35" t="s">
        <v>3051</v>
      </c>
      <c r="E2128" s="69" t="s">
        <v>3052</v>
      </c>
      <c r="F2128" s="8"/>
    </row>
    <row r="2129" ht="21.0" customHeight="1">
      <c r="A2129" s="68">
        <v>1.0</v>
      </c>
      <c r="B2129" s="68">
        <v>170.0</v>
      </c>
      <c r="C2129" s="68">
        <v>1.0</v>
      </c>
      <c r="D2129" s="68" t="s">
        <v>3053</v>
      </c>
      <c r="E2129" s="70" t="s">
        <v>3054</v>
      </c>
      <c r="F2129" s="8"/>
    </row>
    <row r="2130" ht="21.0" customHeight="1">
      <c r="A2130" s="35">
        <v>1.0</v>
      </c>
      <c r="B2130" s="35">
        <v>170.0</v>
      </c>
      <c r="C2130" s="35">
        <v>2.0</v>
      </c>
      <c r="D2130" s="35" t="s">
        <v>3055</v>
      </c>
      <c r="E2130" s="69" t="s">
        <v>3056</v>
      </c>
      <c r="F2130" s="8"/>
    </row>
    <row r="2131" ht="21.0" customHeight="1">
      <c r="A2131" s="68">
        <v>1.0</v>
      </c>
      <c r="B2131" s="68">
        <v>170.0</v>
      </c>
      <c r="C2131" s="68">
        <v>3.0</v>
      </c>
      <c r="D2131" s="68" t="s">
        <v>3057</v>
      </c>
      <c r="E2131" s="70" t="s">
        <v>3058</v>
      </c>
      <c r="F2131" s="8"/>
    </row>
    <row r="2132" ht="21.0" customHeight="1">
      <c r="A2132" s="35">
        <v>1.0</v>
      </c>
      <c r="B2132" s="35">
        <v>170.0</v>
      </c>
      <c r="C2132" s="35">
        <v>4.0</v>
      </c>
      <c r="D2132" s="35" t="s">
        <v>3059</v>
      </c>
      <c r="E2132" s="69" t="s">
        <v>3060</v>
      </c>
      <c r="F2132" s="8"/>
    </row>
    <row r="2133" ht="21.0" customHeight="1">
      <c r="A2133" s="68">
        <v>1.0</v>
      </c>
      <c r="B2133" s="68">
        <v>170.0</v>
      </c>
      <c r="C2133" s="68">
        <v>5.0</v>
      </c>
      <c r="D2133" s="71" t="s">
        <v>3061</v>
      </c>
      <c r="E2133" s="70" t="s">
        <v>3062</v>
      </c>
      <c r="F2133" s="8"/>
    </row>
    <row r="2134" ht="21.0" customHeight="1">
      <c r="A2134" s="35">
        <v>1.0</v>
      </c>
      <c r="B2134" s="35">
        <v>170.0</v>
      </c>
      <c r="C2134" s="35">
        <v>6.0</v>
      </c>
      <c r="D2134" s="35" t="s">
        <v>3063</v>
      </c>
      <c r="E2134" s="69" t="s">
        <v>3064</v>
      </c>
      <c r="F2134" s="8"/>
    </row>
    <row r="2135" ht="21.0" customHeight="1">
      <c r="A2135" s="68">
        <v>1.0</v>
      </c>
      <c r="B2135" s="68">
        <v>170.0</v>
      </c>
      <c r="C2135" s="68">
        <v>7.0</v>
      </c>
      <c r="D2135" s="68" t="s">
        <v>3065</v>
      </c>
      <c r="E2135" s="70" t="s">
        <v>3066</v>
      </c>
      <c r="F2135" s="8"/>
    </row>
    <row r="2136" ht="21.0" customHeight="1">
      <c r="A2136" s="35">
        <v>1.0</v>
      </c>
      <c r="B2136" s="35">
        <v>170.0</v>
      </c>
      <c r="C2136" s="35">
        <v>8.0</v>
      </c>
      <c r="D2136" s="35" t="s">
        <v>3067</v>
      </c>
      <c r="E2136" s="69" t="s">
        <v>3068</v>
      </c>
      <c r="F2136" s="8"/>
    </row>
    <row r="2137" ht="21.0" customHeight="1">
      <c r="A2137" s="68">
        <v>1.0</v>
      </c>
      <c r="B2137" s="68">
        <v>170.0</v>
      </c>
      <c r="C2137" s="68">
        <v>9.0</v>
      </c>
      <c r="D2137" s="68" t="s">
        <v>3069</v>
      </c>
      <c r="E2137" s="70" t="s">
        <v>3070</v>
      </c>
      <c r="F2137" s="8"/>
    </row>
    <row r="2138" ht="21.0" customHeight="1">
      <c r="A2138" s="35">
        <v>1.0</v>
      </c>
      <c r="B2138" s="35">
        <v>170.0</v>
      </c>
      <c r="C2138" s="35">
        <v>10.0</v>
      </c>
      <c r="D2138" s="35" t="s">
        <v>3071</v>
      </c>
      <c r="E2138" s="69" t="s">
        <v>3072</v>
      </c>
      <c r="F2138" s="8"/>
    </row>
    <row r="2139" ht="21.0" customHeight="1">
      <c r="A2139" s="68">
        <v>1.0</v>
      </c>
      <c r="B2139" s="68">
        <v>170.0</v>
      </c>
      <c r="C2139" s="68">
        <v>11.0</v>
      </c>
      <c r="D2139" s="68" t="s">
        <v>3073</v>
      </c>
      <c r="E2139" s="70" t="s">
        <v>3074</v>
      </c>
      <c r="F2139" s="8"/>
    </row>
    <row r="2140" ht="21.0" customHeight="1">
      <c r="A2140" s="35">
        <v>1.0</v>
      </c>
      <c r="B2140" s="35">
        <v>170.0</v>
      </c>
      <c r="C2140" s="35">
        <v>12.0</v>
      </c>
      <c r="D2140" s="35" t="s">
        <v>3075</v>
      </c>
      <c r="E2140" s="69" t="s">
        <v>3076</v>
      </c>
      <c r="F2140" s="8"/>
    </row>
    <row r="2141" ht="21.0" customHeight="1">
      <c r="A2141" s="68">
        <v>1.0</v>
      </c>
      <c r="B2141" s="68">
        <v>170.0</v>
      </c>
      <c r="C2141" s="68">
        <v>13.0</v>
      </c>
      <c r="D2141" s="68" t="s">
        <v>3077</v>
      </c>
      <c r="E2141" s="70" t="s">
        <v>3078</v>
      </c>
      <c r="F2141" s="8"/>
    </row>
    <row r="2142" ht="21.0" customHeight="1">
      <c r="A2142" s="35">
        <v>1.0</v>
      </c>
      <c r="B2142" s="35">
        <v>171.0</v>
      </c>
      <c r="C2142" s="35">
        <v>1.0</v>
      </c>
      <c r="D2142" s="35" t="s">
        <v>3079</v>
      </c>
      <c r="E2142" s="69" t="s">
        <v>3080</v>
      </c>
      <c r="F2142" s="8"/>
    </row>
    <row r="2143" ht="21.0" customHeight="1">
      <c r="A2143" s="68">
        <v>1.0</v>
      </c>
      <c r="B2143" s="68">
        <v>171.0</v>
      </c>
      <c r="C2143" s="68">
        <v>2.0</v>
      </c>
      <c r="D2143" s="68" t="s">
        <v>3081</v>
      </c>
      <c r="E2143" s="70" t="s">
        <v>3082</v>
      </c>
      <c r="F2143" s="8"/>
    </row>
    <row r="2144" ht="21.0" customHeight="1">
      <c r="A2144" s="35">
        <v>1.0</v>
      </c>
      <c r="B2144" s="35">
        <v>171.0</v>
      </c>
      <c r="C2144" s="35">
        <v>3.0</v>
      </c>
      <c r="D2144" s="35" t="s">
        <v>3083</v>
      </c>
      <c r="E2144" s="69" t="s">
        <v>3084</v>
      </c>
      <c r="F2144" s="8"/>
    </row>
    <row r="2145" ht="21.0" customHeight="1">
      <c r="A2145" s="68">
        <v>1.0</v>
      </c>
      <c r="B2145" s="68">
        <v>171.0</v>
      </c>
      <c r="C2145" s="68">
        <v>4.0</v>
      </c>
      <c r="D2145" s="68" t="s">
        <v>3085</v>
      </c>
      <c r="E2145" s="70" t="s">
        <v>3086</v>
      </c>
      <c r="F2145" s="8"/>
    </row>
    <row r="2146" ht="21.0" customHeight="1">
      <c r="A2146" s="35">
        <v>1.0</v>
      </c>
      <c r="B2146" s="35">
        <v>171.0</v>
      </c>
      <c r="C2146" s="35">
        <v>5.0</v>
      </c>
      <c r="D2146" s="35" t="s">
        <v>3087</v>
      </c>
      <c r="E2146" s="69" t="s">
        <v>3088</v>
      </c>
      <c r="F2146" s="8"/>
    </row>
    <row r="2147" ht="21.0" customHeight="1">
      <c r="A2147" s="68">
        <v>1.0</v>
      </c>
      <c r="B2147" s="68">
        <v>171.0</v>
      </c>
      <c r="C2147" s="68">
        <v>6.0</v>
      </c>
      <c r="D2147" s="68" t="s">
        <v>3089</v>
      </c>
      <c r="E2147" s="70" t="s">
        <v>3090</v>
      </c>
      <c r="F2147" s="8"/>
    </row>
    <row r="2148" ht="21.0" customHeight="1">
      <c r="A2148" s="35">
        <v>1.0</v>
      </c>
      <c r="B2148" s="35">
        <v>171.0</v>
      </c>
      <c r="C2148" s="35">
        <v>7.0</v>
      </c>
      <c r="D2148" s="35" t="s">
        <v>3091</v>
      </c>
      <c r="E2148" s="69" t="s">
        <v>3092</v>
      </c>
      <c r="F2148" s="8"/>
    </row>
    <row r="2149" ht="21.0" customHeight="1">
      <c r="A2149" s="68">
        <v>1.0</v>
      </c>
      <c r="B2149" s="68">
        <v>171.0</v>
      </c>
      <c r="C2149" s="68">
        <v>8.0</v>
      </c>
      <c r="D2149" s="68" t="s">
        <v>3093</v>
      </c>
      <c r="E2149" s="70" t="s">
        <v>3094</v>
      </c>
      <c r="F2149" s="8"/>
    </row>
    <row r="2150" ht="21.0" customHeight="1">
      <c r="A2150" s="35">
        <v>1.0</v>
      </c>
      <c r="B2150" s="35">
        <v>171.0</v>
      </c>
      <c r="C2150" s="35">
        <v>9.0</v>
      </c>
      <c r="D2150" s="35" t="s">
        <v>3095</v>
      </c>
      <c r="E2150" s="69" t="s">
        <v>3096</v>
      </c>
      <c r="F2150" s="8"/>
    </row>
    <row r="2151" ht="21.0" customHeight="1">
      <c r="A2151" s="68">
        <v>1.0</v>
      </c>
      <c r="B2151" s="68">
        <v>171.0</v>
      </c>
      <c r="C2151" s="68">
        <v>10.0</v>
      </c>
      <c r="D2151" s="68" t="s">
        <v>3097</v>
      </c>
      <c r="E2151" s="70" t="s">
        <v>3098</v>
      </c>
      <c r="F2151" s="8"/>
    </row>
    <row r="2152" ht="21.0" customHeight="1">
      <c r="A2152" s="35">
        <v>1.0</v>
      </c>
      <c r="B2152" s="35">
        <v>171.0</v>
      </c>
      <c r="C2152" s="35">
        <v>11.0</v>
      </c>
      <c r="D2152" s="35" t="s">
        <v>3099</v>
      </c>
      <c r="E2152" s="69" t="s">
        <v>3100</v>
      </c>
      <c r="F2152" s="8"/>
    </row>
    <row r="2153" ht="21.0" customHeight="1">
      <c r="A2153" s="68">
        <v>1.0</v>
      </c>
      <c r="B2153" s="68">
        <v>171.0</v>
      </c>
      <c r="C2153" s="68">
        <v>12.0</v>
      </c>
      <c r="D2153" s="68" t="s">
        <v>3101</v>
      </c>
      <c r="E2153" s="70" t="s">
        <v>3102</v>
      </c>
      <c r="F2153" s="8"/>
    </row>
    <row r="2154" ht="21.0" customHeight="1">
      <c r="A2154" s="35">
        <v>1.0</v>
      </c>
      <c r="B2154" s="35">
        <v>171.0</v>
      </c>
      <c r="C2154" s="35">
        <v>13.0</v>
      </c>
      <c r="D2154" s="35" t="s">
        <v>3103</v>
      </c>
      <c r="E2154" s="69" t="s">
        <v>3104</v>
      </c>
      <c r="F2154" s="8"/>
    </row>
    <row r="2155" ht="21.0" customHeight="1">
      <c r="A2155" s="68">
        <v>11.0</v>
      </c>
      <c r="B2155" s="68">
        <v>1032.0</v>
      </c>
      <c r="C2155" s="68">
        <v>1.0</v>
      </c>
      <c r="D2155" s="68" t="s">
        <v>3105</v>
      </c>
      <c r="E2155" s="70" t="s">
        <v>3106</v>
      </c>
      <c r="F2155" s="8"/>
    </row>
    <row r="2156" ht="21.0" customHeight="1">
      <c r="A2156" s="35">
        <v>11.0</v>
      </c>
      <c r="B2156" s="35">
        <v>1032.0</v>
      </c>
      <c r="C2156" s="35">
        <v>2.0</v>
      </c>
      <c r="D2156" s="35" t="s">
        <v>3107</v>
      </c>
      <c r="E2156" s="69" t="s">
        <v>3108</v>
      </c>
      <c r="F2156" s="8"/>
    </row>
    <row r="2157" ht="21.0" customHeight="1">
      <c r="A2157" s="68">
        <v>11.0</v>
      </c>
      <c r="B2157" s="68">
        <v>1032.0</v>
      </c>
      <c r="C2157" s="68">
        <v>3.0</v>
      </c>
      <c r="D2157" s="68" t="s">
        <v>3109</v>
      </c>
      <c r="E2157" s="70" t="s">
        <v>3110</v>
      </c>
      <c r="F2157" s="8"/>
    </row>
    <row r="2158" ht="21.0" customHeight="1">
      <c r="A2158" s="35">
        <v>11.0</v>
      </c>
      <c r="B2158" s="35">
        <v>1032.0</v>
      </c>
      <c r="C2158" s="35">
        <v>4.0</v>
      </c>
      <c r="D2158" s="35" t="s">
        <v>3111</v>
      </c>
      <c r="E2158" s="69" t="s">
        <v>3112</v>
      </c>
      <c r="F2158" s="8"/>
    </row>
    <row r="2159" ht="21.0" customHeight="1">
      <c r="A2159" s="68">
        <v>10.0</v>
      </c>
      <c r="B2159" s="68">
        <v>1032.0</v>
      </c>
      <c r="C2159" s="68">
        <v>5.0</v>
      </c>
      <c r="D2159" s="68" t="s">
        <v>3113</v>
      </c>
      <c r="E2159" s="70" t="s">
        <v>3114</v>
      </c>
      <c r="F2159" s="8"/>
    </row>
    <row r="2160" ht="21.0" customHeight="1">
      <c r="A2160" s="35">
        <v>10.0</v>
      </c>
      <c r="B2160" s="35">
        <v>1032.0</v>
      </c>
      <c r="C2160" s="35">
        <v>6.0</v>
      </c>
      <c r="D2160" s="35" t="s">
        <v>3115</v>
      </c>
      <c r="E2160" s="69" t="s">
        <v>3116</v>
      </c>
      <c r="F2160" s="8"/>
    </row>
    <row r="2161" ht="21.0" customHeight="1">
      <c r="A2161" s="68">
        <v>10.0</v>
      </c>
      <c r="B2161" s="68">
        <v>1032.0</v>
      </c>
      <c r="C2161" s="68">
        <v>7.0</v>
      </c>
      <c r="D2161" s="68" t="s">
        <v>3117</v>
      </c>
      <c r="E2161" s="70" t="s">
        <v>3118</v>
      </c>
      <c r="F2161" s="8"/>
    </row>
    <row r="2162" ht="21.0" customHeight="1">
      <c r="A2162" s="35">
        <v>10.0</v>
      </c>
      <c r="B2162" s="35">
        <v>1032.0</v>
      </c>
      <c r="C2162" s="35">
        <v>8.0</v>
      </c>
      <c r="D2162" s="35" t="s">
        <v>3119</v>
      </c>
      <c r="E2162" s="69" t="s">
        <v>3120</v>
      </c>
      <c r="F2162" s="8"/>
    </row>
    <row r="2163" ht="21.0" customHeight="1">
      <c r="A2163" s="68">
        <v>10.0</v>
      </c>
      <c r="B2163" s="68">
        <v>1032.0</v>
      </c>
      <c r="C2163" s="68">
        <v>9.0</v>
      </c>
      <c r="D2163" s="68" t="s">
        <v>3121</v>
      </c>
      <c r="E2163" s="70" t="s">
        <v>3122</v>
      </c>
      <c r="F2163" s="8"/>
    </row>
    <row r="2164" ht="21.0" customHeight="1">
      <c r="A2164" s="35">
        <v>10.0</v>
      </c>
      <c r="B2164" s="35">
        <v>1032.0</v>
      </c>
      <c r="C2164" s="35">
        <v>10.0</v>
      </c>
      <c r="D2164" s="35" t="s">
        <v>3123</v>
      </c>
      <c r="E2164" s="69" t="s">
        <v>3124</v>
      </c>
      <c r="F2164" s="8"/>
    </row>
    <row r="2165" ht="21.0" customHeight="1">
      <c r="A2165" s="68">
        <v>11.0</v>
      </c>
      <c r="B2165" s="68">
        <v>1033.0</v>
      </c>
      <c r="C2165" s="68">
        <v>1.0</v>
      </c>
      <c r="D2165" s="68" t="s">
        <v>3125</v>
      </c>
      <c r="E2165" s="70" t="s">
        <v>3126</v>
      </c>
      <c r="F2165" s="8"/>
    </row>
    <row r="2166" ht="21.0" customHeight="1">
      <c r="A2166" s="35">
        <v>11.0</v>
      </c>
      <c r="B2166" s="35">
        <v>1033.0</v>
      </c>
      <c r="C2166" s="35">
        <v>2.0</v>
      </c>
      <c r="D2166" s="35" t="s">
        <v>3127</v>
      </c>
      <c r="E2166" s="69" t="s">
        <v>3128</v>
      </c>
      <c r="F2166" s="8"/>
    </row>
    <row r="2167" ht="21.0" customHeight="1">
      <c r="A2167" s="68">
        <v>11.0</v>
      </c>
      <c r="B2167" s="68">
        <v>1033.0</v>
      </c>
      <c r="C2167" s="68">
        <v>3.0</v>
      </c>
      <c r="D2167" s="68" t="s">
        <v>3129</v>
      </c>
      <c r="E2167" s="70" t="s">
        <v>3130</v>
      </c>
      <c r="F2167" s="8"/>
    </row>
    <row r="2168" ht="21.0" customHeight="1">
      <c r="A2168" s="35">
        <v>11.0</v>
      </c>
      <c r="B2168" s="35">
        <v>1033.0</v>
      </c>
      <c r="C2168" s="35">
        <v>4.0</v>
      </c>
      <c r="D2168" s="35" t="s">
        <v>3131</v>
      </c>
      <c r="E2168" s="69" t="s">
        <v>3132</v>
      </c>
      <c r="F2168" s="8"/>
    </row>
    <row r="2169" ht="21.0" customHeight="1">
      <c r="A2169" s="68">
        <v>10.0</v>
      </c>
      <c r="B2169" s="68">
        <v>1033.0</v>
      </c>
      <c r="C2169" s="68">
        <v>5.0</v>
      </c>
      <c r="D2169" s="68" t="s">
        <v>3133</v>
      </c>
      <c r="E2169" s="70" t="s">
        <v>3134</v>
      </c>
      <c r="F2169" s="8"/>
    </row>
    <row r="2170" ht="21.0" customHeight="1">
      <c r="A2170" s="35">
        <v>10.0</v>
      </c>
      <c r="B2170" s="35">
        <v>1033.0</v>
      </c>
      <c r="C2170" s="35">
        <v>6.0</v>
      </c>
      <c r="D2170" s="35" t="s">
        <v>3135</v>
      </c>
      <c r="E2170" s="69" t="s">
        <v>3136</v>
      </c>
      <c r="F2170" s="8"/>
    </row>
    <row r="2171" ht="21.0" customHeight="1">
      <c r="A2171" s="68">
        <v>10.0</v>
      </c>
      <c r="B2171" s="68">
        <v>1033.0</v>
      </c>
      <c r="C2171" s="68">
        <v>7.0</v>
      </c>
      <c r="D2171" s="68" t="s">
        <v>3137</v>
      </c>
      <c r="E2171" s="70" t="s">
        <v>3138</v>
      </c>
      <c r="F2171" s="8"/>
    </row>
    <row r="2172" ht="21.0" customHeight="1">
      <c r="A2172" s="35">
        <v>10.0</v>
      </c>
      <c r="B2172" s="35">
        <v>1033.0</v>
      </c>
      <c r="C2172" s="35">
        <v>8.0</v>
      </c>
      <c r="D2172" s="35" t="s">
        <v>3139</v>
      </c>
      <c r="E2172" s="69" t="s">
        <v>3140</v>
      </c>
      <c r="F2172" s="8"/>
    </row>
    <row r="2173" ht="21.0" customHeight="1">
      <c r="A2173" s="68">
        <v>10.0</v>
      </c>
      <c r="B2173" s="68">
        <v>1033.0</v>
      </c>
      <c r="C2173" s="68">
        <v>9.0</v>
      </c>
      <c r="D2173" s="68" t="s">
        <v>3141</v>
      </c>
      <c r="E2173" s="70" t="s">
        <v>3142</v>
      </c>
      <c r="F2173" s="8"/>
    </row>
    <row r="2174" ht="21.0" customHeight="1">
      <c r="A2174" s="35">
        <v>10.0</v>
      </c>
      <c r="B2174" s="35">
        <v>1033.0</v>
      </c>
      <c r="C2174" s="35">
        <v>10.0</v>
      </c>
      <c r="D2174" s="35" t="s">
        <v>3143</v>
      </c>
      <c r="E2174" s="69" t="s">
        <v>3124</v>
      </c>
      <c r="F2174" s="8"/>
    </row>
    <row r="2175" ht="21.0" customHeight="1">
      <c r="A2175" s="6">
        <v>11.0</v>
      </c>
      <c r="B2175" s="6">
        <v>1034.0</v>
      </c>
      <c r="C2175" s="6">
        <v>1.0</v>
      </c>
      <c r="D2175" s="23" t="s">
        <v>3144</v>
      </c>
      <c r="E2175" s="9" t="s">
        <v>3145</v>
      </c>
      <c r="F2175" s="8"/>
    </row>
    <row r="2176" ht="21.0" customHeight="1">
      <c r="A2176" s="6">
        <v>11.0</v>
      </c>
      <c r="B2176" s="6">
        <v>1034.0</v>
      </c>
      <c r="C2176" s="6">
        <v>2.0</v>
      </c>
      <c r="D2176" s="23" t="s">
        <v>3146</v>
      </c>
      <c r="E2176" s="9" t="s">
        <v>3147</v>
      </c>
      <c r="F2176" s="8"/>
    </row>
    <row r="2177" ht="21.0" customHeight="1">
      <c r="A2177" s="6">
        <v>11.0</v>
      </c>
      <c r="B2177" s="6">
        <v>1034.0</v>
      </c>
      <c r="C2177" s="6">
        <v>3.0</v>
      </c>
      <c r="D2177" s="23" t="s">
        <v>3148</v>
      </c>
      <c r="E2177" s="9" t="s">
        <v>3149</v>
      </c>
      <c r="F2177" s="8"/>
    </row>
    <row r="2178" ht="21.0" customHeight="1">
      <c r="A2178" s="6">
        <v>11.0</v>
      </c>
      <c r="B2178" s="6">
        <v>1034.0</v>
      </c>
      <c r="C2178" s="6">
        <v>4.0</v>
      </c>
      <c r="D2178" s="23" t="s">
        <v>3150</v>
      </c>
      <c r="E2178" s="9" t="s">
        <v>3151</v>
      </c>
      <c r="F2178" s="8"/>
    </row>
    <row r="2179" ht="21.0" customHeight="1">
      <c r="A2179" s="6">
        <v>10.0</v>
      </c>
      <c r="B2179" s="6">
        <v>1034.0</v>
      </c>
      <c r="C2179" s="6">
        <v>5.0</v>
      </c>
      <c r="D2179" s="23" t="s">
        <v>3152</v>
      </c>
      <c r="E2179" s="9" t="s">
        <v>3153</v>
      </c>
      <c r="F2179" s="8"/>
    </row>
    <row r="2180" ht="21.0" customHeight="1">
      <c r="A2180" s="6">
        <v>10.0</v>
      </c>
      <c r="B2180" s="6">
        <v>1034.0</v>
      </c>
      <c r="C2180" s="6">
        <v>6.0</v>
      </c>
      <c r="D2180" s="23" t="s">
        <v>3154</v>
      </c>
      <c r="E2180" s="9" t="s">
        <v>3155</v>
      </c>
      <c r="F2180" s="8"/>
    </row>
    <row r="2181" ht="21.0" customHeight="1">
      <c r="A2181" s="6">
        <v>10.0</v>
      </c>
      <c r="B2181" s="6">
        <v>1034.0</v>
      </c>
      <c r="C2181" s="6">
        <v>7.0</v>
      </c>
      <c r="D2181" s="23" t="s">
        <v>3156</v>
      </c>
      <c r="E2181" s="9" t="s">
        <v>3157</v>
      </c>
      <c r="F2181" s="8"/>
    </row>
    <row r="2182" ht="21.0" customHeight="1">
      <c r="A2182" s="6">
        <v>10.0</v>
      </c>
      <c r="B2182" s="6">
        <v>1034.0</v>
      </c>
      <c r="C2182" s="6">
        <v>8.0</v>
      </c>
      <c r="D2182" s="23" t="s">
        <v>3158</v>
      </c>
      <c r="E2182" s="9" t="s">
        <v>3159</v>
      </c>
      <c r="F2182" s="8"/>
    </row>
    <row r="2183" ht="21.0" customHeight="1">
      <c r="A2183" s="6">
        <v>10.0</v>
      </c>
      <c r="B2183" s="6">
        <v>1034.0</v>
      </c>
      <c r="C2183" s="6">
        <v>9.0</v>
      </c>
      <c r="D2183" s="23" t="s">
        <v>3160</v>
      </c>
      <c r="E2183" s="9" t="s">
        <v>3161</v>
      </c>
      <c r="F2183" s="8"/>
    </row>
    <row r="2184" ht="21.0" customHeight="1">
      <c r="A2184" s="6">
        <v>10.0</v>
      </c>
      <c r="B2184" s="6">
        <v>1034.0</v>
      </c>
      <c r="C2184" s="6">
        <v>10.0</v>
      </c>
      <c r="D2184" s="23" t="s">
        <v>3162</v>
      </c>
      <c r="E2184" s="9" t="s">
        <v>3163</v>
      </c>
      <c r="F2184" s="8"/>
    </row>
    <row r="2185" ht="21.0" customHeight="1">
      <c r="A2185" s="6">
        <v>11.0</v>
      </c>
      <c r="B2185" s="6">
        <v>1035.0</v>
      </c>
      <c r="C2185" s="6">
        <v>1.0</v>
      </c>
      <c r="D2185" s="23" t="s">
        <v>3164</v>
      </c>
      <c r="E2185" s="9" t="s">
        <v>3165</v>
      </c>
      <c r="F2185" s="8"/>
    </row>
    <row r="2186" ht="21.0" customHeight="1">
      <c r="A2186" s="6">
        <v>11.0</v>
      </c>
      <c r="B2186" s="6">
        <v>1035.0</v>
      </c>
      <c r="C2186" s="6">
        <v>2.0</v>
      </c>
      <c r="D2186" s="23" t="s">
        <v>3166</v>
      </c>
      <c r="E2186" s="9" t="s">
        <v>3167</v>
      </c>
      <c r="F2186" s="8"/>
    </row>
    <row r="2187" ht="21.0" customHeight="1">
      <c r="A2187" s="6">
        <v>11.0</v>
      </c>
      <c r="B2187" s="6">
        <v>1035.0</v>
      </c>
      <c r="C2187" s="6">
        <v>3.0</v>
      </c>
      <c r="D2187" s="23" t="s">
        <v>3168</v>
      </c>
      <c r="E2187" s="9" t="s">
        <v>3169</v>
      </c>
      <c r="F2187" s="8"/>
    </row>
    <row r="2188" ht="21.0" customHeight="1">
      <c r="A2188" s="6">
        <v>11.0</v>
      </c>
      <c r="B2188" s="6">
        <v>1035.0</v>
      </c>
      <c r="C2188" s="6">
        <v>4.0</v>
      </c>
      <c r="D2188" s="23" t="s">
        <v>3170</v>
      </c>
      <c r="E2188" s="9" t="s">
        <v>3171</v>
      </c>
      <c r="F2188" s="8"/>
    </row>
    <row r="2189" ht="21.0" customHeight="1">
      <c r="A2189" s="6">
        <v>10.0</v>
      </c>
      <c r="B2189" s="6">
        <v>1035.0</v>
      </c>
      <c r="C2189" s="6">
        <v>5.0</v>
      </c>
      <c r="D2189" s="23" t="s">
        <v>3172</v>
      </c>
      <c r="E2189" s="9" t="s">
        <v>3173</v>
      </c>
      <c r="F2189" s="8"/>
    </row>
    <row r="2190" ht="21.0" customHeight="1">
      <c r="A2190" s="6">
        <v>10.0</v>
      </c>
      <c r="B2190" s="6">
        <v>1035.0</v>
      </c>
      <c r="C2190" s="6">
        <v>6.0</v>
      </c>
      <c r="D2190" s="23" t="s">
        <v>3174</v>
      </c>
      <c r="E2190" s="9" t="s">
        <v>3175</v>
      </c>
      <c r="F2190" s="8"/>
    </row>
    <row r="2191" ht="21.0" customHeight="1">
      <c r="A2191" s="6">
        <v>10.0</v>
      </c>
      <c r="B2191" s="6">
        <v>1035.0</v>
      </c>
      <c r="C2191" s="6">
        <v>7.0</v>
      </c>
      <c r="D2191" s="23" t="s">
        <v>3176</v>
      </c>
      <c r="E2191" s="9" t="s">
        <v>3177</v>
      </c>
      <c r="F2191" s="8"/>
    </row>
    <row r="2192" ht="21.0" customHeight="1">
      <c r="A2192" s="6">
        <v>10.0</v>
      </c>
      <c r="B2192" s="6">
        <v>1035.0</v>
      </c>
      <c r="C2192" s="6">
        <v>8.0</v>
      </c>
      <c r="D2192" s="23" t="s">
        <v>3178</v>
      </c>
      <c r="E2192" s="9" t="s">
        <v>3179</v>
      </c>
      <c r="F2192" s="8"/>
    </row>
    <row r="2193" ht="21.0" customHeight="1">
      <c r="A2193" s="6">
        <v>10.0</v>
      </c>
      <c r="B2193" s="6">
        <v>1035.0</v>
      </c>
      <c r="C2193" s="6">
        <v>9.0</v>
      </c>
      <c r="D2193" s="23" t="s">
        <v>3180</v>
      </c>
      <c r="E2193" s="9" t="s">
        <v>3181</v>
      </c>
      <c r="F2193" s="8"/>
    </row>
    <row r="2194" ht="21.0" customHeight="1">
      <c r="A2194" s="6">
        <v>10.0</v>
      </c>
      <c r="B2194" s="6">
        <v>1035.0</v>
      </c>
      <c r="C2194" s="6">
        <v>10.0</v>
      </c>
      <c r="D2194" s="23" t="s">
        <v>3182</v>
      </c>
      <c r="E2194" s="9" t="s">
        <v>3183</v>
      </c>
      <c r="F2194" s="8"/>
    </row>
    <row r="2195" ht="21.0" customHeight="1">
      <c r="A2195" s="6">
        <v>1.0</v>
      </c>
      <c r="B2195" s="6">
        <v>172.0</v>
      </c>
      <c r="C2195" s="6">
        <v>1.0</v>
      </c>
      <c r="D2195" s="23" t="s">
        <v>3184</v>
      </c>
      <c r="E2195" s="9" t="s">
        <v>3185</v>
      </c>
      <c r="F2195" s="8"/>
    </row>
    <row r="2196" ht="21.0" customHeight="1">
      <c r="A2196" s="6">
        <v>1.0</v>
      </c>
      <c r="B2196" s="6">
        <v>172.0</v>
      </c>
      <c r="C2196" s="6">
        <v>2.0</v>
      </c>
      <c r="D2196" s="23" t="s">
        <v>3186</v>
      </c>
      <c r="E2196" s="9" t="s">
        <v>3187</v>
      </c>
      <c r="F2196" s="8"/>
    </row>
    <row r="2197" ht="21.0" customHeight="1">
      <c r="A2197" s="6">
        <v>1.0</v>
      </c>
      <c r="B2197" s="6">
        <v>172.0</v>
      </c>
      <c r="C2197" s="6">
        <v>3.0</v>
      </c>
      <c r="D2197" s="23" t="s">
        <v>3188</v>
      </c>
      <c r="E2197" s="9" t="s">
        <v>3189</v>
      </c>
      <c r="F2197" s="8"/>
    </row>
    <row r="2198" ht="21.0" customHeight="1">
      <c r="A2198" s="6">
        <v>1.0</v>
      </c>
      <c r="B2198" s="6">
        <v>172.0</v>
      </c>
      <c r="C2198" s="6">
        <v>4.0</v>
      </c>
      <c r="D2198" s="23" t="s">
        <v>3190</v>
      </c>
      <c r="E2198" s="9" t="s">
        <v>3191</v>
      </c>
      <c r="F2198" s="8"/>
    </row>
    <row r="2199" ht="21.0" customHeight="1">
      <c r="A2199" s="6">
        <v>1.0</v>
      </c>
      <c r="B2199" s="6">
        <v>172.0</v>
      </c>
      <c r="C2199" s="6">
        <v>5.0</v>
      </c>
      <c r="D2199" s="23" t="s">
        <v>3192</v>
      </c>
      <c r="E2199" s="9" t="s">
        <v>3193</v>
      </c>
      <c r="F2199" s="8"/>
    </row>
    <row r="2200" ht="21.0" customHeight="1">
      <c r="A2200" s="6">
        <v>1.0</v>
      </c>
      <c r="B2200" s="6">
        <v>172.0</v>
      </c>
      <c r="C2200" s="6">
        <v>6.0</v>
      </c>
      <c r="D2200" s="23" t="s">
        <v>3194</v>
      </c>
      <c r="E2200" s="9" t="s">
        <v>3195</v>
      </c>
      <c r="F2200" s="8"/>
    </row>
    <row r="2201" ht="21.0" customHeight="1">
      <c r="A2201" s="6">
        <v>1.0</v>
      </c>
      <c r="B2201" s="6">
        <v>172.0</v>
      </c>
      <c r="C2201" s="6">
        <v>7.0</v>
      </c>
      <c r="D2201" s="23" t="s">
        <v>3196</v>
      </c>
      <c r="E2201" s="9" t="s">
        <v>3197</v>
      </c>
      <c r="F2201" s="8"/>
    </row>
    <row r="2202" ht="21.0" customHeight="1">
      <c r="A2202" s="6">
        <v>1.0</v>
      </c>
      <c r="B2202" s="6">
        <v>172.0</v>
      </c>
      <c r="C2202" s="6">
        <v>8.0</v>
      </c>
      <c r="D2202" s="23" t="s">
        <v>3198</v>
      </c>
      <c r="E2202" s="9" t="s">
        <v>3199</v>
      </c>
      <c r="F2202" s="8"/>
    </row>
    <row r="2203" ht="21.0" customHeight="1">
      <c r="A2203" s="6">
        <v>1.0</v>
      </c>
      <c r="B2203" s="6">
        <v>172.0</v>
      </c>
      <c r="C2203" s="6">
        <v>9.0</v>
      </c>
      <c r="D2203" s="23" t="s">
        <v>3200</v>
      </c>
      <c r="E2203" s="9" t="s">
        <v>3201</v>
      </c>
      <c r="F2203" s="8"/>
    </row>
    <row r="2204" ht="21.0" customHeight="1">
      <c r="A2204" s="6">
        <v>1.0</v>
      </c>
      <c r="B2204" s="6">
        <v>172.0</v>
      </c>
      <c r="C2204" s="6">
        <v>10.0</v>
      </c>
      <c r="D2204" s="23" t="s">
        <v>3202</v>
      </c>
      <c r="E2204" s="9" t="s">
        <v>3203</v>
      </c>
      <c r="F2204" s="8"/>
    </row>
    <row r="2205" ht="21.0" customHeight="1">
      <c r="A2205" s="6">
        <v>1.0</v>
      </c>
      <c r="B2205" s="6">
        <v>172.0</v>
      </c>
      <c r="C2205" s="6">
        <v>11.0</v>
      </c>
      <c r="D2205" s="23" t="s">
        <v>3204</v>
      </c>
      <c r="E2205" s="9" t="s">
        <v>3205</v>
      </c>
      <c r="F2205" s="8"/>
    </row>
    <row r="2206" ht="21.0" customHeight="1">
      <c r="A2206" s="6">
        <v>1.0</v>
      </c>
      <c r="B2206" s="6">
        <v>172.0</v>
      </c>
      <c r="C2206" s="6">
        <v>12.0</v>
      </c>
      <c r="D2206" s="23" t="s">
        <v>3206</v>
      </c>
      <c r="E2206" s="9" t="s">
        <v>3207</v>
      </c>
      <c r="F2206" s="8"/>
    </row>
    <row r="2207" ht="21.0" customHeight="1">
      <c r="A2207" s="6">
        <v>1.0</v>
      </c>
      <c r="B2207" s="6">
        <v>172.0</v>
      </c>
      <c r="C2207" s="6">
        <v>13.0</v>
      </c>
      <c r="D2207" s="23" t="s">
        <v>3208</v>
      </c>
      <c r="E2207" s="9" t="s">
        <v>3209</v>
      </c>
      <c r="F2207" s="8"/>
    </row>
    <row r="2208" ht="21.0" customHeight="1">
      <c r="A2208" s="6">
        <v>1.0</v>
      </c>
      <c r="B2208" s="6">
        <v>173.0</v>
      </c>
      <c r="C2208" s="6">
        <v>1.0</v>
      </c>
      <c r="D2208" s="23" t="s">
        <v>3210</v>
      </c>
      <c r="E2208" s="9" t="s">
        <v>3211</v>
      </c>
      <c r="F2208" s="8"/>
    </row>
    <row r="2209" ht="21.0" customHeight="1">
      <c r="A2209" s="6">
        <v>1.0</v>
      </c>
      <c r="B2209" s="6">
        <v>173.0</v>
      </c>
      <c r="C2209" s="6">
        <v>2.0</v>
      </c>
      <c r="D2209" s="23" t="s">
        <v>3212</v>
      </c>
      <c r="E2209" s="9" t="s">
        <v>3213</v>
      </c>
      <c r="F2209" s="8"/>
    </row>
    <row r="2210" ht="21.0" customHeight="1">
      <c r="A2210" s="6">
        <v>1.0</v>
      </c>
      <c r="B2210" s="6">
        <v>173.0</v>
      </c>
      <c r="C2210" s="6">
        <v>3.0</v>
      </c>
      <c r="D2210" s="23" t="s">
        <v>3214</v>
      </c>
      <c r="E2210" s="9" t="s">
        <v>3215</v>
      </c>
      <c r="F2210" s="8"/>
    </row>
    <row r="2211" ht="21.0" customHeight="1">
      <c r="A2211" s="6">
        <v>1.0</v>
      </c>
      <c r="B2211" s="6">
        <v>173.0</v>
      </c>
      <c r="C2211" s="6">
        <v>4.0</v>
      </c>
      <c r="D2211" s="23" t="s">
        <v>3216</v>
      </c>
      <c r="E2211" s="9" t="s">
        <v>3217</v>
      </c>
      <c r="F2211" s="8"/>
    </row>
    <row r="2212" ht="21.0" customHeight="1">
      <c r="A2212" s="6">
        <v>1.0</v>
      </c>
      <c r="B2212" s="6">
        <v>173.0</v>
      </c>
      <c r="C2212" s="6">
        <v>5.0</v>
      </c>
      <c r="D2212" s="23" t="s">
        <v>3218</v>
      </c>
      <c r="E2212" s="9" t="s">
        <v>3219</v>
      </c>
      <c r="F2212" s="8"/>
    </row>
    <row r="2213" ht="21.0" customHeight="1">
      <c r="A2213" s="6">
        <v>1.0</v>
      </c>
      <c r="B2213" s="6">
        <v>173.0</v>
      </c>
      <c r="C2213" s="6">
        <v>6.0</v>
      </c>
      <c r="D2213" s="23" t="s">
        <v>3220</v>
      </c>
      <c r="E2213" s="9" t="s">
        <v>3221</v>
      </c>
      <c r="F2213" s="8"/>
    </row>
    <row r="2214" ht="21.0" customHeight="1">
      <c r="A2214" s="6">
        <v>1.0</v>
      </c>
      <c r="B2214" s="6">
        <v>173.0</v>
      </c>
      <c r="C2214" s="6">
        <v>7.0</v>
      </c>
      <c r="D2214" s="23" t="s">
        <v>3222</v>
      </c>
      <c r="E2214" s="9" t="s">
        <v>3223</v>
      </c>
      <c r="F2214" s="8"/>
    </row>
    <row r="2215" ht="21.0" customHeight="1">
      <c r="A2215" s="6">
        <v>1.0</v>
      </c>
      <c r="B2215" s="6">
        <v>173.0</v>
      </c>
      <c r="C2215" s="6">
        <v>8.0</v>
      </c>
      <c r="D2215" s="23" t="s">
        <v>3224</v>
      </c>
      <c r="E2215" s="9" t="s">
        <v>3225</v>
      </c>
      <c r="F2215" s="8"/>
    </row>
    <row r="2216" ht="21.0" customHeight="1">
      <c r="A2216" s="6">
        <v>1.0</v>
      </c>
      <c r="B2216" s="6">
        <v>173.0</v>
      </c>
      <c r="C2216" s="6">
        <v>9.0</v>
      </c>
      <c r="D2216" s="23" t="s">
        <v>3226</v>
      </c>
      <c r="E2216" s="9" t="s">
        <v>3227</v>
      </c>
      <c r="F2216" s="8"/>
    </row>
    <row r="2217" ht="21.0" customHeight="1">
      <c r="A2217" s="6">
        <v>1.0</v>
      </c>
      <c r="B2217" s="6">
        <v>173.0</v>
      </c>
      <c r="C2217" s="6">
        <v>10.0</v>
      </c>
      <c r="D2217" s="23" t="s">
        <v>3228</v>
      </c>
      <c r="E2217" s="9" t="s">
        <v>3229</v>
      </c>
      <c r="F2217" s="8"/>
    </row>
    <row r="2218" ht="21.0" customHeight="1">
      <c r="A2218" s="6">
        <v>1.0</v>
      </c>
      <c r="B2218" s="6">
        <v>173.0</v>
      </c>
      <c r="C2218" s="6">
        <v>11.0</v>
      </c>
      <c r="D2218" s="23" t="s">
        <v>3230</v>
      </c>
      <c r="E2218" s="9" t="s">
        <v>3231</v>
      </c>
      <c r="F2218" s="8"/>
    </row>
    <row r="2219" ht="21.0" customHeight="1">
      <c r="A2219" s="6">
        <v>1.0</v>
      </c>
      <c r="B2219" s="6">
        <v>173.0</v>
      </c>
      <c r="C2219" s="6">
        <v>12.0</v>
      </c>
      <c r="D2219" s="23" t="s">
        <v>3232</v>
      </c>
      <c r="E2219" s="9" t="s">
        <v>3233</v>
      </c>
      <c r="F2219" s="8"/>
    </row>
    <row r="2220" ht="21.0" customHeight="1">
      <c r="A2220" s="6">
        <v>1.0</v>
      </c>
      <c r="B2220" s="6">
        <v>173.0</v>
      </c>
      <c r="C2220" s="6">
        <v>13.0</v>
      </c>
      <c r="D2220" s="23" t="s">
        <v>3234</v>
      </c>
      <c r="E2220" s="9" t="s">
        <v>3235</v>
      </c>
      <c r="F2220" s="8"/>
    </row>
    <row r="2221" ht="21.0" customHeight="1">
      <c r="A2221" s="6">
        <v>1.0</v>
      </c>
      <c r="B2221" s="6">
        <v>174.0</v>
      </c>
      <c r="C2221" s="6">
        <v>1.0</v>
      </c>
      <c r="D2221" s="23" t="s">
        <v>3236</v>
      </c>
      <c r="E2221" s="9" t="s">
        <v>3237</v>
      </c>
      <c r="F2221" s="8"/>
    </row>
    <row r="2222" ht="21.0" customHeight="1">
      <c r="A2222" s="6">
        <v>1.0</v>
      </c>
      <c r="B2222" s="6">
        <v>174.0</v>
      </c>
      <c r="C2222" s="6">
        <v>2.0</v>
      </c>
      <c r="D2222" s="23" t="s">
        <v>3238</v>
      </c>
      <c r="E2222" s="9" t="s">
        <v>3239</v>
      </c>
      <c r="F2222" s="8"/>
    </row>
    <row r="2223" ht="21.0" customHeight="1">
      <c r="A2223" s="6">
        <v>1.0</v>
      </c>
      <c r="B2223" s="6">
        <v>174.0</v>
      </c>
      <c r="C2223" s="6">
        <v>3.0</v>
      </c>
      <c r="D2223" s="23" t="s">
        <v>3240</v>
      </c>
      <c r="E2223" s="9" t="s">
        <v>3241</v>
      </c>
      <c r="F2223" s="8"/>
    </row>
    <row r="2224" ht="21.0" customHeight="1">
      <c r="A2224" s="6">
        <v>1.0</v>
      </c>
      <c r="B2224" s="6">
        <v>174.0</v>
      </c>
      <c r="C2224" s="6">
        <v>4.0</v>
      </c>
      <c r="D2224" s="23" t="s">
        <v>3242</v>
      </c>
      <c r="E2224" s="9" t="s">
        <v>3243</v>
      </c>
      <c r="F2224" s="8"/>
    </row>
    <row r="2225" ht="21.0" customHeight="1">
      <c r="A2225" s="6">
        <v>1.0</v>
      </c>
      <c r="B2225" s="6">
        <v>174.0</v>
      </c>
      <c r="C2225" s="6">
        <v>5.0</v>
      </c>
      <c r="D2225" s="23" t="s">
        <v>3244</v>
      </c>
      <c r="E2225" s="9" t="s">
        <v>3245</v>
      </c>
      <c r="F2225" s="8"/>
    </row>
    <row r="2226" ht="21.0" customHeight="1">
      <c r="A2226" s="6">
        <v>1.0</v>
      </c>
      <c r="B2226" s="6">
        <v>174.0</v>
      </c>
      <c r="C2226" s="6">
        <v>6.0</v>
      </c>
      <c r="D2226" s="23" t="s">
        <v>3246</v>
      </c>
      <c r="E2226" s="9" t="s">
        <v>3247</v>
      </c>
      <c r="F2226" s="8"/>
    </row>
    <row r="2227" ht="21.0" customHeight="1">
      <c r="A2227" s="6">
        <v>1.0</v>
      </c>
      <c r="B2227" s="6">
        <v>174.0</v>
      </c>
      <c r="C2227" s="6">
        <v>7.0</v>
      </c>
      <c r="D2227" s="23" t="s">
        <v>3248</v>
      </c>
      <c r="E2227" s="9" t="s">
        <v>3249</v>
      </c>
      <c r="F2227" s="8"/>
    </row>
    <row r="2228" ht="21.0" customHeight="1">
      <c r="A2228" s="6">
        <v>1.0</v>
      </c>
      <c r="B2228" s="6">
        <v>174.0</v>
      </c>
      <c r="C2228" s="6">
        <v>8.0</v>
      </c>
      <c r="D2228" s="23" t="s">
        <v>3250</v>
      </c>
      <c r="E2228" s="9" t="s">
        <v>3251</v>
      </c>
      <c r="F2228" s="8"/>
    </row>
    <row r="2229" ht="21.0" customHeight="1">
      <c r="A2229" s="6">
        <v>1.0</v>
      </c>
      <c r="B2229" s="6">
        <v>174.0</v>
      </c>
      <c r="C2229" s="6">
        <v>9.0</v>
      </c>
      <c r="D2229" s="23" t="s">
        <v>3252</v>
      </c>
      <c r="E2229" s="9" t="s">
        <v>3253</v>
      </c>
      <c r="F2229" s="8"/>
    </row>
    <row r="2230" ht="21.0" customHeight="1">
      <c r="A2230" s="6">
        <v>1.0</v>
      </c>
      <c r="B2230" s="6">
        <v>174.0</v>
      </c>
      <c r="C2230" s="6">
        <v>10.0</v>
      </c>
      <c r="D2230" s="23" t="s">
        <v>3254</v>
      </c>
      <c r="E2230" s="9" t="s">
        <v>3255</v>
      </c>
      <c r="F2230" s="8"/>
    </row>
    <row r="2231" ht="21.0" customHeight="1">
      <c r="A2231" s="6">
        <v>1.0</v>
      </c>
      <c r="B2231" s="6">
        <v>174.0</v>
      </c>
      <c r="C2231" s="6">
        <v>11.0</v>
      </c>
      <c r="D2231" s="23" t="s">
        <v>3256</v>
      </c>
      <c r="E2231" s="9" t="s">
        <v>3257</v>
      </c>
      <c r="F2231" s="8"/>
    </row>
    <row r="2232" ht="21.0" customHeight="1">
      <c r="A2232" s="6">
        <v>1.0</v>
      </c>
      <c r="B2232" s="6">
        <v>174.0</v>
      </c>
      <c r="C2232" s="6">
        <v>12.0</v>
      </c>
      <c r="D2232" s="23" t="s">
        <v>3258</v>
      </c>
      <c r="E2232" s="9" t="s">
        <v>3259</v>
      </c>
      <c r="F2232" s="8"/>
    </row>
    <row r="2233" ht="21.0" customHeight="1">
      <c r="A2233" s="6">
        <v>1.0</v>
      </c>
      <c r="B2233" s="6">
        <v>174.0</v>
      </c>
      <c r="C2233" s="6">
        <v>13.0</v>
      </c>
      <c r="D2233" s="23" t="s">
        <v>3260</v>
      </c>
      <c r="E2233" s="9" t="s">
        <v>3261</v>
      </c>
      <c r="F2233" s="8"/>
    </row>
    <row r="2234" ht="21.0" customHeight="1">
      <c r="A2234" s="6">
        <v>11.0</v>
      </c>
      <c r="B2234" s="6">
        <v>1036.0</v>
      </c>
      <c r="C2234" s="6">
        <v>1.0</v>
      </c>
      <c r="D2234" s="23" t="s">
        <v>3262</v>
      </c>
      <c r="E2234" s="9" t="s">
        <v>3263</v>
      </c>
      <c r="F2234" s="8"/>
    </row>
    <row r="2235" ht="21.0" customHeight="1">
      <c r="A2235" s="6">
        <v>11.0</v>
      </c>
      <c r="B2235" s="6">
        <v>1036.0</v>
      </c>
      <c r="C2235" s="6">
        <v>2.0</v>
      </c>
      <c r="D2235" s="23" t="s">
        <v>3264</v>
      </c>
      <c r="E2235" s="9" t="s">
        <v>3265</v>
      </c>
      <c r="F2235" s="8"/>
    </row>
    <row r="2236" ht="21.0" customHeight="1">
      <c r="A2236" s="6">
        <v>11.0</v>
      </c>
      <c r="B2236" s="6">
        <v>1036.0</v>
      </c>
      <c r="C2236" s="6">
        <v>3.0</v>
      </c>
      <c r="D2236" s="23" t="s">
        <v>3266</v>
      </c>
      <c r="E2236" s="9" t="s">
        <v>3267</v>
      </c>
      <c r="F2236" s="8"/>
    </row>
    <row r="2237" ht="21.0" customHeight="1">
      <c r="A2237" s="6">
        <v>11.0</v>
      </c>
      <c r="B2237" s="6">
        <v>1036.0</v>
      </c>
      <c r="C2237" s="6">
        <v>4.0</v>
      </c>
      <c r="D2237" s="23" t="s">
        <v>3268</v>
      </c>
      <c r="E2237" s="9" t="s">
        <v>3269</v>
      </c>
      <c r="F2237" s="8"/>
    </row>
    <row r="2238" ht="21.0" customHeight="1">
      <c r="A2238" s="6">
        <v>10.0</v>
      </c>
      <c r="B2238" s="6">
        <v>1036.0</v>
      </c>
      <c r="C2238" s="6">
        <v>5.0</v>
      </c>
      <c r="D2238" s="23" t="s">
        <v>3270</v>
      </c>
      <c r="E2238" s="9" t="s">
        <v>3271</v>
      </c>
      <c r="F2238" s="8"/>
    </row>
    <row r="2239" ht="21.0" customHeight="1">
      <c r="A2239" s="6">
        <v>10.0</v>
      </c>
      <c r="B2239" s="6">
        <v>1036.0</v>
      </c>
      <c r="C2239" s="6">
        <v>6.0</v>
      </c>
      <c r="D2239" s="23" t="s">
        <v>3272</v>
      </c>
      <c r="E2239" s="9" t="s">
        <v>3273</v>
      </c>
      <c r="F2239" s="8"/>
    </row>
    <row r="2240" ht="21.0" customHeight="1">
      <c r="A2240" s="6">
        <v>10.0</v>
      </c>
      <c r="B2240" s="6">
        <v>1036.0</v>
      </c>
      <c r="C2240" s="6">
        <v>7.0</v>
      </c>
      <c r="D2240" s="23" t="s">
        <v>3274</v>
      </c>
      <c r="E2240" s="9" t="s">
        <v>3275</v>
      </c>
      <c r="F2240" s="8"/>
    </row>
    <row r="2241" ht="21.0" customHeight="1">
      <c r="A2241" s="6">
        <v>10.0</v>
      </c>
      <c r="B2241" s="6">
        <v>1036.0</v>
      </c>
      <c r="C2241" s="6">
        <v>8.0</v>
      </c>
      <c r="D2241" s="23" t="s">
        <v>3276</v>
      </c>
      <c r="E2241" s="9" t="s">
        <v>3277</v>
      </c>
      <c r="F2241" s="8"/>
    </row>
    <row r="2242" ht="21.0" customHeight="1">
      <c r="A2242" s="6">
        <v>10.0</v>
      </c>
      <c r="B2242" s="6">
        <v>1036.0</v>
      </c>
      <c r="C2242" s="6">
        <v>9.0</v>
      </c>
      <c r="D2242" s="23" t="s">
        <v>3278</v>
      </c>
      <c r="E2242" s="9" t="s">
        <v>3279</v>
      </c>
      <c r="F2242" s="8"/>
    </row>
    <row r="2243" ht="21.0" customHeight="1">
      <c r="A2243" s="6">
        <v>10.0</v>
      </c>
      <c r="B2243" s="6">
        <v>1036.0</v>
      </c>
      <c r="C2243" s="6">
        <v>10.0</v>
      </c>
      <c r="D2243" s="23" t="s">
        <v>3280</v>
      </c>
      <c r="E2243" s="9" t="s">
        <v>3281</v>
      </c>
      <c r="F2243" s="8"/>
    </row>
    <row r="2244" ht="21.0" customHeight="1">
      <c r="A2244" s="6">
        <v>11.0</v>
      </c>
      <c r="B2244" s="6">
        <v>1037.0</v>
      </c>
      <c r="C2244" s="6">
        <v>1.0</v>
      </c>
      <c r="D2244" s="23" t="s">
        <v>3282</v>
      </c>
      <c r="E2244" s="9" t="s">
        <v>3283</v>
      </c>
      <c r="F2244" s="8"/>
    </row>
    <row r="2245" ht="21.0" customHeight="1">
      <c r="A2245" s="6">
        <v>11.0</v>
      </c>
      <c r="B2245" s="6">
        <v>1037.0</v>
      </c>
      <c r="C2245" s="6">
        <v>2.0</v>
      </c>
      <c r="D2245" s="23" t="s">
        <v>3284</v>
      </c>
      <c r="E2245" s="9" t="s">
        <v>3285</v>
      </c>
      <c r="F2245" s="8"/>
    </row>
    <row r="2246" ht="21.0" customHeight="1">
      <c r="A2246" s="6">
        <v>11.0</v>
      </c>
      <c r="B2246" s="6">
        <v>1037.0</v>
      </c>
      <c r="C2246" s="6">
        <v>3.0</v>
      </c>
      <c r="D2246" s="23" t="s">
        <v>3286</v>
      </c>
      <c r="E2246" s="9" t="s">
        <v>3287</v>
      </c>
      <c r="F2246" s="8"/>
    </row>
    <row r="2247" ht="21.0" customHeight="1">
      <c r="A2247" s="6">
        <v>11.0</v>
      </c>
      <c r="B2247" s="6">
        <v>1037.0</v>
      </c>
      <c r="C2247" s="6">
        <v>4.0</v>
      </c>
      <c r="D2247" s="23" t="s">
        <v>3288</v>
      </c>
      <c r="E2247" s="9" t="s">
        <v>3289</v>
      </c>
      <c r="F2247" s="8"/>
    </row>
    <row r="2248" ht="21.0" customHeight="1">
      <c r="A2248" s="6">
        <v>10.0</v>
      </c>
      <c r="B2248" s="6">
        <v>1037.0</v>
      </c>
      <c r="C2248" s="6">
        <v>5.0</v>
      </c>
      <c r="D2248" s="23" t="s">
        <v>3290</v>
      </c>
      <c r="E2248" s="9" t="s">
        <v>3291</v>
      </c>
      <c r="F2248" s="8"/>
    </row>
    <row r="2249" ht="21.0" customHeight="1">
      <c r="A2249" s="6">
        <v>10.0</v>
      </c>
      <c r="B2249" s="6">
        <v>1037.0</v>
      </c>
      <c r="C2249" s="6">
        <v>6.0</v>
      </c>
      <c r="D2249" s="23" t="s">
        <v>3292</v>
      </c>
      <c r="E2249" s="9" t="s">
        <v>3293</v>
      </c>
      <c r="F2249" s="8"/>
    </row>
    <row r="2250" ht="21.0" customHeight="1">
      <c r="A2250" s="6">
        <v>10.0</v>
      </c>
      <c r="B2250" s="6">
        <v>1037.0</v>
      </c>
      <c r="C2250" s="6">
        <v>7.0</v>
      </c>
      <c r="D2250" s="23" t="s">
        <v>3294</v>
      </c>
      <c r="E2250" s="9" t="s">
        <v>3295</v>
      </c>
      <c r="F2250" s="8"/>
    </row>
    <row r="2251" ht="21.0" customHeight="1">
      <c r="A2251" s="6">
        <v>10.0</v>
      </c>
      <c r="B2251" s="6">
        <v>1037.0</v>
      </c>
      <c r="C2251" s="6">
        <v>8.0</v>
      </c>
      <c r="D2251" s="23" t="s">
        <v>3296</v>
      </c>
      <c r="E2251" s="9" t="s">
        <v>3297</v>
      </c>
      <c r="F2251" s="8"/>
    </row>
    <row r="2252" ht="21.0" customHeight="1">
      <c r="A2252" s="6">
        <v>10.0</v>
      </c>
      <c r="B2252" s="6">
        <v>1037.0</v>
      </c>
      <c r="C2252" s="6">
        <v>9.0</v>
      </c>
      <c r="D2252" s="23" t="s">
        <v>3298</v>
      </c>
      <c r="E2252" s="9" t="s">
        <v>3299</v>
      </c>
      <c r="F2252" s="8"/>
    </row>
    <row r="2253" ht="21.0" customHeight="1">
      <c r="A2253" s="6">
        <v>10.0</v>
      </c>
      <c r="B2253" s="6">
        <v>1037.0</v>
      </c>
      <c r="C2253" s="6">
        <v>10.0</v>
      </c>
      <c r="D2253" s="23" t="s">
        <v>3300</v>
      </c>
      <c r="E2253" s="9" t="s">
        <v>3281</v>
      </c>
      <c r="F2253" s="8"/>
    </row>
    <row r="2254" ht="21.0" customHeight="1">
      <c r="A2254" s="6">
        <v>1.0</v>
      </c>
      <c r="B2254" s="6">
        <v>175.0</v>
      </c>
      <c r="C2254" s="6">
        <v>1.0</v>
      </c>
      <c r="D2254" s="23" t="s">
        <v>3301</v>
      </c>
      <c r="E2254" s="9" t="s">
        <v>3302</v>
      </c>
      <c r="F2254" s="8"/>
    </row>
    <row r="2255" ht="21.0" customHeight="1">
      <c r="A2255" s="6">
        <v>1.0</v>
      </c>
      <c r="B2255" s="6">
        <v>175.0</v>
      </c>
      <c r="C2255" s="6">
        <v>2.0</v>
      </c>
      <c r="D2255" s="23" t="s">
        <v>3303</v>
      </c>
      <c r="E2255" s="9" t="s">
        <v>3304</v>
      </c>
      <c r="F2255" s="8"/>
    </row>
    <row r="2256" ht="21.0" customHeight="1">
      <c r="A2256" s="6">
        <v>1.0</v>
      </c>
      <c r="B2256" s="6">
        <v>175.0</v>
      </c>
      <c r="C2256" s="6">
        <v>3.0</v>
      </c>
      <c r="D2256" s="23" t="s">
        <v>3305</v>
      </c>
      <c r="E2256" s="9" t="s">
        <v>3306</v>
      </c>
      <c r="F2256" s="8"/>
    </row>
    <row r="2257" ht="21.0" customHeight="1">
      <c r="A2257" s="6">
        <v>1.0</v>
      </c>
      <c r="B2257" s="6">
        <v>175.0</v>
      </c>
      <c r="C2257" s="6">
        <v>4.0</v>
      </c>
      <c r="D2257" s="25" t="s">
        <v>3307</v>
      </c>
      <c r="E2257" s="9" t="s">
        <v>3308</v>
      </c>
      <c r="F2257" s="8"/>
    </row>
    <row r="2258" ht="21.0" customHeight="1">
      <c r="A2258" s="6">
        <v>1.0</v>
      </c>
      <c r="B2258" s="6">
        <v>175.0</v>
      </c>
      <c r="C2258" s="6">
        <v>5.0</v>
      </c>
      <c r="D2258" s="23" t="s">
        <v>3309</v>
      </c>
      <c r="E2258" s="9" t="s">
        <v>3310</v>
      </c>
      <c r="F2258" s="8"/>
    </row>
    <row r="2259" ht="21.0" customHeight="1">
      <c r="A2259" s="6">
        <v>1.0</v>
      </c>
      <c r="B2259" s="6">
        <v>175.0</v>
      </c>
      <c r="C2259" s="6">
        <v>6.0</v>
      </c>
      <c r="D2259" s="23" t="s">
        <v>3311</v>
      </c>
      <c r="E2259" s="9" t="s">
        <v>3312</v>
      </c>
      <c r="F2259" s="8"/>
    </row>
    <row r="2260" ht="21.0" customHeight="1">
      <c r="A2260" s="6">
        <v>1.0</v>
      </c>
      <c r="B2260" s="6">
        <v>175.0</v>
      </c>
      <c r="C2260" s="6">
        <v>7.0</v>
      </c>
      <c r="D2260" s="23" t="s">
        <v>3313</v>
      </c>
      <c r="E2260" s="9" t="s">
        <v>3314</v>
      </c>
      <c r="F2260" s="8"/>
    </row>
    <row r="2261" ht="21.0" customHeight="1">
      <c r="A2261" s="6">
        <v>1.0</v>
      </c>
      <c r="B2261" s="6">
        <v>175.0</v>
      </c>
      <c r="C2261" s="6">
        <v>8.0</v>
      </c>
      <c r="D2261" s="23" t="s">
        <v>3315</v>
      </c>
      <c r="E2261" s="9" t="s">
        <v>3316</v>
      </c>
      <c r="F2261" s="8"/>
    </row>
    <row r="2262" ht="21.0" customHeight="1">
      <c r="A2262" s="6">
        <v>1.0</v>
      </c>
      <c r="B2262" s="6">
        <v>175.0</v>
      </c>
      <c r="C2262" s="6">
        <v>9.0</v>
      </c>
      <c r="D2262" s="23" t="s">
        <v>3317</v>
      </c>
      <c r="E2262" s="9" t="s">
        <v>3318</v>
      </c>
      <c r="F2262" s="8"/>
    </row>
    <row r="2263" ht="21.0" customHeight="1">
      <c r="A2263" s="6">
        <v>1.0</v>
      </c>
      <c r="B2263" s="6">
        <v>175.0</v>
      </c>
      <c r="C2263" s="6">
        <v>10.0</v>
      </c>
      <c r="D2263" s="23" t="s">
        <v>3319</v>
      </c>
      <c r="E2263" s="9" t="s">
        <v>3320</v>
      </c>
      <c r="F2263" s="8"/>
    </row>
    <row r="2264" ht="21.0" customHeight="1">
      <c r="A2264" s="6">
        <v>1.0</v>
      </c>
      <c r="B2264" s="6">
        <v>175.0</v>
      </c>
      <c r="C2264" s="6">
        <v>11.0</v>
      </c>
      <c r="D2264" s="23" t="s">
        <v>3321</v>
      </c>
      <c r="E2264" s="9" t="s">
        <v>3322</v>
      </c>
      <c r="F2264" s="8"/>
    </row>
    <row r="2265" ht="21.0" customHeight="1">
      <c r="A2265" s="6">
        <v>1.0</v>
      </c>
      <c r="B2265" s="6">
        <v>175.0</v>
      </c>
      <c r="C2265" s="6">
        <v>12.0</v>
      </c>
      <c r="D2265" s="23" t="s">
        <v>3323</v>
      </c>
      <c r="E2265" s="9" t="s">
        <v>3324</v>
      </c>
      <c r="F2265" s="8"/>
    </row>
    <row r="2266" ht="21.0" customHeight="1">
      <c r="A2266" s="6">
        <v>1.0</v>
      </c>
      <c r="B2266" s="6">
        <v>175.0</v>
      </c>
      <c r="C2266" s="6">
        <v>13.0</v>
      </c>
      <c r="D2266" s="23" t="s">
        <v>3325</v>
      </c>
      <c r="E2266" s="9" t="s">
        <v>3326</v>
      </c>
      <c r="F2266" s="8"/>
    </row>
    <row r="2267" ht="21.0" customHeight="1">
      <c r="A2267" s="6">
        <v>1.0</v>
      </c>
      <c r="B2267" s="6">
        <v>176.0</v>
      </c>
      <c r="C2267" s="6">
        <v>1.0</v>
      </c>
      <c r="D2267" s="23" t="s">
        <v>3327</v>
      </c>
      <c r="E2267" s="9" t="s">
        <v>3328</v>
      </c>
      <c r="F2267" s="8"/>
    </row>
    <row r="2268" ht="21.0" customHeight="1">
      <c r="A2268" s="6">
        <v>1.0</v>
      </c>
      <c r="B2268" s="6">
        <v>176.0</v>
      </c>
      <c r="C2268" s="6">
        <v>2.0</v>
      </c>
      <c r="D2268" s="23" t="s">
        <v>3329</v>
      </c>
      <c r="E2268" s="9" t="s">
        <v>3330</v>
      </c>
      <c r="F2268" s="8"/>
    </row>
    <row r="2269" ht="21.0" customHeight="1">
      <c r="A2269" s="6">
        <v>1.0</v>
      </c>
      <c r="B2269" s="6">
        <v>176.0</v>
      </c>
      <c r="C2269" s="6">
        <v>3.0</v>
      </c>
      <c r="D2269" s="23" t="s">
        <v>3331</v>
      </c>
      <c r="E2269" s="9" t="s">
        <v>3332</v>
      </c>
      <c r="F2269" s="8"/>
    </row>
    <row r="2270" ht="21.0" customHeight="1">
      <c r="A2270" s="6">
        <v>1.0</v>
      </c>
      <c r="B2270" s="6">
        <v>176.0</v>
      </c>
      <c r="C2270" s="6">
        <v>4.0</v>
      </c>
      <c r="D2270" s="23" t="s">
        <v>3333</v>
      </c>
      <c r="E2270" s="9" t="s">
        <v>3334</v>
      </c>
      <c r="F2270" s="8"/>
    </row>
    <row r="2271" ht="21.0" customHeight="1">
      <c r="A2271" s="6">
        <v>1.0</v>
      </c>
      <c r="B2271" s="6">
        <v>176.0</v>
      </c>
      <c r="C2271" s="6">
        <v>5.0</v>
      </c>
      <c r="D2271" s="23" t="s">
        <v>3335</v>
      </c>
      <c r="E2271" s="9" t="s">
        <v>3336</v>
      </c>
      <c r="F2271" s="8"/>
    </row>
    <row r="2272" ht="21.0" customHeight="1">
      <c r="A2272" s="6">
        <v>1.0</v>
      </c>
      <c r="B2272" s="6">
        <v>176.0</v>
      </c>
      <c r="C2272" s="6">
        <v>6.0</v>
      </c>
      <c r="D2272" s="23" t="s">
        <v>3337</v>
      </c>
      <c r="E2272" s="9" t="s">
        <v>3338</v>
      </c>
      <c r="F2272" s="8"/>
    </row>
    <row r="2273" ht="21.0" customHeight="1">
      <c r="A2273" s="6">
        <v>1.0</v>
      </c>
      <c r="B2273" s="6">
        <v>176.0</v>
      </c>
      <c r="C2273" s="6">
        <v>7.0</v>
      </c>
      <c r="D2273" s="23" t="s">
        <v>3339</v>
      </c>
      <c r="E2273" s="9" t="s">
        <v>3340</v>
      </c>
      <c r="F2273" s="8"/>
    </row>
    <row r="2274" ht="21.0" customHeight="1">
      <c r="A2274" s="6">
        <v>1.0</v>
      </c>
      <c r="B2274" s="6">
        <v>176.0</v>
      </c>
      <c r="C2274" s="6">
        <v>8.0</v>
      </c>
      <c r="D2274" s="23" t="s">
        <v>3341</v>
      </c>
      <c r="E2274" s="9" t="s">
        <v>3342</v>
      </c>
      <c r="F2274" s="8"/>
    </row>
    <row r="2275" ht="21.0" customHeight="1">
      <c r="A2275" s="6">
        <v>1.0</v>
      </c>
      <c r="B2275" s="6">
        <v>176.0</v>
      </c>
      <c r="C2275" s="6">
        <v>9.0</v>
      </c>
      <c r="D2275" s="23" t="s">
        <v>3343</v>
      </c>
      <c r="E2275" s="9" t="s">
        <v>3344</v>
      </c>
      <c r="F2275" s="8"/>
    </row>
    <row r="2276" ht="21.0" customHeight="1">
      <c r="A2276" s="6">
        <v>1.0</v>
      </c>
      <c r="B2276" s="6">
        <v>176.0</v>
      </c>
      <c r="C2276" s="6">
        <v>10.0</v>
      </c>
      <c r="D2276" s="23" t="s">
        <v>3345</v>
      </c>
      <c r="E2276" s="9" t="s">
        <v>3346</v>
      </c>
      <c r="F2276" s="8"/>
    </row>
    <row r="2277" ht="21.0" customHeight="1">
      <c r="A2277" s="6">
        <v>1.0</v>
      </c>
      <c r="B2277" s="6">
        <v>176.0</v>
      </c>
      <c r="C2277" s="6">
        <v>11.0</v>
      </c>
      <c r="D2277" s="23" t="s">
        <v>3347</v>
      </c>
      <c r="E2277" s="9" t="s">
        <v>3348</v>
      </c>
      <c r="F2277" s="8"/>
    </row>
    <row r="2278" ht="21.0" customHeight="1">
      <c r="A2278" s="6">
        <v>1.0</v>
      </c>
      <c r="B2278" s="6">
        <v>176.0</v>
      </c>
      <c r="C2278" s="6">
        <v>12.0</v>
      </c>
      <c r="D2278" s="23" t="s">
        <v>3349</v>
      </c>
      <c r="E2278" s="9" t="s">
        <v>3350</v>
      </c>
      <c r="F2278" s="8"/>
    </row>
    <row r="2279" ht="21.0" customHeight="1">
      <c r="A2279" s="6">
        <v>1.0</v>
      </c>
      <c r="B2279" s="6">
        <v>176.0</v>
      </c>
      <c r="C2279" s="6">
        <v>13.0</v>
      </c>
      <c r="D2279" s="23" t="s">
        <v>3351</v>
      </c>
      <c r="E2279" s="9" t="s">
        <v>3352</v>
      </c>
      <c r="F2279" s="8"/>
    </row>
    <row r="2280" ht="21.0" customHeight="1">
      <c r="A2280" s="6">
        <v>1.0</v>
      </c>
      <c r="B2280" s="6">
        <v>177.0</v>
      </c>
      <c r="C2280" s="6">
        <v>1.0</v>
      </c>
      <c r="D2280" s="23" t="s">
        <v>3353</v>
      </c>
      <c r="E2280" s="9" t="s">
        <v>3354</v>
      </c>
      <c r="F2280" s="8"/>
    </row>
    <row r="2281" ht="21.0" customHeight="1">
      <c r="A2281" s="6">
        <v>1.0</v>
      </c>
      <c r="B2281" s="6">
        <v>177.0</v>
      </c>
      <c r="C2281" s="6">
        <v>2.0</v>
      </c>
      <c r="D2281" s="23" t="s">
        <v>3355</v>
      </c>
      <c r="E2281" s="9" t="s">
        <v>3356</v>
      </c>
      <c r="F2281" s="8"/>
    </row>
    <row r="2282" ht="21.0" customHeight="1">
      <c r="A2282" s="6">
        <v>1.0</v>
      </c>
      <c r="B2282" s="6">
        <v>177.0</v>
      </c>
      <c r="C2282" s="6">
        <v>3.0</v>
      </c>
      <c r="D2282" s="23" t="s">
        <v>3357</v>
      </c>
      <c r="E2282" s="9" t="s">
        <v>3358</v>
      </c>
      <c r="F2282" s="8"/>
    </row>
    <row r="2283" ht="21.0" customHeight="1">
      <c r="A2283" s="6">
        <v>1.0</v>
      </c>
      <c r="B2283" s="6">
        <v>177.0</v>
      </c>
      <c r="C2283" s="6">
        <v>4.0</v>
      </c>
      <c r="D2283" s="23" t="s">
        <v>3359</v>
      </c>
      <c r="E2283" s="9" t="s">
        <v>3360</v>
      </c>
      <c r="F2283" s="8"/>
    </row>
    <row r="2284" ht="21.0" customHeight="1">
      <c r="A2284" s="6">
        <v>1.0</v>
      </c>
      <c r="B2284" s="6">
        <v>177.0</v>
      </c>
      <c r="C2284" s="6">
        <v>5.0</v>
      </c>
      <c r="D2284" s="23" t="s">
        <v>3361</v>
      </c>
      <c r="E2284" s="9" t="s">
        <v>3362</v>
      </c>
      <c r="F2284" s="8"/>
    </row>
    <row r="2285" ht="21.0" customHeight="1">
      <c r="A2285" s="6">
        <v>1.0</v>
      </c>
      <c r="B2285" s="6">
        <v>177.0</v>
      </c>
      <c r="C2285" s="6">
        <v>6.0</v>
      </c>
      <c r="D2285" s="23" t="s">
        <v>3363</v>
      </c>
      <c r="E2285" s="9" t="s">
        <v>3364</v>
      </c>
      <c r="F2285" s="8"/>
    </row>
    <row r="2286" ht="21.0" customHeight="1">
      <c r="A2286" s="6">
        <v>1.0</v>
      </c>
      <c r="B2286" s="6">
        <v>177.0</v>
      </c>
      <c r="C2286" s="6">
        <v>7.0</v>
      </c>
      <c r="D2286" s="23" t="s">
        <v>3365</v>
      </c>
      <c r="E2286" s="9" t="s">
        <v>3366</v>
      </c>
      <c r="F2286" s="8"/>
    </row>
    <row r="2287" ht="21.0" customHeight="1">
      <c r="A2287" s="6">
        <v>1.0</v>
      </c>
      <c r="B2287" s="6">
        <v>177.0</v>
      </c>
      <c r="C2287" s="6">
        <v>8.0</v>
      </c>
      <c r="D2287" s="23" t="s">
        <v>3367</v>
      </c>
      <c r="E2287" s="9" t="s">
        <v>3368</v>
      </c>
      <c r="F2287" s="8"/>
    </row>
    <row r="2288" ht="21.0" customHeight="1">
      <c r="A2288" s="6">
        <v>1.0</v>
      </c>
      <c r="B2288" s="6">
        <v>177.0</v>
      </c>
      <c r="C2288" s="6">
        <v>9.0</v>
      </c>
      <c r="D2288" s="23" t="s">
        <v>3369</v>
      </c>
      <c r="E2288" s="9" t="s">
        <v>3370</v>
      </c>
      <c r="F2288" s="8"/>
    </row>
    <row r="2289" ht="21.0" customHeight="1">
      <c r="A2289" s="6">
        <v>1.0</v>
      </c>
      <c r="B2289" s="6">
        <v>177.0</v>
      </c>
      <c r="C2289" s="6">
        <v>10.0</v>
      </c>
      <c r="D2289" s="23" t="s">
        <v>3371</v>
      </c>
      <c r="E2289" s="9" t="s">
        <v>3372</v>
      </c>
      <c r="F2289" s="8"/>
    </row>
    <row r="2290" ht="21.0" customHeight="1">
      <c r="A2290" s="6">
        <v>1.0</v>
      </c>
      <c r="B2290" s="6">
        <v>177.0</v>
      </c>
      <c r="C2290" s="6">
        <v>11.0</v>
      </c>
      <c r="D2290" s="25" t="s">
        <v>3373</v>
      </c>
      <c r="E2290" s="9" t="s">
        <v>3374</v>
      </c>
      <c r="F2290" s="8"/>
    </row>
    <row r="2291" ht="21.0" customHeight="1">
      <c r="A2291" s="6">
        <v>1.0</v>
      </c>
      <c r="B2291" s="6">
        <v>177.0</v>
      </c>
      <c r="C2291" s="6">
        <v>12.0</v>
      </c>
      <c r="D2291" s="23" t="s">
        <v>3375</v>
      </c>
      <c r="E2291" s="9" t="s">
        <v>3376</v>
      </c>
      <c r="F2291" s="8"/>
    </row>
    <row r="2292" ht="21.0" customHeight="1">
      <c r="A2292" s="6">
        <v>1.0</v>
      </c>
      <c r="B2292" s="6">
        <v>177.0</v>
      </c>
      <c r="C2292" s="6">
        <v>13.0</v>
      </c>
      <c r="D2292" s="23" t="s">
        <v>3377</v>
      </c>
      <c r="E2292" s="9" t="s">
        <v>3378</v>
      </c>
      <c r="F2292" s="8"/>
    </row>
    <row r="2293" ht="21.0" customHeight="1">
      <c r="A2293" s="6">
        <v>11.0</v>
      </c>
      <c r="B2293" s="6">
        <v>1038.0</v>
      </c>
      <c r="C2293" s="6">
        <v>1.0</v>
      </c>
      <c r="D2293" s="23" t="s">
        <v>3379</v>
      </c>
      <c r="E2293" s="9" t="s">
        <v>3380</v>
      </c>
      <c r="F2293" s="8"/>
    </row>
    <row r="2294" ht="21.0" customHeight="1">
      <c r="A2294" s="6">
        <v>11.0</v>
      </c>
      <c r="B2294" s="6">
        <v>1038.0</v>
      </c>
      <c r="C2294" s="6">
        <v>2.0</v>
      </c>
      <c r="D2294" s="23" t="s">
        <v>3381</v>
      </c>
      <c r="E2294" s="9" t="s">
        <v>3382</v>
      </c>
      <c r="F2294" s="8"/>
    </row>
    <row r="2295" ht="21.0" customHeight="1">
      <c r="A2295" s="6">
        <v>11.0</v>
      </c>
      <c r="B2295" s="6">
        <v>1038.0</v>
      </c>
      <c r="C2295" s="6">
        <v>3.0</v>
      </c>
      <c r="D2295" s="23" t="s">
        <v>3383</v>
      </c>
      <c r="E2295" s="9" t="s">
        <v>3384</v>
      </c>
      <c r="F2295" s="8"/>
    </row>
    <row r="2296" ht="21.0" customHeight="1">
      <c r="A2296" s="6">
        <v>11.0</v>
      </c>
      <c r="B2296" s="6">
        <v>1038.0</v>
      </c>
      <c r="C2296" s="6">
        <v>4.0</v>
      </c>
      <c r="D2296" s="23" t="s">
        <v>3385</v>
      </c>
      <c r="E2296" s="9" t="s">
        <v>3386</v>
      </c>
      <c r="F2296" s="8"/>
    </row>
    <row r="2297" ht="21.0" customHeight="1">
      <c r="A2297" s="6">
        <v>10.0</v>
      </c>
      <c r="B2297" s="6">
        <v>1038.0</v>
      </c>
      <c r="C2297" s="6">
        <v>5.0</v>
      </c>
      <c r="D2297" s="23" t="s">
        <v>3387</v>
      </c>
      <c r="E2297" s="9" t="s">
        <v>3388</v>
      </c>
      <c r="F2297" s="8"/>
    </row>
    <row r="2298" ht="21.0" customHeight="1">
      <c r="A2298" s="6">
        <v>10.0</v>
      </c>
      <c r="B2298" s="6">
        <v>1038.0</v>
      </c>
      <c r="C2298" s="6">
        <v>6.0</v>
      </c>
      <c r="D2298" s="23" t="s">
        <v>3389</v>
      </c>
      <c r="E2298" s="9" t="s">
        <v>3390</v>
      </c>
      <c r="F2298" s="8"/>
    </row>
    <row r="2299" ht="21.0" customHeight="1">
      <c r="A2299" s="6">
        <v>10.0</v>
      </c>
      <c r="B2299" s="6">
        <v>1038.0</v>
      </c>
      <c r="C2299" s="6">
        <v>7.0</v>
      </c>
      <c r="D2299" s="23" t="s">
        <v>3391</v>
      </c>
      <c r="E2299" s="9" t="s">
        <v>3392</v>
      </c>
      <c r="F2299" s="8"/>
    </row>
    <row r="2300" ht="21.0" customHeight="1">
      <c r="A2300" s="6">
        <v>10.0</v>
      </c>
      <c r="B2300" s="6">
        <v>1038.0</v>
      </c>
      <c r="C2300" s="6">
        <v>8.0</v>
      </c>
      <c r="D2300" s="23" t="s">
        <v>3393</v>
      </c>
      <c r="E2300" s="9" t="s">
        <v>3394</v>
      </c>
      <c r="F2300" s="8"/>
    </row>
    <row r="2301" ht="21.0" customHeight="1">
      <c r="A2301" s="6">
        <v>10.0</v>
      </c>
      <c r="B2301" s="6">
        <v>1038.0</v>
      </c>
      <c r="C2301" s="6">
        <v>9.0</v>
      </c>
      <c r="D2301" s="23" t="s">
        <v>3395</v>
      </c>
      <c r="E2301" s="9" t="s">
        <v>3396</v>
      </c>
      <c r="F2301" s="8"/>
    </row>
    <row r="2302" ht="21.0" customHeight="1">
      <c r="A2302" s="6">
        <v>10.0</v>
      </c>
      <c r="B2302" s="6">
        <v>1038.0</v>
      </c>
      <c r="C2302" s="6">
        <v>10.0</v>
      </c>
      <c r="D2302" s="23" t="s">
        <v>3397</v>
      </c>
      <c r="E2302" s="9" t="s">
        <v>3398</v>
      </c>
      <c r="F2302" s="8"/>
    </row>
    <row r="2303" ht="21.0" customHeight="1">
      <c r="A2303" s="6">
        <v>11.0</v>
      </c>
      <c r="B2303" s="6">
        <v>1039.0</v>
      </c>
      <c r="C2303" s="6">
        <v>1.0</v>
      </c>
      <c r="D2303" s="23" t="s">
        <v>3399</v>
      </c>
      <c r="E2303" s="9" t="s">
        <v>3400</v>
      </c>
      <c r="F2303" s="8"/>
    </row>
    <row r="2304" ht="21.0" customHeight="1">
      <c r="A2304" s="6">
        <v>11.0</v>
      </c>
      <c r="B2304" s="6">
        <v>1039.0</v>
      </c>
      <c r="C2304" s="6">
        <v>2.0</v>
      </c>
      <c r="D2304" s="23" t="s">
        <v>3401</v>
      </c>
      <c r="E2304" s="9" t="s">
        <v>3402</v>
      </c>
      <c r="F2304" s="8"/>
    </row>
    <row r="2305" ht="21.0" customHeight="1">
      <c r="A2305" s="6">
        <v>11.0</v>
      </c>
      <c r="B2305" s="6">
        <v>1039.0</v>
      </c>
      <c r="C2305" s="6">
        <v>3.0</v>
      </c>
      <c r="D2305" s="23" t="s">
        <v>3403</v>
      </c>
      <c r="E2305" s="9" t="s">
        <v>3404</v>
      </c>
      <c r="F2305" s="8"/>
    </row>
    <row r="2306" ht="21.0" customHeight="1">
      <c r="A2306" s="6">
        <v>11.0</v>
      </c>
      <c r="B2306" s="6">
        <v>1039.0</v>
      </c>
      <c r="C2306" s="6">
        <v>4.0</v>
      </c>
      <c r="D2306" s="23" t="s">
        <v>3405</v>
      </c>
      <c r="E2306" s="9" t="s">
        <v>3406</v>
      </c>
      <c r="F2306" s="8"/>
    </row>
    <row r="2307" ht="21.0" customHeight="1">
      <c r="A2307" s="6">
        <v>10.0</v>
      </c>
      <c r="B2307" s="6">
        <v>1039.0</v>
      </c>
      <c r="C2307" s="6">
        <v>5.0</v>
      </c>
      <c r="D2307" s="23" t="s">
        <v>3407</v>
      </c>
      <c r="E2307" s="9" t="s">
        <v>3408</v>
      </c>
      <c r="F2307" s="8"/>
    </row>
    <row r="2308" ht="21.0" customHeight="1">
      <c r="A2308" s="6">
        <v>10.0</v>
      </c>
      <c r="B2308" s="6">
        <v>1039.0</v>
      </c>
      <c r="C2308" s="6">
        <v>6.0</v>
      </c>
      <c r="D2308" s="23" t="s">
        <v>3409</v>
      </c>
      <c r="E2308" s="9" t="s">
        <v>3410</v>
      </c>
      <c r="F2308" s="8"/>
    </row>
    <row r="2309" ht="21.0" customHeight="1">
      <c r="A2309" s="6">
        <v>10.0</v>
      </c>
      <c r="B2309" s="6">
        <v>1039.0</v>
      </c>
      <c r="C2309" s="6">
        <v>7.0</v>
      </c>
      <c r="D2309" s="23" t="s">
        <v>3411</v>
      </c>
      <c r="E2309" s="9" t="s">
        <v>3412</v>
      </c>
      <c r="F2309" s="8"/>
    </row>
    <row r="2310" ht="21.0" customHeight="1">
      <c r="A2310" s="6">
        <v>10.0</v>
      </c>
      <c r="B2310" s="6">
        <v>1039.0</v>
      </c>
      <c r="C2310" s="6">
        <v>8.0</v>
      </c>
      <c r="D2310" s="23" t="s">
        <v>3413</v>
      </c>
      <c r="E2310" s="9" t="s">
        <v>3414</v>
      </c>
      <c r="F2310" s="8"/>
    </row>
    <row r="2311" ht="21.0" customHeight="1">
      <c r="A2311" s="6">
        <v>10.0</v>
      </c>
      <c r="B2311" s="6">
        <v>1039.0</v>
      </c>
      <c r="C2311" s="6">
        <v>9.0</v>
      </c>
      <c r="D2311" s="23" t="s">
        <v>3415</v>
      </c>
      <c r="E2311" s="9" t="s">
        <v>3416</v>
      </c>
      <c r="F2311" s="8"/>
    </row>
    <row r="2312" ht="21.0" customHeight="1">
      <c r="A2312" s="6">
        <v>10.0</v>
      </c>
      <c r="B2312" s="6">
        <v>1039.0</v>
      </c>
      <c r="C2312" s="6">
        <v>10.0</v>
      </c>
      <c r="D2312" s="23" t="s">
        <v>3417</v>
      </c>
      <c r="E2312" s="9" t="s">
        <v>3398</v>
      </c>
      <c r="F2312" s="8"/>
    </row>
    <row r="2313" ht="21.0" customHeight="1">
      <c r="A2313" s="6">
        <v>1.0</v>
      </c>
      <c r="B2313" s="6">
        <v>178.0</v>
      </c>
      <c r="C2313" s="6">
        <v>1.0</v>
      </c>
      <c r="D2313" s="23" t="s">
        <v>3418</v>
      </c>
      <c r="E2313" s="9" t="s">
        <v>3419</v>
      </c>
      <c r="F2313" s="8"/>
    </row>
    <row r="2314" ht="21.0" customHeight="1">
      <c r="A2314" s="6">
        <v>1.0</v>
      </c>
      <c r="B2314" s="6">
        <v>178.0</v>
      </c>
      <c r="C2314" s="6">
        <v>2.0</v>
      </c>
      <c r="D2314" s="23" t="s">
        <v>3420</v>
      </c>
      <c r="E2314" s="9" t="s">
        <v>3421</v>
      </c>
      <c r="F2314" s="8"/>
    </row>
    <row r="2315" ht="21.0" customHeight="1">
      <c r="A2315" s="6">
        <v>1.0</v>
      </c>
      <c r="B2315" s="6">
        <v>178.0</v>
      </c>
      <c r="C2315" s="6">
        <v>3.0</v>
      </c>
      <c r="D2315" s="23" t="s">
        <v>3422</v>
      </c>
      <c r="E2315" s="9" t="s">
        <v>3423</v>
      </c>
      <c r="F2315" s="8"/>
    </row>
    <row r="2316" ht="21.0" customHeight="1">
      <c r="A2316" s="6">
        <v>1.0</v>
      </c>
      <c r="B2316" s="6">
        <v>178.0</v>
      </c>
      <c r="C2316" s="6">
        <v>4.0</v>
      </c>
      <c r="D2316" s="23" t="s">
        <v>3424</v>
      </c>
      <c r="E2316" s="9" t="s">
        <v>3425</v>
      </c>
      <c r="F2316" s="8"/>
    </row>
    <row r="2317" ht="21.0" customHeight="1">
      <c r="A2317" s="6">
        <v>1.0</v>
      </c>
      <c r="B2317" s="6">
        <v>178.0</v>
      </c>
      <c r="C2317" s="6">
        <v>5.0</v>
      </c>
      <c r="D2317" s="23" t="s">
        <v>3426</v>
      </c>
      <c r="E2317" s="9" t="s">
        <v>3427</v>
      </c>
      <c r="F2317" s="8"/>
    </row>
    <row r="2318" ht="21.0" customHeight="1">
      <c r="A2318" s="6">
        <v>1.0</v>
      </c>
      <c r="B2318" s="6">
        <v>178.0</v>
      </c>
      <c r="C2318" s="6">
        <v>6.0</v>
      </c>
      <c r="D2318" s="23" t="s">
        <v>3428</v>
      </c>
      <c r="E2318" s="9" t="s">
        <v>3429</v>
      </c>
      <c r="F2318" s="8"/>
    </row>
    <row r="2319" ht="21.0" customHeight="1">
      <c r="A2319" s="6">
        <v>1.0</v>
      </c>
      <c r="B2319" s="6">
        <v>178.0</v>
      </c>
      <c r="C2319" s="6">
        <v>7.0</v>
      </c>
      <c r="D2319" s="23" t="s">
        <v>3430</v>
      </c>
      <c r="E2319" s="9" t="s">
        <v>3431</v>
      </c>
      <c r="F2319" s="8"/>
    </row>
    <row r="2320" ht="21.0" customHeight="1">
      <c r="A2320" s="6">
        <v>1.0</v>
      </c>
      <c r="B2320" s="6">
        <v>178.0</v>
      </c>
      <c r="C2320" s="6">
        <v>8.0</v>
      </c>
      <c r="D2320" s="23" t="s">
        <v>3432</v>
      </c>
      <c r="E2320" s="9" t="s">
        <v>3433</v>
      </c>
      <c r="F2320" s="8"/>
    </row>
    <row r="2321" ht="21.0" customHeight="1">
      <c r="A2321" s="6">
        <v>1.0</v>
      </c>
      <c r="B2321" s="6">
        <v>178.0</v>
      </c>
      <c r="C2321" s="6">
        <v>9.0</v>
      </c>
      <c r="D2321" s="23" t="s">
        <v>3434</v>
      </c>
      <c r="E2321" s="9" t="s">
        <v>3435</v>
      </c>
      <c r="F2321" s="8"/>
    </row>
    <row r="2322" ht="21.0" customHeight="1">
      <c r="A2322" s="6">
        <v>1.0</v>
      </c>
      <c r="B2322" s="6">
        <v>178.0</v>
      </c>
      <c r="C2322" s="6">
        <v>10.0</v>
      </c>
      <c r="D2322" s="23" t="s">
        <v>3436</v>
      </c>
      <c r="E2322" s="9" t="s">
        <v>3437</v>
      </c>
      <c r="F2322" s="8"/>
    </row>
    <row r="2323" ht="21.0" customHeight="1">
      <c r="A2323" s="6">
        <v>1.0</v>
      </c>
      <c r="B2323" s="6">
        <v>178.0</v>
      </c>
      <c r="C2323" s="6">
        <v>11.0</v>
      </c>
      <c r="D2323" s="23" t="s">
        <v>3438</v>
      </c>
      <c r="E2323" s="9" t="s">
        <v>3439</v>
      </c>
      <c r="F2323" s="8"/>
    </row>
    <row r="2324" ht="21.0" customHeight="1">
      <c r="A2324" s="6">
        <v>1.0</v>
      </c>
      <c r="B2324" s="6">
        <v>178.0</v>
      </c>
      <c r="C2324" s="6">
        <v>12.0</v>
      </c>
      <c r="D2324" s="23" t="s">
        <v>3440</v>
      </c>
      <c r="E2324" s="9" t="s">
        <v>3441</v>
      </c>
      <c r="F2324" s="8"/>
    </row>
    <row r="2325" ht="21.0" customHeight="1">
      <c r="A2325" s="6">
        <v>1.0</v>
      </c>
      <c r="B2325" s="6">
        <v>178.0</v>
      </c>
      <c r="C2325" s="6">
        <v>13.0</v>
      </c>
      <c r="D2325" s="23" t="s">
        <v>3442</v>
      </c>
      <c r="E2325" s="9" t="s">
        <v>3443</v>
      </c>
      <c r="F2325" s="8"/>
    </row>
    <row r="2326" ht="21.0" customHeight="1">
      <c r="A2326" s="6">
        <v>1.0</v>
      </c>
      <c r="B2326" s="6">
        <v>179.0</v>
      </c>
      <c r="C2326" s="6">
        <v>1.0</v>
      </c>
      <c r="D2326" s="23" t="s">
        <v>3444</v>
      </c>
      <c r="E2326" s="9" t="s">
        <v>3445</v>
      </c>
      <c r="F2326" s="8"/>
    </row>
    <row r="2327" ht="21.0" customHeight="1">
      <c r="A2327" s="6">
        <v>1.0</v>
      </c>
      <c r="B2327" s="6">
        <v>179.0</v>
      </c>
      <c r="C2327" s="6">
        <v>2.0</v>
      </c>
      <c r="D2327" s="9" t="s">
        <v>3446</v>
      </c>
      <c r="E2327" s="9" t="s">
        <v>3447</v>
      </c>
      <c r="F2327" s="8"/>
    </row>
    <row r="2328" ht="21.0" customHeight="1">
      <c r="A2328" s="6">
        <v>1.0</v>
      </c>
      <c r="B2328" s="6">
        <v>179.0</v>
      </c>
      <c r="C2328" s="6">
        <v>3.0</v>
      </c>
      <c r="D2328" s="23" t="s">
        <v>3448</v>
      </c>
      <c r="E2328" s="9" t="s">
        <v>3449</v>
      </c>
      <c r="F2328" s="8"/>
    </row>
    <row r="2329" ht="21.0" customHeight="1">
      <c r="A2329" s="6">
        <v>1.0</v>
      </c>
      <c r="B2329" s="6">
        <v>179.0</v>
      </c>
      <c r="C2329" s="6">
        <v>4.0</v>
      </c>
      <c r="D2329" s="23" t="s">
        <v>3450</v>
      </c>
      <c r="E2329" s="9" t="s">
        <v>3451</v>
      </c>
      <c r="F2329" s="8"/>
    </row>
    <row r="2330" ht="21.0" customHeight="1">
      <c r="A2330" s="6">
        <v>1.0</v>
      </c>
      <c r="B2330" s="6">
        <v>179.0</v>
      </c>
      <c r="C2330" s="6">
        <v>5.0</v>
      </c>
      <c r="D2330" s="23" t="s">
        <v>3452</v>
      </c>
      <c r="E2330" s="9" t="s">
        <v>3453</v>
      </c>
      <c r="F2330" s="8"/>
    </row>
    <row r="2331" ht="21.0" customHeight="1">
      <c r="A2331" s="6">
        <v>1.0</v>
      </c>
      <c r="B2331" s="6">
        <v>179.0</v>
      </c>
      <c r="C2331" s="6">
        <v>6.0</v>
      </c>
      <c r="D2331" s="23" t="s">
        <v>3454</v>
      </c>
      <c r="E2331" s="9" t="s">
        <v>3455</v>
      </c>
      <c r="F2331" s="8"/>
    </row>
    <row r="2332" ht="21.0" customHeight="1">
      <c r="A2332" s="6">
        <v>1.0</v>
      </c>
      <c r="B2332" s="6">
        <v>179.0</v>
      </c>
      <c r="C2332" s="6">
        <v>7.0</v>
      </c>
      <c r="D2332" s="23" t="s">
        <v>3456</v>
      </c>
      <c r="E2332" s="9" t="s">
        <v>3457</v>
      </c>
      <c r="F2332" s="8"/>
    </row>
    <row r="2333" ht="21.0" customHeight="1">
      <c r="A2333" s="6">
        <v>1.0</v>
      </c>
      <c r="B2333" s="6">
        <v>179.0</v>
      </c>
      <c r="C2333" s="6">
        <v>8.0</v>
      </c>
      <c r="D2333" s="23" t="s">
        <v>3458</v>
      </c>
      <c r="E2333" s="72" t="s">
        <v>3459</v>
      </c>
      <c r="F2333" s="8"/>
    </row>
    <row r="2334" ht="21.0" customHeight="1">
      <c r="A2334" s="6">
        <v>1.0</v>
      </c>
      <c r="B2334" s="6">
        <v>179.0</v>
      </c>
      <c r="C2334" s="6">
        <v>9.0</v>
      </c>
      <c r="D2334" s="23" t="s">
        <v>3460</v>
      </c>
      <c r="E2334" s="9" t="s">
        <v>3461</v>
      </c>
      <c r="F2334" s="8"/>
    </row>
    <row r="2335" ht="21.0" customHeight="1">
      <c r="A2335" s="6">
        <v>1.0</v>
      </c>
      <c r="B2335" s="6">
        <v>179.0</v>
      </c>
      <c r="C2335" s="6">
        <v>10.0</v>
      </c>
      <c r="D2335" s="23" t="s">
        <v>3462</v>
      </c>
      <c r="E2335" s="9" t="s">
        <v>3463</v>
      </c>
      <c r="F2335" s="8"/>
    </row>
    <row r="2336" ht="21.0" customHeight="1">
      <c r="A2336" s="6">
        <v>1.0</v>
      </c>
      <c r="B2336" s="6">
        <v>179.0</v>
      </c>
      <c r="C2336" s="6">
        <v>11.0</v>
      </c>
      <c r="D2336" s="23" t="s">
        <v>3464</v>
      </c>
      <c r="E2336" s="9" t="s">
        <v>3465</v>
      </c>
      <c r="F2336" s="8"/>
    </row>
    <row r="2337" ht="21.0" customHeight="1">
      <c r="A2337" s="6">
        <v>1.0</v>
      </c>
      <c r="B2337" s="6">
        <v>179.0</v>
      </c>
      <c r="C2337" s="6">
        <v>12.0</v>
      </c>
      <c r="D2337" s="23" t="s">
        <v>3466</v>
      </c>
      <c r="E2337" s="9" t="s">
        <v>3467</v>
      </c>
      <c r="F2337" s="8"/>
    </row>
    <row r="2338" ht="21.0" customHeight="1">
      <c r="A2338" s="6">
        <v>1.0</v>
      </c>
      <c r="B2338" s="6">
        <v>179.0</v>
      </c>
      <c r="C2338" s="6">
        <v>13.0</v>
      </c>
      <c r="D2338" s="23" t="s">
        <v>3468</v>
      </c>
      <c r="E2338" s="9" t="s">
        <v>3469</v>
      </c>
      <c r="F2338" s="8"/>
    </row>
    <row r="2339" ht="21.0" customHeight="1">
      <c r="A2339" s="6">
        <v>1.0</v>
      </c>
      <c r="B2339" s="6">
        <v>180.0</v>
      </c>
      <c r="C2339" s="6">
        <v>1.0</v>
      </c>
      <c r="D2339" s="23" t="s">
        <v>3470</v>
      </c>
      <c r="E2339" s="9" t="s">
        <v>3471</v>
      </c>
      <c r="F2339" s="8"/>
    </row>
    <row r="2340" ht="21.0" customHeight="1">
      <c r="A2340" s="6">
        <v>1.0</v>
      </c>
      <c r="B2340" s="6">
        <v>180.0</v>
      </c>
      <c r="C2340" s="6">
        <v>2.0</v>
      </c>
      <c r="D2340" s="23" t="s">
        <v>3472</v>
      </c>
      <c r="E2340" s="9" t="s">
        <v>3473</v>
      </c>
      <c r="F2340" s="8"/>
    </row>
    <row r="2341" ht="21.0" customHeight="1">
      <c r="A2341" s="6">
        <v>1.0</v>
      </c>
      <c r="B2341" s="6">
        <v>180.0</v>
      </c>
      <c r="C2341" s="6">
        <v>3.0</v>
      </c>
      <c r="D2341" s="23" t="s">
        <v>3474</v>
      </c>
      <c r="E2341" s="9" t="s">
        <v>3475</v>
      </c>
      <c r="F2341" s="8"/>
    </row>
    <row r="2342" ht="21.0" customHeight="1">
      <c r="A2342" s="6">
        <v>1.0</v>
      </c>
      <c r="B2342" s="6">
        <v>180.0</v>
      </c>
      <c r="C2342" s="6">
        <v>4.0</v>
      </c>
      <c r="D2342" s="23" t="s">
        <v>3476</v>
      </c>
      <c r="E2342" s="9" t="s">
        <v>3477</v>
      </c>
      <c r="F2342" s="8"/>
    </row>
    <row r="2343" ht="21.0" customHeight="1">
      <c r="A2343" s="6">
        <v>1.0</v>
      </c>
      <c r="B2343" s="6">
        <v>180.0</v>
      </c>
      <c r="C2343" s="6">
        <v>5.0</v>
      </c>
      <c r="D2343" s="23" t="s">
        <v>3478</v>
      </c>
      <c r="E2343" s="9" t="s">
        <v>3479</v>
      </c>
      <c r="F2343" s="8"/>
    </row>
    <row r="2344" ht="21.0" customHeight="1">
      <c r="A2344" s="6">
        <v>1.0</v>
      </c>
      <c r="B2344" s="6">
        <v>180.0</v>
      </c>
      <c r="C2344" s="6">
        <v>6.0</v>
      </c>
      <c r="D2344" s="23" t="s">
        <v>3480</v>
      </c>
      <c r="E2344" s="9" t="s">
        <v>3481</v>
      </c>
      <c r="F2344" s="8"/>
    </row>
    <row r="2345" ht="21.0" customHeight="1">
      <c r="A2345" s="6">
        <v>1.0</v>
      </c>
      <c r="B2345" s="6">
        <v>180.0</v>
      </c>
      <c r="C2345" s="6">
        <v>7.0</v>
      </c>
      <c r="D2345" s="23" t="s">
        <v>3482</v>
      </c>
      <c r="E2345" s="72" t="s">
        <v>3483</v>
      </c>
      <c r="F2345" s="8"/>
    </row>
    <row r="2346" ht="21.0" customHeight="1">
      <c r="A2346" s="6">
        <v>1.0</v>
      </c>
      <c r="B2346" s="6">
        <v>180.0</v>
      </c>
      <c r="C2346" s="6">
        <v>8.0</v>
      </c>
      <c r="D2346" s="23" t="s">
        <v>3484</v>
      </c>
      <c r="E2346" s="9" t="s">
        <v>3485</v>
      </c>
      <c r="F2346" s="8"/>
    </row>
    <row r="2347" ht="21.0" customHeight="1">
      <c r="A2347" s="6">
        <v>1.0</v>
      </c>
      <c r="B2347" s="6">
        <v>180.0</v>
      </c>
      <c r="C2347" s="6">
        <v>9.0</v>
      </c>
      <c r="D2347" s="23" t="s">
        <v>3486</v>
      </c>
      <c r="E2347" s="9" t="s">
        <v>3487</v>
      </c>
      <c r="F2347" s="8"/>
    </row>
    <row r="2348" ht="21.0" customHeight="1">
      <c r="A2348" s="6">
        <v>1.0</v>
      </c>
      <c r="B2348" s="6">
        <v>180.0</v>
      </c>
      <c r="C2348" s="6">
        <v>10.0</v>
      </c>
      <c r="D2348" s="23" t="s">
        <v>3488</v>
      </c>
      <c r="E2348" s="9" t="s">
        <v>3489</v>
      </c>
      <c r="F2348" s="8"/>
    </row>
    <row r="2349" ht="21.0" customHeight="1">
      <c r="A2349" s="6">
        <v>1.0</v>
      </c>
      <c r="B2349" s="6">
        <v>180.0</v>
      </c>
      <c r="C2349" s="6">
        <v>11.0</v>
      </c>
      <c r="D2349" s="23" t="s">
        <v>3490</v>
      </c>
      <c r="E2349" s="9" t="s">
        <v>3491</v>
      </c>
      <c r="F2349" s="8"/>
    </row>
    <row r="2350" ht="21.0" customHeight="1">
      <c r="A2350" s="6">
        <v>1.0</v>
      </c>
      <c r="B2350" s="6">
        <v>180.0</v>
      </c>
      <c r="C2350" s="6">
        <v>12.0</v>
      </c>
      <c r="D2350" s="23" t="s">
        <v>3492</v>
      </c>
      <c r="E2350" s="9" t="s">
        <v>3493</v>
      </c>
      <c r="F2350" s="8"/>
    </row>
    <row r="2351" ht="21.0" customHeight="1">
      <c r="A2351" s="6">
        <v>1.0</v>
      </c>
      <c r="B2351" s="6">
        <v>180.0</v>
      </c>
      <c r="C2351" s="6">
        <v>13.0</v>
      </c>
      <c r="D2351" s="23" t="s">
        <v>3494</v>
      </c>
      <c r="E2351" s="9" t="s">
        <v>3495</v>
      </c>
      <c r="F2351" s="8"/>
    </row>
    <row r="2352" ht="21.0" customHeight="1">
      <c r="A2352" s="6">
        <v>11.0</v>
      </c>
      <c r="B2352" s="6">
        <v>1040.0</v>
      </c>
      <c r="C2352" s="6">
        <v>1.0</v>
      </c>
      <c r="D2352" s="23" t="s">
        <v>3496</v>
      </c>
      <c r="E2352" s="9" t="s">
        <v>3497</v>
      </c>
      <c r="F2352" s="8"/>
    </row>
    <row r="2353" ht="21.0" customHeight="1">
      <c r="A2353" s="6">
        <v>11.0</v>
      </c>
      <c r="B2353" s="6">
        <v>1040.0</v>
      </c>
      <c r="C2353" s="6">
        <v>2.0</v>
      </c>
      <c r="D2353" s="23" t="s">
        <v>3498</v>
      </c>
      <c r="E2353" s="9" t="s">
        <v>3499</v>
      </c>
      <c r="F2353" s="8"/>
    </row>
    <row r="2354" ht="21.0" customHeight="1">
      <c r="A2354" s="6">
        <v>11.0</v>
      </c>
      <c r="B2354" s="6">
        <v>1040.0</v>
      </c>
      <c r="C2354" s="6">
        <v>3.0</v>
      </c>
      <c r="D2354" s="23" t="s">
        <v>3500</v>
      </c>
      <c r="E2354" s="9" t="s">
        <v>3501</v>
      </c>
      <c r="F2354" s="8"/>
    </row>
    <row r="2355" ht="21.0" customHeight="1">
      <c r="A2355" s="6">
        <v>11.0</v>
      </c>
      <c r="B2355" s="6">
        <v>1040.0</v>
      </c>
      <c r="C2355" s="6">
        <v>4.0</v>
      </c>
      <c r="D2355" s="23" t="s">
        <v>3502</v>
      </c>
      <c r="E2355" s="9" t="s">
        <v>3503</v>
      </c>
      <c r="F2355" s="8"/>
    </row>
    <row r="2356" ht="21.0" customHeight="1">
      <c r="A2356" s="6">
        <v>10.0</v>
      </c>
      <c r="B2356" s="6">
        <v>1040.0</v>
      </c>
      <c r="C2356" s="6">
        <v>5.0</v>
      </c>
      <c r="D2356" s="23" t="s">
        <v>3504</v>
      </c>
      <c r="E2356" s="9" t="s">
        <v>3505</v>
      </c>
      <c r="F2356" s="8"/>
    </row>
    <row r="2357" ht="21.0" customHeight="1">
      <c r="A2357" s="6">
        <v>10.0</v>
      </c>
      <c r="B2357" s="6">
        <v>1040.0</v>
      </c>
      <c r="C2357" s="6">
        <v>6.0</v>
      </c>
      <c r="D2357" s="23" t="s">
        <v>3506</v>
      </c>
      <c r="E2357" s="9" t="s">
        <v>3507</v>
      </c>
      <c r="F2357" s="8"/>
    </row>
    <row r="2358" ht="21.0" customHeight="1">
      <c r="A2358" s="6">
        <v>10.0</v>
      </c>
      <c r="B2358" s="6">
        <v>1040.0</v>
      </c>
      <c r="C2358" s="6">
        <v>7.0</v>
      </c>
      <c r="D2358" s="23" t="s">
        <v>3508</v>
      </c>
      <c r="E2358" s="9" t="s">
        <v>3509</v>
      </c>
      <c r="F2358" s="8"/>
    </row>
    <row r="2359" ht="21.0" customHeight="1">
      <c r="A2359" s="6">
        <v>10.0</v>
      </c>
      <c r="B2359" s="6">
        <v>1040.0</v>
      </c>
      <c r="C2359" s="6">
        <v>8.0</v>
      </c>
      <c r="D2359" s="23" t="s">
        <v>3510</v>
      </c>
      <c r="E2359" s="9" t="s">
        <v>3511</v>
      </c>
      <c r="F2359" s="8"/>
    </row>
    <row r="2360" ht="21.0" customHeight="1">
      <c r="A2360" s="6">
        <v>10.0</v>
      </c>
      <c r="B2360" s="6">
        <v>1040.0</v>
      </c>
      <c r="C2360" s="6">
        <v>9.0</v>
      </c>
      <c r="D2360" s="23" t="s">
        <v>3512</v>
      </c>
      <c r="E2360" s="9" t="s">
        <v>3513</v>
      </c>
      <c r="F2360" s="8"/>
    </row>
    <row r="2361" ht="21.0" customHeight="1">
      <c r="A2361" s="6">
        <v>10.0</v>
      </c>
      <c r="B2361" s="6">
        <v>1040.0</v>
      </c>
      <c r="C2361" s="6">
        <v>10.0</v>
      </c>
      <c r="D2361" s="23" t="s">
        <v>3514</v>
      </c>
      <c r="E2361" s="9" t="s">
        <v>3515</v>
      </c>
      <c r="F2361" s="8"/>
    </row>
    <row r="2362" ht="21.0" customHeight="1">
      <c r="A2362" s="6">
        <v>11.0</v>
      </c>
      <c r="B2362" s="6">
        <v>1041.0</v>
      </c>
      <c r="C2362" s="6">
        <v>1.0</v>
      </c>
      <c r="D2362" s="23" t="s">
        <v>3516</v>
      </c>
      <c r="E2362" s="9" t="s">
        <v>3517</v>
      </c>
      <c r="F2362" s="8"/>
    </row>
    <row r="2363" ht="21.0" customHeight="1">
      <c r="A2363" s="6">
        <v>11.0</v>
      </c>
      <c r="B2363" s="6">
        <v>1041.0</v>
      </c>
      <c r="C2363" s="6">
        <v>2.0</v>
      </c>
      <c r="D2363" s="23" t="s">
        <v>3518</v>
      </c>
      <c r="E2363" s="9" t="s">
        <v>3519</v>
      </c>
      <c r="F2363" s="8"/>
    </row>
    <row r="2364" ht="21.0" customHeight="1">
      <c r="A2364" s="6">
        <v>11.0</v>
      </c>
      <c r="B2364" s="6">
        <v>1041.0</v>
      </c>
      <c r="C2364" s="6">
        <v>3.0</v>
      </c>
      <c r="D2364" s="23" t="s">
        <v>3520</v>
      </c>
      <c r="E2364" s="9" t="s">
        <v>3521</v>
      </c>
      <c r="F2364" s="8"/>
    </row>
    <row r="2365" ht="21.0" customHeight="1">
      <c r="A2365" s="6">
        <v>11.0</v>
      </c>
      <c r="B2365" s="6">
        <v>1041.0</v>
      </c>
      <c r="C2365" s="6">
        <v>4.0</v>
      </c>
      <c r="D2365" s="23" t="s">
        <v>3522</v>
      </c>
      <c r="E2365" s="9" t="s">
        <v>3523</v>
      </c>
      <c r="F2365" s="8"/>
    </row>
    <row r="2366" ht="21.0" customHeight="1">
      <c r="A2366" s="6">
        <v>10.0</v>
      </c>
      <c r="B2366" s="6">
        <v>1041.0</v>
      </c>
      <c r="C2366" s="6">
        <v>5.0</v>
      </c>
      <c r="D2366" s="23" t="s">
        <v>3524</v>
      </c>
      <c r="E2366" s="9" t="s">
        <v>3525</v>
      </c>
      <c r="F2366" s="8"/>
    </row>
    <row r="2367" ht="21.0" customHeight="1">
      <c r="A2367" s="6">
        <v>10.0</v>
      </c>
      <c r="B2367" s="6">
        <v>1041.0</v>
      </c>
      <c r="C2367" s="6">
        <v>6.0</v>
      </c>
      <c r="D2367" s="23" t="s">
        <v>3526</v>
      </c>
      <c r="E2367" s="9" t="s">
        <v>3527</v>
      </c>
      <c r="F2367" s="8"/>
    </row>
    <row r="2368" ht="21.0" customHeight="1">
      <c r="A2368" s="6">
        <v>10.0</v>
      </c>
      <c r="B2368" s="6">
        <v>1041.0</v>
      </c>
      <c r="C2368" s="6">
        <v>7.0</v>
      </c>
      <c r="D2368" s="23" t="s">
        <v>3528</v>
      </c>
      <c r="E2368" s="9" t="s">
        <v>3529</v>
      </c>
      <c r="F2368" s="8"/>
    </row>
    <row r="2369" ht="21.0" customHeight="1">
      <c r="A2369" s="6">
        <v>10.0</v>
      </c>
      <c r="B2369" s="6">
        <v>1041.0</v>
      </c>
      <c r="C2369" s="6">
        <v>8.0</v>
      </c>
      <c r="D2369" s="23" t="s">
        <v>3530</v>
      </c>
      <c r="E2369" s="9" t="s">
        <v>3531</v>
      </c>
      <c r="F2369" s="8"/>
    </row>
    <row r="2370" ht="21.0" customHeight="1">
      <c r="A2370" s="6">
        <v>10.0</v>
      </c>
      <c r="B2370" s="6">
        <v>1041.0</v>
      </c>
      <c r="C2370" s="6">
        <v>9.0</v>
      </c>
      <c r="D2370" s="23" t="s">
        <v>3532</v>
      </c>
      <c r="E2370" s="9" t="s">
        <v>3533</v>
      </c>
      <c r="F2370" s="8"/>
    </row>
    <row r="2371" ht="21.0" customHeight="1">
      <c r="A2371" s="6">
        <v>10.0</v>
      </c>
      <c r="B2371" s="6">
        <v>1041.0</v>
      </c>
      <c r="C2371" s="6">
        <v>10.0</v>
      </c>
      <c r="D2371" s="23" t="s">
        <v>3534</v>
      </c>
      <c r="E2371" s="9" t="s">
        <v>3515</v>
      </c>
      <c r="F2371" s="8"/>
    </row>
    <row r="2372" ht="21.0" customHeight="1">
      <c r="A2372" s="6">
        <v>1.0</v>
      </c>
      <c r="B2372" s="6">
        <v>181.0</v>
      </c>
      <c r="C2372" s="6">
        <v>1.0</v>
      </c>
      <c r="D2372" s="23" t="s">
        <v>3535</v>
      </c>
      <c r="E2372" s="9" t="s">
        <v>3536</v>
      </c>
      <c r="F2372" s="8"/>
    </row>
    <row r="2373" ht="21.0" customHeight="1">
      <c r="A2373" s="6">
        <v>1.0</v>
      </c>
      <c r="B2373" s="6">
        <v>181.0</v>
      </c>
      <c r="C2373" s="6">
        <v>2.0</v>
      </c>
      <c r="D2373" s="23" t="s">
        <v>3537</v>
      </c>
      <c r="E2373" s="9" t="s">
        <v>3538</v>
      </c>
      <c r="F2373" s="8"/>
    </row>
    <row r="2374" ht="21.0" customHeight="1">
      <c r="A2374" s="6">
        <v>1.0</v>
      </c>
      <c r="B2374" s="6">
        <v>181.0</v>
      </c>
      <c r="C2374" s="6">
        <v>3.0</v>
      </c>
      <c r="D2374" s="23" t="s">
        <v>3539</v>
      </c>
      <c r="E2374" s="9" t="s">
        <v>3540</v>
      </c>
      <c r="F2374" s="8"/>
    </row>
    <row r="2375" ht="21.0" customHeight="1">
      <c r="A2375" s="6">
        <v>1.0</v>
      </c>
      <c r="B2375" s="6">
        <v>181.0</v>
      </c>
      <c r="C2375" s="6">
        <v>4.0</v>
      </c>
      <c r="D2375" s="23" t="s">
        <v>3541</v>
      </c>
      <c r="E2375" s="9" t="s">
        <v>3542</v>
      </c>
      <c r="F2375" s="8"/>
    </row>
    <row r="2376" ht="21.0" customHeight="1">
      <c r="A2376" s="6">
        <v>1.0</v>
      </c>
      <c r="B2376" s="6">
        <v>181.0</v>
      </c>
      <c r="C2376" s="6">
        <v>5.0</v>
      </c>
      <c r="D2376" s="23" t="s">
        <v>3543</v>
      </c>
      <c r="E2376" s="9" t="s">
        <v>3544</v>
      </c>
      <c r="F2376" s="8"/>
    </row>
    <row r="2377" ht="21.0" customHeight="1">
      <c r="A2377" s="6">
        <v>1.0</v>
      </c>
      <c r="B2377" s="6">
        <v>181.0</v>
      </c>
      <c r="C2377" s="6">
        <v>6.0</v>
      </c>
      <c r="D2377" s="23" t="s">
        <v>3545</v>
      </c>
      <c r="E2377" s="9" t="s">
        <v>3546</v>
      </c>
      <c r="F2377" s="8"/>
    </row>
    <row r="2378" ht="21.0" customHeight="1">
      <c r="A2378" s="6">
        <v>1.0</v>
      </c>
      <c r="B2378" s="6">
        <v>181.0</v>
      </c>
      <c r="C2378" s="6">
        <v>7.0</v>
      </c>
      <c r="D2378" s="23" t="s">
        <v>3547</v>
      </c>
      <c r="E2378" s="9" t="s">
        <v>3548</v>
      </c>
      <c r="F2378" s="8"/>
    </row>
    <row r="2379" ht="21.0" customHeight="1">
      <c r="A2379" s="6">
        <v>1.0</v>
      </c>
      <c r="B2379" s="6">
        <v>181.0</v>
      </c>
      <c r="C2379" s="6">
        <v>8.0</v>
      </c>
      <c r="D2379" s="23" t="s">
        <v>3549</v>
      </c>
      <c r="E2379" s="9" t="s">
        <v>3550</v>
      </c>
      <c r="F2379" s="8"/>
    </row>
    <row r="2380" ht="21.0" customHeight="1">
      <c r="A2380" s="6">
        <v>1.0</v>
      </c>
      <c r="B2380" s="6">
        <v>181.0</v>
      </c>
      <c r="C2380" s="6">
        <v>9.0</v>
      </c>
      <c r="D2380" s="23" t="s">
        <v>3551</v>
      </c>
      <c r="E2380" s="9" t="s">
        <v>3552</v>
      </c>
      <c r="F2380" s="8"/>
    </row>
    <row r="2381" ht="21.0" customHeight="1">
      <c r="A2381" s="6">
        <v>1.0</v>
      </c>
      <c r="B2381" s="6">
        <v>181.0</v>
      </c>
      <c r="C2381" s="6">
        <v>10.0</v>
      </c>
      <c r="D2381" s="23" t="s">
        <v>3553</v>
      </c>
      <c r="E2381" s="9" t="s">
        <v>3554</v>
      </c>
      <c r="F2381" s="8"/>
    </row>
    <row r="2382" ht="21.0" customHeight="1">
      <c r="A2382" s="6">
        <v>1.0</v>
      </c>
      <c r="B2382" s="6">
        <v>181.0</v>
      </c>
      <c r="C2382" s="6">
        <v>11.0</v>
      </c>
      <c r="D2382" s="23" t="s">
        <v>3555</v>
      </c>
      <c r="E2382" s="9" t="s">
        <v>3556</v>
      </c>
      <c r="F2382" s="8"/>
    </row>
    <row r="2383" ht="21.0" customHeight="1">
      <c r="A2383" s="6">
        <v>1.0</v>
      </c>
      <c r="B2383" s="6">
        <v>181.0</v>
      </c>
      <c r="C2383" s="6">
        <v>12.0</v>
      </c>
      <c r="D2383" s="23" t="s">
        <v>3557</v>
      </c>
      <c r="E2383" s="9" t="s">
        <v>3558</v>
      </c>
      <c r="F2383" s="8"/>
    </row>
    <row r="2384" ht="21.0" customHeight="1">
      <c r="A2384" s="6">
        <v>1.0</v>
      </c>
      <c r="B2384" s="6">
        <v>181.0</v>
      </c>
      <c r="C2384" s="6">
        <v>13.0</v>
      </c>
      <c r="D2384" s="23" t="s">
        <v>3559</v>
      </c>
      <c r="E2384" s="9" t="s">
        <v>3560</v>
      </c>
      <c r="F2384" s="8"/>
    </row>
    <row r="2385" ht="21.0" customHeight="1">
      <c r="A2385" s="6">
        <v>1.0</v>
      </c>
      <c r="B2385" s="6">
        <v>182.0</v>
      </c>
      <c r="C2385" s="6">
        <v>1.0</v>
      </c>
      <c r="D2385" s="23" t="s">
        <v>3561</v>
      </c>
      <c r="E2385" s="9" t="s">
        <v>3562</v>
      </c>
      <c r="F2385" s="8"/>
    </row>
    <row r="2386" ht="21.0" customHeight="1">
      <c r="A2386" s="6">
        <v>1.0</v>
      </c>
      <c r="B2386" s="6">
        <v>182.0</v>
      </c>
      <c r="C2386" s="6">
        <v>2.0</v>
      </c>
      <c r="D2386" s="23" t="s">
        <v>3563</v>
      </c>
      <c r="E2386" s="9" t="s">
        <v>3564</v>
      </c>
      <c r="F2386" s="8"/>
    </row>
    <row r="2387" ht="21.0" customHeight="1">
      <c r="A2387" s="6">
        <v>1.0</v>
      </c>
      <c r="B2387" s="6">
        <v>182.0</v>
      </c>
      <c r="C2387" s="6">
        <v>3.0</v>
      </c>
      <c r="D2387" s="23" t="s">
        <v>3565</v>
      </c>
      <c r="E2387" s="9" t="s">
        <v>3566</v>
      </c>
      <c r="F2387" s="8"/>
    </row>
    <row r="2388" ht="21.0" customHeight="1">
      <c r="A2388" s="6">
        <v>1.0</v>
      </c>
      <c r="B2388" s="6">
        <v>182.0</v>
      </c>
      <c r="C2388" s="6">
        <v>4.0</v>
      </c>
      <c r="D2388" s="23" t="s">
        <v>3567</v>
      </c>
      <c r="E2388" s="9" t="s">
        <v>3568</v>
      </c>
      <c r="F2388" s="8"/>
    </row>
    <row r="2389" ht="21.0" customHeight="1">
      <c r="A2389" s="6">
        <v>1.0</v>
      </c>
      <c r="B2389" s="6">
        <v>182.0</v>
      </c>
      <c r="C2389" s="6">
        <v>5.0</v>
      </c>
      <c r="D2389" s="23" t="s">
        <v>3569</v>
      </c>
      <c r="E2389" s="9" t="s">
        <v>3570</v>
      </c>
      <c r="F2389" s="8"/>
    </row>
    <row r="2390" ht="21.0" customHeight="1">
      <c r="A2390" s="6">
        <v>1.0</v>
      </c>
      <c r="B2390" s="6">
        <v>182.0</v>
      </c>
      <c r="C2390" s="6">
        <v>6.0</v>
      </c>
      <c r="D2390" s="23" t="s">
        <v>3571</v>
      </c>
      <c r="E2390" s="9" t="s">
        <v>3572</v>
      </c>
      <c r="F2390" s="8"/>
    </row>
    <row r="2391" ht="21.0" customHeight="1">
      <c r="A2391" s="6">
        <v>1.0</v>
      </c>
      <c r="B2391" s="6">
        <v>182.0</v>
      </c>
      <c r="C2391" s="6">
        <v>7.0</v>
      </c>
      <c r="D2391" s="23" t="s">
        <v>3573</v>
      </c>
      <c r="E2391" s="9" t="s">
        <v>3574</v>
      </c>
      <c r="F2391" s="8"/>
    </row>
    <row r="2392" ht="21.0" customHeight="1">
      <c r="A2392" s="6">
        <v>1.0</v>
      </c>
      <c r="B2392" s="6">
        <v>182.0</v>
      </c>
      <c r="C2392" s="6">
        <v>8.0</v>
      </c>
      <c r="D2392" s="23" t="s">
        <v>3575</v>
      </c>
      <c r="E2392" s="72" t="s">
        <v>3576</v>
      </c>
      <c r="F2392" s="8"/>
    </row>
    <row r="2393" ht="21.0" customHeight="1">
      <c r="A2393" s="6">
        <v>1.0</v>
      </c>
      <c r="B2393" s="6">
        <v>182.0</v>
      </c>
      <c r="C2393" s="6">
        <v>9.0</v>
      </c>
      <c r="D2393" s="23" t="s">
        <v>3577</v>
      </c>
      <c r="E2393" s="9" t="s">
        <v>3578</v>
      </c>
      <c r="F2393" s="8"/>
    </row>
    <row r="2394" ht="21.0" customHeight="1">
      <c r="A2394" s="6">
        <v>1.0</v>
      </c>
      <c r="B2394" s="6">
        <v>182.0</v>
      </c>
      <c r="C2394" s="6">
        <v>10.0</v>
      </c>
      <c r="D2394" s="23" t="s">
        <v>3579</v>
      </c>
      <c r="E2394" s="9" t="s">
        <v>3580</v>
      </c>
      <c r="F2394" s="8"/>
    </row>
    <row r="2395" ht="21.0" customHeight="1">
      <c r="A2395" s="6">
        <v>1.0</v>
      </c>
      <c r="B2395" s="6">
        <v>182.0</v>
      </c>
      <c r="C2395" s="6">
        <v>11.0</v>
      </c>
      <c r="D2395" s="23" t="s">
        <v>3581</v>
      </c>
      <c r="E2395" s="9" t="s">
        <v>3582</v>
      </c>
      <c r="F2395" s="8"/>
    </row>
    <row r="2396" ht="21.0" customHeight="1">
      <c r="A2396" s="6">
        <v>1.0</v>
      </c>
      <c r="B2396" s="6">
        <v>182.0</v>
      </c>
      <c r="C2396" s="6">
        <v>12.0</v>
      </c>
      <c r="D2396" s="23" t="s">
        <v>3583</v>
      </c>
      <c r="E2396" s="9" t="s">
        <v>3584</v>
      </c>
      <c r="F2396" s="8"/>
    </row>
    <row r="2397" ht="21.0" customHeight="1">
      <c r="A2397" s="6">
        <v>1.0</v>
      </c>
      <c r="B2397" s="6">
        <v>182.0</v>
      </c>
      <c r="C2397" s="6">
        <v>13.0</v>
      </c>
      <c r="D2397" s="23" t="s">
        <v>3585</v>
      </c>
      <c r="E2397" s="9" t="s">
        <v>3586</v>
      </c>
      <c r="F2397" s="8"/>
    </row>
    <row r="2398" ht="21.0" customHeight="1">
      <c r="A2398" s="6">
        <v>1.0</v>
      </c>
      <c r="B2398" s="6">
        <v>183.0</v>
      </c>
      <c r="C2398" s="6">
        <v>1.0</v>
      </c>
      <c r="D2398" s="23" t="s">
        <v>3587</v>
      </c>
      <c r="E2398" s="9" t="s">
        <v>3588</v>
      </c>
      <c r="F2398" s="8"/>
    </row>
    <row r="2399" ht="21.0" customHeight="1">
      <c r="A2399" s="6">
        <v>1.0</v>
      </c>
      <c r="B2399" s="6">
        <v>183.0</v>
      </c>
      <c r="C2399" s="6">
        <v>2.0</v>
      </c>
      <c r="D2399" s="23" t="s">
        <v>3589</v>
      </c>
      <c r="E2399" s="9" t="s">
        <v>3590</v>
      </c>
      <c r="F2399" s="8"/>
    </row>
    <row r="2400" ht="21.0" customHeight="1">
      <c r="A2400" s="6">
        <v>1.0</v>
      </c>
      <c r="B2400" s="6">
        <v>183.0</v>
      </c>
      <c r="C2400" s="6">
        <v>3.0</v>
      </c>
      <c r="D2400" s="23" t="s">
        <v>3591</v>
      </c>
      <c r="E2400" s="9" t="s">
        <v>3592</v>
      </c>
      <c r="F2400" s="8"/>
    </row>
    <row r="2401" ht="21.0" customHeight="1">
      <c r="A2401" s="6">
        <v>1.0</v>
      </c>
      <c r="B2401" s="6">
        <v>183.0</v>
      </c>
      <c r="C2401" s="6">
        <v>4.0</v>
      </c>
      <c r="D2401" s="23" t="s">
        <v>3593</v>
      </c>
      <c r="E2401" s="9" t="s">
        <v>3594</v>
      </c>
      <c r="F2401" s="8"/>
    </row>
    <row r="2402" ht="21.0" customHeight="1">
      <c r="A2402" s="6">
        <v>1.0</v>
      </c>
      <c r="B2402" s="6">
        <v>183.0</v>
      </c>
      <c r="C2402" s="6">
        <v>5.0</v>
      </c>
      <c r="D2402" s="23" t="s">
        <v>3595</v>
      </c>
      <c r="E2402" s="9" t="s">
        <v>3596</v>
      </c>
      <c r="F2402" s="8"/>
    </row>
    <row r="2403" ht="21.0" customHeight="1">
      <c r="A2403" s="6">
        <v>1.0</v>
      </c>
      <c r="B2403" s="6">
        <v>183.0</v>
      </c>
      <c r="C2403" s="6">
        <v>6.0</v>
      </c>
      <c r="D2403" s="23" t="s">
        <v>3597</v>
      </c>
      <c r="E2403" s="9" t="s">
        <v>3598</v>
      </c>
      <c r="F2403" s="8"/>
    </row>
    <row r="2404" ht="21.0" customHeight="1">
      <c r="A2404" s="6">
        <v>1.0</v>
      </c>
      <c r="B2404" s="6">
        <v>183.0</v>
      </c>
      <c r="C2404" s="6">
        <v>7.0</v>
      </c>
      <c r="D2404" s="23" t="s">
        <v>3599</v>
      </c>
      <c r="E2404" s="72" t="s">
        <v>3600</v>
      </c>
      <c r="F2404" s="8"/>
    </row>
    <row r="2405" ht="21.0" customHeight="1">
      <c r="A2405" s="6">
        <v>1.0</v>
      </c>
      <c r="B2405" s="6">
        <v>183.0</v>
      </c>
      <c r="C2405" s="6">
        <v>8.0</v>
      </c>
      <c r="D2405" s="23" t="s">
        <v>3601</v>
      </c>
      <c r="E2405" s="9" t="s">
        <v>3602</v>
      </c>
      <c r="F2405" s="8"/>
    </row>
    <row r="2406" ht="21.0" customHeight="1">
      <c r="A2406" s="6">
        <v>1.0</v>
      </c>
      <c r="B2406" s="6">
        <v>183.0</v>
      </c>
      <c r="C2406" s="6">
        <v>9.0</v>
      </c>
      <c r="D2406" s="23" t="s">
        <v>3603</v>
      </c>
      <c r="E2406" s="9" t="s">
        <v>3604</v>
      </c>
      <c r="F2406" s="8"/>
    </row>
    <row r="2407" ht="21.0" customHeight="1">
      <c r="A2407" s="6">
        <v>1.0</v>
      </c>
      <c r="B2407" s="6">
        <v>183.0</v>
      </c>
      <c r="C2407" s="6">
        <v>10.0</v>
      </c>
      <c r="D2407" s="23" t="s">
        <v>3605</v>
      </c>
      <c r="E2407" s="9" t="s">
        <v>3606</v>
      </c>
      <c r="F2407" s="8"/>
    </row>
    <row r="2408" ht="21.0" customHeight="1">
      <c r="A2408" s="6">
        <v>1.0</v>
      </c>
      <c r="B2408" s="6">
        <v>183.0</v>
      </c>
      <c r="C2408" s="6">
        <v>11.0</v>
      </c>
      <c r="D2408" s="23" t="s">
        <v>3607</v>
      </c>
      <c r="E2408" s="9" t="s">
        <v>3608</v>
      </c>
      <c r="F2408" s="8"/>
    </row>
    <row r="2409" ht="21.0" customHeight="1">
      <c r="A2409" s="6">
        <v>1.0</v>
      </c>
      <c r="B2409" s="6">
        <v>183.0</v>
      </c>
      <c r="C2409" s="6">
        <v>12.0</v>
      </c>
      <c r="D2409" s="23" t="s">
        <v>3609</v>
      </c>
      <c r="E2409" s="9" t="s">
        <v>3610</v>
      </c>
      <c r="F2409" s="8"/>
    </row>
    <row r="2410" ht="21.0" customHeight="1">
      <c r="A2410" s="6">
        <v>1.0</v>
      </c>
      <c r="B2410" s="6">
        <v>183.0</v>
      </c>
      <c r="C2410" s="6">
        <v>13.0</v>
      </c>
      <c r="D2410" s="23" t="s">
        <v>3611</v>
      </c>
      <c r="E2410" s="9" t="s">
        <v>3612</v>
      </c>
      <c r="F2410" s="8"/>
    </row>
    <row r="2411" ht="21.0" customHeight="1">
      <c r="A2411" s="6">
        <v>11.0</v>
      </c>
      <c r="B2411" s="6">
        <v>1042.0</v>
      </c>
      <c r="C2411" s="6">
        <v>1.0</v>
      </c>
      <c r="D2411" s="15" t="s">
        <v>3613</v>
      </c>
      <c r="E2411" s="9" t="s">
        <v>3614</v>
      </c>
      <c r="F2411" s="8"/>
    </row>
    <row r="2412" ht="21.0" customHeight="1">
      <c r="A2412" s="6">
        <v>11.0</v>
      </c>
      <c r="B2412" s="6">
        <v>1042.0</v>
      </c>
      <c r="C2412" s="6">
        <v>2.0</v>
      </c>
      <c r="D2412" s="15" t="s">
        <v>3615</v>
      </c>
      <c r="E2412" s="9" t="s">
        <v>3616</v>
      </c>
      <c r="F2412" s="8"/>
    </row>
    <row r="2413" ht="21.0" customHeight="1">
      <c r="A2413" s="6">
        <v>11.0</v>
      </c>
      <c r="B2413" s="6">
        <v>1042.0</v>
      </c>
      <c r="C2413" s="6">
        <v>3.0</v>
      </c>
      <c r="D2413" s="15" t="s">
        <v>3617</v>
      </c>
      <c r="E2413" s="9" t="s">
        <v>3618</v>
      </c>
      <c r="F2413" s="8"/>
    </row>
    <row r="2414" ht="21.0" customHeight="1">
      <c r="A2414" s="6">
        <v>11.0</v>
      </c>
      <c r="B2414" s="6">
        <v>1042.0</v>
      </c>
      <c r="C2414" s="6">
        <v>4.0</v>
      </c>
      <c r="D2414" s="15" t="s">
        <v>3619</v>
      </c>
      <c r="E2414" s="9" t="s">
        <v>3620</v>
      </c>
      <c r="F2414" s="8"/>
    </row>
    <row r="2415" ht="21.0" customHeight="1">
      <c r="A2415" s="6">
        <v>10.0</v>
      </c>
      <c r="B2415" s="6">
        <v>1042.0</v>
      </c>
      <c r="C2415" s="6">
        <v>5.0</v>
      </c>
      <c r="D2415" s="15" t="s">
        <v>3621</v>
      </c>
      <c r="E2415" s="9" t="s">
        <v>3622</v>
      </c>
      <c r="F2415" s="8"/>
    </row>
    <row r="2416" ht="21.0" customHeight="1">
      <c r="A2416" s="6">
        <v>10.0</v>
      </c>
      <c r="B2416" s="6">
        <v>1042.0</v>
      </c>
      <c r="C2416" s="6">
        <v>6.0</v>
      </c>
      <c r="D2416" s="15" t="s">
        <v>3623</v>
      </c>
      <c r="E2416" s="9" t="s">
        <v>3624</v>
      </c>
      <c r="F2416" s="8"/>
    </row>
    <row r="2417" ht="21.0" customHeight="1">
      <c r="A2417" s="6">
        <v>10.0</v>
      </c>
      <c r="B2417" s="6">
        <v>1042.0</v>
      </c>
      <c r="C2417" s="6">
        <v>7.0</v>
      </c>
      <c r="D2417" s="15" t="s">
        <v>3625</v>
      </c>
      <c r="E2417" s="9" t="s">
        <v>3626</v>
      </c>
      <c r="F2417" s="8"/>
    </row>
    <row r="2418" ht="21.0" customHeight="1">
      <c r="A2418" s="6">
        <v>10.0</v>
      </c>
      <c r="B2418" s="6">
        <v>1042.0</v>
      </c>
      <c r="C2418" s="6">
        <v>8.0</v>
      </c>
      <c r="D2418" s="15" t="s">
        <v>3627</v>
      </c>
      <c r="E2418" s="9" t="s">
        <v>3628</v>
      </c>
      <c r="F2418" s="8"/>
    </row>
    <row r="2419" ht="21.0" customHeight="1">
      <c r="A2419" s="6">
        <v>10.0</v>
      </c>
      <c r="B2419" s="6">
        <v>1042.0</v>
      </c>
      <c r="C2419" s="6">
        <v>9.0</v>
      </c>
      <c r="D2419" s="15" t="s">
        <v>3629</v>
      </c>
      <c r="E2419" s="9" t="s">
        <v>3630</v>
      </c>
      <c r="F2419" s="8"/>
    </row>
    <row r="2420" ht="21.0" customHeight="1">
      <c r="A2420" s="6">
        <v>10.0</v>
      </c>
      <c r="B2420" s="6">
        <v>1042.0</v>
      </c>
      <c r="C2420" s="6">
        <v>10.0</v>
      </c>
      <c r="D2420" s="15" t="s">
        <v>3631</v>
      </c>
      <c r="E2420" s="9" t="s">
        <v>3632</v>
      </c>
      <c r="F2420" s="8"/>
    </row>
    <row r="2421" ht="21.0" customHeight="1">
      <c r="A2421" s="6">
        <v>11.0</v>
      </c>
      <c r="B2421" s="6">
        <v>1043.0</v>
      </c>
      <c r="C2421" s="6">
        <v>1.0</v>
      </c>
      <c r="D2421" s="15" t="s">
        <v>3633</v>
      </c>
      <c r="E2421" s="9" t="s">
        <v>3634</v>
      </c>
      <c r="F2421" s="8"/>
    </row>
    <row r="2422" ht="21.0" customHeight="1">
      <c r="A2422" s="6">
        <v>11.0</v>
      </c>
      <c r="B2422" s="6">
        <v>1043.0</v>
      </c>
      <c r="C2422" s="6">
        <v>2.0</v>
      </c>
      <c r="D2422" s="15" t="s">
        <v>3635</v>
      </c>
      <c r="E2422" s="9" t="s">
        <v>3636</v>
      </c>
      <c r="F2422" s="8"/>
    </row>
    <row r="2423" ht="21.0" customHeight="1">
      <c r="A2423" s="6">
        <v>11.0</v>
      </c>
      <c r="B2423" s="6">
        <v>1043.0</v>
      </c>
      <c r="C2423" s="6">
        <v>3.0</v>
      </c>
      <c r="D2423" s="15" t="s">
        <v>3637</v>
      </c>
      <c r="E2423" s="9" t="s">
        <v>3638</v>
      </c>
      <c r="F2423" s="8"/>
    </row>
    <row r="2424" ht="21.0" customHeight="1">
      <c r="A2424" s="6">
        <v>11.0</v>
      </c>
      <c r="B2424" s="6">
        <v>1043.0</v>
      </c>
      <c r="C2424" s="6">
        <v>4.0</v>
      </c>
      <c r="D2424" s="15" t="s">
        <v>3639</v>
      </c>
      <c r="E2424" s="9" t="s">
        <v>3640</v>
      </c>
      <c r="F2424" s="8"/>
    </row>
    <row r="2425" ht="21.0" customHeight="1">
      <c r="A2425" s="6">
        <v>10.0</v>
      </c>
      <c r="B2425" s="6">
        <v>1043.0</v>
      </c>
      <c r="C2425" s="6">
        <v>5.0</v>
      </c>
      <c r="D2425" s="15" t="s">
        <v>3641</v>
      </c>
      <c r="E2425" s="9" t="s">
        <v>3642</v>
      </c>
      <c r="F2425" s="8"/>
    </row>
    <row r="2426" ht="21.0" customHeight="1">
      <c r="A2426" s="6">
        <v>10.0</v>
      </c>
      <c r="B2426" s="6">
        <v>1043.0</v>
      </c>
      <c r="C2426" s="6">
        <v>6.0</v>
      </c>
      <c r="D2426" s="15" t="s">
        <v>3643</v>
      </c>
      <c r="E2426" s="9" t="s">
        <v>3644</v>
      </c>
      <c r="F2426" s="8"/>
    </row>
    <row r="2427" ht="21.0" customHeight="1">
      <c r="A2427" s="6">
        <v>10.0</v>
      </c>
      <c r="B2427" s="6">
        <v>1043.0</v>
      </c>
      <c r="C2427" s="6">
        <v>7.0</v>
      </c>
      <c r="D2427" s="15" t="s">
        <v>3645</v>
      </c>
      <c r="E2427" s="9" t="s">
        <v>3646</v>
      </c>
      <c r="F2427" s="8"/>
    </row>
    <row r="2428" ht="21.0" customHeight="1">
      <c r="A2428" s="6">
        <v>10.0</v>
      </c>
      <c r="B2428" s="6">
        <v>1043.0</v>
      </c>
      <c r="C2428" s="6">
        <v>8.0</v>
      </c>
      <c r="D2428" s="15" t="s">
        <v>3647</v>
      </c>
      <c r="E2428" s="9" t="s">
        <v>3648</v>
      </c>
      <c r="F2428" s="8"/>
    </row>
    <row r="2429" ht="21.0" customHeight="1">
      <c r="A2429" s="6">
        <v>10.0</v>
      </c>
      <c r="B2429" s="6">
        <v>1043.0</v>
      </c>
      <c r="C2429" s="6">
        <v>9.0</v>
      </c>
      <c r="D2429" s="15" t="s">
        <v>3649</v>
      </c>
      <c r="E2429" s="9" t="s">
        <v>3650</v>
      </c>
      <c r="F2429" s="8"/>
    </row>
    <row r="2430" ht="21.0" customHeight="1">
      <c r="A2430" s="6">
        <v>10.0</v>
      </c>
      <c r="B2430" s="6">
        <v>1043.0</v>
      </c>
      <c r="C2430" s="6">
        <v>10.0</v>
      </c>
      <c r="D2430" s="15" t="s">
        <v>3651</v>
      </c>
      <c r="E2430" s="9" t="s">
        <v>3632</v>
      </c>
      <c r="F2430" s="8"/>
    </row>
    <row r="2431" ht="21.0" customHeight="1">
      <c r="A2431" s="6">
        <v>1.0</v>
      </c>
      <c r="B2431" s="6">
        <v>184.0</v>
      </c>
      <c r="C2431" s="6">
        <v>1.0</v>
      </c>
      <c r="D2431" s="15" t="s">
        <v>3652</v>
      </c>
      <c r="E2431" s="9" t="s">
        <v>3653</v>
      </c>
      <c r="F2431" s="8"/>
    </row>
    <row r="2432" ht="21.0" customHeight="1">
      <c r="A2432" s="6">
        <v>1.0</v>
      </c>
      <c r="B2432" s="6">
        <v>184.0</v>
      </c>
      <c r="C2432" s="6">
        <v>2.0</v>
      </c>
      <c r="D2432" s="15" t="s">
        <v>3654</v>
      </c>
      <c r="E2432" s="9" t="s">
        <v>3655</v>
      </c>
      <c r="F2432" s="8"/>
    </row>
    <row r="2433" ht="21.0" customHeight="1">
      <c r="A2433" s="6">
        <v>1.0</v>
      </c>
      <c r="B2433" s="6">
        <v>184.0</v>
      </c>
      <c r="C2433" s="6">
        <v>3.0</v>
      </c>
      <c r="D2433" s="15" t="s">
        <v>3656</v>
      </c>
      <c r="E2433" s="9" t="s">
        <v>3657</v>
      </c>
      <c r="F2433" s="8"/>
    </row>
    <row r="2434" ht="21.0" customHeight="1">
      <c r="A2434" s="6">
        <v>1.0</v>
      </c>
      <c r="B2434" s="6">
        <v>184.0</v>
      </c>
      <c r="C2434" s="6">
        <v>4.0</v>
      </c>
      <c r="D2434" s="15" t="s">
        <v>3658</v>
      </c>
      <c r="E2434" s="9" t="s">
        <v>3659</v>
      </c>
      <c r="F2434" s="8"/>
    </row>
    <row r="2435" ht="21.0" customHeight="1">
      <c r="A2435" s="6">
        <v>1.0</v>
      </c>
      <c r="B2435" s="6">
        <v>184.0</v>
      </c>
      <c r="C2435" s="6">
        <v>5.0</v>
      </c>
      <c r="D2435" s="15" t="s">
        <v>3660</v>
      </c>
      <c r="E2435" s="9" t="s">
        <v>3661</v>
      </c>
      <c r="F2435" s="8"/>
    </row>
    <row r="2436" ht="21.0" customHeight="1">
      <c r="A2436" s="6">
        <v>1.0</v>
      </c>
      <c r="B2436" s="6">
        <v>184.0</v>
      </c>
      <c r="C2436" s="6">
        <v>6.0</v>
      </c>
      <c r="D2436" s="15" t="s">
        <v>3662</v>
      </c>
      <c r="E2436" s="9" t="s">
        <v>3663</v>
      </c>
      <c r="F2436" s="8"/>
    </row>
    <row r="2437" ht="21.0" customHeight="1">
      <c r="A2437" s="6">
        <v>1.0</v>
      </c>
      <c r="B2437" s="6">
        <v>184.0</v>
      </c>
      <c r="C2437" s="6">
        <v>7.0</v>
      </c>
      <c r="D2437" s="15" t="s">
        <v>3664</v>
      </c>
      <c r="E2437" s="9" t="s">
        <v>3665</v>
      </c>
      <c r="F2437" s="8"/>
    </row>
    <row r="2438" ht="21.0" customHeight="1">
      <c r="A2438" s="6">
        <v>1.0</v>
      </c>
      <c r="B2438" s="6">
        <v>184.0</v>
      </c>
      <c r="C2438" s="6">
        <v>8.0</v>
      </c>
      <c r="D2438" s="15" t="s">
        <v>3666</v>
      </c>
      <c r="E2438" s="9" t="s">
        <v>3667</v>
      </c>
      <c r="F2438" s="8"/>
    </row>
    <row r="2439" ht="21.0" customHeight="1">
      <c r="A2439" s="6">
        <v>1.0</v>
      </c>
      <c r="B2439" s="6">
        <v>184.0</v>
      </c>
      <c r="C2439" s="6">
        <v>9.0</v>
      </c>
      <c r="D2439" s="15" t="s">
        <v>3668</v>
      </c>
      <c r="E2439" s="9" t="s">
        <v>3669</v>
      </c>
      <c r="F2439" s="8"/>
    </row>
    <row r="2440" ht="21.0" customHeight="1">
      <c r="A2440" s="6">
        <v>1.0</v>
      </c>
      <c r="B2440" s="6">
        <v>184.0</v>
      </c>
      <c r="C2440" s="6">
        <v>10.0</v>
      </c>
      <c r="D2440" s="15" t="s">
        <v>3670</v>
      </c>
      <c r="E2440" s="9" t="s">
        <v>3671</v>
      </c>
      <c r="F2440" s="8"/>
    </row>
    <row r="2441" ht="21.0" customHeight="1">
      <c r="A2441" s="6">
        <v>1.0</v>
      </c>
      <c r="B2441" s="6">
        <v>184.0</v>
      </c>
      <c r="C2441" s="6">
        <v>11.0</v>
      </c>
      <c r="D2441" s="15" t="s">
        <v>3672</v>
      </c>
      <c r="E2441" s="9" t="s">
        <v>3673</v>
      </c>
      <c r="F2441" s="8"/>
    </row>
    <row r="2442" ht="21.0" customHeight="1">
      <c r="A2442" s="6">
        <v>1.0</v>
      </c>
      <c r="B2442" s="6">
        <v>184.0</v>
      </c>
      <c r="C2442" s="6">
        <v>12.0</v>
      </c>
      <c r="D2442" s="15" t="s">
        <v>3674</v>
      </c>
      <c r="E2442" s="9" t="s">
        <v>3675</v>
      </c>
      <c r="F2442" s="8"/>
    </row>
    <row r="2443" ht="21.0" customHeight="1">
      <c r="A2443" s="6">
        <v>1.0</v>
      </c>
      <c r="B2443" s="6">
        <v>184.0</v>
      </c>
      <c r="C2443" s="6">
        <v>13.0</v>
      </c>
      <c r="D2443" s="15" t="s">
        <v>3676</v>
      </c>
      <c r="E2443" s="9" t="s">
        <v>3677</v>
      </c>
      <c r="F2443" s="8"/>
    </row>
    <row r="2444" ht="21.0" customHeight="1">
      <c r="A2444" s="6">
        <v>1.0</v>
      </c>
      <c r="B2444" s="6">
        <v>185.0</v>
      </c>
      <c r="C2444" s="6">
        <v>1.0</v>
      </c>
      <c r="D2444" s="15" t="s">
        <v>3678</v>
      </c>
      <c r="E2444" s="9" t="s">
        <v>3679</v>
      </c>
      <c r="F2444" s="8"/>
    </row>
    <row r="2445" ht="21.0" customHeight="1">
      <c r="A2445" s="6">
        <v>1.0</v>
      </c>
      <c r="B2445" s="6">
        <v>185.0</v>
      </c>
      <c r="C2445" s="6">
        <v>2.0</v>
      </c>
      <c r="D2445" s="9" t="s">
        <v>3680</v>
      </c>
      <c r="E2445" s="9" t="s">
        <v>3681</v>
      </c>
      <c r="F2445" s="8"/>
    </row>
    <row r="2446" ht="21.0" customHeight="1">
      <c r="A2446" s="6">
        <v>1.0</v>
      </c>
      <c r="B2446" s="6">
        <v>185.0</v>
      </c>
      <c r="C2446" s="6">
        <v>3.0</v>
      </c>
      <c r="D2446" s="9" t="s">
        <v>3682</v>
      </c>
      <c r="E2446" s="9" t="s">
        <v>3683</v>
      </c>
      <c r="F2446" s="8"/>
    </row>
    <row r="2447" ht="21.0" customHeight="1">
      <c r="A2447" s="6">
        <v>1.0</v>
      </c>
      <c r="B2447" s="6">
        <v>185.0</v>
      </c>
      <c r="C2447" s="6">
        <v>4.0</v>
      </c>
      <c r="D2447" s="15" t="s">
        <v>3684</v>
      </c>
      <c r="E2447" s="9" t="s">
        <v>3685</v>
      </c>
      <c r="F2447" s="8"/>
    </row>
    <row r="2448" ht="21.0" customHeight="1">
      <c r="A2448" s="6">
        <v>1.0</v>
      </c>
      <c r="B2448" s="6">
        <v>185.0</v>
      </c>
      <c r="C2448" s="6">
        <v>5.0</v>
      </c>
      <c r="D2448" s="15" t="s">
        <v>3686</v>
      </c>
      <c r="E2448" s="9" t="s">
        <v>3687</v>
      </c>
      <c r="F2448" s="8"/>
    </row>
    <row r="2449" ht="21.0" customHeight="1">
      <c r="A2449" s="6">
        <v>1.0</v>
      </c>
      <c r="B2449" s="6">
        <v>185.0</v>
      </c>
      <c r="C2449" s="6">
        <v>6.0</v>
      </c>
      <c r="D2449" s="15" t="s">
        <v>3688</v>
      </c>
      <c r="E2449" s="9" t="s">
        <v>3689</v>
      </c>
      <c r="F2449" s="8"/>
    </row>
    <row r="2450" ht="21.0" customHeight="1">
      <c r="A2450" s="6">
        <v>1.0</v>
      </c>
      <c r="B2450" s="6">
        <v>185.0</v>
      </c>
      <c r="C2450" s="6">
        <v>7.0</v>
      </c>
      <c r="D2450" s="15" t="s">
        <v>3690</v>
      </c>
      <c r="E2450" s="9" t="s">
        <v>3691</v>
      </c>
      <c r="F2450" s="8"/>
    </row>
    <row r="2451" ht="21.0" customHeight="1">
      <c r="A2451" s="6">
        <v>1.0</v>
      </c>
      <c r="B2451" s="6">
        <v>185.0</v>
      </c>
      <c r="C2451" s="6">
        <v>8.0</v>
      </c>
      <c r="D2451" s="15" t="s">
        <v>3692</v>
      </c>
      <c r="E2451" s="72" t="s">
        <v>3693</v>
      </c>
      <c r="F2451" s="8"/>
    </row>
    <row r="2452" ht="21.0" customHeight="1">
      <c r="A2452" s="6">
        <v>1.0</v>
      </c>
      <c r="B2452" s="6">
        <v>185.0</v>
      </c>
      <c r="C2452" s="6">
        <v>9.0</v>
      </c>
      <c r="D2452" s="15" t="s">
        <v>3694</v>
      </c>
      <c r="E2452" s="9" t="s">
        <v>3695</v>
      </c>
      <c r="F2452" s="8"/>
    </row>
    <row r="2453" ht="21.0" customHeight="1">
      <c r="A2453" s="6">
        <v>1.0</v>
      </c>
      <c r="B2453" s="6">
        <v>185.0</v>
      </c>
      <c r="C2453" s="6">
        <v>10.0</v>
      </c>
      <c r="D2453" s="15" t="s">
        <v>3696</v>
      </c>
      <c r="E2453" s="9" t="s">
        <v>3697</v>
      </c>
      <c r="F2453" s="8"/>
    </row>
    <row r="2454" ht="21.0" customHeight="1">
      <c r="A2454" s="6">
        <v>1.0</v>
      </c>
      <c r="B2454" s="6">
        <v>185.0</v>
      </c>
      <c r="C2454" s="6">
        <v>11.0</v>
      </c>
      <c r="D2454" s="15" t="s">
        <v>3698</v>
      </c>
      <c r="E2454" s="9" t="s">
        <v>3699</v>
      </c>
      <c r="F2454" s="8"/>
    </row>
    <row r="2455" ht="21.0" customHeight="1">
      <c r="A2455" s="6">
        <v>1.0</v>
      </c>
      <c r="B2455" s="6">
        <v>185.0</v>
      </c>
      <c r="C2455" s="6">
        <v>12.0</v>
      </c>
      <c r="D2455" s="15" t="s">
        <v>3700</v>
      </c>
      <c r="E2455" s="9" t="s">
        <v>3701</v>
      </c>
      <c r="F2455" s="8"/>
    </row>
    <row r="2456" ht="21.0" customHeight="1">
      <c r="A2456" s="6">
        <v>1.0</v>
      </c>
      <c r="B2456" s="6">
        <v>185.0</v>
      </c>
      <c r="C2456" s="6">
        <v>13.0</v>
      </c>
      <c r="D2456" s="15" t="s">
        <v>3702</v>
      </c>
      <c r="E2456" s="9" t="s">
        <v>3703</v>
      </c>
      <c r="F2456" s="8"/>
    </row>
    <row r="2457" ht="21.0" customHeight="1">
      <c r="A2457" s="6">
        <v>1.0</v>
      </c>
      <c r="B2457" s="6">
        <v>186.0</v>
      </c>
      <c r="C2457" s="6">
        <v>1.0</v>
      </c>
      <c r="D2457" s="23" t="s">
        <v>3704</v>
      </c>
      <c r="E2457" s="9" t="s">
        <v>3705</v>
      </c>
      <c r="F2457" s="8"/>
    </row>
    <row r="2458" ht="21.0" customHeight="1">
      <c r="A2458" s="6">
        <v>1.0</v>
      </c>
      <c r="B2458" s="6">
        <v>186.0</v>
      </c>
      <c r="C2458" s="6">
        <v>2.0</v>
      </c>
      <c r="D2458" s="23" t="s">
        <v>3706</v>
      </c>
      <c r="E2458" s="9" t="s">
        <v>3707</v>
      </c>
      <c r="F2458" s="8"/>
    </row>
    <row r="2459" ht="21.0" customHeight="1">
      <c r="A2459" s="6">
        <v>1.0</v>
      </c>
      <c r="B2459" s="6">
        <v>186.0</v>
      </c>
      <c r="C2459" s="6">
        <v>3.0</v>
      </c>
      <c r="D2459" s="23" t="s">
        <v>3708</v>
      </c>
      <c r="E2459" s="9" t="s">
        <v>3709</v>
      </c>
      <c r="F2459" s="8"/>
    </row>
    <row r="2460" ht="21.0" customHeight="1">
      <c r="A2460" s="6">
        <v>1.0</v>
      </c>
      <c r="B2460" s="6">
        <v>186.0</v>
      </c>
      <c r="C2460" s="6">
        <v>4.0</v>
      </c>
      <c r="D2460" s="23" t="s">
        <v>3710</v>
      </c>
      <c r="E2460" s="9" t="s">
        <v>3711</v>
      </c>
      <c r="F2460" s="8"/>
    </row>
    <row r="2461" ht="21.0" customHeight="1">
      <c r="A2461" s="6">
        <v>1.0</v>
      </c>
      <c r="B2461" s="6">
        <v>186.0</v>
      </c>
      <c r="C2461" s="6">
        <v>5.0</v>
      </c>
      <c r="D2461" s="23" t="s">
        <v>3712</v>
      </c>
      <c r="E2461" s="9" t="s">
        <v>3713</v>
      </c>
      <c r="F2461" s="8"/>
    </row>
    <row r="2462" ht="21.0" customHeight="1">
      <c r="A2462" s="6">
        <v>1.0</v>
      </c>
      <c r="B2462" s="6">
        <v>186.0</v>
      </c>
      <c r="C2462" s="6">
        <v>6.0</v>
      </c>
      <c r="D2462" s="23" t="s">
        <v>3714</v>
      </c>
      <c r="E2462" s="9" t="s">
        <v>3715</v>
      </c>
      <c r="F2462" s="8"/>
    </row>
    <row r="2463" ht="21.0" customHeight="1">
      <c r="A2463" s="6">
        <v>1.0</v>
      </c>
      <c r="B2463" s="6">
        <v>186.0</v>
      </c>
      <c r="C2463" s="6">
        <v>7.0</v>
      </c>
      <c r="D2463" s="23" t="s">
        <v>3716</v>
      </c>
      <c r="E2463" s="72" t="s">
        <v>3717</v>
      </c>
      <c r="F2463" s="8"/>
    </row>
    <row r="2464" ht="21.0" customHeight="1">
      <c r="A2464" s="6">
        <v>1.0</v>
      </c>
      <c r="B2464" s="6">
        <v>186.0</v>
      </c>
      <c r="C2464" s="6">
        <v>8.0</v>
      </c>
      <c r="D2464" s="23" t="s">
        <v>3718</v>
      </c>
      <c r="E2464" s="9" t="s">
        <v>3719</v>
      </c>
      <c r="F2464" s="8"/>
    </row>
    <row r="2465" ht="21.0" customHeight="1">
      <c r="A2465" s="6">
        <v>1.0</v>
      </c>
      <c r="B2465" s="6">
        <v>186.0</v>
      </c>
      <c r="C2465" s="6">
        <v>9.0</v>
      </c>
      <c r="D2465" s="23" t="s">
        <v>3720</v>
      </c>
      <c r="E2465" s="9" t="s">
        <v>3721</v>
      </c>
      <c r="F2465" s="8"/>
    </row>
    <row r="2466" ht="21.0" customHeight="1">
      <c r="A2466" s="6">
        <v>1.0</v>
      </c>
      <c r="B2466" s="6">
        <v>186.0</v>
      </c>
      <c r="C2466" s="6">
        <v>10.0</v>
      </c>
      <c r="D2466" s="23" t="s">
        <v>3722</v>
      </c>
      <c r="E2466" s="9" t="s">
        <v>3723</v>
      </c>
      <c r="F2466" s="8"/>
    </row>
    <row r="2467" ht="21.0" customHeight="1">
      <c r="A2467" s="6">
        <v>1.0</v>
      </c>
      <c r="B2467" s="6">
        <v>186.0</v>
      </c>
      <c r="C2467" s="6">
        <v>11.0</v>
      </c>
      <c r="D2467" s="23" t="s">
        <v>3724</v>
      </c>
      <c r="E2467" s="9" t="s">
        <v>3725</v>
      </c>
      <c r="F2467" s="8"/>
    </row>
    <row r="2468" ht="21.0" customHeight="1">
      <c r="A2468" s="6">
        <v>1.0</v>
      </c>
      <c r="B2468" s="6">
        <v>186.0</v>
      </c>
      <c r="C2468" s="6">
        <v>12.0</v>
      </c>
      <c r="D2468" s="23" t="s">
        <v>3726</v>
      </c>
      <c r="E2468" s="9" t="s">
        <v>3727</v>
      </c>
      <c r="F2468" s="8"/>
    </row>
    <row r="2469" ht="21.0" customHeight="1">
      <c r="A2469" s="6">
        <v>1.0</v>
      </c>
      <c r="B2469" s="6">
        <v>186.0</v>
      </c>
      <c r="C2469" s="6">
        <v>13.0</v>
      </c>
      <c r="D2469" s="15" t="s">
        <v>3728</v>
      </c>
      <c r="E2469" s="9" t="s">
        <v>3729</v>
      </c>
      <c r="F2469" s="8"/>
    </row>
    <row r="2470" ht="21.0" customHeight="1">
      <c r="A2470" s="6">
        <v>11.0</v>
      </c>
      <c r="B2470" s="6">
        <v>1044.0</v>
      </c>
      <c r="C2470" s="6">
        <v>1.0</v>
      </c>
      <c r="D2470" s="15" t="s">
        <v>3730</v>
      </c>
      <c r="E2470" s="9" t="s">
        <v>3731</v>
      </c>
      <c r="F2470" s="8"/>
    </row>
    <row r="2471" ht="21.0" customHeight="1">
      <c r="A2471" s="6">
        <v>11.0</v>
      </c>
      <c r="B2471" s="6">
        <v>1044.0</v>
      </c>
      <c r="C2471" s="6">
        <v>2.0</v>
      </c>
      <c r="D2471" s="15" t="s">
        <v>3732</v>
      </c>
      <c r="E2471" s="9" t="s">
        <v>3733</v>
      </c>
      <c r="F2471" s="8"/>
    </row>
    <row r="2472" ht="21.0" customHeight="1">
      <c r="A2472" s="6">
        <v>11.0</v>
      </c>
      <c r="B2472" s="6">
        <v>1044.0</v>
      </c>
      <c r="C2472" s="6">
        <v>3.0</v>
      </c>
      <c r="D2472" s="15" t="s">
        <v>3734</v>
      </c>
      <c r="E2472" s="9" t="s">
        <v>3735</v>
      </c>
      <c r="F2472" s="8"/>
    </row>
    <row r="2473" ht="21.0" customHeight="1">
      <c r="A2473" s="6">
        <v>11.0</v>
      </c>
      <c r="B2473" s="6">
        <v>1044.0</v>
      </c>
      <c r="C2473" s="6">
        <v>4.0</v>
      </c>
      <c r="D2473" s="15" t="s">
        <v>3736</v>
      </c>
      <c r="E2473" s="9" t="s">
        <v>3737</v>
      </c>
      <c r="F2473" s="8"/>
    </row>
    <row r="2474" ht="21.0" customHeight="1">
      <c r="A2474" s="6">
        <v>10.0</v>
      </c>
      <c r="B2474" s="6">
        <v>1044.0</v>
      </c>
      <c r="C2474" s="6">
        <v>5.0</v>
      </c>
      <c r="D2474" s="15" t="s">
        <v>3738</v>
      </c>
      <c r="E2474" s="9" t="s">
        <v>3739</v>
      </c>
      <c r="F2474" s="8"/>
    </row>
    <row r="2475" ht="21.0" customHeight="1">
      <c r="A2475" s="6">
        <v>10.0</v>
      </c>
      <c r="B2475" s="6">
        <v>1044.0</v>
      </c>
      <c r="C2475" s="6">
        <v>6.0</v>
      </c>
      <c r="D2475" s="15" t="s">
        <v>3740</v>
      </c>
      <c r="E2475" s="9" t="s">
        <v>3741</v>
      </c>
      <c r="F2475" s="8"/>
    </row>
    <row r="2476" ht="21.0" customHeight="1">
      <c r="A2476" s="6">
        <v>10.0</v>
      </c>
      <c r="B2476" s="6">
        <v>1044.0</v>
      </c>
      <c r="C2476" s="6">
        <v>7.0</v>
      </c>
      <c r="D2476" s="15" t="s">
        <v>3742</v>
      </c>
      <c r="E2476" s="9" t="s">
        <v>3743</v>
      </c>
      <c r="F2476" s="8"/>
    </row>
    <row r="2477" ht="21.0" customHeight="1">
      <c r="A2477" s="6">
        <v>10.0</v>
      </c>
      <c r="B2477" s="6">
        <v>1044.0</v>
      </c>
      <c r="C2477" s="6">
        <v>8.0</v>
      </c>
      <c r="D2477" s="15" t="s">
        <v>3744</v>
      </c>
      <c r="E2477" s="9" t="s">
        <v>3745</v>
      </c>
      <c r="F2477" s="8"/>
    </row>
    <row r="2478" ht="21.0" customHeight="1">
      <c r="A2478" s="6">
        <v>10.0</v>
      </c>
      <c r="B2478" s="6">
        <v>1044.0</v>
      </c>
      <c r="C2478" s="6">
        <v>9.0</v>
      </c>
      <c r="D2478" s="15" t="s">
        <v>3746</v>
      </c>
      <c r="E2478" s="9" t="s">
        <v>3747</v>
      </c>
      <c r="F2478" s="8"/>
    </row>
    <row r="2479" ht="21.0" customHeight="1">
      <c r="A2479" s="6">
        <v>10.0</v>
      </c>
      <c r="B2479" s="6">
        <v>1044.0</v>
      </c>
      <c r="C2479" s="6">
        <v>10.0</v>
      </c>
      <c r="D2479" s="15" t="s">
        <v>3748</v>
      </c>
      <c r="E2479" s="9" t="s">
        <v>3749</v>
      </c>
      <c r="F2479" s="8"/>
    </row>
    <row r="2480" ht="21.0" customHeight="1">
      <c r="A2480" s="6">
        <v>11.0</v>
      </c>
      <c r="B2480" s="6">
        <v>1045.0</v>
      </c>
      <c r="C2480" s="6">
        <v>1.0</v>
      </c>
      <c r="D2480" s="15" t="s">
        <v>3750</v>
      </c>
      <c r="E2480" s="9" t="s">
        <v>3751</v>
      </c>
      <c r="F2480" s="8"/>
    </row>
    <row r="2481" ht="21.0" customHeight="1">
      <c r="A2481" s="6">
        <v>11.0</v>
      </c>
      <c r="B2481" s="6">
        <v>1045.0</v>
      </c>
      <c r="C2481" s="6">
        <v>2.0</v>
      </c>
      <c r="D2481" s="15" t="s">
        <v>3752</v>
      </c>
      <c r="E2481" s="9" t="s">
        <v>3753</v>
      </c>
      <c r="F2481" s="8"/>
    </row>
    <row r="2482" ht="21.0" customHeight="1">
      <c r="A2482" s="6">
        <v>11.0</v>
      </c>
      <c r="B2482" s="6">
        <v>1045.0</v>
      </c>
      <c r="C2482" s="6">
        <v>3.0</v>
      </c>
      <c r="D2482" s="15" t="s">
        <v>3754</v>
      </c>
      <c r="E2482" s="9" t="s">
        <v>3755</v>
      </c>
      <c r="F2482" s="8"/>
    </row>
    <row r="2483" ht="21.0" customHeight="1">
      <c r="A2483" s="6">
        <v>11.0</v>
      </c>
      <c r="B2483" s="6">
        <v>1045.0</v>
      </c>
      <c r="C2483" s="6">
        <v>4.0</v>
      </c>
      <c r="D2483" s="15" t="s">
        <v>3756</v>
      </c>
      <c r="E2483" s="9" t="s">
        <v>3757</v>
      </c>
      <c r="F2483" s="8"/>
    </row>
    <row r="2484" ht="21.0" customHeight="1">
      <c r="A2484" s="6">
        <v>10.0</v>
      </c>
      <c r="B2484" s="6">
        <v>1045.0</v>
      </c>
      <c r="C2484" s="6">
        <v>5.0</v>
      </c>
      <c r="D2484" s="15" t="s">
        <v>3758</v>
      </c>
      <c r="E2484" s="9" t="s">
        <v>3759</v>
      </c>
      <c r="F2484" s="8"/>
    </row>
    <row r="2485" ht="21.0" customHeight="1">
      <c r="A2485" s="6">
        <v>10.0</v>
      </c>
      <c r="B2485" s="6">
        <v>1045.0</v>
      </c>
      <c r="C2485" s="6">
        <v>6.0</v>
      </c>
      <c r="D2485" s="15" t="s">
        <v>3760</v>
      </c>
      <c r="E2485" s="9" t="s">
        <v>3761</v>
      </c>
      <c r="F2485" s="8"/>
    </row>
    <row r="2486" ht="21.0" customHeight="1">
      <c r="A2486" s="6">
        <v>10.0</v>
      </c>
      <c r="B2486" s="6">
        <v>1045.0</v>
      </c>
      <c r="C2486" s="6">
        <v>7.0</v>
      </c>
      <c r="D2486" s="15" t="s">
        <v>3762</v>
      </c>
      <c r="E2486" s="9" t="s">
        <v>3763</v>
      </c>
      <c r="F2486" s="8"/>
    </row>
    <row r="2487" ht="21.0" customHeight="1">
      <c r="A2487" s="6">
        <v>10.0</v>
      </c>
      <c r="B2487" s="6">
        <v>1045.0</v>
      </c>
      <c r="C2487" s="6">
        <v>8.0</v>
      </c>
      <c r="D2487" s="15" t="s">
        <v>3764</v>
      </c>
      <c r="E2487" s="9" t="s">
        <v>3765</v>
      </c>
      <c r="F2487" s="8"/>
    </row>
    <row r="2488" ht="21.0" customHeight="1">
      <c r="A2488" s="6">
        <v>10.0</v>
      </c>
      <c r="B2488" s="6">
        <v>1045.0</v>
      </c>
      <c r="C2488" s="6">
        <v>9.0</v>
      </c>
      <c r="D2488" s="15" t="s">
        <v>3766</v>
      </c>
      <c r="E2488" s="9" t="s">
        <v>3767</v>
      </c>
      <c r="F2488" s="8"/>
    </row>
    <row r="2489" ht="21.0" customHeight="1">
      <c r="A2489" s="6">
        <v>10.0</v>
      </c>
      <c r="B2489" s="6">
        <v>1045.0</v>
      </c>
      <c r="C2489" s="6">
        <v>10.0</v>
      </c>
      <c r="D2489" s="15" t="s">
        <v>3768</v>
      </c>
      <c r="E2489" s="9" t="s">
        <v>3749</v>
      </c>
      <c r="F2489" s="8"/>
    </row>
    <row r="2490" ht="21.0" customHeight="1">
      <c r="A2490" s="6">
        <v>1.0</v>
      </c>
      <c r="B2490" s="6">
        <v>187.0</v>
      </c>
      <c r="C2490" s="6">
        <v>1.0</v>
      </c>
      <c r="D2490" s="15" t="s">
        <v>3769</v>
      </c>
      <c r="E2490" s="9" t="s">
        <v>3770</v>
      </c>
      <c r="F2490" s="8"/>
    </row>
    <row r="2491" ht="21.0" customHeight="1">
      <c r="A2491" s="6">
        <v>1.0</v>
      </c>
      <c r="B2491" s="6">
        <v>187.0</v>
      </c>
      <c r="C2491" s="6">
        <v>2.0</v>
      </c>
      <c r="D2491" s="15" t="s">
        <v>3771</v>
      </c>
      <c r="E2491" s="9" t="s">
        <v>3772</v>
      </c>
      <c r="F2491" s="8"/>
    </row>
    <row r="2492" ht="21.0" customHeight="1">
      <c r="A2492" s="6">
        <v>1.0</v>
      </c>
      <c r="B2492" s="6">
        <v>187.0</v>
      </c>
      <c r="C2492" s="6">
        <v>3.0</v>
      </c>
      <c r="D2492" s="15" t="s">
        <v>3773</v>
      </c>
      <c r="E2492" s="9" t="s">
        <v>3774</v>
      </c>
      <c r="F2492" s="8"/>
    </row>
    <row r="2493" ht="21.0" customHeight="1">
      <c r="A2493" s="6">
        <v>1.0</v>
      </c>
      <c r="B2493" s="6">
        <v>187.0</v>
      </c>
      <c r="C2493" s="6">
        <v>4.0</v>
      </c>
      <c r="D2493" s="15" t="s">
        <v>3775</v>
      </c>
      <c r="E2493" s="9" t="s">
        <v>3776</v>
      </c>
      <c r="F2493" s="8"/>
    </row>
    <row r="2494" ht="21.0" customHeight="1">
      <c r="A2494" s="6">
        <v>1.0</v>
      </c>
      <c r="B2494" s="6">
        <v>187.0</v>
      </c>
      <c r="C2494" s="6">
        <v>5.0</v>
      </c>
      <c r="D2494" s="15" t="s">
        <v>3777</v>
      </c>
      <c r="E2494" s="9" t="s">
        <v>3778</v>
      </c>
      <c r="F2494" s="8"/>
    </row>
    <row r="2495" ht="21.0" customHeight="1">
      <c r="A2495" s="6">
        <v>1.0</v>
      </c>
      <c r="B2495" s="6">
        <v>187.0</v>
      </c>
      <c r="C2495" s="6">
        <v>6.0</v>
      </c>
      <c r="D2495" s="15" t="s">
        <v>3779</v>
      </c>
      <c r="E2495" s="9" t="s">
        <v>3780</v>
      </c>
      <c r="F2495" s="8"/>
    </row>
    <row r="2496" ht="21.0" customHeight="1">
      <c r="A2496" s="6">
        <v>1.0</v>
      </c>
      <c r="B2496" s="6">
        <v>187.0</v>
      </c>
      <c r="C2496" s="6">
        <v>7.0</v>
      </c>
      <c r="D2496" s="15" t="s">
        <v>3781</v>
      </c>
      <c r="E2496" s="9" t="s">
        <v>3782</v>
      </c>
      <c r="F2496" s="8"/>
    </row>
    <row r="2497" ht="21.0" customHeight="1">
      <c r="A2497" s="6">
        <v>1.0</v>
      </c>
      <c r="B2497" s="6">
        <v>187.0</v>
      </c>
      <c r="C2497" s="6">
        <v>8.0</v>
      </c>
      <c r="D2497" s="15" t="s">
        <v>3783</v>
      </c>
      <c r="E2497" s="9" t="s">
        <v>3784</v>
      </c>
      <c r="F2497" s="8"/>
    </row>
    <row r="2498" ht="21.0" customHeight="1">
      <c r="A2498" s="6">
        <v>1.0</v>
      </c>
      <c r="B2498" s="6">
        <v>187.0</v>
      </c>
      <c r="C2498" s="6">
        <v>9.0</v>
      </c>
      <c r="D2498" s="15" t="s">
        <v>3785</v>
      </c>
      <c r="E2498" s="9" t="s">
        <v>3786</v>
      </c>
      <c r="F2498" s="8"/>
    </row>
    <row r="2499" ht="21.0" customHeight="1">
      <c r="A2499" s="6">
        <v>1.0</v>
      </c>
      <c r="B2499" s="6">
        <v>187.0</v>
      </c>
      <c r="C2499" s="6">
        <v>10.0</v>
      </c>
      <c r="D2499" s="15" t="s">
        <v>3787</v>
      </c>
      <c r="E2499" s="9" t="s">
        <v>3788</v>
      </c>
      <c r="F2499" s="8"/>
    </row>
    <row r="2500" ht="21.0" customHeight="1">
      <c r="A2500" s="6">
        <v>1.0</v>
      </c>
      <c r="B2500" s="6">
        <v>187.0</v>
      </c>
      <c r="C2500" s="6">
        <v>11.0</v>
      </c>
      <c r="D2500" s="15" t="s">
        <v>3789</v>
      </c>
      <c r="E2500" s="9" t="s">
        <v>3790</v>
      </c>
      <c r="F2500" s="8"/>
    </row>
    <row r="2501" ht="21.0" customHeight="1">
      <c r="A2501" s="6">
        <v>1.0</v>
      </c>
      <c r="B2501" s="6">
        <v>187.0</v>
      </c>
      <c r="C2501" s="6">
        <v>12.0</v>
      </c>
      <c r="D2501" s="15" t="s">
        <v>3791</v>
      </c>
      <c r="E2501" s="9" t="s">
        <v>3792</v>
      </c>
      <c r="F2501" s="8"/>
    </row>
    <row r="2502" ht="21.0" customHeight="1">
      <c r="A2502" s="6">
        <v>1.0</v>
      </c>
      <c r="B2502" s="6">
        <v>187.0</v>
      </c>
      <c r="C2502" s="6">
        <v>13.0</v>
      </c>
      <c r="D2502" s="15" t="s">
        <v>3793</v>
      </c>
      <c r="E2502" s="9" t="s">
        <v>3794</v>
      </c>
      <c r="F2502" s="8"/>
    </row>
    <row r="2503" ht="21.0" customHeight="1">
      <c r="A2503" s="6">
        <v>1.0</v>
      </c>
      <c r="B2503" s="6">
        <v>188.0</v>
      </c>
      <c r="C2503" s="6">
        <v>1.0</v>
      </c>
      <c r="D2503" s="15" t="s">
        <v>3795</v>
      </c>
      <c r="E2503" s="9" t="s">
        <v>3796</v>
      </c>
      <c r="F2503" s="8"/>
    </row>
    <row r="2504" ht="21.0" customHeight="1">
      <c r="A2504" s="6">
        <v>1.0</v>
      </c>
      <c r="B2504" s="6">
        <v>188.0</v>
      </c>
      <c r="C2504" s="6">
        <v>2.0</v>
      </c>
      <c r="D2504" s="15" t="s">
        <v>3797</v>
      </c>
      <c r="E2504" s="9" t="s">
        <v>3798</v>
      </c>
      <c r="F2504" s="8"/>
    </row>
    <row r="2505" ht="21.0" customHeight="1">
      <c r="A2505" s="6">
        <v>1.0</v>
      </c>
      <c r="B2505" s="6">
        <v>188.0</v>
      </c>
      <c r="C2505" s="6">
        <v>3.0</v>
      </c>
      <c r="D2505" s="15" t="s">
        <v>3799</v>
      </c>
      <c r="E2505" s="9" t="s">
        <v>3800</v>
      </c>
      <c r="F2505" s="8"/>
    </row>
    <row r="2506" ht="21.0" customHeight="1">
      <c r="A2506" s="6">
        <v>1.0</v>
      </c>
      <c r="B2506" s="6">
        <v>188.0</v>
      </c>
      <c r="C2506" s="6">
        <v>4.0</v>
      </c>
      <c r="D2506" s="15" t="s">
        <v>3801</v>
      </c>
      <c r="E2506" s="9" t="s">
        <v>3802</v>
      </c>
      <c r="F2506" s="8"/>
    </row>
    <row r="2507" ht="21.0" customHeight="1">
      <c r="A2507" s="6">
        <v>1.0</v>
      </c>
      <c r="B2507" s="6">
        <v>188.0</v>
      </c>
      <c r="C2507" s="6">
        <v>5.0</v>
      </c>
      <c r="D2507" s="15" t="s">
        <v>3803</v>
      </c>
      <c r="E2507" s="9" t="s">
        <v>3804</v>
      </c>
      <c r="F2507" s="8"/>
    </row>
    <row r="2508" ht="21.0" customHeight="1">
      <c r="A2508" s="6">
        <v>1.0</v>
      </c>
      <c r="B2508" s="6">
        <v>188.0</v>
      </c>
      <c r="C2508" s="6">
        <v>6.0</v>
      </c>
      <c r="D2508" s="15" t="s">
        <v>3805</v>
      </c>
      <c r="E2508" s="9" t="s">
        <v>3806</v>
      </c>
      <c r="F2508" s="8"/>
    </row>
    <row r="2509" ht="21.0" customHeight="1">
      <c r="A2509" s="6">
        <v>1.0</v>
      </c>
      <c r="B2509" s="6">
        <v>188.0</v>
      </c>
      <c r="C2509" s="6">
        <v>7.0</v>
      </c>
      <c r="D2509" s="15" t="s">
        <v>3807</v>
      </c>
      <c r="E2509" s="9" t="s">
        <v>3808</v>
      </c>
      <c r="F2509" s="8"/>
    </row>
    <row r="2510" ht="21.0" customHeight="1">
      <c r="A2510" s="6">
        <v>1.0</v>
      </c>
      <c r="B2510" s="6">
        <v>188.0</v>
      </c>
      <c r="C2510" s="6">
        <v>8.0</v>
      </c>
      <c r="D2510" s="15" t="s">
        <v>3809</v>
      </c>
      <c r="E2510" s="9" t="s">
        <v>3810</v>
      </c>
      <c r="F2510" s="8"/>
    </row>
    <row r="2511" ht="21.0" customHeight="1">
      <c r="A2511" s="6">
        <v>1.0</v>
      </c>
      <c r="B2511" s="6">
        <v>188.0</v>
      </c>
      <c r="C2511" s="6">
        <v>9.0</v>
      </c>
      <c r="D2511" s="15" t="s">
        <v>3811</v>
      </c>
      <c r="E2511" s="9" t="s">
        <v>3812</v>
      </c>
      <c r="F2511" s="8"/>
    </row>
    <row r="2512" ht="21.0" customHeight="1">
      <c r="A2512" s="6">
        <v>1.0</v>
      </c>
      <c r="B2512" s="6">
        <v>188.0</v>
      </c>
      <c r="C2512" s="6">
        <v>10.0</v>
      </c>
      <c r="D2512" s="15" t="s">
        <v>3813</v>
      </c>
      <c r="E2512" s="9" t="s">
        <v>3814</v>
      </c>
      <c r="F2512" s="8"/>
    </row>
    <row r="2513" ht="21.0" customHeight="1">
      <c r="A2513" s="6">
        <v>1.0</v>
      </c>
      <c r="B2513" s="6">
        <v>188.0</v>
      </c>
      <c r="C2513" s="6">
        <v>11.0</v>
      </c>
      <c r="D2513" s="15" t="s">
        <v>3815</v>
      </c>
      <c r="E2513" s="9" t="s">
        <v>3816</v>
      </c>
      <c r="F2513" s="8"/>
    </row>
    <row r="2514" ht="21.0" customHeight="1">
      <c r="A2514" s="6">
        <v>1.0</v>
      </c>
      <c r="B2514" s="6">
        <v>188.0</v>
      </c>
      <c r="C2514" s="6">
        <v>12.0</v>
      </c>
      <c r="D2514" s="15" t="s">
        <v>3817</v>
      </c>
      <c r="E2514" s="9" t="s">
        <v>3818</v>
      </c>
      <c r="F2514" s="8"/>
    </row>
    <row r="2515" ht="21.0" customHeight="1">
      <c r="A2515" s="6">
        <v>1.0</v>
      </c>
      <c r="B2515" s="6">
        <v>188.0</v>
      </c>
      <c r="C2515" s="6">
        <v>13.0</v>
      </c>
      <c r="D2515" s="15" t="s">
        <v>3819</v>
      </c>
      <c r="E2515" s="9" t="s">
        <v>3820</v>
      </c>
      <c r="F2515" s="8"/>
    </row>
    <row r="2516" ht="21.0" customHeight="1">
      <c r="A2516" s="6">
        <v>1.0</v>
      </c>
      <c r="B2516" s="6">
        <v>189.0</v>
      </c>
      <c r="C2516" s="6">
        <v>1.0</v>
      </c>
      <c r="D2516" s="15" t="s">
        <v>3821</v>
      </c>
      <c r="E2516" s="9" t="s">
        <v>3822</v>
      </c>
      <c r="F2516" s="8"/>
    </row>
    <row r="2517" ht="21.0" customHeight="1">
      <c r="A2517" s="6">
        <v>1.0</v>
      </c>
      <c r="B2517" s="6">
        <v>189.0</v>
      </c>
      <c r="C2517" s="6">
        <v>2.0</v>
      </c>
      <c r="D2517" s="15" t="s">
        <v>3823</v>
      </c>
      <c r="E2517" s="9" t="s">
        <v>3824</v>
      </c>
      <c r="F2517" s="8"/>
    </row>
    <row r="2518" ht="21.0" customHeight="1">
      <c r="A2518" s="6">
        <v>1.0</v>
      </c>
      <c r="B2518" s="6">
        <v>189.0</v>
      </c>
      <c r="C2518" s="6">
        <v>3.0</v>
      </c>
      <c r="D2518" s="15" t="s">
        <v>3825</v>
      </c>
      <c r="E2518" s="9" t="s">
        <v>3826</v>
      </c>
      <c r="F2518" s="8"/>
    </row>
    <row r="2519" ht="21.0" customHeight="1">
      <c r="A2519" s="6">
        <v>1.0</v>
      </c>
      <c r="B2519" s="6">
        <v>189.0</v>
      </c>
      <c r="C2519" s="6">
        <v>4.0</v>
      </c>
      <c r="D2519" s="15" t="s">
        <v>3827</v>
      </c>
      <c r="E2519" s="9" t="s">
        <v>3828</v>
      </c>
      <c r="F2519" s="8"/>
    </row>
    <row r="2520" ht="21.0" customHeight="1">
      <c r="A2520" s="6">
        <v>1.0</v>
      </c>
      <c r="B2520" s="6">
        <v>189.0</v>
      </c>
      <c r="C2520" s="6">
        <v>5.0</v>
      </c>
      <c r="D2520" s="15" t="s">
        <v>3829</v>
      </c>
      <c r="E2520" s="9" t="s">
        <v>3830</v>
      </c>
      <c r="F2520" s="8"/>
    </row>
    <row r="2521" ht="21.0" customHeight="1">
      <c r="A2521" s="6">
        <v>1.0</v>
      </c>
      <c r="B2521" s="6">
        <v>189.0</v>
      </c>
      <c r="C2521" s="6">
        <v>6.0</v>
      </c>
      <c r="D2521" s="15" t="s">
        <v>3831</v>
      </c>
      <c r="E2521" s="9" t="s">
        <v>3832</v>
      </c>
      <c r="F2521" s="8"/>
    </row>
    <row r="2522" ht="21.0" customHeight="1">
      <c r="A2522" s="6">
        <v>1.0</v>
      </c>
      <c r="B2522" s="6">
        <v>189.0</v>
      </c>
      <c r="C2522" s="6">
        <v>7.0</v>
      </c>
      <c r="D2522" s="15" t="s">
        <v>3833</v>
      </c>
      <c r="E2522" s="9" t="s">
        <v>3834</v>
      </c>
      <c r="F2522" s="8"/>
    </row>
    <row r="2523" ht="21.0" customHeight="1">
      <c r="A2523" s="6">
        <v>1.0</v>
      </c>
      <c r="B2523" s="6">
        <v>189.0</v>
      </c>
      <c r="C2523" s="6">
        <v>8.0</v>
      </c>
      <c r="D2523" s="15" t="s">
        <v>3835</v>
      </c>
      <c r="E2523" s="9" t="s">
        <v>3836</v>
      </c>
      <c r="F2523" s="8"/>
    </row>
    <row r="2524" ht="21.0" customHeight="1">
      <c r="A2524" s="6">
        <v>1.0</v>
      </c>
      <c r="B2524" s="6">
        <v>189.0</v>
      </c>
      <c r="C2524" s="6">
        <v>9.0</v>
      </c>
      <c r="D2524" s="15" t="s">
        <v>3837</v>
      </c>
      <c r="E2524" s="9" t="s">
        <v>3838</v>
      </c>
      <c r="F2524" s="8"/>
    </row>
    <row r="2525" ht="21.0" customHeight="1">
      <c r="A2525" s="6">
        <v>1.0</v>
      </c>
      <c r="B2525" s="6">
        <v>189.0</v>
      </c>
      <c r="C2525" s="6">
        <v>10.0</v>
      </c>
      <c r="D2525" s="15" t="s">
        <v>3839</v>
      </c>
      <c r="E2525" s="9" t="s">
        <v>3840</v>
      </c>
      <c r="F2525" s="8"/>
    </row>
    <row r="2526" ht="21.0" customHeight="1">
      <c r="A2526" s="6">
        <v>1.0</v>
      </c>
      <c r="B2526" s="6">
        <v>189.0</v>
      </c>
      <c r="C2526" s="6">
        <v>11.0</v>
      </c>
      <c r="D2526" s="15" t="s">
        <v>3841</v>
      </c>
      <c r="E2526" s="9" t="s">
        <v>3842</v>
      </c>
      <c r="F2526" s="8"/>
    </row>
    <row r="2527" ht="21.0" customHeight="1">
      <c r="A2527" s="6">
        <v>1.0</v>
      </c>
      <c r="B2527" s="6">
        <v>189.0</v>
      </c>
      <c r="C2527" s="6">
        <v>12.0</v>
      </c>
      <c r="D2527" s="15" t="s">
        <v>3843</v>
      </c>
      <c r="E2527" s="9" t="s">
        <v>3844</v>
      </c>
      <c r="F2527" s="8"/>
    </row>
    <row r="2528" ht="21.0" customHeight="1">
      <c r="A2528" s="6">
        <v>1.0</v>
      </c>
      <c r="B2528" s="6">
        <v>189.0</v>
      </c>
      <c r="C2528" s="6">
        <v>13.0</v>
      </c>
      <c r="D2528" s="15" t="s">
        <v>3845</v>
      </c>
      <c r="E2528" s="9" t="s">
        <v>3846</v>
      </c>
      <c r="F2528" s="8"/>
    </row>
    <row r="2529" ht="21.0" customHeight="1">
      <c r="A2529" s="6">
        <v>11.0</v>
      </c>
      <c r="B2529" s="6">
        <v>1046.0</v>
      </c>
      <c r="C2529" s="6">
        <v>1.0</v>
      </c>
      <c r="D2529" s="15" t="s">
        <v>3847</v>
      </c>
      <c r="E2529" s="9" t="s">
        <v>3848</v>
      </c>
      <c r="F2529" s="8"/>
    </row>
    <row r="2530" ht="21.0" customHeight="1">
      <c r="A2530" s="6">
        <v>11.0</v>
      </c>
      <c r="B2530" s="6">
        <v>1046.0</v>
      </c>
      <c r="C2530" s="6">
        <v>2.0</v>
      </c>
      <c r="D2530" s="15" t="s">
        <v>3849</v>
      </c>
      <c r="E2530" s="9" t="s">
        <v>3850</v>
      </c>
      <c r="F2530" s="8"/>
    </row>
    <row r="2531" ht="21.0" customHeight="1">
      <c r="A2531" s="6">
        <v>11.0</v>
      </c>
      <c r="B2531" s="6">
        <v>1046.0</v>
      </c>
      <c r="C2531" s="6">
        <v>3.0</v>
      </c>
      <c r="D2531" s="15" t="s">
        <v>3851</v>
      </c>
      <c r="E2531" s="9" t="s">
        <v>3852</v>
      </c>
      <c r="F2531" s="8"/>
    </row>
    <row r="2532" ht="21.0" customHeight="1">
      <c r="A2532" s="6">
        <v>11.0</v>
      </c>
      <c r="B2532" s="6">
        <v>1046.0</v>
      </c>
      <c r="C2532" s="6">
        <v>4.0</v>
      </c>
      <c r="D2532" s="15" t="s">
        <v>3853</v>
      </c>
      <c r="E2532" s="9" t="s">
        <v>3854</v>
      </c>
      <c r="F2532" s="8"/>
    </row>
    <row r="2533" ht="21.0" customHeight="1">
      <c r="A2533" s="6">
        <v>10.0</v>
      </c>
      <c r="B2533" s="6">
        <v>1046.0</v>
      </c>
      <c r="C2533" s="6">
        <v>5.0</v>
      </c>
      <c r="D2533" s="15" t="s">
        <v>3855</v>
      </c>
      <c r="E2533" s="9" t="s">
        <v>3856</v>
      </c>
      <c r="F2533" s="8"/>
    </row>
    <row r="2534" ht="21.0" customHeight="1">
      <c r="A2534" s="6">
        <v>10.0</v>
      </c>
      <c r="B2534" s="6">
        <v>1046.0</v>
      </c>
      <c r="C2534" s="6">
        <v>6.0</v>
      </c>
      <c r="D2534" s="15" t="s">
        <v>3857</v>
      </c>
      <c r="E2534" s="9" t="s">
        <v>3858</v>
      </c>
      <c r="F2534" s="8"/>
    </row>
    <row r="2535" ht="21.0" customHeight="1">
      <c r="A2535" s="6">
        <v>10.0</v>
      </c>
      <c r="B2535" s="6">
        <v>1046.0</v>
      </c>
      <c r="C2535" s="6">
        <v>7.0</v>
      </c>
      <c r="D2535" s="15" t="s">
        <v>3859</v>
      </c>
      <c r="E2535" s="9" t="s">
        <v>3860</v>
      </c>
      <c r="F2535" s="8"/>
    </row>
    <row r="2536" ht="21.0" customHeight="1">
      <c r="A2536" s="6">
        <v>10.0</v>
      </c>
      <c r="B2536" s="6">
        <v>1046.0</v>
      </c>
      <c r="C2536" s="6">
        <v>8.0</v>
      </c>
      <c r="D2536" s="15" t="s">
        <v>3861</v>
      </c>
      <c r="E2536" s="9" t="s">
        <v>3862</v>
      </c>
      <c r="F2536" s="8"/>
    </row>
    <row r="2537" ht="21.0" customHeight="1">
      <c r="A2537" s="6">
        <v>10.0</v>
      </c>
      <c r="B2537" s="6">
        <v>1046.0</v>
      </c>
      <c r="C2537" s="6">
        <v>9.0</v>
      </c>
      <c r="D2537" s="15" t="s">
        <v>3863</v>
      </c>
      <c r="E2537" s="9" t="s">
        <v>3864</v>
      </c>
      <c r="F2537" s="8"/>
    </row>
    <row r="2538" ht="21.0" customHeight="1">
      <c r="A2538" s="6">
        <v>10.0</v>
      </c>
      <c r="B2538" s="6">
        <v>1046.0</v>
      </c>
      <c r="C2538" s="6">
        <v>10.0</v>
      </c>
      <c r="D2538" s="15" t="s">
        <v>3865</v>
      </c>
      <c r="E2538" s="9" t="s">
        <v>3866</v>
      </c>
      <c r="F2538" s="8"/>
    </row>
    <row r="2539" ht="21.0" customHeight="1">
      <c r="A2539" s="6">
        <v>1.0</v>
      </c>
      <c r="B2539" s="6">
        <v>190.0</v>
      </c>
      <c r="C2539" s="6">
        <v>1.0</v>
      </c>
      <c r="D2539" s="15" t="s">
        <v>3867</v>
      </c>
      <c r="E2539" s="9" t="s">
        <v>3868</v>
      </c>
      <c r="F2539" s="8"/>
    </row>
    <row r="2540" ht="21.0" customHeight="1">
      <c r="A2540" s="6">
        <v>1.0</v>
      </c>
      <c r="B2540" s="6">
        <v>190.0</v>
      </c>
      <c r="C2540" s="6">
        <v>2.0</v>
      </c>
      <c r="D2540" s="15" t="s">
        <v>3869</v>
      </c>
      <c r="E2540" s="9" t="s">
        <v>3870</v>
      </c>
      <c r="F2540" s="8"/>
    </row>
    <row r="2541" ht="21.0" customHeight="1">
      <c r="A2541" s="6">
        <v>1.0</v>
      </c>
      <c r="B2541" s="6">
        <v>190.0</v>
      </c>
      <c r="C2541" s="6">
        <v>3.0</v>
      </c>
      <c r="D2541" s="15" t="s">
        <v>3871</v>
      </c>
      <c r="E2541" s="9" t="s">
        <v>3872</v>
      </c>
      <c r="F2541" s="8"/>
    </row>
    <row r="2542" ht="21.0" customHeight="1">
      <c r="A2542" s="6">
        <v>1.0</v>
      </c>
      <c r="B2542" s="6">
        <v>190.0</v>
      </c>
      <c r="C2542" s="6">
        <v>4.0</v>
      </c>
      <c r="D2542" s="15" t="s">
        <v>3873</v>
      </c>
      <c r="E2542" s="9" t="s">
        <v>3874</v>
      </c>
      <c r="F2542" s="8"/>
    </row>
    <row r="2543" ht="21.0" customHeight="1">
      <c r="A2543" s="6">
        <v>1.0</v>
      </c>
      <c r="B2543" s="6">
        <v>190.0</v>
      </c>
      <c r="C2543" s="6">
        <v>5.0</v>
      </c>
      <c r="D2543" s="15" t="s">
        <v>3875</v>
      </c>
      <c r="E2543" s="9" t="s">
        <v>3876</v>
      </c>
      <c r="F2543" s="8"/>
    </row>
    <row r="2544" ht="21.0" customHeight="1">
      <c r="A2544" s="6">
        <v>1.0</v>
      </c>
      <c r="B2544" s="6">
        <v>190.0</v>
      </c>
      <c r="C2544" s="6">
        <v>6.0</v>
      </c>
      <c r="D2544" s="15" t="s">
        <v>3877</v>
      </c>
      <c r="E2544" s="9" t="s">
        <v>3878</v>
      </c>
      <c r="F2544" s="8"/>
    </row>
    <row r="2545" ht="21.0" customHeight="1">
      <c r="A2545" s="6">
        <v>1.0</v>
      </c>
      <c r="B2545" s="6">
        <v>190.0</v>
      </c>
      <c r="C2545" s="6">
        <v>7.0</v>
      </c>
      <c r="D2545" s="15" t="s">
        <v>3879</v>
      </c>
      <c r="E2545" s="9" t="s">
        <v>3880</v>
      </c>
      <c r="F2545" s="8"/>
    </row>
    <row r="2546" ht="21.0" customHeight="1">
      <c r="A2546" s="6">
        <v>1.0</v>
      </c>
      <c r="B2546" s="6">
        <v>190.0</v>
      </c>
      <c r="C2546" s="6">
        <v>8.0</v>
      </c>
      <c r="D2546" s="15" t="s">
        <v>3881</v>
      </c>
      <c r="E2546" s="9" t="s">
        <v>3882</v>
      </c>
      <c r="F2546" s="8"/>
    </row>
    <row r="2547" ht="21.0" customHeight="1">
      <c r="A2547" s="6">
        <v>1.0</v>
      </c>
      <c r="B2547" s="6">
        <v>190.0</v>
      </c>
      <c r="C2547" s="6">
        <v>9.0</v>
      </c>
      <c r="D2547" s="15" t="s">
        <v>3883</v>
      </c>
      <c r="E2547" s="9" t="s">
        <v>3884</v>
      </c>
      <c r="F2547" s="8"/>
    </row>
    <row r="2548" ht="21.0" customHeight="1">
      <c r="A2548" s="6">
        <v>1.0</v>
      </c>
      <c r="B2548" s="6">
        <v>190.0</v>
      </c>
      <c r="C2548" s="6">
        <v>10.0</v>
      </c>
      <c r="D2548" s="15" t="s">
        <v>3885</v>
      </c>
      <c r="E2548" s="9" t="s">
        <v>3886</v>
      </c>
      <c r="F2548" s="8"/>
    </row>
    <row r="2549" ht="21.0" customHeight="1">
      <c r="A2549" s="6">
        <v>1.0</v>
      </c>
      <c r="B2549" s="6">
        <v>190.0</v>
      </c>
      <c r="C2549" s="6">
        <v>11.0</v>
      </c>
      <c r="D2549" s="15" t="s">
        <v>3887</v>
      </c>
      <c r="E2549" s="9" t="s">
        <v>3888</v>
      </c>
      <c r="F2549" s="8"/>
    </row>
    <row r="2550" ht="21.0" customHeight="1">
      <c r="A2550" s="6">
        <v>1.0</v>
      </c>
      <c r="B2550" s="6">
        <v>190.0</v>
      </c>
      <c r="C2550" s="6">
        <v>12.0</v>
      </c>
      <c r="D2550" s="15" t="s">
        <v>3889</v>
      </c>
      <c r="E2550" s="9" t="s">
        <v>3890</v>
      </c>
      <c r="F2550" s="8"/>
    </row>
    <row r="2551" ht="21.0" customHeight="1">
      <c r="A2551" s="6">
        <v>1.0</v>
      </c>
      <c r="B2551" s="6">
        <v>190.0</v>
      </c>
      <c r="C2551" s="6">
        <v>13.0</v>
      </c>
      <c r="D2551" s="15" t="s">
        <v>3891</v>
      </c>
      <c r="E2551" s="9" t="s">
        <v>3892</v>
      </c>
      <c r="F2551" s="8"/>
    </row>
    <row r="2552" ht="21.0" customHeight="1">
      <c r="A2552" s="6">
        <v>1.0</v>
      </c>
      <c r="B2552" s="6">
        <v>191.0</v>
      </c>
      <c r="C2552" s="6">
        <v>1.0</v>
      </c>
      <c r="D2552" s="15" t="s">
        <v>3893</v>
      </c>
      <c r="E2552" s="9" t="s">
        <v>3894</v>
      </c>
      <c r="F2552" s="8"/>
    </row>
    <row r="2553" ht="21.0" customHeight="1">
      <c r="A2553" s="6">
        <v>1.0</v>
      </c>
      <c r="B2553" s="6">
        <v>191.0</v>
      </c>
      <c r="C2553" s="6">
        <v>2.0</v>
      </c>
      <c r="D2553" s="15" t="s">
        <v>3895</v>
      </c>
      <c r="E2553" s="9" t="s">
        <v>3896</v>
      </c>
      <c r="F2553" s="8"/>
    </row>
    <row r="2554" ht="21.0" customHeight="1">
      <c r="A2554" s="6">
        <v>1.0</v>
      </c>
      <c r="B2554" s="6">
        <v>191.0</v>
      </c>
      <c r="C2554" s="6">
        <v>3.0</v>
      </c>
      <c r="D2554" s="15" t="s">
        <v>3897</v>
      </c>
      <c r="E2554" s="9" t="s">
        <v>3898</v>
      </c>
      <c r="F2554" s="8"/>
    </row>
    <row r="2555" ht="21.0" customHeight="1">
      <c r="A2555" s="6">
        <v>1.0</v>
      </c>
      <c r="B2555" s="6">
        <v>191.0</v>
      </c>
      <c r="C2555" s="6">
        <v>4.0</v>
      </c>
      <c r="D2555" s="15" t="s">
        <v>3899</v>
      </c>
      <c r="E2555" s="9" t="s">
        <v>3900</v>
      </c>
      <c r="F2555" s="8"/>
    </row>
    <row r="2556" ht="21.0" customHeight="1">
      <c r="A2556" s="6">
        <v>1.0</v>
      </c>
      <c r="B2556" s="6">
        <v>191.0</v>
      </c>
      <c r="C2556" s="6">
        <v>5.0</v>
      </c>
      <c r="D2556" s="15" t="s">
        <v>3901</v>
      </c>
      <c r="E2556" s="9" t="s">
        <v>3902</v>
      </c>
      <c r="F2556" s="8"/>
    </row>
    <row r="2557" ht="21.0" customHeight="1">
      <c r="A2557" s="6">
        <v>1.0</v>
      </c>
      <c r="B2557" s="6">
        <v>191.0</v>
      </c>
      <c r="C2557" s="6">
        <v>6.0</v>
      </c>
      <c r="D2557" s="15" t="s">
        <v>3903</v>
      </c>
      <c r="E2557" s="9" t="s">
        <v>3904</v>
      </c>
      <c r="F2557" s="8"/>
    </row>
    <row r="2558" ht="21.0" customHeight="1">
      <c r="A2558" s="6">
        <v>1.0</v>
      </c>
      <c r="B2558" s="6">
        <v>191.0</v>
      </c>
      <c r="C2558" s="6">
        <v>7.0</v>
      </c>
      <c r="D2558" s="15" t="s">
        <v>3905</v>
      </c>
      <c r="E2558" s="9" t="s">
        <v>3906</v>
      </c>
      <c r="F2558" s="8"/>
    </row>
    <row r="2559" ht="21.0" customHeight="1">
      <c r="A2559" s="6">
        <v>1.0</v>
      </c>
      <c r="B2559" s="6">
        <v>191.0</v>
      </c>
      <c r="C2559" s="6">
        <v>8.0</v>
      </c>
      <c r="D2559" s="15" t="s">
        <v>3907</v>
      </c>
      <c r="E2559" s="9" t="s">
        <v>3908</v>
      </c>
      <c r="F2559" s="8"/>
    </row>
    <row r="2560" ht="21.0" customHeight="1">
      <c r="A2560" s="6">
        <v>1.0</v>
      </c>
      <c r="B2560" s="6">
        <v>191.0</v>
      </c>
      <c r="C2560" s="6">
        <v>9.0</v>
      </c>
      <c r="D2560" s="15" t="s">
        <v>3909</v>
      </c>
      <c r="E2560" s="9" t="s">
        <v>3910</v>
      </c>
      <c r="F2560" s="8"/>
    </row>
    <row r="2561" ht="21.0" customHeight="1">
      <c r="A2561" s="6">
        <v>1.0</v>
      </c>
      <c r="B2561" s="6">
        <v>191.0</v>
      </c>
      <c r="C2561" s="6">
        <v>10.0</v>
      </c>
      <c r="D2561" s="15" t="s">
        <v>3911</v>
      </c>
      <c r="E2561" s="9" t="s">
        <v>3912</v>
      </c>
      <c r="F2561" s="8"/>
    </row>
    <row r="2562" ht="21.0" customHeight="1">
      <c r="A2562" s="6">
        <v>1.0</v>
      </c>
      <c r="B2562" s="6">
        <v>191.0</v>
      </c>
      <c r="C2562" s="6">
        <v>11.0</v>
      </c>
      <c r="D2562" s="15" t="s">
        <v>3913</v>
      </c>
      <c r="E2562" s="9" t="s">
        <v>3914</v>
      </c>
      <c r="F2562" s="8"/>
    </row>
    <row r="2563" ht="21.0" customHeight="1">
      <c r="A2563" s="6">
        <v>1.0</v>
      </c>
      <c r="B2563" s="6">
        <v>191.0</v>
      </c>
      <c r="C2563" s="6">
        <v>12.0</v>
      </c>
      <c r="D2563" s="15" t="s">
        <v>3915</v>
      </c>
      <c r="E2563" s="9" t="s">
        <v>3916</v>
      </c>
      <c r="F2563" s="8"/>
    </row>
    <row r="2564" ht="21.0" customHeight="1">
      <c r="A2564" s="6">
        <v>1.0</v>
      </c>
      <c r="B2564" s="6">
        <v>191.0</v>
      </c>
      <c r="C2564" s="6">
        <v>13.0</v>
      </c>
      <c r="D2564" s="15" t="s">
        <v>3917</v>
      </c>
      <c r="E2564" s="9" t="s">
        <v>3918</v>
      </c>
      <c r="F2564" s="8"/>
    </row>
    <row r="2565" ht="21.0" customHeight="1">
      <c r="A2565" s="6">
        <v>11.0</v>
      </c>
      <c r="B2565" s="6">
        <v>1047.0</v>
      </c>
      <c r="C2565" s="6">
        <v>1.0</v>
      </c>
      <c r="D2565" s="15" t="s">
        <v>3919</v>
      </c>
      <c r="E2565" s="9" t="s">
        <v>3920</v>
      </c>
      <c r="F2565" s="8"/>
    </row>
    <row r="2566" ht="21.0" customHeight="1">
      <c r="A2566" s="6">
        <v>11.0</v>
      </c>
      <c r="B2566" s="6">
        <v>1047.0</v>
      </c>
      <c r="C2566" s="6">
        <v>2.0</v>
      </c>
      <c r="D2566" s="15" t="s">
        <v>3921</v>
      </c>
      <c r="E2566" s="9" t="s">
        <v>3922</v>
      </c>
      <c r="F2566" s="8"/>
    </row>
    <row r="2567" ht="21.0" customHeight="1">
      <c r="A2567" s="6">
        <v>11.0</v>
      </c>
      <c r="B2567" s="6">
        <v>1047.0</v>
      </c>
      <c r="C2567" s="6">
        <v>3.0</v>
      </c>
      <c r="D2567" s="15" t="s">
        <v>3923</v>
      </c>
      <c r="E2567" s="9" t="s">
        <v>3924</v>
      </c>
      <c r="F2567" s="8"/>
    </row>
    <row r="2568" ht="21.0" customHeight="1">
      <c r="A2568" s="6">
        <v>11.0</v>
      </c>
      <c r="B2568" s="6">
        <v>1047.0</v>
      </c>
      <c r="C2568" s="6">
        <v>4.0</v>
      </c>
      <c r="D2568" s="15" t="s">
        <v>3925</v>
      </c>
      <c r="E2568" s="9" t="s">
        <v>3926</v>
      </c>
      <c r="F2568" s="8"/>
    </row>
    <row r="2569" ht="21.0" customHeight="1">
      <c r="A2569" s="6">
        <v>10.0</v>
      </c>
      <c r="B2569" s="6">
        <v>1047.0</v>
      </c>
      <c r="C2569" s="6">
        <v>5.0</v>
      </c>
      <c r="D2569" s="15" t="s">
        <v>3927</v>
      </c>
      <c r="E2569" s="9" t="s">
        <v>3928</v>
      </c>
      <c r="F2569" s="8"/>
    </row>
    <row r="2570" ht="21.0" customHeight="1">
      <c r="A2570" s="6">
        <v>10.0</v>
      </c>
      <c r="B2570" s="6">
        <v>1047.0</v>
      </c>
      <c r="C2570" s="6">
        <v>6.0</v>
      </c>
      <c r="D2570" s="15" t="s">
        <v>3929</v>
      </c>
      <c r="E2570" s="9" t="s">
        <v>3930</v>
      </c>
      <c r="F2570" s="8"/>
    </row>
    <row r="2571" ht="21.0" customHeight="1">
      <c r="A2571" s="6">
        <v>10.0</v>
      </c>
      <c r="B2571" s="6">
        <v>1047.0</v>
      </c>
      <c r="C2571" s="6">
        <v>7.0</v>
      </c>
      <c r="D2571" s="15" t="s">
        <v>3931</v>
      </c>
      <c r="E2571" s="9" t="s">
        <v>3932</v>
      </c>
      <c r="F2571" s="8"/>
    </row>
    <row r="2572" ht="21.0" customHeight="1">
      <c r="A2572" s="6">
        <v>10.0</v>
      </c>
      <c r="B2572" s="6">
        <v>1047.0</v>
      </c>
      <c r="C2572" s="6">
        <v>8.0</v>
      </c>
      <c r="D2572" s="15" t="s">
        <v>3933</v>
      </c>
      <c r="E2572" s="9" t="s">
        <v>3934</v>
      </c>
      <c r="F2572" s="8"/>
    </row>
    <row r="2573" ht="21.0" customHeight="1">
      <c r="A2573" s="6">
        <v>10.0</v>
      </c>
      <c r="B2573" s="6">
        <v>1047.0</v>
      </c>
      <c r="C2573" s="6">
        <v>9.0</v>
      </c>
      <c r="D2573" s="15" t="s">
        <v>3935</v>
      </c>
      <c r="E2573" s="9" t="s">
        <v>3936</v>
      </c>
      <c r="F2573" s="8"/>
    </row>
    <row r="2574" ht="21.0" customHeight="1">
      <c r="A2574" s="6">
        <v>10.0</v>
      </c>
      <c r="B2574" s="6">
        <v>1047.0</v>
      </c>
      <c r="C2574" s="6">
        <v>10.0</v>
      </c>
      <c r="D2574" s="15" t="s">
        <v>3937</v>
      </c>
      <c r="E2574" s="9" t="s">
        <v>3938</v>
      </c>
      <c r="F2574" s="8"/>
    </row>
    <row r="2575" ht="21.0" customHeight="1">
      <c r="A2575" s="6">
        <v>11.0</v>
      </c>
      <c r="B2575" s="6">
        <v>1048.0</v>
      </c>
      <c r="C2575" s="6">
        <v>1.0</v>
      </c>
      <c r="D2575" s="15" t="s">
        <v>3939</v>
      </c>
      <c r="E2575" s="9" t="s">
        <v>3940</v>
      </c>
      <c r="F2575" s="8"/>
    </row>
    <row r="2576" ht="21.0" customHeight="1">
      <c r="A2576" s="6">
        <v>11.0</v>
      </c>
      <c r="B2576" s="6">
        <v>1048.0</v>
      </c>
      <c r="C2576" s="6">
        <v>2.0</v>
      </c>
      <c r="D2576" s="15" t="s">
        <v>3941</v>
      </c>
      <c r="E2576" s="9" t="s">
        <v>3942</v>
      </c>
      <c r="F2576" s="8"/>
    </row>
    <row r="2577" ht="21.0" customHeight="1">
      <c r="A2577" s="6">
        <v>11.0</v>
      </c>
      <c r="B2577" s="6">
        <v>1048.0</v>
      </c>
      <c r="C2577" s="6">
        <v>3.0</v>
      </c>
      <c r="D2577" s="15" t="s">
        <v>3943</v>
      </c>
      <c r="E2577" s="9" t="s">
        <v>3944</v>
      </c>
      <c r="F2577" s="8"/>
    </row>
    <row r="2578" ht="21.0" customHeight="1">
      <c r="A2578" s="6">
        <v>11.0</v>
      </c>
      <c r="B2578" s="6">
        <v>1048.0</v>
      </c>
      <c r="C2578" s="6">
        <v>4.0</v>
      </c>
      <c r="D2578" s="15" t="s">
        <v>3945</v>
      </c>
      <c r="E2578" s="9" t="s">
        <v>3946</v>
      </c>
      <c r="F2578" s="8"/>
    </row>
    <row r="2579" ht="21.0" customHeight="1">
      <c r="A2579" s="6">
        <v>10.0</v>
      </c>
      <c r="B2579" s="6">
        <v>1048.0</v>
      </c>
      <c r="C2579" s="6">
        <v>5.0</v>
      </c>
      <c r="D2579" s="15" t="s">
        <v>3947</v>
      </c>
      <c r="E2579" s="9" t="s">
        <v>3948</v>
      </c>
      <c r="F2579" s="8"/>
    </row>
    <row r="2580" ht="21.0" customHeight="1">
      <c r="A2580" s="6">
        <v>10.0</v>
      </c>
      <c r="B2580" s="6">
        <v>1048.0</v>
      </c>
      <c r="C2580" s="6">
        <v>6.0</v>
      </c>
      <c r="D2580" s="15" t="s">
        <v>3949</v>
      </c>
      <c r="E2580" s="9" t="s">
        <v>3950</v>
      </c>
      <c r="F2580" s="8"/>
    </row>
    <row r="2581" ht="21.0" customHeight="1">
      <c r="A2581" s="6">
        <v>10.0</v>
      </c>
      <c r="B2581" s="6">
        <v>1048.0</v>
      </c>
      <c r="C2581" s="6">
        <v>7.0</v>
      </c>
      <c r="D2581" s="15" t="s">
        <v>3951</v>
      </c>
      <c r="E2581" s="9" t="s">
        <v>3952</v>
      </c>
      <c r="F2581" s="8"/>
    </row>
    <row r="2582" ht="21.0" customHeight="1">
      <c r="A2582" s="6">
        <v>10.0</v>
      </c>
      <c r="B2582" s="6">
        <v>1048.0</v>
      </c>
      <c r="C2582" s="6">
        <v>8.0</v>
      </c>
      <c r="D2582" s="15" t="s">
        <v>3953</v>
      </c>
      <c r="E2582" s="9" t="s">
        <v>3954</v>
      </c>
      <c r="F2582" s="8"/>
    </row>
    <row r="2583" ht="21.0" customHeight="1">
      <c r="A2583" s="6">
        <v>10.0</v>
      </c>
      <c r="B2583" s="6">
        <v>1048.0</v>
      </c>
      <c r="C2583" s="6">
        <v>9.0</v>
      </c>
      <c r="D2583" s="15" t="s">
        <v>3955</v>
      </c>
      <c r="E2583" s="9" t="s">
        <v>3956</v>
      </c>
      <c r="F2583" s="8"/>
    </row>
    <row r="2584" ht="21.0" customHeight="1">
      <c r="A2584" s="6">
        <v>10.0</v>
      </c>
      <c r="B2584" s="6">
        <v>1048.0</v>
      </c>
      <c r="C2584" s="6">
        <v>10.0</v>
      </c>
      <c r="D2584" s="15" t="s">
        <v>3957</v>
      </c>
      <c r="E2584" s="9" t="s">
        <v>3938</v>
      </c>
      <c r="F2584" s="8"/>
    </row>
    <row r="2585" ht="21.0" customHeight="1">
      <c r="A2585" s="6">
        <v>1.0</v>
      </c>
      <c r="B2585" s="6">
        <v>192.0</v>
      </c>
      <c r="C2585" s="6">
        <v>1.0</v>
      </c>
      <c r="D2585" s="15" t="s">
        <v>3958</v>
      </c>
      <c r="E2585" s="9" t="s">
        <v>3959</v>
      </c>
      <c r="F2585" s="8"/>
    </row>
    <row r="2586" ht="21.0" customHeight="1">
      <c r="A2586" s="6">
        <v>1.0</v>
      </c>
      <c r="B2586" s="6">
        <v>192.0</v>
      </c>
      <c r="C2586" s="6">
        <v>2.0</v>
      </c>
      <c r="D2586" s="15" t="s">
        <v>3960</v>
      </c>
      <c r="E2586" s="9" t="s">
        <v>3961</v>
      </c>
      <c r="F2586" s="8"/>
    </row>
    <row r="2587" ht="21.0" customHeight="1">
      <c r="A2587" s="6">
        <v>1.0</v>
      </c>
      <c r="B2587" s="6">
        <v>192.0</v>
      </c>
      <c r="C2587" s="6">
        <v>3.0</v>
      </c>
      <c r="D2587" s="15" t="s">
        <v>3962</v>
      </c>
      <c r="E2587" s="9" t="s">
        <v>3963</v>
      </c>
      <c r="F2587" s="8"/>
    </row>
    <row r="2588" ht="21.0" customHeight="1">
      <c r="A2588" s="6">
        <v>1.0</v>
      </c>
      <c r="B2588" s="6">
        <v>192.0</v>
      </c>
      <c r="C2588" s="6">
        <v>4.0</v>
      </c>
      <c r="D2588" s="15" t="s">
        <v>3964</v>
      </c>
      <c r="E2588" s="9" t="s">
        <v>3965</v>
      </c>
      <c r="F2588" s="8"/>
    </row>
    <row r="2589" ht="21.0" customHeight="1">
      <c r="A2589" s="6">
        <v>1.0</v>
      </c>
      <c r="B2589" s="6">
        <v>192.0</v>
      </c>
      <c r="C2589" s="6">
        <v>5.0</v>
      </c>
      <c r="D2589" s="15" t="s">
        <v>3966</v>
      </c>
      <c r="E2589" s="9" t="s">
        <v>3967</v>
      </c>
      <c r="F2589" s="8"/>
    </row>
    <row r="2590" ht="21.0" customHeight="1">
      <c r="A2590" s="6">
        <v>1.0</v>
      </c>
      <c r="B2590" s="6">
        <v>192.0</v>
      </c>
      <c r="C2590" s="6">
        <v>6.0</v>
      </c>
      <c r="D2590" s="15" t="s">
        <v>3968</v>
      </c>
      <c r="E2590" s="9" t="s">
        <v>3969</v>
      </c>
      <c r="F2590" s="8"/>
    </row>
    <row r="2591" ht="21.0" customHeight="1">
      <c r="A2591" s="6">
        <v>1.0</v>
      </c>
      <c r="B2591" s="6">
        <v>192.0</v>
      </c>
      <c r="C2591" s="6">
        <v>7.0</v>
      </c>
      <c r="D2591" s="15" t="s">
        <v>3970</v>
      </c>
      <c r="E2591" s="9" t="s">
        <v>3971</v>
      </c>
      <c r="F2591" s="8"/>
    </row>
    <row r="2592" ht="21.0" customHeight="1">
      <c r="A2592" s="6">
        <v>1.0</v>
      </c>
      <c r="B2592" s="6">
        <v>192.0</v>
      </c>
      <c r="C2592" s="6">
        <v>8.0</v>
      </c>
      <c r="D2592" s="15" t="s">
        <v>3972</v>
      </c>
      <c r="E2592" s="9" t="s">
        <v>3973</v>
      </c>
      <c r="F2592" s="8"/>
    </row>
    <row r="2593" ht="21.0" customHeight="1">
      <c r="A2593" s="6">
        <v>1.0</v>
      </c>
      <c r="B2593" s="6">
        <v>192.0</v>
      </c>
      <c r="C2593" s="6">
        <v>9.0</v>
      </c>
      <c r="D2593" s="15" t="s">
        <v>3974</v>
      </c>
      <c r="E2593" s="9" t="s">
        <v>3975</v>
      </c>
      <c r="F2593" s="8"/>
    </row>
    <row r="2594" ht="21.0" customHeight="1">
      <c r="A2594" s="6">
        <v>1.0</v>
      </c>
      <c r="B2594" s="6">
        <v>192.0</v>
      </c>
      <c r="C2594" s="6">
        <v>10.0</v>
      </c>
      <c r="D2594" s="15" t="s">
        <v>3976</v>
      </c>
      <c r="E2594" s="9" t="s">
        <v>3977</v>
      </c>
      <c r="F2594" s="8"/>
    </row>
    <row r="2595" ht="21.0" customHeight="1">
      <c r="A2595" s="6">
        <v>1.0</v>
      </c>
      <c r="B2595" s="6">
        <v>192.0</v>
      </c>
      <c r="C2595" s="6">
        <v>11.0</v>
      </c>
      <c r="D2595" s="15" t="s">
        <v>3978</v>
      </c>
      <c r="E2595" s="9" t="s">
        <v>3979</v>
      </c>
      <c r="F2595" s="8"/>
    </row>
    <row r="2596" ht="21.0" customHeight="1">
      <c r="A2596" s="6">
        <v>1.0</v>
      </c>
      <c r="B2596" s="6">
        <v>192.0</v>
      </c>
      <c r="C2596" s="6">
        <v>12.0</v>
      </c>
      <c r="D2596" s="15" t="s">
        <v>3980</v>
      </c>
      <c r="E2596" s="9" t="s">
        <v>3981</v>
      </c>
      <c r="F2596" s="8"/>
    </row>
    <row r="2597" ht="21.0" customHeight="1">
      <c r="A2597" s="6">
        <v>1.0</v>
      </c>
      <c r="B2597" s="6">
        <v>192.0</v>
      </c>
      <c r="C2597" s="6">
        <v>13.0</v>
      </c>
      <c r="D2597" s="15" t="s">
        <v>3982</v>
      </c>
      <c r="E2597" s="9" t="s">
        <v>3983</v>
      </c>
      <c r="F2597" s="8"/>
    </row>
    <row r="2598" ht="21.0" customHeight="1">
      <c r="A2598" s="6">
        <v>1.0</v>
      </c>
      <c r="B2598" s="6">
        <v>193.0</v>
      </c>
      <c r="C2598" s="6">
        <v>1.0</v>
      </c>
      <c r="D2598" s="15" t="s">
        <v>3984</v>
      </c>
      <c r="E2598" s="9" t="s">
        <v>3985</v>
      </c>
      <c r="F2598" s="8"/>
    </row>
    <row r="2599" ht="21.0" customHeight="1">
      <c r="A2599" s="6">
        <v>1.0</v>
      </c>
      <c r="B2599" s="6">
        <v>193.0</v>
      </c>
      <c r="C2599" s="6">
        <v>2.0</v>
      </c>
      <c r="D2599" s="15" t="s">
        <v>3986</v>
      </c>
      <c r="E2599" s="9" t="s">
        <v>3987</v>
      </c>
      <c r="F2599" s="8"/>
    </row>
    <row r="2600" ht="21.0" customHeight="1">
      <c r="A2600" s="6">
        <v>1.0</v>
      </c>
      <c r="B2600" s="6">
        <v>193.0</v>
      </c>
      <c r="C2600" s="6">
        <v>3.0</v>
      </c>
      <c r="D2600" s="15" t="s">
        <v>3988</v>
      </c>
      <c r="E2600" s="9" t="s">
        <v>3989</v>
      </c>
      <c r="F2600" s="8"/>
    </row>
    <row r="2601" ht="21.0" customHeight="1">
      <c r="A2601" s="6">
        <v>1.0</v>
      </c>
      <c r="B2601" s="6">
        <v>193.0</v>
      </c>
      <c r="C2601" s="6">
        <v>4.0</v>
      </c>
      <c r="D2601" s="15" t="s">
        <v>3990</v>
      </c>
      <c r="E2601" s="9" t="s">
        <v>3991</v>
      </c>
      <c r="F2601" s="8"/>
    </row>
    <row r="2602" ht="21.0" customHeight="1">
      <c r="A2602" s="6">
        <v>1.0</v>
      </c>
      <c r="B2602" s="6">
        <v>193.0</v>
      </c>
      <c r="C2602" s="6">
        <v>5.0</v>
      </c>
      <c r="D2602" s="15" t="s">
        <v>3992</v>
      </c>
      <c r="E2602" s="9" t="s">
        <v>3993</v>
      </c>
      <c r="F2602" s="8"/>
    </row>
    <row r="2603" ht="21.0" customHeight="1">
      <c r="A2603" s="6">
        <v>1.0</v>
      </c>
      <c r="B2603" s="6">
        <v>193.0</v>
      </c>
      <c r="C2603" s="6">
        <v>6.0</v>
      </c>
      <c r="D2603" s="15" t="s">
        <v>3994</v>
      </c>
      <c r="E2603" s="9" t="s">
        <v>3995</v>
      </c>
      <c r="F2603" s="8"/>
    </row>
    <row r="2604" ht="21.0" customHeight="1">
      <c r="A2604" s="6">
        <v>1.0</v>
      </c>
      <c r="B2604" s="6">
        <v>193.0</v>
      </c>
      <c r="C2604" s="6">
        <v>7.0</v>
      </c>
      <c r="D2604" s="15" t="s">
        <v>3996</v>
      </c>
      <c r="E2604" s="9" t="s">
        <v>3997</v>
      </c>
      <c r="F2604" s="8"/>
    </row>
    <row r="2605" ht="21.0" customHeight="1">
      <c r="A2605" s="6">
        <v>1.0</v>
      </c>
      <c r="B2605" s="6">
        <v>193.0</v>
      </c>
      <c r="C2605" s="6">
        <v>8.0</v>
      </c>
      <c r="D2605" s="15" t="s">
        <v>3998</v>
      </c>
      <c r="E2605" s="9" t="s">
        <v>3999</v>
      </c>
      <c r="F2605" s="8"/>
    </row>
    <row r="2606" ht="21.0" customHeight="1">
      <c r="A2606" s="6">
        <v>1.0</v>
      </c>
      <c r="B2606" s="6">
        <v>193.0</v>
      </c>
      <c r="C2606" s="6">
        <v>9.0</v>
      </c>
      <c r="D2606" s="15" t="s">
        <v>4000</v>
      </c>
      <c r="E2606" s="9" t="s">
        <v>4001</v>
      </c>
      <c r="F2606" s="8"/>
    </row>
    <row r="2607" ht="21.0" customHeight="1">
      <c r="A2607" s="6">
        <v>1.0</v>
      </c>
      <c r="B2607" s="6">
        <v>193.0</v>
      </c>
      <c r="C2607" s="6">
        <v>10.0</v>
      </c>
      <c r="D2607" s="15" t="s">
        <v>4002</v>
      </c>
      <c r="E2607" s="9" t="s">
        <v>4003</v>
      </c>
      <c r="F2607" s="8"/>
    </row>
    <row r="2608" ht="21.0" customHeight="1">
      <c r="A2608" s="6">
        <v>1.0</v>
      </c>
      <c r="B2608" s="6">
        <v>193.0</v>
      </c>
      <c r="C2608" s="6">
        <v>11.0</v>
      </c>
      <c r="D2608" s="15" t="s">
        <v>4004</v>
      </c>
      <c r="E2608" s="9" t="s">
        <v>4005</v>
      </c>
      <c r="F2608" s="8"/>
    </row>
    <row r="2609" ht="21.0" customHeight="1">
      <c r="A2609" s="6">
        <v>1.0</v>
      </c>
      <c r="B2609" s="6">
        <v>193.0</v>
      </c>
      <c r="C2609" s="6">
        <v>12.0</v>
      </c>
      <c r="D2609" s="15" t="s">
        <v>4006</v>
      </c>
      <c r="E2609" s="9" t="s">
        <v>4007</v>
      </c>
      <c r="F2609" s="8"/>
    </row>
    <row r="2610" ht="21.0" customHeight="1">
      <c r="A2610" s="6">
        <v>1.0</v>
      </c>
      <c r="B2610" s="6">
        <v>193.0</v>
      </c>
      <c r="C2610" s="6">
        <v>13.0</v>
      </c>
      <c r="D2610" s="15" t="s">
        <v>4008</v>
      </c>
      <c r="E2610" s="9" t="s">
        <v>4009</v>
      </c>
      <c r="F2610" s="8"/>
    </row>
    <row r="2611" ht="21.0" customHeight="1">
      <c r="A2611" s="6">
        <v>1.0</v>
      </c>
      <c r="B2611" s="6">
        <v>194.0</v>
      </c>
      <c r="C2611" s="6">
        <v>1.0</v>
      </c>
      <c r="D2611" s="15" t="s">
        <v>4010</v>
      </c>
      <c r="E2611" s="9" t="s">
        <v>4011</v>
      </c>
      <c r="F2611" s="8"/>
    </row>
    <row r="2612" ht="21.0" customHeight="1">
      <c r="A2612" s="6">
        <v>1.0</v>
      </c>
      <c r="B2612" s="6">
        <v>194.0</v>
      </c>
      <c r="C2612" s="6">
        <v>2.0</v>
      </c>
      <c r="D2612" s="15" t="s">
        <v>4012</v>
      </c>
      <c r="E2612" s="9" t="s">
        <v>4013</v>
      </c>
      <c r="F2612" s="8"/>
    </row>
    <row r="2613" ht="21.0" customHeight="1">
      <c r="A2613" s="6">
        <v>1.0</v>
      </c>
      <c r="B2613" s="6">
        <v>194.0</v>
      </c>
      <c r="C2613" s="6">
        <v>3.0</v>
      </c>
      <c r="D2613" s="15" t="s">
        <v>4014</v>
      </c>
      <c r="E2613" s="9" t="s">
        <v>4015</v>
      </c>
      <c r="F2613" s="8"/>
    </row>
    <row r="2614" ht="21.0" customHeight="1">
      <c r="A2614" s="6">
        <v>1.0</v>
      </c>
      <c r="B2614" s="6">
        <v>194.0</v>
      </c>
      <c r="C2614" s="6">
        <v>4.0</v>
      </c>
      <c r="D2614" s="15" t="s">
        <v>4016</v>
      </c>
      <c r="E2614" s="9" t="s">
        <v>4017</v>
      </c>
      <c r="F2614" s="8"/>
    </row>
    <row r="2615" ht="21.0" customHeight="1">
      <c r="A2615" s="6">
        <v>1.0</v>
      </c>
      <c r="B2615" s="6">
        <v>194.0</v>
      </c>
      <c r="C2615" s="6">
        <v>5.0</v>
      </c>
      <c r="D2615" s="15" t="s">
        <v>4018</v>
      </c>
      <c r="E2615" s="9" t="s">
        <v>4019</v>
      </c>
      <c r="F2615" s="8"/>
    </row>
    <row r="2616" ht="21.0" customHeight="1">
      <c r="A2616" s="6">
        <v>1.0</v>
      </c>
      <c r="B2616" s="6">
        <v>194.0</v>
      </c>
      <c r="C2616" s="6">
        <v>6.0</v>
      </c>
      <c r="D2616" s="15" t="s">
        <v>4020</v>
      </c>
      <c r="E2616" s="9" t="s">
        <v>4021</v>
      </c>
      <c r="F2616" s="8"/>
    </row>
    <row r="2617" ht="21.0" customHeight="1">
      <c r="A2617" s="6">
        <v>1.0</v>
      </c>
      <c r="B2617" s="6">
        <v>194.0</v>
      </c>
      <c r="C2617" s="6">
        <v>7.0</v>
      </c>
      <c r="D2617" s="15" t="s">
        <v>4022</v>
      </c>
      <c r="E2617" s="9" t="s">
        <v>4023</v>
      </c>
      <c r="F2617" s="8"/>
    </row>
    <row r="2618" ht="21.0" customHeight="1">
      <c r="A2618" s="6">
        <v>1.0</v>
      </c>
      <c r="B2618" s="6">
        <v>194.0</v>
      </c>
      <c r="C2618" s="6">
        <v>8.0</v>
      </c>
      <c r="D2618" s="15" t="s">
        <v>4024</v>
      </c>
      <c r="E2618" s="9" t="s">
        <v>4025</v>
      </c>
      <c r="F2618" s="8"/>
    </row>
    <row r="2619" ht="21.0" customHeight="1">
      <c r="A2619" s="6">
        <v>1.0</v>
      </c>
      <c r="B2619" s="6">
        <v>194.0</v>
      </c>
      <c r="C2619" s="6">
        <v>9.0</v>
      </c>
      <c r="D2619" s="15" t="s">
        <v>4026</v>
      </c>
      <c r="E2619" s="9" t="s">
        <v>4027</v>
      </c>
      <c r="F2619" s="8"/>
    </row>
    <row r="2620" ht="21.0" customHeight="1">
      <c r="A2620" s="6">
        <v>1.0</v>
      </c>
      <c r="B2620" s="6">
        <v>194.0</v>
      </c>
      <c r="C2620" s="6">
        <v>10.0</v>
      </c>
      <c r="D2620" s="15" t="s">
        <v>4028</v>
      </c>
      <c r="E2620" s="9" t="s">
        <v>4029</v>
      </c>
      <c r="F2620" s="8"/>
    </row>
    <row r="2621" ht="21.0" customHeight="1">
      <c r="A2621" s="6">
        <v>1.0</v>
      </c>
      <c r="B2621" s="6">
        <v>194.0</v>
      </c>
      <c r="C2621" s="6">
        <v>11.0</v>
      </c>
      <c r="D2621" s="15" t="s">
        <v>4030</v>
      </c>
      <c r="E2621" s="9" t="s">
        <v>4031</v>
      </c>
      <c r="F2621" s="8"/>
    </row>
    <row r="2622" ht="21.0" customHeight="1">
      <c r="A2622" s="6">
        <v>1.0</v>
      </c>
      <c r="B2622" s="6">
        <v>194.0</v>
      </c>
      <c r="C2622" s="6">
        <v>12.0</v>
      </c>
      <c r="D2622" s="15" t="s">
        <v>4032</v>
      </c>
      <c r="E2622" s="9" t="s">
        <v>4033</v>
      </c>
      <c r="F2622" s="8"/>
    </row>
    <row r="2623" ht="21.0" customHeight="1">
      <c r="A2623" s="6">
        <v>1.0</v>
      </c>
      <c r="B2623" s="6">
        <v>194.0</v>
      </c>
      <c r="C2623" s="6">
        <v>13.0</v>
      </c>
      <c r="D2623" s="15" t="s">
        <v>4034</v>
      </c>
      <c r="E2623" s="9" t="s">
        <v>4035</v>
      </c>
      <c r="F2623" s="8"/>
    </row>
    <row r="2624" ht="21.0" customHeight="1">
      <c r="A2624" s="6">
        <v>11.0</v>
      </c>
      <c r="B2624" s="6">
        <v>1049.0</v>
      </c>
      <c r="C2624" s="6">
        <v>1.0</v>
      </c>
      <c r="D2624" s="15" t="s">
        <v>4036</v>
      </c>
      <c r="E2624" s="9" t="s">
        <v>4037</v>
      </c>
      <c r="F2624" s="8"/>
    </row>
    <row r="2625" ht="21.0" customHeight="1">
      <c r="A2625" s="6">
        <v>11.0</v>
      </c>
      <c r="B2625" s="6">
        <v>1049.0</v>
      </c>
      <c r="C2625" s="6">
        <v>2.0</v>
      </c>
      <c r="D2625" s="15" t="s">
        <v>4038</v>
      </c>
      <c r="E2625" s="9" t="s">
        <v>4039</v>
      </c>
      <c r="F2625" s="8"/>
    </row>
    <row r="2626" ht="21.0" customHeight="1">
      <c r="A2626" s="6">
        <v>11.0</v>
      </c>
      <c r="B2626" s="6">
        <v>1049.0</v>
      </c>
      <c r="C2626" s="6">
        <v>3.0</v>
      </c>
      <c r="D2626" s="15" t="s">
        <v>4040</v>
      </c>
      <c r="E2626" s="9" t="s">
        <v>4041</v>
      </c>
      <c r="F2626" s="8"/>
    </row>
    <row r="2627" ht="21.0" customHeight="1">
      <c r="A2627" s="6">
        <v>11.0</v>
      </c>
      <c r="B2627" s="6">
        <v>1049.0</v>
      </c>
      <c r="C2627" s="6">
        <v>4.0</v>
      </c>
      <c r="D2627" s="15" t="s">
        <v>4042</v>
      </c>
      <c r="E2627" s="9" t="s">
        <v>4043</v>
      </c>
      <c r="F2627" s="8"/>
    </row>
    <row r="2628" ht="21.0" customHeight="1">
      <c r="A2628" s="6">
        <v>10.0</v>
      </c>
      <c r="B2628" s="6">
        <v>1049.0</v>
      </c>
      <c r="C2628" s="6">
        <v>5.0</v>
      </c>
      <c r="D2628" s="15" t="s">
        <v>4044</v>
      </c>
      <c r="E2628" s="9" t="s">
        <v>4045</v>
      </c>
      <c r="F2628" s="8"/>
    </row>
    <row r="2629" ht="21.0" customHeight="1">
      <c r="A2629" s="6">
        <v>10.0</v>
      </c>
      <c r="B2629" s="6">
        <v>1049.0</v>
      </c>
      <c r="C2629" s="6">
        <v>6.0</v>
      </c>
      <c r="D2629" s="15" t="s">
        <v>4046</v>
      </c>
      <c r="E2629" s="9" t="s">
        <v>4047</v>
      </c>
      <c r="F2629" s="8"/>
    </row>
    <row r="2630" ht="21.0" customHeight="1">
      <c r="A2630" s="6">
        <v>10.0</v>
      </c>
      <c r="B2630" s="6">
        <v>1049.0</v>
      </c>
      <c r="C2630" s="6">
        <v>7.0</v>
      </c>
      <c r="D2630" s="15" t="s">
        <v>4048</v>
      </c>
      <c r="E2630" s="9" t="s">
        <v>4049</v>
      </c>
      <c r="F2630" s="8"/>
    </row>
    <row r="2631" ht="21.0" customHeight="1">
      <c r="A2631" s="6">
        <v>10.0</v>
      </c>
      <c r="B2631" s="6">
        <v>1049.0</v>
      </c>
      <c r="C2631" s="6">
        <v>8.0</v>
      </c>
      <c r="D2631" s="15" t="s">
        <v>4050</v>
      </c>
      <c r="E2631" s="9" t="s">
        <v>4051</v>
      </c>
      <c r="F2631" s="8"/>
    </row>
    <row r="2632" ht="21.0" customHeight="1">
      <c r="A2632" s="6">
        <v>10.0</v>
      </c>
      <c r="B2632" s="6">
        <v>1049.0</v>
      </c>
      <c r="C2632" s="6">
        <v>9.0</v>
      </c>
      <c r="D2632" s="15" t="s">
        <v>4052</v>
      </c>
      <c r="E2632" s="9" t="s">
        <v>4053</v>
      </c>
      <c r="F2632" s="8"/>
    </row>
    <row r="2633" ht="21.0" customHeight="1">
      <c r="A2633" s="6">
        <v>10.0</v>
      </c>
      <c r="B2633" s="6">
        <v>1049.0</v>
      </c>
      <c r="C2633" s="6">
        <v>10.0</v>
      </c>
      <c r="D2633" s="15" t="s">
        <v>4054</v>
      </c>
      <c r="E2633" s="9" t="s">
        <v>4055</v>
      </c>
      <c r="F2633" s="8"/>
    </row>
    <row r="2634" ht="21.0" customHeight="1">
      <c r="A2634" s="6">
        <v>10.0</v>
      </c>
      <c r="B2634" s="6">
        <v>1049.0</v>
      </c>
      <c r="C2634" s="6">
        <v>11.0</v>
      </c>
      <c r="D2634" s="15" t="s">
        <v>4056</v>
      </c>
      <c r="E2634" s="9" t="s">
        <v>4057</v>
      </c>
      <c r="F2634" s="8"/>
    </row>
    <row r="2635" ht="21.0" customHeight="1">
      <c r="A2635" s="6">
        <v>10.0</v>
      </c>
      <c r="B2635" s="6">
        <v>1049.0</v>
      </c>
      <c r="C2635" s="6">
        <v>12.0</v>
      </c>
      <c r="D2635" s="15" t="s">
        <v>4058</v>
      </c>
      <c r="E2635" s="9" t="s">
        <v>4059</v>
      </c>
      <c r="F2635" s="8"/>
    </row>
    <row r="2636" ht="21.0" customHeight="1">
      <c r="A2636" s="6">
        <v>11.0</v>
      </c>
      <c r="B2636" s="6">
        <v>1050.0</v>
      </c>
      <c r="C2636" s="6">
        <v>1.0</v>
      </c>
      <c r="D2636" s="15" t="s">
        <v>4060</v>
      </c>
      <c r="E2636" s="9" t="s">
        <v>4061</v>
      </c>
      <c r="F2636" s="8"/>
    </row>
    <row r="2637" ht="21.0" customHeight="1">
      <c r="A2637" s="6">
        <v>11.0</v>
      </c>
      <c r="B2637" s="6">
        <v>1050.0</v>
      </c>
      <c r="C2637" s="6">
        <v>2.0</v>
      </c>
      <c r="D2637" s="15" t="s">
        <v>4062</v>
      </c>
      <c r="E2637" s="9" t="s">
        <v>4063</v>
      </c>
      <c r="F2637" s="8"/>
    </row>
    <row r="2638" ht="21.0" customHeight="1">
      <c r="A2638" s="6">
        <v>11.0</v>
      </c>
      <c r="B2638" s="6">
        <v>1050.0</v>
      </c>
      <c r="C2638" s="6">
        <v>3.0</v>
      </c>
      <c r="D2638" s="15" t="s">
        <v>4064</v>
      </c>
      <c r="E2638" s="9" t="s">
        <v>4065</v>
      </c>
      <c r="F2638" s="8"/>
    </row>
    <row r="2639" ht="21.0" customHeight="1">
      <c r="A2639" s="6">
        <v>11.0</v>
      </c>
      <c r="B2639" s="6">
        <v>1050.0</v>
      </c>
      <c r="C2639" s="6">
        <v>4.0</v>
      </c>
      <c r="D2639" s="15" t="s">
        <v>4066</v>
      </c>
      <c r="E2639" s="9" t="s">
        <v>4067</v>
      </c>
      <c r="F2639" s="8"/>
    </row>
    <row r="2640" ht="21.0" customHeight="1">
      <c r="A2640" s="6">
        <v>10.0</v>
      </c>
      <c r="B2640" s="6">
        <v>1050.0</v>
      </c>
      <c r="C2640" s="6">
        <v>5.0</v>
      </c>
      <c r="D2640" s="15" t="s">
        <v>4068</v>
      </c>
      <c r="E2640" s="9" t="s">
        <v>4069</v>
      </c>
      <c r="F2640" s="8"/>
    </row>
    <row r="2641" ht="21.0" customHeight="1">
      <c r="A2641" s="6">
        <v>10.0</v>
      </c>
      <c r="B2641" s="6">
        <v>1050.0</v>
      </c>
      <c r="C2641" s="6">
        <v>6.0</v>
      </c>
      <c r="D2641" s="15" t="s">
        <v>4070</v>
      </c>
      <c r="E2641" s="9" t="s">
        <v>4071</v>
      </c>
      <c r="F2641" s="8"/>
    </row>
    <row r="2642" ht="21.0" customHeight="1">
      <c r="A2642" s="6">
        <v>10.0</v>
      </c>
      <c r="B2642" s="6">
        <v>1050.0</v>
      </c>
      <c r="C2642" s="6">
        <v>7.0</v>
      </c>
      <c r="D2642" s="15" t="s">
        <v>4072</v>
      </c>
      <c r="E2642" s="9" t="s">
        <v>4073</v>
      </c>
      <c r="F2642" s="8"/>
    </row>
    <row r="2643" ht="21.0" customHeight="1">
      <c r="A2643" s="6">
        <v>10.0</v>
      </c>
      <c r="B2643" s="6">
        <v>1050.0</v>
      </c>
      <c r="C2643" s="6">
        <v>8.0</v>
      </c>
      <c r="D2643" s="15" t="s">
        <v>4074</v>
      </c>
      <c r="E2643" s="9" t="s">
        <v>4075</v>
      </c>
      <c r="F2643" s="8"/>
    </row>
    <row r="2644" ht="21.0" customHeight="1">
      <c r="A2644" s="6">
        <v>10.0</v>
      </c>
      <c r="B2644" s="6">
        <v>1050.0</v>
      </c>
      <c r="C2644" s="6">
        <v>9.0</v>
      </c>
      <c r="D2644" s="15" t="s">
        <v>4076</v>
      </c>
      <c r="E2644" s="9" t="s">
        <v>4077</v>
      </c>
      <c r="F2644" s="8"/>
    </row>
    <row r="2645" ht="21.0" customHeight="1">
      <c r="A2645" s="6">
        <v>10.0</v>
      </c>
      <c r="B2645" s="6">
        <v>1050.0</v>
      </c>
      <c r="C2645" s="6">
        <v>10.0</v>
      </c>
      <c r="D2645" s="15" t="s">
        <v>4078</v>
      </c>
      <c r="E2645" s="9" t="s">
        <v>4079</v>
      </c>
      <c r="F2645" s="8"/>
    </row>
    <row r="2646" ht="21.0" customHeight="1">
      <c r="A2646" s="6">
        <v>10.0</v>
      </c>
      <c r="B2646" s="6">
        <v>1050.0</v>
      </c>
      <c r="C2646" s="6">
        <v>11.0</v>
      </c>
      <c r="D2646" s="15" t="s">
        <v>4080</v>
      </c>
      <c r="E2646" s="9" t="s">
        <v>4081</v>
      </c>
      <c r="F2646" s="8"/>
    </row>
    <row r="2647" ht="21.0" customHeight="1">
      <c r="A2647" s="6">
        <v>10.0</v>
      </c>
      <c r="B2647" s="6">
        <v>1050.0</v>
      </c>
      <c r="C2647" s="6">
        <v>12.0</v>
      </c>
      <c r="D2647" s="15" t="s">
        <v>4082</v>
      </c>
      <c r="E2647" s="9" t="s">
        <v>4059</v>
      </c>
      <c r="F2647" s="8"/>
    </row>
    <row r="2648" ht="21.0" customHeight="1">
      <c r="A2648" s="6">
        <v>1.0</v>
      </c>
      <c r="B2648" s="6">
        <v>195.0</v>
      </c>
      <c r="C2648" s="6">
        <v>1.0</v>
      </c>
      <c r="D2648" s="15" t="s">
        <v>4083</v>
      </c>
      <c r="E2648" s="9" t="s">
        <v>4084</v>
      </c>
      <c r="F2648" s="8"/>
    </row>
    <row r="2649" ht="21.0" customHeight="1">
      <c r="A2649" s="6">
        <v>1.0</v>
      </c>
      <c r="B2649" s="6">
        <v>195.0</v>
      </c>
      <c r="C2649" s="6">
        <v>2.0</v>
      </c>
      <c r="D2649" s="15" t="s">
        <v>4085</v>
      </c>
      <c r="E2649" s="9" t="s">
        <v>4086</v>
      </c>
      <c r="F2649" s="8"/>
    </row>
    <row r="2650" ht="21.0" customHeight="1">
      <c r="A2650" s="6">
        <v>1.0</v>
      </c>
      <c r="B2650" s="6">
        <v>195.0</v>
      </c>
      <c r="C2650" s="6">
        <v>3.0</v>
      </c>
      <c r="D2650" s="15" t="s">
        <v>4087</v>
      </c>
      <c r="E2650" s="9" t="s">
        <v>4088</v>
      </c>
      <c r="F2650" s="8"/>
    </row>
    <row r="2651" ht="21.0" customHeight="1">
      <c r="A2651" s="6">
        <v>1.0</v>
      </c>
      <c r="B2651" s="6">
        <v>195.0</v>
      </c>
      <c r="C2651" s="6">
        <v>4.0</v>
      </c>
      <c r="D2651" s="15" t="s">
        <v>4089</v>
      </c>
      <c r="E2651" s="9" t="s">
        <v>4090</v>
      </c>
      <c r="F2651" s="8"/>
    </row>
    <row r="2652" ht="21.0" customHeight="1">
      <c r="A2652" s="6">
        <v>1.0</v>
      </c>
      <c r="B2652" s="6">
        <v>195.0</v>
      </c>
      <c r="C2652" s="6">
        <v>5.0</v>
      </c>
      <c r="D2652" s="15" t="s">
        <v>4091</v>
      </c>
      <c r="E2652" s="9" t="s">
        <v>4092</v>
      </c>
      <c r="F2652" s="8"/>
    </row>
    <row r="2653" ht="21.0" customHeight="1">
      <c r="A2653" s="6">
        <v>1.0</v>
      </c>
      <c r="B2653" s="6">
        <v>195.0</v>
      </c>
      <c r="C2653" s="6">
        <v>6.0</v>
      </c>
      <c r="D2653" s="15" t="s">
        <v>4093</v>
      </c>
      <c r="E2653" s="9" t="s">
        <v>4094</v>
      </c>
      <c r="F2653" s="8"/>
    </row>
    <row r="2654" ht="21.0" customHeight="1">
      <c r="A2654" s="6">
        <v>1.0</v>
      </c>
      <c r="B2654" s="6">
        <v>195.0</v>
      </c>
      <c r="C2654" s="6">
        <v>7.0</v>
      </c>
      <c r="D2654" s="15" t="s">
        <v>4095</v>
      </c>
      <c r="E2654" s="9" t="s">
        <v>4096</v>
      </c>
      <c r="F2654" s="8"/>
    </row>
    <row r="2655" ht="21.0" customHeight="1">
      <c r="A2655" s="6">
        <v>1.0</v>
      </c>
      <c r="B2655" s="6">
        <v>195.0</v>
      </c>
      <c r="C2655" s="6">
        <v>8.0</v>
      </c>
      <c r="D2655" s="15" t="s">
        <v>4097</v>
      </c>
      <c r="E2655" s="9" t="s">
        <v>4098</v>
      </c>
      <c r="F2655" s="8"/>
    </row>
    <row r="2656" ht="21.0" customHeight="1">
      <c r="A2656" s="6">
        <v>1.0</v>
      </c>
      <c r="B2656" s="6">
        <v>195.0</v>
      </c>
      <c r="C2656" s="6">
        <v>9.0</v>
      </c>
      <c r="D2656" s="15" t="s">
        <v>4099</v>
      </c>
      <c r="E2656" s="9" t="s">
        <v>4100</v>
      </c>
      <c r="F2656" s="8"/>
    </row>
    <row r="2657" ht="21.0" customHeight="1">
      <c r="A2657" s="6">
        <v>1.0</v>
      </c>
      <c r="B2657" s="6">
        <v>195.0</v>
      </c>
      <c r="C2657" s="6">
        <v>10.0</v>
      </c>
      <c r="D2657" s="15" t="s">
        <v>4101</v>
      </c>
      <c r="E2657" s="9" t="s">
        <v>4102</v>
      </c>
      <c r="F2657" s="8"/>
    </row>
    <row r="2658" ht="21.0" customHeight="1">
      <c r="A2658" s="6">
        <v>1.0</v>
      </c>
      <c r="B2658" s="6">
        <v>195.0</v>
      </c>
      <c r="C2658" s="6">
        <v>11.0</v>
      </c>
      <c r="D2658" s="15" t="s">
        <v>4103</v>
      </c>
      <c r="E2658" s="9" t="s">
        <v>4104</v>
      </c>
      <c r="F2658" s="8"/>
    </row>
    <row r="2659" ht="21.0" customHeight="1">
      <c r="A2659" s="6">
        <v>1.0</v>
      </c>
      <c r="B2659" s="6">
        <v>195.0</v>
      </c>
      <c r="C2659" s="6">
        <v>12.0</v>
      </c>
      <c r="D2659" s="15" t="s">
        <v>4105</v>
      </c>
      <c r="E2659" s="9" t="s">
        <v>4106</v>
      </c>
      <c r="F2659" s="8"/>
    </row>
    <row r="2660" ht="21.0" customHeight="1">
      <c r="A2660" s="6">
        <v>1.0</v>
      </c>
      <c r="B2660" s="6">
        <v>195.0</v>
      </c>
      <c r="C2660" s="6">
        <v>13.0</v>
      </c>
      <c r="D2660" s="15" t="s">
        <v>4107</v>
      </c>
      <c r="E2660" s="9" t="s">
        <v>4108</v>
      </c>
      <c r="F2660" s="8"/>
    </row>
    <row r="2661" ht="21.0" customHeight="1">
      <c r="A2661" s="6">
        <v>1.0</v>
      </c>
      <c r="B2661" s="6">
        <v>195.0</v>
      </c>
      <c r="C2661" s="6">
        <v>14.0</v>
      </c>
      <c r="D2661" s="15" t="s">
        <v>4109</v>
      </c>
      <c r="E2661" s="9" t="s">
        <v>4110</v>
      </c>
      <c r="F2661" s="8"/>
    </row>
    <row r="2662" ht="21.0" customHeight="1">
      <c r="A2662" s="6">
        <v>1.0</v>
      </c>
      <c r="B2662" s="6">
        <v>195.0</v>
      </c>
      <c r="C2662" s="6">
        <v>15.0</v>
      </c>
      <c r="D2662" s="15" t="s">
        <v>4111</v>
      </c>
      <c r="E2662" s="9" t="s">
        <v>4112</v>
      </c>
      <c r="F2662" s="8"/>
    </row>
    <row r="2663" ht="21.0" customHeight="1">
      <c r="A2663" s="6">
        <v>1.0</v>
      </c>
      <c r="B2663" s="6">
        <v>196.0</v>
      </c>
      <c r="C2663" s="6">
        <v>1.0</v>
      </c>
      <c r="D2663" s="15" t="s">
        <v>4113</v>
      </c>
      <c r="E2663" s="9" t="s">
        <v>4114</v>
      </c>
      <c r="F2663" s="8"/>
    </row>
    <row r="2664" ht="21.0" customHeight="1">
      <c r="A2664" s="6">
        <v>1.0</v>
      </c>
      <c r="B2664" s="6">
        <v>196.0</v>
      </c>
      <c r="C2664" s="6">
        <v>2.0</v>
      </c>
      <c r="D2664" s="15" t="s">
        <v>4115</v>
      </c>
      <c r="E2664" s="9" t="s">
        <v>4116</v>
      </c>
      <c r="F2664" s="8"/>
    </row>
    <row r="2665" ht="21.0" customHeight="1">
      <c r="A2665" s="6">
        <v>1.0</v>
      </c>
      <c r="B2665" s="6">
        <v>196.0</v>
      </c>
      <c r="C2665" s="6">
        <v>3.0</v>
      </c>
      <c r="D2665" s="15" t="s">
        <v>4117</v>
      </c>
      <c r="E2665" s="9" t="s">
        <v>4118</v>
      </c>
      <c r="F2665" s="8"/>
    </row>
    <row r="2666" ht="21.0" customHeight="1">
      <c r="A2666" s="6">
        <v>1.0</v>
      </c>
      <c r="B2666" s="6">
        <v>196.0</v>
      </c>
      <c r="C2666" s="6">
        <v>4.0</v>
      </c>
      <c r="D2666" s="15" t="s">
        <v>4119</v>
      </c>
      <c r="E2666" s="9" t="s">
        <v>4120</v>
      </c>
      <c r="F2666" s="8"/>
    </row>
    <row r="2667" ht="21.0" customHeight="1">
      <c r="A2667" s="6">
        <v>1.0</v>
      </c>
      <c r="B2667" s="6">
        <v>196.0</v>
      </c>
      <c r="C2667" s="6">
        <v>5.0</v>
      </c>
      <c r="D2667" s="15" t="s">
        <v>4121</v>
      </c>
      <c r="E2667" s="9" t="s">
        <v>4122</v>
      </c>
      <c r="F2667" s="8"/>
    </row>
    <row r="2668" ht="21.0" customHeight="1">
      <c r="A2668" s="6">
        <v>1.0</v>
      </c>
      <c r="B2668" s="6">
        <v>196.0</v>
      </c>
      <c r="C2668" s="6">
        <v>6.0</v>
      </c>
      <c r="D2668" s="15" t="s">
        <v>4123</v>
      </c>
      <c r="E2668" s="9" t="s">
        <v>4124</v>
      </c>
      <c r="F2668" s="8"/>
    </row>
    <row r="2669" ht="21.0" customHeight="1">
      <c r="A2669" s="6">
        <v>1.0</v>
      </c>
      <c r="B2669" s="6">
        <v>196.0</v>
      </c>
      <c r="C2669" s="6">
        <v>7.0</v>
      </c>
      <c r="D2669" s="15" t="s">
        <v>4125</v>
      </c>
      <c r="E2669" s="9" t="s">
        <v>4126</v>
      </c>
      <c r="F2669" s="8"/>
    </row>
    <row r="2670" ht="21.0" customHeight="1">
      <c r="A2670" s="6">
        <v>1.0</v>
      </c>
      <c r="B2670" s="6">
        <v>196.0</v>
      </c>
      <c r="C2670" s="6">
        <v>8.0</v>
      </c>
      <c r="D2670" s="15" t="s">
        <v>4127</v>
      </c>
      <c r="E2670" s="9" t="s">
        <v>4128</v>
      </c>
      <c r="F2670" s="8"/>
    </row>
    <row r="2671" ht="21.0" customHeight="1">
      <c r="A2671" s="6">
        <v>1.0</v>
      </c>
      <c r="B2671" s="6">
        <v>196.0</v>
      </c>
      <c r="C2671" s="6">
        <v>9.0</v>
      </c>
      <c r="D2671" s="15" t="s">
        <v>4129</v>
      </c>
      <c r="E2671" s="9" t="s">
        <v>4130</v>
      </c>
      <c r="F2671" s="8"/>
    </row>
    <row r="2672" ht="21.0" customHeight="1">
      <c r="A2672" s="6">
        <v>1.0</v>
      </c>
      <c r="B2672" s="6">
        <v>196.0</v>
      </c>
      <c r="C2672" s="6">
        <v>10.0</v>
      </c>
      <c r="D2672" s="15" t="s">
        <v>4131</v>
      </c>
      <c r="E2672" s="9" t="s">
        <v>4132</v>
      </c>
      <c r="F2672" s="8"/>
    </row>
    <row r="2673" ht="21.0" customHeight="1">
      <c r="A2673" s="6">
        <v>1.0</v>
      </c>
      <c r="B2673" s="6">
        <v>196.0</v>
      </c>
      <c r="C2673" s="6">
        <v>11.0</v>
      </c>
      <c r="D2673" s="15" t="s">
        <v>4133</v>
      </c>
      <c r="E2673" s="9" t="s">
        <v>4134</v>
      </c>
      <c r="F2673" s="8"/>
    </row>
    <row r="2674" ht="21.0" customHeight="1">
      <c r="A2674" s="6">
        <v>1.0</v>
      </c>
      <c r="B2674" s="6">
        <v>196.0</v>
      </c>
      <c r="C2674" s="6">
        <v>12.0</v>
      </c>
      <c r="D2674" s="15" t="s">
        <v>4135</v>
      </c>
      <c r="E2674" s="9" t="s">
        <v>4136</v>
      </c>
      <c r="F2674" s="8"/>
    </row>
    <row r="2675" ht="21.0" customHeight="1">
      <c r="A2675" s="6">
        <v>1.0</v>
      </c>
      <c r="B2675" s="6">
        <v>196.0</v>
      </c>
      <c r="C2675" s="6">
        <v>13.0</v>
      </c>
      <c r="D2675" s="15" t="s">
        <v>4137</v>
      </c>
      <c r="E2675" s="9" t="s">
        <v>4138</v>
      </c>
      <c r="F2675" s="8"/>
    </row>
    <row r="2676" ht="21.0" customHeight="1">
      <c r="A2676" s="6">
        <v>1.0</v>
      </c>
      <c r="B2676" s="6">
        <v>196.0</v>
      </c>
      <c r="C2676" s="6">
        <v>14.0</v>
      </c>
      <c r="D2676" s="15" t="s">
        <v>4139</v>
      </c>
      <c r="E2676" s="9" t="s">
        <v>4140</v>
      </c>
      <c r="F2676" s="8"/>
    </row>
    <row r="2677" ht="21.0" customHeight="1">
      <c r="A2677" s="6">
        <v>1.0</v>
      </c>
      <c r="B2677" s="6">
        <v>196.0</v>
      </c>
      <c r="C2677" s="6">
        <v>15.0</v>
      </c>
      <c r="D2677" s="15" t="s">
        <v>4141</v>
      </c>
      <c r="E2677" s="9" t="s">
        <v>4142</v>
      </c>
      <c r="F2677" s="8"/>
    </row>
    <row r="2678" ht="21.0" customHeight="1">
      <c r="A2678" s="6">
        <v>1.0</v>
      </c>
      <c r="B2678" s="6">
        <v>197.0</v>
      </c>
      <c r="C2678" s="6">
        <v>1.0</v>
      </c>
      <c r="D2678" s="15" t="s">
        <v>4143</v>
      </c>
      <c r="E2678" s="9" t="s">
        <v>4144</v>
      </c>
      <c r="F2678" s="8"/>
    </row>
    <row r="2679" ht="21.0" customHeight="1">
      <c r="A2679" s="6">
        <v>1.0</v>
      </c>
      <c r="B2679" s="6">
        <v>197.0</v>
      </c>
      <c r="C2679" s="6">
        <v>2.0</v>
      </c>
      <c r="D2679" s="15" t="s">
        <v>4145</v>
      </c>
      <c r="E2679" s="9" t="s">
        <v>4146</v>
      </c>
      <c r="F2679" s="8"/>
    </row>
    <row r="2680" ht="21.0" customHeight="1">
      <c r="A2680" s="6">
        <v>1.0</v>
      </c>
      <c r="B2680" s="6">
        <v>197.0</v>
      </c>
      <c r="C2680" s="6">
        <v>3.0</v>
      </c>
      <c r="D2680" s="15" t="s">
        <v>4147</v>
      </c>
      <c r="E2680" s="9" t="s">
        <v>4148</v>
      </c>
      <c r="F2680" s="8"/>
    </row>
    <row r="2681" ht="21.0" customHeight="1">
      <c r="A2681" s="6">
        <v>1.0</v>
      </c>
      <c r="B2681" s="6">
        <v>197.0</v>
      </c>
      <c r="C2681" s="6">
        <v>4.0</v>
      </c>
      <c r="D2681" s="15" t="s">
        <v>4149</v>
      </c>
      <c r="E2681" s="9" t="s">
        <v>4150</v>
      </c>
      <c r="F2681" s="8"/>
    </row>
    <row r="2682" ht="21.0" customHeight="1">
      <c r="A2682" s="6">
        <v>1.0</v>
      </c>
      <c r="B2682" s="6">
        <v>197.0</v>
      </c>
      <c r="C2682" s="6">
        <v>5.0</v>
      </c>
      <c r="D2682" s="15" t="s">
        <v>4151</v>
      </c>
      <c r="E2682" s="9" t="s">
        <v>4152</v>
      </c>
      <c r="F2682" s="8"/>
    </row>
    <row r="2683" ht="21.0" customHeight="1">
      <c r="A2683" s="6">
        <v>1.0</v>
      </c>
      <c r="B2683" s="6">
        <v>197.0</v>
      </c>
      <c r="C2683" s="6">
        <v>6.0</v>
      </c>
      <c r="D2683" s="15" t="s">
        <v>4153</v>
      </c>
      <c r="E2683" s="9" t="s">
        <v>4154</v>
      </c>
      <c r="F2683" s="8"/>
    </row>
    <row r="2684" ht="21.0" customHeight="1">
      <c r="A2684" s="6">
        <v>1.0</v>
      </c>
      <c r="B2684" s="6">
        <v>197.0</v>
      </c>
      <c r="C2684" s="6">
        <v>7.0</v>
      </c>
      <c r="D2684" s="15" t="s">
        <v>4155</v>
      </c>
      <c r="E2684" s="9" t="s">
        <v>4156</v>
      </c>
      <c r="F2684" s="8"/>
    </row>
    <row r="2685" ht="21.0" customHeight="1">
      <c r="A2685" s="6">
        <v>1.0</v>
      </c>
      <c r="B2685" s="6">
        <v>197.0</v>
      </c>
      <c r="C2685" s="6">
        <v>8.0</v>
      </c>
      <c r="D2685" s="15" t="s">
        <v>4157</v>
      </c>
      <c r="E2685" s="9" t="s">
        <v>4158</v>
      </c>
      <c r="F2685" s="8"/>
    </row>
    <row r="2686" ht="21.0" customHeight="1">
      <c r="A2686" s="6">
        <v>1.0</v>
      </c>
      <c r="B2686" s="6">
        <v>197.0</v>
      </c>
      <c r="C2686" s="6">
        <v>9.0</v>
      </c>
      <c r="D2686" s="15" t="s">
        <v>4159</v>
      </c>
      <c r="E2686" s="9" t="s">
        <v>4160</v>
      </c>
      <c r="F2686" s="8"/>
    </row>
    <row r="2687" ht="21.0" customHeight="1">
      <c r="A2687" s="6">
        <v>1.0</v>
      </c>
      <c r="B2687" s="6">
        <v>197.0</v>
      </c>
      <c r="C2687" s="6">
        <v>10.0</v>
      </c>
      <c r="D2687" s="15" t="s">
        <v>4161</v>
      </c>
      <c r="E2687" s="9" t="s">
        <v>4162</v>
      </c>
      <c r="F2687" s="8"/>
    </row>
    <row r="2688" ht="21.0" customHeight="1">
      <c r="A2688" s="6">
        <v>1.0</v>
      </c>
      <c r="B2688" s="6">
        <v>197.0</v>
      </c>
      <c r="C2688" s="6">
        <v>11.0</v>
      </c>
      <c r="D2688" s="15" t="s">
        <v>4163</v>
      </c>
      <c r="E2688" s="9" t="s">
        <v>4164</v>
      </c>
      <c r="F2688" s="8"/>
    </row>
    <row r="2689" ht="21.0" customHeight="1">
      <c r="A2689" s="6">
        <v>1.0</v>
      </c>
      <c r="B2689" s="6">
        <v>197.0</v>
      </c>
      <c r="C2689" s="6">
        <v>12.0</v>
      </c>
      <c r="D2689" s="15" t="s">
        <v>4165</v>
      </c>
      <c r="E2689" s="9" t="s">
        <v>4166</v>
      </c>
      <c r="F2689" s="8"/>
    </row>
    <row r="2690" ht="21.0" customHeight="1">
      <c r="A2690" s="6">
        <v>1.0</v>
      </c>
      <c r="B2690" s="6">
        <v>197.0</v>
      </c>
      <c r="C2690" s="6">
        <v>13.0</v>
      </c>
      <c r="D2690" s="15" t="s">
        <v>4167</v>
      </c>
      <c r="E2690" s="9" t="s">
        <v>4168</v>
      </c>
      <c r="F2690" s="8"/>
    </row>
    <row r="2691" ht="21.0" customHeight="1">
      <c r="A2691" s="6">
        <v>1.0</v>
      </c>
      <c r="B2691" s="6">
        <v>197.0</v>
      </c>
      <c r="C2691" s="6">
        <v>14.0</v>
      </c>
      <c r="D2691" s="23" t="s">
        <v>4169</v>
      </c>
      <c r="E2691" s="9" t="s">
        <v>4170</v>
      </c>
      <c r="F2691" s="8"/>
    </row>
    <row r="2692" ht="21.0" customHeight="1">
      <c r="A2692" s="6">
        <v>1.0</v>
      </c>
      <c r="B2692" s="6">
        <v>197.0</v>
      </c>
      <c r="C2692" s="6">
        <v>15.0</v>
      </c>
      <c r="D2692" s="23" t="s">
        <v>4171</v>
      </c>
      <c r="E2692" s="9" t="s">
        <v>4172</v>
      </c>
      <c r="F2692" s="8"/>
    </row>
    <row r="2693" ht="21.0" customHeight="1">
      <c r="A2693" s="6">
        <v>11.0</v>
      </c>
      <c r="B2693" s="6">
        <v>1051.0</v>
      </c>
      <c r="C2693" s="6">
        <v>1.0</v>
      </c>
      <c r="D2693" s="15" t="s">
        <v>4173</v>
      </c>
      <c r="E2693" s="9" t="s">
        <v>4174</v>
      </c>
      <c r="F2693" s="8"/>
    </row>
    <row r="2694" ht="21.0" customHeight="1">
      <c r="A2694" s="6">
        <v>11.0</v>
      </c>
      <c r="B2694" s="6">
        <v>1051.0</v>
      </c>
      <c r="C2694" s="6">
        <v>2.0</v>
      </c>
      <c r="D2694" s="15" t="s">
        <v>4175</v>
      </c>
      <c r="E2694" s="9" t="s">
        <v>4176</v>
      </c>
      <c r="F2694" s="8"/>
    </row>
    <row r="2695" ht="21.0" customHeight="1">
      <c r="A2695" s="6">
        <v>11.0</v>
      </c>
      <c r="B2695" s="6">
        <v>1051.0</v>
      </c>
      <c r="C2695" s="6">
        <v>3.0</v>
      </c>
      <c r="D2695" s="15" t="s">
        <v>4177</v>
      </c>
      <c r="E2695" s="9" t="s">
        <v>4178</v>
      </c>
      <c r="F2695" s="8"/>
    </row>
    <row r="2696" ht="21.0" customHeight="1">
      <c r="A2696" s="6">
        <v>11.0</v>
      </c>
      <c r="B2696" s="6">
        <v>1051.0</v>
      </c>
      <c r="C2696" s="6">
        <v>4.0</v>
      </c>
      <c r="D2696" s="73" t="s">
        <v>4179</v>
      </c>
      <c r="E2696" s="9" t="s">
        <v>4180</v>
      </c>
      <c r="F2696" s="8"/>
    </row>
    <row r="2697" ht="21.0" customHeight="1">
      <c r="A2697" s="6">
        <v>10.0</v>
      </c>
      <c r="B2697" s="6">
        <v>1051.0</v>
      </c>
      <c r="C2697" s="6">
        <v>5.0</v>
      </c>
      <c r="D2697" s="15" t="s">
        <v>4181</v>
      </c>
      <c r="E2697" s="9" t="s">
        <v>4182</v>
      </c>
      <c r="F2697" s="8"/>
    </row>
    <row r="2698" ht="21.0" customHeight="1">
      <c r="A2698" s="6">
        <v>10.0</v>
      </c>
      <c r="B2698" s="6">
        <v>1051.0</v>
      </c>
      <c r="C2698" s="6">
        <v>6.0</v>
      </c>
      <c r="D2698" s="15" t="s">
        <v>4183</v>
      </c>
      <c r="E2698" s="9" t="s">
        <v>4184</v>
      </c>
      <c r="F2698" s="8"/>
    </row>
    <row r="2699" ht="21.0" customHeight="1">
      <c r="A2699" s="6">
        <v>10.0</v>
      </c>
      <c r="B2699" s="6">
        <v>1051.0</v>
      </c>
      <c r="C2699" s="6">
        <v>7.0</v>
      </c>
      <c r="D2699" s="15" t="s">
        <v>4185</v>
      </c>
      <c r="E2699" s="9" t="s">
        <v>4186</v>
      </c>
      <c r="F2699" s="8"/>
    </row>
    <row r="2700" ht="21.0" customHeight="1">
      <c r="A2700" s="6">
        <v>10.0</v>
      </c>
      <c r="B2700" s="6">
        <v>1051.0</v>
      </c>
      <c r="C2700" s="6">
        <v>8.0</v>
      </c>
      <c r="D2700" s="15" t="s">
        <v>4187</v>
      </c>
      <c r="E2700" s="9" t="s">
        <v>4188</v>
      </c>
      <c r="F2700" s="8"/>
    </row>
    <row r="2701" ht="21.0" customHeight="1">
      <c r="A2701" s="6">
        <v>10.0</v>
      </c>
      <c r="B2701" s="6">
        <v>1051.0</v>
      </c>
      <c r="C2701" s="6">
        <v>9.0</v>
      </c>
      <c r="D2701" s="15" t="s">
        <v>4189</v>
      </c>
      <c r="E2701" s="9" t="s">
        <v>4190</v>
      </c>
      <c r="F2701" s="8"/>
    </row>
    <row r="2702" ht="21.0" customHeight="1">
      <c r="A2702" s="6">
        <v>10.0</v>
      </c>
      <c r="B2702" s="6">
        <v>1051.0</v>
      </c>
      <c r="C2702" s="6">
        <v>10.0</v>
      </c>
      <c r="D2702" s="15" t="s">
        <v>4191</v>
      </c>
      <c r="E2702" s="9" t="s">
        <v>4192</v>
      </c>
      <c r="F2702" s="8"/>
    </row>
    <row r="2703" ht="21.0" customHeight="1">
      <c r="A2703" s="6">
        <v>11.0</v>
      </c>
      <c r="B2703" s="6">
        <v>1052.0</v>
      </c>
      <c r="C2703" s="6">
        <v>1.0</v>
      </c>
      <c r="D2703" s="15" t="s">
        <v>4193</v>
      </c>
      <c r="E2703" s="9" t="s">
        <v>4194</v>
      </c>
      <c r="F2703" s="8"/>
    </row>
    <row r="2704" ht="21.0" customHeight="1">
      <c r="A2704" s="6">
        <v>11.0</v>
      </c>
      <c r="B2704" s="6">
        <v>1052.0</v>
      </c>
      <c r="C2704" s="6">
        <v>2.0</v>
      </c>
      <c r="D2704" s="15" t="s">
        <v>4195</v>
      </c>
      <c r="E2704" s="9" t="s">
        <v>4196</v>
      </c>
      <c r="F2704" s="8"/>
    </row>
    <row r="2705" ht="21.0" customHeight="1">
      <c r="A2705" s="6">
        <v>11.0</v>
      </c>
      <c r="B2705" s="6">
        <v>1052.0</v>
      </c>
      <c r="C2705" s="6">
        <v>3.0</v>
      </c>
      <c r="D2705" s="15" t="s">
        <v>4197</v>
      </c>
      <c r="E2705" s="9" t="s">
        <v>4198</v>
      </c>
      <c r="F2705" s="8"/>
    </row>
    <row r="2706" ht="21.0" customHeight="1">
      <c r="A2706" s="6">
        <v>11.0</v>
      </c>
      <c r="B2706" s="6">
        <v>1052.0</v>
      </c>
      <c r="C2706" s="6">
        <v>4.0</v>
      </c>
      <c r="D2706" s="15" t="s">
        <v>4199</v>
      </c>
      <c r="E2706" s="9" t="s">
        <v>4200</v>
      </c>
      <c r="F2706" s="8"/>
    </row>
    <row r="2707" ht="21.0" customHeight="1">
      <c r="A2707" s="6">
        <v>10.0</v>
      </c>
      <c r="B2707" s="6">
        <v>1052.0</v>
      </c>
      <c r="C2707" s="6">
        <v>5.0</v>
      </c>
      <c r="D2707" s="15" t="s">
        <v>4201</v>
      </c>
      <c r="E2707" s="9" t="s">
        <v>4202</v>
      </c>
      <c r="F2707" s="8"/>
    </row>
    <row r="2708" ht="21.0" customHeight="1">
      <c r="A2708" s="6">
        <v>10.0</v>
      </c>
      <c r="B2708" s="6">
        <v>1052.0</v>
      </c>
      <c r="C2708" s="6">
        <v>6.0</v>
      </c>
      <c r="D2708" s="15" t="s">
        <v>4203</v>
      </c>
      <c r="E2708" s="9" t="s">
        <v>4204</v>
      </c>
      <c r="F2708" s="8"/>
    </row>
    <row r="2709" ht="21.0" customHeight="1">
      <c r="A2709" s="6">
        <v>10.0</v>
      </c>
      <c r="B2709" s="6">
        <v>1052.0</v>
      </c>
      <c r="C2709" s="6">
        <v>7.0</v>
      </c>
      <c r="D2709" s="15" t="s">
        <v>4205</v>
      </c>
      <c r="E2709" s="9" t="s">
        <v>4206</v>
      </c>
      <c r="F2709" s="8"/>
    </row>
    <row r="2710" ht="21.0" customHeight="1">
      <c r="A2710" s="6">
        <v>10.0</v>
      </c>
      <c r="B2710" s="6">
        <v>1052.0</v>
      </c>
      <c r="C2710" s="6">
        <v>8.0</v>
      </c>
      <c r="D2710" s="15" t="s">
        <v>4207</v>
      </c>
      <c r="E2710" s="9" t="s">
        <v>4208</v>
      </c>
      <c r="F2710" s="8"/>
    </row>
    <row r="2711" ht="21.0" customHeight="1">
      <c r="A2711" s="6">
        <v>10.0</v>
      </c>
      <c r="B2711" s="6">
        <v>1052.0</v>
      </c>
      <c r="C2711" s="6">
        <v>9.0</v>
      </c>
      <c r="D2711" s="15" t="s">
        <v>4209</v>
      </c>
      <c r="E2711" s="9" t="s">
        <v>4210</v>
      </c>
      <c r="F2711" s="8"/>
    </row>
    <row r="2712" ht="21.0" customHeight="1">
      <c r="A2712" s="6">
        <v>10.0</v>
      </c>
      <c r="B2712" s="6">
        <v>1052.0</v>
      </c>
      <c r="C2712" s="6">
        <v>10.0</v>
      </c>
      <c r="D2712" s="15" t="s">
        <v>4211</v>
      </c>
      <c r="E2712" s="9" t="s">
        <v>4192</v>
      </c>
      <c r="F2712" s="8"/>
    </row>
    <row r="2713" ht="21.0" customHeight="1">
      <c r="A2713" s="6">
        <v>1.0</v>
      </c>
      <c r="B2713" s="6">
        <v>198.0</v>
      </c>
      <c r="C2713" s="6">
        <v>1.0</v>
      </c>
      <c r="D2713" s="15" t="s">
        <v>4212</v>
      </c>
      <c r="E2713" s="9" t="s">
        <v>4213</v>
      </c>
      <c r="F2713" s="8"/>
    </row>
    <row r="2714" ht="21.0" customHeight="1">
      <c r="A2714" s="6">
        <v>1.0</v>
      </c>
      <c r="B2714" s="6">
        <v>198.0</v>
      </c>
      <c r="C2714" s="6">
        <v>2.0</v>
      </c>
      <c r="D2714" s="15" t="s">
        <v>4214</v>
      </c>
      <c r="E2714" s="9" t="s">
        <v>4215</v>
      </c>
      <c r="F2714" s="8"/>
    </row>
    <row r="2715" ht="21.0" customHeight="1">
      <c r="A2715" s="6">
        <v>1.0</v>
      </c>
      <c r="B2715" s="6">
        <v>198.0</v>
      </c>
      <c r="C2715" s="6">
        <v>3.0</v>
      </c>
      <c r="D2715" s="15" t="s">
        <v>4216</v>
      </c>
      <c r="E2715" s="9" t="s">
        <v>4217</v>
      </c>
      <c r="F2715" s="8"/>
    </row>
    <row r="2716" ht="21.0" customHeight="1">
      <c r="A2716" s="6">
        <v>1.0</v>
      </c>
      <c r="B2716" s="6">
        <v>198.0</v>
      </c>
      <c r="C2716" s="6">
        <v>4.0</v>
      </c>
      <c r="D2716" s="15" t="s">
        <v>4218</v>
      </c>
      <c r="E2716" s="9" t="s">
        <v>4219</v>
      </c>
      <c r="F2716" s="8"/>
    </row>
    <row r="2717" ht="21.0" customHeight="1">
      <c r="A2717" s="6">
        <v>1.0</v>
      </c>
      <c r="B2717" s="6">
        <v>198.0</v>
      </c>
      <c r="C2717" s="6">
        <v>5.0</v>
      </c>
      <c r="D2717" s="15" t="s">
        <v>4220</v>
      </c>
      <c r="E2717" s="9" t="s">
        <v>4221</v>
      </c>
      <c r="F2717" s="8"/>
    </row>
    <row r="2718" ht="21.0" customHeight="1">
      <c r="A2718" s="6">
        <v>1.0</v>
      </c>
      <c r="B2718" s="6">
        <v>198.0</v>
      </c>
      <c r="C2718" s="6">
        <v>6.0</v>
      </c>
      <c r="D2718" s="15" t="s">
        <v>4222</v>
      </c>
      <c r="E2718" s="9" t="s">
        <v>4223</v>
      </c>
      <c r="F2718" s="8"/>
    </row>
    <row r="2719" ht="21.0" customHeight="1">
      <c r="A2719" s="6">
        <v>1.0</v>
      </c>
      <c r="B2719" s="6">
        <v>198.0</v>
      </c>
      <c r="C2719" s="6">
        <v>7.0</v>
      </c>
      <c r="D2719" s="15" t="s">
        <v>4224</v>
      </c>
      <c r="E2719" s="9" t="s">
        <v>4225</v>
      </c>
      <c r="F2719" s="8"/>
    </row>
    <row r="2720" ht="21.0" customHeight="1">
      <c r="A2720" s="6">
        <v>1.0</v>
      </c>
      <c r="B2720" s="6">
        <v>198.0</v>
      </c>
      <c r="C2720" s="6">
        <v>8.0</v>
      </c>
      <c r="D2720" s="15" t="s">
        <v>4226</v>
      </c>
      <c r="E2720" s="9" t="s">
        <v>4227</v>
      </c>
      <c r="F2720" s="8"/>
    </row>
    <row r="2721" ht="21.0" customHeight="1">
      <c r="A2721" s="6">
        <v>1.0</v>
      </c>
      <c r="B2721" s="6">
        <v>198.0</v>
      </c>
      <c r="C2721" s="6">
        <v>9.0</v>
      </c>
      <c r="D2721" s="15" t="s">
        <v>4228</v>
      </c>
      <c r="E2721" s="9" t="s">
        <v>4229</v>
      </c>
      <c r="F2721" s="8"/>
    </row>
    <row r="2722" ht="21.0" customHeight="1">
      <c r="A2722" s="6">
        <v>1.0</v>
      </c>
      <c r="B2722" s="6">
        <v>198.0</v>
      </c>
      <c r="C2722" s="6">
        <v>10.0</v>
      </c>
      <c r="D2722" s="15" t="s">
        <v>4230</v>
      </c>
      <c r="E2722" s="9" t="s">
        <v>4231</v>
      </c>
      <c r="F2722" s="8"/>
    </row>
    <row r="2723" ht="21.0" customHeight="1">
      <c r="A2723" s="6">
        <v>1.0</v>
      </c>
      <c r="B2723" s="6">
        <v>198.0</v>
      </c>
      <c r="C2723" s="6">
        <v>11.0</v>
      </c>
      <c r="D2723" s="15" t="s">
        <v>4232</v>
      </c>
      <c r="E2723" s="9" t="s">
        <v>4233</v>
      </c>
      <c r="F2723" s="8"/>
    </row>
    <row r="2724" ht="21.0" customHeight="1">
      <c r="A2724" s="6">
        <v>1.0</v>
      </c>
      <c r="B2724" s="6">
        <v>198.0</v>
      </c>
      <c r="C2724" s="6">
        <v>12.0</v>
      </c>
      <c r="D2724" s="15" t="s">
        <v>4234</v>
      </c>
      <c r="E2724" s="9" t="s">
        <v>4235</v>
      </c>
      <c r="F2724" s="8"/>
    </row>
    <row r="2725" ht="21.0" customHeight="1">
      <c r="A2725" s="6">
        <v>1.0</v>
      </c>
      <c r="B2725" s="6">
        <v>198.0</v>
      </c>
      <c r="C2725" s="6">
        <v>13.0</v>
      </c>
      <c r="D2725" s="15" t="s">
        <v>4236</v>
      </c>
      <c r="E2725" s="9" t="s">
        <v>4237</v>
      </c>
      <c r="F2725" s="8"/>
    </row>
    <row r="2726" ht="21.0" customHeight="1">
      <c r="A2726" s="6">
        <v>1.0</v>
      </c>
      <c r="B2726" s="6">
        <v>199.0</v>
      </c>
      <c r="C2726" s="6">
        <v>1.0</v>
      </c>
      <c r="D2726" s="15" t="s">
        <v>4238</v>
      </c>
      <c r="E2726" s="9" t="s">
        <v>4239</v>
      </c>
      <c r="F2726" s="8"/>
    </row>
    <row r="2727" ht="21.0" customHeight="1">
      <c r="A2727" s="6">
        <v>1.0</v>
      </c>
      <c r="B2727" s="6">
        <v>199.0</v>
      </c>
      <c r="C2727" s="6">
        <v>2.0</v>
      </c>
      <c r="D2727" s="15" t="s">
        <v>4240</v>
      </c>
      <c r="E2727" s="9" t="s">
        <v>4241</v>
      </c>
      <c r="F2727" s="8"/>
    </row>
    <row r="2728" ht="21.0" customHeight="1">
      <c r="A2728" s="6">
        <v>1.0</v>
      </c>
      <c r="B2728" s="6">
        <v>199.0</v>
      </c>
      <c r="C2728" s="6">
        <v>3.0</v>
      </c>
      <c r="D2728" s="15" t="s">
        <v>4242</v>
      </c>
      <c r="E2728" s="9" t="s">
        <v>4243</v>
      </c>
      <c r="F2728" s="8"/>
    </row>
    <row r="2729" ht="21.0" customHeight="1">
      <c r="A2729" s="6">
        <v>1.0</v>
      </c>
      <c r="B2729" s="6">
        <v>199.0</v>
      </c>
      <c r="C2729" s="6">
        <v>4.0</v>
      </c>
      <c r="D2729" s="15" t="s">
        <v>4244</v>
      </c>
      <c r="E2729" s="9" t="s">
        <v>4245</v>
      </c>
      <c r="F2729" s="8"/>
    </row>
    <row r="2730" ht="21.0" customHeight="1">
      <c r="A2730" s="6">
        <v>1.0</v>
      </c>
      <c r="B2730" s="6">
        <v>199.0</v>
      </c>
      <c r="C2730" s="6">
        <v>5.0</v>
      </c>
      <c r="D2730" s="15" t="s">
        <v>4246</v>
      </c>
      <c r="E2730" s="9" t="s">
        <v>4247</v>
      </c>
      <c r="F2730" s="8"/>
    </row>
    <row r="2731" ht="21.0" customHeight="1">
      <c r="A2731" s="6">
        <v>1.0</v>
      </c>
      <c r="B2731" s="6">
        <v>199.0</v>
      </c>
      <c r="C2731" s="6">
        <v>6.0</v>
      </c>
      <c r="D2731" s="15" t="s">
        <v>4248</v>
      </c>
      <c r="E2731" s="9" t="s">
        <v>4249</v>
      </c>
      <c r="F2731" s="8"/>
    </row>
    <row r="2732" ht="21.0" customHeight="1">
      <c r="A2732" s="6">
        <v>1.0</v>
      </c>
      <c r="B2732" s="6">
        <v>199.0</v>
      </c>
      <c r="C2732" s="6">
        <v>7.0</v>
      </c>
      <c r="D2732" s="15" t="s">
        <v>4250</v>
      </c>
      <c r="E2732" s="9" t="s">
        <v>4251</v>
      </c>
      <c r="F2732" s="8"/>
    </row>
    <row r="2733" ht="21.0" customHeight="1">
      <c r="A2733" s="6">
        <v>1.0</v>
      </c>
      <c r="B2733" s="6">
        <v>199.0</v>
      </c>
      <c r="C2733" s="6">
        <v>8.0</v>
      </c>
      <c r="D2733" s="15" t="s">
        <v>4252</v>
      </c>
      <c r="E2733" s="9" t="s">
        <v>4253</v>
      </c>
      <c r="F2733" s="8"/>
    </row>
    <row r="2734" ht="21.0" customHeight="1">
      <c r="A2734" s="6">
        <v>1.0</v>
      </c>
      <c r="B2734" s="6">
        <v>199.0</v>
      </c>
      <c r="C2734" s="6">
        <v>9.0</v>
      </c>
      <c r="D2734" s="15" t="s">
        <v>4254</v>
      </c>
      <c r="E2734" s="9" t="s">
        <v>4255</v>
      </c>
      <c r="F2734" s="8"/>
    </row>
    <row r="2735" ht="21.0" customHeight="1">
      <c r="A2735" s="6">
        <v>1.0</v>
      </c>
      <c r="B2735" s="6">
        <v>199.0</v>
      </c>
      <c r="C2735" s="6">
        <v>10.0</v>
      </c>
      <c r="D2735" s="15" t="s">
        <v>4256</v>
      </c>
      <c r="E2735" s="9" t="s">
        <v>4257</v>
      </c>
      <c r="F2735" s="8"/>
    </row>
    <row r="2736" ht="21.0" customHeight="1">
      <c r="A2736" s="6">
        <v>1.0</v>
      </c>
      <c r="B2736" s="6">
        <v>199.0</v>
      </c>
      <c r="C2736" s="6">
        <v>11.0</v>
      </c>
      <c r="D2736" s="15" t="s">
        <v>4258</v>
      </c>
      <c r="E2736" s="9" t="s">
        <v>4259</v>
      </c>
      <c r="F2736" s="8"/>
    </row>
    <row r="2737" ht="21.0" customHeight="1">
      <c r="A2737" s="6">
        <v>1.0</v>
      </c>
      <c r="B2737" s="6">
        <v>199.0</v>
      </c>
      <c r="C2737" s="6">
        <v>12.0</v>
      </c>
      <c r="D2737" s="15" t="s">
        <v>4260</v>
      </c>
      <c r="E2737" s="9" t="s">
        <v>4261</v>
      </c>
      <c r="F2737" s="8"/>
    </row>
    <row r="2738" ht="21.0" customHeight="1">
      <c r="A2738" s="6">
        <v>1.0</v>
      </c>
      <c r="B2738" s="6">
        <v>199.0</v>
      </c>
      <c r="C2738" s="6">
        <v>13.0</v>
      </c>
      <c r="D2738" s="15" t="s">
        <v>4262</v>
      </c>
      <c r="E2738" s="9" t="s">
        <v>4263</v>
      </c>
      <c r="F2738" s="8"/>
    </row>
    <row r="2739" ht="21.0" customHeight="1">
      <c r="A2739" s="6">
        <v>1.0</v>
      </c>
      <c r="B2739" s="6">
        <v>200.0</v>
      </c>
      <c r="C2739" s="6">
        <v>1.0</v>
      </c>
      <c r="D2739" s="73" t="s">
        <v>4264</v>
      </c>
      <c r="E2739" s="9" t="s">
        <v>4265</v>
      </c>
      <c r="F2739" s="8"/>
    </row>
    <row r="2740" ht="21.0" customHeight="1">
      <c r="A2740" s="6">
        <v>1.0</v>
      </c>
      <c r="B2740" s="6">
        <v>200.0</v>
      </c>
      <c r="C2740" s="6">
        <v>2.0</v>
      </c>
      <c r="D2740" s="15" t="s">
        <v>4266</v>
      </c>
      <c r="E2740" s="9" t="s">
        <v>4267</v>
      </c>
      <c r="F2740" s="8"/>
    </row>
    <row r="2741" ht="21.0" customHeight="1">
      <c r="A2741" s="6">
        <v>1.0</v>
      </c>
      <c r="B2741" s="6">
        <v>200.0</v>
      </c>
      <c r="C2741" s="6">
        <v>3.0</v>
      </c>
      <c r="D2741" s="15" t="s">
        <v>4268</v>
      </c>
      <c r="E2741" s="9" t="s">
        <v>4269</v>
      </c>
      <c r="F2741" s="8"/>
    </row>
    <row r="2742" ht="21.0" customHeight="1">
      <c r="A2742" s="6">
        <v>1.0</v>
      </c>
      <c r="B2742" s="6">
        <v>200.0</v>
      </c>
      <c r="C2742" s="6">
        <v>4.0</v>
      </c>
      <c r="D2742" s="15" t="s">
        <v>4270</v>
      </c>
      <c r="E2742" s="9" t="s">
        <v>4271</v>
      </c>
      <c r="F2742" s="8"/>
    </row>
    <row r="2743" ht="21.0" customHeight="1">
      <c r="A2743" s="6">
        <v>1.0</v>
      </c>
      <c r="B2743" s="6">
        <v>200.0</v>
      </c>
      <c r="C2743" s="6">
        <v>5.0</v>
      </c>
      <c r="D2743" s="15" t="s">
        <v>4272</v>
      </c>
      <c r="E2743" s="9" t="s">
        <v>4273</v>
      </c>
      <c r="F2743" s="8"/>
    </row>
    <row r="2744" ht="21.0" customHeight="1">
      <c r="A2744" s="6">
        <v>1.0</v>
      </c>
      <c r="B2744" s="6">
        <v>200.0</v>
      </c>
      <c r="C2744" s="6">
        <v>6.0</v>
      </c>
      <c r="D2744" s="74" t="s">
        <v>4274</v>
      </c>
      <c r="E2744" s="9" t="s">
        <v>4275</v>
      </c>
      <c r="F2744" s="8"/>
    </row>
    <row r="2745" ht="21.0" customHeight="1">
      <c r="A2745" s="6">
        <v>1.0</v>
      </c>
      <c r="B2745" s="6">
        <v>200.0</v>
      </c>
      <c r="C2745" s="6">
        <v>7.0</v>
      </c>
      <c r="D2745" s="15" t="s">
        <v>4276</v>
      </c>
      <c r="E2745" s="9" t="s">
        <v>4277</v>
      </c>
      <c r="F2745" s="8"/>
    </row>
    <row r="2746" ht="21.0" customHeight="1">
      <c r="A2746" s="6">
        <v>1.0</v>
      </c>
      <c r="B2746" s="6">
        <v>200.0</v>
      </c>
      <c r="C2746" s="6">
        <v>8.0</v>
      </c>
      <c r="D2746" s="15" t="s">
        <v>4278</v>
      </c>
      <c r="E2746" s="9" t="s">
        <v>4279</v>
      </c>
      <c r="F2746" s="8"/>
    </row>
    <row r="2747" ht="21.0" customHeight="1">
      <c r="A2747" s="6">
        <v>1.0</v>
      </c>
      <c r="B2747" s="6">
        <v>200.0</v>
      </c>
      <c r="C2747" s="6">
        <v>9.0</v>
      </c>
      <c r="D2747" s="15" t="s">
        <v>4280</v>
      </c>
      <c r="E2747" s="9" t="s">
        <v>4281</v>
      </c>
      <c r="F2747" s="8"/>
    </row>
    <row r="2748" ht="21.0" customHeight="1">
      <c r="A2748" s="6">
        <v>1.0</v>
      </c>
      <c r="B2748" s="6">
        <v>200.0</v>
      </c>
      <c r="C2748" s="6">
        <v>10.0</v>
      </c>
      <c r="D2748" s="15" t="s">
        <v>4282</v>
      </c>
      <c r="E2748" s="9" t="s">
        <v>4283</v>
      </c>
      <c r="F2748" s="8"/>
    </row>
    <row r="2749" ht="21.0" customHeight="1">
      <c r="A2749" s="6">
        <v>1.0</v>
      </c>
      <c r="B2749" s="6">
        <v>200.0</v>
      </c>
      <c r="C2749" s="6">
        <v>11.0</v>
      </c>
      <c r="D2749" s="15" t="s">
        <v>4284</v>
      </c>
      <c r="E2749" s="9" t="s">
        <v>4285</v>
      </c>
      <c r="F2749" s="8"/>
    </row>
    <row r="2750" ht="21.0" customHeight="1">
      <c r="A2750" s="6">
        <v>1.0</v>
      </c>
      <c r="B2750" s="6">
        <v>200.0</v>
      </c>
      <c r="C2750" s="6">
        <v>12.0</v>
      </c>
      <c r="D2750" s="15" t="s">
        <v>4286</v>
      </c>
      <c r="E2750" s="9" t="s">
        <v>4287</v>
      </c>
      <c r="F2750" s="8"/>
    </row>
    <row r="2751" ht="21.0" customHeight="1">
      <c r="A2751" s="6">
        <v>1.0</v>
      </c>
      <c r="B2751" s="6">
        <v>200.0</v>
      </c>
      <c r="C2751" s="6">
        <v>13.0</v>
      </c>
      <c r="D2751" s="15" t="s">
        <v>4288</v>
      </c>
      <c r="E2751" s="9" t="s">
        <v>4289</v>
      </c>
      <c r="F2751" s="8"/>
    </row>
    <row r="2752" ht="21.0" customHeight="1">
      <c r="A2752" s="6">
        <v>11.0</v>
      </c>
      <c r="B2752" s="6">
        <v>1053.0</v>
      </c>
      <c r="C2752" s="6">
        <v>1.0</v>
      </c>
      <c r="D2752" s="15" t="s">
        <v>4290</v>
      </c>
      <c r="E2752" s="9" t="s">
        <v>4291</v>
      </c>
      <c r="F2752" s="8"/>
    </row>
    <row r="2753" ht="21.0" customHeight="1">
      <c r="A2753" s="6">
        <v>11.0</v>
      </c>
      <c r="B2753" s="6">
        <v>1053.0</v>
      </c>
      <c r="C2753" s="6">
        <v>2.0</v>
      </c>
      <c r="D2753" s="15" t="s">
        <v>4292</v>
      </c>
      <c r="E2753" s="9" t="s">
        <v>4293</v>
      </c>
      <c r="F2753" s="8"/>
    </row>
    <row r="2754" ht="21.0" customHeight="1">
      <c r="A2754" s="6">
        <v>11.0</v>
      </c>
      <c r="B2754" s="6">
        <v>1053.0</v>
      </c>
      <c r="C2754" s="6">
        <v>3.0</v>
      </c>
      <c r="D2754" s="15" t="s">
        <v>4294</v>
      </c>
      <c r="E2754" s="9" t="s">
        <v>4295</v>
      </c>
      <c r="F2754" s="8"/>
    </row>
    <row r="2755" ht="21.0" customHeight="1">
      <c r="A2755" s="6">
        <v>11.0</v>
      </c>
      <c r="B2755" s="6">
        <v>1053.0</v>
      </c>
      <c r="C2755" s="6">
        <v>4.0</v>
      </c>
      <c r="D2755" s="15" t="s">
        <v>4296</v>
      </c>
      <c r="E2755" s="9" t="s">
        <v>4297</v>
      </c>
      <c r="F2755" s="8"/>
    </row>
    <row r="2756" ht="21.0" customHeight="1">
      <c r="A2756" s="6">
        <v>10.0</v>
      </c>
      <c r="B2756" s="6">
        <v>1053.0</v>
      </c>
      <c r="C2756" s="6">
        <v>5.0</v>
      </c>
      <c r="D2756" s="15" t="s">
        <v>4298</v>
      </c>
      <c r="E2756" s="9" t="s">
        <v>4299</v>
      </c>
      <c r="F2756" s="8"/>
    </row>
    <row r="2757" ht="21.0" customHeight="1">
      <c r="A2757" s="6">
        <v>10.0</v>
      </c>
      <c r="B2757" s="6">
        <v>1053.0</v>
      </c>
      <c r="C2757" s="6">
        <v>6.0</v>
      </c>
      <c r="D2757" s="15" t="s">
        <v>4300</v>
      </c>
      <c r="E2757" s="9" t="s">
        <v>4301</v>
      </c>
      <c r="F2757" s="8"/>
    </row>
    <row r="2758" ht="21.0" customHeight="1">
      <c r="A2758" s="6">
        <v>10.0</v>
      </c>
      <c r="B2758" s="6">
        <v>1053.0</v>
      </c>
      <c r="C2758" s="6">
        <v>7.0</v>
      </c>
      <c r="D2758" s="15" t="s">
        <v>4302</v>
      </c>
      <c r="E2758" s="9" t="s">
        <v>4303</v>
      </c>
      <c r="F2758" s="8"/>
    </row>
    <row r="2759" ht="21.0" customHeight="1">
      <c r="A2759" s="6">
        <v>10.0</v>
      </c>
      <c r="B2759" s="6">
        <v>1053.0</v>
      </c>
      <c r="C2759" s="6">
        <v>8.0</v>
      </c>
      <c r="D2759" s="15" t="s">
        <v>4304</v>
      </c>
      <c r="E2759" s="9" t="s">
        <v>4305</v>
      </c>
      <c r="F2759" s="8"/>
    </row>
    <row r="2760" ht="21.0" customHeight="1">
      <c r="A2760" s="6">
        <v>10.0</v>
      </c>
      <c r="B2760" s="6">
        <v>1053.0</v>
      </c>
      <c r="C2760" s="6">
        <v>9.0</v>
      </c>
      <c r="D2760" s="15" t="s">
        <v>4306</v>
      </c>
      <c r="E2760" s="9" t="s">
        <v>4307</v>
      </c>
      <c r="F2760" s="8"/>
    </row>
    <row r="2761" ht="21.0" customHeight="1">
      <c r="A2761" s="6">
        <v>10.0</v>
      </c>
      <c r="B2761" s="6">
        <v>1053.0</v>
      </c>
      <c r="C2761" s="6">
        <v>10.0</v>
      </c>
      <c r="D2761" s="15" t="s">
        <v>4308</v>
      </c>
      <c r="E2761" s="9" t="s">
        <v>4309</v>
      </c>
      <c r="F2761" s="8"/>
    </row>
    <row r="2762" ht="21.0" customHeight="1">
      <c r="A2762" s="6">
        <v>11.0</v>
      </c>
      <c r="B2762" s="6">
        <v>1054.0</v>
      </c>
      <c r="C2762" s="6">
        <v>1.0</v>
      </c>
      <c r="D2762" s="15" t="s">
        <v>4310</v>
      </c>
      <c r="E2762" s="9" t="s">
        <v>4311</v>
      </c>
      <c r="F2762" s="8"/>
    </row>
    <row r="2763" ht="21.0" customHeight="1">
      <c r="A2763" s="6">
        <v>11.0</v>
      </c>
      <c r="B2763" s="6">
        <v>1054.0</v>
      </c>
      <c r="C2763" s="6">
        <v>2.0</v>
      </c>
      <c r="D2763" s="15" t="s">
        <v>4312</v>
      </c>
      <c r="E2763" s="9" t="s">
        <v>4313</v>
      </c>
      <c r="F2763" s="8"/>
    </row>
    <row r="2764" ht="21.0" customHeight="1">
      <c r="A2764" s="6">
        <v>11.0</v>
      </c>
      <c r="B2764" s="6">
        <v>1054.0</v>
      </c>
      <c r="C2764" s="6">
        <v>3.0</v>
      </c>
      <c r="D2764" s="15" t="s">
        <v>4314</v>
      </c>
      <c r="E2764" s="9" t="s">
        <v>4315</v>
      </c>
      <c r="F2764" s="8"/>
    </row>
    <row r="2765" ht="21.0" customHeight="1">
      <c r="A2765" s="6">
        <v>11.0</v>
      </c>
      <c r="B2765" s="6">
        <v>1054.0</v>
      </c>
      <c r="C2765" s="6">
        <v>4.0</v>
      </c>
      <c r="D2765" s="15" t="s">
        <v>4316</v>
      </c>
      <c r="E2765" s="9" t="s">
        <v>4317</v>
      </c>
      <c r="F2765" s="8"/>
    </row>
    <row r="2766" ht="21.0" customHeight="1">
      <c r="A2766" s="6">
        <v>10.0</v>
      </c>
      <c r="B2766" s="6">
        <v>1054.0</v>
      </c>
      <c r="C2766" s="6">
        <v>5.0</v>
      </c>
      <c r="D2766" s="15" t="s">
        <v>4318</v>
      </c>
      <c r="E2766" s="9" t="s">
        <v>4319</v>
      </c>
      <c r="F2766" s="8"/>
    </row>
    <row r="2767" ht="21.0" customHeight="1">
      <c r="A2767" s="6">
        <v>10.0</v>
      </c>
      <c r="B2767" s="6">
        <v>1054.0</v>
      </c>
      <c r="C2767" s="6">
        <v>6.0</v>
      </c>
      <c r="D2767" s="15" t="s">
        <v>4320</v>
      </c>
      <c r="E2767" s="9" t="s">
        <v>4321</v>
      </c>
      <c r="F2767" s="8"/>
    </row>
    <row r="2768" ht="21.0" customHeight="1">
      <c r="A2768" s="6">
        <v>10.0</v>
      </c>
      <c r="B2768" s="6">
        <v>1054.0</v>
      </c>
      <c r="C2768" s="6">
        <v>7.0</v>
      </c>
      <c r="D2768" s="15" t="s">
        <v>4322</v>
      </c>
      <c r="E2768" s="9" t="s">
        <v>4323</v>
      </c>
      <c r="F2768" s="8"/>
    </row>
    <row r="2769" ht="21.0" customHeight="1">
      <c r="A2769" s="6">
        <v>10.0</v>
      </c>
      <c r="B2769" s="6">
        <v>1054.0</v>
      </c>
      <c r="C2769" s="6">
        <v>8.0</v>
      </c>
      <c r="D2769" s="15" t="s">
        <v>4324</v>
      </c>
      <c r="E2769" s="9" t="s">
        <v>4325</v>
      </c>
      <c r="F2769" s="8"/>
    </row>
    <row r="2770" ht="21.0" customHeight="1">
      <c r="A2770" s="6">
        <v>10.0</v>
      </c>
      <c r="B2770" s="6">
        <v>1054.0</v>
      </c>
      <c r="C2770" s="6">
        <v>9.0</v>
      </c>
      <c r="D2770" s="15" t="s">
        <v>4326</v>
      </c>
      <c r="E2770" s="9" t="s">
        <v>4327</v>
      </c>
      <c r="F2770" s="8"/>
    </row>
    <row r="2771" ht="21.0" customHeight="1">
      <c r="A2771" s="6">
        <v>10.0</v>
      </c>
      <c r="B2771" s="6">
        <v>1054.0</v>
      </c>
      <c r="C2771" s="6">
        <v>10.0</v>
      </c>
      <c r="D2771" s="15" t="s">
        <v>4328</v>
      </c>
      <c r="E2771" s="9" t="s">
        <v>4309</v>
      </c>
      <c r="F2771" s="8"/>
    </row>
    <row r="2772" ht="21.0" customHeight="1">
      <c r="A2772" s="6">
        <v>1.0</v>
      </c>
      <c r="B2772" s="6">
        <v>223.0</v>
      </c>
      <c r="C2772" s="6">
        <v>1.0</v>
      </c>
      <c r="D2772" s="15" t="s">
        <v>4329</v>
      </c>
      <c r="E2772" s="9" t="s">
        <v>4330</v>
      </c>
      <c r="F2772" s="8"/>
    </row>
    <row r="2773" ht="21.0" customHeight="1">
      <c r="A2773" s="6">
        <v>1.0</v>
      </c>
      <c r="B2773" s="6">
        <v>223.0</v>
      </c>
      <c r="C2773" s="6">
        <v>2.0</v>
      </c>
      <c r="D2773" s="15" t="s">
        <v>4331</v>
      </c>
      <c r="E2773" s="9" t="s">
        <v>4332</v>
      </c>
      <c r="F2773" s="8"/>
    </row>
    <row r="2774" ht="21.0" customHeight="1">
      <c r="A2774" s="6">
        <v>1.0</v>
      </c>
      <c r="B2774" s="6">
        <v>223.0</v>
      </c>
      <c r="C2774" s="6">
        <v>3.0</v>
      </c>
      <c r="D2774" s="15" t="s">
        <v>4333</v>
      </c>
      <c r="E2774" s="9" t="s">
        <v>4334</v>
      </c>
      <c r="F2774" s="8"/>
    </row>
    <row r="2775" ht="21.0" customHeight="1">
      <c r="A2775" s="6">
        <v>1.0</v>
      </c>
      <c r="B2775" s="6">
        <v>223.0</v>
      </c>
      <c r="C2775" s="6">
        <v>4.0</v>
      </c>
      <c r="D2775" s="15" t="s">
        <v>4335</v>
      </c>
      <c r="E2775" s="9" t="s">
        <v>4336</v>
      </c>
      <c r="F2775" s="8"/>
    </row>
    <row r="2776" ht="21.0" customHeight="1">
      <c r="A2776" s="6">
        <v>1.0</v>
      </c>
      <c r="B2776" s="6">
        <v>223.0</v>
      </c>
      <c r="C2776" s="6">
        <v>5.0</v>
      </c>
      <c r="D2776" s="15" t="s">
        <v>4337</v>
      </c>
      <c r="E2776" s="9" t="s">
        <v>4338</v>
      </c>
      <c r="F2776" s="8"/>
    </row>
    <row r="2777" ht="21.0" customHeight="1">
      <c r="A2777" s="6">
        <v>1.0</v>
      </c>
      <c r="B2777" s="6">
        <v>223.0</v>
      </c>
      <c r="C2777" s="6">
        <v>6.0</v>
      </c>
      <c r="D2777" s="15" t="s">
        <v>4339</v>
      </c>
      <c r="E2777" s="9" t="s">
        <v>4340</v>
      </c>
      <c r="F2777" s="8"/>
    </row>
    <row r="2778" ht="21.0" customHeight="1">
      <c r="A2778" s="6">
        <v>1.0</v>
      </c>
      <c r="B2778" s="6">
        <v>223.0</v>
      </c>
      <c r="C2778" s="6">
        <v>7.0</v>
      </c>
      <c r="D2778" s="15" t="s">
        <v>4341</v>
      </c>
      <c r="E2778" s="9" t="s">
        <v>4342</v>
      </c>
      <c r="F2778" s="8"/>
    </row>
    <row r="2779" ht="21.0" customHeight="1">
      <c r="A2779" s="6">
        <v>1.0</v>
      </c>
      <c r="B2779" s="6">
        <v>223.0</v>
      </c>
      <c r="C2779" s="6">
        <v>8.0</v>
      </c>
      <c r="D2779" s="15" t="s">
        <v>4343</v>
      </c>
      <c r="E2779" s="9" t="s">
        <v>4344</v>
      </c>
      <c r="F2779" s="8"/>
    </row>
    <row r="2780" ht="21.0" customHeight="1">
      <c r="A2780" s="6">
        <v>1.0</v>
      </c>
      <c r="B2780" s="6">
        <v>223.0</v>
      </c>
      <c r="C2780" s="6">
        <v>9.0</v>
      </c>
      <c r="D2780" s="15" t="s">
        <v>4345</v>
      </c>
      <c r="E2780" s="9" t="s">
        <v>4346</v>
      </c>
      <c r="F2780" s="8"/>
    </row>
    <row r="2781" ht="21.0" customHeight="1">
      <c r="A2781" s="6">
        <v>1.0</v>
      </c>
      <c r="B2781" s="6">
        <v>223.0</v>
      </c>
      <c r="C2781" s="6">
        <v>10.0</v>
      </c>
      <c r="D2781" s="15" t="s">
        <v>4347</v>
      </c>
      <c r="E2781" s="9" t="s">
        <v>4348</v>
      </c>
      <c r="F2781" s="8"/>
    </row>
    <row r="2782" ht="21.0" customHeight="1">
      <c r="A2782" s="6">
        <v>1.0</v>
      </c>
      <c r="B2782" s="6">
        <v>223.0</v>
      </c>
      <c r="C2782" s="6">
        <v>11.0</v>
      </c>
      <c r="D2782" s="15" t="s">
        <v>4349</v>
      </c>
      <c r="E2782" s="9" t="s">
        <v>4350</v>
      </c>
      <c r="F2782" s="8"/>
    </row>
    <row r="2783" ht="21.0" customHeight="1">
      <c r="A2783" s="6">
        <v>1.0</v>
      </c>
      <c r="B2783" s="6">
        <v>223.0</v>
      </c>
      <c r="C2783" s="6">
        <v>12.0</v>
      </c>
      <c r="D2783" s="15" t="s">
        <v>4351</v>
      </c>
      <c r="E2783" s="9" t="s">
        <v>4352</v>
      </c>
      <c r="F2783" s="8"/>
    </row>
    <row r="2784" ht="21.0" customHeight="1">
      <c r="A2784" s="6">
        <v>1.0</v>
      </c>
      <c r="B2784" s="6">
        <v>223.0</v>
      </c>
      <c r="C2784" s="6">
        <v>13.0</v>
      </c>
      <c r="D2784" s="15" t="s">
        <v>4353</v>
      </c>
      <c r="E2784" s="9" t="s">
        <v>4354</v>
      </c>
      <c r="F2784" s="8"/>
    </row>
    <row r="2785" ht="21.0" customHeight="1">
      <c r="A2785" s="6">
        <v>1.0</v>
      </c>
      <c r="B2785" s="6">
        <v>224.0</v>
      </c>
      <c r="C2785" s="6">
        <v>1.0</v>
      </c>
      <c r="D2785" s="15" t="s">
        <v>4355</v>
      </c>
      <c r="E2785" s="9" t="s">
        <v>4356</v>
      </c>
      <c r="F2785" s="8"/>
    </row>
    <row r="2786" ht="21.0" customHeight="1">
      <c r="A2786" s="6">
        <v>1.0</v>
      </c>
      <c r="B2786" s="6">
        <v>224.0</v>
      </c>
      <c r="C2786" s="6">
        <v>2.0</v>
      </c>
      <c r="D2786" s="15" t="s">
        <v>4357</v>
      </c>
      <c r="E2786" s="9" t="s">
        <v>4358</v>
      </c>
      <c r="F2786" s="8"/>
    </row>
    <row r="2787" ht="21.0" customHeight="1">
      <c r="A2787" s="6">
        <v>1.0</v>
      </c>
      <c r="B2787" s="6">
        <v>224.0</v>
      </c>
      <c r="C2787" s="6">
        <v>3.0</v>
      </c>
      <c r="D2787" s="15" t="s">
        <v>4359</v>
      </c>
      <c r="E2787" s="9" t="s">
        <v>4360</v>
      </c>
      <c r="F2787" s="8"/>
    </row>
    <row r="2788" ht="21.0" customHeight="1">
      <c r="A2788" s="6">
        <v>1.0</v>
      </c>
      <c r="B2788" s="6">
        <v>224.0</v>
      </c>
      <c r="C2788" s="6">
        <v>4.0</v>
      </c>
      <c r="D2788" s="15" t="s">
        <v>4361</v>
      </c>
      <c r="E2788" s="9" t="s">
        <v>4362</v>
      </c>
      <c r="F2788" s="8"/>
    </row>
    <row r="2789" ht="21.0" customHeight="1">
      <c r="A2789" s="6">
        <v>1.0</v>
      </c>
      <c r="B2789" s="6">
        <v>224.0</v>
      </c>
      <c r="C2789" s="6">
        <v>5.0</v>
      </c>
      <c r="D2789" s="15" t="s">
        <v>4363</v>
      </c>
      <c r="E2789" s="9" t="s">
        <v>4364</v>
      </c>
      <c r="F2789" s="8"/>
    </row>
    <row r="2790" ht="21.0" customHeight="1">
      <c r="A2790" s="6">
        <v>1.0</v>
      </c>
      <c r="B2790" s="6">
        <v>224.0</v>
      </c>
      <c r="C2790" s="6">
        <v>6.0</v>
      </c>
      <c r="D2790" s="15" t="s">
        <v>4365</v>
      </c>
      <c r="E2790" s="9" t="s">
        <v>4366</v>
      </c>
      <c r="F2790" s="8"/>
    </row>
    <row r="2791" ht="21.0" customHeight="1">
      <c r="A2791" s="6">
        <v>1.0</v>
      </c>
      <c r="B2791" s="6">
        <v>224.0</v>
      </c>
      <c r="C2791" s="6">
        <v>7.0</v>
      </c>
      <c r="D2791" s="15" t="s">
        <v>4367</v>
      </c>
      <c r="E2791" s="9" t="s">
        <v>4368</v>
      </c>
      <c r="F2791" s="8"/>
    </row>
    <row r="2792" ht="21.0" customHeight="1">
      <c r="A2792" s="6">
        <v>1.0</v>
      </c>
      <c r="B2792" s="6">
        <v>224.0</v>
      </c>
      <c r="C2792" s="6">
        <v>8.0</v>
      </c>
      <c r="D2792" s="15" t="s">
        <v>4369</v>
      </c>
      <c r="E2792" s="9" t="s">
        <v>4370</v>
      </c>
      <c r="F2792" s="8"/>
    </row>
    <row r="2793" ht="21.0" customHeight="1">
      <c r="A2793" s="6">
        <v>1.0</v>
      </c>
      <c r="B2793" s="6">
        <v>224.0</v>
      </c>
      <c r="C2793" s="6">
        <v>9.0</v>
      </c>
      <c r="D2793" s="15" t="s">
        <v>4371</v>
      </c>
      <c r="E2793" s="9" t="s">
        <v>4372</v>
      </c>
      <c r="F2793" s="8"/>
    </row>
    <row r="2794" ht="21.0" customHeight="1">
      <c r="A2794" s="6">
        <v>1.0</v>
      </c>
      <c r="B2794" s="6">
        <v>224.0</v>
      </c>
      <c r="C2794" s="6">
        <v>10.0</v>
      </c>
      <c r="D2794" s="15" t="s">
        <v>4373</v>
      </c>
      <c r="E2794" s="9" t="s">
        <v>4374</v>
      </c>
      <c r="F2794" s="8"/>
    </row>
    <row r="2795" ht="21.0" customHeight="1">
      <c r="A2795" s="6">
        <v>1.0</v>
      </c>
      <c r="B2795" s="6">
        <v>224.0</v>
      </c>
      <c r="C2795" s="6">
        <v>11.0</v>
      </c>
      <c r="D2795" s="15" t="s">
        <v>4375</v>
      </c>
      <c r="E2795" s="9" t="s">
        <v>4376</v>
      </c>
      <c r="F2795" s="8"/>
    </row>
    <row r="2796" ht="21.0" customHeight="1">
      <c r="A2796" s="6">
        <v>1.0</v>
      </c>
      <c r="B2796" s="6">
        <v>224.0</v>
      </c>
      <c r="C2796" s="6">
        <v>12.0</v>
      </c>
      <c r="D2796" s="15" t="s">
        <v>4377</v>
      </c>
      <c r="E2796" s="9" t="s">
        <v>4378</v>
      </c>
      <c r="F2796" s="8"/>
    </row>
    <row r="2797" ht="21.0" customHeight="1">
      <c r="A2797" s="6">
        <v>1.0</v>
      </c>
      <c r="B2797" s="6">
        <v>224.0</v>
      </c>
      <c r="C2797" s="6">
        <v>13.0</v>
      </c>
      <c r="D2797" s="75" t="s">
        <v>4379</v>
      </c>
      <c r="E2797" s="19" t="s">
        <v>4380</v>
      </c>
      <c r="F2797" s="8"/>
    </row>
    <row r="2798" ht="21.0" customHeight="1">
      <c r="A2798" s="6">
        <v>1.0</v>
      </c>
      <c r="B2798" s="6">
        <v>225.0</v>
      </c>
      <c r="C2798" s="6">
        <v>1.0</v>
      </c>
      <c r="D2798" s="15" t="s">
        <v>4381</v>
      </c>
      <c r="E2798" s="9" t="s">
        <v>4382</v>
      </c>
      <c r="F2798" s="8"/>
    </row>
    <row r="2799" ht="21.0" customHeight="1">
      <c r="A2799" s="6">
        <v>1.0</v>
      </c>
      <c r="B2799" s="6">
        <v>225.0</v>
      </c>
      <c r="C2799" s="6">
        <v>2.0</v>
      </c>
      <c r="D2799" s="15" t="s">
        <v>4383</v>
      </c>
      <c r="E2799" s="9" t="s">
        <v>4384</v>
      </c>
      <c r="F2799" s="8"/>
    </row>
    <row r="2800" ht="21.0" customHeight="1">
      <c r="A2800" s="6">
        <v>1.0</v>
      </c>
      <c r="B2800" s="6">
        <v>225.0</v>
      </c>
      <c r="C2800" s="6">
        <v>3.0</v>
      </c>
      <c r="D2800" s="15" t="s">
        <v>4385</v>
      </c>
      <c r="E2800" s="9" t="s">
        <v>4386</v>
      </c>
      <c r="F2800" s="8"/>
    </row>
    <row r="2801" ht="21.0" customHeight="1">
      <c r="A2801" s="6">
        <v>1.0</v>
      </c>
      <c r="B2801" s="6">
        <v>225.0</v>
      </c>
      <c r="C2801" s="6">
        <v>4.0</v>
      </c>
      <c r="D2801" s="15" t="s">
        <v>4387</v>
      </c>
      <c r="E2801" s="9" t="s">
        <v>4388</v>
      </c>
      <c r="F2801" s="8"/>
    </row>
    <row r="2802" ht="21.0" customHeight="1">
      <c r="A2802" s="6">
        <v>1.0</v>
      </c>
      <c r="B2802" s="6">
        <v>225.0</v>
      </c>
      <c r="C2802" s="6">
        <v>5.0</v>
      </c>
      <c r="D2802" s="15" t="s">
        <v>4389</v>
      </c>
      <c r="E2802" s="9" t="s">
        <v>4390</v>
      </c>
      <c r="F2802" s="8"/>
    </row>
    <row r="2803" ht="21.0" customHeight="1">
      <c r="A2803" s="6">
        <v>1.0</v>
      </c>
      <c r="B2803" s="6">
        <v>225.0</v>
      </c>
      <c r="C2803" s="6">
        <v>6.0</v>
      </c>
      <c r="D2803" s="15" t="s">
        <v>4391</v>
      </c>
      <c r="E2803" s="9" t="s">
        <v>4392</v>
      </c>
      <c r="F2803" s="8"/>
    </row>
    <row r="2804" ht="21.0" customHeight="1">
      <c r="A2804" s="6">
        <v>1.0</v>
      </c>
      <c r="B2804" s="6">
        <v>225.0</v>
      </c>
      <c r="C2804" s="6">
        <v>7.0</v>
      </c>
      <c r="D2804" s="15" t="s">
        <v>4393</v>
      </c>
      <c r="E2804" s="9" t="s">
        <v>4394</v>
      </c>
      <c r="F2804" s="8"/>
    </row>
    <row r="2805" ht="21.0" customHeight="1">
      <c r="A2805" s="6">
        <v>1.0</v>
      </c>
      <c r="B2805" s="6">
        <v>225.0</v>
      </c>
      <c r="C2805" s="6">
        <v>8.0</v>
      </c>
      <c r="D2805" s="15" t="s">
        <v>4395</v>
      </c>
      <c r="E2805" s="9" t="s">
        <v>4396</v>
      </c>
      <c r="F2805" s="8"/>
    </row>
    <row r="2806" ht="21.0" customHeight="1">
      <c r="A2806" s="6">
        <v>1.0</v>
      </c>
      <c r="B2806" s="6">
        <v>225.0</v>
      </c>
      <c r="C2806" s="6">
        <v>9.0</v>
      </c>
      <c r="D2806" s="15" t="s">
        <v>4397</v>
      </c>
      <c r="E2806" s="9" t="s">
        <v>4398</v>
      </c>
      <c r="F2806" s="8"/>
    </row>
    <row r="2807" ht="21.0" customHeight="1">
      <c r="A2807" s="6">
        <v>1.0</v>
      </c>
      <c r="B2807" s="6">
        <v>225.0</v>
      </c>
      <c r="C2807" s="6">
        <v>10.0</v>
      </c>
      <c r="D2807" s="15" t="s">
        <v>4399</v>
      </c>
      <c r="E2807" s="9" t="s">
        <v>4400</v>
      </c>
      <c r="F2807" s="8"/>
    </row>
    <row r="2808" ht="21.0" customHeight="1">
      <c r="A2808" s="6">
        <v>1.0</v>
      </c>
      <c r="B2808" s="6">
        <v>225.0</v>
      </c>
      <c r="C2808" s="6">
        <v>11.0</v>
      </c>
      <c r="D2808" s="15" t="s">
        <v>4401</v>
      </c>
      <c r="E2808" s="9" t="s">
        <v>4402</v>
      </c>
      <c r="F2808" s="8"/>
    </row>
    <row r="2809" ht="21.0" customHeight="1">
      <c r="A2809" s="6">
        <v>1.0</v>
      </c>
      <c r="B2809" s="6">
        <v>225.0</v>
      </c>
      <c r="C2809" s="6">
        <v>12.0</v>
      </c>
      <c r="D2809" s="15" t="s">
        <v>4403</v>
      </c>
      <c r="E2809" s="9" t="s">
        <v>4404</v>
      </c>
      <c r="F2809" s="8"/>
    </row>
    <row r="2810" ht="21.0" customHeight="1">
      <c r="A2810" s="6">
        <v>1.0</v>
      </c>
      <c r="B2810" s="6">
        <v>225.0</v>
      </c>
      <c r="C2810" s="6">
        <v>13.0</v>
      </c>
      <c r="D2810" s="15" t="s">
        <v>4405</v>
      </c>
      <c r="E2810" s="9" t="s">
        <v>4406</v>
      </c>
      <c r="F2810" s="8"/>
    </row>
    <row r="2811" ht="21.0" customHeight="1">
      <c r="A2811" s="6">
        <v>11.0</v>
      </c>
      <c r="B2811" s="6">
        <v>1056.0</v>
      </c>
      <c r="C2811" s="6">
        <v>1.0</v>
      </c>
      <c r="D2811" s="15" t="s">
        <v>4407</v>
      </c>
      <c r="E2811" s="9" t="s">
        <v>4408</v>
      </c>
      <c r="F2811" s="8"/>
    </row>
    <row r="2812" ht="21.0" customHeight="1">
      <c r="A2812" s="6">
        <v>11.0</v>
      </c>
      <c r="B2812" s="6">
        <v>1056.0</v>
      </c>
      <c r="C2812" s="6">
        <v>2.0</v>
      </c>
      <c r="D2812" s="15" t="s">
        <v>4409</v>
      </c>
      <c r="E2812" s="9" t="s">
        <v>4410</v>
      </c>
      <c r="F2812" s="8"/>
    </row>
    <row r="2813" ht="21.0" customHeight="1">
      <c r="A2813" s="6">
        <v>11.0</v>
      </c>
      <c r="B2813" s="6">
        <v>1056.0</v>
      </c>
      <c r="C2813" s="6">
        <v>3.0</v>
      </c>
      <c r="D2813" s="15" t="s">
        <v>4411</v>
      </c>
      <c r="E2813" s="9" t="s">
        <v>4412</v>
      </c>
      <c r="F2813" s="8"/>
    </row>
    <row r="2814" ht="21.0" customHeight="1">
      <c r="A2814" s="6">
        <v>11.0</v>
      </c>
      <c r="B2814" s="6">
        <v>1056.0</v>
      </c>
      <c r="C2814" s="6">
        <v>4.0</v>
      </c>
      <c r="D2814" s="15" t="s">
        <v>4413</v>
      </c>
      <c r="E2814" s="9" t="s">
        <v>4414</v>
      </c>
      <c r="F2814" s="8"/>
    </row>
    <row r="2815" ht="21.0" customHeight="1">
      <c r="A2815" s="6">
        <v>10.0</v>
      </c>
      <c r="B2815" s="6">
        <v>1056.0</v>
      </c>
      <c r="C2815" s="6">
        <v>5.0</v>
      </c>
      <c r="D2815" s="15" t="s">
        <v>4415</v>
      </c>
      <c r="E2815" s="9" t="s">
        <v>4416</v>
      </c>
      <c r="F2815" s="8"/>
    </row>
    <row r="2816" ht="21.0" customHeight="1">
      <c r="A2816" s="6">
        <v>10.0</v>
      </c>
      <c r="B2816" s="6">
        <v>1056.0</v>
      </c>
      <c r="C2816" s="6">
        <v>6.0</v>
      </c>
      <c r="D2816" s="15" t="s">
        <v>4417</v>
      </c>
      <c r="E2816" s="9" t="s">
        <v>4418</v>
      </c>
      <c r="F2816" s="8"/>
    </row>
    <row r="2817" ht="21.0" customHeight="1">
      <c r="A2817" s="6">
        <v>10.0</v>
      </c>
      <c r="B2817" s="6">
        <v>1056.0</v>
      </c>
      <c r="C2817" s="6">
        <v>7.0</v>
      </c>
      <c r="D2817" s="15" t="s">
        <v>4419</v>
      </c>
      <c r="E2817" s="9" t="s">
        <v>4420</v>
      </c>
      <c r="F2817" s="8"/>
    </row>
    <row r="2818" ht="21.0" customHeight="1">
      <c r="A2818" s="6">
        <v>10.0</v>
      </c>
      <c r="B2818" s="6">
        <v>1056.0</v>
      </c>
      <c r="C2818" s="6">
        <v>8.0</v>
      </c>
      <c r="D2818" s="15" t="s">
        <v>4421</v>
      </c>
      <c r="E2818" s="9" t="s">
        <v>4422</v>
      </c>
      <c r="F2818" s="8"/>
    </row>
    <row r="2819" ht="21.0" customHeight="1">
      <c r="A2819" s="6">
        <v>10.0</v>
      </c>
      <c r="B2819" s="6">
        <v>1056.0</v>
      </c>
      <c r="C2819" s="6">
        <v>9.0</v>
      </c>
      <c r="D2819" s="15" t="s">
        <v>4423</v>
      </c>
      <c r="E2819" s="9" t="s">
        <v>4424</v>
      </c>
      <c r="F2819" s="8"/>
    </row>
    <row r="2820" ht="21.0" customHeight="1">
      <c r="A2820" s="6">
        <v>10.0</v>
      </c>
      <c r="B2820" s="6">
        <v>1056.0</v>
      </c>
      <c r="C2820" s="6">
        <v>10.0</v>
      </c>
      <c r="D2820" s="15" t="s">
        <v>4425</v>
      </c>
      <c r="E2820" s="9" t="s">
        <v>4426</v>
      </c>
      <c r="F2820" s="8"/>
    </row>
    <row r="2821" ht="21.0" customHeight="1">
      <c r="A2821" s="6">
        <v>11.0</v>
      </c>
      <c r="B2821" s="6">
        <v>1057.0</v>
      </c>
      <c r="C2821" s="6">
        <v>1.0</v>
      </c>
      <c r="D2821" s="15" t="s">
        <v>4427</v>
      </c>
      <c r="E2821" s="9" t="s">
        <v>4428</v>
      </c>
      <c r="F2821" s="8"/>
    </row>
    <row r="2822" ht="21.0" customHeight="1">
      <c r="A2822" s="6">
        <v>11.0</v>
      </c>
      <c r="B2822" s="6">
        <v>1057.0</v>
      </c>
      <c r="C2822" s="6">
        <v>2.0</v>
      </c>
      <c r="D2822" s="15" t="s">
        <v>4429</v>
      </c>
      <c r="E2822" s="9" t="s">
        <v>4430</v>
      </c>
      <c r="F2822" s="8"/>
    </row>
    <row r="2823" ht="21.0" customHeight="1">
      <c r="A2823" s="6">
        <v>11.0</v>
      </c>
      <c r="B2823" s="6">
        <v>1057.0</v>
      </c>
      <c r="C2823" s="6">
        <v>3.0</v>
      </c>
      <c r="D2823" s="15" t="s">
        <v>4431</v>
      </c>
      <c r="E2823" s="9" t="s">
        <v>4432</v>
      </c>
      <c r="F2823" s="8"/>
    </row>
    <row r="2824" ht="21.0" customHeight="1">
      <c r="A2824" s="6">
        <v>11.0</v>
      </c>
      <c r="B2824" s="6">
        <v>1057.0</v>
      </c>
      <c r="C2824" s="6">
        <v>4.0</v>
      </c>
      <c r="D2824" s="15" t="s">
        <v>4433</v>
      </c>
      <c r="E2824" s="9" t="s">
        <v>4434</v>
      </c>
      <c r="F2824" s="8"/>
    </row>
    <row r="2825" ht="21.0" customHeight="1">
      <c r="A2825" s="6">
        <v>10.0</v>
      </c>
      <c r="B2825" s="6">
        <v>1057.0</v>
      </c>
      <c r="C2825" s="6">
        <v>5.0</v>
      </c>
      <c r="D2825" s="15" t="s">
        <v>4435</v>
      </c>
      <c r="E2825" s="9" t="s">
        <v>4436</v>
      </c>
      <c r="F2825" s="8"/>
    </row>
    <row r="2826" ht="21.0" customHeight="1">
      <c r="A2826" s="6">
        <v>10.0</v>
      </c>
      <c r="B2826" s="6">
        <v>1057.0</v>
      </c>
      <c r="C2826" s="6">
        <v>6.0</v>
      </c>
      <c r="D2826" s="15" t="s">
        <v>4437</v>
      </c>
      <c r="E2826" s="9" t="s">
        <v>4438</v>
      </c>
      <c r="F2826" s="8"/>
    </row>
    <row r="2827" ht="21.0" customHeight="1">
      <c r="A2827" s="6">
        <v>10.0</v>
      </c>
      <c r="B2827" s="6">
        <v>1057.0</v>
      </c>
      <c r="C2827" s="6">
        <v>7.0</v>
      </c>
      <c r="D2827" s="15" t="s">
        <v>4439</v>
      </c>
      <c r="E2827" s="9" t="s">
        <v>4440</v>
      </c>
      <c r="F2827" s="8"/>
    </row>
    <row r="2828" ht="21.0" customHeight="1">
      <c r="A2828" s="6">
        <v>10.0</v>
      </c>
      <c r="B2828" s="6">
        <v>1057.0</v>
      </c>
      <c r="C2828" s="6">
        <v>8.0</v>
      </c>
      <c r="D2828" s="15" t="s">
        <v>4441</v>
      </c>
      <c r="E2828" s="9" t="s">
        <v>4442</v>
      </c>
      <c r="F2828" s="8"/>
    </row>
    <row r="2829" ht="21.0" customHeight="1">
      <c r="A2829" s="6">
        <v>10.0</v>
      </c>
      <c r="B2829" s="6">
        <v>1057.0</v>
      </c>
      <c r="C2829" s="6">
        <v>9.0</v>
      </c>
      <c r="D2829" s="15" t="s">
        <v>4443</v>
      </c>
      <c r="E2829" s="9" t="s">
        <v>4444</v>
      </c>
      <c r="F2829" s="8"/>
    </row>
    <row r="2830" ht="21.0" customHeight="1">
      <c r="A2830" s="6">
        <v>10.0</v>
      </c>
      <c r="B2830" s="6">
        <v>1057.0</v>
      </c>
      <c r="C2830" s="6">
        <v>10.0</v>
      </c>
      <c r="D2830" s="15" t="s">
        <v>4445</v>
      </c>
      <c r="E2830" s="9" t="s">
        <v>4426</v>
      </c>
      <c r="F2830" s="8"/>
    </row>
    <row r="2831" ht="21.0" customHeight="1">
      <c r="A2831" s="6">
        <v>1.0</v>
      </c>
      <c r="B2831" s="6">
        <v>228.0</v>
      </c>
      <c r="C2831" s="6">
        <v>1.0</v>
      </c>
      <c r="D2831" s="73" t="s">
        <v>4446</v>
      </c>
      <c r="E2831" s="9" t="s">
        <v>4447</v>
      </c>
      <c r="F2831" s="8"/>
    </row>
    <row r="2832" ht="21.0" customHeight="1">
      <c r="A2832" s="6">
        <v>1.0</v>
      </c>
      <c r="B2832" s="6">
        <v>228.0</v>
      </c>
      <c r="C2832" s="6">
        <v>2.0</v>
      </c>
      <c r="D2832" s="15" t="s">
        <v>4448</v>
      </c>
      <c r="E2832" s="9" t="s">
        <v>4449</v>
      </c>
      <c r="F2832" s="8"/>
    </row>
    <row r="2833" ht="21.0" customHeight="1">
      <c r="A2833" s="6">
        <v>1.0</v>
      </c>
      <c r="B2833" s="6">
        <v>228.0</v>
      </c>
      <c r="C2833" s="6">
        <v>3.0</v>
      </c>
      <c r="D2833" s="15" t="s">
        <v>4450</v>
      </c>
      <c r="E2833" s="9" t="s">
        <v>4451</v>
      </c>
      <c r="F2833" s="8"/>
    </row>
    <row r="2834" ht="21.0" customHeight="1">
      <c r="A2834" s="6">
        <v>1.0</v>
      </c>
      <c r="B2834" s="6">
        <v>228.0</v>
      </c>
      <c r="C2834" s="6">
        <v>4.0</v>
      </c>
      <c r="D2834" s="15" t="s">
        <v>4452</v>
      </c>
      <c r="E2834" s="9" t="s">
        <v>4453</v>
      </c>
      <c r="F2834" s="8"/>
    </row>
    <row r="2835" ht="21.0" customHeight="1">
      <c r="A2835" s="6">
        <v>1.0</v>
      </c>
      <c r="B2835" s="6">
        <v>228.0</v>
      </c>
      <c r="C2835" s="6">
        <v>5.0</v>
      </c>
      <c r="D2835" s="15" t="s">
        <v>4454</v>
      </c>
      <c r="E2835" s="9" t="s">
        <v>4455</v>
      </c>
      <c r="F2835" s="8"/>
    </row>
    <row r="2836" ht="21.0" customHeight="1">
      <c r="A2836" s="6">
        <v>1.0</v>
      </c>
      <c r="B2836" s="6">
        <v>228.0</v>
      </c>
      <c r="C2836" s="6">
        <v>6.0</v>
      </c>
      <c r="D2836" s="15" t="s">
        <v>4456</v>
      </c>
      <c r="E2836" s="9" t="s">
        <v>4457</v>
      </c>
      <c r="F2836" s="8"/>
    </row>
    <row r="2837" ht="21.0" customHeight="1">
      <c r="A2837" s="6">
        <v>1.0</v>
      </c>
      <c r="B2837" s="6">
        <v>228.0</v>
      </c>
      <c r="C2837" s="6">
        <v>7.0</v>
      </c>
      <c r="D2837" s="15" t="s">
        <v>4458</v>
      </c>
      <c r="E2837" s="9" t="s">
        <v>4459</v>
      </c>
      <c r="F2837" s="8"/>
    </row>
    <row r="2838" ht="21.0" customHeight="1">
      <c r="A2838" s="6">
        <v>1.0</v>
      </c>
      <c r="B2838" s="6">
        <v>228.0</v>
      </c>
      <c r="C2838" s="6">
        <v>8.0</v>
      </c>
      <c r="D2838" s="15" t="s">
        <v>4460</v>
      </c>
      <c r="E2838" s="9" t="s">
        <v>4461</v>
      </c>
      <c r="F2838" s="8"/>
    </row>
    <row r="2839" ht="21.0" customHeight="1">
      <c r="A2839" s="6">
        <v>1.0</v>
      </c>
      <c r="B2839" s="6">
        <v>228.0</v>
      </c>
      <c r="C2839" s="6">
        <v>9.0</v>
      </c>
      <c r="D2839" s="15" t="s">
        <v>4462</v>
      </c>
      <c r="E2839" s="9" t="s">
        <v>4463</v>
      </c>
      <c r="F2839" s="8"/>
    </row>
    <row r="2840" ht="21.0" customHeight="1">
      <c r="A2840" s="6">
        <v>1.0</v>
      </c>
      <c r="B2840" s="6">
        <v>228.0</v>
      </c>
      <c r="C2840" s="6">
        <v>10.0</v>
      </c>
      <c r="D2840" s="15" t="s">
        <v>4464</v>
      </c>
      <c r="E2840" s="9" t="s">
        <v>4465</v>
      </c>
      <c r="F2840" s="8"/>
    </row>
    <row r="2841" ht="21.0" customHeight="1">
      <c r="A2841" s="6">
        <v>1.0</v>
      </c>
      <c r="B2841" s="6">
        <v>228.0</v>
      </c>
      <c r="C2841" s="6">
        <v>11.0</v>
      </c>
      <c r="D2841" s="15" t="s">
        <v>4466</v>
      </c>
      <c r="E2841" s="9" t="s">
        <v>4467</v>
      </c>
      <c r="F2841" s="8"/>
    </row>
    <row r="2842" ht="21.0" customHeight="1">
      <c r="A2842" s="6">
        <v>1.0</v>
      </c>
      <c r="B2842" s="6">
        <v>228.0</v>
      </c>
      <c r="C2842" s="6">
        <v>12.0</v>
      </c>
      <c r="D2842" s="15" t="s">
        <v>4468</v>
      </c>
      <c r="E2842" s="9" t="s">
        <v>4469</v>
      </c>
      <c r="F2842" s="8"/>
    </row>
    <row r="2843" ht="21.0" customHeight="1">
      <c r="A2843" s="6">
        <v>1.0</v>
      </c>
      <c r="B2843" s="6">
        <v>228.0</v>
      </c>
      <c r="C2843" s="6">
        <v>13.0</v>
      </c>
      <c r="D2843" s="15" t="s">
        <v>4470</v>
      </c>
      <c r="E2843" s="9" t="s">
        <v>4471</v>
      </c>
      <c r="F2843" s="8"/>
    </row>
    <row r="2844" ht="21.0" customHeight="1">
      <c r="A2844" s="6">
        <v>1.0</v>
      </c>
      <c r="B2844" s="6">
        <v>229.0</v>
      </c>
      <c r="C2844" s="6">
        <v>1.0</v>
      </c>
      <c r="D2844" s="15" t="s">
        <v>4472</v>
      </c>
      <c r="E2844" s="9" t="s">
        <v>4473</v>
      </c>
      <c r="F2844" s="8"/>
    </row>
    <row r="2845" ht="21.0" customHeight="1">
      <c r="A2845" s="6">
        <v>1.0</v>
      </c>
      <c r="B2845" s="6">
        <v>229.0</v>
      </c>
      <c r="C2845" s="6">
        <v>2.0</v>
      </c>
      <c r="D2845" s="15" t="s">
        <v>4474</v>
      </c>
      <c r="E2845" s="9" t="s">
        <v>4475</v>
      </c>
      <c r="F2845" s="8"/>
    </row>
    <row r="2846" ht="21.0" customHeight="1">
      <c r="A2846" s="6">
        <v>1.0</v>
      </c>
      <c r="B2846" s="6">
        <v>229.0</v>
      </c>
      <c r="C2846" s="6">
        <v>3.0</v>
      </c>
      <c r="D2846" s="15" t="s">
        <v>4476</v>
      </c>
      <c r="E2846" s="9" t="s">
        <v>4477</v>
      </c>
      <c r="F2846" s="8"/>
    </row>
    <row r="2847" ht="21.0" customHeight="1">
      <c r="A2847" s="6">
        <v>1.0</v>
      </c>
      <c r="B2847" s="6">
        <v>229.0</v>
      </c>
      <c r="C2847" s="6">
        <v>4.0</v>
      </c>
      <c r="D2847" s="15" t="s">
        <v>4478</v>
      </c>
      <c r="E2847" s="9" t="s">
        <v>4479</v>
      </c>
      <c r="F2847" s="8"/>
    </row>
    <row r="2848" ht="21.0" customHeight="1">
      <c r="A2848" s="6">
        <v>1.0</v>
      </c>
      <c r="B2848" s="6">
        <v>229.0</v>
      </c>
      <c r="C2848" s="6">
        <v>5.0</v>
      </c>
      <c r="D2848" s="15" t="s">
        <v>4480</v>
      </c>
      <c r="E2848" s="9" t="s">
        <v>4481</v>
      </c>
      <c r="F2848" s="8"/>
    </row>
    <row r="2849" ht="21.0" customHeight="1">
      <c r="A2849" s="6">
        <v>1.0</v>
      </c>
      <c r="B2849" s="6">
        <v>229.0</v>
      </c>
      <c r="C2849" s="6">
        <v>6.0</v>
      </c>
      <c r="D2849" s="15" t="s">
        <v>4482</v>
      </c>
      <c r="E2849" s="9" t="s">
        <v>4483</v>
      </c>
      <c r="F2849" s="8"/>
    </row>
    <row r="2850" ht="21.0" customHeight="1">
      <c r="A2850" s="6">
        <v>1.0</v>
      </c>
      <c r="B2850" s="6">
        <v>229.0</v>
      </c>
      <c r="C2850" s="6">
        <v>7.0</v>
      </c>
      <c r="D2850" s="15" t="s">
        <v>4484</v>
      </c>
      <c r="E2850" s="9" t="s">
        <v>4485</v>
      </c>
      <c r="F2850" s="8"/>
    </row>
    <row r="2851" ht="21.0" customHeight="1">
      <c r="A2851" s="6">
        <v>1.0</v>
      </c>
      <c r="B2851" s="6">
        <v>229.0</v>
      </c>
      <c r="C2851" s="6">
        <v>8.0</v>
      </c>
      <c r="D2851" s="15" t="s">
        <v>4486</v>
      </c>
      <c r="E2851" s="9" t="s">
        <v>4487</v>
      </c>
      <c r="F2851" s="8"/>
    </row>
    <row r="2852" ht="21.0" customHeight="1">
      <c r="A2852" s="6">
        <v>1.0</v>
      </c>
      <c r="B2852" s="6">
        <v>229.0</v>
      </c>
      <c r="C2852" s="6">
        <v>9.0</v>
      </c>
      <c r="D2852" s="15" t="s">
        <v>4488</v>
      </c>
      <c r="E2852" s="9" t="s">
        <v>4489</v>
      </c>
      <c r="F2852" s="8"/>
    </row>
    <row r="2853" ht="21.0" customHeight="1">
      <c r="A2853" s="6">
        <v>1.0</v>
      </c>
      <c r="B2853" s="6">
        <v>229.0</v>
      </c>
      <c r="C2853" s="6">
        <v>10.0</v>
      </c>
      <c r="D2853" s="15" t="s">
        <v>4490</v>
      </c>
      <c r="E2853" s="9" t="s">
        <v>4491</v>
      </c>
      <c r="F2853" s="8"/>
    </row>
    <row r="2854" ht="21.0" customHeight="1">
      <c r="A2854" s="6">
        <v>1.0</v>
      </c>
      <c r="B2854" s="6">
        <v>229.0</v>
      </c>
      <c r="C2854" s="6">
        <v>11.0</v>
      </c>
      <c r="D2854" s="15" t="s">
        <v>4492</v>
      </c>
      <c r="E2854" s="9" t="s">
        <v>4493</v>
      </c>
      <c r="F2854" s="8"/>
    </row>
    <row r="2855" ht="21.0" customHeight="1">
      <c r="A2855" s="6">
        <v>1.0</v>
      </c>
      <c r="B2855" s="6">
        <v>229.0</v>
      </c>
      <c r="C2855" s="6">
        <v>12.0</v>
      </c>
      <c r="D2855" s="15" t="s">
        <v>4494</v>
      </c>
      <c r="E2855" s="9" t="s">
        <v>4495</v>
      </c>
      <c r="F2855" s="8"/>
    </row>
    <row r="2856" ht="21.0" customHeight="1">
      <c r="A2856" s="6">
        <v>1.0</v>
      </c>
      <c r="B2856" s="6">
        <v>229.0</v>
      </c>
      <c r="C2856" s="6">
        <v>13.0</v>
      </c>
      <c r="D2856" s="15" t="s">
        <v>4496</v>
      </c>
      <c r="E2856" s="9" t="s">
        <v>4497</v>
      </c>
      <c r="F2856" s="8"/>
    </row>
    <row r="2857" ht="21.0" customHeight="1">
      <c r="A2857" s="6">
        <v>1.0</v>
      </c>
      <c r="B2857" s="6">
        <v>230.0</v>
      </c>
      <c r="C2857" s="6">
        <v>1.0</v>
      </c>
      <c r="D2857" s="15" t="s">
        <v>4498</v>
      </c>
      <c r="E2857" s="9" t="s">
        <v>4499</v>
      </c>
      <c r="F2857" s="8"/>
    </row>
    <row r="2858" ht="21.0" customHeight="1">
      <c r="A2858" s="6">
        <v>1.0</v>
      </c>
      <c r="B2858" s="6">
        <v>230.0</v>
      </c>
      <c r="C2858" s="6">
        <v>2.0</v>
      </c>
      <c r="D2858" s="15" t="s">
        <v>4500</v>
      </c>
      <c r="E2858" s="9" t="s">
        <v>4501</v>
      </c>
      <c r="F2858" s="8"/>
    </row>
    <row r="2859" ht="21.0" customHeight="1">
      <c r="A2859" s="6">
        <v>1.0</v>
      </c>
      <c r="B2859" s="6">
        <v>230.0</v>
      </c>
      <c r="C2859" s="6">
        <v>3.0</v>
      </c>
      <c r="D2859" s="15" t="s">
        <v>4502</v>
      </c>
      <c r="E2859" s="9" t="s">
        <v>4503</v>
      </c>
      <c r="F2859" s="8"/>
    </row>
    <row r="2860" ht="21.0" customHeight="1">
      <c r="A2860" s="6">
        <v>1.0</v>
      </c>
      <c r="B2860" s="6">
        <v>230.0</v>
      </c>
      <c r="C2860" s="6">
        <v>4.0</v>
      </c>
      <c r="D2860" s="15" t="s">
        <v>4504</v>
      </c>
      <c r="E2860" s="9" t="s">
        <v>4505</v>
      </c>
      <c r="F2860" s="8"/>
    </row>
    <row r="2861" ht="21.0" customHeight="1">
      <c r="A2861" s="6">
        <v>1.0</v>
      </c>
      <c r="B2861" s="6">
        <v>230.0</v>
      </c>
      <c r="C2861" s="6">
        <v>5.0</v>
      </c>
      <c r="D2861" s="15" t="s">
        <v>4506</v>
      </c>
      <c r="E2861" s="9" t="s">
        <v>4507</v>
      </c>
      <c r="F2861" s="8"/>
    </row>
    <row r="2862" ht="21.0" customHeight="1">
      <c r="A2862" s="6">
        <v>1.0</v>
      </c>
      <c r="B2862" s="6">
        <v>230.0</v>
      </c>
      <c r="C2862" s="6">
        <v>6.0</v>
      </c>
      <c r="D2862" s="15" t="s">
        <v>4508</v>
      </c>
      <c r="E2862" s="9" t="s">
        <v>4509</v>
      </c>
      <c r="F2862" s="8"/>
    </row>
    <row r="2863" ht="21.0" customHeight="1">
      <c r="A2863" s="6">
        <v>1.0</v>
      </c>
      <c r="B2863" s="6">
        <v>230.0</v>
      </c>
      <c r="C2863" s="6">
        <v>7.0</v>
      </c>
      <c r="D2863" s="15" t="s">
        <v>4510</v>
      </c>
      <c r="E2863" s="9" t="s">
        <v>4511</v>
      </c>
      <c r="F2863" s="8"/>
    </row>
    <row r="2864" ht="21.0" customHeight="1">
      <c r="A2864" s="6">
        <v>1.0</v>
      </c>
      <c r="B2864" s="6">
        <v>230.0</v>
      </c>
      <c r="C2864" s="6">
        <v>8.0</v>
      </c>
      <c r="D2864" s="15" t="s">
        <v>4512</v>
      </c>
      <c r="E2864" s="9" t="s">
        <v>4513</v>
      </c>
      <c r="F2864" s="8"/>
    </row>
    <row r="2865" ht="21.0" customHeight="1">
      <c r="A2865" s="6">
        <v>1.0</v>
      </c>
      <c r="B2865" s="6">
        <v>230.0</v>
      </c>
      <c r="C2865" s="6">
        <v>9.0</v>
      </c>
      <c r="D2865" s="15" t="s">
        <v>4514</v>
      </c>
      <c r="E2865" s="9" t="s">
        <v>4515</v>
      </c>
      <c r="F2865" s="8"/>
    </row>
    <row r="2866" ht="21.0" customHeight="1">
      <c r="A2866" s="6">
        <v>1.0</v>
      </c>
      <c r="B2866" s="6">
        <v>230.0</v>
      </c>
      <c r="C2866" s="6">
        <v>10.0</v>
      </c>
      <c r="D2866" s="15" t="s">
        <v>4516</v>
      </c>
      <c r="E2866" s="9" t="s">
        <v>4517</v>
      </c>
      <c r="F2866" s="8"/>
    </row>
    <row r="2867" ht="21.0" customHeight="1">
      <c r="A2867" s="6">
        <v>1.0</v>
      </c>
      <c r="B2867" s="6">
        <v>230.0</v>
      </c>
      <c r="C2867" s="6">
        <v>11.0</v>
      </c>
      <c r="D2867" s="15" t="s">
        <v>4518</v>
      </c>
      <c r="E2867" s="9" t="s">
        <v>4519</v>
      </c>
      <c r="F2867" s="8"/>
    </row>
    <row r="2868" ht="21.0" customHeight="1">
      <c r="A2868" s="6">
        <v>1.0</v>
      </c>
      <c r="B2868" s="6">
        <v>230.0</v>
      </c>
      <c r="C2868" s="6">
        <v>12.0</v>
      </c>
      <c r="D2868" s="15" t="s">
        <v>4520</v>
      </c>
      <c r="E2868" s="9" t="s">
        <v>4521</v>
      </c>
      <c r="F2868" s="8"/>
    </row>
    <row r="2869" ht="21.0" customHeight="1">
      <c r="A2869" s="6">
        <v>1.0</v>
      </c>
      <c r="B2869" s="6">
        <v>230.0</v>
      </c>
      <c r="C2869" s="6">
        <v>13.0</v>
      </c>
      <c r="D2869" s="15" t="s">
        <v>4522</v>
      </c>
      <c r="E2869" s="9" t="s">
        <v>4523</v>
      </c>
      <c r="F2869" s="8"/>
    </row>
    <row r="2870" ht="21.0" customHeight="1">
      <c r="A2870" s="6">
        <v>11.0</v>
      </c>
      <c r="B2870" s="6">
        <v>1058.0</v>
      </c>
      <c r="C2870" s="6">
        <v>1.0</v>
      </c>
      <c r="D2870" s="15" t="s">
        <v>4524</v>
      </c>
      <c r="E2870" s="9" t="s">
        <v>4525</v>
      </c>
      <c r="F2870" s="8"/>
    </row>
    <row r="2871" ht="21.0" customHeight="1">
      <c r="A2871" s="6">
        <v>11.0</v>
      </c>
      <c r="B2871" s="6">
        <v>1058.0</v>
      </c>
      <c r="C2871" s="6">
        <v>2.0</v>
      </c>
      <c r="D2871" s="15" t="s">
        <v>4526</v>
      </c>
      <c r="E2871" s="9" t="s">
        <v>4527</v>
      </c>
      <c r="F2871" s="8"/>
    </row>
    <row r="2872" ht="21.0" customHeight="1">
      <c r="A2872" s="6">
        <v>11.0</v>
      </c>
      <c r="B2872" s="6">
        <v>1058.0</v>
      </c>
      <c r="C2872" s="6">
        <v>3.0</v>
      </c>
      <c r="D2872" s="15" t="s">
        <v>4528</v>
      </c>
      <c r="E2872" s="9" t="s">
        <v>4529</v>
      </c>
      <c r="F2872" s="8"/>
    </row>
    <row r="2873" ht="21.0" customHeight="1">
      <c r="A2873" s="6">
        <v>11.0</v>
      </c>
      <c r="B2873" s="6">
        <v>1058.0</v>
      </c>
      <c r="C2873" s="6">
        <v>4.0</v>
      </c>
      <c r="D2873" s="15" t="s">
        <v>4530</v>
      </c>
      <c r="E2873" s="9" t="s">
        <v>4531</v>
      </c>
      <c r="F2873" s="8"/>
    </row>
    <row r="2874" ht="21.0" customHeight="1">
      <c r="A2874" s="6">
        <v>10.0</v>
      </c>
      <c r="B2874" s="6">
        <v>1058.0</v>
      </c>
      <c r="C2874" s="6">
        <v>5.0</v>
      </c>
      <c r="D2874" s="9" t="s">
        <v>4532</v>
      </c>
      <c r="E2874" s="9" t="s">
        <v>4533</v>
      </c>
      <c r="F2874" s="8"/>
    </row>
    <row r="2875" ht="21.0" customHeight="1">
      <c r="A2875" s="6">
        <v>10.0</v>
      </c>
      <c r="B2875" s="6">
        <v>1058.0</v>
      </c>
      <c r="C2875" s="6">
        <v>6.0</v>
      </c>
      <c r="D2875" s="15" t="s">
        <v>4534</v>
      </c>
      <c r="E2875" s="9" t="s">
        <v>4535</v>
      </c>
      <c r="F2875" s="8"/>
    </row>
    <row r="2876" ht="21.0" customHeight="1">
      <c r="A2876" s="6">
        <v>10.0</v>
      </c>
      <c r="B2876" s="6">
        <v>1058.0</v>
      </c>
      <c r="C2876" s="6">
        <v>7.0</v>
      </c>
      <c r="D2876" s="15" t="s">
        <v>4536</v>
      </c>
      <c r="E2876" s="9" t="s">
        <v>4537</v>
      </c>
      <c r="F2876" s="8"/>
    </row>
    <row r="2877" ht="21.0" customHeight="1">
      <c r="A2877" s="6">
        <v>10.0</v>
      </c>
      <c r="B2877" s="6">
        <v>1058.0</v>
      </c>
      <c r="C2877" s="6">
        <v>8.0</v>
      </c>
      <c r="D2877" s="15" t="s">
        <v>4538</v>
      </c>
      <c r="E2877" s="9" t="s">
        <v>4539</v>
      </c>
      <c r="F2877" s="8"/>
    </row>
    <row r="2878" ht="21.0" customHeight="1">
      <c r="A2878" s="6">
        <v>10.0</v>
      </c>
      <c r="B2878" s="6">
        <v>1058.0</v>
      </c>
      <c r="C2878" s="6">
        <v>9.0</v>
      </c>
      <c r="D2878" s="15" t="s">
        <v>4540</v>
      </c>
      <c r="E2878" s="9" t="s">
        <v>4541</v>
      </c>
      <c r="F2878" s="8"/>
    </row>
    <row r="2879" ht="21.0" customHeight="1">
      <c r="A2879" s="6">
        <v>10.0</v>
      </c>
      <c r="B2879" s="6">
        <v>1058.0</v>
      </c>
      <c r="C2879" s="6">
        <v>10.0</v>
      </c>
      <c r="D2879" s="15" t="s">
        <v>4542</v>
      </c>
      <c r="E2879" s="9" t="s">
        <v>4543</v>
      </c>
      <c r="F2879" s="8"/>
    </row>
    <row r="2880" ht="21.0" customHeight="1">
      <c r="A2880" s="6">
        <v>11.0</v>
      </c>
      <c r="B2880" s="6">
        <v>1059.0</v>
      </c>
      <c r="C2880" s="6">
        <v>1.0</v>
      </c>
      <c r="D2880" s="15" t="s">
        <v>4544</v>
      </c>
      <c r="E2880" s="9" t="s">
        <v>4545</v>
      </c>
      <c r="F2880" s="8"/>
    </row>
    <row r="2881" ht="21.0" customHeight="1">
      <c r="A2881" s="6">
        <v>11.0</v>
      </c>
      <c r="B2881" s="6">
        <v>1059.0</v>
      </c>
      <c r="C2881" s="6">
        <v>2.0</v>
      </c>
      <c r="D2881" s="15" t="s">
        <v>4546</v>
      </c>
      <c r="E2881" s="9" t="s">
        <v>4547</v>
      </c>
      <c r="F2881" s="8"/>
    </row>
    <row r="2882" ht="21.0" customHeight="1">
      <c r="A2882" s="6">
        <v>11.0</v>
      </c>
      <c r="B2882" s="6">
        <v>1059.0</v>
      </c>
      <c r="C2882" s="6">
        <v>3.0</v>
      </c>
      <c r="D2882" s="15" t="s">
        <v>4548</v>
      </c>
      <c r="E2882" s="9" t="s">
        <v>4549</v>
      </c>
      <c r="F2882" s="8"/>
    </row>
    <row r="2883" ht="21.0" customHeight="1">
      <c r="A2883" s="6">
        <v>11.0</v>
      </c>
      <c r="B2883" s="6">
        <v>1059.0</v>
      </c>
      <c r="C2883" s="6">
        <v>4.0</v>
      </c>
      <c r="D2883" s="15" t="s">
        <v>4550</v>
      </c>
      <c r="E2883" s="9" t="s">
        <v>4551</v>
      </c>
      <c r="F2883" s="8"/>
    </row>
    <row r="2884" ht="21.0" customHeight="1">
      <c r="A2884" s="6">
        <v>10.0</v>
      </c>
      <c r="B2884" s="6">
        <v>1059.0</v>
      </c>
      <c r="C2884" s="6">
        <v>5.0</v>
      </c>
      <c r="D2884" s="9" t="s">
        <v>4552</v>
      </c>
      <c r="E2884" s="9" t="s">
        <v>4553</v>
      </c>
      <c r="F2884" s="8"/>
    </row>
    <row r="2885" ht="21.0" customHeight="1">
      <c r="A2885" s="6">
        <v>10.0</v>
      </c>
      <c r="B2885" s="6">
        <v>1059.0</v>
      </c>
      <c r="C2885" s="6">
        <v>6.0</v>
      </c>
      <c r="D2885" s="15" t="s">
        <v>4554</v>
      </c>
      <c r="E2885" s="9" t="s">
        <v>4555</v>
      </c>
      <c r="F2885" s="8"/>
    </row>
    <row r="2886" ht="21.0" customHeight="1">
      <c r="A2886" s="6">
        <v>10.0</v>
      </c>
      <c r="B2886" s="6">
        <v>1059.0</v>
      </c>
      <c r="C2886" s="6">
        <v>7.0</v>
      </c>
      <c r="D2886" s="15" t="s">
        <v>4556</v>
      </c>
      <c r="E2886" s="9" t="s">
        <v>4557</v>
      </c>
      <c r="F2886" s="8"/>
    </row>
    <row r="2887" ht="21.0" customHeight="1">
      <c r="A2887" s="6">
        <v>10.0</v>
      </c>
      <c r="B2887" s="6">
        <v>1059.0</v>
      </c>
      <c r="C2887" s="6">
        <v>8.0</v>
      </c>
      <c r="D2887" s="15" t="s">
        <v>4558</v>
      </c>
      <c r="E2887" s="9" t="s">
        <v>4559</v>
      </c>
      <c r="F2887" s="8"/>
    </row>
    <row r="2888" ht="21.0" customHeight="1">
      <c r="A2888" s="6">
        <v>10.0</v>
      </c>
      <c r="B2888" s="6">
        <v>1059.0</v>
      </c>
      <c r="C2888" s="6">
        <v>9.0</v>
      </c>
      <c r="D2888" s="15" t="s">
        <v>4560</v>
      </c>
      <c r="E2888" s="9" t="s">
        <v>4561</v>
      </c>
      <c r="F2888" s="8"/>
    </row>
    <row r="2889" ht="21.0" customHeight="1">
      <c r="A2889" s="6">
        <v>10.0</v>
      </c>
      <c r="B2889" s="6">
        <v>1059.0</v>
      </c>
      <c r="C2889" s="6">
        <v>10.0</v>
      </c>
      <c r="D2889" s="15" t="s">
        <v>4562</v>
      </c>
      <c r="E2889" s="9" t="s">
        <v>4543</v>
      </c>
      <c r="F2889" s="8"/>
    </row>
    <row r="2890" ht="21.0" customHeight="1">
      <c r="A2890" s="6">
        <v>1.0</v>
      </c>
      <c r="B2890" s="6">
        <v>231.0</v>
      </c>
      <c r="C2890" s="6">
        <v>1.0</v>
      </c>
      <c r="D2890" s="15" t="s">
        <v>4563</v>
      </c>
      <c r="E2890" s="9" t="s">
        <v>4564</v>
      </c>
      <c r="F2890" s="8"/>
    </row>
    <row r="2891" ht="21.0" customHeight="1">
      <c r="A2891" s="6">
        <v>1.0</v>
      </c>
      <c r="B2891" s="6">
        <v>231.0</v>
      </c>
      <c r="C2891" s="6">
        <v>2.0</v>
      </c>
      <c r="D2891" s="15" t="s">
        <v>4565</v>
      </c>
      <c r="E2891" s="9" t="s">
        <v>4566</v>
      </c>
      <c r="F2891" s="8"/>
    </row>
    <row r="2892" ht="21.0" customHeight="1">
      <c r="A2892" s="6">
        <v>1.0</v>
      </c>
      <c r="B2892" s="6">
        <v>231.0</v>
      </c>
      <c r="C2892" s="6">
        <v>3.0</v>
      </c>
      <c r="D2892" s="15" t="s">
        <v>4567</v>
      </c>
      <c r="E2892" s="9" t="s">
        <v>4568</v>
      </c>
      <c r="F2892" s="8"/>
    </row>
    <row r="2893" ht="21.0" customHeight="1">
      <c r="A2893" s="6">
        <v>1.0</v>
      </c>
      <c r="B2893" s="6">
        <v>231.0</v>
      </c>
      <c r="C2893" s="6">
        <v>4.0</v>
      </c>
      <c r="D2893" s="15" t="s">
        <v>4569</v>
      </c>
      <c r="E2893" s="9" t="s">
        <v>4570</v>
      </c>
      <c r="F2893" s="8"/>
    </row>
    <row r="2894" ht="21.0" customHeight="1">
      <c r="A2894" s="6">
        <v>1.0</v>
      </c>
      <c r="B2894" s="6">
        <v>231.0</v>
      </c>
      <c r="C2894" s="6">
        <v>5.0</v>
      </c>
      <c r="D2894" s="15" t="s">
        <v>4571</v>
      </c>
      <c r="E2894" s="9" t="s">
        <v>4572</v>
      </c>
      <c r="F2894" s="8"/>
    </row>
    <row r="2895" ht="21.0" customHeight="1">
      <c r="A2895" s="6">
        <v>1.0</v>
      </c>
      <c r="B2895" s="6">
        <v>231.0</v>
      </c>
      <c r="C2895" s="6">
        <v>6.0</v>
      </c>
      <c r="D2895" s="15" t="s">
        <v>4573</v>
      </c>
      <c r="E2895" s="9" t="s">
        <v>4574</v>
      </c>
      <c r="F2895" s="8"/>
    </row>
    <row r="2896" ht="21.0" customHeight="1">
      <c r="A2896" s="6">
        <v>1.0</v>
      </c>
      <c r="B2896" s="6">
        <v>231.0</v>
      </c>
      <c r="C2896" s="6">
        <v>7.0</v>
      </c>
      <c r="D2896" s="15" t="s">
        <v>4575</v>
      </c>
      <c r="E2896" s="9" t="s">
        <v>4576</v>
      </c>
      <c r="F2896" s="8"/>
    </row>
    <row r="2897" ht="21.0" customHeight="1">
      <c r="A2897" s="6">
        <v>1.0</v>
      </c>
      <c r="B2897" s="6">
        <v>231.0</v>
      </c>
      <c r="C2897" s="6">
        <v>8.0</v>
      </c>
      <c r="D2897" s="15" t="s">
        <v>4577</v>
      </c>
      <c r="E2897" s="9" t="s">
        <v>4578</v>
      </c>
      <c r="F2897" s="8"/>
    </row>
    <row r="2898" ht="21.0" customHeight="1">
      <c r="A2898" s="6">
        <v>1.0</v>
      </c>
      <c r="B2898" s="6">
        <v>231.0</v>
      </c>
      <c r="C2898" s="6">
        <v>9.0</v>
      </c>
      <c r="D2898" s="15" t="s">
        <v>4579</v>
      </c>
      <c r="E2898" s="9" t="s">
        <v>4580</v>
      </c>
      <c r="F2898" s="8"/>
    </row>
    <row r="2899" ht="21.0" customHeight="1">
      <c r="A2899" s="6">
        <v>1.0</v>
      </c>
      <c r="B2899" s="6">
        <v>231.0</v>
      </c>
      <c r="C2899" s="6">
        <v>10.0</v>
      </c>
      <c r="D2899" s="15" t="s">
        <v>4581</v>
      </c>
      <c r="E2899" s="9" t="s">
        <v>4582</v>
      </c>
      <c r="F2899" s="8"/>
    </row>
    <row r="2900" ht="21.0" customHeight="1">
      <c r="A2900" s="6">
        <v>1.0</v>
      </c>
      <c r="B2900" s="6">
        <v>231.0</v>
      </c>
      <c r="C2900" s="6">
        <v>11.0</v>
      </c>
      <c r="D2900" s="15" t="s">
        <v>4583</v>
      </c>
      <c r="E2900" s="9" t="s">
        <v>4584</v>
      </c>
      <c r="F2900" s="8"/>
    </row>
    <row r="2901" ht="21.0" customHeight="1">
      <c r="A2901" s="6">
        <v>1.0</v>
      </c>
      <c r="B2901" s="6">
        <v>231.0</v>
      </c>
      <c r="C2901" s="6">
        <v>12.0</v>
      </c>
      <c r="D2901" s="15" t="s">
        <v>4585</v>
      </c>
      <c r="E2901" s="9" t="s">
        <v>4586</v>
      </c>
      <c r="F2901" s="8"/>
    </row>
    <row r="2902" ht="21.0" customHeight="1">
      <c r="A2902" s="6">
        <v>1.0</v>
      </c>
      <c r="B2902" s="6">
        <v>231.0</v>
      </c>
      <c r="C2902" s="6">
        <v>13.0</v>
      </c>
      <c r="D2902" s="15" t="s">
        <v>4587</v>
      </c>
      <c r="E2902" s="9" t="s">
        <v>4588</v>
      </c>
      <c r="F2902" s="8"/>
    </row>
    <row r="2903" ht="21.0" customHeight="1">
      <c r="A2903" s="6">
        <v>1.0</v>
      </c>
      <c r="B2903" s="6">
        <v>232.0</v>
      </c>
      <c r="C2903" s="6">
        <v>1.0</v>
      </c>
      <c r="D2903" s="15" t="s">
        <v>4589</v>
      </c>
      <c r="E2903" s="9" t="s">
        <v>4590</v>
      </c>
      <c r="F2903" s="8"/>
    </row>
    <row r="2904" ht="21.0" customHeight="1">
      <c r="A2904" s="6">
        <v>1.0</v>
      </c>
      <c r="B2904" s="6">
        <v>232.0</v>
      </c>
      <c r="C2904" s="6">
        <v>2.0</v>
      </c>
      <c r="D2904" s="15" t="s">
        <v>4591</v>
      </c>
      <c r="E2904" s="9" t="s">
        <v>4592</v>
      </c>
      <c r="F2904" s="8"/>
    </row>
    <row r="2905" ht="21.0" customHeight="1">
      <c r="A2905" s="6">
        <v>1.0</v>
      </c>
      <c r="B2905" s="6">
        <v>232.0</v>
      </c>
      <c r="C2905" s="6">
        <v>3.0</v>
      </c>
      <c r="D2905" s="15" t="s">
        <v>4593</v>
      </c>
      <c r="E2905" s="9" t="s">
        <v>4594</v>
      </c>
      <c r="F2905" s="8"/>
    </row>
    <row r="2906" ht="21.0" customHeight="1">
      <c r="A2906" s="6">
        <v>1.0</v>
      </c>
      <c r="B2906" s="6">
        <v>232.0</v>
      </c>
      <c r="C2906" s="6">
        <v>4.0</v>
      </c>
      <c r="D2906" s="15" t="s">
        <v>4595</v>
      </c>
      <c r="E2906" s="9" t="s">
        <v>4596</v>
      </c>
      <c r="F2906" s="8"/>
    </row>
    <row r="2907" ht="21.0" customHeight="1">
      <c r="A2907" s="6">
        <v>1.0</v>
      </c>
      <c r="B2907" s="6">
        <v>232.0</v>
      </c>
      <c r="C2907" s="6">
        <v>5.0</v>
      </c>
      <c r="D2907" s="15" t="s">
        <v>4597</v>
      </c>
      <c r="E2907" s="9" t="s">
        <v>4598</v>
      </c>
      <c r="F2907" s="8"/>
    </row>
    <row r="2908" ht="21.0" customHeight="1">
      <c r="A2908" s="6">
        <v>1.0</v>
      </c>
      <c r="B2908" s="6">
        <v>232.0</v>
      </c>
      <c r="C2908" s="6">
        <v>6.0</v>
      </c>
      <c r="D2908" s="15" t="s">
        <v>4599</v>
      </c>
      <c r="E2908" s="9" t="s">
        <v>4600</v>
      </c>
      <c r="F2908" s="8"/>
    </row>
    <row r="2909" ht="21.0" customHeight="1">
      <c r="A2909" s="6">
        <v>1.0</v>
      </c>
      <c r="B2909" s="6">
        <v>232.0</v>
      </c>
      <c r="C2909" s="6">
        <v>7.0</v>
      </c>
      <c r="D2909" s="15" t="s">
        <v>4601</v>
      </c>
      <c r="E2909" s="9" t="s">
        <v>4602</v>
      </c>
      <c r="F2909" s="8"/>
    </row>
    <row r="2910" ht="21.0" customHeight="1">
      <c r="A2910" s="6">
        <v>1.0</v>
      </c>
      <c r="B2910" s="6">
        <v>232.0</v>
      </c>
      <c r="C2910" s="6">
        <v>8.0</v>
      </c>
      <c r="D2910" s="15" t="s">
        <v>4603</v>
      </c>
      <c r="E2910" s="9" t="s">
        <v>4604</v>
      </c>
      <c r="F2910" s="8"/>
    </row>
    <row r="2911" ht="21.0" customHeight="1">
      <c r="A2911" s="6">
        <v>1.0</v>
      </c>
      <c r="B2911" s="6">
        <v>232.0</v>
      </c>
      <c r="C2911" s="6">
        <v>9.0</v>
      </c>
      <c r="D2911" s="15" t="s">
        <v>4605</v>
      </c>
      <c r="E2911" s="9" t="s">
        <v>4606</v>
      </c>
      <c r="F2911" s="8"/>
    </row>
    <row r="2912" ht="21.0" customHeight="1">
      <c r="A2912" s="6">
        <v>1.0</v>
      </c>
      <c r="B2912" s="6">
        <v>232.0</v>
      </c>
      <c r="C2912" s="6">
        <v>10.0</v>
      </c>
      <c r="D2912" s="15" t="s">
        <v>4607</v>
      </c>
      <c r="E2912" s="9" t="s">
        <v>4608</v>
      </c>
      <c r="F2912" s="8"/>
    </row>
    <row r="2913" ht="21.0" customHeight="1">
      <c r="A2913" s="6">
        <v>1.0</v>
      </c>
      <c r="B2913" s="6">
        <v>232.0</v>
      </c>
      <c r="C2913" s="6">
        <v>11.0</v>
      </c>
      <c r="D2913" s="15" t="s">
        <v>4609</v>
      </c>
      <c r="E2913" s="9" t="s">
        <v>4610</v>
      </c>
      <c r="F2913" s="8"/>
    </row>
    <row r="2914" ht="21.0" customHeight="1">
      <c r="A2914" s="6">
        <v>1.0</v>
      </c>
      <c r="B2914" s="6">
        <v>232.0</v>
      </c>
      <c r="C2914" s="6">
        <v>12.0</v>
      </c>
      <c r="D2914" s="15" t="s">
        <v>4611</v>
      </c>
      <c r="E2914" s="9" t="s">
        <v>4612</v>
      </c>
      <c r="F2914" s="8"/>
    </row>
    <row r="2915" ht="21.0" customHeight="1">
      <c r="A2915" s="6">
        <v>1.0</v>
      </c>
      <c r="B2915" s="6">
        <v>232.0</v>
      </c>
      <c r="C2915" s="6">
        <v>13.0</v>
      </c>
      <c r="D2915" s="15" t="s">
        <v>4613</v>
      </c>
      <c r="E2915" s="9" t="s">
        <v>4614</v>
      </c>
      <c r="F2915" s="8"/>
    </row>
    <row r="2916" ht="21.0" customHeight="1">
      <c r="A2916" s="6">
        <v>1.0</v>
      </c>
      <c r="B2916" s="6">
        <v>233.0</v>
      </c>
      <c r="C2916" s="6">
        <v>1.0</v>
      </c>
      <c r="D2916" s="15" t="s">
        <v>4615</v>
      </c>
      <c r="E2916" s="9" t="s">
        <v>4616</v>
      </c>
      <c r="F2916" s="8"/>
    </row>
    <row r="2917" ht="21.0" customHeight="1">
      <c r="A2917" s="6">
        <v>1.0</v>
      </c>
      <c r="B2917" s="6">
        <v>233.0</v>
      </c>
      <c r="C2917" s="6">
        <v>2.0</v>
      </c>
      <c r="D2917" s="15" t="s">
        <v>4617</v>
      </c>
      <c r="E2917" s="9" t="s">
        <v>4618</v>
      </c>
      <c r="F2917" s="8"/>
    </row>
    <row r="2918" ht="21.0" customHeight="1">
      <c r="A2918" s="6">
        <v>1.0</v>
      </c>
      <c r="B2918" s="6">
        <v>233.0</v>
      </c>
      <c r="C2918" s="6">
        <v>3.0</v>
      </c>
      <c r="D2918" s="15" t="s">
        <v>4619</v>
      </c>
      <c r="E2918" s="9" t="s">
        <v>4620</v>
      </c>
      <c r="F2918" s="8"/>
    </row>
    <row r="2919" ht="21.0" customHeight="1">
      <c r="A2919" s="6">
        <v>1.0</v>
      </c>
      <c r="B2919" s="6">
        <v>233.0</v>
      </c>
      <c r="C2919" s="6">
        <v>4.0</v>
      </c>
      <c r="D2919" s="15" t="s">
        <v>4621</v>
      </c>
      <c r="E2919" s="9" t="s">
        <v>4622</v>
      </c>
      <c r="F2919" s="8"/>
    </row>
    <row r="2920" ht="21.0" customHeight="1">
      <c r="A2920" s="6">
        <v>1.0</v>
      </c>
      <c r="B2920" s="6">
        <v>233.0</v>
      </c>
      <c r="C2920" s="6">
        <v>5.0</v>
      </c>
      <c r="D2920" s="15" t="s">
        <v>4623</v>
      </c>
      <c r="E2920" s="9" t="s">
        <v>4624</v>
      </c>
      <c r="F2920" s="8"/>
    </row>
    <row r="2921" ht="21.0" customHeight="1">
      <c r="A2921" s="6">
        <v>1.0</v>
      </c>
      <c r="B2921" s="6">
        <v>233.0</v>
      </c>
      <c r="C2921" s="6">
        <v>6.0</v>
      </c>
      <c r="D2921" s="15" t="s">
        <v>4625</v>
      </c>
      <c r="E2921" s="9" t="s">
        <v>4626</v>
      </c>
      <c r="F2921" s="8"/>
    </row>
    <row r="2922" ht="21.0" customHeight="1">
      <c r="A2922" s="6">
        <v>1.0</v>
      </c>
      <c r="B2922" s="6">
        <v>233.0</v>
      </c>
      <c r="C2922" s="6">
        <v>7.0</v>
      </c>
      <c r="D2922" s="15" t="s">
        <v>4627</v>
      </c>
      <c r="E2922" s="9" t="s">
        <v>4628</v>
      </c>
      <c r="F2922" s="8"/>
    </row>
    <row r="2923" ht="21.0" customHeight="1">
      <c r="A2923" s="6">
        <v>1.0</v>
      </c>
      <c r="B2923" s="6">
        <v>233.0</v>
      </c>
      <c r="C2923" s="6">
        <v>8.0</v>
      </c>
      <c r="D2923" s="15" t="s">
        <v>4629</v>
      </c>
      <c r="E2923" s="9" t="s">
        <v>4630</v>
      </c>
      <c r="F2923" s="8"/>
    </row>
    <row r="2924" ht="21.0" customHeight="1">
      <c r="A2924" s="6">
        <v>1.0</v>
      </c>
      <c r="B2924" s="6">
        <v>233.0</v>
      </c>
      <c r="C2924" s="6">
        <v>9.0</v>
      </c>
      <c r="D2924" s="15" t="s">
        <v>4631</v>
      </c>
      <c r="E2924" s="9" t="s">
        <v>4632</v>
      </c>
      <c r="F2924" s="8"/>
    </row>
    <row r="2925" ht="21.0" customHeight="1">
      <c r="A2925" s="6">
        <v>1.0</v>
      </c>
      <c r="B2925" s="6">
        <v>233.0</v>
      </c>
      <c r="C2925" s="6">
        <v>10.0</v>
      </c>
      <c r="D2925" s="15" t="s">
        <v>4633</v>
      </c>
      <c r="E2925" s="9" t="s">
        <v>4634</v>
      </c>
      <c r="F2925" s="8"/>
    </row>
    <row r="2926" ht="21.0" customHeight="1">
      <c r="A2926" s="6">
        <v>1.0</v>
      </c>
      <c r="B2926" s="6">
        <v>233.0</v>
      </c>
      <c r="C2926" s="6">
        <v>11.0</v>
      </c>
      <c r="D2926" s="15" t="s">
        <v>4635</v>
      </c>
      <c r="E2926" s="9" t="s">
        <v>4636</v>
      </c>
      <c r="F2926" s="8"/>
    </row>
    <row r="2927" ht="21.0" customHeight="1">
      <c r="A2927" s="6">
        <v>1.0</v>
      </c>
      <c r="B2927" s="6">
        <v>233.0</v>
      </c>
      <c r="C2927" s="6">
        <v>12.0</v>
      </c>
      <c r="D2927" s="15" t="s">
        <v>4637</v>
      </c>
      <c r="E2927" s="9" t="s">
        <v>4638</v>
      </c>
      <c r="F2927" s="8"/>
    </row>
    <row r="2928" ht="21.0" customHeight="1">
      <c r="A2928" s="6">
        <v>1.0</v>
      </c>
      <c r="B2928" s="6">
        <v>233.0</v>
      </c>
      <c r="C2928" s="6">
        <v>13.0</v>
      </c>
      <c r="D2928" s="15" t="s">
        <v>4639</v>
      </c>
      <c r="E2928" s="9" t="s">
        <v>4640</v>
      </c>
      <c r="F2928" s="8"/>
    </row>
    <row r="2929" ht="21.0" customHeight="1">
      <c r="A2929" s="6">
        <v>11.0</v>
      </c>
      <c r="B2929" s="6">
        <v>1060.0</v>
      </c>
      <c r="C2929" s="6">
        <v>1.0</v>
      </c>
      <c r="D2929" s="15" t="s">
        <v>4641</v>
      </c>
      <c r="E2929" s="9" t="s">
        <v>4642</v>
      </c>
      <c r="F2929" s="8"/>
    </row>
    <row r="2930" ht="21.0" customHeight="1">
      <c r="A2930" s="6">
        <v>11.0</v>
      </c>
      <c r="B2930" s="6">
        <v>1060.0</v>
      </c>
      <c r="C2930" s="6">
        <v>2.0</v>
      </c>
      <c r="D2930" s="15" t="s">
        <v>4643</v>
      </c>
      <c r="E2930" s="9" t="s">
        <v>4644</v>
      </c>
      <c r="F2930" s="8"/>
    </row>
    <row r="2931" ht="21.0" customHeight="1">
      <c r="A2931" s="6">
        <v>11.0</v>
      </c>
      <c r="B2931" s="6">
        <v>1060.0</v>
      </c>
      <c r="C2931" s="6">
        <v>3.0</v>
      </c>
      <c r="D2931" s="15" t="s">
        <v>4645</v>
      </c>
      <c r="E2931" s="9" t="s">
        <v>4646</v>
      </c>
      <c r="F2931" s="8"/>
    </row>
    <row r="2932" ht="21.0" customHeight="1">
      <c r="A2932" s="6">
        <v>11.0</v>
      </c>
      <c r="B2932" s="6">
        <v>1060.0</v>
      </c>
      <c r="C2932" s="6">
        <v>4.0</v>
      </c>
      <c r="D2932" s="15" t="s">
        <v>4647</v>
      </c>
      <c r="E2932" s="9" t="s">
        <v>4648</v>
      </c>
      <c r="F2932" s="8"/>
    </row>
    <row r="2933" ht="21.0" customHeight="1">
      <c r="A2933" s="6">
        <v>10.0</v>
      </c>
      <c r="B2933" s="6">
        <v>1060.0</v>
      </c>
      <c r="C2933" s="6">
        <v>5.0</v>
      </c>
      <c r="D2933" s="9" t="s">
        <v>4649</v>
      </c>
      <c r="E2933" s="9" t="s">
        <v>4650</v>
      </c>
      <c r="F2933" s="8"/>
    </row>
    <row r="2934" ht="21.0" customHeight="1">
      <c r="A2934" s="6">
        <v>10.0</v>
      </c>
      <c r="B2934" s="6">
        <v>1060.0</v>
      </c>
      <c r="C2934" s="6">
        <v>6.0</v>
      </c>
      <c r="D2934" s="15" t="s">
        <v>4651</v>
      </c>
      <c r="E2934" s="9" t="s">
        <v>4652</v>
      </c>
      <c r="F2934" s="8"/>
    </row>
    <row r="2935" ht="21.0" customHeight="1">
      <c r="A2935" s="6">
        <v>10.0</v>
      </c>
      <c r="B2935" s="6">
        <v>1060.0</v>
      </c>
      <c r="C2935" s="6">
        <v>7.0</v>
      </c>
      <c r="D2935" s="15" t="s">
        <v>4653</v>
      </c>
      <c r="E2935" s="9" t="s">
        <v>4654</v>
      </c>
      <c r="F2935" s="8"/>
    </row>
    <row r="2936" ht="21.0" customHeight="1">
      <c r="A2936" s="6">
        <v>10.0</v>
      </c>
      <c r="B2936" s="6">
        <v>1060.0</v>
      </c>
      <c r="C2936" s="6">
        <v>8.0</v>
      </c>
      <c r="D2936" s="15" t="s">
        <v>4655</v>
      </c>
      <c r="E2936" s="9" t="s">
        <v>4656</v>
      </c>
      <c r="F2936" s="8"/>
    </row>
    <row r="2937" ht="21.0" customHeight="1">
      <c r="A2937" s="6">
        <v>10.0</v>
      </c>
      <c r="B2937" s="6">
        <v>1060.0</v>
      </c>
      <c r="C2937" s="6">
        <v>9.0</v>
      </c>
      <c r="D2937" s="15" t="s">
        <v>4657</v>
      </c>
      <c r="E2937" s="9" t="s">
        <v>4658</v>
      </c>
      <c r="F2937" s="8"/>
    </row>
    <row r="2938" ht="21.0" customHeight="1">
      <c r="A2938" s="6">
        <v>10.0</v>
      </c>
      <c r="B2938" s="6">
        <v>1060.0</v>
      </c>
      <c r="C2938" s="6">
        <v>10.0</v>
      </c>
      <c r="D2938" s="15" t="s">
        <v>4659</v>
      </c>
      <c r="E2938" s="9" t="s">
        <v>4660</v>
      </c>
      <c r="F2938" s="8"/>
    </row>
    <row r="2939" ht="21.0" customHeight="1">
      <c r="A2939" s="6">
        <v>11.0</v>
      </c>
      <c r="B2939" s="6">
        <v>1061.0</v>
      </c>
      <c r="C2939" s="6">
        <v>1.0</v>
      </c>
      <c r="D2939" s="15" t="s">
        <v>4661</v>
      </c>
      <c r="E2939" s="9" t="s">
        <v>4662</v>
      </c>
      <c r="F2939" s="8"/>
    </row>
    <row r="2940" ht="21.0" customHeight="1">
      <c r="A2940" s="6">
        <v>11.0</v>
      </c>
      <c r="B2940" s="6">
        <v>1061.0</v>
      </c>
      <c r="C2940" s="6">
        <v>2.0</v>
      </c>
      <c r="D2940" s="15" t="s">
        <v>4663</v>
      </c>
      <c r="E2940" s="9" t="s">
        <v>4664</v>
      </c>
      <c r="F2940" s="8"/>
    </row>
    <row r="2941" ht="21.0" customHeight="1">
      <c r="A2941" s="6">
        <v>11.0</v>
      </c>
      <c r="B2941" s="6">
        <v>1061.0</v>
      </c>
      <c r="C2941" s="6">
        <v>3.0</v>
      </c>
      <c r="D2941" s="15" t="s">
        <v>4665</v>
      </c>
      <c r="E2941" s="9" t="s">
        <v>4666</v>
      </c>
      <c r="F2941" s="8"/>
    </row>
    <row r="2942" ht="21.0" customHeight="1">
      <c r="A2942" s="6">
        <v>11.0</v>
      </c>
      <c r="B2942" s="6">
        <v>1061.0</v>
      </c>
      <c r="C2942" s="6">
        <v>4.0</v>
      </c>
      <c r="D2942" s="15" t="s">
        <v>4667</v>
      </c>
      <c r="E2942" s="9" t="s">
        <v>4668</v>
      </c>
      <c r="F2942" s="8"/>
    </row>
    <row r="2943" ht="21.0" customHeight="1">
      <c r="A2943" s="6">
        <v>10.0</v>
      </c>
      <c r="B2943" s="6">
        <v>1061.0</v>
      </c>
      <c r="C2943" s="6">
        <v>5.0</v>
      </c>
      <c r="D2943" s="9" t="s">
        <v>4669</v>
      </c>
      <c r="E2943" s="9" t="s">
        <v>4670</v>
      </c>
      <c r="F2943" s="8"/>
    </row>
    <row r="2944" ht="21.0" customHeight="1">
      <c r="A2944" s="6">
        <v>10.0</v>
      </c>
      <c r="B2944" s="6">
        <v>1061.0</v>
      </c>
      <c r="C2944" s="6">
        <v>6.0</v>
      </c>
      <c r="D2944" s="15" t="s">
        <v>4671</v>
      </c>
      <c r="E2944" s="9" t="s">
        <v>4672</v>
      </c>
      <c r="F2944" s="8"/>
    </row>
    <row r="2945" ht="21.0" customHeight="1">
      <c r="A2945" s="6">
        <v>10.0</v>
      </c>
      <c r="B2945" s="6">
        <v>1061.0</v>
      </c>
      <c r="C2945" s="6">
        <v>7.0</v>
      </c>
      <c r="D2945" s="15" t="s">
        <v>4673</v>
      </c>
      <c r="E2945" s="9" t="s">
        <v>4674</v>
      </c>
      <c r="F2945" s="8"/>
    </row>
    <row r="2946" ht="21.0" customHeight="1">
      <c r="A2946" s="6">
        <v>10.0</v>
      </c>
      <c r="B2946" s="6">
        <v>1061.0</v>
      </c>
      <c r="C2946" s="6">
        <v>8.0</v>
      </c>
      <c r="D2946" s="15" t="s">
        <v>4675</v>
      </c>
      <c r="E2946" s="9" t="s">
        <v>4676</v>
      </c>
      <c r="F2946" s="8"/>
    </row>
    <row r="2947" ht="21.0" customHeight="1">
      <c r="A2947" s="6">
        <v>10.0</v>
      </c>
      <c r="B2947" s="6">
        <v>1061.0</v>
      </c>
      <c r="C2947" s="6">
        <v>9.0</v>
      </c>
      <c r="D2947" s="15" t="s">
        <v>4677</v>
      </c>
      <c r="E2947" s="9" t="s">
        <v>4678</v>
      </c>
      <c r="F2947" s="8"/>
    </row>
    <row r="2948" ht="21.0" customHeight="1">
      <c r="A2948" s="6">
        <v>10.0</v>
      </c>
      <c r="B2948" s="6">
        <v>1061.0</v>
      </c>
      <c r="C2948" s="6">
        <v>10.0</v>
      </c>
      <c r="D2948" s="15" t="s">
        <v>4679</v>
      </c>
      <c r="E2948" s="9" t="s">
        <v>4660</v>
      </c>
      <c r="F2948" s="8"/>
    </row>
    <row r="2949" ht="21.0" customHeight="1">
      <c r="A2949" s="6">
        <v>1.0</v>
      </c>
      <c r="B2949" s="6">
        <v>234.0</v>
      </c>
      <c r="C2949" s="6">
        <v>1.0</v>
      </c>
      <c r="D2949" s="15" t="s">
        <v>4680</v>
      </c>
      <c r="E2949" s="9" t="s">
        <v>4681</v>
      </c>
      <c r="F2949" s="8"/>
    </row>
    <row r="2950" ht="21.0" customHeight="1">
      <c r="A2950" s="6">
        <v>1.0</v>
      </c>
      <c r="B2950" s="6">
        <v>234.0</v>
      </c>
      <c r="C2950" s="6">
        <v>2.0</v>
      </c>
      <c r="D2950" s="15" t="s">
        <v>4682</v>
      </c>
      <c r="E2950" s="9" t="s">
        <v>4683</v>
      </c>
      <c r="F2950" s="8"/>
    </row>
    <row r="2951" ht="21.0" customHeight="1">
      <c r="A2951" s="6">
        <v>1.0</v>
      </c>
      <c r="B2951" s="6">
        <v>234.0</v>
      </c>
      <c r="C2951" s="6">
        <v>3.0</v>
      </c>
      <c r="D2951" s="15" t="s">
        <v>4684</v>
      </c>
      <c r="E2951" s="9" t="s">
        <v>4685</v>
      </c>
      <c r="F2951" s="8"/>
    </row>
    <row r="2952" ht="21.0" customHeight="1">
      <c r="A2952" s="6">
        <v>1.0</v>
      </c>
      <c r="B2952" s="6">
        <v>234.0</v>
      </c>
      <c r="C2952" s="6">
        <v>4.0</v>
      </c>
      <c r="D2952" s="15" t="s">
        <v>4686</v>
      </c>
      <c r="E2952" s="9" t="s">
        <v>4687</v>
      </c>
      <c r="F2952" s="8"/>
    </row>
    <row r="2953" ht="21.0" customHeight="1">
      <c r="A2953" s="6">
        <v>1.0</v>
      </c>
      <c r="B2953" s="6">
        <v>234.0</v>
      </c>
      <c r="C2953" s="6">
        <v>5.0</v>
      </c>
      <c r="D2953" s="15" t="s">
        <v>4688</v>
      </c>
      <c r="E2953" s="9" t="s">
        <v>4689</v>
      </c>
      <c r="F2953" s="8"/>
    </row>
    <row r="2954" ht="21.0" customHeight="1">
      <c r="A2954" s="6">
        <v>1.0</v>
      </c>
      <c r="B2954" s="6">
        <v>234.0</v>
      </c>
      <c r="C2954" s="6">
        <v>6.0</v>
      </c>
      <c r="D2954" s="15" t="s">
        <v>4690</v>
      </c>
      <c r="E2954" s="9" t="s">
        <v>4691</v>
      </c>
      <c r="F2954" s="8"/>
    </row>
    <row r="2955" ht="21.0" customHeight="1">
      <c r="A2955" s="6">
        <v>1.0</v>
      </c>
      <c r="B2955" s="6">
        <v>234.0</v>
      </c>
      <c r="C2955" s="6">
        <v>7.0</v>
      </c>
      <c r="D2955" s="15" t="s">
        <v>4692</v>
      </c>
      <c r="E2955" s="9" t="s">
        <v>4693</v>
      </c>
      <c r="F2955" s="8"/>
    </row>
    <row r="2956" ht="21.0" customHeight="1">
      <c r="A2956" s="6">
        <v>1.0</v>
      </c>
      <c r="B2956" s="6">
        <v>234.0</v>
      </c>
      <c r="C2956" s="6">
        <v>8.0</v>
      </c>
      <c r="D2956" s="15" t="s">
        <v>4694</v>
      </c>
      <c r="E2956" s="9" t="s">
        <v>4695</v>
      </c>
      <c r="F2956" s="8"/>
    </row>
    <row r="2957" ht="21.0" customHeight="1">
      <c r="A2957" s="6">
        <v>1.0</v>
      </c>
      <c r="B2957" s="6">
        <v>234.0</v>
      </c>
      <c r="C2957" s="6">
        <v>9.0</v>
      </c>
      <c r="D2957" s="15" t="s">
        <v>4696</v>
      </c>
      <c r="E2957" s="9" t="s">
        <v>4697</v>
      </c>
      <c r="F2957" s="8"/>
    </row>
    <row r="2958" ht="21.0" customHeight="1">
      <c r="A2958" s="6">
        <v>1.0</v>
      </c>
      <c r="B2958" s="6">
        <v>234.0</v>
      </c>
      <c r="C2958" s="6">
        <v>10.0</v>
      </c>
      <c r="D2958" s="15" t="s">
        <v>4698</v>
      </c>
      <c r="E2958" s="9" t="s">
        <v>4699</v>
      </c>
      <c r="F2958" s="8"/>
    </row>
    <row r="2959" ht="21.0" customHeight="1">
      <c r="A2959" s="6">
        <v>1.0</v>
      </c>
      <c r="B2959" s="6">
        <v>234.0</v>
      </c>
      <c r="C2959" s="6">
        <v>11.0</v>
      </c>
      <c r="D2959" s="15" t="s">
        <v>4700</v>
      </c>
      <c r="E2959" s="9" t="s">
        <v>4701</v>
      </c>
      <c r="F2959" s="8"/>
    </row>
    <row r="2960" ht="21.0" customHeight="1">
      <c r="A2960" s="6">
        <v>1.0</v>
      </c>
      <c r="B2960" s="6">
        <v>234.0</v>
      </c>
      <c r="C2960" s="6">
        <v>12.0</v>
      </c>
      <c r="D2960" s="15" t="s">
        <v>4702</v>
      </c>
      <c r="E2960" s="9" t="s">
        <v>4703</v>
      </c>
      <c r="F2960" s="8"/>
    </row>
    <row r="2961" ht="21.0" customHeight="1">
      <c r="A2961" s="6">
        <v>1.0</v>
      </c>
      <c r="B2961" s="6">
        <v>234.0</v>
      </c>
      <c r="C2961" s="6">
        <v>13.0</v>
      </c>
      <c r="D2961" s="15" t="s">
        <v>4704</v>
      </c>
      <c r="E2961" s="9" t="s">
        <v>4705</v>
      </c>
      <c r="F2961" s="8"/>
    </row>
    <row r="2962" ht="21.0" customHeight="1">
      <c r="A2962" s="6">
        <v>1.0</v>
      </c>
      <c r="B2962" s="6">
        <v>235.0</v>
      </c>
      <c r="C2962" s="6">
        <v>1.0</v>
      </c>
      <c r="D2962" s="15" t="s">
        <v>4706</v>
      </c>
      <c r="E2962" s="9" t="s">
        <v>4707</v>
      </c>
      <c r="F2962" s="8"/>
    </row>
    <row r="2963" ht="21.0" customHeight="1">
      <c r="A2963" s="6">
        <v>1.0</v>
      </c>
      <c r="B2963" s="6">
        <v>235.0</v>
      </c>
      <c r="C2963" s="6">
        <v>2.0</v>
      </c>
      <c r="D2963" s="15" t="s">
        <v>4708</v>
      </c>
      <c r="E2963" s="9" t="s">
        <v>4709</v>
      </c>
      <c r="F2963" s="8"/>
    </row>
    <row r="2964" ht="21.0" customHeight="1">
      <c r="A2964" s="6">
        <v>1.0</v>
      </c>
      <c r="B2964" s="6">
        <v>235.0</v>
      </c>
      <c r="C2964" s="6">
        <v>3.0</v>
      </c>
      <c r="D2964" s="15" t="s">
        <v>4710</v>
      </c>
      <c r="E2964" s="9" t="s">
        <v>4711</v>
      </c>
      <c r="F2964" s="8"/>
    </row>
    <row r="2965" ht="21.0" customHeight="1">
      <c r="A2965" s="6">
        <v>1.0</v>
      </c>
      <c r="B2965" s="6">
        <v>235.0</v>
      </c>
      <c r="C2965" s="6">
        <v>4.0</v>
      </c>
      <c r="D2965" s="15" t="s">
        <v>4712</v>
      </c>
      <c r="E2965" s="9" t="s">
        <v>4713</v>
      </c>
      <c r="F2965" s="8"/>
    </row>
    <row r="2966" ht="21.0" customHeight="1">
      <c r="A2966" s="6">
        <v>1.0</v>
      </c>
      <c r="B2966" s="6">
        <v>235.0</v>
      </c>
      <c r="C2966" s="6">
        <v>5.0</v>
      </c>
      <c r="D2966" s="15" t="s">
        <v>4714</v>
      </c>
      <c r="E2966" s="9" t="s">
        <v>4715</v>
      </c>
      <c r="F2966" s="8"/>
    </row>
    <row r="2967" ht="21.0" customHeight="1">
      <c r="A2967" s="6">
        <v>1.0</v>
      </c>
      <c r="B2967" s="6">
        <v>235.0</v>
      </c>
      <c r="C2967" s="6">
        <v>6.0</v>
      </c>
      <c r="D2967" s="15" t="s">
        <v>4716</v>
      </c>
      <c r="E2967" s="9" t="s">
        <v>4717</v>
      </c>
      <c r="F2967" s="8"/>
    </row>
    <row r="2968" ht="21.0" customHeight="1">
      <c r="A2968" s="6">
        <v>1.0</v>
      </c>
      <c r="B2968" s="6">
        <v>235.0</v>
      </c>
      <c r="C2968" s="6">
        <v>7.0</v>
      </c>
      <c r="D2968" s="15" t="s">
        <v>4718</v>
      </c>
      <c r="E2968" s="9" t="s">
        <v>4719</v>
      </c>
      <c r="F2968" s="8"/>
    </row>
    <row r="2969" ht="21.0" customHeight="1">
      <c r="A2969" s="6">
        <v>1.0</v>
      </c>
      <c r="B2969" s="6">
        <v>235.0</v>
      </c>
      <c r="C2969" s="6">
        <v>8.0</v>
      </c>
      <c r="D2969" s="15" t="s">
        <v>4720</v>
      </c>
      <c r="E2969" s="9" t="s">
        <v>4721</v>
      </c>
      <c r="F2969" s="8"/>
    </row>
    <row r="2970" ht="21.0" customHeight="1">
      <c r="A2970" s="6">
        <v>1.0</v>
      </c>
      <c r="B2970" s="6">
        <v>235.0</v>
      </c>
      <c r="C2970" s="6">
        <v>9.0</v>
      </c>
      <c r="D2970" s="15" t="s">
        <v>4722</v>
      </c>
      <c r="E2970" s="9" t="s">
        <v>4723</v>
      </c>
      <c r="F2970" s="8"/>
    </row>
    <row r="2971" ht="21.0" customHeight="1">
      <c r="A2971" s="6">
        <v>1.0</v>
      </c>
      <c r="B2971" s="6">
        <v>235.0</v>
      </c>
      <c r="C2971" s="6">
        <v>10.0</v>
      </c>
      <c r="D2971" s="15" t="s">
        <v>4724</v>
      </c>
      <c r="E2971" s="9" t="s">
        <v>4725</v>
      </c>
      <c r="F2971" s="8"/>
    </row>
    <row r="2972" ht="21.0" customHeight="1">
      <c r="A2972" s="6">
        <v>1.0</v>
      </c>
      <c r="B2972" s="6">
        <v>235.0</v>
      </c>
      <c r="C2972" s="6">
        <v>11.0</v>
      </c>
      <c r="D2972" s="15" t="s">
        <v>4726</v>
      </c>
      <c r="E2972" s="9" t="s">
        <v>4727</v>
      </c>
      <c r="F2972" s="8"/>
    </row>
    <row r="2973" ht="21.0" customHeight="1">
      <c r="A2973" s="6">
        <v>1.0</v>
      </c>
      <c r="B2973" s="6">
        <v>235.0</v>
      </c>
      <c r="C2973" s="6">
        <v>12.0</v>
      </c>
      <c r="D2973" s="15" t="s">
        <v>4728</v>
      </c>
      <c r="E2973" s="9" t="s">
        <v>4729</v>
      </c>
      <c r="F2973" s="8"/>
    </row>
    <row r="2974" ht="21.0" customHeight="1">
      <c r="A2974" s="6">
        <v>1.0</v>
      </c>
      <c r="B2974" s="6">
        <v>235.0</v>
      </c>
      <c r="C2974" s="6">
        <v>13.0</v>
      </c>
      <c r="D2974" s="15" t="s">
        <v>4730</v>
      </c>
      <c r="E2974" s="9" t="s">
        <v>4731</v>
      </c>
      <c r="F2974" s="8"/>
    </row>
    <row r="2975" ht="21.0" customHeight="1">
      <c r="A2975" s="6">
        <v>1.0</v>
      </c>
      <c r="B2975" s="6">
        <v>236.0</v>
      </c>
      <c r="C2975" s="6">
        <v>1.0</v>
      </c>
      <c r="D2975" s="15" t="s">
        <v>4732</v>
      </c>
      <c r="E2975" s="9" t="s">
        <v>4733</v>
      </c>
      <c r="F2975" s="8"/>
    </row>
    <row r="2976" ht="21.0" customHeight="1">
      <c r="A2976" s="6">
        <v>1.0</v>
      </c>
      <c r="B2976" s="6">
        <v>236.0</v>
      </c>
      <c r="C2976" s="6">
        <v>2.0</v>
      </c>
      <c r="D2976" s="15" t="s">
        <v>4734</v>
      </c>
      <c r="E2976" s="9" t="s">
        <v>4735</v>
      </c>
      <c r="F2976" s="8"/>
    </row>
    <row r="2977" ht="21.0" customHeight="1">
      <c r="A2977" s="6">
        <v>1.0</v>
      </c>
      <c r="B2977" s="6">
        <v>236.0</v>
      </c>
      <c r="C2977" s="6">
        <v>3.0</v>
      </c>
      <c r="D2977" s="15" t="s">
        <v>4736</v>
      </c>
      <c r="E2977" s="9" t="s">
        <v>4737</v>
      </c>
      <c r="F2977" s="8"/>
    </row>
    <row r="2978" ht="21.0" customHeight="1">
      <c r="A2978" s="6">
        <v>1.0</v>
      </c>
      <c r="B2978" s="6">
        <v>236.0</v>
      </c>
      <c r="C2978" s="6">
        <v>4.0</v>
      </c>
      <c r="D2978" s="15" t="s">
        <v>4738</v>
      </c>
      <c r="E2978" s="9" t="s">
        <v>4739</v>
      </c>
      <c r="F2978" s="8"/>
    </row>
    <row r="2979" ht="21.0" customHeight="1">
      <c r="A2979" s="6">
        <v>1.0</v>
      </c>
      <c r="B2979" s="6">
        <v>236.0</v>
      </c>
      <c r="C2979" s="6">
        <v>5.0</v>
      </c>
      <c r="D2979" s="15" t="s">
        <v>4740</v>
      </c>
      <c r="E2979" s="9" t="s">
        <v>4741</v>
      </c>
      <c r="F2979" s="8"/>
    </row>
    <row r="2980" ht="21.0" customHeight="1">
      <c r="A2980" s="6">
        <v>1.0</v>
      </c>
      <c r="B2980" s="6">
        <v>236.0</v>
      </c>
      <c r="C2980" s="6">
        <v>6.0</v>
      </c>
      <c r="D2980" s="15" t="s">
        <v>4742</v>
      </c>
      <c r="E2980" s="9" t="s">
        <v>4743</v>
      </c>
      <c r="F2980" s="8"/>
    </row>
    <row r="2981" ht="21.0" customHeight="1">
      <c r="A2981" s="6">
        <v>1.0</v>
      </c>
      <c r="B2981" s="6">
        <v>236.0</v>
      </c>
      <c r="C2981" s="6">
        <v>7.0</v>
      </c>
      <c r="D2981" s="15" t="s">
        <v>4744</v>
      </c>
      <c r="E2981" s="9" t="s">
        <v>4745</v>
      </c>
      <c r="F2981" s="8"/>
    </row>
    <row r="2982" ht="21.0" customHeight="1">
      <c r="A2982" s="6">
        <v>1.0</v>
      </c>
      <c r="B2982" s="6">
        <v>236.0</v>
      </c>
      <c r="C2982" s="6">
        <v>8.0</v>
      </c>
      <c r="D2982" s="15" t="s">
        <v>4746</v>
      </c>
      <c r="E2982" s="9" t="s">
        <v>4747</v>
      </c>
      <c r="F2982" s="8"/>
    </row>
    <row r="2983" ht="21.0" customHeight="1">
      <c r="A2983" s="6">
        <v>1.0</v>
      </c>
      <c r="B2983" s="6">
        <v>236.0</v>
      </c>
      <c r="C2983" s="6">
        <v>9.0</v>
      </c>
      <c r="D2983" s="15" t="s">
        <v>4748</v>
      </c>
      <c r="E2983" s="9" t="s">
        <v>4749</v>
      </c>
      <c r="F2983" s="8"/>
    </row>
    <row r="2984" ht="21.0" customHeight="1">
      <c r="A2984" s="6">
        <v>1.0</v>
      </c>
      <c r="B2984" s="6">
        <v>236.0</v>
      </c>
      <c r="C2984" s="6">
        <v>10.0</v>
      </c>
      <c r="D2984" s="15" t="s">
        <v>4750</v>
      </c>
      <c r="E2984" s="9" t="s">
        <v>4751</v>
      </c>
      <c r="F2984" s="8"/>
    </row>
    <row r="2985" ht="21.0" customHeight="1">
      <c r="A2985" s="6">
        <v>1.0</v>
      </c>
      <c r="B2985" s="6">
        <v>236.0</v>
      </c>
      <c r="C2985" s="6">
        <v>11.0</v>
      </c>
      <c r="D2985" s="15" t="s">
        <v>4752</v>
      </c>
      <c r="E2985" s="9" t="s">
        <v>4753</v>
      </c>
      <c r="F2985" s="8"/>
    </row>
    <row r="2986" ht="21.0" customHeight="1">
      <c r="A2986" s="6">
        <v>1.0</v>
      </c>
      <c r="B2986" s="6">
        <v>236.0</v>
      </c>
      <c r="C2986" s="6">
        <v>12.0</v>
      </c>
      <c r="D2986" s="15" t="s">
        <v>4754</v>
      </c>
      <c r="E2986" s="9" t="s">
        <v>4755</v>
      </c>
      <c r="F2986" s="8"/>
    </row>
    <row r="2987" ht="21.0" customHeight="1">
      <c r="A2987" s="6">
        <v>1.0</v>
      </c>
      <c r="B2987" s="6">
        <v>236.0</v>
      </c>
      <c r="C2987" s="6">
        <v>13.0</v>
      </c>
      <c r="D2987" s="15" t="s">
        <v>4756</v>
      </c>
      <c r="E2987" s="9" t="s">
        <v>4757</v>
      </c>
      <c r="F2987" s="8"/>
    </row>
    <row r="2988" ht="21.0" customHeight="1">
      <c r="A2988" s="6">
        <v>11.0</v>
      </c>
      <c r="B2988" s="6">
        <v>1062.0</v>
      </c>
      <c r="C2988" s="6">
        <v>1.0</v>
      </c>
      <c r="D2988" s="15" t="s">
        <v>4758</v>
      </c>
      <c r="E2988" s="9" t="s">
        <v>4759</v>
      </c>
      <c r="F2988" s="8"/>
    </row>
    <row r="2989" ht="21.0" customHeight="1">
      <c r="A2989" s="6">
        <v>11.0</v>
      </c>
      <c r="B2989" s="6">
        <v>1062.0</v>
      </c>
      <c r="C2989" s="6">
        <v>2.0</v>
      </c>
      <c r="D2989" s="15" t="s">
        <v>4760</v>
      </c>
      <c r="E2989" s="9" t="s">
        <v>4761</v>
      </c>
      <c r="F2989" s="8"/>
    </row>
    <row r="2990" ht="21.0" customHeight="1">
      <c r="A2990" s="6">
        <v>11.0</v>
      </c>
      <c r="B2990" s="6">
        <v>1062.0</v>
      </c>
      <c r="C2990" s="6">
        <v>3.0</v>
      </c>
      <c r="D2990" s="15" t="s">
        <v>4762</v>
      </c>
      <c r="E2990" s="9" t="s">
        <v>4763</v>
      </c>
      <c r="F2990" s="8"/>
    </row>
    <row r="2991" ht="21.0" customHeight="1">
      <c r="A2991" s="6">
        <v>11.0</v>
      </c>
      <c r="B2991" s="6">
        <v>1062.0</v>
      </c>
      <c r="C2991" s="6">
        <v>4.0</v>
      </c>
      <c r="D2991" s="15" t="s">
        <v>4764</v>
      </c>
      <c r="E2991" s="9" t="s">
        <v>4765</v>
      </c>
      <c r="F2991" s="8"/>
    </row>
    <row r="2992" ht="21.0" customHeight="1">
      <c r="A2992" s="6">
        <v>10.0</v>
      </c>
      <c r="B2992" s="6">
        <v>1062.0</v>
      </c>
      <c r="C2992" s="6">
        <v>5.0</v>
      </c>
      <c r="D2992" s="9" t="s">
        <v>4766</v>
      </c>
      <c r="E2992" s="9" t="s">
        <v>4767</v>
      </c>
      <c r="F2992" s="8"/>
    </row>
    <row r="2993" ht="21.0" customHeight="1">
      <c r="A2993" s="6">
        <v>10.0</v>
      </c>
      <c r="B2993" s="6">
        <v>1062.0</v>
      </c>
      <c r="C2993" s="6">
        <v>6.0</v>
      </c>
      <c r="D2993" s="15" t="s">
        <v>4768</v>
      </c>
      <c r="E2993" s="9" t="s">
        <v>4769</v>
      </c>
      <c r="F2993" s="8"/>
    </row>
    <row r="2994" ht="21.0" customHeight="1">
      <c r="A2994" s="6">
        <v>10.0</v>
      </c>
      <c r="B2994" s="6">
        <v>1062.0</v>
      </c>
      <c r="C2994" s="6">
        <v>7.0</v>
      </c>
      <c r="D2994" s="15" t="s">
        <v>4770</v>
      </c>
      <c r="E2994" s="9" t="s">
        <v>4771</v>
      </c>
      <c r="F2994" s="8"/>
    </row>
    <row r="2995" ht="21.0" customHeight="1">
      <c r="A2995" s="6">
        <v>10.0</v>
      </c>
      <c r="B2995" s="6">
        <v>1062.0</v>
      </c>
      <c r="C2995" s="6">
        <v>8.0</v>
      </c>
      <c r="D2995" s="15" t="s">
        <v>4772</v>
      </c>
      <c r="E2995" s="9" t="s">
        <v>4773</v>
      </c>
      <c r="F2995" s="8"/>
    </row>
    <row r="2996" ht="21.0" customHeight="1">
      <c r="A2996" s="6">
        <v>10.0</v>
      </c>
      <c r="B2996" s="6">
        <v>1062.0</v>
      </c>
      <c r="C2996" s="6">
        <v>9.0</v>
      </c>
      <c r="D2996" s="15" t="s">
        <v>4774</v>
      </c>
      <c r="E2996" s="9" t="s">
        <v>4775</v>
      </c>
      <c r="F2996" s="8"/>
    </row>
    <row r="2997" ht="21.0" customHeight="1">
      <c r="A2997" s="6">
        <v>10.0</v>
      </c>
      <c r="B2997" s="6">
        <v>1062.0</v>
      </c>
      <c r="C2997" s="6">
        <v>10.0</v>
      </c>
      <c r="D2997" s="15" t="s">
        <v>4776</v>
      </c>
      <c r="E2997" s="9" t="s">
        <v>4777</v>
      </c>
      <c r="F2997" s="8"/>
    </row>
    <row r="2998" ht="21.0" customHeight="1">
      <c r="A2998" s="6">
        <v>11.0</v>
      </c>
      <c r="B2998" s="6">
        <v>1063.0</v>
      </c>
      <c r="C2998" s="6">
        <v>1.0</v>
      </c>
      <c r="D2998" s="15" t="s">
        <v>4778</v>
      </c>
      <c r="E2998" s="9" t="s">
        <v>4779</v>
      </c>
      <c r="F2998" s="8"/>
    </row>
    <row r="2999" ht="21.0" customHeight="1">
      <c r="A2999" s="6">
        <v>11.0</v>
      </c>
      <c r="B2999" s="6">
        <v>1063.0</v>
      </c>
      <c r="C2999" s="6">
        <v>2.0</v>
      </c>
      <c r="D2999" s="15" t="s">
        <v>4780</v>
      </c>
      <c r="E2999" s="9" t="s">
        <v>4781</v>
      </c>
      <c r="F2999" s="8"/>
    </row>
    <row r="3000" ht="21.0" customHeight="1">
      <c r="A3000" s="6">
        <v>11.0</v>
      </c>
      <c r="B3000" s="6">
        <v>1063.0</v>
      </c>
      <c r="C3000" s="6">
        <v>3.0</v>
      </c>
      <c r="D3000" s="15" t="s">
        <v>4782</v>
      </c>
      <c r="E3000" s="9" t="s">
        <v>4783</v>
      </c>
      <c r="F3000" s="8"/>
    </row>
    <row r="3001" ht="21.0" customHeight="1">
      <c r="A3001" s="6">
        <v>11.0</v>
      </c>
      <c r="B3001" s="6">
        <v>1063.0</v>
      </c>
      <c r="C3001" s="6">
        <v>4.0</v>
      </c>
      <c r="D3001" s="15" t="s">
        <v>4784</v>
      </c>
      <c r="E3001" s="9" t="s">
        <v>4785</v>
      </c>
      <c r="F3001" s="8"/>
    </row>
    <row r="3002" ht="21.0" customHeight="1">
      <c r="A3002" s="6">
        <v>10.0</v>
      </c>
      <c r="B3002" s="6">
        <v>1063.0</v>
      </c>
      <c r="C3002" s="6">
        <v>5.0</v>
      </c>
      <c r="D3002" s="9" t="s">
        <v>4786</v>
      </c>
      <c r="E3002" s="9" t="s">
        <v>4787</v>
      </c>
      <c r="F3002" s="8"/>
    </row>
    <row r="3003" ht="21.0" customHeight="1">
      <c r="A3003" s="6">
        <v>10.0</v>
      </c>
      <c r="B3003" s="6">
        <v>1063.0</v>
      </c>
      <c r="C3003" s="6">
        <v>6.0</v>
      </c>
      <c r="D3003" s="15" t="s">
        <v>4788</v>
      </c>
      <c r="E3003" s="9" t="s">
        <v>4789</v>
      </c>
      <c r="F3003" s="8"/>
    </row>
    <row r="3004" ht="21.0" customHeight="1">
      <c r="A3004" s="6">
        <v>10.0</v>
      </c>
      <c r="B3004" s="6">
        <v>1063.0</v>
      </c>
      <c r="C3004" s="6">
        <v>7.0</v>
      </c>
      <c r="D3004" s="15" t="s">
        <v>4790</v>
      </c>
      <c r="E3004" s="9" t="s">
        <v>4791</v>
      </c>
      <c r="F3004" s="8"/>
    </row>
    <row r="3005" ht="21.0" customHeight="1">
      <c r="A3005" s="6">
        <v>10.0</v>
      </c>
      <c r="B3005" s="6">
        <v>1063.0</v>
      </c>
      <c r="C3005" s="6">
        <v>8.0</v>
      </c>
      <c r="D3005" s="15" t="s">
        <v>4792</v>
      </c>
      <c r="E3005" s="9" t="s">
        <v>4793</v>
      </c>
      <c r="F3005" s="8"/>
    </row>
    <row r="3006" ht="21.0" customHeight="1">
      <c r="A3006" s="6">
        <v>10.0</v>
      </c>
      <c r="B3006" s="6">
        <v>1063.0</v>
      </c>
      <c r="C3006" s="6">
        <v>9.0</v>
      </c>
      <c r="D3006" s="15" t="s">
        <v>4794</v>
      </c>
      <c r="E3006" s="9" t="s">
        <v>4795</v>
      </c>
      <c r="F3006" s="8"/>
    </row>
    <row r="3007" ht="21.0" customHeight="1">
      <c r="A3007" s="6">
        <v>10.0</v>
      </c>
      <c r="B3007" s="6">
        <v>1063.0</v>
      </c>
      <c r="C3007" s="6">
        <v>10.0</v>
      </c>
      <c r="D3007" s="15" t="s">
        <v>4796</v>
      </c>
      <c r="E3007" s="9" t="s">
        <v>4777</v>
      </c>
      <c r="F3007" s="8"/>
    </row>
    <row r="3008" ht="21.0" customHeight="1">
      <c r="A3008" s="6">
        <v>1.0</v>
      </c>
      <c r="B3008" s="6">
        <v>237.0</v>
      </c>
      <c r="C3008" s="6">
        <v>1.0</v>
      </c>
      <c r="D3008" s="15" t="s">
        <v>4797</v>
      </c>
      <c r="E3008" s="9" t="s">
        <v>4798</v>
      </c>
      <c r="F3008" s="8"/>
    </row>
    <row r="3009" ht="21.0" customHeight="1">
      <c r="A3009" s="6">
        <v>1.0</v>
      </c>
      <c r="B3009" s="6">
        <v>237.0</v>
      </c>
      <c r="C3009" s="6">
        <v>2.0</v>
      </c>
      <c r="D3009" s="15" t="s">
        <v>4799</v>
      </c>
      <c r="E3009" s="9" t="s">
        <v>4800</v>
      </c>
      <c r="F3009" s="8"/>
    </row>
    <row r="3010" ht="21.0" customHeight="1">
      <c r="A3010" s="6">
        <v>1.0</v>
      </c>
      <c r="B3010" s="6">
        <v>237.0</v>
      </c>
      <c r="C3010" s="6">
        <v>3.0</v>
      </c>
      <c r="D3010" s="15" t="s">
        <v>4801</v>
      </c>
      <c r="E3010" s="9" t="s">
        <v>4802</v>
      </c>
      <c r="F3010" s="8"/>
    </row>
    <row r="3011" ht="21.0" customHeight="1">
      <c r="A3011" s="6">
        <v>1.0</v>
      </c>
      <c r="B3011" s="6">
        <v>237.0</v>
      </c>
      <c r="C3011" s="6">
        <v>4.0</v>
      </c>
      <c r="D3011" s="15" t="s">
        <v>4803</v>
      </c>
      <c r="E3011" s="9" t="s">
        <v>4804</v>
      </c>
      <c r="F3011" s="8"/>
    </row>
    <row r="3012" ht="21.0" customHeight="1">
      <c r="A3012" s="6">
        <v>1.0</v>
      </c>
      <c r="B3012" s="6">
        <v>237.0</v>
      </c>
      <c r="C3012" s="6">
        <v>5.0</v>
      </c>
      <c r="D3012" s="9" t="s">
        <v>4805</v>
      </c>
      <c r="E3012" s="9" t="s">
        <v>4806</v>
      </c>
      <c r="F3012" s="8"/>
    </row>
    <row r="3013" ht="21.0" customHeight="1">
      <c r="A3013" s="6">
        <v>1.0</v>
      </c>
      <c r="B3013" s="6">
        <v>237.0</v>
      </c>
      <c r="C3013" s="6">
        <v>6.0</v>
      </c>
      <c r="D3013" s="15" t="s">
        <v>4807</v>
      </c>
      <c r="E3013" s="9" t="s">
        <v>4808</v>
      </c>
      <c r="F3013" s="8"/>
    </row>
    <row r="3014" ht="21.0" customHeight="1">
      <c r="A3014" s="6">
        <v>1.0</v>
      </c>
      <c r="B3014" s="6">
        <v>237.0</v>
      </c>
      <c r="C3014" s="6">
        <v>7.0</v>
      </c>
      <c r="D3014" s="15" t="s">
        <v>4809</v>
      </c>
      <c r="E3014" s="9" t="s">
        <v>4810</v>
      </c>
      <c r="F3014" s="8"/>
    </row>
    <row r="3015" ht="21.0" customHeight="1">
      <c r="A3015" s="6">
        <v>1.0</v>
      </c>
      <c r="B3015" s="6">
        <v>237.0</v>
      </c>
      <c r="C3015" s="6">
        <v>8.0</v>
      </c>
      <c r="D3015" s="15" t="s">
        <v>4811</v>
      </c>
      <c r="E3015" s="9" t="s">
        <v>4812</v>
      </c>
      <c r="F3015" s="8"/>
    </row>
    <row r="3016" ht="21.0" customHeight="1">
      <c r="A3016" s="6">
        <v>1.0</v>
      </c>
      <c r="B3016" s="6">
        <v>237.0</v>
      </c>
      <c r="C3016" s="6">
        <v>9.0</v>
      </c>
      <c r="D3016" s="15" t="s">
        <v>4813</v>
      </c>
      <c r="E3016" s="9" t="s">
        <v>4814</v>
      </c>
      <c r="F3016" s="8"/>
    </row>
    <row r="3017" ht="21.0" customHeight="1">
      <c r="A3017" s="6">
        <v>1.0</v>
      </c>
      <c r="B3017" s="6">
        <v>237.0</v>
      </c>
      <c r="C3017" s="6">
        <v>10.0</v>
      </c>
      <c r="D3017" s="15" t="s">
        <v>4815</v>
      </c>
      <c r="E3017" s="9" t="s">
        <v>4816</v>
      </c>
      <c r="F3017" s="8"/>
    </row>
    <row r="3018" ht="21.0" customHeight="1">
      <c r="A3018" s="6">
        <v>1.0</v>
      </c>
      <c r="B3018" s="6">
        <v>237.0</v>
      </c>
      <c r="C3018" s="6">
        <v>11.0</v>
      </c>
      <c r="D3018" s="15" t="s">
        <v>4817</v>
      </c>
      <c r="E3018" s="9" t="s">
        <v>4818</v>
      </c>
      <c r="F3018" s="8"/>
    </row>
    <row r="3019" ht="21.0" customHeight="1">
      <c r="A3019" s="6">
        <v>1.0</v>
      </c>
      <c r="B3019" s="6">
        <v>237.0</v>
      </c>
      <c r="C3019" s="6">
        <v>12.0</v>
      </c>
      <c r="D3019" s="15" t="s">
        <v>4819</v>
      </c>
      <c r="E3019" s="9" t="s">
        <v>4820</v>
      </c>
      <c r="F3019" s="8"/>
    </row>
    <row r="3020" ht="21.0" customHeight="1">
      <c r="A3020" s="6">
        <v>1.0</v>
      </c>
      <c r="B3020" s="6">
        <v>237.0</v>
      </c>
      <c r="C3020" s="6">
        <v>13.0</v>
      </c>
      <c r="D3020" s="15" t="s">
        <v>4821</v>
      </c>
      <c r="E3020" s="9" t="s">
        <v>4822</v>
      </c>
      <c r="F3020" s="8"/>
    </row>
    <row r="3021" ht="21.0" customHeight="1">
      <c r="A3021" s="6">
        <v>1.0</v>
      </c>
      <c r="B3021" s="6">
        <v>238.0</v>
      </c>
      <c r="C3021" s="6">
        <v>1.0</v>
      </c>
      <c r="D3021" s="9" t="s">
        <v>4823</v>
      </c>
      <c r="E3021" s="9" t="s">
        <v>4824</v>
      </c>
      <c r="F3021" s="8"/>
    </row>
    <row r="3022" ht="21.0" customHeight="1">
      <c r="A3022" s="6">
        <v>1.0</v>
      </c>
      <c r="B3022" s="6">
        <v>238.0</v>
      </c>
      <c r="C3022" s="6">
        <v>2.0</v>
      </c>
      <c r="D3022" s="9" t="s">
        <v>4825</v>
      </c>
      <c r="E3022" s="9" t="s">
        <v>4826</v>
      </c>
      <c r="F3022" s="8"/>
    </row>
    <row r="3023" ht="21.0" customHeight="1">
      <c r="A3023" s="6">
        <v>1.0</v>
      </c>
      <c r="B3023" s="6">
        <v>238.0</v>
      </c>
      <c r="C3023" s="6">
        <v>3.0</v>
      </c>
      <c r="D3023" s="9" t="s">
        <v>4827</v>
      </c>
      <c r="E3023" s="9" t="s">
        <v>4828</v>
      </c>
      <c r="F3023" s="8"/>
    </row>
    <row r="3024" ht="21.0" customHeight="1">
      <c r="A3024" s="6">
        <v>1.0</v>
      </c>
      <c r="B3024" s="6">
        <v>238.0</v>
      </c>
      <c r="C3024" s="6">
        <v>4.0</v>
      </c>
      <c r="D3024" s="9" t="s">
        <v>4829</v>
      </c>
      <c r="E3024" s="9" t="s">
        <v>4830</v>
      </c>
      <c r="F3024" s="8"/>
    </row>
    <row r="3025" ht="21.0" customHeight="1">
      <c r="A3025" s="6">
        <v>1.0</v>
      </c>
      <c r="B3025" s="6">
        <v>238.0</v>
      </c>
      <c r="C3025" s="6">
        <v>5.0</v>
      </c>
      <c r="D3025" s="9" t="s">
        <v>4831</v>
      </c>
      <c r="E3025" s="9" t="s">
        <v>4832</v>
      </c>
      <c r="F3025" s="8"/>
    </row>
    <row r="3026" ht="21.0" customHeight="1">
      <c r="A3026" s="6">
        <v>1.0</v>
      </c>
      <c r="B3026" s="6">
        <v>238.0</v>
      </c>
      <c r="C3026" s="6">
        <v>6.0</v>
      </c>
      <c r="D3026" s="9" t="s">
        <v>4833</v>
      </c>
      <c r="E3026" s="9" t="s">
        <v>4834</v>
      </c>
      <c r="F3026" s="8"/>
    </row>
    <row r="3027" ht="21.0" customHeight="1">
      <c r="A3027" s="6">
        <v>1.0</v>
      </c>
      <c r="B3027" s="6">
        <v>238.0</v>
      </c>
      <c r="C3027" s="6">
        <v>7.0</v>
      </c>
      <c r="D3027" s="9" t="s">
        <v>4835</v>
      </c>
      <c r="E3027" s="9" t="s">
        <v>4836</v>
      </c>
      <c r="F3027" s="8"/>
    </row>
    <row r="3028" ht="21.0" customHeight="1">
      <c r="A3028" s="6">
        <v>1.0</v>
      </c>
      <c r="B3028" s="6">
        <v>238.0</v>
      </c>
      <c r="C3028" s="6">
        <v>8.0</v>
      </c>
      <c r="D3028" s="9" t="s">
        <v>4837</v>
      </c>
      <c r="E3028" s="9" t="s">
        <v>4838</v>
      </c>
      <c r="F3028" s="8"/>
    </row>
    <row r="3029" ht="21.0" customHeight="1">
      <c r="A3029" s="6">
        <v>1.0</v>
      </c>
      <c r="B3029" s="6">
        <v>238.0</v>
      </c>
      <c r="C3029" s="6">
        <v>9.0</v>
      </c>
      <c r="D3029" s="9" t="s">
        <v>4839</v>
      </c>
      <c r="E3029" s="9" t="s">
        <v>4840</v>
      </c>
      <c r="F3029" s="8"/>
    </row>
    <row r="3030" ht="21.0" customHeight="1">
      <c r="A3030" s="6">
        <v>1.0</v>
      </c>
      <c r="B3030" s="6">
        <v>238.0</v>
      </c>
      <c r="C3030" s="6">
        <v>10.0</v>
      </c>
      <c r="D3030" s="9" t="s">
        <v>4841</v>
      </c>
      <c r="E3030" s="9" t="s">
        <v>4842</v>
      </c>
      <c r="F3030" s="8"/>
    </row>
    <row r="3031" ht="21.0" customHeight="1">
      <c r="A3031" s="6">
        <v>1.0</v>
      </c>
      <c r="B3031" s="6">
        <v>238.0</v>
      </c>
      <c r="C3031" s="6">
        <v>11.0</v>
      </c>
      <c r="D3031" s="9" t="s">
        <v>4843</v>
      </c>
      <c r="E3031" s="9" t="s">
        <v>4844</v>
      </c>
      <c r="F3031" s="8"/>
    </row>
    <row r="3032" ht="21.0" customHeight="1">
      <c r="A3032" s="6">
        <v>1.0</v>
      </c>
      <c r="B3032" s="6">
        <v>238.0</v>
      </c>
      <c r="C3032" s="6">
        <v>12.0</v>
      </c>
      <c r="D3032" s="9" t="s">
        <v>4845</v>
      </c>
      <c r="E3032" s="9" t="s">
        <v>4846</v>
      </c>
      <c r="F3032" s="8"/>
    </row>
    <row r="3033" ht="21.0" customHeight="1">
      <c r="A3033" s="6">
        <v>1.0</v>
      </c>
      <c r="B3033" s="6">
        <v>238.0</v>
      </c>
      <c r="C3033" s="6">
        <v>13.0</v>
      </c>
      <c r="D3033" s="9" t="s">
        <v>4847</v>
      </c>
      <c r="E3033" s="9" t="s">
        <v>4848</v>
      </c>
      <c r="F3033" s="8"/>
    </row>
    <row r="3034" ht="21.0" customHeight="1">
      <c r="A3034" s="6">
        <v>1.0</v>
      </c>
      <c r="B3034" s="6">
        <v>239.0</v>
      </c>
      <c r="C3034" s="6">
        <v>1.0</v>
      </c>
      <c r="D3034" s="15" t="s">
        <v>4849</v>
      </c>
      <c r="E3034" s="9" t="s">
        <v>4850</v>
      </c>
      <c r="F3034" s="8"/>
    </row>
    <row r="3035" ht="21.0" customHeight="1">
      <c r="A3035" s="6">
        <v>1.0</v>
      </c>
      <c r="B3035" s="6">
        <v>239.0</v>
      </c>
      <c r="C3035" s="6">
        <v>2.0</v>
      </c>
      <c r="D3035" s="15" t="s">
        <v>4851</v>
      </c>
      <c r="E3035" s="9" t="s">
        <v>4852</v>
      </c>
      <c r="F3035" s="8"/>
    </row>
    <row r="3036" ht="21.0" customHeight="1">
      <c r="A3036" s="6">
        <v>1.0</v>
      </c>
      <c r="B3036" s="6">
        <v>239.0</v>
      </c>
      <c r="C3036" s="6">
        <v>3.0</v>
      </c>
      <c r="D3036" s="15" t="s">
        <v>4853</v>
      </c>
      <c r="E3036" s="9" t="s">
        <v>4854</v>
      </c>
      <c r="F3036" s="8"/>
    </row>
    <row r="3037" ht="21.0" customHeight="1">
      <c r="A3037" s="6">
        <v>1.0</v>
      </c>
      <c r="B3037" s="6">
        <v>239.0</v>
      </c>
      <c r="C3037" s="6">
        <v>4.0</v>
      </c>
      <c r="D3037" s="15" t="s">
        <v>4855</v>
      </c>
      <c r="E3037" s="9" t="s">
        <v>4856</v>
      </c>
      <c r="F3037" s="8"/>
    </row>
    <row r="3038" ht="21.0" customHeight="1">
      <c r="A3038" s="6">
        <v>1.0</v>
      </c>
      <c r="B3038" s="6">
        <v>239.0</v>
      </c>
      <c r="C3038" s="6">
        <v>5.0</v>
      </c>
      <c r="D3038" s="15" t="s">
        <v>4857</v>
      </c>
      <c r="E3038" s="9" t="s">
        <v>4858</v>
      </c>
      <c r="F3038" s="8"/>
    </row>
    <row r="3039" ht="21.0" customHeight="1">
      <c r="A3039" s="6">
        <v>1.0</v>
      </c>
      <c r="B3039" s="6">
        <v>239.0</v>
      </c>
      <c r="C3039" s="6">
        <v>6.0</v>
      </c>
      <c r="D3039" s="15" t="s">
        <v>4859</v>
      </c>
      <c r="E3039" s="9" t="s">
        <v>4860</v>
      </c>
      <c r="F3039" s="8"/>
    </row>
    <row r="3040" ht="21.0" customHeight="1">
      <c r="A3040" s="6">
        <v>1.0</v>
      </c>
      <c r="B3040" s="6">
        <v>239.0</v>
      </c>
      <c r="C3040" s="6">
        <v>7.0</v>
      </c>
      <c r="D3040" s="15" t="s">
        <v>4861</v>
      </c>
      <c r="E3040" s="9" t="s">
        <v>4862</v>
      </c>
      <c r="F3040" s="8"/>
    </row>
    <row r="3041" ht="21.0" customHeight="1">
      <c r="A3041" s="6">
        <v>1.0</v>
      </c>
      <c r="B3041" s="6">
        <v>239.0</v>
      </c>
      <c r="C3041" s="6">
        <v>8.0</v>
      </c>
      <c r="D3041" s="15" t="s">
        <v>4863</v>
      </c>
      <c r="E3041" s="9" t="s">
        <v>4864</v>
      </c>
      <c r="F3041" s="8"/>
    </row>
    <row r="3042" ht="21.0" customHeight="1">
      <c r="A3042" s="6">
        <v>1.0</v>
      </c>
      <c r="B3042" s="6">
        <v>239.0</v>
      </c>
      <c r="C3042" s="6">
        <v>9.0</v>
      </c>
      <c r="D3042" s="15" t="s">
        <v>4865</v>
      </c>
      <c r="E3042" s="9" t="s">
        <v>4866</v>
      </c>
      <c r="F3042" s="8"/>
    </row>
    <row r="3043" ht="21.0" customHeight="1">
      <c r="A3043" s="6">
        <v>1.0</v>
      </c>
      <c r="B3043" s="6">
        <v>239.0</v>
      </c>
      <c r="C3043" s="6">
        <v>10.0</v>
      </c>
      <c r="D3043" s="15" t="s">
        <v>4867</v>
      </c>
      <c r="E3043" s="9" t="s">
        <v>4868</v>
      </c>
      <c r="F3043" s="8"/>
    </row>
    <row r="3044" ht="21.0" customHeight="1">
      <c r="A3044" s="6">
        <v>1.0</v>
      </c>
      <c r="B3044" s="6">
        <v>239.0</v>
      </c>
      <c r="C3044" s="6">
        <v>11.0</v>
      </c>
      <c r="D3044" s="15" t="s">
        <v>4869</v>
      </c>
      <c r="E3044" s="9" t="s">
        <v>4870</v>
      </c>
      <c r="F3044" s="8"/>
    </row>
    <row r="3045" ht="21.0" customHeight="1">
      <c r="A3045" s="6">
        <v>1.0</v>
      </c>
      <c r="B3045" s="6">
        <v>239.0</v>
      </c>
      <c r="C3045" s="6">
        <v>12.0</v>
      </c>
      <c r="D3045" s="15" t="s">
        <v>4871</v>
      </c>
      <c r="E3045" s="9" t="s">
        <v>4872</v>
      </c>
      <c r="F3045" s="8"/>
    </row>
    <row r="3046" ht="21.0" customHeight="1">
      <c r="A3046" s="6">
        <v>1.0</v>
      </c>
      <c r="B3046" s="6">
        <v>239.0</v>
      </c>
      <c r="C3046" s="6">
        <v>13.0</v>
      </c>
      <c r="D3046" s="15" t="s">
        <v>4873</v>
      </c>
      <c r="E3046" s="9" t="s">
        <v>4874</v>
      </c>
      <c r="F3046" s="8"/>
    </row>
    <row r="3047" ht="21.0" customHeight="1">
      <c r="A3047" s="6">
        <v>11.0</v>
      </c>
      <c r="B3047" s="6">
        <v>1065.0</v>
      </c>
      <c r="C3047" s="6">
        <v>1.0</v>
      </c>
      <c r="D3047" s="15" t="s">
        <v>4875</v>
      </c>
      <c r="E3047" s="9" t="s">
        <v>4876</v>
      </c>
      <c r="F3047" s="8"/>
    </row>
    <row r="3048" ht="21.0" customHeight="1">
      <c r="A3048" s="6">
        <v>11.0</v>
      </c>
      <c r="B3048" s="6">
        <v>1065.0</v>
      </c>
      <c r="C3048" s="6">
        <v>2.0</v>
      </c>
      <c r="D3048" s="15" t="s">
        <v>4877</v>
      </c>
      <c r="E3048" s="9" t="s">
        <v>4878</v>
      </c>
      <c r="F3048" s="8"/>
    </row>
    <row r="3049" ht="21.0" customHeight="1">
      <c r="A3049" s="6">
        <v>11.0</v>
      </c>
      <c r="B3049" s="6">
        <v>1065.0</v>
      </c>
      <c r="C3049" s="6">
        <v>3.0</v>
      </c>
      <c r="D3049" s="15" t="s">
        <v>4879</v>
      </c>
      <c r="E3049" s="9" t="s">
        <v>4880</v>
      </c>
      <c r="F3049" s="8"/>
    </row>
    <row r="3050" ht="21.0" customHeight="1">
      <c r="A3050" s="6">
        <v>11.0</v>
      </c>
      <c r="B3050" s="6">
        <v>1065.0</v>
      </c>
      <c r="C3050" s="6">
        <v>4.0</v>
      </c>
      <c r="D3050" s="15" t="s">
        <v>4881</v>
      </c>
      <c r="E3050" s="9" t="s">
        <v>4882</v>
      </c>
      <c r="F3050" s="8"/>
    </row>
    <row r="3051" ht="21.0" customHeight="1">
      <c r="A3051" s="6">
        <v>10.0</v>
      </c>
      <c r="B3051" s="6">
        <v>1065.0</v>
      </c>
      <c r="C3051" s="6">
        <v>5.0</v>
      </c>
      <c r="D3051" s="15" t="s">
        <v>4883</v>
      </c>
      <c r="E3051" s="9" t="s">
        <v>4884</v>
      </c>
      <c r="F3051" s="8"/>
    </row>
    <row r="3052" ht="21.0" customHeight="1">
      <c r="A3052" s="6">
        <v>10.0</v>
      </c>
      <c r="B3052" s="6">
        <v>1065.0</v>
      </c>
      <c r="C3052" s="6">
        <v>6.0</v>
      </c>
      <c r="D3052" s="15" t="s">
        <v>4885</v>
      </c>
      <c r="E3052" s="9" t="s">
        <v>4886</v>
      </c>
      <c r="F3052" s="8"/>
    </row>
    <row r="3053" ht="21.0" customHeight="1">
      <c r="A3053" s="6">
        <v>10.0</v>
      </c>
      <c r="B3053" s="6">
        <v>1065.0</v>
      </c>
      <c r="C3053" s="6">
        <v>7.0</v>
      </c>
      <c r="D3053" s="15" t="s">
        <v>4887</v>
      </c>
      <c r="E3053" s="9" t="s">
        <v>4888</v>
      </c>
      <c r="F3053" s="8"/>
    </row>
    <row r="3054" ht="21.0" customHeight="1">
      <c r="A3054" s="6">
        <v>10.0</v>
      </c>
      <c r="B3054" s="6">
        <v>1065.0</v>
      </c>
      <c r="C3054" s="6">
        <v>8.0</v>
      </c>
      <c r="D3054" s="15" t="s">
        <v>4889</v>
      </c>
      <c r="E3054" s="9" t="s">
        <v>4890</v>
      </c>
      <c r="F3054" s="8"/>
    </row>
    <row r="3055" ht="21.0" customHeight="1">
      <c r="A3055" s="6">
        <v>10.0</v>
      </c>
      <c r="B3055" s="6">
        <v>1065.0</v>
      </c>
      <c r="C3055" s="6">
        <v>9.0</v>
      </c>
      <c r="D3055" s="15" t="s">
        <v>4891</v>
      </c>
      <c r="E3055" s="9" t="s">
        <v>4892</v>
      </c>
      <c r="F3055" s="8"/>
    </row>
    <row r="3056" ht="21.0" customHeight="1">
      <c r="A3056" s="6">
        <v>10.0</v>
      </c>
      <c r="B3056" s="6">
        <v>1065.0</v>
      </c>
      <c r="C3056" s="6">
        <v>10.0</v>
      </c>
      <c r="D3056" s="15" t="s">
        <v>4893</v>
      </c>
      <c r="E3056" s="9" t="s">
        <v>4894</v>
      </c>
      <c r="F3056" s="8"/>
    </row>
    <row r="3057" ht="21.0" customHeight="1">
      <c r="A3057" s="6">
        <v>11.0</v>
      </c>
      <c r="B3057" s="6">
        <v>1066.0</v>
      </c>
      <c r="C3057" s="6">
        <v>1.0</v>
      </c>
      <c r="D3057" s="15" t="s">
        <v>4895</v>
      </c>
      <c r="E3057" s="9" t="s">
        <v>4896</v>
      </c>
      <c r="F3057" s="8"/>
    </row>
    <row r="3058" ht="21.0" customHeight="1">
      <c r="A3058" s="6">
        <v>11.0</v>
      </c>
      <c r="B3058" s="6">
        <v>1066.0</v>
      </c>
      <c r="C3058" s="6">
        <v>2.0</v>
      </c>
      <c r="D3058" s="15" t="s">
        <v>4897</v>
      </c>
      <c r="E3058" s="9" t="s">
        <v>4898</v>
      </c>
      <c r="F3058" s="8"/>
    </row>
    <row r="3059" ht="21.0" customHeight="1">
      <c r="A3059" s="6">
        <v>11.0</v>
      </c>
      <c r="B3059" s="6">
        <v>1066.0</v>
      </c>
      <c r="C3059" s="6">
        <v>3.0</v>
      </c>
      <c r="D3059" s="15" t="s">
        <v>4899</v>
      </c>
      <c r="E3059" s="9" t="s">
        <v>4900</v>
      </c>
      <c r="F3059" s="8"/>
    </row>
    <row r="3060" ht="21.0" customHeight="1">
      <c r="A3060" s="6">
        <v>11.0</v>
      </c>
      <c r="B3060" s="6">
        <v>1066.0</v>
      </c>
      <c r="C3060" s="6">
        <v>4.0</v>
      </c>
      <c r="D3060" s="15" t="s">
        <v>4901</v>
      </c>
      <c r="E3060" s="9" t="s">
        <v>4902</v>
      </c>
      <c r="F3060" s="8"/>
    </row>
    <row r="3061" ht="21.0" customHeight="1">
      <c r="A3061" s="6">
        <v>10.0</v>
      </c>
      <c r="B3061" s="6">
        <v>1066.0</v>
      </c>
      <c r="C3061" s="6">
        <v>5.0</v>
      </c>
      <c r="D3061" s="15" t="s">
        <v>4903</v>
      </c>
      <c r="E3061" s="9" t="s">
        <v>4904</v>
      </c>
      <c r="F3061" s="8"/>
    </row>
    <row r="3062" ht="21.0" customHeight="1">
      <c r="A3062" s="6">
        <v>10.0</v>
      </c>
      <c r="B3062" s="6">
        <v>1066.0</v>
      </c>
      <c r="C3062" s="6">
        <v>6.0</v>
      </c>
      <c r="D3062" s="15" t="s">
        <v>4905</v>
      </c>
      <c r="E3062" s="9" t="s">
        <v>4906</v>
      </c>
      <c r="F3062" s="8"/>
    </row>
    <row r="3063" ht="21.0" customHeight="1">
      <c r="A3063" s="6">
        <v>10.0</v>
      </c>
      <c r="B3063" s="6">
        <v>1066.0</v>
      </c>
      <c r="C3063" s="6">
        <v>7.0</v>
      </c>
      <c r="D3063" s="15" t="s">
        <v>4907</v>
      </c>
      <c r="E3063" s="9" t="s">
        <v>4908</v>
      </c>
      <c r="F3063" s="8"/>
    </row>
    <row r="3064" ht="21.0" customHeight="1">
      <c r="A3064" s="6">
        <v>10.0</v>
      </c>
      <c r="B3064" s="6">
        <v>1066.0</v>
      </c>
      <c r="C3064" s="6">
        <v>8.0</v>
      </c>
      <c r="D3064" s="15" t="s">
        <v>4909</v>
      </c>
      <c r="E3064" s="9" t="s">
        <v>4910</v>
      </c>
      <c r="F3064" s="8"/>
    </row>
    <row r="3065" ht="21.0" customHeight="1">
      <c r="A3065" s="6">
        <v>10.0</v>
      </c>
      <c r="B3065" s="6">
        <v>1066.0</v>
      </c>
      <c r="C3065" s="6">
        <v>9.0</v>
      </c>
      <c r="D3065" s="15" t="s">
        <v>4911</v>
      </c>
      <c r="E3065" s="9" t="s">
        <v>4912</v>
      </c>
      <c r="F3065" s="8"/>
    </row>
    <row r="3066" ht="21.0" customHeight="1">
      <c r="A3066" s="6">
        <v>10.0</v>
      </c>
      <c r="B3066" s="6">
        <v>1066.0</v>
      </c>
      <c r="C3066" s="6">
        <v>10.0</v>
      </c>
      <c r="D3066" s="15" t="s">
        <v>4913</v>
      </c>
      <c r="E3066" s="9" t="s">
        <v>4894</v>
      </c>
      <c r="F3066" s="8"/>
    </row>
    <row r="3067" ht="21.0" customHeight="1">
      <c r="A3067" s="6">
        <v>1.0</v>
      </c>
      <c r="B3067" s="6">
        <v>242.0</v>
      </c>
      <c r="C3067" s="6">
        <v>1.0</v>
      </c>
      <c r="D3067" s="15" t="s">
        <v>4914</v>
      </c>
      <c r="E3067" s="9" t="s">
        <v>4915</v>
      </c>
      <c r="F3067" s="8"/>
    </row>
    <row r="3068" ht="21.0" customHeight="1">
      <c r="A3068" s="6">
        <v>1.0</v>
      </c>
      <c r="B3068" s="6">
        <v>242.0</v>
      </c>
      <c r="C3068" s="6">
        <v>2.0</v>
      </c>
      <c r="D3068" s="15" t="s">
        <v>4916</v>
      </c>
      <c r="E3068" s="9" t="s">
        <v>4917</v>
      </c>
      <c r="F3068" s="8"/>
    </row>
    <row r="3069" ht="21.0" customHeight="1">
      <c r="A3069" s="6">
        <v>1.0</v>
      </c>
      <c r="B3069" s="6">
        <v>242.0</v>
      </c>
      <c r="C3069" s="6">
        <v>3.0</v>
      </c>
      <c r="D3069" s="15" t="s">
        <v>4918</v>
      </c>
      <c r="E3069" s="9" t="s">
        <v>4919</v>
      </c>
      <c r="F3069" s="8"/>
    </row>
    <row r="3070" ht="21.0" customHeight="1">
      <c r="A3070" s="6">
        <v>1.0</v>
      </c>
      <c r="B3070" s="6">
        <v>242.0</v>
      </c>
      <c r="C3070" s="6">
        <v>4.0</v>
      </c>
      <c r="D3070" s="15" t="s">
        <v>4920</v>
      </c>
      <c r="E3070" s="9" t="s">
        <v>4921</v>
      </c>
      <c r="F3070" s="8"/>
    </row>
    <row r="3071" ht="21.0" customHeight="1">
      <c r="A3071" s="6">
        <v>1.0</v>
      </c>
      <c r="B3071" s="6">
        <v>242.0</v>
      </c>
      <c r="C3071" s="6">
        <v>5.0</v>
      </c>
      <c r="D3071" s="15" t="s">
        <v>4922</v>
      </c>
      <c r="E3071" s="9" t="s">
        <v>4923</v>
      </c>
      <c r="F3071" s="8"/>
    </row>
    <row r="3072" ht="21.0" customHeight="1">
      <c r="A3072" s="6">
        <v>1.0</v>
      </c>
      <c r="B3072" s="6">
        <v>242.0</v>
      </c>
      <c r="C3072" s="6">
        <v>6.0</v>
      </c>
      <c r="D3072" s="15" t="s">
        <v>4924</v>
      </c>
      <c r="E3072" s="9" t="s">
        <v>4925</v>
      </c>
      <c r="F3072" s="8"/>
    </row>
    <row r="3073" ht="21.0" customHeight="1">
      <c r="A3073" s="6">
        <v>1.0</v>
      </c>
      <c r="B3073" s="6">
        <v>242.0</v>
      </c>
      <c r="C3073" s="6">
        <v>7.0</v>
      </c>
      <c r="D3073" s="15" t="s">
        <v>4926</v>
      </c>
      <c r="E3073" s="9" t="s">
        <v>4927</v>
      </c>
      <c r="F3073" s="8"/>
    </row>
    <row r="3074" ht="21.0" customHeight="1">
      <c r="A3074" s="6">
        <v>1.0</v>
      </c>
      <c r="B3074" s="6">
        <v>242.0</v>
      </c>
      <c r="C3074" s="6">
        <v>8.0</v>
      </c>
      <c r="D3074" s="15" t="s">
        <v>4928</v>
      </c>
      <c r="E3074" s="9" t="s">
        <v>4929</v>
      </c>
      <c r="F3074" s="8"/>
    </row>
    <row r="3075" ht="21.0" customHeight="1">
      <c r="A3075" s="6">
        <v>1.0</v>
      </c>
      <c r="B3075" s="6">
        <v>242.0</v>
      </c>
      <c r="C3075" s="6">
        <v>9.0</v>
      </c>
      <c r="D3075" s="15" t="s">
        <v>4930</v>
      </c>
      <c r="E3075" s="9" t="s">
        <v>4931</v>
      </c>
      <c r="F3075" s="8"/>
    </row>
    <row r="3076" ht="21.0" customHeight="1">
      <c r="A3076" s="6">
        <v>1.0</v>
      </c>
      <c r="B3076" s="6">
        <v>242.0</v>
      </c>
      <c r="C3076" s="6">
        <v>10.0</v>
      </c>
      <c r="D3076" s="15" t="s">
        <v>4932</v>
      </c>
      <c r="E3076" s="9" t="s">
        <v>4933</v>
      </c>
      <c r="F3076" s="8"/>
    </row>
    <row r="3077" ht="21.0" customHeight="1">
      <c r="A3077" s="6">
        <v>1.0</v>
      </c>
      <c r="B3077" s="6">
        <v>242.0</v>
      </c>
      <c r="C3077" s="6">
        <v>11.0</v>
      </c>
      <c r="D3077" s="15" t="s">
        <v>4934</v>
      </c>
      <c r="E3077" s="9" t="s">
        <v>4935</v>
      </c>
      <c r="F3077" s="8"/>
    </row>
    <row r="3078" ht="21.0" customHeight="1">
      <c r="A3078" s="6">
        <v>1.0</v>
      </c>
      <c r="B3078" s="6">
        <v>242.0</v>
      </c>
      <c r="C3078" s="6">
        <v>12.0</v>
      </c>
      <c r="D3078" s="15" t="s">
        <v>4936</v>
      </c>
      <c r="E3078" s="9" t="s">
        <v>4937</v>
      </c>
      <c r="F3078" s="8"/>
    </row>
    <row r="3079" ht="21.0" customHeight="1">
      <c r="A3079" s="6">
        <v>1.0</v>
      </c>
      <c r="B3079" s="6">
        <v>242.0</v>
      </c>
      <c r="C3079" s="6">
        <v>13.0</v>
      </c>
      <c r="D3079" s="15" t="s">
        <v>4938</v>
      </c>
      <c r="E3079" s="9" t="s">
        <v>4939</v>
      </c>
      <c r="F3079" s="8"/>
    </row>
    <row r="3080" ht="21.0" customHeight="1">
      <c r="A3080" s="6">
        <v>1.0</v>
      </c>
      <c r="B3080" s="6">
        <v>243.0</v>
      </c>
      <c r="C3080" s="6">
        <v>1.0</v>
      </c>
      <c r="D3080" s="9" t="s">
        <v>4940</v>
      </c>
      <c r="E3080" s="9" t="s">
        <v>4941</v>
      </c>
      <c r="F3080" s="8"/>
    </row>
    <row r="3081" ht="21.0" customHeight="1">
      <c r="A3081" s="6">
        <v>1.0</v>
      </c>
      <c r="B3081" s="6">
        <v>243.0</v>
      </c>
      <c r="C3081" s="6">
        <v>2.0</v>
      </c>
      <c r="D3081" s="9" t="s">
        <v>4942</v>
      </c>
      <c r="E3081" s="9" t="s">
        <v>4943</v>
      </c>
      <c r="F3081" s="8"/>
    </row>
    <row r="3082" ht="21.0" customHeight="1">
      <c r="A3082" s="6">
        <v>1.0</v>
      </c>
      <c r="B3082" s="6">
        <v>243.0</v>
      </c>
      <c r="C3082" s="6">
        <v>3.0</v>
      </c>
      <c r="D3082" s="9" t="s">
        <v>4944</v>
      </c>
      <c r="E3082" s="9" t="s">
        <v>4945</v>
      </c>
      <c r="F3082" s="8"/>
    </row>
    <row r="3083" ht="21.0" customHeight="1">
      <c r="A3083" s="6">
        <v>1.0</v>
      </c>
      <c r="B3083" s="6">
        <v>243.0</v>
      </c>
      <c r="C3083" s="6">
        <v>4.0</v>
      </c>
      <c r="D3083" s="9" t="s">
        <v>4946</v>
      </c>
      <c r="E3083" s="9" t="s">
        <v>4947</v>
      </c>
      <c r="F3083" s="8"/>
    </row>
    <row r="3084" ht="21.0" customHeight="1">
      <c r="A3084" s="6">
        <v>1.0</v>
      </c>
      <c r="B3084" s="6">
        <v>243.0</v>
      </c>
      <c r="C3084" s="6">
        <v>5.0</v>
      </c>
      <c r="D3084" s="9" t="s">
        <v>4948</v>
      </c>
      <c r="E3084" s="9" t="s">
        <v>4949</v>
      </c>
      <c r="F3084" s="8"/>
    </row>
    <row r="3085" ht="21.0" customHeight="1">
      <c r="A3085" s="6">
        <v>1.0</v>
      </c>
      <c r="B3085" s="6">
        <v>243.0</v>
      </c>
      <c r="C3085" s="6">
        <v>6.0</v>
      </c>
      <c r="D3085" s="9" t="s">
        <v>4950</v>
      </c>
      <c r="E3085" s="9" t="s">
        <v>4951</v>
      </c>
      <c r="F3085" s="8"/>
    </row>
    <row r="3086" ht="21.0" customHeight="1">
      <c r="A3086" s="6">
        <v>1.0</v>
      </c>
      <c r="B3086" s="6">
        <v>243.0</v>
      </c>
      <c r="C3086" s="6">
        <v>7.0</v>
      </c>
      <c r="D3086" s="9" t="s">
        <v>4952</v>
      </c>
      <c r="E3086" s="9" t="s">
        <v>4953</v>
      </c>
      <c r="F3086" s="8"/>
    </row>
    <row r="3087" ht="21.0" customHeight="1">
      <c r="A3087" s="6">
        <v>1.0</v>
      </c>
      <c r="B3087" s="6">
        <v>243.0</v>
      </c>
      <c r="C3087" s="6">
        <v>8.0</v>
      </c>
      <c r="D3087" s="9" t="s">
        <v>4954</v>
      </c>
      <c r="E3087" s="9" t="s">
        <v>4955</v>
      </c>
      <c r="F3087" s="8"/>
    </row>
    <row r="3088" ht="21.0" customHeight="1">
      <c r="A3088" s="6">
        <v>1.0</v>
      </c>
      <c r="B3088" s="6">
        <v>243.0</v>
      </c>
      <c r="C3088" s="6">
        <v>9.0</v>
      </c>
      <c r="D3088" s="9" t="s">
        <v>4956</v>
      </c>
      <c r="E3088" s="9" t="s">
        <v>4957</v>
      </c>
      <c r="F3088" s="8"/>
    </row>
    <row r="3089" ht="21.0" customHeight="1">
      <c r="A3089" s="6">
        <v>1.0</v>
      </c>
      <c r="B3089" s="6">
        <v>243.0</v>
      </c>
      <c r="C3089" s="6">
        <v>10.0</v>
      </c>
      <c r="D3089" s="9" t="s">
        <v>4958</v>
      </c>
      <c r="E3089" s="9" t="s">
        <v>4959</v>
      </c>
      <c r="F3089" s="8"/>
    </row>
    <row r="3090" ht="21.0" customHeight="1">
      <c r="A3090" s="6">
        <v>1.0</v>
      </c>
      <c r="B3090" s="6">
        <v>243.0</v>
      </c>
      <c r="C3090" s="6">
        <v>11.0</v>
      </c>
      <c r="D3090" s="9" t="s">
        <v>4960</v>
      </c>
      <c r="E3090" s="9" t="s">
        <v>4961</v>
      </c>
      <c r="F3090" s="8"/>
    </row>
    <row r="3091" ht="21.0" customHeight="1">
      <c r="A3091" s="6">
        <v>1.0</v>
      </c>
      <c r="B3091" s="6">
        <v>243.0</v>
      </c>
      <c r="C3091" s="6">
        <v>12.0</v>
      </c>
      <c r="D3091" s="9" t="s">
        <v>4962</v>
      </c>
      <c r="E3091" s="9" t="s">
        <v>4963</v>
      </c>
      <c r="F3091" s="8"/>
    </row>
    <row r="3092" ht="21.0" customHeight="1">
      <c r="A3092" s="6">
        <v>1.0</v>
      </c>
      <c r="B3092" s="6">
        <v>243.0</v>
      </c>
      <c r="C3092" s="6">
        <v>13.0</v>
      </c>
      <c r="D3092" s="9" t="s">
        <v>4964</v>
      </c>
      <c r="E3092" s="9" t="s">
        <v>4965</v>
      </c>
      <c r="F3092" s="8"/>
    </row>
    <row r="3093" ht="21.0" customHeight="1">
      <c r="A3093" s="6">
        <v>1.0</v>
      </c>
      <c r="B3093" s="6">
        <v>244.0</v>
      </c>
      <c r="C3093" s="6">
        <v>1.0</v>
      </c>
      <c r="D3093" s="15" t="s">
        <v>4966</v>
      </c>
      <c r="E3093" s="9" t="s">
        <v>4967</v>
      </c>
      <c r="F3093" s="8"/>
    </row>
    <row r="3094" ht="21.0" customHeight="1">
      <c r="A3094" s="6">
        <v>1.0</v>
      </c>
      <c r="B3094" s="6">
        <v>244.0</v>
      </c>
      <c r="C3094" s="6">
        <v>2.0</v>
      </c>
      <c r="D3094" s="15" t="s">
        <v>4968</v>
      </c>
      <c r="E3094" s="9" t="s">
        <v>4969</v>
      </c>
      <c r="F3094" s="8"/>
    </row>
    <row r="3095" ht="21.0" customHeight="1">
      <c r="A3095" s="6">
        <v>1.0</v>
      </c>
      <c r="B3095" s="6">
        <v>244.0</v>
      </c>
      <c r="C3095" s="6">
        <v>3.0</v>
      </c>
      <c r="D3095" s="15" t="s">
        <v>4970</v>
      </c>
      <c r="E3095" s="9" t="s">
        <v>4971</v>
      </c>
      <c r="F3095" s="8"/>
    </row>
    <row r="3096" ht="21.0" customHeight="1">
      <c r="A3096" s="6">
        <v>1.0</v>
      </c>
      <c r="B3096" s="6">
        <v>244.0</v>
      </c>
      <c r="C3096" s="6">
        <v>4.0</v>
      </c>
      <c r="D3096" s="15" t="s">
        <v>4972</v>
      </c>
      <c r="E3096" s="9" t="s">
        <v>4973</v>
      </c>
      <c r="F3096" s="8"/>
    </row>
    <row r="3097" ht="21.0" customHeight="1">
      <c r="A3097" s="6">
        <v>1.0</v>
      </c>
      <c r="B3097" s="6">
        <v>244.0</v>
      </c>
      <c r="C3097" s="6">
        <v>5.0</v>
      </c>
      <c r="D3097" s="15" t="s">
        <v>4974</v>
      </c>
      <c r="E3097" s="9" t="s">
        <v>4975</v>
      </c>
      <c r="F3097" s="8"/>
    </row>
    <row r="3098" ht="21.0" customHeight="1">
      <c r="A3098" s="6">
        <v>1.0</v>
      </c>
      <c r="B3098" s="6">
        <v>244.0</v>
      </c>
      <c r="C3098" s="6">
        <v>6.0</v>
      </c>
      <c r="D3098" s="15" t="s">
        <v>4976</v>
      </c>
      <c r="E3098" s="9" t="s">
        <v>4977</v>
      </c>
      <c r="F3098" s="8"/>
    </row>
    <row r="3099" ht="21.0" customHeight="1">
      <c r="A3099" s="6">
        <v>1.0</v>
      </c>
      <c r="B3099" s="6">
        <v>244.0</v>
      </c>
      <c r="C3099" s="6">
        <v>7.0</v>
      </c>
      <c r="D3099" s="15" t="s">
        <v>4978</v>
      </c>
      <c r="E3099" s="9" t="s">
        <v>4979</v>
      </c>
      <c r="F3099" s="8"/>
    </row>
    <row r="3100" ht="21.0" customHeight="1">
      <c r="A3100" s="6">
        <v>1.0</v>
      </c>
      <c r="B3100" s="6">
        <v>244.0</v>
      </c>
      <c r="C3100" s="6">
        <v>8.0</v>
      </c>
      <c r="D3100" s="15" t="s">
        <v>4980</v>
      </c>
      <c r="E3100" s="9" t="s">
        <v>4981</v>
      </c>
      <c r="F3100" s="8"/>
    </row>
    <row r="3101" ht="21.0" customHeight="1">
      <c r="A3101" s="6">
        <v>1.0</v>
      </c>
      <c r="B3101" s="6">
        <v>244.0</v>
      </c>
      <c r="C3101" s="6">
        <v>9.0</v>
      </c>
      <c r="D3101" s="15" t="s">
        <v>4982</v>
      </c>
      <c r="E3101" s="9" t="s">
        <v>4983</v>
      </c>
      <c r="F3101" s="8"/>
    </row>
    <row r="3102" ht="21.0" customHeight="1">
      <c r="A3102" s="6">
        <v>1.0</v>
      </c>
      <c r="B3102" s="6">
        <v>244.0</v>
      </c>
      <c r="C3102" s="6">
        <v>10.0</v>
      </c>
      <c r="D3102" s="15" t="s">
        <v>4984</v>
      </c>
      <c r="E3102" s="9" t="s">
        <v>4985</v>
      </c>
      <c r="F3102" s="8"/>
    </row>
    <row r="3103" ht="21.0" customHeight="1">
      <c r="A3103" s="6">
        <v>1.0</v>
      </c>
      <c r="B3103" s="6">
        <v>244.0</v>
      </c>
      <c r="C3103" s="6">
        <v>11.0</v>
      </c>
      <c r="D3103" s="15" t="s">
        <v>4986</v>
      </c>
      <c r="E3103" s="9" t="s">
        <v>4987</v>
      </c>
      <c r="F3103" s="8"/>
    </row>
    <row r="3104" ht="21.0" customHeight="1">
      <c r="A3104" s="6">
        <v>1.0</v>
      </c>
      <c r="B3104" s="6">
        <v>244.0</v>
      </c>
      <c r="C3104" s="6">
        <v>12.0</v>
      </c>
      <c r="D3104" s="15" t="s">
        <v>4988</v>
      </c>
      <c r="E3104" s="9" t="s">
        <v>4989</v>
      </c>
      <c r="F3104" s="8"/>
    </row>
    <row r="3105" ht="21.0" customHeight="1">
      <c r="A3105" s="6">
        <v>1.0</v>
      </c>
      <c r="B3105" s="6">
        <v>244.0</v>
      </c>
      <c r="C3105" s="6">
        <v>13.0</v>
      </c>
      <c r="D3105" s="15" t="s">
        <v>4990</v>
      </c>
      <c r="E3105" s="9" t="s">
        <v>4991</v>
      </c>
      <c r="F3105" s="8"/>
    </row>
    <row r="3106" ht="21.0" customHeight="1">
      <c r="A3106" s="6">
        <v>11.0</v>
      </c>
      <c r="B3106" s="6">
        <v>1067.0</v>
      </c>
      <c r="C3106" s="6">
        <v>1.0</v>
      </c>
      <c r="D3106" s="15" t="s">
        <v>4992</v>
      </c>
      <c r="E3106" s="9" t="s">
        <v>4993</v>
      </c>
      <c r="F3106" s="8"/>
    </row>
    <row r="3107" ht="21.0" customHeight="1">
      <c r="A3107" s="6">
        <v>11.0</v>
      </c>
      <c r="B3107" s="6">
        <v>1067.0</v>
      </c>
      <c r="C3107" s="6">
        <v>2.0</v>
      </c>
      <c r="D3107" s="15" t="s">
        <v>4994</v>
      </c>
      <c r="E3107" s="9" t="s">
        <v>4995</v>
      </c>
      <c r="F3107" s="8"/>
    </row>
    <row r="3108" ht="21.0" customHeight="1">
      <c r="A3108" s="6">
        <v>11.0</v>
      </c>
      <c r="B3108" s="6">
        <v>1067.0</v>
      </c>
      <c r="C3108" s="6">
        <v>3.0</v>
      </c>
      <c r="D3108" s="15" t="s">
        <v>4996</v>
      </c>
      <c r="E3108" s="9" t="s">
        <v>4997</v>
      </c>
      <c r="F3108" s="8"/>
    </row>
    <row r="3109" ht="21.0" customHeight="1">
      <c r="A3109" s="6">
        <v>11.0</v>
      </c>
      <c r="B3109" s="6">
        <v>1067.0</v>
      </c>
      <c r="C3109" s="6">
        <v>4.0</v>
      </c>
      <c r="D3109" s="15" t="s">
        <v>4998</v>
      </c>
      <c r="E3109" s="9" t="s">
        <v>4999</v>
      </c>
      <c r="F3109" s="8"/>
    </row>
    <row r="3110" ht="21.0" customHeight="1">
      <c r="A3110" s="6">
        <v>10.0</v>
      </c>
      <c r="B3110" s="6">
        <v>1067.0</v>
      </c>
      <c r="C3110" s="6">
        <v>5.0</v>
      </c>
      <c r="D3110" s="15" t="s">
        <v>5000</v>
      </c>
      <c r="E3110" s="9" t="s">
        <v>5001</v>
      </c>
      <c r="F3110" s="8"/>
    </row>
    <row r="3111" ht="21.0" customHeight="1">
      <c r="A3111" s="6">
        <v>10.0</v>
      </c>
      <c r="B3111" s="6">
        <v>1067.0</v>
      </c>
      <c r="C3111" s="6">
        <v>6.0</v>
      </c>
      <c r="D3111" s="15" t="s">
        <v>5002</v>
      </c>
      <c r="E3111" s="9" t="s">
        <v>5003</v>
      </c>
      <c r="F3111" s="8"/>
    </row>
    <row r="3112" ht="21.0" customHeight="1">
      <c r="A3112" s="6">
        <v>10.0</v>
      </c>
      <c r="B3112" s="6">
        <v>1067.0</v>
      </c>
      <c r="C3112" s="6">
        <v>7.0</v>
      </c>
      <c r="D3112" s="15" t="s">
        <v>5004</v>
      </c>
      <c r="E3112" s="9" t="s">
        <v>5005</v>
      </c>
      <c r="F3112" s="8"/>
    </row>
    <row r="3113" ht="21.0" customHeight="1">
      <c r="A3113" s="6">
        <v>10.0</v>
      </c>
      <c r="B3113" s="6">
        <v>1067.0</v>
      </c>
      <c r="C3113" s="6">
        <v>8.0</v>
      </c>
      <c r="D3113" s="15" t="s">
        <v>5006</v>
      </c>
      <c r="E3113" s="9" t="s">
        <v>5007</v>
      </c>
      <c r="F3113" s="8"/>
    </row>
    <row r="3114" ht="21.0" customHeight="1">
      <c r="A3114" s="6">
        <v>10.0</v>
      </c>
      <c r="B3114" s="6">
        <v>1067.0</v>
      </c>
      <c r="C3114" s="6">
        <v>9.0</v>
      </c>
      <c r="D3114" s="15" t="s">
        <v>5008</v>
      </c>
      <c r="E3114" s="9" t="s">
        <v>5009</v>
      </c>
      <c r="F3114" s="8"/>
    </row>
    <row r="3115" ht="21.0" customHeight="1">
      <c r="A3115" s="6">
        <v>10.0</v>
      </c>
      <c r="B3115" s="6">
        <v>1067.0</v>
      </c>
      <c r="C3115" s="6">
        <v>10.0</v>
      </c>
      <c r="D3115" s="15" t="s">
        <v>5010</v>
      </c>
      <c r="E3115" s="9" t="s">
        <v>5011</v>
      </c>
      <c r="F3115" s="8"/>
    </row>
    <row r="3116" ht="21.0" customHeight="1">
      <c r="A3116" s="6">
        <v>11.0</v>
      </c>
      <c r="B3116" s="6">
        <v>1068.0</v>
      </c>
      <c r="C3116" s="6">
        <v>1.0</v>
      </c>
      <c r="D3116" s="15" t="s">
        <v>5012</v>
      </c>
      <c r="E3116" s="9" t="s">
        <v>5013</v>
      </c>
      <c r="F3116" s="8"/>
    </row>
    <row r="3117" ht="21.0" customHeight="1">
      <c r="A3117" s="6">
        <v>11.0</v>
      </c>
      <c r="B3117" s="6">
        <v>1068.0</v>
      </c>
      <c r="C3117" s="6">
        <v>2.0</v>
      </c>
      <c r="D3117" s="15" t="s">
        <v>5014</v>
      </c>
      <c r="E3117" s="9" t="s">
        <v>5015</v>
      </c>
      <c r="F3117" s="8"/>
    </row>
    <row r="3118" ht="21.0" customHeight="1">
      <c r="A3118" s="6">
        <v>11.0</v>
      </c>
      <c r="B3118" s="6">
        <v>1068.0</v>
      </c>
      <c r="C3118" s="6">
        <v>3.0</v>
      </c>
      <c r="D3118" s="15" t="s">
        <v>5016</v>
      </c>
      <c r="E3118" s="9" t="s">
        <v>5017</v>
      </c>
      <c r="F3118" s="8"/>
    </row>
    <row r="3119" ht="21.0" customHeight="1">
      <c r="A3119" s="6">
        <v>11.0</v>
      </c>
      <c r="B3119" s="6">
        <v>1068.0</v>
      </c>
      <c r="C3119" s="6">
        <v>4.0</v>
      </c>
      <c r="D3119" s="15" t="s">
        <v>5018</v>
      </c>
      <c r="E3119" s="9" t="s">
        <v>5019</v>
      </c>
      <c r="F3119" s="8"/>
    </row>
    <row r="3120" ht="21.0" customHeight="1">
      <c r="A3120" s="6">
        <v>10.0</v>
      </c>
      <c r="B3120" s="6">
        <v>1068.0</v>
      </c>
      <c r="C3120" s="6">
        <v>5.0</v>
      </c>
      <c r="D3120" s="15" t="s">
        <v>5020</v>
      </c>
      <c r="E3120" s="9" t="s">
        <v>5021</v>
      </c>
      <c r="F3120" s="8"/>
    </row>
    <row r="3121" ht="21.0" customHeight="1">
      <c r="A3121" s="6">
        <v>10.0</v>
      </c>
      <c r="B3121" s="6">
        <v>1068.0</v>
      </c>
      <c r="C3121" s="6">
        <v>6.0</v>
      </c>
      <c r="D3121" s="15" t="s">
        <v>5022</v>
      </c>
      <c r="E3121" s="9" t="s">
        <v>5023</v>
      </c>
      <c r="F3121" s="8"/>
    </row>
    <row r="3122" ht="21.0" customHeight="1">
      <c r="A3122" s="6">
        <v>10.0</v>
      </c>
      <c r="B3122" s="6">
        <v>1068.0</v>
      </c>
      <c r="C3122" s="6">
        <v>7.0</v>
      </c>
      <c r="D3122" s="15" t="s">
        <v>5024</v>
      </c>
      <c r="E3122" s="9" t="s">
        <v>5025</v>
      </c>
      <c r="F3122" s="8"/>
    </row>
    <row r="3123" ht="21.0" customHeight="1">
      <c r="A3123" s="6">
        <v>10.0</v>
      </c>
      <c r="B3123" s="6">
        <v>1068.0</v>
      </c>
      <c r="C3123" s="6">
        <v>8.0</v>
      </c>
      <c r="D3123" s="15" t="s">
        <v>5026</v>
      </c>
      <c r="E3123" s="9" t="s">
        <v>5027</v>
      </c>
      <c r="F3123" s="8"/>
    </row>
    <row r="3124" ht="21.0" customHeight="1">
      <c r="A3124" s="6">
        <v>10.0</v>
      </c>
      <c r="B3124" s="6">
        <v>1068.0</v>
      </c>
      <c r="C3124" s="6">
        <v>9.0</v>
      </c>
      <c r="D3124" s="15" t="s">
        <v>5028</v>
      </c>
      <c r="E3124" s="9" t="s">
        <v>5029</v>
      </c>
      <c r="F3124" s="8"/>
    </row>
    <row r="3125" ht="21.0" customHeight="1">
      <c r="A3125" s="6">
        <v>10.0</v>
      </c>
      <c r="B3125" s="6">
        <v>1068.0</v>
      </c>
      <c r="C3125" s="6">
        <v>10.0</v>
      </c>
      <c r="D3125" s="15" t="s">
        <v>5030</v>
      </c>
      <c r="E3125" s="9" t="s">
        <v>5011</v>
      </c>
      <c r="F3125" s="8"/>
    </row>
    <row r="3126" ht="21.0" customHeight="1">
      <c r="A3126" s="6">
        <v>1.0</v>
      </c>
      <c r="B3126" s="6">
        <v>245.0</v>
      </c>
      <c r="C3126" s="6">
        <v>1.0</v>
      </c>
      <c r="D3126" s="67" t="s">
        <v>5031</v>
      </c>
      <c r="E3126" s="9" t="s">
        <v>5032</v>
      </c>
      <c r="F3126" s="8"/>
    </row>
    <row r="3127" ht="21.0" customHeight="1">
      <c r="A3127" s="6">
        <v>1.0</v>
      </c>
      <c r="B3127" s="6">
        <v>245.0</v>
      </c>
      <c r="C3127" s="6">
        <v>2.0</v>
      </c>
      <c r="D3127" s="67" t="s">
        <v>5033</v>
      </c>
      <c r="E3127" s="9" t="s">
        <v>5034</v>
      </c>
      <c r="F3127" s="8"/>
    </row>
    <row r="3128" ht="21.0" customHeight="1">
      <c r="A3128" s="6">
        <v>1.0</v>
      </c>
      <c r="B3128" s="6">
        <v>245.0</v>
      </c>
      <c r="C3128" s="6">
        <v>3.0</v>
      </c>
      <c r="D3128" s="67" t="s">
        <v>5035</v>
      </c>
      <c r="E3128" s="9" t="s">
        <v>5036</v>
      </c>
      <c r="F3128" s="8"/>
    </row>
    <row r="3129" ht="21.0" customHeight="1">
      <c r="A3129" s="6">
        <v>1.0</v>
      </c>
      <c r="B3129" s="6">
        <v>245.0</v>
      </c>
      <c r="C3129" s="6">
        <v>4.0</v>
      </c>
      <c r="D3129" s="67" t="s">
        <v>5037</v>
      </c>
      <c r="E3129" s="9" t="s">
        <v>5038</v>
      </c>
      <c r="F3129" s="8"/>
    </row>
    <row r="3130" ht="21.0" customHeight="1">
      <c r="A3130" s="6">
        <v>1.0</v>
      </c>
      <c r="B3130" s="6">
        <v>245.0</v>
      </c>
      <c r="C3130" s="6">
        <v>5.0</v>
      </c>
      <c r="D3130" s="67" t="s">
        <v>5039</v>
      </c>
      <c r="E3130" s="9" t="s">
        <v>5040</v>
      </c>
      <c r="F3130" s="8"/>
    </row>
    <row r="3131" ht="21.0" customHeight="1">
      <c r="A3131" s="6">
        <v>1.0</v>
      </c>
      <c r="B3131" s="6">
        <v>245.0</v>
      </c>
      <c r="C3131" s="6">
        <v>6.0</v>
      </c>
      <c r="D3131" s="67" t="s">
        <v>5041</v>
      </c>
      <c r="E3131" s="9" t="s">
        <v>5042</v>
      </c>
      <c r="F3131" s="8"/>
    </row>
    <row r="3132" ht="21.0" customHeight="1">
      <c r="A3132" s="6">
        <v>1.0</v>
      </c>
      <c r="B3132" s="6">
        <v>245.0</v>
      </c>
      <c r="C3132" s="6">
        <v>7.0</v>
      </c>
      <c r="D3132" s="67" t="s">
        <v>5043</v>
      </c>
      <c r="E3132" s="9" t="s">
        <v>5044</v>
      </c>
      <c r="F3132" s="8"/>
    </row>
    <row r="3133" ht="21.0" customHeight="1">
      <c r="A3133" s="6">
        <v>1.0</v>
      </c>
      <c r="B3133" s="6">
        <v>245.0</v>
      </c>
      <c r="C3133" s="6">
        <v>8.0</v>
      </c>
      <c r="D3133" s="67" t="s">
        <v>5045</v>
      </c>
      <c r="E3133" s="9" t="s">
        <v>5046</v>
      </c>
      <c r="F3133" s="8"/>
    </row>
    <row r="3134" ht="21.0" customHeight="1">
      <c r="A3134" s="6">
        <v>1.0</v>
      </c>
      <c r="B3134" s="6">
        <v>245.0</v>
      </c>
      <c r="C3134" s="6">
        <v>9.0</v>
      </c>
      <c r="D3134" s="67" t="s">
        <v>5047</v>
      </c>
      <c r="E3134" s="9" t="s">
        <v>5048</v>
      </c>
      <c r="F3134" s="8"/>
    </row>
    <row r="3135" ht="21.0" customHeight="1">
      <c r="A3135" s="6">
        <v>1.0</v>
      </c>
      <c r="B3135" s="6">
        <v>245.0</v>
      </c>
      <c r="C3135" s="6">
        <v>10.0</v>
      </c>
      <c r="D3135" s="67" t="s">
        <v>5049</v>
      </c>
      <c r="E3135" s="9" t="s">
        <v>5050</v>
      </c>
      <c r="F3135" s="8"/>
    </row>
    <row r="3136" ht="21.0" customHeight="1">
      <c r="A3136" s="6">
        <v>1.0</v>
      </c>
      <c r="B3136" s="6">
        <v>245.0</v>
      </c>
      <c r="C3136" s="6">
        <v>11.0</v>
      </c>
      <c r="D3136" s="67" t="s">
        <v>5051</v>
      </c>
      <c r="E3136" s="9" t="s">
        <v>5052</v>
      </c>
      <c r="F3136" s="8"/>
    </row>
    <row r="3137" ht="21.0" customHeight="1">
      <c r="A3137" s="6">
        <v>1.0</v>
      </c>
      <c r="B3137" s="6">
        <v>245.0</v>
      </c>
      <c r="C3137" s="6">
        <v>12.0</v>
      </c>
      <c r="D3137" s="67" t="s">
        <v>5053</v>
      </c>
      <c r="E3137" s="9" t="s">
        <v>5054</v>
      </c>
      <c r="F3137" s="8"/>
    </row>
    <row r="3138" ht="21.0" customHeight="1">
      <c r="A3138" s="6">
        <v>1.0</v>
      </c>
      <c r="B3138" s="6">
        <v>245.0</v>
      </c>
      <c r="C3138" s="6">
        <v>13.0</v>
      </c>
      <c r="D3138" s="67" t="s">
        <v>5055</v>
      </c>
      <c r="E3138" s="9" t="s">
        <v>5056</v>
      </c>
      <c r="F3138" s="8"/>
    </row>
    <row r="3139" ht="21.0" customHeight="1">
      <c r="A3139" s="6">
        <v>1.0</v>
      </c>
      <c r="B3139" s="6">
        <v>246.0</v>
      </c>
      <c r="C3139" s="6">
        <v>1.0</v>
      </c>
      <c r="D3139" s="9" t="s">
        <v>5057</v>
      </c>
      <c r="E3139" s="9" t="s">
        <v>5058</v>
      </c>
      <c r="F3139" s="8"/>
    </row>
    <row r="3140" ht="21.0" customHeight="1">
      <c r="A3140" s="6">
        <v>1.0</v>
      </c>
      <c r="B3140" s="6">
        <v>246.0</v>
      </c>
      <c r="C3140" s="6">
        <v>2.0</v>
      </c>
      <c r="D3140" s="9" t="s">
        <v>5059</v>
      </c>
      <c r="E3140" s="9" t="s">
        <v>5060</v>
      </c>
      <c r="F3140" s="8"/>
    </row>
    <row r="3141" ht="21.0" customHeight="1">
      <c r="A3141" s="6">
        <v>1.0</v>
      </c>
      <c r="B3141" s="6">
        <v>246.0</v>
      </c>
      <c r="C3141" s="6">
        <v>3.0</v>
      </c>
      <c r="D3141" s="9" t="s">
        <v>5061</v>
      </c>
      <c r="E3141" s="9" t="s">
        <v>5062</v>
      </c>
      <c r="F3141" s="8"/>
    </row>
    <row r="3142" ht="21.0" customHeight="1">
      <c r="A3142" s="6">
        <v>1.0</v>
      </c>
      <c r="B3142" s="6">
        <v>246.0</v>
      </c>
      <c r="C3142" s="6">
        <v>4.0</v>
      </c>
      <c r="D3142" s="9" t="s">
        <v>5063</v>
      </c>
      <c r="E3142" s="9" t="s">
        <v>5064</v>
      </c>
      <c r="F3142" s="8"/>
    </row>
    <row r="3143" ht="21.0" customHeight="1">
      <c r="A3143" s="6">
        <v>1.0</v>
      </c>
      <c r="B3143" s="6">
        <v>246.0</v>
      </c>
      <c r="C3143" s="6">
        <v>5.0</v>
      </c>
      <c r="D3143" s="9" t="s">
        <v>5065</v>
      </c>
      <c r="E3143" s="9" t="s">
        <v>5066</v>
      </c>
      <c r="F3143" s="8"/>
    </row>
    <row r="3144" ht="21.0" customHeight="1">
      <c r="A3144" s="6">
        <v>1.0</v>
      </c>
      <c r="B3144" s="6">
        <v>246.0</v>
      </c>
      <c r="C3144" s="6">
        <v>6.0</v>
      </c>
      <c r="D3144" s="9" t="s">
        <v>5067</v>
      </c>
      <c r="E3144" s="9" t="s">
        <v>5068</v>
      </c>
      <c r="F3144" s="8"/>
    </row>
    <row r="3145" ht="21.0" customHeight="1">
      <c r="A3145" s="6">
        <v>1.0</v>
      </c>
      <c r="B3145" s="6">
        <v>246.0</v>
      </c>
      <c r="C3145" s="6">
        <v>7.0</v>
      </c>
      <c r="D3145" s="9" t="s">
        <v>5069</v>
      </c>
      <c r="E3145" s="9" t="s">
        <v>5070</v>
      </c>
      <c r="F3145" s="8"/>
    </row>
    <row r="3146" ht="21.0" customHeight="1">
      <c r="A3146" s="6">
        <v>1.0</v>
      </c>
      <c r="B3146" s="6">
        <v>246.0</v>
      </c>
      <c r="C3146" s="6">
        <v>8.0</v>
      </c>
      <c r="D3146" s="9" t="s">
        <v>5071</v>
      </c>
      <c r="E3146" s="9" t="s">
        <v>5072</v>
      </c>
      <c r="F3146" s="8"/>
    </row>
    <row r="3147" ht="21.0" customHeight="1">
      <c r="A3147" s="6">
        <v>1.0</v>
      </c>
      <c r="B3147" s="6">
        <v>246.0</v>
      </c>
      <c r="C3147" s="6">
        <v>9.0</v>
      </c>
      <c r="D3147" s="9" t="s">
        <v>5073</v>
      </c>
      <c r="E3147" s="9" t="s">
        <v>5074</v>
      </c>
      <c r="F3147" s="8"/>
    </row>
    <row r="3148" ht="21.0" customHeight="1">
      <c r="A3148" s="6">
        <v>1.0</v>
      </c>
      <c r="B3148" s="6">
        <v>246.0</v>
      </c>
      <c r="C3148" s="6">
        <v>10.0</v>
      </c>
      <c r="D3148" s="9" t="s">
        <v>5075</v>
      </c>
      <c r="E3148" s="9" t="s">
        <v>5076</v>
      </c>
      <c r="F3148" s="8"/>
    </row>
    <row r="3149" ht="21.0" customHeight="1">
      <c r="A3149" s="6">
        <v>1.0</v>
      </c>
      <c r="B3149" s="6">
        <v>246.0</v>
      </c>
      <c r="C3149" s="6">
        <v>11.0</v>
      </c>
      <c r="D3149" s="9" t="s">
        <v>5077</v>
      </c>
      <c r="E3149" s="9" t="s">
        <v>5078</v>
      </c>
      <c r="F3149" s="8"/>
    </row>
    <row r="3150" ht="21.0" customHeight="1">
      <c r="A3150" s="6">
        <v>1.0</v>
      </c>
      <c r="B3150" s="6">
        <v>246.0</v>
      </c>
      <c r="C3150" s="6">
        <v>12.0</v>
      </c>
      <c r="D3150" s="9" t="s">
        <v>5079</v>
      </c>
      <c r="E3150" s="9" t="s">
        <v>5080</v>
      </c>
      <c r="F3150" s="8"/>
    </row>
    <row r="3151" ht="21.0" customHeight="1">
      <c r="A3151" s="6">
        <v>1.0</v>
      </c>
      <c r="B3151" s="6">
        <v>246.0</v>
      </c>
      <c r="C3151" s="6">
        <v>13.0</v>
      </c>
      <c r="D3151" s="9" t="s">
        <v>5081</v>
      </c>
      <c r="E3151" s="9" t="s">
        <v>5082</v>
      </c>
      <c r="F3151" s="8"/>
    </row>
    <row r="3152" ht="21.0" customHeight="1">
      <c r="A3152" s="6">
        <v>1.0</v>
      </c>
      <c r="B3152" s="6">
        <v>247.0</v>
      </c>
      <c r="C3152" s="6">
        <v>1.0</v>
      </c>
      <c r="D3152" s="15" t="s">
        <v>5083</v>
      </c>
      <c r="E3152" s="9" t="s">
        <v>5084</v>
      </c>
      <c r="F3152" s="8"/>
    </row>
    <row r="3153" ht="21.0" customHeight="1">
      <c r="A3153" s="6">
        <v>1.0</v>
      </c>
      <c r="B3153" s="6">
        <v>247.0</v>
      </c>
      <c r="C3153" s="6">
        <v>2.0</v>
      </c>
      <c r="D3153" s="9" t="s">
        <v>5085</v>
      </c>
      <c r="E3153" s="9" t="s">
        <v>5086</v>
      </c>
      <c r="F3153" s="8"/>
    </row>
    <row r="3154" ht="21.0" customHeight="1">
      <c r="A3154" s="6">
        <v>1.0</v>
      </c>
      <c r="B3154" s="6">
        <v>247.0</v>
      </c>
      <c r="C3154" s="6">
        <v>3.0</v>
      </c>
      <c r="D3154" s="15" t="s">
        <v>5087</v>
      </c>
      <c r="E3154" s="9" t="s">
        <v>5088</v>
      </c>
      <c r="F3154" s="8"/>
    </row>
    <row r="3155" ht="21.0" customHeight="1">
      <c r="A3155" s="6">
        <v>1.0</v>
      </c>
      <c r="B3155" s="6">
        <v>247.0</v>
      </c>
      <c r="C3155" s="6">
        <v>4.0</v>
      </c>
      <c r="D3155" s="15" t="s">
        <v>5089</v>
      </c>
      <c r="E3155" s="9" t="s">
        <v>5090</v>
      </c>
      <c r="F3155" s="8"/>
    </row>
    <row r="3156" ht="21.0" customHeight="1">
      <c r="A3156" s="6">
        <v>1.0</v>
      </c>
      <c r="B3156" s="6">
        <v>247.0</v>
      </c>
      <c r="C3156" s="6">
        <v>5.0</v>
      </c>
      <c r="D3156" s="15" t="s">
        <v>5091</v>
      </c>
      <c r="E3156" s="9" t="s">
        <v>5092</v>
      </c>
      <c r="F3156" s="8"/>
    </row>
    <row r="3157" ht="21.0" customHeight="1">
      <c r="A3157" s="6">
        <v>1.0</v>
      </c>
      <c r="B3157" s="6">
        <v>247.0</v>
      </c>
      <c r="C3157" s="6">
        <v>6.0</v>
      </c>
      <c r="D3157" s="15" t="s">
        <v>5093</v>
      </c>
      <c r="E3157" s="9" t="s">
        <v>5094</v>
      </c>
      <c r="F3157" s="8"/>
    </row>
    <row r="3158" ht="21.0" customHeight="1">
      <c r="A3158" s="6">
        <v>1.0</v>
      </c>
      <c r="B3158" s="6">
        <v>247.0</v>
      </c>
      <c r="C3158" s="6">
        <v>7.0</v>
      </c>
      <c r="D3158" s="15" t="s">
        <v>5095</v>
      </c>
      <c r="E3158" s="9" t="s">
        <v>5096</v>
      </c>
      <c r="F3158" s="8"/>
    </row>
    <row r="3159" ht="21.0" customHeight="1">
      <c r="A3159" s="6">
        <v>1.0</v>
      </c>
      <c r="B3159" s="6">
        <v>247.0</v>
      </c>
      <c r="C3159" s="6">
        <v>8.0</v>
      </c>
      <c r="D3159" s="15" t="s">
        <v>5097</v>
      </c>
      <c r="E3159" s="9" t="s">
        <v>5098</v>
      </c>
      <c r="F3159" s="8"/>
    </row>
    <row r="3160" ht="21.0" customHeight="1">
      <c r="A3160" s="6">
        <v>1.0</v>
      </c>
      <c r="B3160" s="6">
        <v>247.0</v>
      </c>
      <c r="C3160" s="6">
        <v>9.0</v>
      </c>
      <c r="D3160" s="15" t="s">
        <v>5099</v>
      </c>
      <c r="E3160" s="9" t="s">
        <v>5100</v>
      </c>
      <c r="F3160" s="8"/>
    </row>
    <row r="3161" ht="21.0" customHeight="1">
      <c r="A3161" s="6">
        <v>1.0</v>
      </c>
      <c r="B3161" s="6">
        <v>247.0</v>
      </c>
      <c r="C3161" s="6">
        <v>10.0</v>
      </c>
      <c r="D3161" s="15" t="s">
        <v>5101</v>
      </c>
      <c r="E3161" s="9" t="s">
        <v>5102</v>
      </c>
      <c r="F3161" s="8"/>
    </row>
    <row r="3162" ht="21.0" customHeight="1">
      <c r="A3162" s="6">
        <v>1.0</v>
      </c>
      <c r="B3162" s="6">
        <v>247.0</v>
      </c>
      <c r="C3162" s="6">
        <v>11.0</v>
      </c>
      <c r="D3162" s="15" t="s">
        <v>5103</v>
      </c>
      <c r="E3162" s="9" t="s">
        <v>5104</v>
      </c>
      <c r="F3162" s="8"/>
    </row>
    <row r="3163" ht="21.0" customHeight="1">
      <c r="A3163" s="6">
        <v>1.0</v>
      </c>
      <c r="B3163" s="6">
        <v>247.0</v>
      </c>
      <c r="C3163" s="6">
        <v>12.0</v>
      </c>
      <c r="D3163" s="9" t="s">
        <v>5105</v>
      </c>
      <c r="E3163" s="9" t="s">
        <v>5106</v>
      </c>
      <c r="F3163" s="8"/>
    </row>
    <row r="3164" ht="21.0" customHeight="1">
      <c r="A3164" s="6">
        <v>1.0</v>
      </c>
      <c r="B3164" s="6">
        <v>247.0</v>
      </c>
      <c r="C3164" s="6">
        <v>13.0</v>
      </c>
      <c r="D3164" s="15" t="s">
        <v>5107</v>
      </c>
      <c r="E3164" s="9" t="s">
        <v>5108</v>
      </c>
      <c r="F3164" s="8"/>
    </row>
    <row r="3165" ht="21.0" customHeight="1">
      <c r="A3165" s="6">
        <v>11.0</v>
      </c>
      <c r="B3165" s="6">
        <v>1069.0</v>
      </c>
      <c r="C3165" s="6">
        <v>1.0</v>
      </c>
      <c r="D3165" s="15" t="s">
        <v>5109</v>
      </c>
      <c r="E3165" s="9" t="s">
        <v>5110</v>
      </c>
      <c r="F3165" s="8"/>
    </row>
    <row r="3166" ht="21.0" customHeight="1">
      <c r="A3166" s="6">
        <v>11.0</v>
      </c>
      <c r="B3166" s="6">
        <v>1069.0</v>
      </c>
      <c r="C3166" s="6">
        <v>2.0</v>
      </c>
      <c r="D3166" s="15" t="s">
        <v>5111</v>
      </c>
      <c r="E3166" s="9" t="s">
        <v>5112</v>
      </c>
      <c r="F3166" s="8"/>
    </row>
    <row r="3167" ht="21.0" customHeight="1">
      <c r="A3167" s="6">
        <v>11.0</v>
      </c>
      <c r="B3167" s="6">
        <v>1069.0</v>
      </c>
      <c r="C3167" s="6">
        <v>3.0</v>
      </c>
      <c r="D3167" s="15" t="s">
        <v>5113</v>
      </c>
      <c r="E3167" s="9" t="s">
        <v>5114</v>
      </c>
      <c r="F3167" s="8"/>
    </row>
    <row r="3168" ht="21.0" customHeight="1">
      <c r="A3168" s="6">
        <v>11.0</v>
      </c>
      <c r="B3168" s="6">
        <v>1069.0</v>
      </c>
      <c r="C3168" s="6">
        <v>4.0</v>
      </c>
      <c r="D3168" s="15" t="s">
        <v>5115</v>
      </c>
      <c r="E3168" s="9" t="s">
        <v>5116</v>
      </c>
      <c r="F3168" s="8"/>
    </row>
    <row r="3169" ht="21.0" customHeight="1">
      <c r="A3169" s="6">
        <v>10.0</v>
      </c>
      <c r="B3169" s="6">
        <v>1069.0</v>
      </c>
      <c r="C3169" s="6">
        <v>5.0</v>
      </c>
      <c r="D3169" s="15" t="s">
        <v>5117</v>
      </c>
      <c r="E3169" s="9" t="s">
        <v>5118</v>
      </c>
      <c r="F3169" s="8"/>
    </row>
    <row r="3170" ht="21.0" customHeight="1">
      <c r="A3170" s="6">
        <v>10.0</v>
      </c>
      <c r="B3170" s="6">
        <v>1069.0</v>
      </c>
      <c r="C3170" s="6">
        <v>6.0</v>
      </c>
      <c r="D3170" s="15" t="s">
        <v>5119</v>
      </c>
      <c r="E3170" s="9" t="s">
        <v>5120</v>
      </c>
      <c r="F3170" s="8"/>
    </row>
    <row r="3171" ht="21.0" customHeight="1">
      <c r="A3171" s="6">
        <v>10.0</v>
      </c>
      <c r="B3171" s="6">
        <v>1069.0</v>
      </c>
      <c r="C3171" s="6">
        <v>7.0</v>
      </c>
      <c r="D3171" s="15" t="s">
        <v>5121</v>
      </c>
      <c r="E3171" s="9" t="s">
        <v>5122</v>
      </c>
      <c r="F3171" s="8"/>
    </row>
    <row r="3172" ht="21.0" customHeight="1">
      <c r="A3172" s="6">
        <v>10.0</v>
      </c>
      <c r="B3172" s="6">
        <v>1069.0</v>
      </c>
      <c r="C3172" s="6">
        <v>8.0</v>
      </c>
      <c r="D3172" s="15" t="s">
        <v>5123</v>
      </c>
      <c r="E3172" s="9" t="s">
        <v>5124</v>
      </c>
      <c r="F3172" s="8"/>
    </row>
    <row r="3173" ht="21.0" customHeight="1">
      <c r="A3173" s="6">
        <v>10.0</v>
      </c>
      <c r="B3173" s="6">
        <v>1069.0</v>
      </c>
      <c r="C3173" s="6">
        <v>9.0</v>
      </c>
      <c r="D3173" s="15" t="s">
        <v>5125</v>
      </c>
      <c r="E3173" s="9" t="s">
        <v>5126</v>
      </c>
      <c r="F3173" s="8"/>
    </row>
    <row r="3174" ht="21.0" customHeight="1">
      <c r="A3174" s="6">
        <v>10.0</v>
      </c>
      <c r="B3174" s="6">
        <v>1069.0</v>
      </c>
      <c r="C3174" s="6">
        <v>10.0</v>
      </c>
      <c r="D3174" s="15" t="s">
        <v>5127</v>
      </c>
      <c r="E3174" s="9" t="s">
        <v>5128</v>
      </c>
      <c r="F3174" s="8"/>
    </row>
    <row r="3175" ht="21.0" customHeight="1">
      <c r="A3175" s="6">
        <v>11.0</v>
      </c>
      <c r="B3175" s="6">
        <v>1070.0</v>
      </c>
      <c r="C3175" s="6">
        <v>1.0</v>
      </c>
      <c r="D3175" s="15" t="s">
        <v>5129</v>
      </c>
      <c r="E3175" s="9" t="s">
        <v>5130</v>
      </c>
      <c r="F3175" s="8"/>
    </row>
    <row r="3176" ht="21.0" customHeight="1">
      <c r="A3176" s="6">
        <v>11.0</v>
      </c>
      <c r="B3176" s="6">
        <v>1070.0</v>
      </c>
      <c r="C3176" s="6">
        <v>2.0</v>
      </c>
      <c r="D3176" s="15" t="s">
        <v>5131</v>
      </c>
      <c r="E3176" s="9" t="s">
        <v>5132</v>
      </c>
      <c r="F3176" s="8"/>
    </row>
    <row r="3177" ht="21.0" customHeight="1">
      <c r="A3177" s="6">
        <v>11.0</v>
      </c>
      <c r="B3177" s="6">
        <v>1070.0</v>
      </c>
      <c r="C3177" s="6">
        <v>3.0</v>
      </c>
      <c r="D3177" s="15" t="s">
        <v>5133</v>
      </c>
      <c r="E3177" s="9" t="s">
        <v>5134</v>
      </c>
      <c r="F3177" s="8"/>
    </row>
    <row r="3178" ht="21.0" customHeight="1">
      <c r="A3178" s="6">
        <v>11.0</v>
      </c>
      <c r="B3178" s="6">
        <v>1070.0</v>
      </c>
      <c r="C3178" s="6">
        <v>4.0</v>
      </c>
      <c r="D3178" s="15" t="s">
        <v>5135</v>
      </c>
      <c r="E3178" s="9" t="s">
        <v>5136</v>
      </c>
      <c r="F3178" s="8"/>
    </row>
    <row r="3179" ht="21.0" customHeight="1">
      <c r="A3179" s="6">
        <v>10.0</v>
      </c>
      <c r="B3179" s="6">
        <v>1070.0</v>
      </c>
      <c r="C3179" s="6">
        <v>5.0</v>
      </c>
      <c r="D3179" s="15" t="s">
        <v>5137</v>
      </c>
      <c r="E3179" s="9" t="s">
        <v>5138</v>
      </c>
      <c r="F3179" s="8"/>
    </row>
    <row r="3180" ht="21.0" customHeight="1">
      <c r="A3180" s="6">
        <v>10.0</v>
      </c>
      <c r="B3180" s="6">
        <v>1070.0</v>
      </c>
      <c r="C3180" s="6">
        <v>6.0</v>
      </c>
      <c r="D3180" s="15" t="s">
        <v>5139</v>
      </c>
      <c r="E3180" s="9" t="s">
        <v>5140</v>
      </c>
      <c r="F3180" s="8"/>
    </row>
    <row r="3181" ht="21.0" customHeight="1">
      <c r="A3181" s="6">
        <v>10.0</v>
      </c>
      <c r="B3181" s="6">
        <v>1070.0</v>
      </c>
      <c r="C3181" s="6">
        <v>7.0</v>
      </c>
      <c r="D3181" s="15" t="s">
        <v>5141</v>
      </c>
      <c r="E3181" s="9" t="s">
        <v>5142</v>
      </c>
      <c r="F3181" s="8"/>
    </row>
    <row r="3182" ht="21.0" customHeight="1">
      <c r="A3182" s="6">
        <v>10.0</v>
      </c>
      <c r="B3182" s="6">
        <v>1070.0</v>
      </c>
      <c r="C3182" s="6">
        <v>8.0</v>
      </c>
      <c r="D3182" s="15" t="s">
        <v>5143</v>
      </c>
      <c r="E3182" s="9" t="s">
        <v>5144</v>
      </c>
      <c r="F3182" s="8"/>
    </row>
    <row r="3183" ht="21.0" customHeight="1">
      <c r="A3183" s="6">
        <v>10.0</v>
      </c>
      <c r="B3183" s="6">
        <v>1070.0</v>
      </c>
      <c r="C3183" s="6">
        <v>9.0</v>
      </c>
      <c r="D3183" s="15" t="s">
        <v>5145</v>
      </c>
      <c r="E3183" s="9" t="s">
        <v>5146</v>
      </c>
      <c r="F3183" s="8"/>
    </row>
    <row r="3184" ht="21.0" customHeight="1">
      <c r="A3184" s="6">
        <v>10.0</v>
      </c>
      <c r="B3184" s="6">
        <v>1070.0</v>
      </c>
      <c r="C3184" s="6">
        <v>10.0</v>
      </c>
      <c r="D3184" s="15" t="s">
        <v>5147</v>
      </c>
      <c r="E3184" s="9" t="s">
        <v>5148</v>
      </c>
      <c r="F3184" s="8"/>
    </row>
    <row r="3185" ht="21.0" customHeight="1">
      <c r="A3185" s="6">
        <v>1.0</v>
      </c>
      <c r="B3185" s="6">
        <v>248.0</v>
      </c>
      <c r="C3185" s="6">
        <v>1.0</v>
      </c>
      <c r="D3185" s="67" t="s">
        <v>5149</v>
      </c>
      <c r="E3185" s="9" t="s">
        <v>5150</v>
      </c>
      <c r="F3185" s="8"/>
    </row>
    <row r="3186" ht="21.0" customHeight="1">
      <c r="A3186" s="6">
        <v>1.0</v>
      </c>
      <c r="B3186" s="6">
        <v>248.0</v>
      </c>
      <c r="C3186" s="6">
        <v>2.0</v>
      </c>
      <c r="D3186" s="67" t="s">
        <v>5151</v>
      </c>
      <c r="E3186" s="9" t="s">
        <v>5152</v>
      </c>
      <c r="F3186" s="8"/>
    </row>
    <row r="3187" ht="21.0" customHeight="1">
      <c r="A3187" s="6">
        <v>1.0</v>
      </c>
      <c r="B3187" s="6">
        <v>248.0</v>
      </c>
      <c r="C3187" s="6">
        <v>3.0</v>
      </c>
      <c r="D3187" s="67" t="s">
        <v>5153</v>
      </c>
      <c r="E3187" s="9" t="s">
        <v>5154</v>
      </c>
      <c r="F3187" s="8"/>
    </row>
    <row r="3188" ht="21.0" customHeight="1">
      <c r="A3188" s="6">
        <v>1.0</v>
      </c>
      <c r="B3188" s="6">
        <v>248.0</v>
      </c>
      <c r="C3188" s="6">
        <v>4.0</v>
      </c>
      <c r="D3188" s="67" t="s">
        <v>5155</v>
      </c>
      <c r="E3188" s="9" t="s">
        <v>5156</v>
      </c>
      <c r="F3188" s="8"/>
    </row>
    <row r="3189" ht="21.0" customHeight="1">
      <c r="A3189" s="6">
        <v>1.0</v>
      </c>
      <c r="B3189" s="6">
        <v>248.0</v>
      </c>
      <c r="C3189" s="6">
        <v>5.0</v>
      </c>
      <c r="D3189" s="67" t="s">
        <v>5157</v>
      </c>
      <c r="E3189" s="9" t="s">
        <v>5158</v>
      </c>
      <c r="F3189" s="8"/>
    </row>
    <row r="3190" ht="21.0" customHeight="1">
      <c r="A3190" s="6">
        <v>1.0</v>
      </c>
      <c r="B3190" s="6">
        <v>248.0</v>
      </c>
      <c r="C3190" s="6">
        <v>6.0</v>
      </c>
      <c r="D3190" s="67" t="s">
        <v>5159</v>
      </c>
      <c r="E3190" s="9" t="s">
        <v>5160</v>
      </c>
      <c r="F3190" s="8"/>
    </row>
    <row r="3191" ht="21.0" customHeight="1">
      <c r="A3191" s="6">
        <v>1.0</v>
      </c>
      <c r="B3191" s="6">
        <v>248.0</v>
      </c>
      <c r="C3191" s="6">
        <v>7.0</v>
      </c>
      <c r="D3191" s="67" t="s">
        <v>5161</v>
      </c>
      <c r="E3191" s="9" t="s">
        <v>5162</v>
      </c>
      <c r="F3191" s="8"/>
    </row>
    <row r="3192" ht="21.0" customHeight="1">
      <c r="A3192" s="6">
        <v>1.0</v>
      </c>
      <c r="B3192" s="6">
        <v>248.0</v>
      </c>
      <c r="C3192" s="6">
        <v>8.0</v>
      </c>
      <c r="D3192" s="67" t="s">
        <v>5163</v>
      </c>
      <c r="E3192" s="9" t="s">
        <v>5164</v>
      </c>
      <c r="F3192" s="8"/>
    </row>
    <row r="3193" ht="21.0" customHeight="1">
      <c r="A3193" s="6">
        <v>1.0</v>
      </c>
      <c r="B3193" s="6">
        <v>248.0</v>
      </c>
      <c r="C3193" s="6">
        <v>9.0</v>
      </c>
      <c r="D3193" s="67" t="s">
        <v>5165</v>
      </c>
      <c r="E3193" s="9" t="s">
        <v>5166</v>
      </c>
      <c r="F3193" s="8"/>
    </row>
    <row r="3194" ht="21.0" customHeight="1">
      <c r="A3194" s="6">
        <v>1.0</v>
      </c>
      <c r="B3194" s="6">
        <v>248.0</v>
      </c>
      <c r="C3194" s="6">
        <v>10.0</v>
      </c>
      <c r="D3194" s="67" t="s">
        <v>5167</v>
      </c>
      <c r="E3194" s="9" t="s">
        <v>5168</v>
      </c>
      <c r="F3194" s="8"/>
    </row>
    <row r="3195" ht="21.0" customHeight="1">
      <c r="A3195" s="6">
        <v>1.0</v>
      </c>
      <c r="B3195" s="6">
        <v>248.0</v>
      </c>
      <c r="C3195" s="6">
        <v>11.0</v>
      </c>
      <c r="D3195" s="67" t="s">
        <v>5169</v>
      </c>
      <c r="E3195" s="9" t="s">
        <v>5170</v>
      </c>
      <c r="F3195" s="8"/>
    </row>
    <row r="3196" ht="21.0" customHeight="1">
      <c r="A3196" s="6">
        <v>1.0</v>
      </c>
      <c r="B3196" s="6">
        <v>248.0</v>
      </c>
      <c r="C3196" s="6">
        <v>12.0</v>
      </c>
      <c r="D3196" s="67" t="s">
        <v>5171</v>
      </c>
      <c r="E3196" s="9" t="s">
        <v>5172</v>
      </c>
      <c r="F3196" s="8"/>
    </row>
    <row r="3197" ht="21.0" customHeight="1">
      <c r="A3197" s="6">
        <v>1.0</v>
      </c>
      <c r="B3197" s="6">
        <v>248.0</v>
      </c>
      <c r="C3197" s="6">
        <v>13.0</v>
      </c>
      <c r="D3197" s="67" t="s">
        <v>5173</v>
      </c>
      <c r="E3197" s="9" t="s">
        <v>5174</v>
      </c>
      <c r="F3197" s="8"/>
    </row>
    <row r="3198" ht="21.0" customHeight="1">
      <c r="A3198" s="6">
        <v>1.0</v>
      </c>
      <c r="B3198" s="6">
        <v>249.0</v>
      </c>
      <c r="C3198" s="6">
        <v>1.0</v>
      </c>
      <c r="D3198" s="9" t="s">
        <v>5175</v>
      </c>
      <c r="E3198" s="9" t="s">
        <v>5176</v>
      </c>
      <c r="F3198" s="8"/>
    </row>
    <row r="3199" ht="21.0" customHeight="1">
      <c r="A3199" s="6">
        <v>1.0</v>
      </c>
      <c r="B3199" s="6">
        <v>249.0</v>
      </c>
      <c r="C3199" s="6">
        <v>2.0</v>
      </c>
      <c r="D3199" s="9" t="s">
        <v>5177</v>
      </c>
      <c r="E3199" s="9" t="s">
        <v>5178</v>
      </c>
      <c r="F3199" s="8"/>
    </row>
    <row r="3200" ht="21.0" customHeight="1">
      <c r="A3200" s="6">
        <v>1.0</v>
      </c>
      <c r="B3200" s="6">
        <v>249.0</v>
      </c>
      <c r="C3200" s="6">
        <v>3.0</v>
      </c>
      <c r="D3200" s="9" t="s">
        <v>5179</v>
      </c>
      <c r="E3200" s="9" t="s">
        <v>5180</v>
      </c>
      <c r="F3200" s="8"/>
    </row>
    <row r="3201" ht="21.0" customHeight="1">
      <c r="A3201" s="6">
        <v>1.0</v>
      </c>
      <c r="B3201" s="6">
        <v>249.0</v>
      </c>
      <c r="C3201" s="6">
        <v>4.0</v>
      </c>
      <c r="D3201" s="9" t="s">
        <v>5181</v>
      </c>
      <c r="E3201" s="9" t="s">
        <v>5182</v>
      </c>
      <c r="F3201" s="8"/>
    </row>
    <row r="3202" ht="21.0" customHeight="1">
      <c r="A3202" s="6">
        <v>1.0</v>
      </c>
      <c r="B3202" s="6">
        <v>249.0</v>
      </c>
      <c r="C3202" s="6">
        <v>5.0</v>
      </c>
      <c r="D3202" s="9" t="s">
        <v>5183</v>
      </c>
      <c r="E3202" s="9" t="s">
        <v>5184</v>
      </c>
      <c r="F3202" s="8"/>
    </row>
    <row r="3203" ht="21.0" customHeight="1">
      <c r="A3203" s="6">
        <v>1.0</v>
      </c>
      <c r="B3203" s="6">
        <v>249.0</v>
      </c>
      <c r="C3203" s="6">
        <v>6.0</v>
      </c>
      <c r="D3203" s="9" t="s">
        <v>5185</v>
      </c>
      <c r="E3203" s="9" t="s">
        <v>5186</v>
      </c>
      <c r="F3203" s="8"/>
    </row>
    <row r="3204" ht="21.0" customHeight="1">
      <c r="A3204" s="6">
        <v>1.0</v>
      </c>
      <c r="B3204" s="6">
        <v>249.0</v>
      </c>
      <c r="C3204" s="6">
        <v>7.0</v>
      </c>
      <c r="D3204" s="9" t="s">
        <v>5187</v>
      </c>
      <c r="E3204" s="9" t="s">
        <v>5188</v>
      </c>
      <c r="F3204" s="8"/>
    </row>
    <row r="3205" ht="21.0" customHeight="1">
      <c r="A3205" s="6">
        <v>1.0</v>
      </c>
      <c r="B3205" s="6">
        <v>249.0</v>
      </c>
      <c r="C3205" s="6">
        <v>8.0</v>
      </c>
      <c r="D3205" s="9" t="s">
        <v>5189</v>
      </c>
      <c r="E3205" s="9" t="s">
        <v>5190</v>
      </c>
      <c r="F3205" s="8"/>
    </row>
    <row r="3206" ht="21.0" customHeight="1">
      <c r="A3206" s="6">
        <v>1.0</v>
      </c>
      <c r="B3206" s="6">
        <v>249.0</v>
      </c>
      <c r="C3206" s="6">
        <v>9.0</v>
      </c>
      <c r="D3206" s="9" t="s">
        <v>5191</v>
      </c>
      <c r="E3206" s="9" t="s">
        <v>5192</v>
      </c>
      <c r="F3206" s="8"/>
    </row>
    <row r="3207" ht="21.0" customHeight="1">
      <c r="A3207" s="6">
        <v>1.0</v>
      </c>
      <c r="B3207" s="6">
        <v>249.0</v>
      </c>
      <c r="C3207" s="6">
        <v>10.0</v>
      </c>
      <c r="D3207" s="9" t="s">
        <v>5193</v>
      </c>
      <c r="E3207" s="9" t="s">
        <v>5194</v>
      </c>
      <c r="F3207" s="8"/>
    </row>
    <row r="3208" ht="21.0" customHeight="1">
      <c r="A3208" s="6">
        <v>1.0</v>
      </c>
      <c r="B3208" s="6">
        <v>249.0</v>
      </c>
      <c r="C3208" s="6">
        <v>11.0</v>
      </c>
      <c r="D3208" s="9" t="s">
        <v>5195</v>
      </c>
      <c r="E3208" s="9" t="s">
        <v>5196</v>
      </c>
      <c r="F3208" s="8"/>
    </row>
    <row r="3209" ht="21.0" customHeight="1">
      <c r="A3209" s="6">
        <v>1.0</v>
      </c>
      <c r="B3209" s="6">
        <v>249.0</v>
      </c>
      <c r="C3209" s="6">
        <v>12.0</v>
      </c>
      <c r="D3209" s="9" t="s">
        <v>5197</v>
      </c>
      <c r="E3209" s="9" t="s">
        <v>5198</v>
      </c>
      <c r="F3209" s="8"/>
    </row>
    <row r="3210" ht="21.0" customHeight="1">
      <c r="A3210" s="6">
        <v>1.0</v>
      </c>
      <c r="B3210" s="6">
        <v>249.0</v>
      </c>
      <c r="C3210" s="6">
        <v>13.0</v>
      </c>
      <c r="D3210" s="9" t="s">
        <v>5199</v>
      </c>
      <c r="E3210" s="9" t="s">
        <v>5200</v>
      </c>
      <c r="F3210" s="8"/>
    </row>
    <row r="3211" ht="21.0" customHeight="1">
      <c r="A3211" s="6">
        <v>1.0</v>
      </c>
      <c r="B3211" s="6">
        <v>250.0</v>
      </c>
      <c r="C3211" s="6">
        <v>1.0</v>
      </c>
      <c r="D3211" s="15" t="s">
        <v>5201</v>
      </c>
      <c r="E3211" s="9" t="s">
        <v>5202</v>
      </c>
      <c r="F3211" s="8"/>
    </row>
    <row r="3212" ht="21.0" customHeight="1">
      <c r="A3212" s="6">
        <v>1.0</v>
      </c>
      <c r="B3212" s="6">
        <v>250.0</v>
      </c>
      <c r="C3212" s="6">
        <v>2.0</v>
      </c>
      <c r="D3212" s="15" t="s">
        <v>5203</v>
      </c>
      <c r="E3212" s="9" t="s">
        <v>5204</v>
      </c>
      <c r="F3212" s="8"/>
    </row>
    <row r="3213" ht="21.0" customHeight="1">
      <c r="A3213" s="6">
        <v>1.0</v>
      </c>
      <c r="B3213" s="6">
        <v>250.0</v>
      </c>
      <c r="C3213" s="6">
        <v>3.0</v>
      </c>
      <c r="D3213" s="15" t="s">
        <v>5205</v>
      </c>
      <c r="E3213" s="9" t="s">
        <v>5206</v>
      </c>
      <c r="F3213" s="8"/>
    </row>
    <row r="3214" ht="21.0" customHeight="1">
      <c r="A3214" s="6">
        <v>1.0</v>
      </c>
      <c r="B3214" s="6">
        <v>250.0</v>
      </c>
      <c r="C3214" s="6">
        <v>4.0</v>
      </c>
      <c r="D3214" s="15" t="s">
        <v>5207</v>
      </c>
      <c r="E3214" s="9" t="s">
        <v>5208</v>
      </c>
      <c r="F3214" s="8"/>
    </row>
    <row r="3215" ht="21.0" customHeight="1">
      <c r="A3215" s="6">
        <v>1.0</v>
      </c>
      <c r="B3215" s="6">
        <v>250.0</v>
      </c>
      <c r="C3215" s="6">
        <v>5.0</v>
      </c>
      <c r="D3215" s="15" t="s">
        <v>5209</v>
      </c>
      <c r="E3215" s="9" t="s">
        <v>5210</v>
      </c>
      <c r="F3215" s="8"/>
    </row>
    <row r="3216" ht="21.0" customHeight="1">
      <c r="A3216" s="6">
        <v>1.0</v>
      </c>
      <c r="B3216" s="6">
        <v>250.0</v>
      </c>
      <c r="C3216" s="6">
        <v>6.0</v>
      </c>
      <c r="D3216" s="15" t="s">
        <v>5211</v>
      </c>
      <c r="E3216" s="9" t="s">
        <v>5212</v>
      </c>
      <c r="F3216" s="8"/>
    </row>
    <row r="3217" ht="21.0" customHeight="1">
      <c r="A3217" s="6">
        <v>1.0</v>
      </c>
      <c r="B3217" s="6">
        <v>250.0</v>
      </c>
      <c r="C3217" s="6">
        <v>7.0</v>
      </c>
      <c r="D3217" s="15" t="s">
        <v>5213</v>
      </c>
      <c r="E3217" s="9" t="s">
        <v>5214</v>
      </c>
      <c r="F3217" s="8"/>
    </row>
    <row r="3218" ht="21.0" customHeight="1">
      <c r="A3218" s="6">
        <v>1.0</v>
      </c>
      <c r="B3218" s="6">
        <v>250.0</v>
      </c>
      <c r="C3218" s="6">
        <v>8.0</v>
      </c>
      <c r="D3218" s="15" t="s">
        <v>5215</v>
      </c>
      <c r="E3218" s="9" t="s">
        <v>5216</v>
      </c>
      <c r="F3218" s="8"/>
    </row>
    <row r="3219" ht="21.0" customHeight="1">
      <c r="A3219" s="6">
        <v>1.0</v>
      </c>
      <c r="B3219" s="6">
        <v>250.0</v>
      </c>
      <c r="C3219" s="6">
        <v>9.0</v>
      </c>
      <c r="D3219" s="15" t="s">
        <v>5217</v>
      </c>
      <c r="E3219" s="9" t="s">
        <v>5218</v>
      </c>
      <c r="F3219" s="8"/>
    </row>
    <row r="3220" ht="21.0" customHeight="1">
      <c r="A3220" s="6">
        <v>1.0</v>
      </c>
      <c r="B3220" s="6">
        <v>250.0</v>
      </c>
      <c r="C3220" s="6">
        <v>10.0</v>
      </c>
      <c r="D3220" s="15" t="s">
        <v>5219</v>
      </c>
      <c r="E3220" s="9" t="s">
        <v>5220</v>
      </c>
      <c r="F3220" s="8"/>
    </row>
    <row r="3221" ht="21.0" customHeight="1">
      <c r="A3221" s="6">
        <v>1.0</v>
      </c>
      <c r="B3221" s="6">
        <v>250.0</v>
      </c>
      <c r="C3221" s="6">
        <v>11.0</v>
      </c>
      <c r="D3221" s="15" t="s">
        <v>5221</v>
      </c>
      <c r="E3221" s="9" t="s">
        <v>5222</v>
      </c>
      <c r="F3221" s="8"/>
    </row>
    <row r="3222" ht="21.0" customHeight="1">
      <c r="A3222" s="6">
        <v>1.0</v>
      </c>
      <c r="B3222" s="6">
        <v>250.0</v>
      </c>
      <c r="C3222" s="6">
        <v>12.0</v>
      </c>
      <c r="D3222" s="15" t="s">
        <v>5223</v>
      </c>
      <c r="E3222" s="9" t="s">
        <v>5224</v>
      </c>
      <c r="F3222" s="8"/>
    </row>
    <row r="3223" ht="21.0" customHeight="1">
      <c r="A3223" s="6">
        <v>1.0</v>
      </c>
      <c r="B3223" s="6">
        <v>250.0</v>
      </c>
      <c r="C3223" s="6">
        <v>13.0</v>
      </c>
      <c r="D3223" s="15" t="s">
        <v>5225</v>
      </c>
      <c r="E3223" s="9" t="s">
        <v>5226</v>
      </c>
      <c r="F3223" s="8"/>
    </row>
    <row r="3224" ht="21.0" customHeight="1">
      <c r="A3224" s="6">
        <v>11.0</v>
      </c>
      <c r="B3224" s="6">
        <v>1071.0</v>
      </c>
      <c r="C3224" s="6">
        <v>1.0</v>
      </c>
      <c r="D3224" s="15" t="s">
        <v>5227</v>
      </c>
      <c r="E3224" s="9" t="s">
        <v>5228</v>
      </c>
      <c r="F3224" s="8"/>
    </row>
    <row r="3225" ht="21.0" customHeight="1">
      <c r="A3225" s="6">
        <v>11.0</v>
      </c>
      <c r="B3225" s="6">
        <v>1071.0</v>
      </c>
      <c r="C3225" s="6">
        <v>2.0</v>
      </c>
      <c r="D3225" s="15" t="s">
        <v>5229</v>
      </c>
      <c r="E3225" s="9" t="s">
        <v>5230</v>
      </c>
      <c r="F3225" s="8"/>
    </row>
    <row r="3226" ht="21.0" customHeight="1">
      <c r="A3226" s="6">
        <v>11.0</v>
      </c>
      <c r="B3226" s="6">
        <v>1071.0</v>
      </c>
      <c r="C3226" s="6">
        <v>3.0</v>
      </c>
      <c r="D3226" s="15" t="s">
        <v>5231</v>
      </c>
      <c r="E3226" s="9" t="s">
        <v>5232</v>
      </c>
      <c r="F3226" s="8"/>
    </row>
    <row r="3227" ht="21.0" customHeight="1">
      <c r="A3227" s="6">
        <v>11.0</v>
      </c>
      <c r="B3227" s="6">
        <v>1071.0</v>
      </c>
      <c r="C3227" s="6">
        <v>4.0</v>
      </c>
      <c r="D3227" s="15" t="s">
        <v>5233</v>
      </c>
      <c r="E3227" s="9" t="s">
        <v>5234</v>
      </c>
      <c r="F3227" s="8"/>
    </row>
    <row r="3228" ht="21.0" customHeight="1">
      <c r="A3228" s="6">
        <v>10.0</v>
      </c>
      <c r="B3228" s="6">
        <v>1071.0</v>
      </c>
      <c r="C3228" s="6">
        <v>5.0</v>
      </c>
      <c r="D3228" s="15" t="s">
        <v>5235</v>
      </c>
      <c r="E3228" s="9" t="s">
        <v>5236</v>
      </c>
      <c r="F3228" s="8"/>
    </row>
    <row r="3229" ht="21.0" customHeight="1">
      <c r="A3229" s="6">
        <v>10.0</v>
      </c>
      <c r="B3229" s="6">
        <v>1071.0</v>
      </c>
      <c r="C3229" s="6">
        <v>6.0</v>
      </c>
      <c r="D3229" s="15" t="s">
        <v>5237</v>
      </c>
      <c r="E3229" s="9" t="s">
        <v>5238</v>
      </c>
      <c r="F3229" s="8"/>
    </row>
    <row r="3230" ht="21.0" customHeight="1">
      <c r="A3230" s="6">
        <v>10.0</v>
      </c>
      <c r="B3230" s="6">
        <v>1071.0</v>
      </c>
      <c r="C3230" s="6">
        <v>7.0</v>
      </c>
      <c r="D3230" s="15" t="s">
        <v>5239</v>
      </c>
      <c r="E3230" s="9" t="s">
        <v>5240</v>
      </c>
      <c r="F3230" s="8"/>
    </row>
    <row r="3231" ht="21.0" customHeight="1">
      <c r="A3231" s="6">
        <v>10.0</v>
      </c>
      <c r="B3231" s="6">
        <v>1071.0</v>
      </c>
      <c r="C3231" s="6">
        <v>8.0</v>
      </c>
      <c r="D3231" s="15" t="s">
        <v>5241</v>
      </c>
      <c r="E3231" s="9" t="s">
        <v>5242</v>
      </c>
      <c r="F3231" s="8"/>
    </row>
    <row r="3232" ht="21.0" customHeight="1">
      <c r="A3232" s="6">
        <v>10.0</v>
      </c>
      <c r="B3232" s="6">
        <v>1071.0</v>
      </c>
      <c r="C3232" s="6">
        <v>9.0</v>
      </c>
      <c r="D3232" s="15" t="s">
        <v>5243</v>
      </c>
      <c r="E3232" s="9" t="s">
        <v>5244</v>
      </c>
      <c r="F3232" s="8"/>
    </row>
    <row r="3233" ht="21.0" customHeight="1">
      <c r="A3233" s="6">
        <v>10.0</v>
      </c>
      <c r="B3233" s="6">
        <v>1071.0</v>
      </c>
      <c r="C3233" s="6">
        <v>10.0</v>
      </c>
      <c r="D3233" s="15" t="s">
        <v>5245</v>
      </c>
      <c r="E3233" s="9" t="s">
        <v>5246</v>
      </c>
      <c r="F3233" s="8"/>
    </row>
    <row r="3234" ht="21.0" customHeight="1">
      <c r="A3234" s="6">
        <v>11.0</v>
      </c>
      <c r="B3234" s="6">
        <v>1072.0</v>
      </c>
      <c r="C3234" s="6">
        <v>1.0</v>
      </c>
      <c r="D3234" s="15" t="s">
        <v>5247</v>
      </c>
      <c r="E3234" s="9" t="s">
        <v>5248</v>
      </c>
      <c r="F3234" s="8"/>
    </row>
    <row r="3235" ht="21.0" customHeight="1">
      <c r="A3235" s="6">
        <v>11.0</v>
      </c>
      <c r="B3235" s="6">
        <v>1072.0</v>
      </c>
      <c r="C3235" s="6">
        <v>2.0</v>
      </c>
      <c r="D3235" s="15" t="s">
        <v>5249</v>
      </c>
      <c r="E3235" s="9" t="s">
        <v>5250</v>
      </c>
      <c r="F3235" s="8"/>
    </row>
    <row r="3236" ht="21.0" customHeight="1">
      <c r="A3236" s="6">
        <v>11.0</v>
      </c>
      <c r="B3236" s="6">
        <v>1072.0</v>
      </c>
      <c r="C3236" s="6">
        <v>3.0</v>
      </c>
      <c r="D3236" s="15" t="s">
        <v>5251</v>
      </c>
      <c r="E3236" s="9" t="s">
        <v>5252</v>
      </c>
      <c r="F3236" s="8"/>
    </row>
    <row r="3237" ht="21.0" customHeight="1">
      <c r="A3237" s="6">
        <v>11.0</v>
      </c>
      <c r="B3237" s="6">
        <v>1072.0</v>
      </c>
      <c r="C3237" s="6">
        <v>4.0</v>
      </c>
      <c r="D3237" s="15" t="s">
        <v>5253</v>
      </c>
      <c r="E3237" s="9" t="s">
        <v>5254</v>
      </c>
      <c r="F3237" s="8"/>
    </row>
    <row r="3238" ht="21.0" customHeight="1">
      <c r="A3238" s="6">
        <v>10.0</v>
      </c>
      <c r="B3238" s="6">
        <v>1072.0</v>
      </c>
      <c r="C3238" s="6">
        <v>5.0</v>
      </c>
      <c r="D3238" s="15" t="s">
        <v>5255</v>
      </c>
      <c r="E3238" s="9" t="s">
        <v>5256</v>
      </c>
      <c r="F3238" s="8"/>
    </row>
    <row r="3239" ht="21.0" customHeight="1">
      <c r="A3239" s="6">
        <v>10.0</v>
      </c>
      <c r="B3239" s="6">
        <v>1072.0</v>
      </c>
      <c r="C3239" s="6">
        <v>6.0</v>
      </c>
      <c r="D3239" s="15" t="s">
        <v>5257</v>
      </c>
      <c r="E3239" s="9" t="s">
        <v>5258</v>
      </c>
      <c r="F3239" s="8"/>
    </row>
    <row r="3240" ht="21.0" customHeight="1">
      <c r="A3240" s="6">
        <v>10.0</v>
      </c>
      <c r="B3240" s="6">
        <v>1072.0</v>
      </c>
      <c r="C3240" s="6">
        <v>7.0</v>
      </c>
      <c r="D3240" s="15" t="s">
        <v>5259</v>
      </c>
      <c r="E3240" s="9" t="s">
        <v>5260</v>
      </c>
      <c r="F3240" s="8"/>
    </row>
    <row r="3241" ht="21.0" customHeight="1">
      <c r="A3241" s="6">
        <v>10.0</v>
      </c>
      <c r="B3241" s="6">
        <v>1072.0</v>
      </c>
      <c r="C3241" s="6">
        <v>8.0</v>
      </c>
      <c r="D3241" s="15" t="s">
        <v>5261</v>
      </c>
      <c r="E3241" s="9" t="s">
        <v>5262</v>
      </c>
      <c r="F3241" s="8"/>
    </row>
    <row r="3242" ht="21.0" customHeight="1">
      <c r="A3242" s="6">
        <v>10.0</v>
      </c>
      <c r="B3242" s="6">
        <v>1072.0</v>
      </c>
      <c r="C3242" s="6">
        <v>9.0</v>
      </c>
      <c r="D3242" s="15" t="s">
        <v>5263</v>
      </c>
      <c r="E3242" s="9" t="s">
        <v>5264</v>
      </c>
      <c r="F3242" s="8"/>
    </row>
    <row r="3243" ht="21.0" customHeight="1">
      <c r="A3243" s="6">
        <v>10.0</v>
      </c>
      <c r="B3243" s="6">
        <v>1072.0</v>
      </c>
      <c r="C3243" s="6">
        <v>10.0</v>
      </c>
      <c r="D3243" s="15" t="s">
        <v>5265</v>
      </c>
      <c r="E3243" s="9" t="s">
        <v>5266</v>
      </c>
      <c r="F3243" s="8"/>
    </row>
    <row r="3244" ht="21.0" customHeight="1">
      <c r="A3244" s="6">
        <v>1.0</v>
      </c>
      <c r="B3244" s="6">
        <v>251.0</v>
      </c>
      <c r="C3244" s="6">
        <v>1.0</v>
      </c>
      <c r="D3244" s="15" t="s">
        <v>5267</v>
      </c>
      <c r="E3244" s="9" t="s">
        <v>5268</v>
      </c>
      <c r="F3244" s="8"/>
    </row>
    <row r="3245" ht="21.0" customHeight="1">
      <c r="A3245" s="6">
        <v>1.0</v>
      </c>
      <c r="B3245" s="6">
        <v>251.0</v>
      </c>
      <c r="C3245" s="6">
        <v>2.0</v>
      </c>
      <c r="D3245" s="15" t="s">
        <v>5269</v>
      </c>
      <c r="E3245" s="9" t="s">
        <v>5270</v>
      </c>
      <c r="F3245" s="8"/>
    </row>
    <row r="3246" ht="21.0" customHeight="1">
      <c r="A3246" s="6">
        <v>1.0</v>
      </c>
      <c r="B3246" s="6">
        <v>251.0</v>
      </c>
      <c r="C3246" s="6">
        <v>3.0</v>
      </c>
      <c r="D3246" s="15" t="s">
        <v>5271</v>
      </c>
      <c r="E3246" s="9" t="s">
        <v>5272</v>
      </c>
      <c r="F3246" s="8"/>
    </row>
    <row r="3247" ht="21.0" customHeight="1">
      <c r="A3247" s="6">
        <v>1.0</v>
      </c>
      <c r="B3247" s="6">
        <v>251.0</v>
      </c>
      <c r="C3247" s="6">
        <v>4.0</v>
      </c>
      <c r="D3247" s="15" t="s">
        <v>5273</v>
      </c>
      <c r="E3247" s="9" t="s">
        <v>5274</v>
      </c>
      <c r="F3247" s="8"/>
    </row>
    <row r="3248" ht="21.0" customHeight="1">
      <c r="A3248" s="6">
        <v>1.0</v>
      </c>
      <c r="B3248" s="6">
        <v>251.0</v>
      </c>
      <c r="C3248" s="6">
        <v>5.0</v>
      </c>
      <c r="D3248" s="15" t="s">
        <v>5275</v>
      </c>
      <c r="E3248" s="9" t="s">
        <v>5276</v>
      </c>
      <c r="F3248" s="8"/>
    </row>
    <row r="3249" ht="21.0" customHeight="1">
      <c r="A3249" s="6">
        <v>1.0</v>
      </c>
      <c r="B3249" s="6">
        <v>251.0</v>
      </c>
      <c r="C3249" s="6">
        <v>6.0</v>
      </c>
      <c r="D3249" s="15" t="s">
        <v>5277</v>
      </c>
      <c r="E3249" s="9" t="s">
        <v>5278</v>
      </c>
      <c r="F3249" s="8"/>
    </row>
    <row r="3250" ht="21.0" customHeight="1">
      <c r="A3250" s="6">
        <v>1.0</v>
      </c>
      <c r="B3250" s="6">
        <v>251.0</v>
      </c>
      <c r="C3250" s="6">
        <v>7.0</v>
      </c>
      <c r="D3250" s="15" t="s">
        <v>5279</v>
      </c>
      <c r="E3250" s="9" t="s">
        <v>5280</v>
      </c>
      <c r="F3250" s="8"/>
    </row>
    <row r="3251" ht="21.0" customHeight="1">
      <c r="A3251" s="6">
        <v>1.0</v>
      </c>
      <c r="B3251" s="6">
        <v>251.0</v>
      </c>
      <c r="C3251" s="6">
        <v>8.0</v>
      </c>
      <c r="D3251" s="15" t="s">
        <v>5281</v>
      </c>
      <c r="E3251" s="9" t="s">
        <v>5282</v>
      </c>
      <c r="F3251" s="8"/>
    </row>
    <row r="3252" ht="21.0" customHeight="1">
      <c r="A3252" s="6">
        <v>1.0</v>
      </c>
      <c r="B3252" s="6">
        <v>251.0</v>
      </c>
      <c r="C3252" s="6">
        <v>9.0</v>
      </c>
      <c r="D3252" s="15" t="s">
        <v>5283</v>
      </c>
      <c r="E3252" s="9" t="s">
        <v>5284</v>
      </c>
      <c r="F3252" s="8"/>
    </row>
    <row r="3253" ht="21.0" customHeight="1">
      <c r="A3253" s="6">
        <v>1.0</v>
      </c>
      <c r="B3253" s="6">
        <v>251.0</v>
      </c>
      <c r="C3253" s="6">
        <v>10.0</v>
      </c>
      <c r="D3253" s="15" t="s">
        <v>5285</v>
      </c>
      <c r="E3253" s="9" t="s">
        <v>5286</v>
      </c>
      <c r="F3253" s="8"/>
    </row>
    <row r="3254" ht="21.0" customHeight="1">
      <c r="A3254" s="6">
        <v>1.0</v>
      </c>
      <c r="B3254" s="6">
        <v>251.0</v>
      </c>
      <c r="C3254" s="6">
        <v>11.0</v>
      </c>
      <c r="D3254" s="15" t="s">
        <v>5287</v>
      </c>
      <c r="E3254" s="9" t="s">
        <v>5288</v>
      </c>
      <c r="F3254" s="8"/>
    </row>
    <row r="3255" ht="21.0" customHeight="1">
      <c r="A3255" s="6">
        <v>1.0</v>
      </c>
      <c r="B3255" s="6">
        <v>251.0</v>
      </c>
      <c r="C3255" s="6">
        <v>12.0</v>
      </c>
      <c r="D3255" s="15" t="s">
        <v>5289</v>
      </c>
      <c r="E3255" s="9" t="s">
        <v>5290</v>
      </c>
      <c r="F3255" s="8"/>
    </row>
    <row r="3256" ht="21.0" customHeight="1">
      <c r="A3256" s="6">
        <v>1.0</v>
      </c>
      <c r="B3256" s="6">
        <v>251.0</v>
      </c>
      <c r="C3256" s="6">
        <v>13.0</v>
      </c>
      <c r="D3256" s="15" t="s">
        <v>5291</v>
      </c>
      <c r="E3256" s="9" t="s">
        <v>5292</v>
      </c>
      <c r="F3256" s="8"/>
    </row>
    <row r="3257" ht="21.0" customHeight="1">
      <c r="A3257" s="6">
        <v>1.0</v>
      </c>
      <c r="B3257" s="6">
        <v>252.0</v>
      </c>
      <c r="C3257" s="6">
        <v>1.0</v>
      </c>
      <c r="D3257" s="15" t="s">
        <v>5293</v>
      </c>
      <c r="E3257" s="9" t="s">
        <v>5294</v>
      </c>
      <c r="F3257" s="8"/>
    </row>
    <row r="3258" ht="21.0" customHeight="1">
      <c r="A3258" s="6">
        <v>1.0</v>
      </c>
      <c r="B3258" s="6">
        <v>252.0</v>
      </c>
      <c r="C3258" s="6">
        <v>2.0</v>
      </c>
      <c r="D3258" s="15" t="s">
        <v>5295</v>
      </c>
      <c r="E3258" s="9" t="s">
        <v>5296</v>
      </c>
      <c r="F3258" s="8"/>
    </row>
    <row r="3259" ht="21.0" customHeight="1">
      <c r="A3259" s="6">
        <v>1.0</v>
      </c>
      <c r="B3259" s="6">
        <v>252.0</v>
      </c>
      <c r="C3259" s="6">
        <v>3.0</v>
      </c>
      <c r="D3259" s="9" t="s">
        <v>5297</v>
      </c>
      <c r="E3259" s="9" t="s">
        <v>5298</v>
      </c>
      <c r="F3259" s="8"/>
    </row>
    <row r="3260" ht="21.0" customHeight="1">
      <c r="A3260" s="6">
        <v>1.0</v>
      </c>
      <c r="B3260" s="6">
        <v>252.0</v>
      </c>
      <c r="C3260" s="6">
        <v>4.0</v>
      </c>
      <c r="D3260" s="15" t="s">
        <v>5299</v>
      </c>
      <c r="E3260" s="9" t="s">
        <v>5300</v>
      </c>
      <c r="F3260" s="8"/>
    </row>
    <row r="3261" ht="21.0" customHeight="1">
      <c r="A3261" s="6">
        <v>1.0</v>
      </c>
      <c r="B3261" s="6">
        <v>252.0</v>
      </c>
      <c r="C3261" s="6">
        <v>5.0</v>
      </c>
      <c r="D3261" s="15" t="s">
        <v>5301</v>
      </c>
      <c r="E3261" s="9" t="s">
        <v>5302</v>
      </c>
      <c r="F3261" s="8"/>
    </row>
    <row r="3262" ht="21.0" customHeight="1">
      <c r="A3262" s="6">
        <v>1.0</v>
      </c>
      <c r="B3262" s="6">
        <v>252.0</v>
      </c>
      <c r="C3262" s="6">
        <v>6.0</v>
      </c>
      <c r="D3262" s="15" t="s">
        <v>5303</v>
      </c>
      <c r="E3262" s="9" t="s">
        <v>5304</v>
      </c>
      <c r="F3262" s="8"/>
    </row>
    <row r="3263" ht="21.0" customHeight="1">
      <c r="A3263" s="6">
        <v>1.0</v>
      </c>
      <c r="B3263" s="6">
        <v>252.0</v>
      </c>
      <c r="C3263" s="6">
        <v>7.0</v>
      </c>
      <c r="D3263" s="15" t="s">
        <v>5305</v>
      </c>
      <c r="E3263" s="9" t="s">
        <v>5306</v>
      </c>
      <c r="F3263" s="8"/>
    </row>
    <row r="3264" ht="21.0" customHeight="1">
      <c r="A3264" s="6">
        <v>1.0</v>
      </c>
      <c r="B3264" s="6">
        <v>252.0</v>
      </c>
      <c r="C3264" s="6">
        <v>8.0</v>
      </c>
      <c r="D3264" s="15" t="s">
        <v>5307</v>
      </c>
      <c r="E3264" s="9" t="s">
        <v>5308</v>
      </c>
      <c r="F3264" s="8"/>
    </row>
    <row r="3265" ht="21.0" customHeight="1">
      <c r="A3265" s="6">
        <v>1.0</v>
      </c>
      <c r="B3265" s="6">
        <v>252.0</v>
      </c>
      <c r="C3265" s="6">
        <v>9.0</v>
      </c>
      <c r="D3265" s="15" t="s">
        <v>5309</v>
      </c>
      <c r="E3265" s="9" t="s">
        <v>5310</v>
      </c>
      <c r="F3265" s="8"/>
    </row>
    <row r="3266" ht="21.0" customHeight="1">
      <c r="A3266" s="6">
        <v>1.0</v>
      </c>
      <c r="B3266" s="6">
        <v>252.0</v>
      </c>
      <c r="C3266" s="6">
        <v>10.0</v>
      </c>
      <c r="D3266" s="15" t="s">
        <v>5311</v>
      </c>
      <c r="E3266" s="9" t="s">
        <v>5312</v>
      </c>
      <c r="F3266" s="8"/>
    </row>
    <row r="3267" ht="21.0" customHeight="1">
      <c r="A3267" s="6">
        <v>1.0</v>
      </c>
      <c r="B3267" s="6">
        <v>252.0</v>
      </c>
      <c r="C3267" s="6">
        <v>11.0</v>
      </c>
      <c r="D3267" s="15" t="s">
        <v>5313</v>
      </c>
      <c r="E3267" s="9" t="s">
        <v>5314</v>
      </c>
      <c r="F3267" s="8"/>
    </row>
    <row r="3268" ht="21.0" customHeight="1">
      <c r="A3268" s="6">
        <v>1.0</v>
      </c>
      <c r="B3268" s="6">
        <v>252.0</v>
      </c>
      <c r="C3268" s="6">
        <v>12.0</v>
      </c>
      <c r="D3268" s="15" t="s">
        <v>5315</v>
      </c>
      <c r="E3268" s="9" t="s">
        <v>5316</v>
      </c>
      <c r="F3268" s="8"/>
    </row>
    <row r="3269" ht="21.0" customHeight="1">
      <c r="A3269" s="6">
        <v>1.0</v>
      </c>
      <c r="B3269" s="6">
        <v>252.0</v>
      </c>
      <c r="C3269" s="6">
        <v>13.0</v>
      </c>
      <c r="D3269" s="15" t="s">
        <v>5317</v>
      </c>
      <c r="E3269" s="9" t="s">
        <v>5318</v>
      </c>
      <c r="F3269" s="8"/>
    </row>
    <row r="3270" ht="21.0" customHeight="1">
      <c r="A3270" s="6">
        <v>1.0</v>
      </c>
      <c r="B3270" s="6">
        <v>253.0</v>
      </c>
      <c r="C3270" s="6">
        <v>1.0</v>
      </c>
      <c r="D3270" s="15" t="s">
        <v>5319</v>
      </c>
      <c r="E3270" s="9" t="s">
        <v>5320</v>
      </c>
      <c r="F3270" s="8"/>
    </row>
    <row r="3271" ht="21.0" customHeight="1">
      <c r="A3271" s="6">
        <v>1.0</v>
      </c>
      <c r="B3271" s="6">
        <v>253.0</v>
      </c>
      <c r="C3271" s="6">
        <v>2.0</v>
      </c>
      <c r="D3271" s="15" t="s">
        <v>5321</v>
      </c>
      <c r="E3271" s="9" t="s">
        <v>5322</v>
      </c>
      <c r="F3271" s="8"/>
    </row>
    <row r="3272" ht="21.0" customHeight="1">
      <c r="A3272" s="6">
        <v>1.0</v>
      </c>
      <c r="B3272" s="6">
        <v>253.0</v>
      </c>
      <c r="C3272" s="6">
        <v>3.0</v>
      </c>
      <c r="D3272" s="15" t="s">
        <v>5323</v>
      </c>
      <c r="E3272" s="9" t="s">
        <v>5324</v>
      </c>
      <c r="F3272" s="8"/>
    </row>
    <row r="3273" ht="21.0" customHeight="1">
      <c r="A3273" s="6">
        <v>1.0</v>
      </c>
      <c r="B3273" s="6">
        <v>253.0</v>
      </c>
      <c r="C3273" s="6">
        <v>4.0</v>
      </c>
      <c r="D3273" s="15" t="s">
        <v>5325</v>
      </c>
      <c r="E3273" s="9" t="s">
        <v>5326</v>
      </c>
      <c r="F3273" s="8"/>
    </row>
    <row r="3274" ht="21.0" customHeight="1">
      <c r="A3274" s="6">
        <v>1.0</v>
      </c>
      <c r="B3274" s="6">
        <v>253.0</v>
      </c>
      <c r="C3274" s="6">
        <v>5.0</v>
      </c>
      <c r="D3274" s="15" t="s">
        <v>5327</v>
      </c>
      <c r="E3274" s="9" t="s">
        <v>5328</v>
      </c>
      <c r="F3274" s="8"/>
    </row>
    <row r="3275" ht="21.0" customHeight="1">
      <c r="A3275" s="6">
        <v>1.0</v>
      </c>
      <c r="B3275" s="6">
        <v>253.0</v>
      </c>
      <c r="C3275" s="6">
        <v>6.0</v>
      </c>
      <c r="D3275" s="15" t="s">
        <v>5329</v>
      </c>
      <c r="E3275" s="9" t="s">
        <v>5330</v>
      </c>
      <c r="F3275" s="8"/>
    </row>
    <row r="3276" ht="21.0" customHeight="1">
      <c r="A3276" s="6">
        <v>1.0</v>
      </c>
      <c r="B3276" s="6">
        <v>253.0</v>
      </c>
      <c r="C3276" s="6">
        <v>7.0</v>
      </c>
      <c r="D3276" s="15" t="s">
        <v>5331</v>
      </c>
      <c r="E3276" s="9" t="s">
        <v>5332</v>
      </c>
      <c r="F3276" s="8"/>
    </row>
    <row r="3277" ht="21.0" customHeight="1">
      <c r="A3277" s="6">
        <v>1.0</v>
      </c>
      <c r="B3277" s="6">
        <v>253.0</v>
      </c>
      <c r="C3277" s="6">
        <v>8.0</v>
      </c>
      <c r="D3277" s="15" t="s">
        <v>5333</v>
      </c>
      <c r="E3277" s="9" t="s">
        <v>5334</v>
      </c>
      <c r="F3277" s="8"/>
    </row>
    <row r="3278" ht="21.0" customHeight="1">
      <c r="A3278" s="6">
        <v>1.0</v>
      </c>
      <c r="B3278" s="6">
        <v>253.0</v>
      </c>
      <c r="C3278" s="6">
        <v>9.0</v>
      </c>
      <c r="D3278" s="15" t="s">
        <v>5335</v>
      </c>
      <c r="E3278" s="9" t="s">
        <v>5336</v>
      </c>
      <c r="F3278" s="8"/>
    </row>
    <row r="3279" ht="21.0" customHeight="1">
      <c r="A3279" s="6">
        <v>1.0</v>
      </c>
      <c r="B3279" s="6">
        <v>253.0</v>
      </c>
      <c r="C3279" s="6">
        <v>10.0</v>
      </c>
      <c r="D3279" s="15" t="s">
        <v>5337</v>
      </c>
      <c r="E3279" s="9" t="s">
        <v>5338</v>
      </c>
      <c r="F3279" s="8"/>
    </row>
    <row r="3280" ht="21.0" customHeight="1">
      <c r="A3280" s="6">
        <v>1.0</v>
      </c>
      <c r="B3280" s="6">
        <v>253.0</v>
      </c>
      <c r="C3280" s="6">
        <v>11.0</v>
      </c>
      <c r="D3280" s="15" t="s">
        <v>5339</v>
      </c>
      <c r="E3280" s="9" t="s">
        <v>5340</v>
      </c>
      <c r="F3280" s="8"/>
    </row>
    <row r="3281" ht="21.0" customHeight="1">
      <c r="A3281" s="6">
        <v>1.0</v>
      </c>
      <c r="B3281" s="6">
        <v>253.0</v>
      </c>
      <c r="C3281" s="6">
        <v>12.0</v>
      </c>
      <c r="D3281" s="15" t="s">
        <v>5341</v>
      </c>
      <c r="E3281" s="9" t="s">
        <v>5342</v>
      </c>
      <c r="F3281" s="8"/>
    </row>
    <row r="3282" ht="21.0" customHeight="1">
      <c r="A3282" s="6">
        <v>1.0</v>
      </c>
      <c r="B3282" s="6">
        <v>253.0</v>
      </c>
      <c r="C3282" s="6">
        <v>13.0</v>
      </c>
      <c r="D3282" s="15" t="s">
        <v>5343</v>
      </c>
      <c r="E3282" s="9" t="s">
        <v>5344</v>
      </c>
      <c r="F3282" s="8"/>
    </row>
    <row r="3283" ht="21.0" customHeight="1">
      <c r="A3283" s="6">
        <v>11.0</v>
      </c>
      <c r="B3283" s="58">
        <v>1073.0</v>
      </c>
      <c r="C3283" s="6">
        <v>1.0</v>
      </c>
      <c r="D3283" s="15" t="s">
        <v>5345</v>
      </c>
      <c r="E3283" s="9" t="s">
        <v>5346</v>
      </c>
      <c r="F3283" s="8"/>
    </row>
    <row r="3284" ht="21.0" customHeight="1">
      <c r="A3284" s="6">
        <v>11.0</v>
      </c>
      <c r="B3284" s="58">
        <v>1073.0</v>
      </c>
      <c r="C3284" s="6">
        <v>2.0</v>
      </c>
      <c r="D3284" s="15" t="s">
        <v>5347</v>
      </c>
      <c r="E3284" s="9" t="s">
        <v>5348</v>
      </c>
      <c r="F3284" s="8"/>
    </row>
    <row r="3285" ht="21.0" customHeight="1">
      <c r="A3285" s="6">
        <v>11.0</v>
      </c>
      <c r="B3285" s="58">
        <v>1073.0</v>
      </c>
      <c r="C3285" s="6">
        <v>3.0</v>
      </c>
      <c r="D3285" s="15" t="s">
        <v>5349</v>
      </c>
      <c r="E3285" s="9" t="s">
        <v>5350</v>
      </c>
      <c r="F3285" s="8"/>
    </row>
    <row r="3286" ht="21.0" customHeight="1">
      <c r="A3286" s="6">
        <v>11.0</v>
      </c>
      <c r="B3286" s="58">
        <v>1073.0</v>
      </c>
      <c r="C3286" s="6">
        <v>4.0</v>
      </c>
      <c r="D3286" s="15" t="s">
        <v>5351</v>
      </c>
      <c r="E3286" s="9" t="s">
        <v>5352</v>
      </c>
      <c r="F3286" s="8"/>
    </row>
    <row r="3287" ht="21.0" customHeight="1">
      <c r="A3287" s="6">
        <v>10.0</v>
      </c>
      <c r="B3287" s="58">
        <v>1073.0</v>
      </c>
      <c r="C3287" s="6">
        <v>5.0</v>
      </c>
      <c r="D3287" s="15" t="s">
        <v>5353</v>
      </c>
      <c r="E3287" s="9" t="s">
        <v>5354</v>
      </c>
      <c r="F3287" s="8"/>
    </row>
    <row r="3288" ht="21.0" customHeight="1">
      <c r="A3288" s="6">
        <v>10.0</v>
      </c>
      <c r="B3288" s="58">
        <v>1073.0</v>
      </c>
      <c r="C3288" s="6">
        <v>6.0</v>
      </c>
      <c r="D3288" s="15" t="s">
        <v>5355</v>
      </c>
      <c r="E3288" s="9" t="s">
        <v>5356</v>
      </c>
      <c r="F3288" s="8"/>
    </row>
    <row r="3289" ht="21.0" customHeight="1">
      <c r="A3289" s="6">
        <v>10.0</v>
      </c>
      <c r="B3289" s="58">
        <v>1073.0</v>
      </c>
      <c r="C3289" s="6">
        <v>7.0</v>
      </c>
      <c r="D3289" s="15" t="s">
        <v>5357</v>
      </c>
      <c r="E3289" s="9" t="s">
        <v>5358</v>
      </c>
      <c r="F3289" s="8"/>
    </row>
    <row r="3290" ht="21.0" customHeight="1">
      <c r="A3290" s="6">
        <v>10.0</v>
      </c>
      <c r="B3290" s="58">
        <v>1073.0</v>
      </c>
      <c r="C3290" s="6">
        <v>8.0</v>
      </c>
      <c r="D3290" s="15" t="s">
        <v>5359</v>
      </c>
      <c r="E3290" s="9" t="s">
        <v>5360</v>
      </c>
      <c r="F3290" s="8"/>
    </row>
    <row r="3291" ht="21.0" customHeight="1">
      <c r="A3291" s="6">
        <v>10.0</v>
      </c>
      <c r="B3291" s="58">
        <v>1073.0</v>
      </c>
      <c r="C3291" s="6">
        <v>9.0</v>
      </c>
      <c r="D3291" s="15" t="s">
        <v>5361</v>
      </c>
      <c r="E3291" s="9" t="s">
        <v>5362</v>
      </c>
      <c r="F3291" s="8"/>
    </row>
    <row r="3292" ht="21.0" customHeight="1">
      <c r="A3292" s="6">
        <v>10.0</v>
      </c>
      <c r="B3292" s="58">
        <v>1073.0</v>
      </c>
      <c r="C3292" s="6">
        <v>10.0</v>
      </c>
      <c r="D3292" s="15" t="s">
        <v>5363</v>
      </c>
      <c r="E3292" s="9" t="s">
        <v>5364</v>
      </c>
      <c r="F3292" s="8"/>
    </row>
    <row r="3293" ht="21.0" customHeight="1">
      <c r="A3293" s="6">
        <v>1.0</v>
      </c>
      <c r="B3293" s="6">
        <v>254.0</v>
      </c>
      <c r="C3293" s="6">
        <v>1.0</v>
      </c>
      <c r="D3293" s="15" t="s">
        <v>5365</v>
      </c>
      <c r="E3293" s="9" t="s">
        <v>5366</v>
      </c>
      <c r="F3293" s="8"/>
    </row>
    <row r="3294" ht="21.0" customHeight="1">
      <c r="A3294" s="6">
        <v>1.0</v>
      </c>
      <c r="B3294" s="6">
        <v>254.0</v>
      </c>
      <c r="C3294" s="6">
        <v>2.0</v>
      </c>
      <c r="D3294" s="15" t="s">
        <v>5367</v>
      </c>
      <c r="E3294" s="9" t="s">
        <v>5368</v>
      </c>
      <c r="F3294" s="8"/>
    </row>
    <row r="3295" ht="21.0" customHeight="1">
      <c r="A3295" s="6">
        <v>1.0</v>
      </c>
      <c r="B3295" s="6">
        <v>254.0</v>
      </c>
      <c r="C3295" s="6">
        <v>3.0</v>
      </c>
      <c r="D3295" s="15" t="s">
        <v>5369</v>
      </c>
      <c r="E3295" s="9" t="s">
        <v>5370</v>
      </c>
      <c r="F3295" s="8"/>
    </row>
    <row r="3296" ht="21.0" customHeight="1">
      <c r="A3296" s="6">
        <v>1.0</v>
      </c>
      <c r="B3296" s="6">
        <v>254.0</v>
      </c>
      <c r="C3296" s="6">
        <v>4.0</v>
      </c>
      <c r="D3296" s="15" t="s">
        <v>5371</v>
      </c>
      <c r="E3296" s="9" t="s">
        <v>5372</v>
      </c>
      <c r="F3296" s="8"/>
    </row>
    <row r="3297" ht="21.0" customHeight="1">
      <c r="A3297" s="6">
        <v>1.0</v>
      </c>
      <c r="B3297" s="6">
        <v>254.0</v>
      </c>
      <c r="C3297" s="6">
        <v>5.0</v>
      </c>
      <c r="D3297" s="15" t="s">
        <v>5373</v>
      </c>
      <c r="E3297" s="9" t="s">
        <v>5374</v>
      </c>
      <c r="F3297" s="8"/>
    </row>
    <row r="3298" ht="21.0" customHeight="1">
      <c r="A3298" s="6">
        <v>1.0</v>
      </c>
      <c r="B3298" s="6">
        <v>254.0</v>
      </c>
      <c r="C3298" s="6">
        <v>6.0</v>
      </c>
      <c r="D3298" s="15" t="s">
        <v>5375</v>
      </c>
      <c r="E3298" s="9" t="s">
        <v>5376</v>
      </c>
      <c r="F3298" s="8"/>
    </row>
    <row r="3299" ht="21.0" customHeight="1">
      <c r="A3299" s="6">
        <v>1.0</v>
      </c>
      <c r="B3299" s="6">
        <v>254.0</v>
      </c>
      <c r="C3299" s="6">
        <v>7.0</v>
      </c>
      <c r="D3299" s="15" t="s">
        <v>5377</v>
      </c>
      <c r="E3299" s="9" t="s">
        <v>5378</v>
      </c>
      <c r="F3299" s="8"/>
    </row>
    <row r="3300" ht="21.0" customHeight="1">
      <c r="A3300" s="6">
        <v>1.0</v>
      </c>
      <c r="B3300" s="6">
        <v>254.0</v>
      </c>
      <c r="C3300" s="6">
        <v>8.0</v>
      </c>
      <c r="D3300" s="15" t="s">
        <v>5379</v>
      </c>
      <c r="E3300" s="9" t="s">
        <v>5380</v>
      </c>
      <c r="F3300" s="8"/>
    </row>
    <row r="3301" ht="21.0" customHeight="1">
      <c r="A3301" s="6">
        <v>1.0</v>
      </c>
      <c r="B3301" s="6">
        <v>254.0</v>
      </c>
      <c r="C3301" s="6">
        <v>9.0</v>
      </c>
      <c r="D3301" s="15" t="s">
        <v>5381</v>
      </c>
      <c r="E3301" s="9" t="s">
        <v>5382</v>
      </c>
      <c r="F3301" s="8"/>
    </row>
    <row r="3302" ht="21.0" customHeight="1">
      <c r="A3302" s="6">
        <v>1.0</v>
      </c>
      <c r="B3302" s="6">
        <v>254.0</v>
      </c>
      <c r="C3302" s="6">
        <v>10.0</v>
      </c>
      <c r="D3302" s="15" t="s">
        <v>5383</v>
      </c>
      <c r="E3302" s="9" t="s">
        <v>5384</v>
      </c>
      <c r="F3302" s="8"/>
    </row>
    <row r="3303" ht="21.0" customHeight="1">
      <c r="A3303" s="6">
        <v>1.0</v>
      </c>
      <c r="B3303" s="6">
        <v>254.0</v>
      </c>
      <c r="C3303" s="6">
        <v>11.0</v>
      </c>
      <c r="D3303" s="15" t="s">
        <v>5385</v>
      </c>
      <c r="E3303" s="9" t="s">
        <v>5386</v>
      </c>
      <c r="F3303" s="8"/>
    </row>
    <row r="3304" ht="21.0" customHeight="1">
      <c r="A3304" s="6">
        <v>1.0</v>
      </c>
      <c r="B3304" s="6">
        <v>254.0</v>
      </c>
      <c r="C3304" s="6">
        <v>12.0</v>
      </c>
      <c r="D3304" s="15" t="s">
        <v>5387</v>
      </c>
      <c r="E3304" s="9" t="s">
        <v>5388</v>
      </c>
      <c r="F3304" s="8"/>
    </row>
    <row r="3305" ht="21.0" customHeight="1">
      <c r="A3305" s="6">
        <v>1.0</v>
      </c>
      <c r="B3305" s="6">
        <v>254.0</v>
      </c>
      <c r="C3305" s="6">
        <v>13.0</v>
      </c>
      <c r="D3305" s="9" t="s">
        <v>5389</v>
      </c>
      <c r="E3305" s="9" t="s">
        <v>5390</v>
      </c>
      <c r="F3305" s="8"/>
    </row>
    <row r="3306" ht="21.0" customHeight="1">
      <c r="A3306" s="6">
        <v>1.0</v>
      </c>
      <c r="B3306" s="6">
        <v>255.0</v>
      </c>
      <c r="C3306" s="6">
        <v>1.0</v>
      </c>
      <c r="D3306" s="15" t="s">
        <v>5391</v>
      </c>
      <c r="E3306" s="9" t="s">
        <v>5392</v>
      </c>
      <c r="F3306" s="8"/>
    </row>
    <row r="3307" ht="21.0" customHeight="1">
      <c r="A3307" s="6">
        <v>1.0</v>
      </c>
      <c r="B3307" s="6">
        <v>255.0</v>
      </c>
      <c r="C3307" s="6">
        <v>2.0</v>
      </c>
      <c r="D3307" s="15" t="s">
        <v>5393</v>
      </c>
      <c r="E3307" s="9" t="s">
        <v>5394</v>
      </c>
      <c r="F3307" s="8"/>
    </row>
    <row r="3308" ht="21.0" customHeight="1">
      <c r="A3308" s="6">
        <v>1.0</v>
      </c>
      <c r="B3308" s="6">
        <v>255.0</v>
      </c>
      <c r="C3308" s="6">
        <v>3.0</v>
      </c>
      <c r="D3308" s="15" t="s">
        <v>5395</v>
      </c>
      <c r="E3308" s="9" t="s">
        <v>5396</v>
      </c>
      <c r="F3308" s="8"/>
    </row>
    <row r="3309" ht="21.0" customHeight="1">
      <c r="A3309" s="6">
        <v>1.0</v>
      </c>
      <c r="B3309" s="6">
        <v>255.0</v>
      </c>
      <c r="C3309" s="6">
        <v>4.0</v>
      </c>
      <c r="D3309" s="15" t="s">
        <v>5397</v>
      </c>
      <c r="E3309" s="9" t="s">
        <v>5398</v>
      </c>
      <c r="F3309" s="8"/>
    </row>
    <row r="3310" ht="21.0" customHeight="1">
      <c r="A3310" s="6">
        <v>1.0</v>
      </c>
      <c r="B3310" s="6">
        <v>255.0</v>
      </c>
      <c r="C3310" s="6">
        <v>5.0</v>
      </c>
      <c r="D3310" s="15" t="s">
        <v>5399</v>
      </c>
      <c r="E3310" s="9" t="s">
        <v>5400</v>
      </c>
      <c r="F3310" s="8"/>
    </row>
    <row r="3311" ht="21.0" customHeight="1">
      <c r="A3311" s="6">
        <v>1.0</v>
      </c>
      <c r="B3311" s="6">
        <v>255.0</v>
      </c>
      <c r="C3311" s="6">
        <v>6.0</v>
      </c>
      <c r="D3311" s="15" t="s">
        <v>5401</v>
      </c>
      <c r="E3311" s="9" t="s">
        <v>5402</v>
      </c>
      <c r="F3311" s="8"/>
    </row>
    <row r="3312" ht="21.0" customHeight="1">
      <c r="A3312" s="6">
        <v>1.0</v>
      </c>
      <c r="B3312" s="6">
        <v>255.0</v>
      </c>
      <c r="C3312" s="6">
        <v>7.0</v>
      </c>
      <c r="D3312" s="15" t="s">
        <v>5403</v>
      </c>
      <c r="E3312" s="9" t="s">
        <v>5404</v>
      </c>
      <c r="F3312" s="8"/>
    </row>
    <row r="3313" ht="21.0" customHeight="1">
      <c r="A3313" s="6">
        <v>1.0</v>
      </c>
      <c r="B3313" s="6">
        <v>255.0</v>
      </c>
      <c r="C3313" s="6">
        <v>8.0</v>
      </c>
      <c r="D3313" s="15" t="s">
        <v>5405</v>
      </c>
      <c r="E3313" s="9" t="s">
        <v>5406</v>
      </c>
      <c r="F3313" s="8"/>
    </row>
    <row r="3314" ht="21.0" customHeight="1">
      <c r="A3314" s="6">
        <v>1.0</v>
      </c>
      <c r="B3314" s="6">
        <v>255.0</v>
      </c>
      <c r="C3314" s="6">
        <v>9.0</v>
      </c>
      <c r="D3314" s="15" t="s">
        <v>5407</v>
      </c>
      <c r="E3314" s="9" t="s">
        <v>5408</v>
      </c>
      <c r="F3314" s="8"/>
    </row>
    <row r="3315" ht="21.0" customHeight="1">
      <c r="A3315" s="6">
        <v>1.0</v>
      </c>
      <c r="B3315" s="6">
        <v>255.0</v>
      </c>
      <c r="C3315" s="6">
        <v>10.0</v>
      </c>
      <c r="D3315" s="15" t="s">
        <v>5409</v>
      </c>
      <c r="E3315" s="9" t="s">
        <v>5410</v>
      </c>
      <c r="F3315" s="8"/>
    </row>
    <row r="3316" ht="21.0" customHeight="1">
      <c r="A3316" s="6">
        <v>1.0</v>
      </c>
      <c r="B3316" s="6">
        <v>255.0</v>
      </c>
      <c r="C3316" s="6">
        <v>11.0</v>
      </c>
      <c r="D3316" s="15" t="s">
        <v>5411</v>
      </c>
      <c r="E3316" s="9" t="s">
        <v>5412</v>
      </c>
      <c r="F3316" s="8"/>
    </row>
    <row r="3317" ht="21.0" customHeight="1">
      <c r="A3317" s="6">
        <v>1.0</v>
      </c>
      <c r="B3317" s="6">
        <v>255.0</v>
      </c>
      <c r="C3317" s="6">
        <v>12.0</v>
      </c>
      <c r="D3317" s="15" t="s">
        <v>5413</v>
      </c>
      <c r="E3317" s="9" t="s">
        <v>5414</v>
      </c>
      <c r="F3317" s="8"/>
    </row>
    <row r="3318" ht="21.0" customHeight="1">
      <c r="A3318" s="6">
        <v>1.0</v>
      </c>
      <c r="B3318" s="6">
        <v>255.0</v>
      </c>
      <c r="C3318" s="6">
        <v>13.0</v>
      </c>
      <c r="D3318" s="15" t="s">
        <v>5415</v>
      </c>
      <c r="E3318" s="9" t="s">
        <v>5416</v>
      </c>
      <c r="F3318" s="8"/>
    </row>
    <row r="3319" ht="21.0" customHeight="1">
      <c r="A3319" s="6">
        <v>1.0</v>
      </c>
      <c r="B3319" s="6">
        <v>256.0</v>
      </c>
      <c r="C3319" s="6">
        <v>1.0</v>
      </c>
      <c r="D3319" s="15" t="s">
        <v>5417</v>
      </c>
      <c r="E3319" s="9" t="s">
        <v>5418</v>
      </c>
      <c r="F3319" s="8"/>
    </row>
    <row r="3320" ht="21.0" customHeight="1">
      <c r="A3320" s="6">
        <v>1.0</v>
      </c>
      <c r="B3320" s="6">
        <v>256.0</v>
      </c>
      <c r="C3320" s="6">
        <v>2.0</v>
      </c>
      <c r="D3320" s="15" t="s">
        <v>5419</v>
      </c>
      <c r="E3320" s="9" t="s">
        <v>5420</v>
      </c>
      <c r="F3320" s="8"/>
    </row>
    <row r="3321" ht="21.0" customHeight="1">
      <c r="A3321" s="6">
        <v>1.0</v>
      </c>
      <c r="B3321" s="6">
        <v>256.0</v>
      </c>
      <c r="C3321" s="6">
        <v>3.0</v>
      </c>
      <c r="D3321" s="15" t="s">
        <v>5421</v>
      </c>
      <c r="E3321" s="9" t="s">
        <v>5422</v>
      </c>
      <c r="F3321" s="8"/>
    </row>
    <row r="3322" ht="21.0" customHeight="1">
      <c r="A3322" s="6">
        <v>1.0</v>
      </c>
      <c r="B3322" s="6">
        <v>256.0</v>
      </c>
      <c r="C3322" s="6">
        <v>4.0</v>
      </c>
      <c r="D3322" s="15" t="s">
        <v>5423</v>
      </c>
      <c r="E3322" s="9" t="s">
        <v>5424</v>
      </c>
      <c r="F3322" s="8"/>
    </row>
    <row r="3323" ht="21.0" customHeight="1">
      <c r="A3323" s="6">
        <v>1.0</v>
      </c>
      <c r="B3323" s="6">
        <v>256.0</v>
      </c>
      <c r="C3323" s="6">
        <v>5.0</v>
      </c>
      <c r="D3323" s="15" t="s">
        <v>5425</v>
      </c>
      <c r="E3323" s="9" t="s">
        <v>5426</v>
      </c>
      <c r="F3323" s="8"/>
    </row>
    <row r="3324" ht="21.0" customHeight="1">
      <c r="A3324" s="6">
        <v>1.0</v>
      </c>
      <c r="B3324" s="6">
        <v>256.0</v>
      </c>
      <c r="C3324" s="6">
        <v>6.0</v>
      </c>
      <c r="D3324" s="15" t="s">
        <v>5427</v>
      </c>
      <c r="E3324" s="9" t="s">
        <v>5428</v>
      </c>
      <c r="F3324" s="8"/>
    </row>
    <row r="3325" ht="21.0" customHeight="1">
      <c r="A3325" s="6">
        <v>1.0</v>
      </c>
      <c r="B3325" s="6">
        <v>256.0</v>
      </c>
      <c r="C3325" s="6">
        <v>7.0</v>
      </c>
      <c r="D3325" s="15" t="s">
        <v>5429</v>
      </c>
      <c r="E3325" s="9" t="s">
        <v>5430</v>
      </c>
      <c r="F3325" s="8"/>
    </row>
    <row r="3326" ht="21.0" customHeight="1">
      <c r="A3326" s="6">
        <v>1.0</v>
      </c>
      <c r="B3326" s="6">
        <v>256.0</v>
      </c>
      <c r="C3326" s="6">
        <v>8.0</v>
      </c>
      <c r="D3326" s="15" t="s">
        <v>5431</v>
      </c>
      <c r="E3326" s="9" t="s">
        <v>5432</v>
      </c>
      <c r="F3326" s="8"/>
    </row>
    <row r="3327" ht="21.0" customHeight="1">
      <c r="A3327" s="6">
        <v>1.0</v>
      </c>
      <c r="B3327" s="6">
        <v>256.0</v>
      </c>
      <c r="C3327" s="6">
        <v>9.0</v>
      </c>
      <c r="D3327" s="15" t="s">
        <v>5433</v>
      </c>
      <c r="E3327" s="9" t="s">
        <v>5434</v>
      </c>
      <c r="F3327" s="8"/>
    </row>
    <row r="3328" ht="21.0" customHeight="1">
      <c r="A3328" s="6">
        <v>1.0</v>
      </c>
      <c r="B3328" s="6">
        <v>256.0</v>
      </c>
      <c r="C3328" s="6">
        <v>10.0</v>
      </c>
      <c r="D3328" s="15" t="s">
        <v>5435</v>
      </c>
      <c r="E3328" s="9" t="s">
        <v>5436</v>
      </c>
      <c r="F3328" s="8"/>
    </row>
    <row r="3329" ht="21.0" customHeight="1">
      <c r="A3329" s="6">
        <v>1.0</v>
      </c>
      <c r="B3329" s="6">
        <v>256.0</v>
      </c>
      <c r="C3329" s="6">
        <v>11.0</v>
      </c>
      <c r="D3329" s="15" t="s">
        <v>5437</v>
      </c>
      <c r="E3329" s="9" t="s">
        <v>5438</v>
      </c>
      <c r="F3329" s="8"/>
    </row>
    <row r="3330" ht="21.0" customHeight="1">
      <c r="A3330" s="6">
        <v>1.0</v>
      </c>
      <c r="B3330" s="6">
        <v>256.0</v>
      </c>
      <c r="C3330" s="6">
        <v>12.0</v>
      </c>
      <c r="D3330" s="15" t="s">
        <v>5439</v>
      </c>
      <c r="E3330" s="9" t="s">
        <v>5440</v>
      </c>
      <c r="F3330" s="8"/>
    </row>
    <row r="3331" ht="21.0" customHeight="1">
      <c r="A3331" s="6">
        <v>1.0</v>
      </c>
      <c r="B3331" s="6">
        <v>256.0</v>
      </c>
      <c r="C3331" s="6">
        <v>13.0</v>
      </c>
      <c r="D3331" s="15" t="s">
        <v>5441</v>
      </c>
      <c r="E3331" s="9" t="s">
        <v>5442</v>
      </c>
      <c r="F3331" s="8"/>
    </row>
    <row r="3332" ht="21.0" customHeight="1">
      <c r="A3332" s="6">
        <v>11.0</v>
      </c>
      <c r="B3332" s="6">
        <v>1074.0</v>
      </c>
      <c r="C3332" s="6">
        <v>1.0</v>
      </c>
      <c r="D3332" s="15" t="s">
        <v>5443</v>
      </c>
      <c r="E3332" s="9" t="s">
        <v>5444</v>
      </c>
      <c r="F3332" s="8"/>
    </row>
    <row r="3333" ht="21.0" customHeight="1">
      <c r="A3333" s="6">
        <v>11.0</v>
      </c>
      <c r="B3333" s="6">
        <v>1074.0</v>
      </c>
      <c r="C3333" s="6">
        <v>2.0</v>
      </c>
      <c r="D3333" s="15" t="s">
        <v>5445</v>
      </c>
      <c r="E3333" s="9" t="s">
        <v>5446</v>
      </c>
      <c r="F3333" s="8"/>
    </row>
    <row r="3334" ht="21.0" customHeight="1">
      <c r="A3334" s="6">
        <v>11.0</v>
      </c>
      <c r="B3334" s="6">
        <v>1074.0</v>
      </c>
      <c r="C3334" s="6">
        <v>3.0</v>
      </c>
      <c r="D3334" s="15" t="s">
        <v>5447</v>
      </c>
      <c r="E3334" s="9" t="s">
        <v>5448</v>
      </c>
      <c r="F3334" s="8"/>
    </row>
    <row r="3335" ht="21.0" customHeight="1">
      <c r="A3335" s="6">
        <v>11.0</v>
      </c>
      <c r="B3335" s="6">
        <v>1074.0</v>
      </c>
      <c r="C3335" s="6">
        <v>4.0</v>
      </c>
      <c r="D3335" s="15" t="s">
        <v>5449</v>
      </c>
      <c r="E3335" s="9" t="s">
        <v>5450</v>
      </c>
      <c r="F3335" s="8"/>
    </row>
    <row r="3336" ht="21.0" customHeight="1">
      <c r="A3336" s="6">
        <v>10.0</v>
      </c>
      <c r="B3336" s="6">
        <v>1074.0</v>
      </c>
      <c r="C3336" s="6">
        <v>5.0</v>
      </c>
      <c r="D3336" s="15" t="s">
        <v>5451</v>
      </c>
      <c r="E3336" s="9" t="s">
        <v>5452</v>
      </c>
      <c r="F3336" s="8"/>
    </row>
    <row r="3337" ht="21.0" customHeight="1">
      <c r="A3337" s="6">
        <v>10.0</v>
      </c>
      <c r="B3337" s="6">
        <v>1074.0</v>
      </c>
      <c r="C3337" s="6">
        <v>6.0</v>
      </c>
      <c r="D3337" s="15" t="s">
        <v>5453</v>
      </c>
      <c r="E3337" s="9" t="s">
        <v>5454</v>
      </c>
      <c r="F3337" s="8"/>
    </row>
    <row r="3338" ht="21.0" customHeight="1">
      <c r="A3338" s="6">
        <v>10.0</v>
      </c>
      <c r="B3338" s="6">
        <v>1074.0</v>
      </c>
      <c r="C3338" s="6">
        <v>7.0</v>
      </c>
      <c r="D3338" s="15" t="s">
        <v>5455</v>
      </c>
      <c r="E3338" s="9" t="s">
        <v>5456</v>
      </c>
      <c r="F3338" s="8"/>
    </row>
    <row r="3339" ht="21.0" customHeight="1">
      <c r="A3339" s="6">
        <v>10.0</v>
      </c>
      <c r="B3339" s="6">
        <v>1074.0</v>
      </c>
      <c r="C3339" s="6">
        <v>8.0</v>
      </c>
      <c r="D3339" s="15" t="s">
        <v>5457</v>
      </c>
      <c r="E3339" s="9" t="s">
        <v>5458</v>
      </c>
      <c r="F3339" s="8"/>
    </row>
    <row r="3340" ht="21.0" customHeight="1">
      <c r="A3340" s="6">
        <v>10.0</v>
      </c>
      <c r="B3340" s="6">
        <v>1074.0</v>
      </c>
      <c r="C3340" s="6">
        <v>9.0</v>
      </c>
      <c r="D3340" s="15" t="s">
        <v>5459</v>
      </c>
      <c r="E3340" s="9" t="s">
        <v>5460</v>
      </c>
      <c r="F3340" s="8"/>
    </row>
    <row r="3341" ht="21.0" customHeight="1">
      <c r="A3341" s="6">
        <v>10.0</v>
      </c>
      <c r="B3341" s="6">
        <v>1074.0</v>
      </c>
      <c r="C3341" s="6">
        <v>10.0</v>
      </c>
      <c r="D3341" s="15" t="s">
        <v>5461</v>
      </c>
      <c r="E3341" s="76" t="s">
        <v>5462</v>
      </c>
      <c r="F3341" s="8"/>
    </row>
    <row r="3342" ht="21.0" customHeight="1">
      <c r="A3342" s="6">
        <v>11.0</v>
      </c>
      <c r="B3342" s="6">
        <v>1075.0</v>
      </c>
      <c r="C3342" s="6">
        <v>1.0</v>
      </c>
      <c r="D3342" s="15" t="s">
        <v>5463</v>
      </c>
      <c r="E3342" s="9" t="s">
        <v>5464</v>
      </c>
      <c r="F3342" s="8"/>
    </row>
    <row r="3343" ht="21.0" customHeight="1">
      <c r="A3343" s="6">
        <v>11.0</v>
      </c>
      <c r="B3343" s="6">
        <v>1075.0</v>
      </c>
      <c r="C3343" s="6">
        <v>2.0</v>
      </c>
      <c r="D3343" s="15" t="s">
        <v>5465</v>
      </c>
      <c r="E3343" s="9" t="s">
        <v>5466</v>
      </c>
      <c r="F3343" s="8"/>
    </row>
    <row r="3344" ht="21.0" customHeight="1">
      <c r="A3344" s="6">
        <v>11.0</v>
      </c>
      <c r="B3344" s="6">
        <v>1075.0</v>
      </c>
      <c r="C3344" s="6">
        <v>3.0</v>
      </c>
      <c r="D3344" s="15" t="s">
        <v>5467</v>
      </c>
      <c r="E3344" s="9" t="s">
        <v>5468</v>
      </c>
      <c r="F3344" s="8"/>
    </row>
    <row r="3345" ht="21.0" customHeight="1">
      <c r="A3345" s="6">
        <v>11.0</v>
      </c>
      <c r="B3345" s="6">
        <v>1075.0</v>
      </c>
      <c r="C3345" s="6">
        <v>4.0</v>
      </c>
      <c r="D3345" s="15" t="s">
        <v>5469</v>
      </c>
      <c r="E3345" s="9" t="s">
        <v>5470</v>
      </c>
      <c r="F3345" s="8"/>
    </row>
    <row r="3346" ht="21.0" customHeight="1">
      <c r="A3346" s="6">
        <v>10.0</v>
      </c>
      <c r="B3346" s="6">
        <v>1075.0</v>
      </c>
      <c r="C3346" s="6">
        <v>5.0</v>
      </c>
      <c r="D3346" s="15" t="s">
        <v>5471</v>
      </c>
      <c r="E3346" s="9" t="s">
        <v>5472</v>
      </c>
      <c r="F3346" s="8"/>
    </row>
    <row r="3347" ht="21.0" customHeight="1">
      <c r="A3347" s="6">
        <v>10.0</v>
      </c>
      <c r="B3347" s="6">
        <v>1075.0</v>
      </c>
      <c r="C3347" s="6">
        <v>6.0</v>
      </c>
      <c r="D3347" s="15" t="s">
        <v>5473</v>
      </c>
      <c r="E3347" s="9" t="s">
        <v>5474</v>
      </c>
      <c r="F3347" s="8"/>
    </row>
    <row r="3348" ht="21.0" customHeight="1">
      <c r="A3348" s="6">
        <v>10.0</v>
      </c>
      <c r="B3348" s="6">
        <v>1075.0</v>
      </c>
      <c r="C3348" s="6">
        <v>7.0</v>
      </c>
      <c r="D3348" s="15" t="s">
        <v>5475</v>
      </c>
      <c r="E3348" s="9" t="s">
        <v>5476</v>
      </c>
      <c r="F3348" s="8"/>
    </row>
    <row r="3349" ht="21.0" customHeight="1">
      <c r="A3349" s="6">
        <v>10.0</v>
      </c>
      <c r="B3349" s="6">
        <v>1075.0</v>
      </c>
      <c r="C3349" s="6">
        <v>8.0</v>
      </c>
      <c r="D3349" s="15" t="s">
        <v>5477</v>
      </c>
      <c r="E3349" s="9" t="s">
        <v>5478</v>
      </c>
      <c r="F3349" s="8"/>
    </row>
    <row r="3350" ht="21.0" customHeight="1">
      <c r="A3350" s="6">
        <v>10.0</v>
      </c>
      <c r="B3350" s="6">
        <v>1075.0</v>
      </c>
      <c r="C3350" s="6">
        <v>9.0</v>
      </c>
      <c r="D3350" s="15" t="s">
        <v>5479</v>
      </c>
      <c r="E3350" s="9" t="s">
        <v>5480</v>
      </c>
      <c r="F3350" s="8"/>
    </row>
    <row r="3351" ht="21.0" customHeight="1">
      <c r="A3351" s="6">
        <v>10.0</v>
      </c>
      <c r="B3351" s="6">
        <v>1075.0</v>
      </c>
      <c r="C3351" s="6">
        <v>10.0</v>
      </c>
      <c r="D3351" s="15" t="s">
        <v>5481</v>
      </c>
      <c r="E3351" s="76" t="s">
        <v>5462</v>
      </c>
      <c r="F3351" s="8"/>
    </row>
    <row r="3352" ht="21.0" customHeight="1">
      <c r="A3352" s="6">
        <v>1.0</v>
      </c>
      <c r="B3352" s="6">
        <v>257.0</v>
      </c>
      <c r="C3352" s="6">
        <v>1.0</v>
      </c>
      <c r="D3352" s="9" t="s">
        <v>5482</v>
      </c>
      <c r="E3352" s="9" t="s">
        <v>5483</v>
      </c>
      <c r="F3352" s="8"/>
    </row>
    <row r="3353" ht="21.0" customHeight="1">
      <c r="A3353" s="6">
        <v>1.0</v>
      </c>
      <c r="B3353" s="6">
        <v>257.0</v>
      </c>
      <c r="C3353" s="6">
        <v>2.0</v>
      </c>
      <c r="D3353" s="9" t="s">
        <v>5484</v>
      </c>
      <c r="E3353" s="9" t="s">
        <v>5485</v>
      </c>
      <c r="F3353" s="8"/>
    </row>
    <row r="3354" ht="21.0" customHeight="1">
      <c r="A3354" s="6">
        <v>1.0</v>
      </c>
      <c r="B3354" s="6">
        <v>257.0</v>
      </c>
      <c r="C3354" s="6">
        <v>3.0</v>
      </c>
      <c r="D3354" s="9" t="s">
        <v>5486</v>
      </c>
      <c r="E3354" s="9" t="s">
        <v>5487</v>
      </c>
      <c r="F3354" s="8"/>
    </row>
    <row r="3355" ht="21.0" customHeight="1">
      <c r="A3355" s="6">
        <v>1.0</v>
      </c>
      <c r="B3355" s="6">
        <v>257.0</v>
      </c>
      <c r="C3355" s="6">
        <v>4.0</v>
      </c>
      <c r="D3355" s="9" t="s">
        <v>5488</v>
      </c>
      <c r="E3355" s="9" t="s">
        <v>5489</v>
      </c>
      <c r="F3355" s="8"/>
    </row>
    <row r="3356" ht="21.0" customHeight="1">
      <c r="A3356" s="6">
        <v>1.0</v>
      </c>
      <c r="B3356" s="6">
        <v>257.0</v>
      </c>
      <c r="C3356" s="6">
        <v>5.0</v>
      </c>
      <c r="D3356" s="9" t="s">
        <v>5490</v>
      </c>
      <c r="E3356" s="9" t="s">
        <v>5491</v>
      </c>
      <c r="F3356" s="8"/>
    </row>
    <row r="3357" ht="21.0" customHeight="1">
      <c r="A3357" s="6">
        <v>1.0</v>
      </c>
      <c r="B3357" s="6">
        <v>257.0</v>
      </c>
      <c r="C3357" s="6">
        <v>6.0</v>
      </c>
      <c r="D3357" s="9" t="s">
        <v>5492</v>
      </c>
      <c r="E3357" s="9" t="s">
        <v>5493</v>
      </c>
      <c r="F3357" s="8"/>
    </row>
    <row r="3358" ht="21.0" customHeight="1">
      <c r="A3358" s="6">
        <v>1.0</v>
      </c>
      <c r="B3358" s="6">
        <v>257.0</v>
      </c>
      <c r="C3358" s="6">
        <v>7.0</v>
      </c>
      <c r="D3358" s="9" t="s">
        <v>5494</v>
      </c>
      <c r="E3358" s="9" t="s">
        <v>5495</v>
      </c>
      <c r="F3358" s="8"/>
    </row>
    <row r="3359" ht="21.0" customHeight="1">
      <c r="A3359" s="6">
        <v>1.0</v>
      </c>
      <c r="B3359" s="6">
        <v>257.0</v>
      </c>
      <c r="C3359" s="6">
        <v>8.0</v>
      </c>
      <c r="D3359" s="77" t="s">
        <v>5496</v>
      </c>
      <c r="E3359" s="9" t="s">
        <v>5497</v>
      </c>
      <c r="F3359" s="8"/>
    </row>
    <row r="3360" ht="21.0" customHeight="1">
      <c r="A3360" s="6">
        <v>1.0</v>
      </c>
      <c r="B3360" s="6">
        <v>257.0</v>
      </c>
      <c r="C3360" s="6">
        <v>9.0</v>
      </c>
      <c r="D3360" s="9" t="s">
        <v>5498</v>
      </c>
      <c r="E3360" s="9" t="s">
        <v>5499</v>
      </c>
      <c r="F3360" s="8"/>
    </row>
    <row r="3361" ht="21.0" customHeight="1">
      <c r="A3361" s="6">
        <v>1.0</v>
      </c>
      <c r="B3361" s="6">
        <v>257.0</v>
      </c>
      <c r="C3361" s="6">
        <v>10.0</v>
      </c>
      <c r="D3361" s="9" t="s">
        <v>5500</v>
      </c>
      <c r="E3361" s="9" t="s">
        <v>5501</v>
      </c>
      <c r="F3361" s="8"/>
    </row>
    <row r="3362" ht="21.0" customHeight="1">
      <c r="A3362" s="6">
        <v>1.0</v>
      </c>
      <c r="B3362" s="6">
        <v>257.0</v>
      </c>
      <c r="C3362" s="6">
        <v>11.0</v>
      </c>
      <c r="D3362" s="9" t="s">
        <v>5502</v>
      </c>
      <c r="E3362" s="9" t="s">
        <v>5503</v>
      </c>
      <c r="F3362" s="8"/>
    </row>
    <row r="3363" ht="21.0" customHeight="1">
      <c r="A3363" s="6">
        <v>1.0</v>
      </c>
      <c r="B3363" s="6">
        <v>257.0</v>
      </c>
      <c r="C3363" s="6">
        <v>12.0</v>
      </c>
      <c r="D3363" s="9" t="s">
        <v>5504</v>
      </c>
      <c r="E3363" s="9" t="s">
        <v>5505</v>
      </c>
      <c r="F3363" s="8"/>
    </row>
    <row r="3364" ht="21.0" customHeight="1">
      <c r="A3364" s="6">
        <v>1.0</v>
      </c>
      <c r="B3364" s="6">
        <v>257.0</v>
      </c>
      <c r="C3364" s="6">
        <v>13.0</v>
      </c>
      <c r="D3364" s="9" t="s">
        <v>5506</v>
      </c>
      <c r="E3364" s="9" t="s">
        <v>5507</v>
      </c>
      <c r="F3364" s="8"/>
    </row>
    <row r="3365" ht="21.0" customHeight="1">
      <c r="A3365" s="6">
        <v>1.0</v>
      </c>
      <c r="B3365" s="6">
        <v>258.0</v>
      </c>
      <c r="C3365" s="6">
        <v>1.0</v>
      </c>
      <c r="D3365" s="15" t="s">
        <v>5508</v>
      </c>
      <c r="E3365" s="9" t="s">
        <v>5509</v>
      </c>
      <c r="F3365" s="8"/>
    </row>
    <row r="3366" ht="21.0" customHeight="1">
      <c r="A3366" s="6">
        <v>1.0</v>
      </c>
      <c r="B3366" s="6">
        <v>258.0</v>
      </c>
      <c r="C3366" s="6">
        <v>2.0</v>
      </c>
      <c r="D3366" s="15" t="s">
        <v>5510</v>
      </c>
      <c r="E3366" s="9" t="s">
        <v>5511</v>
      </c>
      <c r="F3366" s="8"/>
    </row>
    <row r="3367" ht="21.0" customHeight="1">
      <c r="A3367" s="6">
        <v>1.0</v>
      </c>
      <c r="B3367" s="6">
        <v>258.0</v>
      </c>
      <c r="C3367" s="6">
        <v>3.0</v>
      </c>
      <c r="D3367" s="15" t="s">
        <v>5512</v>
      </c>
      <c r="E3367" s="9" t="s">
        <v>5513</v>
      </c>
      <c r="F3367" s="8"/>
    </row>
    <row r="3368" ht="21.0" customHeight="1">
      <c r="A3368" s="6">
        <v>1.0</v>
      </c>
      <c r="B3368" s="6">
        <v>258.0</v>
      </c>
      <c r="C3368" s="6">
        <v>4.0</v>
      </c>
      <c r="D3368" s="15" t="s">
        <v>5514</v>
      </c>
      <c r="E3368" s="9" t="s">
        <v>5515</v>
      </c>
      <c r="F3368" s="8"/>
    </row>
    <row r="3369" ht="21.0" customHeight="1">
      <c r="A3369" s="6">
        <v>1.0</v>
      </c>
      <c r="B3369" s="6">
        <v>258.0</v>
      </c>
      <c r="C3369" s="6">
        <v>5.0</v>
      </c>
      <c r="D3369" s="15" t="s">
        <v>5516</v>
      </c>
      <c r="E3369" s="9" t="s">
        <v>5517</v>
      </c>
      <c r="F3369" s="8"/>
    </row>
    <row r="3370" ht="21.0" customHeight="1">
      <c r="A3370" s="6">
        <v>1.0</v>
      </c>
      <c r="B3370" s="6">
        <v>258.0</v>
      </c>
      <c r="C3370" s="6">
        <v>6.0</v>
      </c>
      <c r="D3370" s="15" t="s">
        <v>5518</v>
      </c>
      <c r="E3370" s="9" t="s">
        <v>5519</v>
      </c>
      <c r="F3370" s="8"/>
    </row>
    <row r="3371" ht="21.0" customHeight="1">
      <c r="A3371" s="6">
        <v>1.0</v>
      </c>
      <c r="B3371" s="6">
        <v>258.0</v>
      </c>
      <c r="C3371" s="6">
        <v>7.0</v>
      </c>
      <c r="D3371" s="15" t="s">
        <v>5520</v>
      </c>
      <c r="E3371" s="9" t="s">
        <v>5521</v>
      </c>
      <c r="F3371" s="8"/>
    </row>
    <row r="3372" ht="21.0" customHeight="1">
      <c r="A3372" s="6">
        <v>1.0</v>
      </c>
      <c r="B3372" s="6">
        <v>258.0</v>
      </c>
      <c r="C3372" s="6">
        <v>8.0</v>
      </c>
      <c r="D3372" s="15" t="s">
        <v>5522</v>
      </c>
      <c r="E3372" s="9" t="s">
        <v>5523</v>
      </c>
      <c r="F3372" s="8"/>
    </row>
    <row r="3373" ht="21.0" customHeight="1">
      <c r="A3373" s="6">
        <v>1.0</v>
      </c>
      <c r="B3373" s="6">
        <v>258.0</v>
      </c>
      <c r="C3373" s="6">
        <v>9.0</v>
      </c>
      <c r="D3373" s="15" t="s">
        <v>5524</v>
      </c>
      <c r="E3373" s="9" t="s">
        <v>5525</v>
      </c>
      <c r="F3373" s="8"/>
    </row>
    <row r="3374" ht="21.0" customHeight="1">
      <c r="A3374" s="6">
        <v>1.0</v>
      </c>
      <c r="B3374" s="6">
        <v>258.0</v>
      </c>
      <c r="C3374" s="6">
        <v>10.0</v>
      </c>
      <c r="D3374" s="15" t="s">
        <v>5526</v>
      </c>
      <c r="E3374" s="9" t="s">
        <v>5527</v>
      </c>
      <c r="F3374" s="8"/>
    </row>
    <row r="3375" ht="21.0" customHeight="1">
      <c r="A3375" s="6">
        <v>1.0</v>
      </c>
      <c r="B3375" s="6">
        <v>258.0</v>
      </c>
      <c r="C3375" s="6">
        <v>11.0</v>
      </c>
      <c r="D3375" s="15" t="s">
        <v>5528</v>
      </c>
      <c r="E3375" s="9" t="s">
        <v>5529</v>
      </c>
      <c r="F3375" s="8"/>
    </row>
    <row r="3376" ht="21.0" customHeight="1">
      <c r="A3376" s="6">
        <v>1.0</v>
      </c>
      <c r="B3376" s="6">
        <v>258.0</v>
      </c>
      <c r="C3376" s="6">
        <v>12.0</v>
      </c>
      <c r="D3376" s="15" t="s">
        <v>5530</v>
      </c>
      <c r="E3376" s="9" t="s">
        <v>5531</v>
      </c>
      <c r="F3376" s="8"/>
    </row>
    <row r="3377" ht="21.0" customHeight="1">
      <c r="A3377" s="6">
        <v>1.0</v>
      </c>
      <c r="B3377" s="6">
        <v>258.0</v>
      </c>
      <c r="C3377" s="6">
        <v>13.0</v>
      </c>
      <c r="D3377" s="15" t="s">
        <v>5532</v>
      </c>
      <c r="E3377" s="9" t="s">
        <v>5533</v>
      </c>
      <c r="F3377" s="8"/>
    </row>
    <row r="3378" ht="21.0" customHeight="1">
      <c r="A3378" s="6">
        <v>1.0</v>
      </c>
      <c r="B3378" s="6">
        <v>259.0</v>
      </c>
      <c r="C3378" s="6">
        <v>1.0</v>
      </c>
      <c r="D3378" s="15" t="s">
        <v>5534</v>
      </c>
      <c r="E3378" s="9" t="s">
        <v>5535</v>
      </c>
      <c r="F3378" s="8"/>
    </row>
    <row r="3379" ht="21.0" customHeight="1">
      <c r="A3379" s="6">
        <v>1.0</v>
      </c>
      <c r="B3379" s="6">
        <v>259.0</v>
      </c>
      <c r="C3379" s="6">
        <v>2.0</v>
      </c>
      <c r="D3379" s="78" t="s">
        <v>5536</v>
      </c>
      <c r="E3379" s="9" t="s">
        <v>5537</v>
      </c>
      <c r="F3379" s="8"/>
    </row>
    <row r="3380" ht="21.0" customHeight="1">
      <c r="A3380" s="6">
        <v>1.0</v>
      </c>
      <c r="B3380" s="6">
        <v>259.0</v>
      </c>
      <c r="C3380" s="6">
        <v>3.0</v>
      </c>
      <c r="D3380" s="15" t="s">
        <v>5538</v>
      </c>
      <c r="E3380" s="9" t="s">
        <v>5539</v>
      </c>
      <c r="F3380" s="8"/>
    </row>
    <row r="3381" ht="21.0" customHeight="1">
      <c r="A3381" s="6">
        <v>1.0</v>
      </c>
      <c r="B3381" s="6">
        <v>259.0</v>
      </c>
      <c r="C3381" s="6">
        <v>4.0</v>
      </c>
      <c r="D3381" s="15" t="s">
        <v>5540</v>
      </c>
      <c r="E3381" s="9" t="s">
        <v>5541</v>
      </c>
      <c r="F3381" s="8"/>
    </row>
    <row r="3382" ht="21.0" customHeight="1">
      <c r="A3382" s="6">
        <v>1.0</v>
      </c>
      <c r="B3382" s="6">
        <v>259.0</v>
      </c>
      <c r="C3382" s="6">
        <v>5.0</v>
      </c>
      <c r="D3382" s="15" t="s">
        <v>5542</v>
      </c>
      <c r="E3382" s="9" t="s">
        <v>5543</v>
      </c>
      <c r="F3382" s="8"/>
    </row>
    <row r="3383" ht="21.0" customHeight="1">
      <c r="A3383" s="6">
        <v>1.0</v>
      </c>
      <c r="B3383" s="6">
        <v>259.0</v>
      </c>
      <c r="C3383" s="6">
        <v>6.0</v>
      </c>
      <c r="D3383" s="79" t="s">
        <v>5544</v>
      </c>
      <c r="E3383" s="9" t="s">
        <v>5545</v>
      </c>
      <c r="F3383" s="8"/>
    </row>
    <row r="3384" ht="21.0" customHeight="1">
      <c r="A3384" s="6">
        <v>1.0</v>
      </c>
      <c r="B3384" s="6">
        <v>259.0</v>
      </c>
      <c r="C3384" s="6">
        <v>7.0</v>
      </c>
      <c r="D3384" s="78" t="s">
        <v>5546</v>
      </c>
      <c r="E3384" s="9" t="s">
        <v>5547</v>
      </c>
      <c r="F3384" s="8"/>
    </row>
    <row r="3385" ht="21.0" customHeight="1">
      <c r="A3385" s="6">
        <v>1.0</v>
      </c>
      <c r="B3385" s="6">
        <v>259.0</v>
      </c>
      <c r="C3385" s="6">
        <v>8.0</v>
      </c>
      <c r="D3385" s="78" t="s">
        <v>5548</v>
      </c>
      <c r="E3385" s="9" t="s">
        <v>5549</v>
      </c>
      <c r="F3385" s="8"/>
    </row>
    <row r="3386" ht="21.0" customHeight="1">
      <c r="A3386" s="6">
        <v>1.0</v>
      </c>
      <c r="B3386" s="6">
        <v>259.0</v>
      </c>
      <c r="C3386" s="6">
        <v>9.0</v>
      </c>
      <c r="D3386" s="78" t="s">
        <v>5550</v>
      </c>
      <c r="E3386" s="9" t="s">
        <v>5551</v>
      </c>
      <c r="F3386" s="8"/>
    </row>
    <row r="3387" ht="21.0" customHeight="1">
      <c r="A3387" s="6">
        <v>1.0</v>
      </c>
      <c r="B3387" s="6">
        <v>259.0</v>
      </c>
      <c r="C3387" s="6">
        <v>10.0</v>
      </c>
      <c r="D3387" s="78" t="s">
        <v>5552</v>
      </c>
      <c r="E3387" s="9" t="s">
        <v>5553</v>
      </c>
      <c r="F3387" s="8"/>
    </row>
    <row r="3388" ht="21.0" customHeight="1">
      <c r="A3388" s="6">
        <v>1.0</v>
      </c>
      <c r="B3388" s="6">
        <v>259.0</v>
      </c>
      <c r="C3388" s="6">
        <v>11.0</v>
      </c>
      <c r="D3388" s="78" t="s">
        <v>5554</v>
      </c>
      <c r="E3388" s="9" t="s">
        <v>5555</v>
      </c>
      <c r="F3388" s="8"/>
    </row>
    <row r="3389" ht="21.0" customHeight="1">
      <c r="A3389" s="6">
        <v>1.0</v>
      </c>
      <c r="B3389" s="6">
        <v>259.0</v>
      </c>
      <c r="C3389" s="6">
        <v>12.0</v>
      </c>
      <c r="D3389" s="78" t="s">
        <v>5556</v>
      </c>
      <c r="E3389" s="9" t="s">
        <v>5557</v>
      </c>
      <c r="F3389" s="8"/>
    </row>
    <row r="3390" ht="21.0" customHeight="1">
      <c r="A3390" s="6">
        <v>1.0</v>
      </c>
      <c r="B3390" s="6">
        <v>259.0</v>
      </c>
      <c r="C3390" s="6">
        <v>13.0</v>
      </c>
      <c r="D3390" s="78" t="s">
        <v>5558</v>
      </c>
      <c r="E3390" s="9" t="s">
        <v>5559</v>
      </c>
      <c r="F3390" s="8"/>
    </row>
    <row r="3391" ht="21.0" customHeight="1">
      <c r="A3391" s="6">
        <v>11.0</v>
      </c>
      <c r="B3391" s="6">
        <v>1076.0</v>
      </c>
      <c r="C3391" s="6">
        <v>1.0</v>
      </c>
      <c r="D3391" s="15" t="s">
        <v>5560</v>
      </c>
      <c r="E3391" s="9" t="s">
        <v>5561</v>
      </c>
      <c r="F3391" s="8"/>
    </row>
    <row r="3392" ht="21.0" customHeight="1">
      <c r="A3392" s="6">
        <v>11.0</v>
      </c>
      <c r="B3392" s="6">
        <v>1076.0</v>
      </c>
      <c r="C3392" s="6">
        <v>2.0</v>
      </c>
      <c r="D3392" s="15" t="s">
        <v>5562</v>
      </c>
      <c r="E3392" s="9" t="s">
        <v>5563</v>
      </c>
      <c r="F3392" s="8"/>
    </row>
    <row r="3393" ht="21.0" customHeight="1">
      <c r="A3393" s="6">
        <v>11.0</v>
      </c>
      <c r="B3393" s="6">
        <v>1076.0</v>
      </c>
      <c r="C3393" s="6">
        <v>3.0</v>
      </c>
      <c r="D3393" s="15" t="s">
        <v>5564</v>
      </c>
      <c r="E3393" s="9" t="s">
        <v>5565</v>
      </c>
      <c r="F3393" s="8"/>
    </row>
    <row r="3394" ht="21.0" customHeight="1">
      <c r="A3394" s="6">
        <v>11.0</v>
      </c>
      <c r="B3394" s="6">
        <v>1076.0</v>
      </c>
      <c r="C3394" s="6">
        <v>4.0</v>
      </c>
      <c r="D3394" s="15" t="s">
        <v>5566</v>
      </c>
      <c r="E3394" s="9" t="s">
        <v>5567</v>
      </c>
      <c r="F3394" s="8"/>
    </row>
    <row r="3395" ht="21.0" customHeight="1">
      <c r="A3395" s="6">
        <v>10.0</v>
      </c>
      <c r="B3395" s="6">
        <v>1076.0</v>
      </c>
      <c r="C3395" s="6">
        <v>5.0</v>
      </c>
      <c r="D3395" s="15" t="s">
        <v>5568</v>
      </c>
      <c r="E3395" s="9" t="s">
        <v>5569</v>
      </c>
      <c r="F3395" s="8"/>
    </row>
    <row r="3396" ht="21.0" customHeight="1">
      <c r="A3396" s="6">
        <v>10.0</v>
      </c>
      <c r="B3396" s="6">
        <v>1076.0</v>
      </c>
      <c r="C3396" s="6">
        <v>6.0</v>
      </c>
      <c r="D3396" s="15" t="s">
        <v>5570</v>
      </c>
      <c r="E3396" s="9" t="s">
        <v>5571</v>
      </c>
      <c r="F3396" s="8"/>
    </row>
    <row r="3397" ht="21.0" customHeight="1">
      <c r="A3397" s="6">
        <v>10.0</v>
      </c>
      <c r="B3397" s="6">
        <v>1076.0</v>
      </c>
      <c r="C3397" s="6">
        <v>7.0</v>
      </c>
      <c r="D3397" s="15" t="s">
        <v>5572</v>
      </c>
      <c r="E3397" s="9" t="s">
        <v>5573</v>
      </c>
      <c r="F3397" s="8"/>
    </row>
    <row r="3398" ht="21.0" customHeight="1">
      <c r="A3398" s="6">
        <v>10.0</v>
      </c>
      <c r="B3398" s="6">
        <v>1076.0</v>
      </c>
      <c r="C3398" s="6">
        <v>8.0</v>
      </c>
      <c r="D3398" s="15" t="s">
        <v>5574</v>
      </c>
      <c r="E3398" s="9" t="s">
        <v>5575</v>
      </c>
      <c r="F3398" s="8"/>
    </row>
    <row r="3399" ht="21.0" customHeight="1">
      <c r="A3399" s="6">
        <v>10.0</v>
      </c>
      <c r="B3399" s="6">
        <v>1076.0</v>
      </c>
      <c r="C3399" s="6">
        <v>9.0</v>
      </c>
      <c r="D3399" s="15" t="s">
        <v>5576</v>
      </c>
      <c r="E3399" s="9" t="s">
        <v>5577</v>
      </c>
      <c r="F3399" s="8"/>
    </row>
    <row r="3400" ht="21.0" customHeight="1">
      <c r="A3400" s="6">
        <v>10.0</v>
      </c>
      <c r="B3400" s="6">
        <v>1076.0</v>
      </c>
      <c r="C3400" s="6">
        <v>10.0</v>
      </c>
      <c r="D3400" s="15" t="s">
        <v>5578</v>
      </c>
      <c r="E3400" s="76" t="s">
        <v>5579</v>
      </c>
      <c r="F3400" s="8"/>
    </row>
    <row r="3401" ht="21.0" customHeight="1">
      <c r="A3401" s="6">
        <v>11.0</v>
      </c>
      <c r="B3401" s="6">
        <v>1077.0</v>
      </c>
      <c r="C3401" s="6">
        <v>1.0</v>
      </c>
      <c r="D3401" s="15" t="s">
        <v>5580</v>
      </c>
      <c r="E3401" s="9" t="s">
        <v>5581</v>
      </c>
      <c r="F3401" s="8"/>
    </row>
    <row r="3402" ht="21.0" customHeight="1">
      <c r="A3402" s="6">
        <v>11.0</v>
      </c>
      <c r="B3402" s="6">
        <v>1077.0</v>
      </c>
      <c r="C3402" s="6">
        <v>2.0</v>
      </c>
      <c r="D3402" s="15" t="s">
        <v>5582</v>
      </c>
      <c r="E3402" s="9" t="s">
        <v>5583</v>
      </c>
      <c r="F3402" s="8"/>
    </row>
    <row r="3403" ht="21.0" customHeight="1">
      <c r="A3403" s="6">
        <v>11.0</v>
      </c>
      <c r="B3403" s="6">
        <v>1077.0</v>
      </c>
      <c r="C3403" s="6">
        <v>3.0</v>
      </c>
      <c r="D3403" s="15" t="s">
        <v>5584</v>
      </c>
      <c r="E3403" s="9" t="s">
        <v>5585</v>
      </c>
      <c r="F3403" s="8"/>
    </row>
    <row r="3404" ht="21.0" customHeight="1">
      <c r="A3404" s="6">
        <v>11.0</v>
      </c>
      <c r="B3404" s="6">
        <v>1077.0</v>
      </c>
      <c r="C3404" s="6">
        <v>4.0</v>
      </c>
      <c r="D3404" s="15" t="s">
        <v>5586</v>
      </c>
      <c r="E3404" s="9" t="s">
        <v>5587</v>
      </c>
      <c r="F3404" s="8"/>
    </row>
    <row r="3405" ht="21.0" customHeight="1">
      <c r="A3405" s="6">
        <v>10.0</v>
      </c>
      <c r="B3405" s="6">
        <v>1077.0</v>
      </c>
      <c r="C3405" s="6">
        <v>5.0</v>
      </c>
      <c r="D3405" s="15" t="s">
        <v>5588</v>
      </c>
      <c r="E3405" s="9" t="s">
        <v>5589</v>
      </c>
      <c r="F3405" s="8"/>
    </row>
    <row r="3406" ht="21.0" customHeight="1">
      <c r="A3406" s="6">
        <v>10.0</v>
      </c>
      <c r="B3406" s="6">
        <v>1077.0</v>
      </c>
      <c r="C3406" s="6">
        <v>6.0</v>
      </c>
      <c r="D3406" s="15" t="s">
        <v>5590</v>
      </c>
      <c r="E3406" s="9" t="s">
        <v>5591</v>
      </c>
      <c r="F3406" s="8"/>
    </row>
    <row r="3407" ht="21.0" customHeight="1">
      <c r="A3407" s="6">
        <v>10.0</v>
      </c>
      <c r="B3407" s="6">
        <v>1077.0</v>
      </c>
      <c r="C3407" s="6">
        <v>7.0</v>
      </c>
      <c r="D3407" s="15" t="s">
        <v>5592</v>
      </c>
      <c r="E3407" s="9" t="s">
        <v>5593</v>
      </c>
      <c r="F3407" s="8"/>
    </row>
    <row r="3408" ht="21.0" customHeight="1">
      <c r="A3408" s="6">
        <v>10.0</v>
      </c>
      <c r="B3408" s="6">
        <v>1077.0</v>
      </c>
      <c r="C3408" s="6">
        <v>8.0</v>
      </c>
      <c r="D3408" s="15" t="s">
        <v>5594</v>
      </c>
      <c r="E3408" s="9" t="s">
        <v>5595</v>
      </c>
      <c r="F3408" s="8"/>
    </row>
    <row r="3409" ht="21.0" customHeight="1">
      <c r="A3409" s="6">
        <v>10.0</v>
      </c>
      <c r="B3409" s="6">
        <v>1077.0</v>
      </c>
      <c r="C3409" s="6">
        <v>9.0</v>
      </c>
      <c r="D3409" s="15" t="s">
        <v>5596</v>
      </c>
      <c r="E3409" s="9" t="s">
        <v>5597</v>
      </c>
      <c r="F3409" s="8"/>
    </row>
    <row r="3410" ht="21.0" customHeight="1">
      <c r="A3410" s="6">
        <v>10.0</v>
      </c>
      <c r="B3410" s="6">
        <v>1077.0</v>
      </c>
      <c r="C3410" s="6">
        <v>10.0</v>
      </c>
      <c r="D3410" s="15" t="s">
        <v>5598</v>
      </c>
      <c r="E3410" s="76" t="s">
        <v>5579</v>
      </c>
      <c r="F3410" s="8"/>
    </row>
    <row r="3411" ht="21.0" customHeight="1">
      <c r="A3411" s="6">
        <v>1.0</v>
      </c>
      <c r="B3411" s="6">
        <v>260.0</v>
      </c>
      <c r="C3411" s="6">
        <v>1.0</v>
      </c>
      <c r="D3411" s="9" t="s">
        <v>5599</v>
      </c>
      <c r="E3411" s="9" t="s">
        <v>5600</v>
      </c>
      <c r="F3411" s="8"/>
    </row>
    <row r="3412" ht="21.0" customHeight="1">
      <c r="A3412" s="6">
        <v>1.0</v>
      </c>
      <c r="B3412" s="6">
        <v>260.0</v>
      </c>
      <c r="C3412" s="6">
        <v>2.0</v>
      </c>
      <c r="D3412" s="9" t="s">
        <v>5601</v>
      </c>
      <c r="E3412" s="9" t="s">
        <v>5602</v>
      </c>
      <c r="F3412" s="8"/>
    </row>
    <row r="3413" ht="21.0" customHeight="1">
      <c r="A3413" s="6">
        <v>1.0</v>
      </c>
      <c r="B3413" s="6">
        <v>260.0</v>
      </c>
      <c r="C3413" s="6">
        <v>3.0</v>
      </c>
      <c r="D3413" s="9" t="s">
        <v>5603</v>
      </c>
      <c r="E3413" s="9" t="s">
        <v>5604</v>
      </c>
      <c r="F3413" s="8"/>
    </row>
    <row r="3414" ht="21.0" customHeight="1">
      <c r="A3414" s="6">
        <v>1.0</v>
      </c>
      <c r="B3414" s="6">
        <v>260.0</v>
      </c>
      <c r="C3414" s="6">
        <v>4.0</v>
      </c>
      <c r="D3414" s="9" t="s">
        <v>5605</v>
      </c>
      <c r="E3414" s="9" t="s">
        <v>5606</v>
      </c>
      <c r="F3414" s="8"/>
    </row>
    <row r="3415" ht="21.0" customHeight="1">
      <c r="A3415" s="6">
        <v>1.0</v>
      </c>
      <c r="B3415" s="6">
        <v>260.0</v>
      </c>
      <c r="C3415" s="6">
        <v>5.0</v>
      </c>
      <c r="D3415" s="9" t="s">
        <v>5607</v>
      </c>
      <c r="E3415" s="9" t="s">
        <v>5608</v>
      </c>
      <c r="F3415" s="8"/>
    </row>
    <row r="3416" ht="21.0" customHeight="1">
      <c r="A3416" s="6">
        <v>1.0</v>
      </c>
      <c r="B3416" s="6">
        <v>260.0</v>
      </c>
      <c r="C3416" s="6">
        <v>6.0</v>
      </c>
      <c r="D3416" s="9" t="s">
        <v>5609</v>
      </c>
      <c r="E3416" s="9" t="s">
        <v>5610</v>
      </c>
      <c r="F3416" s="8"/>
    </row>
    <row r="3417" ht="21.0" customHeight="1">
      <c r="A3417" s="6">
        <v>1.0</v>
      </c>
      <c r="B3417" s="6">
        <v>260.0</v>
      </c>
      <c r="C3417" s="6">
        <v>7.0</v>
      </c>
      <c r="D3417" s="9" t="s">
        <v>5611</v>
      </c>
      <c r="E3417" s="9" t="s">
        <v>5612</v>
      </c>
      <c r="F3417" s="8"/>
    </row>
    <row r="3418" ht="21.0" customHeight="1">
      <c r="A3418" s="6">
        <v>1.0</v>
      </c>
      <c r="B3418" s="6">
        <v>260.0</v>
      </c>
      <c r="C3418" s="6">
        <v>8.0</v>
      </c>
      <c r="D3418" s="9" t="s">
        <v>5613</v>
      </c>
      <c r="E3418" s="9" t="s">
        <v>5614</v>
      </c>
      <c r="F3418" s="8"/>
    </row>
    <row r="3419" ht="21.0" customHeight="1">
      <c r="A3419" s="6">
        <v>1.0</v>
      </c>
      <c r="B3419" s="6">
        <v>260.0</v>
      </c>
      <c r="C3419" s="6">
        <v>9.0</v>
      </c>
      <c r="D3419" s="9" t="s">
        <v>5615</v>
      </c>
      <c r="E3419" s="9" t="s">
        <v>5616</v>
      </c>
      <c r="F3419" s="8"/>
    </row>
    <row r="3420" ht="21.0" customHeight="1">
      <c r="A3420" s="6">
        <v>1.0</v>
      </c>
      <c r="B3420" s="6">
        <v>260.0</v>
      </c>
      <c r="C3420" s="6">
        <v>10.0</v>
      </c>
      <c r="D3420" s="9" t="s">
        <v>5617</v>
      </c>
      <c r="E3420" s="9" t="s">
        <v>5618</v>
      </c>
      <c r="F3420" s="8"/>
    </row>
    <row r="3421" ht="21.0" customHeight="1">
      <c r="A3421" s="6">
        <v>1.0</v>
      </c>
      <c r="B3421" s="6">
        <v>260.0</v>
      </c>
      <c r="C3421" s="6">
        <v>11.0</v>
      </c>
      <c r="D3421" s="9" t="s">
        <v>5619</v>
      </c>
      <c r="E3421" s="9" t="s">
        <v>5620</v>
      </c>
      <c r="F3421" s="8"/>
    </row>
    <row r="3422" ht="21.0" customHeight="1">
      <c r="A3422" s="6">
        <v>1.0</v>
      </c>
      <c r="B3422" s="6">
        <v>260.0</v>
      </c>
      <c r="C3422" s="6">
        <v>12.0</v>
      </c>
      <c r="D3422" s="9" t="s">
        <v>5621</v>
      </c>
      <c r="E3422" s="9" t="s">
        <v>5622</v>
      </c>
      <c r="F3422" s="8"/>
    </row>
    <row r="3423" ht="21.0" customHeight="1">
      <c r="A3423" s="6">
        <v>1.0</v>
      </c>
      <c r="B3423" s="6">
        <v>260.0</v>
      </c>
      <c r="C3423" s="6">
        <v>13.0</v>
      </c>
      <c r="D3423" s="9" t="s">
        <v>5623</v>
      </c>
      <c r="E3423" s="9" t="s">
        <v>5624</v>
      </c>
      <c r="F3423" s="8"/>
    </row>
    <row r="3424" ht="21.0" customHeight="1">
      <c r="A3424" s="6">
        <v>1.0</v>
      </c>
      <c r="B3424" s="6">
        <v>261.0</v>
      </c>
      <c r="C3424" s="6">
        <v>1.0</v>
      </c>
      <c r="D3424" s="15" t="s">
        <v>5625</v>
      </c>
      <c r="E3424" s="9" t="s">
        <v>5626</v>
      </c>
      <c r="F3424" s="8"/>
    </row>
    <row r="3425" ht="21.0" customHeight="1">
      <c r="A3425" s="6">
        <v>1.0</v>
      </c>
      <c r="B3425" s="6">
        <v>261.0</v>
      </c>
      <c r="C3425" s="6">
        <v>2.0</v>
      </c>
      <c r="D3425" s="15" t="s">
        <v>5627</v>
      </c>
      <c r="E3425" s="9" t="s">
        <v>5628</v>
      </c>
      <c r="F3425" s="8"/>
    </row>
    <row r="3426" ht="21.0" customHeight="1">
      <c r="A3426" s="6">
        <v>1.0</v>
      </c>
      <c r="B3426" s="6">
        <v>261.0</v>
      </c>
      <c r="C3426" s="6">
        <v>3.0</v>
      </c>
      <c r="D3426" s="15" t="s">
        <v>5629</v>
      </c>
      <c r="E3426" s="9" t="s">
        <v>5630</v>
      </c>
      <c r="F3426" s="8"/>
    </row>
    <row r="3427" ht="21.0" customHeight="1">
      <c r="A3427" s="6">
        <v>1.0</v>
      </c>
      <c r="B3427" s="6">
        <v>261.0</v>
      </c>
      <c r="C3427" s="6">
        <v>4.0</v>
      </c>
      <c r="D3427" s="15" t="s">
        <v>5631</v>
      </c>
      <c r="E3427" s="9" t="s">
        <v>5632</v>
      </c>
      <c r="F3427" s="8"/>
    </row>
    <row r="3428" ht="21.0" customHeight="1">
      <c r="A3428" s="6">
        <v>1.0</v>
      </c>
      <c r="B3428" s="6">
        <v>261.0</v>
      </c>
      <c r="C3428" s="6">
        <v>5.0</v>
      </c>
      <c r="D3428" s="15" t="s">
        <v>5633</v>
      </c>
      <c r="E3428" s="9" t="s">
        <v>5634</v>
      </c>
      <c r="F3428" s="8"/>
    </row>
    <row r="3429" ht="21.0" customHeight="1">
      <c r="A3429" s="6">
        <v>1.0</v>
      </c>
      <c r="B3429" s="6">
        <v>261.0</v>
      </c>
      <c r="C3429" s="6">
        <v>6.0</v>
      </c>
      <c r="D3429" s="15" t="s">
        <v>5635</v>
      </c>
      <c r="E3429" s="9" t="s">
        <v>5636</v>
      </c>
      <c r="F3429" s="8"/>
    </row>
    <row r="3430" ht="21.0" customHeight="1">
      <c r="A3430" s="6">
        <v>1.0</v>
      </c>
      <c r="B3430" s="6">
        <v>261.0</v>
      </c>
      <c r="C3430" s="6">
        <v>7.0</v>
      </c>
      <c r="D3430" s="15" t="s">
        <v>5637</v>
      </c>
      <c r="E3430" s="9" t="s">
        <v>5638</v>
      </c>
      <c r="F3430" s="8"/>
    </row>
    <row r="3431" ht="21.0" customHeight="1">
      <c r="A3431" s="6">
        <v>1.0</v>
      </c>
      <c r="B3431" s="6">
        <v>261.0</v>
      </c>
      <c r="C3431" s="6">
        <v>8.0</v>
      </c>
      <c r="D3431" s="15" t="s">
        <v>5639</v>
      </c>
      <c r="E3431" s="9" t="s">
        <v>5640</v>
      </c>
      <c r="F3431" s="8"/>
    </row>
    <row r="3432" ht="21.0" customHeight="1">
      <c r="A3432" s="6">
        <v>1.0</v>
      </c>
      <c r="B3432" s="6">
        <v>261.0</v>
      </c>
      <c r="C3432" s="6">
        <v>9.0</v>
      </c>
      <c r="D3432" s="15" t="s">
        <v>5641</v>
      </c>
      <c r="E3432" s="9" t="s">
        <v>5642</v>
      </c>
      <c r="F3432" s="8"/>
    </row>
    <row r="3433" ht="21.0" customHeight="1">
      <c r="A3433" s="6">
        <v>1.0</v>
      </c>
      <c r="B3433" s="6">
        <v>261.0</v>
      </c>
      <c r="C3433" s="6">
        <v>10.0</v>
      </c>
      <c r="D3433" s="15" t="s">
        <v>5643</v>
      </c>
      <c r="E3433" s="9" t="s">
        <v>5644</v>
      </c>
      <c r="F3433" s="8"/>
    </row>
    <row r="3434" ht="21.0" customHeight="1">
      <c r="A3434" s="6">
        <v>1.0</v>
      </c>
      <c r="B3434" s="6">
        <v>261.0</v>
      </c>
      <c r="C3434" s="6">
        <v>11.0</v>
      </c>
      <c r="D3434" s="15" t="s">
        <v>5645</v>
      </c>
      <c r="E3434" s="9" t="s">
        <v>5646</v>
      </c>
      <c r="F3434" s="8"/>
    </row>
    <row r="3435" ht="21.0" customHeight="1">
      <c r="A3435" s="6">
        <v>1.0</v>
      </c>
      <c r="B3435" s="6">
        <v>261.0</v>
      </c>
      <c r="C3435" s="6">
        <v>12.0</v>
      </c>
      <c r="D3435" s="15" t="s">
        <v>5647</v>
      </c>
      <c r="E3435" s="9" t="s">
        <v>5648</v>
      </c>
      <c r="F3435" s="8"/>
    </row>
    <row r="3436" ht="21.0" customHeight="1">
      <c r="A3436" s="6">
        <v>1.0</v>
      </c>
      <c r="B3436" s="6">
        <v>261.0</v>
      </c>
      <c r="C3436" s="6">
        <v>13.0</v>
      </c>
      <c r="D3436" s="15" t="s">
        <v>5649</v>
      </c>
      <c r="E3436" s="9" t="s">
        <v>5650</v>
      </c>
      <c r="F3436" s="8"/>
    </row>
    <row r="3437" ht="21.0" customHeight="1">
      <c r="A3437" s="6">
        <v>1.0</v>
      </c>
      <c r="B3437" s="6">
        <v>262.0</v>
      </c>
      <c r="C3437" s="6">
        <v>1.0</v>
      </c>
      <c r="D3437" s="15" t="s">
        <v>5651</v>
      </c>
      <c r="E3437" s="9" t="s">
        <v>5652</v>
      </c>
      <c r="F3437" s="8"/>
    </row>
    <row r="3438" ht="21.0" customHeight="1">
      <c r="A3438" s="6">
        <v>1.0</v>
      </c>
      <c r="B3438" s="6">
        <v>262.0</v>
      </c>
      <c r="C3438" s="6">
        <v>2.0</v>
      </c>
      <c r="D3438" s="15" t="s">
        <v>5653</v>
      </c>
      <c r="E3438" s="9" t="s">
        <v>5654</v>
      </c>
      <c r="F3438" s="8"/>
    </row>
    <row r="3439" ht="21.0" customHeight="1">
      <c r="A3439" s="6">
        <v>1.0</v>
      </c>
      <c r="B3439" s="6">
        <v>262.0</v>
      </c>
      <c r="C3439" s="6">
        <v>3.0</v>
      </c>
      <c r="D3439" s="15" t="s">
        <v>5655</v>
      </c>
      <c r="E3439" s="9" t="s">
        <v>5656</v>
      </c>
      <c r="F3439" s="8"/>
    </row>
    <row r="3440" ht="21.0" customHeight="1">
      <c r="A3440" s="6">
        <v>1.0</v>
      </c>
      <c r="B3440" s="6">
        <v>262.0</v>
      </c>
      <c r="C3440" s="6">
        <v>4.0</v>
      </c>
      <c r="D3440" s="15" t="s">
        <v>5657</v>
      </c>
      <c r="E3440" s="9" t="s">
        <v>5658</v>
      </c>
      <c r="F3440" s="8"/>
    </row>
    <row r="3441" ht="21.0" customHeight="1">
      <c r="A3441" s="6">
        <v>1.0</v>
      </c>
      <c r="B3441" s="6">
        <v>262.0</v>
      </c>
      <c r="C3441" s="6">
        <v>5.0</v>
      </c>
      <c r="D3441" s="15" t="s">
        <v>5659</v>
      </c>
      <c r="E3441" s="9" t="s">
        <v>5660</v>
      </c>
      <c r="F3441" s="8"/>
    </row>
    <row r="3442" ht="21.0" customHeight="1">
      <c r="A3442" s="6">
        <v>1.0</v>
      </c>
      <c r="B3442" s="6">
        <v>262.0</v>
      </c>
      <c r="C3442" s="6">
        <v>6.0</v>
      </c>
      <c r="D3442" s="15" t="s">
        <v>5661</v>
      </c>
      <c r="E3442" s="9" t="s">
        <v>5662</v>
      </c>
      <c r="F3442" s="8"/>
    </row>
    <row r="3443" ht="21.0" customHeight="1">
      <c r="A3443" s="6">
        <v>1.0</v>
      </c>
      <c r="B3443" s="6">
        <v>262.0</v>
      </c>
      <c r="C3443" s="6">
        <v>7.0</v>
      </c>
      <c r="D3443" s="15" t="s">
        <v>5663</v>
      </c>
      <c r="E3443" s="9" t="s">
        <v>5664</v>
      </c>
      <c r="F3443" s="8"/>
    </row>
    <row r="3444" ht="21.0" customHeight="1">
      <c r="A3444" s="6">
        <v>1.0</v>
      </c>
      <c r="B3444" s="6">
        <v>262.0</v>
      </c>
      <c r="C3444" s="6">
        <v>8.0</v>
      </c>
      <c r="D3444" s="15" t="s">
        <v>5665</v>
      </c>
      <c r="E3444" s="9" t="s">
        <v>5666</v>
      </c>
      <c r="F3444" s="8"/>
    </row>
    <row r="3445" ht="21.0" customHeight="1">
      <c r="A3445" s="6">
        <v>1.0</v>
      </c>
      <c r="B3445" s="6">
        <v>262.0</v>
      </c>
      <c r="C3445" s="6">
        <v>9.0</v>
      </c>
      <c r="D3445" s="15" t="s">
        <v>5667</v>
      </c>
      <c r="E3445" s="9" t="s">
        <v>5668</v>
      </c>
      <c r="F3445" s="8"/>
    </row>
    <row r="3446" ht="21.0" customHeight="1">
      <c r="A3446" s="6">
        <v>1.0</v>
      </c>
      <c r="B3446" s="6">
        <v>262.0</v>
      </c>
      <c r="C3446" s="6">
        <v>10.0</v>
      </c>
      <c r="D3446" s="15" t="s">
        <v>5669</v>
      </c>
      <c r="E3446" s="9" t="s">
        <v>5670</v>
      </c>
      <c r="F3446" s="8"/>
    </row>
    <row r="3447" ht="21.0" customHeight="1">
      <c r="A3447" s="6">
        <v>1.0</v>
      </c>
      <c r="B3447" s="6">
        <v>262.0</v>
      </c>
      <c r="C3447" s="6">
        <v>11.0</v>
      </c>
      <c r="D3447" s="15" t="s">
        <v>5671</v>
      </c>
      <c r="E3447" s="9" t="s">
        <v>5672</v>
      </c>
      <c r="F3447" s="8"/>
    </row>
    <row r="3448" ht="21.0" customHeight="1">
      <c r="A3448" s="6">
        <v>1.0</v>
      </c>
      <c r="B3448" s="6">
        <v>262.0</v>
      </c>
      <c r="C3448" s="6">
        <v>12.0</v>
      </c>
      <c r="D3448" s="15" t="s">
        <v>5673</v>
      </c>
      <c r="E3448" s="9" t="s">
        <v>5674</v>
      </c>
      <c r="F3448" s="8"/>
    </row>
    <row r="3449" ht="21.0" customHeight="1">
      <c r="A3449" s="6">
        <v>1.0</v>
      </c>
      <c r="B3449" s="6">
        <v>262.0</v>
      </c>
      <c r="C3449" s="6">
        <v>13.0</v>
      </c>
      <c r="D3449" s="15" t="s">
        <v>5675</v>
      </c>
      <c r="E3449" s="9" t="s">
        <v>5676</v>
      </c>
      <c r="F3449" s="8"/>
    </row>
    <row r="3450" ht="21.0" customHeight="1">
      <c r="A3450" s="6">
        <v>11.0</v>
      </c>
      <c r="B3450" s="6">
        <v>1078.0</v>
      </c>
      <c r="C3450" s="6">
        <v>1.0</v>
      </c>
      <c r="D3450" s="15" t="s">
        <v>5677</v>
      </c>
      <c r="E3450" s="9" t="s">
        <v>5678</v>
      </c>
      <c r="F3450" s="8"/>
    </row>
    <row r="3451" ht="21.0" customHeight="1">
      <c r="A3451" s="6">
        <v>11.0</v>
      </c>
      <c r="B3451" s="6">
        <v>1078.0</v>
      </c>
      <c r="C3451" s="6">
        <v>2.0</v>
      </c>
      <c r="D3451" s="15" t="s">
        <v>5679</v>
      </c>
      <c r="E3451" s="9" t="s">
        <v>5680</v>
      </c>
      <c r="F3451" s="8"/>
    </row>
    <row r="3452" ht="21.0" customHeight="1">
      <c r="A3452" s="6">
        <v>11.0</v>
      </c>
      <c r="B3452" s="6">
        <v>1078.0</v>
      </c>
      <c r="C3452" s="6">
        <v>3.0</v>
      </c>
      <c r="D3452" s="15" t="s">
        <v>5681</v>
      </c>
      <c r="E3452" s="9" t="s">
        <v>5682</v>
      </c>
      <c r="F3452" s="8"/>
    </row>
    <row r="3453" ht="21.0" customHeight="1">
      <c r="A3453" s="6">
        <v>11.0</v>
      </c>
      <c r="B3453" s="6">
        <v>1078.0</v>
      </c>
      <c r="C3453" s="6">
        <v>4.0</v>
      </c>
      <c r="D3453" s="15" t="s">
        <v>5683</v>
      </c>
      <c r="E3453" s="9" t="s">
        <v>5684</v>
      </c>
      <c r="F3453" s="8"/>
    </row>
    <row r="3454" ht="21.0" customHeight="1">
      <c r="A3454" s="6">
        <v>10.0</v>
      </c>
      <c r="B3454" s="6">
        <v>1078.0</v>
      </c>
      <c r="C3454" s="6">
        <v>5.0</v>
      </c>
      <c r="D3454" s="15" t="s">
        <v>5685</v>
      </c>
      <c r="E3454" s="9" t="s">
        <v>5686</v>
      </c>
      <c r="F3454" s="8"/>
    </row>
    <row r="3455" ht="21.0" customHeight="1">
      <c r="A3455" s="6">
        <v>10.0</v>
      </c>
      <c r="B3455" s="6">
        <v>1078.0</v>
      </c>
      <c r="C3455" s="6">
        <v>6.0</v>
      </c>
      <c r="D3455" s="15" t="s">
        <v>5687</v>
      </c>
      <c r="E3455" s="9" t="s">
        <v>5688</v>
      </c>
      <c r="F3455" s="8"/>
    </row>
    <row r="3456" ht="21.0" customHeight="1">
      <c r="A3456" s="6">
        <v>10.0</v>
      </c>
      <c r="B3456" s="6">
        <v>1078.0</v>
      </c>
      <c r="C3456" s="6">
        <v>7.0</v>
      </c>
      <c r="D3456" s="15" t="s">
        <v>5689</v>
      </c>
      <c r="E3456" s="9" t="s">
        <v>5690</v>
      </c>
      <c r="F3456" s="8"/>
    </row>
    <row r="3457" ht="21.0" customHeight="1">
      <c r="A3457" s="6">
        <v>10.0</v>
      </c>
      <c r="B3457" s="6">
        <v>1078.0</v>
      </c>
      <c r="C3457" s="6">
        <v>8.0</v>
      </c>
      <c r="D3457" s="15" t="s">
        <v>5691</v>
      </c>
      <c r="E3457" s="9" t="s">
        <v>5692</v>
      </c>
      <c r="F3457" s="8"/>
    </row>
    <row r="3458" ht="21.0" customHeight="1">
      <c r="A3458" s="6">
        <v>10.0</v>
      </c>
      <c r="B3458" s="6">
        <v>1078.0</v>
      </c>
      <c r="C3458" s="6">
        <v>9.0</v>
      </c>
      <c r="D3458" s="15" t="s">
        <v>5693</v>
      </c>
      <c r="E3458" s="9" t="s">
        <v>5694</v>
      </c>
      <c r="F3458" s="8"/>
    </row>
    <row r="3459" ht="21.0" customHeight="1">
      <c r="A3459" s="6">
        <v>10.0</v>
      </c>
      <c r="B3459" s="6">
        <v>1078.0</v>
      </c>
      <c r="C3459" s="6">
        <v>10.0</v>
      </c>
      <c r="D3459" s="15" t="s">
        <v>5695</v>
      </c>
      <c r="E3459" s="76" t="s">
        <v>5696</v>
      </c>
      <c r="F3459" s="8"/>
    </row>
    <row r="3460" ht="21.0" customHeight="1">
      <c r="A3460" s="6">
        <v>11.0</v>
      </c>
      <c r="B3460" s="6">
        <v>1079.0</v>
      </c>
      <c r="C3460" s="6">
        <v>1.0</v>
      </c>
      <c r="D3460" s="15" t="s">
        <v>5697</v>
      </c>
      <c r="E3460" s="9" t="s">
        <v>5698</v>
      </c>
      <c r="F3460" s="8"/>
    </row>
    <row r="3461" ht="21.0" customHeight="1">
      <c r="A3461" s="6">
        <v>11.0</v>
      </c>
      <c r="B3461" s="6">
        <v>1079.0</v>
      </c>
      <c r="C3461" s="6">
        <v>2.0</v>
      </c>
      <c r="D3461" s="15" t="s">
        <v>5699</v>
      </c>
      <c r="E3461" s="9" t="s">
        <v>5700</v>
      </c>
      <c r="F3461" s="8"/>
    </row>
    <row r="3462" ht="21.0" customHeight="1">
      <c r="A3462" s="6">
        <v>11.0</v>
      </c>
      <c r="B3462" s="6">
        <v>1079.0</v>
      </c>
      <c r="C3462" s="6">
        <v>3.0</v>
      </c>
      <c r="D3462" s="15" t="s">
        <v>5701</v>
      </c>
      <c r="E3462" s="9" t="s">
        <v>5702</v>
      </c>
      <c r="F3462" s="8"/>
    </row>
    <row r="3463" ht="21.0" customHeight="1">
      <c r="A3463" s="6">
        <v>11.0</v>
      </c>
      <c r="B3463" s="6">
        <v>1079.0</v>
      </c>
      <c r="C3463" s="6">
        <v>4.0</v>
      </c>
      <c r="D3463" s="15" t="s">
        <v>5703</v>
      </c>
      <c r="E3463" s="9" t="s">
        <v>5704</v>
      </c>
      <c r="F3463" s="8"/>
    </row>
    <row r="3464" ht="21.0" customHeight="1">
      <c r="A3464" s="6">
        <v>10.0</v>
      </c>
      <c r="B3464" s="6">
        <v>1079.0</v>
      </c>
      <c r="C3464" s="6">
        <v>5.0</v>
      </c>
      <c r="D3464" s="15" t="s">
        <v>5705</v>
      </c>
      <c r="E3464" s="9" t="s">
        <v>5706</v>
      </c>
      <c r="F3464" s="8"/>
    </row>
    <row r="3465" ht="21.0" customHeight="1">
      <c r="A3465" s="6">
        <v>10.0</v>
      </c>
      <c r="B3465" s="6">
        <v>1079.0</v>
      </c>
      <c r="C3465" s="6">
        <v>6.0</v>
      </c>
      <c r="D3465" s="15" t="s">
        <v>5707</v>
      </c>
      <c r="E3465" s="9" t="s">
        <v>5708</v>
      </c>
      <c r="F3465" s="8"/>
    </row>
    <row r="3466" ht="21.0" customHeight="1">
      <c r="A3466" s="6">
        <v>10.0</v>
      </c>
      <c r="B3466" s="6">
        <v>1079.0</v>
      </c>
      <c r="C3466" s="6">
        <v>7.0</v>
      </c>
      <c r="D3466" s="15" t="s">
        <v>5709</v>
      </c>
      <c r="E3466" s="9" t="s">
        <v>5710</v>
      </c>
      <c r="F3466" s="8"/>
    </row>
    <row r="3467" ht="21.0" customHeight="1">
      <c r="A3467" s="6">
        <v>10.0</v>
      </c>
      <c r="B3467" s="6">
        <v>1079.0</v>
      </c>
      <c r="C3467" s="6">
        <v>8.0</v>
      </c>
      <c r="D3467" s="15" t="s">
        <v>5711</v>
      </c>
      <c r="E3467" s="9" t="s">
        <v>5712</v>
      </c>
      <c r="F3467" s="8"/>
    </row>
    <row r="3468" ht="21.0" customHeight="1">
      <c r="A3468" s="6">
        <v>10.0</v>
      </c>
      <c r="B3468" s="6">
        <v>1079.0</v>
      </c>
      <c r="C3468" s="6">
        <v>9.0</v>
      </c>
      <c r="D3468" s="15" t="s">
        <v>5713</v>
      </c>
      <c r="E3468" s="9" t="s">
        <v>5714</v>
      </c>
      <c r="F3468" s="8"/>
    </row>
    <row r="3469" ht="21.0" customHeight="1">
      <c r="A3469" s="6">
        <v>10.0</v>
      </c>
      <c r="B3469" s="6">
        <v>1079.0</v>
      </c>
      <c r="C3469" s="6">
        <v>10.0</v>
      </c>
      <c r="D3469" s="15" t="s">
        <v>5715</v>
      </c>
      <c r="E3469" s="76" t="s">
        <v>5696</v>
      </c>
      <c r="F3469" s="8"/>
    </row>
    <row r="3470" ht="21.0" customHeight="1">
      <c r="A3470" s="6">
        <v>1.0</v>
      </c>
      <c r="B3470" s="6">
        <v>263.0</v>
      </c>
      <c r="C3470" s="6">
        <v>1.0</v>
      </c>
      <c r="D3470" s="15" t="s">
        <v>5716</v>
      </c>
      <c r="E3470" s="9" t="s">
        <v>5717</v>
      </c>
      <c r="F3470" s="8"/>
    </row>
    <row r="3471" ht="21.0" customHeight="1">
      <c r="A3471" s="6">
        <v>1.0</v>
      </c>
      <c r="B3471" s="6">
        <v>263.0</v>
      </c>
      <c r="C3471" s="6">
        <v>2.0</v>
      </c>
      <c r="D3471" s="15" t="s">
        <v>5718</v>
      </c>
      <c r="E3471" s="9" t="s">
        <v>5719</v>
      </c>
      <c r="F3471" s="8"/>
    </row>
    <row r="3472" ht="21.0" customHeight="1">
      <c r="A3472" s="6">
        <v>1.0</v>
      </c>
      <c r="B3472" s="6">
        <v>263.0</v>
      </c>
      <c r="C3472" s="6">
        <v>3.0</v>
      </c>
      <c r="D3472" s="15" t="s">
        <v>5720</v>
      </c>
      <c r="E3472" s="9" t="s">
        <v>5721</v>
      </c>
      <c r="F3472" s="8"/>
    </row>
    <row r="3473" ht="21.0" customHeight="1">
      <c r="A3473" s="6">
        <v>1.0</v>
      </c>
      <c r="B3473" s="6">
        <v>263.0</v>
      </c>
      <c r="C3473" s="6">
        <v>4.0</v>
      </c>
      <c r="D3473" s="15" t="s">
        <v>5722</v>
      </c>
      <c r="E3473" s="9" t="s">
        <v>5723</v>
      </c>
      <c r="F3473" s="8"/>
    </row>
    <row r="3474" ht="21.0" customHeight="1">
      <c r="A3474" s="6">
        <v>1.0</v>
      </c>
      <c r="B3474" s="6">
        <v>263.0</v>
      </c>
      <c r="C3474" s="6">
        <v>5.0</v>
      </c>
      <c r="D3474" s="15" t="s">
        <v>5724</v>
      </c>
      <c r="E3474" s="9" t="s">
        <v>5725</v>
      </c>
      <c r="F3474" s="8"/>
    </row>
    <row r="3475" ht="21.0" customHeight="1">
      <c r="A3475" s="6">
        <v>1.0</v>
      </c>
      <c r="B3475" s="6">
        <v>263.0</v>
      </c>
      <c r="C3475" s="6">
        <v>6.0</v>
      </c>
      <c r="D3475" s="15" t="s">
        <v>5726</v>
      </c>
      <c r="E3475" s="9" t="s">
        <v>5727</v>
      </c>
      <c r="F3475" s="8"/>
    </row>
    <row r="3476" ht="21.0" customHeight="1">
      <c r="A3476" s="6">
        <v>1.0</v>
      </c>
      <c r="B3476" s="6">
        <v>263.0</v>
      </c>
      <c r="C3476" s="6">
        <v>7.0</v>
      </c>
      <c r="D3476" s="9" t="s">
        <v>5728</v>
      </c>
      <c r="E3476" s="9" t="s">
        <v>5729</v>
      </c>
      <c r="F3476" s="8"/>
    </row>
    <row r="3477" ht="21.0" customHeight="1">
      <c r="A3477" s="6">
        <v>1.0</v>
      </c>
      <c r="B3477" s="6">
        <v>263.0</v>
      </c>
      <c r="C3477" s="6">
        <v>8.0</v>
      </c>
      <c r="D3477" s="9" t="s">
        <v>5730</v>
      </c>
      <c r="E3477" s="9" t="s">
        <v>5731</v>
      </c>
      <c r="F3477" s="8"/>
    </row>
    <row r="3478" ht="21.0" customHeight="1">
      <c r="A3478" s="6">
        <v>1.0</v>
      </c>
      <c r="B3478" s="6">
        <v>263.0</v>
      </c>
      <c r="C3478" s="6">
        <v>9.0</v>
      </c>
      <c r="D3478" s="9" t="s">
        <v>5732</v>
      </c>
      <c r="E3478" s="9" t="s">
        <v>5733</v>
      </c>
      <c r="F3478" s="8"/>
    </row>
    <row r="3479" ht="21.0" customHeight="1">
      <c r="A3479" s="6">
        <v>1.0</v>
      </c>
      <c r="B3479" s="6">
        <v>263.0</v>
      </c>
      <c r="C3479" s="6">
        <v>10.0</v>
      </c>
      <c r="D3479" s="9" t="s">
        <v>5734</v>
      </c>
      <c r="E3479" s="9" t="s">
        <v>5735</v>
      </c>
      <c r="F3479" s="8"/>
    </row>
    <row r="3480" ht="21.0" customHeight="1">
      <c r="A3480" s="6">
        <v>1.0</v>
      </c>
      <c r="B3480" s="6">
        <v>263.0</v>
      </c>
      <c r="C3480" s="6">
        <v>11.0</v>
      </c>
      <c r="D3480" s="9" t="s">
        <v>5736</v>
      </c>
      <c r="E3480" s="9" t="s">
        <v>5737</v>
      </c>
      <c r="F3480" s="8"/>
    </row>
    <row r="3481" ht="21.0" customHeight="1">
      <c r="A3481" s="6">
        <v>1.0</v>
      </c>
      <c r="B3481" s="6">
        <v>263.0</v>
      </c>
      <c r="C3481" s="6">
        <v>12.0</v>
      </c>
      <c r="D3481" s="9" t="s">
        <v>5738</v>
      </c>
      <c r="E3481" s="9" t="s">
        <v>5739</v>
      </c>
      <c r="F3481" s="8"/>
    </row>
    <row r="3482" ht="21.0" customHeight="1">
      <c r="A3482" s="6">
        <v>1.0</v>
      </c>
      <c r="B3482" s="6">
        <v>263.0</v>
      </c>
      <c r="C3482" s="6">
        <v>13.0</v>
      </c>
      <c r="D3482" s="9" t="s">
        <v>5740</v>
      </c>
      <c r="E3482" s="9" t="s">
        <v>5741</v>
      </c>
      <c r="F3482" s="8"/>
    </row>
    <row r="3483" ht="21.0" customHeight="1">
      <c r="A3483" s="6">
        <v>1.0</v>
      </c>
      <c r="B3483" s="6">
        <v>264.0</v>
      </c>
      <c r="C3483" s="6">
        <v>1.0</v>
      </c>
      <c r="D3483" s="15" t="s">
        <v>5742</v>
      </c>
      <c r="E3483" s="9" t="s">
        <v>5743</v>
      </c>
      <c r="F3483" s="8"/>
    </row>
    <row r="3484" ht="21.0" customHeight="1">
      <c r="A3484" s="6">
        <v>1.0</v>
      </c>
      <c r="B3484" s="6">
        <v>264.0</v>
      </c>
      <c r="C3484" s="6">
        <v>2.0</v>
      </c>
      <c r="D3484" s="15" t="s">
        <v>5744</v>
      </c>
      <c r="E3484" s="9" t="s">
        <v>5745</v>
      </c>
      <c r="F3484" s="8"/>
    </row>
    <row r="3485" ht="21.0" customHeight="1">
      <c r="A3485" s="6">
        <v>1.0</v>
      </c>
      <c r="B3485" s="6">
        <v>264.0</v>
      </c>
      <c r="C3485" s="6">
        <v>3.0</v>
      </c>
      <c r="D3485" s="15" t="s">
        <v>5746</v>
      </c>
      <c r="E3485" s="9" t="s">
        <v>5747</v>
      </c>
      <c r="F3485" s="8"/>
    </row>
    <row r="3486" ht="21.0" customHeight="1">
      <c r="A3486" s="6">
        <v>1.0</v>
      </c>
      <c r="B3486" s="6">
        <v>264.0</v>
      </c>
      <c r="C3486" s="6">
        <v>4.0</v>
      </c>
      <c r="D3486" s="15" t="s">
        <v>5748</v>
      </c>
      <c r="E3486" s="9" t="s">
        <v>5749</v>
      </c>
      <c r="F3486" s="8"/>
    </row>
    <row r="3487" ht="21.0" customHeight="1">
      <c r="A3487" s="6">
        <v>1.0</v>
      </c>
      <c r="B3487" s="6">
        <v>264.0</v>
      </c>
      <c r="C3487" s="6">
        <v>5.0</v>
      </c>
      <c r="D3487" s="15" t="s">
        <v>5750</v>
      </c>
      <c r="E3487" s="9" t="s">
        <v>5751</v>
      </c>
      <c r="F3487" s="8"/>
    </row>
    <row r="3488" ht="21.0" customHeight="1">
      <c r="A3488" s="6">
        <v>1.0</v>
      </c>
      <c r="B3488" s="6">
        <v>264.0</v>
      </c>
      <c r="C3488" s="6">
        <v>6.0</v>
      </c>
      <c r="D3488" s="15" t="s">
        <v>5752</v>
      </c>
      <c r="E3488" s="9" t="s">
        <v>5753</v>
      </c>
      <c r="F3488" s="8"/>
    </row>
    <row r="3489" ht="21.0" customHeight="1">
      <c r="A3489" s="6">
        <v>1.0</v>
      </c>
      <c r="B3489" s="6">
        <v>264.0</v>
      </c>
      <c r="C3489" s="6">
        <v>7.0</v>
      </c>
      <c r="D3489" s="15" t="s">
        <v>5754</v>
      </c>
      <c r="E3489" s="9" t="s">
        <v>5755</v>
      </c>
      <c r="F3489" s="8"/>
    </row>
    <row r="3490" ht="21.0" customHeight="1">
      <c r="A3490" s="6">
        <v>1.0</v>
      </c>
      <c r="B3490" s="6">
        <v>264.0</v>
      </c>
      <c r="C3490" s="6">
        <v>8.0</v>
      </c>
      <c r="D3490" s="15" t="s">
        <v>5756</v>
      </c>
      <c r="E3490" s="9" t="s">
        <v>5757</v>
      </c>
      <c r="F3490" s="8"/>
    </row>
    <row r="3491" ht="21.0" customHeight="1">
      <c r="A3491" s="6">
        <v>1.0</v>
      </c>
      <c r="B3491" s="6">
        <v>264.0</v>
      </c>
      <c r="C3491" s="6">
        <v>9.0</v>
      </c>
      <c r="D3491" s="15" t="s">
        <v>5758</v>
      </c>
      <c r="E3491" s="9" t="s">
        <v>5759</v>
      </c>
      <c r="F3491" s="8"/>
    </row>
    <row r="3492" ht="21.0" customHeight="1">
      <c r="A3492" s="6">
        <v>1.0</v>
      </c>
      <c r="B3492" s="6">
        <v>264.0</v>
      </c>
      <c r="C3492" s="6">
        <v>10.0</v>
      </c>
      <c r="D3492" s="15" t="s">
        <v>5760</v>
      </c>
      <c r="E3492" s="9" t="s">
        <v>5761</v>
      </c>
      <c r="F3492" s="8"/>
    </row>
    <row r="3493" ht="21.0" customHeight="1">
      <c r="A3493" s="6">
        <v>1.0</v>
      </c>
      <c r="B3493" s="6">
        <v>264.0</v>
      </c>
      <c r="C3493" s="6">
        <v>11.0</v>
      </c>
      <c r="D3493" s="15" t="s">
        <v>5762</v>
      </c>
      <c r="E3493" s="9" t="s">
        <v>5763</v>
      </c>
      <c r="F3493" s="8"/>
    </row>
    <row r="3494" ht="21.0" customHeight="1">
      <c r="A3494" s="6">
        <v>1.0</v>
      </c>
      <c r="B3494" s="6">
        <v>264.0</v>
      </c>
      <c r="C3494" s="6">
        <v>12.0</v>
      </c>
      <c r="D3494" s="15" t="s">
        <v>5764</v>
      </c>
      <c r="E3494" s="9" t="s">
        <v>5765</v>
      </c>
      <c r="F3494" s="8"/>
    </row>
    <row r="3495" ht="21.0" customHeight="1">
      <c r="A3495" s="6">
        <v>1.0</v>
      </c>
      <c r="B3495" s="6">
        <v>264.0</v>
      </c>
      <c r="C3495" s="6">
        <v>13.0</v>
      </c>
      <c r="D3495" s="15" t="s">
        <v>5766</v>
      </c>
      <c r="E3495" s="9" t="s">
        <v>5767</v>
      </c>
      <c r="F3495" s="8"/>
    </row>
    <row r="3496" ht="21.0" customHeight="1">
      <c r="A3496" s="6">
        <v>1.0</v>
      </c>
      <c r="B3496" s="6">
        <v>265.0</v>
      </c>
      <c r="C3496" s="6">
        <v>1.0</v>
      </c>
      <c r="D3496" s="15" t="s">
        <v>5768</v>
      </c>
      <c r="E3496" s="9" t="s">
        <v>5769</v>
      </c>
      <c r="F3496" s="8"/>
    </row>
    <row r="3497" ht="21.0" customHeight="1">
      <c r="A3497" s="6">
        <v>1.0</v>
      </c>
      <c r="B3497" s="6">
        <v>265.0</v>
      </c>
      <c r="C3497" s="6">
        <v>2.0</v>
      </c>
      <c r="D3497" s="15" t="s">
        <v>5770</v>
      </c>
      <c r="E3497" s="9" t="s">
        <v>5771</v>
      </c>
      <c r="F3497" s="8"/>
    </row>
    <row r="3498" ht="21.0" customHeight="1">
      <c r="A3498" s="6">
        <v>1.0</v>
      </c>
      <c r="B3498" s="6">
        <v>265.0</v>
      </c>
      <c r="C3498" s="6">
        <v>3.0</v>
      </c>
      <c r="D3498" s="15" t="s">
        <v>5772</v>
      </c>
      <c r="E3498" s="9" t="s">
        <v>5773</v>
      </c>
      <c r="F3498" s="8"/>
    </row>
    <row r="3499" ht="21.0" customHeight="1">
      <c r="A3499" s="6">
        <v>1.0</v>
      </c>
      <c r="B3499" s="6">
        <v>265.0</v>
      </c>
      <c r="C3499" s="6">
        <v>4.0</v>
      </c>
      <c r="D3499" s="15" t="s">
        <v>5774</v>
      </c>
      <c r="E3499" s="9" t="s">
        <v>5775</v>
      </c>
      <c r="F3499" s="8"/>
    </row>
    <row r="3500" ht="21.0" customHeight="1">
      <c r="A3500" s="6">
        <v>1.0</v>
      </c>
      <c r="B3500" s="6">
        <v>265.0</v>
      </c>
      <c r="C3500" s="6">
        <v>5.0</v>
      </c>
      <c r="D3500" s="15" t="s">
        <v>5776</v>
      </c>
      <c r="E3500" s="9" t="s">
        <v>5777</v>
      </c>
      <c r="F3500" s="8"/>
    </row>
    <row r="3501" ht="21.0" customHeight="1">
      <c r="A3501" s="6">
        <v>1.0</v>
      </c>
      <c r="B3501" s="6">
        <v>265.0</v>
      </c>
      <c r="C3501" s="6">
        <v>6.0</v>
      </c>
      <c r="D3501" s="15" t="s">
        <v>5778</v>
      </c>
      <c r="E3501" s="9" t="s">
        <v>5779</v>
      </c>
      <c r="F3501" s="8"/>
    </row>
    <row r="3502" ht="21.0" customHeight="1">
      <c r="A3502" s="6">
        <v>1.0</v>
      </c>
      <c r="B3502" s="6">
        <v>265.0</v>
      </c>
      <c r="C3502" s="6">
        <v>7.0</v>
      </c>
      <c r="D3502" s="15" t="s">
        <v>5780</v>
      </c>
      <c r="E3502" s="9" t="s">
        <v>5781</v>
      </c>
      <c r="F3502" s="8"/>
    </row>
    <row r="3503" ht="21.0" customHeight="1">
      <c r="A3503" s="6">
        <v>1.0</v>
      </c>
      <c r="B3503" s="6">
        <v>265.0</v>
      </c>
      <c r="C3503" s="6">
        <v>8.0</v>
      </c>
      <c r="D3503" s="15" t="s">
        <v>5782</v>
      </c>
      <c r="E3503" s="9" t="s">
        <v>5783</v>
      </c>
      <c r="F3503" s="8"/>
    </row>
    <row r="3504" ht="21.0" customHeight="1">
      <c r="A3504" s="6">
        <v>1.0</v>
      </c>
      <c r="B3504" s="6">
        <v>265.0</v>
      </c>
      <c r="C3504" s="6">
        <v>9.0</v>
      </c>
      <c r="D3504" s="15" t="s">
        <v>5784</v>
      </c>
      <c r="E3504" s="9" t="s">
        <v>5785</v>
      </c>
      <c r="F3504" s="8"/>
    </row>
    <row r="3505" ht="21.0" customHeight="1">
      <c r="A3505" s="6">
        <v>1.0</v>
      </c>
      <c r="B3505" s="6">
        <v>265.0</v>
      </c>
      <c r="C3505" s="6">
        <v>10.0</v>
      </c>
      <c r="D3505" s="15" t="s">
        <v>5786</v>
      </c>
      <c r="E3505" s="9" t="s">
        <v>5787</v>
      </c>
      <c r="F3505" s="8"/>
    </row>
    <row r="3506" ht="21.0" customHeight="1">
      <c r="A3506" s="6">
        <v>1.0</v>
      </c>
      <c r="B3506" s="6">
        <v>265.0</v>
      </c>
      <c r="C3506" s="6">
        <v>11.0</v>
      </c>
      <c r="D3506" s="15" t="s">
        <v>5788</v>
      </c>
      <c r="E3506" s="9" t="s">
        <v>5789</v>
      </c>
      <c r="F3506" s="8"/>
    </row>
    <row r="3507" ht="21.0" customHeight="1">
      <c r="A3507" s="6">
        <v>1.0</v>
      </c>
      <c r="B3507" s="6">
        <v>265.0</v>
      </c>
      <c r="C3507" s="6">
        <v>12.0</v>
      </c>
      <c r="D3507" s="15" t="s">
        <v>5790</v>
      </c>
      <c r="E3507" s="9" t="s">
        <v>5791</v>
      </c>
      <c r="F3507" s="8"/>
    </row>
    <row r="3508" ht="21.0" customHeight="1">
      <c r="A3508" s="6">
        <v>1.0</v>
      </c>
      <c r="B3508" s="6">
        <v>265.0</v>
      </c>
      <c r="C3508" s="6">
        <v>13.0</v>
      </c>
      <c r="D3508" s="15" t="s">
        <v>5792</v>
      </c>
      <c r="E3508" s="9" t="s">
        <v>5793</v>
      </c>
      <c r="F3508" s="8"/>
    </row>
    <row r="3509" ht="21.0" customHeight="1">
      <c r="A3509" s="6">
        <v>11.0</v>
      </c>
      <c r="B3509" s="6">
        <v>1080.0</v>
      </c>
      <c r="C3509" s="6">
        <v>1.0</v>
      </c>
      <c r="D3509" s="15" t="s">
        <v>5794</v>
      </c>
      <c r="E3509" s="9" t="s">
        <v>5795</v>
      </c>
      <c r="F3509" s="8"/>
    </row>
    <row r="3510" ht="21.0" customHeight="1">
      <c r="A3510" s="6">
        <v>11.0</v>
      </c>
      <c r="B3510" s="6">
        <v>1080.0</v>
      </c>
      <c r="C3510" s="6">
        <v>2.0</v>
      </c>
      <c r="D3510" s="15" t="s">
        <v>5796</v>
      </c>
      <c r="E3510" s="9" t="s">
        <v>5797</v>
      </c>
      <c r="F3510" s="8"/>
    </row>
    <row r="3511" ht="21.0" customHeight="1">
      <c r="A3511" s="6">
        <v>11.0</v>
      </c>
      <c r="B3511" s="6">
        <v>1080.0</v>
      </c>
      <c r="C3511" s="6">
        <v>3.0</v>
      </c>
      <c r="D3511" s="15" t="s">
        <v>5798</v>
      </c>
      <c r="E3511" s="9" t="s">
        <v>5799</v>
      </c>
      <c r="F3511" s="8"/>
    </row>
    <row r="3512" ht="21.0" customHeight="1">
      <c r="A3512" s="6">
        <v>11.0</v>
      </c>
      <c r="B3512" s="6">
        <v>1080.0</v>
      </c>
      <c r="C3512" s="6">
        <v>4.0</v>
      </c>
      <c r="D3512" s="15" t="s">
        <v>5800</v>
      </c>
      <c r="E3512" s="9" t="s">
        <v>5801</v>
      </c>
      <c r="F3512" s="8"/>
    </row>
    <row r="3513" ht="21.0" customHeight="1">
      <c r="A3513" s="6">
        <v>10.0</v>
      </c>
      <c r="B3513" s="6">
        <v>1080.0</v>
      </c>
      <c r="C3513" s="6">
        <v>5.0</v>
      </c>
      <c r="D3513" s="15" t="s">
        <v>5802</v>
      </c>
      <c r="E3513" s="9" t="s">
        <v>5803</v>
      </c>
      <c r="F3513" s="8"/>
    </row>
    <row r="3514" ht="21.0" customHeight="1">
      <c r="A3514" s="6">
        <v>10.0</v>
      </c>
      <c r="B3514" s="6">
        <v>1080.0</v>
      </c>
      <c r="C3514" s="6">
        <v>6.0</v>
      </c>
      <c r="D3514" s="15" t="s">
        <v>5804</v>
      </c>
      <c r="E3514" s="9" t="s">
        <v>5805</v>
      </c>
      <c r="F3514" s="8"/>
    </row>
    <row r="3515" ht="21.0" customHeight="1">
      <c r="A3515" s="6">
        <v>10.0</v>
      </c>
      <c r="B3515" s="6">
        <v>1080.0</v>
      </c>
      <c r="C3515" s="6">
        <v>7.0</v>
      </c>
      <c r="D3515" s="15" t="s">
        <v>5806</v>
      </c>
      <c r="E3515" s="9" t="s">
        <v>5807</v>
      </c>
      <c r="F3515" s="8"/>
    </row>
    <row r="3516" ht="21.0" customHeight="1">
      <c r="A3516" s="6">
        <v>10.0</v>
      </c>
      <c r="B3516" s="6">
        <v>1080.0</v>
      </c>
      <c r="C3516" s="6">
        <v>8.0</v>
      </c>
      <c r="D3516" s="15" t="s">
        <v>5808</v>
      </c>
      <c r="E3516" s="9" t="s">
        <v>5809</v>
      </c>
      <c r="F3516" s="8"/>
    </row>
    <row r="3517" ht="21.0" customHeight="1">
      <c r="A3517" s="6">
        <v>10.0</v>
      </c>
      <c r="B3517" s="6">
        <v>1080.0</v>
      </c>
      <c r="C3517" s="6">
        <v>9.0</v>
      </c>
      <c r="D3517" s="15" t="s">
        <v>5810</v>
      </c>
      <c r="E3517" s="9" t="s">
        <v>5811</v>
      </c>
      <c r="F3517" s="8"/>
    </row>
    <row r="3518" ht="21.0" customHeight="1">
      <c r="A3518" s="6">
        <v>10.0</v>
      </c>
      <c r="B3518" s="6">
        <v>1080.0</v>
      </c>
      <c r="C3518" s="6">
        <v>10.0</v>
      </c>
      <c r="D3518" s="15" t="s">
        <v>5812</v>
      </c>
      <c r="E3518" s="9" t="s">
        <v>5813</v>
      </c>
      <c r="F3518" s="8"/>
    </row>
    <row r="3519" ht="21.0" customHeight="1">
      <c r="A3519" s="6">
        <v>11.0</v>
      </c>
      <c r="B3519" s="6">
        <v>1081.0</v>
      </c>
      <c r="C3519" s="6">
        <v>1.0</v>
      </c>
      <c r="D3519" s="15" t="s">
        <v>5814</v>
      </c>
      <c r="E3519" s="9" t="s">
        <v>5815</v>
      </c>
      <c r="F3519" s="8"/>
    </row>
    <row r="3520" ht="21.0" customHeight="1">
      <c r="A3520" s="6">
        <v>11.0</v>
      </c>
      <c r="B3520" s="6">
        <v>1081.0</v>
      </c>
      <c r="C3520" s="6">
        <v>2.0</v>
      </c>
      <c r="D3520" s="15" t="s">
        <v>5816</v>
      </c>
      <c r="E3520" s="9" t="s">
        <v>5817</v>
      </c>
      <c r="F3520" s="8"/>
    </row>
    <row r="3521" ht="21.0" customHeight="1">
      <c r="A3521" s="6">
        <v>11.0</v>
      </c>
      <c r="B3521" s="6">
        <v>1081.0</v>
      </c>
      <c r="C3521" s="6">
        <v>3.0</v>
      </c>
      <c r="D3521" s="15" t="s">
        <v>5818</v>
      </c>
      <c r="E3521" s="9" t="s">
        <v>5819</v>
      </c>
      <c r="F3521" s="8"/>
    </row>
    <row r="3522" ht="21.0" customHeight="1">
      <c r="A3522" s="6">
        <v>11.0</v>
      </c>
      <c r="B3522" s="6">
        <v>1081.0</v>
      </c>
      <c r="C3522" s="6">
        <v>4.0</v>
      </c>
      <c r="D3522" s="15" t="s">
        <v>5820</v>
      </c>
      <c r="E3522" s="9" t="s">
        <v>5821</v>
      </c>
      <c r="F3522" s="8"/>
    </row>
    <row r="3523" ht="21.0" customHeight="1">
      <c r="A3523" s="6">
        <v>10.0</v>
      </c>
      <c r="B3523" s="6">
        <v>1081.0</v>
      </c>
      <c r="C3523" s="6">
        <v>5.0</v>
      </c>
      <c r="D3523" s="15" t="s">
        <v>5822</v>
      </c>
      <c r="E3523" s="9" t="s">
        <v>5823</v>
      </c>
      <c r="F3523" s="8"/>
    </row>
    <row r="3524" ht="21.0" customHeight="1">
      <c r="A3524" s="6">
        <v>10.0</v>
      </c>
      <c r="B3524" s="6">
        <v>1081.0</v>
      </c>
      <c r="C3524" s="6">
        <v>6.0</v>
      </c>
      <c r="D3524" s="15" t="s">
        <v>5824</v>
      </c>
      <c r="E3524" s="9" t="s">
        <v>5825</v>
      </c>
      <c r="F3524" s="8"/>
    </row>
    <row r="3525" ht="21.0" customHeight="1">
      <c r="A3525" s="6">
        <v>10.0</v>
      </c>
      <c r="B3525" s="6">
        <v>1081.0</v>
      </c>
      <c r="C3525" s="6">
        <v>7.0</v>
      </c>
      <c r="D3525" s="15" t="s">
        <v>5826</v>
      </c>
      <c r="E3525" s="9" t="s">
        <v>5827</v>
      </c>
      <c r="F3525" s="8"/>
    </row>
    <row r="3526" ht="21.0" customHeight="1">
      <c r="A3526" s="6">
        <v>10.0</v>
      </c>
      <c r="B3526" s="6">
        <v>1081.0</v>
      </c>
      <c r="C3526" s="6">
        <v>8.0</v>
      </c>
      <c r="D3526" s="15" t="s">
        <v>5828</v>
      </c>
      <c r="E3526" s="9" t="s">
        <v>5829</v>
      </c>
      <c r="F3526" s="8"/>
    </row>
    <row r="3527" ht="21.0" customHeight="1">
      <c r="A3527" s="6">
        <v>10.0</v>
      </c>
      <c r="B3527" s="6">
        <v>1081.0</v>
      </c>
      <c r="C3527" s="6">
        <v>9.0</v>
      </c>
      <c r="D3527" s="15" t="s">
        <v>5830</v>
      </c>
      <c r="E3527" s="9" t="s">
        <v>5831</v>
      </c>
      <c r="F3527" s="8"/>
    </row>
    <row r="3528" ht="21.0" customHeight="1">
      <c r="A3528" s="6">
        <v>10.0</v>
      </c>
      <c r="B3528" s="6">
        <v>1081.0</v>
      </c>
      <c r="C3528" s="6">
        <v>10.0</v>
      </c>
      <c r="D3528" s="15" t="s">
        <v>5832</v>
      </c>
      <c r="E3528" s="9" t="s">
        <v>5813</v>
      </c>
      <c r="F3528" s="8"/>
    </row>
    <row r="3529" ht="21.0" customHeight="1">
      <c r="A3529" s="6">
        <v>1.0</v>
      </c>
      <c r="B3529" s="6">
        <v>266.0</v>
      </c>
      <c r="C3529" s="6">
        <v>1.0</v>
      </c>
      <c r="D3529" s="15" t="s">
        <v>5833</v>
      </c>
      <c r="E3529" s="9" t="s">
        <v>5834</v>
      </c>
      <c r="F3529" s="8"/>
    </row>
    <row r="3530" ht="21.0" customHeight="1">
      <c r="A3530" s="6">
        <v>1.0</v>
      </c>
      <c r="B3530" s="6">
        <v>266.0</v>
      </c>
      <c r="C3530" s="6">
        <v>2.0</v>
      </c>
      <c r="D3530" s="15" t="s">
        <v>5835</v>
      </c>
      <c r="E3530" s="9" t="s">
        <v>5836</v>
      </c>
      <c r="F3530" s="8"/>
    </row>
    <row r="3531" ht="21.0" customHeight="1">
      <c r="A3531" s="6">
        <v>1.0</v>
      </c>
      <c r="B3531" s="6">
        <v>266.0</v>
      </c>
      <c r="C3531" s="6">
        <v>3.0</v>
      </c>
      <c r="D3531" s="15" t="s">
        <v>5837</v>
      </c>
      <c r="E3531" s="9" t="s">
        <v>5838</v>
      </c>
      <c r="F3531" s="8"/>
    </row>
    <row r="3532" ht="21.0" customHeight="1">
      <c r="A3532" s="6">
        <v>1.0</v>
      </c>
      <c r="B3532" s="6">
        <v>266.0</v>
      </c>
      <c r="C3532" s="6">
        <v>4.0</v>
      </c>
      <c r="D3532" s="15" t="s">
        <v>5839</v>
      </c>
      <c r="E3532" s="9" t="s">
        <v>5840</v>
      </c>
      <c r="F3532" s="8"/>
    </row>
    <row r="3533" ht="21.0" customHeight="1">
      <c r="A3533" s="6">
        <v>1.0</v>
      </c>
      <c r="B3533" s="6">
        <v>266.0</v>
      </c>
      <c r="C3533" s="6">
        <v>5.0</v>
      </c>
      <c r="D3533" s="15" t="s">
        <v>5841</v>
      </c>
      <c r="E3533" s="9" t="s">
        <v>5842</v>
      </c>
      <c r="F3533" s="8"/>
    </row>
    <row r="3534" ht="21.0" customHeight="1">
      <c r="A3534" s="6">
        <v>1.0</v>
      </c>
      <c r="B3534" s="6">
        <v>266.0</v>
      </c>
      <c r="C3534" s="6">
        <v>6.0</v>
      </c>
      <c r="D3534" s="15" t="s">
        <v>5843</v>
      </c>
      <c r="E3534" s="9" t="s">
        <v>5844</v>
      </c>
      <c r="F3534" s="8"/>
    </row>
    <row r="3535" ht="21.0" customHeight="1">
      <c r="A3535" s="6">
        <v>1.0</v>
      </c>
      <c r="B3535" s="6">
        <v>266.0</v>
      </c>
      <c r="C3535" s="6">
        <v>7.0</v>
      </c>
      <c r="D3535" s="9" t="s">
        <v>5845</v>
      </c>
      <c r="E3535" s="9" t="s">
        <v>5846</v>
      </c>
      <c r="F3535" s="8"/>
    </row>
    <row r="3536" ht="21.0" customHeight="1">
      <c r="A3536" s="6">
        <v>1.0</v>
      </c>
      <c r="B3536" s="6">
        <v>266.0</v>
      </c>
      <c r="C3536" s="6">
        <v>8.0</v>
      </c>
      <c r="D3536" s="9" t="s">
        <v>5847</v>
      </c>
      <c r="E3536" s="9" t="s">
        <v>5848</v>
      </c>
      <c r="F3536" s="8"/>
    </row>
    <row r="3537" ht="21.0" customHeight="1">
      <c r="A3537" s="6">
        <v>1.0</v>
      </c>
      <c r="B3537" s="6">
        <v>266.0</v>
      </c>
      <c r="C3537" s="6">
        <v>9.0</v>
      </c>
      <c r="D3537" s="9" t="s">
        <v>5849</v>
      </c>
      <c r="E3537" s="9" t="s">
        <v>5850</v>
      </c>
      <c r="F3537" s="8"/>
    </row>
    <row r="3538" ht="21.0" customHeight="1">
      <c r="A3538" s="6">
        <v>1.0</v>
      </c>
      <c r="B3538" s="6">
        <v>266.0</v>
      </c>
      <c r="C3538" s="6">
        <v>10.0</v>
      </c>
      <c r="D3538" s="9" t="s">
        <v>5851</v>
      </c>
      <c r="E3538" s="9" t="s">
        <v>5852</v>
      </c>
      <c r="F3538" s="8"/>
    </row>
    <row r="3539" ht="21.0" customHeight="1">
      <c r="A3539" s="6">
        <v>1.0</v>
      </c>
      <c r="B3539" s="6">
        <v>266.0</v>
      </c>
      <c r="C3539" s="6">
        <v>11.0</v>
      </c>
      <c r="D3539" s="9" t="s">
        <v>5853</v>
      </c>
      <c r="E3539" s="9" t="s">
        <v>5854</v>
      </c>
      <c r="F3539" s="8"/>
    </row>
    <row r="3540" ht="21.0" customHeight="1">
      <c r="A3540" s="6">
        <v>1.0</v>
      </c>
      <c r="B3540" s="6">
        <v>266.0</v>
      </c>
      <c r="C3540" s="6">
        <v>12.0</v>
      </c>
      <c r="D3540" s="9" t="s">
        <v>5855</v>
      </c>
      <c r="E3540" s="9" t="s">
        <v>5856</v>
      </c>
      <c r="F3540" s="8"/>
    </row>
    <row r="3541" ht="21.0" customHeight="1">
      <c r="A3541" s="6">
        <v>1.0</v>
      </c>
      <c r="B3541" s="6">
        <v>266.0</v>
      </c>
      <c r="C3541" s="6">
        <v>13.0</v>
      </c>
      <c r="D3541" s="9" t="s">
        <v>5857</v>
      </c>
      <c r="E3541" s="9" t="s">
        <v>5858</v>
      </c>
      <c r="F3541" s="8"/>
    </row>
    <row r="3542" ht="21.0" customHeight="1">
      <c r="A3542" s="6">
        <v>1.0</v>
      </c>
      <c r="B3542" s="6">
        <v>267.0</v>
      </c>
      <c r="C3542" s="6">
        <v>1.0</v>
      </c>
      <c r="D3542" s="15" t="s">
        <v>5859</v>
      </c>
      <c r="E3542" s="9" t="s">
        <v>5860</v>
      </c>
      <c r="F3542" s="8"/>
    </row>
    <row r="3543" ht="21.0" customHeight="1">
      <c r="A3543" s="6">
        <v>1.0</v>
      </c>
      <c r="B3543" s="6">
        <v>267.0</v>
      </c>
      <c r="C3543" s="6">
        <v>2.0</v>
      </c>
      <c r="D3543" s="15" t="s">
        <v>5861</v>
      </c>
      <c r="E3543" s="9" t="s">
        <v>5862</v>
      </c>
      <c r="F3543" s="8"/>
    </row>
    <row r="3544" ht="21.0" customHeight="1">
      <c r="A3544" s="6">
        <v>1.0</v>
      </c>
      <c r="B3544" s="6">
        <v>267.0</v>
      </c>
      <c r="C3544" s="6">
        <v>3.0</v>
      </c>
      <c r="D3544" s="15" t="s">
        <v>5863</v>
      </c>
      <c r="E3544" s="9" t="s">
        <v>5864</v>
      </c>
      <c r="F3544" s="8"/>
    </row>
    <row r="3545" ht="21.0" customHeight="1">
      <c r="A3545" s="6">
        <v>1.0</v>
      </c>
      <c r="B3545" s="6">
        <v>267.0</v>
      </c>
      <c r="C3545" s="6">
        <v>4.0</v>
      </c>
      <c r="D3545" s="15" t="s">
        <v>5865</v>
      </c>
      <c r="E3545" s="9" t="s">
        <v>5866</v>
      </c>
      <c r="F3545" s="8"/>
    </row>
    <row r="3546" ht="21.0" customHeight="1">
      <c r="A3546" s="6">
        <v>1.0</v>
      </c>
      <c r="B3546" s="6">
        <v>267.0</v>
      </c>
      <c r="C3546" s="6">
        <v>5.0</v>
      </c>
      <c r="D3546" s="15" t="s">
        <v>5867</v>
      </c>
      <c r="E3546" s="9" t="s">
        <v>5868</v>
      </c>
      <c r="F3546" s="8"/>
    </row>
    <row r="3547" ht="21.0" customHeight="1">
      <c r="A3547" s="6">
        <v>1.0</v>
      </c>
      <c r="B3547" s="6">
        <v>267.0</v>
      </c>
      <c r="C3547" s="6">
        <v>6.0</v>
      </c>
      <c r="D3547" s="15" t="s">
        <v>5869</v>
      </c>
      <c r="E3547" s="9" t="s">
        <v>5870</v>
      </c>
      <c r="F3547" s="8"/>
    </row>
    <row r="3548" ht="21.0" customHeight="1">
      <c r="A3548" s="6">
        <v>1.0</v>
      </c>
      <c r="B3548" s="6">
        <v>267.0</v>
      </c>
      <c r="C3548" s="6">
        <v>7.0</v>
      </c>
      <c r="D3548" s="15" t="s">
        <v>5871</v>
      </c>
      <c r="E3548" s="9" t="s">
        <v>5872</v>
      </c>
      <c r="F3548" s="8"/>
    </row>
    <row r="3549" ht="21.0" customHeight="1">
      <c r="A3549" s="6">
        <v>1.0</v>
      </c>
      <c r="B3549" s="6">
        <v>267.0</v>
      </c>
      <c r="C3549" s="6">
        <v>8.0</v>
      </c>
      <c r="D3549" s="15" t="s">
        <v>5873</v>
      </c>
      <c r="E3549" s="9" t="s">
        <v>5874</v>
      </c>
      <c r="F3549" s="8"/>
    </row>
    <row r="3550" ht="21.0" customHeight="1">
      <c r="A3550" s="6">
        <v>1.0</v>
      </c>
      <c r="B3550" s="6">
        <v>267.0</v>
      </c>
      <c r="C3550" s="6">
        <v>9.0</v>
      </c>
      <c r="D3550" s="15" t="s">
        <v>5875</v>
      </c>
      <c r="E3550" s="9" t="s">
        <v>5876</v>
      </c>
      <c r="F3550" s="8"/>
    </row>
    <row r="3551" ht="21.0" customHeight="1">
      <c r="A3551" s="6">
        <v>1.0</v>
      </c>
      <c r="B3551" s="6">
        <v>267.0</v>
      </c>
      <c r="C3551" s="6">
        <v>10.0</v>
      </c>
      <c r="D3551" s="15" t="s">
        <v>5877</v>
      </c>
      <c r="E3551" s="9" t="s">
        <v>5878</v>
      </c>
      <c r="F3551" s="8"/>
    </row>
    <row r="3552" ht="21.0" customHeight="1">
      <c r="A3552" s="6">
        <v>1.0</v>
      </c>
      <c r="B3552" s="6">
        <v>267.0</v>
      </c>
      <c r="C3552" s="6">
        <v>11.0</v>
      </c>
      <c r="D3552" s="15" t="s">
        <v>5879</v>
      </c>
      <c r="E3552" s="9" t="s">
        <v>5880</v>
      </c>
      <c r="F3552" s="8"/>
    </row>
    <row r="3553" ht="21.0" customHeight="1">
      <c r="A3553" s="6">
        <v>1.0</v>
      </c>
      <c r="B3553" s="6">
        <v>267.0</v>
      </c>
      <c r="C3553" s="6">
        <v>12.0</v>
      </c>
      <c r="D3553" s="15" t="s">
        <v>5881</v>
      </c>
      <c r="E3553" s="9" t="s">
        <v>5882</v>
      </c>
      <c r="F3553" s="8"/>
    </row>
    <row r="3554" ht="21.0" customHeight="1">
      <c r="A3554" s="6">
        <v>1.0</v>
      </c>
      <c r="B3554" s="6">
        <v>267.0</v>
      </c>
      <c r="C3554" s="6">
        <v>13.0</v>
      </c>
      <c r="D3554" s="15" t="s">
        <v>5883</v>
      </c>
      <c r="E3554" s="9" t="s">
        <v>5884</v>
      </c>
      <c r="F3554" s="8"/>
    </row>
    <row r="3555" ht="21.0" customHeight="1">
      <c r="A3555" s="6">
        <v>1.0</v>
      </c>
      <c r="B3555" s="6">
        <v>268.0</v>
      </c>
      <c r="C3555" s="6">
        <v>1.0</v>
      </c>
      <c r="D3555" s="15" t="s">
        <v>5885</v>
      </c>
      <c r="E3555" s="9" t="s">
        <v>5886</v>
      </c>
      <c r="F3555" s="8"/>
    </row>
    <row r="3556" ht="21.0" customHeight="1">
      <c r="A3556" s="6">
        <v>1.0</v>
      </c>
      <c r="B3556" s="6">
        <v>268.0</v>
      </c>
      <c r="C3556" s="6">
        <v>2.0</v>
      </c>
      <c r="D3556" s="15" t="s">
        <v>5887</v>
      </c>
      <c r="E3556" s="9" t="s">
        <v>5888</v>
      </c>
      <c r="F3556" s="8"/>
    </row>
    <row r="3557" ht="21.0" customHeight="1">
      <c r="A3557" s="6">
        <v>1.0</v>
      </c>
      <c r="B3557" s="6">
        <v>268.0</v>
      </c>
      <c r="C3557" s="6">
        <v>3.0</v>
      </c>
      <c r="D3557" s="15" t="s">
        <v>5889</v>
      </c>
      <c r="E3557" s="9" t="s">
        <v>5890</v>
      </c>
      <c r="F3557" s="8"/>
    </row>
    <row r="3558" ht="21.0" customHeight="1">
      <c r="A3558" s="6">
        <v>1.0</v>
      </c>
      <c r="B3558" s="6">
        <v>268.0</v>
      </c>
      <c r="C3558" s="6">
        <v>4.0</v>
      </c>
      <c r="D3558" s="15" t="s">
        <v>5891</v>
      </c>
      <c r="E3558" s="9" t="s">
        <v>5892</v>
      </c>
      <c r="F3558" s="8"/>
    </row>
    <row r="3559" ht="21.0" customHeight="1">
      <c r="A3559" s="6">
        <v>1.0</v>
      </c>
      <c r="B3559" s="6">
        <v>268.0</v>
      </c>
      <c r="C3559" s="6">
        <v>5.0</v>
      </c>
      <c r="D3559" s="15" t="s">
        <v>5893</v>
      </c>
      <c r="E3559" s="9" t="s">
        <v>5894</v>
      </c>
      <c r="F3559" s="8"/>
    </row>
    <row r="3560" ht="21.0" customHeight="1">
      <c r="A3560" s="6">
        <v>1.0</v>
      </c>
      <c r="B3560" s="6">
        <v>268.0</v>
      </c>
      <c r="C3560" s="6">
        <v>6.0</v>
      </c>
      <c r="D3560" s="15" t="s">
        <v>5895</v>
      </c>
      <c r="E3560" s="9" t="s">
        <v>5896</v>
      </c>
      <c r="F3560" s="8"/>
    </row>
    <row r="3561" ht="21.0" customHeight="1">
      <c r="A3561" s="6">
        <v>1.0</v>
      </c>
      <c r="B3561" s="6">
        <v>268.0</v>
      </c>
      <c r="C3561" s="6">
        <v>7.0</v>
      </c>
      <c r="D3561" s="15" t="s">
        <v>5897</v>
      </c>
      <c r="E3561" s="9" t="s">
        <v>5898</v>
      </c>
      <c r="F3561" s="8"/>
    </row>
    <row r="3562" ht="21.0" customHeight="1">
      <c r="A3562" s="6">
        <v>1.0</v>
      </c>
      <c r="B3562" s="6">
        <v>268.0</v>
      </c>
      <c r="C3562" s="6">
        <v>8.0</v>
      </c>
      <c r="D3562" s="15" t="s">
        <v>5899</v>
      </c>
      <c r="E3562" s="9" t="s">
        <v>5900</v>
      </c>
      <c r="F3562" s="8"/>
    </row>
    <row r="3563" ht="21.0" customHeight="1">
      <c r="A3563" s="6">
        <v>1.0</v>
      </c>
      <c r="B3563" s="6">
        <v>268.0</v>
      </c>
      <c r="C3563" s="6">
        <v>9.0</v>
      </c>
      <c r="D3563" s="15" t="s">
        <v>5901</v>
      </c>
      <c r="E3563" s="9" t="s">
        <v>5902</v>
      </c>
      <c r="F3563" s="8"/>
    </row>
    <row r="3564" ht="21.0" customHeight="1">
      <c r="A3564" s="6">
        <v>1.0</v>
      </c>
      <c r="B3564" s="6">
        <v>268.0</v>
      </c>
      <c r="C3564" s="6">
        <v>10.0</v>
      </c>
      <c r="D3564" s="15" t="s">
        <v>5903</v>
      </c>
      <c r="E3564" s="9" t="s">
        <v>5904</v>
      </c>
      <c r="F3564" s="8"/>
    </row>
    <row r="3565" ht="21.0" customHeight="1">
      <c r="A3565" s="6">
        <v>1.0</v>
      </c>
      <c r="B3565" s="6">
        <v>268.0</v>
      </c>
      <c r="C3565" s="6">
        <v>11.0</v>
      </c>
      <c r="D3565" s="15" t="s">
        <v>5905</v>
      </c>
      <c r="E3565" s="9" t="s">
        <v>5906</v>
      </c>
      <c r="F3565" s="8"/>
    </row>
    <row r="3566" ht="21.0" customHeight="1">
      <c r="A3566" s="6">
        <v>1.0</v>
      </c>
      <c r="B3566" s="6">
        <v>268.0</v>
      </c>
      <c r="C3566" s="6">
        <v>12.0</v>
      </c>
      <c r="D3566" s="15" t="s">
        <v>5907</v>
      </c>
      <c r="E3566" s="9" t="s">
        <v>5908</v>
      </c>
      <c r="F3566" s="8"/>
    </row>
    <row r="3567" ht="21.0" customHeight="1">
      <c r="A3567" s="6">
        <v>1.0</v>
      </c>
      <c r="B3567" s="6">
        <v>268.0</v>
      </c>
      <c r="C3567" s="6">
        <v>13.0</v>
      </c>
      <c r="D3567" s="15" t="s">
        <v>5909</v>
      </c>
      <c r="E3567" s="9" t="s">
        <v>5910</v>
      </c>
      <c r="F3567" s="8"/>
    </row>
    <row r="3568" ht="21.0" customHeight="1">
      <c r="A3568" s="6">
        <v>11.0</v>
      </c>
      <c r="B3568" s="6">
        <v>1082.0</v>
      </c>
      <c r="C3568" s="6">
        <v>1.0</v>
      </c>
      <c r="D3568" s="15" t="s">
        <v>5911</v>
      </c>
      <c r="E3568" s="9" t="s">
        <v>5912</v>
      </c>
      <c r="F3568" s="8"/>
    </row>
    <row r="3569" ht="21.0" customHeight="1">
      <c r="A3569" s="6">
        <v>11.0</v>
      </c>
      <c r="B3569" s="6">
        <v>1082.0</v>
      </c>
      <c r="C3569" s="6">
        <v>2.0</v>
      </c>
      <c r="D3569" s="73" t="s">
        <v>5913</v>
      </c>
      <c r="E3569" s="9" t="s">
        <v>5914</v>
      </c>
      <c r="F3569" s="8"/>
    </row>
    <row r="3570" ht="21.0" customHeight="1">
      <c r="A3570" s="6">
        <v>11.0</v>
      </c>
      <c r="B3570" s="6">
        <v>1082.0</v>
      </c>
      <c r="C3570" s="6">
        <v>3.0</v>
      </c>
      <c r="D3570" s="15" t="s">
        <v>5915</v>
      </c>
      <c r="E3570" s="9" t="s">
        <v>5916</v>
      </c>
      <c r="F3570" s="8"/>
    </row>
    <row r="3571" ht="21.0" customHeight="1">
      <c r="A3571" s="6">
        <v>11.0</v>
      </c>
      <c r="B3571" s="6">
        <v>1082.0</v>
      </c>
      <c r="C3571" s="6">
        <v>4.0</v>
      </c>
      <c r="D3571" s="15" t="s">
        <v>5917</v>
      </c>
      <c r="E3571" s="9" t="s">
        <v>5918</v>
      </c>
      <c r="F3571" s="8"/>
    </row>
    <row r="3572" ht="21.0" customHeight="1">
      <c r="A3572" s="6">
        <v>10.0</v>
      </c>
      <c r="B3572" s="6">
        <v>1082.0</v>
      </c>
      <c r="C3572" s="6">
        <v>5.0</v>
      </c>
      <c r="D3572" s="15" t="s">
        <v>5919</v>
      </c>
      <c r="E3572" s="9" t="s">
        <v>5920</v>
      </c>
      <c r="F3572" s="8"/>
    </row>
    <row r="3573" ht="21.0" customHeight="1">
      <c r="A3573" s="6">
        <v>10.0</v>
      </c>
      <c r="B3573" s="6">
        <v>1082.0</v>
      </c>
      <c r="C3573" s="6">
        <v>6.0</v>
      </c>
      <c r="D3573" s="15" t="s">
        <v>5921</v>
      </c>
      <c r="E3573" s="9" t="s">
        <v>5922</v>
      </c>
      <c r="F3573" s="8"/>
    </row>
    <row r="3574" ht="21.0" customHeight="1">
      <c r="A3574" s="6">
        <v>10.0</v>
      </c>
      <c r="B3574" s="6">
        <v>1082.0</v>
      </c>
      <c r="C3574" s="6">
        <v>7.0</v>
      </c>
      <c r="D3574" s="15" t="s">
        <v>5923</v>
      </c>
      <c r="E3574" s="9" t="s">
        <v>5924</v>
      </c>
      <c r="F3574" s="8"/>
    </row>
    <row r="3575" ht="21.0" customHeight="1">
      <c r="A3575" s="6">
        <v>10.0</v>
      </c>
      <c r="B3575" s="6">
        <v>1082.0</v>
      </c>
      <c r="C3575" s="6">
        <v>8.0</v>
      </c>
      <c r="D3575" s="15" t="s">
        <v>5925</v>
      </c>
      <c r="E3575" s="9" t="s">
        <v>5926</v>
      </c>
      <c r="F3575" s="8"/>
    </row>
    <row r="3576" ht="21.0" customHeight="1">
      <c r="A3576" s="6">
        <v>10.0</v>
      </c>
      <c r="B3576" s="6">
        <v>1082.0</v>
      </c>
      <c r="C3576" s="6">
        <v>9.0</v>
      </c>
      <c r="D3576" s="15" t="s">
        <v>5927</v>
      </c>
      <c r="E3576" s="9" t="s">
        <v>5928</v>
      </c>
      <c r="F3576" s="8"/>
    </row>
    <row r="3577" ht="21.0" customHeight="1">
      <c r="A3577" s="6">
        <v>10.0</v>
      </c>
      <c r="B3577" s="6">
        <v>1082.0</v>
      </c>
      <c r="C3577" s="6">
        <v>10.0</v>
      </c>
      <c r="D3577" s="15" t="s">
        <v>258</v>
      </c>
      <c r="E3577" s="9" t="s">
        <v>5929</v>
      </c>
      <c r="F3577" s="8"/>
    </row>
    <row r="3578" ht="21.0" customHeight="1">
      <c r="A3578" s="6">
        <v>11.0</v>
      </c>
      <c r="B3578" s="6">
        <v>1083.0</v>
      </c>
      <c r="C3578" s="6">
        <v>1.0</v>
      </c>
      <c r="D3578" s="15" t="s">
        <v>5930</v>
      </c>
      <c r="E3578" s="9" t="s">
        <v>5931</v>
      </c>
      <c r="F3578" s="8"/>
    </row>
    <row r="3579" ht="21.0" customHeight="1">
      <c r="A3579" s="6">
        <v>11.0</v>
      </c>
      <c r="B3579" s="6">
        <v>1083.0</v>
      </c>
      <c r="C3579" s="6">
        <v>2.0</v>
      </c>
      <c r="D3579" s="15" t="s">
        <v>5932</v>
      </c>
      <c r="E3579" s="9" t="s">
        <v>5933</v>
      </c>
      <c r="F3579" s="8"/>
    </row>
    <row r="3580" ht="21.0" customHeight="1">
      <c r="A3580" s="6">
        <v>11.0</v>
      </c>
      <c r="B3580" s="6">
        <v>1083.0</v>
      </c>
      <c r="C3580" s="6">
        <v>3.0</v>
      </c>
      <c r="D3580" s="15" t="s">
        <v>5934</v>
      </c>
      <c r="E3580" s="9" t="s">
        <v>5935</v>
      </c>
      <c r="F3580" s="8"/>
    </row>
    <row r="3581" ht="21.0" customHeight="1">
      <c r="A3581" s="6">
        <v>11.0</v>
      </c>
      <c r="B3581" s="6">
        <v>1083.0</v>
      </c>
      <c r="C3581" s="6">
        <v>4.0</v>
      </c>
      <c r="D3581" s="15" t="s">
        <v>5936</v>
      </c>
      <c r="E3581" s="9" t="s">
        <v>5937</v>
      </c>
      <c r="F3581" s="8"/>
    </row>
    <row r="3582" ht="21.0" customHeight="1">
      <c r="A3582" s="6">
        <v>10.0</v>
      </c>
      <c r="B3582" s="6">
        <v>1083.0</v>
      </c>
      <c r="C3582" s="6">
        <v>5.0</v>
      </c>
      <c r="D3582" s="15" t="s">
        <v>5938</v>
      </c>
      <c r="E3582" s="9" t="s">
        <v>5939</v>
      </c>
      <c r="F3582" s="8"/>
    </row>
    <row r="3583" ht="21.0" customHeight="1">
      <c r="A3583" s="6">
        <v>10.0</v>
      </c>
      <c r="B3583" s="6">
        <v>1083.0</v>
      </c>
      <c r="C3583" s="6">
        <v>6.0</v>
      </c>
      <c r="D3583" s="15" t="s">
        <v>5940</v>
      </c>
      <c r="E3583" s="9" t="s">
        <v>5941</v>
      </c>
      <c r="F3583" s="8"/>
    </row>
    <row r="3584" ht="21.0" customHeight="1">
      <c r="A3584" s="6">
        <v>10.0</v>
      </c>
      <c r="B3584" s="6">
        <v>1083.0</v>
      </c>
      <c r="C3584" s="6">
        <v>7.0</v>
      </c>
      <c r="D3584" s="15" t="s">
        <v>5942</v>
      </c>
      <c r="E3584" s="9" t="s">
        <v>5943</v>
      </c>
      <c r="F3584" s="8"/>
    </row>
    <row r="3585" ht="21.0" customHeight="1">
      <c r="A3585" s="6">
        <v>10.0</v>
      </c>
      <c r="B3585" s="6">
        <v>1083.0</v>
      </c>
      <c r="C3585" s="6">
        <v>8.0</v>
      </c>
      <c r="D3585" s="15" t="s">
        <v>5944</v>
      </c>
      <c r="E3585" s="9" t="s">
        <v>5945</v>
      </c>
      <c r="F3585" s="8"/>
    </row>
    <row r="3586" ht="21.0" customHeight="1">
      <c r="A3586" s="6">
        <v>10.0</v>
      </c>
      <c r="B3586" s="6">
        <v>1083.0</v>
      </c>
      <c r="C3586" s="6">
        <v>9.0</v>
      </c>
      <c r="D3586" s="15" t="s">
        <v>5946</v>
      </c>
      <c r="E3586" s="9" t="s">
        <v>5947</v>
      </c>
      <c r="F3586" s="8"/>
    </row>
    <row r="3587" ht="21.0" customHeight="1">
      <c r="A3587" s="6">
        <v>10.0</v>
      </c>
      <c r="B3587" s="6">
        <v>1083.0</v>
      </c>
      <c r="C3587" s="6">
        <v>10.0</v>
      </c>
      <c r="D3587" s="15" t="s">
        <v>5948</v>
      </c>
      <c r="E3587" s="9" t="s">
        <v>5929</v>
      </c>
      <c r="F3587" s="8"/>
    </row>
    <row r="3588" ht="21.0" customHeight="1">
      <c r="A3588" s="6">
        <v>1.0</v>
      </c>
      <c r="B3588" s="6">
        <v>269.0</v>
      </c>
      <c r="C3588" s="6">
        <v>1.0</v>
      </c>
      <c r="D3588" s="15" t="s">
        <v>5949</v>
      </c>
      <c r="E3588" s="9" t="s">
        <v>5950</v>
      </c>
      <c r="F3588" s="8"/>
    </row>
    <row r="3589" ht="21.0" customHeight="1">
      <c r="A3589" s="6">
        <v>1.0</v>
      </c>
      <c r="B3589" s="6">
        <v>269.0</v>
      </c>
      <c r="C3589" s="6">
        <v>2.0</v>
      </c>
      <c r="D3589" s="15" t="s">
        <v>5951</v>
      </c>
      <c r="E3589" s="9" t="s">
        <v>5952</v>
      </c>
      <c r="F3589" s="8"/>
    </row>
    <row r="3590" ht="21.0" customHeight="1">
      <c r="A3590" s="6">
        <v>1.0</v>
      </c>
      <c r="B3590" s="6">
        <v>269.0</v>
      </c>
      <c r="C3590" s="6">
        <v>3.0</v>
      </c>
      <c r="D3590" s="15" t="s">
        <v>5953</v>
      </c>
      <c r="E3590" s="9" t="s">
        <v>5954</v>
      </c>
      <c r="F3590" s="8"/>
    </row>
    <row r="3591" ht="21.0" customHeight="1">
      <c r="A3591" s="6">
        <v>1.0</v>
      </c>
      <c r="B3591" s="6">
        <v>269.0</v>
      </c>
      <c r="C3591" s="6">
        <v>4.0</v>
      </c>
      <c r="D3591" s="15" t="s">
        <v>5955</v>
      </c>
      <c r="E3591" s="9" t="s">
        <v>5956</v>
      </c>
      <c r="F3591" s="8"/>
    </row>
    <row r="3592" ht="21.0" customHeight="1">
      <c r="A3592" s="6">
        <v>1.0</v>
      </c>
      <c r="B3592" s="6">
        <v>269.0</v>
      </c>
      <c r="C3592" s="6">
        <v>5.0</v>
      </c>
      <c r="D3592" s="15" t="s">
        <v>5957</v>
      </c>
      <c r="E3592" s="9" t="s">
        <v>5958</v>
      </c>
      <c r="F3592" s="8"/>
    </row>
    <row r="3593" ht="21.0" customHeight="1">
      <c r="A3593" s="6">
        <v>1.0</v>
      </c>
      <c r="B3593" s="6">
        <v>269.0</v>
      </c>
      <c r="C3593" s="6">
        <v>6.0</v>
      </c>
      <c r="D3593" s="80" t="s">
        <v>5959</v>
      </c>
      <c r="E3593" s="9" t="s">
        <v>5960</v>
      </c>
      <c r="F3593" s="8"/>
    </row>
    <row r="3594" ht="21.0" customHeight="1">
      <c r="A3594" s="6">
        <v>1.0</v>
      </c>
      <c r="B3594" s="6">
        <v>269.0</v>
      </c>
      <c r="C3594" s="6">
        <v>7.0</v>
      </c>
      <c r="D3594" s="15" t="s">
        <v>5961</v>
      </c>
      <c r="E3594" s="9" t="s">
        <v>5962</v>
      </c>
      <c r="F3594" s="8"/>
    </row>
    <row r="3595" ht="21.0" customHeight="1">
      <c r="A3595" s="6">
        <v>1.0</v>
      </c>
      <c r="B3595" s="6">
        <v>269.0</v>
      </c>
      <c r="C3595" s="6">
        <v>8.0</v>
      </c>
      <c r="D3595" s="15" t="s">
        <v>5963</v>
      </c>
      <c r="E3595" s="9" t="s">
        <v>5964</v>
      </c>
      <c r="F3595" s="8"/>
    </row>
    <row r="3596" ht="21.0" customHeight="1">
      <c r="A3596" s="6">
        <v>1.0</v>
      </c>
      <c r="B3596" s="6">
        <v>269.0</v>
      </c>
      <c r="C3596" s="6">
        <v>9.0</v>
      </c>
      <c r="D3596" s="15" t="s">
        <v>5965</v>
      </c>
      <c r="E3596" s="9" t="s">
        <v>5966</v>
      </c>
      <c r="F3596" s="8"/>
    </row>
    <row r="3597" ht="21.0" customHeight="1">
      <c r="A3597" s="6">
        <v>1.0</v>
      </c>
      <c r="B3597" s="6">
        <v>269.0</v>
      </c>
      <c r="C3597" s="6">
        <v>10.0</v>
      </c>
      <c r="D3597" s="15" t="s">
        <v>5967</v>
      </c>
      <c r="E3597" s="9" t="s">
        <v>5968</v>
      </c>
      <c r="F3597" s="8"/>
    </row>
    <row r="3598" ht="21.0" customHeight="1">
      <c r="A3598" s="6">
        <v>1.0</v>
      </c>
      <c r="B3598" s="6">
        <v>269.0</v>
      </c>
      <c r="C3598" s="6">
        <v>11.0</v>
      </c>
      <c r="D3598" s="15" t="s">
        <v>5969</v>
      </c>
      <c r="E3598" s="9" t="s">
        <v>5970</v>
      </c>
      <c r="F3598" s="8"/>
    </row>
    <row r="3599" ht="21.0" customHeight="1">
      <c r="A3599" s="6">
        <v>1.0</v>
      </c>
      <c r="B3599" s="6">
        <v>269.0</v>
      </c>
      <c r="C3599" s="6">
        <v>12.0</v>
      </c>
      <c r="D3599" s="15" t="s">
        <v>5971</v>
      </c>
      <c r="E3599" s="9" t="s">
        <v>5972</v>
      </c>
      <c r="F3599" s="8"/>
    </row>
    <row r="3600" ht="21.0" customHeight="1">
      <c r="A3600" s="6">
        <v>1.0</v>
      </c>
      <c r="B3600" s="6">
        <v>269.0</v>
      </c>
      <c r="C3600" s="6">
        <v>13.0</v>
      </c>
      <c r="D3600" s="15" t="s">
        <v>5973</v>
      </c>
      <c r="E3600" s="9" t="s">
        <v>5974</v>
      </c>
      <c r="F3600" s="8"/>
    </row>
    <row r="3601" ht="21.0" customHeight="1">
      <c r="A3601" s="6">
        <v>1.0</v>
      </c>
      <c r="B3601" s="6">
        <v>270.0</v>
      </c>
      <c r="C3601" s="6">
        <v>1.0</v>
      </c>
      <c r="D3601" s="15" t="s">
        <v>5975</v>
      </c>
      <c r="E3601" s="9" t="s">
        <v>5976</v>
      </c>
      <c r="F3601" s="8"/>
    </row>
    <row r="3602" ht="21.0" customHeight="1">
      <c r="A3602" s="6">
        <v>1.0</v>
      </c>
      <c r="B3602" s="6">
        <v>270.0</v>
      </c>
      <c r="C3602" s="6">
        <v>2.0</v>
      </c>
      <c r="D3602" s="15" t="s">
        <v>5977</v>
      </c>
      <c r="E3602" s="9" t="s">
        <v>5978</v>
      </c>
      <c r="F3602" s="8"/>
    </row>
    <row r="3603" ht="21.0" customHeight="1">
      <c r="A3603" s="6">
        <v>1.0</v>
      </c>
      <c r="B3603" s="6">
        <v>270.0</v>
      </c>
      <c r="C3603" s="6">
        <v>3.0</v>
      </c>
      <c r="D3603" s="15" t="s">
        <v>5979</v>
      </c>
      <c r="E3603" s="9" t="s">
        <v>5980</v>
      </c>
      <c r="F3603" s="8"/>
    </row>
    <row r="3604" ht="21.0" customHeight="1">
      <c r="A3604" s="6">
        <v>1.0</v>
      </c>
      <c r="B3604" s="6">
        <v>270.0</v>
      </c>
      <c r="C3604" s="6">
        <v>4.0</v>
      </c>
      <c r="D3604" s="15" t="s">
        <v>5981</v>
      </c>
      <c r="E3604" s="9" t="s">
        <v>5982</v>
      </c>
      <c r="F3604" s="8"/>
    </row>
    <row r="3605" ht="21.0" customHeight="1">
      <c r="A3605" s="6">
        <v>1.0</v>
      </c>
      <c r="B3605" s="6">
        <v>270.0</v>
      </c>
      <c r="C3605" s="6">
        <v>5.0</v>
      </c>
      <c r="D3605" s="15" t="s">
        <v>5983</v>
      </c>
      <c r="E3605" s="9" t="s">
        <v>5984</v>
      </c>
      <c r="F3605" s="8"/>
    </row>
    <row r="3606" ht="21.0" customHeight="1">
      <c r="A3606" s="6">
        <v>1.0</v>
      </c>
      <c r="B3606" s="6">
        <v>270.0</v>
      </c>
      <c r="C3606" s="6">
        <v>6.0</v>
      </c>
      <c r="D3606" s="15" t="s">
        <v>5985</v>
      </c>
      <c r="E3606" s="9" t="s">
        <v>5986</v>
      </c>
      <c r="F3606" s="8"/>
    </row>
    <row r="3607" ht="21.0" customHeight="1">
      <c r="A3607" s="6">
        <v>1.0</v>
      </c>
      <c r="B3607" s="6">
        <v>270.0</v>
      </c>
      <c r="C3607" s="6">
        <v>7.0</v>
      </c>
      <c r="D3607" s="15" t="s">
        <v>5987</v>
      </c>
      <c r="E3607" s="9" t="s">
        <v>5988</v>
      </c>
      <c r="F3607" s="8"/>
    </row>
    <row r="3608" ht="21.0" customHeight="1">
      <c r="A3608" s="6">
        <v>1.0</v>
      </c>
      <c r="B3608" s="6">
        <v>270.0</v>
      </c>
      <c r="C3608" s="6">
        <v>8.0</v>
      </c>
      <c r="D3608" s="15" t="s">
        <v>5989</v>
      </c>
      <c r="E3608" s="9" t="s">
        <v>5990</v>
      </c>
      <c r="F3608" s="8"/>
    </row>
    <row r="3609" ht="21.0" customHeight="1">
      <c r="A3609" s="6">
        <v>1.0</v>
      </c>
      <c r="B3609" s="6">
        <v>270.0</v>
      </c>
      <c r="C3609" s="6">
        <v>9.0</v>
      </c>
      <c r="D3609" s="15" t="s">
        <v>5991</v>
      </c>
      <c r="E3609" s="9" t="s">
        <v>5992</v>
      </c>
      <c r="F3609" s="8"/>
    </row>
    <row r="3610" ht="21.0" customHeight="1">
      <c r="A3610" s="6">
        <v>1.0</v>
      </c>
      <c r="B3610" s="6">
        <v>270.0</v>
      </c>
      <c r="C3610" s="6">
        <v>10.0</v>
      </c>
      <c r="D3610" s="15" t="s">
        <v>5993</v>
      </c>
      <c r="E3610" s="9" t="s">
        <v>5994</v>
      </c>
      <c r="F3610" s="8"/>
    </row>
    <row r="3611" ht="21.0" customHeight="1">
      <c r="A3611" s="6">
        <v>1.0</v>
      </c>
      <c r="B3611" s="6">
        <v>270.0</v>
      </c>
      <c r="C3611" s="6">
        <v>11.0</v>
      </c>
      <c r="D3611" s="15" t="s">
        <v>5995</v>
      </c>
      <c r="E3611" s="9" t="s">
        <v>5996</v>
      </c>
      <c r="F3611" s="8"/>
    </row>
    <row r="3612" ht="21.0" customHeight="1">
      <c r="A3612" s="6">
        <v>1.0</v>
      </c>
      <c r="B3612" s="6">
        <v>270.0</v>
      </c>
      <c r="C3612" s="6">
        <v>12.0</v>
      </c>
      <c r="D3612" s="15" t="s">
        <v>5997</v>
      </c>
      <c r="E3612" s="9" t="s">
        <v>5998</v>
      </c>
      <c r="F3612" s="8"/>
    </row>
    <row r="3613" ht="21.0" customHeight="1">
      <c r="A3613" s="6">
        <v>1.0</v>
      </c>
      <c r="B3613" s="6">
        <v>270.0</v>
      </c>
      <c r="C3613" s="6">
        <v>13.0</v>
      </c>
      <c r="D3613" s="15" t="s">
        <v>5999</v>
      </c>
      <c r="E3613" s="9" t="s">
        <v>6000</v>
      </c>
      <c r="F3613" s="8"/>
    </row>
    <row r="3614" ht="21.0" customHeight="1">
      <c r="A3614" s="6">
        <v>1.0</v>
      </c>
      <c r="B3614" s="6">
        <v>271.0</v>
      </c>
      <c r="C3614" s="6">
        <v>1.0</v>
      </c>
      <c r="D3614" s="15" t="s">
        <v>6001</v>
      </c>
      <c r="E3614" s="9" t="s">
        <v>6002</v>
      </c>
      <c r="F3614" s="8"/>
    </row>
    <row r="3615" ht="21.0" customHeight="1">
      <c r="A3615" s="6">
        <v>1.0</v>
      </c>
      <c r="B3615" s="6">
        <v>271.0</v>
      </c>
      <c r="C3615" s="6">
        <v>2.0</v>
      </c>
      <c r="D3615" s="15" t="s">
        <v>6003</v>
      </c>
      <c r="E3615" s="9" t="s">
        <v>6004</v>
      </c>
      <c r="F3615" s="8"/>
    </row>
    <row r="3616" ht="21.0" customHeight="1">
      <c r="A3616" s="6">
        <v>1.0</v>
      </c>
      <c r="B3616" s="6">
        <v>271.0</v>
      </c>
      <c r="C3616" s="6">
        <v>3.0</v>
      </c>
      <c r="D3616" s="15" t="s">
        <v>6005</v>
      </c>
      <c r="E3616" s="9" t="s">
        <v>6006</v>
      </c>
      <c r="F3616" s="8"/>
    </row>
    <row r="3617" ht="21.0" customHeight="1">
      <c r="A3617" s="6">
        <v>1.0</v>
      </c>
      <c r="B3617" s="6">
        <v>271.0</v>
      </c>
      <c r="C3617" s="6">
        <v>4.0</v>
      </c>
      <c r="D3617" s="15" t="s">
        <v>6007</v>
      </c>
      <c r="E3617" s="9" t="s">
        <v>6008</v>
      </c>
      <c r="F3617" s="8"/>
    </row>
    <row r="3618" ht="21.0" customHeight="1">
      <c r="A3618" s="6">
        <v>1.0</v>
      </c>
      <c r="B3618" s="6">
        <v>271.0</v>
      </c>
      <c r="C3618" s="6">
        <v>5.0</v>
      </c>
      <c r="D3618" s="15" t="s">
        <v>6009</v>
      </c>
      <c r="E3618" s="9" t="s">
        <v>6010</v>
      </c>
      <c r="F3618" s="8"/>
    </row>
    <row r="3619" ht="21.0" customHeight="1">
      <c r="A3619" s="6">
        <v>1.0</v>
      </c>
      <c r="B3619" s="6">
        <v>271.0</v>
      </c>
      <c r="C3619" s="6">
        <v>6.0</v>
      </c>
      <c r="D3619" s="15" t="s">
        <v>6011</v>
      </c>
      <c r="E3619" s="9" t="s">
        <v>6012</v>
      </c>
      <c r="F3619" s="8"/>
    </row>
    <row r="3620" ht="21.0" customHeight="1">
      <c r="A3620" s="6">
        <v>1.0</v>
      </c>
      <c r="B3620" s="6">
        <v>271.0</v>
      </c>
      <c r="C3620" s="6">
        <v>7.0</v>
      </c>
      <c r="D3620" s="15" t="s">
        <v>6013</v>
      </c>
      <c r="E3620" s="9" t="s">
        <v>6014</v>
      </c>
      <c r="F3620" s="8"/>
    </row>
    <row r="3621" ht="21.0" customHeight="1">
      <c r="A3621" s="6">
        <v>1.0</v>
      </c>
      <c r="B3621" s="6">
        <v>271.0</v>
      </c>
      <c r="C3621" s="6">
        <v>8.0</v>
      </c>
      <c r="D3621" s="15" t="s">
        <v>6015</v>
      </c>
      <c r="E3621" s="9" t="s">
        <v>6016</v>
      </c>
      <c r="F3621" s="8"/>
    </row>
    <row r="3622" ht="21.0" customHeight="1">
      <c r="A3622" s="6">
        <v>1.0</v>
      </c>
      <c r="B3622" s="6">
        <v>271.0</v>
      </c>
      <c r="C3622" s="6">
        <v>9.0</v>
      </c>
      <c r="D3622" s="15" t="s">
        <v>6017</v>
      </c>
      <c r="E3622" s="9" t="s">
        <v>6018</v>
      </c>
      <c r="F3622" s="8"/>
    </row>
    <row r="3623" ht="21.0" customHeight="1">
      <c r="A3623" s="6">
        <v>1.0</v>
      </c>
      <c r="B3623" s="6">
        <v>271.0</v>
      </c>
      <c r="C3623" s="6">
        <v>10.0</v>
      </c>
      <c r="D3623" s="15" t="s">
        <v>6019</v>
      </c>
      <c r="E3623" s="9" t="s">
        <v>6020</v>
      </c>
      <c r="F3623" s="8"/>
    </row>
    <row r="3624" ht="21.0" customHeight="1">
      <c r="A3624" s="6">
        <v>1.0</v>
      </c>
      <c r="B3624" s="6">
        <v>271.0</v>
      </c>
      <c r="C3624" s="6">
        <v>11.0</v>
      </c>
      <c r="D3624" s="15" t="s">
        <v>6021</v>
      </c>
      <c r="E3624" s="9" t="s">
        <v>6022</v>
      </c>
      <c r="F3624" s="8"/>
    </row>
    <row r="3625" ht="21.0" customHeight="1">
      <c r="A3625" s="6">
        <v>1.0</v>
      </c>
      <c r="B3625" s="6">
        <v>271.0</v>
      </c>
      <c r="C3625" s="6">
        <v>12.0</v>
      </c>
      <c r="D3625" s="15" t="s">
        <v>6023</v>
      </c>
      <c r="E3625" s="9" t="s">
        <v>6024</v>
      </c>
      <c r="F3625" s="8"/>
    </row>
    <row r="3626" ht="21.0" customHeight="1">
      <c r="A3626" s="6">
        <v>1.0</v>
      </c>
      <c r="B3626" s="6">
        <v>271.0</v>
      </c>
      <c r="C3626" s="6">
        <v>13.0</v>
      </c>
      <c r="D3626" s="15" t="s">
        <v>6025</v>
      </c>
      <c r="E3626" s="9" t="s">
        <v>6026</v>
      </c>
      <c r="F3626" s="8"/>
    </row>
    <row r="3627" ht="21.0" customHeight="1">
      <c r="A3627" s="6">
        <v>11.0</v>
      </c>
      <c r="B3627" s="6">
        <v>1084.0</v>
      </c>
      <c r="C3627" s="6">
        <v>1.0</v>
      </c>
      <c r="D3627" s="15" t="s">
        <v>6027</v>
      </c>
      <c r="E3627" s="9" t="s">
        <v>6028</v>
      </c>
      <c r="F3627" s="8"/>
    </row>
    <row r="3628" ht="21.0" customHeight="1">
      <c r="A3628" s="6">
        <v>11.0</v>
      </c>
      <c r="B3628" s="6">
        <v>1084.0</v>
      </c>
      <c r="C3628" s="6">
        <v>2.0</v>
      </c>
      <c r="D3628" s="15" t="s">
        <v>6029</v>
      </c>
      <c r="E3628" s="9" t="s">
        <v>6030</v>
      </c>
      <c r="F3628" s="8"/>
    </row>
    <row r="3629" ht="21.0" customHeight="1">
      <c r="A3629" s="6">
        <v>11.0</v>
      </c>
      <c r="B3629" s="6">
        <v>1084.0</v>
      </c>
      <c r="C3629" s="6">
        <v>3.0</v>
      </c>
      <c r="D3629" s="15" t="s">
        <v>6031</v>
      </c>
      <c r="E3629" s="9" t="s">
        <v>6032</v>
      </c>
      <c r="F3629" s="8"/>
    </row>
    <row r="3630" ht="21.0" customHeight="1">
      <c r="A3630" s="6">
        <v>11.0</v>
      </c>
      <c r="B3630" s="6">
        <v>1084.0</v>
      </c>
      <c r="C3630" s="6">
        <v>4.0</v>
      </c>
      <c r="D3630" s="15" t="s">
        <v>6033</v>
      </c>
      <c r="E3630" s="9" t="s">
        <v>6034</v>
      </c>
      <c r="F3630" s="8"/>
    </row>
    <row r="3631" ht="21.0" customHeight="1">
      <c r="A3631" s="6">
        <v>10.0</v>
      </c>
      <c r="B3631" s="6">
        <v>1084.0</v>
      </c>
      <c r="C3631" s="6">
        <v>5.0</v>
      </c>
      <c r="D3631" s="15" t="s">
        <v>6035</v>
      </c>
      <c r="E3631" s="9" t="s">
        <v>6036</v>
      </c>
      <c r="F3631" s="8"/>
    </row>
    <row r="3632" ht="21.0" customHeight="1">
      <c r="A3632" s="6">
        <v>10.0</v>
      </c>
      <c r="B3632" s="6">
        <v>1084.0</v>
      </c>
      <c r="C3632" s="6">
        <v>6.0</v>
      </c>
      <c r="D3632" s="15" t="s">
        <v>6037</v>
      </c>
      <c r="E3632" s="9" t="s">
        <v>6038</v>
      </c>
      <c r="F3632" s="8"/>
    </row>
    <row r="3633" ht="21.0" customHeight="1">
      <c r="A3633" s="6">
        <v>10.0</v>
      </c>
      <c r="B3633" s="6">
        <v>1084.0</v>
      </c>
      <c r="C3633" s="6">
        <v>7.0</v>
      </c>
      <c r="D3633" s="15" t="s">
        <v>6039</v>
      </c>
      <c r="E3633" s="9" t="s">
        <v>6040</v>
      </c>
      <c r="F3633" s="8"/>
    </row>
    <row r="3634" ht="21.0" customHeight="1">
      <c r="A3634" s="6">
        <v>10.0</v>
      </c>
      <c r="B3634" s="6">
        <v>1084.0</v>
      </c>
      <c r="C3634" s="6">
        <v>8.0</v>
      </c>
      <c r="D3634" s="15" t="s">
        <v>6041</v>
      </c>
      <c r="E3634" s="9" t="s">
        <v>6042</v>
      </c>
      <c r="F3634" s="8"/>
    </row>
    <row r="3635" ht="21.0" customHeight="1">
      <c r="A3635" s="6">
        <v>10.0</v>
      </c>
      <c r="B3635" s="6">
        <v>1084.0</v>
      </c>
      <c r="C3635" s="6">
        <v>9.0</v>
      </c>
      <c r="D3635" s="15" t="s">
        <v>6043</v>
      </c>
      <c r="E3635" s="9" t="s">
        <v>6044</v>
      </c>
      <c r="F3635" s="8"/>
    </row>
    <row r="3636" ht="21.0" customHeight="1">
      <c r="A3636" s="6">
        <v>10.0</v>
      </c>
      <c r="B3636" s="6">
        <v>1084.0</v>
      </c>
      <c r="C3636" s="6">
        <v>10.0</v>
      </c>
      <c r="D3636" s="15" t="s">
        <v>6045</v>
      </c>
      <c r="E3636" s="9" t="s">
        <v>6046</v>
      </c>
      <c r="F3636" s="8"/>
    </row>
    <row r="3637" ht="21.0" customHeight="1">
      <c r="A3637" s="6">
        <v>11.0</v>
      </c>
      <c r="B3637" s="6">
        <v>1085.0</v>
      </c>
      <c r="C3637" s="6">
        <v>1.0</v>
      </c>
      <c r="D3637" s="15" t="s">
        <v>6047</v>
      </c>
      <c r="E3637" s="9" t="s">
        <v>6048</v>
      </c>
      <c r="F3637" s="8"/>
    </row>
    <row r="3638" ht="21.0" customHeight="1">
      <c r="A3638" s="6">
        <v>11.0</v>
      </c>
      <c r="B3638" s="6">
        <v>1085.0</v>
      </c>
      <c r="C3638" s="6">
        <v>2.0</v>
      </c>
      <c r="D3638" s="15" t="s">
        <v>6049</v>
      </c>
      <c r="E3638" s="9" t="s">
        <v>6050</v>
      </c>
      <c r="F3638" s="8"/>
    </row>
    <row r="3639" ht="21.0" customHeight="1">
      <c r="A3639" s="6">
        <v>11.0</v>
      </c>
      <c r="B3639" s="6">
        <v>1085.0</v>
      </c>
      <c r="C3639" s="6">
        <v>3.0</v>
      </c>
      <c r="D3639" s="15" t="s">
        <v>6051</v>
      </c>
      <c r="E3639" s="9" t="s">
        <v>6052</v>
      </c>
      <c r="F3639" s="8"/>
    </row>
    <row r="3640" ht="21.0" customHeight="1">
      <c r="A3640" s="6">
        <v>11.0</v>
      </c>
      <c r="B3640" s="6">
        <v>1085.0</v>
      </c>
      <c r="C3640" s="6">
        <v>4.0</v>
      </c>
      <c r="D3640" s="15" t="s">
        <v>6053</v>
      </c>
      <c r="E3640" s="9" t="s">
        <v>6054</v>
      </c>
      <c r="F3640" s="8"/>
    </row>
    <row r="3641" ht="21.0" customHeight="1">
      <c r="A3641" s="6">
        <v>10.0</v>
      </c>
      <c r="B3641" s="6">
        <v>1085.0</v>
      </c>
      <c r="C3641" s="6">
        <v>5.0</v>
      </c>
      <c r="D3641" s="15" t="s">
        <v>6055</v>
      </c>
      <c r="E3641" s="9" t="s">
        <v>6056</v>
      </c>
      <c r="F3641" s="8"/>
    </row>
    <row r="3642" ht="21.0" customHeight="1">
      <c r="A3642" s="6">
        <v>10.0</v>
      </c>
      <c r="B3642" s="6">
        <v>1085.0</v>
      </c>
      <c r="C3642" s="6">
        <v>6.0</v>
      </c>
      <c r="D3642" s="15" t="s">
        <v>6057</v>
      </c>
      <c r="E3642" s="9" t="s">
        <v>6058</v>
      </c>
      <c r="F3642" s="8"/>
    </row>
    <row r="3643" ht="21.0" customHeight="1">
      <c r="A3643" s="6">
        <v>10.0</v>
      </c>
      <c r="B3643" s="6">
        <v>1085.0</v>
      </c>
      <c r="C3643" s="6">
        <v>7.0</v>
      </c>
      <c r="D3643" s="15" t="s">
        <v>6059</v>
      </c>
      <c r="E3643" s="9" t="s">
        <v>6060</v>
      </c>
      <c r="F3643" s="8"/>
    </row>
    <row r="3644" ht="21.0" customHeight="1">
      <c r="A3644" s="6">
        <v>10.0</v>
      </c>
      <c r="B3644" s="6">
        <v>1085.0</v>
      </c>
      <c r="C3644" s="6">
        <v>8.0</v>
      </c>
      <c r="D3644" s="15" t="s">
        <v>6061</v>
      </c>
      <c r="E3644" s="9" t="s">
        <v>6062</v>
      </c>
      <c r="F3644" s="8"/>
    </row>
    <row r="3645" ht="21.0" customHeight="1">
      <c r="A3645" s="6">
        <v>10.0</v>
      </c>
      <c r="B3645" s="6">
        <v>1085.0</v>
      </c>
      <c r="C3645" s="6">
        <v>9.0</v>
      </c>
      <c r="D3645" s="15" t="s">
        <v>6063</v>
      </c>
      <c r="E3645" s="9" t="s">
        <v>6064</v>
      </c>
      <c r="F3645" s="8"/>
    </row>
    <row r="3646" ht="21.0" customHeight="1">
      <c r="A3646" s="6">
        <v>10.0</v>
      </c>
      <c r="B3646" s="6">
        <v>1085.0</v>
      </c>
      <c r="C3646" s="6">
        <v>10.0</v>
      </c>
      <c r="D3646" s="15" t="s">
        <v>6065</v>
      </c>
      <c r="E3646" s="9" t="s">
        <v>6046</v>
      </c>
      <c r="F3646" s="8"/>
    </row>
    <row r="3647" ht="21.0" customHeight="1">
      <c r="A3647" s="6">
        <v>1.0</v>
      </c>
      <c r="B3647" s="6">
        <v>272.0</v>
      </c>
      <c r="C3647" s="6">
        <v>1.0</v>
      </c>
      <c r="D3647" s="15" t="s">
        <v>6066</v>
      </c>
      <c r="E3647" s="9" t="s">
        <v>6067</v>
      </c>
      <c r="F3647" s="8"/>
    </row>
    <row r="3648" ht="21.0" customHeight="1">
      <c r="A3648" s="6">
        <v>1.0</v>
      </c>
      <c r="B3648" s="6">
        <v>272.0</v>
      </c>
      <c r="C3648" s="6">
        <v>2.0</v>
      </c>
      <c r="D3648" s="15" t="s">
        <v>6068</v>
      </c>
      <c r="E3648" s="9" t="s">
        <v>6069</v>
      </c>
      <c r="F3648" s="8"/>
    </row>
    <row r="3649" ht="21.0" customHeight="1">
      <c r="A3649" s="6">
        <v>1.0</v>
      </c>
      <c r="B3649" s="6">
        <v>272.0</v>
      </c>
      <c r="C3649" s="6">
        <v>3.0</v>
      </c>
      <c r="D3649" s="15" t="s">
        <v>6070</v>
      </c>
      <c r="E3649" s="9" t="s">
        <v>6071</v>
      </c>
      <c r="F3649" s="8"/>
    </row>
    <row r="3650" ht="21.0" customHeight="1">
      <c r="A3650" s="6">
        <v>1.0</v>
      </c>
      <c r="B3650" s="6">
        <v>272.0</v>
      </c>
      <c r="C3650" s="6">
        <v>4.0</v>
      </c>
      <c r="D3650" s="15" t="s">
        <v>6072</v>
      </c>
      <c r="E3650" s="9" t="s">
        <v>6073</v>
      </c>
      <c r="F3650" s="8"/>
    </row>
    <row r="3651" ht="21.0" customHeight="1">
      <c r="A3651" s="6">
        <v>1.0</v>
      </c>
      <c r="B3651" s="6">
        <v>272.0</v>
      </c>
      <c r="C3651" s="6">
        <v>5.0</v>
      </c>
      <c r="D3651" s="15" t="s">
        <v>6074</v>
      </c>
      <c r="E3651" s="9" t="s">
        <v>6075</v>
      </c>
      <c r="F3651" s="8"/>
    </row>
    <row r="3652" ht="21.0" customHeight="1">
      <c r="A3652" s="6">
        <v>1.0</v>
      </c>
      <c r="B3652" s="6">
        <v>272.0</v>
      </c>
      <c r="C3652" s="6">
        <v>6.0</v>
      </c>
      <c r="D3652" s="80" t="s">
        <v>6076</v>
      </c>
      <c r="E3652" s="9" t="s">
        <v>6077</v>
      </c>
      <c r="F3652" s="8"/>
    </row>
    <row r="3653" ht="21.0" customHeight="1">
      <c r="A3653" s="6">
        <v>1.0</v>
      </c>
      <c r="B3653" s="6">
        <v>272.0</v>
      </c>
      <c r="C3653" s="6">
        <v>7.0</v>
      </c>
      <c r="D3653" s="15" t="s">
        <v>6078</v>
      </c>
      <c r="E3653" s="9" t="s">
        <v>6079</v>
      </c>
      <c r="F3653" s="8"/>
    </row>
    <row r="3654" ht="21.0" customHeight="1">
      <c r="A3654" s="6">
        <v>1.0</v>
      </c>
      <c r="B3654" s="6">
        <v>272.0</v>
      </c>
      <c r="C3654" s="6">
        <v>8.0</v>
      </c>
      <c r="D3654" s="15" t="s">
        <v>6080</v>
      </c>
      <c r="E3654" s="9" t="s">
        <v>6081</v>
      </c>
      <c r="F3654" s="8"/>
    </row>
    <row r="3655" ht="21.0" customHeight="1">
      <c r="A3655" s="6">
        <v>1.0</v>
      </c>
      <c r="B3655" s="6">
        <v>272.0</v>
      </c>
      <c r="C3655" s="6">
        <v>9.0</v>
      </c>
      <c r="D3655" s="15" t="s">
        <v>6082</v>
      </c>
      <c r="E3655" s="9" t="s">
        <v>6083</v>
      </c>
      <c r="F3655" s="8"/>
    </row>
    <row r="3656" ht="21.0" customHeight="1">
      <c r="A3656" s="6">
        <v>1.0</v>
      </c>
      <c r="B3656" s="6">
        <v>272.0</v>
      </c>
      <c r="C3656" s="6">
        <v>10.0</v>
      </c>
      <c r="D3656" s="15" t="s">
        <v>6084</v>
      </c>
      <c r="E3656" s="9" t="s">
        <v>6085</v>
      </c>
      <c r="F3656" s="8"/>
    </row>
    <row r="3657" ht="21.0" customHeight="1">
      <c r="A3657" s="6">
        <v>1.0</v>
      </c>
      <c r="B3657" s="6">
        <v>272.0</v>
      </c>
      <c r="C3657" s="6">
        <v>11.0</v>
      </c>
      <c r="D3657" s="15" t="s">
        <v>6086</v>
      </c>
      <c r="E3657" s="9" t="s">
        <v>6087</v>
      </c>
      <c r="F3657" s="8"/>
    </row>
    <row r="3658" ht="21.0" customHeight="1">
      <c r="A3658" s="6">
        <v>1.0</v>
      </c>
      <c r="B3658" s="6">
        <v>272.0</v>
      </c>
      <c r="C3658" s="6">
        <v>12.0</v>
      </c>
      <c r="D3658" s="15" t="s">
        <v>6088</v>
      </c>
      <c r="E3658" s="9" t="s">
        <v>6089</v>
      </c>
      <c r="F3658" s="8"/>
    </row>
    <row r="3659" ht="21.0" customHeight="1">
      <c r="A3659" s="6">
        <v>1.0</v>
      </c>
      <c r="B3659" s="6">
        <v>272.0</v>
      </c>
      <c r="C3659" s="6">
        <v>13.0</v>
      </c>
      <c r="D3659" s="15" t="s">
        <v>6090</v>
      </c>
      <c r="E3659" s="9" t="s">
        <v>6091</v>
      </c>
      <c r="F3659" s="8"/>
    </row>
    <row r="3660" ht="21.0" customHeight="1">
      <c r="A3660" s="6">
        <v>1.0</v>
      </c>
      <c r="B3660" s="6">
        <v>273.0</v>
      </c>
      <c r="C3660" s="6">
        <v>1.0</v>
      </c>
      <c r="D3660" s="15" t="s">
        <v>6092</v>
      </c>
      <c r="E3660" s="9" t="s">
        <v>6093</v>
      </c>
      <c r="F3660" s="8"/>
    </row>
    <row r="3661" ht="21.0" customHeight="1">
      <c r="A3661" s="6">
        <v>1.0</v>
      </c>
      <c r="B3661" s="6">
        <v>273.0</v>
      </c>
      <c r="C3661" s="6">
        <v>2.0</v>
      </c>
      <c r="D3661" s="15" t="s">
        <v>6094</v>
      </c>
      <c r="E3661" s="9" t="s">
        <v>6095</v>
      </c>
      <c r="F3661" s="8"/>
    </row>
    <row r="3662" ht="21.0" customHeight="1">
      <c r="A3662" s="6">
        <v>1.0</v>
      </c>
      <c r="B3662" s="6">
        <v>273.0</v>
      </c>
      <c r="C3662" s="6">
        <v>3.0</v>
      </c>
      <c r="D3662" s="15" t="s">
        <v>6096</v>
      </c>
      <c r="E3662" s="9" t="s">
        <v>6097</v>
      </c>
      <c r="F3662" s="8"/>
    </row>
    <row r="3663" ht="21.0" customHeight="1">
      <c r="A3663" s="6">
        <v>1.0</v>
      </c>
      <c r="B3663" s="6">
        <v>273.0</v>
      </c>
      <c r="C3663" s="6">
        <v>4.0</v>
      </c>
      <c r="D3663" s="15" t="s">
        <v>6098</v>
      </c>
      <c r="E3663" s="9" t="s">
        <v>6099</v>
      </c>
      <c r="F3663" s="8"/>
    </row>
    <row r="3664" ht="21.0" customHeight="1">
      <c r="A3664" s="6">
        <v>1.0</v>
      </c>
      <c r="B3664" s="6">
        <v>273.0</v>
      </c>
      <c r="C3664" s="6">
        <v>5.0</v>
      </c>
      <c r="D3664" s="15" t="s">
        <v>6100</v>
      </c>
      <c r="E3664" s="9" t="s">
        <v>6101</v>
      </c>
      <c r="F3664" s="8"/>
    </row>
    <row r="3665" ht="21.0" customHeight="1">
      <c r="A3665" s="6">
        <v>1.0</v>
      </c>
      <c r="B3665" s="6">
        <v>273.0</v>
      </c>
      <c r="C3665" s="6">
        <v>6.0</v>
      </c>
      <c r="D3665" s="15" t="s">
        <v>6102</v>
      </c>
      <c r="E3665" s="9" t="s">
        <v>6103</v>
      </c>
      <c r="F3665" s="8"/>
    </row>
    <row r="3666" ht="21.0" customHeight="1">
      <c r="A3666" s="6">
        <v>1.0</v>
      </c>
      <c r="B3666" s="6">
        <v>273.0</v>
      </c>
      <c r="C3666" s="6">
        <v>7.0</v>
      </c>
      <c r="D3666" s="15" t="s">
        <v>6104</v>
      </c>
      <c r="E3666" s="9" t="s">
        <v>6105</v>
      </c>
      <c r="F3666" s="8"/>
    </row>
    <row r="3667" ht="21.0" customHeight="1">
      <c r="A3667" s="6">
        <v>1.0</v>
      </c>
      <c r="B3667" s="6">
        <v>273.0</v>
      </c>
      <c r="C3667" s="6">
        <v>8.0</v>
      </c>
      <c r="D3667" s="15" t="s">
        <v>6106</v>
      </c>
      <c r="E3667" s="9" t="s">
        <v>6107</v>
      </c>
      <c r="F3667" s="8"/>
    </row>
    <row r="3668" ht="21.0" customHeight="1">
      <c r="A3668" s="6">
        <v>1.0</v>
      </c>
      <c r="B3668" s="6">
        <v>273.0</v>
      </c>
      <c r="C3668" s="6">
        <v>9.0</v>
      </c>
      <c r="D3668" s="15" t="s">
        <v>6108</v>
      </c>
      <c r="E3668" s="9" t="s">
        <v>6109</v>
      </c>
      <c r="F3668" s="8"/>
    </row>
    <row r="3669" ht="21.0" customHeight="1">
      <c r="A3669" s="6">
        <v>1.0</v>
      </c>
      <c r="B3669" s="6">
        <v>273.0</v>
      </c>
      <c r="C3669" s="6">
        <v>10.0</v>
      </c>
      <c r="D3669" s="15" t="s">
        <v>6110</v>
      </c>
      <c r="E3669" s="9" t="s">
        <v>6111</v>
      </c>
      <c r="F3669" s="8"/>
    </row>
    <row r="3670" ht="21.0" customHeight="1">
      <c r="A3670" s="6">
        <v>1.0</v>
      </c>
      <c r="B3670" s="6">
        <v>273.0</v>
      </c>
      <c r="C3670" s="6">
        <v>11.0</v>
      </c>
      <c r="D3670" s="15" t="s">
        <v>6112</v>
      </c>
      <c r="E3670" s="9" t="s">
        <v>6113</v>
      </c>
      <c r="F3670" s="8"/>
    </row>
    <row r="3671" ht="21.0" customHeight="1">
      <c r="A3671" s="6">
        <v>1.0</v>
      </c>
      <c r="B3671" s="6">
        <v>273.0</v>
      </c>
      <c r="C3671" s="6">
        <v>12.0</v>
      </c>
      <c r="D3671" s="9" t="s">
        <v>6114</v>
      </c>
      <c r="E3671" s="9" t="s">
        <v>6115</v>
      </c>
      <c r="F3671" s="8"/>
    </row>
    <row r="3672" ht="21.0" customHeight="1">
      <c r="A3672" s="6">
        <v>1.0</v>
      </c>
      <c r="B3672" s="6">
        <v>273.0</v>
      </c>
      <c r="C3672" s="6">
        <v>13.0</v>
      </c>
      <c r="D3672" s="15" t="s">
        <v>6116</v>
      </c>
      <c r="E3672" s="9" t="s">
        <v>6117</v>
      </c>
      <c r="F3672" s="8"/>
    </row>
    <row r="3673" ht="21.0" customHeight="1">
      <c r="A3673" s="6">
        <v>1.0</v>
      </c>
      <c r="B3673" s="6">
        <v>274.0</v>
      </c>
      <c r="C3673" s="6">
        <v>1.0</v>
      </c>
      <c r="D3673" s="15" t="s">
        <v>6118</v>
      </c>
      <c r="E3673" s="9" t="s">
        <v>6119</v>
      </c>
      <c r="F3673" s="8"/>
    </row>
    <row r="3674" ht="21.0" customHeight="1">
      <c r="A3674" s="6">
        <v>1.0</v>
      </c>
      <c r="B3674" s="6">
        <v>274.0</v>
      </c>
      <c r="C3674" s="6">
        <v>2.0</v>
      </c>
      <c r="D3674" s="15" t="s">
        <v>6120</v>
      </c>
      <c r="E3674" s="9" t="s">
        <v>6121</v>
      </c>
      <c r="F3674" s="8"/>
    </row>
    <row r="3675" ht="21.0" customHeight="1">
      <c r="A3675" s="6">
        <v>1.0</v>
      </c>
      <c r="B3675" s="6">
        <v>274.0</v>
      </c>
      <c r="C3675" s="6">
        <v>3.0</v>
      </c>
      <c r="D3675" s="15" t="s">
        <v>6122</v>
      </c>
      <c r="E3675" s="9" t="s">
        <v>6123</v>
      </c>
      <c r="F3675" s="8"/>
    </row>
    <row r="3676" ht="21.0" customHeight="1">
      <c r="A3676" s="6">
        <v>1.0</v>
      </c>
      <c r="B3676" s="6">
        <v>274.0</v>
      </c>
      <c r="C3676" s="6">
        <v>4.0</v>
      </c>
      <c r="D3676" s="15" t="s">
        <v>6124</v>
      </c>
      <c r="E3676" s="9" t="s">
        <v>6125</v>
      </c>
      <c r="F3676" s="8"/>
    </row>
    <row r="3677" ht="21.0" customHeight="1">
      <c r="A3677" s="6">
        <v>1.0</v>
      </c>
      <c r="B3677" s="6">
        <v>274.0</v>
      </c>
      <c r="C3677" s="6">
        <v>5.0</v>
      </c>
      <c r="D3677" s="9" t="s">
        <v>6126</v>
      </c>
      <c r="E3677" s="9" t="s">
        <v>6127</v>
      </c>
      <c r="F3677" s="8"/>
    </row>
    <row r="3678" ht="21.0" customHeight="1">
      <c r="A3678" s="6">
        <v>1.0</v>
      </c>
      <c r="B3678" s="6">
        <v>274.0</v>
      </c>
      <c r="C3678" s="6">
        <v>6.0</v>
      </c>
      <c r="D3678" s="15" t="s">
        <v>6128</v>
      </c>
      <c r="E3678" s="9" t="s">
        <v>6129</v>
      </c>
      <c r="F3678" s="8"/>
    </row>
    <row r="3679" ht="21.0" customHeight="1">
      <c r="A3679" s="6">
        <v>1.0</v>
      </c>
      <c r="B3679" s="6">
        <v>274.0</v>
      </c>
      <c r="C3679" s="6">
        <v>7.0</v>
      </c>
      <c r="D3679" s="78" t="s">
        <v>6130</v>
      </c>
      <c r="E3679" s="9" t="s">
        <v>6131</v>
      </c>
      <c r="F3679" s="8"/>
    </row>
    <row r="3680" ht="21.0" customHeight="1">
      <c r="A3680" s="6">
        <v>1.0</v>
      </c>
      <c r="B3680" s="6">
        <v>274.0</v>
      </c>
      <c r="C3680" s="6">
        <v>8.0</v>
      </c>
      <c r="D3680" s="15" t="s">
        <v>6132</v>
      </c>
      <c r="E3680" s="9" t="s">
        <v>6133</v>
      </c>
      <c r="F3680" s="8"/>
    </row>
    <row r="3681" ht="21.0" customHeight="1">
      <c r="A3681" s="6">
        <v>1.0</v>
      </c>
      <c r="B3681" s="6">
        <v>274.0</v>
      </c>
      <c r="C3681" s="6">
        <v>9.0</v>
      </c>
      <c r="D3681" s="15" t="s">
        <v>6134</v>
      </c>
      <c r="E3681" s="9" t="s">
        <v>6135</v>
      </c>
      <c r="F3681" s="8"/>
    </row>
    <row r="3682" ht="21.0" customHeight="1">
      <c r="A3682" s="6">
        <v>1.0</v>
      </c>
      <c r="B3682" s="6">
        <v>274.0</v>
      </c>
      <c r="C3682" s="6">
        <v>10.0</v>
      </c>
      <c r="D3682" s="15" t="s">
        <v>6136</v>
      </c>
      <c r="E3682" s="9" t="s">
        <v>6137</v>
      </c>
      <c r="F3682" s="8"/>
    </row>
    <row r="3683" ht="21.0" customHeight="1">
      <c r="A3683" s="6">
        <v>1.0</v>
      </c>
      <c r="B3683" s="6">
        <v>274.0</v>
      </c>
      <c r="C3683" s="6">
        <v>11.0</v>
      </c>
      <c r="D3683" s="15" t="s">
        <v>6138</v>
      </c>
      <c r="E3683" s="9" t="s">
        <v>6139</v>
      </c>
      <c r="F3683" s="8"/>
    </row>
    <row r="3684" ht="21.0" customHeight="1">
      <c r="A3684" s="6">
        <v>1.0</v>
      </c>
      <c r="B3684" s="6">
        <v>274.0</v>
      </c>
      <c r="C3684" s="6">
        <v>12.0</v>
      </c>
      <c r="D3684" s="15" t="s">
        <v>6140</v>
      </c>
      <c r="E3684" s="9" t="s">
        <v>6141</v>
      </c>
      <c r="F3684" s="8"/>
    </row>
    <row r="3685" ht="21.0" customHeight="1">
      <c r="A3685" s="6">
        <v>1.0</v>
      </c>
      <c r="B3685" s="6">
        <v>274.0</v>
      </c>
      <c r="C3685" s="6">
        <v>13.0</v>
      </c>
      <c r="D3685" s="15" t="s">
        <v>6142</v>
      </c>
      <c r="E3685" s="9" t="s">
        <v>6143</v>
      </c>
      <c r="F3685" s="8"/>
    </row>
    <row r="3686" ht="21.0" customHeight="1">
      <c r="A3686" s="6">
        <v>11.0</v>
      </c>
      <c r="B3686" s="6">
        <v>1086.0</v>
      </c>
      <c r="C3686" s="6">
        <v>1.0</v>
      </c>
      <c r="D3686" s="9" t="s">
        <v>6144</v>
      </c>
      <c r="E3686" s="9" t="s">
        <v>6145</v>
      </c>
      <c r="F3686" s="8"/>
    </row>
    <row r="3687" ht="21.0" customHeight="1">
      <c r="A3687" s="6">
        <v>11.0</v>
      </c>
      <c r="B3687" s="6">
        <v>1086.0</v>
      </c>
      <c r="C3687" s="6">
        <v>2.0</v>
      </c>
      <c r="D3687" s="15" t="s">
        <v>6146</v>
      </c>
      <c r="E3687" s="9" t="s">
        <v>6147</v>
      </c>
      <c r="F3687" s="8"/>
    </row>
    <row r="3688" ht="21.0" customHeight="1">
      <c r="A3688" s="6">
        <v>11.0</v>
      </c>
      <c r="B3688" s="6">
        <v>1086.0</v>
      </c>
      <c r="C3688" s="6">
        <v>3.0</v>
      </c>
      <c r="D3688" s="15" t="s">
        <v>6148</v>
      </c>
      <c r="E3688" s="9" t="s">
        <v>6149</v>
      </c>
      <c r="F3688" s="8"/>
    </row>
    <row r="3689" ht="21.0" customHeight="1">
      <c r="A3689" s="6">
        <v>11.0</v>
      </c>
      <c r="B3689" s="6">
        <v>1086.0</v>
      </c>
      <c r="C3689" s="6">
        <v>4.0</v>
      </c>
      <c r="D3689" s="15" t="s">
        <v>6150</v>
      </c>
      <c r="E3689" s="9" t="s">
        <v>6151</v>
      </c>
      <c r="F3689" s="8"/>
    </row>
    <row r="3690" ht="21.0" customHeight="1">
      <c r="A3690" s="6">
        <v>10.0</v>
      </c>
      <c r="B3690" s="6">
        <v>1086.0</v>
      </c>
      <c r="C3690" s="6">
        <v>5.0</v>
      </c>
      <c r="D3690" s="15" t="s">
        <v>6152</v>
      </c>
      <c r="E3690" s="9" t="s">
        <v>6153</v>
      </c>
      <c r="F3690" s="8"/>
    </row>
    <row r="3691" ht="21.0" customHeight="1">
      <c r="A3691" s="6">
        <v>10.0</v>
      </c>
      <c r="B3691" s="6">
        <v>1086.0</v>
      </c>
      <c r="C3691" s="6">
        <v>6.0</v>
      </c>
      <c r="D3691" s="15" t="s">
        <v>6154</v>
      </c>
      <c r="E3691" s="9" t="s">
        <v>6155</v>
      </c>
      <c r="F3691" s="8"/>
    </row>
    <row r="3692" ht="21.0" customHeight="1">
      <c r="A3692" s="6">
        <v>10.0</v>
      </c>
      <c r="B3692" s="6">
        <v>1086.0</v>
      </c>
      <c r="C3692" s="6">
        <v>7.0</v>
      </c>
      <c r="D3692" s="15" t="s">
        <v>6156</v>
      </c>
      <c r="E3692" s="9" t="s">
        <v>6157</v>
      </c>
      <c r="F3692" s="8"/>
    </row>
    <row r="3693" ht="21.0" customHeight="1">
      <c r="A3693" s="6">
        <v>10.0</v>
      </c>
      <c r="B3693" s="6">
        <v>1086.0</v>
      </c>
      <c r="C3693" s="6">
        <v>8.0</v>
      </c>
      <c r="D3693" s="15" t="s">
        <v>274</v>
      </c>
      <c r="E3693" s="9" t="s">
        <v>6158</v>
      </c>
      <c r="F3693" s="8"/>
    </row>
    <row r="3694" ht="21.0" customHeight="1">
      <c r="A3694" s="6">
        <v>10.0</v>
      </c>
      <c r="B3694" s="6">
        <v>1086.0</v>
      </c>
      <c r="C3694" s="6">
        <v>9.0</v>
      </c>
      <c r="D3694" s="15" t="s">
        <v>6159</v>
      </c>
      <c r="E3694" s="9" t="s">
        <v>6160</v>
      </c>
      <c r="F3694" s="8"/>
    </row>
    <row r="3695" ht="21.0" customHeight="1">
      <c r="A3695" s="6">
        <v>10.0</v>
      </c>
      <c r="B3695" s="6">
        <v>1086.0</v>
      </c>
      <c r="C3695" s="6">
        <v>10.0</v>
      </c>
      <c r="D3695" s="15" t="s">
        <v>6161</v>
      </c>
      <c r="E3695" s="9" t="s">
        <v>6162</v>
      </c>
      <c r="F3695" s="8"/>
    </row>
    <row r="3696" ht="21.0" customHeight="1">
      <c r="A3696" s="6">
        <v>11.0</v>
      </c>
      <c r="B3696" s="6">
        <v>1087.0</v>
      </c>
      <c r="C3696" s="6">
        <v>1.0</v>
      </c>
      <c r="D3696" s="9" t="s">
        <v>6163</v>
      </c>
      <c r="E3696" s="9" t="s">
        <v>6164</v>
      </c>
      <c r="F3696" s="8"/>
    </row>
    <row r="3697" ht="21.0" customHeight="1">
      <c r="A3697" s="6">
        <v>11.0</v>
      </c>
      <c r="B3697" s="6">
        <v>1087.0</v>
      </c>
      <c r="C3697" s="6">
        <v>2.0</v>
      </c>
      <c r="D3697" s="15" t="s">
        <v>6165</v>
      </c>
      <c r="E3697" s="9" t="s">
        <v>6166</v>
      </c>
      <c r="F3697" s="8"/>
    </row>
    <row r="3698" ht="21.0" customHeight="1">
      <c r="A3698" s="6">
        <v>11.0</v>
      </c>
      <c r="B3698" s="6">
        <v>1087.0</v>
      </c>
      <c r="C3698" s="6">
        <v>3.0</v>
      </c>
      <c r="D3698" s="15" t="s">
        <v>6167</v>
      </c>
      <c r="E3698" s="9" t="s">
        <v>6168</v>
      </c>
      <c r="F3698" s="8"/>
    </row>
    <row r="3699" ht="21.0" customHeight="1">
      <c r="A3699" s="6">
        <v>11.0</v>
      </c>
      <c r="B3699" s="6">
        <v>1087.0</v>
      </c>
      <c r="C3699" s="6">
        <v>4.0</v>
      </c>
      <c r="D3699" s="15" t="s">
        <v>6169</v>
      </c>
      <c r="E3699" s="9" t="s">
        <v>6170</v>
      </c>
      <c r="F3699" s="8"/>
    </row>
    <row r="3700" ht="21.0" customHeight="1">
      <c r="A3700" s="6">
        <v>10.0</v>
      </c>
      <c r="B3700" s="6">
        <v>1087.0</v>
      </c>
      <c r="C3700" s="6">
        <v>5.0</v>
      </c>
      <c r="D3700" s="15" t="s">
        <v>6171</v>
      </c>
      <c r="E3700" s="9" t="s">
        <v>6172</v>
      </c>
      <c r="F3700" s="8"/>
    </row>
    <row r="3701" ht="21.0" customHeight="1">
      <c r="A3701" s="6">
        <v>10.0</v>
      </c>
      <c r="B3701" s="6">
        <v>1087.0</v>
      </c>
      <c r="C3701" s="6">
        <v>6.0</v>
      </c>
      <c r="D3701" s="15" t="s">
        <v>6173</v>
      </c>
      <c r="E3701" s="9" t="s">
        <v>6174</v>
      </c>
      <c r="F3701" s="8"/>
    </row>
    <row r="3702" ht="21.0" customHeight="1">
      <c r="A3702" s="6">
        <v>10.0</v>
      </c>
      <c r="B3702" s="6">
        <v>1087.0</v>
      </c>
      <c r="C3702" s="6">
        <v>7.0</v>
      </c>
      <c r="D3702" s="15" t="s">
        <v>6175</v>
      </c>
      <c r="E3702" s="9" t="s">
        <v>6176</v>
      </c>
      <c r="F3702" s="8"/>
    </row>
    <row r="3703" ht="21.0" customHeight="1">
      <c r="A3703" s="6">
        <v>10.0</v>
      </c>
      <c r="B3703" s="6">
        <v>1087.0</v>
      </c>
      <c r="C3703" s="6">
        <v>8.0</v>
      </c>
      <c r="D3703" s="15" t="s">
        <v>6177</v>
      </c>
      <c r="E3703" s="9" t="s">
        <v>6178</v>
      </c>
      <c r="F3703" s="8"/>
    </row>
    <row r="3704" ht="21.0" customHeight="1">
      <c r="A3704" s="6">
        <v>10.0</v>
      </c>
      <c r="B3704" s="6">
        <v>1087.0</v>
      </c>
      <c r="C3704" s="6">
        <v>9.0</v>
      </c>
      <c r="D3704" s="15" t="s">
        <v>6179</v>
      </c>
      <c r="E3704" s="9" t="s">
        <v>6180</v>
      </c>
      <c r="F3704" s="8"/>
    </row>
    <row r="3705" ht="21.0" customHeight="1">
      <c r="A3705" s="6">
        <v>10.0</v>
      </c>
      <c r="B3705" s="6">
        <v>1087.0</v>
      </c>
      <c r="C3705" s="6">
        <v>10.0</v>
      </c>
      <c r="D3705" s="15" t="s">
        <v>6181</v>
      </c>
      <c r="E3705" s="9" t="s">
        <v>6162</v>
      </c>
      <c r="F3705" s="8"/>
    </row>
    <row r="3706" ht="21.0" customHeight="1">
      <c r="A3706" s="6">
        <v>1.0</v>
      </c>
      <c r="B3706" s="6">
        <v>275.0</v>
      </c>
      <c r="C3706" s="6">
        <v>1.0</v>
      </c>
      <c r="D3706" s="15" t="s">
        <v>6182</v>
      </c>
      <c r="E3706" s="9" t="s">
        <v>6183</v>
      </c>
      <c r="F3706" s="8"/>
    </row>
    <row r="3707" ht="21.0" customHeight="1">
      <c r="A3707" s="6">
        <v>1.0</v>
      </c>
      <c r="B3707" s="6">
        <v>275.0</v>
      </c>
      <c r="C3707" s="6">
        <v>2.0</v>
      </c>
      <c r="D3707" s="15" t="s">
        <v>6184</v>
      </c>
      <c r="E3707" s="9" t="s">
        <v>6185</v>
      </c>
      <c r="F3707" s="8"/>
    </row>
    <row r="3708" ht="21.0" customHeight="1">
      <c r="A3708" s="6">
        <v>1.0</v>
      </c>
      <c r="B3708" s="6">
        <v>275.0</v>
      </c>
      <c r="C3708" s="6">
        <v>3.0</v>
      </c>
      <c r="D3708" s="15" t="s">
        <v>6186</v>
      </c>
      <c r="E3708" s="9" t="s">
        <v>6187</v>
      </c>
      <c r="F3708" s="8"/>
    </row>
    <row r="3709" ht="21.0" customHeight="1">
      <c r="A3709" s="6">
        <v>1.0</v>
      </c>
      <c r="B3709" s="6">
        <v>275.0</v>
      </c>
      <c r="C3709" s="6">
        <v>4.0</v>
      </c>
      <c r="D3709" s="15" t="s">
        <v>6188</v>
      </c>
      <c r="E3709" s="9" t="s">
        <v>6189</v>
      </c>
      <c r="F3709" s="8"/>
    </row>
    <row r="3710" ht="21.0" customHeight="1">
      <c r="A3710" s="6">
        <v>1.0</v>
      </c>
      <c r="B3710" s="6">
        <v>275.0</v>
      </c>
      <c r="C3710" s="6">
        <v>5.0</v>
      </c>
      <c r="D3710" s="15" t="s">
        <v>6190</v>
      </c>
      <c r="E3710" s="9" t="s">
        <v>6191</v>
      </c>
      <c r="F3710" s="8"/>
    </row>
    <row r="3711" ht="21.0" customHeight="1">
      <c r="A3711" s="6">
        <v>1.0</v>
      </c>
      <c r="B3711" s="6">
        <v>275.0</v>
      </c>
      <c r="C3711" s="6">
        <v>6.0</v>
      </c>
      <c r="D3711" s="15" t="s">
        <v>6192</v>
      </c>
      <c r="E3711" s="9" t="s">
        <v>6193</v>
      </c>
      <c r="F3711" s="8"/>
    </row>
    <row r="3712" ht="21.0" customHeight="1">
      <c r="A3712" s="6">
        <v>1.0</v>
      </c>
      <c r="B3712" s="6">
        <v>275.0</v>
      </c>
      <c r="C3712" s="6">
        <v>7.0</v>
      </c>
      <c r="D3712" s="15" t="s">
        <v>6194</v>
      </c>
      <c r="E3712" s="9" t="s">
        <v>6195</v>
      </c>
      <c r="F3712" s="8"/>
    </row>
    <row r="3713" ht="21.0" customHeight="1">
      <c r="A3713" s="6">
        <v>1.0</v>
      </c>
      <c r="B3713" s="6">
        <v>275.0</v>
      </c>
      <c r="C3713" s="6">
        <v>8.0</v>
      </c>
      <c r="D3713" s="15" t="s">
        <v>6196</v>
      </c>
      <c r="E3713" s="9" t="s">
        <v>6197</v>
      </c>
      <c r="F3713" s="8"/>
    </row>
    <row r="3714" ht="21.0" customHeight="1">
      <c r="A3714" s="6">
        <v>1.0</v>
      </c>
      <c r="B3714" s="6">
        <v>275.0</v>
      </c>
      <c r="C3714" s="6">
        <v>9.0</v>
      </c>
      <c r="D3714" s="15" t="s">
        <v>6198</v>
      </c>
      <c r="E3714" s="9" t="s">
        <v>6199</v>
      </c>
      <c r="F3714" s="8"/>
    </row>
    <row r="3715" ht="21.0" customHeight="1">
      <c r="A3715" s="6">
        <v>1.0</v>
      </c>
      <c r="B3715" s="6">
        <v>275.0</v>
      </c>
      <c r="C3715" s="6">
        <v>10.0</v>
      </c>
      <c r="D3715" s="15" t="s">
        <v>6200</v>
      </c>
      <c r="E3715" s="9" t="s">
        <v>6201</v>
      </c>
      <c r="F3715" s="8"/>
    </row>
    <row r="3716" ht="21.0" customHeight="1">
      <c r="A3716" s="6">
        <v>1.0</v>
      </c>
      <c r="B3716" s="6">
        <v>275.0</v>
      </c>
      <c r="C3716" s="6">
        <v>11.0</v>
      </c>
      <c r="D3716" s="15" t="s">
        <v>6202</v>
      </c>
      <c r="E3716" s="9" t="s">
        <v>6203</v>
      </c>
      <c r="F3716" s="8"/>
    </row>
    <row r="3717" ht="21.0" customHeight="1">
      <c r="A3717" s="6">
        <v>1.0</v>
      </c>
      <c r="B3717" s="6">
        <v>275.0</v>
      </c>
      <c r="C3717" s="6">
        <v>12.0</v>
      </c>
      <c r="D3717" s="15" t="s">
        <v>6204</v>
      </c>
      <c r="E3717" s="9" t="s">
        <v>6205</v>
      </c>
      <c r="F3717" s="8"/>
    </row>
    <row r="3718" ht="21.0" customHeight="1">
      <c r="A3718" s="6">
        <v>1.0</v>
      </c>
      <c r="B3718" s="6">
        <v>275.0</v>
      </c>
      <c r="C3718" s="6">
        <v>13.0</v>
      </c>
      <c r="D3718" s="15" t="s">
        <v>6206</v>
      </c>
      <c r="E3718" s="9" t="s">
        <v>6207</v>
      </c>
      <c r="F3718" s="8"/>
    </row>
    <row r="3719" ht="21.0" customHeight="1">
      <c r="A3719" s="6">
        <v>1.0</v>
      </c>
      <c r="B3719" s="6">
        <v>276.0</v>
      </c>
      <c r="C3719" s="6">
        <v>1.0</v>
      </c>
      <c r="D3719" s="15" t="s">
        <v>6208</v>
      </c>
      <c r="E3719" s="9" t="s">
        <v>6209</v>
      </c>
      <c r="F3719" s="8"/>
    </row>
    <row r="3720" ht="21.0" customHeight="1">
      <c r="A3720" s="6">
        <v>1.0</v>
      </c>
      <c r="B3720" s="6">
        <v>276.0</v>
      </c>
      <c r="C3720" s="6">
        <v>2.0</v>
      </c>
      <c r="D3720" s="15" t="s">
        <v>6210</v>
      </c>
      <c r="E3720" s="9" t="s">
        <v>6211</v>
      </c>
      <c r="F3720" s="8"/>
    </row>
    <row r="3721" ht="21.0" customHeight="1">
      <c r="A3721" s="6">
        <v>1.0</v>
      </c>
      <c r="B3721" s="6">
        <v>276.0</v>
      </c>
      <c r="C3721" s="6">
        <v>3.0</v>
      </c>
      <c r="D3721" s="15" t="s">
        <v>6212</v>
      </c>
      <c r="E3721" s="9" t="s">
        <v>6213</v>
      </c>
      <c r="F3721" s="8"/>
    </row>
    <row r="3722" ht="21.0" customHeight="1">
      <c r="A3722" s="6">
        <v>1.0</v>
      </c>
      <c r="B3722" s="6">
        <v>276.0</v>
      </c>
      <c r="C3722" s="6">
        <v>4.0</v>
      </c>
      <c r="D3722" s="15" t="s">
        <v>6214</v>
      </c>
      <c r="E3722" s="9" t="s">
        <v>6215</v>
      </c>
      <c r="F3722" s="8"/>
    </row>
    <row r="3723" ht="21.0" customHeight="1">
      <c r="A3723" s="6">
        <v>1.0</v>
      </c>
      <c r="B3723" s="6">
        <v>276.0</v>
      </c>
      <c r="C3723" s="6">
        <v>5.0</v>
      </c>
      <c r="D3723" s="15" t="s">
        <v>6216</v>
      </c>
      <c r="E3723" s="9" t="s">
        <v>6217</v>
      </c>
      <c r="F3723" s="8"/>
    </row>
    <row r="3724" ht="21.0" customHeight="1">
      <c r="A3724" s="6">
        <v>1.0</v>
      </c>
      <c r="B3724" s="6">
        <v>276.0</v>
      </c>
      <c r="C3724" s="6">
        <v>6.0</v>
      </c>
      <c r="D3724" s="15" t="s">
        <v>6218</v>
      </c>
      <c r="E3724" s="9" t="s">
        <v>6219</v>
      </c>
      <c r="F3724" s="8"/>
    </row>
    <row r="3725" ht="21.0" customHeight="1">
      <c r="A3725" s="6">
        <v>1.0</v>
      </c>
      <c r="B3725" s="6">
        <v>276.0</v>
      </c>
      <c r="C3725" s="6">
        <v>7.0</v>
      </c>
      <c r="D3725" s="77" t="s">
        <v>6220</v>
      </c>
      <c r="E3725" s="9" t="s">
        <v>6221</v>
      </c>
      <c r="F3725" s="8"/>
    </row>
    <row r="3726" ht="21.0" customHeight="1">
      <c r="A3726" s="6">
        <v>1.0</v>
      </c>
      <c r="B3726" s="6">
        <v>276.0</v>
      </c>
      <c r="C3726" s="6">
        <v>8.0</v>
      </c>
      <c r="D3726" s="15" t="s">
        <v>6222</v>
      </c>
      <c r="E3726" s="9" t="s">
        <v>6223</v>
      </c>
      <c r="F3726" s="8"/>
    </row>
    <row r="3727" ht="21.0" customHeight="1">
      <c r="A3727" s="6">
        <v>1.0</v>
      </c>
      <c r="B3727" s="6">
        <v>276.0</v>
      </c>
      <c r="C3727" s="6">
        <v>9.0</v>
      </c>
      <c r="D3727" s="77" t="s">
        <v>6224</v>
      </c>
      <c r="E3727" s="9" t="s">
        <v>6225</v>
      </c>
      <c r="F3727" s="8"/>
    </row>
    <row r="3728" ht="21.0" customHeight="1">
      <c r="A3728" s="6">
        <v>1.0</v>
      </c>
      <c r="B3728" s="6">
        <v>276.0</v>
      </c>
      <c r="C3728" s="6">
        <v>10.0</v>
      </c>
      <c r="D3728" s="77" t="s">
        <v>6226</v>
      </c>
      <c r="E3728" s="9" t="s">
        <v>6227</v>
      </c>
      <c r="F3728" s="8"/>
    </row>
    <row r="3729" ht="21.0" customHeight="1">
      <c r="A3729" s="6">
        <v>1.0</v>
      </c>
      <c r="B3729" s="6">
        <v>276.0</v>
      </c>
      <c r="C3729" s="6">
        <v>11.0</v>
      </c>
      <c r="D3729" s="77" t="s">
        <v>6228</v>
      </c>
      <c r="E3729" s="9" t="s">
        <v>6229</v>
      </c>
      <c r="F3729" s="8"/>
    </row>
    <row r="3730" ht="21.0" customHeight="1">
      <c r="A3730" s="6">
        <v>1.0</v>
      </c>
      <c r="B3730" s="6">
        <v>276.0</v>
      </c>
      <c r="C3730" s="6">
        <v>12.0</v>
      </c>
      <c r="D3730" s="15" t="s">
        <v>6230</v>
      </c>
      <c r="E3730" s="9" t="s">
        <v>6231</v>
      </c>
      <c r="F3730" s="8"/>
    </row>
    <row r="3731" ht="21.0" customHeight="1">
      <c r="A3731" s="6">
        <v>1.0</v>
      </c>
      <c r="B3731" s="6">
        <v>276.0</v>
      </c>
      <c r="C3731" s="6">
        <v>13.0</v>
      </c>
      <c r="D3731" s="15" t="s">
        <v>6232</v>
      </c>
      <c r="E3731" s="9" t="s">
        <v>6233</v>
      </c>
      <c r="F3731" s="8"/>
    </row>
    <row r="3732" ht="21.0" customHeight="1">
      <c r="A3732" s="6">
        <v>1.0</v>
      </c>
      <c r="B3732" s="6">
        <v>277.0</v>
      </c>
      <c r="C3732" s="6">
        <v>1.0</v>
      </c>
      <c r="D3732" s="15" t="s">
        <v>6234</v>
      </c>
      <c r="E3732" s="9" t="s">
        <v>6235</v>
      </c>
      <c r="F3732" s="8"/>
    </row>
    <row r="3733" ht="21.0" customHeight="1">
      <c r="A3733" s="6">
        <v>1.0</v>
      </c>
      <c r="B3733" s="6">
        <v>277.0</v>
      </c>
      <c r="C3733" s="6">
        <v>2.0</v>
      </c>
      <c r="D3733" s="15" t="s">
        <v>6236</v>
      </c>
      <c r="E3733" s="9" t="s">
        <v>6237</v>
      </c>
      <c r="F3733" s="8"/>
    </row>
    <row r="3734" ht="21.0" customHeight="1">
      <c r="A3734" s="6">
        <v>1.0</v>
      </c>
      <c r="B3734" s="6">
        <v>277.0</v>
      </c>
      <c r="C3734" s="6">
        <v>3.0</v>
      </c>
      <c r="D3734" s="15" t="s">
        <v>6238</v>
      </c>
      <c r="E3734" s="9" t="s">
        <v>6239</v>
      </c>
      <c r="F3734" s="8"/>
    </row>
    <row r="3735" ht="21.0" customHeight="1">
      <c r="A3735" s="6">
        <v>1.0</v>
      </c>
      <c r="B3735" s="6">
        <v>277.0</v>
      </c>
      <c r="C3735" s="6">
        <v>4.0</v>
      </c>
      <c r="D3735" s="15" t="s">
        <v>6240</v>
      </c>
      <c r="E3735" s="9" t="s">
        <v>6241</v>
      </c>
      <c r="F3735" s="8"/>
    </row>
    <row r="3736" ht="21.0" customHeight="1">
      <c r="A3736" s="6">
        <v>1.0</v>
      </c>
      <c r="B3736" s="6">
        <v>277.0</v>
      </c>
      <c r="C3736" s="6">
        <v>5.0</v>
      </c>
      <c r="D3736" s="15" t="s">
        <v>6242</v>
      </c>
      <c r="E3736" s="9" t="s">
        <v>6243</v>
      </c>
      <c r="F3736" s="8"/>
    </row>
    <row r="3737" ht="21.0" customHeight="1">
      <c r="A3737" s="6">
        <v>1.0</v>
      </c>
      <c r="B3737" s="6">
        <v>277.0</v>
      </c>
      <c r="C3737" s="6">
        <v>6.0</v>
      </c>
      <c r="D3737" s="15" t="s">
        <v>6244</v>
      </c>
      <c r="E3737" s="9" t="s">
        <v>6245</v>
      </c>
      <c r="F3737" s="8"/>
    </row>
    <row r="3738" ht="21.0" customHeight="1">
      <c r="A3738" s="6">
        <v>1.0</v>
      </c>
      <c r="B3738" s="6">
        <v>277.0</v>
      </c>
      <c r="C3738" s="6">
        <v>7.0</v>
      </c>
      <c r="D3738" s="15" t="s">
        <v>6246</v>
      </c>
      <c r="E3738" s="9" t="s">
        <v>6247</v>
      </c>
      <c r="F3738" s="8"/>
    </row>
    <row r="3739" ht="21.0" customHeight="1">
      <c r="A3739" s="6">
        <v>1.0</v>
      </c>
      <c r="B3739" s="6">
        <v>277.0</v>
      </c>
      <c r="C3739" s="6">
        <v>8.0</v>
      </c>
      <c r="D3739" s="15" t="s">
        <v>6248</v>
      </c>
      <c r="E3739" s="9" t="s">
        <v>6249</v>
      </c>
      <c r="F3739" s="8"/>
    </row>
    <row r="3740" ht="21.0" customHeight="1">
      <c r="A3740" s="6">
        <v>1.0</v>
      </c>
      <c r="B3740" s="6">
        <v>277.0</v>
      </c>
      <c r="C3740" s="6">
        <v>9.0</v>
      </c>
      <c r="D3740" s="15" t="s">
        <v>6250</v>
      </c>
      <c r="E3740" s="9" t="s">
        <v>6251</v>
      </c>
      <c r="F3740" s="8"/>
    </row>
    <row r="3741" ht="21.0" customHeight="1">
      <c r="A3741" s="6">
        <v>1.0</v>
      </c>
      <c r="B3741" s="6">
        <v>277.0</v>
      </c>
      <c r="C3741" s="6">
        <v>10.0</v>
      </c>
      <c r="D3741" s="15" t="s">
        <v>6252</v>
      </c>
      <c r="E3741" s="9" t="s">
        <v>6253</v>
      </c>
      <c r="F3741" s="8"/>
    </row>
    <row r="3742" ht="21.0" customHeight="1">
      <c r="A3742" s="6">
        <v>1.0</v>
      </c>
      <c r="B3742" s="6">
        <v>277.0</v>
      </c>
      <c r="C3742" s="6">
        <v>11.0</v>
      </c>
      <c r="D3742" s="15" t="s">
        <v>6254</v>
      </c>
      <c r="E3742" s="9" t="s">
        <v>6255</v>
      </c>
      <c r="F3742" s="8"/>
    </row>
    <row r="3743" ht="21.0" customHeight="1">
      <c r="A3743" s="6">
        <v>1.0</v>
      </c>
      <c r="B3743" s="6">
        <v>277.0</v>
      </c>
      <c r="C3743" s="6">
        <v>12.0</v>
      </c>
      <c r="D3743" s="15" t="s">
        <v>6256</v>
      </c>
      <c r="E3743" s="9" t="s">
        <v>6257</v>
      </c>
      <c r="F3743" s="8"/>
    </row>
    <row r="3744" ht="21.0" customHeight="1">
      <c r="A3744" s="6">
        <v>1.0</v>
      </c>
      <c r="B3744" s="6">
        <v>277.0</v>
      </c>
      <c r="C3744" s="6">
        <v>13.0</v>
      </c>
      <c r="D3744" s="15" t="s">
        <v>6258</v>
      </c>
      <c r="E3744" s="9" t="s">
        <v>6259</v>
      </c>
      <c r="F3744" s="8"/>
    </row>
    <row r="3745" ht="21.0" customHeight="1">
      <c r="A3745" s="6">
        <v>11.0</v>
      </c>
      <c r="B3745" s="6">
        <v>1088.0</v>
      </c>
      <c r="C3745" s="6">
        <v>1.0</v>
      </c>
      <c r="D3745" s="81" t="s">
        <v>6260</v>
      </c>
      <c r="E3745" s="9" t="s">
        <v>6261</v>
      </c>
      <c r="F3745" s="8"/>
    </row>
    <row r="3746" ht="21.0" customHeight="1">
      <c r="A3746" s="6">
        <v>11.0</v>
      </c>
      <c r="B3746" s="6">
        <v>1088.0</v>
      </c>
      <c r="C3746" s="6">
        <v>2.0</v>
      </c>
      <c r="D3746" s="81" t="s">
        <v>6262</v>
      </c>
      <c r="E3746" s="9" t="s">
        <v>6263</v>
      </c>
      <c r="F3746" s="8"/>
    </row>
    <row r="3747" ht="21.0" customHeight="1">
      <c r="A3747" s="6">
        <v>11.0</v>
      </c>
      <c r="B3747" s="6">
        <v>1088.0</v>
      </c>
      <c r="C3747" s="6">
        <v>3.0</v>
      </c>
      <c r="D3747" s="81" t="s">
        <v>6264</v>
      </c>
      <c r="E3747" s="9" t="s">
        <v>6265</v>
      </c>
      <c r="F3747" s="8"/>
    </row>
    <row r="3748" ht="21.0" customHeight="1">
      <c r="A3748" s="6">
        <v>11.0</v>
      </c>
      <c r="B3748" s="6">
        <v>1088.0</v>
      </c>
      <c r="C3748" s="6">
        <v>4.0</v>
      </c>
      <c r="D3748" s="80" t="s">
        <v>6266</v>
      </c>
      <c r="E3748" s="9" t="s">
        <v>6267</v>
      </c>
      <c r="F3748" s="8"/>
    </row>
    <row r="3749" ht="21.0" customHeight="1">
      <c r="A3749" s="6">
        <v>10.0</v>
      </c>
      <c r="B3749" s="6">
        <v>1088.0</v>
      </c>
      <c r="C3749" s="6">
        <v>5.0</v>
      </c>
      <c r="D3749" s="80" t="s">
        <v>6268</v>
      </c>
      <c r="E3749" s="9" t="s">
        <v>6269</v>
      </c>
      <c r="F3749" s="8"/>
    </row>
    <row r="3750" ht="21.0" customHeight="1">
      <c r="A3750" s="6">
        <v>10.0</v>
      </c>
      <c r="B3750" s="6">
        <v>1088.0</v>
      </c>
      <c r="C3750" s="6">
        <v>6.0</v>
      </c>
      <c r="D3750" s="80" t="s">
        <v>6270</v>
      </c>
      <c r="E3750" s="9" t="s">
        <v>6271</v>
      </c>
      <c r="F3750" s="8"/>
    </row>
    <row r="3751" ht="21.0" customHeight="1">
      <c r="A3751" s="6">
        <v>10.0</v>
      </c>
      <c r="B3751" s="6">
        <v>1088.0</v>
      </c>
      <c r="C3751" s="6">
        <v>7.0</v>
      </c>
      <c r="D3751" s="80" t="s">
        <v>6272</v>
      </c>
      <c r="E3751" s="9" t="s">
        <v>6273</v>
      </c>
      <c r="F3751" s="8"/>
    </row>
    <row r="3752" ht="21.0" customHeight="1">
      <c r="A3752" s="6">
        <v>10.0</v>
      </c>
      <c r="B3752" s="6">
        <v>1088.0</v>
      </c>
      <c r="C3752" s="6">
        <v>8.0</v>
      </c>
      <c r="D3752" s="80" t="s">
        <v>6274</v>
      </c>
      <c r="E3752" s="9" t="s">
        <v>6275</v>
      </c>
      <c r="F3752" s="8"/>
    </row>
    <row r="3753" ht="21.0" customHeight="1">
      <c r="A3753" s="6">
        <v>10.0</v>
      </c>
      <c r="B3753" s="6">
        <v>1088.0</v>
      </c>
      <c r="C3753" s="6">
        <v>9.0</v>
      </c>
      <c r="D3753" s="80" t="s">
        <v>6276</v>
      </c>
      <c r="E3753" s="9" t="s">
        <v>6277</v>
      </c>
      <c r="F3753" s="8"/>
    </row>
    <row r="3754" ht="21.0" customHeight="1">
      <c r="A3754" s="6">
        <v>10.0</v>
      </c>
      <c r="B3754" s="6">
        <v>1088.0</v>
      </c>
      <c r="C3754" s="6">
        <v>10.0</v>
      </c>
      <c r="D3754" s="80" t="s">
        <v>6278</v>
      </c>
      <c r="E3754" s="9" t="s">
        <v>6279</v>
      </c>
      <c r="F3754" s="8"/>
    </row>
    <row r="3755" ht="21.0" customHeight="1">
      <c r="A3755" s="6">
        <v>11.0</v>
      </c>
      <c r="B3755" s="6">
        <v>1089.0</v>
      </c>
      <c r="C3755" s="6">
        <v>1.0</v>
      </c>
      <c r="D3755" s="81" t="s">
        <v>6280</v>
      </c>
      <c r="E3755" s="9" t="s">
        <v>6281</v>
      </c>
      <c r="F3755" s="8"/>
    </row>
    <row r="3756" ht="21.0" customHeight="1">
      <c r="A3756" s="6">
        <v>11.0</v>
      </c>
      <c r="B3756" s="6">
        <v>1089.0</v>
      </c>
      <c r="C3756" s="6">
        <v>2.0</v>
      </c>
      <c r="D3756" s="81" t="s">
        <v>6282</v>
      </c>
      <c r="E3756" s="9" t="s">
        <v>6283</v>
      </c>
      <c r="F3756" s="8"/>
    </row>
    <row r="3757" ht="21.0" customHeight="1">
      <c r="A3757" s="6">
        <v>11.0</v>
      </c>
      <c r="B3757" s="6">
        <v>1089.0</v>
      </c>
      <c r="C3757" s="6">
        <v>3.0</v>
      </c>
      <c r="D3757" s="81" t="s">
        <v>6284</v>
      </c>
      <c r="E3757" s="9" t="s">
        <v>6285</v>
      </c>
      <c r="F3757" s="8"/>
    </row>
    <row r="3758" ht="21.0" customHeight="1">
      <c r="A3758" s="6">
        <v>11.0</v>
      </c>
      <c r="B3758" s="6">
        <v>1089.0</v>
      </c>
      <c r="C3758" s="6">
        <v>4.0</v>
      </c>
      <c r="D3758" s="80" t="s">
        <v>6286</v>
      </c>
      <c r="E3758" s="9" t="s">
        <v>6287</v>
      </c>
      <c r="F3758" s="8"/>
    </row>
    <row r="3759" ht="21.0" customHeight="1">
      <c r="A3759" s="6">
        <v>10.0</v>
      </c>
      <c r="B3759" s="6">
        <v>1089.0</v>
      </c>
      <c r="C3759" s="6">
        <v>5.0</v>
      </c>
      <c r="D3759" s="80" t="s">
        <v>6288</v>
      </c>
      <c r="E3759" s="9" t="s">
        <v>6289</v>
      </c>
      <c r="F3759" s="8"/>
    </row>
    <row r="3760" ht="21.0" customHeight="1">
      <c r="A3760" s="6">
        <v>10.0</v>
      </c>
      <c r="B3760" s="6">
        <v>1089.0</v>
      </c>
      <c r="C3760" s="6">
        <v>6.0</v>
      </c>
      <c r="D3760" s="80" t="s">
        <v>6290</v>
      </c>
      <c r="E3760" s="9" t="s">
        <v>6291</v>
      </c>
      <c r="F3760" s="8"/>
    </row>
    <row r="3761" ht="21.0" customHeight="1">
      <c r="A3761" s="6">
        <v>10.0</v>
      </c>
      <c r="B3761" s="6">
        <v>1089.0</v>
      </c>
      <c r="C3761" s="6">
        <v>7.0</v>
      </c>
      <c r="D3761" s="80" t="s">
        <v>6292</v>
      </c>
      <c r="E3761" s="9" t="s">
        <v>6293</v>
      </c>
      <c r="F3761" s="8"/>
    </row>
    <row r="3762" ht="21.0" customHeight="1">
      <c r="A3762" s="6">
        <v>10.0</v>
      </c>
      <c r="B3762" s="6">
        <v>1089.0</v>
      </c>
      <c r="C3762" s="6">
        <v>8.0</v>
      </c>
      <c r="D3762" s="80" t="s">
        <v>6294</v>
      </c>
      <c r="E3762" s="9" t="s">
        <v>6295</v>
      </c>
      <c r="F3762" s="8"/>
    </row>
    <row r="3763" ht="21.0" customHeight="1">
      <c r="A3763" s="6">
        <v>10.0</v>
      </c>
      <c r="B3763" s="6">
        <v>1089.0</v>
      </c>
      <c r="C3763" s="6">
        <v>9.0</v>
      </c>
      <c r="D3763" s="67" t="s">
        <v>6296</v>
      </c>
      <c r="E3763" s="9" t="s">
        <v>6297</v>
      </c>
      <c r="F3763" s="8"/>
    </row>
    <row r="3764" ht="21.0" customHeight="1">
      <c r="A3764" s="6">
        <v>10.0</v>
      </c>
      <c r="B3764" s="6">
        <v>1089.0</v>
      </c>
      <c r="C3764" s="6">
        <v>10.0</v>
      </c>
      <c r="D3764" s="67" t="s">
        <v>6298</v>
      </c>
      <c r="E3764" s="9" t="s">
        <v>6279</v>
      </c>
      <c r="F3764" s="8"/>
    </row>
    <row r="3765" ht="21.0" customHeight="1">
      <c r="A3765" s="6">
        <v>1.0</v>
      </c>
      <c r="B3765" s="6">
        <v>278.0</v>
      </c>
      <c r="C3765" s="6">
        <v>1.0</v>
      </c>
      <c r="D3765" s="81" t="s">
        <v>6299</v>
      </c>
      <c r="E3765" s="9" t="s">
        <v>6300</v>
      </c>
      <c r="F3765" s="8"/>
    </row>
    <row r="3766" ht="21.0" customHeight="1">
      <c r="A3766" s="6">
        <v>1.0</v>
      </c>
      <c r="B3766" s="6">
        <v>278.0</v>
      </c>
      <c r="C3766" s="6">
        <v>2.0</v>
      </c>
      <c r="D3766" s="81" t="s">
        <v>6301</v>
      </c>
      <c r="E3766" s="9" t="s">
        <v>6302</v>
      </c>
      <c r="F3766" s="8"/>
    </row>
    <row r="3767" ht="21.0" customHeight="1">
      <c r="A3767" s="6">
        <v>1.0</v>
      </c>
      <c r="B3767" s="6">
        <v>278.0</v>
      </c>
      <c r="C3767" s="6">
        <v>3.0</v>
      </c>
      <c r="D3767" s="81" t="s">
        <v>6303</v>
      </c>
      <c r="E3767" s="9" t="s">
        <v>6304</v>
      </c>
      <c r="F3767" s="8"/>
    </row>
    <row r="3768" ht="21.0" customHeight="1">
      <c r="A3768" s="6">
        <v>1.0</v>
      </c>
      <c r="B3768" s="6">
        <v>278.0</v>
      </c>
      <c r="C3768" s="6">
        <v>4.0</v>
      </c>
      <c r="D3768" s="81" t="s">
        <v>6305</v>
      </c>
      <c r="E3768" s="9" t="s">
        <v>6306</v>
      </c>
      <c r="F3768" s="8"/>
    </row>
    <row r="3769" ht="21.0" customHeight="1">
      <c r="A3769" s="6">
        <v>1.0</v>
      </c>
      <c r="B3769" s="6">
        <v>278.0</v>
      </c>
      <c r="C3769" s="6">
        <v>5.0</v>
      </c>
      <c r="D3769" s="82" t="s">
        <v>6307</v>
      </c>
      <c r="E3769" s="9" t="s">
        <v>6308</v>
      </c>
      <c r="F3769" s="8"/>
    </row>
    <row r="3770" ht="21.0" customHeight="1">
      <c r="A3770" s="6">
        <v>1.0</v>
      </c>
      <c r="B3770" s="6">
        <v>278.0</v>
      </c>
      <c r="C3770" s="6">
        <v>6.0</v>
      </c>
      <c r="D3770" s="81" t="s">
        <v>6309</v>
      </c>
      <c r="E3770" s="9" t="s">
        <v>6310</v>
      </c>
      <c r="F3770" s="8"/>
    </row>
    <row r="3771" ht="21.0" customHeight="1">
      <c r="A3771" s="6">
        <v>1.0</v>
      </c>
      <c r="B3771" s="6">
        <v>278.0</v>
      </c>
      <c r="C3771" s="6">
        <v>7.0</v>
      </c>
      <c r="D3771" s="81" t="s">
        <v>6311</v>
      </c>
      <c r="E3771" s="9" t="s">
        <v>6312</v>
      </c>
      <c r="F3771" s="8"/>
    </row>
    <row r="3772" ht="21.0" customHeight="1">
      <c r="A3772" s="6">
        <v>1.0</v>
      </c>
      <c r="B3772" s="6">
        <v>278.0</v>
      </c>
      <c r="C3772" s="6">
        <v>8.0</v>
      </c>
      <c r="D3772" s="81" t="s">
        <v>6313</v>
      </c>
      <c r="E3772" s="9" t="s">
        <v>6314</v>
      </c>
      <c r="F3772" s="8"/>
    </row>
    <row r="3773" ht="21.0" customHeight="1">
      <c r="A3773" s="6">
        <v>1.0</v>
      </c>
      <c r="B3773" s="6">
        <v>278.0</v>
      </c>
      <c r="C3773" s="6">
        <v>9.0</v>
      </c>
      <c r="D3773" s="67" t="s">
        <v>6315</v>
      </c>
      <c r="E3773" s="9" t="s">
        <v>6316</v>
      </c>
      <c r="F3773" s="8"/>
    </row>
    <row r="3774" ht="21.0" customHeight="1">
      <c r="A3774" s="6">
        <v>1.0</v>
      </c>
      <c r="B3774" s="6">
        <v>278.0</v>
      </c>
      <c r="C3774" s="6">
        <v>10.0</v>
      </c>
      <c r="D3774" s="81" t="s">
        <v>6317</v>
      </c>
      <c r="E3774" s="9" t="s">
        <v>6318</v>
      </c>
      <c r="F3774" s="8"/>
    </row>
    <row r="3775" ht="21.0" customHeight="1">
      <c r="A3775" s="6">
        <v>1.0</v>
      </c>
      <c r="B3775" s="6">
        <v>278.0</v>
      </c>
      <c r="C3775" s="6">
        <v>11.0</v>
      </c>
      <c r="D3775" s="80" t="s">
        <v>6319</v>
      </c>
      <c r="E3775" s="9" t="s">
        <v>6320</v>
      </c>
      <c r="F3775" s="8"/>
    </row>
    <row r="3776" ht="21.0" customHeight="1">
      <c r="A3776" s="6">
        <v>1.0</v>
      </c>
      <c r="B3776" s="6">
        <v>278.0</v>
      </c>
      <c r="C3776" s="6">
        <v>12.0</v>
      </c>
      <c r="D3776" s="81" t="s">
        <v>6321</v>
      </c>
      <c r="E3776" s="9" t="s">
        <v>6322</v>
      </c>
      <c r="F3776" s="8"/>
    </row>
    <row r="3777" ht="21.0" customHeight="1">
      <c r="A3777" s="6">
        <v>1.0</v>
      </c>
      <c r="B3777" s="6">
        <v>278.0</v>
      </c>
      <c r="C3777" s="6">
        <v>13.0</v>
      </c>
      <c r="D3777" s="81" t="s">
        <v>6323</v>
      </c>
      <c r="E3777" s="9" t="s">
        <v>6324</v>
      </c>
      <c r="F3777" s="8"/>
    </row>
    <row r="3778" ht="21.0" customHeight="1">
      <c r="A3778" s="6">
        <v>1.0</v>
      </c>
      <c r="B3778" s="6">
        <v>279.0</v>
      </c>
      <c r="C3778" s="6">
        <v>1.0</v>
      </c>
      <c r="D3778" s="81" t="s">
        <v>6325</v>
      </c>
      <c r="E3778" s="9" t="s">
        <v>6326</v>
      </c>
      <c r="F3778" s="8"/>
    </row>
    <row r="3779" ht="21.0" customHeight="1">
      <c r="A3779" s="6">
        <v>1.0</v>
      </c>
      <c r="B3779" s="6">
        <v>279.0</v>
      </c>
      <c r="C3779" s="6">
        <v>2.0</v>
      </c>
      <c r="D3779" s="81" t="s">
        <v>6327</v>
      </c>
      <c r="E3779" s="9" t="s">
        <v>6328</v>
      </c>
      <c r="F3779" s="8"/>
    </row>
    <row r="3780" ht="21.0" customHeight="1">
      <c r="A3780" s="6">
        <v>1.0</v>
      </c>
      <c r="B3780" s="6">
        <v>279.0</v>
      </c>
      <c r="C3780" s="6">
        <v>3.0</v>
      </c>
      <c r="D3780" s="81" t="s">
        <v>6329</v>
      </c>
      <c r="E3780" s="9" t="s">
        <v>6330</v>
      </c>
      <c r="F3780" s="8"/>
    </row>
    <row r="3781" ht="21.0" customHeight="1">
      <c r="A3781" s="6">
        <v>1.0</v>
      </c>
      <c r="B3781" s="6">
        <v>279.0</v>
      </c>
      <c r="C3781" s="6">
        <v>4.0</v>
      </c>
      <c r="D3781" s="82" t="s">
        <v>6331</v>
      </c>
      <c r="E3781" s="9" t="s">
        <v>6332</v>
      </c>
      <c r="F3781" s="8"/>
    </row>
    <row r="3782" ht="21.0" customHeight="1">
      <c r="A3782" s="6">
        <v>1.0</v>
      </c>
      <c r="B3782" s="6">
        <v>279.0</v>
      </c>
      <c r="C3782" s="6">
        <v>5.0</v>
      </c>
      <c r="D3782" s="83" t="s">
        <v>6333</v>
      </c>
      <c r="E3782" s="9" t="s">
        <v>6334</v>
      </c>
      <c r="F3782" s="8"/>
    </row>
    <row r="3783" ht="21.0" customHeight="1">
      <c r="A3783" s="6">
        <v>1.0</v>
      </c>
      <c r="B3783" s="6">
        <v>279.0</v>
      </c>
      <c r="C3783" s="6">
        <v>6.0</v>
      </c>
      <c r="D3783" s="82" t="s">
        <v>6335</v>
      </c>
      <c r="E3783" s="9" t="s">
        <v>6336</v>
      </c>
      <c r="F3783" s="8"/>
    </row>
    <row r="3784" ht="21.0" customHeight="1">
      <c r="A3784" s="6">
        <v>1.0</v>
      </c>
      <c r="B3784" s="6">
        <v>279.0</v>
      </c>
      <c r="C3784" s="6">
        <v>7.0</v>
      </c>
      <c r="D3784" s="81" t="s">
        <v>6337</v>
      </c>
      <c r="E3784" s="9" t="s">
        <v>6338</v>
      </c>
      <c r="F3784" s="8"/>
    </row>
    <row r="3785" ht="21.0" customHeight="1">
      <c r="A3785" s="6">
        <v>1.0</v>
      </c>
      <c r="B3785" s="6">
        <v>279.0</v>
      </c>
      <c r="C3785" s="6">
        <v>8.0</v>
      </c>
      <c r="D3785" s="83" t="s">
        <v>6339</v>
      </c>
      <c r="E3785" s="9" t="s">
        <v>6340</v>
      </c>
      <c r="F3785" s="8"/>
    </row>
    <row r="3786" ht="21.0" customHeight="1">
      <c r="A3786" s="6">
        <v>1.0</v>
      </c>
      <c r="B3786" s="6">
        <v>279.0</v>
      </c>
      <c r="C3786" s="6">
        <v>9.0</v>
      </c>
      <c r="D3786" s="81" t="s">
        <v>6341</v>
      </c>
      <c r="E3786" s="9" t="s">
        <v>6342</v>
      </c>
      <c r="F3786" s="8"/>
    </row>
    <row r="3787" ht="21.0" customHeight="1">
      <c r="A3787" s="6">
        <v>1.0</v>
      </c>
      <c r="B3787" s="6">
        <v>279.0</v>
      </c>
      <c r="C3787" s="6">
        <v>10.0</v>
      </c>
      <c r="D3787" s="81" t="s">
        <v>6343</v>
      </c>
      <c r="E3787" s="9" t="s">
        <v>6344</v>
      </c>
      <c r="F3787" s="8"/>
    </row>
    <row r="3788" ht="21.0" customHeight="1">
      <c r="A3788" s="6">
        <v>1.0</v>
      </c>
      <c r="B3788" s="6">
        <v>279.0</v>
      </c>
      <c r="C3788" s="6">
        <v>11.0</v>
      </c>
      <c r="D3788" s="81" t="s">
        <v>6345</v>
      </c>
      <c r="E3788" s="9" t="s">
        <v>6346</v>
      </c>
      <c r="F3788" s="8"/>
    </row>
    <row r="3789" ht="21.0" customHeight="1">
      <c r="A3789" s="6">
        <v>1.0</v>
      </c>
      <c r="B3789" s="6">
        <v>279.0</v>
      </c>
      <c r="C3789" s="6">
        <v>12.0</v>
      </c>
      <c r="D3789" s="83" t="s">
        <v>6347</v>
      </c>
      <c r="E3789" s="9" t="s">
        <v>6348</v>
      </c>
      <c r="F3789" s="8"/>
    </row>
    <row r="3790" ht="21.0" customHeight="1">
      <c r="A3790" s="6">
        <v>1.0</v>
      </c>
      <c r="B3790" s="6">
        <v>279.0</v>
      </c>
      <c r="C3790" s="6">
        <v>13.0</v>
      </c>
      <c r="D3790" s="83" t="s">
        <v>6349</v>
      </c>
      <c r="E3790" s="9" t="s">
        <v>6350</v>
      </c>
      <c r="F3790" s="8"/>
    </row>
    <row r="3791" ht="21.0" customHeight="1">
      <c r="A3791" s="6">
        <v>1.0</v>
      </c>
      <c r="B3791" s="6">
        <v>280.0</v>
      </c>
      <c r="C3791" s="6">
        <v>1.0</v>
      </c>
      <c r="D3791" s="84" t="s">
        <v>6351</v>
      </c>
      <c r="E3791" s="9" t="s">
        <v>6352</v>
      </c>
      <c r="F3791" s="8"/>
    </row>
    <row r="3792" ht="21.0" customHeight="1">
      <c r="A3792" s="6">
        <v>1.0</v>
      </c>
      <c r="B3792" s="6">
        <v>280.0</v>
      </c>
      <c r="C3792" s="6">
        <v>2.0</v>
      </c>
      <c r="D3792" s="67" t="s">
        <v>6353</v>
      </c>
      <c r="E3792" s="9" t="s">
        <v>6354</v>
      </c>
      <c r="F3792" s="8"/>
    </row>
    <row r="3793" ht="21.0" customHeight="1">
      <c r="A3793" s="6">
        <v>1.0</v>
      </c>
      <c r="B3793" s="6">
        <v>280.0</v>
      </c>
      <c r="C3793" s="6">
        <v>3.0</v>
      </c>
      <c r="D3793" s="80" t="s">
        <v>6355</v>
      </c>
      <c r="E3793" s="9" t="s">
        <v>6356</v>
      </c>
      <c r="F3793" s="8"/>
    </row>
    <row r="3794" ht="21.0" customHeight="1">
      <c r="A3794" s="6">
        <v>1.0</v>
      </c>
      <c r="B3794" s="6">
        <v>280.0</v>
      </c>
      <c r="C3794" s="6">
        <v>4.0</v>
      </c>
      <c r="D3794" s="80" t="s">
        <v>6357</v>
      </c>
      <c r="E3794" s="9" t="s">
        <v>6358</v>
      </c>
      <c r="F3794" s="8"/>
    </row>
    <row r="3795" ht="21.0" customHeight="1">
      <c r="A3795" s="6">
        <v>1.0</v>
      </c>
      <c r="B3795" s="6">
        <v>280.0</v>
      </c>
      <c r="C3795" s="6">
        <v>5.0</v>
      </c>
      <c r="D3795" s="81" t="s">
        <v>6359</v>
      </c>
      <c r="E3795" s="9" t="s">
        <v>6360</v>
      </c>
      <c r="F3795" s="8"/>
    </row>
    <row r="3796" ht="21.0" customHeight="1">
      <c r="A3796" s="6">
        <v>1.0</v>
      </c>
      <c r="B3796" s="6">
        <v>280.0</v>
      </c>
      <c r="C3796" s="6">
        <v>6.0</v>
      </c>
      <c r="D3796" s="81" t="s">
        <v>6361</v>
      </c>
      <c r="E3796" s="9" t="s">
        <v>6362</v>
      </c>
      <c r="F3796" s="8"/>
    </row>
    <row r="3797" ht="21.0" customHeight="1">
      <c r="A3797" s="6">
        <v>1.0</v>
      </c>
      <c r="B3797" s="6">
        <v>280.0</v>
      </c>
      <c r="C3797" s="6">
        <v>7.0</v>
      </c>
      <c r="D3797" s="67" t="s">
        <v>6363</v>
      </c>
      <c r="E3797" s="9" t="s">
        <v>6364</v>
      </c>
      <c r="F3797" s="8"/>
    </row>
    <row r="3798" ht="21.0" customHeight="1">
      <c r="A3798" s="6">
        <v>1.0</v>
      </c>
      <c r="B3798" s="6">
        <v>280.0</v>
      </c>
      <c r="C3798" s="6">
        <v>8.0</v>
      </c>
      <c r="D3798" s="81" t="s">
        <v>6365</v>
      </c>
      <c r="E3798" s="9" t="s">
        <v>6366</v>
      </c>
      <c r="F3798" s="8"/>
    </row>
    <row r="3799" ht="21.0" customHeight="1">
      <c r="A3799" s="6">
        <v>1.0</v>
      </c>
      <c r="B3799" s="6">
        <v>280.0</v>
      </c>
      <c r="C3799" s="6">
        <v>9.0</v>
      </c>
      <c r="D3799" s="67" t="s">
        <v>6367</v>
      </c>
      <c r="E3799" s="9" t="s">
        <v>6368</v>
      </c>
      <c r="F3799" s="8"/>
    </row>
    <row r="3800" ht="21.0" customHeight="1">
      <c r="A3800" s="6">
        <v>1.0</v>
      </c>
      <c r="B3800" s="6">
        <v>280.0</v>
      </c>
      <c r="C3800" s="6">
        <v>10.0</v>
      </c>
      <c r="D3800" s="81" t="s">
        <v>6369</v>
      </c>
      <c r="E3800" s="9" t="s">
        <v>6370</v>
      </c>
      <c r="F3800" s="8"/>
    </row>
    <row r="3801" ht="21.0" customHeight="1">
      <c r="A3801" s="6">
        <v>1.0</v>
      </c>
      <c r="B3801" s="6">
        <v>280.0</v>
      </c>
      <c r="C3801" s="6">
        <v>11.0</v>
      </c>
      <c r="D3801" s="80" t="s">
        <v>6371</v>
      </c>
      <c r="E3801" s="9" t="s">
        <v>6372</v>
      </c>
      <c r="F3801" s="8"/>
    </row>
    <row r="3802" ht="21.0" customHeight="1">
      <c r="A3802" s="6">
        <v>1.0</v>
      </c>
      <c r="B3802" s="6">
        <v>280.0</v>
      </c>
      <c r="C3802" s="6">
        <v>12.0</v>
      </c>
      <c r="D3802" s="81" t="s">
        <v>6373</v>
      </c>
      <c r="E3802" s="9" t="s">
        <v>6374</v>
      </c>
      <c r="F3802" s="8"/>
    </row>
    <row r="3803" ht="21.0" customHeight="1">
      <c r="A3803" s="6">
        <v>1.0</v>
      </c>
      <c r="B3803" s="6">
        <v>280.0</v>
      </c>
      <c r="C3803" s="6">
        <v>13.0</v>
      </c>
      <c r="D3803" s="81" t="s">
        <v>6375</v>
      </c>
      <c r="E3803" s="9" t="s">
        <v>6376</v>
      </c>
      <c r="F3803" s="8"/>
    </row>
    <row r="3804" ht="21.0" customHeight="1">
      <c r="A3804" s="6">
        <v>11.0</v>
      </c>
      <c r="B3804" s="6">
        <v>1090.0</v>
      </c>
      <c r="C3804" s="6">
        <v>1.0</v>
      </c>
      <c r="D3804" s="85" t="s">
        <v>6377</v>
      </c>
      <c r="E3804" s="9" t="s">
        <v>6378</v>
      </c>
      <c r="F3804" s="8"/>
    </row>
    <row r="3805" ht="21.0" customHeight="1">
      <c r="A3805" s="6">
        <v>11.0</v>
      </c>
      <c r="B3805" s="6">
        <v>1090.0</v>
      </c>
      <c r="C3805" s="6">
        <v>2.0</v>
      </c>
      <c r="D3805" s="85" t="s">
        <v>6379</v>
      </c>
      <c r="E3805" s="9" t="s">
        <v>6380</v>
      </c>
      <c r="F3805" s="8"/>
    </row>
    <row r="3806" ht="21.0" customHeight="1">
      <c r="A3806" s="6">
        <v>11.0</v>
      </c>
      <c r="B3806" s="6">
        <v>1090.0</v>
      </c>
      <c r="C3806" s="6">
        <v>3.0</v>
      </c>
      <c r="D3806" s="85" t="s">
        <v>6381</v>
      </c>
      <c r="E3806" s="9" t="s">
        <v>6382</v>
      </c>
      <c r="F3806" s="8"/>
    </row>
    <row r="3807" ht="21.0" customHeight="1">
      <c r="A3807" s="6">
        <v>11.0</v>
      </c>
      <c r="B3807" s="6">
        <v>1090.0</v>
      </c>
      <c r="C3807" s="6">
        <v>4.0</v>
      </c>
      <c r="D3807" s="67" t="s">
        <v>6383</v>
      </c>
      <c r="E3807" s="9" t="s">
        <v>6384</v>
      </c>
      <c r="F3807" s="8"/>
    </row>
    <row r="3808" ht="21.0" customHeight="1">
      <c r="A3808" s="6">
        <v>10.0</v>
      </c>
      <c r="B3808" s="6">
        <v>1090.0</v>
      </c>
      <c r="C3808" s="6">
        <v>5.0</v>
      </c>
      <c r="D3808" s="67" t="s">
        <v>6385</v>
      </c>
      <c r="E3808" s="9" t="s">
        <v>6386</v>
      </c>
      <c r="F3808" s="8"/>
    </row>
    <row r="3809" ht="21.0" customHeight="1">
      <c r="A3809" s="6">
        <v>10.0</v>
      </c>
      <c r="B3809" s="6">
        <v>1090.0</v>
      </c>
      <c r="C3809" s="6">
        <v>6.0</v>
      </c>
      <c r="D3809" s="67" t="s">
        <v>6387</v>
      </c>
      <c r="E3809" s="9" t="s">
        <v>6388</v>
      </c>
      <c r="F3809" s="8"/>
    </row>
    <row r="3810" ht="21.0" customHeight="1">
      <c r="A3810" s="6">
        <v>10.0</v>
      </c>
      <c r="B3810" s="6">
        <v>1090.0</v>
      </c>
      <c r="C3810" s="6">
        <v>7.0</v>
      </c>
      <c r="D3810" s="67" t="s">
        <v>6389</v>
      </c>
      <c r="E3810" s="9" t="s">
        <v>6390</v>
      </c>
      <c r="F3810" s="8"/>
    </row>
    <row r="3811" ht="21.0" customHeight="1">
      <c r="A3811" s="6">
        <v>10.0</v>
      </c>
      <c r="B3811" s="6">
        <v>1090.0</v>
      </c>
      <c r="C3811" s="6">
        <v>8.0</v>
      </c>
      <c r="D3811" s="67" t="s">
        <v>6391</v>
      </c>
      <c r="E3811" s="9" t="s">
        <v>6392</v>
      </c>
      <c r="F3811" s="8"/>
    </row>
    <row r="3812" ht="21.0" customHeight="1">
      <c r="A3812" s="6">
        <v>10.0</v>
      </c>
      <c r="B3812" s="6">
        <v>1090.0</v>
      </c>
      <c r="C3812" s="6">
        <v>9.0</v>
      </c>
      <c r="D3812" s="67" t="s">
        <v>6393</v>
      </c>
      <c r="E3812" s="9" t="s">
        <v>6394</v>
      </c>
      <c r="F3812" s="8"/>
    </row>
    <row r="3813" ht="21.0" customHeight="1">
      <c r="A3813" s="6">
        <v>10.0</v>
      </c>
      <c r="B3813" s="6">
        <v>1090.0</v>
      </c>
      <c r="C3813" s="6">
        <v>10.0</v>
      </c>
      <c r="D3813" s="67" t="s">
        <v>6395</v>
      </c>
      <c r="E3813" s="9" t="s">
        <v>6396</v>
      </c>
      <c r="F3813" s="8"/>
    </row>
    <row r="3814" ht="21.0" customHeight="1">
      <c r="A3814" s="6">
        <v>11.0</v>
      </c>
      <c r="B3814" s="6">
        <v>1091.0</v>
      </c>
      <c r="C3814" s="6">
        <v>1.0</v>
      </c>
      <c r="D3814" s="85" t="s">
        <v>6397</v>
      </c>
      <c r="E3814" s="9" t="s">
        <v>6398</v>
      </c>
      <c r="F3814" s="8"/>
    </row>
    <row r="3815" ht="21.0" customHeight="1">
      <c r="A3815" s="6">
        <v>11.0</v>
      </c>
      <c r="B3815" s="6">
        <v>1091.0</v>
      </c>
      <c r="C3815" s="6">
        <v>2.0</v>
      </c>
      <c r="D3815" s="85" t="s">
        <v>6399</v>
      </c>
      <c r="E3815" s="9" t="s">
        <v>6400</v>
      </c>
      <c r="F3815" s="8"/>
    </row>
    <row r="3816" ht="21.0" customHeight="1">
      <c r="A3816" s="6">
        <v>11.0</v>
      </c>
      <c r="B3816" s="6">
        <v>1091.0</v>
      </c>
      <c r="C3816" s="6">
        <v>3.0</v>
      </c>
      <c r="D3816" s="85" t="s">
        <v>6401</v>
      </c>
      <c r="E3816" s="9" t="s">
        <v>6402</v>
      </c>
      <c r="F3816" s="8"/>
    </row>
    <row r="3817" ht="21.0" customHeight="1">
      <c r="A3817" s="6">
        <v>11.0</v>
      </c>
      <c r="B3817" s="6">
        <v>1091.0</v>
      </c>
      <c r="C3817" s="6">
        <v>4.0</v>
      </c>
      <c r="D3817" s="67" t="s">
        <v>6403</v>
      </c>
      <c r="E3817" s="9" t="s">
        <v>6404</v>
      </c>
      <c r="F3817" s="8"/>
    </row>
    <row r="3818" ht="21.0" customHeight="1">
      <c r="A3818" s="6">
        <v>10.0</v>
      </c>
      <c r="B3818" s="6">
        <v>1091.0</v>
      </c>
      <c r="C3818" s="6">
        <v>5.0</v>
      </c>
      <c r="D3818" s="67" t="s">
        <v>6405</v>
      </c>
      <c r="E3818" s="9" t="s">
        <v>6406</v>
      </c>
      <c r="F3818" s="8"/>
    </row>
    <row r="3819" ht="21.0" customHeight="1">
      <c r="A3819" s="6">
        <v>10.0</v>
      </c>
      <c r="B3819" s="6">
        <v>1091.0</v>
      </c>
      <c r="C3819" s="6">
        <v>6.0</v>
      </c>
      <c r="D3819" s="67" t="s">
        <v>6407</v>
      </c>
      <c r="E3819" s="9" t="s">
        <v>6408</v>
      </c>
      <c r="F3819" s="8"/>
    </row>
    <row r="3820" ht="21.0" customHeight="1">
      <c r="A3820" s="6">
        <v>10.0</v>
      </c>
      <c r="B3820" s="6">
        <v>1091.0</v>
      </c>
      <c r="C3820" s="6">
        <v>7.0</v>
      </c>
      <c r="D3820" s="67" t="s">
        <v>6409</v>
      </c>
      <c r="E3820" s="9" t="s">
        <v>6410</v>
      </c>
      <c r="F3820" s="8"/>
    </row>
    <row r="3821" ht="21.0" customHeight="1">
      <c r="A3821" s="6">
        <v>10.0</v>
      </c>
      <c r="B3821" s="6">
        <v>1091.0</v>
      </c>
      <c r="C3821" s="6">
        <v>8.0</v>
      </c>
      <c r="D3821" s="67" t="s">
        <v>6411</v>
      </c>
      <c r="E3821" s="9" t="s">
        <v>6412</v>
      </c>
      <c r="F3821" s="8"/>
    </row>
    <row r="3822" ht="21.0" customHeight="1">
      <c r="A3822" s="6">
        <v>10.0</v>
      </c>
      <c r="B3822" s="6">
        <v>1091.0</v>
      </c>
      <c r="C3822" s="6">
        <v>9.0</v>
      </c>
      <c r="D3822" s="67" t="s">
        <v>6413</v>
      </c>
      <c r="E3822" s="9" t="s">
        <v>6414</v>
      </c>
      <c r="F3822" s="8"/>
    </row>
    <row r="3823" ht="21.0" customHeight="1">
      <c r="A3823" s="6">
        <v>10.0</v>
      </c>
      <c r="B3823" s="6">
        <v>1091.0</v>
      </c>
      <c r="C3823" s="6">
        <v>10.0</v>
      </c>
      <c r="D3823" s="67" t="s">
        <v>6415</v>
      </c>
      <c r="E3823" s="9" t="s">
        <v>6396</v>
      </c>
      <c r="F3823" s="8"/>
    </row>
    <row r="3824" ht="21.0" customHeight="1">
      <c r="A3824" s="6">
        <v>1.0</v>
      </c>
      <c r="B3824" s="6">
        <v>281.0</v>
      </c>
      <c r="C3824" s="6">
        <v>1.0</v>
      </c>
      <c r="D3824" s="85" t="s">
        <v>6416</v>
      </c>
      <c r="E3824" s="9" t="s">
        <v>6417</v>
      </c>
      <c r="F3824" s="8"/>
    </row>
    <row r="3825" ht="21.0" customHeight="1">
      <c r="A3825" s="6">
        <v>1.0</v>
      </c>
      <c r="B3825" s="6">
        <v>281.0</v>
      </c>
      <c r="C3825" s="6">
        <v>2.0</v>
      </c>
      <c r="D3825" s="85" t="s">
        <v>6418</v>
      </c>
      <c r="E3825" s="9" t="s">
        <v>6419</v>
      </c>
      <c r="F3825" s="8"/>
    </row>
    <row r="3826" ht="21.0" customHeight="1">
      <c r="A3826" s="6">
        <v>1.0</v>
      </c>
      <c r="B3826" s="6">
        <v>281.0</v>
      </c>
      <c r="C3826" s="6">
        <v>3.0</v>
      </c>
      <c r="D3826" s="85" t="s">
        <v>6420</v>
      </c>
      <c r="E3826" s="9" t="s">
        <v>6421</v>
      </c>
      <c r="F3826" s="8"/>
    </row>
    <row r="3827" ht="21.0" customHeight="1">
      <c r="A3827" s="6">
        <v>1.0</v>
      </c>
      <c r="B3827" s="6">
        <v>281.0</v>
      </c>
      <c r="C3827" s="6">
        <v>4.0</v>
      </c>
      <c r="D3827" s="86" t="s">
        <v>6422</v>
      </c>
      <c r="E3827" s="9" t="s">
        <v>6423</v>
      </c>
      <c r="F3827" s="8"/>
    </row>
    <row r="3828" ht="21.0" customHeight="1">
      <c r="A3828" s="6">
        <v>1.0</v>
      </c>
      <c r="B3828" s="6">
        <v>281.0</v>
      </c>
      <c r="C3828" s="6">
        <v>5.0</v>
      </c>
      <c r="D3828" s="85" t="s">
        <v>6424</v>
      </c>
      <c r="E3828" s="9" t="s">
        <v>6425</v>
      </c>
      <c r="F3828" s="8"/>
    </row>
    <row r="3829" ht="21.0" customHeight="1">
      <c r="A3829" s="6">
        <v>1.0</v>
      </c>
      <c r="B3829" s="6">
        <v>281.0</v>
      </c>
      <c r="C3829" s="6">
        <v>6.0</v>
      </c>
      <c r="D3829" s="85" t="s">
        <v>6426</v>
      </c>
      <c r="E3829" s="9" t="s">
        <v>6427</v>
      </c>
      <c r="F3829" s="8"/>
    </row>
    <row r="3830" ht="21.0" customHeight="1">
      <c r="A3830" s="6">
        <v>1.0</v>
      </c>
      <c r="B3830" s="6">
        <v>281.0</v>
      </c>
      <c r="C3830" s="6">
        <v>7.0</v>
      </c>
      <c r="D3830" s="67" t="s">
        <v>6428</v>
      </c>
      <c r="E3830" s="9" t="s">
        <v>6429</v>
      </c>
      <c r="F3830" s="8"/>
    </row>
    <row r="3831" ht="21.0" customHeight="1">
      <c r="A3831" s="6">
        <v>1.0</v>
      </c>
      <c r="B3831" s="6">
        <v>281.0</v>
      </c>
      <c r="C3831" s="6">
        <v>8.0</v>
      </c>
      <c r="D3831" s="67" t="s">
        <v>6430</v>
      </c>
      <c r="E3831" s="9" t="s">
        <v>6431</v>
      </c>
      <c r="F3831" s="8"/>
    </row>
    <row r="3832" ht="21.0" customHeight="1">
      <c r="A3832" s="6">
        <v>1.0</v>
      </c>
      <c r="B3832" s="6">
        <v>281.0</v>
      </c>
      <c r="C3832" s="6">
        <v>9.0</v>
      </c>
      <c r="D3832" s="85" t="s">
        <v>6432</v>
      </c>
      <c r="E3832" s="9" t="s">
        <v>6433</v>
      </c>
      <c r="F3832" s="8"/>
    </row>
    <row r="3833" ht="21.0" customHeight="1">
      <c r="A3833" s="6">
        <v>1.0</v>
      </c>
      <c r="B3833" s="6">
        <v>281.0</v>
      </c>
      <c r="C3833" s="6">
        <v>10.0</v>
      </c>
      <c r="D3833" s="85" t="s">
        <v>6434</v>
      </c>
      <c r="E3833" s="9" t="s">
        <v>6435</v>
      </c>
      <c r="F3833" s="8"/>
    </row>
    <row r="3834" ht="21.0" customHeight="1">
      <c r="A3834" s="6">
        <v>1.0</v>
      </c>
      <c r="B3834" s="6">
        <v>281.0</v>
      </c>
      <c r="C3834" s="6">
        <v>11.0</v>
      </c>
      <c r="D3834" s="85" t="s">
        <v>6436</v>
      </c>
      <c r="E3834" s="9" t="s">
        <v>6437</v>
      </c>
      <c r="F3834" s="8"/>
    </row>
    <row r="3835" ht="21.0" customHeight="1">
      <c r="A3835" s="6">
        <v>1.0</v>
      </c>
      <c r="B3835" s="6">
        <v>281.0</v>
      </c>
      <c r="C3835" s="6">
        <v>12.0</v>
      </c>
      <c r="D3835" s="85" t="s">
        <v>6438</v>
      </c>
      <c r="E3835" s="9" t="s">
        <v>6439</v>
      </c>
      <c r="F3835" s="8"/>
    </row>
    <row r="3836" ht="21.0" customHeight="1">
      <c r="A3836" s="6">
        <v>1.0</v>
      </c>
      <c r="B3836" s="6">
        <v>281.0</v>
      </c>
      <c r="C3836" s="6">
        <v>13.0</v>
      </c>
      <c r="D3836" s="67" t="s">
        <v>6440</v>
      </c>
      <c r="E3836" s="9" t="s">
        <v>6441</v>
      </c>
      <c r="F3836" s="8"/>
    </row>
    <row r="3837" ht="21.0" customHeight="1">
      <c r="A3837" s="6">
        <v>1.0</v>
      </c>
      <c r="B3837" s="6">
        <v>282.0</v>
      </c>
      <c r="C3837" s="6">
        <v>1.0</v>
      </c>
      <c r="D3837" s="85" t="s">
        <v>6442</v>
      </c>
      <c r="E3837" s="9" t="s">
        <v>6443</v>
      </c>
      <c r="F3837" s="8"/>
    </row>
    <row r="3838" ht="21.0" customHeight="1">
      <c r="A3838" s="6">
        <v>1.0</v>
      </c>
      <c r="B3838" s="6">
        <v>282.0</v>
      </c>
      <c r="C3838" s="6">
        <v>2.0</v>
      </c>
      <c r="D3838" s="85" t="s">
        <v>6444</v>
      </c>
      <c r="E3838" s="9" t="s">
        <v>6445</v>
      </c>
      <c r="F3838" s="8"/>
    </row>
    <row r="3839" ht="21.0" customHeight="1">
      <c r="A3839" s="6">
        <v>1.0</v>
      </c>
      <c r="B3839" s="6">
        <v>282.0</v>
      </c>
      <c r="C3839" s="6">
        <v>3.0</v>
      </c>
      <c r="D3839" s="85" t="s">
        <v>6446</v>
      </c>
      <c r="E3839" s="9" t="s">
        <v>6447</v>
      </c>
      <c r="F3839" s="8"/>
    </row>
    <row r="3840" ht="21.0" customHeight="1">
      <c r="A3840" s="6">
        <v>1.0</v>
      </c>
      <c r="B3840" s="6">
        <v>282.0</v>
      </c>
      <c r="C3840" s="6">
        <v>4.0</v>
      </c>
      <c r="D3840" s="86" t="s">
        <v>6448</v>
      </c>
      <c r="E3840" s="9" t="s">
        <v>6449</v>
      </c>
      <c r="F3840" s="8"/>
    </row>
    <row r="3841" ht="21.0" customHeight="1">
      <c r="A3841" s="6">
        <v>1.0</v>
      </c>
      <c r="B3841" s="6">
        <v>282.0</v>
      </c>
      <c r="C3841" s="6">
        <v>5.0</v>
      </c>
      <c r="D3841" s="87" t="s">
        <v>6450</v>
      </c>
      <c r="E3841" s="9" t="s">
        <v>6451</v>
      </c>
      <c r="F3841" s="8"/>
    </row>
    <row r="3842" ht="21.0" customHeight="1">
      <c r="A3842" s="6">
        <v>1.0</v>
      </c>
      <c r="B3842" s="6">
        <v>282.0</v>
      </c>
      <c r="C3842" s="6">
        <v>6.0</v>
      </c>
      <c r="D3842" s="86" t="s">
        <v>6452</v>
      </c>
      <c r="E3842" s="9" t="s">
        <v>6453</v>
      </c>
      <c r="F3842" s="8"/>
    </row>
    <row r="3843" ht="21.0" customHeight="1">
      <c r="A3843" s="6">
        <v>1.0</v>
      </c>
      <c r="B3843" s="6">
        <v>282.0</v>
      </c>
      <c r="C3843" s="6">
        <v>7.0</v>
      </c>
      <c r="D3843" s="86" t="s">
        <v>6454</v>
      </c>
      <c r="E3843" s="9" t="s">
        <v>6455</v>
      </c>
      <c r="F3843" s="8"/>
    </row>
    <row r="3844" ht="21.0" customHeight="1">
      <c r="A3844" s="6">
        <v>1.0</v>
      </c>
      <c r="B3844" s="6">
        <v>282.0</v>
      </c>
      <c r="C3844" s="6">
        <v>8.0</v>
      </c>
      <c r="D3844" s="86" t="s">
        <v>6456</v>
      </c>
      <c r="E3844" s="9" t="s">
        <v>6457</v>
      </c>
      <c r="F3844" s="8"/>
    </row>
    <row r="3845" ht="21.0" customHeight="1">
      <c r="A3845" s="6">
        <v>1.0</v>
      </c>
      <c r="B3845" s="6">
        <v>282.0</v>
      </c>
      <c r="C3845" s="6">
        <v>9.0</v>
      </c>
      <c r="D3845" s="87" t="s">
        <v>6458</v>
      </c>
      <c r="E3845" s="9" t="s">
        <v>6459</v>
      </c>
      <c r="F3845" s="8"/>
    </row>
    <row r="3846" ht="21.0" customHeight="1">
      <c r="A3846" s="6">
        <v>1.0</v>
      </c>
      <c r="B3846" s="6">
        <v>282.0</v>
      </c>
      <c r="C3846" s="6">
        <v>10.0</v>
      </c>
      <c r="D3846" s="87" t="s">
        <v>6460</v>
      </c>
      <c r="E3846" s="9" t="s">
        <v>6461</v>
      </c>
      <c r="F3846" s="8"/>
    </row>
    <row r="3847" ht="21.0" customHeight="1">
      <c r="A3847" s="6">
        <v>1.0</v>
      </c>
      <c r="B3847" s="6">
        <v>282.0</v>
      </c>
      <c r="C3847" s="6">
        <v>11.0</v>
      </c>
      <c r="D3847" s="88" t="s">
        <v>6462</v>
      </c>
      <c r="E3847" s="9" t="s">
        <v>6463</v>
      </c>
      <c r="F3847" s="8"/>
    </row>
    <row r="3848" ht="21.0" customHeight="1">
      <c r="A3848" s="6">
        <v>1.0</v>
      </c>
      <c r="B3848" s="6">
        <v>282.0</v>
      </c>
      <c r="C3848" s="6">
        <v>12.0</v>
      </c>
      <c r="D3848" s="86" t="s">
        <v>6464</v>
      </c>
      <c r="E3848" s="9" t="s">
        <v>6465</v>
      </c>
      <c r="F3848" s="8"/>
    </row>
    <row r="3849" ht="21.0" customHeight="1">
      <c r="A3849" s="6">
        <v>1.0</v>
      </c>
      <c r="B3849" s="6">
        <v>282.0</v>
      </c>
      <c r="C3849" s="6">
        <v>13.0</v>
      </c>
      <c r="D3849" s="86" t="s">
        <v>6466</v>
      </c>
      <c r="E3849" s="9" t="s">
        <v>6467</v>
      </c>
      <c r="F3849" s="8"/>
    </row>
    <row r="3850" ht="21.0" customHeight="1">
      <c r="A3850" s="6">
        <v>1.0</v>
      </c>
      <c r="B3850" s="6">
        <v>283.0</v>
      </c>
      <c r="C3850" s="6">
        <v>1.0</v>
      </c>
      <c r="D3850" s="85" t="s">
        <v>6468</v>
      </c>
      <c r="E3850" s="9" t="s">
        <v>6469</v>
      </c>
      <c r="F3850" s="8"/>
    </row>
    <row r="3851" ht="21.0" customHeight="1">
      <c r="A3851" s="6">
        <v>1.0</v>
      </c>
      <c r="B3851" s="6">
        <v>283.0</v>
      </c>
      <c r="C3851" s="6">
        <v>2.0</v>
      </c>
      <c r="D3851" s="67" t="s">
        <v>6470</v>
      </c>
      <c r="E3851" s="9" t="s">
        <v>6471</v>
      </c>
      <c r="F3851" s="8"/>
    </row>
    <row r="3852" ht="21.0" customHeight="1">
      <c r="A3852" s="6">
        <v>1.0</v>
      </c>
      <c r="B3852" s="6">
        <v>283.0</v>
      </c>
      <c r="C3852" s="6">
        <v>3.0</v>
      </c>
      <c r="D3852" s="85" t="s">
        <v>6472</v>
      </c>
      <c r="E3852" s="9" t="s">
        <v>6473</v>
      </c>
      <c r="F3852" s="8"/>
    </row>
    <row r="3853" ht="21.0" customHeight="1">
      <c r="A3853" s="6">
        <v>1.0</v>
      </c>
      <c r="B3853" s="6">
        <v>283.0</v>
      </c>
      <c r="C3853" s="6">
        <v>4.0</v>
      </c>
      <c r="D3853" s="67" t="s">
        <v>6474</v>
      </c>
      <c r="E3853" s="9" t="s">
        <v>6475</v>
      </c>
      <c r="F3853" s="8"/>
    </row>
    <row r="3854" ht="21.0" customHeight="1">
      <c r="A3854" s="6">
        <v>1.0</v>
      </c>
      <c r="B3854" s="6">
        <v>283.0</v>
      </c>
      <c r="C3854" s="6">
        <v>5.0</v>
      </c>
      <c r="D3854" s="85" t="s">
        <v>6476</v>
      </c>
      <c r="E3854" s="9" t="s">
        <v>6477</v>
      </c>
      <c r="F3854" s="8"/>
    </row>
    <row r="3855" ht="21.0" customHeight="1">
      <c r="A3855" s="6">
        <v>1.0</v>
      </c>
      <c r="B3855" s="6">
        <v>283.0</v>
      </c>
      <c r="C3855" s="6">
        <v>6.0</v>
      </c>
      <c r="D3855" s="85" t="s">
        <v>6478</v>
      </c>
      <c r="E3855" s="9" t="s">
        <v>6479</v>
      </c>
      <c r="F3855" s="8"/>
    </row>
    <row r="3856" ht="21.0" customHeight="1">
      <c r="A3856" s="6">
        <v>1.0</v>
      </c>
      <c r="B3856" s="6">
        <v>283.0</v>
      </c>
      <c r="C3856" s="6">
        <v>7.0</v>
      </c>
      <c r="D3856" s="67" t="s">
        <v>6480</v>
      </c>
      <c r="E3856" s="9" t="s">
        <v>6481</v>
      </c>
      <c r="F3856" s="8"/>
    </row>
    <row r="3857" ht="21.0" customHeight="1">
      <c r="A3857" s="6">
        <v>1.0</v>
      </c>
      <c r="B3857" s="6">
        <v>283.0</v>
      </c>
      <c r="C3857" s="6">
        <v>8.0</v>
      </c>
      <c r="D3857" s="85" t="s">
        <v>6482</v>
      </c>
      <c r="E3857" s="9" t="s">
        <v>6483</v>
      </c>
      <c r="F3857" s="8"/>
    </row>
    <row r="3858" ht="21.0" customHeight="1">
      <c r="A3858" s="6">
        <v>1.0</v>
      </c>
      <c r="B3858" s="6">
        <v>283.0</v>
      </c>
      <c r="C3858" s="6">
        <v>9.0</v>
      </c>
      <c r="D3858" s="89" t="s">
        <v>6484</v>
      </c>
      <c r="E3858" s="9" t="s">
        <v>6485</v>
      </c>
      <c r="F3858" s="8"/>
    </row>
    <row r="3859" ht="21.0" customHeight="1">
      <c r="A3859" s="6">
        <v>1.0</v>
      </c>
      <c r="B3859" s="6">
        <v>283.0</v>
      </c>
      <c r="C3859" s="6">
        <v>10.0</v>
      </c>
      <c r="D3859" s="67" t="s">
        <v>6486</v>
      </c>
      <c r="E3859" s="9" t="s">
        <v>6487</v>
      </c>
      <c r="F3859" s="8"/>
    </row>
    <row r="3860" ht="21.0" customHeight="1">
      <c r="A3860" s="6">
        <v>1.0</v>
      </c>
      <c r="B3860" s="6">
        <v>283.0</v>
      </c>
      <c r="C3860" s="6">
        <v>11.0</v>
      </c>
      <c r="D3860" s="67" t="s">
        <v>6488</v>
      </c>
      <c r="E3860" s="9" t="s">
        <v>6489</v>
      </c>
      <c r="F3860" s="8"/>
    </row>
    <row r="3861" ht="21.0" customHeight="1">
      <c r="A3861" s="6">
        <v>1.0</v>
      </c>
      <c r="B3861" s="6">
        <v>283.0</v>
      </c>
      <c r="C3861" s="6">
        <v>12.0</v>
      </c>
      <c r="D3861" s="67" t="s">
        <v>6490</v>
      </c>
      <c r="E3861" s="9" t="s">
        <v>6491</v>
      </c>
      <c r="F3861" s="8"/>
    </row>
    <row r="3862" ht="21.0" customHeight="1">
      <c r="A3862" s="6">
        <v>1.0</v>
      </c>
      <c r="B3862" s="6">
        <v>283.0</v>
      </c>
      <c r="C3862" s="6">
        <v>13.0</v>
      </c>
      <c r="D3862" s="85" t="s">
        <v>6492</v>
      </c>
      <c r="E3862" s="9" t="s">
        <v>6493</v>
      </c>
      <c r="F3862" s="8"/>
    </row>
    <row r="3863" ht="21.0" customHeight="1">
      <c r="A3863" s="6">
        <v>11.0</v>
      </c>
      <c r="B3863" s="6">
        <v>1092.0</v>
      </c>
      <c r="C3863" s="6">
        <v>1.0</v>
      </c>
      <c r="D3863" s="90" t="s">
        <v>6494</v>
      </c>
      <c r="E3863" s="9" t="s">
        <v>6495</v>
      </c>
      <c r="F3863" s="8"/>
    </row>
    <row r="3864" ht="21.0" customHeight="1">
      <c r="A3864" s="6">
        <v>11.0</v>
      </c>
      <c r="B3864" s="6">
        <v>1092.0</v>
      </c>
      <c r="C3864" s="6">
        <v>2.0</v>
      </c>
      <c r="D3864" s="81" t="s">
        <v>411</v>
      </c>
      <c r="E3864" s="9" t="s">
        <v>6496</v>
      </c>
      <c r="F3864" s="8"/>
    </row>
    <row r="3865" ht="21.0" customHeight="1">
      <c r="A3865" s="6">
        <v>11.0</v>
      </c>
      <c r="B3865" s="6">
        <v>1092.0</v>
      </c>
      <c r="C3865" s="6">
        <v>3.0</v>
      </c>
      <c r="D3865" s="85" t="s">
        <v>6497</v>
      </c>
      <c r="E3865" s="9" t="s">
        <v>6498</v>
      </c>
      <c r="F3865" s="8"/>
    </row>
    <row r="3866" ht="21.0" customHeight="1">
      <c r="A3866" s="6">
        <v>11.0</v>
      </c>
      <c r="B3866" s="6">
        <v>1092.0</v>
      </c>
      <c r="C3866" s="6">
        <v>4.0</v>
      </c>
      <c r="D3866" s="91" t="s">
        <v>6499</v>
      </c>
      <c r="E3866" s="9" t="s">
        <v>6500</v>
      </c>
      <c r="F3866" s="8"/>
    </row>
    <row r="3867" ht="21.0" customHeight="1">
      <c r="A3867" s="6">
        <v>10.0</v>
      </c>
      <c r="B3867" s="6">
        <v>1092.0</v>
      </c>
      <c r="C3867" s="6">
        <v>5.0</v>
      </c>
      <c r="D3867" s="85" t="s">
        <v>6501</v>
      </c>
      <c r="E3867" s="9" t="s">
        <v>6502</v>
      </c>
      <c r="F3867" s="8"/>
    </row>
    <row r="3868" ht="21.0" customHeight="1">
      <c r="A3868" s="6">
        <v>10.0</v>
      </c>
      <c r="B3868" s="6">
        <v>1092.0</v>
      </c>
      <c r="C3868" s="6">
        <v>6.0</v>
      </c>
      <c r="D3868" s="85" t="s">
        <v>6503</v>
      </c>
      <c r="E3868" s="9" t="s">
        <v>6504</v>
      </c>
      <c r="F3868" s="8"/>
    </row>
    <row r="3869" ht="21.0" customHeight="1">
      <c r="A3869" s="6">
        <v>10.0</v>
      </c>
      <c r="B3869" s="6">
        <v>1092.0</v>
      </c>
      <c r="C3869" s="6">
        <v>7.0</v>
      </c>
      <c r="D3869" s="91" t="s">
        <v>6505</v>
      </c>
      <c r="E3869" s="9" t="s">
        <v>6506</v>
      </c>
      <c r="F3869" s="8"/>
    </row>
    <row r="3870" ht="21.0" customHeight="1">
      <c r="A3870" s="6">
        <v>10.0</v>
      </c>
      <c r="B3870" s="6">
        <v>1092.0</v>
      </c>
      <c r="C3870" s="6">
        <v>8.0</v>
      </c>
      <c r="D3870" s="85" t="s">
        <v>6507</v>
      </c>
      <c r="E3870" s="9" t="s">
        <v>6508</v>
      </c>
      <c r="F3870" s="8"/>
    </row>
    <row r="3871" ht="21.0" customHeight="1">
      <c r="A3871" s="6">
        <v>10.0</v>
      </c>
      <c r="B3871" s="6">
        <v>1092.0</v>
      </c>
      <c r="C3871" s="6">
        <v>9.0</v>
      </c>
      <c r="D3871" s="85" t="s">
        <v>6509</v>
      </c>
      <c r="E3871" s="9" t="s">
        <v>6510</v>
      </c>
      <c r="F3871" s="8"/>
    </row>
    <row r="3872" ht="21.0" customHeight="1">
      <c r="A3872" s="6">
        <v>10.0</v>
      </c>
      <c r="B3872" s="6">
        <v>1092.0</v>
      </c>
      <c r="C3872" s="6">
        <v>10.0</v>
      </c>
      <c r="D3872" s="85" t="s">
        <v>6511</v>
      </c>
      <c r="E3872" s="9" t="s">
        <v>6512</v>
      </c>
      <c r="F3872" s="8"/>
    </row>
    <row r="3873" ht="21.0" customHeight="1">
      <c r="A3873" s="6">
        <v>11.0</v>
      </c>
      <c r="B3873" s="6">
        <v>1093.0</v>
      </c>
      <c r="C3873" s="6">
        <v>1.0</v>
      </c>
      <c r="D3873" s="90" t="s">
        <v>6513</v>
      </c>
      <c r="E3873" s="9" t="s">
        <v>6514</v>
      </c>
      <c r="F3873" s="8"/>
    </row>
    <row r="3874" ht="21.0" customHeight="1">
      <c r="A3874" s="6">
        <v>11.0</v>
      </c>
      <c r="B3874" s="6">
        <v>1093.0</v>
      </c>
      <c r="C3874" s="6">
        <v>2.0</v>
      </c>
      <c r="D3874" s="81" t="s">
        <v>6515</v>
      </c>
      <c r="E3874" s="9" t="s">
        <v>6516</v>
      </c>
      <c r="F3874" s="8"/>
    </row>
    <row r="3875" ht="21.0" customHeight="1">
      <c r="A3875" s="6">
        <v>11.0</v>
      </c>
      <c r="B3875" s="6">
        <v>1093.0</v>
      </c>
      <c r="C3875" s="6">
        <v>3.0</v>
      </c>
      <c r="D3875" s="85" t="s">
        <v>6517</v>
      </c>
      <c r="E3875" s="9" t="s">
        <v>6518</v>
      </c>
      <c r="F3875" s="8"/>
    </row>
    <row r="3876" ht="21.0" customHeight="1">
      <c r="A3876" s="6">
        <v>11.0</v>
      </c>
      <c r="B3876" s="6">
        <v>1093.0</v>
      </c>
      <c r="C3876" s="6">
        <v>4.0</v>
      </c>
      <c r="D3876" s="91" t="s">
        <v>6519</v>
      </c>
      <c r="E3876" s="9" t="s">
        <v>6520</v>
      </c>
      <c r="F3876" s="8"/>
    </row>
    <row r="3877" ht="21.0" customHeight="1">
      <c r="A3877" s="6">
        <v>10.0</v>
      </c>
      <c r="B3877" s="6">
        <v>1093.0</v>
      </c>
      <c r="C3877" s="6">
        <v>5.0</v>
      </c>
      <c r="D3877" s="85" t="s">
        <v>6521</v>
      </c>
      <c r="E3877" s="9" t="s">
        <v>6522</v>
      </c>
      <c r="F3877" s="8"/>
    </row>
    <row r="3878" ht="21.0" customHeight="1">
      <c r="A3878" s="6">
        <v>10.0</v>
      </c>
      <c r="B3878" s="6">
        <v>1093.0</v>
      </c>
      <c r="C3878" s="6">
        <v>6.0</v>
      </c>
      <c r="D3878" s="85" t="s">
        <v>6523</v>
      </c>
      <c r="E3878" s="9" t="s">
        <v>6524</v>
      </c>
      <c r="F3878" s="8"/>
    </row>
    <row r="3879" ht="21.0" customHeight="1">
      <c r="A3879" s="6">
        <v>10.0</v>
      </c>
      <c r="B3879" s="6">
        <v>1093.0</v>
      </c>
      <c r="C3879" s="6">
        <v>7.0</v>
      </c>
      <c r="D3879" s="91" t="s">
        <v>6525</v>
      </c>
      <c r="E3879" s="9" t="s">
        <v>6526</v>
      </c>
      <c r="F3879" s="8"/>
    </row>
    <row r="3880" ht="21.0" customHeight="1">
      <c r="A3880" s="6">
        <v>10.0</v>
      </c>
      <c r="B3880" s="6">
        <v>1093.0</v>
      </c>
      <c r="C3880" s="6">
        <v>8.0</v>
      </c>
      <c r="D3880" s="85" t="s">
        <v>6527</v>
      </c>
      <c r="E3880" s="9" t="s">
        <v>6528</v>
      </c>
      <c r="F3880" s="8"/>
    </row>
    <row r="3881" ht="21.0" customHeight="1">
      <c r="A3881" s="6">
        <v>10.0</v>
      </c>
      <c r="B3881" s="6">
        <v>1093.0</v>
      </c>
      <c r="C3881" s="6">
        <v>9.0</v>
      </c>
      <c r="D3881" s="85" t="s">
        <v>6529</v>
      </c>
      <c r="E3881" s="9" t="s">
        <v>6530</v>
      </c>
      <c r="F3881" s="8"/>
    </row>
    <row r="3882" ht="21.0" customHeight="1">
      <c r="A3882" s="6">
        <v>10.0</v>
      </c>
      <c r="B3882" s="6">
        <v>1093.0</v>
      </c>
      <c r="C3882" s="6">
        <v>10.0</v>
      </c>
      <c r="D3882" s="85" t="s">
        <v>6531</v>
      </c>
      <c r="E3882" s="9" t="s">
        <v>6512</v>
      </c>
      <c r="F3882" s="8"/>
    </row>
    <row r="3883" ht="21.0" customHeight="1">
      <c r="A3883" s="6">
        <v>1.0</v>
      </c>
      <c r="B3883" s="6">
        <v>284.0</v>
      </c>
      <c r="C3883" s="6">
        <v>1.0</v>
      </c>
      <c r="D3883" s="85" t="s">
        <v>6532</v>
      </c>
      <c r="E3883" s="9" t="s">
        <v>6533</v>
      </c>
      <c r="F3883" s="8"/>
    </row>
    <row r="3884" ht="21.0" customHeight="1">
      <c r="A3884" s="6">
        <v>1.0</v>
      </c>
      <c r="B3884" s="6">
        <v>284.0</v>
      </c>
      <c r="C3884" s="6">
        <v>2.0</v>
      </c>
      <c r="D3884" s="85" t="s">
        <v>6534</v>
      </c>
      <c r="E3884" s="9" t="s">
        <v>6535</v>
      </c>
      <c r="F3884" s="8"/>
    </row>
    <row r="3885" ht="21.0" customHeight="1">
      <c r="A3885" s="6">
        <v>1.0</v>
      </c>
      <c r="B3885" s="6">
        <v>284.0</v>
      </c>
      <c r="C3885" s="6">
        <v>3.0</v>
      </c>
      <c r="D3885" s="81" t="s">
        <v>6536</v>
      </c>
      <c r="E3885" s="9" t="s">
        <v>6537</v>
      </c>
      <c r="F3885" s="8"/>
    </row>
    <row r="3886" ht="21.0" customHeight="1">
      <c r="A3886" s="6">
        <v>1.0</v>
      </c>
      <c r="B3886" s="6">
        <v>284.0</v>
      </c>
      <c r="C3886" s="6">
        <v>4.0</v>
      </c>
      <c r="D3886" s="85" t="s">
        <v>6538</v>
      </c>
      <c r="E3886" s="9" t="s">
        <v>6539</v>
      </c>
      <c r="F3886" s="8"/>
    </row>
    <row r="3887" ht="21.0" customHeight="1">
      <c r="A3887" s="6">
        <v>1.0</v>
      </c>
      <c r="B3887" s="6">
        <v>284.0</v>
      </c>
      <c r="C3887" s="6">
        <v>5.0</v>
      </c>
      <c r="D3887" s="85" t="s">
        <v>6540</v>
      </c>
      <c r="E3887" s="9" t="s">
        <v>6541</v>
      </c>
      <c r="F3887" s="8"/>
    </row>
    <row r="3888" ht="21.0" customHeight="1">
      <c r="A3888" s="6">
        <v>1.0</v>
      </c>
      <c r="B3888" s="6">
        <v>284.0</v>
      </c>
      <c r="C3888" s="6">
        <v>6.0</v>
      </c>
      <c r="D3888" s="81" t="s">
        <v>6542</v>
      </c>
      <c r="E3888" s="9" t="s">
        <v>6543</v>
      </c>
      <c r="F3888" s="8"/>
    </row>
    <row r="3889" ht="21.0" customHeight="1">
      <c r="A3889" s="6">
        <v>1.0</v>
      </c>
      <c r="B3889" s="6">
        <v>284.0</v>
      </c>
      <c r="C3889" s="6">
        <v>7.0</v>
      </c>
      <c r="D3889" s="85" t="s">
        <v>6544</v>
      </c>
      <c r="E3889" s="9" t="s">
        <v>6545</v>
      </c>
      <c r="F3889" s="8"/>
    </row>
    <row r="3890" ht="21.0" customHeight="1">
      <c r="A3890" s="6">
        <v>1.0</v>
      </c>
      <c r="B3890" s="6">
        <v>284.0</v>
      </c>
      <c r="C3890" s="6">
        <v>8.0</v>
      </c>
      <c r="D3890" s="81" t="s">
        <v>6546</v>
      </c>
      <c r="E3890" s="9" t="s">
        <v>6547</v>
      </c>
      <c r="F3890" s="8"/>
    </row>
    <row r="3891" ht="21.0" customHeight="1">
      <c r="A3891" s="6">
        <v>1.0</v>
      </c>
      <c r="B3891" s="6">
        <v>284.0</v>
      </c>
      <c r="C3891" s="6">
        <v>9.0</v>
      </c>
      <c r="D3891" s="85" t="s">
        <v>6548</v>
      </c>
      <c r="E3891" s="9" t="s">
        <v>6549</v>
      </c>
      <c r="F3891" s="8"/>
    </row>
    <row r="3892" ht="21.0" customHeight="1">
      <c r="A3892" s="6">
        <v>1.0</v>
      </c>
      <c r="B3892" s="6">
        <v>284.0</v>
      </c>
      <c r="C3892" s="6">
        <v>10.0</v>
      </c>
      <c r="D3892" s="85" t="s">
        <v>6550</v>
      </c>
      <c r="E3892" s="9" t="s">
        <v>6551</v>
      </c>
      <c r="F3892" s="8"/>
    </row>
    <row r="3893" ht="21.0" customHeight="1">
      <c r="A3893" s="6">
        <v>1.0</v>
      </c>
      <c r="B3893" s="6">
        <v>284.0</v>
      </c>
      <c r="C3893" s="6">
        <v>11.0</v>
      </c>
      <c r="D3893" s="85" t="s">
        <v>6552</v>
      </c>
      <c r="E3893" s="9" t="s">
        <v>6553</v>
      </c>
      <c r="F3893" s="8"/>
    </row>
    <row r="3894" ht="21.0" customHeight="1">
      <c r="A3894" s="6">
        <v>1.0</v>
      </c>
      <c r="B3894" s="6">
        <v>284.0</v>
      </c>
      <c r="C3894" s="6">
        <v>12.0</v>
      </c>
      <c r="D3894" s="85" t="s">
        <v>6554</v>
      </c>
      <c r="E3894" s="9" t="s">
        <v>6555</v>
      </c>
      <c r="F3894" s="8"/>
    </row>
    <row r="3895" ht="21.0" customHeight="1">
      <c r="A3895" s="6">
        <v>1.0</v>
      </c>
      <c r="B3895" s="6">
        <v>284.0</v>
      </c>
      <c r="C3895" s="6">
        <v>13.0</v>
      </c>
      <c r="D3895" s="85" t="s">
        <v>6556</v>
      </c>
      <c r="E3895" s="9" t="s">
        <v>6557</v>
      </c>
      <c r="F3895" s="8"/>
    </row>
    <row r="3896" ht="21.0" customHeight="1">
      <c r="A3896" s="6">
        <v>1.0</v>
      </c>
      <c r="B3896" s="6">
        <v>285.0</v>
      </c>
      <c r="C3896" s="6">
        <v>1.0</v>
      </c>
      <c r="D3896" s="85" t="s">
        <v>6558</v>
      </c>
      <c r="E3896" s="9" t="s">
        <v>6559</v>
      </c>
      <c r="F3896" s="8"/>
    </row>
    <row r="3897" ht="21.0" customHeight="1">
      <c r="A3897" s="6">
        <v>1.0</v>
      </c>
      <c r="B3897" s="6">
        <v>285.0</v>
      </c>
      <c r="C3897" s="6">
        <v>2.0</v>
      </c>
      <c r="D3897" s="85" t="s">
        <v>6560</v>
      </c>
      <c r="E3897" s="9" t="s">
        <v>6561</v>
      </c>
      <c r="F3897" s="8"/>
    </row>
    <row r="3898" ht="21.0" customHeight="1">
      <c r="A3898" s="6">
        <v>1.0</v>
      </c>
      <c r="B3898" s="6">
        <v>285.0</v>
      </c>
      <c r="C3898" s="6">
        <v>3.0</v>
      </c>
      <c r="D3898" s="81" t="s">
        <v>6562</v>
      </c>
      <c r="E3898" s="9" t="s">
        <v>6563</v>
      </c>
      <c r="F3898" s="8"/>
    </row>
    <row r="3899" ht="21.0" customHeight="1">
      <c r="A3899" s="6">
        <v>1.0</v>
      </c>
      <c r="B3899" s="6">
        <v>285.0</v>
      </c>
      <c r="C3899" s="6">
        <v>4.0</v>
      </c>
      <c r="D3899" s="81" t="s">
        <v>6564</v>
      </c>
      <c r="E3899" s="9" t="s">
        <v>6565</v>
      </c>
      <c r="F3899" s="8"/>
    </row>
    <row r="3900" ht="21.0" customHeight="1">
      <c r="A3900" s="6">
        <v>1.0</v>
      </c>
      <c r="B3900" s="6">
        <v>285.0</v>
      </c>
      <c r="C3900" s="6">
        <v>5.0</v>
      </c>
      <c r="D3900" s="90" t="s">
        <v>6566</v>
      </c>
      <c r="E3900" s="9" t="s">
        <v>6567</v>
      </c>
      <c r="F3900" s="8"/>
    </row>
    <row r="3901" ht="21.0" customHeight="1">
      <c r="A3901" s="6">
        <v>1.0</v>
      </c>
      <c r="B3901" s="6">
        <v>285.0</v>
      </c>
      <c r="C3901" s="6">
        <v>6.0</v>
      </c>
      <c r="D3901" s="81" t="s">
        <v>6568</v>
      </c>
      <c r="E3901" s="9" t="s">
        <v>6569</v>
      </c>
      <c r="F3901" s="8"/>
    </row>
    <row r="3902" ht="21.0" customHeight="1">
      <c r="A3902" s="6">
        <v>1.0</v>
      </c>
      <c r="B3902" s="6">
        <v>285.0</v>
      </c>
      <c r="C3902" s="6">
        <v>7.0</v>
      </c>
      <c r="D3902" s="81" t="s">
        <v>6570</v>
      </c>
      <c r="E3902" s="9" t="s">
        <v>6571</v>
      </c>
      <c r="F3902" s="8"/>
    </row>
    <row r="3903" ht="21.0" customHeight="1">
      <c r="A3903" s="6">
        <v>1.0</v>
      </c>
      <c r="B3903" s="6">
        <v>285.0</v>
      </c>
      <c r="C3903" s="6">
        <v>8.0</v>
      </c>
      <c r="D3903" s="81" t="s">
        <v>6572</v>
      </c>
      <c r="E3903" s="9" t="s">
        <v>6573</v>
      </c>
      <c r="F3903" s="8"/>
    </row>
    <row r="3904" ht="21.0" customHeight="1">
      <c r="A3904" s="6">
        <v>1.0</v>
      </c>
      <c r="B3904" s="6">
        <v>285.0</v>
      </c>
      <c r="C3904" s="6">
        <v>9.0</v>
      </c>
      <c r="D3904" s="81" t="s">
        <v>6574</v>
      </c>
      <c r="E3904" s="9" t="s">
        <v>6575</v>
      </c>
      <c r="F3904" s="8"/>
    </row>
    <row r="3905" ht="21.0" customHeight="1">
      <c r="A3905" s="6">
        <v>1.0</v>
      </c>
      <c r="B3905" s="6">
        <v>285.0</v>
      </c>
      <c r="C3905" s="6">
        <v>10.0</v>
      </c>
      <c r="D3905" s="85" t="s">
        <v>6576</v>
      </c>
      <c r="E3905" s="9" t="s">
        <v>6577</v>
      </c>
      <c r="F3905" s="8"/>
    </row>
    <row r="3906" ht="21.0" customHeight="1">
      <c r="A3906" s="6">
        <v>1.0</v>
      </c>
      <c r="B3906" s="6">
        <v>285.0</v>
      </c>
      <c r="C3906" s="6">
        <v>11.0</v>
      </c>
      <c r="D3906" s="85" t="s">
        <v>6578</v>
      </c>
      <c r="E3906" s="9" t="s">
        <v>6579</v>
      </c>
      <c r="F3906" s="8"/>
    </row>
    <row r="3907" ht="21.0" customHeight="1">
      <c r="A3907" s="6">
        <v>1.0</v>
      </c>
      <c r="B3907" s="6">
        <v>285.0</v>
      </c>
      <c r="C3907" s="6">
        <v>12.0</v>
      </c>
      <c r="D3907" s="85" t="s">
        <v>6580</v>
      </c>
      <c r="E3907" s="9" t="s">
        <v>6581</v>
      </c>
      <c r="F3907" s="8"/>
    </row>
    <row r="3908" ht="21.0" customHeight="1">
      <c r="A3908" s="6">
        <v>1.0</v>
      </c>
      <c r="B3908" s="6">
        <v>285.0</v>
      </c>
      <c r="C3908" s="6">
        <v>13.0</v>
      </c>
      <c r="D3908" s="85" t="s">
        <v>6582</v>
      </c>
      <c r="E3908" s="9" t="s">
        <v>6583</v>
      </c>
      <c r="F3908" s="8"/>
    </row>
    <row r="3909" ht="21.0" customHeight="1">
      <c r="A3909" s="6">
        <v>1.0</v>
      </c>
      <c r="B3909" s="6">
        <v>286.0</v>
      </c>
      <c r="C3909" s="6">
        <v>1.0</v>
      </c>
      <c r="D3909" s="81" t="s">
        <v>6584</v>
      </c>
      <c r="E3909" s="92" t="s">
        <v>6585</v>
      </c>
      <c r="F3909" s="8"/>
    </row>
    <row r="3910" ht="21.0" customHeight="1">
      <c r="A3910" s="6">
        <v>1.0</v>
      </c>
      <c r="B3910" s="6">
        <v>286.0</v>
      </c>
      <c r="C3910" s="6">
        <v>2.0</v>
      </c>
      <c r="D3910" s="81" t="s">
        <v>6586</v>
      </c>
      <c r="E3910" s="9" t="s">
        <v>6587</v>
      </c>
      <c r="F3910" s="8"/>
    </row>
    <row r="3911" ht="21.0" customHeight="1">
      <c r="A3911" s="6">
        <v>1.0</v>
      </c>
      <c r="B3911" s="6">
        <v>286.0</v>
      </c>
      <c r="C3911" s="6">
        <v>3.0</v>
      </c>
      <c r="D3911" s="81" t="s">
        <v>6588</v>
      </c>
      <c r="E3911" s="9" t="s">
        <v>6589</v>
      </c>
      <c r="F3911" s="8"/>
    </row>
    <row r="3912" ht="21.0" customHeight="1">
      <c r="A3912" s="6">
        <v>1.0</v>
      </c>
      <c r="B3912" s="6">
        <v>286.0</v>
      </c>
      <c r="C3912" s="6">
        <v>4.0</v>
      </c>
      <c r="D3912" s="81" t="s">
        <v>6590</v>
      </c>
      <c r="E3912" s="9" t="s">
        <v>6591</v>
      </c>
      <c r="F3912" s="8"/>
    </row>
    <row r="3913" ht="21.0" customHeight="1">
      <c r="A3913" s="6">
        <v>1.0</v>
      </c>
      <c r="B3913" s="6">
        <v>286.0</v>
      </c>
      <c r="C3913" s="6">
        <v>5.0</v>
      </c>
      <c r="D3913" s="81" t="s">
        <v>6592</v>
      </c>
      <c r="E3913" s="9" t="s">
        <v>6593</v>
      </c>
      <c r="F3913" s="8"/>
    </row>
    <row r="3914" ht="21.0" customHeight="1">
      <c r="A3914" s="6">
        <v>1.0</v>
      </c>
      <c r="B3914" s="6">
        <v>286.0</v>
      </c>
      <c r="C3914" s="6">
        <v>6.0</v>
      </c>
      <c r="D3914" s="81" t="s">
        <v>6594</v>
      </c>
      <c r="E3914" s="9" t="s">
        <v>6595</v>
      </c>
      <c r="F3914" s="8"/>
    </row>
    <row r="3915" ht="21.0" customHeight="1">
      <c r="A3915" s="6">
        <v>1.0</v>
      </c>
      <c r="B3915" s="6">
        <v>286.0</v>
      </c>
      <c r="C3915" s="6">
        <v>7.0</v>
      </c>
      <c r="D3915" s="81" t="s">
        <v>6596</v>
      </c>
      <c r="E3915" s="9" t="s">
        <v>6597</v>
      </c>
      <c r="F3915" s="8"/>
    </row>
    <row r="3916" ht="21.0" customHeight="1">
      <c r="A3916" s="6">
        <v>1.0</v>
      </c>
      <c r="B3916" s="6">
        <v>286.0</v>
      </c>
      <c r="C3916" s="6">
        <v>8.0</v>
      </c>
      <c r="D3916" s="81" t="s">
        <v>6598</v>
      </c>
      <c r="E3916" s="9" t="s">
        <v>6599</v>
      </c>
      <c r="F3916" s="8"/>
    </row>
    <row r="3917" ht="21.0" customHeight="1">
      <c r="A3917" s="6">
        <v>1.0</v>
      </c>
      <c r="B3917" s="6">
        <v>286.0</v>
      </c>
      <c r="C3917" s="6">
        <v>9.0</v>
      </c>
      <c r="D3917" s="81" t="s">
        <v>6600</v>
      </c>
      <c r="E3917" s="9" t="s">
        <v>6601</v>
      </c>
      <c r="F3917" s="8"/>
    </row>
    <row r="3918" ht="21.0" customHeight="1">
      <c r="A3918" s="6">
        <v>1.0</v>
      </c>
      <c r="B3918" s="6">
        <v>286.0</v>
      </c>
      <c r="C3918" s="6">
        <v>10.0</v>
      </c>
      <c r="D3918" s="81" t="s">
        <v>6602</v>
      </c>
      <c r="E3918" s="9" t="s">
        <v>6603</v>
      </c>
      <c r="F3918" s="8"/>
    </row>
    <row r="3919" ht="21.0" customHeight="1">
      <c r="A3919" s="6">
        <v>1.0</v>
      </c>
      <c r="B3919" s="6">
        <v>286.0</v>
      </c>
      <c r="C3919" s="6">
        <v>11.0</v>
      </c>
      <c r="D3919" s="81" t="s">
        <v>6604</v>
      </c>
      <c r="E3919" s="9" t="s">
        <v>6605</v>
      </c>
      <c r="F3919" s="8"/>
    </row>
    <row r="3920" ht="21.0" customHeight="1">
      <c r="A3920" s="6">
        <v>1.0</v>
      </c>
      <c r="B3920" s="6">
        <v>286.0</v>
      </c>
      <c r="C3920" s="6">
        <v>12.0</v>
      </c>
      <c r="D3920" s="81" t="s">
        <v>6606</v>
      </c>
      <c r="E3920" s="9" t="s">
        <v>6607</v>
      </c>
      <c r="F3920" s="8"/>
    </row>
    <row r="3921" ht="21.0" customHeight="1">
      <c r="A3921" s="6">
        <v>1.0</v>
      </c>
      <c r="B3921" s="6">
        <v>286.0</v>
      </c>
      <c r="C3921" s="6">
        <v>13.0</v>
      </c>
      <c r="D3921" s="81" t="s">
        <v>6608</v>
      </c>
      <c r="E3921" s="9" t="s">
        <v>6609</v>
      </c>
      <c r="F3921" s="8"/>
    </row>
    <row r="3922" ht="21.0" customHeight="1">
      <c r="A3922" s="6">
        <v>11.0</v>
      </c>
      <c r="B3922" s="6">
        <v>1094.0</v>
      </c>
      <c r="C3922" s="6">
        <v>1.0</v>
      </c>
      <c r="D3922" s="85" t="s">
        <v>6610</v>
      </c>
      <c r="E3922" s="9" t="s">
        <v>6611</v>
      </c>
      <c r="F3922" s="8"/>
    </row>
    <row r="3923" ht="21.0" customHeight="1">
      <c r="A3923" s="6">
        <v>11.0</v>
      </c>
      <c r="B3923" s="6">
        <v>1094.0</v>
      </c>
      <c r="C3923" s="6">
        <v>2.0</v>
      </c>
      <c r="D3923" s="85" t="s">
        <v>6612</v>
      </c>
      <c r="E3923" s="9" t="s">
        <v>6613</v>
      </c>
      <c r="F3923" s="8"/>
    </row>
    <row r="3924" ht="21.0" customHeight="1">
      <c r="A3924" s="6">
        <v>11.0</v>
      </c>
      <c r="B3924" s="6">
        <v>1094.0</v>
      </c>
      <c r="C3924" s="6">
        <v>3.0</v>
      </c>
      <c r="D3924" s="85" t="s">
        <v>6614</v>
      </c>
      <c r="E3924" s="9" t="s">
        <v>6615</v>
      </c>
      <c r="F3924" s="8"/>
    </row>
    <row r="3925" ht="21.0" customHeight="1">
      <c r="A3925" s="6">
        <v>11.0</v>
      </c>
      <c r="B3925" s="6">
        <v>1094.0</v>
      </c>
      <c r="C3925" s="6">
        <v>4.0</v>
      </c>
      <c r="D3925" s="85" t="s">
        <v>6616</v>
      </c>
      <c r="E3925" s="9" t="s">
        <v>6617</v>
      </c>
      <c r="F3925" s="8"/>
    </row>
    <row r="3926" ht="21.0" customHeight="1">
      <c r="A3926" s="6">
        <v>10.0</v>
      </c>
      <c r="B3926" s="6">
        <v>1094.0</v>
      </c>
      <c r="C3926" s="6">
        <v>5.0</v>
      </c>
      <c r="D3926" s="85" t="s">
        <v>6618</v>
      </c>
      <c r="E3926" s="9" t="s">
        <v>6619</v>
      </c>
      <c r="F3926" s="8"/>
    </row>
    <row r="3927" ht="21.0" customHeight="1">
      <c r="A3927" s="6">
        <v>10.0</v>
      </c>
      <c r="B3927" s="6">
        <v>1094.0</v>
      </c>
      <c r="C3927" s="6">
        <v>6.0</v>
      </c>
      <c r="D3927" s="85" t="s">
        <v>6620</v>
      </c>
      <c r="E3927" s="9" t="s">
        <v>6621</v>
      </c>
      <c r="F3927" s="8"/>
    </row>
    <row r="3928" ht="21.0" customHeight="1">
      <c r="A3928" s="6">
        <v>10.0</v>
      </c>
      <c r="B3928" s="6">
        <v>1094.0</v>
      </c>
      <c r="C3928" s="6">
        <v>7.0</v>
      </c>
      <c r="D3928" s="85" t="s">
        <v>6622</v>
      </c>
      <c r="E3928" s="9" t="s">
        <v>6623</v>
      </c>
      <c r="F3928" s="8"/>
    </row>
    <row r="3929" ht="21.0" customHeight="1">
      <c r="A3929" s="6">
        <v>10.0</v>
      </c>
      <c r="B3929" s="6">
        <v>1094.0</v>
      </c>
      <c r="C3929" s="6">
        <v>8.0</v>
      </c>
      <c r="D3929" s="85" t="s">
        <v>6624</v>
      </c>
      <c r="E3929" s="9" t="s">
        <v>6625</v>
      </c>
      <c r="F3929" s="8"/>
    </row>
    <row r="3930" ht="21.0" customHeight="1">
      <c r="A3930" s="6">
        <v>10.0</v>
      </c>
      <c r="B3930" s="6">
        <v>1094.0</v>
      </c>
      <c r="C3930" s="6">
        <v>9.0</v>
      </c>
      <c r="D3930" s="85" t="s">
        <v>6626</v>
      </c>
      <c r="E3930" s="9" t="s">
        <v>6627</v>
      </c>
      <c r="F3930" s="8"/>
    </row>
    <row r="3931" ht="21.0" customHeight="1">
      <c r="A3931" s="6">
        <v>10.0</v>
      </c>
      <c r="B3931" s="6">
        <v>1094.0</v>
      </c>
      <c r="C3931" s="6">
        <v>10.0</v>
      </c>
      <c r="D3931" s="85" t="s">
        <v>6628</v>
      </c>
      <c r="E3931" s="9" t="s">
        <v>6629</v>
      </c>
      <c r="F3931" s="8"/>
    </row>
    <row r="3932" ht="21.0" customHeight="1">
      <c r="A3932" s="6">
        <v>11.0</v>
      </c>
      <c r="B3932" s="6">
        <v>1095.0</v>
      </c>
      <c r="C3932" s="6">
        <v>1.0</v>
      </c>
      <c r="D3932" s="85" t="s">
        <v>6630</v>
      </c>
      <c r="E3932" s="9" t="s">
        <v>6631</v>
      </c>
      <c r="F3932" s="8"/>
    </row>
    <row r="3933" ht="21.0" customHeight="1">
      <c r="A3933" s="6">
        <v>11.0</v>
      </c>
      <c r="B3933" s="6">
        <v>1095.0</v>
      </c>
      <c r="C3933" s="6">
        <v>2.0</v>
      </c>
      <c r="D3933" s="85" t="s">
        <v>6632</v>
      </c>
      <c r="E3933" s="9" t="s">
        <v>6633</v>
      </c>
      <c r="F3933" s="8"/>
    </row>
    <row r="3934" ht="21.0" customHeight="1">
      <c r="A3934" s="6">
        <v>11.0</v>
      </c>
      <c r="B3934" s="6">
        <v>1095.0</v>
      </c>
      <c r="C3934" s="6">
        <v>3.0</v>
      </c>
      <c r="D3934" s="85" t="s">
        <v>6634</v>
      </c>
      <c r="E3934" s="9" t="s">
        <v>6635</v>
      </c>
      <c r="F3934" s="8"/>
    </row>
    <row r="3935" ht="21.0" customHeight="1">
      <c r="A3935" s="6">
        <v>11.0</v>
      </c>
      <c r="B3935" s="6">
        <v>1095.0</v>
      </c>
      <c r="C3935" s="6">
        <v>4.0</v>
      </c>
      <c r="D3935" s="85" t="s">
        <v>6636</v>
      </c>
      <c r="E3935" s="9" t="s">
        <v>6637</v>
      </c>
      <c r="F3935" s="8"/>
    </row>
    <row r="3936" ht="21.0" customHeight="1">
      <c r="A3936" s="6">
        <v>10.0</v>
      </c>
      <c r="B3936" s="6">
        <v>1095.0</v>
      </c>
      <c r="C3936" s="6">
        <v>5.0</v>
      </c>
      <c r="D3936" s="85" t="s">
        <v>6638</v>
      </c>
      <c r="E3936" s="9" t="s">
        <v>6639</v>
      </c>
      <c r="F3936" s="8"/>
    </row>
    <row r="3937" ht="21.0" customHeight="1">
      <c r="A3937" s="6">
        <v>10.0</v>
      </c>
      <c r="B3937" s="6">
        <v>1095.0</v>
      </c>
      <c r="C3937" s="6">
        <v>6.0</v>
      </c>
      <c r="D3937" s="85" t="s">
        <v>6640</v>
      </c>
      <c r="E3937" s="9" t="s">
        <v>6641</v>
      </c>
      <c r="F3937" s="8"/>
    </row>
    <row r="3938" ht="21.0" customHeight="1">
      <c r="A3938" s="6">
        <v>10.0</v>
      </c>
      <c r="B3938" s="6">
        <v>1095.0</v>
      </c>
      <c r="C3938" s="6">
        <v>7.0</v>
      </c>
      <c r="D3938" s="85" t="s">
        <v>6642</v>
      </c>
      <c r="E3938" s="9" t="s">
        <v>6643</v>
      </c>
      <c r="F3938" s="8"/>
    </row>
    <row r="3939" ht="21.0" customHeight="1">
      <c r="A3939" s="6">
        <v>10.0</v>
      </c>
      <c r="B3939" s="6">
        <v>1095.0</v>
      </c>
      <c r="C3939" s="6">
        <v>8.0</v>
      </c>
      <c r="D3939" s="85" t="s">
        <v>6644</v>
      </c>
      <c r="E3939" s="9" t="s">
        <v>6645</v>
      </c>
      <c r="F3939" s="8"/>
    </row>
    <row r="3940" ht="21.0" customHeight="1">
      <c r="A3940" s="6">
        <v>10.0</v>
      </c>
      <c r="B3940" s="6">
        <v>1095.0</v>
      </c>
      <c r="C3940" s="6">
        <v>9.0</v>
      </c>
      <c r="D3940" s="85" t="s">
        <v>6646</v>
      </c>
      <c r="E3940" s="9" t="s">
        <v>6647</v>
      </c>
      <c r="F3940" s="8"/>
    </row>
    <row r="3941" ht="21.0" customHeight="1">
      <c r="A3941" s="6">
        <v>10.0</v>
      </c>
      <c r="B3941" s="6">
        <v>1095.0</v>
      </c>
      <c r="C3941" s="6">
        <v>10.0</v>
      </c>
      <c r="D3941" s="85" t="s">
        <v>6648</v>
      </c>
      <c r="E3941" s="9" t="s">
        <v>6629</v>
      </c>
      <c r="F3941" s="8"/>
    </row>
    <row r="3942" ht="21.0" customHeight="1">
      <c r="A3942" s="6">
        <v>1.0</v>
      </c>
      <c r="B3942" s="6">
        <v>287.0</v>
      </c>
      <c r="C3942" s="6">
        <v>1.0</v>
      </c>
      <c r="D3942" s="85" t="s">
        <v>6649</v>
      </c>
      <c r="E3942" s="9" t="s">
        <v>6650</v>
      </c>
      <c r="F3942" s="8"/>
    </row>
    <row r="3943" ht="21.0" customHeight="1">
      <c r="A3943" s="6">
        <v>1.0</v>
      </c>
      <c r="B3943" s="6">
        <v>287.0</v>
      </c>
      <c r="C3943" s="6">
        <v>2.0</v>
      </c>
      <c r="D3943" s="85" t="s">
        <v>5951</v>
      </c>
      <c r="E3943" s="9" t="s">
        <v>6651</v>
      </c>
      <c r="F3943" s="8"/>
    </row>
    <row r="3944" ht="21.0" customHeight="1">
      <c r="A3944" s="6">
        <v>1.0</v>
      </c>
      <c r="B3944" s="6">
        <v>287.0</v>
      </c>
      <c r="C3944" s="6">
        <v>3.0</v>
      </c>
      <c r="D3944" s="85" t="s">
        <v>6652</v>
      </c>
      <c r="E3944" s="9" t="s">
        <v>6653</v>
      </c>
      <c r="F3944" s="8"/>
    </row>
    <row r="3945" ht="21.0" customHeight="1">
      <c r="A3945" s="6">
        <v>1.0</v>
      </c>
      <c r="B3945" s="6">
        <v>287.0</v>
      </c>
      <c r="C3945" s="6">
        <v>4.0</v>
      </c>
      <c r="D3945" s="85" t="s">
        <v>6654</v>
      </c>
      <c r="E3945" s="9" t="s">
        <v>6655</v>
      </c>
      <c r="F3945" s="8"/>
    </row>
    <row r="3946" ht="21.0" customHeight="1">
      <c r="A3946" s="6">
        <v>1.0</v>
      </c>
      <c r="B3946" s="6">
        <v>287.0</v>
      </c>
      <c r="C3946" s="6">
        <v>5.0</v>
      </c>
      <c r="D3946" s="87" t="s">
        <v>6656</v>
      </c>
      <c r="E3946" s="9" t="s">
        <v>6657</v>
      </c>
      <c r="F3946" s="8"/>
    </row>
    <row r="3947" ht="21.0" customHeight="1">
      <c r="A3947" s="6">
        <v>1.0</v>
      </c>
      <c r="B3947" s="6">
        <v>287.0</v>
      </c>
      <c r="C3947" s="6">
        <v>6.0</v>
      </c>
      <c r="D3947" s="85" t="s">
        <v>6658</v>
      </c>
      <c r="E3947" s="9" t="s">
        <v>6659</v>
      </c>
      <c r="F3947" s="8"/>
    </row>
    <row r="3948" ht="21.0" customHeight="1">
      <c r="A3948" s="6">
        <v>1.0</v>
      </c>
      <c r="B3948" s="6">
        <v>287.0</v>
      </c>
      <c r="C3948" s="6">
        <v>7.0</v>
      </c>
      <c r="D3948" s="85" t="s">
        <v>6660</v>
      </c>
      <c r="E3948" s="9" t="s">
        <v>6661</v>
      </c>
      <c r="F3948" s="8"/>
    </row>
    <row r="3949" ht="21.0" customHeight="1">
      <c r="A3949" s="6">
        <v>1.0</v>
      </c>
      <c r="B3949" s="6">
        <v>287.0</v>
      </c>
      <c r="C3949" s="6">
        <v>8.0</v>
      </c>
      <c r="D3949" s="85" t="s">
        <v>6662</v>
      </c>
      <c r="E3949" s="9" t="s">
        <v>6663</v>
      </c>
      <c r="F3949" s="8"/>
    </row>
    <row r="3950" ht="21.0" customHeight="1">
      <c r="A3950" s="6">
        <v>1.0</v>
      </c>
      <c r="B3950" s="6">
        <v>287.0</v>
      </c>
      <c r="C3950" s="6">
        <v>9.0</v>
      </c>
      <c r="D3950" s="85" t="s">
        <v>6664</v>
      </c>
      <c r="E3950" s="9" t="s">
        <v>6665</v>
      </c>
      <c r="F3950" s="8"/>
    </row>
    <row r="3951" ht="21.0" customHeight="1">
      <c r="A3951" s="6">
        <v>1.0</v>
      </c>
      <c r="B3951" s="6">
        <v>287.0</v>
      </c>
      <c r="C3951" s="6">
        <v>10.0</v>
      </c>
      <c r="D3951" s="85" t="s">
        <v>6666</v>
      </c>
      <c r="E3951" s="9" t="s">
        <v>6667</v>
      </c>
      <c r="F3951" s="8"/>
    </row>
    <row r="3952" ht="21.0" customHeight="1">
      <c r="A3952" s="6">
        <v>1.0</v>
      </c>
      <c r="B3952" s="6">
        <v>287.0</v>
      </c>
      <c r="C3952" s="6">
        <v>11.0</v>
      </c>
      <c r="D3952" s="93" t="s">
        <v>6668</v>
      </c>
      <c r="E3952" s="9" t="s">
        <v>6669</v>
      </c>
      <c r="F3952" s="8"/>
    </row>
    <row r="3953" ht="21.0" customHeight="1">
      <c r="A3953" s="6">
        <v>1.0</v>
      </c>
      <c r="B3953" s="6">
        <v>287.0</v>
      </c>
      <c r="C3953" s="6">
        <v>12.0</v>
      </c>
      <c r="D3953" s="85" t="s">
        <v>6670</v>
      </c>
      <c r="E3953" s="9" t="s">
        <v>6671</v>
      </c>
      <c r="F3953" s="8"/>
    </row>
    <row r="3954" ht="21.0" customHeight="1">
      <c r="A3954" s="6">
        <v>1.0</v>
      </c>
      <c r="B3954" s="6">
        <v>287.0</v>
      </c>
      <c r="C3954" s="6">
        <v>13.0</v>
      </c>
      <c r="D3954" s="85" t="s">
        <v>6672</v>
      </c>
      <c r="E3954" s="9" t="s">
        <v>6673</v>
      </c>
      <c r="F3954" s="8"/>
    </row>
    <row r="3955" ht="21.0" customHeight="1">
      <c r="A3955" s="6">
        <v>1.0</v>
      </c>
      <c r="B3955" s="6">
        <v>288.0</v>
      </c>
      <c r="C3955" s="6">
        <v>1.0</v>
      </c>
      <c r="D3955" s="85" t="s">
        <v>6674</v>
      </c>
      <c r="E3955" s="9" t="s">
        <v>6675</v>
      </c>
      <c r="F3955" s="8"/>
    </row>
    <row r="3956" ht="21.0" customHeight="1">
      <c r="A3956" s="6">
        <v>1.0</v>
      </c>
      <c r="B3956" s="6">
        <v>288.0</v>
      </c>
      <c r="C3956" s="6">
        <v>2.0</v>
      </c>
      <c r="D3956" s="85" t="s">
        <v>6676</v>
      </c>
      <c r="E3956" s="9" t="s">
        <v>6677</v>
      </c>
      <c r="F3956" s="8"/>
    </row>
    <row r="3957" ht="21.0" customHeight="1">
      <c r="A3957" s="6">
        <v>1.0</v>
      </c>
      <c r="B3957" s="6">
        <v>288.0</v>
      </c>
      <c r="C3957" s="6">
        <v>3.0</v>
      </c>
      <c r="D3957" s="85" t="s">
        <v>6678</v>
      </c>
      <c r="E3957" s="9" t="s">
        <v>6679</v>
      </c>
      <c r="F3957" s="8"/>
    </row>
    <row r="3958" ht="21.0" customHeight="1">
      <c r="A3958" s="6">
        <v>1.0</v>
      </c>
      <c r="B3958" s="6">
        <v>288.0</v>
      </c>
      <c r="C3958" s="6">
        <v>4.0</v>
      </c>
      <c r="D3958" s="87" t="s">
        <v>6680</v>
      </c>
      <c r="E3958" s="9" t="s">
        <v>6681</v>
      </c>
      <c r="F3958" s="8"/>
    </row>
    <row r="3959" ht="21.0" customHeight="1">
      <c r="A3959" s="6">
        <v>1.0</v>
      </c>
      <c r="B3959" s="6">
        <v>288.0</v>
      </c>
      <c r="C3959" s="6">
        <v>5.0</v>
      </c>
      <c r="D3959" s="87" t="s">
        <v>6682</v>
      </c>
      <c r="E3959" s="9" t="s">
        <v>6683</v>
      </c>
      <c r="F3959" s="8"/>
    </row>
    <row r="3960" ht="21.0" customHeight="1">
      <c r="A3960" s="6">
        <v>1.0</v>
      </c>
      <c r="B3960" s="6">
        <v>288.0</v>
      </c>
      <c r="C3960" s="6">
        <v>6.0</v>
      </c>
      <c r="D3960" s="87" t="s">
        <v>6684</v>
      </c>
      <c r="E3960" s="9" t="s">
        <v>6685</v>
      </c>
      <c r="F3960" s="8"/>
    </row>
    <row r="3961" ht="21.0" customHeight="1">
      <c r="A3961" s="6">
        <v>1.0</v>
      </c>
      <c r="B3961" s="6">
        <v>288.0</v>
      </c>
      <c r="C3961" s="6">
        <v>7.0</v>
      </c>
      <c r="D3961" s="87" t="s">
        <v>6686</v>
      </c>
      <c r="E3961" s="9" t="s">
        <v>6687</v>
      </c>
      <c r="F3961" s="8"/>
    </row>
    <row r="3962" ht="21.0" customHeight="1">
      <c r="A3962" s="6">
        <v>1.0</v>
      </c>
      <c r="B3962" s="6">
        <v>288.0</v>
      </c>
      <c r="C3962" s="6">
        <v>8.0</v>
      </c>
      <c r="D3962" s="87" t="s">
        <v>6688</v>
      </c>
      <c r="E3962" s="9" t="s">
        <v>6689</v>
      </c>
      <c r="F3962" s="8"/>
    </row>
    <row r="3963" ht="21.0" customHeight="1">
      <c r="A3963" s="6">
        <v>1.0</v>
      </c>
      <c r="B3963" s="6">
        <v>288.0</v>
      </c>
      <c r="C3963" s="6">
        <v>9.0</v>
      </c>
      <c r="D3963" s="87" t="s">
        <v>6690</v>
      </c>
      <c r="E3963" s="9" t="s">
        <v>6691</v>
      </c>
      <c r="F3963" s="8"/>
    </row>
    <row r="3964" ht="21.0" customHeight="1">
      <c r="A3964" s="6">
        <v>1.0</v>
      </c>
      <c r="B3964" s="6">
        <v>288.0</v>
      </c>
      <c r="C3964" s="6">
        <v>10.0</v>
      </c>
      <c r="D3964" s="87" t="s">
        <v>6692</v>
      </c>
      <c r="E3964" s="9" t="s">
        <v>6693</v>
      </c>
      <c r="F3964" s="8"/>
    </row>
    <row r="3965" ht="21.0" customHeight="1">
      <c r="A3965" s="6">
        <v>1.0</v>
      </c>
      <c r="B3965" s="6">
        <v>288.0</v>
      </c>
      <c r="C3965" s="6">
        <v>11.0</v>
      </c>
      <c r="D3965" s="88" t="s">
        <v>6694</v>
      </c>
      <c r="E3965" s="9" t="s">
        <v>6695</v>
      </c>
      <c r="F3965" s="8"/>
    </row>
    <row r="3966" ht="21.0" customHeight="1">
      <c r="A3966" s="6">
        <v>1.0</v>
      </c>
      <c r="B3966" s="6">
        <v>288.0</v>
      </c>
      <c r="C3966" s="6">
        <v>12.0</v>
      </c>
      <c r="D3966" s="87" t="s">
        <v>6696</v>
      </c>
      <c r="E3966" s="9" t="s">
        <v>6697</v>
      </c>
      <c r="F3966" s="8"/>
    </row>
    <row r="3967" ht="21.0" customHeight="1">
      <c r="A3967" s="6">
        <v>1.0</v>
      </c>
      <c r="B3967" s="6">
        <v>288.0</v>
      </c>
      <c r="C3967" s="6">
        <v>13.0</v>
      </c>
      <c r="D3967" s="87" t="s">
        <v>6698</v>
      </c>
      <c r="E3967" s="9" t="s">
        <v>6699</v>
      </c>
      <c r="F3967" s="8"/>
    </row>
    <row r="3968" ht="21.0" customHeight="1">
      <c r="A3968" s="6">
        <v>1.0</v>
      </c>
      <c r="B3968" s="6">
        <v>289.0</v>
      </c>
      <c r="C3968" s="6">
        <v>1.0</v>
      </c>
      <c r="D3968" s="85" t="s">
        <v>6700</v>
      </c>
      <c r="E3968" s="92" t="s">
        <v>6701</v>
      </c>
      <c r="F3968" s="8"/>
    </row>
    <row r="3969" ht="21.0" customHeight="1">
      <c r="A3969" s="6">
        <v>1.0</v>
      </c>
      <c r="B3969" s="6">
        <v>289.0</v>
      </c>
      <c r="C3969" s="6">
        <v>2.0</v>
      </c>
      <c r="D3969" s="85" t="s">
        <v>6702</v>
      </c>
      <c r="E3969" s="9" t="s">
        <v>6703</v>
      </c>
      <c r="F3969" s="8"/>
    </row>
    <row r="3970" ht="21.0" customHeight="1">
      <c r="A3970" s="6">
        <v>1.0</v>
      </c>
      <c r="B3970" s="6">
        <v>289.0</v>
      </c>
      <c r="C3970" s="6">
        <v>3.0</v>
      </c>
      <c r="D3970" s="85" t="s">
        <v>6704</v>
      </c>
      <c r="E3970" s="9" t="s">
        <v>6705</v>
      </c>
      <c r="F3970" s="8"/>
    </row>
    <row r="3971" ht="21.0" customHeight="1">
      <c r="A3971" s="6">
        <v>1.0</v>
      </c>
      <c r="B3971" s="6">
        <v>289.0</v>
      </c>
      <c r="C3971" s="6">
        <v>4.0</v>
      </c>
      <c r="D3971" s="85" t="s">
        <v>6706</v>
      </c>
      <c r="E3971" s="9" t="s">
        <v>6707</v>
      </c>
      <c r="F3971" s="8"/>
    </row>
    <row r="3972" ht="21.0" customHeight="1">
      <c r="A3972" s="6">
        <v>1.0</v>
      </c>
      <c r="B3972" s="6">
        <v>289.0</v>
      </c>
      <c r="C3972" s="6">
        <v>5.0</v>
      </c>
      <c r="D3972" s="89" t="s">
        <v>6708</v>
      </c>
      <c r="E3972" s="9" t="s">
        <v>6709</v>
      </c>
      <c r="F3972" s="8"/>
    </row>
    <row r="3973" ht="21.0" customHeight="1">
      <c r="A3973" s="6">
        <v>1.0</v>
      </c>
      <c r="B3973" s="6">
        <v>289.0</v>
      </c>
      <c r="C3973" s="6">
        <v>6.0</v>
      </c>
      <c r="D3973" s="85" t="s">
        <v>6710</v>
      </c>
      <c r="E3973" s="9" t="s">
        <v>6711</v>
      </c>
      <c r="F3973" s="8"/>
    </row>
    <row r="3974" ht="21.0" customHeight="1">
      <c r="A3974" s="6">
        <v>1.0</v>
      </c>
      <c r="B3974" s="6">
        <v>289.0</v>
      </c>
      <c r="C3974" s="6">
        <v>7.0</v>
      </c>
      <c r="D3974" s="85" t="s">
        <v>6712</v>
      </c>
      <c r="E3974" s="9" t="s">
        <v>6713</v>
      </c>
      <c r="F3974" s="8"/>
    </row>
    <row r="3975" ht="21.0" customHeight="1">
      <c r="A3975" s="6">
        <v>1.0</v>
      </c>
      <c r="B3975" s="6">
        <v>289.0</v>
      </c>
      <c r="C3975" s="6">
        <v>8.0</v>
      </c>
      <c r="D3975" s="85" t="s">
        <v>6714</v>
      </c>
      <c r="E3975" s="9" t="s">
        <v>6715</v>
      </c>
      <c r="F3975" s="8"/>
    </row>
    <row r="3976" ht="21.0" customHeight="1">
      <c r="A3976" s="6">
        <v>1.0</v>
      </c>
      <c r="B3976" s="6">
        <v>289.0</v>
      </c>
      <c r="C3976" s="6">
        <v>9.0</v>
      </c>
      <c r="D3976" s="85" t="s">
        <v>6716</v>
      </c>
      <c r="E3976" s="9" t="s">
        <v>6717</v>
      </c>
      <c r="F3976" s="8"/>
    </row>
    <row r="3977" ht="21.0" customHeight="1">
      <c r="A3977" s="6">
        <v>1.0</v>
      </c>
      <c r="B3977" s="6">
        <v>289.0</v>
      </c>
      <c r="C3977" s="6">
        <v>10.0</v>
      </c>
      <c r="D3977" s="85" t="s">
        <v>6718</v>
      </c>
      <c r="E3977" s="9" t="s">
        <v>6719</v>
      </c>
      <c r="F3977" s="8"/>
    </row>
    <row r="3978" ht="21.0" customHeight="1">
      <c r="A3978" s="6">
        <v>1.0</v>
      </c>
      <c r="B3978" s="6">
        <v>289.0</v>
      </c>
      <c r="C3978" s="6">
        <v>11.0</v>
      </c>
      <c r="D3978" s="85" t="s">
        <v>6720</v>
      </c>
      <c r="E3978" s="9" t="s">
        <v>6721</v>
      </c>
      <c r="F3978" s="8"/>
    </row>
    <row r="3979" ht="21.0" customHeight="1">
      <c r="A3979" s="6">
        <v>1.0</v>
      </c>
      <c r="B3979" s="6">
        <v>289.0</v>
      </c>
      <c r="C3979" s="6">
        <v>12.0</v>
      </c>
      <c r="D3979" s="85" t="s">
        <v>6722</v>
      </c>
      <c r="E3979" s="9" t="s">
        <v>6723</v>
      </c>
      <c r="F3979" s="8"/>
    </row>
    <row r="3980" ht="21.0" customHeight="1">
      <c r="A3980" s="6">
        <v>1.0</v>
      </c>
      <c r="B3980" s="6">
        <v>289.0</v>
      </c>
      <c r="C3980" s="6">
        <v>13.0</v>
      </c>
      <c r="D3980" s="85" t="s">
        <v>6724</v>
      </c>
      <c r="E3980" s="9" t="s">
        <v>6725</v>
      </c>
      <c r="F3980" s="8"/>
    </row>
    <row r="3981" ht="21.0" customHeight="1">
      <c r="A3981" s="6">
        <v>11.0</v>
      </c>
      <c r="B3981" s="6">
        <v>1096.0</v>
      </c>
      <c r="C3981" s="6">
        <v>1.0</v>
      </c>
      <c r="D3981" s="81" t="s">
        <v>6726</v>
      </c>
      <c r="E3981" s="9" t="s">
        <v>6727</v>
      </c>
      <c r="F3981" s="8"/>
    </row>
    <row r="3982" ht="21.0" customHeight="1">
      <c r="A3982" s="6">
        <v>11.0</v>
      </c>
      <c r="B3982" s="6">
        <v>1096.0</v>
      </c>
      <c r="C3982" s="6">
        <v>2.0</v>
      </c>
      <c r="D3982" s="81" t="s">
        <v>6728</v>
      </c>
      <c r="E3982" s="9" t="s">
        <v>6729</v>
      </c>
      <c r="F3982" s="8"/>
    </row>
    <row r="3983" ht="21.0" customHeight="1">
      <c r="A3983" s="6">
        <v>11.0</v>
      </c>
      <c r="B3983" s="6">
        <v>1096.0</v>
      </c>
      <c r="C3983" s="6">
        <v>3.0</v>
      </c>
      <c r="D3983" s="81" t="s">
        <v>6730</v>
      </c>
      <c r="E3983" s="9" t="s">
        <v>6731</v>
      </c>
      <c r="F3983" s="8"/>
    </row>
    <row r="3984" ht="21.0" customHeight="1">
      <c r="A3984" s="6">
        <v>11.0</v>
      </c>
      <c r="B3984" s="6">
        <v>1096.0</v>
      </c>
      <c r="C3984" s="6">
        <v>4.0</v>
      </c>
      <c r="D3984" s="81" t="s">
        <v>6732</v>
      </c>
      <c r="E3984" s="9" t="s">
        <v>6733</v>
      </c>
      <c r="F3984" s="8"/>
    </row>
    <row r="3985" ht="21.0" customHeight="1">
      <c r="A3985" s="6">
        <v>10.0</v>
      </c>
      <c r="B3985" s="6">
        <v>1096.0</v>
      </c>
      <c r="C3985" s="6">
        <v>5.0</v>
      </c>
      <c r="D3985" s="81" t="s">
        <v>6734</v>
      </c>
      <c r="E3985" s="9" t="s">
        <v>6735</v>
      </c>
      <c r="F3985" s="8"/>
    </row>
    <row r="3986" ht="21.0" customHeight="1">
      <c r="A3986" s="6">
        <v>10.0</v>
      </c>
      <c r="B3986" s="6">
        <v>1096.0</v>
      </c>
      <c r="C3986" s="6">
        <v>6.0</v>
      </c>
      <c r="D3986" s="81" t="s">
        <v>6736</v>
      </c>
      <c r="E3986" s="9" t="s">
        <v>6737</v>
      </c>
      <c r="F3986" s="8"/>
    </row>
    <row r="3987" ht="21.0" customHeight="1">
      <c r="A3987" s="6">
        <v>10.0</v>
      </c>
      <c r="B3987" s="6">
        <v>1096.0</v>
      </c>
      <c r="C3987" s="6">
        <v>7.0</v>
      </c>
      <c r="D3987" s="81" t="s">
        <v>6738</v>
      </c>
      <c r="E3987" s="9" t="s">
        <v>6739</v>
      </c>
      <c r="F3987" s="8"/>
    </row>
    <row r="3988" ht="21.0" customHeight="1">
      <c r="A3988" s="6">
        <v>10.0</v>
      </c>
      <c r="B3988" s="6">
        <v>1096.0</v>
      </c>
      <c r="C3988" s="6">
        <v>8.0</v>
      </c>
      <c r="D3988" s="81" t="s">
        <v>6740</v>
      </c>
      <c r="E3988" s="9" t="s">
        <v>6741</v>
      </c>
      <c r="F3988" s="8"/>
    </row>
    <row r="3989" ht="21.0" customHeight="1">
      <c r="A3989" s="6">
        <v>10.0</v>
      </c>
      <c r="B3989" s="6">
        <v>1096.0</v>
      </c>
      <c r="C3989" s="6">
        <v>9.0</v>
      </c>
      <c r="D3989" s="81" t="s">
        <v>6742</v>
      </c>
      <c r="E3989" s="9" t="s">
        <v>6743</v>
      </c>
      <c r="F3989" s="8"/>
    </row>
    <row r="3990" ht="21.0" customHeight="1">
      <c r="A3990" s="6">
        <v>10.0</v>
      </c>
      <c r="B3990" s="6">
        <v>1096.0</v>
      </c>
      <c r="C3990" s="6">
        <v>10.0</v>
      </c>
      <c r="D3990" s="81" t="s">
        <v>6744</v>
      </c>
      <c r="E3990" s="9" t="s">
        <v>6745</v>
      </c>
      <c r="F3990" s="8"/>
    </row>
    <row r="3991" ht="21.0" customHeight="1">
      <c r="A3991" s="6">
        <v>11.0</v>
      </c>
      <c r="B3991" s="6">
        <v>1097.0</v>
      </c>
      <c r="C3991" s="6">
        <v>1.0</v>
      </c>
      <c r="D3991" s="81" t="s">
        <v>6746</v>
      </c>
      <c r="E3991" s="9" t="s">
        <v>6747</v>
      </c>
      <c r="F3991" s="8"/>
    </row>
    <row r="3992" ht="21.0" customHeight="1">
      <c r="A3992" s="6">
        <v>11.0</v>
      </c>
      <c r="B3992" s="6">
        <v>1097.0</v>
      </c>
      <c r="C3992" s="6">
        <v>2.0</v>
      </c>
      <c r="D3992" s="81" t="s">
        <v>6748</v>
      </c>
      <c r="E3992" s="9" t="s">
        <v>6749</v>
      </c>
      <c r="F3992" s="8"/>
    </row>
    <row r="3993" ht="21.0" customHeight="1">
      <c r="A3993" s="6">
        <v>11.0</v>
      </c>
      <c r="B3993" s="6">
        <v>1097.0</v>
      </c>
      <c r="C3993" s="6">
        <v>3.0</v>
      </c>
      <c r="D3993" s="81" t="s">
        <v>6750</v>
      </c>
      <c r="E3993" s="9" t="s">
        <v>6751</v>
      </c>
      <c r="F3993" s="8"/>
    </row>
    <row r="3994" ht="21.0" customHeight="1">
      <c r="A3994" s="6">
        <v>11.0</v>
      </c>
      <c r="B3994" s="6">
        <v>1097.0</v>
      </c>
      <c r="C3994" s="6">
        <v>4.0</v>
      </c>
      <c r="D3994" s="81" t="s">
        <v>6752</v>
      </c>
      <c r="E3994" s="9" t="s">
        <v>6753</v>
      </c>
      <c r="F3994" s="8"/>
    </row>
    <row r="3995" ht="21.0" customHeight="1">
      <c r="A3995" s="6">
        <v>10.0</v>
      </c>
      <c r="B3995" s="6">
        <v>1097.0</v>
      </c>
      <c r="C3995" s="6">
        <v>5.0</v>
      </c>
      <c r="D3995" s="81" t="s">
        <v>6754</v>
      </c>
      <c r="E3995" s="9" t="s">
        <v>6755</v>
      </c>
      <c r="F3995" s="8"/>
    </row>
    <row r="3996" ht="21.0" customHeight="1">
      <c r="A3996" s="6">
        <v>10.0</v>
      </c>
      <c r="B3996" s="6">
        <v>1097.0</v>
      </c>
      <c r="C3996" s="6">
        <v>6.0</v>
      </c>
      <c r="D3996" s="81" t="s">
        <v>6756</v>
      </c>
      <c r="E3996" s="9" t="s">
        <v>6757</v>
      </c>
      <c r="F3996" s="8"/>
    </row>
    <row r="3997" ht="21.0" customHeight="1">
      <c r="A3997" s="6">
        <v>10.0</v>
      </c>
      <c r="B3997" s="6">
        <v>1097.0</v>
      </c>
      <c r="C3997" s="6">
        <v>7.0</v>
      </c>
      <c r="D3997" s="81" t="s">
        <v>6758</v>
      </c>
      <c r="E3997" s="9" t="s">
        <v>6759</v>
      </c>
      <c r="F3997" s="8"/>
    </row>
    <row r="3998" ht="21.0" customHeight="1">
      <c r="A3998" s="6">
        <v>10.0</v>
      </c>
      <c r="B3998" s="6">
        <v>1097.0</v>
      </c>
      <c r="C3998" s="6">
        <v>8.0</v>
      </c>
      <c r="D3998" s="81" t="s">
        <v>6760</v>
      </c>
      <c r="E3998" s="9" t="s">
        <v>6761</v>
      </c>
      <c r="F3998" s="8"/>
    </row>
    <row r="3999" ht="21.0" customHeight="1">
      <c r="A3999" s="6">
        <v>10.0</v>
      </c>
      <c r="B3999" s="6">
        <v>1097.0</v>
      </c>
      <c r="C3999" s="6">
        <v>9.0</v>
      </c>
      <c r="D3999" s="81" t="s">
        <v>6762</v>
      </c>
      <c r="E3999" s="9" t="s">
        <v>6763</v>
      </c>
      <c r="F3999" s="8"/>
    </row>
    <row r="4000" ht="21.0" customHeight="1">
      <c r="A4000" s="6">
        <v>10.0</v>
      </c>
      <c r="B4000" s="6">
        <v>1097.0</v>
      </c>
      <c r="C4000" s="6">
        <v>10.0</v>
      </c>
      <c r="D4000" s="81" t="s">
        <v>6764</v>
      </c>
      <c r="E4000" s="9" t="s">
        <v>6745</v>
      </c>
      <c r="F4000" s="8"/>
    </row>
    <row r="4001" ht="21.0" customHeight="1">
      <c r="A4001" s="6">
        <v>1.0</v>
      </c>
      <c r="B4001" s="6">
        <v>290.0</v>
      </c>
      <c r="C4001" s="6">
        <v>1.0</v>
      </c>
      <c r="D4001" s="81" t="s">
        <v>6765</v>
      </c>
      <c r="E4001" s="9" t="s">
        <v>6766</v>
      </c>
      <c r="F4001" s="8"/>
    </row>
    <row r="4002" ht="21.0" customHeight="1">
      <c r="A4002" s="6">
        <v>1.0</v>
      </c>
      <c r="B4002" s="6">
        <v>290.0</v>
      </c>
      <c r="C4002" s="6">
        <v>2.0</v>
      </c>
      <c r="D4002" s="81" t="s">
        <v>6767</v>
      </c>
      <c r="E4002" s="9" t="s">
        <v>6768</v>
      </c>
      <c r="F4002" s="8"/>
    </row>
    <row r="4003" ht="21.0" customHeight="1">
      <c r="A4003" s="6">
        <v>1.0</v>
      </c>
      <c r="B4003" s="6">
        <v>290.0</v>
      </c>
      <c r="C4003" s="6">
        <v>3.0</v>
      </c>
      <c r="D4003" s="81" t="s">
        <v>6769</v>
      </c>
      <c r="E4003" s="9" t="s">
        <v>6770</v>
      </c>
      <c r="F4003" s="8"/>
    </row>
    <row r="4004" ht="21.0" customHeight="1">
      <c r="A4004" s="6">
        <v>1.0</v>
      </c>
      <c r="B4004" s="6">
        <v>290.0</v>
      </c>
      <c r="C4004" s="6">
        <v>4.0</v>
      </c>
      <c r="D4004" s="81" t="s">
        <v>6771</v>
      </c>
      <c r="E4004" s="9" t="s">
        <v>6772</v>
      </c>
      <c r="F4004" s="8"/>
    </row>
    <row r="4005" ht="21.0" customHeight="1">
      <c r="A4005" s="6">
        <v>1.0</v>
      </c>
      <c r="B4005" s="6">
        <v>290.0</v>
      </c>
      <c r="C4005" s="6">
        <v>5.0</v>
      </c>
      <c r="D4005" s="81" t="s">
        <v>6773</v>
      </c>
      <c r="E4005" s="9" t="s">
        <v>6774</v>
      </c>
      <c r="F4005" s="8"/>
    </row>
    <row r="4006" ht="21.0" customHeight="1">
      <c r="A4006" s="6">
        <v>1.0</v>
      </c>
      <c r="B4006" s="6">
        <v>290.0</v>
      </c>
      <c r="C4006" s="6">
        <v>6.0</v>
      </c>
      <c r="D4006" s="81" t="s">
        <v>6775</v>
      </c>
      <c r="E4006" s="9" t="s">
        <v>6776</v>
      </c>
      <c r="F4006" s="8"/>
    </row>
    <row r="4007" ht="21.0" customHeight="1">
      <c r="A4007" s="6">
        <v>1.0</v>
      </c>
      <c r="B4007" s="6">
        <v>290.0</v>
      </c>
      <c r="C4007" s="6">
        <v>7.0</v>
      </c>
      <c r="D4007" s="81" t="s">
        <v>6777</v>
      </c>
      <c r="E4007" s="9" t="s">
        <v>6778</v>
      </c>
      <c r="F4007" s="8"/>
    </row>
    <row r="4008" ht="21.0" customHeight="1">
      <c r="A4008" s="6">
        <v>1.0</v>
      </c>
      <c r="B4008" s="6">
        <v>290.0</v>
      </c>
      <c r="C4008" s="6">
        <v>8.0</v>
      </c>
      <c r="D4008" s="81" t="s">
        <v>6779</v>
      </c>
      <c r="E4008" s="9" t="s">
        <v>6780</v>
      </c>
      <c r="F4008" s="8"/>
    </row>
    <row r="4009" ht="21.0" customHeight="1">
      <c r="A4009" s="6">
        <v>1.0</v>
      </c>
      <c r="B4009" s="6">
        <v>290.0</v>
      </c>
      <c r="C4009" s="6">
        <v>9.0</v>
      </c>
      <c r="D4009" s="81" t="s">
        <v>6781</v>
      </c>
      <c r="E4009" s="9" t="s">
        <v>6782</v>
      </c>
      <c r="F4009" s="8"/>
    </row>
    <row r="4010" ht="21.0" customHeight="1">
      <c r="A4010" s="6">
        <v>1.0</v>
      </c>
      <c r="B4010" s="6">
        <v>290.0</v>
      </c>
      <c r="C4010" s="6">
        <v>10.0</v>
      </c>
      <c r="D4010" s="81" t="s">
        <v>6783</v>
      </c>
      <c r="E4010" s="9" t="s">
        <v>6784</v>
      </c>
      <c r="F4010" s="8"/>
    </row>
    <row r="4011" ht="21.0" customHeight="1">
      <c r="A4011" s="6">
        <v>1.0</v>
      </c>
      <c r="B4011" s="6">
        <v>290.0</v>
      </c>
      <c r="C4011" s="6">
        <v>11.0</v>
      </c>
      <c r="D4011" s="81" t="s">
        <v>6785</v>
      </c>
      <c r="E4011" s="9" t="s">
        <v>6786</v>
      </c>
      <c r="F4011" s="8"/>
    </row>
    <row r="4012" ht="21.0" customHeight="1">
      <c r="A4012" s="6">
        <v>1.0</v>
      </c>
      <c r="B4012" s="6">
        <v>290.0</v>
      </c>
      <c r="C4012" s="6">
        <v>12.0</v>
      </c>
      <c r="D4012" s="81" t="s">
        <v>6787</v>
      </c>
      <c r="E4012" s="9" t="s">
        <v>6788</v>
      </c>
      <c r="F4012" s="8"/>
    </row>
    <row r="4013" ht="21.0" customHeight="1">
      <c r="A4013" s="6">
        <v>1.0</v>
      </c>
      <c r="B4013" s="6">
        <v>290.0</v>
      </c>
      <c r="C4013" s="6">
        <v>13.0</v>
      </c>
      <c r="D4013" s="81" t="s">
        <v>6789</v>
      </c>
      <c r="E4013" s="9" t="s">
        <v>6790</v>
      </c>
      <c r="F4013" s="8"/>
    </row>
    <row r="4014" ht="21.0" customHeight="1">
      <c r="A4014" s="6">
        <v>1.0</v>
      </c>
      <c r="B4014" s="6">
        <v>291.0</v>
      </c>
      <c r="C4014" s="6">
        <v>1.0</v>
      </c>
      <c r="D4014" s="81" t="s">
        <v>6791</v>
      </c>
      <c r="E4014" s="9" t="s">
        <v>6792</v>
      </c>
      <c r="F4014" s="8"/>
    </row>
    <row r="4015" ht="21.0" customHeight="1">
      <c r="A4015" s="6">
        <v>1.0</v>
      </c>
      <c r="B4015" s="6">
        <v>291.0</v>
      </c>
      <c r="C4015" s="6">
        <v>2.0</v>
      </c>
      <c r="D4015" s="81" t="s">
        <v>6793</v>
      </c>
      <c r="E4015" s="9" t="s">
        <v>6794</v>
      </c>
      <c r="F4015" s="8"/>
    </row>
    <row r="4016" ht="21.0" customHeight="1">
      <c r="A4016" s="6">
        <v>1.0</v>
      </c>
      <c r="B4016" s="6">
        <v>291.0</v>
      </c>
      <c r="C4016" s="6">
        <v>3.0</v>
      </c>
      <c r="D4016" s="81" t="s">
        <v>6795</v>
      </c>
      <c r="E4016" s="9" t="s">
        <v>6796</v>
      </c>
      <c r="F4016" s="8"/>
    </row>
    <row r="4017" ht="21.0" customHeight="1">
      <c r="A4017" s="6">
        <v>1.0</v>
      </c>
      <c r="B4017" s="6">
        <v>291.0</v>
      </c>
      <c r="C4017" s="6">
        <v>4.0</v>
      </c>
      <c r="D4017" s="81" t="s">
        <v>6797</v>
      </c>
      <c r="E4017" s="9" t="s">
        <v>6798</v>
      </c>
      <c r="F4017" s="8"/>
    </row>
    <row r="4018" ht="21.0" customHeight="1">
      <c r="A4018" s="6">
        <v>1.0</v>
      </c>
      <c r="B4018" s="6">
        <v>291.0</v>
      </c>
      <c r="C4018" s="6">
        <v>5.0</v>
      </c>
      <c r="D4018" s="81" t="s">
        <v>6799</v>
      </c>
      <c r="E4018" s="9" t="s">
        <v>6800</v>
      </c>
      <c r="F4018" s="8"/>
    </row>
    <row r="4019" ht="21.0" customHeight="1">
      <c r="A4019" s="6">
        <v>1.0</v>
      </c>
      <c r="B4019" s="6">
        <v>291.0</v>
      </c>
      <c r="C4019" s="6">
        <v>6.0</v>
      </c>
      <c r="D4019" s="81" t="s">
        <v>6801</v>
      </c>
      <c r="E4019" s="9" t="s">
        <v>6802</v>
      </c>
      <c r="F4019" s="8"/>
    </row>
    <row r="4020" ht="21.0" customHeight="1">
      <c r="A4020" s="6">
        <v>1.0</v>
      </c>
      <c r="B4020" s="6">
        <v>291.0</v>
      </c>
      <c r="C4020" s="6">
        <v>7.0</v>
      </c>
      <c r="D4020" s="81" t="s">
        <v>6803</v>
      </c>
      <c r="E4020" s="9" t="s">
        <v>6804</v>
      </c>
      <c r="F4020" s="8"/>
    </row>
    <row r="4021" ht="21.0" customHeight="1">
      <c r="A4021" s="6">
        <v>1.0</v>
      </c>
      <c r="B4021" s="6">
        <v>291.0</v>
      </c>
      <c r="C4021" s="6">
        <v>8.0</v>
      </c>
      <c r="D4021" s="81" t="s">
        <v>6805</v>
      </c>
      <c r="E4021" s="9" t="s">
        <v>6806</v>
      </c>
      <c r="F4021" s="8"/>
    </row>
    <row r="4022" ht="21.0" customHeight="1">
      <c r="A4022" s="6">
        <v>1.0</v>
      </c>
      <c r="B4022" s="6">
        <v>291.0</v>
      </c>
      <c r="C4022" s="6">
        <v>9.0</v>
      </c>
      <c r="D4022" s="81" t="s">
        <v>6807</v>
      </c>
      <c r="E4022" s="9" t="s">
        <v>6808</v>
      </c>
      <c r="F4022" s="8"/>
    </row>
    <row r="4023" ht="21.0" customHeight="1">
      <c r="A4023" s="6">
        <v>1.0</v>
      </c>
      <c r="B4023" s="6">
        <v>291.0</v>
      </c>
      <c r="C4023" s="6">
        <v>10.0</v>
      </c>
      <c r="D4023" s="81" t="s">
        <v>6809</v>
      </c>
      <c r="E4023" s="9" t="s">
        <v>6810</v>
      </c>
      <c r="F4023" s="8"/>
    </row>
    <row r="4024" ht="21.0" customHeight="1">
      <c r="A4024" s="6">
        <v>1.0</v>
      </c>
      <c r="B4024" s="6">
        <v>291.0</v>
      </c>
      <c r="C4024" s="6">
        <v>11.0</v>
      </c>
      <c r="D4024" s="81" t="s">
        <v>6811</v>
      </c>
      <c r="E4024" s="9" t="s">
        <v>6812</v>
      </c>
      <c r="F4024" s="8"/>
    </row>
    <row r="4025" ht="21.0" customHeight="1">
      <c r="A4025" s="6">
        <v>1.0</v>
      </c>
      <c r="B4025" s="6">
        <v>291.0</v>
      </c>
      <c r="C4025" s="6">
        <v>12.0</v>
      </c>
      <c r="D4025" s="81" t="s">
        <v>6813</v>
      </c>
      <c r="E4025" s="9" t="s">
        <v>6814</v>
      </c>
      <c r="F4025" s="8"/>
    </row>
    <row r="4026" ht="21.0" customHeight="1">
      <c r="A4026" s="6">
        <v>1.0</v>
      </c>
      <c r="B4026" s="6">
        <v>291.0</v>
      </c>
      <c r="C4026" s="6">
        <v>13.0</v>
      </c>
      <c r="D4026" s="81" t="s">
        <v>6815</v>
      </c>
      <c r="E4026" s="9" t="s">
        <v>6816</v>
      </c>
      <c r="F4026" s="8"/>
    </row>
    <row r="4027" ht="21.0" customHeight="1">
      <c r="A4027" s="6">
        <v>1.0</v>
      </c>
      <c r="B4027" s="6">
        <v>292.0</v>
      </c>
      <c r="C4027" s="6">
        <v>1.0</v>
      </c>
      <c r="D4027" s="81" t="s">
        <v>6817</v>
      </c>
      <c r="E4027" s="9" t="s">
        <v>6818</v>
      </c>
      <c r="F4027" s="8"/>
    </row>
    <row r="4028" ht="21.0" customHeight="1">
      <c r="A4028" s="6">
        <v>1.0</v>
      </c>
      <c r="B4028" s="6">
        <v>292.0</v>
      </c>
      <c r="C4028" s="6">
        <v>2.0</v>
      </c>
      <c r="D4028" s="94" t="s">
        <v>6819</v>
      </c>
      <c r="E4028" s="9" t="s">
        <v>6820</v>
      </c>
      <c r="F4028" s="8"/>
    </row>
    <row r="4029" ht="21.0" customHeight="1">
      <c r="A4029" s="6">
        <v>1.0</v>
      </c>
      <c r="B4029" s="6">
        <v>292.0</v>
      </c>
      <c r="C4029" s="6">
        <v>3.0</v>
      </c>
      <c r="D4029" s="81" t="s">
        <v>6821</v>
      </c>
      <c r="E4029" s="9" t="s">
        <v>6822</v>
      </c>
      <c r="F4029" s="8"/>
    </row>
    <row r="4030" ht="21.0" customHeight="1">
      <c r="A4030" s="6">
        <v>1.0</v>
      </c>
      <c r="B4030" s="6">
        <v>292.0</v>
      </c>
      <c r="C4030" s="6">
        <v>4.0</v>
      </c>
      <c r="D4030" s="81" t="s">
        <v>6823</v>
      </c>
      <c r="E4030" s="9" t="s">
        <v>6824</v>
      </c>
      <c r="F4030" s="8"/>
    </row>
    <row r="4031" ht="21.0" customHeight="1">
      <c r="A4031" s="6">
        <v>1.0</v>
      </c>
      <c r="B4031" s="6">
        <v>292.0</v>
      </c>
      <c r="C4031" s="6">
        <v>5.0</v>
      </c>
      <c r="D4031" s="81" t="s">
        <v>6825</v>
      </c>
      <c r="E4031" s="9" t="s">
        <v>6826</v>
      </c>
      <c r="F4031" s="8"/>
    </row>
    <row r="4032" ht="21.0" customHeight="1">
      <c r="A4032" s="6">
        <v>1.0</v>
      </c>
      <c r="B4032" s="6">
        <v>292.0</v>
      </c>
      <c r="C4032" s="6">
        <v>6.0</v>
      </c>
      <c r="D4032" s="81" t="s">
        <v>6827</v>
      </c>
      <c r="E4032" s="9" t="s">
        <v>6828</v>
      </c>
      <c r="F4032" s="8"/>
    </row>
    <row r="4033" ht="21.0" customHeight="1">
      <c r="A4033" s="6">
        <v>1.0</v>
      </c>
      <c r="B4033" s="6">
        <v>292.0</v>
      </c>
      <c r="C4033" s="6">
        <v>7.0</v>
      </c>
      <c r="D4033" s="81" t="s">
        <v>6829</v>
      </c>
      <c r="E4033" s="9" t="s">
        <v>6830</v>
      </c>
      <c r="F4033" s="8"/>
    </row>
    <row r="4034" ht="21.0" customHeight="1">
      <c r="A4034" s="6">
        <v>1.0</v>
      </c>
      <c r="B4034" s="6">
        <v>292.0</v>
      </c>
      <c r="C4034" s="6">
        <v>8.0</v>
      </c>
      <c r="D4034" s="81" t="s">
        <v>6831</v>
      </c>
      <c r="E4034" s="9" t="s">
        <v>6832</v>
      </c>
      <c r="F4034" s="8"/>
    </row>
    <row r="4035" ht="21.0" customHeight="1">
      <c r="A4035" s="6">
        <v>1.0</v>
      </c>
      <c r="B4035" s="6">
        <v>292.0</v>
      </c>
      <c r="C4035" s="6">
        <v>9.0</v>
      </c>
      <c r="D4035" s="81" t="s">
        <v>6833</v>
      </c>
      <c r="E4035" s="9" t="s">
        <v>6834</v>
      </c>
      <c r="F4035" s="8"/>
    </row>
    <row r="4036" ht="21.0" customHeight="1">
      <c r="A4036" s="6">
        <v>1.0</v>
      </c>
      <c r="B4036" s="6">
        <v>292.0</v>
      </c>
      <c r="C4036" s="6">
        <v>10.0</v>
      </c>
      <c r="D4036" s="81" t="s">
        <v>6835</v>
      </c>
      <c r="E4036" s="9" t="s">
        <v>6836</v>
      </c>
      <c r="F4036" s="8"/>
    </row>
    <row r="4037" ht="21.0" customHeight="1">
      <c r="A4037" s="6">
        <v>1.0</v>
      </c>
      <c r="B4037" s="6">
        <v>292.0</v>
      </c>
      <c r="C4037" s="6">
        <v>11.0</v>
      </c>
      <c r="D4037" s="81" t="s">
        <v>6837</v>
      </c>
      <c r="E4037" s="9" t="s">
        <v>6838</v>
      </c>
      <c r="F4037" s="8"/>
    </row>
    <row r="4038" ht="21.0" customHeight="1">
      <c r="A4038" s="6">
        <v>1.0</v>
      </c>
      <c r="B4038" s="6">
        <v>292.0</v>
      </c>
      <c r="C4038" s="6">
        <v>12.0</v>
      </c>
      <c r="D4038" s="94" t="s">
        <v>6839</v>
      </c>
      <c r="E4038" s="9" t="s">
        <v>6840</v>
      </c>
      <c r="F4038" s="8"/>
    </row>
    <row r="4039" ht="21.0" customHeight="1">
      <c r="A4039" s="6">
        <v>1.0</v>
      </c>
      <c r="B4039" s="6">
        <v>292.0</v>
      </c>
      <c r="C4039" s="6">
        <v>13.0</v>
      </c>
      <c r="D4039" s="81" t="s">
        <v>6841</v>
      </c>
      <c r="E4039" s="9" t="s">
        <v>6842</v>
      </c>
      <c r="F4039" s="8"/>
    </row>
    <row r="4040" ht="21.0" customHeight="1">
      <c r="A4040" s="6">
        <v>11.0</v>
      </c>
      <c r="B4040" s="6">
        <v>2001.0</v>
      </c>
      <c r="C4040" s="6">
        <v>1.0</v>
      </c>
      <c r="D4040" s="23" t="s">
        <v>6843</v>
      </c>
      <c r="E4040" s="9" t="s">
        <v>6844</v>
      </c>
      <c r="F4040" s="8"/>
    </row>
    <row r="4041" ht="21.0" customHeight="1">
      <c r="A4041" s="6">
        <v>11.0</v>
      </c>
      <c r="B4041" s="6">
        <v>2001.0</v>
      </c>
      <c r="C4041" s="6">
        <v>2.0</v>
      </c>
      <c r="D4041" s="23" t="s">
        <v>6845</v>
      </c>
      <c r="E4041" s="9" t="s">
        <v>6846</v>
      </c>
      <c r="F4041" s="8"/>
    </row>
    <row r="4042" ht="21.0" customHeight="1">
      <c r="A4042" s="6">
        <v>11.0</v>
      </c>
      <c r="B4042" s="6">
        <v>2001.0</v>
      </c>
      <c r="C4042" s="6">
        <v>3.0</v>
      </c>
      <c r="D4042" s="23" t="s">
        <v>6847</v>
      </c>
      <c r="E4042" s="9" t="s">
        <v>6848</v>
      </c>
      <c r="F4042" s="8"/>
    </row>
    <row r="4043" ht="21.0" customHeight="1">
      <c r="A4043" s="6">
        <v>11.0</v>
      </c>
      <c r="B4043" s="6">
        <v>2001.0</v>
      </c>
      <c r="C4043" s="6">
        <v>4.0</v>
      </c>
      <c r="D4043" s="23" t="s">
        <v>6849</v>
      </c>
      <c r="E4043" s="9" t="s">
        <v>6850</v>
      </c>
      <c r="F4043" s="8"/>
    </row>
    <row r="4044" ht="21.0" customHeight="1">
      <c r="A4044" s="6">
        <v>10.0</v>
      </c>
      <c r="B4044" s="6">
        <v>2001.0</v>
      </c>
      <c r="C4044" s="6">
        <v>5.0</v>
      </c>
      <c r="D4044" s="23" t="s">
        <v>6851</v>
      </c>
      <c r="E4044" s="9" t="s">
        <v>6852</v>
      </c>
      <c r="F4044" s="8"/>
    </row>
    <row r="4045" ht="21.0" customHeight="1">
      <c r="A4045" s="6">
        <v>10.0</v>
      </c>
      <c r="B4045" s="6">
        <v>2001.0</v>
      </c>
      <c r="C4045" s="6">
        <v>6.0</v>
      </c>
      <c r="D4045" s="23" t="s">
        <v>6853</v>
      </c>
      <c r="E4045" s="9" t="s">
        <v>6854</v>
      </c>
      <c r="F4045" s="8"/>
    </row>
    <row r="4046" ht="21.0" customHeight="1">
      <c r="A4046" s="6">
        <v>10.0</v>
      </c>
      <c r="B4046" s="6">
        <v>2001.0</v>
      </c>
      <c r="C4046" s="6">
        <v>7.0</v>
      </c>
      <c r="D4046" s="23" t="s">
        <v>6855</v>
      </c>
      <c r="E4046" s="9" t="s">
        <v>6856</v>
      </c>
      <c r="F4046" s="8"/>
    </row>
    <row r="4047" ht="21.0" customHeight="1">
      <c r="A4047" s="6">
        <v>10.0</v>
      </c>
      <c r="B4047" s="6">
        <v>2001.0</v>
      </c>
      <c r="C4047" s="6">
        <v>8.0</v>
      </c>
      <c r="D4047" s="23" t="s">
        <v>6857</v>
      </c>
      <c r="E4047" s="9" t="s">
        <v>6858</v>
      </c>
      <c r="F4047" s="8"/>
    </row>
    <row r="4048" ht="21.0" customHeight="1">
      <c r="A4048" s="6">
        <v>10.0</v>
      </c>
      <c r="B4048" s="6">
        <v>2001.0</v>
      </c>
      <c r="C4048" s="6">
        <v>9.0</v>
      </c>
      <c r="D4048" s="23" t="s">
        <v>6859</v>
      </c>
      <c r="E4048" s="9" t="s">
        <v>6860</v>
      </c>
      <c r="F4048" s="8"/>
    </row>
    <row r="4049" ht="21.0" customHeight="1">
      <c r="A4049" s="6">
        <v>10.0</v>
      </c>
      <c r="B4049" s="6">
        <v>2001.0</v>
      </c>
      <c r="C4049" s="6">
        <v>10.0</v>
      </c>
      <c r="D4049" s="23" t="s">
        <v>6861</v>
      </c>
      <c r="E4049" s="9" t="s">
        <v>6862</v>
      </c>
      <c r="F4049" s="8"/>
    </row>
    <row r="4050" ht="21.0" customHeight="1">
      <c r="A4050" s="6">
        <v>11.0</v>
      </c>
      <c r="B4050" s="6">
        <v>2002.0</v>
      </c>
      <c r="C4050" s="6">
        <v>1.0</v>
      </c>
      <c r="D4050" s="23" t="s">
        <v>6863</v>
      </c>
      <c r="E4050" s="9" t="s">
        <v>6864</v>
      </c>
      <c r="F4050" s="8"/>
    </row>
    <row r="4051" ht="21.0" customHeight="1">
      <c r="A4051" s="6">
        <v>11.0</v>
      </c>
      <c r="B4051" s="6">
        <v>2002.0</v>
      </c>
      <c r="C4051" s="6">
        <v>2.0</v>
      </c>
      <c r="D4051" s="23" t="s">
        <v>6865</v>
      </c>
      <c r="E4051" s="9" t="s">
        <v>6866</v>
      </c>
      <c r="F4051" s="8"/>
    </row>
    <row r="4052" ht="21.0" customHeight="1">
      <c r="A4052" s="6">
        <v>11.0</v>
      </c>
      <c r="B4052" s="6">
        <v>2002.0</v>
      </c>
      <c r="C4052" s="6">
        <v>3.0</v>
      </c>
      <c r="D4052" s="23" t="s">
        <v>6867</v>
      </c>
      <c r="E4052" s="9" t="s">
        <v>6868</v>
      </c>
      <c r="F4052" s="8"/>
    </row>
    <row r="4053" ht="21.0" customHeight="1">
      <c r="A4053" s="6">
        <v>11.0</v>
      </c>
      <c r="B4053" s="6">
        <v>2002.0</v>
      </c>
      <c r="C4053" s="6">
        <v>4.0</v>
      </c>
      <c r="D4053" s="23" t="s">
        <v>6869</v>
      </c>
      <c r="E4053" s="9" t="s">
        <v>6870</v>
      </c>
      <c r="F4053" s="8"/>
    </row>
    <row r="4054" ht="21.0" customHeight="1">
      <c r="A4054" s="6">
        <v>10.0</v>
      </c>
      <c r="B4054" s="6">
        <v>2002.0</v>
      </c>
      <c r="C4054" s="6">
        <v>5.0</v>
      </c>
      <c r="D4054" s="23" t="s">
        <v>6871</v>
      </c>
      <c r="E4054" s="9" t="s">
        <v>6872</v>
      </c>
      <c r="F4054" s="8"/>
    </row>
    <row r="4055" ht="21.0" customHeight="1">
      <c r="A4055" s="6">
        <v>10.0</v>
      </c>
      <c r="B4055" s="6">
        <v>2002.0</v>
      </c>
      <c r="C4055" s="6">
        <v>6.0</v>
      </c>
      <c r="D4055" s="23" t="s">
        <v>6873</v>
      </c>
      <c r="E4055" s="9" t="s">
        <v>6874</v>
      </c>
      <c r="F4055" s="8"/>
    </row>
    <row r="4056" ht="21.0" customHeight="1">
      <c r="A4056" s="6">
        <v>10.0</v>
      </c>
      <c r="B4056" s="6">
        <v>2002.0</v>
      </c>
      <c r="C4056" s="6">
        <v>7.0</v>
      </c>
      <c r="D4056" s="23" t="s">
        <v>6875</v>
      </c>
      <c r="E4056" s="9" t="s">
        <v>6876</v>
      </c>
      <c r="F4056" s="8"/>
    </row>
    <row r="4057" ht="21.0" customHeight="1">
      <c r="A4057" s="6">
        <v>10.0</v>
      </c>
      <c r="B4057" s="6">
        <v>2002.0</v>
      </c>
      <c r="C4057" s="6">
        <v>8.0</v>
      </c>
      <c r="D4057" s="23" t="s">
        <v>6877</v>
      </c>
      <c r="E4057" s="9" t="s">
        <v>6878</v>
      </c>
      <c r="F4057" s="8"/>
    </row>
    <row r="4058" ht="21.0" customHeight="1">
      <c r="A4058" s="6">
        <v>10.0</v>
      </c>
      <c r="B4058" s="6">
        <v>2002.0</v>
      </c>
      <c r="C4058" s="6">
        <v>9.0</v>
      </c>
      <c r="D4058" s="23" t="s">
        <v>6879</v>
      </c>
      <c r="E4058" s="9" t="s">
        <v>6880</v>
      </c>
      <c r="F4058" s="8"/>
    </row>
    <row r="4059" ht="21.0" customHeight="1">
      <c r="A4059" s="6">
        <v>10.0</v>
      </c>
      <c r="B4059" s="6">
        <v>2002.0</v>
      </c>
      <c r="C4059" s="6">
        <v>10.0</v>
      </c>
      <c r="D4059" s="23" t="s">
        <v>6881</v>
      </c>
      <c r="E4059" s="9" t="s">
        <v>6862</v>
      </c>
      <c r="F4059" s="8"/>
    </row>
    <row r="4060" ht="21.0" customHeight="1">
      <c r="A4060" s="6">
        <v>1.0</v>
      </c>
      <c r="B4060" s="6">
        <v>310.0</v>
      </c>
      <c r="C4060" s="6">
        <v>1.0</v>
      </c>
      <c r="D4060" s="23" t="s">
        <v>6882</v>
      </c>
      <c r="E4060" s="9" t="s">
        <v>6883</v>
      </c>
      <c r="F4060" s="8"/>
    </row>
    <row r="4061" ht="21.0" customHeight="1">
      <c r="A4061" s="6">
        <v>1.0</v>
      </c>
      <c r="B4061" s="6">
        <v>310.0</v>
      </c>
      <c r="C4061" s="6">
        <v>2.0</v>
      </c>
      <c r="D4061" s="23" t="s">
        <v>6884</v>
      </c>
      <c r="E4061" s="9" t="s">
        <v>6885</v>
      </c>
      <c r="F4061" s="8"/>
    </row>
    <row r="4062" ht="21.0" customHeight="1">
      <c r="A4062" s="6">
        <v>1.0</v>
      </c>
      <c r="B4062" s="6">
        <v>310.0</v>
      </c>
      <c r="C4062" s="6">
        <v>3.0</v>
      </c>
      <c r="D4062" s="23" t="s">
        <v>6886</v>
      </c>
      <c r="E4062" s="9" t="s">
        <v>6887</v>
      </c>
      <c r="F4062" s="8"/>
    </row>
    <row r="4063" ht="21.0" customHeight="1">
      <c r="A4063" s="6">
        <v>1.0</v>
      </c>
      <c r="B4063" s="6">
        <v>310.0</v>
      </c>
      <c r="C4063" s="6">
        <v>4.0</v>
      </c>
      <c r="D4063" s="23" t="s">
        <v>6888</v>
      </c>
      <c r="E4063" s="9" t="s">
        <v>6889</v>
      </c>
      <c r="F4063" s="8"/>
    </row>
    <row r="4064" ht="21.0" customHeight="1">
      <c r="A4064" s="6">
        <v>1.0</v>
      </c>
      <c r="B4064" s="6">
        <v>310.0</v>
      </c>
      <c r="C4064" s="6">
        <v>5.0</v>
      </c>
      <c r="D4064" s="23" t="s">
        <v>6890</v>
      </c>
      <c r="E4064" s="9" t="s">
        <v>6891</v>
      </c>
      <c r="F4064" s="8"/>
    </row>
    <row r="4065" ht="21.0" customHeight="1">
      <c r="A4065" s="6">
        <v>1.0</v>
      </c>
      <c r="B4065" s="6">
        <v>310.0</v>
      </c>
      <c r="C4065" s="6">
        <v>6.0</v>
      </c>
      <c r="D4065" s="23" t="s">
        <v>6892</v>
      </c>
      <c r="E4065" s="9" t="s">
        <v>6893</v>
      </c>
      <c r="F4065" s="8"/>
    </row>
    <row r="4066" ht="21.0" customHeight="1">
      <c r="A4066" s="6">
        <v>1.0</v>
      </c>
      <c r="B4066" s="6">
        <v>310.0</v>
      </c>
      <c r="C4066" s="6">
        <v>7.0</v>
      </c>
      <c r="D4066" s="23" t="s">
        <v>6894</v>
      </c>
      <c r="E4066" s="9" t="s">
        <v>6895</v>
      </c>
      <c r="F4066" s="8"/>
    </row>
    <row r="4067" ht="21.0" customHeight="1">
      <c r="A4067" s="6">
        <v>1.0</v>
      </c>
      <c r="B4067" s="6">
        <v>310.0</v>
      </c>
      <c r="C4067" s="6">
        <v>8.0</v>
      </c>
      <c r="D4067" s="23" t="s">
        <v>6896</v>
      </c>
      <c r="E4067" s="9" t="s">
        <v>6897</v>
      </c>
      <c r="F4067" s="8"/>
    </row>
    <row r="4068" ht="21.0" customHeight="1">
      <c r="A4068" s="6">
        <v>1.0</v>
      </c>
      <c r="B4068" s="6">
        <v>310.0</v>
      </c>
      <c r="C4068" s="6">
        <v>9.0</v>
      </c>
      <c r="D4068" s="23" t="s">
        <v>6898</v>
      </c>
      <c r="E4068" s="9" t="s">
        <v>6899</v>
      </c>
      <c r="F4068" s="8"/>
    </row>
    <row r="4069" ht="21.0" customHeight="1">
      <c r="A4069" s="6">
        <v>1.0</v>
      </c>
      <c r="B4069" s="6">
        <v>310.0</v>
      </c>
      <c r="C4069" s="6">
        <v>10.0</v>
      </c>
      <c r="D4069" s="23" t="s">
        <v>6900</v>
      </c>
      <c r="E4069" s="9" t="s">
        <v>6901</v>
      </c>
      <c r="F4069" s="8"/>
    </row>
    <row r="4070" ht="21.0" customHeight="1">
      <c r="A4070" s="6">
        <v>1.0</v>
      </c>
      <c r="B4070" s="6">
        <v>310.0</v>
      </c>
      <c r="C4070" s="6">
        <v>11.0</v>
      </c>
      <c r="D4070" s="23" t="s">
        <v>6902</v>
      </c>
      <c r="E4070" s="9" t="s">
        <v>6903</v>
      </c>
      <c r="F4070" s="8"/>
    </row>
    <row r="4071" ht="21.0" customHeight="1">
      <c r="A4071" s="6">
        <v>1.0</v>
      </c>
      <c r="B4071" s="6">
        <v>310.0</v>
      </c>
      <c r="C4071" s="6">
        <v>12.0</v>
      </c>
      <c r="D4071" s="23" t="s">
        <v>6904</v>
      </c>
      <c r="E4071" s="9" t="s">
        <v>6905</v>
      </c>
      <c r="F4071" s="8"/>
    </row>
    <row r="4072" ht="21.0" customHeight="1">
      <c r="A4072" s="6">
        <v>1.0</v>
      </c>
      <c r="B4072" s="6">
        <v>310.0</v>
      </c>
      <c r="C4072" s="6">
        <v>13.0</v>
      </c>
      <c r="D4072" s="23" t="s">
        <v>6906</v>
      </c>
      <c r="E4072" s="9" t="s">
        <v>6907</v>
      </c>
      <c r="F4072" s="8"/>
    </row>
    <row r="4073" ht="21.0" customHeight="1">
      <c r="A4073" s="6">
        <v>1.0</v>
      </c>
      <c r="B4073" s="6">
        <v>311.0</v>
      </c>
      <c r="C4073" s="6">
        <v>1.0</v>
      </c>
      <c r="D4073" s="23" t="s">
        <v>6908</v>
      </c>
      <c r="E4073" s="9" t="s">
        <v>6909</v>
      </c>
      <c r="F4073" s="8"/>
    </row>
    <row r="4074" ht="21.0" customHeight="1">
      <c r="A4074" s="6">
        <v>1.0</v>
      </c>
      <c r="B4074" s="6">
        <v>311.0</v>
      </c>
      <c r="C4074" s="6">
        <v>2.0</v>
      </c>
      <c r="D4074" s="23" t="s">
        <v>6910</v>
      </c>
      <c r="E4074" s="9" t="s">
        <v>6911</v>
      </c>
      <c r="F4074" s="8"/>
    </row>
    <row r="4075" ht="21.0" customHeight="1">
      <c r="A4075" s="6">
        <v>1.0</v>
      </c>
      <c r="B4075" s="6">
        <v>311.0</v>
      </c>
      <c r="C4075" s="6">
        <v>3.0</v>
      </c>
      <c r="D4075" s="23" t="s">
        <v>6912</v>
      </c>
      <c r="E4075" s="9" t="s">
        <v>6913</v>
      </c>
      <c r="F4075" s="8"/>
    </row>
    <row r="4076" ht="21.0" customHeight="1">
      <c r="A4076" s="6">
        <v>1.0</v>
      </c>
      <c r="B4076" s="6">
        <v>311.0</v>
      </c>
      <c r="C4076" s="6">
        <v>4.0</v>
      </c>
      <c r="D4076" s="23" t="s">
        <v>6914</v>
      </c>
      <c r="E4076" s="9" t="s">
        <v>6915</v>
      </c>
      <c r="F4076" s="8"/>
    </row>
    <row r="4077" ht="21.0" customHeight="1">
      <c r="A4077" s="6">
        <v>1.0</v>
      </c>
      <c r="B4077" s="6">
        <v>311.0</v>
      </c>
      <c r="C4077" s="6">
        <v>5.0</v>
      </c>
      <c r="D4077" s="23" t="s">
        <v>6916</v>
      </c>
      <c r="E4077" s="9" t="s">
        <v>6917</v>
      </c>
      <c r="F4077" s="8"/>
    </row>
    <row r="4078" ht="21.0" customHeight="1">
      <c r="A4078" s="6">
        <v>1.0</v>
      </c>
      <c r="B4078" s="6">
        <v>311.0</v>
      </c>
      <c r="C4078" s="6">
        <v>6.0</v>
      </c>
      <c r="D4078" s="23" t="s">
        <v>6918</v>
      </c>
      <c r="E4078" s="9" t="s">
        <v>6919</v>
      </c>
      <c r="F4078" s="8"/>
    </row>
    <row r="4079" ht="21.0" customHeight="1">
      <c r="A4079" s="6">
        <v>1.0</v>
      </c>
      <c r="B4079" s="6">
        <v>311.0</v>
      </c>
      <c r="C4079" s="6">
        <v>7.0</v>
      </c>
      <c r="D4079" s="23" t="s">
        <v>6920</v>
      </c>
      <c r="E4079" s="9" t="s">
        <v>6921</v>
      </c>
      <c r="F4079" s="8"/>
    </row>
    <row r="4080" ht="21.0" customHeight="1">
      <c r="A4080" s="6">
        <v>1.0</v>
      </c>
      <c r="B4080" s="6">
        <v>311.0</v>
      </c>
      <c r="C4080" s="6">
        <v>8.0</v>
      </c>
      <c r="D4080" s="23" t="s">
        <v>6922</v>
      </c>
      <c r="E4080" s="72" t="s">
        <v>6923</v>
      </c>
      <c r="F4080" s="8"/>
    </row>
    <row r="4081" ht="21.0" customHeight="1">
      <c r="A4081" s="6">
        <v>1.0</v>
      </c>
      <c r="B4081" s="6">
        <v>311.0</v>
      </c>
      <c r="C4081" s="6">
        <v>9.0</v>
      </c>
      <c r="D4081" s="23" t="s">
        <v>6924</v>
      </c>
      <c r="E4081" s="9" t="s">
        <v>6925</v>
      </c>
      <c r="F4081" s="8"/>
    </row>
    <row r="4082" ht="21.0" customHeight="1">
      <c r="A4082" s="6">
        <v>1.0</v>
      </c>
      <c r="B4082" s="6">
        <v>311.0</v>
      </c>
      <c r="C4082" s="6">
        <v>10.0</v>
      </c>
      <c r="D4082" s="23" t="s">
        <v>6926</v>
      </c>
      <c r="E4082" s="9" t="s">
        <v>6927</v>
      </c>
      <c r="F4082" s="8"/>
    </row>
    <row r="4083" ht="21.0" customHeight="1">
      <c r="A4083" s="6">
        <v>1.0</v>
      </c>
      <c r="B4083" s="6">
        <v>311.0</v>
      </c>
      <c r="C4083" s="6">
        <v>11.0</v>
      </c>
      <c r="D4083" s="23" t="s">
        <v>6928</v>
      </c>
      <c r="E4083" s="9" t="s">
        <v>6929</v>
      </c>
      <c r="F4083" s="8"/>
    </row>
    <row r="4084" ht="21.0" customHeight="1">
      <c r="A4084" s="6">
        <v>1.0</v>
      </c>
      <c r="B4084" s="6">
        <v>311.0</v>
      </c>
      <c r="C4084" s="6">
        <v>12.0</v>
      </c>
      <c r="D4084" s="23" t="s">
        <v>6930</v>
      </c>
      <c r="E4084" s="9" t="s">
        <v>6931</v>
      </c>
      <c r="F4084" s="8"/>
    </row>
    <row r="4085" ht="21.0" customHeight="1">
      <c r="A4085" s="6">
        <v>1.0</v>
      </c>
      <c r="B4085" s="6">
        <v>311.0</v>
      </c>
      <c r="C4085" s="6">
        <v>13.0</v>
      </c>
      <c r="D4085" s="23" t="s">
        <v>6932</v>
      </c>
      <c r="E4085" s="9" t="s">
        <v>6933</v>
      </c>
      <c r="F4085" s="8"/>
    </row>
    <row r="4086" ht="21.0" customHeight="1">
      <c r="A4086" s="6">
        <v>1.0</v>
      </c>
      <c r="B4086" s="6">
        <v>312.0</v>
      </c>
      <c r="C4086" s="6">
        <v>1.0</v>
      </c>
      <c r="D4086" s="23" t="s">
        <v>6934</v>
      </c>
      <c r="E4086" s="9" t="s">
        <v>6935</v>
      </c>
      <c r="F4086" s="8"/>
    </row>
    <row r="4087" ht="21.0" customHeight="1">
      <c r="A4087" s="6">
        <v>1.0</v>
      </c>
      <c r="B4087" s="6">
        <v>312.0</v>
      </c>
      <c r="C4087" s="6">
        <v>2.0</v>
      </c>
      <c r="D4087" s="23" t="s">
        <v>6936</v>
      </c>
      <c r="E4087" s="9" t="s">
        <v>6937</v>
      </c>
      <c r="F4087" s="8"/>
    </row>
    <row r="4088" ht="21.0" customHeight="1">
      <c r="A4088" s="6">
        <v>1.0</v>
      </c>
      <c r="B4088" s="6">
        <v>312.0</v>
      </c>
      <c r="C4088" s="6">
        <v>3.0</v>
      </c>
      <c r="D4088" s="23" t="s">
        <v>6938</v>
      </c>
      <c r="E4088" s="9" t="s">
        <v>6939</v>
      </c>
      <c r="F4088" s="8"/>
    </row>
    <row r="4089" ht="21.0" customHeight="1">
      <c r="A4089" s="6">
        <v>1.0</v>
      </c>
      <c r="B4089" s="6">
        <v>312.0</v>
      </c>
      <c r="C4089" s="6">
        <v>4.0</v>
      </c>
      <c r="D4089" s="23" t="s">
        <v>6940</v>
      </c>
      <c r="E4089" s="9" t="s">
        <v>6941</v>
      </c>
      <c r="F4089" s="8"/>
    </row>
    <row r="4090" ht="21.0" customHeight="1">
      <c r="A4090" s="6">
        <v>1.0</v>
      </c>
      <c r="B4090" s="6">
        <v>312.0</v>
      </c>
      <c r="C4090" s="6">
        <v>5.0</v>
      </c>
      <c r="D4090" s="23" t="s">
        <v>6942</v>
      </c>
      <c r="E4090" s="9" t="s">
        <v>6943</v>
      </c>
      <c r="F4090" s="8"/>
    </row>
    <row r="4091" ht="21.0" customHeight="1">
      <c r="A4091" s="6">
        <v>1.0</v>
      </c>
      <c r="B4091" s="6">
        <v>312.0</v>
      </c>
      <c r="C4091" s="6">
        <v>6.0</v>
      </c>
      <c r="D4091" s="23" t="s">
        <v>6944</v>
      </c>
      <c r="E4091" s="9" t="s">
        <v>6945</v>
      </c>
      <c r="F4091" s="8"/>
    </row>
    <row r="4092" ht="21.0" customHeight="1">
      <c r="A4092" s="6">
        <v>1.0</v>
      </c>
      <c r="B4092" s="6">
        <v>312.0</v>
      </c>
      <c r="C4092" s="6">
        <v>7.0</v>
      </c>
      <c r="D4092" s="23" t="s">
        <v>6946</v>
      </c>
      <c r="E4092" s="72" t="s">
        <v>6947</v>
      </c>
      <c r="F4092" s="8"/>
    </row>
    <row r="4093" ht="21.0" customHeight="1">
      <c r="A4093" s="6">
        <v>1.0</v>
      </c>
      <c r="B4093" s="6">
        <v>312.0</v>
      </c>
      <c r="C4093" s="6">
        <v>8.0</v>
      </c>
      <c r="D4093" s="23" t="s">
        <v>6948</v>
      </c>
      <c r="E4093" s="9" t="s">
        <v>6949</v>
      </c>
      <c r="F4093" s="8"/>
    </row>
    <row r="4094" ht="21.0" customHeight="1">
      <c r="A4094" s="6">
        <v>1.0</v>
      </c>
      <c r="B4094" s="6">
        <v>312.0</v>
      </c>
      <c r="C4094" s="6">
        <v>9.0</v>
      </c>
      <c r="D4094" s="23" t="s">
        <v>6950</v>
      </c>
      <c r="E4094" s="9" t="s">
        <v>6951</v>
      </c>
      <c r="F4094" s="8"/>
    </row>
    <row r="4095" ht="21.0" customHeight="1">
      <c r="A4095" s="6">
        <v>1.0</v>
      </c>
      <c r="B4095" s="6">
        <v>312.0</v>
      </c>
      <c r="C4095" s="6">
        <v>10.0</v>
      </c>
      <c r="D4095" s="23" t="s">
        <v>6952</v>
      </c>
      <c r="E4095" s="9" t="s">
        <v>6953</v>
      </c>
      <c r="F4095" s="8"/>
    </row>
    <row r="4096" ht="21.0" customHeight="1">
      <c r="A4096" s="6">
        <v>1.0</v>
      </c>
      <c r="B4096" s="6">
        <v>312.0</v>
      </c>
      <c r="C4096" s="6">
        <v>11.0</v>
      </c>
      <c r="D4096" s="23" t="s">
        <v>6954</v>
      </c>
      <c r="E4096" s="9" t="s">
        <v>6955</v>
      </c>
      <c r="F4096" s="8"/>
    </row>
    <row r="4097" ht="21.0" customHeight="1">
      <c r="A4097" s="6">
        <v>1.0</v>
      </c>
      <c r="B4097" s="6">
        <v>312.0</v>
      </c>
      <c r="C4097" s="6">
        <v>12.0</v>
      </c>
      <c r="D4097" s="23" t="s">
        <v>6956</v>
      </c>
      <c r="E4097" s="9" t="s">
        <v>6957</v>
      </c>
      <c r="F4097" s="8"/>
    </row>
    <row r="4098" ht="21.0" customHeight="1">
      <c r="A4098" s="6">
        <v>1.0</v>
      </c>
      <c r="B4098" s="6">
        <v>312.0</v>
      </c>
      <c r="C4098" s="6">
        <v>13.0</v>
      </c>
      <c r="D4098" s="23" t="s">
        <v>6958</v>
      </c>
      <c r="E4098" s="9" t="s">
        <v>6959</v>
      </c>
      <c r="F4098" s="8"/>
    </row>
    <row r="4099" ht="21.0" customHeight="1">
      <c r="A4099" s="6">
        <v>11.0</v>
      </c>
      <c r="B4099" s="6">
        <v>2003.0</v>
      </c>
      <c r="C4099" s="6">
        <v>1.0</v>
      </c>
      <c r="D4099" s="23" t="s">
        <v>6960</v>
      </c>
      <c r="E4099" s="9" t="s">
        <v>6961</v>
      </c>
      <c r="F4099" s="8"/>
    </row>
    <row r="4100" ht="21.0" customHeight="1">
      <c r="A4100" s="6">
        <v>11.0</v>
      </c>
      <c r="B4100" s="6">
        <v>2003.0</v>
      </c>
      <c r="C4100" s="6">
        <v>2.0</v>
      </c>
      <c r="D4100" s="23" t="s">
        <v>6962</v>
      </c>
      <c r="E4100" s="9" t="s">
        <v>6963</v>
      </c>
      <c r="F4100" s="8"/>
    </row>
    <row r="4101" ht="21.0" customHeight="1">
      <c r="A4101" s="6">
        <v>11.0</v>
      </c>
      <c r="B4101" s="6">
        <v>2003.0</v>
      </c>
      <c r="C4101" s="6">
        <v>3.0</v>
      </c>
      <c r="D4101" s="23" t="s">
        <v>6964</v>
      </c>
      <c r="E4101" s="9" t="s">
        <v>6965</v>
      </c>
      <c r="F4101" s="8"/>
    </row>
    <row r="4102" ht="21.0" customHeight="1">
      <c r="A4102" s="6">
        <v>11.0</v>
      </c>
      <c r="B4102" s="6">
        <v>2003.0</v>
      </c>
      <c r="C4102" s="6">
        <v>4.0</v>
      </c>
      <c r="D4102" s="23" t="s">
        <v>6966</v>
      </c>
      <c r="E4102" s="9" t="s">
        <v>6967</v>
      </c>
      <c r="F4102" s="8"/>
    </row>
    <row r="4103" ht="21.0" customHeight="1">
      <c r="A4103" s="6">
        <v>10.0</v>
      </c>
      <c r="B4103" s="6">
        <v>2003.0</v>
      </c>
      <c r="C4103" s="6">
        <v>5.0</v>
      </c>
      <c r="D4103" s="23" t="s">
        <v>6968</v>
      </c>
      <c r="E4103" s="9" t="s">
        <v>6969</v>
      </c>
      <c r="F4103" s="8"/>
    </row>
    <row r="4104" ht="21.0" customHeight="1">
      <c r="A4104" s="6">
        <v>10.0</v>
      </c>
      <c r="B4104" s="6">
        <v>2003.0</v>
      </c>
      <c r="C4104" s="6">
        <v>6.0</v>
      </c>
      <c r="D4104" s="23" t="s">
        <v>6970</v>
      </c>
      <c r="E4104" s="9" t="s">
        <v>6971</v>
      </c>
      <c r="F4104" s="8"/>
    </row>
    <row r="4105" ht="21.0" customHeight="1">
      <c r="A4105" s="6">
        <v>10.0</v>
      </c>
      <c r="B4105" s="6">
        <v>2003.0</v>
      </c>
      <c r="C4105" s="6">
        <v>7.0</v>
      </c>
      <c r="D4105" s="23" t="s">
        <v>6972</v>
      </c>
      <c r="E4105" s="9" t="s">
        <v>6973</v>
      </c>
      <c r="F4105" s="8"/>
    </row>
    <row r="4106" ht="21.0" customHeight="1">
      <c r="A4106" s="6">
        <v>10.0</v>
      </c>
      <c r="B4106" s="6">
        <v>2003.0</v>
      </c>
      <c r="C4106" s="6">
        <v>8.0</v>
      </c>
      <c r="D4106" s="23" t="s">
        <v>6974</v>
      </c>
      <c r="E4106" s="9" t="s">
        <v>6975</v>
      </c>
      <c r="F4106" s="8"/>
    </row>
    <row r="4107" ht="21.0" customHeight="1">
      <c r="A4107" s="6">
        <v>10.0</v>
      </c>
      <c r="B4107" s="6">
        <v>2003.0</v>
      </c>
      <c r="C4107" s="6">
        <v>9.0</v>
      </c>
      <c r="D4107" s="23" t="s">
        <v>6976</v>
      </c>
      <c r="E4107" s="9" t="s">
        <v>6977</v>
      </c>
      <c r="F4107" s="8"/>
    </row>
    <row r="4108" ht="21.0" customHeight="1">
      <c r="A4108" s="6">
        <v>10.0</v>
      </c>
      <c r="B4108" s="6">
        <v>2003.0</v>
      </c>
      <c r="C4108" s="6">
        <v>10.0</v>
      </c>
      <c r="D4108" s="23" t="s">
        <v>6978</v>
      </c>
      <c r="E4108" s="9" t="s">
        <v>6979</v>
      </c>
      <c r="F4108" s="8"/>
    </row>
    <row r="4109" ht="21.0" customHeight="1">
      <c r="A4109" s="6">
        <v>11.0</v>
      </c>
      <c r="B4109" s="6">
        <v>2004.0</v>
      </c>
      <c r="C4109" s="6">
        <v>1.0</v>
      </c>
      <c r="D4109" s="23" t="s">
        <v>6980</v>
      </c>
      <c r="E4109" s="9" t="s">
        <v>6981</v>
      </c>
      <c r="F4109" s="8"/>
    </row>
    <row r="4110" ht="21.0" customHeight="1">
      <c r="A4110" s="6">
        <v>11.0</v>
      </c>
      <c r="B4110" s="6">
        <v>2004.0</v>
      </c>
      <c r="C4110" s="6">
        <v>2.0</v>
      </c>
      <c r="D4110" s="23" t="s">
        <v>6982</v>
      </c>
      <c r="E4110" s="9" t="s">
        <v>6983</v>
      </c>
      <c r="F4110" s="8"/>
    </row>
    <row r="4111" ht="21.0" customHeight="1">
      <c r="A4111" s="6">
        <v>11.0</v>
      </c>
      <c r="B4111" s="6">
        <v>2004.0</v>
      </c>
      <c r="C4111" s="6">
        <v>3.0</v>
      </c>
      <c r="D4111" s="23" t="s">
        <v>6984</v>
      </c>
      <c r="E4111" s="9" t="s">
        <v>6985</v>
      </c>
      <c r="F4111" s="8"/>
    </row>
    <row r="4112" ht="21.0" customHeight="1">
      <c r="A4112" s="6">
        <v>11.0</v>
      </c>
      <c r="B4112" s="6">
        <v>2004.0</v>
      </c>
      <c r="C4112" s="6">
        <v>4.0</v>
      </c>
      <c r="D4112" s="23" t="s">
        <v>6986</v>
      </c>
      <c r="E4112" s="9" t="s">
        <v>6987</v>
      </c>
      <c r="F4112" s="8"/>
    </row>
    <row r="4113" ht="21.0" customHeight="1">
      <c r="A4113" s="6">
        <v>10.0</v>
      </c>
      <c r="B4113" s="6">
        <v>2004.0</v>
      </c>
      <c r="C4113" s="6">
        <v>5.0</v>
      </c>
      <c r="D4113" s="23" t="s">
        <v>6988</v>
      </c>
      <c r="E4113" s="9" t="s">
        <v>6989</v>
      </c>
      <c r="F4113" s="8"/>
    </row>
    <row r="4114" ht="21.0" customHeight="1">
      <c r="A4114" s="6">
        <v>10.0</v>
      </c>
      <c r="B4114" s="6">
        <v>2004.0</v>
      </c>
      <c r="C4114" s="6">
        <v>6.0</v>
      </c>
      <c r="D4114" s="23" t="s">
        <v>6990</v>
      </c>
      <c r="E4114" s="9" t="s">
        <v>6991</v>
      </c>
      <c r="F4114" s="8"/>
    </row>
    <row r="4115" ht="21.0" customHeight="1">
      <c r="A4115" s="6">
        <v>10.0</v>
      </c>
      <c r="B4115" s="6">
        <v>2004.0</v>
      </c>
      <c r="C4115" s="6">
        <v>7.0</v>
      </c>
      <c r="D4115" s="23" t="s">
        <v>6992</v>
      </c>
      <c r="E4115" s="9" t="s">
        <v>6993</v>
      </c>
      <c r="F4115" s="8"/>
    </row>
    <row r="4116" ht="21.0" customHeight="1">
      <c r="A4116" s="6">
        <v>10.0</v>
      </c>
      <c r="B4116" s="6">
        <v>2004.0</v>
      </c>
      <c r="C4116" s="6">
        <v>8.0</v>
      </c>
      <c r="D4116" s="23" t="s">
        <v>6994</v>
      </c>
      <c r="E4116" s="9" t="s">
        <v>6995</v>
      </c>
      <c r="F4116" s="8"/>
    </row>
    <row r="4117" ht="21.0" customHeight="1">
      <c r="A4117" s="6">
        <v>10.0</v>
      </c>
      <c r="B4117" s="6">
        <v>2004.0</v>
      </c>
      <c r="C4117" s="6">
        <v>9.0</v>
      </c>
      <c r="D4117" s="23" t="s">
        <v>6996</v>
      </c>
      <c r="E4117" s="9" t="s">
        <v>6997</v>
      </c>
      <c r="F4117" s="8"/>
    </row>
    <row r="4118" ht="21.0" customHeight="1">
      <c r="A4118" s="6">
        <v>10.0</v>
      </c>
      <c r="B4118" s="6">
        <v>2004.0</v>
      </c>
      <c r="C4118" s="6">
        <v>10.0</v>
      </c>
      <c r="D4118" s="23" t="s">
        <v>6998</v>
      </c>
      <c r="E4118" s="9" t="s">
        <v>6979</v>
      </c>
      <c r="F4118" s="8"/>
    </row>
    <row r="4119" ht="21.0" customHeight="1">
      <c r="A4119" s="6">
        <v>1.0</v>
      </c>
      <c r="B4119" s="6">
        <v>313.0</v>
      </c>
      <c r="C4119" s="6">
        <v>1.0</v>
      </c>
      <c r="D4119" s="23" t="s">
        <v>6999</v>
      </c>
      <c r="E4119" s="9" t="s">
        <v>7000</v>
      </c>
      <c r="F4119" s="8"/>
    </row>
    <row r="4120" ht="21.0" customHeight="1">
      <c r="A4120" s="6">
        <v>1.0</v>
      </c>
      <c r="B4120" s="6">
        <v>313.0</v>
      </c>
      <c r="C4120" s="6">
        <v>2.0</v>
      </c>
      <c r="D4120" s="23" t="s">
        <v>7001</v>
      </c>
      <c r="E4120" s="9" t="s">
        <v>7002</v>
      </c>
      <c r="F4120" s="8"/>
    </row>
    <row r="4121" ht="21.0" customHeight="1">
      <c r="A4121" s="6">
        <v>1.0</v>
      </c>
      <c r="B4121" s="6">
        <v>313.0</v>
      </c>
      <c r="C4121" s="6">
        <v>3.0</v>
      </c>
      <c r="D4121" s="23" t="s">
        <v>7003</v>
      </c>
      <c r="E4121" s="9" t="s">
        <v>7004</v>
      </c>
      <c r="F4121" s="8"/>
    </row>
    <row r="4122" ht="21.0" customHeight="1">
      <c r="A4122" s="6">
        <v>1.0</v>
      </c>
      <c r="B4122" s="6">
        <v>313.0</v>
      </c>
      <c r="C4122" s="6">
        <v>4.0</v>
      </c>
      <c r="D4122" s="23" t="s">
        <v>7005</v>
      </c>
      <c r="E4122" s="9" t="s">
        <v>7006</v>
      </c>
      <c r="F4122" s="8"/>
    </row>
    <row r="4123" ht="21.0" customHeight="1">
      <c r="A4123" s="6">
        <v>1.0</v>
      </c>
      <c r="B4123" s="6">
        <v>313.0</v>
      </c>
      <c r="C4123" s="6">
        <v>5.0</v>
      </c>
      <c r="D4123" s="23" t="s">
        <v>7007</v>
      </c>
      <c r="E4123" s="9" t="s">
        <v>7008</v>
      </c>
      <c r="F4123" s="8"/>
    </row>
    <row r="4124" ht="21.0" customHeight="1">
      <c r="A4124" s="6">
        <v>1.0</v>
      </c>
      <c r="B4124" s="6">
        <v>313.0</v>
      </c>
      <c r="C4124" s="6">
        <v>6.0</v>
      </c>
      <c r="D4124" s="23" t="s">
        <v>7009</v>
      </c>
      <c r="E4124" s="9" t="s">
        <v>7010</v>
      </c>
      <c r="F4124" s="8"/>
    </row>
    <row r="4125" ht="21.0" customHeight="1">
      <c r="A4125" s="6">
        <v>1.0</v>
      </c>
      <c r="B4125" s="6">
        <v>313.0</v>
      </c>
      <c r="C4125" s="6">
        <v>7.0</v>
      </c>
      <c r="D4125" s="23" t="s">
        <v>7011</v>
      </c>
      <c r="E4125" s="9" t="s">
        <v>7012</v>
      </c>
      <c r="F4125" s="8"/>
    </row>
    <row r="4126" ht="21.0" customHeight="1">
      <c r="A4126" s="6">
        <v>1.0</v>
      </c>
      <c r="B4126" s="6">
        <v>313.0</v>
      </c>
      <c r="C4126" s="6">
        <v>8.0</v>
      </c>
      <c r="D4126" s="23" t="s">
        <v>7013</v>
      </c>
      <c r="E4126" s="9" t="s">
        <v>7014</v>
      </c>
      <c r="F4126" s="8"/>
    </row>
    <row r="4127" ht="21.0" customHeight="1">
      <c r="A4127" s="6">
        <v>1.0</v>
      </c>
      <c r="B4127" s="6">
        <v>313.0</v>
      </c>
      <c r="C4127" s="6">
        <v>9.0</v>
      </c>
      <c r="D4127" s="23" t="s">
        <v>7015</v>
      </c>
      <c r="E4127" s="9" t="s">
        <v>7016</v>
      </c>
      <c r="F4127" s="8"/>
    </row>
    <row r="4128" ht="21.0" customHeight="1">
      <c r="A4128" s="6">
        <v>1.0</v>
      </c>
      <c r="B4128" s="6">
        <v>313.0</v>
      </c>
      <c r="C4128" s="6">
        <v>10.0</v>
      </c>
      <c r="D4128" s="23" t="s">
        <v>7017</v>
      </c>
      <c r="E4128" s="9" t="s">
        <v>7018</v>
      </c>
      <c r="F4128" s="8"/>
    </row>
    <row r="4129" ht="21.0" customHeight="1">
      <c r="A4129" s="6">
        <v>1.0</v>
      </c>
      <c r="B4129" s="6">
        <v>313.0</v>
      </c>
      <c r="C4129" s="6">
        <v>11.0</v>
      </c>
      <c r="D4129" s="23" t="s">
        <v>7019</v>
      </c>
      <c r="E4129" s="9" t="s">
        <v>7020</v>
      </c>
      <c r="F4129" s="8"/>
    </row>
    <row r="4130" ht="21.0" customHeight="1">
      <c r="A4130" s="6">
        <v>1.0</v>
      </c>
      <c r="B4130" s="6">
        <v>313.0</v>
      </c>
      <c r="C4130" s="6">
        <v>12.0</v>
      </c>
      <c r="D4130" s="23" t="s">
        <v>7021</v>
      </c>
      <c r="E4130" s="9" t="s">
        <v>7022</v>
      </c>
      <c r="F4130" s="8"/>
    </row>
    <row r="4131" ht="21.0" customHeight="1">
      <c r="A4131" s="6">
        <v>1.0</v>
      </c>
      <c r="B4131" s="6">
        <v>313.0</v>
      </c>
      <c r="C4131" s="6">
        <v>13.0</v>
      </c>
      <c r="D4131" s="23" t="s">
        <v>7023</v>
      </c>
      <c r="E4131" s="9" t="s">
        <v>7024</v>
      </c>
      <c r="F4131" s="8"/>
    </row>
    <row r="4132" ht="21.0" customHeight="1">
      <c r="A4132" s="6">
        <v>1.0</v>
      </c>
      <c r="B4132" s="6">
        <v>314.0</v>
      </c>
      <c r="C4132" s="6">
        <v>1.0</v>
      </c>
      <c r="D4132" s="23" t="s">
        <v>7025</v>
      </c>
      <c r="E4132" s="9" t="s">
        <v>7026</v>
      </c>
      <c r="F4132" s="8"/>
    </row>
    <row r="4133" ht="21.0" customHeight="1">
      <c r="A4133" s="6">
        <v>1.0</v>
      </c>
      <c r="B4133" s="6">
        <v>314.0</v>
      </c>
      <c r="C4133" s="6">
        <v>2.0</v>
      </c>
      <c r="D4133" s="23" t="s">
        <v>7027</v>
      </c>
      <c r="E4133" s="9" t="s">
        <v>7028</v>
      </c>
      <c r="F4133" s="8"/>
    </row>
    <row r="4134" ht="21.0" customHeight="1">
      <c r="A4134" s="6">
        <v>1.0</v>
      </c>
      <c r="B4134" s="6">
        <v>314.0</v>
      </c>
      <c r="C4134" s="6">
        <v>3.0</v>
      </c>
      <c r="D4134" s="23" t="s">
        <v>7029</v>
      </c>
      <c r="E4134" s="9" t="s">
        <v>7030</v>
      </c>
      <c r="F4134" s="8"/>
    </row>
    <row r="4135" ht="21.0" customHeight="1">
      <c r="A4135" s="6">
        <v>1.0</v>
      </c>
      <c r="B4135" s="6">
        <v>314.0</v>
      </c>
      <c r="C4135" s="6">
        <v>4.0</v>
      </c>
      <c r="D4135" s="23" t="s">
        <v>7031</v>
      </c>
      <c r="E4135" s="9" t="s">
        <v>7032</v>
      </c>
      <c r="F4135" s="8"/>
    </row>
    <row r="4136" ht="21.0" customHeight="1">
      <c r="A4136" s="6">
        <v>1.0</v>
      </c>
      <c r="B4136" s="6">
        <v>314.0</v>
      </c>
      <c r="C4136" s="6">
        <v>5.0</v>
      </c>
      <c r="D4136" s="23" t="s">
        <v>7033</v>
      </c>
      <c r="E4136" s="9" t="s">
        <v>7034</v>
      </c>
      <c r="F4136" s="8"/>
    </row>
    <row r="4137" ht="21.0" customHeight="1">
      <c r="A4137" s="6">
        <v>1.0</v>
      </c>
      <c r="B4137" s="6">
        <v>314.0</v>
      </c>
      <c r="C4137" s="6">
        <v>6.0</v>
      </c>
      <c r="D4137" s="23" t="s">
        <v>7035</v>
      </c>
      <c r="E4137" s="9" t="s">
        <v>7036</v>
      </c>
      <c r="F4137" s="8"/>
    </row>
    <row r="4138" ht="21.0" customHeight="1">
      <c r="A4138" s="6">
        <v>1.0</v>
      </c>
      <c r="B4138" s="6">
        <v>314.0</v>
      </c>
      <c r="C4138" s="6">
        <v>7.0</v>
      </c>
      <c r="D4138" s="23" t="s">
        <v>7037</v>
      </c>
      <c r="E4138" s="9" t="s">
        <v>7038</v>
      </c>
      <c r="F4138" s="8"/>
    </row>
    <row r="4139" ht="21.0" customHeight="1">
      <c r="A4139" s="6">
        <v>1.0</v>
      </c>
      <c r="B4139" s="6">
        <v>314.0</v>
      </c>
      <c r="C4139" s="6">
        <v>8.0</v>
      </c>
      <c r="D4139" s="23" t="s">
        <v>7039</v>
      </c>
      <c r="E4139" s="9" t="s">
        <v>7040</v>
      </c>
      <c r="F4139" s="8"/>
    </row>
    <row r="4140" ht="21.0" customHeight="1">
      <c r="A4140" s="6">
        <v>1.0</v>
      </c>
      <c r="B4140" s="6">
        <v>314.0</v>
      </c>
      <c r="C4140" s="6">
        <v>9.0</v>
      </c>
      <c r="D4140" s="23" t="s">
        <v>7041</v>
      </c>
      <c r="E4140" s="9" t="s">
        <v>7042</v>
      </c>
      <c r="F4140" s="8"/>
    </row>
    <row r="4141" ht="21.0" customHeight="1">
      <c r="A4141" s="6">
        <v>1.0</v>
      </c>
      <c r="B4141" s="6">
        <v>314.0</v>
      </c>
      <c r="C4141" s="6">
        <v>10.0</v>
      </c>
      <c r="D4141" s="23" t="s">
        <v>7043</v>
      </c>
      <c r="E4141" s="9" t="s">
        <v>7044</v>
      </c>
      <c r="F4141" s="8"/>
    </row>
    <row r="4142" ht="21.0" customHeight="1">
      <c r="A4142" s="6">
        <v>1.0</v>
      </c>
      <c r="B4142" s="6">
        <v>314.0</v>
      </c>
      <c r="C4142" s="6">
        <v>11.0</v>
      </c>
      <c r="D4142" s="23" t="s">
        <v>7045</v>
      </c>
      <c r="E4142" s="9" t="s">
        <v>7046</v>
      </c>
      <c r="F4142" s="8"/>
    </row>
    <row r="4143" ht="21.0" customHeight="1">
      <c r="A4143" s="6">
        <v>1.0</v>
      </c>
      <c r="B4143" s="6">
        <v>314.0</v>
      </c>
      <c r="C4143" s="6">
        <v>12.0</v>
      </c>
      <c r="D4143" s="23" t="s">
        <v>7047</v>
      </c>
      <c r="E4143" s="9" t="s">
        <v>7048</v>
      </c>
      <c r="F4143" s="8"/>
    </row>
    <row r="4144" ht="21.0" customHeight="1">
      <c r="A4144" s="6">
        <v>1.0</v>
      </c>
      <c r="B4144" s="6">
        <v>314.0</v>
      </c>
      <c r="C4144" s="6">
        <v>13.0</v>
      </c>
      <c r="D4144" s="23" t="s">
        <v>7049</v>
      </c>
      <c r="E4144" s="9" t="s">
        <v>7050</v>
      </c>
      <c r="F4144" s="8"/>
    </row>
    <row r="4145" ht="21.0" customHeight="1">
      <c r="A4145" s="6">
        <v>1.0</v>
      </c>
      <c r="B4145" s="6">
        <v>315.0</v>
      </c>
      <c r="C4145" s="6">
        <v>1.0</v>
      </c>
      <c r="D4145" s="23" t="s">
        <v>7051</v>
      </c>
      <c r="E4145" s="9" t="s">
        <v>7052</v>
      </c>
      <c r="F4145" s="8"/>
    </row>
    <row r="4146" ht="21.0" customHeight="1">
      <c r="A4146" s="6">
        <v>1.0</v>
      </c>
      <c r="B4146" s="6">
        <v>315.0</v>
      </c>
      <c r="C4146" s="6">
        <v>2.0</v>
      </c>
      <c r="D4146" s="23" t="s">
        <v>7053</v>
      </c>
      <c r="E4146" s="9" t="s">
        <v>7054</v>
      </c>
      <c r="F4146" s="8"/>
    </row>
    <row r="4147" ht="21.0" customHeight="1">
      <c r="A4147" s="6">
        <v>1.0</v>
      </c>
      <c r="B4147" s="6">
        <v>315.0</v>
      </c>
      <c r="C4147" s="6">
        <v>3.0</v>
      </c>
      <c r="D4147" s="23" t="s">
        <v>7055</v>
      </c>
      <c r="E4147" s="9" t="s">
        <v>7056</v>
      </c>
      <c r="F4147" s="8"/>
    </row>
    <row r="4148" ht="21.0" customHeight="1">
      <c r="A4148" s="6">
        <v>1.0</v>
      </c>
      <c r="B4148" s="6">
        <v>315.0</v>
      </c>
      <c r="C4148" s="6">
        <v>4.0</v>
      </c>
      <c r="D4148" s="23" t="s">
        <v>7057</v>
      </c>
      <c r="E4148" s="9" t="s">
        <v>7058</v>
      </c>
      <c r="F4148" s="8"/>
    </row>
    <row r="4149" ht="21.0" customHeight="1">
      <c r="A4149" s="6">
        <v>1.0</v>
      </c>
      <c r="B4149" s="6">
        <v>315.0</v>
      </c>
      <c r="C4149" s="6">
        <v>5.0</v>
      </c>
      <c r="D4149" s="23" t="s">
        <v>7059</v>
      </c>
      <c r="E4149" s="9" t="s">
        <v>7060</v>
      </c>
      <c r="F4149" s="8"/>
    </row>
    <row r="4150" ht="21.0" customHeight="1">
      <c r="A4150" s="6">
        <v>1.0</v>
      </c>
      <c r="B4150" s="6">
        <v>315.0</v>
      </c>
      <c r="C4150" s="6">
        <v>6.0</v>
      </c>
      <c r="D4150" s="23" t="s">
        <v>7061</v>
      </c>
      <c r="E4150" s="9" t="s">
        <v>7062</v>
      </c>
      <c r="F4150" s="8"/>
    </row>
    <row r="4151" ht="21.0" customHeight="1">
      <c r="A4151" s="6">
        <v>1.0</v>
      </c>
      <c r="B4151" s="6">
        <v>315.0</v>
      </c>
      <c r="C4151" s="6">
        <v>7.0</v>
      </c>
      <c r="D4151" s="23" t="s">
        <v>7063</v>
      </c>
      <c r="E4151" s="9" t="s">
        <v>7064</v>
      </c>
      <c r="F4151" s="8"/>
    </row>
    <row r="4152" ht="21.0" customHeight="1">
      <c r="A4152" s="6">
        <v>1.0</v>
      </c>
      <c r="B4152" s="6">
        <v>315.0</v>
      </c>
      <c r="C4152" s="6">
        <v>8.0</v>
      </c>
      <c r="D4152" s="23" t="s">
        <v>7065</v>
      </c>
      <c r="E4152" s="9" t="s">
        <v>7066</v>
      </c>
      <c r="F4152" s="8"/>
    </row>
    <row r="4153" ht="21.0" customHeight="1">
      <c r="A4153" s="6">
        <v>1.0</v>
      </c>
      <c r="B4153" s="6">
        <v>315.0</v>
      </c>
      <c r="C4153" s="6">
        <v>9.0</v>
      </c>
      <c r="D4153" s="23" t="s">
        <v>7067</v>
      </c>
      <c r="E4153" s="9" t="s">
        <v>7068</v>
      </c>
      <c r="F4153" s="8"/>
    </row>
    <row r="4154" ht="21.0" customHeight="1">
      <c r="A4154" s="6">
        <v>1.0</v>
      </c>
      <c r="B4154" s="6">
        <v>315.0</v>
      </c>
      <c r="C4154" s="6">
        <v>10.0</v>
      </c>
      <c r="D4154" s="23" t="s">
        <v>7069</v>
      </c>
      <c r="E4154" s="9" t="s">
        <v>7070</v>
      </c>
      <c r="F4154" s="8"/>
    </row>
    <row r="4155" ht="21.0" customHeight="1">
      <c r="A4155" s="6">
        <v>1.0</v>
      </c>
      <c r="B4155" s="6">
        <v>315.0</v>
      </c>
      <c r="C4155" s="6">
        <v>11.0</v>
      </c>
      <c r="D4155" s="23" t="s">
        <v>7071</v>
      </c>
      <c r="E4155" s="9" t="s">
        <v>7072</v>
      </c>
      <c r="F4155" s="8"/>
    </row>
    <row r="4156" ht="21.0" customHeight="1">
      <c r="A4156" s="6">
        <v>1.0</v>
      </c>
      <c r="B4156" s="6">
        <v>315.0</v>
      </c>
      <c r="C4156" s="6">
        <v>12.0</v>
      </c>
      <c r="D4156" s="23" t="s">
        <v>7073</v>
      </c>
      <c r="E4156" s="9" t="s">
        <v>7074</v>
      </c>
      <c r="F4156" s="8"/>
    </row>
    <row r="4157" ht="21.0" customHeight="1">
      <c r="A4157" s="6">
        <v>1.0</v>
      </c>
      <c r="B4157" s="6">
        <v>315.0</v>
      </c>
      <c r="C4157" s="6">
        <v>13.0</v>
      </c>
      <c r="D4157" s="23" t="s">
        <v>7075</v>
      </c>
      <c r="E4157" s="9" t="s">
        <v>7076</v>
      </c>
      <c r="F4157" s="8"/>
    </row>
    <row r="4158" ht="21.0" customHeight="1">
      <c r="A4158" s="6">
        <v>13.0</v>
      </c>
      <c r="B4158" s="6">
        <v>315.0</v>
      </c>
      <c r="C4158" s="6">
        <v>14.0</v>
      </c>
      <c r="D4158" s="23" t="s">
        <v>7077</v>
      </c>
      <c r="E4158" s="9" t="s">
        <v>7078</v>
      </c>
      <c r="F4158" s="8"/>
    </row>
    <row r="4159" ht="21.0" customHeight="1">
      <c r="A4159" s="6">
        <v>11.0</v>
      </c>
      <c r="B4159" s="6">
        <v>2005.0</v>
      </c>
      <c r="C4159" s="6">
        <v>1.0</v>
      </c>
      <c r="D4159" s="23" t="s">
        <v>7079</v>
      </c>
      <c r="E4159" s="9" t="s">
        <v>7080</v>
      </c>
      <c r="F4159" s="8"/>
    </row>
    <row r="4160" ht="21.0" customHeight="1">
      <c r="A4160" s="6">
        <v>11.0</v>
      </c>
      <c r="B4160" s="6">
        <v>2005.0</v>
      </c>
      <c r="C4160" s="6">
        <v>2.0</v>
      </c>
      <c r="D4160" s="23" t="s">
        <v>7081</v>
      </c>
      <c r="E4160" s="9" t="s">
        <v>7082</v>
      </c>
      <c r="F4160" s="8"/>
    </row>
    <row r="4161" ht="21.0" customHeight="1">
      <c r="A4161" s="6">
        <v>11.0</v>
      </c>
      <c r="B4161" s="6">
        <v>2005.0</v>
      </c>
      <c r="C4161" s="6">
        <v>3.0</v>
      </c>
      <c r="D4161" s="23" t="s">
        <v>7083</v>
      </c>
      <c r="E4161" s="9" t="s">
        <v>7084</v>
      </c>
      <c r="F4161" s="8"/>
    </row>
    <row r="4162" ht="21.0" customHeight="1">
      <c r="A4162" s="6">
        <v>11.0</v>
      </c>
      <c r="B4162" s="6">
        <v>2005.0</v>
      </c>
      <c r="C4162" s="6">
        <v>4.0</v>
      </c>
      <c r="D4162" s="23" t="s">
        <v>7085</v>
      </c>
      <c r="E4162" s="9" t="s">
        <v>7086</v>
      </c>
      <c r="F4162" s="8"/>
    </row>
    <row r="4163" ht="21.0" customHeight="1">
      <c r="A4163" s="6">
        <v>10.0</v>
      </c>
      <c r="B4163" s="6">
        <v>2005.0</v>
      </c>
      <c r="C4163" s="6">
        <v>5.0</v>
      </c>
      <c r="D4163" s="23" t="s">
        <v>7087</v>
      </c>
      <c r="E4163" s="9" t="s">
        <v>7088</v>
      </c>
      <c r="F4163" s="8"/>
    </row>
    <row r="4164" ht="21.0" customHeight="1">
      <c r="A4164" s="6">
        <v>10.0</v>
      </c>
      <c r="B4164" s="6">
        <v>2005.0</v>
      </c>
      <c r="C4164" s="6">
        <v>6.0</v>
      </c>
      <c r="D4164" s="23" t="s">
        <v>7089</v>
      </c>
      <c r="E4164" s="9" t="s">
        <v>7090</v>
      </c>
      <c r="F4164" s="8"/>
    </row>
    <row r="4165" ht="21.0" customHeight="1">
      <c r="A4165" s="6">
        <v>10.0</v>
      </c>
      <c r="B4165" s="6">
        <v>2005.0</v>
      </c>
      <c r="C4165" s="6">
        <v>7.0</v>
      </c>
      <c r="D4165" s="9" t="s">
        <v>7091</v>
      </c>
      <c r="E4165" s="9" t="s">
        <v>7092</v>
      </c>
      <c r="F4165" s="8"/>
    </row>
    <row r="4166" ht="21.0" customHeight="1">
      <c r="A4166" s="6">
        <v>10.0</v>
      </c>
      <c r="B4166" s="6">
        <v>2005.0</v>
      </c>
      <c r="C4166" s="6">
        <v>8.0</v>
      </c>
      <c r="D4166" s="23" t="s">
        <v>7093</v>
      </c>
      <c r="E4166" s="9" t="s">
        <v>7094</v>
      </c>
      <c r="F4166" s="8"/>
    </row>
    <row r="4167" ht="21.0" customHeight="1">
      <c r="A4167" s="6">
        <v>10.0</v>
      </c>
      <c r="B4167" s="6">
        <v>2005.0</v>
      </c>
      <c r="C4167" s="6">
        <v>9.0</v>
      </c>
      <c r="D4167" s="9" t="s">
        <v>7095</v>
      </c>
      <c r="E4167" s="9" t="s">
        <v>7096</v>
      </c>
      <c r="F4167" s="8"/>
    </row>
    <row r="4168" ht="21.0" customHeight="1">
      <c r="A4168" s="6">
        <v>10.0</v>
      </c>
      <c r="B4168" s="6">
        <v>2005.0</v>
      </c>
      <c r="C4168" s="6">
        <v>10.0</v>
      </c>
      <c r="D4168" s="9" t="s">
        <v>7097</v>
      </c>
      <c r="E4168" s="9" t="s">
        <v>7098</v>
      </c>
      <c r="F4168" s="8"/>
    </row>
    <row r="4169" ht="21.0" customHeight="1">
      <c r="A4169" s="6">
        <v>11.0</v>
      </c>
      <c r="B4169" s="6">
        <v>2006.0</v>
      </c>
      <c r="C4169" s="6">
        <v>1.0</v>
      </c>
      <c r="D4169" s="23" t="s">
        <v>7099</v>
      </c>
      <c r="E4169" s="9" t="s">
        <v>7100</v>
      </c>
      <c r="F4169" s="8"/>
    </row>
    <row r="4170" ht="21.0" customHeight="1">
      <c r="A4170" s="6">
        <v>11.0</v>
      </c>
      <c r="B4170" s="6">
        <v>2006.0</v>
      </c>
      <c r="C4170" s="6">
        <v>2.0</v>
      </c>
      <c r="D4170" s="23" t="s">
        <v>7101</v>
      </c>
      <c r="E4170" s="9" t="s">
        <v>7102</v>
      </c>
      <c r="F4170" s="8"/>
    </row>
    <row r="4171" ht="21.0" customHeight="1">
      <c r="A4171" s="6">
        <v>11.0</v>
      </c>
      <c r="B4171" s="6">
        <v>2006.0</v>
      </c>
      <c r="C4171" s="6">
        <v>3.0</v>
      </c>
      <c r="D4171" s="23" t="s">
        <v>7103</v>
      </c>
      <c r="E4171" s="9" t="s">
        <v>7104</v>
      </c>
      <c r="F4171" s="8"/>
    </row>
    <row r="4172" ht="21.0" customHeight="1">
      <c r="A4172" s="6">
        <v>11.0</v>
      </c>
      <c r="B4172" s="6">
        <v>2006.0</v>
      </c>
      <c r="C4172" s="6">
        <v>4.0</v>
      </c>
      <c r="D4172" s="23" t="s">
        <v>7105</v>
      </c>
      <c r="E4172" s="9" t="s">
        <v>7106</v>
      </c>
      <c r="F4172" s="8"/>
    </row>
    <row r="4173" ht="21.0" customHeight="1">
      <c r="A4173" s="6">
        <v>10.0</v>
      </c>
      <c r="B4173" s="6">
        <v>2006.0</v>
      </c>
      <c r="C4173" s="6">
        <v>5.0</v>
      </c>
      <c r="D4173" s="23" t="s">
        <v>7107</v>
      </c>
      <c r="E4173" s="9" t="s">
        <v>7108</v>
      </c>
      <c r="F4173" s="8"/>
    </row>
    <row r="4174" ht="21.0" customHeight="1">
      <c r="A4174" s="6">
        <v>10.0</v>
      </c>
      <c r="B4174" s="6">
        <v>2006.0</v>
      </c>
      <c r="C4174" s="6">
        <v>6.0</v>
      </c>
      <c r="D4174" s="23" t="s">
        <v>7109</v>
      </c>
      <c r="E4174" s="9" t="s">
        <v>7110</v>
      </c>
      <c r="F4174" s="8"/>
    </row>
    <row r="4175" ht="21.0" customHeight="1">
      <c r="A4175" s="6">
        <v>10.0</v>
      </c>
      <c r="B4175" s="6">
        <v>2006.0</v>
      </c>
      <c r="C4175" s="6">
        <v>7.0</v>
      </c>
      <c r="D4175" s="9" t="s">
        <v>7111</v>
      </c>
      <c r="E4175" s="9" t="s">
        <v>7112</v>
      </c>
      <c r="F4175" s="8"/>
    </row>
    <row r="4176" ht="21.0" customHeight="1">
      <c r="A4176" s="6">
        <v>10.0</v>
      </c>
      <c r="B4176" s="6">
        <v>2006.0</v>
      </c>
      <c r="C4176" s="6">
        <v>8.0</v>
      </c>
      <c r="D4176" s="9" t="s">
        <v>7113</v>
      </c>
      <c r="E4176" s="9" t="s">
        <v>7114</v>
      </c>
      <c r="F4176" s="8"/>
    </row>
    <row r="4177" ht="21.0" customHeight="1">
      <c r="A4177" s="6">
        <v>10.0</v>
      </c>
      <c r="B4177" s="6">
        <v>2006.0</v>
      </c>
      <c r="C4177" s="6">
        <v>9.0</v>
      </c>
      <c r="D4177" s="9" t="s">
        <v>7115</v>
      </c>
      <c r="E4177" s="9" t="s">
        <v>7116</v>
      </c>
      <c r="F4177" s="8"/>
    </row>
    <row r="4178" ht="21.0" customHeight="1">
      <c r="A4178" s="6">
        <v>10.0</v>
      </c>
      <c r="B4178" s="6">
        <v>2006.0</v>
      </c>
      <c r="C4178" s="6">
        <v>10.0</v>
      </c>
      <c r="D4178" s="23" t="s">
        <v>7117</v>
      </c>
      <c r="E4178" s="9" t="s">
        <v>7098</v>
      </c>
      <c r="F4178" s="8"/>
    </row>
    <row r="4179" ht="21.0" customHeight="1">
      <c r="A4179" s="6">
        <v>1.0</v>
      </c>
      <c r="B4179" s="6">
        <v>316.0</v>
      </c>
      <c r="C4179" s="6">
        <v>1.0</v>
      </c>
      <c r="D4179" s="23" t="s">
        <v>7118</v>
      </c>
      <c r="E4179" s="9" t="s">
        <v>7119</v>
      </c>
      <c r="F4179" s="8"/>
    </row>
    <row r="4180" ht="21.0" customHeight="1">
      <c r="A4180" s="6">
        <v>1.0</v>
      </c>
      <c r="B4180" s="6">
        <v>316.0</v>
      </c>
      <c r="C4180" s="6">
        <v>2.0</v>
      </c>
      <c r="D4180" s="23" t="s">
        <v>7120</v>
      </c>
      <c r="E4180" s="9" t="s">
        <v>7121</v>
      </c>
      <c r="F4180" s="8"/>
    </row>
    <row r="4181" ht="21.0" customHeight="1">
      <c r="A4181" s="6">
        <v>1.0</v>
      </c>
      <c r="B4181" s="6">
        <v>316.0</v>
      </c>
      <c r="C4181" s="6">
        <v>3.0</v>
      </c>
      <c r="D4181" s="23" t="s">
        <v>7122</v>
      </c>
      <c r="E4181" s="9" t="s">
        <v>7123</v>
      </c>
      <c r="F4181" s="8"/>
    </row>
    <row r="4182" ht="21.0" customHeight="1">
      <c r="A4182" s="6">
        <v>1.0</v>
      </c>
      <c r="B4182" s="6">
        <v>316.0</v>
      </c>
      <c r="C4182" s="6">
        <v>4.0</v>
      </c>
      <c r="D4182" s="23" t="s">
        <v>7124</v>
      </c>
      <c r="E4182" s="9" t="s">
        <v>7125</v>
      </c>
      <c r="F4182" s="8"/>
    </row>
    <row r="4183" ht="21.0" customHeight="1">
      <c r="A4183" s="6">
        <v>1.0</v>
      </c>
      <c r="B4183" s="6">
        <v>316.0</v>
      </c>
      <c r="C4183" s="6">
        <v>5.0</v>
      </c>
      <c r="D4183" s="23" t="s">
        <v>7126</v>
      </c>
      <c r="E4183" s="9" t="s">
        <v>7127</v>
      </c>
      <c r="F4183" s="8"/>
    </row>
    <row r="4184" ht="21.0" customHeight="1">
      <c r="A4184" s="6">
        <v>1.0</v>
      </c>
      <c r="B4184" s="6">
        <v>316.0</v>
      </c>
      <c r="C4184" s="6">
        <v>6.0</v>
      </c>
      <c r="D4184" s="23" t="s">
        <v>7128</v>
      </c>
      <c r="E4184" s="9" t="s">
        <v>7129</v>
      </c>
      <c r="F4184" s="8"/>
    </row>
    <row r="4185" ht="21.0" customHeight="1">
      <c r="A4185" s="6">
        <v>1.0</v>
      </c>
      <c r="B4185" s="6">
        <v>316.0</v>
      </c>
      <c r="C4185" s="6">
        <v>7.0</v>
      </c>
      <c r="D4185" s="23" t="s">
        <v>7130</v>
      </c>
      <c r="E4185" s="9" t="s">
        <v>7131</v>
      </c>
      <c r="F4185" s="8"/>
    </row>
    <row r="4186" ht="21.0" customHeight="1">
      <c r="A4186" s="6">
        <v>1.0</v>
      </c>
      <c r="B4186" s="6">
        <v>316.0</v>
      </c>
      <c r="C4186" s="6">
        <v>8.0</v>
      </c>
      <c r="D4186" s="23" t="s">
        <v>7132</v>
      </c>
      <c r="E4186" s="9" t="s">
        <v>7133</v>
      </c>
      <c r="F4186" s="8"/>
    </row>
    <row r="4187" ht="21.0" customHeight="1">
      <c r="A4187" s="6">
        <v>1.0</v>
      </c>
      <c r="B4187" s="6">
        <v>316.0</v>
      </c>
      <c r="C4187" s="6">
        <v>9.0</v>
      </c>
      <c r="D4187" s="23" t="s">
        <v>7134</v>
      </c>
      <c r="E4187" s="9" t="s">
        <v>7135</v>
      </c>
      <c r="F4187" s="8"/>
    </row>
    <row r="4188" ht="21.0" customHeight="1">
      <c r="A4188" s="6">
        <v>1.0</v>
      </c>
      <c r="B4188" s="6">
        <v>316.0</v>
      </c>
      <c r="C4188" s="6">
        <v>10.0</v>
      </c>
      <c r="D4188" s="23" t="s">
        <v>7136</v>
      </c>
      <c r="E4188" s="9" t="s">
        <v>7137</v>
      </c>
      <c r="F4188" s="8"/>
    </row>
    <row r="4189" ht="21.0" customHeight="1">
      <c r="A4189" s="6">
        <v>1.0</v>
      </c>
      <c r="B4189" s="6">
        <v>316.0</v>
      </c>
      <c r="C4189" s="6">
        <v>11.0</v>
      </c>
      <c r="D4189" s="23" t="s">
        <v>7138</v>
      </c>
      <c r="E4189" s="9" t="s">
        <v>7139</v>
      </c>
      <c r="F4189" s="8"/>
    </row>
    <row r="4190" ht="21.0" customHeight="1">
      <c r="A4190" s="6">
        <v>1.0</v>
      </c>
      <c r="B4190" s="6">
        <v>316.0</v>
      </c>
      <c r="C4190" s="6">
        <v>12.0</v>
      </c>
      <c r="D4190" s="23" t="s">
        <v>7140</v>
      </c>
      <c r="E4190" s="9" t="s">
        <v>7141</v>
      </c>
      <c r="F4190" s="8"/>
    </row>
    <row r="4191" ht="21.0" customHeight="1">
      <c r="A4191" s="6">
        <v>1.0</v>
      </c>
      <c r="B4191" s="6">
        <v>316.0</v>
      </c>
      <c r="C4191" s="6">
        <v>13.0</v>
      </c>
      <c r="D4191" s="23" t="s">
        <v>7142</v>
      </c>
      <c r="E4191" s="9" t="s">
        <v>7143</v>
      </c>
      <c r="F4191" s="8"/>
    </row>
    <row r="4192" ht="21.0" customHeight="1">
      <c r="A4192" s="6">
        <v>1.0</v>
      </c>
      <c r="B4192" s="6">
        <v>317.0</v>
      </c>
      <c r="C4192" s="6">
        <v>1.0</v>
      </c>
      <c r="D4192" s="23" t="s">
        <v>7144</v>
      </c>
      <c r="E4192" s="9" t="s">
        <v>7145</v>
      </c>
      <c r="F4192" s="8"/>
    </row>
    <row r="4193" ht="21.0" customHeight="1">
      <c r="A4193" s="6">
        <v>1.0</v>
      </c>
      <c r="B4193" s="6">
        <v>317.0</v>
      </c>
      <c r="C4193" s="6">
        <v>2.0</v>
      </c>
      <c r="D4193" s="23" t="s">
        <v>7146</v>
      </c>
      <c r="E4193" s="9" t="s">
        <v>7147</v>
      </c>
      <c r="F4193" s="8"/>
    </row>
    <row r="4194" ht="21.0" customHeight="1">
      <c r="A4194" s="6">
        <v>1.0</v>
      </c>
      <c r="B4194" s="6">
        <v>317.0</v>
      </c>
      <c r="C4194" s="6">
        <v>3.0</v>
      </c>
      <c r="D4194" s="23" t="s">
        <v>7148</v>
      </c>
      <c r="E4194" s="9" t="s">
        <v>7149</v>
      </c>
      <c r="F4194" s="8"/>
    </row>
    <row r="4195" ht="21.0" customHeight="1">
      <c r="A4195" s="6">
        <v>1.0</v>
      </c>
      <c r="B4195" s="6">
        <v>317.0</v>
      </c>
      <c r="C4195" s="6">
        <v>4.0</v>
      </c>
      <c r="D4195" s="23" t="s">
        <v>7150</v>
      </c>
      <c r="E4195" s="9" t="s">
        <v>7151</v>
      </c>
      <c r="F4195" s="8"/>
    </row>
    <row r="4196" ht="21.0" customHeight="1">
      <c r="A4196" s="6">
        <v>1.0</v>
      </c>
      <c r="B4196" s="6">
        <v>317.0</v>
      </c>
      <c r="C4196" s="6">
        <v>5.0</v>
      </c>
      <c r="D4196" s="23" t="s">
        <v>7152</v>
      </c>
      <c r="E4196" s="9" t="s">
        <v>7153</v>
      </c>
      <c r="F4196" s="8"/>
    </row>
    <row r="4197" ht="21.0" customHeight="1">
      <c r="A4197" s="6">
        <v>1.0</v>
      </c>
      <c r="B4197" s="6">
        <v>317.0</v>
      </c>
      <c r="C4197" s="6">
        <v>6.0</v>
      </c>
      <c r="D4197" s="23" t="s">
        <v>7154</v>
      </c>
      <c r="E4197" s="9" t="s">
        <v>7155</v>
      </c>
      <c r="F4197" s="8"/>
    </row>
    <row r="4198" ht="21.0" customHeight="1">
      <c r="A4198" s="6">
        <v>1.0</v>
      </c>
      <c r="B4198" s="6">
        <v>317.0</v>
      </c>
      <c r="C4198" s="6">
        <v>7.0</v>
      </c>
      <c r="D4198" s="23" t="s">
        <v>7156</v>
      </c>
      <c r="E4198" s="9" t="s">
        <v>7157</v>
      </c>
      <c r="F4198" s="8"/>
    </row>
    <row r="4199" ht="21.0" customHeight="1">
      <c r="A4199" s="6">
        <v>1.0</v>
      </c>
      <c r="B4199" s="6">
        <v>317.0</v>
      </c>
      <c r="C4199" s="6">
        <v>8.0</v>
      </c>
      <c r="D4199" s="23" t="s">
        <v>7158</v>
      </c>
      <c r="E4199" s="9" t="s">
        <v>7159</v>
      </c>
      <c r="F4199" s="8"/>
    </row>
    <row r="4200" ht="21.0" customHeight="1">
      <c r="A4200" s="6">
        <v>1.0</v>
      </c>
      <c r="B4200" s="6">
        <v>317.0</v>
      </c>
      <c r="C4200" s="6">
        <v>9.0</v>
      </c>
      <c r="D4200" s="23" t="s">
        <v>7160</v>
      </c>
      <c r="E4200" s="9" t="s">
        <v>7161</v>
      </c>
      <c r="F4200" s="8"/>
    </row>
    <row r="4201" ht="21.0" customHeight="1">
      <c r="A4201" s="6">
        <v>1.0</v>
      </c>
      <c r="B4201" s="6">
        <v>317.0</v>
      </c>
      <c r="C4201" s="6">
        <v>10.0</v>
      </c>
      <c r="D4201" s="23" t="s">
        <v>7162</v>
      </c>
      <c r="E4201" s="9" t="s">
        <v>7163</v>
      </c>
      <c r="F4201" s="8"/>
    </row>
    <row r="4202" ht="21.0" customHeight="1">
      <c r="A4202" s="6">
        <v>1.0</v>
      </c>
      <c r="B4202" s="6">
        <v>317.0</v>
      </c>
      <c r="C4202" s="6">
        <v>11.0</v>
      </c>
      <c r="D4202" s="23" t="s">
        <v>7164</v>
      </c>
      <c r="E4202" s="9" t="s">
        <v>7165</v>
      </c>
      <c r="F4202" s="8"/>
    </row>
    <row r="4203" ht="21.0" customHeight="1">
      <c r="A4203" s="6">
        <v>1.0</v>
      </c>
      <c r="B4203" s="6">
        <v>317.0</v>
      </c>
      <c r="C4203" s="6">
        <v>12.0</v>
      </c>
      <c r="D4203" s="9" t="s">
        <v>7166</v>
      </c>
      <c r="E4203" s="9" t="s">
        <v>7167</v>
      </c>
      <c r="F4203" s="8"/>
    </row>
    <row r="4204" ht="21.0" customHeight="1">
      <c r="A4204" s="6">
        <v>1.0</v>
      </c>
      <c r="B4204" s="6">
        <v>317.0</v>
      </c>
      <c r="C4204" s="6">
        <v>13.0</v>
      </c>
      <c r="D4204" s="23" t="s">
        <v>7168</v>
      </c>
      <c r="E4204" s="9" t="s">
        <v>7169</v>
      </c>
      <c r="F4204" s="8"/>
    </row>
    <row r="4205" ht="21.0" customHeight="1">
      <c r="A4205" s="6">
        <v>1.0</v>
      </c>
      <c r="B4205" s="6">
        <v>318.0</v>
      </c>
      <c r="C4205" s="6">
        <v>1.0</v>
      </c>
      <c r="D4205" s="23" t="s">
        <v>7170</v>
      </c>
      <c r="E4205" s="9" t="s">
        <v>7171</v>
      </c>
      <c r="F4205" s="8"/>
    </row>
    <row r="4206" ht="21.0" customHeight="1">
      <c r="A4206" s="6">
        <v>1.0</v>
      </c>
      <c r="B4206" s="6">
        <v>318.0</v>
      </c>
      <c r="C4206" s="6">
        <v>2.0</v>
      </c>
      <c r="D4206" s="23" t="s">
        <v>7172</v>
      </c>
      <c r="E4206" s="9" t="s">
        <v>7173</v>
      </c>
      <c r="F4206" s="8"/>
    </row>
    <row r="4207" ht="21.0" customHeight="1">
      <c r="A4207" s="6">
        <v>1.0</v>
      </c>
      <c r="B4207" s="6">
        <v>318.0</v>
      </c>
      <c r="C4207" s="6">
        <v>3.0</v>
      </c>
      <c r="D4207" s="23" t="s">
        <v>7174</v>
      </c>
      <c r="E4207" s="9" t="s">
        <v>7175</v>
      </c>
      <c r="F4207" s="8"/>
    </row>
    <row r="4208" ht="21.0" customHeight="1">
      <c r="A4208" s="6">
        <v>1.0</v>
      </c>
      <c r="B4208" s="6">
        <v>318.0</v>
      </c>
      <c r="C4208" s="6">
        <v>4.0</v>
      </c>
      <c r="D4208" s="23" t="s">
        <v>7176</v>
      </c>
      <c r="E4208" s="9" t="s">
        <v>7177</v>
      </c>
      <c r="F4208" s="8"/>
    </row>
    <row r="4209" ht="21.0" customHeight="1">
      <c r="A4209" s="6">
        <v>1.0</v>
      </c>
      <c r="B4209" s="6">
        <v>318.0</v>
      </c>
      <c r="C4209" s="6">
        <v>5.0</v>
      </c>
      <c r="D4209" s="23" t="s">
        <v>7178</v>
      </c>
      <c r="E4209" s="9" t="s">
        <v>7179</v>
      </c>
      <c r="F4209" s="8"/>
    </row>
    <row r="4210" ht="21.0" customHeight="1">
      <c r="A4210" s="6">
        <v>1.0</v>
      </c>
      <c r="B4210" s="6">
        <v>318.0</v>
      </c>
      <c r="C4210" s="6">
        <v>6.0</v>
      </c>
      <c r="D4210" s="23" t="s">
        <v>7180</v>
      </c>
      <c r="E4210" s="9" t="s">
        <v>7181</v>
      </c>
      <c r="F4210" s="8"/>
    </row>
    <row r="4211" ht="21.0" customHeight="1">
      <c r="A4211" s="6">
        <v>1.0</v>
      </c>
      <c r="B4211" s="6">
        <v>318.0</v>
      </c>
      <c r="C4211" s="6">
        <v>7.0</v>
      </c>
      <c r="D4211" s="23" t="s">
        <v>7182</v>
      </c>
      <c r="E4211" s="9" t="s">
        <v>7183</v>
      </c>
      <c r="F4211" s="8"/>
    </row>
    <row r="4212" ht="21.0" customHeight="1">
      <c r="A4212" s="6">
        <v>1.0</v>
      </c>
      <c r="B4212" s="6">
        <v>318.0</v>
      </c>
      <c r="C4212" s="6">
        <v>8.0</v>
      </c>
      <c r="D4212" s="23" t="s">
        <v>7184</v>
      </c>
      <c r="E4212" s="9" t="s">
        <v>7185</v>
      </c>
      <c r="F4212" s="8"/>
    </row>
    <row r="4213" ht="21.0" customHeight="1">
      <c r="A4213" s="6">
        <v>1.0</v>
      </c>
      <c r="B4213" s="6">
        <v>318.0</v>
      </c>
      <c r="C4213" s="6">
        <v>9.0</v>
      </c>
      <c r="D4213" s="23" t="s">
        <v>7186</v>
      </c>
      <c r="E4213" s="9" t="s">
        <v>7187</v>
      </c>
      <c r="F4213" s="8"/>
    </row>
    <row r="4214" ht="21.0" customHeight="1">
      <c r="A4214" s="6">
        <v>1.0</v>
      </c>
      <c r="B4214" s="6">
        <v>318.0</v>
      </c>
      <c r="C4214" s="6">
        <v>10.0</v>
      </c>
      <c r="D4214" s="23" t="s">
        <v>7188</v>
      </c>
      <c r="E4214" s="9" t="s">
        <v>7189</v>
      </c>
      <c r="F4214" s="8"/>
    </row>
    <row r="4215" ht="21.0" customHeight="1">
      <c r="A4215" s="6">
        <v>1.0</v>
      </c>
      <c r="B4215" s="6">
        <v>318.0</v>
      </c>
      <c r="C4215" s="6">
        <v>11.0</v>
      </c>
      <c r="D4215" s="23" t="s">
        <v>7190</v>
      </c>
      <c r="E4215" s="9" t="s">
        <v>7191</v>
      </c>
      <c r="F4215" s="8"/>
    </row>
    <row r="4216" ht="21.0" customHeight="1">
      <c r="A4216" s="6">
        <v>1.0</v>
      </c>
      <c r="B4216" s="6">
        <v>318.0</v>
      </c>
      <c r="C4216" s="6">
        <v>12.0</v>
      </c>
      <c r="D4216" s="23" t="s">
        <v>7192</v>
      </c>
      <c r="E4216" s="9" t="s">
        <v>7193</v>
      </c>
      <c r="F4216" s="8"/>
    </row>
    <row r="4217" ht="21.0" customHeight="1">
      <c r="A4217" s="6">
        <v>1.0</v>
      </c>
      <c r="B4217" s="6">
        <v>318.0</v>
      </c>
      <c r="C4217" s="6">
        <v>13.0</v>
      </c>
      <c r="D4217" s="23" t="s">
        <v>7194</v>
      </c>
      <c r="E4217" s="9" t="s">
        <v>7195</v>
      </c>
      <c r="F4217" s="8"/>
    </row>
    <row r="4218" ht="21.0" customHeight="1">
      <c r="A4218" s="6">
        <v>11.0</v>
      </c>
      <c r="B4218" s="6">
        <v>2007.0</v>
      </c>
      <c r="C4218" s="6">
        <v>1.0</v>
      </c>
      <c r="D4218" s="75" t="s">
        <v>7196</v>
      </c>
      <c r="E4218" s="19" t="s">
        <v>7197</v>
      </c>
      <c r="F4218" s="8"/>
    </row>
    <row r="4219" ht="21.0" customHeight="1">
      <c r="A4219" s="6">
        <v>11.0</v>
      </c>
      <c r="B4219" s="6">
        <v>2007.0</v>
      </c>
      <c r="C4219" s="6">
        <v>2.0</v>
      </c>
      <c r="D4219" s="75" t="s">
        <v>7198</v>
      </c>
      <c r="E4219" s="19" t="s">
        <v>7199</v>
      </c>
      <c r="F4219" s="8"/>
    </row>
    <row r="4220" ht="21.0" customHeight="1">
      <c r="A4220" s="6">
        <v>11.0</v>
      </c>
      <c r="B4220" s="6">
        <v>2007.0</v>
      </c>
      <c r="C4220" s="6">
        <v>3.0</v>
      </c>
      <c r="D4220" s="75" t="s">
        <v>7200</v>
      </c>
      <c r="E4220" s="19" t="s">
        <v>7201</v>
      </c>
      <c r="F4220" s="8"/>
    </row>
    <row r="4221" ht="21.0" customHeight="1">
      <c r="A4221" s="6">
        <v>11.0</v>
      </c>
      <c r="B4221" s="6">
        <v>2007.0</v>
      </c>
      <c r="C4221" s="6">
        <v>4.0</v>
      </c>
      <c r="D4221" s="75" t="s">
        <v>7202</v>
      </c>
      <c r="E4221" s="19" t="s">
        <v>7203</v>
      </c>
      <c r="F4221" s="8"/>
    </row>
    <row r="4222" ht="21.0" customHeight="1">
      <c r="A4222" s="6">
        <v>10.0</v>
      </c>
      <c r="B4222" s="6">
        <v>2007.0</v>
      </c>
      <c r="C4222" s="6">
        <v>5.0</v>
      </c>
      <c r="D4222" s="75" t="s">
        <v>7204</v>
      </c>
      <c r="E4222" s="19" t="s">
        <v>7205</v>
      </c>
      <c r="F4222" s="8"/>
    </row>
    <row r="4223" ht="21.0" customHeight="1">
      <c r="A4223" s="6">
        <v>10.0</v>
      </c>
      <c r="B4223" s="6">
        <v>2007.0</v>
      </c>
      <c r="C4223" s="6">
        <v>6.0</v>
      </c>
      <c r="D4223" s="75" t="s">
        <v>7206</v>
      </c>
      <c r="E4223" s="19" t="s">
        <v>7207</v>
      </c>
      <c r="F4223" s="8"/>
    </row>
    <row r="4224" ht="21.0" customHeight="1">
      <c r="A4224" s="6">
        <v>10.0</v>
      </c>
      <c r="B4224" s="6">
        <v>2007.0</v>
      </c>
      <c r="C4224" s="6">
        <v>7.0</v>
      </c>
      <c r="D4224" s="75" t="s">
        <v>7208</v>
      </c>
      <c r="E4224" s="19" t="s">
        <v>7209</v>
      </c>
      <c r="F4224" s="8"/>
    </row>
    <row r="4225" ht="21.0" customHeight="1">
      <c r="A4225" s="6">
        <v>10.0</v>
      </c>
      <c r="B4225" s="6">
        <v>2007.0</v>
      </c>
      <c r="C4225" s="6">
        <v>8.0</v>
      </c>
      <c r="D4225" s="75" t="s">
        <v>7210</v>
      </c>
      <c r="E4225" s="19" t="s">
        <v>7211</v>
      </c>
      <c r="F4225" s="8"/>
    </row>
    <row r="4226" ht="21.0" customHeight="1">
      <c r="A4226" s="6">
        <v>10.0</v>
      </c>
      <c r="B4226" s="6">
        <v>2007.0</v>
      </c>
      <c r="C4226" s="6">
        <v>9.0</v>
      </c>
      <c r="D4226" s="75" t="s">
        <v>7212</v>
      </c>
      <c r="E4226" s="19" t="s">
        <v>7213</v>
      </c>
      <c r="F4226" s="8"/>
    </row>
    <row r="4227" ht="21.0" customHeight="1">
      <c r="A4227" s="6">
        <v>10.0</v>
      </c>
      <c r="B4227" s="6">
        <v>2007.0</v>
      </c>
      <c r="C4227" s="6">
        <v>10.0</v>
      </c>
      <c r="D4227" s="75" t="s">
        <v>7214</v>
      </c>
      <c r="E4227" s="19" t="s">
        <v>7215</v>
      </c>
      <c r="F4227" s="8"/>
    </row>
    <row r="4228" ht="21.0" customHeight="1">
      <c r="A4228" s="6">
        <v>11.0</v>
      </c>
      <c r="B4228" s="6">
        <v>2008.0</v>
      </c>
      <c r="C4228" s="6">
        <v>1.0</v>
      </c>
      <c r="D4228" s="75" t="s">
        <v>7216</v>
      </c>
      <c r="E4228" s="19" t="s">
        <v>7217</v>
      </c>
      <c r="F4228" s="8"/>
    </row>
    <row r="4229" ht="21.0" customHeight="1">
      <c r="A4229" s="6">
        <v>11.0</v>
      </c>
      <c r="B4229" s="6">
        <v>2008.0</v>
      </c>
      <c r="C4229" s="6">
        <v>2.0</v>
      </c>
      <c r="D4229" s="75" t="s">
        <v>7218</v>
      </c>
      <c r="E4229" s="19" t="s">
        <v>7219</v>
      </c>
      <c r="F4229" s="8"/>
    </row>
    <row r="4230" ht="21.0" customHeight="1">
      <c r="A4230" s="6">
        <v>11.0</v>
      </c>
      <c r="B4230" s="6">
        <v>2008.0</v>
      </c>
      <c r="C4230" s="6">
        <v>3.0</v>
      </c>
      <c r="D4230" s="75" t="s">
        <v>7220</v>
      </c>
      <c r="E4230" s="19" t="s">
        <v>7221</v>
      </c>
      <c r="F4230" s="8"/>
    </row>
    <row r="4231" ht="21.0" customHeight="1">
      <c r="A4231" s="6">
        <v>11.0</v>
      </c>
      <c r="B4231" s="6">
        <v>2008.0</v>
      </c>
      <c r="C4231" s="6">
        <v>4.0</v>
      </c>
      <c r="D4231" s="75" t="s">
        <v>7222</v>
      </c>
      <c r="E4231" s="19" t="s">
        <v>7223</v>
      </c>
      <c r="F4231" s="8"/>
    </row>
    <row r="4232" ht="21.0" customHeight="1">
      <c r="A4232" s="6">
        <v>10.0</v>
      </c>
      <c r="B4232" s="6">
        <v>2008.0</v>
      </c>
      <c r="C4232" s="6">
        <v>5.0</v>
      </c>
      <c r="D4232" s="75" t="s">
        <v>7224</v>
      </c>
      <c r="E4232" s="19" t="s">
        <v>7225</v>
      </c>
      <c r="F4232" s="8"/>
    </row>
    <row r="4233" ht="21.0" customHeight="1">
      <c r="A4233" s="6">
        <v>10.0</v>
      </c>
      <c r="B4233" s="6">
        <v>2008.0</v>
      </c>
      <c r="C4233" s="6">
        <v>6.0</v>
      </c>
      <c r="D4233" s="75" t="s">
        <v>7226</v>
      </c>
      <c r="E4233" s="19" t="s">
        <v>7227</v>
      </c>
      <c r="F4233" s="8"/>
    </row>
    <row r="4234" ht="21.0" customHeight="1">
      <c r="A4234" s="6">
        <v>10.0</v>
      </c>
      <c r="B4234" s="6">
        <v>2008.0</v>
      </c>
      <c r="C4234" s="6">
        <v>7.0</v>
      </c>
      <c r="D4234" s="75" t="s">
        <v>7228</v>
      </c>
      <c r="E4234" s="19" t="s">
        <v>7229</v>
      </c>
      <c r="F4234" s="8"/>
    </row>
    <row r="4235" ht="21.0" customHeight="1">
      <c r="A4235" s="6">
        <v>10.0</v>
      </c>
      <c r="B4235" s="6">
        <v>2008.0</v>
      </c>
      <c r="C4235" s="6">
        <v>8.0</v>
      </c>
      <c r="D4235" s="75" t="s">
        <v>7230</v>
      </c>
      <c r="E4235" s="19" t="s">
        <v>7231</v>
      </c>
      <c r="F4235" s="8"/>
    </row>
    <row r="4236" ht="21.0" customHeight="1">
      <c r="A4236" s="6">
        <v>10.0</v>
      </c>
      <c r="B4236" s="6">
        <v>2008.0</v>
      </c>
      <c r="C4236" s="6">
        <v>9.0</v>
      </c>
      <c r="D4236" s="75" t="s">
        <v>7232</v>
      </c>
      <c r="E4236" s="19" t="s">
        <v>7233</v>
      </c>
      <c r="F4236" s="8"/>
    </row>
    <row r="4237" ht="21.0" customHeight="1">
      <c r="A4237" s="6">
        <v>10.0</v>
      </c>
      <c r="B4237" s="6">
        <v>2008.0</v>
      </c>
      <c r="C4237" s="6">
        <v>10.0</v>
      </c>
      <c r="D4237" s="75" t="s">
        <v>7234</v>
      </c>
      <c r="E4237" s="19" t="s">
        <v>7215</v>
      </c>
      <c r="F4237" s="8"/>
    </row>
    <row r="4238" ht="21.0" customHeight="1">
      <c r="A4238" s="6">
        <v>1.0</v>
      </c>
      <c r="B4238" s="6">
        <v>319.0</v>
      </c>
      <c r="C4238" s="6">
        <v>1.0</v>
      </c>
      <c r="D4238" s="95" t="s">
        <v>7235</v>
      </c>
      <c r="E4238" s="11" t="s">
        <v>7236</v>
      </c>
      <c r="F4238" s="8"/>
    </row>
    <row r="4239" ht="21.0" customHeight="1">
      <c r="A4239" s="6">
        <v>1.0</v>
      </c>
      <c r="B4239" s="6">
        <v>319.0</v>
      </c>
      <c r="C4239" s="6">
        <v>2.0</v>
      </c>
      <c r="D4239" s="95" t="s">
        <v>7237</v>
      </c>
      <c r="E4239" s="11" t="s">
        <v>7238</v>
      </c>
      <c r="F4239" s="8"/>
    </row>
    <row r="4240" ht="21.0" customHeight="1">
      <c r="A4240" s="6">
        <v>1.0</v>
      </c>
      <c r="B4240" s="6">
        <v>319.0</v>
      </c>
      <c r="C4240" s="6">
        <v>3.0</v>
      </c>
      <c r="D4240" s="95" t="s">
        <v>7239</v>
      </c>
      <c r="E4240" s="11" t="s">
        <v>7240</v>
      </c>
      <c r="F4240" s="8"/>
    </row>
    <row r="4241" ht="21.0" customHeight="1">
      <c r="A4241" s="6">
        <v>1.0</v>
      </c>
      <c r="B4241" s="6">
        <v>319.0</v>
      </c>
      <c r="C4241" s="6">
        <v>4.0</v>
      </c>
      <c r="D4241" s="95" t="s">
        <v>7241</v>
      </c>
      <c r="E4241" s="11" t="s">
        <v>7242</v>
      </c>
      <c r="F4241" s="8"/>
    </row>
    <row r="4242" ht="21.0" customHeight="1">
      <c r="A4242" s="6">
        <v>1.0</v>
      </c>
      <c r="B4242" s="6">
        <v>319.0</v>
      </c>
      <c r="C4242" s="6">
        <v>5.0</v>
      </c>
      <c r="D4242" s="95" t="s">
        <v>7243</v>
      </c>
      <c r="E4242" s="11" t="s">
        <v>7244</v>
      </c>
      <c r="F4242" s="8"/>
    </row>
    <row r="4243" ht="21.0" customHeight="1">
      <c r="A4243" s="6">
        <v>1.0</v>
      </c>
      <c r="B4243" s="6">
        <v>319.0</v>
      </c>
      <c r="C4243" s="6">
        <v>6.0</v>
      </c>
      <c r="D4243" s="95" t="s">
        <v>7245</v>
      </c>
      <c r="E4243" s="11" t="s">
        <v>7246</v>
      </c>
      <c r="F4243" s="8"/>
    </row>
    <row r="4244" ht="21.0" customHeight="1">
      <c r="A4244" s="6">
        <v>1.0</v>
      </c>
      <c r="B4244" s="6">
        <v>319.0</v>
      </c>
      <c r="C4244" s="6">
        <v>7.0</v>
      </c>
      <c r="D4244" s="95" t="s">
        <v>7247</v>
      </c>
      <c r="E4244" s="11" t="s">
        <v>7248</v>
      </c>
      <c r="F4244" s="8"/>
    </row>
    <row r="4245" ht="21.0" customHeight="1">
      <c r="A4245" s="6">
        <v>1.0</v>
      </c>
      <c r="B4245" s="6">
        <v>319.0</v>
      </c>
      <c r="C4245" s="6">
        <v>8.0</v>
      </c>
      <c r="D4245" s="95" t="s">
        <v>7249</v>
      </c>
      <c r="E4245" s="11" t="s">
        <v>7250</v>
      </c>
      <c r="F4245" s="8"/>
    </row>
    <row r="4246" ht="21.0" customHeight="1">
      <c r="A4246" s="6">
        <v>1.0</v>
      </c>
      <c r="B4246" s="6">
        <v>319.0</v>
      </c>
      <c r="C4246" s="6">
        <v>9.0</v>
      </c>
      <c r="D4246" s="95" t="s">
        <v>7251</v>
      </c>
      <c r="E4246" s="11" t="s">
        <v>7252</v>
      </c>
      <c r="F4246" s="8"/>
    </row>
    <row r="4247" ht="21.0" customHeight="1">
      <c r="A4247" s="6">
        <v>1.0</v>
      </c>
      <c r="B4247" s="6">
        <v>319.0</v>
      </c>
      <c r="C4247" s="6">
        <v>10.0</v>
      </c>
      <c r="D4247" s="95" t="s">
        <v>7253</v>
      </c>
      <c r="E4247" s="11" t="s">
        <v>7254</v>
      </c>
      <c r="F4247" s="8"/>
    </row>
    <row r="4248" ht="21.0" customHeight="1">
      <c r="A4248" s="6">
        <v>1.0</v>
      </c>
      <c r="B4248" s="6">
        <v>319.0</v>
      </c>
      <c r="C4248" s="6">
        <v>11.0</v>
      </c>
      <c r="D4248" s="95" t="s">
        <v>7255</v>
      </c>
      <c r="E4248" s="11" t="s">
        <v>7256</v>
      </c>
      <c r="F4248" s="8"/>
    </row>
    <row r="4249" ht="21.0" customHeight="1">
      <c r="A4249" s="6">
        <v>1.0</v>
      </c>
      <c r="B4249" s="6">
        <v>319.0</v>
      </c>
      <c r="C4249" s="6">
        <v>12.0</v>
      </c>
      <c r="D4249" s="95" t="s">
        <v>7257</v>
      </c>
      <c r="E4249" s="11" t="s">
        <v>7258</v>
      </c>
      <c r="F4249" s="8"/>
    </row>
    <row r="4250" ht="21.0" customHeight="1">
      <c r="A4250" s="6">
        <v>1.0</v>
      </c>
      <c r="B4250" s="6">
        <v>319.0</v>
      </c>
      <c r="C4250" s="6">
        <v>13.0</v>
      </c>
      <c r="D4250" s="95" t="s">
        <v>7259</v>
      </c>
      <c r="E4250" s="11" t="s">
        <v>7260</v>
      </c>
      <c r="F4250" s="8"/>
    </row>
    <row r="4251" ht="21.0" customHeight="1">
      <c r="A4251" s="6">
        <v>1.0</v>
      </c>
      <c r="B4251" s="6">
        <v>320.0</v>
      </c>
      <c r="C4251" s="6">
        <v>1.0</v>
      </c>
      <c r="D4251" s="95" t="s">
        <v>7261</v>
      </c>
      <c r="E4251" s="11" t="s">
        <v>7262</v>
      </c>
      <c r="F4251" s="8"/>
    </row>
    <row r="4252" ht="21.0" customHeight="1">
      <c r="A4252" s="6">
        <v>1.0</v>
      </c>
      <c r="B4252" s="6">
        <v>320.0</v>
      </c>
      <c r="C4252" s="6">
        <v>2.0</v>
      </c>
      <c r="D4252" s="95" t="s">
        <v>7263</v>
      </c>
      <c r="E4252" s="11" t="s">
        <v>7264</v>
      </c>
      <c r="F4252" s="8"/>
    </row>
    <row r="4253" ht="21.0" customHeight="1">
      <c r="A4253" s="6">
        <v>1.0</v>
      </c>
      <c r="B4253" s="6">
        <v>320.0</v>
      </c>
      <c r="C4253" s="6">
        <v>3.0</v>
      </c>
      <c r="D4253" s="95" t="s">
        <v>7265</v>
      </c>
      <c r="E4253" s="11" t="s">
        <v>7266</v>
      </c>
      <c r="F4253" s="8"/>
    </row>
    <row r="4254" ht="21.0" customHeight="1">
      <c r="A4254" s="6">
        <v>1.0</v>
      </c>
      <c r="B4254" s="6">
        <v>320.0</v>
      </c>
      <c r="C4254" s="6">
        <v>4.0</v>
      </c>
      <c r="D4254" s="95" t="s">
        <v>7267</v>
      </c>
      <c r="E4254" s="11" t="s">
        <v>7268</v>
      </c>
      <c r="F4254" s="8"/>
    </row>
    <row r="4255" ht="21.0" customHeight="1">
      <c r="A4255" s="6">
        <v>1.0</v>
      </c>
      <c r="B4255" s="6">
        <v>320.0</v>
      </c>
      <c r="C4255" s="6">
        <v>5.0</v>
      </c>
      <c r="D4255" s="95" t="s">
        <v>7269</v>
      </c>
      <c r="E4255" s="11" t="s">
        <v>7270</v>
      </c>
      <c r="F4255" s="8"/>
    </row>
    <row r="4256" ht="21.0" customHeight="1">
      <c r="A4256" s="6">
        <v>1.0</v>
      </c>
      <c r="B4256" s="6">
        <v>320.0</v>
      </c>
      <c r="C4256" s="6">
        <v>6.0</v>
      </c>
      <c r="D4256" s="95" t="s">
        <v>7271</v>
      </c>
      <c r="E4256" s="11" t="s">
        <v>7272</v>
      </c>
      <c r="F4256" s="8"/>
    </row>
    <row r="4257" ht="21.0" customHeight="1">
      <c r="A4257" s="6">
        <v>1.0</v>
      </c>
      <c r="B4257" s="6">
        <v>320.0</v>
      </c>
      <c r="C4257" s="6">
        <v>7.0</v>
      </c>
      <c r="D4257" s="95" t="s">
        <v>7273</v>
      </c>
      <c r="E4257" s="11" t="s">
        <v>7274</v>
      </c>
      <c r="F4257" s="8"/>
    </row>
    <row r="4258" ht="21.0" customHeight="1">
      <c r="A4258" s="6">
        <v>1.0</v>
      </c>
      <c r="B4258" s="6">
        <v>320.0</v>
      </c>
      <c r="C4258" s="6">
        <v>8.0</v>
      </c>
      <c r="D4258" s="95" t="s">
        <v>7275</v>
      </c>
      <c r="E4258" s="11" t="s">
        <v>7276</v>
      </c>
      <c r="F4258" s="8"/>
    </row>
    <row r="4259" ht="21.0" customHeight="1">
      <c r="A4259" s="6">
        <v>1.0</v>
      </c>
      <c r="B4259" s="6">
        <v>320.0</v>
      </c>
      <c r="C4259" s="6">
        <v>9.0</v>
      </c>
      <c r="D4259" s="95" t="s">
        <v>7277</v>
      </c>
      <c r="E4259" s="11" t="s">
        <v>7278</v>
      </c>
      <c r="F4259" s="8"/>
    </row>
    <row r="4260" ht="21.0" customHeight="1">
      <c r="A4260" s="6">
        <v>1.0</v>
      </c>
      <c r="B4260" s="6">
        <v>320.0</v>
      </c>
      <c r="C4260" s="6">
        <v>10.0</v>
      </c>
      <c r="D4260" s="95" t="s">
        <v>7279</v>
      </c>
      <c r="E4260" s="11" t="s">
        <v>7280</v>
      </c>
      <c r="F4260" s="8"/>
    </row>
    <row r="4261" ht="21.0" customHeight="1">
      <c r="A4261" s="6">
        <v>1.0</v>
      </c>
      <c r="B4261" s="6">
        <v>320.0</v>
      </c>
      <c r="C4261" s="6">
        <v>11.0</v>
      </c>
      <c r="D4261" s="95" t="s">
        <v>7281</v>
      </c>
      <c r="E4261" s="11" t="s">
        <v>7282</v>
      </c>
      <c r="F4261" s="8"/>
    </row>
    <row r="4262" ht="21.0" customHeight="1">
      <c r="A4262" s="6">
        <v>1.0</v>
      </c>
      <c r="B4262" s="6">
        <v>320.0</v>
      </c>
      <c r="C4262" s="6">
        <v>12.0</v>
      </c>
      <c r="D4262" s="95" t="s">
        <v>7283</v>
      </c>
      <c r="E4262" s="11" t="s">
        <v>7284</v>
      </c>
      <c r="F4262" s="8"/>
    </row>
    <row r="4263" ht="21.0" customHeight="1">
      <c r="A4263" s="6">
        <v>1.0</v>
      </c>
      <c r="B4263" s="6">
        <v>320.0</v>
      </c>
      <c r="C4263" s="6">
        <v>13.0</v>
      </c>
      <c r="D4263" s="95" t="s">
        <v>7285</v>
      </c>
      <c r="E4263" s="11" t="s">
        <v>7286</v>
      </c>
      <c r="F4263" s="8"/>
    </row>
    <row r="4264" ht="21.0" customHeight="1">
      <c r="A4264" s="6">
        <v>1.0</v>
      </c>
      <c r="B4264" s="6">
        <v>321.0</v>
      </c>
      <c r="C4264" s="6">
        <v>1.0</v>
      </c>
      <c r="D4264" s="95" t="s">
        <v>7287</v>
      </c>
      <c r="E4264" s="11" t="s">
        <v>7288</v>
      </c>
      <c r="F4264" s="8"/>
    </row>
    <row r="4265" ht="21.0" customHeight="1">
      <c r="A4265" s="6">
        <v>1.0</v>
      </c>
      <c r="B4265" s="6">
        <v>321.0</v>
      </c>
      <c r="C4265" s="6">
        <v>2.0</v>
      </c>
      <c r="D4265" s="95" t="s">
        <v>7289</v>
      </c>
      <c r="E4265" s="11" t="s">
        <v>7290</v>
      </c>
      <c r="F4265" s="8"/>
    </row>
    <row r="4266" ht="21.0" customHeight="1">
      <c r="A4266" s="6">
        <v>1.0</v>
      </c>
      <c r="B4266" s="6">
        <v>321.0</v>
      </c>
      <c r="C4266" s="6">
        <v>3.0</v>
      </c>
      <c r="D4266" s="95" t="s">
        <v>7291</v>
      </c>
      <c r="E4266" s="11" t="s">
        <v>7292</v>
      </c>
      <c r="F4266" s="8"/>
    </row>
    <row r="4267" ht="21.0" customHeight="1">
      <c r="A4267" s="6">
        <v>1.0</v>
      </c>
      <c r="B4267" s="6">
        <v>321.0</v>
      </c>
      <c r="C4267" s="6">
        <v>4.0</v>
      </c>
      <c r="D4267" s="95" t="s">
        <v>7293</v>
      </c>
      <c r="E4267" s="11" t="s">
        <v>7294</v>
      </c>
      <c r="F4267" s="8"/>
    </row>
    <row r="4268" ht="21.0" customHeight="1">
      <c r="A4268" s="6">
        <v>1.0</v>
      </c>
      <c r="B4268" s="6">
        <v>321.0</v>
      </c>
      <c r="C4268" s="6">
        <v>5.0</v>
      </c>
      <c r="D4268" s="95" t="s">
        <v>7295</v>
      </c>
      <c r="E4268" s="11" t="s">
        <v>7296</v>
      </c>
      <c r="F4268" s="8"/>
    </row>
    <row r="4269" ht="21.0" customHeight="1">
      <c r="A4269" s="6">
        <v>1.0</v>
      </c>
      <c r="B4269" s="6">
        <v>321.0</v>
      </c>
      <c r="C4269" s="6">
        <v>6.0</v>
      </c>
      <c r="D4269" s="95" t="s">
        <v>7297</v>
      </c>
      <c r="E4269" s="11" t="s">
        <v>7298</v>
      </c>
      <c r="F4269" s="8"/>
    </row>
    <row r="4270" ht="21.0" customHeight="1">
      <c r="A4270" s="6">
        <v>1.0</v>
      </c>
      <c r="B4270" s="6">
        <v>321.0</v>
      </c>
      <c r="C4270" s="6">
        <v>7.0</v>
      </c>
      <c r="D4270" s="95" t="s">
        <v>7299</v>
      </c>
      <c r="E4270" s="11" t="s">
        <v>7300</v>
      </c>
      <c r="F4270" s="8"/>
    </row>
    <row r="4271" ht="21.0" customHeight="1">
      <c r="A4271" s="6">
        <v>1.0</v>
      </c>
      <c r="B4271" s="6">
        <v>321.0</v>
      </c>
      <c r="C4271" s="6">
        <v>8.0</v>
      </c>
      <c r="D4271" s="95" t="s">
        <v>7301</v>
      </c>
      <c r="E4271" s="11" t="s">
        <v>7302</v>
      </c>
      <c r="F4271" s="8"/>
    </row>
    <row r="4272" ht="21.0" customHeight="1">
      <c r="A4272" s="6">
        <v>1.0</v>
      </c>
      <c r="B4272" s="6">
        <v>321.0</v>
      </c>
      <c r="C4272" s="6">
        <v>9.0</v>
      </c>
      <c r="D4272" s="95" t="s">
        <v>7303</v>
      </c>
      <c r="E4272" s="11" t="s">
        <v>7304</v>
      </c>
      <c r="F4272" s="8"/>
    </row>
    <row r="4273" ht="21.0" customHeight="1">
      <c r="A4273" s="6">
        <v>1.0</v>
      </c>
      <c r="B4273" s="6">
        <v>321.0</v>
      </c>
      <c r="C4273" s="6">
        <v>10.0</v>
      </c>
      <c r="D4273" s="95" t="s">
        <v>7305</v>
      </c>
      <c r="E4273" s="11" t="s">
        <v>7306</v>
      </c>
      <c r="F4273" s="8"/>
    </row>
    <row r="4274" ht="21.0" customHeight="1">
      <c r="A4274" s="6">
        <v>1.0</v>
      </c>
      <c r="B4274" s="6">
        <v>321.0</v>
      </c>
      <c r="C4274" s="6">
        <v>11.0</v>
      </c>
      <c r="D4274" s="95" t="s">
        <v>7307</v>
      </c>
      <c r="E4274" s="11" t="s">
        <v>7308</v>
      </c>
      <c r="F4274" s="8"/>
    </row>
    <row r="4275" ht="21.0" customHeight="1">
      <c r="A4275" s="6">
        <v>1.0</v>
      </c>
      <c r="B4275" s="6">
        <v>321.0</v>
      </c>
      <c r="C4275" s="6">
        <v>12.0</v>
      </c>
      <c r="D4275" s="95" t="s">
        <v>7309</v>
      </c>
      <c r="E4275" s="11" t="s">
        <v>7310</v>
      </c>
      <c r="F4275" s="8"/>
    </row>
    <row r="4276" ht="21.0" customHeight="1">
      <c r="A4276" s="6">
        <v>1.0</v>
      </c>
      <c r="B4276" s="6">
        <v>321.0</v>
      </c>
      <c r="C4276" s="6">
        <v>13.0</v>
      </c>
      <c r="D4276" s="95" t="s">
        <v>7311</v>
      </c>
      <c r="E4276" s="11" t="s">
        <v>7312</v>
      </c>
      <c r="F4276" s="8"/>
    </row>
    <row r="4277" ht="21.0" customHeight="1">
      <c r="A4277" s="6">
        <v>11.0</v>
      </c>
      <c r="B4277" s="6">
        <v>2009.0</v>
      </c>
      <c r="C4277" s="6">
        <v>1.0</v>
      </c>
      <c r="D4277" s="75" t="s">
        <v>7313</v>
      </c>
      <c r="E4277" s="19" t="s">
        <v>7314</v>
      </c>
      <c r="F4277" s="8"/>
    </row>
    <row r="4278" ht="21.0" customHeight="1">
      <c r="A4278" s="6">
        <v>11.0</v>
      </c>
      <c r="B4278" s="6">
        <v>2009.0</v>
      </c>
      <c r="C4278" s="6">
        <v>2.0</v>
      </c>
      <c r="D4278" s="75" t="s">
        <v>7315</v>
      </c>
      <c r="E4278" s="19" t="s">
        <v>7316</v>
      </c>
      <c r="F4278" s="8"/>
    </row>
    <row r="4279" ht="21.0" customHeight="1">
      <c r="A4279" s="6">
        <v>11.0</v>
      </c>
      <c r="B4279" s="6">
        <v>2009.0</v>
      </c>
      <c r="C4279" s="6">
        <v>3.0</v>
      </c>
      <c r="D4279" s="75" t="s">
        <v>7317</v>
      </c>
      <c r="E4279" s="19" t="s">
        <v>7318</v>
      </c>
      <c r="F4279" s="8"/>
    </row>
    <row r="4280" ht="21.0" customHeight="1">
      <c r="A4280" s="6">
        <v>11.0</v>
      </c>
      <c r="B4280" s="6">
        <v>2009.0</v>
      </c>
      <c r="C4280" s="6">
        <v>4.0</v>
      </c>
      <c r="D4280" s="75" t="s">
        <v>7319</v>
      </c>
      <c r="E4280" s="19" t="s">
        <v>7320</v>
      </c>
      <c r="F4280" s="8"/>
    </row>
    <row r="4281" ht="21.0" customHeight="1">
      <c r="A4281" s="6">
        <v>10.0</v>
      </c>
      <c r="B4281" s="6">
        <v>2009.0</v>
      </c>
      <c r="C4281" s="6">
        <v>5.0</v>
      </c>
      <c r="D4281" s="75" t="s">
        <v>7321</v>
      </c>
      <c r="E4281" s="19" t="s">
        <v>7322</v>
      </c>
      <c r="F4281" s="8"/>
    </row>
    <row r="4282" ht="21.0" customHeight="1">
      <c r="A4282" s="6">
        <v>10.0</v>
      </c>
      <c r="B4282" s="6">
        <v>2009.0</v>
      </c>
      <c r="C4282" s="6">
        <v>6.0</v>
      </c>
      <c r="D4282" s="75" t="s">
        <v>7323</v>
      </c>
      <c r="E4282" s="19" t="s">
        <v>7324</v>
      </c>
      <c r="F4282" s="8"/>
    </row>
    <row r="4283" ht="21.0" customHeight="1">
      <c r="A4283" s="6">
        <v>10.0</v>
      </c>
      <c r="B4283" s="6">
        <v>2009.0</v>
      </c>
      <c r="C4283" s="6">
        <v>7.0</v>
      </c>
      <c r="D4283" s="75" t="s">
        <v>7325</v>
      </c>
      <c r="E4283" s="19" t="s">
        <v>7326</v>
      </c>
      <c r="F4283" s="8"/>
    </row>
    <row r="4284" ht="21.0" customHeight="1">
      <c r="A4284" s="6">
        <v>10.0</v>
      </c>
      <c r="B4284" s="6">
        <v>2009.0</v>
      </c>
      <c r="C4284" s="6">
        <v>8.0</v>
      </c>
      <c r="D4284" s="75" t="s">
        <v>7327</v>
      </c>
      <c r="E4284" s="19" t="s">
        <v>7328</v>
      </c>
      <c r="F4284" s="8"/>
    </row>
    <row r="4285" ht="21.0" customHeight="1">
      <c r="A4285" s="6">
        <v>10.0</v>
      </c>
      <c r="B4285" s="6">
        <v>2009.0</v>
      </c>
      <c r="C4285" s="6">
        <v>9.0</v>
      </c>
      <c r="D4285" s="75" t="s">
        <v>7329</v>
      </c>
      <c r="E4285" s="19" t="s">
        <v>7330</v>
      </c>
      <c r="F4285" s="8"/>
    </row>
    <row r="4286" ht="21.0" customHeight="1">
      <c r="A4286" s="6">
        <v>10.0</v>
      </c>
      <c r="B4286" s="6">
        <v>2009.0</v>
      </c>
      <c r="C4286" s="6">
        <v>10.0</v>
      </c>
      <c r="D4286" s="75" t="s">
        <v>7331</v>
      </c>
      <c r="E4286" s="19" t="s">
        <v>7332</v>
      </c>
      <c r="F4286" s="8"/>
    </row>
    <row r="4287" ht="21.0" customHeight="1">
      <c r="A4287" s="6">
        <v>11.0</v>
      </c>
      <c r="B4287" s="6">
        <v>2010.0</v>
      </c>
      <c r="C4287" s="6">
        <v>1.0</v>
      </c>
      <c r="D4287" s="75" t="s">
        <v>7333</v>
      </c>
      <c r="E4287" s="19" t="s">
        <v>7334</v>
      </c>
      <c r="F4287" s="8"/>
    </row>
    <row r="4288" ht="21.0" customHeight="1">
      <c r="A4288" s="6">
        <v>11.0</v>
      </c>
      <c r="B4288" s="6">
        <v>2010.0</v>
      </c>
      <c r="C4288" s="6">
        <v>2.0</v>
      </c>
      <c r="D4288" s="75" t="s">
        <v>7335</v>
      </c>
      <c r="E4288" s="19" t="s">
        <v>7336</v>
      </c>
      <c r="F4288" s="8"/>
    </row>
    <row r="4289" ht="21.0" customHeight="1">
      <c r="A4289" s="6">
        <v>11.0</v>
      </c>
      <c r="B4289" s="6">
        <v>2010.0</v>
      </c>
      <c r="C4289" s="6">
        <v>3.0</v>
      </c>
      <c r="D4289" s="75" t="s">
        <v>7337</v>
      </c>
      <c r="E4289" s="19" t="s">
        <v>7338</v>
      </c>
      <c r="F4289" s="8"/>
    </row>
    <row r="4290" ht="21.0" customHeight="1">
      <c r="A4290" s="6">
        <v>11.0</v>
      </c>
      <c r="B4290" s="6">
        <v>2010.0</v>
      </c>
      <c r="C4290" s="6">
        <v>4.0</v>
      </c>
      <c r="D4290" s="75" t="s">
        <v>7339</v>
      </c>
      <c r="E4290" s="19" t="s">
        <v>7340</v>
      </c>
      <c r="F4290" s="8"/>
    </row>
    <row r="4291" ht="21.0" customHeight="1">
      <c r="A4291" s="6">
        <v>10.0</v>
      </c>
      <c r="B4291" s="6">
        <v>2010.0</v>
      </c>
      <c r="C4291" s="6">
        <v>5.0</v>
      </c>
      <c r="D4291" s="75" t="s">
        <v>7341</v>
      </c>
      <c r="E4291" s="19" t="s">
        <v>7342</v>
      </c>
      <c r="F4291" s="8"/>
    </row>
    <row r="4292" ht="21.0" customHeight="1">
      <c r="A4292" s="6">
        <v>10.0</v>
      </c>
      <c r="B4292" s="6">
        <v>2010.0</v>
      </c>
      <c r="C4292" s="6">
        <v>6.0</v>
      </c>
      <c r="D4292" s="75" t="s">
        <v>7343</v>
      </c>
      <c r="E4292" s="19" t="s">
        <v>7344</v>
      </c>
      <c r="F4292" s="8"/>
    </row>
    <row r="4293" ht="21.0" customHeight="1">
      <c r="A4293" s="6">
        <v>10.0</v>
      </c>
      <c r="B4293" s="6">
        <v>2010.0</v>
      </c>
      <c r="C4293" s="6">
        <v>7.0</v>
      </c>
      <c r="D4293" s="75" t="s">
        <v>7345</v>
      </c>
      <c r="E4293" s="19" t="s">
        <v>7346</v>
      </c>
      <c r="F4293" s="8"/>
    </row>
    <row r="4294" ht="21.0" customHeight="1">
      <c r="A4294" s="6">
        <v>10.0</v>
      </c>
      <c r="B4294" s="6">
        <v>2010.0</v>
      </c>
      <c r="C4294" s="6">
        <v>8.0</v>
      </c>
      <c r="D4294" s="75" t="s">
        <v>7347</v>
      </c>
      <c r="E4294" s="19" t="s">
        <v>7348</v>
      </c>
      <c r="F4294" s="8"/>
    </row>
    <row r="4295" ht="21.0" customHeight="1">
      <c r="A4295" s="6">
        <v>10.0</v>
      </c>
      <c r="B4295" s="6">
        <v>2010.0</v>
      </c>
      <c r="C4295" s="6">
        <v>9.0</v>
      </c>
      <c r="D4295" s="75" t="s">
        <v>7349</v>
      </c>
      <c r="E4295" s="19" t="s">
        <v>7350</v>
      </c>
      <c r="F4295" s="8"/>
    </row>
    <row r="4296" ht="21.0" customHeight="1">
      <c r="A4296" s="6">
        <v>10.0</v>
      </c>
      <c r="B4296" s="6">
        <v>2010.0</v>
      </c>
      <c r="C4296" s="6">
        <v>10.0</v>
      </c>
      <c r="D4296" s="75" t="s">
        <v>7351</v>
      </c>
      <c r="E4296" s="19" t="s">
        <v>7332</v>
      </c>
      <c r="F4296" s="8"/>
    </row>
    <row r="4297" ht="21.0" customHeight="1">
      <c r="A4297" s="6">
        <v>1.0</v>
      </c>
      <c r="B4297" s="6">
        <v>322.0</v>
      </c>
      <c r="C4297" s="6">
        <v>1.0</v>
      </c>
      <c r="D4297" s="96" t="s">
        <v>7352</v>
      </c>
      <c r="E4297" s="11" t="s">
        <v>7353</v>
      </c>
      <c r="F4297" s="8"/>
    </row>
    <row r="4298" ht="21.0" customHeight="1">
      <c r="A4298" s="6">
        <v>1.0</v>
      </c>
      <c r="B4298" s="6">
        <v>322.0</v>
      </c>
      <c r="C4298" s="6">
        <v>2.0</v>
      </c>
      <c r="D4298" s="96" t="s">
        <v>7354</v>
      </c>
      <c r="E4298" s="11" t="s">
        <v>7355</v>
      </c>
      <c r="F4298" s="8"/>
    </row>
    <row r="4299" ht="21.0" customHeight="1">
      <c r="A4299" s="6">
        <v>1.0</v>
      </c>
      <c r="B4299" s="6">
        <v>322.0</v>
      </c>
      <c r="C4299" s="6">
        <v>3.0</v>
      </c>
      <c r="D4299" s="97" t="s">
        <v>7356</v>
      </c>
      <c r="E4299" s="11" t="s">
        <v>7357</v>
      </c>
      <c r="F4299" s="8"/>
    </row>
    <row r="4300" ht="21.0" customHeight="1">
      <c r="A4300" s="6">
        <v>1.0</v>
      </c>
      <c r="B4300" s="6">
        <v>322.0</v>
      </c>
      <c r="C4300" s="6">
        <v>4.0</v>
      </c>
      <c r="D4300" s="67" t="s">
        <v>7358</v>
      </c>
      <c r="E4300" s="11" t="s">
        <v>7359</v>
      </c>
      <c r="F4300" s="8"/>
    </row>
    <row r="4301" ht="21.0" customHeight="1">
      <c r="A4301" s="6">
        <v>1.0</v>
      </c>
      <c r="B4301" s="6">
        <v>322.0</v>
      </c>
      <c r="C4301" s="6">
        <v>5.0</v>
      </c>
      <c r="D4301" s="67" t="s">
        <v>7360</v>
      </c>
      <c r="E4301" s="11" t="s">
        <v>7361</v>
      </c>
      <c r="F4301" s="8"/>
    </row>
    <row r="4302" ht="21.0" customHeight="1">
      <c r="A4302" s="6">
        <v>1.0</v>
      </c>
      <c r="B4302" s="6">
        <v>322.0</v>
      </c>
      <c r="C4302" s="6">
        <v>6.0</v>
      </c>
      <c r="D4302" s="67" t="s">
        <v>7362</v>
      </c>
      <c r="E4302" s="11" t="s">
        <v>7363</v>
      </c>
      <c r="F4302" s="8"/>
    </row>
    <row r="4303" ht="21.0" customHeight="1">
      <c r="A4303" s="6">
        <v>1.0</v>
      </c>
      <c r="B4303" s="6">
        <v>322.0</v>
      </c>
      <c r="C4303" s="6">
        <v>7.0</v>
      </c>
      <c r="D4303" s="67" t="s">
        <v>7364</v>
      </c>
      <c r="E4303" s="11" t="s">
        <v>7365</v>
      </c>
      <c r="F4303" s="8"/>
    </row>
    <row r="4304" ht="21.0" customHeight="1">
      <c r="A4304" s="6">
        <v>1.0</v>
      </c>
      <c r="B4304" s="6">
        <v>322.0</v>
      </c>
      <c r="C4304" s="6">
        <v>8.0</v>
      </c>
      <c r="D4304" s="67" t="s">
        <v>7366</v>
      </c>
      <c r="E4304" s="11" t="s">
        <v>7367</v>
      </c>
      <c r="F4304" s="8"/>
    </row>
    <row r="4305" ht="21.0" customHeight="1">
      <c r="A4305" s="6">
        <v>1.0</v>
      </c>
      <c r="B4305" s="6">
        <v>322.0</v>
      </c>
      <c r="C4305" s="6">
        <v>9.0</v>
      </c>
      <c r="D4305" s="67" t="s">
        <v>7368</v>
      </c>
      <c r="E4305" s="11" t="s">
        <v>7369</v>
      </c>
      <c r="F4305" s="8"/>
    </row>
    <row r="4306" ht="21.0" customHeight="1">
      <c r="A4306" s="6">
        <v>1.0</v>
      </c>
      <c r="B4306" s="6">
        <v>322.0</v>
      </c>
      <c r="C4306" s="6">
        <v>10.0</v>
      </c>
      <c r="D4306" s="67" t="s">
        <v>7370</v>
      </c>
      <c r="E4306" s="11" t="s">
        <v>7371</v>
      </c>
      <c r="F4306" s="8"/>
    </row>
    <row r="4307" ht="21.0" customHeight="1">
      <c r="A4307" s="6">
        <v>1.0</v>
      </c>
      <c r="B4307" s="6">
        <v>322.0</v>
      </c>
      <c r="C4307" s="6">
        <v>11.0</v>
      </c>
      <c r="D4307" s="67" t="s">
        <v>7372</v>
      </c>
      <c r="E4307" s="11" t="s">
        <v>7373</v>
      </c>
      <c r="F4307" s="8"/>
    </row>
    <row r="4308" ht="21.0" customHeight="1">
      <c r="A4308" s="6">
        <v>1.0</v>
      </c>
      <c r="B4308" s="6">
        <v>322.0</v>
      </c>
      <c r="C4308" s="6">
        <v>12.0</v>
      </c>
      <c r="D4308" s="67" t="s">
        <v>7374</v>
      </c>
      <c r="E4308" s="11" t="s">
        <v>7375</v>
      </c>
      <c r="F4308" s="8"/>
    </row>
    <row r="4309" ht="21.0" customHeight="1">
      <c r="A4309" s="6">
        <v>1.0</v>
      </c>
      <c r="B4309" s="6">
        <v>322.0</v>
      </c>
      <c r="C4309" s="6">
        <v>13.0</v>
      </c>
      <c r="D4309" s="67" t="s">
        <v>7376</v>
      </c>
      <c r="E4309" s="11" t="s">
        <v>7377</v>
      </c>
      <c r="F4309" s="8"/>
    </row>
    <row r="4310" ht="21.0" customHeight="1">
      <c r="A4310" s="6">
        <v>1.0</v>
      </c>
      <c r="B4310" s="6">
        <v>323.0</v>
      </c>
      <c r="C4310" s="6">
        <v>1.0</v>
      </c>
      <c r="D4310" s="95" t="s">
        <v>7378</v>
      </c>
      <c r="E4310" s="11" t="s">
        <v>7379</v>
      </c>
      <c r="F4310" s="8"/>
    </row>
    <row r="4311" ht="21.0" customHeight="1">
      <c r="A4311" s="6">
        <v>1.0</v>
      </c>
      <c r="B4311" s="6">
        <v>323.0</v>
      </c>
      <c r="C4311" s="6">
        <v>2.0</v>
      </c>
      <c r="D4311" s="95" t="s">
        <v>7380</v>
      </c>
      <c r="E4311" s="11" t="s">
        <v>7381</v>
      </c>
      <c r="F4311" s="8"/>
    </row>
    <row r="4312" ht="21.0" customHeight="1">
      <c r="A4312" s="6">
        <v>1.0</v>
      </c>
      <c r="B4312" s="6">
        <v>323.0</v>
      </c>
      <c r="C4312" s="6">
        <v>3.0</v>
      </c>
      <c r="D4312" s="95" t="s">
        <v>7382</v>
      </c>
      <c r="E4312" s="11" t="s">
        <v>7383</v>
      </c>
      <c r="F4312" s="8"/>
    </row>
    <row r="4313" ht="21.0" customHeight="1">
      <c r="A4313" s="6">
        <v>1.0</v>
      </c>
      <c r="B4313" s="6">
        <v>323.0</v>
      </c>
      <c r="C4313" s="6">
        <v>4.0</v>
      </c>
      <c r="D4313" s="95" t="s">
        <v>7384</v>
      </c>
      <c r="E4313" s="11" t="s">
        <v>7385</v>
      </c>
      <c r="F4313" s="8"/>
    </row>
    <row r="4314" ht="21.0" customHeight="1">
      <c r="A4314" s="6">
        <v>1.0</v>
      </c>
      <c r="B4314" s="6">
        <v>323.0</v>
      </c>
      <c r="C4314" s="6">
        <v>5.0</v>
      </c>
      <c r="D4314" s="95" t="s">
        <v>7386</v>
      </c>
      <c r="E4314" s="11" t="s">
        <v>7387</v>
      </c>
      <c r="F4314" s="8"/>
    </row>
    <row r="4315" ht="21.0" customHeight="1">
      <c r="A4315" s="6">
        <v>1.0</v>
      </c>
      <c r="B4315" s="6">
        <v>323.0</v>
      </c>
      <c r="C4315" s="6">
        <v>6.0</v>
      </c>
      <c r="D4315" s="95" t="s">
        <v>7388</v>
      </c>
      <c r="E4315" s="11" t="s">
        <v>7389</v>
      </c>
      <c r="F4315" s="8"/>
    </row>
    <row r="4316" ht="21.0" customHeight="1">
      <c r="A4316" s="6">
        <v>1.0</v>
      </c>
      <c r="B4316" s="6">
        <v>323.0</v>
      </c>
      <c r="C4316" s="6">
        <v>7.0</v>
      </c>
      <c r="D4316" s="95" t="s">
        <v>7390</v>
      </c>
      <c r="E4316" s="11" t="s">
        <v>7391</v>
      </c>
      <c r="F4316" s="8"/>
    </row>
    <row r="4317" ht="21.0" customHeight="1">
      <c r="A4317" s="6">
        <v>1.0</v>
      </c>
      <c r="B4317" s="6">
        <v>323.0</v>
      </c>
      <c r="C4317" s="6">
        <v>8.0</v>
      </c>
      <c r="D4317" s="95" t="s">
        <v>7392</v>
      </c>
      <c r="E4317" s="11" t="s">
        <v>7393</v>
      </c>
      <c r="F4317" s="8"/>
    </row>
    <row r="4318" ht="21.0" customHeight="1">
      <c r="A4318" s="6">
        <v>1.0</v>
      </c>
      <c r="B4318" s="6">
        <v>323.0</v>
      </c>
      <c r="C4318" s="6">
        <v>9.0</v>
      </c>
      <c r="D4318" s="95" t="s">
        <v>7394</v>
      </c>
      <c r="E4318" s="11" t="s">
        <v>7395</v>
      </c>
      <c r="F4318" s="8"/>
    </row>
    <row r="4319" ht="21.0" customHeight="1">
      <c r="A4319" s="6">
        <v>1.0</v>
      </c>
      <c r="B4319" s="6">
        <v>323.0</v>
      </c>
      <c r="C4319" s="6">
        <v>10.0</v>
      </c>
      <c r="D4319" s="95" t="s">
        <v>7396</v>
      </c>
      <c r="E4319" s="11" t="s">
        <v>7397</v>
      </c>
      <c r="F4319" s="8"/>
    </row>
    <row r="4320" ht="21.0" customHeight="1">
      <c r="A4320" s="6">
        <v>1.0</v>
      </c>
      <c r="B4320" s="6">
        <v>323.0</v>
      </c>
      <c r="C4320" s="6">
        <v>11.0</v>
      </c>
      <c r="D4320" s="95" t="s">
        <v>7398</v>
      </c>
      <c r="E4320" s="11" t="s">
        <v>7399</v>
      </c>
      <c r="F4320" s="8"/>
    </row>
    <row r="4321" ht="21.0" customHeight="1">
      <c r="A4321" s="6">
        <v>1.0</v>
      </c>
      <c r="B4321" s="6">
        <v>323.0</v>
      </c>
      <c r="C4321" s="6">
        <v>12.0</v>
      </c>
      <c r="D4321" s="95" t="s">
        <v>7400</v>
      </c>
      <c r="E4321" s="11" t="s">
        <v>7401</v>
      </c>
      <c r="F4321" s="8"/>
    </row>
    <row r="4322" ht="21.0" customHeight="1">
      <c r="A4322" s="6">
        <v>1.0</v>
      </c>
      <c r="B4322" s="6">
        <v>323.0</v>
      </c>
      <c r="C4322" s="6">
        <v>13.0</v>
      </c>
      <c r="D4322" s="95" t="s">
        <v>7402</v>
      </c>
      <c r="E4322" s="11" t="s">
        <v>7403</v>
      </c>
      <c r="F4322" s="8"/>
    </row>
    <row r="4323" ht="21.0" customHeight="1">
      <c r="A4323" s="6">
        <v>1.0</v>
      </c>
      <c r="B4323" s="6">
        <v>324.0</v>
      </c>
      <c r="C4323" s="6">
        <v>1.0</v>
      </c>
      <c r="D4323" s="95" t="s">
        <v>7404</v>
      </c>
      <c r="E4323" s="11" t="s">
        <v>7405</v>
      </c>
      <c r="F4323" s="8"/>
    </row>
    <row r="4324" ht="21.0" customHeight="1">
      <c r="A4324" s="6">
        <v>1.0</v>
      </c>
      <c r="B4324" s="6">
        <v>324.0</v>
      </c>
      <c r="C4324" s="6">
        <v>2.0</v>
      </c>
      <c r="D4324" s="95" t="s">
        <v>7406</v>
      </c>
      <c r="E4324" s="11" t="s">
        <v>7407</v>
      </c>
      <c r="F4324" s="8"/>
    </row>
    <row r="4325" ht="21.0" customHeight="1">
      <c r="A4325" s="6">
        <v>1.0</v>
      </c>
      <c r="B4325" s="6">
        <v>324.0</v>
      </c>
      <c r="C4325" s="6">
        <v>3.0</v>
      </c>
      <c r="D4325" s="95" t="s">
        <v>7408</v>
      </c>
      <c r="E4325" s="11" t="s">
        <v>7409</v>
      </c>
      <c r="F4325" s="8"/>
    </row>
    <row r="4326" ht="21.0" customHeight="1">
      <c r="A4326" s="6">
        <v>1.0</v>
      </c>
      <c r="B4326" s="6">
        <v>324.0</v>
      </c>
      <c r="C4326" s="6">
        <v>4.0</v>
      </c>
      <c r="D4326" s="95" t="s">
        <v>7410</v>
      </c>
      <c r="E4326" s="11" t="s">
        <v>7411</v>
      </c>
      <c r="F4326" s="8"/>
    </row>
    <row r="4327" ht="21.0" customHeight="1">
      <c r="A4327" s="6">
        <v>1.0</v>
      </c>
      <c r="B4327" s="6">
        <v>324.0</v>
      </c>
      <c r="C4327" s="6">
        <v>5.0</v>
      </c>
      <c r="D4327" s="95" t="s">
        <v>7412</v>
      </c>
      <c r="E4327" s="11" t="s">
        <v>7413</v>
      </c>
      <c r="F4327" s="8"/>
    </row>
    <row r="4328" ht="21.0" customHeight="1">
      <c r="A4328" s="6">
        <v>1.0</v>
      </c>
      <c r="B4328" s="6">
        <v>324.0</v>
      </c>
      <c r="C4328" s="6">
        <v>6.0</v>
      </c>
      <c r="D4328" s="95" t="s">
        <v>7414</v>
      </c>
      <c r="E4328" s="11" t="s">
        <v>7415</v>
      </c>
      <c r="F4328" s="8"/>
    </row>
    <row r="4329" ht="21.0" customHeight="1">
      <c r="A4329" s="6">
        <v>1.0</v>
      </c>
      <c r="B4329" s="6">
        <v>324.0</v>
      </c>
      <c r="C4329" s="6">
        <v>7.0</v>
      </c>
      <c r="D4329" s="95" t="s">
        <v>7416</v>
      </c>
      <c r="E4329" s="11" t="s">
        <v>7417</v>
      </c>
      <c r="F4329" s="8"/>
    </row>
    <row r="4330" ht="21.0" customHeight="1">
      <c r="A4330" s="6">
        <v>1.0</v>
      </c>
      <c r="B4330" s="6">
        <v>324.0</v>
      </c>
      <c r="C4330" s="6">
        <v>8.0</v>
      </c>
      <c r="D4330" s="95" t="s">
        <v>7418</v>
      </c>
      <c r="E4330" s="11" t="s">
        <v>7419</v>
      </c>
      <c r="F4330" s="8"/>
    </row>
    <row r="4331" ht="21.0" customHeight="1">
      <c r="A4331" s="6">
        <v>1.0</v>
      </c>
      <c r="B4331" s="6">
        <v>324.0</v>
      </c>
      <c r="C4331" s="6">
        <v>9.0</v>
      </c>
      <c r="D4331" s="95" t="s">
        <v>7420</v>
      </c>
      <c r="E4331" s="11" t="s">
        <v>7421</v>
      </c>
      <c r="F4331" s="8"/>
    </row>
    <row r="4332" ht="21.0" customHeight="1">
      <c r="A4332" s="6">
        <v>1.0</v>
      </c>
      <c r="B4332" s="6">
        <v>324.0</v>
      </c>
      <c r="C4332" s="6">
        <v>10.0</v>
      </c>
      <c r="D4332" s="95" t="s">
        <v>7422</v>
      </c>
      <c r="E4332" s="11" t="s">
        <v>7423</v>
      </c>
      <c r="F4332" s="8"/>
    </row>
    <row r="4333" ht="21.0" customHeight="1">
      <c r="A4333" s="6">
        <v>1.0</v>
      </c>
      <c r="B4333" s="6">
        <v>324.0</v>
      </c>
      <c r="C4333" s="6">
        <v>11.0</v>
      </c>
      <c r="D4333" s="95" t="s">
        <v>7424</v>
      </c>
      <c r="E4333" s="11" t="s">
        <v>7425</v>
      </c>
      <c r="F4333" s="8"/>
    </row>
    <row r="4334" ht="21.0" customHeight="1">
      <c r="A4334" s="6">
        <v>1.0</v>
      </c>
      <c r="B4334" s="6">
        <v>324.0</v>
      </c>
      <c r="C4334" s="6">
        <v>12.0</v>
      </c>
      <c r="D4334" s="95" t="s">
        <v>7426</v>
      </c>
      <c r="E4334" s="11" t="s">
        <v>7427</v>
      </c>
      <c r="F4334" s="8"/>
    </row>
    <row r="4335" ht="21.0" customHeight="1">
      <c r="A4335" s="6">
        <v>1.0</v>
      </c>
      <c r="B4335" s="6">
        <v>324.0</v>
      </c>
      <c r="C4335" s="6">
        <v>13.0</v>
      </c>
      <c r="D4335" s="95" t="s">
        <v>7428</v>
      </c>
      <c r="E4335" s="11" t="s">
        <v>7429</v>
      </c>
      <c r="F4335" s="8"/>
    </row>
    <row r="4336" ht="21.0" customHeight="1">
      <c r="A4336" s="6">
        <v>11.0</v>
      </c>
      <c r="B4336" s="6">
        <v>2011.0</v>
      </c>
      <c r="C4336" s="6">
        <v>1.0</v>
      </c>
      <c r="D4336" s="80" t="s">
        <v>7430</v>
      </c>
      <c r="E4336" s="19" t="s">
        <v>7431</v>
      </c>
      <c r="F4336" s="8"/>
    </row>
    <row r="4337" ht="21.0" customHeight="1">
      <c r="A4337" s="6">
        <v>11.0</v>
      </c>
      <c r="B4337" s="6">
        <v>2011.0</v>
      </c>
      <c r="C4337" s="6">
        <v>2.0</v>
      </c>
      <c r="D4337" s="80" t="s">
        <v>7432</v>
      </c>
      <c r="E4337" s="19" t="s">
        <v>7433</v>
      </c>
      <c r="F4337" s="8"/>
    </row>
    <row r="4338" ht="21.0" customHeight="1">
      <c r="A4338" s="6">
        <v>11.0</v>
      </c>
      <c r="B4338" s="6">
        <v>2011.0</v>
      </c>
      <c r="C4338" s="6">
        <v>3.0</v>
      </c>
      <c r="D4338" s="80" t="s">
        <v>7434</v>
      </c>
      <c r="E4338" s="19" t="s">
        <v>7435</v>
      </c>
      <c r="F4338" s="8"/>
    </row>
    <row r="4339" ht="21.0" customHeight="1">
      <c r="A4339" s="6">
        <v>11.0</v>
      </c>
      <c r="B4339" s="6">
        <v>2011.0</v>
      </c>
      <c r="C4339" s="6">
        <v>4.0</v>
      </c>
      <c r="D4339" s="82" t="s">
        <v>7436</v>
      </c>
      <c r="E4339" s="19" t="s">
        <v>7437</v>
      </c>
      <c r="F4339" s="8"/>
    </row>
    <row r="4340" ht="21.0" customHeight="1">
      <c r="A4340" s="6">
        <v>10.0</v>
      </c>
      <c r="B4340" s="6">
        <v>2011.0</v>
      </c>
      <c r="C4340" s="6">
        <v>5.0</v>
      </c>
      <c r="D4340" s="82" t="s">
        <v>7438</v>
      </c>
      <c r="E4340" s="19" t="s">
        <v>7439</v>
      </c>
      <c r="F4340" s="8"/>
    </row>
    <row r="4341" ht="21.0" customHeight="1">
      <c r="A4341" s="6">
        <v>10.0</v>
      </c>
      <c r="B4341" s="6">
        <v>2011.0</v>
      </c>
      <c r="C4341" s="6">
        <v>6.0</v>
      </c>
      <c r="D4341" s="82" t="s">
        <v>7440</v>
      </c>
      <c r="E4341" s="9" t="s">
        <v>7441</v>
      </c>
      <c r="F4341" s="8"/>
    </row>
    <row r="4342" ht="21.0" customHeight="1">
      <c r="A4342" s="6">
        <v>10.0</v>
      </c>
      <c r="B4342" s="6">
        <v>2011.0</v>
      </c>
      <c r="C4342" s="6">
        <v>7.0</v>
      </c>
      <c r="D4342" s="82" t="s">
        <v>7442</v>
      </c>
      <c r="E4342" s="9" t="s">
        <v>7443</v>
      </c>
      <c r="F4342" s="8"/>
    </row>
    <row r="4343" ht="21.0" customHeight="1">
      <c r="A4343" s="6">
        <v>10.0</v>
      </c>
      <c r="B4343" s="6">
        <v>2011.0</v>
      </c>
      <c r="C4343" s="6">
        <v>8.0</v>
      </c>
      <c r="D4343" s="82" t="s">
        <v>7444</v>
      </c>
      <c r="E4343" s="19" t="s">
        <v>7445</v>
      </c>
      <c r="F4343" s="8"/>
    </row>
    <row r="4344" ht="21.0" customHeight="1">
      <c r="A4344" s="6">
        <v>10.0</v>
      </c>
      <c r="B4344" s="6">
        <v>2011.0</v>
      </c>
      <c r="C4344" s="6">
        <v>9.0</v>
      </c>
      <c r="D4344" s="82" t="s">
        <v>7446</v>
      </c>
      <c r="E4344" s="9" t="s">
        <v>7447</v>
      </c>
      <c r="F4344" s="8"/>
    </row>
    <row r="4345" ht="21.0" customHeight="1">
      <c r="A4345" s="6">
        <v>10.0</v>
      </c>
      <c r="B4345" s="6">
        <v>2011.0</v>
      </c>
      <c r="C4345" s="6">
        <v>10.0</v>
      </c>
      <c r="D4345" s="96" t="s">
        <v>7448</v>
      </c>
      <c r="E4345" s="19" t="s">
        <v>7449</v>
      </c>
      <c r="F4345" s="8"/>
    </row>
    <row r="4346" ht="21.0" customHeight="1">
      <c r="A4346" s="6">
        <v>11.0</v>
      </c>
      <c r="B4346" s="6">
        <v>2012.0</v>
      </c>
      <c r="C4346" s="6">
        <v>1.0</v>
      </c>
      <c r="D4346" s="80" t="s">
        <v>7450</v>
      </c>
      <c r="E4346" s="19" t="s">
        <v>7451</v>
      </c>
      <c r="F4346" s="8"/>
    </row>
    <row r="4347" ht="21.0" customHeight="1">
      <c r="A4347" s="6">
        <v>11.0</v>
      </c>
      <c r="B4347" s="6">
        <v>2012.0</v>
      </c>
      <c r="C4347" s="6">
        <v>2.0</v>
      </c>
      <c r="D4347" s="80" t="s">
        <v>7452</v>
      </c>
      <c r="E4347" s="19" t="s">
        <v>7453</v>
      </c>
      <c r="F4347" s="8"/>
    </row>
    <row r="4348" ht="21.0" customHeight="1">
      <c r="A4348" s="6">
        <v>11.0</v>
      </c>
      <c r="B4348" s="6">
        <v>2012.0</v>
      </c>
      <c r="C4348" s="6">
        <v>3.0</v>
      </c>
      <c r="D4348" s="80" t="s">
        <v>7454</v>
      </c>
      <c r="E4348" s="19" t="s">
        <v>7455</v>
      </c>
      <c r="F4348" s="8"/>
    </row>
    <row r="4349" ht="21.0" customHeight="1">
      <c r="A4349" s="6">
        <v>11.0</v>
      </c>
      <c r="B4349" s="6">
        <v>2012.0</v>
      </c>
      <c r="C4349" s="6">
        <v>4.0</v>
      </c>
      <c r="D4349" s="82" t="s">
        <v>7456</v>
      </c>
      <c r="E4349" s="19" t="s">
        <v>7457</v>
      </c>
      <c r="F4349" s="8"/>
    </row>
    <row r="4350" ht="21.0" customHeight="1">
      <c r="A4350" s="6">
        <v>10.0</v>
      </c>
      <c r="B4350" s="6">
        <v>2012.0</v>
      </c>
      <c r="C4350" s="6">
        <v>5.0</v>
      </c>
      <c r="D4350" s="82" t="s">
        <v>7458</v>
      </c>
      <c r="E4350" s="19" t="s">
        <v>7459</v>
      </c>
      <c r="F4350" s="8"/>
    </row>
    <row r="4351" ht="21.0" customHeight="1">
      <c r="A4351" s="6">
        <v>10.0</v>
      </c>
      <c r="B4351" s="6">
        <v>2012.0</v>
      </c>
      <c r="C4351" s="6">
        <v>6.0</v>
      </c>
      <c r="D4351" s="82" t="s">
        <v>7460</v>
      </c>
      <c r="E4351" s="9" t="s">
        <v>7461</v>
      </c>
      <c r="F4351" s="8"/>
    </row>
    <row r="4352" ht="21.0" customHeight="1">
      <c r="A4352" s="6">
        <v>10.0</v>
      </c>
      <c r="B4352" s="6">
        <v>2012.0</v>
      </c>
      <c r="C4352" s="6">
        <v>7.0</v>
      </c>
      <c r="D4352" s="82" t="s">
        <v>7462</v>
      </c>
      <c r="E4352" s="9" t="s">
        <v>7463</v>
      </c>
      <c r="F4352" s="8"/>
    </row>
    <row r="4353" ht="21.0" customHeight="1">
      <c r="A4353" s="6">
        <v>10.0</v>
      </c>
      <c r="B4353" s="6">
        <v>2012.0</v>
      </c>
      <c r="C4353" s="6">
        <v>8.0</v>
      </c>
      <c r="D4353" s="82" t="s">
        <v>7464</v>
      </c>
      <c r="E4353" s="19" t="s">
        <v>7465</v>
      </c>
      <c r="F4353" s="8"/>
    </row>
    <row r="4354" ht="21.0" customHeight="1">
      <c r="A4354" s="6">
        <v>10.0</v>
      </c>
      <c r="B4354" s="6">
        <v>2012.0</v>
      </c>
      <c r="C4354" s="6">
        <v>9.0</v>
      </c>
      <c r="D4354" s="82" t="s">
        <v>7466</v>
      </c>
      <c r="E4354" s="9" t="s">
        <v>7467</v>
      </c>
      <c r="F4354" s="8"/>
    </row>
    <row r="4355" ht="21.0" customHeight="1">
      <c r="A4355" s="6">
        <v>10.0</v>
      </c>
      <c r="B4355" s="6">
        <v>2012.0</v>
      </c>
      <c r="C4355" s="6">
        <v>10.0</v>
      </c>
      <c r="D4355" s="96" t="s">
        <v>7468</v>
      </c>
      <c r="E4355" s="19" t="s">
        <v>7449</v>
      </c>
      <c r="F4355" s="8"/>
    </row>
    <row r="4356" ht="21.0" customHeight="1">
      <c r="A4356" s="6">
        <v>1.0</v>
      </c>
      <c r="B4356" s="6">
        <v>325.0</v>
      </c>
      <c r="C4356" s="6">
        <v>1.0</v>
      </c>
      <c r="D4356" s="82" t="s">
        <v>7469</v>
      </c>
      <c r="E4356" s="11" t="s">
        <v>7470</v>
      </c>
      <c r="F4356" s="8"/>
    </row>
    <row r="4357" ht="21.0" customHeight="1">
      <c r="A4357" s="6">
        <v>1.0</v>
      </c>
      <c r="B4357" s="6">
        <v>325.0</v>
      </c>
      <c r="C4357" s="6">
        <v>2.0</v>
      </c>
      <c r="D4357" s="82" t="s">
        <v>7471</v>
      </c>
      <c r="E4357" s="11" t="s">
        <v>7472</v>
      </c>
      <c r="F4357" s="8"/>
    </row>
    <row r="4358" ht="21.0" customHeight="1">
      <c r="A4358" s="6">
        <v>1.0</v>
      </c>
      <c r="B4358" s="6">
        <v>325.0</v>
      </c>
      <c r="C4358" s="6">
        <v>3.0</v>
      </c>
      <c r="D4358" s="90" t="s">
        <v>7473</v>
      </c>
      <c r="E4358" s="11" t="s">
        <v>7474</v>
      </c>
      <c r="F4358" s="8"/>
    </row>
    <row r="4359" ht="21.0" customHeight="1">
      <c r="A4359" s="6">
        <v>1.0</v>
      </c>
      <c r="B4359" s="6">
        <v>325.0</v>
      </c>
      <c r="C4359" s="6">
        <v>4.0</v>
      </c>
      <c r="D4359" s="82" t="s">
        <v>7475</v>
      </c>
      <c r="E4359" s="11" t="s">
        <v>7476</v>
      </c>
      <c r="F4359" s="8"/>
    </row>
    <row r="4360" ht="21.0" customHeight="1">
      <c r="A4360" s="6">
        <v>1.0</v>
      </c>
      <c r="B4360" s="6">
        <v>325.0</v>
      </c>
      <c r="C4360" s="6">
        <v>5.0</v>
      </c>
      <c r="D4360" s="82" t="s">
        <v>7477</v>
      </c>
      <c r="E4360" s="11" t="s">
        <v>7478</v>
      </c>
      <c r="F4360" s="8"/>
    </row>
    <row r="4361" ht="21.0" customHeight="1">
      <c r="A4361" s="6">
        <v>1.0</v>
      </c>
      <c r="B4361" s="6">
        <v>325.0</v>
      </c>
      <c r="C4361" s="6">
        <v>6.0</v>
      </c>
      <c r="D4361" s="82" t="s">
        <v>7479</v>
      </c>
      <c r="E4361" s="11" t="s">
        <v>7480</v>
      </c>
      <c r="F4361" s="8"/>
    </row>
    <row r="4362" ht="21.0" customHeight="1">
      <c r="A4362" s="6">
        <v>1.0</v>
      </c>
      <c r="B4362" s="6">
        <v>325.0</v>
      </c>
      <c r="C4362" s="6">
        <v>7.0</v>
      </c>
      <c r="D4362" s="80" t="s">
        <v>7481</v>
      </c>
      <c r="E4362" s="11" t="s">
        <v>7482</v>
      </c>
      <c r="F4362" s="8"/>
    </row>
    <row r="4363" ht="21.0" customHeight="1">
      <c r="A4363" s="6">
        <v>1.0</v>
      </c>
      <c r="B4363" s="6">
        <v>325.0</v>
      </c>
      <c r="C4363" s="6">
        <v>8.0</v>
      </c>
      <c r="D4363" s="80" t="s">
        <v>7483</v>
      </c>
      <c r="E4363" s="11" t="s">
        <v>7484</v>
      </c>
      <c r="F4363" s="8"/>
    </row>
    <row r="4364" ht="21.0" customHeight="1">
      <c r="A4364" s="6">
        <v>1.0</v>
      </c>
      <c r="B4364" s="6">
        <v>325.0</v>
      </c>
      <c r="C4364" s="6">
        <v>9.0</v>
      </c>
      <c r="D4364" s="80" t="s">
        <v>7485</v>
      </c>
      <c r="E4364" s="11" t="s">
        <v>7486</v>
      </c>
      <c r="F4364" s="8"/>
    </row>
    <row r="4365" ht="21.0" customHeight="1">
      <c r="A4365" s="6">
        <v>1.0</v>
      </c>
      <c r="B4365" s="6">
        <v>325.0</v>
      </c>
      <c r="C4365" s="6">
        <v>10.0</v>
      </c>
      <c r="D4365" s="80" t="s">
        <v>7487</v>
      </c>
      <c r="E4365" s="11" t="s">
        <v>7488</v>
      </c>
      <c r="F4365" s="8"/>
    </row>
    <row r="4366" ht="21.0" customHeight="1">
      <c r="A4366" s="6">
        <v>1.0</v>
      </c>
      <c r="B4366" s="6">
        <v>325.0</v>
      </c>
      <c r="C4366" s="6">
        <v>11.0</v>
      </c>
      <c r="D4366" s="80" t="s">
        <v>7489</v>
      </c>
      <c r="E4366" s="11" t="s">
        <v>7490</v>
      </c>
      <c r="F4366" s="8"/>
    </row>
    <row r="4367" ht="21.0" customHeight="1">
      <c r="A4367" s="6">
        <v>1.0</v>
      </c>
      <c r="B4367" s="6">
        <v>325.0</v>
      </c>
      <c r="C4367" s="6">
        <v>12.0</v>
      </c>
      <c r="D4367" s="82" t="s">
        <v>7491</v>
      </c>
      <c r="E4367" s="11" t="s">
        <v>7492</v>
      </c>
      <c r="F4367" s="8"/>
    </row>
    <row r="4368" ht="21.0" customHeight="1">
      <c r="A4368" s="6">
        <v>1.0</v>
      </c>
      <c r="B4368" s="6">
        <v>325.0</v>
      </c>
      <c r="C4368" s="6">
        <v>13.0</v>
      </c>
      <c r="D4368" s="82" t="s">
        <v>7493</v>
      </c>
      <c r="E4368" s="11" t="s">
        <v>7494</v>
      </c>
      <c r="F4368" s="8"/>
    </row>
    <row r="4369" ht="21.0" customHeight="1">
      <c r="A4369" s="6">
        <v>1.0</v>
      </c>
      <c r="B4369" s="6">
        <v>325.0</v>
      </c>
      <c r="C4369" s="6">
        <v>14.0</v>
      </c>
      <c r="D4369" s="82" t="s">
        <v>7495</v>
      </c>
      <c r="E4369" s="11" t="s">
        <v>7496</v>
      </c>
      <c r="F4369" s="8"/>
    </row>
    <row r="4370" ht="21.0" customHeight="1">
      <c r="A4370" s="6">
        <v>1.0</v>
      </c>
      <c r="B4370" s="6">
        <v>325.0</v>
      </c>
      <c r="C4370" s="6">
        <v>15.0</v>
      </c>
      <c r="D4370" s="82" t="s">
        <v>7497</v>
      </c>
      <c r="E4370" s="11" t="s">
        <v>7498</v>
      </c>
      <c r="F4370" s="8"/>
    </row>
    <row r="4371" ht="21.0" customHeight="1">
      <c r="A4371" s="6">
        <v>1.0</v>
      </c>
      <c r="B4371" s="6">
        <v>326.0</v>
      </c>
      <c r="C4371" s="6">
        <v>1.0</v>
      </c>
      <c r="D4371" s="82" t="s">
        <v>7499</v>
      </c>
      <c r="E4371" s="11" t="s">
        <v>7500</v>
      </c>
      <c r="F4371" s="8"/>
    </row>
    <row r="4372" ht="21.0" customHeight="1">
      <c r="A4372" s="6">
        <v>1.0</v>
      </c>
      <c r="B4372" s="6">
        <v>326.0</v>
      </c>
      <c r="C4372" s="6">
        <v>2.0</v>
      </c>
      <c r="D4372" s="82" t="s">
        <v>7501</v>
      </c>
      <c r="E4372" s="11" t="s">
        <v>7502</v>
      </c>
      <c r="F4372" s="8"/>
    </row>
    <row r="4373" ht="21.0" customHeight="1">
      <c r="A4373" s="6">
        <v>1.0</v>
      </c>
      <c r="B4373" s="6">
        <v>326.0</v>
      </c>
      <c r="C4373" s="6">
        <v>3.0</v>
      </c>
      <c r="D4373" s="82" t="s">
        <v>7503</v>
      </c>
      <c r="E4373" s="11" t="s">
        <v>7504</v>
      </c>
      <c r="F4373" s="8"/>
    </row>
    <row r="4374" ht="21.0" customHeight="1">
      <c r="A4374" s="6">
        <v>1.0</v>
      </c>
      <c r="B4374" s="6">
        <v>326.0</v>
      </c>
      <c r="C4374" s="6">
        <v>4.0</v>
      </c>
      <c r="D4374" s="80" t="s">
        <v>7505</v>
      </c>
      <c r="E4374" s="11" t="s">
        <v>7506</v>
      </c>
      <c r="F4374" s="8"/>
    </row>
    <row r="4375" ht="21.0" customHeight="1">
      <c r="A4375" s="6">
        <v>1.0</v>
      </c>
      <c r="B4375" s="6">
        <v>326.0</v>
      </c>
      <c r="C4375" s="6">
        <v>5.0</v>
      </c>
      <c r="D4375" s="82" t="s">
        <v>7507</v>
      </c>
      <c r="E4375" s="11" t="s">
        <v>7508</v>
      </c>
      <c r="F4375" s="8"/>
    </row>
    <row r="4376" ht="21.0" customHeight="1">
      <c r="A4376" s="6">
        <v>1.0</v>
      </c>
      <c r="B4376" s="6">
        <v>326.0</v>
      </c>
      <c r="C4376" s="6">
        <v>6.0</v>
      </c>
      <c r="D4376" s="90" t="s">
        <v>7509</v>
      </c>
      <c r="E4376" s="11" t="s">
        <v>7510</v>
      </c>
      <c r="F4376" s="8"/>
    </row>
    <row r="4377" ht="21.0" customHeight="1">
      <c r="A4377" s="6">
        <v>1.0</v>
      </c>
      <c r="B4377" s="6">
        <v>326.0</v>
      </c>
      <c r="C4377" s="6">
        <v>7.0</v>
      </c>
      <c r="D4377" s="82" t="s">
        <v>7511</v>
      </c>
      <c r="E4377" s="11" t="s">
        <v>7512</v>
      </c>
      <c r="F4377" s="8"/>
    </row>
    <row r="4378" ht="21.0" customHeight="1">
      <c r="A4378" s="6">
        <v>1.0</v>
      </c>
      <c r="B4378" s="6">
        <v>326.0</v>
      </c>
      <c r="C4378" s="6">
        <v>8.0</v>
      </c>
      <c r="D4378" s="82" t="s">
        <v>7513</v>
      </c>
      <c r="E4378" s="11" t="s">
        <v>7514</v>
      </c>
      <c r="F4378" s="8"/>
    </row>
    <row r="4379" ht="21.0" customHeight="1">
      <c r="A4379" s="6">
        <v>1.0</v>
      </c>
      <c r="B4379" s="6">
        <v>326.0</v>
      </c>
      <c r="C4379" s="6">
        <v>9.0</v>
      </c>
      <c r="D4379" s="90" t="s">
        <v>7515</v>
      </c>
      <c r="E4379" s="11" t="s">
        <v>7516</v>
      </c>
      <c r="F4379" s="8"/>
    </row>
    <row r="4380" ht="21.0" customHeight="1">
      <c r="A4380" s="6">
        <v>1.0</v>
      </c>
      <c r="B4380" s="6">
        <v>326.0</v>
      </c>
      <c r="C4380" s="6">
        <v>10.0</v>
      </c>
      <c r="D4380" s="82" t="s">
        <v>7517</v>
      </c>
      <c r="E4380" s="11" t="s">
        <v>7518</v>
      </c>
      <c r="F4380" s="8"/>
    </row>
    <row r="4381" ht="21.0" customHeight="1">
      <c r="A4381" s="6">
        <v>1.0</v>
      </c>
      <c r="B4381" s="6">
        <v>326.0</v>
      </c>
      <c r="C4381" s="6">
        <v>11.0</v>
      </c>
      <c r="D4381" s="80" t="s">
        <v>7519</v>
      </c>
      <c r="E4381" s="11" t="s">
        <v>7520</v>
      </c>
      <c r="F4381" s="8"/>
    </row>
    <row r="4382" ht="21.0" customHeight="1">
      <c r="A4382" s="6">
        <v>1.0</v>
      </c>
      <c r="B4382" s="6">
        <v>326.0</v>
      </c>
      <c r="C4382" s="6">
        <v>12.0</v>
      </c>
      <c r="D4382" s="97" t="s">
        <v>7521</v>
      </c>
      <c r="E4382" s="11" t="s">
        <v>7522</v>
      </c>
      <c r="F4382" s="8"/>
    </row>
    <row r="4383" ht="21.0" customHeight="1">
      <c r="A4383" s="6">
        <v>1.0</v>
      </c>
      <c r="B4383" s="6">
        <v>326.0</v>
      </c>
      <c r="C4383" s="6">
        <v>13.0</v>
      </c>
      <c r="D4383" s="67" t="s">
        <v>7523</v>
      </c>
      <c r="E4383" s="11" t="s">
        <v>7524</v>
      </c>
      <c r="F4383" s="8"/>
    </row>
    <row r="4384" ht="21.0" customHeight="1">
      <c r="A4384" s="6">
        <v>1.0</v>
      </c>
      <c r="B4384" s="6">
        <v>326.0</v>
      </c>
      <c r="C4384" s="6">
        <v>14.0</v>
      </c>
      <c r="D4384" s="80" t="s">
        <v>7525</v>
      </c>
      <c r="E4384" s="9" t="s">
        <v>7526</v>
      </c>
      <c r="F4384" s="8"/>
    </row>
    <row r="4385" ht="21.0" customHeight="1">
      <c r="A4385" s="6">
        <v>1.0</v>
      </c>
      <c r="B4385" s="6">
        <v>326.0</v>
      </c>
      <c r="C4385" s="6">
        <v>15.0</v>
      </c>
      <c r="D4385" s="80" t="s">
        <v>7527</v>
      </c>
      <c r="E4385" s="9" t="s">
        <v>7528</v>
      </c>
      <c r="F4385" s="8"/>
    </row>
    <row r="4386" ht="21.0" customHeight="1">
      <c r="A4386" s="6">
        <v>1.0</v>
      </c>
      <c r="B4386" s="6">
        <v>327.0</v>
      </c>
      <c r="C4386" s="6">
        <v>1.0</v>
      </c>
      <c r="D4386" s="82" t="s">
        <v>7529</v>
      </c>
      <c r="E4386" s="11" t="s">
        <v>7530</v>
      </c>
      <c r="F4386" s="8"/>
    </row>
    <row r="4387" ht="21.0" customHeight="1">
      <c r="A4387" s="6">
        <v>1.0</v>
      </c>
      <c r="B4387" s="6">
        <v>327.0</v>
      </c>
      <c r="C4387" s="6">
        <v>2.0</v>
      </c>
      <c r="D4387" s="82" t="s">
        <v>7531</v>
      </c>
      <c r="E4387" s="11" t="s">
        <v>7532</v>
      </c>
      <c r="F4387" s="8"/>
    </row>
    <row r="4388" ht="21.0" customHeight="1">
      <c r="A4388" s="6">
        <v>1.0</v>
      </c>
      <c r="B4388" s="6">
        <v>327.0</v>
      </c>
      <c r="C4388" s="6">
        <v>3.0</v>
      </c>
      <c r="D4388" s="82" t="s">
        <v>7533</v>
      </c>
      <c r="E4388" s="11" t="s">
        <v>7534</v>
      </c>
      <c r="F4388" s="8"/>
    </row>
    <row r="4389" ht="21.0" customHeight="1">
      <c r="A4389" s="6">
        <v>1.0</v>
      </c>
      <c r="B4389" s="6">
        <v>327.0</v>
      </c>
      <c r="C4389" s="6">
        <v>4.0</v>
      </c>
      <c r="D4389" s="98" t="s">
        <v>7535</v>
      </c>
      <c r="E4389" s="11" t="s">
        <v>7536</v>
      </c>
      <c r="F4389" s="8"/>
    </row>
    <row r="4390" ht="21.0" customHeight="1">
      <c r="A4390" s="6">
        <v>1.0</v>
      </c>
      <c r="B4390" s="6">
        <v>327.0</v>
      </c>
      <c r="C4390" s="6">
        <v>5.0</v>
      </c>
      <c r="D4390" s="82" t="s">
        <v>7537</v>
      </c>
      <c r="E4390" s="11" t="s">
        <v>7538</v>
      </c>
      <c r="F4390" s="8"/>
    </row>
    <row r="4391" ht="21.0" customHeight="1">
      <c r="A4391" s="6">
        <v>1.0</v>
      </c>
      <c r="B4391" s="6">
        <v>327.0</v>
      </c>
      <c r="C4391" s="6">
        <v>6.0</v>
      </c>
      <c r="D4391" s="82" t="s">
        <v>7539</v>
      </c>
      <c r="E4391" s="11" t="s">
        <v>7540</v>
      </c>
      <c r="F4391" s="8"/>
    </row>
    <row r="4392" ht="21.0" customHeight="1">
      <c r="A4392" s="6">
        <v>1.0</v>
      </c>
      <c r="B4392" s="6">
        <v>327.0</v>
      </c>
      <c r="C4392" s="6">
        <v>7.0</v>
      </c>
      <c r="D4392" s="82" t="s">
        <v>7541</v>
      </c>
      <c r="E4392" s="11" t="s">
        <v>7542</v>
      </c>
      <c r="F4392" s="8"/>
    </row>
    <row r="4393" ht="21.0" customHeight="1">
      <c r="A4393" s="6">
        <v>1.0</v>
      </c>
      <c r="B4393" s="6">
        <v>327.0</v>
      </c>
      <c r="C4393" s="6">
        <v>8.0</v>
      </c>
      <c r="D4393" s="82" t="s">
        <v>7543</v>
      </c>
      <c r="E4393" s="11" t="s">
        <v>7544</v>
      </c>
      <c r="F4393" s="8"/>
    </row>
    <row r="4394" ht="21.0" customHeight="1">
      <c r="A4394" s="6">
        <v>1.0</v>
      </c>
      <c r="B4394" s="6">
        <v>327.0</v>
      </c>
      <c r="C4394" s="6">
        <v>9.0</v>
      </c>
      <c r="D4394" s="80" t="s">
        <v>7545</v>
      </c>
      <c r="E4394" s="11" t="s">
        <v>7546</v>
      </c>
      <c r="F4394" s="8"/>
    </row>
    <row r="4395" ht="21.0" customHeight="1">
      <c r="A4395" s="6">
        <v>1.0</v>
      </c>
      <c r="B4395" s="6">
        <v>327.0</v>
      </c>
      <c r="C4395" s="6">
        <v>10.0</v>
      </c>
      <c r="D4395" s="80" t="s">
        <v>7547</v>
      </c>
      <c r="E4395" s="11" t="s">
        <v>7548</v>
      </c>
      <c r="F4395" s="8"/>
    </row>
    <row r="4396" ht="21.0" customHeight="1">
      <c r="A4396" s="6">
        <v>1.0</v>
      </c>
      <c r="B4396" s="6">
        <v>327.0</v>
      </c>
      <c r="C4396" s="6">
        <v>11.0</v>
      </c>
      <c r="D4396" s="82" t="s">
        <v>7549</v>
      </c>
      <c r="E4396" s="11" t="s">
        <v>7550</v>
      </c>
      <c r="F4396" s="8"/>
    </row>
    <row r="4397" ht="21.0" customHeight="1">
      <c r="A4397" s="6">
        <v>1.0</v>
      </c>
      <c r="B4397" s="6">
        <v>327.0</v>
      </c>
      <c r="C4397" s="6">
        <v>12.0</v>
      </c>
      <c r="D4397" s="80" t="s">
        <v>7551</v>
      </c>
      <c r="E4397" s="11" t="s">
        <v>7552</v>
      </c>
      <c r="F4397" s="8"/>
    </row>
    <row r="4398" ht="21.0" customHeight="1">
      <c r="A4398" s="6">
        <v>1.0</v>
      </c>
      <c r="B4398" s="6">
        <v>327.0</v>
      </c>
      <c r="C4398" s="6">
        <v>13.0</v>
      </c>
      <c r="D4398" s="82" t="s">
        <v>7553</v>
      </c>
      <c r="E4398" s="11" t="s">
        <v>7554</v>
      </c>
      <c r="F4398" s="8"/>
    </row>
    <row r="4399" ht="21.0" customHeight="1">
      <c r="A4399" s="6">
        <v>1.0</v>
      </c>
      <c r="B4399" s="6">
        <v>327.0</v>
      </c>
      <c r="C4399" s="6">
        <v>14.0</v>
      </c>
      <c r="D4399" s="80" t="s">
        <v>7555</v>
      </c>
      <c r="E4399" s="9" t="s">
        <v>7556</v>
      </c>
      <c r="F4399" s="8"/>
    </row>
    <row r="4400" ht="21.0" customHeight="1">
      <c r="A4400" s="6">
        <v>1.0</v>
      </c>
      <c r="B4400" s="6">
        <v>327.0</v>
      </c>
      <c r="C4400" s="6">
        <v>15.0</v>
      </c>
      <c r="D4400" s="80" t="s">
        <v>7557</v>
      </c>
      <c r="E4400" s="9" t="s">
        <v>7558</v>
      </c>
      <c r="F4400" s="8"/>
    </row>
    <row r="4401" ht="21.0" customHeight="1">
      <c r="A4401" s="6">
        <v>100.0</v>
      </c>
      <c r="B4401" s="6">
        <v>2000.0</v>
      </c>
      <c r="C4401" s="6">
        <v>1.0</v>
      </c>
      <c r="D4401" s="99" t="s">
        <v>7559</v>
      </c>
      <c r="E4401" s="9" t="s">
        <v>7560</v>
      </c>
      <c r="F4401" s="8"/>
    </row>
    <row r="4402" ht="21.0" customHeight="1">
      <c r="A4402" s="6">
        <v>100.0</v>
      </c>
      <c r="B4402" s="6">
        <v>2000.0</v>
      </c>
      <c r="C4402" s="6">
        <v>1.0</v>
      </c>
      <c r="D4402" s="99" t="s">
        <v>7561</v>
      </c>
      <c r="E4402" s="9"/>
      <c r="F4402" s="8"/>
    </row>
    <row r="4403" ht="21.0" customHeight="1">
      <c r="A4403" s="6">
        <v>100.0</v>
      </c>
      <c r="B4403" s="6">
        <v>2000.0</v>
      </c>
      <c r="C4403" s="6">
        <v>1.0</v>
      </c>
      <c r="D4403" s="99" t="s">
        <v>7562</v>
      </c>
      <c r="E4403" s="9"/>
      <c r="F4403" s="8"/>
    </row>
    <row r="4404" ht="21.0" customHeight="1">
      <c r="A4404" s="6">
        <v>100.0</v>
      </c>
      <c r="B4404" s="6">
        <v>2000.0</v>
      </c>
      <c r="C4404" s="6">
        <v>1.0</v>
      </c>
      <c r="D4404" s="99" t="s">
        <v>7563</v>
      </c>
      <c r="E4404" s="9"/>
      <c r="F4404" s="8"/>
    </row>
    <row r="4405" ht="21.0" customHeight="1">
      <c r="A4405" s="6">
        <v>100.0</v>
      </c>
      <c r="B4405" s="6">
        <v>2000.0</v>
      </c>
      <c r="C4405" s="6">
        <v>1.0</v>
      </c>
      <c r="D4405" s="99" t="s">
        <v>7564</v>
      </c>
      <c r="E4405" s="9"/>
      <c r="F4405" s="8"/>
    </row>
    <row r="4406" ht="21.0" customHeight="1">
      <c r="A4406" s="6">
        <v>100.0</v>
      </c>
      <c r="B4406" s="6">
        <v>2000.0</v>
      </c>
      <c r="C4406" s="6">
        <v>1.0</v>
      </c>
      <c r="D4406" s="99" t="s">
        <v>7565</v>
      </c>
      <c r="E4406" s="9" t="s">
        <v>7560</v>
      </c>
      <c r="F4406" s="8"/>
    </row>
    <row r="4407" ht="21.0" customHeight="1">
      <c r="A4407" s="6">
        <v>100.0</v>
      </c>
      <c r="B4407" s="6">
        <v>2000.0</v>
      </c>
      <c r="C4407" s="6">
        <v>1.0</v>
      </c>
      <c r="D4407" s="99" t="s">
        <v>7566</v>
      </c>
      <c r="E4407" s="9"/>
      <c r="F4407" s="8"/>
    </row>
    <row r="4408" ht="21.0" customHeight="1">
      <c r="A4408" s="6">
        <v>100.0</v>
      </c>
      <c r="B4408" s="6">
        <v>2000.0</v>
      </c>
      <c r="C4408" s="6">
        <v>1.0</v>
      </c>
      <c r="D4408" s="99" t="s">
        <v>7567</v>
      </c>
      <c r="E4408" s="9"/>
      <c r="F4408" s="8"/>
    </row>
    <row r="4409" ht="21.0" customHeight="1">
      <c r="A4409" s="6">
        <v>100.0</v>
      </c>
      <c r="B4409" s="6">
        <v>2000.0</v>
      </c>
      <c r="C4409" s="6">
        <v>1.0</v>
      </c>
      <c r="D4409" s="99" t="s">
        <v>7568</v>
      </c>
      <c r="E4409" s="9"/>
      <c r="F4409" s="8"/>
    </row>
    <row r="4410" ht="21.0" customHeight="1">
      <c r="A4410" s="6">
        <v>100.0</v>
      </c>
      <c r="B4410" s="6">
        <v>2000.0</v>
      </c>
      <c r="C4410" s="6">
        <v>1.0</v>
      </c>
      <c r="D4410" s="99" t="s">
        <v>7569</v>
      </c>
      <c r="E4410" s="9"/>
      <c r="F4410" s="8"/>
    </row>
    <row r="4411" ht="21.0" customHeight="1">
      <c r="A4411" s="6">
        <v>100.0</v>
      </c>
      <c r="B4411" s="6">
        <v>2000.0</v>
      </c>
      <c r="C4411" s="6">
        <v>1.0</v>
      </c>
      <c r="D4411" s="100" t="s">
        <v>7570</v>
      </c>
      <c r="E4411" s="9" t="s">
        <v>7560</v>
      </c>
      <c r="F4411" s="8"/>
    </row>
    <row r="4412" ht="21.0" customHeight="1">
      <c r="A4412" s="6">
        <v>100.0</v>
      </c>
      <c r="B4412" s="6">
        <v>2000.0</v>
      </c>
      <c r="C4412" s="6">
        <v>1.0</v>
      </c>
      <c r="D4412" s="100" t="s">
        <v>7571</v>
      </c>
      <c r="E4412" s="9"/>
      <c r="F4412" s="8"/>
    </row>
    <row r="4413" ht="21.0" customHeight="1">
      <c r="A4413" s="6">
        <v>100.0</v>
      </c>
      <c r="B4413" s="6">
        <v>2000.0</v>
      </c>
      <c r="C4413" s="6">
        <v>1.0</v>
      </c>
      <c r="D4413" s="100" t="s">
        <v>7572</v>
      </c>
      <c r="E4413" s="9"/>
      <c r="F4413" s="8"/>
    </row>
    <row r="4414" ht="21.0" customHeight="1">
      <c r="A4414" s="6">
        <v>100.0</v>
      </c>
      <c r="B4414" s="6">
        <v>2000.0</v>
      </c>
      <c r="C4414" s="6">
        <v>1.0</v>
      </c>
      <c r="D4414" s="100" t="s">
        <v>7573</v>
      </c>
      <c r="E4414" s="9"/>
      <c r="F4414" s="8"/>
    </row>
    <row r="4415" ht="21.0" customHeight="1">
      <c r="A4415" s="6">
        <v>100.0</v>
      </c>
      <c r="B4415" s="6">
        <v>2000.0</v>
      </c>
      <c r="C4415" s="6">
        <v>1.0</v>
      </c>
      <c r="D4415" s="100" t="s">
        <v>7574</v>
      </c>
      <c r="E4415" s="9"/>
      <c r="F4415" s="8"/>
    </row>
    <row r="4416" ht="21.0" customHeight="1">
      <c r="A4416" s="6">
        <v>100.0</v>
      </c>
      <c r="B4416" s="6">
        <v>2000.0</v>
      </c>
      <c r="C4416" s="6">
        <v>1.0</v>
      </c>
      <c r="D4416" s="100" t="s">
        <v>7575</v>
      </c>
      <c r="E4416" s="9" t="s">
        <v>7560</v>
      </c>
      <c r="F4416" s="8"/>
    </row>
    <row r="4417" ht="21.0" customHeight="1">
      <c r="A4417" s="6">
        <v>100.0</v>
      </c>
      <c r="B4417" s="6">
        <v>2000.0</v>
      </c>
      <c r="C4417" s="6">
        <v>1.0</v>
      </c>
      <c r="D4417" s="100" t="s">
        <v>7576</v>
      </c>
      <c r="E4417" s="9"/>
      <c r="F4417" s="8"/>
    </row>
    <row r="4418" ht="21.0" customHeight="1">
      <c r="A4418" s="6">
        <v>100.0</v>
      </c>
      <c r="B4418" s="6">
        <v>2000.0</v>
      </c>
      <c r="C4418" s="6">
        <v>1.0</v>
      </c>
      <c r="D4418" s="100" t="s">
        <v>7577</v>
      </c>
      <c r="E4418" s="9"/>
      <c r="F4418" s="8"/>
    </row>
    <row r="4419" ht="21.0" customHeight="1">
      <c r="A4419" s="6">
        <v>100.0</v>
      </c>
      <c r="B4419" s="6">
        <v>2000.0</v>
      </c>
      <c r="C4419" s="6">
        <v>1.0</v>
      </c>
      <c r="D4419" s="100" t="s">
        <v>7578</v>
      </c>
      <c r="E4419" s="9"/>
      <c r="F4419" s="8"/>
    </row>
    <row r="4420" ht="21.0" customHeight="1">
      <c r="A4420" s="6">
        <v>100.0</v>
      </c>
      <c r="B4420" s="6">
        <v>2000.0</v>
      </c>
      <c r="C4420" s="6">
        <v>1.0</v>
      </c>
      <c r="D4420" s="100" t="s">
        <v>7579</v>
      </c>
      <c r="E4420" s="9"/>
      <c r="F4420" s="8"/>
    </row>
    <row r="4421" ht="21.0" customHeight="1">
      <c r="A4421" s="6">
        <v>100.0</v>
      </c>
      <c r="B4421" s="6">
        <v>2000.0</v>
      </c>
      <c r="C4421" s="6">
        <v>1.0</v>
      </c>
      <c r="D4421" s="100" t="s">
        <v>7580</v>
      </c>
      <c r="E4421" s="9"/>
      <c r="F4421" s="8"/>
    </row>
    <row r="4422" ht="21.0" customHeight="1">
      <c r="A4422" s="6">
        <v>100.0</v>
      </c>
      <c r="B4422" s="6">
        <v>2000.0</v>
      </c>
      <c r="C4422" s="6">
        <v>1.0</v>
      </c>
      <c r="D4422" s="100" t="s">
        <v>7581</v>
      </c>
      <c r="E4422" s="9"/>
      <c r="F4422" s="8"/>
    </row>
    <row r="4423" ht="21.0" customHeight="1">
      <c r="A4423" s="6">
        <v>100.0</v>
      </c>
      <c r="B4423" s="6">
        <v>2000.0</v>
      </c>
      <c r="C4423" s="6">
        <v>1.0</v>
      </c>
      <c r="D4423" s="100" t="s">
        <v>7582</v>
      </c>
      <c r="E4423" s="9"/>
      <c r="F4423" s="8"/>
    </row>
    <row r="4424" ht="21.0" customHeight="1">
      <c r="A4424" s="6">
        <v>100.0</v>
      </c>
      <c r="B4424" s="6">
        <v>2000.0</v>
      </c>
      <c r="C4424" s="6">
        <v>1.0</v>
      </c>
      <c r="D4424" s="100" t="s">
        <v>7583</v>
      </c>
      <c r="E4424" s="9"/>
      <c r="F4424" s="8"/>
    </row>
    <row r="4425" ht="21.0" customHeight="1">
      <c r="A4425" s="6">
        <v>100.0</v>
      </c>
      <c r="B4425" s="6">
        <v>2000.0</v>
      </c>
      <c r="C4425" s="6">
        <v>1.0</v>
      </c>
      <c r="D4425" s="100" t="s">
        <v>7584</v>
      </c>
      <c r="E4425" s="9"/>
      <c r="F4425" s="8"/>
    </row>
    <row r="4426" ht="21.0" customHeight="1">
      <c r="A4426" s="6">
        <v>100.0</v>
      </c>
      <c r="B4426" s="6">
        <v>2000.0</v>
      </c>
      <c r="C4426" s="6">
        <v>1.0</v>
      </c>
      <c r="D4426" s="100" t="s">
        <v>7585</v>
      </c>
      <c r="E4426" s="9"/>
      <c r="F4426" s="8"/>
    </row>
    <row r="4427" ht="21.0" customHeight="1">
      <c r="A4427" s="6">
        <v>100.0</v>
      </c>
      <c r="B4427" s="6">
        <v>2000.0</v>
      </c>
      <c r="C4427" s="6">
        <v>1.0</v>
      </c>
      <c r="D4427" s="100" t="s">
        <v>7586</v>
      </c>
      <c r="E4427" s="9"/>
      <c r="F4427" s="8"/>
    </row>
    <row r="4428" ht="21.0" customHeight="1">
      <c r="A4428" s="6">
        <v>100.0</v>
      </c>
      <c r="B4428" s="6">
        <v>2000.0</v>
      </c>
      <c r="C4428" s="6">
        <v>1.0</v>
      </c>
      <c r="D4428" s="100" t="s">
        <v>7587</v>
      </c>
      <c r="E4428" s="9"/>
      <c r="F4428" s="8"/>
    </row>
    <row r="4429" ht="21.0" customHeight="1">
      <c r="A4429" s="6">
        <v>100.0</v>
      </c>
      <c r="B4429" s="6">
        <v>2000.0</v>
      </c>
      <c r="C4429" s="6">
        <v>1.0</v>
      </c>
      <c r="D4429" s="100" t="s">
        <v>7588</v>
      </c>
      <c r="E4429" s="9"/>
      <c r="F4429" s="8"/>
    </row>
    <row r="4430" ht="21.0" customHeight="1">
      <c r="A4430" s="6">
        <v>100.0</v>
      </c>
      <c r="B4430" s="6">
        <v>2000.0</v>
      </c>
      <c r="C4430" s="6">
        <v>1.0</v>
      </c>
      <c r="D4430" s="100" t="s">
        <v>7589</v>
      </c>
      <c r="E4430" s="9"/>
      <c r="F4430" s="8"/>
    </row>
    <row r="4431" ht="21.0" customHeight="1">
      <c r="A4431" s="6">
        <v>100.0</v>
      </c>
      <c r="B4431" s="6">
        <v>2000.0</v>
      </c>
      <c r="C4431" s="6">
        <v>1.0</v>
      </c>
      <c r="D4431" s="100" t="s">
        <v>7590</v>
      </c>
      <c r="E4431" s="9"/>
      <c r="F4431" s="8"/>
    </row>
    <row r="4432" ht="21.0" customHeight="1">
      <c r="A4432" s="6">
        <v>100.0</v>
      </c>
      <c r="B4432" s="6">
        <v>2000.0</v>
      </c>
      <c r="C4432" s="6">
        <v>1.0</v>
      </c>
      <c r="D4432" s="100" t="s">
        <v>7591</v>
      </c>
      <c r="E4432" s="9"/>
      <c r="F4432" s="8"/>
    </row>
    <row r="4433" ht="21.0" customHeight="1">
      <c r="A4433" s="6">
        <v>100.0</v>
      </c>
      <c r="B4433" s="6">
        <v>2000.0</v>
      </c>
      <c r="C4433" s="6">
        <v>1.0</v>
      </c>
      <c r="D4433" s="100" t="s">
        <v>7592</v>
      </c>
      <c r="E4433" s="9"/>
      <c r="F4433" s="8"/>
    </row>
    <row r="4434" ht="21.0" customHeight="1">
      <c r="A4434" s="6">
        <v>100.0</v>
      </c>
      <c r="B4434" s="6">
        <v>2000.0</v>
      </c>
      <c r="C4434" s="6">
        <v>1.0</v>
      </c>
      <c r="D4434" s="100" t="s">
        <v>7593</v>
      </c>
      <c r="E4434" s="9"/>
      <c r="F4434" s="8"/>
    </row>
    <row r="4435" ht="21.0" customHeight="1">
      <c r="A4435" s="6">
        <v>100.0</v>
      </c>
      <c r="B4435" s="6">
        <v>2000.0</v>
      </c>
      <c r="C4435" s="6">
        <v>1.0</v>
      </c>
      <c r="D4435" s="100" t="s">
        <v>7594</v>
      </c>
      <c r="E4435" s="9"/>
      <c r="F4435" s="8"/>
    </row>
    <row r="4436" ht="21.0" customHeight="1">
      <c r="A4436" s="6">
        <v>100.0</v>
      </c>
      <c r="B4436" s="6">
        <v>2000.0</v>
      </c>
      <c r="C4436" s="6">
        <v>1.0</v>
      </c>
      <c r="D4436" s="100" t="s">
        <v>7595</v>
      </c>
      <c r="E4436" s="9" t="s">
        <v>7560</v>
      </c>
      <c r="F4436" s="8"/>
    </row>
    <row r="4437" ht="21.0" customHeight="1">
      <c r="A4437" s="6">
        <v>100.0</v>
      </c>
      <c r="B4437" s="6">
        <v>2000.0</v>
      </c>
      <c r="C4437" s="6">
        <v>1.0</v>
      </c>
      <c r="D4437" s="99" t="s">
        <v>7596</v>
      </c>
      <c r="E4437" s="9" t="s">
        <v>7560</v>
      </c>
      <c r="F4437" s="8"/>
    </row>
    <row r="4438" ht="21.0" customHeight="1">
      <c r="A4438" s="6">
        <v>100.0</v>
      </c>
      <c r="B4438" s="6">
        <v>2000.0</v>
      </c>
      <c r="C4438" s="6">
        <v>1.0</v>
      </c>
      <c r="D4438" s="99" t="s">
        <v>7188</v>
      </c>
      <c r="E4438" s="9" t="s">
        <v>7560</v>
      </c>
      <c r="F4438" s="8"/>
    </row>
    <row r="4439" ht="21.0" customHeight="1">
      <c r="A4439" s="6">
        <v>100.0</v>
      </c>
      <c r="B4439" s="6">
        <v>2000.0</v>
      </c>
      <c r="C4439" s="6">
        <v>1.0</v>
      </c>
      <c r="D4439" s="100" t="s">
        <v>7597</v>
      </c>
      <c r="E4439" s="9" t="s">
        <v>7560</v>
      </c>
      <c r="F4439" s="8"/>
    </row>
    <row r="4440" ht="21.0" customHeight="1">
      <c r="A4440" s="6">
        <v>100.0</v>
      </c>
      <c r="B4440" s="6">
        <v>2000.0</v>
      </c>
      <c r="C4440" s="6">
        <v>1.0</v>
      </c>
      <c r="D4440" s="99" t="s">
        <v>7598</v>
      </c>
      <c r="E4440" s="9" t="s">
        <v>7560</v>
      </c>
      <c r="F4440" s="8"/>
    </row>
    <row r="4441" ht="21.0" customHeight="1">
      <c r="A4441" s="6">
        <v>100.0</v>
      </c>
      <c r="B4441" s="6">
        <v>2000.0</v>
      </c>
      <c r="C4441" s="6">
        <v>1.0</v>
      </c>
      <c r="D4441" s="100" t="s">
        <v>7599</v>
      </c>
      <c r="E4441" s="9" t="s">
        <v>7560</v>
      </c>
      <c r="F4441" s="8"/>
    </row>
    <row r="4442" ht="21.0" customHeight="1">
      <c r="A4442" s="6">
        <v>100.0</v>
      </c>
      <c r="B4442" s="6">
        <v>2000.0</v>
      </c>
      <c r="C4442" s="6">
        <v>1.0</v>
      </c>
      <c r="D4442" s="99" t="s">
        <v>7600</v>
      </c>
      <c r="E4442" s="9" t="s">
        <v>7560</v>
      </c>
      <c r="F4442" s="8"/>
    </row>
    <row r="4443" ht="21.0" customHeight="1">
      <c r="A4443" s="6">
        <v>100.0</v>
      </c>
      <c r="B4443" s="6">
        <v>2000.0</v>
      </c>
      <c r="C4443" s="6">
        <v>1.0</v>
      </c>
      <c r="D4443" s="100" t="s">
        <v>7601</v>
      </c>
      <c r="E4443" s="9" t="s">
        <v>7560</v>
      </c>
      <c r="F4443" s="8"/>
    </row>
    <row r="4444" ht="21.0" customHeight="1">
      <c r="A4444" s="6">
        <v>100.0</v>
      </c>
      <c r="B4444" s="6">
        <v>2000.0</v>
      </c>
      <c r="C4444" s="6">
        <v>1.0</v>
      </c>
      <c r="D4444" s="99" t="s">
        <v>7602</v>
      </c>
      <c r="E4444" s="9" t="s">
        <v>7560</v>
      </c>
      <c r="F4444" s="8"/>
    </row>
    <row r="4445" ht="21.0" customHeight="1">
      <c r="A4445" s="6">
        <v>100.0</v>
      </c>
      <c r="B4445" s="6">
        <v>2000.0</v>
      </c>
      <c r="C4445" s="6">
        <v>1.0</v>
      </c>
      <c r="D4445" s="100" t="s">
        <v>7603</v>
      </c>
      <c r="E4445" s="9" t="s">
        <v>7560</v>
      </c>
      <c r="F4445" s="8"/>
    </row>
    <row r="4446" ht="21.0" customHeight="1">
      <c r="A4446" s="6">
        <v>100.0</v>
      </c>
      <c r="B4446" s="6">
        <v>2000.0</v>
      </c>
      <c r="C4446" s="6">
        <v>1.0</v>
      </c>
      <c r="D4446" s="99" t="s">
        <v>7604</v>
      </c>
      <c r="E4446" s="9" t="s">
        <v>7560</v>
      </c>
      <c r="F4446" s="8"/>
    </row>
    <row r="4447" ht="21.0" customHeight="1">
      <c r="A4447" s="6">
        <v>100.0</v>
      </c>
      <c r="B4447" s="6">
        <v>2000.0</v>
      </c>
      <c r="C4447" s="6">
        <v>1.0</v>
      </c>
      <c r="D4447" s="100" t="s">
        <v>7605</v>
      </c>
      <c r="E4447" s="9" t="s">
        <v>7560</v>
      </c>
      <c r="F4447" s="8"/>
    </row>
    <row r="4448" ht="21.0" customHeight="1">
      <c r="A4448" s="6">
        <v>100.0</v>
      </c>
      <c r="B4448" s="6">
        <v>2000.0</v>
      </c>
      <c r="C4448" s="6">
        <v>1.0</v>
      </c>
      <c r="D4448" s="99" t="s">
        <v>7606</v>
      </c>
      <c r="E4448" s="9" t="s">
        <v>7560</v>
      </c>
      <c r="F4448" s="8"/>
    </row>
    <row r="4449" ht="21.0" customHeight="1">
      <c r="A4449" s="6">
        <v>100.0</v>
      </c>
      <c r="B4449" s="6">
        <v>2000.0</v>
      </c>
      <c r="C4449" s="6">
        <v>1.0</v>
      </c>
      <c r="D4449" s="100" t="s">
        <v>7607</v>
      </c>
      <c r="E4449" s="9" t="s">
        <v>7560</v>
      </c>
      <c r="F4449" s="8"/>
    </row>
    <row r="4450" ht="21.0" customHeight="1">
      <c r="A4450" s="6">
        <v>100.0</v>
      </c>
      <c r="B4450" s="6">
        <v>2000.0</v>
      </c>
      <c r="C4450" s="6">
        <v>1.0</v>
      </c>
      <c r="D4450" s="99" t="s">
        <v>7608</v>
      </c>
      <c r="E4450" s="9" t="s">
        <v>7560</v>
      </c>
      <c r="F4450" s="8"/>
    </row>
    <row r="4451" ht="21.0" customHeight="1">
      <c r="A4451" s="6">
        <v>100.0</v>
      </c>
      <c r="B4451" s="6">
        <v>2000.0</v>
      </c>
      <c r="C4451" s="6">
        <v>1.0</v>
      </c>
      <c r="D4451" s="100" t="s">
        <v>7609</v>
      </c>
      <c r="E4451" s="9" t="s">
        <v>7560</v>
      </c>
      <c r="F4451" s="8"/>
    </row>
    <row r="4452" ht="21.0" customHeight="1">
      <c r="A4452" s="6">
        <v>100.0</v>
      </c>
      <c r="B4452" s="6">
        <v>2000.0</v>
      </c>
      <c r="C4452" s="6">
        <v>1.0</v>
      </c>
      <c r="D4452" s="99" t="s">
        <v>7610</v>
      </c>
      <c r="E4452" s="9" t="s">
        <v>7560</v>
      </c>
      <c r="F4452" s="8"/>
    </row>
    <row r="4453" ht="21.0" customHeight="1">
      <c r="A4453" s="6">
        <v>100.0</v>
      </c>
      <c r="B4453" s="6">
        <v>2000.0</v>
      </c>
      <c r="C4453" s="6">
        <v>1.0</v>
      </c>
      <c r="D4453" s="100" t="s">
        <v>7611</v>
      </c>
      <c r="E4453" s="9" t="s">
        <v>7560</v>
      </c>
      <c r="F4453" s="8"/>
    </row>
    <row r="4454" ht="21.0" customHeight="1">
      <c r="A4454" s="6">
        <v>100.0</v>
      </c>
      <c r="B4454" s="6">
        <v>2000.0</v>
      </c>
      <c r="C4454" s="6">
        <v>1.0</v>
      </c>
      <c r="D4454" s="100" t="s">
        <v>7612</v>
      </c>
      <c r="E4454" s="9" t="s">
        <v>7560</v>
      </c>
      <c r="F4454" s="8"/>
    </row>
    <row r="4455" ht="21.0" customHeight="1">
      <c r="A4455" s="6">
        <v>100.0</v>
      </c>
      <c r="B4455" s="6">
        <v>2000.0</v>
      </c>
      <c r="C4455" s="6">
        <v>1.0</v>
      </c>
      <c r="D4455" s="100" t="s">
        <v>7613</v>
      </c>
      <c r="E4455" s="9" t="s">
        <v>7560</v>
      </c>
      <c r="F4455" s="8"/>
    </row>
    <row r="4456" ht="21.0" customHeight="1">
      <c r="A4456" s="6">
        <v>100.0</v>
      </c>
      <c r="B4456" s="6">
        <v>2000.0</v>
      </c>
      <c r="C4456" s="6">
        <v>1.0</v>
      </c>
      <c r="D4456" s="100" t="s">
        <v>7614</v>
      </c>
      <c r="E4456" s="9" t="s">
        <v>7560</v>
      </c>
      <c r="F4456" s="8"/>
    </row>
    <row r="4457" ht="21.0" customHeight="1">
      <c r="A4457" s="6">
        <v>100.0</v>
      </c>
      <c r="B4457" s="6">
        <v>2000.0</v>
      </c>
      <c r="C4457" s="6">
        <v>1.0</v>
      </c>
      <c r="D4457" s="100" t="s">
        <v>7615</v>
      </c>
      <c r="E4457" s="9" t="s">
        <v>7560</v>
      </c>
      <c r="F4457" s="8"/>
    </row>
    <row r="4458" ht="21.0" customHeight="1">
      <c r="A4458" s="6">
        <v>100.0</v>
      </c>
      <c r="B4458" s="6">
        <v>2000.0</v>
      </c>
      <c r="C4458" s="6">
        <v>1.0</v>
      </c>
      <c r="D4458" s="100" t="s">
        <v>7616</v>
      </c>
      <c r="E4458" s="9" t="s">
        <v>7560</v>
      </c>
      <c r="F4458" s="8"/>
    </row>
    <row r="4459" ht="21.0" customHeight="1">
      <c r="A4459" s="6">
        <v>100.0</v>
      </c>
      <c r="B4459" s="6">
        <v>2000.0</v>
      </c>
      <c r="C4459" s="6">
        <v>1.0</v>
      </c>
      <c r="D4459" s="100" t="s">
        <v>7617</v>
      </c>
      <c r="E4459" s="9" t="s">
        <v>7560</v>
      </c>
      <c r="F4459" s="8"/>
    </row>
    <row r="4460" ht="21.0" customHeight="1">
      <c r="A4460" s="6">
        <v>100.0</v>
      </c>
      <c r="B4460" s="6">
        <v>2000.0</v>
      </c>
      <c r="C4460" s="6">
        <v>1.0</v>
      </c>
      <c r="D4460" s="100" t="s">
        <v>7618</v>
      </c>
      <c r="E4460" s="9" t="s">
        <v>7560</v>
      </c>
      <c r="F4460" s="8"/>
    </row>
    <row r="4461" ht="21.0" customHeight="1">
      <c r="A4461" s="6">
        <v>100.0</v>
      </c>
      <c r="B4461" s="6">
        <v>2000.0</v>
      </c>
      <c r="C4461" s="6">
        <v>1.0</v>
      </c>
      <c r="D4461" s="100" t="s">
        <v>7619</v>
      </c>
      <c r="E4461" s="9" t="s">
        <v>7560</v>
      </c>
      <c r="F4461" s="8"/>
    </row>
    <row r="4462" ht="21.0" customHeight="1">
      <c r="A4462" s="6">
        <v>100.0</v>
      </c>
      <c r="B4462" s="6">
        <v>2000.0</v>
      </c>
      <c r="C4462" s="6">
        <v>1.0</v>
      </c>
      <c r="D4462" s="100" t="s">
        <v>7620</v>
      </c>
      <c r="E4462" s="9" t="s">
        <v>7560</v>
      </c>
      <c r="F4462" s="8"/>
    </row>
    <row r="4463" ht="21.0" customHeight="1">
      <c r="A4463" s="6">
        <v>100.0</v>
      </c>
      <c r="B4463" s="6">
        <v>2000.0</v>
      </c>
      <c r="C4463" s="6">
        <v>1.0</v>
      </c>
      <c r="D4463" s="100" t="s">
        <v>7621</v>
      </c>
      <c r="E4463" s="9" t="s">
        <v>7560</v>
      </c>
      <c r="F4463" s="8"/>
    </row>
    <row r="4464" ht="21.0" customHeight="1">
      <c r="A4464" s="6">
        <v>100.0</v>
      </c>
      <c r="B4464" s="6">
        <v>2000.0</v>
      </c>
      <c r="C4464" s="6">
        <v>1.0</v>
      </c>
      <c r="D4464" s="100" t="s">
        <v>7622</v>
      </c>
      <c r="E4464" s="9" t="s">
        <v>7560</v>
      </c>
      <c r="F4464" s="8"/>
    </row>
    <row r="4465" ht="21.0" customHeight="1">
      <c r="A4465" s="6">
        <v>100.0</v>
      </c>
      <c r="B4465" s="6">
        <v>2000.0</v>
      </c>
      <c r="C4465" s="6">
        <v>1.0</v>
      </c>
      <c r="D4465" s="100" t="s">
        <v>7623</v>
      </c>
      <c r="E4465" s="9" t="s">
        <v>7560</v>
      </c>
      <c r="F4465" s="8"/>
    </row>
    <row r="4466" ht="21.0" customHeight="1">
      <c r="A4466" s="6">
        <v>100.0</v>
      </c>
      <c r="B4466" s="6">
        <v>2000.0</v>
      </c>
      <c r="C4466" s="6">
        <v>1.0</v>
      </c>
      <c r="D4466" s="100" t="s">
        <v>7624</v>
      </c>
      <c r="E4466" s="9" t="s">
        <v>7560</v>
      </c>
      <c r="F4466" s="8"/>
    </row>
    <row r="4467" ht="21.0" customHeight="1">
      <c r="A4467" s="6">
        <v>100.0</v>
      </c>
      <c r="B4467" s="6">
        <v>2000.0</v>
      </c>
      <c r="C4467" s="6">
        <v>1.0</v>
      </c>
      <c r="D4467" s="100" t="s">
        <v>7625</v>
      </c>
      <c r="E4467" s="9" t="s">
        <v>7560</v>
      </c>
      <c r="F4467" s="8"/>
    </row>
    <row r="4468" ht="21.0" customHeight="1">
      <c r="A4468" s="6">
        <v>100.0</v>
      </c>
      <c r="B4468" s="6">
        <v>2000.0</v>
      </c>
      <c r="C4468" s="6">
        <v>1.0</v>
      </c>
      <c r="D4468" s="100" t="s">
        <v>7626</v>
      </c>
      <c r="E4468" s="9" t="s">
        <v>7560</v>
      </c>
      <c r="F4468" s="8"/>
    </row>
    <row r="4469" ht="21.0" customHeight="1">
      <c r="A4469" s="6">
        <v>100.0</v>
      </c>
      <c r="B4469" s="6">
        <v>2000.0</v>
      </c>
      <c r="C4469" s="6">
        <v>1.0</v>
      </c>
      <c r="D4469" s="100" t="s">
        <v>7627</v>
      </c>
      <c r="E4469" s="9" t="s">
        <v>7560</v>
      </c>
      <c r="F4469" s="8"/>
    </row>
    <row r="4470" ht="21.0" customHeight="1">
      <c r="A4470" s="6">
        <v>100.0</v>
      </c>
      <c r="B4470" s="6">
        <v>2000.0</v>
      </c>
      <c r="C4470" s="6">
        <v>1.0</v>
      </c>
      <c r="D4470" s="100" t="s">
        <v>7628</v>
      </c>
      <c r="E4470" s="9" t="s">
        <v>7560</v>
      </c>
      <c r="F4470" s="8"/>
    </row>
    <row r="4471" ht="21.0" customHeight="1">
      <c r="A4471" s="6">
        <v>100.0</v>
      </c>
      <c r="B4471" s="6">
        <v>2000.0</v>
      </c>
      <c r="C4471" s="6">
        <v>1.0</v>
      </c>
      <c r="D4471" s="100" t="s">
        <v>7629</v>
      </c>
      <c r="E4471" s="9" t="s">
        <v>7560</v>
      </c>
      <c r="F4471" s="8"/>
    </row>
    <row r="4472" ht="21.0" customHeight="1">
      <c r="A4472" s="6">
        <v>100.0</v>
      </c>
      <c r="B4472" s="6">
        <v>2000.0</v>
      </c>
      <c r="C4472" s="6">
        <v>1.0</v>
      </c>
      <c r="D4472" s="100" t="s">
        <v>7630</v>
      </c>
      <c r="E4472" s="9" t="s">
        <v>7560</v>
      </c>
      <c r="F4472" s="8"/>
    </row>
    <row r="4473" ht="21.0" customHeight="1">
      <c r="A4473" s="6">
        <v>100.0</v>
      </c>
      <c r="B4473" s="6">
        <v>2000.0</v>
      </c>
      <c r="C4473" s="6">
        <v>1.0</v>
      </c>
      <c r="D4473" s="100" t="s">
        <v>7631</v>
      </c>
      <c r="E4473" s="9" t="s">
        <v>7560</v>
      </c>
      <c r="F4473" s="8"/>
    </row>
    <row r="4474" ht="21.0" customHeight="1">
      <c r="A4474" s="6">
        <v>100.0</v>
      </c>
      <c r="B4474" s="6">
        <v>2000.0</v>
      </c>
      <c r="C4474" s="6">
        <v>1.0</v>
      </c>
      <c r="D4474" s="100" t="s">
        <v>7632</v>
      </c>
      <c r="E4474" s="9" t="s">
        <v>7560</v>
      </c>
      <c r="F4474" s="8"/>
    </row>
    <row r="4475" ht="21.0" customHeight="1">
      <c r="A4475" s="6">
        <v>100.0</v>
      </c>
      <c r="B4475" s="6">
        <v>2000.0</v>
      </c>
      <c r="C4475" s="6">
        <v>1.0</v>
      </c>
      <c r="D4475" s="100" t="s">
        <v>7633</v>
      </c>
      <c r="E4475" s="9" t="s">
        <v>7560</v>
      </c>
      <c r="F4475" s="8"/>
    </row>
    <row r="4476" ht="21.0" customHeight="1">
      <c r="A4476" s="6">
        <v>100.0</v>
      </c>
      <c r="B4476" s="6">
        <v>2000.0</v>
      </c>
      <c r="C4476" s="6">
        <v>1.0</v>
      </c>
      <c r="D4476" s="100" t="s">
        <v>7634</v>
      </c>
      <c r="E4476" s="9" t="s">
        <v>7560</v>
      </c>
      <c r="F4476" s="8"/>
    </row>
    <row r="4477" ht="21.0" customHeight="1">
      <c r="A4477" s="6">
        <v>100.0</v>
      </c>
      <c r="B4477" s="6">
        <v>2000.0</v>
      </c>
      <c r="C4477" s="6">
        <v>1.0</v>
      </c>
      <c r="D4477" s="100" t="s">
        <v>7635</v>
      </c>
      <c r="E4477" s="9" t="s">
        <v>7560</v>
      </c>
      <c r="F4477" s="8"/>
    </row>
    <row r="4478" ht="21.0" customHeight="1">
      <c r="A4478" s="6">
        <v>100.0</v>
      </c>
      <c r="B4478" s="6">
        <v>2000.0</v>
      </c>
      <c r="C4478" s="6">
        <v>1.0</v>
      </c>
      <c r="D4478" s="100" t="s">
        <v>7636</v>
      </c>
      <c r="E4478" s="9" t="s">
        <v>7560</v>
      </c>
      <c r="F4478" s="8"/>
    </row>
    <row r="4479" ht="21.0" customHeight="1">
      <c r="A4479" s="6">
        <v>100.0</v>
      </c>
      <c r="B4479" s="6">
        <v>2000.0</v>
      </c>
      <c r="C4479" s="6">
        <v>1.0</v>
      </c>
      <c r="D4479" s="100" t="s">
        <v>7637</v>
      </c>
      <c r="E4479" s="9" t="s">
        <v>7560</v>
      </c>
      <c r="F4479" s="8"/>
    </row>
    <row r="4480" ht="21.0" customHeight="1">
      <c r="A4480" s="6">
        <v>100.0</v>
      </c>
      <c r="B4480" s="6">
        <v>2000.0</v>
      </c>
      <c r="C4480" s="6">
        <v>1.0</v>
      </c>
      <c r="D4480" s="100" t="s">
        <v>7638</v>
      </c>
      <c r="E4480" s="9" t="s">
        <v>7560</v>
      </c>
      <c r="F4480" s="8"/>
    </row>
    <row r="4481" ht="21.0" customHeight="1">
      <c r="A4481" s="6">
        <v>100.0</v>
      </c>
      <c r="B4481" s="6">
        <v>2000.0</v>
      </c>
      <c r="C4481" s="6">
        <v>1.0</v>
      </c>
      <c r="D4481" s="100" t="s">
        <v>7639</v>
      </c>
      <c r="E4481" s="9" t="s">
        <v>7560</v>
      </c>
      <c r="F4481" s="8"/>
    </row>
    <row r="4482" ht="21.0" customHeight="1">
      <c r="A4482" s="6">
        <v>100.0</v>
      </c>
      <c r="B4482" s="6">
        <v>2000.0</v>
      </c>
      <c r="C4482" s="6">
        <v>1.0</v>
      </c>
      <c r="D4482" s="100" t="s">
        <v>7640</v>
      </c>
      <c r="E4482" s="9" t="s">
        <v>7560</v>
      </c>
      <c r="F4482" s="8"/>
    </row>
    <row r="4483" ht="21.0" customHeight="1">
      <c r="A4483" s="6">
        <v>100.0</v>
      </c>
      <c r="B4483" s="6">
        <v>2000.0</v>
      </c>
      <c r="C4483" s="6">
        <v>1.0</v>
      </c>
      <c r="D4483" s="100" t="s">
        <v>7641</v>
      </c>
      <c r="E4483" s="9" t="s">
        <v>7560</v>
      </c>
      <c r="F4483" s="8"/>
    </row>
    <row r="4484" ht="21.0" customHeight="1">
      <c r="A4484" s="6">
        <v>100.0</v>
      </c>
      <c r="B4484" s="6">
        <v>2000.0</v>
      </c>
      <c r="C4484" s="6">
        <v>1.0</v>
      </c>
      <c r="D4484" s="100" t="s">
        <v>7642</v>
      </c>
      <c r="E4484" s="9" t="s">
        <v>7560</v>
      </c>
      <c r="F4484" s="8"/>
    </row>
    <row r="4485" ht="21.0" customHeight="1">
      <c r="A4485" s="6">
        <v>100.0</v>
      </c>
      <c r="B4485" s="6">
        <v>2000.0</v>
      </c>
      <c r="C4485" s="6">
        <v>1.0</v>
      </c>
      <c r="D4485" s="100" t="s">
        <v>7643</v>
      </c>
      <c r="E4485" s="9" t="s">
        <v>7560</v>
      </c>
      <c r="F4485" s="8"/>
    </row>
    <row r="4486" ht="21.0" customHeight="1">
      <c r="A4486" s="6">
        <v>100.0</v>
      </c>
      <c r="B4486" s="6">
        <v>2000.0</v>
      </c>
      <c r="C4486" s="6">
        <v>1.0</v>
      </c>
      <c r="D4486" s="100" t="s">
        <v>7644</v>
      </c>
      <c r="E4486" s="9" t="s">
        <v>7560</v>
      </c>
      <c r="F4486" s="8"/>
    </row>
    <row r="4487" ht="21.0" customHeight="1">
      <c r="A4487" s="6">
        <v>100.0</v>
      </c>
      <c r="B4487" s="6">
        <v>2000.0</v>
      </c>
      <c r="C4487" s="6">
        <v>1.0</v>
      </c>
      <c r="D4487" s="100" t="s">
        <v>7645</v>
      </c>
      <c r="E4487" s="9" t="s">
        <v>7560</v>
      </c>
      <c r="F4487" s="8"/>
    </row>
    <row r="4488" ht="21.0" customHeight="1">
      <c r="A4488" s="6">
        <v>100.0</v>
      </c>
      <c r="B4488" s="6">
        <v>2000.0</v>
      </c>
      <c r="C4488" s="6">
        <v>1.0</v>
      </c>
      <c r="D4488" s="100" t="s">
        <v>7646</v>
      </c>
      <c r="E4488" s="9" t="s">
        <v>7560</v>
      </c>
      <c r="F4488" s="8"/>
    </row>
    <row r="4489" ht="21.0" customHeight="1">
      <c r="A4489" s="6">
        <v>100.0</v>
      </c>
      <c r="B4489" s="6">
        <v>2000.0</v>
      </c>
      <c r="C4489" s="6">
        <v>1.0</v>
      </c>
      <c r="D4489" s="100" t="s">
        <v>7647</v>
      </c>
      <c r="E4489" s="9" t="s">
        <v>7560</v>
      </c>
      <c r="F4489" s="8"/>
    </row>
    <row r="4490" ht="21.0" customHeight="1">
      <c r="A4490" s="6">
        <v>100.0</v>
      </c>
      <c r="B4490" s="6">
        <v>2000.0</v>
      </c>
      <c r="C4490" s="6">
        <v>1.0</v>
      </c>
      <c r="D4490" s="100" t="s">
        <v>7648</v>
      </c>
      <c r="E4490" s="9" t="s">
        <v>7560</v>
      </c>
      <c r="F4490" s="8"/>
    </row>
    <row r="4491" ht="21.0" customHeight="1">
      <c r="A4491" s="6">
        <v>100.0</v>
      </c>
      <c r="B4491" s="6">
        <v>2000.0</v>
      </c>
      <c r="C4491" s="6">
        <v>1.0</v>
      </c>
      <c r="D4491" s="100" t="s">
        <v>7649</v>
      </c>
      <c r="E4491" s="9" t="s">
        <v>7560</v>
      </c>
      <c r="F4491" s="8"/>
    </row>
    <row r="4492" ht="21.0" customHeight="1">
      <c r="A4492" s="6">
        <v>100.0</v>
      </c>
      <c r="B4492" s="6">
        <v>2000.0</v>
      </c>
      <c r="C4492" s="6">
        <v>1.0</v>
      </c>
      <c r="D4492" s="100" t="s">
        <v>7650</v>
      </c>
      <c r="E4492" s="9" t="s">
        <v>7560</v>
      </c>
      <c r="F4492" s="8"/>
    </row>
    <row r="4493" ht="21.0" customHeight="1">
      <c r="A4493" s="6">
        <v>100.0</v>
      </c>
      <c r="B4493" s="6">
        <v>2000.0</v>
      </c>
      <c r="C4493" s="6">
        <v>1.0</v>
      </c>
      <c r="D4493" s="100" t="s">
        <v>7651</v>
      </c>
      <c r="E4493" s="9" t="s">
        <v>7560</v>
      </c>
      <c r="F4493" s="8"/>
    </row>
    <row r="4494" ht="21.0" customHeight="1">
      <c r="A4494" s="6">
        <v>100.0</v>
      </c>
      <c r="B4494" s="6">
        <v>2000.0</v>
      </c>
      <c r="C4494" s="6">
        <v>1.0</v>
      </c>
      <c r="D4494" s="100" t="s">
        <v>7652</v>
      </c>
      <c r="E4494" s="9" t="s">
        <v>7560</v>
      </c>
      <c r="F4494" s="8"/>
    </row>
    <row r="4495" ht="21.0" customHeight="1">
      <c r="A4495" s="6">
        <v>100.0</v>
      </c>
      <c r="B4495" s="6">
        <v>2000.0</v>
      </c>
      <c r="C4495" s="6">
        <v>1.0</v>
      </c>
      <c r="D4495" s="100" t="s">
        <v>7653</v>
      </c>
      <c r="E4495" s="9" t="s">
        <v>7560</v>
      </c>
      <c r="F4495" s="8"/>
    </row>
    <row r="4496" ht="21.0" customHeight="1">
      <c r="A4496" s="6">
        <v>100.0</v>
      </c>
      <c r="B4496" s="6">
        <v>2000.0</v>
      </c>
      <c r="C4496" s="6">
        <v>1.0</v>
      </c>
      <c r="D4496" s="100" t="s">
        <v>7654</v>
      </c>
      <c r="E4496" s="9" t="s">
        <v>7560</v>
      </c>
      <c r="F4496" s="8"/>
    </row>
    <row r="4497" ht="21.0" customHeight="1">
      <c r="A4497" s="6">
        <v>100.0</v>
      </c>
      <c r="B4497" s="6">
        <v>2000.0</v>
      </c>
      <c r="C4497" s="6">
        <v>1.0</v>
      </c>
      <c r="D4497" s="100" t="s">
        <v>7655</v>
      </c>
      <c r="E4497" s="9" t="s">
        <v>7560</v>
      </c>
      <c r="F4497" s="8"/>
    </row>
    <row r="4498" ht="21.0" customHeight="1">
      <c r="A4498" s="6">
        <v>100.0</v>
      </c>
      <c r="B4498" s="6">
        <v>2000.0</v>
      </c>
      <c r="C4498" s="6">
        <v>1.0</v>
      </c>
      <c r="D4498" s="100" t="s">
        <v>7656</v>
      </c>
      <c r="E4498" s="9" t="s">
        <v>7560</v>
      </c>
      <c r="F4498" s="8"/>
    </row>
    <row r="4499" ht="21.0" customHeight="1">
      <c r="A4499" s="6">
        <v>100.0</v>
      </c>
      <c r="B4499" s="6">
        <v>2000.0</v>
      </c>
      <c r="C4499" s="6">
        <v>1.0</v>
      </c>
      <c r="D4499" s="100" t="s">
        <v>7657</v>
      </c>
      <c r="E4499" s="9" t="s">
        <v>7560</v>
      </c>
      <c r="F4499" s="8"/>
    </row>
    <row r="4500" ht="21.0" customHeight="1">
      <c r="A4500" s="6">
        <v>100.0</v>
      </c>
      <c r="B4500" s="6">
        <v>2000.0</v>
      </c>
      <c r="C4500" s="6">
        <v>1.0</v>
      </c>
      <c r="D4500" s="100" t="s">
        <v>7658</v>
      </c>
      <c r="E4500" s="9" t="s">
        <v>7560</v>
      </c>
      <c r="F4500" s="8"/>
    </row>
    <row r="4501" ht="21.0" customHeight="1">
      <c r="A4501" s="6">
        <v>100.0</v>
      </c>
      <c r="B4501" s="6">
        <v>2000.0</v>
      </c>
      <c r="C4501" s="6">
        <v>1.0</v>
      </c>
      <c r="D4501" s="100" t="s">
        <v>7659</v>
      </c>
      <c r="E4501" s="9" t="s">
        <v>7560</v>
      </c>
      <c r="F4501" s="8"/>
    </row>
    <row r="4502" ht="21.0" customHeight="1">
      <c r="A4502" s="6">
        <v>100.0</v>
      </c>
      <c r="B4502" s="6">
        <v>2000.0</v>
      </c>
      <c r="C4502" s="6">
        <v>1.0</v>
      </c>
      <c r="D4502" s="100" t="s">
        <v>7660</v>
      </c>
      <c r="E4502" s="9" t="s">
        <v>7560</v>
      </c>
      <c r="F4502" s="8"/>
    </row>
    <row r="4503" ht="21.0" customHeight="1">
      <c r="A4503" s="6">
        <v>100.0</v>
      </c>
      <c r="B4503" s="6">
        <v>2000.0</v>
      </c>
      <c r="C4503" s="6">
        <v>1.0</v>
      </c>
      <c r="D4503" s="100" t="s">
        <v>7661</v>
      </c>
      <c r="E4503" s="9" t="s">
        <v>7560</v>
      </c>
      <c r="F4503" s="8"/>
    </row>
    <row r="4504" ht="21.0" customHeight="1">
      <c r="A4504" s="6">
        <v>100.0</v>
      </c>
      <c r="B4504" s="6">
        <v>2000.0</v>
      </c>
      <c r="C4504" s="6">
        <v>1.0</v>
      </c>
      <c r="D4504" s="100" t="s">
        <v>7662</v>
      </c>
      <c r="E4504" s="9" t="s">
        <v>7560</v>
      </c>
      <c r="F4504" s="8"/>
    </row>
    <row r="4505" ht="21.0" customHeight="1">
      <c r="A4505" s="6">
        <v>100.0</v>
      </c>
      <c r="B4505" s="6">
        <v>2000.0</v>
      </c>
      <c r="C4505" s="6">
        <v>1.0</v>
      </c>
      <c r="D4505" s="100" t="s">
        <v>7663</v>
      </c>
      <c r="E4505" s="9" t="s">
        <v>7560</v>
      </c>
      <c r="F4505" s="8"/>
    </row>
    <row r="4506" ht="21.0" customHeight="1">
      <c r="A4506" s="6">
        <v>100.0</v>
      </c>
      <c r="B4506" s="6">
        <v>2000.0</v>
      </c>
      <c r="C4506" s="6">
        <v>1.0</v>
      </c>
      <c r="D4506" s="100" t="s">
        <v>7664</v>
      </c>
      <c r="E4506" s="9" t="s">
        <v>7560</v>
      </c>
      <c r="F4506" s="8"/>
    </row>
    <row r="4507" ht="21.0" customHeight="1">
      <c r="A4507" s="6">
        <v>100.0</v>
      </c>
      <c r="B4507" s="6">
        <v>2000.0</v>
      </c>
      <c r="C4507" s="6">
        <v>1.0</v>
      </c>
      <c r="D4507" s="100" t="s">
        <v>7665</v>
      </c>
      <c r="E4507" s="9" t="s">
        <v>7560</v>
      </c>
      <c r="F4507" s="8"/>
    </row>
    <row r="4508" ht="21.0" customHeight="1">
      <c r="A4508" s="6">
        <v>100.0</v>
      </c>
      <c r="B4508" s="6">
        <v>2000.0</v>
      </c>
      <c r="C4508" s="6">
        <v>1.0</v>
      </c>
      <c r="D4508" s="100" t="s">
        <v>7666</v>
      </c>
      <c r="E4508" s="9" t="s">
        <v>7560</v>
      </c>
      <c r="F4508" s="8"/>
    </row>
    <row r="4509" ht="21.0" customHeight="1">
      <c r="A4509" s="6">
        <v>100.0</v>
      </c>
      <c r="B4509" s="6">
        <v>2000.0</v>
      </c>
      <c r="C4509" s="6">
        <v>1.0</v>
      </c>
      <c r="D4509" s="100" t="s">
        <v>7667</v>
      </c>
      <c r="E4509" s="9" t="s">
        <v>7560</v>
      </c>
      <c r="F4509" s="8"/>
    </row>
    <row r="4510" ht="21.0" customHeight="1">
      <c r="A4510" s="6">
        <v>100.0</v>
      </c>
      <c r="B4510" s="6">
        <v>2000.0</v>
      </c>
      <c r="C4510" s="6">
        <v>1.0</v>
      </c>
      <c r="D4510" s="100" t="s">
        <v>7668</v>
      </c>
      <c r="E4510" s="9" t="s">
        <v>7560</v>
      </c>
      <c r="F4510" s="8"/>
    </row>
    <row r="4511" ht="21.0" customHeight="1">
      <c r="A4511" s="6">
        <v>100.0</v>
      </c>
      <c r="B4511" s="6">
        <v>2000.0</v>
      </c>
      <c r="C4511" s="6">
        <v>1.0</v>
      </c>
      <c r="D4511" s="100" t="s">
        <v>7669</v>
      </c>
      <c r="E4511" s="9" t="s">
        <v>7560</v>
      </c>
      <c r="F4511" s="8"/>
    </row>
    <row r="4512" ht="21.0" customHeight="1">
      <c r="A4512" s="6">
        <v>100.0</v>
      </c>
      <c r="B4512" s="6">
        <v>2000.0</v>
      </c>
      <c r="C4512" s="6">
        <v>1.0</v>
      </c>
      <c r="D4512" s="100" t="s">
        <v>7670</v>
      </c>
      <c r="E4512" s="9" t="s">
        <v>7560</v>
      </c>
      <c r="F4512" s="8"/>
    </row>
    <row r="4513" ht="21.0" customHeight="1">
      <c r="A4513" s="6">
        <v>100.0</v>
      </c>
      <c r="B4513" s="6">
        <v>2000.0</v>
      </c>
      <c r="C4513" s="6">
        <v>1.0</v>
      </c>
      <c r="D4513" s="100" t="s">
        <v>7671</v>
      </c>
      <c r="E4513" s="9" t="s">
        <v>7560</v>
      </c>
      <c r="F4513" s="8"/>
    </row>
    <row r="4514" ht="21.0" customHeight="1">
      <c r="A4514" s="6">
        <v>100.0</v>
      </c>
      <c r="B4514" s="6">
        <v>2000.0</v>
      </c>
      <c r="C4514" s="6">
        <v>1.0</v>
      </c>
      <c r="D4514" s="100" t="s">
        <v>7672</v>
      </c>
      <c r="E4514" s="9" t="s">
        <v>7560</v>
      </c>
      <c r="F4514" s="8"/>
    </row>
    <row r="4515" ht="21.0" customHeight="1">
      <c r="A4515" s="6">
        <v>100.0</v>
      </c>
      <c r="B4515" s="6">
        <v>2000.0</v>
      </c>
      <c r="C4515" s="6">
        <v>1.0</v>
      </c>
      <c r="D4515" s="100" t="s">
        <v>7673</v>
      </c>
      <c r="E4515" s="9" t="s">
        <v>7560</v>
      </c>
      <c r="F4515" s="8"/>
    </row>
    <row r="4516" ht="21.0" customHeight="1">
      <c r="A4516" s="6">
        <v>100.0</v>
      </c>
      <c r="B4516" s="6">
        <v>2000.0</v>
      </c>
      <c r="C4516" s="6">
        <v>1.0</v>
      </c>
      <c r="D4516" s="100" t="s">
        <v>7674</v>
      </c>
      <c r="E4516" s="9" t="s">
        <v>7560</v>
      </c>
      <c r="F4516" s="8"/>
    </row>
    <row r="4517" ht="21.0" customHeight="1">
      <c r="A4517" s="6">
        <v>100.0</v>
      </c>
      <c r="B4517" s="6">
        <v>2000.0</v>
      </c>
      <c r="C4517" s="6">
        <v>1.0</v>
      </c>
      <c r="D4517" s="100" t="s">
        <v>7675</v>
      </c>
      <c r="E4517" s="9" t="s">
        <v>7560</v>
      </c>
      <c r="F4517" s="8"/>
    </row>
    <row r="4518" ht="21.0" customHeight="1">
      <c r="A4518" s="6">
        <v>100.0</v>
      </c>
      <c r="B4518" s="6">
        <v>2000.0</v>
      </c>
      <c r="C4518" s="6">
        <v>1.0</v>
      </c>
      <c r="D4518" s="100" t="s">
        <v>7676</v>
      </c>
      <c r="E4518" s="9" t="s">
        <v>7560</v>
      </c>
      <c r="F4518" s="8"/>
    </row>
    <row r="4519" ht="21.0" customHeight="1">
      <c r="A4519" s="6">
        <v>100.0</v>
      </c>
      <c r="B4519" s="6">
        <v>2000.0</v>
      </c>
      <c r="C4519" s="6">
        <v>1.0</v>
      </c>
      <c r="D4519" s="100" t="s">
        <v>7677</v>
      </c>
      <c r="E4519" s="9" t="s">
        <v>7560</v>
      </c>
      <c r="F4519" s="8"/>
    </row>
    <row r="4520" ht="21.0" customHeight="1">
      <c r="A4520" s="6">
        <v>100.0</v>
      </c>
      <c r="B4520" s="6">
        <v>2000.0</v>
      </c>
      <c r="C4520" s="6">
        <v>1.0</v>
      </c>
      <c r="D4520" s="100" t="s">
        <v>7675</v>
      </c>
      <c r="E4520" s="9" t="s">
        <v>7560</v>
      </c>
      <c r="F4520" s="8"/>
    </row>
    <row r="4521" ht="21.0" customHeight="1">
      <c r="A4521" s="6">
        <v>100.0</v>
      </c>
      <c r="B4521" s="6">
        <v>2000.0</v>
      </c>
      <c r="C4521" s="6">
        <v>1.0</v>
      </c>
      <c r="D4521" s="100" t="s">
        <v>7678</v>
      </c>
      <c r="E4521" s="9" t="s">
        <v>7560</v>
      </c>
      <c r="F4521" s="8"/>
    </row>
    <row r="4522" ht="21.0" customHeight="1">
      <c r="A4522" s="6">
        <v>100.0</v>
      </c>
      <c r="B4522" s="6">
        <v>2000.0</v>
      </c>
      <c r="C4522" s="6">
        <v>1.0</v>
      </c>
      <c r="D4522" s="100" t="s">
        <v>7679</v>
      </c>
      <c r="E4522" s="9" t="s">
        <v>7560</v>
      </c>
      <c r="F4522" s="8"/>
    </row>
    <row r="4523" ht="21.0" customHeight="1">
      <c r="A4523" s="6">
        <v>100.0</v>
      </c>
      <c r="B4523" s="6">
        <v>2000.0</v>
      </c>
      <c r="C4523" s="6">
        <v>1.0</v>
      </c>
      <c r="D4523" s="100" t="s">
        <v>7680</v>
      </c>
      <c r="E4523" s="9" t="s">
        <v>7560</v>
      </c>
      <c r="F4523" s="8"/>
    </row>
    <row r="4524" ht="21.0" customHeight="1">
      <c r="A4524" s="6">
        <v>100.0</v>
      </c>
      <c r="B4524" s="6">
        <v>2000.0</v>
      </c>
      <c r="C4524" s="6">
        <v>1.0</v>
      </c>
      <c r="D4524" s="100" t="s">
        <v>7681</v>
      </c>
      <c r="E4524" s="9" t="s">
        <v>7560</v>
      </c>
      <c r="F4524" s="8"/>
    </row>
    <row r="4525" ht="21.0" customHeight="1">
      <c r="A4525" s="6">
        <v>100.0</v>
      </c>
      <c r="B4525" s="6">
        <v>2000.0</v>
      </c>
      <c r="C4525" s="6">
        <v>1.0</v>
      </c>
      <c r="D4525" s="100" t="s">
        <v>7682</v>
      </c>
      <c r="E4525" s="9" t="s">
        <v>7560</v>
      </c>
      <c r="F4525" s="8"/>
    </row>
    <row r="4526" ht="21.0" customHeight="1">
      <c r="A4526" s="6">
        <v>100.0</v>
      </c>
      <c r="B4526" s="6">
        <v>2000.0</v>
      </c>
      <c r="C4526" s="6">
        <v>1.0</v>
      </c>
      <c r="D4526" s="100" t="s">
        <v>7683</v>
      </c>
      <c r="E4526" s="9" t="s">
        <v>7560</v>
      </c>
      <c r="F4526" s="8"/>
    </row>
    <row r="4527" ht="21.0" customHeight="1">
      <c r="A4527" s="6">
        <v>100.0</v>
      </c>
      <c r="B4527" s="6">
        <v>2000.0</v>
      </c>
      <c r="C4527" s="6">
        <v>1.0</v>
      </c>
      <c r="D4527" s="100" t="s">
        <v>7684</v>
      </c>
      <c r="E4527" s="9" t="s">
        <v>7560</v>
      </c>
      <c r="F4527" s="8"/>
    </row>
    <row r="4528" ht="21.0" customHeight="1">
      <c r="A4528" s="6">
        <v>100.0</v>
      </c>
      <c r="B4528" s="6">
        <v>2000.0</v>
      </c>
      <c r="C4528" s="6">
        <v>1.0</v>
      </c>
      <c r="D4528" s="100" t="s">
        <v>7685</v>
      </c>
      <c r="E4528" s="9" t="s">
        <v>7560</v>
      </c>
      <c r="F4528" s="8"/>
    </row>
    <row r="4529" ht="21.0" customHeight="1">
      <c r="A4529" s="6">
        <v>100.0</v>
      </c>
      <c r="B4529" s="6">
        <v>2000.0</v>
      </c>
      <c r="C4529" s="6">
        <v>1.0</v>
      </c>
      <c r="D4529" s="100" t="s">
        <v>7686</v>
      </c>
      <c r="E4529" s="9" t="s">
        <v>7560</v>
      </c>
      <c r="F4529" s="8"/>
    </row>
    <row r="4530" ht="21.0" customHeight="1">
      <c r="A4530" s="6">
        <v>100.0</v>
      </c>
      <c r="B4530" s="6">
        <v>2000.0</v>
      </c>
      <c r="C4530" s="6">
        <v>1.0</v>
      </c>
      <c r="D4530" s="100" t="s">
        <v>7687</v>
      </c>
      <c r="E4530" s="9" t="s">
        <v>7560</v>
      </c>
      <c r="F4530" s="8"/>
    </row>
    <row r="4531" ht="21.0" customHeight="1">
      <c r="A4531" s="6">
        <v>100.0</v>
      </c>
      <c r="B4531" s="6">
        <v>2000.0</v>
      </c>
      <c r="C4531" s="6">
        <v>1.0</v>
      </c>
      <c r="D4531" s="100" t="s">
        <v>7688</v>
      </c>
      <c r="E4531" s="9" t="s">
        <v>7560</v>
      </c>
      <c r="F4531" s="8"/>
    </row>
    <row r="4532" ht="21.0" customHeight="1">
      <c r="A4532" s="6">
        <v>100.0</v>
      </c>
      <c r="B4532" s="6">
        <v>2000.0</v>
      </c>
      <c r="C4532" s="6">
        <v>1.0</v>
      </c>
      <c r="D4532" s="100" t="s">
        <v>7689</v>
      </c>
      <c r="E4532" s="9" t="s">
        <v>7560</v>
      </c>
      <c r="F4532" s="8"/>
    </row>
    <row r="4533" ht="21.0" customHeight="1">
      <c r="A4533" s="6">
        <v>100.0</v>
      </c>
      <c r="B4533" s="6">
        <v>2000.0</v>
      </c>
      <c r="C4533" s="6">
        <v>1.0</v>
      </c>
      <c r="D4533" s="100" t="s">
        <v>7690</v>
      </c>
      <c r="E4533" s="9" t="s">
        <v>7560</v>
      </c>
      <c r="F4533" s="8"/>
    </row>
    <row r="4534" ht="21.0" customHeight="1">
      <c r="A4534" s="6">
        <v>100.0</v>
      </c>
      <c r="B4534" s="6">
        <v>2000.0</v>
      </c>
      <c r="C4534" s="6">
        <v>1.0</v>
      </c>
      <c r="D4534" s="100" t="s">
        <v>7691</v>
      </c>
      <c r="E4534" s="9" t="s">
        <v>7560</v>
      </c>
      <c r="F4534" s="8"/>
    </row>
    <row r="4535" ht="21.0" customHeight="1">
      <c r="A4535" s="6">
        <v>100.0</v>
      </c>
      <c r="B4535" s="6">
        <v>2000.0</v>
      </c>
      <c r="C4535" s="6">
        <v>1.0</v>
      </c>
      <c r="D4535" s="100" t="s">
        <v>7692</v>
      </c>
      <c r="E4535" s="9" t="s">
        <v>7560</v>
      </c>
      <c r="F4535" s="8"/>
    </row>
    <row r="4536" ht="21.0" customHeight="1">
      <c r="A4536" s="6">
        <v>100.0</v>
      </c>
      <c r="B4536" s="6">
        <v>2000.0</v>
      </c>
      <c r="C4536" s="6">
        <v>1.0</v>
      </c>
      <c r="D4536" s="100" t="s">
        <v>7693</v>
      </c>
      <c r="E4536" s="9" t="s">
        <v>7560</v>
      </c>
      <c r="F4536" s="8"/>
    </row>
    <row r="4537" ht="21.0" customHeight="1">
      <c r="A4537" s="6">
        <v>100.0</v>
      </c>
      <c r="B4537" s="6">
        <v>2000.0</v>
      </c>
      <c r="C4537" s="6">
        <v>1.0</v>
      </c>
      <c r="D4537" s="100" t="s">
        <v>7694</v>
      </c>
      <c r="E4537" s="9" t="s">
        <v>7560</v>
      </c>
      <c r="F4537" s="8"/>
    </row>
    <row r="4538" ht="21.0" customHeight="1">
      <c r="A4538" s="6">
        <v>100.0</v>
      </c>
      <c r="B4538" s="6">
        <v>2000.0</v>
      </c>
      <c r="C4538" s="6">
        <v>1.0</v>
      </c>
      <c r="D4538" s="100" t="s">
        <v>7695</v>
      </c>
      <c r="E4538" s="9" t="s">
        <v>7560</v>
      </c>
      <c r="F4538" s="8"/>
    </row>
    <row r="4539" ht="21.0" customHeight="1">
      <c r="A4539" s="6">
        <v>100.0</v>
      </c>
      <c r="B4539" s="6">
        <v>2000.0</v>
      </c>
      <c r="C4539" s="6">
        <v>1.0</v>
      </c>
      <c r="D4539" s="100" t="s">
        <v>7696</v>
      </c>
      <c r="E4539" s="9" t="s">
        <v>7560</v>
      </c>
      <c r="F4539" s="8"/>
    </row>
    <row r="4540" ht="21.0" customHeight="1">
      <c r="A4540" s="6">
        <v>100.0</v>
      </c>
      <c r="B4540" s="6">
        <v>2000.0</v>
      </c>
      <c r="C4540" s="6">
        <v>1.0</v>
      </c>
      <c r="D4540" s="100" t="s">
        <v>7697</v>
      </c>
      <c r="E4540" s="9" t="s">
        <v>7560</v>
      </c>
      <c r="F4540" s="8"/>
    </row>
    <row r="4541" ht="21.0" customHeight="1">
      <c r="A4541" s="6">
        <v>100.0</v>
      </c>
      <c r="B4541" s="6">
        <v>2000.0</v>
      </c>
      <c r="C4541" s="6">
        <v>1.0</v>
      </c>
      <c r="D4541" s="100" t="s">
        <v>7698</v>
      </c>
      <c r="E4541" s="9" t="s">
        <v>7560</v>
      </c>
      <c r="F4541" s="8"/>
    </row>
    <row r="4542" ht="21.0" customHeight="1">
      <c r="A4542" s="6">
        <v>100.0</v>
      </c>
      <c r="B4542" s="6">
        <v>2000.0</v>
      </c>
      <c r="C4542" s="6">
        <v>1.0</v>
      </c>
      <c r="D4542" s="100" t="s">
        <v>7699</v>
      </c>
      <c r="E4542" s="9" t="s">
        <v>7560</v>
      </c>
      <c r="F4542" s="8"/>
    </row>
    <row r="4543" ht="21.0" customHeight="1">
      <c r="A4543" s="6">
        <v>100.0</v>
      </c>
      <c r="B4543" s="6">
        <v>2000.0</v>
      </c>
      <c r="C4543" s="6">
        <v>1.0</v>
      </c>
      <c r="D4543" s="100" t="s">
        <v>7700</v>
      </c>
      <c r="E4543" s="9" t="s">
        <v>7560</v>
      </c>
      <c r="F4543" s="8"/>
    </row>
    <row r="4544" ht="21.0" customHeight="1">
      <c r="A4544" s="6">
        <v>100.0</v>
      </c>
      <c r="B4544" s="6">
        <v>2000.0</v>
      </c>
      <c r="C4544" s="6">
        <v>1.0</v>
      </c>
      <c r="D4544" s="100" t="s">
        <v>7701</v>
      </c>
      <c r="E4544" s="9" t="s">
        <v>7560</v>
      </c>
      <c r="F4544" s="8"/>
    </row>
    <row r="4545" ht="21.0" customHeight="1">
      <c r="A4545" s="6">
        <v>100.0</v>
      </c>
      <c r="B4545" s="6">
        <v>2000.0</v>
      </c>
      <c r="C4545" s="6">
        <v>1.0</v>
      </c>
      <c r="D4545" s="100" t="s">
        <v>7702</v>
      </c>
      <c r="E4545" s="9" t="s">
        <v>7560</v>
      </c>
      <c r="F4545" s="8"/>
    </row>
    <row r="4546" ht="21.0" customHeight="1">
      <c r="A4546" s="6">
        <v>100.0</v>
      </c>
      <c r="B4546" s="6">
        <v>2000.0</v>
      </c>
      <c r="C4546" s="6">
        <v>1.0</v>
      </c>
      <c r="D4546" s="100" t="s">
        <v>7703</v>
      </c>
      <c r="E4546" s="9" t="s">
        <v>7560</v>
      </c>
      <c r="F4546" s="8"/>
    </row>
    <row r="4547" ht="21.0" customHeight="1">
      <c r="A4547" s="6">
        <v>100.0</v>
      </c>
      <c r="B4547" s="6">
        <v>2000.0</v>
      </c>
      <c r="C4547" s="6">
        <v>1.0</v>
      </c>
      <c r="D4547" s="100" t="s">
        <v>7704</v>
      </c>
      <c r="E4547" s="9" t="s">
        <v>7560</v>
      </c>
      <c r="F4547" s="8"/>
    </row>
    <row r="4548" ht="21.0" customHeight="1">
      <c r="A4548" s="6">
        <v>100.0</v>
      </c>
      <c r="B4548" s="6">
        <v>2000.0</v>
      </c>
      <c r="C4548" s="6">
        <v>1.0</v>
      </c>
      <c r="D4548" s="100" t="s">
        <v>7705</v>
      </c>
      <c r="E4548" s="9" t="s">
        <v>7560</v>
      </c>
      <c r="F4548" s="8"/>
    </row>
    <row r="4549" ht="21.0" customHeight="1">
      <c r="A4549" s="6">
        <v>100.0</v>
      </c>
      <c r="B4549" s="6">
        <v>2000.0</v>
      </c>
      <c r="C4549" s="6">
        <v>1.0</v>
      </c>
      <c r="D4549" s="100" t="s">
        <v>7706</v>
      </c>
      <c r="E4549" s="9" t="s">
        <v>7560</v>
      </c>
      <c r="F4549" s="8"/>
    </row>
    <row r="4550" ht="21.0" customHeight="1">
      <c r="A4550" s="6">
        <v>100.0</v>
      </c>
      <c r="B4550" s="6">
        <v>2000.0</v>
      </c>
      <c r="C4550" s="6">
        <v>1.0</v>
      </c>
      <c r="D4550" s="100" t="s">
        <v>7707</v>
      </c>
      <c r="E4550" s="9" t="s">
        <v>7560</v>
      </c>
      <c r="F4550" s="8"/>
    </row>
    <row r="4551" ht="21.0" customHeight="1">
      <c r="A4551" s="6">
        <v>100.0</v>
      </c>
      <c r="B4551" s="6">
        <v>2000.0</v>
      </c>
      <c r="C4551" s="6">
        <v>1.0</v>
      </c>
      <c r="D4551" s="100" t="s">
        <v>7708</v>
      </c>
      <c r="E4551" s="9" t="s">
        <v>7560</v>
      </c>
      <c r="F4551" s="8"/>
    </row>
    <row r="4552" ht="21.0" customHeight="1">
      <c r="A4552" s="6">
        <v>100.0</v>
      </c>
      <c r="B4552" s="6">
        <v>2000.0</v>
      </c>
      <c r="C4552" s="6">
        <v>1.0</v>
      </c>
      <c r="D4552" s="100" t="s">
        <v>7709</v>
      </c>
      <c r="E4552" s="9" t="s">
        <v>7560</v>
      </c>
      <c r="F4552" s="8"/>
    </row>
    <row r="4553" ht="21.0" customHeight="1">
      <c r="A4553" s="6">
        <v>100.0</v>
      </c>
      <c r="B4553" s="6">
        <v>2000.0</v>
      </c>
      <c r="C4553" s="6">
        <v>1.0</v>
      </c>
      <c r="D4553" s="100" t="s">
        <v>7710</v>
      </c>
      <c r="E4553" s="9" t="s">
        <v>7560</v>
      </c>
      <c r="F4553" s="8"/>
    </row>
    <row r="4554" ht="21.0" customHeight="1">
      <c r="A4554" s="6">
        <v>100.0</v>
      </c>
      <c r="B4554" s="6">
        <v>2000.0</v>
      </c>
      <c r="C4554" s="6">
        <v>1.0</v>
      </c>
      <c r="D4554" s="100" t="s">
        <v>7711</v>
      </c>
      <c r="E4554" s="9" t="s">
        <v>7560</v>
      </c>
      <c r="F4554" s="8"/>
    </row>
    <row r="4555" ht="21.0" customHeight="1">
      <c r="A4555" s="6">
        <v>100.0</v>
      </c>
      <c r="B4555" s="6">
        <v>2000.0</v>
      </c>
      <c r="C4555" s="6">
        <v>1.0</v>
      </c>
      <c r="D4555" s="100" t="s">
        <v>7712</v>
      </c>
      <c r="E4555" s="9" t="s">
        <v>7560</v>
      </c>
      <c r="F4555" s="8"/>
    </row>
    <row r="4556" ht="21.0" customHeight="1">
      <c r="A4556" s="6">
        <v>100.0</v>
      </c>
      <c r="B4556" s="6">
        <v>2000.0</v>
      </c>
      <c r="C4556" s="6">
        <v>1.0</v>
      </c>
      <c r="D4556" s="100" t="s">
        <v>7713</v>
      </c>
      <c r="E4556" s="9" t="s">
        <v>7560</v>
      </c>
      <c r="F4556" s="8"/>
    </row>
    <row r="4557" ht="21.0" customHeight="1">
      <c r="A4557" s="6">
        <v>100.0</v>
      </c>
      <c r="B4557" s="6">
        <v>2000.0</v>
      </c>
      <c r="C4557" s="6">
        <v>1.0</v>
      </c>
      <c r="D4557" s="100" t="s">
        <v>7714</v>
      </c>
      <c r="E4557" s="9" t="s">
        <v>7560</v>
      </c>
      <c r="F4557" s="8"/>
    </row>
    <row r="4558" ht="21.0" customHeight="1">
      <c r="A4558" s="6">
        <v>100.0</v>
      </c>
      <c r="B4558" s="6">
        <v>2000.0</v>
      </c>
      <c r="C4558" s="6">
        <v>1.0</v>
      </c>
      <c r="D4558" s="100" t="s">
        <v>7715</v>
      </c>
      <c r="E4558" s="9" t="s">
        <v>7560</v>
      </c>
      <c r="F4558" s="8"/>
    </row>
    <row r="4559" ht="21.0" customHeight="1">
      <c r="A4559" s="6">
        <v>100.0</v>
      </c>
      <c r="B4559" s="6">
        <v>2000.0</v>
      </c>
      <c r="C4559" s="6">
        <v>1.0</v>
      </c>
      <c r="D4559" s="100" t="s">
        <v>7716</v>
      </c>
      <c r="E4559" s="9" t="s">
        <v>7560</v>
      </c>
      <c r="F4559" s="8"/>
    </row>
    <row r="4560" ht="21.0" customHeight="1">
      <c r="A4560" s="6">
        <v>100.0</v>
      </c>
      <c r="B4560" s="6">
        <v>2000.0</v>
      </c>
      <c r="C4560" s="6">
        <v>1.0</v>
      </c>
      <c r="D4560" s="100" t="s">
        <v>7717</v>
      </c>
      <c r="E4560" s="9" t="s">
        <v>7560</v>
      </c>
      <c r="F4560" s="8"/>
    </row>
    <row r="4561" ht="21.0" customHeight="1">
      <c r="A4561" s="6">
        <v>100.0</v>
      </c>
      <c r="B4561" s="6">
        <v>2000.0</v>
      </c>
      <c r="C4561" s="6">
        <v>1.0</v>
      </c>
      <c r="D4561" s="100" t="s">
        <v>7718</v>
      </c>
      <c r="E4561" s="9" t="s">
        <v>7560</v>
      </c>
      <c r="F4561" s="8"/>
    </row>
    <row r="4562" ht="21.0" customHeight="1">
      <c r="A4562" s="6">
        <v>100.0</v>
      </c>
      <c r="B4562" s="6">
        <v>2000.0</v>
      </c>
      <c r="C4562" s="6">
        <v>1.0</v>
      </c>
      <c r="D4562" s="100" t="s">
        <v>7719</v>
      </c>
      <c r="E4562" s="9" t="s">
        <v>7560</v>
      </c>
      <c r="F4562" s="8"/>
    </row>
    <row r="4563" ht="21.0" customHeight="1">
      <c r="A4563" s="6">
        <v>100.0</v>
      </c>
      <c r="B4563" s="6">
        <v>2000.0</v>
      </c>
      <c r="C4563" s="6">
        <v>1.0</v>
      </c>
      <c r="D4563" s="100" t="s">
        <v>7720</v>
      </c>
      <c r="E4563" s="9" t="s">
        <v>7560</v>
      </c>
      <c r="F4563" s="8"/>
    </row>
    <row r="4564" ht="21.0" customHeight="1">
      <c r="A4564" s="6">
        <v>100.0</v>
      </c>
      <c r="B4564" s="6">
        <v>2000.0</v>
      </c>
      <c r="C4564" s="6">
        <v>1.0</v>
      </c>
      <c r="D4564" s="100" t="s">
        <v>7721</v>
      </c>
      <c r="E4564" s="9" t="s">
        <v>7560</v>
      </c>
      <c r="F4564" s="8"/>
    </row>
    <row r="4565" ht="21.0" customHeight="1">
      <c r="A4565" s="6">
        <v>100.0</v>
      </c>
      <c r="B4565" s="6">
        <v>2000.0</v>
      </c>
      <c r="C4565" s="6">
        <v>1.0</v>
      </c>
      <c r="D4565" s="100" t="s">
        <v>7722</v>
      </c>
      <c r="E4565" s="9" t="s">
        <v>7560</v>
      </c>
      <c r="F4565" s="8"/>
    </row>
    <row r="4566" ht="21.0" customHeight="1">
      <c r="A4566" s="6">
        <v>100.0</v>
      </c>
      <c r="B4566" s="6">
        <v>2000.0</v>
      </c>
      <c r="C4566" s="6">
        <v>1.0</v>
      </c>
      <c r="D4566" s="100" t="s">
        <v>7723</v>
      </c>
      <c r="E4566" s="9" t="s">
        <v>7560</v>
      </c>
      <c r="F4566" s="8"/>
    </row>
    <row r="4567" ht="21.0" customHeight="1">
      <c r="A4567" s="6">
        <v>100.0</v>
      </c>
      <c r="B4567" s="6">
        <v>2000.0</v>
      </c>
      <c r="C4567" s="6">
        <v>1.0</v>
      </c>
      <c r="D4567" s="100" t="s">
        <v>7724</v>
      </c>
      <c r="E4567" s="9" t="s">
        <v>7560</v>
      </c>
      <c r="F4567" s="8"/>
    </row>
    <row r="4568" ht="21.0" customHeight="1">
      <c r="A4568" s="6">
        <v>100.0</v>
      </c>
      <c r="B4568" s="6">
        <v>2000.0</v>
      </c>
      <c r="C4568" s="6">
        <v>1.0</v>
      </c>
      <c r="D4568" s="100" t="s">
        <v>7725</v>
      </c>
      <c r="E4568" s="9" t="s">
        <v>7560</v>
      </c>
      <c r="F4568" s="8"/>
    </row>
    <row r="4569" ht="21.0" customHeight="1">
      <c r="A4569" s="6">
        <v>100.0</v>
      </c>
      <c r="B4569" s="6">
        <v>2000.0</v>
      </c>
      <c r="C4569" s="6">
        <v>1.0</v>
      </c>
      <c r="D4569" s="100" t="s">
        <v>7726</v>
      </c>
      <c r="E4569" s="9" t="s">
        <v>7560</v>
      </c>
      <c r="F4569" s="8"/>
    </row>
    <row r="4570" ht="21.0" customHeight="1">
      <c r="A4570" s="6">
        <v>100.0</v>
      </c>
      <c r="B4570" s="6">
        <v>2000.0</v>
      </c>
      <c r="C4570" s="6">
        <v>1.0</v>
      </c>
      <c r="D4570" s="100" t="s">
        <v>7727</v>
      </c>
      <c r="E4570" s="9" t="s">
        <v>7560</v>
      </c>
      <c r="F4570" s="8"/>
    </row>
    <row r="4571" ht="21.0" customHeight="1">
      <c r="A4571" s="6">
        <v>100.0</v>
      </c>
      <c r="B4571" s="6">
        <v>2000.0</v>
      </c>
      <c r="C4571" s="6">
        <v>1.0</v>
      </c>
      <c r="D4571" s="100" t="s">
        <v>7728</v>
      </c>
      <c r="E4571" s="9" t="s">
        <v>7560</v>
      </c>
      <c r="F4571" s="8"/>
    </row>
    <row r="4572" ht="21.0" customHeight="1">
      <c r="A4572" s="6">
        <v>100.0</v>
      </c>
      <c r="B4572" s="6">
        <v>2000.0</v>
      </c>
      <c r="C4572" s="6">
        <v>1.0</v>
      </c>
      <c r="D4572" s="100" t="s">
        <v>7729</v>
      </c>
      <c r="E4572" s="9" t="s">
        <v>7560</v>
      </c>
      <c r="F4572" s="8"/>
    </row>
    <row r="4573" ht="21.0" customHeight="1">
      <c r="A4573" s="6">
        <v>100.0</v>
      </c>
      <c r="B4573" s="6">
        <v>2000.0</v>
      </c>
      <c r="C4573" s="6">
        <v>1.0</v>
      </c>
      <c r="D4573" s="100" t="s">
        <v>7730</v>
      </c>
      <c r="E4573" s="9" t="s">
        <v>7560</v>
      </c>
      <c r="F4573" s="8"/>
    </row>
    <row r="4574" ht="21.0" customHeight="1">
      <c r="A4574" s="6">
        <v>100.0</v>
      </c>
      <c r="B4574" s="6">
        <v>2000.0</v>
      </c>
      <c r="C4574" s="6">
        <v>1.0</v>
      </c>
      <c r="D4574" s="100" t="s">
        <v>7731</v>
      </c>
      <c r="E4574" s="9" t="s">
        <v>7560</v>
      </c>
      <c r="F4574" s="8"/>
    </row>
    <row r="4575" ht="21.0" customHeight="1">
      <c r="A4575" s="6">
        <v>100.0</v>
      </c>
      <c r="B4575" s="6">
        <v>2000.0</v>
      </c>
      <c r="C4575" s="6">
        <v>1.0</v>
      </c>
      <c r="D4575" s="9" t="s">
        <v>7732</v>
      </c>
      <c r="E4575" s="9" t="s">
        <v>7560</v>
      </c>
      <c r="F4575" s="8"/>
    </row>
    <row r="4576" ht="21.0" customHeight="1">
      <c r="A4576" s="6">
        <v>100.0</v>
      </c>
      <c r="B4576" s="6">
        <v>2000.0</v>
      </c>
      <c r="C4576" s="6">
        <v>1.0</v>
      </c>
      <c r="D4576" s="9" t="s">
        <v>7733</v>
      </c>
      <c r="E4576" s="9" t="s">
        <v>7560</v>
      </c>
      <c r="F4576" s="8"/>
    </row>
    <row r="4577" ht="21.0" customHeight="1">
      <c r="A4577" s="6">
        <v>100.0</v>
      </c>
      <c r="B4577" s="6">
        <v>2000.0</v>
      </c>
      <c r="C4577" s="6">
        <v>1.0</v>
      </c>
      <c r="D4577" s="100" t="s">
        <v>7734</v>
      </c>
      <c r="E4577" s="9" t="s">
        <v>7560</v>
      </c>
      <c r="F4577" s="8"/>
    </row>
    <row r="4578" ht="21.0" customHeight="1">
      <c r="A4578" s="6">
        <v>100.0</v>
      </c>
      <c r="B4578" s="6">
        <v>2000.0</v>
      </c>
      <c r="C4578" s="6">
        <v>1.0</v>
      </c>
      <c r="D4578" s="100" t="s">
        <v>7735</v>
      </c>
      <c r="E4578" s="9" t="s">
        <v>7560</v>
      </c>
      <c r="F4578" s="8"/>
    </row>
    <row r="4579" ht="21.0" customHeight="1">
      <c r="A4579" s="6">
        <v>100.0</v>
      </c>
      <c r="B4579" s="6">
        <v>2000.0</v>
      </c>
      <c r="C4579" s="6">
        <v>1.0</v>
      </c>
      <c r="D4579" s="100" t="s">
        <v>7736</v>
      </c>
      <c r="E4579" s="9" t="s">
        <v>7560</v>
      </c>
      <c r="F4579" s="8"/>
    </row>
    <row r="4580" ht="21.0" customHeight="1">
      <c r="A4580" s="6">
        <v>100.0</v>
      </c>
      <c r="B4580" s="6">
        <v>2000.0</v>
      </c>
      <c r="C4580" s="6">
        <v>1.0</v>
      </c>
      <c r="D4580" s="100" t="s">
        <v>7737</v>
      </c>
      <c r="E4580" s="9" t="s">
        <v>7560</v>
      </c>
      <c r="F4580" s="8"/>
    </row>
    <row r="4581" ht="21.0" customHeight="1">
      <c r="A4581" s="6">
        <v>100.0</v>
      </c>
      <c r="B4581" s="6">
        <v>2000.0</v>
      </c>
      <c r="C4581" s="6">
        <v>1.0</v>
      </c>
      <c r="D4581" s="100" t="s">
        <v>7738</v>
      </c>
      <c r="E4581" s="9" t="s">
        <v>7560</v>
      </c>
      <c r="F4581" s="8"/>
    </row>
    <row r="4582" ht="21.0" customHeight="1">
      <c r="A4582" s="6">
        <v>100.0</v>
      </c>
      <c r="B4582" s="6">
        <v>2000.0</v>
      </c>
      <c r="C4582" s="6">
        <v>1.0</v>
      </c>
      <c r="D4582" s="100" t="s">
        <v>7739</v>
      </c>
      <c r="E4582" s="9" t="s">
        <v>7560</v>
      </c>
      <c r="F4582" s="8"/>
    </row>
    <row r="4583" ht="21.0" customHeight="1">
      <c r="A4583" s="6">
        <v>100.0</v>
      </c>
      <c r="B4583" s="6">
        <v>2000.0</v>
      </c>
      <c r="C4583" s="6">
        <v>1.0</v>
      </c>
      <c r="D4583" s="100" t="s">
        <v>7740</v>
      </c>
      <c r="E4583" s="9" t="s">
        <v>7560</v>
      </c>
      <c r="F4583" s="8"/>
    </row>
    <row r="4584" ht="21.0" customHeight="1">
      <c r="A4584" s="6">
        <v>100.0</v>
      </c>
      <c r="B4584" s="6">
        <v>2000.0</v>
      </c>
      <c r="C4584" s="6">
        <v>1.0</v>
      </c>
      <c r="D4584" s="101" t="s">
        <v>7741</v>
      </c>
      <c r="E4584" s="9" t="s">
        <v>7560</v>
      </c>
      <c r="F4584" s="8"/>
    </row>
    <row r="4585" ht="21.0" customHeight="1">
      <c r="A4585" s="6">
        <v>100.0</v>
      </c>
      <c r="B4585" s="6">
        <v>2000.0</v>
      </c>
      <c r="C4585" s="6">
        <v>1.0</v>
      </c>
      <c r="D4585" s="101" t="s">
        <v>7742</v>
      </c>
      <c r="E4585" s="9" t="s">
        <v>7560</v>
      </c>
      <c r="F4585" s="8"/>
    </row>
    <row r="4586" ht="21.0" customHeight="1">
      <c r="A4586" s="6">
        <v>100.0</v>
      </c>
      <c r="B4586" s="6">
        <v>2000.0</v>
      </c>
      <c r="C4586" s="6">
        <v>1.0</v>
      </c>
      <c r="D4586" s="101" t="s">
        <v>7743</v>
      </c>
      <c r="E4586" s="9" t="s">
        <v>7560</v>
      </c>
      <c r="F4586" s="8"/>
    </row>
    <row r="4587" ht="21.0" customHeight="1">
      <c r="A4587" s="6">
        <v>100.0</v>
      </c>
      <c r="B4587" s="6">
        <v>2000.0</v>
      </c>
      <c r="C4587" s="6">
        <v>1.0</v>
      </c>
      <c r="D4587" s="101" t="s">
        <v>7744</v>
      </c>
      <c r="E4587" s="9" t="s">
        <v>7560</v>
      </c>
      <c r="F4587" s="8"/>
    </row>
    <row r="4588" ht="21.0" customHeight="1">
      <c r="A4588" s="6">
        <v>100.0</v>
      </c>
      <c r="B4588" s="6">
        <v>2000.0</v>
      </c>
      <c r="C4588" s="6">
        <v>1.0</v>
      </c>
      <c r="D4588" s="101" t="s">
        <v>7745</v>
      </c>
      <c r="E4588" s="9" t="s">
        <v>7560</v>
      </c>
      <c r="F4588" s="8"/>
    </row>
    <row r="4589" ht="21.0" customHeight="1">
      <c r="A4589" s="6">
        <v>100.0</v>
      </c>
      <c r="B4589" s="6">
        <v>2000.0</v>
      </c>
      <c r="C4589" s="6">
        <v>1.0</v>
      </c>
      <c r="D4589" s="101" t="s">
        <v>7746</v>
      </c>
      <c r="E4589" s="9" t="s">
        <v>7560</v>
      </c>
      <c r="F4589" s="8"/>
    </row>
    <row r="4590" ht="21.0" customHeight="1">
      <c r="A4590" s="6">
        <v>100.0</v>
      </c>
      <c r="B4590" s="6">
        <v>2000.0</v>
      </c>
      <c r="C4590" s="6">
        <v>1.0</v>
      </c>
      <c r="D4590" s="101" t="s">
        <v>7747</v>
      </c>
      <c r="E4590" s="9" t="s">
        <v>7560</v>
      </c>
      <c r="F4590" s="8"/>
    </row>
    <row r="4591" ht="21.0" customHeight="1">
      <c r="A4591" s="6">
        <v>100.0</v>
      </c>
      <c r="B4591" s="6">
        <v>2000.0</v>
      </c>
      <c r="C4591" s="6">
        <v>1.0</v>
      </c>
      <c r="D4591" s="101" t="s">
        <v>7748</v>
      </c>
      <c r="E4591" s="9" t="s">
        <v>7560</v>
      </c>
      <c r="F4591" s="8"/>
    </row>
    <row r="4592" ht="21.0" customHeight="1">
      <c r="A4592" s="6">
        <v>100.0</v>
      </c>
      <c r="B4592" s="6">
        <v>2000.0</v>
      </c>
      <c r="C4592" s="6">
        <v>1.0</v>
      </c>
      <c r="D4592" s="101" t="s">
        <v>7749</v>
      </c>
      <c r="E4592" s="9" t="s">
        <v>7560</v>
      </c>
      <c r="F4592" s="8"/>
    </row>
    <row r="4593" ht="21.0" customHeight="1">
      <c r="A4593" s="6">
        <v>100.0</v>
      </c>
      <c r="B4593" s="6">
        <v>2000.0</v>
      </c>
      <c r="C4593" s="6">
        <v>1.0</v>
      </c>
      <c r="D4593" s="101" t="s">
        <v>7750</v>
      </c>
      <c r="E4593" s="9" t="s">
        <v>7560</v>
      </c>
      <c r="F4593" s="8"/>
    </row>
    <row r="4594" ht="21.0" customHeight="1">
      <c r="A4594" s="6">
        <v>100.0</v>
      </c>
      <c r="B4594" s="6">
        <v>2000.0</v>
      </c>
      <c r="C4594" s="6">
        <v>1.0</v>
      </c>
      <c r="D4594" s="60" t="s">
        <v>7751</v>
      </c>
      <c r="E4594" s="9" t="s">
        <v>7560</v>
      </c>
      <c r="F4594" s="8"/>
    </row>
    <row r="4595" ht="21.0" customHeight="1">
      <c r="A4595" s="6">
        <v>100.0</v>
      </c>
      <c r="B4595" s="6">
        <v>2000.0</v>
      </c>
      <c r="C4595" s="6">
        <v>1.0</v>
      </c>
      <c r="D4595" s="60" t="s">
        <v>7752</v>
      </c>
      <c r="E4595" s="9" t="s">
        <v>7560</v>
      </c>
      <c r="F4595" s="8"/>
    </row>
    <row r="4596" ht="21.0" customHeight="1">
      <c r="A4596" s="6">
        <v>100.0</v>
      </c>
      <c r="B4596" s="6">
        <v>2000.0</v>
      </c>
      <c r="C4596" s="6">
        <v>1.0</v>
      </c>
      <c r="D4596" s="101" t="s">
        <v>7753</v>
      </c>
      <c r="E4596" s="9" t="s">
        <v>7560</v>
      </c>
      <c r="F4596" s="8"/>
    </row>
    <row r="4597" ht="21.0" customHeight="1">
      <c r="A4597" s="6">
        <v>100.0</v>
      </c>
      <c r="B4597" s="6">
        <v>2000.0</v>
      </c>
      <c r="C4597" s="6">
        <v>1.0</v>
      </c>
      <c r="D4597" s="101" t="s">
        <v>7754</v>
      </c>
      <c r="E4597" s="9" t="s">
        <v>7560</v>
      </c>
      <c r="F4597" s="8"/>
    </row>
    <row r="4598" ht="21.0" customHeight="1">
      <c r="A4598" s="6">
        <v>100.0</v>
      </c>
      <c r="B4598" s="6">
        <v>2000.0</v>
      </c>
      <c r="C4598" s="6">
        <v>1.0</v>
      </c>
      <c r="D4598" s="101" t="s">
        <v>7755</v>
      </c>
      <c r="E4598" s="9" t="s">
        <v>7560</v>
      </c>
      <c r="F4598" s="8"/>
    </row>
    <row r="4599" ht="21.0" customHeight="1">
      <c r="A4599" s="6">
        <v>100.0</v>
      </c>
      <c r="B4599" s="6">
        <v>2000.0</v>
      </c>
      <c r="C4599" s="6">
        <v>1.0</v>
      </c>
      <c r="D4599" s="101" t="s">
        <v>7756</v>
      </c>
      <c r="E4599" s="9" t="s">
        <v>7560</v>
      </c>
      <c r="F4599" s="8"/>
    </row>
    <row r="4600" ht="21.0" customHeight="1">
      <c r="A4600" s="6">
        <v>100.0</v>
      </c>
      <c r="B4600" s="6">
        <v>2000.0</v>
      </c>
      <c r="C4600" s="6">
        <v>1.0</v>
      </c>
      <c r="D4600" s="101" t="s">
        <v>7757</v>
      </c>
      <c r="E4600" s="9" t="s">
        <v>7560</v>
      </c>
      <c r="F4600" s="8"/>
    </row>
    <row r="4601" ht="21.0" customHeight="1">
      <c r="A4601" s="6">
        <v>100.0</v>
      </c>
      <c r="B4601" s="6">
        <v>2000.0</v>
      </c>
      <c r="C4601" s="6">
        <v>1.0</v>
      </c>
      <c r="D4601" s="101" t="s">
        <v>7758</v>
      </c>
      <c r="E4601" s="9" t="s">
        <v>7560</v>
      </c>
      <c r="F4601" s="8"/>
    </row>
    <row r="4602" ht="21.0" customHeight="1">
      <c r="A4602" s="6">
        <v>100.0</v>
      </c>
      <c r="B4602" s="6">
        <v>2000.0</v>
      </c>
      <c r="C4602" s="6">
        <v>1.0</v>
      </c>
      <c r="D4602" s="101" t="s">
        <v>7759</v>
      </c>
      <c r="E4602" s="9" t="s">
        <v>7560</v>
      </c>
      <c r="F4602" s="8"/>
    </row>
    <row r="4603" ht="21.0" customHeight="1">
      <c r="A4603" s="6">
        <v>100.0</v>
      </c>
      <c r="B4603" s="6">
        <v>2000.0</v>
      </c>
      <c r="C4603" s="6">
        <v>1.0</v>
      </c>
      <c r="D4603" s="101" t="s">
        <v>7760</v>
      </c>
      <c r="E4603" s="9" t="s">
        <v>7560</v>
      </c>
      <c r="F4603" s="8"/>
    </row>
    <row r="4604" ht="21.0" customHeight="1">
      <c r="A4604" s="6">
        <v>100.0</v>
      </c>
      <c r="B4604" s="6">
        <v>2000.0</v>
      </c>
      <c r="C4604" s="6">
        <v>1.0</v>
      </c>
      <c r="D4604" s="60" t="s">
        <v>7761</v>
      </c>
      <c r="E4604" s="9" t="s">
        <v>7560</v>
      </c>
      <c r="F4604" s="8"/>
    </row>
    <row r="4605" ht="21.0" customHeight="1">
      <c r="A4605" s="6">
        <v>100.0</v>
      </c>
      <c r="B4605" s="6">
        <v>2000.0</v>
      </c>
      <c r="C4605" s="6">
        <v>1.0</v>
      </c>
      <c r="D4605" s="101" t="s">
        <v>7762</v>
      </c>
      <c r="E4605" s="9" t="s">
        <v>7560</v>
      </c>
      <c r="F4605" s="8"/>
    </row>
    <row r="4606" ht="21.0" customHeight="1">
      <c r="A4606" s="6">
        <v>100.0</v>
      </c>
      <c r="B4606" s="6">
        <v>2000.0</v>
      </c>
      <c r="C4606" s="6">
        <v>1.0</v>
      </c>
      <c r="D4606" s="101" t="s">
        <v>7763</v>
      </c>
      <c r="E4606" s="9" t="s">
        <v>7560</v>
      </c>
      <c r="F4606" s="8"/>
    </row>
    <row r="4607" ht="21.0" customHeight="1">
      <c r="A4607" s="6">
        <v>100.0</v>
      </c>
      <c r="B4607" s="6">
        <v>2000.0</v>
      </c>
      <c r="C4607" s="6">
        <v>1.0</v>
      </c>
      <c r="D4607" s="101" t="s">
        <v>7764</v>
      </c>
      <c r="E4607" s="9" t="s">
        <v>7560</v>
      </c>
      <c r="F4607" s="8"/>
    </row>
    <row r="4608" ht="21.0" customHeight="1">
      <c r="A4608" s="6">
        <v>100.0</v>
      </c>
      <c r="B4608" s="6">
        <v>2000.0</v>
      </c>
      <c r="C4608" s="6">
        <v>1.0</v>
      </c>
      <c r="D4608" s="101" t="s">
        <v>7765</v>
      </c>
      <c r="E4608" s="9" t="s">
        <v>7560</v>
      </c>
      <c r="F4608" s="8"/>
    </row>
    <row r="4609" ht="21.0" customHeight="1">
      <c r="A4609" s="6">
        <v>100.0</v>
      </c>
      <c r="B4609" s="6">
        <v>2000.0</v>
      </c>
      <c r="C4609" s="6">
        <v>1.0</v>
      </c>
      <c r="D4609" s="101" t="s">
        <v>7766</v>
      </c>
      <c r="E4609" s="9" t="s">
        <v>7560</v>
      </c>
      <c r="F4609" s="8"/>
    </row>
    <row r="4610" ht="21.0" customHeight="1">
      <c r="A4610" s="6">
        <v>100.0</v>
      </c>
      <c r="B4610" s="6">
        <v>2000.0</v>
      </c>
      <c r="C4610" s="6">
        <v>1.0</v>
      </c>
      <c r="D4610" s="100" t="s">
        <v>7767</v>
      </c>
      <c r="E4610" s="9" t="s">
        <v>7560</v>
      </c>
      <c r="F4610" s="8"/>
    </row>
    <row r="4611" ht="21.0" customHeight="1">
      <c r="A4611" s="6">
        <v>100.0</v>
      </c>
      <c r="B4611" s="6">
        <v>2000.0</v>
      </c>
      <c r="C4611" s="6">
        <v>1.0</v>
      </c>
      <c r="D4611" s="23" t="s">
        <v>7768</v>
      </c>
      <c r="E4611" s="102" t="s">
        <v>7560</v>
      </c>
      <c r="F4611" s="8"/>
    </row>
    <row r="4612" ht="21.0" customHeight="1">
      <c r="A4612" s="6">
        <v>100.0</v>
      </c>
      <c r="B4612" s="6">
        <v>2000.0</v>
      </c>
      <c r="C4612" s="6">
        <v>1.0</v>
      </c>
      <c r="D4612" s="23" t="s">
        <v>7769</v>
      </c>
      <c r="E4612" s="102" t="s">
        <v>7560</v>
      </c>
      <c r="F4612" s="8"/>
    </row>
    <row r="4613" ht="21.0" customHeight="1">
      <c r="A4613" s="6">
        <v>34.0</v>
      </c>
      <c r="B4613" s="6">
        <v>3000.0</v>
      </c>
      <c r="C4613" s="6">
        <v>1.0</v>
      </c>
      <c r="D4613" s="23" t="s">
        <v>7770</v>
      </c>
      <c r="E4613" s="102" t="s">
        <v>7771</v>
      </c>
      <c r="F4613" s="8"/>
    </row>
    <row r="4614" ht="21.0" customHeight="1">
      <c r="A4614" s="6">
        <v>34.0</v>
      </c>
      <c r="B4614" s="6">
        <v>3000.0</v>
      </c>
      <c r="C4614" s="6">
        <v>1.0</v>
      </c>
      <c r="D4614" s="23" t="s">
        <v>7772</v>
      </c>
      <c r="E4614" s="102" t="s">
        <v>7773</v>
      </c>
      <c r="F4614" s="8"/>
    </row>
    <row r="4615" ht="21.0" customHeight="1">
      <c r="A4615" s="6">
        <v>34.0</v>
      </c>
      <c r="B4615" s="6">
        <v>3000.0</v>
      </c>
      <c r="C4615" s="6">
        <v>1.0</v>
      </c>
      <c r="D4615" s="103" t="s">
        <v>7249</v>
      </c>
      <c r="E4615" s="81" t="s">
        <v>7774</v>
      </c>
      <c r="F4615" s="8"/>
    </row>
    <row r="4616" ht="21.0" customHeight="1">
      <c r="A4616" s="6">
        <v>34.0</v>
      </c>
      <c r="B4616" s="6">
        <v>3000.0</v>
      </c>
      <c r="C4616" s="6">
        <v>1.0</v>
      </c>
      <c r="D4616" s="104" t="s">
        <v>7775</v>
      </c>
      <c r="E4616" s="81" t="s">
        <v>7776</v>
      </c>
      <c r="F4616" s="8"/>
    </row>
    <row r="4617" ht="21.0" customHeight="1">
      <c r="A4617" s="6">
        <v>34.0</v>
      </c>
      <c r="B4617" s="6">
        <v>3000.0</v>
      </c>
      <c r="C4617" s="6">
        <v>1.0</v>
      </c>
      <c r="D4617" s="104" t="s">
        <v>7777</v>
      </c>
      <c r="E4617" s="81" t="s">
        <v>7778</v>
      </c>
      <c r="F4617" s="8"/>
    </row>
    <row r="4618" ht="21.0" customHeight="1">
      <c r="A4618" s="6">
        <v>34.0</v>
      </c>
      <c r="B4618" s="6">
        <v>3000.0</v>
      </c>
      <c r="C4618" s="6">
        <v>1.0</v>
      </c>
      <c r="D4618" s="104" t="s">
        <v>7779</v>
      </c>
      <c r="E4618" s="81" t="s">
        <v>7780</v>
      </c>
      <c r="F4618" s="8"/>
    </row>
    <row r="4619" ht="21.0" customHeight="1">
      <c r="A4619" s="6">
        <v>34.0</v>
      </c>
      <c r="B4619" s="6">
        <v>3000.0</v>
      </c>
      <c r="C4619" s="6">
        <v>1.0</v>
      </c>
      <c r="D4619" s="104" t="s">
        <v>7781</v>
      </c>
      <c r="E4619" s="81" t="s">
        <v>7782</v>
      </c>
      <c r="F4619" s="8"/>
    </row>
    <row r="4620" ht="21.0" customHeight="1">
      <c r="A4620" s="6">
        <v>34.0</v>
      </c>
      <c r="B4620" s="6">
        <v>3000.0</v>
      </c>
      <c r="C4620" s="6">
        <v>1.0</v>
      </c>
      <c r="D4620" s="104" t="s">
        <v>7783</v>
      </c>
      <c r="E4620" s="81" t="s">
        <v>7784</v>
      </c>
      <c r="F4620" s="8"/>
    </row>
    <row r="4621" ht="21.0" customHeight="1">
      <c r="A4621" s="6">
        <v>34.0</v>
      </c>
      <c r="B4621" s="6">
        <v>3000.0</v>
      </c>
      <c r="C4621" s="6">
        <v>1.0</v>
      </c>
      <c r="D4621" s="104" t="s">
        <v>7785</v>
      </c>
      <c r="E4621" s="81" t="s">
        <v>7786</v>
      </c>
      <c r="F4621" s="8"/>
    </row>
    <row r="4622" ht="21.0" customHeight="1">
      <c r="A4622" s="6">
        <v>34.0</v>
      </c>
      <c r="B4622" s="6">
        <v>3000.0</v>
      </c>
      <c r="C4622" s="6">
        <v>1.0</v>
      </c>
      <c r="D4622" s="104" t="s">
        <v>7787</v>
      </c>
      <c r="E4622" s="81" t="s">
        <v>7788</v>
      </c>
      <c r="F4622" s="8"/>
    </row>
    <row r="4623" ht="21.0" customHeight="1">
      <c r="A4623" s="13">
        <v>48.0</v>
      </c>
      <c r="B4623" s="13">
        <v>1.0</v>
      </c>
      <c r="C4623" s="13">
        <v>1.0</v>
      </c>
      <c r="D4623" s="25" t="s">
        <v>7789</v>
      </c>
      <c r="E4623" s="11" t="s">
        <v>7790</v>
      </c>
      <c r="F4623" s="14"/>
    </row>
    <row r="4624" ht="21.0" customHeight="1">
      <c r="A4624" s="13">
        <v>48.0</v>
      </c>
      <c r="B4624" s="13">
        <v>1.0</v>
      </c>
      <c r="C4624" s="13">
        <v>1.0</v>
      </c>
      <c r="D4624" s="25" t="s">
        <v>7791</v>
      </c>
      <c r="E4624" s="11" t="s">
        <v>7790</v>
      </c>
      <c r="F4624" s="14"/>
    </row>
    <row r="4625" ht="21.0" customHeight="1">
      <c r="A4625" s="13">
        <v>48.0</v>
      </c>
      <c r="B4625" s="13">
        <v>1.0</v>
      </c>
      <c r="C4625" s="13">
        <v>1.0</v>
      </c>
      <c r="D4625" s="25" t="s">
        <v>7792</v>
      </c>
      <c r="E4625" s="11" t="s">
        <v>7790</v>
      </c>
      <c r="F4625" s="14"/>
    </row>
    <row r="4626" ht="21.0" customHeight="1">
      <c r="A4626" s="13">
        <v>48.0</v>
      </c>
      <c r="B4626" s="13">
        <v>1.0</v>
      </c>
      <c r="C4626" s="13">
        <v>1.0</v>
      </c>
      <c r="D4626" s="25" t="s">
        <v>7793</v>
      </c>
      <c r="E4626" s="11" t="s">
        <v>7794</v>
      </c>
      <c r="F4626" s="14"/>
    </row>
    <row r="4627" ht="21.0" customHeight="1">
      <c r="A4627" s="13">
        <v>48.0</v>
      </c>
      <c r="B4627" s="13">
        <v>1.0</v>
      </c>
      <c r="C4627" s="13">
        <v>1.0</v>
      </c>
      <c r="D4627" s="25" t="s">
        <v>7795</v>
      </c>
      <c r="E4627" s="11" t="s">
        <v>7794</v>
      </c>
      <c r="F4627" s="14"/>
    </row>
    <row r="4628" ht="21.0" customHeight="1">
      <c r="A4628" s="13">
        <v>48.0</v>
      </c>
      <c r="B4628" s="13">
        <v>1.0</v>
      </c>
      <c r="C4628" s="13">
        <v>1.0</v>
      </c>
      <c r="D4628" s="25" t="s">
        <v>7796</v>
      </c>
      <c r="E4628" s="11" t="s">
        <v>7797</v>
      </c>
      <c r="F4628" s="14"/>
    </row>
    <row r="4629" ht="21.0" customHeight="1">
      <c r="A4629" s="13">
        <v>48.0</v>
      </c>
      <c r="B4629" s="13">
        <v>1.0</v>
      </c>
      <c r="C4629" s="13">
        <v>1.0</v>
      </c>
      <c r="D4629" s="25" t="s">
        <v>7798</v>
      </c>
      <c r="E4629" s="11" t="s">
        <v>7797</v>
      </c>
      <c r="F4629" s="14"/>
    </row>
    <row r="4630" ht="21.0" customHeight="1">
      <c r="A4630" s="13">
        <v>48.0</v>
      </c>
      <c r="B4630" s="13">
        <v>1.0</v>
      </c>
      <c r="C4630" s="13">
        <v>1.0</v>
      </c>
      <c r="D4630" s="25" t="s">
        <v>7799</v>
      </c>
      <c r="E4630" s="11" t="s">
        <v>7800</v>
      </c>
      <c r="F4630" s="14"/>
    </row>
    <row r="4631" ht="21.0" customHeight="1">
      <c r="A4631" s="13">
        <v>48.0</v>
      </c>
      <c r="B4631" s="13">
        <v>1.0</v>
      </c>
      <c r="C4631" s="13">
        <v>1.0</v>
      </c>
      <c r="D4631" s="25" t="s">
        <v>7801</v>
      </c>
      <c r="E4631" s="11" t="s">
        <v>7800</v>
      </c>
      <c r="F4631" s="14"/>
    </row>
  </sheetData>
  <autoFilter ref="$A$1:$E$1"/>
  <printOptions/>
  <pageMargins bottom="0.75" footer="0.0" header="0.0" left="0.7" right="0.7" top="0.75"/>
  <pageSetup paperSize="9" orientation="portrait"/>
  <drawing r:id="rId2"/>
  <legacy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4.0" ySplit="1.0" topLeftCell="E2" activePane="bottomRight" state="frozen"/>
      <selection activeCell="E1" sqref="E1" pane="topRight"/>
      <selection activeCell="A2" sqref="A2" pane="bottomLeft"/>
      <selection activeCell="E2" sqref="E2" pane="bottomRight"/>
    </sheetView>
  </sheetViews>
  <sheetFormatPr customHeight="1" defaultColWidth="14.43" defaultRowHeight="15.0"/>
  <cols>
    <col customWidth="1" min="1" max="1" width="5.29"/>
    <col customWidth="1" min="2" max="2" width="8.14"/>
    <col customWidth="1" min="3" max="3" width="3.43"/>
    <col customWidth="1" min="4" max="4" width="18.29"/>
    <col customWidth="1" min="5" max="5" width="49.29"/>
    <col customWidth="1" min="6" max="6" width="55.43"/>
    <col customWidth="1" min="7" max="7" width="62.71"/>
    <col customWidth="1" min="8" max="24" width="9.0"/>
  </cols>
  <sheetData>
    <row r="1" ht="93.0" customHeight="1">
      <c r="A1" s="1" t="s">
        <v>0</v>
      </c>
      <c r="B1" s="1" t="s">
        <v>1</v>
      </c>
      <c r="C1" s="1" t="s">
        <v>2</v>
      </c>
      <c r="D1" s="105" t="s">
        <v>3</v>
      </c>
      <c r="E1" s="2" t="s">
        <v>4</v>
      </c>
      <c r="F1" s="106"/>
      <c r="G1" s="106"/>
      <c r="H1" s="4"/>
      <c r="I1" s="4"/>
      <c r="J1" s="4"/>
      <c r="K1" s="4"/>
      <c r="L1" s="4"/>
      <c r="M1" s="4"/>
      <c r="N1" s="4"/>
      <c r="O1" s="4"/>
      <c r="P1" s="4"/>
      <c r="Q1" s="4"/>
      <c r="R1" s="4"/>
      <c r="S1" s="4"/>
      <c r="T1" s="4"/>
      <c r="U1" s="4"/>
      <c r="V1" s="4"/>
      <c r="W1" s="4"/>
      <c r="X1" s="107"/>
    </row>
    <row r="2" ht="21.0" customHeight="1">
      <c r="A2" s="5">
        <v>12.0</v>
      </c>
      <c r="B2" s="6">
        <v>1.0</v>
      </c>
      <c r="C2" s="5">
        <v>1.0</v>
      </c>
      <c r="D2" s="108" t="s">
        <v>7</v>
      </c>
      <c r="E2" s="7" t="s">
        <v>8</v>
      </c>
      <c r="F2" s="109" t="str">
        <f t="shared" ref="F2:G2" si="1">TRANSLATE(D2,"lzh","vi")</f>
        <v>#NAME?</v>
      </c>
      <c r="G2" s="109" t="str">
        <f t="shared" si="1"/>
        <v>#NAME?</v>
      </c>
      <c r="X2" s="110"/>
    </row>
    <row r="3" ht="21.0" customHeight="1">
      <c r="A3" s="5">
        <v>1.0</v>
      </c>
      <c r="B3" s="6">
        <v>2.0</v>
      </c>
      <c r="C3" s="6">
        <v>1.0</v>
      </c>
      <c r="D3" s="108" t="s">
        <v>9</v>
      </c>
      <c r="E3" s="9" t="s">
        <v>9</v>
      </c>
      <c r="F3" s="109" t="str">
        <f t="shared" ref="F3:G3" si="2">TRANSLATE(D3,"lzh","vi")</f>
        <v>#NAME?</v>
      </c>
      <c r="G3" s="109" t="str">
        <f t="shared" si="2"/>
        <v>#NAME?</v>
      </c>
      <c r="X3" s="110"/>
    </row>
    <row r="4" ht="21.0" customHeight="1">
      <c r="A4" s="5">
        <v>1.0</v>
      </c>
      <c r="B4" s="6">
        <v>3.0</v>
      </c>
      <c r="C4" s="6">
        <v>1.0</v>
      </c>
      <c r="D4" s="108" t="s">
        <v>10</v>
      </c>
      <c r="E4" s="9" t="s">
        <v>10</v>
      </c>
      <c r="F4" s="109" t="str">
        <f t="shared" ref="F4:G4" si="3">TRANSLATE(D4,"lzh","vi")</f>
        <v>#NAME?</v>
      </c>
      <c r="G4" s="109" t="str">
        <f t="shared" si="3"/>
        <v>#NAME?</v>
      </c>
      <c r="X4" s="110"/>
    </row>
    <row r="5" ht="21.0" customHeight="1">
      <c r="A5" s="5">
        <v>18.0</v>
      </c>
      <c r="B5" s="6">
        <v>4.0</v>
      </c>
      <c r="C5" s="6">
        <v>1.0</v>
      </c>
      <c r="D5" s="108" t="s">
        <v>11</v>
      </c>
      <c r="E5" s="9" t="s">
        <v>12</v>
      </c>
      <c r="F5" s="109" t="str">
        <f t="shared" ref="F5:G5" si="4">TRANSLATE(D5,"lzh","vi")</f>
        <v>#NAME?</v>
      </c>
      <c r="G5" s="109" t="str">
        <f t="shared" si="4"/>
        <v>#NAME?</v>
      </c>
      <c r="X5" s="110"/>
    </row>
    <row r="6" ht="21.0" customHeight="1">
      <c r="A6" s="5">
        <v>18.0</v>
      </c>
      <c r="B6" s="6">
        <v>5.0</v>
      </c>
      <c r="C6" s="6">
        <v>1.0</v>
      </c>
      <c r="D6" s="108" t="s">
        <v>13</v>
      </c>
      <c r="E6" s="9" t="s">
        <v>14</v>
      </c>
      <c r="F6" s="109" t="str">
        <f t="shared" ref="F6:G6" si="5">TRANSLATE(D6,"lzh","vi")</f>
        <v>#NAME?</v>
      </c>
      <c r="G6" s="109" t="str">
        <f t="shared" si="5"/>
        <v>#NAME?</v>
      </c>
      <c r="X6" s="110"/>
    </row>
    <row r="7" ht="21.0" customHeight="1">
      <c r="A7" s="5">
        <v>18.0</v>
      </c>
      <c r="B7" s="6">
        <v>6.0</v>
      </c>
      <c r="C7" s="6">
        <v>1.0</v>
      </c>
      <c r="D7" s="111" t="s">
        <v>15</v>
      </c>
      <c r="E7" s="11" t="s">
        <v>16</v>
      </c>
      <c r="F7" s="109" t="str">
        <f t="shared" ref="F7:G7" si="6">TRANSLATE(D7,"lzh","vi")</f>
        <v>#NAME?</v>
      </c>
      <c r="G7" s="109" t="str">
        <f t="shared" si="6"/>
        <v>#NAME?</v>
      </c>
      <c r="X7" s="110"/>
    </row>
    <row r="8" ht="21.0" customHeight="1">
      <c r="A8" s="5">
        <v>18.0</v>
      </c>
      <c r="B8" s="6">
        <v>6.0</v>
      </c>
      <c r="C8" s="6">
        <v>1.0</v>
      </c>
      <c r="D8" s="108" t="s">
        <v>17</v>
      </c>
      <c r="E8" s="9" t="s">
        <v>18</v>
      </c>
      <c r="F8" s="109" t="str">
        <f t="shared" ref="F8:G8" si="7">TRANSLATE(D8,"lzh","vi")</f>
        <v>#NAME?</v>
      </c>
      <c r="G8" s="109" t="str">
        <f t="shared" si="7"/>
        <v>#NAME?</v>
      </c>
      <c r="X8" s="110"/>
    </row>
    <row r="9" ht="21.0" customHeight="1">
      <c r="A9" s="5">
        <v>19.0</v>
      </c>
      <c r="B9" s="6">
        <v>8.0</v>
      </c>
      <c r="C9" s="6">
        <v>1.0</v>
      </c>
      <c r="D9" s="108" t="s">
        <v>19</v>
      </c>
      <c r="E9" s="9" t="s">
        <v>20</v>
      </c>
      <c r="F9" s="109" t="str">
        <f t="shared" ref="F9:G9" si="8">TRANSLATE(D9,"lzh","vi")</f>
        <v>#NAME?</v>
      </c>
      <c r="G9" s="109" t="str">
        <f t="shared" si="8"/>
        <v>#NAME?</v>
      </c>
      <c r="X9" s="110"/>
    </row>
    <row r="10" ht="21.0" customHeight="1">
      <c r="A10" s="5">
        <v>1.0</v>
      </c>
      <c r="B10" s="6">
        <v>2.0</v>
      </c>
      <c r="C10" s="6">
        <v>1.0</v>
      </c>
      <c r="D10" s="108" t="s">
        <v>21</v>
      </c>
      <c r="E10" s="9" t="s">
        <v>21</v>
      </c>
      <c r="F10" s="109" t="str">
        <f t="shared" ref="F10:G10" si="9">TRANSLATE(D10,"lzh","vi")</f>
        <v>#NAME?</v>
      </c>
      <c r="G10" s="109" t="str">
        <f t="shared" si="9"/>
        <v>#NAME?</v>
      </c>
      <c r="X10" s="110"/>
    </row>
    <row r="11" ht="21.0" customHeight="1">
      <c r="A11" s="5">
        <v>1.0</v>
      </c>
      <c r="B11" s="6">
        <v>2.0</v>
      </c>
      <c r="C11" s="6">
        <v>1.0</v>
      </c>
      <c r="D11" s="108" t="s">
        <v>22</v>
      </c>
      <c r="E11" s="7" t="s">
        <v>22</v>
      </c>
      <c r="F11" s="109" t="str">
        <f t="shared" ref="F11:G11" si="10">TRANSLATE(D11,"lzh","vi")</f>
        <v>#NAME?</v>
      </c>
      <c r="G11" s="109" t="str">
        <f t="shared" si="10"/>
        <v>#NAME?</v>
      </c>
      <c r="X11" s="110"/>
    </row>
    <row r="12" ht="21.0" customHeight="1">
      <c r="A12" s="5">
        <v>27.0</v>
      </c>
      <c r="B12" s="6">
        <v>11.0</v>
      </c>
      <c r="C12" s="5">
        <v>1.0</v>
      </c>
      <c r="D12" s="108" t="s">
        <v>23</v>
      </c>
      <c r="E12" s="7" t="s">
        <v>24</v>
      </c>
      <c r="F12" s="109" t="str">
        <f t="shared" ref="F12:G12" si="11">TRANSLATE(D12,"lzh","vi")</f>
        <v>#NAME?</v>
      </c>
      <c r="G12" s="109" t="str">
        <f t="shared" si="11"/>
        <v>#NAME?</v>
      </c>
      <c r="X12" s="110"/>
    </row>
    <row r="13" ht="21.0" customHeight="1">
      <c r="A13" s="5">
        <v>31.0</v>
      </c>
      <c r="B13" s="6">
        <v>9.0</v>
      </c>
      <c r="C13" s="5">
        <v>1.0</v>
      </c>
      <c r="D13" s="108" t="s">
        <v>25</v>
      </c>
      <c r="E13" s="7" t="s">
        <v>26</v>
      </c>
      <c r="F13" s="109" t="str">
        <f t="shared" ref="F13:G13" si="12">TRANSLATE(D13,"lzh","vi")</f>
        <v>#NAME?</v>
      </c>
      <c r="G13" s="109" t="str">
        <f t="shared" si="12"/>
        <v>#NAME?</v>
      </c>
      <c r="X13" s="110"/>
    </row>
    <row r="14" ht="21.0" customHeight="1">
      <c r="A14" s="12">
        <v>32.0</v>
      </c>
      <c r="B14" s="13">
        <v>10001.0</v>
      </c>
      <c r="C14" s="12">
        <v>1.0</v>
      </c>
      <c r="D14" s="111" t="s">
        <v>27</v>
      </c>
      <c r="E14" s="10" t="s">
        <v>28</v>
      </c>
      <c r="F14" s="109" t="str">
        <f t="shared" ref="F14:G14" si="13">TRANSLATE(D14,"lzh","vi")</f>
        <v>#NAME?</v>
      </c>
      <c r="G14" s="109" t="str">
        <f t="shared" si="13"/>
        <v>#NAME?</v>
      </c>
      <c r="X14" s="112"/>
    </row>
    <row r="15" ht="21.0" customHeight="1">
      <c r="A15" s="12">
        <v>33.0</v>
      </c>
      <c r="B15" s="13">
        <v>10002.0</v>
      </c>
      <c r="C15" s="12">
        <v>1.0</v>
      </c>
      <c r="D15" s="111" t="s">
        <v>29</v>
      </c>
      <c r="E15" s="10" t="s">
        <v>30</v>
      </c>
      <c r="F15" s="109" t="str">
        <f t="shared" ref="F15:G15" si="14">TRANSLATE(D15,"lzh","vi")</f>
        <v>#NAME?</v>
      </c>
      <c r="G15" s="109" t="str">
        <f t="shared" si="14"/>
        <v>#NAME?</v>
      </c>
      <c r="X15" s="112"/>
    </row>
    <row r="16" ht="21.0" customHeight="1">
      <c r="A16" s="5">
        <v>1.0</v>
      </c>
      <c r="B16" s="6">
        <v>15.0</v>
      </c>
      <c r="C16" s="6">
        <v>1.0</v>
      </c>
      <c r="D16" s="108" t="s">
        <v>31</v>
      </c>
      <c r="E16" s="9" t="s">
        <v>31</v>
      </c>
      <c r="F16" s="109" t="str">
        <f t="shared" ref="F16:G16" si="15">TRANSLATE(D16,"lzh","vi")</f>
        <v>#NAME?</v>
      </c>
      <c r="G16" s="109" t="str">
        <f t="shared" si="15"/>
        <v>#NAME?</v>
      </c>
      <c r="X16" s="110"/>
    </row>
    <row r="17" ht="21.0" customHeight="1">
      <c r="A17" s="12">
        <v>18.0</v>
      </c>
      <c r="B17" s="13">
        <v>6.0</v>
      </c>
      <c r="C17" s="13">
        <v>1.0</v>
      </c>
      <c r="D17" s="111" t="s">
        <v>32</v>
      </c>
      <c r="E17" s="11" t="s">
        <v>33</v>
      </c>
      <c r="F17" s="109" t="str">
        <f t="shared" ref="F17:G17" si="16">TRANSLATE(D17,"lzh","vi")</f>
        <v>#NAME?</v>
      </c>
      <c r="G17" s="109" t="str">
        <f t="shared" si="16"/>
        <v>#NAME?</v>
      </c>
      <c r="X17" s="112"/>
    </row>
    <row r="18" ht="21.0" customHeight="1">
      <c r="A18" s="5">
        <v>35.0</v>
      </c>
      <c r="B18" s="6">
        <v>1.0</v>
      </c>
      <c r="C18" s="5">
        <v>1.0</v>
      </c>
      <c r="D18" s="108" t="s">
        <v>34</v>
      </c>
      <c r="E18" s="7" t="s">
        <v>35</v>
      </c>
      <c r="F18" s="109" t="str">
        <f t="shared" ref="F18:G18" si="17">TRANSLATE(D18,"lzh","vi")</f>
        <v>#NAME?</v>
      </c>
      <c r="G18" s="109" t="str">
        <f t="shared" si="17"/>
        <v>#NAME?</v>
      </c>
      <c r="X18" s="110"/>
    </row>
    <row r="19" ht="21.0" customHeight="1">
      <c r="A19" s="5">
        <v>36.0</v>
      </c>
      <c r="B19" s="6">
        <v>1.0</v>
      </c>
      <c r="C19" s="5">
        <v>1.0</v>
      </c>
      <c r="D19" s="108" t="s">
        <v>36</v>
      </c>
      <c r="E19" s="7" t="s">
        <v>37</v>
      </c>
      <c r="F19" s="109" t="str">
        <f t="shared" ref="F19:G19" si="18">TRANSLATE(D19,"lzh","vi")</f>
        <v>#NAME?</v>
      </c>
      <c r="G19" s="109" t="str">
        <f t="shared" si="18"/>
        <v>#NAME?</v>
      </c>
      <c r="X19" s="110"/>
    </row>
    <row r="20" ht="21.0" customHeight="1">
      <c r="A20" s="5">
        <v>36.0</v>
      </c>
      <c r="B20" s="6">
        <v>1.0</v>
      </c>
      <c r="C20" s="5">
        <v>1.0</v>
      </c>
      <c r="D20" s="108" t="s">
        <v>38</v>
      </c>
      <c r="E20" s="7" t="s">
        <v>37</v>
      </c>
      <c r="F20" s="109" t="str">
        <f t="shared" ref="F20:G20" si="19">TRANSLATE(D20,"lzh","vi")</f>
        <v>#NAME?</v>
      </c>
      <c r="G20" s="109" t="str">
        <f t="shared" si="19"/>
        <v>#NAME?</v>
      </c>
      <c r="X20" s="110"/>
    </row>
    <row r="21" ht="21.0" customHeight="1">
      <c r="A21" s="5">
        <v>36.0</v>
      </c>
      <c r="B21" s="6">
        <v>1.0</v>
      </c>
      <c r="C21" s="5">
        <v>1.0</v>
      </c>
      <c r="D21" s="108" t="s">
        <v>39</v>
      </c>
      <c r="E21" s="7" t="s">
        <v>37</v>
      </c>
      <c r="F21" s="109" t="str">
        <f t="shared" ref="F21:G21" si="20">TRANSLATE(D21,"lzh","vi")</f>
        <v>#NAME?</v>
      </c>
      <c r="G21" s="109" t="str">
        <f t="shared" si="20"/>
        <v>#NAME?</v>
      </c>
      <c r="X21" s="110"/>
    </row>
    <row r="22" ht="21.0" customHeight="1">
      <c r="A22" s="5">
        <v>36.0</v>
      </c>
      <c r="B22" s="6">
        <v>1.0</v>
      </c>
      <c r="C22" s="5">
        <v>1.0</v>
      </c>
      <c r="D22" s="108" t="s">
        <v>40</v>
      </c>
      <c r="E22" s="7" t="s">
        <v>37</v>
      </c>
      <c r="F22" s="109" t="str">
        <f t="shared" ref="F22:G22" si="21">TRANSLATE(D22,"lzh","vi")</f>
        <v>#NAME?</v>
      </c>
      <c r="G22" s="109" t="str">
        <f t="shared" si="21"/>
        <v>#NAME?</v>
      </c>
      <c r="X22" s="110"/>
    </row>
    <row r="23" ht="21.0" customHeight="1">
      <c r="A23" s="5">
        <v>36.0</v>
      </c>
      <c r="B23" s="6">
        <v>1.0</v>
      </c>
      <c r="C23" s="5">
        <v>1.0</v>
      </c>
      <c r="D23" s="108" t="s">
        <v>41</v>
      </c>
      <c r="E23" s="7" t="s">
        <v>37</v>
      </c>
      <c r="F23" s="109" t="str">
        <f t="shared" ref="F23:G23" si="22">TRANSLATE(D23,"lzh","vi")</f>
        <v>#NAME?</v>
      </c>
      <c r="G23" s="109" t="str">
        <f t="shared" si="22"/>
        <v>#NAME?</v>
      </c>
      <c r="X23" s="110"/>
    </row>
    <row r="24" ht="21.0" customHeight="1">
      <c r="A24" s="5">
        <v>36.0</v>
      </c>
      <c r="B24" s="6">
        <v>1.0</v>
      </c>
      <c r="C24" s="5">
        <v>1.0</v>
      </c>
      <c r="D24" s="108" t="s">
        <v>42</v>
      </c>
      <c r="E24" s="7" t="s">
        <v>37</v>
      </c>
      <c r="F24" s="109" t="str">
        <f t="shared" ref="F24:G24" si="23">TRANSLATE(D24,"lzh","vi")</f>
        <v>#NAME?</v>
      </c>
      <c r="G24" s="109" t="str">
        <f t="shared" si="23"/>
        <v>#NAME?</v>
      </c>
      <c r="X24" s="110"/>
    </row>
    <row r="25" ht="21.0" customHeight="1">
      <c r="A25" s="5">
        <v>36.0</v>
      </c>
      <c r="B25" s="6">
        <v>1.0</v>
      </c>
      <c r="C25" s="5">
        <v>1.0</v>
      </c>
      <c r="D25" s="108" t="s">
        <v>43</v>
      </c>
      <c r="E25" s="7" t="s">
        <v>37</v>
      </c>
      <c r="F25" s="109" t="str">
        <f t="shared" ref="F25:G25" si="24">TRANSLATE(D25,"lzh","vi")</f>
        <v>#NAME?</v>
      </c>
      <c r="G25" s="109" t="str">
        <f t="shared" si="24"/>
        <v>#NAME?</v>
      </c>
      <c r="X25" s="110"/>
    </row>
    <row r="26" ht="21.0" customHeight="1">
      <c r="A26" s="5">
        <v>36.0</v>
      </c>
      <c r="B26" s="6">
        <v>1.0</v>
      </c>
      <c r="C26" s="5">
        <v>1.0</v>
      </c>
      <c r="D26" s="108" t="s">
        <v>44</v>
      </c>
      <c r="E26" s="7" t="s">
        <v>37</v>
      </c>
      <c r="F26" s="109" t="str">
        <f t="shared" ref="F26:G26" si="25">TRANSLATE(D26,"lzh","vi")</f>
        <v>#NAME?</v>
      </c>
      <c r="G26" s="109" t="str">
        <f t="shared" si="25"/>
        <v>#NAME?</v>
      </c>
      <c r="X26" s="110"/>
    </row>
    <row r="27" ht="21.0" customHeight="1">
      <c r="A27" s="5">
        <v>36.0</v>
      </c>
      <c r="B27" s="6">
        <v>1.0</v>
      </c>
      <c r="C27" s="5">
        <v>1.0</v>
      </c>
      <c r="D27" s="108" t="s">
        <v>45</v>
      </c>
      <c r="E27" s="7" t="s">
        <v>37</v>
      </c>
      <c r="F27" s="109" t="str">
        <f t="shared" ref="F27:G27" si="26">TRANSLATE(D27,"lzh","vi")</f>
        <v>#NAME?</v>
      </c>
      <c r="G27" s="109" t="str">
        <f t="shared" si="26"/>
        <v>#NAME?</v>
      </c>
      <c r="X27" s="110"/>
    </row>
    <row r="28" ht="21.0" customHeight="1">
      <c r="A28" s="5">
        <v>37.0</v>
      </c>
      <c r="B28" s="6">
        <v>1.0</v>
      </c>
      <c r="C28" s="5">
        <v>1.0</v>
      </c>
      <c r="D28" s="108" t="s">
        <v>46</v>
      </c>
      <c r="E28" s="7" t="s">
        <v>47</v>
      </c>
      <c r="F28" s="109" t="str">
        <f t="shared" ref="F28:G28" si="27">TRANSLATE(D28,"lzh","vi")</f>
        <v>#NAME?</v>
      </c>
      <c r="G28" s="109" t="str">
        <f t="shared" si="27"/>
        <v>#NAME?</v>
      </c>
      <c r="X28" s="110"/>
    </row>
    <row r="29" ht="21.0" customHeight="1">
      <c r="A29" s="5">
        <v>38.0</v>
      </c>
      <c r="B29" s="6">
        <v>1.0</v>
      </c>
      <c r="C29" s="5">
        <v>1.0</v>
      </c>
      <c r="D29" s="108" t="s">
        <v>48</v>
      </c>
      <c r="E29" s="7" t="s">
        <v>49</v>
      </c>
      <c r="F29" s="109" t="str">
        <f t="shared" ref="F29:G29" si="28">TRANSLATE(D29,"lzh","vi")</f>
        <v>#NAME?</v>
      </c>
      <c r="G29" s="109" t="str">
        <f t="shared" si="28"/>
        <v>#NAME?</v>
      </c>
      <c r="X29" s="110"/>
    </row>
    <row r="30" ht="21.0" customHeight="1">
      <c r="A30" s="5">
        <v>38.0</v>
      </c>
      <c r="B30" s="6">
        <v>1.0</v>
      </c>
      <c r="C30" s="5">
        <v>1.0</v>
      </c>
      <c r="D30" s="108" t="s">
        <v>50</v>
      </c>
      <c r="E30" s="7" t="s">
        <v>49</v>
      </c>
      <c r="F30" s="109" t="str">
        <f t="shared" ref="F30:G30" si="29">TRANSLATE(D30,"lzh","vi")</f>
        <v>#NAME?</v>
      </c>
      <c r="G30" s="109" t="str">
        <f t="shared" si="29"/>
        <v>#NAME?</v>
      </c>
      <c r="X30" s="110"/>
    </row>
    <row r="31" ht="21.0" customHeight="1">
      <c r="A31" s="5">
        <v>38.0</v>
      </c>
      <c r="B31" s="6">
        <v>1.0</v>
      </c>
      <c r="C31" s="5">
        <v>1.0</v>
      </c>
      <c r="D31" s="108" t="s">
        <v>51</v>
      </c>
      <c r="E31" s="7" t="s">
        <v>52</v>
      </c>
      <c r="F31" s="109" t="str">
        <f t="shared" ref="F31:G31" si="30">TRANSLATE(D31,"lzh","vi")</f>
        <v>#NAME?</v>
      </c>
      <c r="G31" s="109" t="str">
        <f t="shared" si="30"/>
        <v>#NAME?</v>
      </c>
      <c r="X31" s="110"/>
    </row>
    <row r="32" ht="21.0" customHeight="1">
      <c r="A32" s="5">
        <v>39.0</v>
      </c>
      <c r="B32" s="6">
        <v>7.0</v>
      </c>
      <c r="C32" s="6">
        <v>1.0</v>
      </c>
      <c r="D32" s="108" t="s">
        <v>53</v>
      </c>
      <c r="E32" s="9" t="s">
        <v>54</v>
      </c>
      <c r="F32" s="109" t="str">
        <f t="shared" ref="F32:G32" si="31">TRANSLATE(D32,"lzh","vi")</f>
        <v>#NAME?</v>
      </c>
      <c r="G32" s="109" t="str">
        <f t="shared" si="31"/>
        <v>#NAME?</v>
      </c>
      <c r="X32" s="110"/>
    </row>
    <row r="33" ht="21.0" customHeight="1">
      <c r="A33" s="5">
        <v>40.0</v>
      </c>
      <c r="B33" s="6">
        <v>10032.0</v>
      </c>
      <c r="C33" s="6">
        <v>1.0</v>
      </c>
      <c r="D33" s="111" t="s">
        <v>55</v>
      </c>
      <c r="E33" s="11" t="s">
        <v>56</v>
      </c>
      <c r="F33" s="109" t="str">
        <f t="shared" ref="F33:G33" si="32">TRANSLATE(D33,"lzh","vi")</f>
        <v>#NAME?</v>
      </c>
      <c r="G33" s="109" t="str">
        <f t="shared" si="32"/>
        <v>#NAME?</v>
      </c>
      <c r="X33" s="110"/>
    </row>
    <row r="34" ht="21.0" customHeight="1">
      <c r="A34" s="5">
        <v>39.0</v>
      </c>
      <c r="B34" s="6">
        <v>10017.0</v>
      </c>
      <c r="C34" s="6">
        <v>1.0</v>
      </c>
      <c r="D34" s="108" t="s">
        <v>57</v>
      </c>
      <c r="E34" s="7" t="s">
        <v>58</v>
      </c>
      <c r="F34" s="109" t="str">
        <f t="shared" ref="F34:G34" si="33">TRANSLATE(D34,"lzh","vi")</f>
        <v>#NAME?</v>
      </c>
      <c r="G34" s="109" t="str">
        <f t="shared" si="33"/>
        <v>#NAME?</v>
      </c>
    </row>
    <row r="35" ht="21.0" customHeight="1">
      <c r="A35" s="5">
        <v>42.0</v>
      </c>
      <c r="B35" s="6">
        <v>10018.0</v>
      </c>
      <c r="C35" s="6">
        <v>1.0</v>
      </c>
      <c r="D35" s="108" t="s">
        <v>57</v>
      </c>
      <c r="E35" s="7" t="s">
        <v>59</v>
      </c>
      <c r="F35" s="109" t="str">
        <f t="shared" ref="F35:G35" si="34">TRANSLATE(D35,"lzh","vi")</f>
        <v>#NAME?</v>
      </c>
      <c r="G35" s="109" t="str">
        <f t="shared" si="34"/>
        <v>#NAME?</v>
      </c>
    </row>
    <row r="36" ht="21.0" customHeight="1">
      <c r="A36" s="5">
        <v>39.0</v>
      </c>
      <c r="B36" s="6">
        <v>1.0</v>
      </c>
      <c r="C36" s="6">
        <v>1.0</v>
      </c>
      <c r="D36" s="108" t="s">
        <v>60</v>
      </c>
      <c r="E36" s="7" t="s">
        <v>61</v>
      </c>
      <c r="F36" s="109" t="str">
        <f t="shared" ref="F36:G36" si="35">TRANSLATE(D36,"lzh","vi")</f>
        <v>#NAME?</v>
      </c>
      <c r="G36" s="109" t="str">
        <f t="shared" si="35"/>
        <v>#NAME?</v>
      </c>
    </row>
    <row r="37" ht="21.0" customHeight="1">
      <c r="A37" s="5">
        <v>39.0</v>
      </c>
      <c r="B37" s="6">
        <v>1.0</v>
      </c>
      <c r="C37" s="6">
        <v>1.0</v>
      </c>
      <c r="D37" s="108" t="s">
        <v>62</v>
      </c>
      <c r="E37" s="7" t="s">
        <v>63</v>
      </c>
      <c r="F37" s="109" t="str">
        <f t="shared" ref="F37:G37" si="36">TRANSLATE(D37,"lzh","vi")</f>
        <v>#NAME?</v>
      </c>
      <c r="G37" s="109" t="str">
        <f t="shared" si="36"/>
        <v>#NAME?</v>
      </c>
    </row>
    <row r="38" ht="21.0" customHeight="1">
      <c r="A38" s="5">
        <v>39.0</v>
      </c>
      <c r="B38" s="6">
        <v>1.0</v>
      </c>
      <c r="C38" s="6">
        <v>1.0</v>
      </c>
      <c r="D38" s="108" t="s">
        <v>64</v>
      </c>
      <c r="E38" s="7" t="s">
        <v>65</v>
      </c>
      <c r="F38" s="109" t="str">
        <f t="shared" ref="F38:G38" si="37">TRANSLATE(D38,"lzh","vi")</f>
        <v>#NAME?</v>
      </c>
      <c r="G38" s="109" t="str">
        <f t="shared" si="37"/>
        <v>#NAME?</v>
      </c>
    </row>
    <row r="39" ht="21.0" customHeight="1">
      <c r="A39" s="5">
        <v>39.0</v>
      </c>
      <c r="B39" s="6">
        <v>1.0</v>
      </c>
      <c r="C39" s="6">
        <v>1.0</v>
      </c>
      <c r="D39" s="111" t="s">
        <v>66</v>
      </c>
      <c r="E39" s="10" t="s">
        <v>67</v>
      </c>
      <c r="F39" s="109" t="str">
        <f t="shared" ref="F39:G39" si="38">TRANSLATE(D39,"lzh","vi")</f>
        <v>#NAME?</v>
      </c>
      <c r="G39" s="109" t="str">
        <f t="shared" si="38"/>
        <v>#NAME?</v>
      </c>
    </row>
    <row r="40" ht="21.0" customHeight="1">
      <c r="A40" s="5">
        <v>38.0</v>
      </c>
      <c r="B40" s="6">
        <v>1.0</v>
      </c>
      <c r="C40" s="5">
        <v>1.0</v>
      </c>
      <c r="D40" s="108" t="s">
        <v>68</v>
      </c>
      <c r="E40" s="7" t="s">
        <v>69</v>
      </c>
      <c r="F40" s="109" t="str">
        <f t="shared" ref="F40:G40" si="39">TRANSLATE(D40,"lzh","vi")</f>
        <v>#NAME?</v>
      </c>
      <c r="G40" s="109" t="str">
        <f t="shared" si="39"/>
        <v>#NAME?</v>
      </c>
      <c r="X40" s="110"/>
    </row>
    <row r="41" ht="21.0" customHeight="1">
      <c r="A41" s="5">
        <v>47.0</v>
      </c>
      <c r="B41" s="6">
        <v>1.0</v>
      </c>
      <c r="C41" s="6">
        <v>1.0</v>
      </c>
      <c r="D41" s="111" t="s">
        <v>70</v>
      </c>
      <c r="E41" s="10" t="s">
        <v>71</v>
      </c>
      <c r="F41" s="109" t="str">
        <f t="shared" ref="F41:G41" si="40">TRANSLATE(D41,"lzh","vi")</f>
        <v>#NAME?</v>
      </c>
      <c r="G41" s="109" t="str">
        <f t="shared" si="40"/>
        <v>#NAME?</v>
      </c>
    </row>
    <row r="42" ht="21.0" customHeight="1">
      <c r="A42" s="5">
        <v>39.0</v>
      </c>
      <c r="B42" s="6">
        <v>11.0</v>
      </c>
      <c r="C42" s="5">
        <v>1.0</v>
      </c>
      <c r="D42" s="108" t="s">
        <v>72</v>
      </c>
      <c r="E42" s="7" t="s">
        <v>73</v>
      </c>
      <c r="F42" s="109" t="str">
        <f t="shared" ref="F42:G42" si="41">TRANSLATE(D42,"lzh","vi")</f>
        <v>#NAME?</v>
      </c>
      <c r="G42" s="109" t="str">
        <f t="shared" si="41"/>
        <v>#NAME?</v>
      </c>
      <c r="X42" s="110"/>
    </row>
    <row r="43" ht="21.0" customHeight="1">
      <c r="A43" s="5">
        <v>39.0</v>
      </c>
      <c r="B43" s="6">
        <v>1.0</v>
      </c>
      <c r="C43" s="6">
        <v>1.0</v>
      </c>
      <c r="D43" s="108" t="s">
        <v>74</v>
      </c>
      <c r="E43" s="7" t="s">
        <v>75</v>
      </c>
      <c r="F43" s="109" t="str">
        <f t="shared" ref="F43:G43" si="42">TRANSLATE(D43,"lzh","vi")</f>
        <v>#NAME?</v>
      </c>
      <c r="G43" s="109" t="str">
        <f t="shared" si="42"/>
        <v>#NAME?</v>
      </c>
    </row>
    <row r="44" ht="21.0" customHeight="1">
      <c r="A44" s="5">
        <v>39.0</v>
      </c>
      <c r="B44" s="6">
        <v>1.0</v>
      </c>
      <c r="C44" s="6">
        <v>1.0</v>
      </c>
      <c r="D44" s="111" t="s">
        <v>76</v>
      </c>
      <c r="E44" s="10" t="s">
        <v>77</v>
      </c>
      <c r="F44" s="109" t="str">
        <f t="shared" ref="F44:G44" si="43">TRANSLATE(D44,"lzh","vi")</f>
        <v>#NAME?</v>
      </c>
      <c r="G44" s="109" t="str">
        <f t="shared" si="43"/>
        <v>#NAME?</v>
      </c>
    </row>
    <row r="45" ht="21.0" customHeight="1">
      <c r="A45" s="5">
        <v>39.0</v>
      </c>
      <c r="B45" s="6">
        <v>14001.0</v>
      </c>
      <c r="C45" s="6">
        <v>1.0</v>
      </c>
      <c r="D45" s="111" t="s">
        <v>78</v>
      </c>
      <c r="E45" s="10" t="s">
        <v>79</v>
      </c>
      <c r="F45" s="109" t="str">
        <f t="shared" ref="F45:G45" si="44">TRANSLATE(D45,"lzh","vi")</f>
        <v>#NAME?</v>
      </c>
      <c r="G45" s="109" t="str">
        <f t="shared" si="44"/>
        <v>#NAME?</v>
      </c>
    </row>
    <row r="46" ht="21.0" customHeight="1">
      <c r="A46" s="5">
        <v>39.0</v>
      </c>
      <c r="B46" s="6">
        <v>14002.0</v>
      </c>
      <c r="C46" s="6">
        <v>1.0</v>
      </c>
      <c r="D46" s="111" t="s">
        <v>80</v>
      </c>
      <c r="E46" s="10" t="s">
        <v>81</v>
      </c>
      <c r="F46" s="109" t="str">
        <f t="shared" ref="F46:G46" si="45">TRANSLATE(D46,"lzh","vi")</f>
        <v>#NAME?</v>
      </c>
      <c r="G46" s="109" t="str">
        <f t="shared" si="45"/>
        <v>#NAME?</v>
      </c>
    </row>
    <row r="47" ht="21.0" customHeight="1">
      <c r="A47" s="5">
        <v>39.0</v>
      </c>
      <c r="B47" s="6">
        <v>14003.0</v>
      </c>
      <c r="C47" s="6">
        <v>1.0</v>
      </c>
      <c r="D47" s="111" t="s">
        <v>82</v>
      </c>
      <c r="E47" s="10" t="s">
        <v>83</v>
      </c>
      <c r="F47" s="109" t="str">
        <f t="shared" ref="F47:G47" si="46">TRANSLATE(D47,"lzh","vi")</f>
        <v>#NAME?</v>
      </c>
      <c r="G47" s="109" t="str">
        <f t="shared" si="46"/>
        <v>#NAME?</v>
      </c>
    </row>
    <row r="48" ht="21.0" customHeight="1">
      <c r="A48" s="5">
        <v>39.0</v>
      </c>
      <c r="B48" s="6">
        <v>14004.0</v>
      </c>
      <c r="C48" s="6">
        <v>1.0</v>
      </c>
      <c r="D48" s="111" t="s">
        <v>84</v>
      </c>
      <c r="E48" s="10" t="s">
        <v>85</v>
      </c>
      <c r="F48" s="109" t="str">
        <f t="shared" ref="F48:G48" si="47">TRANSLATE(D48,"lzh","vi")</f>
        <v>#NAME?</v>
      </c>
      <c r="G48" s="109" t="str">
        <f t="shared" si="47"/>
        <v>#NAME?</v>
      </c>
    </row>
    <row r="49" ht="21.0" customHeight="1">
      <c r="A49" s="5">
        <v>39.0</v>
      </c>
      <c r="B49" s="6">
        <v>14005.0</v>
      </c>
      <c r="C49" s="6">
        <v>1.0</v>
      </c>
      <c r="D49" s="111" t="s">
        <v>86</v>
      </c>
      <c r="E49" s="10" t="s">
        <v>87</v>
      </c>
      <c r="F49" s="109" t="str">
        <f t="shared" ref="F49:G49" si="48">TRANSLATE(D49,"lzh","vi")</f>
        <v>#NAME?</v>
      </c>
      <c r="G49" s="109" t="str">
        <f t="shared" si="48"/>
        <v>#NAME?</v>
      </c>
    </row>
    <row r="50" ht="21.0" customHeight="1">
      <c r="A50" s="5">
        <v>39.0</v>
      </c>
      <c r="B50" s="6">
        <v>14006.0</v>
      </c>
      <c r="C50" s="6">
        <v>1.0</v>
      </c>
      <c r="D50" s="111" t="s">
        <v>88</v>
      </c>
      <c r="E50" s="10" t="s">
        <v>89</v>
      </c>
      <c r="F50" s="109" t="str">
        <f t="shared" ref="F50:G50" si="49">TRANSLATE(D50,"lzh","vi")</f>
        <v>#NAME?</v>
      </c>
      <c r="G50" s="109" t="str">
        <f t="shared" si="49"/>
        <v>#NAME?</v>
      </c>
    </row>
    <row r="51" ht="21.0" customHeight="1">
      <c r="A51" s="5">
        <v>39.0</v>
      </c>
      <c r="B51" s="6">
        <v>14007.0</v>
      </c>
      <c r="C51" s="6">
        <v>1.0</v>
      </c>
      <c r="D51" s="111" t="s">
        <v>90</v>
      </c>
      <c r="E51" s="10" t="s">
        <v>91</v>
      </c>
      <c r="F51" s="109" t="str">
        <f t="shared" ref="F51:G51" si="50">TRANSLATE(D51,"lzh","vi")</f>
        <v>#NAME?</v>
      </c>
      <c r="G51" s="109" t="str">
        <f t="shared" si="50"/>
        <v>#NAME?</v>
      </c>
    </row>
    <row r="52" ht="21.0" customHeight="1">
      <c r="A52" s="5">
        <v>39.0</v>
      </c>
      <c r="B52" s="6">
        <v>14008.0</v>
      </c>
      <c r="C52" s="6">
        <v>1.0</v>
      </c>
      <c r="D52" s="111" t="s">
        <v>92</v>
      </c>
      <c r="E52" s="10" t="s">
        <v>93</v>
      </c>
      <c r="F52" s="109" t="str">
        <f t="shared" ref="F52:G52" si="51">TRANSLATE(D52,"lzh","vi")</f>
        <v>#NAME?</v>
      </c>
      <c r="G52" s="109" t="str">
        <f t="shared" si="51"/>
        <v>#NAME?</v>
      </c>
    </row>
    <row r="53" ht="21.0" customHeight="1">
      <c r="A53" s="5">
        <v>39.0</v>
      </c>
      <c r="B53" s="6">
        <v>14009.0</v>
      </c>
      <c r="C53" s="6">
        <v>1.0</v>
      </c>
      <c r="D53" s="111" t="s">
        <v>94</v>
      </c>
      <c r="E53" s="10" t="s">
        <v>95</v>
      </c>
      <c r="F53" s="109" t="str">
        <f t="shared" ref="F53:G53" si="52">TRANSLATE(D53,"lzh","vi")</f>
        <v>#NAME?</v>
      </c>
      <c r="G53" s="109" t="str">
        <f t="shared" si="52"/>
        <v>#NAME?</v>
      </c>
    </row>
    <row r="54" ht="21.0" customHeight="1">
      <c r="A54" s="5">
        <v>39.0</v>
      </c>
      <c r="B54" s="6">
        <v>14010.0</v>
      </c>
      <c r="C54" s="6">
        <v>1.0</v>
      </c>
      <c r="D54" s="111" t="s">
        <v>96</v>
      </c>
      <c r="E54" s="10" t="s">
        <v>97</v>
      </c>
      <c r="F54" s="109" t="str">
        <f t="shared" ref="F54:G54" si="53">TRANSLATE(D54,"lzh","vi")</f>
        <v>#NAME?</v>
      </c>
      <c r="G54" s="109" t="str">
        <f t="shared" si="53"/>
        <v>#NAME?</v>
      </c>
    </row>
    <row r="55" ht="21.0" customHeight="1">
      <c r="A55" s="5">
        <v>39.0</v>
      </c>
      <c r="B55" s="6">
        <v>14101.0</v>
      </c>
      <c r="C55" s="6">
        <v>1.0</v>
      </c>
      <c r="D55" s="111" t="s">
        <v>98</v>
      </c>
      <c r="E55" s="10" t="s">
        <v>99</v>
      </c>
      <c r="F55" s="109" t="str">
        <f t="shared" ref="F55:G55" si="54">TRANSLATE(D55,"lzh","vi")</f>
        <v>#NAME?</v>
      </c>
      <c r="G55" s="109" t="str">
        <f t="shared" si="54"/>
        <v>#NAME?</v>
      </c>
    </row>
    <row r="56" ht="21.0" customHeight="1">
      <c r="A56" s="5">
        <v>39.0</v>
      </c>
      <c r="B56" s="6">
        <v>14102.0</v>
      </c>
      <c r="C56" s="6">
        <v>1.0</v>
      </c>
      <c r="D56" s="111" t="s">
        <v>100</v>
      </c>
      <c r="E56" s="10" t="s">
        <v>101</v>
      </c>
      <c r="F56" s="109" t="str">
        <f t="shared" ref="F56:G56" si="55">TRANSLATE(D56,"lzh","vi")</f>
        <v>#NAME?</v>
      </c>
      <c r="G56" s="109" t="str">
        <f t="shared" si="55"/>
        <v>#NAME?</v>
      </c>
    </row>
    <row r="57" ht="21.0" customHeight="1">
      <c r="A57" s="5">
        <v>39.0</v>
      </c>
      <c r="B57" s="6">
        <v>14103.0</v>
      </c>
      <c r="C57" s="6">
        <v>1.0</v>
      </c>
      <c r="D57" s="111" t="s">
        <v>102</v>
      </c>
      <c r="E57" s="10" t="s">
        <v>103</v>
      </c>
      <c r="F57" s="109" t="str">
        <f t="shared" ref="F57:G57" si="56">TRANSLATE(D57,"lzh","vi")</f>
        <v>#NAME?</v>
      </c>
      <c r="G57" s="109" t="str">
        <f t="shared" si="56"/>
        <v>#NAME?</v>
      </c>
    </row>
    <row r="58" ht="21.0" customHeight="1">
      <c r="A58" s="5">
        <v>39.0</v>
      </c>
      <c r="B58" s="6">
        <v>14201.0</v>
      </c>
      <c r="C58" s="6">
        <v>1.0</v>
      </c>
      <c r="D58" s="111" t="s">
        <v>104</v>
      </c>
      <c r="E58" s="10" t="s">
        <v>105</v>
      </c>
      <c r="F58" s="109" t="str">
        <f t="shared" ref="F58:G58" si="57">TRANSLATE(D58,"lzh","vi")</f>
        <v>#NAME?</v>
      </c>
      <c r="G58" s="109" t="str">
        <f t="shared" si="57"/>
        <v>#NAME?</v>
      </c>
    </row>
    <row r="59" ht="21.0" customHeight="1">
      <c r="A59" s="5">
        <v>39.0</v>
      </c>
      <c r="B59" s="6">
        <v>14202.0</v>
      </c>
      <c r="C59" s="6">
        <v>1.0</v>
      </c>
      <c r="D59" s="111" t="s">
        <v>106</v>
      </c>
      <c r="E59" s="10" t="s">
        <v>107</v>
      </c>
      <c r="F59" s="109" t="str">
        <f t="shared" ref="F59:G59" si="58">TRANSLATE(D59,"lzh","vi")</f>
        <v>#NAME?</v>
      </c>
      <c r="G59" s="109" t="str">
        <f t="shared" si="58"/>
        <v>#NAME?</v>
      </c>
    </row>
    <row r="60" ht="21.0" customHeight="1">
      <c r="A60" s="5">
        <v>39.0</v>
      </c>
      <c r="B60" s="6">
        <v>15001.0</v>
      </c>
      <c r="C60" s="5">
        <v>1.0</v>
      </c>
      <c r="D60" s="108" t="s">
        <v>108</v>
      </c>
      <c r="E60" s="7" t="s">
        <v>109</v>
      </c>
      <c r="F60" s="109" t="str">
        <f t="shared" ref="F60:G60" si="59">TRANSLATE(D60,"lzh","vi")</f>
        <v>#NAME?</v>
      </c>
      <c r="G60" s="109" t="str">
        <f t="shared" si="59"/>
        <v>#NAME?</v>
      </c>
    </row>
    <row r="61" ht="21.0" customHeight="1">
      <c r="A61" s="5">
        <v>39.0</v>
      </c>
      <c r="B61" s="6">
        <v>15002.0</v>
      </c>
      <c r="C61" s="5">
        <v>1.0</v>
      </c>
      <c r="D61" s="113" t="s">
        <v>110</v>
      </c>
      <c r="E61" s="7" t="s">
        <v>111</v>
      </c>
      <c r="F61" s="109" t="str">
        <f t="shared" ref="F61:G61" si="60">TRANSLATE(D61,"lzh","vi")</f>
        <v>#NAME?</v>
      </c>
      <c r="G61" s="109" t="str">
        <f t="shared" si="60"/>
        <v>#NAME?</v>
      </c>
    </row>
    <row r="62" ht="21.0" customHeight="1">
      <c r="A62" s="5">
        <v>39.0</v>
      </c>
      <c r="B62" s="6">
        <v>15003.0</v>
      </c>
      <c r="C62" s="5">
        <v>1.0</v>
      </c>
      <c r="D62" s="113" t="s">
        <v>112</v>
      </c>
      <c r="E62" s="7" t="s">
        <v>113</v>
      </c>
      <c r="F62" s="109" t="str">
        <f t="shared" ref="F62:G62" si="61">TRANSLATE(D62,"lzh","vi")</f>
        <v>#NAME?</v>
      </c>
      <c r="G62" s="109" t="str">
        <f t="shared" si="61"/>
        <v>#NAME?</v>
      </c>
    </row>
    <row r="63" ht="21.0" customHeight="1">
      <c r="A63" s="5">
        <v>39.0</v>
      </c>
      <c r="B63" s="6">
        <v>15004.0</v>
      </c>
      <c r="C63" s="5">
        <v>1.0</v>
      </c>
      <c r="D63" s="113" t="s">
        <v>114</v>
      </c>
      <c r="E63" s="7" t="s">
        <v>115</v>
      </c>
      <c r="F63" s="109" t="str">
        <f t="shared" ref="F63:G63" si="62">TRANSLATE(D63,"lzh","vi")</f>
        <v>#NAME?</v>
      </c>
      <c r="G63" s="109" t="str">
        <f t="shared" si="62"/>
        <v>#NAME?</v>
      </c>
    </row>
    <row r="64" ht="21.0" customHeight="1">
      <c r="A64" s="5">
        <v>39.0</v>
      </c>
      <c r="B64" s="6">
        <v>15005.0</v>
      </c>
      <c r="C64" s="5">
        <v>1.0</v>
      </c>
      <c r="D64" s="114" t="s">
        <v>116</v>
      </c>
      <c r="E64" s="7" t="s">
        <v>117</v>
      </c>
      <c r="F64" s="109" t="str">
        <f t="shared" ref="F64:G64" si="63">TRANSLATE(D64,"lzh","vi")</f>
        <v>#NAME?</v>
      </c>
      <c r="G64" s="109" t="str">
        <f t="shared" si="63"/>
        <v>#NAME?</v>
      </c>
    </row>
    <row r="65" ht="21.0" customHeight="1">
      <c r="A65" s="5">
        <v>39.0</v>
      </c>
      <c r="B65" s="6">
        <v>15006.0</v>
      </c>
      <c r="C65" s="5">
        <v>1.0</v>
      </c>
      <c r="D65" s="114" t="s">
        <v>118</v>
      </c>
      <c r="E65" s="7" t="s">
        <v>119</v>
      </c>
      <c r="F65" s="109" t="str">
        <f t="shared" ref="F65:G65" si="64">TRANSLATE(D65,"lzh","vi")</f>
        <v>#NAME?</v>
      </c>
      <c r="G65" s="109" t="str">
        <f t="shared" si="64"/>
        <v>#NAME?</v>
      </c>
    </row>
    <row r="66" ht="21.0" customHeight="1">
      <c r="A66" s="5">
        <v>42.0</v>
      </c>
      <c r="B66" s="6">
        <v>16001.0</v>
      </c>
      <c r="C66" s="5">
        <v>1.0</v>
      </c>
      <c r="D66" s="108" t="s">
        <v>120</v>
      </c>
      <c r="E66" s="7" t="s">
        <v>121</v>
      </c>
      <c r="F66" s="109" t="str">
        <f t="shared" ref="F66:G66" si="65">TRANSLATE(D66,"lzh","vi")</f>
        <v>#NAME?</v>
      </c>
      <c r="G66" s="109" t="str">
        <f t="shared" si="65"/>
        <v>#NAME?</v>
      </c>
    </row>
    <row r="67" ht="21.0" customHeight="1">
      <c r="A67" s="5">
        <v>42.0</v>
      </c>
      <c r="B67" s="6">
        <v>16001.0</v>
      </c>
      <c r="C67" s="5">
        <v>1.0</v>
      </c>
      <c r="D67" s="114" t="s">
        <v>122</v>
      </c>
      <c r="E67" s="7" t="s">
        <v>123</v>
      </c>
      <c r="F67" s="109" t="str">
        <f t="shared" ref="F67:G67" si="66">TRANSLATE(D67,"lzh","vi")</f>
        <v>#NAME?</v>
      </c>
      <c r="G67" s="109" t="str">
        <f t="shared" si="66"/>
        <v>#NAME?</v>
      </c>
    </row>
    <row r="68" ht="21.0" customHeight="1">
      <c r="A68" s="5">
        <v>42.0</v>
      </c>
      <c r="B68" s="6">
        <v>16001.0</v>
      </c>
      <c r="C68" s="5">
        <v>1.0</v>
      </c>
      <c r="D68" s="114" t="s">
        <v>124</v>
      </c>
      <c r="E68" s="7" t="s">
        <v>125</v>
      </c>
      <c r="F68" s="109" t="str">
        <f t="shared" ref="F68:G68" si="67">TRANSLATE(D68,"lzh","vi")</f>
        <v>#NAME?</v>
      </c>
      <c r="G68" s="109" t="str">
        <f t="shared" si="67"/>
        <v>#NAME?</v>
      </c>
    </row>
    <row r="69" ht="21.0" customHeight="1">
      <c r="A69" s="5">
        <v>42.0</v>
      </c>
      <c r="B69" s="6">
        <v>16001.0</v>
      </c>
      <c r="C69" s="5">
        <v>1.0</v>
      </c>
      <c r="D69" s="114" t="s">
        <v>126</v>
      </c>
      <c r="E69" s="7" t="s">
        <v>127</v>
      </c>
      <c r="F69" s="109" t="str">
        <f t="shared" ref="F69:G69" si="68">TRANSLATE(D69,"lzh","vi")</f>
        <v>#NAME?</v>
      </c>
      <c r="G69" s="109" t="str">
        <f t="shared" si="68"/>
        <v>#NAME?</v>
      </c>
    </row>
    <row r="70" ht="21.0" customHeight="1">
      <c r="A70" s="5">
        <v>42.0</v>
      </c>
      <c r="B70" s="6">
        <v>16003.0</v>
      </c>
      <c r="C70" s="5">
        <v>1.0</v>
      </c>
      <c r="D70" s="114" t="s">
        <v>128</v>
      </c>
      <c r="E70" s="7" t="s">
        <v>129</v>
      </c>
      <c r="F70" s="109" t="str">
        <f t="shared" ref="F70:G70" si="69">TRANSLATE(D70,"lzh","vi")</f>
        <v>#NAME?</v>
      </c>
      <c r="G70" s="109" t="str">
        <f t="shared" si="69"/>
        <v>#NAME?</v>
      </c>
    </row>
    <row r="71" ht="21.0" customHeight="1">
      <c r="A71" s="5">
        <v>42.0</v>
      </c>
      <c r="B71" s="6">
        <v>16004.0</v>
      </c>
      <c r="C71" s="5">
        <v>1.0</v>
      </c>
      <c r="D71" s="114" t="s">
        <v>130</v>
      </c>
      <c r="E71" s="7" t="s">
        <v>131</v>
      </c>
      <c r="F71" s="109" t="str">
        <f t="shared" ref="F71:G71" si="70">TRANSLATE(D71,"lzh","vi")</f>
        <v>#NAME?</v>
      </c>
      <c r="G71" s="109" t="str">
        <f t="shared" si="70"/>
        <v>#NAME?</v>
      </c>
    </row>
    <row r="72" ht="21.0" customHeight="1">
      <c r="A72" s="5">
        <v>42.0</v>
      </c>
      <c r="B72" s="6">
        <v>16005.0</v>
      </c>
      <c r="C72" s="5">
        <v>1.0</v>
      </c>
      <c r="D72" s="114" t="s">
        <v>132</v>
      </c>
      <c r="E72" s="7" t="s">
        <v>133</v>
      </c>
      <c r="F72" s="109" t="str">
        <f t="shared" ref="F72:G72" si="71">TRANSLATE(D72,"lzh","vi")</f>
        <v>#NAME?</v>
      </c>
      <c r="G72" s="109" t="str">
        <f t="shared" si="71"/>
        <v>#NAME?</v>
      </c>
    </row>
    <row r="73" ht="21.0" customHeight="1">
      <c r="A73" s="5">
        <v>42.0</v>
      </c>
      <c r="B73" s="6">
        <v>16006.0</v>
      </c>
      <c r="C73" s="5">
        <v>1.0</v>
      </c>
      <c r="D73" s="114" t="s">
        <v>134</v>
      </c>
      <c r="E73" s="7" t="s">
        <v>135</v>
      </c>
      <c r="F73" s="109" t="str">
        <f t="shared" ref="F73:G73" si="72">TRANSLATE(D73,"lzh","vi")</f>
        <v>#NAME?</v>
      </c>
      <c r="G73" s="109" t="str">
        <f t="shared" si="72"/>
        <v>#NAME?</v>
      </c>
    </row>
    <row r="74" ht="21.0" customHeight="1">
      <c r="A74" s="5">
        <v>39.0</v>
      </c>
      <c r="B74" s="6">
        <v>1.0</v>
      </c>
      <c r="C74" s="5">
        <v>1.0</v>
      </c>
      <c r="D74" s="108" t="s">
        <v>136</v>
      </c>
      <c r="E74" s="7" t="s">
        <v>137</v>
      </c>
      <c r="F74" s="109" t="str">
        <f t="shared" ref="F74:G74" si="73">TRANSLATE(D74,"lzh","vi")</f>
        <v>#NAME?</v>
      </c>
      <c r="G74" s="109" t="str">
        <f t="shared" si="73"/>
        <v>#NAME?</v>
      </c>
    </row>
    <row r="75" ht="21.0" customHeight="1">
      <c r="A75" s="5">
        <v>39.0</v>
      </c>
      <c r="B75" s="6">
        <v>1.0</v>
      </c>
      <c r="C75" s="5">
        <v>1.0</v>
      </c>
      <c r="D75" s="108" t="s">
        <v>138</v>
      </c>
      <c r="E75" s="7" t="s">
        <v>137</v>
      </c>
      <c r="F75" s="109" t="str">
        <f t="shared" ref="F75:G75" si="74">TRANSLATE(D75,"lzh","vi")</f>
        <v>#NAME?</v>
      </c>
      <c r="G75" s="109" t="str">
        <f t="shared" si="74"/>
        <v>#NAME?</v>
      </c>
    </row>
    <row r="76" ht="21.0" customHeight="1">
      <c r="A76" s="5">
        <v>39.0</v>
      </c>
      <c r="B76" s="6">
        <v>1.0</v>
      </c>
      <c r="C76" s="5">
        <v>1.0</v>
      </c>
      <c r="D76" s="108" t="s">
        <v>139</v>
      </c>
      <c r="E76" s="7" t="s">
        <v>137</v>
      </c>
      <c r="F76" s="109" t="str">
        <f t="shared" ref="F76:G76" si="75">TRANSLATE(D76,"lzh","vi")</f>
        <v>#NAME?</v>
      </c>
      <c r="G76" s="109" t="str">
        <f t="shared" si="75"/>
        <v>#NAME?</v>
      </c>
    </row>
    <row r="77" ht="21.0" customHeight="1">
      <c r="A77" s="5">
        <v>39.0</v>
      </c>
      <c r="B77" s="6">
        <v>1.0</v>
      </c>
      <c r="C77" s="5">
        <v>1.0</v>
      </c>
      <c r="D77" s="108" t="s">
        <v>140</v>
      </c>
      <c r="E77" s="7" t="s">
        <v>137</v>
      </c>
      <c r="F77" s="109" t="str">
        <f t="shared" ref="F77:G77" si="76">TRANSLATE(D77,"lzh","vi")</f>
        <v>#NAME?</v>
      </c>
      <c r="G77" s="109" t="str">
        <f t="shared" si="76"/>
        <v>#NAME?</v>
      </c>
    </row>
    <row r="78" ht="21.0" customHeight="1">
      <c r="A78" s="5">
        <v>39.0</v>
      </c>
      <c r="B78" s="6">
        <v>1.0</v>
      </c>
      <c r="C78" s="5">
        <v>1.0</v>
      </c>
      <c r="D78" s="108" t="s">
        <v>141</v>
      </c>
      <c r="E78" s="7" t="s">
        <v>137</v>
      </c>
      <c r="F78" s="109" t="str">
        <f t="shared" ref="F78:G78" si="77">TRANSLATE(D78,"lzh","vi")</f>
        <v>#NAME?</v>
      </c>
      <c r="G78" s="109" t="str">
        <f t="shared" si="77"/>
        <v>#NAME?</v>
      </c>
    </row>
    <row r="79" ht="21.0" customHeight="1">
      <c r="A79" s="5">
        <v>16.0</v>
      </c>
      <c r="B79" s="6">
        <v>10.0</v>
      </c>
      <c r="C79" s="5">
        <v>1.0</v>
      </c>
      <c r="D79" s="108" t="s">
        <v>142</v>
      </c>
      <c r="E79" s="7" t="s">
        <v>143</v>
      </c>
      <c r="F79" s="109" t="str">
        <f t="shared" ref="F79:G79" si="78">TRANSLATE(D79,"lzh","vi")</f>
        <v>#NAME?</v>
      </c>
      <c r="G79" s="109" t="str">
        <f t="shared" si="78"/>
        <v>#NAME?</v>
      </c>
      <c r="X79" s="110"/>
    </row>
    <row r="80" ht="21.0" customHeight="1">
      <c r="A80" s="5">
        <v>16.0</v>
      </c>
      <c r="B80" s="6">
        <v>11.0</v>
      </c>
      <c r="C80" s="6">
        <v>1.0</v>
      </c>
      <c r="D80" s="108" t="s">
        <v>144</v>
      </c>
      <c r="E80" s="9" t="s">
        <v>145</v>
      </c>
      <c r="F80" s="109" t="str">
        <f t="shared" ref="F80:G80" si="79">TRANSLATE(D80,"lzh","vi")</f>
        <v>#NAME?</v>
      </c>
      <c r="G80" s="109" t="str">
        <f t="shared" si="79"/>
        <v>#NAME?</v>
      </c>
      <c r="X80" s="110"/>
    </row>
    <row r="81" ht="21.0" customHeight="1">
      <c r="A81" s="5">
        <v>16.0</v>
      </c>
      <c r="B81" s="6">
        <v>12.0</v>
      </c>
      <c r="C81" s="5">
        <v>1.0</v>
      </c>
      <c r="D81" s="108" t="s">
        <v>146</v>
      </c>
      <c r="E81" s="7" t="s">
        <v>147</v>
      </c>
      <c r="F81" s="109" t="str">
        <f t="shared" ref="F81:G81" si="80">TRANSLATE(D81,"lzh","vi")</f>
        <v>#NAME?</v>
      </c>
      <c r="G81" s="109" t="str">
        <f t="shared" si="80"/>
        <v>#NAME?</v>
      </c>
      <c r="X81" s="110"/>
    </row>
    <row r="82" ht="21.0" customHeight="1">
      <c r="A82" s="5">
        <v>16.0</v>
      </c>
      <c r="B82" s="6">
        <v>13.0</v>
      </c>
      <c r="C82" s="6">
        <v>1.0</v>
      </c>
      <c r="D82" s="108" t="s">
        <v>148</v>
      </c>
      <c r="E82" s="9" t="s">
        <v>149</v>
      </c>
      <c r="F82" s="109" t="str">
        <f t="shared" ref="F82:G82" si="81">TRANSLATE(D82,"lzh","vi")</f>
        <v>#NAME?</v>
      </c>
      <c r="G82" s="109" t="str">
        <f t="shared" si="81"/>
        <v>#NAME?</v>
      </c>
      <c r="X82" s="110"/>
    </row>
    <row r="83" ht="21.0" customHeight="1">
      <c r="A83" s="5">
        <v>16.0</v>
      </c>
      <c r="B83" s="6">
        <v>14.0</v>
      </c>
      <c r="C83" s="5">
        <v>1.0</v>
      </c>
      <c r="D83" s="108" t="s">
        <v>150</v>
      </c>
      <c r="E83" s="7" t="s">
        <v>151</v>
      </c>
      <c r="F83" s="109" t="str">
        <f t="shared" ref="F83:G83" si="82">TRANSLATE(D83,"lzh","vi")</f>
        <v>#NAME?</v>
      </c>
      <c r="G83" s="109" t="str">
        <f t="shared" si="82"/>
        <v>#NAME?</v>
      </c>
      <c r="X83" s="110"/>
    </row>
    <row r="84" ht="21.0" customHeight="1">
      <c r="A84" s="5">
        <v>16.0</v>
      </c>
      <c r="B84" s="6">
        <v>15.0</v>
      </c>
      <c r="C84" s="6">
        <v>1.0</v>
      </c>
      <c r="D84" s="108" t="s">
        <v>152</v>
      </c>
      <c r="E84" s="9" t="s">
        <v>153</v>
      </c>
      <c r="F84" s="109" t="str">
        <f t="shared" ref="F84:G84" si="83">TRANSLATE(D84,"lzh","vi")</f>
        <v>#NAME?</v>
      </c>
      <c r="G84" s="109" t="str">
        <f t="shared" si="83"/>
        <v>#NAME?</v>
      </c>
      <c r="X84" s="110"/>
    </row>
    <row r="85" ht="21.0" customHeight="1">
      <c r="A85" s="5">
        <v>16.0</v>
      </c>
      <c r="B85" s="6">
        <v>16.0</v>
      </c>
      <c r="C85" s="5">
        <v>1.0</v>
      </c>
      <c r="D85" s="108" t="s">
        <v>154</v>
      </c>
      <c r="E85" s="7" t="s">
        <v>155</v>
      </c>
      <c r="F85" s="109" t="str">
        <f t="shared" ref="F85:G85" si="84">TRANSLATE(D85,"lzh","vi")</f>
        <v>#NAME?</v>
      </c>
      <c r="G85" s="109" t="str">
        <f t="shared" si="84"/>
        <v>#NAME?</v>
      </c>
      <c r="X85" s="110"/>
    </row>
    <row r="86" ht="21.0" customHeight="1">
      <c r="A86" s="5">
        <v>16.0</v>
      </c>
      <c r="B86" s="6">
        <v>17.0</v>
      </c>
      <c r="C86" s="6">
        <v>1.0</v>
      </c>
      <c r="D86" s="108" t="s">
        <v>156</v>
      </c>
      <c r="E86" s="9" t="s">
        <v>157</v>
      </c>
      <c r="F86" s="109" t="str">
        <f t="shared" ref="F86:G86" si="85">TRANSLATE(D86,"lzh","vi")</f>
        <v>#NAME?</v>
      </c>
      <c r="G86" s="109" t="str">
        <f t="shared" si="85"/>
        <v>#NAME?</v>
      </c>
      <c r="X86" s="110"/>
    </row>
    <row r="87" ht="21.0" customHeight="1">
      <c r="A87" s="5">
        <v>16.0</v>
      </c>
      <c r="B87" s="6">
        <v>18.0</v>
      </c>
      <c r="C87" s="5">
        <v>1.0</v>
      </c>
      <c r="D87" s="108" t="s">
        <v>158</v>
      </c>
      <c r="E87" s="7" t="s">
        <v>159</v>
      </c>
      <c r="F87" s="109" t="str">
        <f t="shared" ref="F87:G87" si="86">TRANSLATE(D87,"lzh","vi")</f>
        <v>#NAME?</v>
      </c>
      <c r="G87" s="109" t="str">
        <f t="shared" si="86"/>
        <v>#NAME?</v>
      </c>
      <c r="X87" s="110"/>
    </row>
    <row r="88" ht="21.0" customHeight="1">
      <c r="A88" s="5">
        <v>16.0</v>
      </c>
      <c r="B88" s="6">
        <v>19.0</v>
      </c>
      <c r="C88" s="6">
        <v>1.0</v>
      </c>
      <c r="D88" s="108" t="s">
        <v>160</v>
      </c>
      <c r="E88" s="9" t="s">
        <v>161</v>
      </c>
      <c r="F88" s="109" t="str">
        <f t="shared" ref="F88:G88" si="87">TRANSLATE(D88,"lzh","vi")</f>
        <v>#NAME?</v>
      </c>
      <c r="G88" s="109" t="str">
        <f t="shared" si="87"/>
        <v>#NAME?</v>
      </c>
      <c r="X88" s="110"/>
    </row>
    <row r="89" ht="21.0" customHeight="1">
      <c r="A89" s="5">
        <v>16.0</v>
      </c>
      <c r="B89" s="6">
        <v>20.0</v>
      </c>
      <c r="C89" s="5">
        <v>1.0</v>
      </c>
      <c r="D89" s="115" t="s">
        <v>162</v>
      </c>
      <c r="E89" s="7" t="s">
        <v>163</v>
      </c>
      <c r="F89" s="109" t="str">
        <f t="shared" ref="F89:G89" si="88">TRANSLATE(D89,"lzh","vi")</f>
        <v>#NAME?</v>
      </c>
      <c r="G89" s="109" t="str">
        <f t="shared" si="88"/>
        <v>#NAME?</v>
      </c>
      <c r="X89" s="110"/>
    </row>
    <row r="90" ht="21.0" customHeight="1">
      <c r="A90" s="5">
        <v>16.0</v>
      </c>
      <c r="B90" s="6">
        <v>21.0</v>
      </c>
      <c r="C90" s="5">
        <v>1.0</v>
      </c>
      <c r="D90" s="115" t="s">
        <v>164</v>
      </c>
      <c r="E90" s="7" t="s">
        <v>165</v>
      </c>
      <c r="F90" s="109" t="str">
        <f t="shared" ref="F90:G90" si="89">TRANSLATE(D90,"lzh","vi")</f>
        <v>#NAME?</v>
      </c>
      <c r="G90" s="109" t="str">
        <f t="shared" si="89"/>
        <v>#NAME?</v>
      </c>
      <c r="X90" s="110"/>
    </row>
    <row r="91" ht="21.0" customHeight="1">
      <c r="A91" s="5">
        <v>16.0</v>
      </c>
      <c r="B91" s="6">
        <v>22.0</v>
      </c>
      <c r="C91" s="5">
        <v>1.0</v>
      </c>
      <c r="D91" s="115" t="s">
        <v>166</v>
      </c>
      <c r="E91" s="7" t="s">
        <v>167</v>
      </c>
      <c r="F91" s="109" t="str">
        <f t="shared" ref="F91:G91" si="90">TRANSLATE(D91,"lzh","vi")</f>
        <v>#NAME?</v>
      </c>
      <c r="G91" s="109" t="str">
        <f t="shared" si="90"/>
        <v>#NAME?</v>
      </c>
      <c r="X91" s="110"/>
    </row>
    <row r="92" ht="21.0" customHeight="1">
      <c r="A92" s="5">
        <v>16.0</v>
      </c>
      <c r="B92" s="6">
        <v>23.0</v>
      </c>
      <c r="C92" s="5">
        <v>1.0</v>
      </c>
      <c r="D92" s="108" t="s">
        <v>168</v>
      </c>
      <c r="E92" s="7" t="s">
        <v>169</v>
      </c>
      <c r="F92" s="109" t="str">
        <f t="shared" ref="F92:G92" si="91">TRANSLATE(D92,"lzh","vi")</f>
        <v>#NAME?</v>
      </c>
      <c r="G92" s="109" t="str">
        <f t="shared" si="91"/>
        <v>#NAME?</v>
      </c>
      <c r="X92" s="110"/>
    </row>
    <row r="93" ht="21.0" customHeight="1">
      <c r="A93" s="5">
        <v>16.0</v>
      </c>
      <c r="B93" s="6">
        <v>24.0</v>
      </c>
      <c r="C93" s="5">
        <v>1.0</v>
      </c>
      <c r="D93" s="108" t="s">
        <v>170</v>
      </c>
      <c r="E93" s="7" t="s">
        <v>171</v>
      </c>
      <c r="F93" s="109" t="str">
        <f t="shared" ref="F93:G93" si="92">TRANSLATE(D93,"lzh","vi")</f>
        <v>#NAME?</v>
      </c>
      <c r="G93" s="109" t="str">
        <f t="shared" si="92"/>
        <v>#NAME?</v>
      </c>
      <c r="X93" s="110"/>
    </row>
    <row r="94" ht="21.0" customHeight="1">
      <c r="A94" s="5">
        <v>16.0</v>
      </c>
      <c r="B94" s="6">
        <v>25.0</v>
      </c>
      <c r="C94" s="6">
        <v>1.0</v>
      </c>
      <c r="D94" s="116" t="s">
        <v>172</v>
      </c>
      <c r="E94" s="9" t="s">
        <v>173</v>
      </c>
      <c r="F94" s="109" t="str">
        <f t="shared" ref="F94:G94" si="93">TRANSLATE(D94,"lzh","vi")</f>
        <v>#NAME?</v>
      </c>
      <c r="G94" s="109" t="str">
        <f t="shared" si="93"/>
        <v>#NAME?</v>
      </c>
      <c r="X94" s="110"/>
    </row>
    <row r="95" ht="21.0" customHeight="1">
      <c r="A95" s="5">
        <v>16.0</v>
      </c>
      <c r="B95" s="6">
        <v>26.0</v>
      </c>
      <c r="C95" s="6">
        <v>1.0</v>
      </c>
      <c r="D95" s="116" t="s">
        <v>174</v>
      </c>
      <c r="E95" s="9" t="s">
        <v>175</v>
      </c>
      <c r="F95" s="109" t="str">
        <f t="shared" ref="F95:G95" si="94">TRANSLATE(D95,"lzh","vi")</f>
        <v>#NAME?</v>
      </c>
      <c r="G95" s="109" t="str">
        <f t="shared" si="94"/>
        <v>#NAME?</v>
      </c>
      <c r="X95" s="110"/>
    </row>
    <row r="96" ht="21.0" customHeight="1">
      <c r="A96" s="5">
        <v>16.0</v>
      </c>
      <c r="B96" s="6">
        <v>27.0</v>
      </c>
      <c r="C96" s="6">
        <v>1.0</v>
      </c>
      <c r="D96" s="116" t="s">
        <v>176</v>
      </c>
      <c r="E96" s="9" t="s">
        <v>177</v>
      </c>
      <c r="F96" s="109" t="str">
        <f t="shared" ref="F96:G96" si="95">TRANSLATE(D96,"lzh","vi")</f>
        <v>#NAME?</v>
      </c>
      <c r="G96" s="109" t="str">
        <f t="shared" si="95"/>
        <v>#NAME?</v>
      </c>
      <c r="X96" s="110"/>
    </row>
    <row r="97" ht="21.0" customHeight="1">
      <c r="A97" s="5">
        <v>16.0</v>
      </c>
      <c r="B97" s="6">
        <v>28.0</v>
      </c>
      <c r="C97" s="6">
        <v>1.0</v>
      </c>
      <c r="D97" s="116" t="s">
        <v>178</v>
      </c>
      <c r="E97" s="9" t="s">
        <v>179</v>
      </c>
      <c r="F97" s="109" t="str">
        <f t="shared" ref="F97:G97" si="96">TRANSLATE(D97,"lzh","vi")</f>
        <v>#NAME?</v>
      </c>
      <c r="G97" s="109" t="str">
        <f t="shared" si="96"/>
        <v>#NAME?</v>
      </c>
      <c r="X97" s="110"/>
    </row>
    <row r="98" ht="21.0" customHeight="1">
      <c r="A98" s="5">
        <v>16.0</v>
      </c>
      <c r="B98" s="6">
        <v>29.0</v>
      </c>
      <c r="C98" s="6">
        <v>1.0</v>
      </c>
      <c r="D98" s="116" t="s">
        <v>180</v>
      </c>
      <c r="E98" s="9" t="s">
        <v>181</v>
      </c>
      <c r="F98" s="109" t="str">
        <f t="shared" ref="F98:G98" si="97">TRANSLATE(D98,"lzh","vi")</f>
        <v>#NAME?</v>
      </c>
      <c r="G98" s="109" t="str">
        <f t="shared" si="97"/>
        <v>#NAME?</v>
      </c>
      <c r="X98" s="110"/>
    </row>
    <row r="99" ht="21.0" customHeight="1">
      <c r="A99" s="5">
        <v>16.0</v>
      </c>
      <c r="B99" s="6">
        <v>30.0</v>
      </c>
      <c r="C99" s="6">
        <v>1.0</v>
      </c>
      <c r="D99" s="116" t="s">
        <v>182</v>
      </c>
      <c r="E99" s="9" t="s">
        <v>183</v>
      </c>
      <c r="F99" s="109" t="str">
        <f t="shared" ref="F99:G99" si="98">TRANSLATE(D99,"lzh","vi")</f>
        <v>#NAME?</v>
      </c>
      <c r="G99" s="109" t="str">
        <f t="shared" si="98"/>
        <v>#NAME?</v>
      </c>
      <c r="X99" s="110"/>
    </row>
    <row r="100" ht="21.0" customHeight="1">
      <c r="A100" s="5">
        <v>16.0</v>
      </c>
      <c r="B100" s="6">
        <v>31.0</v>
      </c>
      <c r="C100" s="6">
        <v>1.0</v>
      </c>
      <c r="D100" s="116" t="s">
        <v>184</v>
      </c>
      <c r="E100" s="9" t="s">
        <v>185</v>
      </c>
      <c r="F100" s="109" t="str">
        <f t="shared" ref="F100:G100" si="99">TRANSLATE(D100,"lzh","vi")</f>
        <v>#NAME?</v>
      </c>
      <c r="G100" s="109" t="str">
        <f t="shared" si="99"/>
        <v>#NAME?</v>
      </c>
      <c r="X100" s="110"/>
    </row>
    <row r="101" ht="21.0" customHeight="1">
      <c r="A101" s="5">
        <v>16.0</v>
      </c>
      <c r="B101" s="6">
        <v>32.0</v>
      </c>
      <c r="C101" s="6">
        <v>1.0</v>
      </c>
      <c r="D101" s="116" t="s">
        <v>186</v>
      </c>
      <c r="E101" s="9" t="s">
        <v>187</v>
      </c>
      <c r="F101" s="109" t="str">
        <f t="shared" ref="F101:G101" si="100">TRANSLATE(D101,"lzh","vi")</f>
        <v>#NAME?</v>
      </c>
      <c r="G101" s="109" t="str">
        <f t="shared" si="100"/>
        <v>#NAME?</v>
      </c>
      <c r="X101" s="110"/>
    </row>
    <row r="102" ht="21.0" customHeight="1">
      <c r="A102" s="5">
        <v>16.0</v>
      </c>
      <c r="B102" s="6">
        <v>33.0</v>
      </c>
      <c r="C102" s="6">
        <v>1.0</v>
      </c>
      <c r="D102" s="116" t="s">
        <v>188</v>
      </c>
      <c r="E102" s="9" t="s">
        <v>189</v>
      </c>
      <c r="F102" s="109" t="str">
        <f t="shared" ref="F102:G102" si="101">TRANSLATE(D102,"lzh","vi")</f>
        <v>#NAME?</v>
      </c>
      <c r="G102" s="109" t="str">
        <f t="shared" si="101"/>
        <v>#NAME?</v>
      </c>
      <c r="X102" s="110"/>
    </row>
    <row r="103" ht="21.0" customHeight="1">
      <c r="A103" s="5">
        <v>16.0</v>
      </c>
      <c r="B103" s="6">
        <v>34.0</v>
      </c>
      <c r="C103" s="6">
        <v>1.0</v>
      </c>
      <c r="D103" s="116" t="s">
        <v>190</v>
      </c>
      <c r="E103" s="9" t="s">
        <v>191</v>
      </c>
      <c r="F103" s="109" t="str">
        <f t="shared" ref="F103:G103" si="102">TRANSLATE(D103,"lzh","vi")</f>
        <v>#NAME?</v>
      </c>
      <c r="G103" s="109" t="str">
        <f t="shared" si="102"/>
        <v>#NAME?</v>
      </c>
      <c r="X103" s="110"/>
    </row>
    <row r="104" ht="21.0" customHeight="1">
      <c r="A104" s="5">
        <v>16.0</v>
      </c>
      <c r="B104" s="6">
        <v>35.0</v>
      </c>
      <c r="C104" s="6">
        <v>1.0</v>
      </c>
      <c r="D104" s="116" t="s">
        <v>192</v>
      </c>
      <c r="E104" s="9" t="s">
        <v>193</v>
      </c>
      <c r="F104" s="109" t="str">
        <f t="shared" ref="F104:G104" si="103">TRANSLATE(D104,"lzh","vi")</f>
        <v>#NAME?</v>
      </c>
      <c r="G104" s="109" t="str">
        <f t="shared" si="103"/>
        <v>#NAME?</v>
      </c>
      <c r="X104" s="110"/>
    </row>
    <row r="105" ht="21.0" customHeight="1">
      <c r="A105" s="5">
        <v>16.0</v>
      </c>
      <c r="B105" s="6">
        <v>36.0</v>
      </c>
      <c r="C105" s="6">
        <v>1.0</v>
      </c>
      <c r="D105" s="116" t="s">
        <v>194</v>
      </c>
      <c r="E105" s="9" t="s">
        <v>195</v>
      </c>
      <c r="F105" s="109" t="str">
        <f t="shared" ref="F105:G105" si="104">TRANSLATE(D105,"lzh","vi")</f>
        <v>#NAME?</v>
      </c>
      <c r="G105" s="109" t="str">
        <f t="shared" si="104"/>
        <v>#NAME?</v>
      </c>
      <c r="X105" s="110"/>
    </row>
    <row r="106" ht="21.0" customHeight="1">
      <c r="A106" s="5">
        <v>16.0</v>
      </c>
      <c r="B106" s="6">
        <v>37.0</v>
      </c>
      <c r="C106" s="6">
        <v>1.0</v>
      </c>
      <c r="D106" s="116" t="s">
        <v>196</v>
      </c>
      <c r="E106" s="9" t="s">
        <v>197</v>
      </c>
      <c r="F106" s="109" t="str">
        <f t="shared" ref="F106:G106" si="105">TRANSLATE(D106,"lzh","vi")</f>
        <v>#NAME?</v>
      </c>
      <c r="G106" s="109" t="str">
        <f t="shared" si="105"/>
        <v>#NAME?</v>
      </c>
      <c r="X106" s="110"/>
    </row>
    <row r="107" ht="21.0" customHeight="1">
      <c r="A107" s="5">
        <v>16.0</v>
      </c>
      <c r="B107" s="6">
        <v>38.0</v>
      </c>
      <c r="C107" s="6">
        <v>1.0</v>
      </c>
      <c r="D107" s="116" t="s">
        <v>198</v>
      </c>
      <c r="E107" s="9" t="s">
        <v>199</v>
      </c>
      <c r="F107" s="109" t="str">
        <f t="shared" ref="F107:G107" si="106">TRANSLATE(D107,"lzh","vi")</f>
        <v>#NAME?</v>
      </c>
      <c r="G107" s="109" t="str">
        <f t="shared" si="106"/>
        <v>#NAME?</v>
      </c>
      <c r="X107" s="110"/>
    </row>
    <row r="108" ht="21.0" customHeight="1">
      <c r="A108" s="5">
        <v>16.0</v>
      </c>
      <c r="B108" s="6">
        <v>39.0</v>
      </c>
      <c r="C108" s="6">
        <v>1.0</v>
      </c>
      <c r="D108" s="116" t="s">
        <v>200</v>
      </c>
      <c r="E108" s="9" t="s">
        <v>201</v>
      </c>
      <c r="F108" s="109" t="str">
        <f t="shared" ref="F108:G108" si="107">TRANSLATE(D108,"lzh","vi")</f>
        <v>#NAME?</v>
      </c>
      <c r="G108" s="109" t="str">
        <f t="shared" si="107"/>
        <v>#NAME?</v>
      </c>
      <c r="X108" s="110"/>
    </row>
    <row r="109" ht="21.0" customHeight="1">
      <c r="A109" s="5">
        <v>16.0</v>
      </c>
      <c r="B109" s="6">
        <v>40.0</v>
      </c>
      <c r="C109" s="6">
        <v>1.0</v>
      </c>
      <c r="D109" s="116" t="s">
        <v>202</v>
      </c>
      <c r="E109" s="9" t="s">
        <v>203</v>
      </c>
      <c r="F109" s="109" t="str">
        <f t="shared" ref="F109:G109" si="108">TRANSLATE(D109,"lzh","vi")</f>
        <v>#NAME?</v>
      </c>
      <c r="G109" s="109" t="str">
        <f t="shared" si="108"/>
        <v>#NAME?</v>
      </c>
      <c r="X109" s="110"/>
    </row>
    <row r="110" ht="21.0" customHeight="1">
      <c r="A110" s="5">
        <v>16.0</v>
      </c>
      <c r="B110" s="6">
        <v>41.0</v>
      </c>
      <c r="C110" s="6">
        <v>1.0</v>
      </c>
      <c r="D110" s="116" t="s">
        <v>204</v>
      </c>
      <c r="E110" s="9" t="s">
        <v>205</v>
      </c>
      <c r="F110" s="109" t="str">
        <f t="shared" ref="F110:G110" si="109">TRANSLATE(D110,"lzh","vi")</f>
        <v>#NAME?</v>
      </c>
      <c r="G110" s="109" t="str">
        <f t="shared" si="109"/>
        <v>#NAME?</v>
      </c>
      <c r="X110" s="110"/>
    </row>
    <row r="111" ht="21.0" customHeight="1">
      <c r="A111" s="5">
        <v>16.0</v>
      </c>
      <c r="B111" s="6">
        <v>42.0</v>
      </c>
      <c r="C111" s="6">
        <v>1.0</v>
      </c>
      <c r="D111" s="14" t="s">
        <v>206</v>
      </c>
      <c r="E111" s="9" t="s">
        <v>207</v>
      </c>
      <c r="F111" s="109" t="str">
        <f t="shared" ref="F111:G111" si="110">TRANSLATE(D111,"lzh","vi")</f>
        <v>#NAME?</v>
      </c>
      <c r="G111" s="109" t="str">
        <f t="shared" si="110"/>
        <v>#NAME?</v>
      </c>
      <c r="X111" s="110"/>
    </row>
    <row r="112" ht="21.0" customHeight="1">
      <c r="A112" s="5">
        <v>16.0</v>
      </c>
      <c r="B112" s="6">
        <v>43.0</v>
      </c>
      <c r="C112" s="6">
        <v>1.0</v>
      </c>
      <c r="D112" s="14" t="s">
        <v>208</v>
      </c>
      <c r="E112" s="9" t="s">
        <v>209</v>
      </c>
      <c r="F112" s="109" t="str">
        <f t="shared" ref="F112:G112" si="111">TRANSLATE(D112,"lzh","vi")</f>
        <v>#NAME?</v>
      </c>
      <c r="G112" s="109" t="str">
        <f t="shared" si="111"/>
        <v>#NAME?</v>
      </c>
      <c r="X112" s="110"/>
    </row>
    <row r="113" ht="21.0" customHeight="1">
      <c r="A113" s="5">
        <v>16.0</v>
      </c>
      <c r="B113" s="6">
        <v>44.0</v>
      </c>
      <c r="C113" s="6">
        <v>1.0</v>
      </c>
      <c r="D113" s="14" t="s">
        <v>210</v>
      </c>
      <c r="E113" s="9" t="s">
        <v>211</v>
      </c>
      <c r="F113" s="109" t="str">
        <f t="shared" ref="F113:G113" si="112">TRANSLATE(D113,"lzh","vi")</f>
        <v>#NAME?</v>
      </c>
      <c r="G113" s="109" t="str">
        <f t="shared" si="112"/>
        <v>#NAME?</v>
      </c>
      <c r="X113" s="110"/>
    </row>
    <row r="114" ht="21.0" customHeight="1">
      <c r="A114" s="5">
        <v>16.0</v>
      </c>
      <c r="B114" s="6">
        <v>45.0</v>
      </c>
      <c r="C114" s="6">
        <v>1.0</v>
      </c>
      <c r="D114" s="14" t="s">
        <v>212</v>
      </c>
      <c r="E114" s="9" t="s">
        <v>213</v>
      </c>
      <c r="F114" s="109" t="str">
        <f t="shared" ref="F114:G114" si="113">TRANSLATE(D114,"lzh","vi")</f>
        <v>#NAME?</v>
      </c>
      <c r="G114" s="109" t="str">
        <f t="shared" si="113"/>
        <v>#NAME?</v>
      </c>
      <c r="X114" s="110"/>
    </row>
    <row r="115" ht="21.0" customHeight="1">
      <c r="A115" s="5">
        <v>16.0</v>
      </c>
      <c r="B115" s="6">
        <v>46.0</v>
      </c>
      <c r="C115" s="6">
        <v>1.0</v>
      </c>
      <c r="D115" s="14" t="s">
        <v>214</v>
      </c>
      <c r="E115" s="9" t="s">
        <v>215</v>
      </c>
      <c r="F115" s="109" t="str">
        <f t="shared" ref="F115:G115" si="114">TRANSLATE(D115,"lzh","vi")</f>
        <v>#NAME?</v>
      </c>
      <c r="G115" s="109" t="str">
        <f t="shared" si="114"/>
        <v>#NAME?</v>
      </c>
      <c r="X115" s="110"/>
    </row>
    <row r="116" ht="21.0" customHeight="1">
      <c r="A116" s="5">
        <v>16.0</v>
      </c>
      <c r="B116" s="6">
        <v>47.0</v>
      </c>
      <c r="C116" s="6">
        <v>1.0</v>
      </c>
      <c r="D116" s="108" t="s">
        <v>216</v>
      </c>
      <c r="E116" s="9" t="s">
        <v>217</v>
      </c>
      <c r="F116" s="109" t="str">
        <f t="shared" ref="F116:G116" si="115">TRANSLATE(D116,"lzh","vi")</f>
        <v>#NAME?</v>
      </c>
      <c r="G116" s="109" t="str">
        <f t="shared" si="115"/>
        <v>#NAME?</v>
      </c>
      <c r="X116" s="110"/>
    </row>
    <row r="117" ht="21.0" customHeight="1">
      <c r="A117" s="5">
        <v>16.0</v>
      </c>
      <c r="B117" s="6">
        <v>48.0</v>
      </c>
      <c r="C117" s="6">
        <v>1.0</v>
      </c>
      <c r="D117" s="108" t="s">
        <v>218</v>
      </c>
      <c r="E117" s="9" t="s">
        <v>219</v>
      </c>
      <c r="F117" s="109" t="str">
        <f t="shared" ref="F117:G117" si="116">TRANSLATE(D117,"lzh","vi")</f>
        <v>#NAME?</v>
      </c>
      <c r="G117" s="109" t="str">
        <f t="shared" si="116"/>
        <v>#NAME?</v>
      </c>
      <c r="X117" s="110"/>
    </row>
    <row r="118" ht="21.0" customHeight="1">
      <c r="A118" s="5">
        <v>16.0</v>
      </c>
      <c r="B118" s="6">
        <v>49.0</v>
      </c>
      <c r="C118" s="6">
        <v>1.0</v>
      </c>
      <c r="D118" s="108" t="s">
        <v>220</v>
      </c>
      <c r="E118" s="9" t="s">
        <v>221</v>
      </c>
      <c r="F118" s="109" t="str">
        <f t="shared" ref="F118:G118" si="117">TRANSLATE(D118,"lzh","vi")</f>
        <v>#NAME?</v>
      </c>
      <c r="G118" s="109" t="str">
        <f t="shared" si="117"/>
        <v>#NAME?</v>
      </c>
      <c r="X118" s="110"/>
    </row>
    <row r="119" ht="21.0" customHeight="1">
      <c r="A119" s="5">
        <v>16.0</v>
      </c>
      <c r="B119" s="6">
        <v>50.0</v>
      </c>
      <c r="C119" s="6">
        <v>1.0</v>
      </c>
      <c r="D119" s="108" t="s">
        <v>222</v>
      </c>
      <c r="E119" s="9" t="s">
        <v>223</v>
      </c>
      <c r="F119" s="109" t="str">
        <f t="shared" ref="F119:G119" si="118">TRANSLATE(D119,"lzh","vi")</f>
        <v>#NAME?</v>
      </c>
      <c r="G119" s="109" t="str">
        <f t="shared" si="118"/>
        <v>#NAME?</v>
      </c>
      <c r="X119" s="110"/>
    </row>
    <row r="120" ht="21.0" customHeight="1">
      <c r="A120" s="5">
        <v>16.0</v>
      </c>
      <c r="B120" s="6">
        <v>51.0</v>
      </c>
      <c r="C120" s="6">
        <v>1.0</v>
      </c>
      <c r="D120" s="108" t="s">
        <v>224</v>
      </c>
      <c r="E120" s="9" t="s">
        <v>225</v>
      </c>
      <c r="F120" s="109" t="str">
        <f t="shared" ref="F120:G120" si="119">TRANSLATE(D120,"lzh","vi")</f>
        <v>#NAME?</v>
      </c>
      <c r="G120" s="109" t="str">
        <f t="shared" si="119"/>
        <v>#NAME?</v>
      </c>
      <c r="X120" s="110"/>
    </row>
    <row r="121" ht="21.0" customHeight="1">
      <c r="A121" s="5">
        <v>16.0</v>
      </c>
      <c r="B121" s="6">
        <v>52.0</v>
      </c>
      <c r="C121" s="6">
        <v>1.0</v>
      </c>
      <c r="D121" s="108" t="s">
        <v>226</v>
      </c>
      <c r="E121" s="9" t="s">
        <v>227</v>
      </c>
      <c r="F121" s="109" t="str">
        <f t="shared" ref="F121:G121" si="120">TRANSLATE(D121,"lzh","vi")</f>
        <v>#NAME?</v>
      </c>
      <c r="G121" s="109" t="str">
        <f t="shared" si="120"/>
        <v>#NAME?</v>
      </c>
      <c r="X121" s="110"/>
    </row>
    <row r="122" ht="21.0" customHeight="1">
      <c r="A122" s="5">
        <v>16.0</v>
      </c>
      <c r="B122" s="6">
        <v>53.0</v>
      </c>
      <c r="C122" s="6">
        <v>1.0</v>
      </c>
      <c r="D122" s="108" t="s">
        <v>228</v>
      </c>
      <c r="E122" s="9" t="s">
        <v>229</v>
      </c>
      <c r="F122" s="109" t="str">
        <f t="shared" ref="F122:G122" si="121">TRANSLATE(D122,"lzh","vi")</f>
        <v>#NAME?</v>
      </c>
      <c r="G122" s="109" t="str">
        <f t="shared" si="121"/>
        <v>#NAME?</v>
      </c>
      <c r="X122" s="110"/>
    </row>
    <row r="123" ht="21.0" customHeight="1">
      <c r="A123" s="5">
        <v>16.0</v>
      </c>
      <c r="B123" s="6">
        <v>54.0</v>
      </c>
      <c r="C123" s="6">
        <v>1.0</v>
      </c>
      <c r="D123" s="108" t="s">
        <v>230</v>
      </c>
      <c r="E123" s="9" t="s">
        <v>231</v>
      </c>
      <c r="F123" s="109" t="str">
        <f t="shared" ref="F123:G123" si="122">TRANSLATE(D123,"lzh","vi")</f>
        <v>#NAME?</v>
      </c>
      <c r="G123" s="109" t="str">
        <f t="shared" si="122"/>
        <v>#NAME?</v>
      </c>
      <c r="X123" s="110"/>
    </row>
    <row r="124" ht="21.0" customHeight="1">
      <c r="A124" s="5">
        <v>16.0</v>
      </c>
      <c r="B124" s="6">
        <v>55.0</v>
      </c>
      <c r="C124" s="6">
        <v>1.0</v>
      </c>
      <c r="D124" s="108" t="s">
        <v>232</v>
      </c>
      <c r="E124" s="9" t="s">
        <v>233</v>
      </c>
      <c r="F124" s="109" t="str">
        <f t="shared" ref="F124:G124" si="123">TRANSLATE(D124,"lzh","vi")</f>
        <v>#NAME?</v>
      </c>
      <c r="G124" s="109" t="str">
        <f t="shared" si="123"/>
        <v>#NAME?</v>
      </c>
      <c r="X124" s="110"/>
    </row>
    <row r="125" ht="21.0" customHeight="1">
      <c r="A125" s="5">
        <v>16.0</v>
      </c>
      <c r="B125" s="6">
        <v>56.0</v>
      </c>
      <c r="C125" s="6">
        <v>1.0</v>
      </c>
      <c r="D125" s="108" t="s">
        <v>234</v>
      </c>
      <c r="E125" s="9" t="s">
        <v>235</v>
      </c>
      <c r="F125" s="109" t="str">
        <f t="shared" ref="F125:G125" si="124">TRANSLATE(D125,"lzh","vi")</f>
        <v>#NAME?</v>
      </c>
      <c r="G125" s="109" t="str">
        <f t="shared" si="124"/>
        <v>#NAME?</v>
      </c>
      <c r="X125" s="110"/>
    </row>
    <row r="126" ht="21.0" customHeight="1">
      <c r="A126" s="5">
        <v>16.0</v>
      </c>
      <c r="B126" s="6">
        <v>57.0</v>
      </c>
      <c r="C126" s="6">
        <v>1.0</v>
      </c>
      <c r="D126" s="108" t="s">
        <v>236</v>
      </c>
      <c r="E126" s="9" t="s">
        <v>237</v>
      </c>
      <c r="F126" s="109" t="str">
        <f t="shared" ref="F126:G126" si="125">TRANSLATE(D126,"lzh","vi")</f>
        <v>#NAME?</v>
      </c>
      <c r="G126" s="109" t="str">
        <f t="shared" si="125"/>
        <v>#NAME?</v>
      </c>
      <c r="X126" s="110"/>
    </row>
    <row r="127" ht="21.0" customHeight="1">
      <c r="A127" s="5">
        <v>16.0</v>
      </c>
      <c r="B127" s="6">
        <v>58.0</v>
      </c>
      <c r="C127" s="6">
        <v>1.0</v>
      </c>
      <c r="D127" s="108" t="s">
        <v>238</v>
      </c>
      <c r="E127" s="9" t="s">
        <v>239</v>
      </c>
      <c r="F127" s="109" t="str">
        <f t="shared" ref="F127:G127" si="126">TRANSLATE(D127,"lzh","vi")</f>
        <v>#NAME?</v>
      </c>
      <c r="G127" s="109" t="str">
        <f t="shared" si="126"/>
        <v>#NAME?</v>
      </c>
      <c r="X127" s="110"/>
    </row>
    <row r="128" ht="21.0" customHeight="1">
      <c r="A128" s="5">
        <v>16.0</v>
      </c>
      <c r="B128" s="6">
        <v>59.0</v>
      </c>
      <c r="C128" s="6">
        <v>1.0</v>
      </c>
      <c r="D128" s="108" t="s">
        <v>240</v>
      </c>
      <c r="E128" s="9" t="s">
        <v>241</v>
      </c>
      <c r="F128" s="109" t="str">
        <f t="shared" ref="F128:G128" si="127">TRANSLATE(D128,"lzh","vi")</f>
        <v>#NAME?</v>
      </c>
      <c r="G128" s="109" t="str">
        <f t="shared" si="127"/>
        <v>#NAME?</v>
      </c>
      <c r="X128" s="110"/>
    </row>
    <row r="129" ht="21.0" customHeight="1">
      <c r="A129" s="5">
        <v>16.0</v>
      </c>
      <c r="B129" s="6">
        <v>60.0</v>
      </c>
      <c r="C129" s="6">
        <v>1.0</v>
      </c>
      <c r="D129" s="108" t="s">
        <v>242</v>
      </c>
      <c r="E129" s="9" t="s">
        <v>243</v>
      </c>
      <c r="F129" s="109" t="str">
        <f t="shared" ref="F129:G129" si="128">TRANSLATE(D129,"lzh","vi")</f>
        <v>#NAME?</v>
      </c>
      <c r="G129" s="109" t="str">
        <f t="shared" si="128"/>
        <v>#NAME?</v>
      </c>
      <c r="X129" s="110"/>
    </row>
    <row r="130" ht="21.0" customHeight="1">
      <c r="A130" s="5">
        <v>16.0</v>
      </c>
      <c r="B130" s="6">
        <v>61.0</v>
      </c>
      <c r="C130" s="6">
        <v>1.0</v>
      </c>
      <c r="D130" s="108" t="s">
        <v>244</v>
      </c>
      <c r="E130" s="9" t="s">
        <v>245</v>
      </c>
      <c r="F130" s="109" t="str">
        <f t="shared" ref="F130:G130" si="129">TRANSLATE(D130,"lzh","vi")</f>
        <v>#NAME?</v>
      </c>
      <c r="G130" s="109" t="str">
        <f t="shared" si="129"/>
        <v>#NAME?</v>
      </c>
      <c r="X130" s="110"/>
    </row>
    <row r="131" ht="21.0" customHeight="1">
      <c r="A131" s="5">
        <v>16.0</v>
      </c>
      <c r="B131" s="6">
        <v>62.0</v>
      </c>
      <c r="C131" s="6">
        <v>1.0</v>
      </c>
      <c r="D131" s="108" t="s">
        <v>246</v>
      </c>
      <c r="E131" s="9" t="s">
        <v>247</v>
      </c>
      <c r="F131" s="109" t="str">
        <f t="shared" ref="F131:G131" si="130">TRANSLATE(D131,"lzh","vi")</f>
        <v>#NAME?</v>
      </c>
      <c r="G131" s="109" t="str">
        <f t="shared" si="130"/>
        <v>#NAME?</v>
      </c>
      <c r="X131" s="110"/>
    </row>
    <row r="132" ht="21.0" customHeight="1">
      <c r="A132" s="5">
        <v>16.0</v>
      </c>
      <c r="B132" s="6">
        <v>63.0</v>
      </c>
      <c r="C132" s="6">
        <v>1.0</v>
      </c>
      <c r="D132" s="108" t="s">
        <v>248</v>
      </c>
      <c r="E132" s="9" t="s">
        <v>249</v>
      </c>
      <c r="F132" s="109" t="str">
        <f t="shared" ref="F132:G132" si="131">TRANSLATE(D132,"lzh","vi")</f>
        <v>#NAME?</v>
      </c>
      <c r="G132" s="109" t="str">
        <f t="shared" si="131"/>
        <v>#NAME?</v>
      </c>
      <c r="X132" s="110"/>
    </row>
    <row r="133" ht="21.0" customHeight="1">
      <c r="A133" s="5">
        <v>16.0</v>
      </c>
      <c r="B133" s="6">
        <v>64.0</v>
      </c>
      <c r="C133" s="6">
        <v>1.0</v>
      </c>
      <c r="D133" s="108" t="s">
        <v>250</v>
      </c>
      <c r="E133" s="9" t="s">
        <v>251</v>
      </c>
      <c r="F133" s="109" t="str">
        <f t="shared" ref="F133:G133" si="132">TRANSLATE(D133,"lzh","vi")</f>
        <v>#NAME?</v>
      </c>
      <c r="G133" s="109" t="str">
        <f t="shared" si="132"/>
        <v>#NAME?</v>
      </c>
      <c r="X133" s="110"/>
    </row>
    <row r="134" ht="21.0" customHeight="1">
      <c r="A134" s="5">
        <v>16.0</v>
      </c>
      <c r="B134" s="6">
        <v>65.0</v>
      </c>
      <c r="C134" s="6">
        <v>1.0</v>
      </c>
      <c r="D134" s="108" t="s">
        <v>252</v>
      </c>
      <c r="E134" s="9" t="s">
        <v>253</v>
      </c>
      <c r="F134" s="109" t="str">
        <f t="shared" ref="F134:G134" si="133">TRANSLATE(D134,"lzh","vi")</f>
        <v>#NAME?</v>
      </c>
      <c r="G134" s="109" t="str">
        <f t="shared" si="133"/>
        <v>#NAME?</v>
      </c>
      <c r="X134" s="110"/>
    </row>
    <row r="135" ht="21.0" customHeight="1">
      <c r="A135" s="5">
        <v>16.0</v>
      </c>
      <c r="B135" s="6">
        <v>66.0</v>
      </c>
      <c r="C135" s="6">
        <v>1.0</v>
      </c>
      <c r="D135" s="108" t="s">
        <v>254</v>
      </c>
      <c r="E135" s="9" t="s">
        <v>255</v>
      </c>
      <c r="F135" s="109" t="str">
        <f t="shared" ref="F135:G135" si="134">TRANSLATE(D135,"lzh","vi")</f>
        <v>#NAME?</v>
      </c>
      <c r="G135" s="109" t="str">
        <f t="shared" si="134"/>
        <v>#NAME?</v>
      </c>
      <c r="X135" s="110"/>
    </row>
    <row r="136" ht="21.0" customHeight="1">
      <c r="A136" s="5">
        <v>16.0</v>
      </c>
      <c r="B136" s="6">
        <v>67.0</v>
      </c>
      <c r="C136" s="6">
        <v>1.0</v>
      </c>
      <c r="D136" s="108" t="s">
        <v>256</v>
      </c>
      <c r="E136" s="9" t="s">
        <v>257</v>
      </c>
      <c r="F136" s="109" t="str">
        <f t="shared" ref="F136:G136" si="135">TRANSLATE(D136,"lzh","vi")</f>
        <v>#NAME?</v>
      </c>
      <c r="G136" s="109" t="str">
        <f t="shared" si="135"/>
        <v>#NAME?</v>
      </c>
      <c r="X136" s="110"/>
    </row>
    <row r="137" ht="21.0" customHeight="1">
      <c r="A137" s="5">
        <v>16.0</v>
      </c>
      <c r="B137" s="6">
        <v>68.0</v>
      </c>
      <c r="C137" s="6">
        <v>1.0</v>
      </c>
      <c r="D137" s="108" t="s">
        <v>258</v>
      </c>
      <c r="E137" s="9" t="s">
        <v>259</v>
      </c>
      <c r="F137" s="109" t="str">
        <f t="shared" ref="F137:G137" si="136">TRANSLATE(D137,"lzh","vi")</f>
        <v>#NAME?</v>
      </c>
      <c r="G137" s="109" t="str">
        <f t="shared" si="136"/>
        <v>#NAME?</v>
      </c>
      <c r="X137" s="110"/>
    </row>
    <row r="138" ht="21.0" customHeight="1">
      <c r="A138" s="5">
        <v>16.0</v>
      </c>
      <c r="B138" s="6">
        <v>69.0</v>
      </c>
      <c r="C138" s="6">
        <v>1.0</v>
      </c>
      <c r="D138" s="108" t="s">
        <v>260</v>
      </c>
      <c r="E138" s="9" t="s">
        <v>261</v>
      </c>
      <c r="F138" s="109" t="str">
        <f t="shared" ref="F138:G138" si="137">TRANSLATE(D138,"lzh","vi")</f>
        <v>#NAME?</v>
      </c>
      <c r="G138" s="109" t="str">
        <f t="shared" si="137"/>
        <v>#NAME?</v>
      </c>
      <c r="X138" s="110"/>
    </row>
    <row r="139" ht="21.0" customHeight="1">
      <c r="A139" s="5">
        <v>16.0</v>
      </c>
      <c r="B139" s="6">
        <v>70.0</v>
      </c>
      <c r="C139" s="6">
        <v>1.0</v>
      </c>
      <c r="D139" s="108" t="s">
        <v>262</v>
      </c>
      <c r="E139" s="9" t="s">
        <v>263</v>
      </c>
      <c r="F139" s="109" t="str">
        <f t="shared" ref="F139:G139" si="138">TRANSLATE(D139,"lzh","vi")</f>
        <v>#NAME?</v>
      </c>
      <c r="G139" s="109" t="str">
        <f t="shared" si="138"/>
        <v>#NAME?</v>
      </c>
      <c r="X139" s="110"/>
    </row>
    <row r="140" ht="21.0" customHeight="1">
      <c r="A140" s="5">
        <v>16.0</v>
      </c>
      <c r="B140" s="6">
        <v>71.0</v>
      </c>
      <c r="C140" s="6">
        <v>1.0</v>
      </c>
      <c r="D140" s="108" t="s">
        <v>264</v>
      </c>
      <c r="E140" s="9" t="s">
        <v>265</v>
      </c>
      <c r="F140" s="109" t="str">
        <f t="shared" ref="F140:G140" si="139">TRANSLATE(D140,"lzh","vi")</f>
        <v>#NAME?</v>
      </c>
      <c r="G140" s="109" t="str">
        <f t="shared" si="139"/>
        <v>#NAME?</v>
      </c>
      <c r="X140" s="110"/>
    </row>
    <row r="141" ht="21.0" customHeight="1">
      <c r="A141" s="5">
        <v>16.0</v>
      </c>
      <c r="B141" s="6">
        <v>72.0</v>
      </c>
      <c r="C141" s="6">
        <v>1.0</v>
      </c>
      <c r="D141" s="108" t="s">
        <v>266</v>
      </c>
      <c r="E141" s="9" t="s">
        <v>267</v>
      </c>
      <c r="F141" s="109" t="str">
        <f t="shared" ref="F141:G141" si="140">TRANSLATE(D141,"lzh","vi")</f>
        <v>#NAME?</v>
      </c>
      <c r="G141" s="109" t="str">
        <f t="shared" si="140"/>
        <v>#NAME?</v>
      </c>
      <c r="X141" s="110"/>
    </row>
    <row r="142" ht="21.0" customHeight="1">
      <c r="A142" s="5">
        <v>16.0</v>
      </c>
      <c r="B142" s="6">
        <v>73.0</v>
      </c>
      <c r="C142" s="6">
        <v>1.0</v>
      </c>
      <c r="D142" s="108" t="s">
        <v>268</v>
      </c>
      <c r="E142" s="9" t="s">
        <v>269</v>
      </c>
      <c r="F142" s="109" t="str">
        <f t="shared" ref="F142:G142" si="141">TRANSLATE(D142,"lzh","vi")</f>
        <v>#NAME?</v>
      </c>
      <c r="G142" s="109" t="str">
        <f t="shared" si="141"/>
        <v>#NAME?</v>
      </c>
      <c r="X142" s="110"/>
    </row>
    <row r="143" ht="21.0" customHeight="1">
      <c r="A143" s="5">
        <v>16.0</v>
      </c>
      <c r="B143" s="6">
        <v>74.0</v>
      </c>
      <c r="C143" s="6">
        <v>1.0</v>
      </c>
      <c r="D143" s="108" t="s">
        <v>270</v>
      </c>
      <c r="E143" s="9" t="s">
        <v>271</v>
      </c>
      <c r="F143" s="109" t="str">
        <f t="shared" ref="F143:G143" si="142">TRANSLATE(D143,"lzh","vi")</f>
        <v>#NAME?</v>
      </c>
      <c r="G143" s="109" t="str">
        <f t="shared" si="142"/>
        <v>#NAME?</v>
      </c>
      <c r="X143" s="110"/>
    </row>
    <row r="144" ht="21.0" customHeight="1">
      <c r="A144" s="5">
        <v>16.0</v>
      </c>
      <c r="B144" s="6">
        <v>75.0</v>
      </c>
      <c r="C144" s="6">
        <v>1.0</v>
      </c>
      <c r="D144" s="108" t="s">
        <v>272</v>
      </c>
      <c r="E144" s="9" t="s">
        <v>273</v>
      </c>
      <c r="F144" s="109" t="str">
        <f t="shared" ref="F144:G144" si="143">TRANSLATE(D144,"lzh","vi")</f>
        <v>#NAME?</v>
      </c>
      <c r="G144" s="109" t="str">
        <f t="shared" si="143"/>
        <v>#NAME?</v>
      </c>
      <c r="X144" s="110"/>
    </row>
    <row r="145" ht="21.0" customHeight="1">
      <c r="A145" s="5">
        <v>16.0</v>
      </c>
      <c r="B145" s="6">
        <v>76.0</v>
      </c>
      <c r="C145" s="6">
        <v>1.0</v>
      </c>
      <c r="D145" s="108" t="s">
        <v>274</v>
      </c>
      <c r="E145" s="9" t="s">
        <v>275</v>
      </c>
      <c r="F145" s="109" t="str">
        <f t="shared" ref="F145:G145" si="144">TRANSLATE(D145,"lzh","vi")</f>
        <v>#NAME?</v>
      </c>
      <c r="G145" s="109" t="str">
        <f t="shared" si="144"/>
        <v>#NAME?</v>
      </c>
      <c r="X145" s="110"/>
    </row>
    <row r="146" ht="21.0" customHeight="1">
      <c r="A146" s="5">
        <v>16.0</v>
      </c>
      <c r="B146" s="6">
        <v>77.0</v>
      </c>
      <c r="C146" s="6">
        <v>1.0</v>
      </c>
      <c r="D146" s="108" t="s">
        <v>276</v>
      </c>
      <c r="E146" s="9" t="s">
        <v>277</v>
      </c>
      <c r="F146" s="109" t="str">
        <f t="shared" ref="F146:G146" si="145">TRANSLATE(D146,"lzh","vi")</f>
        <v>#NAME?</v>
      </c>
      <c r="G146" s="109" t="str">
        <f t="shared" si="145"/>
        <v>#NAME?</v>
      </c>
      <c r="X146" s="110"/>
    </row>
    <row r="147" ht="21.0" customHeight="1">
      <c r="A147" s="5">
        <v>16.0</v>
      </c>
      <c r="B147" s="6">
        <v>78.0</v>
      </c>
      <c r="C147" s="6">
        <v>1.0</v>
      </c>
      <c r="D147" s="108" t="s">
        <v>278</v>
      </c>
      <c r="E147" s="9" t="s">
        <v>279</v>
      </c>
      <c r="F147" s="109" t="str">
        <f t="shared" ref="F147:G147" si="146">TRANSLATE(D147,"lzh","vi")</f>
        <v>#NAME?</v>
      </c>
      <c r="G147" s="109" t="str">
        <f t="shared" si="146"/>
        <v>#NAME?</v>
      </c>
      <c r="X147" s="110"/>
    </row>
    <row r="148" ht="21.0" customHeight="1">
      <c r="A148" s="5">
        <v>16.0</v>
      </c>
      <c r="B148" s="6">
        <v>79.0</v>
      </c>
      <c r="C148" s="6">
        <v>1.0</v>
      </c>
      <c r="D148" s="108" t="s">
        <v>280</v>
      </c>
      <c r="E148" s="9" t="s">
        <v>281</v>
      </c>
      <c r="F148" s="109" t="str">
        <f t="shared" ref="F148:G148" si="147">TRANSLATE(D148,"lzh","vi")</f>
        <v>#NAME?</v>
      </c>
      <c r="G148" s="109" t="str">
        <f t="shared" si="147"/>
        <v>#NAME?</v>
      </c>
      <c r="X148" s="110"/>
    </row>
    <row r="149" ht="21.0" customHeight="1">
      <c r="A149" s="5">
        <v>16.0</v>
      </c>
      <c r="B149" s="6">
        <v>80.0</v>
      </c>
      <c r="C149" s="6">
        <v>1.0</v>
      </c>
      <c r="D149" s="108" t="s">
        <v>282</v>
      </c>
      <c r="E149" s="9" t="s">
        <v>283</v>
      </c>
      <c r="F149" s="109" t="str">
        <f t="shared" ref="F149:G149" si="148">TRANSLATE(D149,"lzh","vi")</f>
        <v>#NAME?</v>
      </c>
      <c r="G149" s="109" t="str">
        <f t="shared" si="148"/>
        <v>#NAME?</v>
      </c>
      <c r="X149" s="110"/>
    </row>
    <row r="150" ht="21.0" customHeight="1">
      <c r="A150" s="5">
        <v>16.0</v>
      </c>
      <c r="B150" s="6">
        <v>81.0</v>
      </c>
      <c r="C150" s="6">
        <v>1.0</v>
      </c>
      <c r="D150" s="108" t="s">
        <v>284</v>
      </c>
      <c r="E150" s="9" t="s">
        <v>285</v>
      </c>
      <c r="F150" s="109" t="str">
        <f t="shared" ref="F150:G150" si="149">TRANSLATE(D150,"lzh","vi")</f>
        <v>#NAME?</v>
      </c>
      <c r="G150" s="109" t="str">
        <f t="shared" si="149"/>
        <v>#NAME?</v>
      </c>
      <c r="X150" s="110"/>
    </row>
    <row r="151" ht="21.0" customHeight="1">
      <c r="A151" s="117">
        <v>16.0</v>
      </c>
      <c r="B151" s="18">
        <v>82.0</v>
      </c>
      <c r="C151" s="18">
        <v>1.0</v>
      </c>
      <c r="D151" s="20" t="s">
        <v>286</v>
      </c>
      <c r="E151" s="19" t="s">
        <v>287</v>
      </c>
      <c r="F151" s="109" t="str">
        <f t="shared" ref="F151:G151" si="150">TRANSLATE(D151,"lzh","vi")</f>
        <v>#NAME?</v>
      </c>
      <c r="G151" s="109" t="str">
        <f t="shared" si="150"/>
        <v>#NAME?</v>
      </c>
      <c r="X151" s="118"/>
    </row>
    <row r="152" ht="21.0" customHeight="1">
      <c r="A152" s="117">
        <v>16.0</v>
      </c>
      <c r="B152" s="18">
        <v>83.0</v>
      </c>
      <c r="C152" s="18">
        <v>1.0</v>
      </c>
      <c r="D152" s="119" t="s">
        <v>288</v>
      </c>
      <c r="E152" s="19" t="s">
        <v>289</v>
      </c>
      <c r="F152" s="109" t="str">
        <f t="shared" ref="F152:G152" si="151">TRANSLATE(D152,"lzh","vi")</f>
        <v>#NAME?</v>
      </c>
      <c r="G152" s="109" t="str">
        <f t="shared" si="151"/>
        <v>#NAME?</v>
      </c>
      <c r="X152" s="118"/>
    </row>
    <row r="153" ht="21.0" customHeight="1">
      <c r="A153" s="117">
        <v>16.0</v>
      </c>
      <c r="B153" s="18">
        <v>84.0</v>
      </c>
      <c r="C153" s="18">
        <v>1.0</v>
      </c>
      <c r="D153" s="20" t="s">
        <v>290</v>
      </c>
      <c r="E153" s="19" t="s">
        <v>291</v>
      </c>
      <c r="F153" s="109" t="str">
        <f t="shared" ref="F153:G153" si="152">TRANSLATE(D153,"lzh","vi")</f>
        <v>#NAME?</v>
      </c>
      <c r="G153" s="109" t="str">
        <f t="shared" si="152"/>
        <v>#NAME?</v>
      </c>
      <c r="X153" s="118"/>
    </row>
    <row r="154" ht="21.0" customHeight="1">
      <c r="A154" s="17">
        <v>16.0</v>
      </c>
      <c r="B154" s="18">
        <v>85.0</v>
      </c>
      <c r="C154" s="18">
        <v>1.0</v>
      </c>
      <c r="D154" s="120" t="s">
        <v>292</v>
      </c>
      <c r="E154" s="19" t="s">
        <v>293</v>
      </c>
      <c r="F154" s="109" t="str">
        <f t="shared" ref="F154:G154" si="153">TRANSLATE(D154,"lzh","vi")</f>
        <v>#NAME?</v>
      </c>
      <c r="G154" s="109" t="str">
        <f t="shared" si="153"/>
        <v>#NAME?</v>
      </c>
      <c r="X154" s="118"/>
    </row>
    <row r="155" ht="21.0" customHeight="1">
      <c r="A155" s="17">
        <v>16.0</v>
      </c>
      <c r="B155" s="18">
        <v>86.0</v>
      </c>
      <c r="C155" s="18">
        <v>1.0</v>
      </c>
      <c r="D155" s="120" t="s">
        <v>294</v>
      </c>
      <c r="E155" s="19" t="s">
        <v>295</v>
      </c>
      <c r="F155" s="109" t="str">
        <f t="shared" ref="F155:G155" si="154">TRANSLATE(D155,"lzh","vi")</f>
        <v>#NAME?</v>
      </c>
      <c r="G155" s="109" t="str">
        <f t="shared" si="154"/>
        <v>#NAME?</v>
      </c>
      <c r="X155" s="118"/>
    </row>
    <row r="156" ht="21.0" customHeight="1">
      <c r="A156" s="5">
        <v>16.0</v>
      </c>
      <c r="B156" s="6">
        <v>87.0</v>
      </c>
      <c r="C156" s="6">
        <v>1.0</v>
      </c>
      <c r="D156" s="108" t="s">
        <v>296</v>
      </c>
      <c r="E156" s="9" t="s">
        <v>297</v>
      </c>
      <c r="F156" s="109" t="str">
        <f t="shared" ref="F156:G156" si="155">TRANSLATE(D156,"lzh","vi")</f>
        <v>#NAME?</v>
      </c>
      <c r="G156" s="109" t="str">
        <f t="shared" si="155"/>
        <v>#NAME?</v>
      </c>
      <c r="X156" s="110"/>
    </row>
    <row r="157" ht="21.0" customHeight="1">
      <c r="A157" s="5">
        <v>16.0</v>
      </c>
      <c r="B157" s="6">
        <v>88.0</v>
      </c>
      <c r="C157" s="6">
        <v>1.0</v>
      </c>
      <c r="D157" s="108" t="s">
        <v>298</v>
      </c>
      <c r="E157" s="9" t="s">
        <v>299</v>
      </c>
      <c r="F157" s="109" t="str">
        <f t="shared" ref="F157:G157" si="156">TRANSLATE(D157,"lzh","vi")</f>
        <v>#NAME?</v>
      </c>
      <c r="G157" s="109" t="str">
        <f t="shared" si="156"/>
        <v>#NAME?</v>
      </c>
      <c r="X157" s="110"/>
    </row>
    <row r="158" ht="21.0" customHeight="1">
      <c r="A158" s="5">
        <v>16.0</v>
      </c>
      <c r="B158" s="6">
        <v>89.0</v>
      </c>
      <c r="C158" s="6">
        <v>1.0</v>
      </c>
      <c r="D158" s="108" t="s">
        <v>300</v>
      </c>
      <c r="E158" s="9" t="s">
        <v>301</v>
      </c>
      <c r="F158" s="109" t="str">
        <f t="shared" ref="F158:G158" si="157">TRANSLATE(D158,"lzh","vi")</f>
        <v>#NAME?</v>
      </c>
      <c r="G158" s="109" t="str">
        <f t="shared" si="157"/>
        <v>#NAME?</v>
      </c>
      <c r="X158" s="110"/>
    </row>
    <row r="159" ht="21.0" customHeight="1">
      <c r="A159" s="5">
        <v>16.0</v>
      </c>
      <c r="B159" s="6">
        <v>90.0</v>
      </c>
      <c r="C159" s="6">
        <v>1.0</v>
      </c>
      <c r="D159" s="108" t="s">
        <v>302</v>
      </c>
      <c r="E159" s="9" t="s">
        <v>303</v>
      </c>
      <c r="F159" s="109" t="str">
        <f t="shared" ref="F159:G159" si="158">TRANSLATE(D159,"lzh","vi")</f>
        <v>#NAME?</v>
      </c>
      <c r="G159" s="109" t="str">
        <f t="shared" si="158"/>
        <v>#NAME?</v>
      </c>
      <c r="X159" s="110"/>
    </row>
    <row r="160" ht="21.0" customHeight="1">
      <c r="A160" s="5">
        <v>16.0</v>
      </c>
      <c r="B160" s="6">
        <v>91.0</v>
      </c>
      <c r="C160" s="6">
        <v>1.0</v>
      </c>
      <c r="D160" s="108" t="s">
        <v>304</v>
      </c>
      <c r="E160" s="9" t="s">
        <v>305</v>
      </c>
      <c r="F160" s="109" t="str">
        <f t="shared" ref="F160:G160" si="159">TRANSLATE(D160,"lzh","vi")</f>
        <v>#NAME?</v>
      </c>
      <c r="G160" s="109" t="str">
        <f t="shared" si="159"/>
        <v>#NAME?</v>
      </c>
      <c r="X160" s="110"/>
    </row>
    <row r="161" ht="21.0" customHeight="1">
      <c r="A161" s="5">
        <v>16.0</v>
      </c>
      <c r="B161" s="6">
        <v>92.0</v>
      </c>
      <c r="C161" s="6">
        <v>1.0</v>
      </c>
      <c r="D161" s="4" t="s">
        <v>306</v>
      </c>
      <c r="E161" s="9" t="s">
        <v>307</v>
      </c>
      <c r="F161" s="109" t="str">
        <f t="shared" ref="F161:G161" si="160">TRANSLATE(D161,"lzh","vi")</f>
        <v>#NAME?</v>
      </c>
      <c r="G161" s="109" t="str">
        <f t="shared" si="160"/>
        <v>#NAME?</v>
      </c>
      <c r="X161" s="110"/>
    </row>
    <row r="162" ht="21.0" customHeight="1">
      <c r="A162" s="5">
        <v>16.0</v>
      </c>
      <c r="B162" s="6">
        <v>93.0</v>
      </c>
      <c r="C162" s="6">
        <v>1.0</v>
      </c>
      <c r="D162" s="4" t="s">
        <v>308</v>
      </c>
      <c r="E162" s="9" t="s">
        <v>309</v>
      </c>
      <c r="F162" s="109" t="str">
        <f t="shared" ref="F162:G162" si="161">TRANSLATE(D162,"lzh","vi")</f>
        <v>#NAME?</v>
      </c>
      <c r="G162" s="109" t="str">
        <f t="shared" si="161"/>
        <v>#NAME?</v>
      </c>
      <c r="X162" s="110"/>
    </row>
    <row r="163" ht="21.0" customHeight="1">
      <c r="A163" s="5">
        <v>16.0</v>
      </c>
      <c r="B163" s="6">
        <v>1.0</v>
      </c>
      <c r="C163" s="6">
        <v>1.0</v>
      </c>
      <c r="D163" s="108" t="s">
        <v>310</v>
      </c>
      <c r="E163" s="9" t="s">
        <v>311</v>
      </c>
      <c r="F163" s="109" t="str">
        <f t="shared" ref="F163:G163" si="162">TRANSLATE(D163,"lzh","vi")</f>
        <v>#NAME?</v>
      </c>
      <c r="G163" s="109" t="str">
        <f t="shared" si="162"/>
        <v>#NAME?</v>
      </c>
      <c r="X163" s="110"/>
    </row>
    <row r="164" ht="21.0" customHeight="1">
      <c r="A164" s="5">
        <v>16.0</v>
      </c>
      <c r="B164" s="6">
        <v>1.0</v>
      </c>
      <c r="C164" s="6">
        <v>1.0</v>
      </c>
      <c r="D164" s="108" t="s">
        <v>312</v>
      </c>
      <c r="E164" s="9" t="s">
        <v>313</v>
      </c>
      <c r="F164" s="109" t="str">
        <f t="shared" ref="F164:G164" si="163">TRANSLATE(D164,"lzh","vi")</f>
        <v>#NAME?</v>
      </c>
      <c r="G164" s="109" t="str">
        <f t="shared" si="163"/>
        <v>#NAME?</v>
      </c>
      <c r="X164" s="110"/>
    </row>
    <row r="165" ht="21.0" customHeight="1">
      <c r="A165" s="5">
        <v>16.0</v>
      </c>
      <c r="B165" s="6">
        <v>1.0</v>
      </c>
      <c r="C165" s="6">
        <v>1.0</v>
      </c>
      <c r="D165" s="108" t="s">
        <v>314</v>
      </c>
      <c r="E165" s="9" t="s">
        <v>315</v>
      </c>
      <c r="F165" s="109" t="str">
        <f t="shared" ref="F165:G165" si="164">TRANSLATE(D165,"lzh","vi")</f>
        <v>#NAME?</v>
      </c>
      <c r="G165" s="109" t="str">
        <f t="shared" si="164"/>
        <v>#NAME?</v>
      </c>
      <c r="X165" s="110"/>
    </row>
    <row r="166" ht="21.0" customHeight="1">
      <c r="A166" s="5">
        <v>5.0</v>
      </c>
      <c r="B166" s="6">
        <v>532.0</v>
      </c>
      <c r="C166" s="6">
        <v>1.0</v>
      </c>
      <c r="D166" s="116" t="s">
        <v>316</v>
      </c>
      <c r="E166" s="9" t="s">
        <v>317</v>
      </c>
      <c r="F166" s="109" t="str">
        <f t="shared" ref="F166:G166" si="165">TRANSLATE(D166,"lzh","vi")</f>
        <v>#NAME?</v>
      </c>
      <c r="G166" s="109" t="str">
        <f t="shared" si="165"/>
        <v>#NAME?</v>
      </c>
      <c r="X166" s="110"/>
    </row>
    <row r="167" ht="21.0" customHeight="1">
      <c r="A167" s="5">
        <v>5.0</v>
      </c>
      <c r="B167" s="6">
        <v>532.0</v>
      </c>
      <c r="C167" s="6">
        <v>1.0</v>
      </c>
      <c r="D167" s="116" t="s">
        <v>318</v>
      </c>
      <c r="E167" s="9" t="s">
        <v>319</v>
      </c>
      <c r="F167" s="109" t="str">
        <f t="shared" ref="F167:G167" si="166">TRANSLATE(D167,"lzh","vi")</f>
        <v>#NAME?</v>
      </c>
      <c r="G167" s="109" t="str">
        <f t="shared" si="166"/>
        <v>#NAME?</v>
      </c>
      <c r="X167" s="110"/>
    </row>
    <row r="168" ht="21.0" customHeight="1">
      <c r="A168" s="5">
        <v>5.0</v>
      </c>
      <c r="B168" s="6">
        <v>532.0</v>
      </c>
      <c r="C168" s="6">
        <v>1.0</v>
      </c>
      <c r="D168" s="116" t="s">
        <v>320</v>
      </c>
      <c r="E168" s="9" t="s">
        <v>321</v>
      </c>
      <c r="F168" s="109" t="str">
        <f t="shared" ref="F168:G168" si="167">TRANSLATE(D168,"lzh","vi")</f>
        <v>#NAME?</v>
      </c>
      <c r="G168" s="109" t="str">
        <f t="shared" si="167"/>
        <v>#NAME?</v>
      </c>
      <c r="X168" s="110"/>
    </row>
    <row r="169" ht="21.0" customHeight="1">
      <c r="A169" s="12">
        <v>5.0</v>
      </c>
      <c r="B169" s="13">
        <v>532.0</v>
      </c>
      <c r="C169" s="13">
        <v>1.0</v>
      </c>
      <c r="D169" s="111" t="s">
        <v>322</v>
      </c>
      <c r="E169" s="11" t="s">
        <v>323</v>
      </c>
      <c r="F169" s="109" t="str">
        <f t="shared" ref="F169:G169" si="168">TRANSLATE(D169,"lzh","vi")</f>
        <v>#NAME?</v>
      </c>
      <c r="G169" s="109" t="str">
        <f t="shared" si="168"/>
        <v>#NAME?</v>
      </c>
      <c r="X169" s="112"/>
    </row>
    <row r="170" ht="21.0" customHeight="1">
      <c r="A170" s="24">
        <v>20.0</v>
      </c>
      <c r="B170" s="25">
        <v>532.0</v>
      </c>
      <c r="C170" s="25">
        <v>1.0</v>
      </c>
      <c r="D170" s="121" t="s">
        <v>324</v>
      </c>
      <c r="E170" s="11" t="s">
        <v>325</v>
      </c>
      <c r="F170" s="109" t="str">
        <f t="shared" ref="F170:G170" si="169">TRANSLATE(D170,"lzh","vi")</f>
        <v>#NAME?</v>
      </c>
      <c r="G170" s="109" t="str">
        <f t="shared" si="169"/>
        <v>#NAME?</v>
      </c>
      <c r="X170" s="27"/>
    </row>
    <row r="171" ht="21.0" customHeight="1">
      <c r="A171" s="24">
        <v>20.0</v>
      </c>
      <c r="B171" s="25">
        <v>532.0</v>
      </c>
      <c r="C171" s="25">
        <v>1.0</v>
      </c>
      <c r="D171" s="121" t="s">
        <v>326</v>
      </c>
      <c r="E171" s="11" t="s">
        <v>325</v>
      </c>
      <c r="F171" s="109" t="str">
        <f t="shared" ref="F171:G171" si="170">TRANSLATE(D171,"lzh","vi")</f>
        <v>#NAME?</v>
      </c>
      <c r="G171" s="109" t="str">
        <f t="shared" si="170"/>
        <v>#NAME?</v>
      </c>
      <c r="X171" s="27"/>
    </row>
    <row r="172" ht="21.0" customHeight="1">
      <c r="A172" s="24">
        <v>20.0</v>
      </c>
      <c r="B172" s="25">
        <v>532.0</v>
      </c>
      <c r="C172" s="25">
        <v>1.0</v>
      </c>
      <c r="D172" s="121" t="s">
        <v>318</v>
      </c>
      <c r="E172" s="11" t="s">
        <v>325</v>
      </c>
      <c r="F172" s="109" t="str">
        <f t="shared" ref="F172:G172" si="171">TRANSLATE(D172,"lzh","vi")</f>
        <v>#NAME?</v>
      </c>
      <c r="G172" s="109" t="str">
        <f t="shared" si="171"/>
        <v>#NAME?</v>
      </c>
      <c r="X172" s="27"/>
    </row>
    <row r="173" ht="21.0" customHeight="1">
      <c r="A173" s="24">
        <v>20.0</v>
      </c>
      <c r="B173" s="25">
        <v>532.0</v>
      </c>
      <c r="C173" s="25">
        <v>1.0</v>
      </c>
      <c r="D173" s="121" t="s">
        <v>327</v>
      </c>
      <c r="E173" s="11" t="s">
        <v>325</v>
      </c>
      <c r="F173" s="109" t="str">
        <f t="shared" ref="F173:G173" si="172">TRANSLATE(D173,"lzh","vi")</f>
        <v>#NAME?</v>
      </c>
      <c r="G173" s="109" t="str">
        <f t="shared" si="172"/>
        <v>#NAME?</v>
      </c>
      <c r="X173" s="27"/>
    </row>
    <row r="174" ht="21.0" customHeight="1">
      <c r="A174" s="5">
        <v>5.0</v>
      </c>
      <c r="B174" s="6">
        <v>532.0</v>
      </c>
      <c r="C174" s="6">
        <v>1.0</v>
      </c>
      <c r="D174" s="116" t="s">
        <v>328</v>
      </c>
      <c r="E174" s="9" t="s">
        <v>329</v>
      </c>
      <c r="F174" s="109" t="str">
        <f t="shared" ref="F174:G174" si="173">TRANSLATE(D174,"lzh","vi")</f>
        <v>#NAME?</v>
      </c>
      <c r="G174" s="109" t="str">
        <f t="shared" si="173"/>
        <v>#NAME?</v>
      </c>
      <c r="X174" s="110"/>
    </row>
    <row r="175" ht="21.0" customHeight="1">
      <c r="A175" s="24">
        <v>20.0</v>
      </c>
      <c r="B175" s="25">
        <v>532.0</v>
      </c>
      <c r="C175" s="25">
        <v>1.0</v>
      </c>
      <c r="D175" s="121" t="s">
        <v>324</v>
      </c>
      <c r="E175" s="11" t="s">
        <v>325</v>
      </c>
      <c r="F175" s="109" t="str">
        <f t="shared" ref="F175:G175" si="174">TRANSLATE(D175,"lzh","vi")</f>
        <v>#NAME?</v>
      </c>
      <c r="G175" s="109" t="str">
        <f t="shared" si="174"/>
        <v>#NAME?</v>
      </c>
      <c r="X175" s="27"/>
    </row>
    <row r="176" ht="21.0" customHeight="1">
      <c r="A176" s="24">
        <v>20.0</v>
      </c>
      <c r="B176" s="25">
        <v>532.0</v>
      </c>
      <c r="C176" s="25">
        <v>1.0</v>
      </c>
      <c r="D176" s="121" t="s">
        <v>326</v>
      </c>
      <c r="E176" s="11" t="s">
        <v>325</v>
      </c>
      <c r="F176" s="109" t="str">
        <f t="shared" ref="F176:G176" si="175">TRANSLATE(D176,"lzh","vi")</f>
        <v>#NAME?</v>
      </c>
      <c r="G176" s="109" t="str">
        <f t="shared" si="175"/>
        <v>#NAME?</v>
      </c>
      <c r="X176" s="27"/>
    </row>
    <row r="177" ht="21.0" customHeight="1">
      <c r="A177" s="24">
        <v>20.0</v>
      </c>
      <c r="B177" s="25">
        <v>532.0</v>
      </c>
      <c r="C177" s="25">
        <v>1.0</v>
      </c>
      <c r="D177" s="121" t="s">
        <v>318</v>
      </c>
      <c r="E177" s="11" t="s">
        <v>325</v>
      </c>
      <c r="F177" s="109" t="str">
        <f t="shared" ref="F177:G177" si="176">TRANSLATE(D177,"lzh","vi")</f>
        <v>#NAME?</v>
      </c>
      <c r="G177" s="109" t="str">
        <f t="shared" si="176"/>
        <v>#NAME?</v>
      </c>
      <c r="X177" s="27"/>
    </row>
    <row r="178" ht="21.0" customHeight="1">
      <c r="A178" s="24">
        <v>20.0</v>
      </c>
      <c r="B178" s="25">
        <v>532.0</v>
      </c>
      <c r="C178" s="25">
        <v>1.0</v>
      </c>
      <c r="D178" s="121" t="s">
        <v>327</v>
      </c>
      <c r="E178" s="11" t="s">
        <v>325</v>
      </c>
      <c r="F178" s="109" t="str">
        <f t="shared" ref="F178:G178" si="177">TRANSLATE(D178,"lzh","vi")</f>
        <v>#NAME?</v>
      </c>
      <c r="G178" s="109" t="str">
        <f t="shared" si="177"/>
        <v>#NAME?</v>
      </c>
      <c r="X178" s="27"/>
    </row>
    <row r="179" ht="21.0" customHeight="1">
      <c r="A179" s="24">
        <v>14.0</v>
      </c>
      <c r="B179" s="25">
        <v>1.0</v>
      </c>
      <c r="C179" s="25">
        <v>1.0</v>
      </c>
      <c r="D179" s="121" t="s">
        <v>330</v>
      </c>
      <c r="E179" s="11" t="s">
        <v>331</v>
      </c>
      <c r="F179" s="109" t="str">
        <f t="shared" ref="F179:G179" si="178">TRANSLATE(D179,"lzh","vi")</f>
        <v>#NAME?</v>
      </c>
      <c r="G179" s="109" t="str">
        <f t="shared" si="178"/>
        <v>#NAME?</v>
      </c>
      <c r="X179" s="27"/>
    </row>
    <row r="180" ht="21.0" customHeight="1">
      <c r="A180" s="24">
        <v>14.0</v>
      </c>
      <c r="B180" s="25">
        <v>1.0</v>
      </c>
      <c r="C180" s="25">
        <v>1.0</v>
      </c>
      <c r="D180" s="121" t="s">
        <v>332</v>
      </c>
      <c r="E180" s="11" t="s">
        <v>333</v>
      </c>
      <c r="F180" s="109" t="str">
        <f t="shared" ref="F180:G180" si="179">TRANSLATE(D180,"lzh","vi")</f>
        <v>#NAME?</v>
      </c>
      <c r="G180" s="109" t="str">
        <f t="shared" si="179"/>
        <v>#NAME?</v>
      </c>
      <c r="X180" s="27"/>
    </row>
    <row r="181" ht="21.0" customHeight="1">
      <c r="A181" s="24">
        <v>14.0</v>
      </c>
      <c r="B181" s="25">
        <v>1.0</v>
      </c>
      <c r="C181" s="25">
        <v>1.0</v>
      </c>
      <c r="D181" s="121" t="s">
        <v>334</v>
      </c>
      <c r="E181" s="11" t="s">
        <v>335</v>
      </c>
      <c r="F181" s="109" t="str">
        <f t="shared" ref="F181:G181" si="180">TRANSLATE(D181,"lzh","vi")</f>
        <v>#NAME?</v>
      </c>
      <c r="G181" s="109" t="str">
        <f t="shared" si="180"/>
        <v>#NAME?</v>
      </c>
      <c r="X181" s="27"/>
    </row>
    <row r="182" ht="21.0" customHeight="1">
      <c r="A182" s="5">
        <v>1.0</v>
      </c>
      <c r="B182" s="6">
        <v>103.0</v>
      </c>
      <c r="C182" s="6">
        <v>1.0</v>
      </c>
      <c r="D182" s="108" t="s">
        <v>336</v>
      </c>
      <c r="E182" s="9" t="s">
        <v>337</v>
      </c>
      <c r="F182" s="109" t="str">
        <f t="shared" ref="F182:G182" si="181">TRANSLATE(D182,"lzh","vi")</f>
        <v>#NAME?</v>
      </c>
      <c r="G182" s="109" t="str">
        <f t="shared" si="181"/>
        <v>#NAME?</v>
      </c>
      <c r="X182" s="110"/>
    </row>
    <row r="183" ht="21.0" customHeight="1">
      <c r="A183" s="5">
        <v>1.0</v>
      </c>
      <c r="B183" s="6">
        <v>103.0</v>
      </c>
      <c r="C183" s="6">
        <v>2.0</v>
      </c>
      <c r="D183" s="108" t="s">
        <v>338</v>
      </c>
      <c r="E183" s="9" t="s">
        <v>339</v>
      </c>
      <c r="F183" s="109" t="str">
        <f t="shared" ref="F183:G183" si="182">TRANSLATE(D183,"lzh","vi")</f>
        <v>#NAME?</v>
      </c>
      <c r="G183" s="109" t="str">
        <f t="shared" si="182"/>
        <v>#NAME?</v>
      </c>
      <c r="X183" s="110"/>
    </row>
    <row r="184" ht="21.0" customHeight="1">
      <c r="A184" s="5">
        <v>1.0</v>
      </c>
      <c r="B184" s="6">
        <v>103.0</v>
      </c>
      <c r="C184" s="6">
        <v>3.0</v>
      </c>
      <c r="D184" s="108" t="s">
        <v>340</v>
      </c>
      <c r="E184" s="9" t="s">
        <v>341</v>
      </c>
      <c r="F184" s="109" t="str">
        <f t="shared" ref="F184:G184" si="183">TRANSLATE(D184,"lzh","vi")</f>
        <v>#NAME?</v>
      </c>
      <c r="G184" s="109" t="str">
        <f t="shared" si="183"/>
        <v>#NAME?</v>
      </c>
      <c r="X184" s="110"/>
    </row>
    <row r="185" ht="21.0" customHeight="1">
      <c r="A185" s="5">
        <v>1.0</v>
      </c>
      <c r="B185" s="6">
        <v>103.0</v>
      </c>
      <c r="C185" s="6">
        <v>4.0</v>
      </c>
      <c r="D185" s="108" t="s">
        <v>342</v>
      </c>
      <c r="E185" s="9" t="s">
        <v>343</v>
      </c>
      <c r="F185" s="109" t="str">
        <f t="shared" ref="F185:G185" si="184">TRANSLATE(D185,"lzh","vi")</f>
        <v>#NAME?</v>
      </c>
      <c r="G185" s="109" t="str">
        <f t="shared" si="184"/>
        <v>#NAME?</v>
      </c>
      <c r="X185" s="110"/>
    </row>
    <row r="186" ht="21.0" customHeight="1">
      <c r="A186" s="5">
        <v>1.0</v>
      </c>
      <c r="B186" s="6">
        <v>103.0</v>
      </c>
      <c r="C186" s="6">
        <v>5.0</v>
      </c>
      <c r="D186" s="108" t="s">
        <v>345</v>
      </c>
      <c r="E186" s="9" t="s">
        <v>346</v>
      </c>
      <c r="F186" s="109" t="str">
        <f t="shared" ref="F186:G186" si="185">TRANSLATE(D186,"lzh","vi")</f>
        <v>#NAME?</v>
      </c>
      <c r="G186" s="109" t="str">
        <f t="shared" si="185"/>
        <v>#NAME?</v>
      </c>
      <c r="X186" s="110"/>
    </row>
    <row r="187" ht="21.0" customHeight="1">
      <c r="A187" s="5">
        <v>1.0</v>
      </c>
      <c r="B187" s="6">
        <v>103.0</v>
      </c>
      <c r="C187" s="6">
        <v>6.0</v>
      </c>
      <c r="D187" s="108" t="s">
        <v>347</v>
      </c>
      <c r="E187" s="9" t="s">
        <v>348</v>
      </c>
      <c r="F187" s="109" t="str">
        <f t="shared" ref="F187:G187" si="186">TRANSLATE(D187,"lzh","vi")</f>
        <v>#NAME?</v>
      </c>
      <c r="G187" s="109" t="str">
        <f t="shared" si="186"/>
        <v>#NAME?</v>
      </c>
      <c r="X187" s="110"/>
    </row>
    <row r="188" ht="21.0" customHeight="1">
      <c r="A188" s="28">
        <v>1.0</v>
      </c>
      <c r="B188" s="29">
        <v>103.0</v>
      </c>
      <c r="C188" s="6">
        <v>7.0</v>
      </c>
      <c r="D188" s="108" t="s">
        <v>349</v>
      </c>
      <c r="E188" s="9" t="s">
        <v>350</v>
      </c>
      <c r="F188" s="109" t="str">
        <f t="shared" ref="F188:G188" si="187">TRANSLATE(D188,"lzh","vi")</f>
        <v>#NAME?</v>
      </c>
      <c r="G188" s="109" t="str">
        <f t="shared" si="187"/>
        <v>#NAME?</v>
      </c>
      <c r="X188" s="110"/>
    </row>
    <row r="189" ht="21.0" customHeight="1">
      <c r="A189" s="28">
        <v>1.0</v>
      </c>
      <c r="B189" s="29">
        <v>103.0</v>
      </c>
      <c r="C189" s="6">
        <v>8.0</v>
      </c>
      <c r="D189" s="108" t="s">
        <v>351</v>
      </c>
      <c r="E189" s="9" t="s">
        <v>352</v>
      </c>
      <c r="F189" s="109" t="str">
        <f t="shared" ref="F189:G189" si="188">TRANSLATE(D189,"lzh","vi")</f>
        <v>#NAME?</v>
      </c>
      <c r="G189" s="109" t="str">
        <f t="shared" si="188"/>
        <v>#NAME?</v>
      </c>
      <c r="X189" s="110"/>
    </row>
    <row r="190" ht="21.0" customHeight="1">
      <c r="A190" s="28">
        <v>1.0</v>
      </c>
      <c r="B190" s="29">
        <v>103.0</v>
      </c>
      <c r="C190" s="6">
        <v>9.0</v>
      </c>
      <c r="D190" s="108" t="s">
        <v>353</v>
      </c>
      <c r="E190" s="9" t="s">
        <v>354</v>
      </c>
      <c r="F190" s="109" t="str">
        <f t="shared" ref="F190:G190" si="189">TRANSLATE(D190,"lzh","vi")</f>
        <v>#NAME?</v>
      </c>
      <c r="G190" s="109" t="str">
        <f t="shared" si="189"/>
        <v>#NAME?</v>
      </c>
      <c r="X190" s="110"/>
    </row>
    <row r="191" ht="21.0" customHeight="1">
      <c r="A191" s="28">
        <v>1.0</v>
      </c>
      <c r="B191" s="29">
        <v>103.0</v>
      </c>
      <c r="C191" s="6">
        <v>10.0</v>
      </c>
      <c r="D191" s="108" t="s">
        <v>355</v>
      </c>
      <c r="E191" s="9" t="s">
        <v>356</v>
      </c>
      <c r="F191" s="109" t="str">
        <f t="shared" ref="F191:G191" si="190">TRANSLATE(D191,"lzh","vi")</f>
        <v>#NAME?</v>
      </c>
      <c r="G191" s="109" t="str">
        <f t="shared" si="190"/>
        <v>#NAME?</v>
      </c>
      <c r="X191" s="110"/>
    </row>
    <row r="192" ht="21.0" customHeight="1">
      <c r="A192" s="5">
        <v>1.0</v>
      </c>
      <c r="B192" s="6">
        <v>103.0</v>
      </c>
      <c r="C192" s="6">
        <v>11.0</v>
      </c>
      <c r="D192" s="108" t="s">
        <v>357</v>
      </c>
      <c r="E192" s="9" t="s">
        <v>358</v>
      </c>
      <c r="F192" s="109" t="str">
        <f t="shared" ref="F192:G192" si="191">TRANSLATE(D192,"lzh","vi")</f>
        <v>#NAME?</v>
      </c>
      <c r="G192" s="109" t="str">
        <f t="shared" si="191"/>
        <v>#NAME?</v>
      </c>
      <c r="X192" s="110"/>
    </row>
    <row r="193" ht="21.0" customHeight="1">
      <c r="A193" s="5">
        <v>13.0</v>
      </c>
      <c r="B193" s="6">
        <v>103.0</v>
      </c>
      <c r="C193" s="6">
        <v>12.0</v>
      </c>
      <c r="D193" s="108" t="s">
        <v>359</v>
      </c>
      <c r="E193" s="9" t="s">
        <v>360</v>
      </c>
      <c r="F193" s="109" t="str">
        <f t="shared" ref="F193:G193" si="192">TRANSLATE(D193,"lzh","vi")</f>
        <v>#NAME?</v>
      </c>
      <c r="G193" s="109" t="str">
        <f t="shared" si="192"/>
        <v>#NAME?</v>
      </c>
      <c r="X193" s="110"/>
    </row>
    <row r="194" ht="21.0" customHeight="1">
      <c r="A194" s="5">
        <v>1.0</v>
      </c>
      <c r="B194" s="6">
        <v>104.0</v>
      </c>
      <c r="C194" s="6">
        <v>1.0</v>
      </c>
      <c r="D194" s="122" t="s">
        <v>361</v>
      </c>
      <c r="E194" s="9" t="s">
        <v>362</v>
      </c>
      <c r="F194" s="109" t="str">
        <f t="shared" ref="F194:G194" si="193">TRANSLATE(D194,"lzh","vi")</f>
        <v>#NAME?</v>
      </c>
      <c r="G194" s="109" t="str">
        <f t="shared" si="193"/>
        <v>#NAME?</v>
      </c>
      <c r="X194" s="110"/>
    </row>
    <row r="195" ht="21.0" customHeight="1">
      <c r="A195" s="5">
        <v>1.0</v>
      </c>
      <c r="B195" s="6">
        <v>104.0</v>
      </c>
      <c r="C195" s="6">
        <v>2.0</v>
      </c>
      <c r="D195" s="122" t="s">
        <v>363</v>
      </c>
      <c r="E195" s="9" t="s">
        <v>364</v>
      </c>
      <c r="F195" s="109" t="str">
        <f t="shared" ref="F195:G195" si="194">TRANSLATE(D195,"lzh","vi")</f>
        <v>#NAME?</v>
      </c>
      <c r="G195" s="109" t="str">
        <f t="shared" si="194"/>
        <v>#NAME?</v>
      </c>
      <c r="X195" s="110"/>
    </row>
    <row r="196" ht="21.0" customHeight="1">
      <c r="A196" s="5">
        <v>1.0</v>
      </c>
      <c r="B196" s="6">
        <v>104.0</v>
      </c>
      <c r="C196" s="6">
        <v>3.0</v>
      </c>
      <c r="D196" s="108" t="s">
        <v>365</v>
      </c>
      <c r="E196" s="9" t="s">
        <v>366</v>
      </c>
      <c r="F196" s="109" t="str">
        <f t="shared" ref="F196:G196" si="195">TRANSLATE(D196,"lzh","vi")</f>
        <v>#NAME?</v>
      </c>
      <c r="G196" s="109" t="str">
        <f t="shared" si="195"/>
        <v>#NAME?</v>
      </c>
      <c r="X196" s="110"/>
    </row>
    <row r="197" ht="21.0" customHeight="1">
      <c r="A197" s="5">
        <v>1.0</v>
      </c>
      <c r="B197" s="6">
        <v>104.0</v>
      </c>
      <c r="C197" s="6">
        <v>4.0</v>
      </c>
      <c r="D197" s="108" t="s">
        <v>367</v>
      </c>
      <c r="E197" s="9" t="s">
        <v>368</v>
      </c>
      <c r="F197" s="109" t="str">
        <f t="shared" ref="F197:G197" si="196">TRANSLATE(D197,"lzh","vi")</f>
        <v>#NAME?</v>
      </c>
      <c r="G197" s="109" t="str">
        <f t="shared" si="196"/>
        <v>#NAME?</v>
      </c>
      <c r="X197" s="110"/>
    </row>
    <row r="198" ht="21.0" customHeight="1">
      <c r="A198" s="5">
        <v>1.0</v>
      </c>
      <c r="B198" s="6">
        <v>104.0</v>
      </c>
      <c r="C198" s="6">
        <v>5.0</v>
      </c>
      <c r="D198" s="108" t="s">
        <v>369</v>
      </c>
      <c r="E198" s="9" t="s">
        <v>370</v>
      </c>
      <c r="F198" s="109" t="str">
        <f t="shared" ref="F198:G198" si="197">TRANSLATE(D198,"lzh","vi")</f>
        <v>#NAME?</v>
      </c>
      <c r="G198" s="109" t="str">
        <f t="shared" si="197"/>
        <v>#NAME?</v>
      </c>
      <c r="X198" s="110"/>
    </row>
    <row r="199" ht="21.0" customHeight="1">
      <c r="A199" s="5">
        <v>1.0</v>
      </c>
      <c r="B199" s="6">
        <v>104.0</v>
      </c>
      <c r="C199" s="6">
        <v>6.0</v>
      </c>
      <c r="D199" s="108" t="s">
        <v>371</v>
      </c>
      <c r="E199" s="9" t="s">
        <v>372</v>
      </c>
      <c r="F199" s="109" t="str">
        <f t="shared" ref="F199:G199" si="198">TRANSLATE(D199,"lzh","vi")</f>
        <v>#NAME?</v>
      </c>
      <c r="G199" s="109" t="str">
        <f t="shared" si="198"/>
        <v>#NAME?</v>
      </c>
      <c r="X199" s="110"/>
    </row>
    <row r="200" ht="21.0" customHeight="1">
      <c r="A200" s="5">
        <v>1.0</v>
      </c>
      <c r="B200" s="6">
        <v>104.0</v>
      </c>
      <c r="C200" s="6">
        <v>7.0</v>
      </c>
      <c r="D200" s="108" t="s">
        <v>373</v>
      </c>
      <c r="E200" s="9" t="s">
        <v>374</v>
      </c>
      <c r="F200" s="109" t="str">
        <f t="shared" ref="F200:G200" si="199">TRANSLATE(D200,"lzh","vi")</f>
        <v>#NAME?</v>
      </c>
      <c r="G200" s="109" t="str">
        <f t="shared" si="199"/>
        <v>#NAME?</v>
      </c>
      <c r="X200" s="110"/>
    </row>
    <row r="201" ht="21.0" customHeight="1">
      <c r="A201" s="5">
        <v>1.0</v>
      </c>
      <c r="B201" s="6">
        <v>104.0</v>
      </c>
      <c r="C201" s="6">
        <v>8.0</v>
      </c>
      <c r="D201" s="108" t="s">
        <v>375</v>
      </c>
      <c r="E201" s="9" t="s">
        <v>376</v>
      </c>
      <c r="F201" s="109" t="str">
        <f t="shared" ref="F201:G201" si="200">TRANSLATE(D201,"lzh","vi")</f>
        <v>#NAME?</v>
      </c>
      <c r="G201" s="109" t="str">
        <f t="shared" si="200"/>
        <v>#NAME?</v>
      </c>
      <c r="X201" s="110"/>
    </row>
    <row r="202" ht="21.0" customHeight="1">
      <c r="A202" s="5">
        <v>1.0</v>
      </c>
      <c r="B202" s="6">
        <v>104.0</v>
      </c>
      <c r="C202" s="6">
        <v>9.0</v>
      </c>
      <c r="D202" s="108" t="s">
        <v>377</v>
      </c>
      <c r="E202" s="9" t="s">
        <v>378</v>
      </c>
      <c r="F202" s="109" t="str">
        <f t="shared" ref="F202:G202" si="201">TRANSLATE(D202,"lzh","vi")</f>
        <v>#NAME?</v>
      </c>
      <c r="G202" s="109" t="str">
        <f t="shared" si="201"/>
        <v>#NAME?</v>
      </c>
      <c r="X202" s="110"/>
    </row>
    <row r="203" ht="21.0" customHeight="1">
      <c r="A203" s="5">
        <v>1.0</v>
      </c>
      <c r="B203" s="6">
        <v>104.0</v>
      </c>
      <c r="C203" s="6">
        <v>10.0</v>
      </c>
      <c r="D203" s="108" t="s">
        <v>379</v>
      </c>
      <c r="E203" s="9" t="s">
        <v>380</v>
      </c>
      <c r="F203" s="109" t="str">
        <f t="shared" ref="F203:G203" si="202">TRANSLATE(D203,"lzh","vi")</f>
        <v>#NAME?</v>
      </c>
      <c r="G203" s="109" t="str">
        <f t="shared" si="202"/>
        <v>#NAME?</v>
      </c>
      <c r="X203" s="110"/>
    </row>
    <row r="204" ht="21.0" customHeight="1">
      <c r="A204" s="5">
        <v>1.0</v>
      </c>
      <c r="B204" s="6">
        <v>105.0</v>
      </c>
      <c r="C204" s="6">
        <v>1.0</v>
      </c>
      <c r="D204" s="108" t="s">
        <v>381</v>
      </c>
      <c r="E204" s="9" t="s">
        <v>382</v>
      </c>
      <c r="F204" s="109" t="str">
        <f t="shared" ref="F204:G204" si="203">TRANSLATE(D204,"lzh","vi")</f>
        <v>#NAME?</v>
      </c>
      <c r="G204" s="109" t="str">
        <f t="shared" si="203"/>
        <v>#NAME?</v>
      </c>
      <c r="X204" s="110"/>
    </row>
    <row r="205" ht="21.0" customHeight="1">
      <c r="A205" s="5">
        <v>1.0</v>
      </c>
      <c r="B205" s="6">
        <v>105.0</v>
      </c>
      <c r="C205" s="6">
        <v>2.0</v>
      </c>
      <c r="D205" s="108" t="s">
        <v>383</v>
      </c>
      <c r="E205" s="9" t="s">
        <v>384</v>
      </c>
      <c r="F205" s="109" t="str">
        <f t="shared" ref="F205:G205" si="204">TRANSLATE(D205,"lzh","vi")</f>
        <v>#NAME?</v>
      </c>
      <c r="G205" s="109" t="str">
        <f t="shared" si="204"/>
        <v>#NAME?</v>
      </c>
      <c r="X205" s="110"/>
    </row>
    <row r="206" ht="21.0" customHeight="1">
      <c r="A206" s="5">
        <v>1.0</v>
      </c>
      <c r="B206" s="6">
        <v>105.0</v>
      </c>
      <c r="C206" s="6">
        <v>3.0</v>
      </c>
      <c r="D206" s="108" t="s">
        <v>385</v>
      </c>
      <c r="E206" s="9" t="s">
        <v>386</v>
      </c>
      <c r="F206" s="109" t="str">
        <f t="shared" ref="F206:G206" si="205">TRANSLATE(D206,"lzh","vi")</f>
        <v>#NAME?</v>
      </c>
      <c r="G206" s="109" t="str">
        <f t="shared" si="205"/>
        <v>#NAME?</v>
      </c>
      <c r="X206" s="110"/>
    </row>
    <row r="207" ht="21.0" customHeight="1">
      <c r="A207" s="5">
        <v>1.0</v>
      </c>
      <c r="B207" s="6">
        <v>105.0</v>
      </c>
      <c r="C207" s="6">
        <v>4.0</v>
      </c>
      <c r="D207" s="108" t="s">
        <v>387</v>
      </c>
      <c r="E207" s="9" t="s">
        <v>388</v>
      </c>
      <c r="F207" s="109" t="str">
        <f t="shared" ref="F207:G207" si="206">TRANSLATE(D207,"lzh","vi")</f>
        <v>#NAME?</v>
      </c>
      <c r="G207" s="109" t="str">
        <f t="shared" si="206"/>
        <v>#NAME?</v>
      </c>
      <c r="X207" s="110"/>
    </row>
    <row r="208" ht="21.0" customHeight="1">
      <c r="A208" s="5">
        <v>1.0</v>
      </c>
      <c r="B208" s="6">
        <v>105.0</v>
      </c>
      <c r="C208" s="6">
        <v>5.0</v>
      </c>
      <c r="D208" s="122" t="s">
        <v>389</v>
      </c>
      <c r="E208" s="9" t="s">
        <v>390</v>
      </c>
      <c r="F208" s="109" t="str">
        <f t="shared" ref="F208:G208" si="207">TRANSLATE(D208,"lzh","vi")</f>
        <v>#NAME?</v>
      </c>
      <c r="G208" s="109" t="str">
        <f t="shared" si="207"/>
        <v>#NAME?</v>
      </c>
      <c r="X208" s="110"/>
    </row>
    <row r="209" ht="21.0" customHeight="1">
      <c r="A209" s="5">
        <v>1.0</v>
      </c>
      <c r="B209" s="6">
        <v>105.0</v>
      </c>
      <c r="C209" s="6">
        <v>6.0</v>
      </c>
      <c r="D209" s="108" t="s">
        <v>391</v>
      </c>
      <c r="E209" s="9" t="s">
        <v>392</v>
      </c>
      <c r="F209" s="109" t="str">
        <f t="shared" ref="F209:G209" si="208">TRANSLATE(D209,"lzh","vi")</f>
        <v>#NAME?</v>
      </c>
      <c r="G209" s="109" t="str">
        <f t="shared" si="208"/>
        <v>#NAME?</v>
      </c>
      <c r="X209" s="110"/>
    </row>
    <row r="210" ht="21.0" customHeight="1">
      <c r="A210" s="5">
        <v>1.0</v>
      </c>
      <c r="B210" s="6">
        <v>105.0</v>
      </c>
      <c r="C210" s="6">
        <v>7.0</v>
      </c>
      <c r="D210" s="108" t="s">
        <v>393</v>
      </c>
      <c r="E210" s="7" t="s">
        <v>394</v>
      </c>
      <c r="F210" s="109" t="str">
        <f t="shared" ref="F210:G210" si="209">TRANSLATE(D210,"lzh","vi")</f>
        <v>#NAME?</v>
      </c>
      <c r="G210" s="109" t="str">
        <f t="shared" si="209"/>
        <v>#NAME?</v>
      </c>
      <c r="X210" s="110"/>
    </row>
    <row r="211" ht="21.0" customHeight="1">
      <c r="A211" s="5">
        <v>1.0</v>
      </c>
      <c r="B211" s="6">
        <v>105.0</v>
      </c>
      <c r="C211" s="6">
        <v>8.0</v>
      </c>
      <c r="D211" s="108" t="s">
        <v>395</v>
      </c>
      <c r="E211" s="7" t="s">
        <v>396</v>
      </c>
      <c r="F211" s="109" t="str">
        <f t="shared" ref="F211:G211" si="210">TRANSLATE(D211,"lzh","vi")</f>
        <v>#NAME?</v>
      </c>
      <c r="G211" s="109" t="str">
        <f t="shared" si="210"/>
        <v>#NAME?</v>
      </c>
      <c r="X211" s="110"/>
    </row>
    <row r="212" ht="21.0" customHeight="1">
      <c r="A212" s="5">
        <v>1.0</v>
      </c>
      <c r="B212" s="6">
        <v>105.0</v>
      </c>
      <c r="C212" s="6">
        <v>9.0</v>
      </c>
      <c r="D212" s="108" t="s">
        <v>397</v>
      </c>
      <c r="E212" s="7" t="s">
        <v>398</v>
      </c>
      <c r="F212" s="109" t="str">
        <f t="shared" ref="F212:G212" si="211">TRANSLATE(D212,"lzh","vi")</f>
        <v>#NAME?</v>
      </c>
      <c r="G212" s="109" t="str">
        <f t="shared" si="211"/>
        <v>#NAME?</v>
      </c>
      <c r="X212" s="110"/>
    </row>
    <row r="213" ht="21.0" customHeight="1">
      <c r="A213" s="5">
        <v>1.0</v>
      </c>
      <c r="B213" s="6">
        <v>105.0</v>
      </c>
      <c r="C213" s="6">
        <v>10.0</v>
      </c>
      <c r="D213" s="108" t="s">
        <v>399</v>
      </c>
      <c r="E213" s="7" t="s">
        <v>400</v>
      </c>
      <c r="F213" s="109" t="str">
        <f t="shared" ref="F213:G213" si="212">TRANSLATE(D213,"lzh","vi")</f>
        <v>#NAME?</v>
      </c>
      <c r="G213" s="109" t="str">
        <f t="shared" si="212"/>
        <v>#NAME?</v>
      </c>
      <c r="X213" s="110"/>
    </row>
    <row r="214" ht="21.0" customHeight="1">
      <c r="A214" s="5">
        <v>1.0</v>
      </c>
      <c r="B214" s="6">
        <v>102.0</v>
      </c>
      <c r="C214" s="6">
        <v>1.0</v>
      </c>
      <c r="D214" s="108" t="s">
        <v>401</v>
      </c>
      <c r="E214" s="7" t="s">
        <v>402</v>
      </c>
      <c r="F214" s="109" t="str">
        <f t="shared" ref="F214:G214" si="213">TRANSLATE(D214,"lzh","vi")</f>
        <v>#NAME?</v>
      </c>
      <c r="G214" s="109" t="str">
        <f t="shared" si="213"/>
        <v>#NAME?</v>
      </c>
      <c r="X214" s="110"/>
    </row>
    <row r="215" ht="21.0" customHeight="1">
      <c r="A215" s="5">
        <v>1.0</v>
      </c>
      <c r="B215" s="6">
        <v>102.0</v>
      </c>
      <c r="C215" s="6">
        <v>2.0</v>
      </c>
      <c r="D215" s="108" t="s">
        <v>403</v>
      </c>
      <c r="E215" s="7" t="s">
        <v>404</v>
      </c>
      <c r="F215" s="109" t="str">
        <f t="shared" ref="F215:G215" si="214">TRANSLATE(D215,"lzh","vi")</f>
        <v>#NAME?</v>
      </c>
      <c r="G215" s="109" t="str">
        <f t="shared" si="214"/>
        <v>#NAME?</v>
      </c>
      <c r="X215" s="110"/>
    </row>
    <row r="216" ht="21.0" customHeight="1">
      <c r="A216" s="5">
        <v>1.0</v>
      </c>
      <c r="B216" s="6">
        <v>102.0</v>
      </c>
      <c r="C216" s="6">
        <v>3.0</v>
      </c>
      <c r="D216" s="108" t="s">
        <v>405</v>
      </c>
      <c r="E216" s="9" t="s">
        <v>406</v>
      </c>
      <c r="F216" s="109" t="str">
        <f t="shared" ref="F216:G216" si="215">TRANSLATE(D216,"lzh","vi")</f>
        <v>#NAME?</v>
      </c>
      <c r="G216" s="109" t="str">
        <f t="shared" si="215"/>
        <v>#NAME?</v>
      </c>
      <c r="X216" s="110"/>
    </row>
    <row r="217" ht="21.0" customHeight="1">
      <c r="A217" s="5">
        <v>1.0</v>
      </c>
      <c r="B217" s="6">
        <v>102.0</v>
      </c>
      <c r="C217" s="6">
        <v>4.0</v>
      </c>
      <c r="D217" s="108" t="s">
        <v>407</v>
      </c>
      <c r="E217" s="9" t="s">
        <v>408</v>
      </c>
      <c r="F217" s="109" t="str">
        <f t="shared" ref="F217:G217" si="216">TRANSLATE(D217,"lzh","vi")</f>
        <v>#NAME?</v>
      </c>
      <c r="G217" s="109" t="str">
        <f t="shared" si="216"/>
        <v>#NAME?</v>
      </c>
      <c r="X217" s="110"/>
    </row>
    <row r="218" ht="21.0" customHeight="1">
      <c r="A218" s="5">
        <v>1.0</v>
      </c>
      <c r="B218" s="6">
        <v>102.0</v>
      </c>
      <c r="C218" s="6">
        <v>5.0</v>
      </c>
      <c r="D218" s="108" t="s">
        <v>409</v>
      </c>
      <c r="E218" s="9" t="s">
        <v>410</v>
      </c>
      <c r="F218" s="109" t="str">
        <f t="shared" ref="F218:G218" si="217">TRANSLATE(D218,"lzh","vi")</f>
        <v>#NAME?</v>
      </c>
      <c r="G218" s="109" t="str">
        <f t="shared" si="217"/>
        <v>#NAME?</v>
      </c>
      <c r="X218" s="110"/>
    </row>
    <row r="219" ht="21.0" customHeight="1">
      <c r="A219" s="5">
        <v>1.0</v>
      </c>
      <c r="B219" s="6">
        <v>102.0</v>
      </c>
      <c r="C219" s="6">
        <v>6.0</v>
      </c>
      <c r="D219" s="108" t="s">
        <v>411</v>
      </c>
      <c r="E219" s="9" t="s">
        <v>412</v>
      </c>
      <c r="F219" s="109" t="str">
        <f t="shared" ref="F219:G219" si="218">TRANSLATE(D219,"lzh","vi")</f>
        <v>#NAME?</v>
      </c>
      <c r="G219" s="109" t="str">
        <f t="shared" si="218"/>
        <v>#NAME?</v>
      </c>
      <c r="X219" s="110"/>
    </row>
    <row r="220" ht="21.0" customHeight="1">
      <c r="A220" s="5">
        <v>1.0</v>
      </c>
      <c r="B220" s="6">
        <v>102.0</v>
      </c>
      <c r="C220" s="6">
        <v>7.0</v>
      </c>
      <c r="D220" s="108" t="s">
        <v>413</v>
      </c>
      <c r="E220" s="9" t="s">
        <v>414</v>
      </c>
      <c r="F220" s="109" t="str">
        <f t="shared" ref="F220:G220" si="219">TRANSLATE(D220,"lzh","vi")</f>
        <v>#NAME?</v>
      </c>
      <c r="G220" s="109" t="str">
        <f t="shared" si="219"/>
        <v>#NAME?</v>
      </c>
      <c r="X220" s="110"/>
    </row>
    <row r="221" ht="21.0" customHeight="1">
      <c r="A221" s="5">
        <v>1.0</v>
      </c>
      <c r="B221" s="6">
        <v>102.0</v>
      </c>
      <c r="C221" s="6">
        <v>8.0</v>
      </c>
      <c r="D221" s="108" t="s">
        <v>415</v>
      </c>
      <c r="E221" s="9" t="s">
        <v>416</v>
      </c>
      <c r="F221" s="109" t="str">
        <f t="shared" ref="F221:G221" si="220">TRANSLATE(D221,"lzh","vi")</f>
        <v>#NAME?</v>
      </c>
      <c r="G221" s="109" t="str">
        <f t="shared" si="220"/>
        <v>#NAME?</v>
      </c>
      <c r="X221" s="110"/>
    </row>
    <row r="222" ht="21.0" customHeight="1">
      <c r="A222" s="5">
        <v>1.0</v>
      </c>
      <c r="B222" s="6">
        <v>102.0</v>
      </c>
      <c r="C222" s="6">
        <v>9.0</v>
      </c>
      <c r="D222" s="108" t="s">
        <v>417</v>
      </c>
      <c r="E222" s="9" t="s">
        <v>418</v>
      </c>
      <c r="F222" s="109" t="str">
        <f t="shared" ref="F222:G222" si="221">TRANSLATE(D222,"lzh","vi")</f>
        <v>#NAME?</v>
      </c>
      <c r="G222" s="109" t="str">
        <f t="shared" si="221"/>
        <v>#NAME?</v>
      </c>
      <c r="X222" s="110"/>
    </row>
    <row r="223" ht="21.0" customHeight="1">
      <c r="A223" s="5">
        <v>1.0</v>
      </c>
      <c r="B223" s="6">
        <v>102.0</v>
      </c>
      <c r="C223" s="6">
        <v>10.0</v>
      </c>
      <c r="D223" s="108" t="s">
        <v>419</v>
      </c>
      <c r="E223" s="9" t="s">
        <v>420</v>
      </c>
      <c r="F223" s="109" t="str">
        <f t="shared" ref="F223:G223" si="222">TRANSLATE(D223,"lzh","vi")</f>
        <v>#NAME?</v>
      </c>
      <c r="G223" s="109" t="str">
        <f t="shared" si="222"/>
        <v>#NAME?</v>
      </c>
      <c r="X223" s="110"/>
    </row>
    <row r="224" ht="21.0" customHeight="1">
      <c r="A224" s="5">
        <v>1.0</v>
      </c>
      <c r="B224" s="6">
        <v>106.0</v>
      </c>
      <c r="C224" s="6">
        <v>1.0</v>
      </c>
      <c r="D224" s="108" t="s">
        <v>421</v>
      </c>
      <c r="E224" s="9" t="s">
        <v>422</v>
      </c>
      <c r="F224" s="109" t="str">
        <f t="shared" ref="F224:G224" si="223">TRANSLATE(D224,"lzh","vi")</f>
        <v>#NAME?</v>
      </c>
      <c r="G224" s="109" t="str">
        <f t="shared" si="223"/>
        <v>#NAME?</v>
      </c>
      <c r="X224" s="110"/>
    </row>
    <row r="225" ht="21.0" customHeight="1">
      <c r="A225" s="5">
        <v>1.0</v>
      </c>
      <c r="B225" s="6">
        <v>106.0</v>
      </c>
      <c r="C225" s="6">
        <v>2.0</v>
      </c>
      <c r="D225" s="108" t="s">
        <v>423</v>
      </c>
      <c r="E225" s="9" t="s">
        <v>424</v>
      </c>
      <c r="F225" s="109" t="str">
        <f t="shared" ref="F225:G225" si="224">TRANSLATE(D225,"lzh","vi")</f>
        <v>#NAME?</v>
      </c>
      <c r="G225" s="109" t="str">
        <f t="shared" si="224"/>
        <v>#NAME?</v>
      </c>
      <c r="X225" s="110"/>
    </row>
    <row r="226" ht="21.0" customHeight="1">
      <c r="A226" s="5">
        <v>1.0</v>
      </c>
      <c r="B226" s="6">
        <v>106.0</v>
      </c>
      <c r="C226" s="6">
        <v>3.0</v>
      </c>
      <c r="D226" s="108" t="s">
        <v>425</v>
      </c>
      <c r="E226" s="9" t="s">
        <v>426</v>
      </c>
      <c r="F226" s="109" t="str">
        <f t="shared" ref="F226:G226" si="225">TRANSLATE(D226,"lzh","vi")</f>
        <v>#NAME?</v>
      </c>
      <c r="G226" s="109" t="str">
        <f t="shared" si="225"/>
        <v>#NAME?</v>
      </c>
      <c r="X226" s="110"/>
    </row>
    <row r="227" ht="21.0" customHeight="1">
      <c r="A227" s="5">
        <v>1.0</v>
      </c>
      <c r="B227" s="6">
        <v>106.0</v>
      </c>
      <c r="C227" s="6">
        <v>4.0</v>
      </c>
      <c r="D227" s="122" t="s">
        <v>427</v>
      </c>
      <c r="E227" s="9" t="s">
        <v>428</v>
      </c>
      <c r="F227" s="109" t="str">
        <f t="shared" ref="F227:G227" si="226">TRANSLATE(D227,"lzh","vi")</f>
        <v>#NAME?</v>
      </c>
      <c r="G227" s="109" t="str">
        <f t="shared" si="226"/>
        <v>#NAME?</v>
      </c>
      <c r="X227" s="110"/>
    </row>
    <row r="228" ht="21.0" customHeight="1">
      <c r="A228" s="5">
        <v>1.0</v>
      </c>
      <c r="B228" s="6">
        <v>106.0</v>
      </c>
      <c r="C228" s="6">
        <v>5.0</v>
      </c>
      <c r="D228" s="108" t="s">
        <v>429</v>
      </c>
      <c r="E228" s="9" t="s">
        <v>430</v>
      </c>
      <c r="F228" s="109" t="str">
        <f t="shared" ref="F228:G228" si="227">TRANSLATE(D228,"lzh","vi")</f>
        <v>#NAME?</v>
      </c>
      <c r="G228" s="109" t="str">
        <f t="shared" si="227"/>
        <v>#NAME?</v>
      </c>
      <c r="X228" s="110"/>
    </row>
    <row r="229" ht="21.0" customHeight="1">
      <c r="A229" s="5">
        <v>1.0</v>
      </c>
      <c r="B229" s="6">
        <v>106.0</v>
      </c>
      <c r="C229" s="6">
        <v>6.0</v>
      </c>
      <c r="D229" s="108" t="s">
        <v>431</v>
      </c>
      <c r="E229" s="9" t="s">
        <v>432</v>
      </c>
      <c r="F229" s="109" t="str">
        <f t="shared" ref="F229:G229" si="228">TRANSLATE(D229,"lzh","vi")</f>
        <v>#NAME?</v>
      </c>
      <c r="G229" s="109" t="str">
        <f t="shared" si="228"/>
        <v>#NAME?</v>
      </c>
      <c r="X229" s="110"/>
    </row>
    <row r="230" ht="21.0" customHeight="1">
      <c r="A230" s="5">
        <v>1.0</v>
      </c>
      <c r="B230" s="6">
        <v>106.0</v>
      </c>
      <c r="C230" s="6">
        <v>7.0</v>
      </c>
      <c r="D230" s="108" t="s">
        <v>433</v>
      </c>
      <c r="E230" s="9" t="s">
        <v>434</v>
      </c>
      <c r="F230" s="109" t="str">
        <f t="shared" ref="F230:G230" si="229">TRANSLATE(D230,"lzh","vi")</f>
        <v>#NAME?</v>
      </c>
      <c r="G230" s="109" t="str">
        <f t="shared" si="229"/>
        <v>#NAME?</v>
      </c>
      <c r="X230" s="110"/>
    </row>
    <row r="231" ht="21.0" customHeight="1">
      <c r="A231" s="5">
        <v>1.0</v>
      </c>
      <c r="B231" s="6">
        <v>106.0</v>
      </c>
      <c r="C231" s="6">
        <v>8.0</v>
      </c>
      <c r="D231" s="108" t="s">
        <v>435</v>
      </c>
      <c r="E231" s="9" t="s">
        <v>436</v>
      </c>
      <c r="F231" s="109" t="str">
        <f t="shared" ref="F231:G231" si="230">TRANSLATE(D231,"lzh","vi")</f>
        <v>#NAME?</v>
      </c>
      <c r="G231" s="109" t="str">
        <f t="shared" si="230"/>
        <v>#NAME?</v>
      </c>
      <c r="X231" s="110"/>
    </row>
    <row r="232" ht="21.0" customHeight="1">
      <c r="A232" s="5">
        <v>1.0</v>
      </c>
      <c r="B232" s="6">
        <v>106.0</v>
      </c>
      <c r="C232" s="6">
        <v>9.0</v>
      </c>
      <c r="D232" s="108" t="s">
        <v>437</v>
      </c>
      <c r="E232" s="9" t="s">
        <v>438</v>
      </c>
      <c r="F232" s="109" t="str">
        <f t="shared" ref="F232:G232" si="231">TRANSLATE(D232,"lzh","vi")</f>
        <v>#NAME?</v>
      </c>
      <c r="G232" s="109" t="str">
        <f t="shared" si="231"/>
        <v>#NAME?</v>
      </c>
      <c r="X232" s="110"/>
    </row>
    <row r="233" ht="21.0" customHeight="1">
      <c r="A233" s="5">
        <v>1.0</v>
      </c>
      <c r="B233" s="6">
        <v>106.0</v>
      </c>
      <c r="C233" s="6">
        <v>10.0</v>
      </c>
      <c r="D233" s="108" t="s">
        <v>439</v>
      </c>
      <c r="E233" s="9" t="s">
        <v>440</v>
      </c>
      <c r="F233" s="109" t="str">
        <f t="shared" ref="F233:G233" si="232">TRANSLATE(D233,"lzh","vi")</f>
        <v>#NAME?</v>
      </c>
      <c r="G233" s="109" t="str">
        <f t="shared" si="232"/>
        <v>#NAME?</v>
      </c>
      <c r="X233" s="110"/>
    </row>
    <row r="234" ht="21.0" customHeight="1">
      <c r="A234" s="5">
        <v>1.0</v>
      </c>
      <c r="B234" s="6">
        <v>107.0</v>
      </c>
      <c r="C234" s="6">
        <v>1.0</v>
      </c>
      <c r="D234" s="108" t="s">
        <v>441</v>
      </c>
      <c r="E234" s="9" t="s">
        <v>442</v>
      </c>
      <c r="F234" s="109" t="str">
        <f t="shared" ref="F234:G234" si="233">TRANSLATE(D234,"lzh","vi")</f>
        <v>#NAME?</v>
      </c>
      <c r="G234" s="109" t="str">
        <f t="shared" si="233"/>
        <v>#NAME?</v>
      </c>
      <c r="X234" s="110"/>
    </row>
    <row r="235" ht="21.0" customHeight="1">
      <c r="A235" s="5">
        <v>1.0</v>
      </c>
      <c r="B235" s="6">
        <v>107.0</v>
      </c>
      <c r="C235" s="6">
        <v>2.0</v>
      </c>
      <c r="D235" s="108" t="s">
        <v>443</v>
      </c>
      <c r="E235" s="9" t="s">
        <v>444</v>
      </c>
      <c r="F235" s="109" t="str">
        <f t="shared" ref="F235:G235" si="234">TRANSLATE(D235,"lzh","vi")</f>
        <v>#NAME?</v>
      </c>
      <c r="G235" s="109" t="str">
        <f t="shared" si="234"/>
        <v>#NAME?</v>
      </c>
      <c r="X235" s="110"/>
    </row>
    <row r="236" ht="21.0" customHeight="1">
      <c r="A236" s="5">
        <v>1.0</v>
      </c>
      <c r="B236" s="6">
        <v>107.0</v>
      </c>
      <c r="C236" s="6">
        <v>3.0</v>
      </c>
      <c r="D236" s="108" t="s">
        <v>445</v>
      </c>
      <c r="E236" s="9" t="s">
        <v>446</v>
      </c>
      <c r="F236" s="109" t="str">
        <f t="shared" ref="F236:G236" si="235">TRANSLATE(D236,"lzh","vi")</f>
        <v>#NAME?</v>
      </c>
      <c r="G236" s="109" t="str">
        <f t="shared" si="235"/>
        <v>#NAME?</v>
      </c>
      <c r="X236" s="110"/>
    </row>
    <row r="237" ht="21.0" customHeight="1">
      <c r="A237" s="5">
        <v>1.0</v>
      </c>
      <c r="B237" s="6">
        <v>107.0</v>
      </c>
      <c r="C237" s="6">
        <v>4.0</v>
      </c>
      <c r="D237" s="108" t="s">
        <v>447</v>
      </c>
      <c r="E237" s="9" t="s">
        <v>448</v>
      </c>
      <c r="F237" s="109" t="str">
        <f t="shared" ref="F237:G237" si="236">TRANSLATE(D237,"lzh","vi")</f>
        <v>#NAME?</v>
      </c>
      <c r="G237" s="109" t="str">
        <f t="shared" si="236"/>
        <v>#NAME?</v>
      </c>
      <c r="X237" s="110"/>
    </row>
    <row r="238" ht="21.0" customHeight="1">
      <c r="A238" s="5">
        <v>1.0</v>
      </c>
      <c r="B238" s="6">
        <v>107.0</v>
      </c>
      <c r="C238" s="6">
        <v>5.0</v>
      </c>
      <c r="D238" s="108" t="s">
        <v>449</v>
      </c>
      <c r="E238" s="9" t="s">
        <v>450</v>
      </c>
      <c r="F238" s="109" t="str">
        <f t="shared" ref="F238:G238" si="237">TRANSLATE(D238,"lzh","vi")</f>
        <v>#NAME?</v>
      </c>
      <c r="G238" s="109" t="str">
        <f t="shared" si="237"/>
        <v>#NAME?</v>
      </c>
      <c r="X238" s="110"/>
    </row>
    <row r="239" ht="21.0" customHeight="1">
      <c r="A239" s="5">
        <v>1.0</v>
      </c>
      <c r="B239" s="6">
        <v>107.0</v>
      </c>
      <c r="C239" s="6">
        <v>6.0</v>
      </c>
      <c r="D239" s="108" t="s">
        <v>451</v>
      </c>
      <c r="E239" s="9" t="s">
        <v>452</v>
      </c>
      <c r="F239" s="109" t="str">
        <f t="shared" ref="F239:G239" si="238">TRANSLATE(D239,"lzh","vi")</f>
        <v>#NAME?</v>
      </c>
      <c r="G239" s="109" t="str">
        <f t="shared" si="238"/>
        <v>#NAME?</v>
      </c>
      <c r="X239" s="110"/>
    </row>
    <row r="240" ht="21.0" customHeight="1">
      <c r="A240" s="5">
        <v>1.0</v>
      </c>
      <c r="B240" s="6">
        <v>107.0</v>
      </c>
      <c r="C240" s="6">
        <v>7.0</v>
      </c>
      <c r="D240" s="108" t="s">
        <v>453</v>
      </c>
      <c r="E240" s="9" t="s">
        <v>454</v>
      </c>
      <c r="F240" s="109" t="str">
        <f t="shared" ref="F240:G240" si="239">TRANSLATE(D240,"lzh","vi")</f>
        <v>#NAME?</v>
      </c>
      <c r="G240" s="109" t="str">
        <f t="shared" si="239"/>
        <v>#NAME?</v>
      </c>
      <c r="X240" s="110"/>
    </row>
    <row r="241" ht="21.0" customHeight="1">
      <c r="A241" s="5">
        <v>1.0</v>
      </c>
      <c r="B241" s="6">
        <v>107.0</v>
      </c>
      <c r="C241" s="6">
        <v>8.0</v>
      </c>
      <c r="D241" s="108" t="s">
        <v>455</v>
      </c>
      <c r="E241" s="9" t="s">
        <v>456</v>
      </c>
      <c r="F241" s="109" t="str">
        <f t="shared" ref="F241:G241" si="240">TRANSLATE(D241,"lzh","vi")</f>
        <v>#NAME?</v>
      </c>
      <c r="G241" s="109" t="str">
        <f t="shared" si="240"/>
        <v>#NAME?</v>
      </c>
      <c r="X241" s="110"/>
    </row>
    <row r="242" ht="21.0" customHeight="1">
      <c r="A242" s="5">
        <v>1.0</v>
      </c>
      <c r="B242" s="6">
        <v>107.0</v>
      </c>
      <c r="C242" s="6">
        <v>9.0</v>
      </c>
      <c r="D242" s="108" t="s">
        <v>457</v>
      </c>
      <c r="E242" s="9" t="s">
        <v>458</v>
      </c>
      <c r="F242" s="109" t="str">
        <f t="shared" ref="F242:G242" si="241">TRANSLATE(D242,"lzh","vi")</f>
        <v>#NAME?</v>
      </c>
      <c r="G242" s="109" t="str">
        <f t="shared" si="241"/>
        <v>#NAME?</v>
      </c>
      <c r="X242" s="110"/>
    </row>
    <row r="243" ht="21.0" customHeight="1">
      <c r="A243" s="5">
        <v>1.0</v>
      </c>
      <c r="B243" s="6">
        <v>107.0</v>
      </c>
      <c r="C243" s="6">
        <v>10.0</v>
      </c>
      <c r="D243" s="108" t="s">
        <v>459</v>
      </c>
      <c r="E243" s="9" t="s">
        <v>460</v>
      </c>
      <c r="F243" s="109" t="str">
        <f t="shared" ref="F243:G243" si="242">TRANSLATE(D243,"lzh","vi")</f>
        <v>#NAME?</v>
      </c>
      <c r="G243" s="109" t="str">
        <f t="shared" si="242"/>
        <v>#NAME?</v>
      </c>
      <c r="X243" s="110"/>
    </row>
    <row r="244" ht="21.0" customHeight="1">
      <c r="A244" s="5">
        <v>13.0</v>
      </c>
      <c r="B244" s="6">
        <v>107.0</v>
      </c>
      <c r="C244" s="6">
        <v>11.0</v>
      </c>
      <c r="D244" s="108" t="s">
        <v>461</v>
      </c>
      <c r="E244" s="9" t="s">
        <v>462</v>
      </c>
      <c r="F244" s="109" t="str">
        <f t="shared" ref="F244:G244" si="243">TRANSLATE(D244,"lzh","vi")</f>
        <v>#NAME?</v>
      </c>
      <c r="G244" s="109" t="str">
        <f t="shared" si="243"/>
        <v>#NAME?</v>
      </c>
      <c r="X244" s="110"/>
    </row>
    <row r="245" ht="21.0" customHeight="1">
      <c r="A245" s="5">
        <v>2.0</v>
      </c>
      <c r="B245" s="6">
        <v>201.0</v>
      </c>
      <c r="C245" s="6">
        <v>1.0</v>
      </c>
      <c r="D245" s="108" t="s">
        <v>463</v>
      </c>
      <c r="E245" s="9" t="s">
        <v>464</v>
      </c>
      <c r="F245" s="109" t="str">
        <f t="shared" ref="F245:G245" si="244">TRANSLATE(D245,"lzh","vi")</f>
        <v>#NAME?</v>
      </c>
      <c r="G245" s="109" t="str">
        <f t="shared" si="244"/>
        <v>#NAME?</v>
      </c>
      <c r="X245" s="110"/>
    </row>
    <row r="246" ht="21.0" customHeight="1">
      <c r="A246" s="5">
        <v>2.0</v>
      </c>
      <c r="B246" s="6">
        <v>201.0</v>
      </c>
      <c r="C246" s="6">
        <v>2.0</v>
      </c>
      <c r="D246" s="108" t="s">
        <v>465</v>
      </c>
      <c r="E246" s="9" t="s">
        <v>466</v>
      </c>
      <c r="F246" s="109" t="str">
        <f t="shared" ref="F246:G246" si="245">TRANSLATE(D246,"lzh","vi")</f>
        <v>#NAME?</v>
      </c>
      <c r="G246" s="109" t="str">
        <f t="shared" si="245"/>
        <v>#NAME?</v>
      </c>
      <c r="X246" s="110"/>
    </row>
    <row r="247" ht="21.0" customHeight="1">
      <c r="A247" s="5">
        <v>2.0</v>
      </c>
      <c r="B247" s="6">
        <v>201.0</v>
      </c>
      <c r="C247" s="6">
        <v>3.0</v>
      </c>
      <c r="D247" s="108" t="s">
        <v>467</v>
      </c>
      <c r="E247" s="9" t="s">
        <v>468</v>
      </c>
      <c r="F247" s="109" t="str">
        <f t="shared" ref="F247:G247" si="246">TRANSLATE(D247,"lzh","vi")</f>
        <v>#NAME?</v>
      </c>
      <c r="G247" s="109" t="str">
        <f t="shared" si="246"/>
        <v>#NAME?</v>
      </c>
      <c r="X247" s="110"/>
    </row>
    <row r="248" ht="21.0" customHeight="1">
      <c r="A248" s="5">
        <v>2.0</v>
      </c>
      <c r="B248" s="6">
        <v>201.0</v>
      </c>
      <c r="C248" s="6">
        <v>4.0</v>
      </c>
      <c r="D248" s="108" t="s">
        <v>469</v>
      </c>
      <c r="E248" s="9" t="s">
        <v>470</v>
      </c>
      <c r="F248" s="109" t="str">
        <f t="shared" ref="F248:G248" si="247">TRANSLATE(D248,"lzh","vi")</f>
        <v>#NAME?</v>
      </c>
      <c r="G248" s="109" t="str">
        <f t="shared" si="247"/>
        <v>#NAME?</v>
      </c>
      <c r="X248" s="110"/>
    </row>
    <row r="249" ht="21.0" customHeight="1">
      <c r="A249" s="5">
        <v>2.0</v>
      </c>
      <c r="B249" s="6">
        <v>201.0</v>
      </c>
      <c r="C249" s="6">
        <v>5.0</v>
      </c>
      <c r="D249" s="108" t="s">
        <v>471</v>
      </c>
      <c r="E249" s="9" t="s">
        <v>472</v>
      </c>
      <c r="F249" s="109" t="str">
        <f t="shared" ref="F249:G249" si="248">TRANSLATE(D249,"lzh","vi")</f>
        <v>#NAME?</v>
      </c>
      <c r="G249" s="109" t="str">
        <f t="shared" si="248"/>
        <v>#NAME?</v>
      </c>
      <c r="X249" s="110"/>
    </row>
    <row r="250" ht="21.0" customHeight="1">
      <c r="A250" s="5">
        <v>2.0</v>
      </c>
      <c r="B250" s="6">
        <v>201.0</v>
      </c>
      <c r="C250" s="6">
        <v>6.0</v>
      </c>
      <c r="D250" s="108" t="s">
        <v>473</v>
      </c>
      <c r="E250" s="9" t="s">
        <v>474</v>
      </c>
      <c r="F250" s="109" t="str">
        <f t="shared" ref="F250:G250" si="249">TRANSLATE(D250,"lzh","vi")</f>
        <v>#NAME?</v>
      </c>
      <c r="G250" s="109" t="str">
        <f t="shared" si="249"/>
        <v>#NAME?</v>
      </c>
      <c r="X250" s="110"/>
    </row>
    <row r="251" ht="21.0" customHeight="1">
      <c r="A251" s="5">
        <v>2.0</v>
      </c>
      <c r="B251" s="6">
        <v>201.0</v>
      </c>
      <c r="C251" s="6">
        <v>6.0</v>
      </c>
      <c r="D251" s="108" t="s">
        <v>475</v>
      </c>
      <c r="E251" s="9" t="s">
        <v>476</v>
      </c>
      <c r="F251" s="109" t="str">
        <f t="shared" ref="F251:G251" si="250">TRANSLATE(D251,"lzh","vi")</f>
        <v>#NAME?</v>
      </c>
      <c r="G251" s="109" t="str">
        <f t="shared" si="250"/>
        <v>#NAME?</v>
      </c>
      <c r="X251" s="110"/>
    </row>
    <row r="252" ht="21.0" customHeight="1">
      <c r="A252" s="30">
        <v>2.0</v>
      </c>
      <c r="B252" s="31">
        <v>202.0</v>
      </c>
      <c r="C252" s="31">
        <v>1.0</v>
      </c>
      <c r="D252" s="123" t="s">
        <v>477</v>
      </c>
      <c r="E252" s="33" t="s">
        <v>464</v>
      </c>
      <c r="F252" s="109" t="str">
        <f t="shared" ref="F252:G252" si="251">TRANSLATE(D252,"lzh","vi")</f>
        <v>#NAME?</v>
      </c>
      <c r="G252" s="109" t="str">
        <f t="shared" si="251"/>
        <v>#NAME?</v>
      </c>
      <c r="X252" s="124"/>
    </row>
    <row r="253" ht="21.0" customHeight="1">
      <c r="A253" s="30">
        <v>2.0</v>
      </c>
      <c r="B253" s="31">
        <v>202.0</v>
      </c>
      <c r="C253" s="31">
        <v>2.0</v>
      </c>
      <c r="D253" s="123" t="s">
        <v>478</v>
      </c>
      <c r="E253" s="33" t="s">
        <v>466</v>
      </c>
      <c r="F253" s="109" t="str">
        <f t="shared" ref="F253:G253" si="252">TRANSLATE(D253,"lzh","vi")</f>
        <v>#NAME?</v>
      </c>
      <c r="G253" s="109" t="str">
        <f t="shared" si="252"/>
        <v>#NAME?</v>
      </c>
      <c r="X253" s="124"/>
    </row>
    <row r="254" ht="21.0" customHeight="1">
      <c r="A254" s="30">
        <v>2.0</v>
      </c>
      <c r="B254" s="31">
        <v>202.0</v>
      </c>
      <c r="C254" s="31">
        <v>3.0</v>
      </c>
      <c r="D254" s="123" t="s">
        <v>479</v>
      </c>
      <c r="E254" s="33" t="s">
        <v>468</v>
      </c>
      <c r="F254" s="109" t="str">
        <f t="shared" ref="F254:G254" si="253">TRANSLATE(D254,"lzh","vi")</f>
        <v>#NAME?</v>
      </c>
      <c r="G254" s="109" t="str">
        <f t="shared" si="253"/>
        <v>#NAME?</v>
      </c>
      <c r="X254" s="124"/>
    </row>
    <row r="255" ht="21.0" customHeight="1">
      <c r="A255" s="30">
        <v>2.0</v>
      </c>
      <c r="B255" s="31">
        <v>202.0</v>
      </c>
      <c r="C255" s="31">
        <v>4.0</v>
      </c>
      <c r="D255" s="123" t="s">
        <v>480</v>
      </c>
      <c r="E255" s="33" t="s">
        <v>470</v>
      </c>
      <c r="F255" s="109" t="str">
        <f t="shared" ref="F255:G255" si="254">TRANSLATE(D255,"lzh","vi")</f>
        <v>#NAME?</v>
      </c>
      <c r="G255" s="109" t="str">
        <f t="shared" si="254"/>
        <v>#NAME?</v>
      </c>
      <c r="X255" s="124"/>
    </row>
    <row r="256" ht="21.0" customHeight="1">
      <c r="A256" s="30">
        <v>2.0</v>
      </c>
      <c r="B256" s="31">
        <v>202.0</v>
      </c>
      <c r="C256" s="31">
        <v>5.0</v>
      </c>
      <c r="D256" s="123" t="s">
        <v>481</v>
      </c>
      <c r="E256" s="33" t="s">
        <v>472</v>
      </c>
      <c r="F256" s="109" t="str">
        <f t="shared" ref="F256:G256" si="255">TRANSLATE(D256,"lzh","vi")</f>
        <v>#NAME?</v>
      </c>
      <c r="G256" s="109" t="str">
        <f t="shared" si="255"/>
        <v>#NAME?</v>
      </c>
      <c r="X256" s="124"/>
    </row>
    <row r="257" ht="21.0" customHeight="1">
      <c r="A257" s="30">
        <v>2.0</v>
      </c>
      <c r="B257" s="31">
        <v>202.0</v>
      </c>
      <c r="C257" s="31">
        <v>6.0</v>
      </c>
      <c r="D257" s="123" t="s">
        <v>482</v>
      </c>
      <c r="E257" s="33" t="s">
        <v>474</v>
      </c>
      <c r="F257" s="109" t="str">
        <f t="shared" ref="F257:G257" si="256">TRANSLATE(D257,"lzh","vi")</f>
        <v>#NAME?</v>
      </c>
      <c r="G257" s="109" t="str">
        <f t="shared" si="256"/>
        <v>#NAME?</v>
      </c>
      <c r="X257" s="124"/>
    </row>
    <row r="258" ht="21.0" customHeight="1">
      <c r="A258" s="30">
        <v>2.0</v>
      </c>
      <c r="B258" s="31">
        <v>202.0</v>
      </c>
      <c r="C258" s="31">
        <v>1.0</v>
      </c>
      <c r="D258" s="123" t="s">
        <v>483</v>
      </c>
      <c r="E258" s="33" t="s">
        <v>484</v>
      </c>
      <c r="F258" s="109" t="str">
        <f t="shared" ref="F258:G258" si="257">TRANSLATE(D258,"lzh","vi")</f>
        <v>#NAME?</v>
      </c>
      <c r="G258" s="109" t="str">
        <f t="shared" si="257"/>
        <v>#NAME?</v>
      </c>
      <c r="X258" s="124"/>
    </row>
    <row r="259" ht="21.0" customHeight="1">
      <c r="A259" s="30">
        <v>2.0</v>
      </c>
      <c r="B259" s="31">
        <v>202.0</v>
      </c>
      <c r="C259" s="31">
        <v>1.0</v>
      </c>
      <c r="D259" s="123" t="s">
        <v>485</v>
      </c>
      <c r="E259" s="33" t="s">
        <v>486</v>
      </c>
      <c r="F259" s="109" t="str">
        <f t="shared" ref="F259:G259" si="258">TRANSLATE(D259,"lzh","vi")</f>
        <v>#NAME?</v>
      </c>
      <c r="G259" s="109" t="str">
        <f t="shared" si="258"/>
        <v>#NAME?</v>
      </c>
      <c r="X259" s="124"/>
    </row>
    <row r="260" ht="21.0" customHeight="1">
      <c r="A260" s="30">
        <v>2.0</v>
      </c>
      <c r="B260" s="31">
        <v>202.0</v>
      </c>
      <c r="C260" s="31">
        <v>1.0</v>
      </c>
      <c r="D260" s="123" t="s">
        <v>487</v>
      </c>
      <c r="E260" s="33" t="s">
        <v>488</v>
      </c>
      <c r="F260" s="109" t="str">
        <f t="shared" ref="F260:G260" si="259">TRANSLATE(D260,"lzh","vi")</f>
        <v>#NAME?</v>
      </c>
      <c r="G260" s="109" t="str">
        <f t="shared" si="259"/>
        <v>#NAME?</v>
      </c>
      <c r="X260" s="110"/>
    </row>
    <row r="261" ht="21.0" customHeight="1">
      <c r="A261" s="30">
        <v>2.0</v>
      </c>
      <c r="B261" s="31">
        <v>202.0</v>
      </c>
      <c r="C261" s="31">
        <v>1.0</v>
      </c>
      <c r="D261" s="123" t="s">
        <v>489</v>
      </c>
      <c r="E261" s="33" t="s">
        <v>490</v>
      </c>
      <c r="F261" s="109" t="str">
        <f t="shared" ref="F261:G261" si="260">TRANSLATE(D261,"lzh","vi")</f>
        <v>#NAME?</v>
      </c>
      <c r="G261" s="109" t="str">
        <f t="shared" si="260"/>
        <v>#NAME?</v>
      </c>
      <c r="X261" s="110"/>
    </row>
    <row r="262" ht="21.0" customHeight="1">
      <c r="A262" s="2">
        <v>2.0</v>
      </c>
      <c r="B262" s="23">
        <v>203.0</v>
      </c>
      <c r="C262" s="23">
        <v>1.0</v>
      </c>
      <c r="D262" s="108" t="s">
        <v>483</v>
      </c>
      <c r="E262" s="9" t="s">
        <v>484</v>
      </c>
      <c r="F262" s="109" t="str">
        <f t="shared" ref="F262:G262" si="261">TRANSLATE(D262,"lzh","vi")</f>
        <v>#NAME?</v>
      </c>
      <c r="G262" s="109" t="str">
        <f t="shared" si="261"/>
        <v>#NAME?</v>
      </c>
      <c r="X262" s="110"/>
    </row>
    <row r="263" ht="21.0" customHeight="1">
      <c r="A263" s="2">
        <v>2.0</v>
      </c>
      <c r="B263" s="23">
        <v>203.0</v>
      </c>
      <c r="C263" s="23">
        <v>1.0</v>
      </c>
      <c r="D263" s="108" t="s">
        <v>491</v>
      </c>
      <c r="E263" s="9" t="s">
        <v>492</v>
      </c>
      <c r="F263" s="109" t="str">
        <f t="shared" ref="F263:G263" si="262">TRANSLATE(D263,"lzh","vi")</f>
        <v>#NAME?</v>
      </c>
      <c r="G263" s="109" t="str">
        <f t="shared" si="262"/>
        <v>#NAME?</v>
      </c>
      <c r="X263" s="110"/>
    </row>
    <row r="264" ht="21.0" customHeight="1">
      <c r="A264" s="2">
        <v>2.0</v>
      </c>
      <c r="B264" s="23">
        <v>204.0</v>
      </c>
      <c r="C264" s="23">
        <v>1.0</v>
      </c>
      <c r="D264" s="108" t="s">
        <v>485</v>
      </c>
      <c r="E264" s="9" t="s">
        <v>486</v>
      </c>
      <c r="F264" s="109" t="str">
        <f t="shared" ref="F264:G264" si="263">TRANSLATE(D264,"lzh","vi")</f>
        <v>#NAME?</v>
      </c>
      <c r="G264" s="109" t="str">
        <f t="shared" si="263"/>
        <v>#NAME?</v>
      </c>
      <c r="X264" s="110"/>
    </row>
    <row r="265" ht="21.0" customHeight="1">
      <c r="A265" s="2">
        <v>2.0</v>
      </c>
      <c r="B265" s="23">
        <v>205.0</v>
      </c>
      <c r="C265" s="23">
        <v>1.0</v>
      </c>
      <c r="D265" s="108" t="s">
        <v>487</v>
      </c>
      <c r="E265" s="9" t="s">
        <v>488</v>
      </c>
      <c r="F265" s="109" t="str">
        <f t="shared" ref="F265:G265" si="264">TRANSLATE(D265,"lzh","vi")</f>
        <v>#NAME?</v>
      </c>
      <c r="G265" s="109" t="str">
        <f t="shared" si="264"/>
        <v>#NAME?</v>
      </c>
      <c r="X265" s="110"/>
    </row>
    <row r="266" ht="21.0" customHeight="1">
      <c r="A266" s="2">
        <v>2.0</v>
      </c>
      <c r="B266" s="23">
        <v>206.0</v>
      </c>
      <c r="C266" s="23">
        <v>1.0</v>
      </c>
      <c r="D266" s="108" t="s">
        <v>489</v>
      </c>
      <c r="E266" s="9" t="s">
        <v>490</v>
      </c>
      <c r="F266" s="109" t="str">
        <f t="shared" ref="F266:G266" si="265">TRANSLATE(D266,"lzh","vi")</f>
        <v>#NAME?</v>
      </c>
      <c r="G266" s="109" t="str">
        <f t="shared" si="265"/>
        <v>#NAME?</v>
      </c>
      <c r="X266" s="110"/>
    </row>
    <row r="267" ht="21.0" customHeight="1">
      <c r="A267" s="2">
        <v>2.0</v>
      </c>
      <c r="B267" s="23">
        <v>207.0</v>
      </c>
      <c r="C267" s="23">
        <v>1.0</v>
      </c>
      <c r="D267" s="108" t="s">
        <v>493</v>
      </c>
      <c r="E267" s="9" t="s">
        <v>494</v>
      </c>
      <c r="F267" s="109" t="str">
        <f t="shared" ref="F267:G267" si="266">TRANSLATE(D267,"lzh","vi")</f>
        <v>#NAME?</v>
      </c>
      <c r="G267" s="109" t="str">
        <f t="shared" si="266"/>
        <v>#NAME?</v>
      </c>
      <c r="X267" s="110"/>
    </row>
    <row r="268" ht="21.0" customHeight="1">
      <c r="A268" s="2">
        <v>2.0</v>
      </c>
      <c r="B268" s="23">
        <v>207.0</v>
      </c>
      <c r="C268" s="23">
        <v>1.0</v>
      </c>
      <c r="D268" s="108" t="s">
        <v>495</v>
      </c>
      <c r="E268" s="9" t="s">
        <v>496</v>
      </c>
      <c r="F268" s="109" t="str">
        <f t="shared" ref="F268:G268" si="267">TRANSLATE(D268,"lzh","vi")</f>
        <v>#NAME?</v>
      </c>
      <c r="G268" s="109" t="str">
        <f t="shared" si="267"/>
        <v>#NAME?</v>
      </c>
      <c r="X268" s="110"/>
    </row>
    <row r="269" ht="21.0" customHeight="1">
      <c r="A269" s="2">
        <v>2.0</v>
      </c>
      <c r="B269" s="23">
        <v>208.0</v>
      </c>
      <c r="C269" s="23">
        <v>1.0</v>
      </c>
      <c r="D269" s="108" t="s">
        <v>497</v>
      </c>
      <c r="E269" s="9" t="s">
        <v>498</v>
      </c>
      <c r="F269" s="109" t="str">
        <f t="shared" ref="F269:G269" si="268">TRANSLATE(D269,"lzh","vi")</f>
        <v>#NAME?</v>
      </c>
      <c r="G269" s="109" t="str">
        <f t="shared" si="268"/>
        <v>#NAME?</v>
      </c>
      <c r="X269" s="110"/>
    </row>
    <row r="270" ht="21.0" customHeight="1">
      <c r="A270" s="5">
        <v>2.0</v>
      </c>
      <c r="B270" s="6">
        <v>209.0</v>
      </c>
      <c r="C270" s="6">
        <v>1.0</v>
      </c>
      <c r="D270" s="108" t="s">
        <v>499</v>
      </c>
      <c r="E270" s="9" t="s">
        <v>500</v>
      </c>
      <c r="F270" s="109" t="str">
        <f t="shared" ref="F270:G270" si="269">TRANSLATE(D270,"lzh","vi")</f>
        <v>#NAME?</v>
      </c>
      <c r="G270" s="109" t="str">
        <f t="shared" si="269"/>
        <v>#NAME?</v>
      </c>
      <c r="X270" s="110"/>
    </row>
    <row r="271" ht="21.0" customHeight="1">
      <c r="A271" s="5">
        <v>2.0</v>
      </c>
      <c r="B271" s="6">
        <v>209.0</v>
      </c>
      <c r="C271" s="6">
        <v>1.0</v>
      </c>
      <c r="D271" s="108" t="s">
        <v>501</v>
      </c>
      <c r="E271" s="9" t="s">
        <v>502</v>
      </c>
      <c r="F271" s="109" t="str">
        <f t="shared" ref="F271:G271" si="270">TRANSLATE(D271,"lzh","vi")</f>
        <v>#NAME?</v>
      </c>
      <c r="G271" s="109" t="str">
        <f t="shared" si="270"/>
        <v>#NAME?</v>
      </c>
      <c r="X271" s="110"/>
    </row>
    <row r="272" ht="21.0" customHeight="1">
      <c r="A272" s="5">
        <v>2.0</v>
      </c>
      <c r="B272" s="6">
        <v>209.0</v>
      </c>
      <c r="C272" s="6">
        <v>1.0</v>
      </c>
      <c r="D272" s="108" t="s">
        <v>503</v>
      </c>
      <c r="E272" s="9" t="s">
        <v>504</v>
      </c>
      <c r="F272" s="109" t="str">
        <f t="shared" ref="F272:G272" si="271">TRANSLATE(D272,"lzh","vi")</f>
        <v>#NAME?</v>
      </c>
      <c r="G272" s="109" t="str">
        <f t="shared" si="271"/>
        <v>#NAME?</v>
      </c>
      <c r="X272" s="110"/>
    </row>
    <row r="273" ht="21.0" customHeight="1">
      <c r="A273" s="5">
        <v>2.0</v>
      </c>
      <c r="B273" s="6">
        <v>209.0</v>
      </c>
      <c r="C273" s="6">
        <v>1.0</v>
      </c>
      <c r="D273" s="108" t="s">
        <v>505</v>
      </c>
      <c r="E273" s="9" t="s">
        <v>506</v>
      </c>
      <c r="F273" s="109" t="str">
        <f t="shared" ref="F273:G273" si="272">TRANSLATE(D273,"lzh","vi")</f>
        <v>#NAME?</v>
      </c>
      <c r="G273" s="109" t="str">
        <f t="shared" si="272"/>
        <v>#NAME?</v>
      </c>
      <c r="X273" s="110"/>
    </row>
    <row r="274" ht="21.0" customHeight="1">
      <c r="A274" s="5">
        <v>2.0</v>
      </c>
      <c r="B274" s="6">
        <v>209.0</v>
      </c>
      <c r="C274" s="6">
        <v>1.0</v>
      </c>
      <c r="D274" s="108" t="s">
        <v>507</v>
      </c>
      <c r="E274" s="9" t="s">
        <v>508</v>
      </c>
      <c r="F274" s="109" t="str">
        <f t="shared" ref="F274:G274" si="273">TRANSLATE(D274,"lzh","vi")</f>
        <v>#NAME?</v>
      </c>
      <c r="G274" s="109" t="str">
        <f t="shared" si="273"/>
        <v>#NAME?</v>
      </c>
      <c r="X274" s="110"/>
    </row>
    <row r="275" ht="21.0" customHeight="1">
      <c r="A275" s="5">
        <v>2.0</v>
      </c>
      <c r="B275" s="6">
        <v>209.0</v>
      </c>
      <c r="C275" s="6">
        <v>1.0</v>
      </c>
      <c r="D275" s="108" t="s">
        <v>509</v>
      </c>
      <c r="E275" s="9" t="s">
        <v>510</v>
      </c>
      <c r="F275" s="109" t="str">
        <f t="shared" ref="F275:G275" si="274">TRANSLATE(D275,"lzh","vi")</f>
        <v>#NAME?</v>
      </c>
      <c r="G275" s="109" t="str">
        <f t="shared" si="274"/>
        <v>#NAME?</v>
      </c>
      <c r="X275" s="110"/>
    </row>
    <row r="276" ht="21.0" customHeight="1">
      <c r="A276" s="5">
        <v>2.0</v>
      </c>
      <c r="B276" s="6">
        <v>209.0</v>
      </c>
      <c r="C276" s="6">
        <v>1.0</v>
      </c>
      <c r="D276" s="108" t="s">
        <v>511</v>
      </c>
      <c r="E276" s="9" t="s">
        <v>510</v>
      </c>
      <c r="F276" s="109" t="str">
        <f t="shared" ref="F276:G276" si="275">TRANSLATE(D276,"lzh","vi")</f>
        <v>#NAME?</v>
      </c>
      <c r="G276" s="109" t="str">
        <f t="shared" si="275"/>
        <v>#NAME?</v>
      </c>
      <c r="X276" s="110"/>
    </row>
    <row r="277" ht="21.0" customHeight="1">
      <c r="A277" s="5">
        <v>3.0</v>
      </c>
      <c r="B277" s="6">
        <v>301.0</v>
      </c>
      <c r="C277" s="6">
        <v>1.0</v>
      </c>
      <c r="D277" s="108" t="s">
        <v>512</v>
      </c>
      <c r="E277" s="9" t="s">
        <v>513</v>
      </c>
      <c r="F277" s="109" t="str">
        <f t="shared" ref="F277:G277" si="276">TRANSLATE(D277,"lzh","vi")</f>
        <v>#NAME?</v>
      </c>
      <c r="G277" s="109" t="str">
        <f t="shared" si="276"/>
        <v>#NAME?</v>
      </c>
      <c r="X277" s="110"/>
    </row>
    <row r="278" ht="21.0" customHeight="1">
      <c r="A278" s="5">
        <v>3.0</v>
      </c>
      <c r="B278" s="6">
        <v>301.0</v>
      </c>
      <c r="C278" s="6">
        <v>2.0</v>
      </c>
      <c r="D278" s="108" t="s">
        <v>514</v>
      </c>
      <c r="E278" s="9" t="s">
        <v>515</v>
      </c>
      <c r="F278" s="109" t="str">
        <f t="shared" ref="F278:G278" si="277">TRANSLATE(D278,"lzh","vi")</f>
        <v>#NAME?</v>
      </c>
      <c r="G278" s="109" t="str">
        <f t="shared" si="277"/>
        <v>#NAME?</v>
      </c>
      <c r="X278" s="110"/>
    </row>
    <row r="279" ht="21.0" customHeight="1">
      <c r="A279" s="5">
        <v>3.0</v>
      </c>
      <c r="B279" s="6">
        <v>301.0</v>
      </c>
      <c r="C279" s="6">
        <v>3.0</v>
      </c>
      <c r="D279" s="108" t="s">
        <v>516</v>
      </c>
      <c r="E279" s="9" t="s">
        <v>517</v>
      </c>
      <c r="F279" s="109" t="str">
        <f t="shared" ref="F279:G279" si="278">TRANSLATE(D279,"lzh","vi")</f>
        <v>#NAME?</v>
      </c>
      <c r="G279" s="109" t="str">
        <f t="shared" si="278"/>
        <v>#NAME?</v>
      </c>
      <c r="X279" s="110"/>
    </row>
    <row r="280" ht="21.0" customHeight="1">
      <c r="A280" s="5">
        <v>3.0</v>
      </c>
      <c r="B280" s="6">
        <v>301.0</v>
      </c>
      <c r="C280" s="6">
        <v>4.0</v>
      </c>
      <c r="D280" s="108" t="s">
        <v>518</v>
      </c>
      <c r="E280" s="9" t="s">
        <v>519</v>
      </c>
      <c r="F280" s="109" t="str">
        <f t="shared" ref="F280:G280" si="279">TRANSLATE(D280,"lzh","vi")</f>
        <v>#NAME?</v>
      </c>
      <c r="G280" s="109" t="str">
        <f t="shared" si="279"/>
        <v>#NAME?</v>
      </c>
      <c r="X280" s="110"/>
    </row>
    <row r="281" ht="21.0" customHeight="1">
      <c r="A281" s="5">
        <v>3.0</v>
      </c>
      <c r="B281" s="6">
        <v>301.0</v>
      </c>
      <c r="C281" s="6">
        <v>5.0</v>
      </c>
      <c r="D281" s="108" t="s">
        <v>520</v>
      </c>
      <c r="E281" s="9" t="s">
        <v>521</v>
      </c>
      <c r="F281" s="109" t="str">
        <f t="shared" ref="F281:G281" si="280">TRANSLATE(D281,"lzh","vi")</f>
        <v>#NAME?</v>
      </c>
      <c r="G281" s="109" t="str">
        <f t="shared" si="280"/>
        <v>#NAME?</v>
      </c>
      <c r="X281" s="110"/>
    </row>
    <row r="282" ht="21.0" customHeight="1">
      <c r="A282" s="5">
        <v>3.0</v>
      </c>
      <c r="B282" s="6">
        <v>301.0</v>
      </c>
      <c r="C282" s="6">
        <v>6.0</v>
      </c>
      <c r="D282" s="108" t="s">
        <v>522</v>
      </c>
      <c r="E282" s="9" t="s">
        <v>523</v>
      </c>
      <c r="F282" s="109" t="str">
        <f t="shared" ref="F282:G282" si="281">TRANSLATE(D282,"lzh","vi")</f>
        <v>#NAME?</v>
      </c>
      <c r="G282" s="109" t="str">
        <f t="shared" si="281"/>
        <v>#NAME?</v>
      </c>
      <c r="X282" s="110"/>
    </row>
    <row r="283" ht="21.0" customHeight="1">
      <c r="A283" s="5">
        <v>3.0</v>
      </c>
      <c r="B283" s="6">
        <v>302.0</v>
      </c>
      <c r="C283" s="6">
        <v>1.0</v>
      </c>
      <c r="D283" s="108" t="s">
        <v>524</v>
      </c>
      <c r="E283" s="9" t="s">
        <v>525</v>
      </c>
      <c r="F283" s="109" t="str">
        <f t="shared" ref="F283:G283" si="282">TRANSLATE(D283,"lzh","vi")</f>
        <v>#NAME?</v>
      </c>
      <c r="G283" s="109" t="str">
        <f t="shared" si="282"/>
        <v>#NAME?</v>
      </c>
      <c r="X283" s="110"/>
    </row>
    <row r="284" ht="21.0" customHeight="1">
      <c r="A284" s="5">
        <v>3.0</v>
      </c>
      <c r="B284" s="6">
        <v>302.0</v>
      </c>
      <c r="C284" s="6">
        <v>1.0</v>
      </c>
      <c r="D284" s="108" t="s">
        <v>526</v>
      </c>
      <c r="E284" s="9" t="s">
        <v>527</v>
      </c>
      <c r="F284" s="109" t="str">
        <f t="shared" ref="F284:G284" si="283">TRANSLATE(D284,"lzh","vi")</f>
        <v>#NAME?</v>
      </c>
      <c r="G284" s="109" t="str">
        <f t="shared" si="283"/>
        <v>#NAME?</v>
      </c>
      <c r="X284" s="110"/>
    </row>
    <row r="285" ht="21.0" customHeight="1">
      <c r="A285" s="5">
        <v>3.0</v>
      </c>
      <c r="B285" s="6">
        <v>302.0</v>
      </c>
      <c r="C285" s="6">
        <v>1.0</v>
      </c>
      <c r="D285" s="108" t="s">
        <v>528</v>
      </c>
      <c r="E285" s="9" t="s">
        <v>529</v>
      </c>
      <c r="F285" s="109" t="str">
        <f t="shared" ref="F285:G285" si="284">TRANSLATE(D285,"lzh","vi")</f>
        <v>#NAME?</v>
      </c>
      <c r="G285" s="109" t="str">
        <f t="shared" si="284"/>
        <v>#NAME?</v>
      </c>
      <c r="X285" s="110"/>
    </row>
    <row r="286" ht="21.0" customHeight="1">
      <c r="A286" s="5">
        <v>15.0</v>
      </c>
      <c r="B286" s="6">
        <v>303.0</v>
      </c>
      <c r="C286" s="6">
        <v>1.0</v>
      </c>
      <c r="D286" s="108" t="s">
        <v>530</v>
      </c>
      <c r="E286" s="9" t="s">
        <v>531</v>
      </c>
      <c r="F286" s="109" t="str">
        <f t="shared" ref="F286:G286" si="285">TRANSLATE(D286,"lzh","vi")</f>
        <v>#NAME?</v>
      </c>
      <c r="G286" s="109" t="str">
        <f t="shared" si="285"/>
        <v>#NAME?</v>
      </c>
      <c r="X286" s="110"/>
    </row>
    <row r="287" ht="21.0" customHeight="1">
      <c r="A287" s="5">
        <v>30.0</v>
      </c>
      <c r="B287" s="6">
        <v>305.0</v>
      </c>
      <c r="C287" s="6">
        <v>1.0</v>
      </c>
      <c r="D287" s="108" t="s">
        <v>532</v>
      </c>
      <c r="E287" s="9" t="s">
        <v>533</v>
      </c>
      <c r="F287" s="109" t="str">
        <f t="shared" ref="F287:G287" si="286">TRANSLATE(D287,"lzh","vi")</f>
        <v>#NAME?</v>
      </c>
      <c r="G287" s="109" t="str">
        <f t="shared" si="286"/>
        <v>#NAME?</v>
      </c>
      <c r="X287" s="110"/>
    </row>
    <row r="288" ht="21.0" customHeight="1">
      <c r="A288" s="12">
        <v>30.0</v>
      </c>
      <c r="B288" s="13">
        <v>306.0</v>
      </c>
      <c r="C288" s="13">
        <v>1.0</v>
      </c>
      <c r="D288" s="111" t="s">
        <v>534</v>
      </c>
      <c r="E288" s="11" t="s">
        <v>533</v>
      </c>
      <c r="F288" s="109" t="str">
        <f t="shared" ref="F288:G288" si="287">TRANSLATE(D288,"lzh","vi")</f>
        <v>#NAME?</v>
      </c>
      <c r="G288" s="109" t="str">
        <f t="shared" si="287"/>
        <v>#NAME?</v>
      </c>
      <c r="X288" s="112"/>
    </row>
    <row r="289" ht="21.0" customHeight="1">
      <c r="A289" s="5">
        <v>19.0</v>
      </c>
      <c r="B289" s="6">
        <v>304.0</v>
      </c>
      <c r="C289" s="6">
        <v>1.0</v>
      </c>
      <c r="D289" s="108" t="s">
        <v>535</v>
      </c>
      <c r="E289" s="9" t="s">
        <v>536</v>
      </c>
      <c r="F289" s="109" t="str">
        <f t="shared" ref="F289:G289" si="288">TRANSLATE(D289,"lzh","vi")</f>
        <v>#NAME?</v>
      </c>
      <c r="G289" s="109" t="str">
        <f t="shared" si="288"/>
        <v>#NAME?</v>
      </c>
      <c r="X289" s="110"/>
    </row>
    <row r="290" ht="21.0" customHeight="1">
      <c r="A290" s="5">
        <v>4.0</v>
      </c>
      <c r="B290" s="6">
        <v>401.0</v>
      </c>
      <c r="C290" s="6">
        <v>1.0</v>
      </c>
      <c r="D290" s="108" t="s">
        <v>537</v>
      </c>
      <c r="E290" s="9" t="s">
        <v>538</v>
      </c>
      <c r="F290" s="109" t="str">
        <f t="shared" ref="F290:G290" si="289">TRANSLATE(D290,"lzh","vi")</f>
        <v>#NAME?</v>
      </c>
      <c r="G290" s="109" t="str">
        <f t="shared" si="289"/>
        <v>#NAME?</v>
      </c>
      <c r="X290" s="110"/>
    </row>
    <row r="291" ht="21.0" customHeight="1">
      <c r="A291" s="5">
        <v>4.0</v>
      </c>
      <c r="B291" s="6">
        <v>402.0</v>
      </c>
      <c r="C291" s="6">
        <v>1.0</v>
      </c>
      <c r="D291" s="108" t="s">
        <v>539</v>
      </c>
      <c r="E291" s="9" t="s">
        <v>538</v>
      </c>
      <c r="F291" s="109" t="str">
        <f t="shared" ref="F291:G291" si="290">TRANSLATE(D291,"lzh","vi")</f>
        <v>#NAME?</v>
      </c>
      <c r="G291" s="109" t="str">
        <f t="shared" si="290"/>
        <v>#NAME?</v>
      </c>
      <c r="X291" s="110"/>
    </row>
    <row r="292" ht="21.0" customHeight="1">
      <c r="A292" s="5">
        <v>4.0</v>
      </c>
      <c r="B292" s="6">
        <v>403.0</v>
      </c>
      <c r="C292" s="6">
        <v>1.0</v>
      </c>
      <c r="D292" s="108" t="s">
        <v>540</v>
      </c>
      <c r="E292" s="9" t="s">
        <v>538</v>
      </c>
      <c r="F292" s="109" t="str">
        <f t="shared" ref="F292:G292" si="291">TRANSLATE(D292,"lzh","vi")</f>
        <v>#NAME?</v>
      </c>
      <c r="G292" s="109" t="str">
        <f t="shared" si="291"/>
        <v>#NAME?</v>
      </c>
      <c r="X292" s="110"/>
    </row>
    <row r="293" ht="21.0" customHeight="1">
      <c r="A293" s="5">
        <v>4.0</v>
      </c>
      <c r="B293" s="6">
        <v>404.0</v>
      </c>
      <c r="C293" s="6">
        <v>1.0</v>
      </c>
      <c r="D293" s="108" t="s">
        <v>541</v>
      </c>
      <c r="E293" s="9" t="s">
        <v>538</v>
      </c>
      <c r="F293" s="109" t="str">
        <f t="shared" ref="F293:G293" si="292">TRANSLATE(D293,"lzh","vi")</f>
        <v>#NAME?</v>
      </c>
      <c r="G293" s="109" t="str">
        <f t="shared" si="292"/>
        <v>#NAME?</v>
      </c>
      <c r="X293" s="110"/>
    </row>
    <row r="294" ht="21.0" customHeight="1">
      <c r="A294" s="5">
        <v>4.0</v>
      </c>
      <c r="B294" s="6">
        <v>405.0</v>
      </c>
      <c r="C294" s="6">
        <v>1.0</v>
      </c>
      <c r="D294" s="108" t="s">
        <v>542</v>
      </c>
      <c r="E294" s="9" t="s">
        <v>538</v>
      </c>
      <c r="F294" s="109" t="str">
        <f t="shared" ref="F294:G294" si="293">TRANSLATE(D294,"lzh","vi")</f>
        <v>#NAME?</v>
      </c>
      <c r="G294" s="109" t="str">
        <f t="shared" si="293"/>
        <v>#NAME?</v>
      </c>
      <c r="X294" s="110"/>
    </row>
    <row r="295" ht="21.0" customHeight="1">
      <c r="A295" s="30">
        <v>4.0</v>
      </c>
      <c r="B295" s="31">
        <v>410.0</v>
      </c>
      <c r="C295" s="31">
        <v>1.0</v>
      </c>
      <c r="D295" s="125" t="s">
        <v>543</v>
      </c>
      <c r="E295" s="33" t="s">
        <v>544</v>
      </c>
      <c r="F295" s="109" t="str">
        <f t="shared" ref="F295:G295" si="294">TRANSLATE(D295,"lzh","vi")</f>
        <v>#NAME?</v>
      </c>
      <c r="G295" s="109" t="str">
        <f t="shared" si="294"/>
        <v>#NAME?</v>
      </c>
      <c r="X295" s="124"/>
    </row>
    <row r="296" ht="21.0" customHeight="1">
      <c r="A296" s="30">
        <v>4.0</v>
      </c>
      <c r="B296" s="31">
        <v>410.0</v>
      </c>
      <c r="C296" s="31">
        <v>1.0</v>
      </c>
      <c r="D296" s="125" t="s">
        <v>545</v>
      </c>
      <c r="E296" s="33" t="s">
        <v>546</v>
      </c>
      <c r="F296" s="109" t="str">
        <f t="shared" ref="F296:G296" si="295">TRANSLATE(D296,"lzh","vi")</f>
        <v>#NAME?</v>
      </c>
      <c r="G296" s="109" t="str">
        <f t="shared" si="295"/>
        <v>#NAME?</v>
      </c>
      <c r="X296" s="124"/>
    </row>
    <row r="297" ht="21.0" customHeight="1">
      <c r="A297" s="30">
        <v>4.0</v>
      </c>
      <c r="B297" s="31">
        <v>410.0</v>
      </c>
      <c r="C297" s="31">
        <v>1.0</v>
      </c>
      <c r="D297" s="125" t="s">
        <v>547</v>
      </c>
      <c r="E297" s="33" t="s">
        <v>548</v>
      </c>
      <c r="F297" s="109" t="str">
        <f t="shared" ref="F297:G297" si="296">TRANSLATE(D297,"lzh","vi")</f>
        <v>#NAME?</v>
      </c>
      <c r="G297" s="109" t="str">
        <f t="shared" si="296"/>
        <v>#NAME?</v>
      </c>
      <c r="X297" s="124"/>
    </row>
    <row r="298" ht="21.0" customHeight="1">
      <c r="A298" s="30">
        <v>4.0</v>
      </c>
      <c r="B298" s="31">
        <v>410.0</v>
      </c>
      <c r="C298" s="31">
        <v>1.0</v>
      </c>
      <c r="D298" s="125" t="s">
        <v>549</v>
      </c>
      <c r="E298" s="33" t="s">
        <v>550</v>
      </c>
      <c r="F298" s="109" t="str">
        <f t="shared" ref="F298:G298" si="297">TRANSLATE(D298,"lzh","vi")</f>
        <v>#NAME?</v>
      </c>
      <c r="G298" s="109" t="str">
        <f t="shared" si="297"/>
        <v>#NAME?</v>
      </c>
      <c r="X298" s="124"/>
    </row>
    <row r="299" ht="21.0" customHeight="1">
      <c r="A299" s="30">
        <v>4.0</v>
      </c>
      <c r="B299" s="31">
        <v>410.0</v>
      </c>
      <c r="C299" s="31">
        <v>1.0</v>
      </c>
      <c r="D299" s="125" t="s">
        <v>551</v>
      </c>
      <c r="E299" s="33" t="s">
        <v>552</v>
      </c>
      <c r="F299" s="109" t="str">
        <f t="shared" ref="F299:G299" si="298">TRANSLATE(D299,"lzh","vi")</f>
        <v>#NAME?</v>
      </c>
      <c r="G299" s="109" t="str">
        <f t="shared" si="298"/>
        <v>#NAME?</v>
      </c>
      <c r="X299" s="124"/>
    </row>
    <row r="300" ht="21.0" customHeight="1">
      <c r="A300" s="30">
        <v>14.0</v>
      </c>
      <c r="B300" s="31">
        <v>410.0</v>
      </c>
      <c r="C300" s="31">
        <v>1.0</v>
      </c>
      <c r="D300" s="125" t="s">
        <v>553</v>
      </c>
      <c r="E300" s="33" t="s">
        <v>554</v>
      </c>
      <c r="F300" s="109" t="str">
        <f t="shared" ref="F300:G300" si="299">TRANSLATE(D300,"lzh","vi")</f>
        <v>#NAME?</v>
      </c>
      <c r="G300" s="109" t="str">
        <f t="shared" si="299"/>
        <v>#NAME?</v>
      </c>
      <c r="X300" s="124"/>
    </row>
    <row r="301" ht="21.0" customHeight="1">
      <c r="A301" s="30">
        <v>14.0</v>
      </c>
      <c r="B301" s="31">
        <v>410.0</v>
      </c>
      <c r="C301" s="31">
        <v>1.0</v>
      </c>
      <c r="D301" s="125" t="s">
        <v>555</v>
      </c>
      <c r="E301" s="33" t="s">
        <v>556</v>
      </c>
      <c r="F301" s="109" t="str">
        <f t="shared" ref="F301:G301" si="300">TRANSLATE(D301,"lzh","vi")</f>
        <v>#NAME?</v>
      </c>
      <c r="G301" s="109" t="str">
        <f t="shared" si="300"/>
        <v>#NAME?</v>
      </c>
      <c r="X301" s="124"/>
    </row>
    <row r="302" ht="21.0" customHeight="1">
      <c r="A302" s="30">
        <v>14.0</v>
      </c>
      <c r="B302" s="31">
        <v>410.0</v>
      </c>
      <c r="C302" s="31">
        <v>1.0</v>
      </c>
      <c r="D302" s="125" t="s">
        <v>557</v>
      </c>
      <c r="E302" s="33" t="s">
        <v>558</v>
      </c>
      <c r="F302" s="109" t="str">
        <f t="shared" ref="F302:G302" si="301">TRANSLATE(D302,"lzh","vi")</f>
        <v>#NAME?</v>
      </c>
      <c r="G302" s="109" t="str">
        <f t="shared" si="301"/>
        <v>#NAME?</v>
      </c>
      <c r="X302" s="124"/>
    </row>
    <row r="303" ht="21.0" customHeight="1">
      <c r="A303" s="30">
        <v>14.0</v>
      </c>
      <c r="B303" s="31">
        <v>410.0</v>
      </c>
      <c r="C303" s="31">
        <v>1.0</v>
      </c>
      <c r="D303" s="125" t="s">
        <v>559</v>
      </c>
      <c r="E303" s="33" t="s">
        <v>560</v>
      </c>
      <c r="F303" s="109" t="str">
        <f t="shared" ref="F303:G303" si="302">TRANSLATE(D303,"lzh","vi")</f>
        <v>#NAME?</v>
      </c>
      <c r="G303" s="109" t="str">
        <f t="shared" si="302"/>
        <v>#NAME?</v>
      </c>
      <c r="X303" s="124"/>
    </row>
    <row r="304" ht="21.0" customHeight="1">
      <c r="A304" s="30">
        <v>14.0</v>
      </c>
      <c r="B304" s="31">
        <v>410.0</v>
      </c>
      <c r="C304" s="31">
        <v>1.0</v>
      </c>
      <c r="D304" s="125" t="s">
        <v>561</v>
      </c>
      <c r="E304" s="33" t="s">
        <v>562</v>
      </c>
      <c r="F304" s="109" t="str">
        <f t="shared" ref="F304:G304" si="303">TRANSLATE(D304,"lzh","vi")</f>
        <v>#NAME?</v>
      </c>
      <c r="G304" s="109" t="str">
        <f t="shared" si="303"/>
        <v>#NAME?</v>
      </c>
      <c r="X304" s="124"/>
    </row>
    <row r="305" ht="21.0" customHeight="1">
      <c r="A305" s="30">
        <v>14.0</v>
      </c>
      <c r="B305" s="31">
        <v>410.0</v>
      </c>
      <c r="C305" s="31">
        <v>1.0</v>
      </c>
      <c r="D305" s="125" t="s">
        <v>563</v>
      </c>
      <c r="E305" s="33" t="s">
        <v>564</v>
      </c>
      <c r="F305" s="109" t="str">
        <f t="shared" ref="F305:G305" si="304">TRANSLATE(D305,"lzh","vi")</f>
        <v>#NAME?</v>
      </c>
      <c r="G305" s="109" t="str">
        <f t="shared" si="304"/>
        <v>#NAME?</v>
      </c>
      <c r="X305" s="124"/>
    </row>
    <row r="306" ht="21.0" customHeight="1">
      <c r="A306" s="30">
        <v>14.0</v>
      </c>
      <c r="B306" s="31">
        <v>410.0</v>
      </c>
      <c r="C306" s="31">
        <v>1.0</v>
      </c>
      <c r="D306" s="125" t="s">
        <v>565</v>
      </c>
      <c r="E306" s="33" t="s">
        <v>566</v>
      </c>
      <c r="F306" s="109" t="str">
        <f t="shared" ref="F306:G306" si="305">TRANSLATE(D306,"lzh","vi")</f>
        <v>#NAME?</v>
      </c>
      <c r="G306" s="109" t="str">
        <f t="shared" si="305"/>
        <v>#NAME?</v>
      </c>
      <c r="X306" s="124"/>
    </row>
    <row r="307" ht="21.0" customHeight="1">
      <c r="A307" s="30">
        <v>14.0</v>
      </c>
      <c r="B307" s="31">
        <v>410.0</v>
      </c>
      <c r="C307" s="31">
        <v>1.0</v>
      </c>
      <c r="D307" s="125" t="s">
        <v>567</v>
      </c>
      <c r="E307" s="33" t="s">
        <v>568</v>
      </c>
      <c r="F307" s="109" t="str">
        <f t="shared" ref="F307:G307" si="306">TRANSLATE(D307,"lzh","vi")</f>
        <v>#NAME?</v>
      </c>
      <c r="G307" s="109" t="str">
        <f t="shared" si="306"/>
        <v>#NAME?</v>
      </c>
      <c r="X307" s="124"/>
    </row>
    <row r="308" ht="21.0" customHeight="1">
      <c r="A308" s="30">
        <v>14.0</v>
      </c>
      <c r="B308" s="31">
        <v>410.0</v>
      </c>
      <c r="C308" s="31">
        <v>1.0</v>
      </c>
      <c r="D308" s="125" t="s">
        <v>569</v>
      </c>
      <c r="E308" s="33" t="s">
        <v>570</v>
      </c>
      <c r="F308" s="109" t="str">
        <f t="shared" ref="F308:G308" si="307">TRANSLATE(D308,"lzh","vi")</f>
        <v>#NAME?</v>
      </c>
      <c r="G308" s="109" t="str">
        <f t="shared" si="307"/>
        <v>#NAME?</v>
      </c>
      <c r="X308" s="124"/>
    </row>
    <row r="309" ht="21.0" customHeight="1">
      <c r="A309" s="30">
        <v>14.0</v>
      </c>
      <c r="B309" s="31">
        <v>410.0</v>
      </c>
      <c r="C309" s="31">
        <v>1.0</v>
      </c>
      <c r="D309" s="125" t="s">
        <v>571</v>
      </c>
      <c r="E309" s="33" t="s">
        <v>572</v>
      </c>
      <c r="F309" s="109" t="str">
        <f t="shared" ref="F309:G309" si="308">TRANSLATE(D309,"lzh","vi")</f>
        <v>#NAME?</v>
      </c>
      <c r="G309" s="109" t="str">
        <f t="shared" si="308"/>
        <v>#NAME?</v>
      </c>
      <c r="X309" s="124"/>
    </row>
    <row r="310" ht="21.0" customHeight="1">
      <c r="A310" s="30">
        <v>14.0</v>
      </c>
      <c r="B310" s="31">
        <v>410.0</v>
      </c>
      <c r="C310" s="31">
        <v>1.0</v>
      </c>
      <c r="D310" s="125" t="s">
        <v>573</v>
      </c>
      <c r="E310" s="33" t="s">
        <v>574</v>
      </c>
      <c r="F310" s="109" t="str">
        <f t="shared" ref="F310:G310" si="309">TRANSLATE(D310,"lzh","vi")</f>
        <v>#NAME?</v>
      </c>
      <c r="G310" s="109" t="str">
        <f t="shared" si="309"/>
        <v>#NAME?</v>
      </c>
      <c r="X310" s="124"/>
    </row>
    <row r="311" ht="21.0" customHeight="1">
      <c r="A311" s="30">
        <v>14.0</v>
      </c>
      <c r="B311" s="31">
        <v>410.0</v>
      </c>
      <c r="C311" s="31">
        <v>1.0</v>
      </c>
      <c r="D311" s="125" t="s">
        <v>575</v>
      </c>
      <c r="E311" s="33" t="s">
        <v>576</v>
      </c>
      <c r="F311" s="109" t="str">
        <f t="shared" ref="F311:G311" si="310">TRANSLATE(D311,"lzh","vi")</f>
        <v>#NAME?</v>
      </c>
      <c r="G311" s="109" t="str">
        <f t="shared" si="310"/>
        <v>#NAME?</v>
      </c>
      <c r="X311" s="124"/>
    </row>
    <row r="312" ht="21.0" customHeight="1">
      <c r="A312" s="5">
        <v>14.0</v>
      </c>
      <c r="B312" s="6">
        <v>410.0</v>
      </c>
      <c r="C312" s="6">
        <v>1.0</v>
      </c>
      <c r="D312" s="126" t="s">
        <v>577</v>
      </c>
      <c r="E312" s="9" t="s">
        <v>578</v>
      </c>
      <c r="F312" s="109" t="str">
        <f t="shared" ref="F312:G312" si="311">TRANSLATE(D312,"lzh","vi")</f>
        <v>#NAME?</v>
      </c>
      <c r="G312" s="109" t="str">
        <f t="shared" si="311"/>
        <v>#NAME?</v>
      </c>
      <c r="X312" s="110"/>
    </row>
    <row r="313" ht="21.0" customHeight="1">
      <c r="A313" s="5">
        <v>14.0</v>
      </c>
      <c r="B313" s="6">
        <v>410.0</v>
      </c>
      <c r="C313" s="6">
        <v>1.0</v>
      </c>
      <c r="D313" s="127" t="s">
        <v>579</v>
      </c>
      <c r="E313" s="9" t="s">
        <v>580</v>
      </c>
      <c r="F313" s="109" t="str">
        <f t="shared" ref="F313:G313" si="312">TRANSLATE(D313,"lzh","vi")</f>
        <v>#NAME?</v>
      </c>
      <c r="G313" s="109" t="str">
        <f t="shared" si="312"/>
        <v>#NAME?</v>
      </c>
      <c r="X313" s="110"/>
    </row>
    <row r="314" ht="21.0" customHeight="1">
      <c r="A314" s="5">
        <v>14.0</v>
      </c>
      <c r="B314" s="6">
        <v>410.0</v>
      </c>
      <c r="C314" s="6">
        <v>1.0</v>
      </c>
      <c r="D314" s="126" t="s">
        <v>581</v>
      </c>
      <c r="E314" s="9" t="s">
        <v>582</v>
      </c>
      <c r="F314" s="109" t="str">
        <f t="shared" ref="F314:G314" si="313">TRANSLATE(D314,"lzh","vi")</f>
        <v>#NAME?</v>
      </c>
      <c r="G314" s="109" t="str">
        <f t="shared" si="313"/>
        <v>#NAME?</v>
      </c>
      <c r="X314" s="110"/>
    </row>
    <row r="315" ht="21.0" customHeight="1">
      <c r="A315" s="5">
        <v>14.0</v>
      </c>
      <c r="B315" s="6">
        <v>410.0</v>
      </c>
      <c r="C315" s="6">
        <v>1.0</v>
      </c>
      <c r="D315" s="127" t="s">
        <v>583</v>
      </c>
      <c r="E315" s="9" t="s">
        <v>584</v>
      </c>
      <c r="F315" s="109" t="str">
        <f t="shared" ref="F315:G315" si="314">TRANSLATE(D315,"lzh","vi")</f>
        <v>#NAME?</v>
      </c>
      <c r="G315" s="109" t="str">
        <f t="shared" si="314"/>
        <v>#NAME?</v>
      </c>
      <c r="X315" s="110"/>
    </row>
    <row r="316" ht="21.0" customHeight="1">
      <c r="A316" s="5">
        <v>14.0</v>
      </c>
      <c r="B316" s="6">
        <v>410.0</v>
      </c>
      <c r="C316" s="6">
        <v>1.0</v>
      </c>
      <c r="D316" s="126" t="s">
        <v>585</v>
      </c>
      <c r="E316" s="9" t="s">
        <v>586</v>
      </c>
      <c r="F316" s="109" t="str">
        <f t="shared" ref="F316:G316" si="315">TRANSLATE(D316,"lzh","vi")</f>
        <v>#NAME?</v>
      </c>
      <c r="G316" s="109" t="str">
        <f t="shared" si="315"/>
        <v>#NAME?</v>
      </c>
      <c r="X316" s="110"/>
    </row>
    <row r="317" ht="21.0" customHeight="1">
      <c r="A317" s="5">
        <v>14.0</v>
      </c>
      <c r="B317" s="6">
        <v>410.0</v>
      </c>
      <c r="C317" s="6">
        <v>1.0</v>
      </c>
      <c r="D317" s="127" t="s">
        <v>587</v>
      </c>
      <c r="E317" s="9" t="s">
        <v>588</v>
      </c>
      <c r="F317" s="109" t="str">
        <f t="shared" ref="F317:G317" si="316">TRANSLATE(D317,"lzh","vi")</f>
        <v>#NAME?</v>
      </c>
      <c r="G317" s="109" t="str">
        <f t="shared" si="316"/>
        <v>#NAME?</v>
      </c>
      <c r="X317" s="110"/>
    </row>
    <row r="318" ht="21.0" customHeight="1">
      <c r="A318" s="5">
        <v>14.0</v>
      </c>
      <c r="B318" s="6">
        <v>410.0</v>
      </c>
      <c r="C318" s="6">
        <v>1.0</v>
      </c>
      <c r="D318" s="126" t="s">
        <v>589</v>
      </c>
      <c r="E318" s="9" t="s">
        <v>590</v>
      </c>
      <c r="F318" s="109" t="str">
        <f t="shared" ref="F318:G318" si="317">TRANSLATE(D318,"lzh","vi")</f>
        <v>#NAME?</v>
      </c>
      <c r="G318" s="109" t="str">
        <f t="shared" si="317"/>
        <v>#NAME?</v>
      </c>
      <c r="X318" s="110"/>
    </row>
    <row r="319" ht="21.0" customHeight="1">
      <c r="A319" s="5">
        <v>14.0</v>
      </c>
      <c r="B319" s="6">
        <v>410.0</v>
      </c>
      <c r="C319" s="6">
        <v>1.0</v>
      </c>
      <c r="D319" s="126" t="s">
        <v>591</v>
      </c>
      <c r="E319" s="9" t="s">
        <v>592</v>
      </c>
      <c r="F319" s="109" t="str">
        <f t="shared" ref="F319:G319" si="318">TRANSLATE(D319,"lzh","vi")</f>
        <v>#NAME?</v>
      </c>
      <c r="G319" s="109" t="str">
        <f t="shared" si="318"/>
        <v>#NAME?</v>
      </c>
      <c r="X319" s="110"/>
    </row>
    <row r="320" ht="21.0" customHeight="1">
      <c r="A320" s="5">
        <v>14.0</v>
      </c>
      <c r="B320" s="6">
        <v>410.0</v>
      </c>
      <c r="C320" s="6">
        <v>1.0</v>
      </c>
      <c r="D320" s="126" t="s">
        <v>593</v>
      </c>
      <c r="E320" s="9" t="s">
        <v>594</v>
      </c>
      <c r="F320" s="109" t="str">
        <f t="shared" ref="F320:G320" si="319">TRANSLATE(D320,"lzh","vi")</f>
        <v>#NAME?</v>
      </c>
      <c r="G320" s="109" t="str">
        <f t="shared" si="319"/>
        <v>#NAME?</v>
      </c>
      <c r="X320" s="110"/>
    </row>
    <row r="321" ht="21.0" customHeight="1">
      <c r="A321" s="5">
        <v>14.0</v>
      </c>
      <c r="B321" s="6">
        <v>418.0</v>
      </c>
      <c r="C321" s="6">
        <v>1.0</v>
      </c>
      <c r="D321" s="126" t="s">
        <v>595</v>
      </c>
      <c r="E321" s="9" t="s">
        <v>596</v>
      </c>
      <c r="F321" s="109" t="str">
        <f t="shared" ref="F321:G321" si="320">TRANSLATE(D321,"lzh","vi")</f>
        <v>#NAME?</v>
      </c>
      <c r="G321" s="109" t="str">
        <f t="shared" si="320"/>
        <v>#NAME?</v>
      </c>
      <c r="X321" s="110"/>
    </row>
    <row r="322" ht="21.0" customHeight="1">
      <c r="A322" s="5">
        <v>14.0</v>
      </c>
      <c r="B322" s="6">
        <v>418.0</v>
      </c>
      <c r="C322" s="6">
        <v>1.0</v>
      </c>
      <c r="D322" s="126" t="s">
        <v>597</v>
      </c>
      <c r="E322" s="9" t="s">
        <v>598</v>
      </c>
      <c r="F322" s="109" t="str">
        <f t="shared" ref="F322:G322" si="321">TRANSLATE(D322,"lzh","vi")</f>
        <v>#NAME?</v>
      </c>
      <c r="G322" s="109" t="str">
        <f t="shared" si="321"/>
        <v>#NAME?</v>
      </c>
      <c r="X322" s="110"/>
    </row>
    <row r="323" ht="21.0" customHeight="1">
      <c r="A323" s="5">
        <v>14.0</v>
      </c>
      <c r="B323" s="6">
        <v>418.0</v>
      </c>
      <c r="C323" s="6">
        <v>1.0</v>
      </c>
      <c r="D323" s="126" t="s">
        <v>599</v>
      </c>
      <c r="E323" s="9" t="s">
        <v>600</v>
      </c>
      <c r="F323" s="109" t="str">
        <f t="shared" ref="F323:G323" si="322">TRANSLATE(D323,"lzh","vi")</f>
        <v>#NAME?</v>
      </c>
      <c r="G323" s="109" t="str">
        <f t="shared" si="322"/>
        <v>#NAME?</v>
      </c>
      <c r="X323" s="110"/>
    </row>
    <row r="324" ht="21.0" customHeight="1">
      <c r="A324" s="5">
        <v>14.0</v>
      </c>
      <c r="B324" s="6">
        <v>418.0</v>
      </c>
      <c r="C324" s="6">
        <v>1.0</v>
      </c>
      <c r="D324" s="126" t="s">
        <v>601</v>
      </c>
      <c r="E324" s="9" t="s">
        <v>602</v>
      </c>
      <c r="F324" s="109" t="str">
        <f t="shared" ref="F324:G324" si="323">TRANSLATE(D324,"lzh","vi")</f>
        <v>#NAME?</v>
      </c>
      <c r="G324" s="109" t="str">
        <f t="shared" si="323"/>
        <v>#NAME?</v>
      </c>
      <c r="X324" s="110"/>
    </row>
    <row r="325" ht="21.0" customHeight="1">
      <c r="A325" s="5">
        <v>4.0</v>
      </c>
      <c r="B325" s="6">
        <v>407.0</v>
      </c>
      <c r="C325" s="6">
        <v>1.0</v>
      </c>
      <c r="D325" s="108" t="s">
        <v>603</v>
      </c>
      <c r="E325" s="9" t="s">
        <v>604</v>
      </c>
      <c r="F325" s="109" t="str">
        <f t="shared" ref="F325:G325" si="324">TRANSLATE(D325,"lzh","vi")</f>
        <v>#NAME?</v>
      </c>
      <c r="G325" s="109" t="str">
        <f t="shared" si="324"/>
        <v>#NAME?</v>
      </c>
      <c r="X325" s="110"/>
    </row>
    <row r="326" ht="21.0" customHeight="1">
      <c r="A326" s="5">
        <v>4.0</v>
      </c>
      <c r="B326" s="6">
        <v>407.0</v>
      </c>
      <c r="C326" s="6">
        <v>1.0</v>
      </c>
      <c r="D326" s="108" t="s">
        <v>603</v>
      </c>
      <c r="E326" s="9" t="s">
        <v>604</v>
      </c>
      <c r="F326" s="109" t="str">
        <f t="shared" ref="F326:G326" si="325">TRANSLATE(D326,"lzh","vi")</f>
        <v>#NAME?</v>
      </c>
      <c r="G326" s="109" t="str">
        <f t="shared" si="325"/>
        <v>#NAME?</v>
      </c>
      <c r="X326" s="110"/>
    </row>
    <row r="327" ht="21.0" customHeight="1">
      <c r="A327" s="5">
        <v>4.0</v>
      </c>
      <c r="B327" s="6">
        <v>407.0</v>
      </c>
      <c r="C327" s="6">
        <v>1.0</v>
      </c>
      <c r="D327" s="122" t="s">
        <v>603</v>
      </c>
      <c r="E327" s="9" t="s">
        <v>604</v>
      </c>
      <c r="F327" s="109" t="str">
        <f t="shared" ref="F327:G327" si="326">TRANSLATE(D327,"lzh","vi")</f>
        <v>#NAME?</v>
      </c>
      <c r="G327" s="109" t="str">
        <f t="shared" si="326"/>
        <v>#NAME?</v>
      </c>
      <c r="X327" s="110"/>
    </row>
    <row r="328" ht="21.0" customHeight="1">
      <c r="A328" s="5">
        <v>4.0</v>
      </c>
      <c r="B328" s="6">
        <v>408.0</v>
      </c>
      <c r="C328" s="6">
        <v>1.0</v>
      </c>
      <c r="D328" s="116" t="s">
        <v>605</v>
      </c>
      <c r="E328" s="9" t="s">
        <v>606</v>
      </c>
      <c r="F328" s="109" t="str">
        <f t="shared" ref="F328:G328" si="327">TRANSLATE(D328,"lzh","vi")</f>
        <v>#NAME?</v>
      </c>
      <c r="G328" s="109" t="str">
        <f t="shared" si="327"/>
        <v>#NAME?</v>
      </c>
      <c r="X328" s="110"/>
    </row>
    <row r="329" ht="21.0" customHeight="1">
      <c r="A329" s="5">
        <v>4.0</v>
      </c>
      <c r="B329" s="6">
        <v>408.0</v>
      </c>
      <c r="C329" s="6">
        <v>1.0</v>
      </c>
      <c r="D329" s="116" t="s">
        <v>607</v>
      </c>
      <c r="E329" s="9" t="s">
        <v>606</v>
      </c>
      <c r="F329" s="109" t="str">
        <f t="shared" ref="F329:G329" si="328">TRANSLATE(D329,"lzh","vi")</f>
        <v>#NAME?</v>
      </c>
      <c r="G329" s="109" t="str">
        <f t="shared" si="328"/>
        <v>#NAME?</v>
      </c>
      <c r="X329" s="110"/>
    </row>
    <row r="330" ht="21.0" customHeight="1">
      <c r="A330" s="5">
        <v>4.0</v>
      </c>
      <c r="B330" s="6">
        <v>408.0</v>
      </c>
      <c r="C330" s="6">
        <v>1.0</v>
      </c>
      <c r="D330" s="116" t="s">
        <v>608</v>
      </c>
      <c r="E330" s="9" t="s">
        <v>606</v>
      </c>
      <c r="F330" s="109" t="str">
        <f t="shared" ref="F330:G330" si="329">TRANSLATE(D330,"lzh","vi")</f>
        <v>#NAME?</v>
      </c>
      <c r="G330" s="109" t="str">
        <f t="shared" si="329"/>
        <v>#NAME?</v>
      </c>
      <c r="X330" s="110"/>
    </row>
    <row r="331" ht="21.0" customHeight="1">
      <c r="A331" s="5">
        <v>28.0</v>
      </c>
      <c r="B331" s="6">
        <v>408.0</v>
      </c>
      <c r="C331" s="6">
        <v>1.0</v>
      </c>
      <c r="D331" s="116" t="s">
        <v>609</v>
      </c>
      <c r="E331" s="9" t="s">
        <v>610</v>
      </c>
      <c r="F331" s="109" t="str">
        <f t="shared" ref="F331:G331" si="330">TRANSLATE(D331,"lzh","vi")</f>
        <v>#NAME?</v>
      </c>
      <c r="G331" s="109" t="str">
        <f t="shared" si="330"/>
        <v>#NAME?</v>
      </c>
      <c r="X331" s="110"/>
    </row>
    <row r="332" ht="21.0" customHeight="1">
      <c r="A332" s="5">
        <v>29.0</v>
      </c>
      <c r="B332" s="6">
        <v>408.0</v>
      </c>
      <c r="C332" s="6">
        <v>1.0</v>
      </c>
      <c r="D332" s="116" t="s">
        <v>611</v>
      </c>
      <c r="E332" s="9" t="s">
        <v>612</v>
      </c>
      <c r="F332" s="109" t="str">
        <f t="shared" ref="F332:G332" si="331">TRANSLATE(D332,"lzh","vi")</f>
        <v>#NAME?</v>
      </c>
      <c r="G332" s="109" t="str">
        <f t="shared" si="331"/>
        <v>#NAME?</v>
      </c>
      <c r="X332" s="110"/>
    </row>
    <row r="333" ht="21.0" customHeight="1">
      <c r="A333" s="30">
        <v>5.0</v>
      </c>
      <c r="B333" s="31">
        <v>409.0</v>
      </c>
      <c r="C333" s="31">
        <v>1.0</v>
      </c>
      <c r="D333" s="125" t="s">
        <v>613</v>
      </c>
      <c r="E333" s="33" t="s">
        <v>614</v>
      </c>
      <c r="F333" s="109" t="str">
        <f t="shared" ref="F333:G333" si="332">TRANSLATE(D333,"lzh","vi")</f>
        <v>#NAME?</v>
      </c>
      <c r="G333" s="109" t="str">
        <f t="shared" si="332"/>
        <v>#NAME?</v>
      </c>
      <c r="X333" s="124"/>
    </row>
    <row r="334" ht="21.0" customHeight="1">
      <c r="A334" s="30">
        <v>20.0</v>
      </c>
      <c r="B334" s="31">
        <v>417.0</v>
      </c>
      <c r="C334" s="31">
        <v>1.0</v>
      </c>
      <c r="D334" s="125" t="s">
        <v>613</v>
      </c>
      <c r="E334" s="33" t="s">
        <v>615</v>
      </c>
      <c r="F334" s="109" t="str">
        <f t="shared" ref="F334:G334" si="333">TRANSLATE(D334,"lzh","vi")</f>
        <v>#NAME?</v>
      </c>
      <c r="G334" s="109" t="str">
        <f t="shared" si="333"/>
        <v>#NAME?</v>
      </c>
      <c r="X334" s="124"/>
    </row>
    <row r="335" ht="21.0" customHeight="1">
      <c r="A335" s="30">
        <v>5.0</v>
      </c>
      <c r="B335" s="31">
        <v>417.0</v>
      </c>
      <c r="C335" s="31">
        <v>1.0</v>
      </c>
      <c r="D335" s="125" t="s">
        <v>616</v>
      </c>
      <c r="E335" s="33" t="s">
        <v>614</v>
      </c>
      <c r="F335" s="109" t="str">
        <f t="shared" ref="F335:G335" si="334">TRANSLATE(D335,"lzh","vi")</f>
        <v>#NAME?</v>
      </c>
      <c r="G335" s="109" t="str">
        <f t="shared" si="334"/>
        <v>#NAME?</v>
      </c>
      <c r="X335" s="124"/>
    </row>
    <row r="336" ht="21.0" customHeight="1">
      <c r="A336" s="30">
        <v>4.0</v>
      </c>
      <c r="B336" s="31">
        <v>411.0</v>
      </c>
      <c r="C336" s="31">
        <v>1.0</v>
      </c>
      <c r="D336" s="125" t="s">
        <v>617</v>
      </c>
      <c r="E336" s="33" t="s">
        <v>618</v>
      </c>
      <c r="F336" s="109" t="str">
        <f t="shared" ref="F336:G336" si="335">TRANSLATE(D336,"lzh","vi")</f>
        <v>#NAME?</v>
      </c>
      <c r="G336" s="109" t="str">
        <f t="shared" si="335"/>
        <v>#NAME?</v>
      </c>
      <c r="X336" s="124"/>
    </row>
    <row r="337" ht="21.0" customHeight="1">
      <c r="A337" s="30">
        <v>4.0</v>
      </c>
      <c r="B337" s="31">
        <v>411.0</v>
      </c>
      <c r="C337" s="31">
        <v>1.0</v>
      </c>
      <c r="D337" s="125" t="s">
        <v>617</v>
      </c>
      <c r="E337" s="33" t="s">
        <v>618</v>
      </c>
      <c r="F337" s="109" t="str">
        <f t="shared" ref="F337:G337" si="336">TRANSLATE(D337,"lzh","vi")</f>
        <v>#NAME?</v>
      </c>
      <c r="G337" s="109" t="str">
        <f t="shared" si="336"/>
        <v>#NAME?</v>
      </c>
      <c r="X337" s="124"/>
    </row>
    <row r="338" ht="21.0" customHeight="1">
      <c r="A338" s="30">
        <v>4.0</v>
      </c>
      <c r="B338" s="31">
        <v>411.0</v>
      </c>
      <c r="C338" s="31">
        <v>1.0</v>
      </c>
      <c r="D338" s="125" t="s">
        <v>617</v>
      </c>
      <c r="E338" s="33" t="s">
        <v>618</v>
      </c>
      <c r="F338" s="109" t="str">
        <f t="shared" ref="F338:G338" si="337">TRANSLATE(D338,"lzh","vi")</f>
        <v>#NAME?</v>
      </c>
      <c r="G338" s="109" t="str">
        <f t="shared" si="337"/>
        <v>#NAME?</v>
      </c>
      <c r="X338" s="124"/>
    </row>
    <row r="339" ht="21.0" customHeight="1">
      <c r="A339" s="30">
        <v>4.0</v>
      </c>
      <c r="B339" s="31">
        <v>411.0</v>
      </c>
      <c r="C339" s="31">
        <v>1.0</v>
      </c>
      <c r="D339" s="125" t="s">
        <v>617</v>
      </c>
      <c r="E339" s="33" t="s">
        <v>618</v>
      </c>
      <c r="F339" s="109" t="str">
        <f t="shared" ref="F339:G339" si="338">TRANSLATE(D339,"lzh","vi")</f>
        <v>#NAME?</v>
      </c>
      <c r="G339" s="109" t="str">
        <f t="shared" si="338"/>
        <v>#NAME?</v>
      </c>
      <c r="X339" s="124"/>
    </row>
    <row r="340" ht="21.0" customHeight="1">
      <c r="A340" s="30">
        <v>4.0</v>
      </c>
      <c r="B340" s="31">
        <v>411.0</v>
      </c>
      <c r="C340" s="31">
        <v>1.0</v>
      </c>
      <c r="D340" s="125" t="s">
        <v>617</v>
      </c>
      <c r="E340" s="33" t="s">
        <v>618</v>
      </c>
      <c r="F340" s="109" t="str">
        <f t="shared" ref="F340:G340" si="339">TRANSLATE(D340,"lzh","vi")</f>
        <v>#NAME?</v>
      </c>
      <c r="G340" s="109" t="str">
        <f t="shared" si="339"/>
        <v>#NAME?</v>
      </c>
      <c r="X340" s="124"/>
    </row>
    <row r="341" ht="21.0" customHeight="1">
      <c r="A341" s="30">
        <v>4.0</v>
      </c>
      <c r="B341" s="31">
        <v>411.0</v>
      </c>
      <c r="C341" s="31">
        <v>1.0</v>
      </c>
      <c r="D341" s="125" t="s">
        <v>619</v>
      </c>
      <c r="E341" s="33" t="s">
        <v>618</v>
      </c>
      <c r="F341" s="109" t="str">
        <f t="shared" ref="F341:G341" si="340">TRANSLATE(D341,"lzh","vi")</f>
        <v>#NAME?</v>
      </c>
      <c r="G341" s="109" t="str">
        <f t="shared" si="340"/>
        <v>#NAME?</v>
      </c>
      <c r="X341" s="124"/>
    </row>
    <row r="342" ht="21.0" customHeight="1">
      <c r="A342" s="30">
        <v>4.0</v>
      </c>
      <c r="B342" s="31">
        <v>412.0</v>
      </c>
      <c r="C342" s="31">
        <v>1.0</v>
      </c>
      <c r="D342" s="125" t="s">
        <v>620</v>
      </c>
      <c r="E342" s="33" t="s">
        <v>621</v>
      </c>
      <c r="F342" s="109" t="str">
        <f t="shared" ref="F342:G342" si="341">TRANSLATE(D342,"lzh","vi")</f>
        <v>#NAME?</v>
      </c>
      <c r="G342" s="109" t="str">
        <f t="shared" si="341"/>
        <v>#NAME?</v>
      </c>
      <c r="X342" s="124"/>
    </row>
    <row r="343" ht="12.0" customHeight="1">
      <c r="A343" s="30">
        <v>4.0</v>
      </c>
      <c r="B343" s="31">
        <v>412.0</v>
      </c>
      <c r="C343" s="31">
        <v>1.0</v>
      </c>
      <c r="D343" s="125" t="s">
        <v>620</v>
      </c>
      <c r="E343" s="33" t="s">
        <v>621</v>
      </c>
      <c r="F343" s="109" t="str">
        <f t="shared" ref="F343:G343" si="342">TRANSLATE(D343,"lzh","vi")</f>
        <v>#NAME?</v>
      </c>
      <c r="G343" s="109" t="str">
        <f t="shared" si="342"/>
        <v>#NAME?</v>
      </c>
      <c r="X343" s="124"/>
    </row>
    <row r="344" ht="12.0" customHeight="1">
      <c r="A344" s="30">
        <v>4.0</v>
      </c>
      <c r="B344" s="31">
        <v>412.0</v>
      </c>
      <c r="C344" s="31">
        <v>1.0</v>
      </c>
      <c r="D344" s="125" t="s">
        <v>620</v>
      </c>
      <c r="E344" s="33" t="s">
        <v>621</v>
      </c>
      <c r="F344" s="109" t="str">
        <f t="shared" ref="F344:G344" si="343">TRANSLATE(D344,"lzh","vi")</f>
        <v>#NAME?</v>
      </c>
      <c r="G344" s="109" t="str">
        <f t="shared" si="343"/>
        <v>#NAME?</v>
      </c>
      <c r="X344" s="124"/>
    </row>
    <row r="345" ht="12.0" customHeight="1">
      <c r="A345" s="30">
        <v>4.0</v>
      </c>
      <c r="B345" s="31">
        <v>412.0</v>
      </c>
      <c r="C345" s="31">
        <v>1.0</v>
      </c>
      <c r="D345" s="125" t="s">
        <v>620</v>
      </c>
      <c r="E345" s="33" t="s">
        <v>621</v>
      </c>
      <c r="F345" s="109" t="str">
        <f t="shared" ref="F345:G345" si="344">TRANSLATE(D345,"lzh","vi")</f>
        <v>#NAME?</v>
      </c>
      <c r="G345" s="109" t="str">
        <f t="shared" si="344"/>
        <v>#NAME?</v>
      </c>
      <c r="X345" s="124"/>
    </row>
    <row r="346" ht="12.0" customHeight="1">
      <c r="A346" s="30">
        <v>4.0</v>
      </c>
      <c r="B346" s="31">
        <v>412.0</v>
      </c>
      <c r="C346" s="31">
        <v>1.0</v>
      </c>
      <c r="D346" s="125" t="s">
        <v>620</v>
      </c>
      <c r="E346" s="33" t="s">
        <v>621</v>
      </c>
      <c r="F346" s="109" t="str">
        <f t="shared" ref="F346:G346" si="345">TRANSLATE(D346,"lzh","vi")</f>
        <v>#NAME?</v>
      </c>
      <c r="G346" s="109" t="str">
        <f t="shared" si="345"/>
        <v>#NAME?</v>
      </c>
      <c r="X346" s="124"/>
    </row>
    <row r="347" ht="12.0" customHeight="1">
      <c r="A347" s="30">
        <v>14.0</v>
      </c>
      <c r="B347" s="31">
        <v>413.0</v>
      </c>
      <c r="C347" s="31">
        <v>1.0</v>
      </c>
      <c r="D347" s="125" t="s">
        <v>622</v>
      </c>
      <c r="E347" s="33" t="s">
        <v>623</v>
      </c>
      <c r="F347" s="109" t="str">
        <f t="shared" ref="F347:G347" si="346">TRANSLATE(D347,"lzh","vi")</f>
        <v>#NAME?</v>
      </c>
      <c r="G347" s="109" t="str">
        <f t="shared" si="346"/>
        <v>#NAME?</v>
      </c>
      <c r="X347" s="27"/>
    </row>
    <row r="348" ht="12.0" customHeight="1">
      <c r="A348" s="30">
        <v>14.0</v>
      </c>
      <c r="B348" s="31">
        <v>413.0</v>
      </c>
      <c r="C348" s="31">
        <v>1.0</v>
      </c>
      <c r="D348" s="125" t="s">
        <v>622</v>
      </c>
      <c r="E348" s="33" t="s">
        <v>624</v>
      </c>
      <c r="F348" s="109" t="str">
        <f t="shared" ref="F348:G348" si="347">TRANSLATE(D348,"lzh","vi")</f>
        <v>#NAME?</v>
      </c>
      <c r="G348" s="109" t="str">
        <f t="shared" si="347"/>
        <v>#NAME?</v>
      </c>
      <c r="X348" s="27"/>
    </row>
    <row r="349" ht="12.0" customHeight="1">
      <c r="A349" s="30">
        <v>14.0</v>
      </c>
      <c r="B349" s="31">
        <v>413.0</v>
      </c>
      <c r="C349" s="31">
        <v>1.0</v>
      </c>
      <c r="D349" s="125" t="s">
        <v>622</v>
      </c>
      <c r="E349" s="33" t="s">
        <v>625</v>
      </c>
      <c r="F349" s="109" t="str">
        <f t="shared" ref="F349:G349" si="348">TRANSLATE(D349,"lzh","vi")</f>
        <v>#NAME?</v>
      </c>
      <c r="G349" s="109" t="str">
        <f t="shared" si="348"/>
        <v>#NAME?</v>
      </c>
      <c r="X349" s="27"/>
    </row>
    <row r="350" ht="12.0" customHeight="1">
      <c r="A350" s="30">
        <v>14.0</v>
      </c>
      <c r="B350" s="31">
        <v>413.0</v>
      </c>
      <c r="C350" s="31">
        <v>1.0</v>
      </c>
      <c r="D350" s="125" t="s">
        <v>622</v>
      </c>
      <c r="E350" s="33" t="s">
        <v>626</v>
      </c>
      <c r="F350" s="109" t="str">
        <f t="shared" ref="F350:G350" si="349">TRANSLATE(D350,"lzh","vi")</f>
        <v>#NAME?</v>
      </c>
      <c r="G350" s="109" t="str">
        <f t="shared" si="349"/>
        <v>#NAME?</v>
      </c>
      <c r="X350" s="27"/>
    </row>
    <row r="351" ht="12.0" customHeight="1">
      <c r="A351" s="30">
        <v>14.0</v>
      </c>
      <c r="B351" s="31">
        <v>413.0</v>
      </c>
      <c r="C351" s="31">
        <v>1.0</v>
      </c>
      <c r="D351" s="125" t="s">
        <v>627</v>
      </c>
      <c r="E351" s="33" t="s">
        <v>628</v>
      </c>
      <c r="F351" s="109" t="str">
        <f t="shared" ref="F351:G351" si="350">TRANSLATE(D351,"lzh","vi")</f>
        <v>#NAME?</v>
      </c>
      <c r="G351" s="109" t="str">
        <f t="shared" si="350"/>
        <v>#NAME?</v>
      </c>
      <c r="X351" s="27"/>
    </row>
    <row r="352" ht="12.0" customHeight="1">
      <c r="A352" s="30">
        <v>14.0</v>
      </c>
      <c r="B352" s="31">
        <v>413.0</v>
      </c>
      <c r="C352" s="31">
        <v>1.0</v>
      </c>
      <c r="D352" s="125" t="s">
        <v>627</v>
      </c>
      <c r="E352" s="33" t="s">
        <v>629</v>
      </c>
      <c r="F352" s="109" t="str">
        <f t="shared" ref="F352:G352" si="351">TRANSLATE(D352,"lzh","vi")</f>
        <v>#NAME?</v>
      </c>
      <c r="G352" s="109" t="str">
        <f t="shared" si="351"/>
        <v>#NAME?</v>
      </c>
      <c r="X352" s="27"/>
    </row>
    <row r="353" ht="12.0" customHeight="1">
      <c r="A353" s="30">
        <v>14.0</v>
      </c>
      <c r="B353" s="31">
        <v>413.0</v>
      </c>
      <c r="C353" s="31">
        <v>1.0</v>
      </c>
      <c r="D353" s="125" t="s">
        <v>627</v>
      </c>
      <c r="E353" s="33" t="s">
        <v>630</v>
      </c>
      <c r="F353" s="109" t="str">
        <f t="shared" ref="F353:G353" si="352">TRANSLATE(D353,"lzh","vi")</f>
        <v>#NAME?</v>
      </c>
      <c r="G353" s="109" t="str">
        <f t="shared" si="352"/>
        <v>#NAME?</v>
      </c>
      <c r="X353" s="27"/>
    </row>
    <row r="354" ht="12.0" customHeight="1">
      <c r="A354" s="30">
        <v>14.0</v>
      </c>
      <c r="B354" s="31">
        <v>413.0</v>
      </c>
      <c r="C354" s="31">
        <v>1.0</v>
      </c>
      <c r="D354" s="125" t="s">
        <v>627</v>
      </c>
      <c r="E354" s="33" t="s">
        <v>631</v>
      </c>
      <c r="F354" s="109" t="str">
        <f t="shared" ref="F354:G354" si="353">TRANSLATE(D354,"lzh","vi")</f>
        <v>#NAME?</v>
      </c>
      <c r="G354" s="109" t="str">
        <f t="shared" si="353"/>
        <v>#NAME?</v>
      </c>
      <c r="X354" s="27"/>
    </row>
    <row r="355" ht="12.0" customHeight="1">
      <c r="A355" s="30">
        <v>14.0</v>
      </c>
      <c r="B355" s="31">
        <v>413.0</v>
      </c>
      <c r="C355" s="31">
        <v>1.0</v>
      </c>
      <c r="D355" s="125" t="s">
        <v>622</v>
      </c>
      <c r="E355" s="33" t="s">
        <v>632</v>
      </c>
      <c r="F355" s="109" t="str">
        <f t="shared" ref="F355:G355" si="354">TRANSLATE(D355,"lzh","vi")</f>
        <v>#NAME?</v>
      </c>
      <c r="G355" s="109" t="str">
        <f t="shared" si="354"/>
        <v>#NAME?</v>
      </c>
      <c r="X355" s="27"/>
    </row>
    <row r="356" ht="12.0" customHeight="1">
      <c r="A356" s="30">
        <v>14.0</v>
      </c>
      <c r="B356" s="31">
        <v>413.0</v>
      </c>
      <c r="C356" s="31">
        <v>1.0</v>
      </c>
      <c r="D356" s="125" t="s">
        <v>622</v>
      </c>
      <c r="E356" s="33" t="s">
        <v>633</v>
      </c>
      <c r="F356" s="109" t="str">
        <f t="shared" ref="F356:G356" si="355">TRANSLATE(D356,"lzh","vi")</f>
        <v>#NAME?</v>
      </c>
      <c r="G356" s="109" t="str">
        <f t="shared" si="355"/>
        <v>#NAME?</v>
      </c>
      <c r="X356" s="27"/>
    </row>
    <row r="357" ht="12.0" customHeight="1">
      <c r="A357" s="30">
        <v>14.0</v>
      </c>
      <c r="B357" s="31">
        <v>413.0</v>
      </c>
      <c r="C357" s="31">
        <v>1.0</v>
      </c>
      <c r="D357" s="125" t="s">
        <v>622</v>
      </c>
      <c r="E357" s="33" t="s">
        <v>634</v>
      </c>
      <c r="F357" s="109" t="str">
        <f t="shared" ref="F357:G357" si="356">TRANSLATE(D357,"lzh","vi")</f>
        <v>#NAME?</v>
      </c>
      <c r="G357" s="109" t="str">
        <f t="shared" si="356"/>
        <v>#NAME?</v>
      </c>
      <c r="X357" s="27"/>
    </row>
    <row r="358" ht="12.0" customHeight="1">
      <c r="A358" s="30">
        <v>14.0</v>
      </c>
      <c r="B358" s="31">
        <v>413.0</v>
      </c>
      <c r="C358" s="31">
        <v>1.0</v>
      </c>
      <c r="D358" s="125" t="s">
        <v>622</v>
      </c>
      <c r="E358" s="33" t="s">
        <v>635</v>
      </c>
      <c r="F358" s="109" t="str">
        <f t="shared" ref="F358:G358" si="357">TRANSLATE(D358,"lzh","vi")</f>
        <v>#NAME?</v>
      </c>
      <c r="G358" s="109" t="str">
        <f t="shared" si="357"/>
        <v>#NAME?</v>
      </c>
      <c r="X358" s="27"/>
    </row>
    <row r="359" ht="12.0" customHeight="1">
      <c r="A359" s="30">
        <v>14.0</v>
      </c>
      <c r="B359" s="31">
        <v>413.0</v>
      </c>
      <c r="C359" s="31">
        <v>1.0</v>
      </c>
      <c r="D359" s="125" t="s">
        <v>627</v>
      </c>
      <c r="E359" s="33" t="s">
        <v>636</v>
      </c>
      <c r="F359" s="109" t="str">
        <f t="shared" ref="F359:G359" si="358">TRANSLATE(D359,"lzh","vi")</f>
        <v>#NAME?</v>
      </c>
      <c r="G359" s="109" t="str">
        <f t="shared" si="358"/>
        <v>#NAME?</v>
      </c>
      <c r="X359" s="27"/>
    </row>
    <row r="360" ht="12.0" customHeight="1">
      <c r="A360" s="30">
        <v>14.0</v>
      </c>
      <c r="B360" s="31">
        <v>413.0</v>
      </c>
      <c r="C360" s="31">
        <v>1.0</v>
      </c>
      <c r="D360" s="125" t="s">
        <v>627</v>
      </c>
      <c r="E360" s="33" t="s">
        <v>637</v>
      </c>
      <c r="F360" s="109" t="str">
        <f t="shared" ref="F360:G360" si="359">TRANSLATE(D360,"lzh","vi")</f>
        <v>#NAME?</v>
      </c>
      <c r="G360" s="109" t="str">
        <f t="shared" si="359"/>
        <v>#NAME?</v>
      </c>
      <c r="X360" s="27"/>
    </row>
    <row r="361" ht="12.0" customHeight="1">
      <c r="A361" s="30">
        <v>14.0</v>
      </c>
      <c r="B361" s="31">
        <v>413.0</v>
      </c>
      <c r="C361" s="31">
        <v>1.0</v>
      </c>
      <c r="D361" s="125" t="s">
        <v>627</v>
      </c>
      <c r="E361" s="33" t="s">
        <v>638</v>
      </c>
      <c r="F361" s="109" t="str">
        <f t="shared" ref="F361:G361" si="360">TRANSLATE(D361,"lzh","vi")</f>
        <v>#NAME?</v>
      </c>
      <c r="G361" s="109" t="str">
        <f t="shared" si="360"/>
        <v>#NAME?</v>
      </c>
      <c r="X361" s="27"/>
    </row>
    <row r="362" ht="12.0" customHeight="1">
      <c r="A362" s="30">
        <v>14.0</v>
      </c>
      <c r="B362" s="31">
        <v>413.0</v>
      </c>
      <c r="C362" s="31">
        <v>1.0</v>
      </c>
      <c r="D362" s="125" t="s">
        <v>627</v>
      </c>
      <c r="E362" s="33" t="s">
        <v>639</v>
      </c>
      <c r="F362" s="109" t="str">
        <f t="shared" ref="F362:G362" si="361">TRANSLATE(D362,"lzh","vi")</f>
        <v>#NAME?</v>
      </c>
      <c r="G362" s="109" t="str">
        <f t="shared" si="361"/>
        <v>#NAME?</v>
      </c>
      <c r="X362" s="27"/>
    </row>
    <row r="363" ht="12.0" customHeight="1">
      <c r="A363" s="30">
        <v>14.0</v>
      </c>
      <c r="B363" s="31">
        <v>413.0</v>
      </c>
      <c r="C363" s="31">
        <v>1.0</v>
      </c>
      <c r="D363" s="125" t="s">
        <v>640</v>
      </c>
      <c r="E363" s="33" t="s">
        <v>641</v>
      </c>
      <c r="F363" s="109" t="str">
        <f t="shared" ref="F363:G363" si="362">TRANSLATE(D363,"lzh","vi")</f>
        <v>#NAME?</v>
      </c>
      <c r="G363" s="109" t="str">
        <f t="shared" si="362"/>
        <v>#NAME?</v>
      </c>
      <c r="X363" s="124"/>
    </row>
    <row r="364" ht="12.0" customHeight="1">
      <c r="A364" s="30">
        <v>14.0</v>
      </c>
      <c r="B364" s="31">
        <v>413.0</v>
      </c>
      <c r="C364" s="31">
        <v>1.0</v>
      </c>
      <c r="D364" s="125" t="s">
        <v>640</v>
      </c>
      <c r="E364" s="33" t="s">
        <v>641</v>
      </c>
      <c r="F364" s="109" t="str">
        <f t="shared" ref="F364:G364" si="363">TRANSLATE(D364,"lzh","vi")</f>
        <v>#NAME?</v>
      </c>
      <c r="G364" s="109" t="str">
        <f t="shared" si="363"/>
        <v>#NAME?</v>
      </c>
      <c r="X364" s="110"/>
    </row>
    <row r="365" ht="12.0" customHeight="1">
      <c r="A365" s="30">
        <v>14.0</v>
      </c>
      <c r="B365" s="31">
        <v>413.0</v>
      </c>
      <c r="C365" s="31">
        <v>1.0</v>
      </c>
      <c r="D365" s="125" t="s">
        <v>640</v>
      </c>
      <c r="E365" s="33" t="s">
        <v>641</v>
      </c>
      <c r="F365" s="109" t="str">
        <f t="shared" ref="F365:G365" si="364">TRANSLATE(D365,"lzh","vi")</f>
        <v>#NAME?</v>
      </c>
      <c r="G365" s="109" t="str">
        <f t="shared" si="364"/>
        <v>#NAME?</v>
      </c>
      <c r="X365" s="110"/>
    </row>
    <row r="366" ht="12.0" customHeight="1">
      <c r="A366" s="30">
        <v>14.0</v>
      </c>
      <c r="B366" s="31">
        <v>413.0</v>
      </c>
      <c r="C366" s="31">
        <v>1.0</v>
      </c>
      <c r="D366" s="125" t="s">
        <v>640</v>
      </c>
      <c r="E366" s="33" t="s">
        <v>641</v>
      </c>
      <c r="F366" s="109" t="str">
        <f t="shared" ref="F366:G366" si="365">TRANSLATE(D366,"lzh","vi")</f>
        <v>#NAME?</v>
      </c>
      <c r="G366" s="109" t="str">
        <f t="shared" si="365"/>
        <v>#NAME?</v>
      </c>
      <c r="X366" s="110"/>
    </row>
    <row r="367" ht="12.0" customHeight="1">
      <c r="A367" s="30">
        <v>14.0</v>
      </c>
      <c r="B367" s="31">
        <v>413.0</v>
      </c>
      <c r="C367" s="31">
        <v>1.0</v>
      </c>
      <c r="D367" s="125" t="s">
        <v>640</v>
      </c>
      <c r="E367" s="33" t="s">
        <v>641</v>
      </c>
      <c r="F367" s="109" t="str">
        <f t="shared" ref="F367:G367" si="366">TRANSLATE(D367,"lzh","vi")</f>
        <v>#NAME?</v>
      </c>
      <c r="G367" s="109" t="str">
        <f t="shared" si="366"/>
        <v>#NAME?</v>
      </c>
      <c r="X367" s="110"/>
    </row>
    <row r="368" ht="12.0" customHeight="1">
      <c r="A368" s="30">
        <v>14.0</v>
      </c>
      <c r="B368" s="31">
        <v>413.0</v>
      </c>
      <c r="C368" s="31">
        <v>1.0</v>
      </c>
      <c r="D368" s="125" t="s">
        <v>640</v>
      </c>
      <c r="E368" s="33" t="s">
        <v>641</v>
      </c>
      <c r="F368" s="109" t="str">
        <f t="shared" ref="F368:G368" si="367">TRANSLATE(D368,"lzh","vi")</f>
        <v>#NAME?</v>
      </c>
      <c r="G368" s="109" t="str">
        <f t="shared" si="367"/>
        <v>#NAME?</v>
      </c>
      <c r="X368" s="110"/>
    </row>
    <row r="369" ht="12.0" customHeight="1">
      <c r="A369" s="30">
        <v>14.0</v>
      </c>
      <c r="B369" s="31">
        <v>413.0</v>
      </c>
      <c r="C369" s="31">
        <v>1.0</v>
      </c>
      <c r="D369" s="125" t="s">
        <v>640</v>
      </c>
      <c r="E369" s="33" t="s">
        <v>641</v>
      </c>
      <c r="F369" s="109" t="str">
        <f t="shared" ref="F369:G369" si="368">TRANSLATE(D369,"lzh","vi")</f>
        <v>#NAME?</v>
      </c>
      <c r="G369" s="109" t="str">
        <f t="shared" si="368"/>
        <v>#NAME?</v>
      </c>
      <c r="X369" s="110"/>
    </row>
    <row r="370" ht="12.0" customHeight="1">
      <c r="A370" s="30">
        <v>14.0</v>
      </c>
      <c r="B370" s="31">
        <v>413.0</v>
      </c>
      <c r="C370" s="31">
        <v>1.0</v>
      </c>
      <c r="D370" s="125" t="s">
        <v>642</v>
      </c>
      <c r="E370" s="33" t="s">
        <v>643</v>
      </c>
      <c r="F370" s="109" t="str">
        <f t="shared" ref="F370:G370" si="369">TRANSLATE(D370,"lzh","vi")</f>
        <v>#NAME?</v>
      </c>
      <c r="G370" s="109" t="str">
        <f t="shared" si="369"/>
        <v>#NAME?</v>
      </c>
      <c r="X370" s="110"/>
    </row>
    <row r="371" ht="12.0" customHeight="1">
      <c r="A371" s="30">
        <v>14.0</v>
      </c>
      <c r="B371" s="31">
        <v>413.0</v>
      </c>
      <c r="C371" s="31">
        <v>1.0</v>
      </c>
      <c r="D371" s="125" t="s">
        <v>644</v>
      </c>
      <c r="E371" s="33" t="s">
        <v>643</v>
      </c>
      <c r="F371" s="109" t="str">
        <f t="shared" ref="F371:G371" si="370">TRANSLATE(D371,"lzh","vi")</f>
        <v>#NAME?</v>
      </c>
      <c r="G371" s="109" t="str">
        <f t="shared" si="370"/>
        <v>#NAME?</v>
      </c>
      <c r="X371" s="110"/>
    </row>
    <row r="372" ht="12.0" customHeight="1">
      <c r="A372" s="30">
        <v>14.0</v>
      </c>
      <c r="B372" s="31">
        <v>413.0</v>
      </c>
      <c r="C372" s="31">
        <v>1.0</v>
      </c>
      <c r="D372" s="125" t="s">
        <v>645</v>
      </c>
      <c r="E372" s="33" t="s">
        <v>643</v>
      </c>
      <c r="F372" s="109" t="str">
        <f t="shared" ref="F372:G372" si="371">TRANSLATE(D372,"lzh","vi")</f>
        <v>#NAME?</v>
      </c>
      <c r="G372" s="109" t="str">
        <f t="shared" si="371"/>
        <v>#NAME?</v>
      </c>
      <c r="X372" s="110"/>
    </row>
    <row r="373" ht="12.0" customHeight="1">
      <c r="A373" s="30">
        <v>14.0</v>
      </c>
      <c r="B373" s="31">
        <v>413.0</v>
      </c>
      <c r="C373" s="31">
        <v>1.0</v>
      </c>
      <c r="D373" s="125" t="s">
        <v>646</v>
      </c>
      <c r="E373" s="33" t="s">
        <v>643</v>
      </c>
      <c r="F373" s="109" t="str">
        <f t="shared" ref="F373:G373" si="372">TRANSLATE(D373,"lzh","vi")</f>
        <v>#NAME?</v>
      </c>
      <c r="G373" s="109" t="str">
        <f t="shared" si="372"/>
        <v>#NAME?</v>
      </c>
      <c r="X373" s="110"/>
    </row>
    <row r="374" ht="12.0" customHeight="1">
      <c r="A374" s="30">
        <v>14.0</v>
      </c>
      <c r="B374" s="31">
        <v>413.0</v>
      </c>
      <c r="C374" s="31">
        <v>1.0</v>
      </c>
      <c r="D374" s="125" t="s">
        <v>647</v>
      </c>
      <c r="E374" s="33" t="s">
        <v>643</v>
      </c>
      <c r="F374" s="109" t="str">
        <f t="shared" ref="F374:G374" si="373">TRANSLATE(D374,"lzh","vi")</f>
        <v>#NAME?</v>
      </c>
      <c r="G374" s="109" t="str">
        <f t="shared" si="373"/>
        <v>#NAME?</v>
      </c>
      <c r="X374" s="110"/>
    </row>
    <row r="375" ht="12.0" customHeight="1">
      <c r="A375" s="30">
        <v>14.0</v>
      </c>
      <c r="B375" s="31">
        <v>413.0</v>
      </c>
      <c r="C375" s="31">
        <v>1.0</v>
      </c>
      <c r="D375" s="125" t="s">
        <v>648</v>
      </c>
      <c r="E375" s="33" t="s">
        <v>649</v>
      </c>
      <c r="F375" s="109" t="str">
        <f t="shared" ref="F375:G375" si="374">TRANSLATE(D375,"lzh","vi")</f>
        <v>#NAME?</v>
      </c>
      <c r="G375" s="109" t="str">
        <f t="shared" si="374"/>
        <v>#NAME?</v>
      </c>
      <c r="X375" s="110"/>
    </row>
    <row r="376" ht="12.0" customHeight="1">
      <c r="A376" s="30">
        <v>14.0</v>
      </c>
      <c r="B376" s="31">
        <v>413.0</v>
      </c>
      <c r="C376" s="31">
        <v>1.0</v>
      </c>
      <c r="D376" s="125" t="s">
        <v>650</v>
      </c>
      <c r="E376" s="33" t="s">
        <v>651</v>
      </c>
      <c r="F376" s="109" t="str">
        <f t="shared" ref="F376:G376" si="375">TRANSLATE(D376,"lzh","vi")</f>
        <v>#NAME?</v>
      </c>
      <c r="G376" s="109" t="str">
        <f t="shared" si="375"/>
        <v>#NAME?</v>
      </c>
      <c r="X376" s="110"/>
    </row>
    <row r="377" ht="12.0" customHeight="1">
      <c r="A377" s="30">
        <v>14.0</v>
      </c>
      <c r="B377" s="31">
        <v>413.0</v>
      </c>
      <c r="C377" s="31">
        <v>1.0</v>
      </c>
      <c r="D377" s="125" t="s">
        <v>652</v>
      </c>
      <c r="E377" s="33" t="s">
        <v>653</v>
      </c>
      <c r="F377" s="109" t="str">
        <f t="shared" ref="F377:G377" si="376">TRANSLATE(D377,"lzh","vi")</f>
        <v>#NAME?</v>
      </c>
      <c r="G377" s="109" t="str">
        <f t="shared" si="376"/>
        <v>#NAME?</v>
      </c>
      <c r="X377" s="110"/>
    </row>
    <row r="378" ht="21.75" customHeight="1">
      <c r="A378" s="37">
        <v>4.0</v>
      </c>
      <c r="B378" s="38">
        <v>414.0</v>
      </c>
      <c r="C378" s="38">
        <v>1.0</v>
      </c>
      <c r="D378" s="128" t="s">
        <v>654</v>
      </c>
      <c r="E378" s="40" t="s">
        <v>538</v>
      </c>
      <c r="F378" s="109" t="str">
        <f t="shared" ref="F378:G378" si="377">TRANSLATE(D378,"lzh","vi")</f>
        <v>#NAME?</v>
      </c>
      <c r="G378" s="109" t="str">
        <f t="shared" si="377"/>
        <v>#NAME?</v>
      </c>
      <c r="X378" s="129"/>
    </row>
    <row r="379" ht="21.75" customHeight="1">
      <c r="A379" s="37">
        <v>4.0</v>
      </c>
      <c r="B379" s="38">
        <v>414.0</v>
      </c>
      <c r="C379" s="38">
        <v>1.0</v>
      </c>
      <c r="D379" s="128" t="s">
        <v>654</v>
      </c>
      <c r="E379" s="40" t="s">
        <v>538</v>
      </c>
      <c r="F379" s="109" t="str">
        <f t="shared" ref="F379:G379" si="378">TRANSLATE(D379,"lzh","vi")</f>
        <v>#NAME?</v>
      </c>
      <c r="G379" s="109" t="str">
        <f t="shared" si="378"/>
        <v>#NAME?</v>
      </c>
      <c r="X379" s="129"/>
    </row>
    <row r="380" ht="21.75" customHeight="1">
      <c r="A380" s="37">
        <v>4.0</v>
      </c>
      <c r="B380" s="38">
        <v>414.0</v>
      </c>
      <c r="C380" s="38">
        <v>1.0</v>
      </c>
      <c r="D380" s="128" t="s">
        <v>654</v>
      </c>
      <c r="E380" s="40" t="s">
        <v>538</v>
      </c>
      <c r="F380" s="109" t="str">
        <f t="shared" ref="F380:G380" si="379">TRANSLATE(D380,"lzh","vi")</f>
        <v>#NAME?</v>
      </c>
      <c r="G380" s="109" t="str">
        <f t="shared" si="379"/>
        <v>#NAME?</v>
      </c>
      <c r="X380" s="129"/>
    </row>
    <row r="381" ht="21.75" customHeight="1">
      <c r="A381" s="37">
        <v>4.0</v>
      </c>
      <c r="B381" s="38">
        <v>414.0</v>
      </c>
      <c r="C381" s="38">
        <v>1.0</v>
      </c>
      <c r="D381" s="128" t="s">
        <v>654</v>
      </c>
      <c r="E381" s="40" t="s">
        <v>538</v>
      </c>
      <c r="F381" s="109" t="str">
        <f t="shared" ref="F381:G381" si="380">TRANSLATE(D381,"lzh","vi")</f>
        <v>#NAME?</v>
      </c>
      <c r="G381" s="109" t="str">
        <f t="shared" si="380"/>
        <v>#NAME?</v>
      </c>
      <c r="X381" s="129"/>
    </row>
    <row r="382" ht="21.75" customHeight="1">
      <c r="A382" s="37">
        <v>4.0</v>
      </c>
      <c r="B382" s="38">
        <v>414.0</v>
      </c>
      <c r="C382" s="38">
        <v>1.0</v>
      </c>
      <c r="D382" s="128" t="s">
        <v>654</v>
      </c>
      <c r="E382" s="40" t="s">
        <v>538</v>
      </c>
      <c r="F382" s="109" t="str">
        <f t="shared" ref="F382:G382" si="381">TRANSLATE(D382,"lzh","vi")</f>
        <v>#NAME?</v>
      </c>
      <c r="G382" s="109" t="str">
        <f t="shared" si="381"/>
        <v>#NAME?</v>
      </c>
      <c r="X382" s="129"/>
    </row>
    <row r="383" ht="21.75" customHeight="1">
      <c r="A383" s="37">
        <v>4.0</v>
      </c>
      <c r="B383" s="38">
        <v>414.0</v>
      </c>
      <c r="C383" s="38">
        <v>1.0</v>
      </c>
      <c r="D383" s="128" t="s">
        <v>654</v>
      </c>
      <c r="E383" s="40" t="s">
        <v>538</v>
      </c>
      <c r="F383" s="109" t="str">
        <f t="shared" ref="F383:G383" si="382">TRANSLATE(D383,"lzh","vi")</f>
        <v>#NAME?</v>
      </c>
      <c r="G383" s="109" t="str">
        <f t="shared" si="382"/>
        <v>#NAME?</v>
      </c>
      <c r="X383" s="129"/>
    </row>
    <row r="384" ht="21.75" customHeight="1">
      <c r="A384" s="37">
        <v>4.0</v>
      </c>
      <c r="B384" s="38">
        <v>414.0</v>
      </c>
      <c r="C384" s="38">
        <v>1.0</v>
      </c>
      <c r="D384" s="128" t="s">
        <v>654</v>
      </c>
      <c r="E384" s="40" t="s">
        <v>538</v>
      </c>
      <c r="F384" s="109" t="str">
        <f t="shared" ref="F384:G384" si="383">TRANSLATE(D384,"lzh","vi")</f>
        <v>#NAME?</v>
      </c>
      <c r="G384" s="109" t="str">
        <f t="shared" si="383"/>
        <v>#NAME?</v>
      </c>
      <c r="X384" s="129"/>
    </row>
    <row r="385" ht="21.75" customHeight="1">
      <c r="A385" s="37">
        <v>4.0</v>
      </c>
      <c r="B385" s="38">
        <v>414.0</v>
      </c>
      <c r="C385" s="38">
        <v>1.0</v>
      </c>
      <c r="D385" s="128" t="s">
        <v>654</v>
      </c>
      <c r="E385" s="40" t="s">
        <v>538</v>
      </c>
      <c r="F385" s="109" t="str">
        <f t="shared" ref="F385:G385" si="384">TRANSLATE(D385,"lzh","vi")</f>
        <v>#NAME?</v>
      </c>
      <c r="G385" s="109" t="str">
        <f t="shared" si="384"/>
        <v>#NAME?</v>
      </c>
      <c r="X385" s="129"/>
    </row>
    <row r="386" ht="21.75" customHeight="1">
      <c r="A386" s="37">
        <v>4.0</v>
      </c>
      <c r="B386" s="38">
        <v>414.0</v>
      </c>
      <c r="C386" s="38">
        <v>1.0</v>
      </c>
      <c r="D386" s="128" t="s">
        <v>654</v>
      </c>
      <c r="E386" s="40" t="s">
        <v>538</v>
      </c>
      <c r="F386" s="109" t="str">
        <f t="shared" ref="F386:G386" si="385">TRANSLATE(D386,"lzh","vi")</f>
        <v>#NAME?</v>
      </c>
      <c r="G386" s="109" t="str">
        <f t="shared" si="385"/>
        <v>#NAME?</v>
      </c>
      <c r="X386" s="129"/>
    </row>
    <row r="387" ht="21.75" customHeight="1">
      <c r="A387" s="37">
        <v>4.0</v>
      </c>
      <c r="B387" s="38">
        <v>414.0</v>
      </c>
      <c r="C387" s="38">
        <v>1.0</v>
      </c>
      <c r="D387" s="128" t="s">
        <v>654</v>
      </c>
      <c r="E387" s="40" t="s">
        <v>538</v>
      </c>
      <c r="F387" s="109" t="str">
        <f t="shared" ref="F387:G387" si="386">TRANSLATE(D387,"lzh","vi")</f>
        <v>#NAME?</v>
      </c>
      <c r="G387" s="109" t="str">
        <f t="shared" si="386"/>
        <v>#NAME?</v>
      </c>
      <c r="X387" s="129"/>
    </row>
    <row r="388" ht="21.75" customHeight="1">
      <c r="A388" s="37">
        <v>4.0</v>
      </c>
      <c r="B388" s="38">
        <v>414.0</v>
      </c>
      <c r="C388" s="38">
        <v>1.0</v>
      </c>
      <c r="D388" s="128" t="s">
        <v>654</v>
      </c>
      <c r="E388" s="40" t="s">
        <v>538</v>
      </c>
      <c r="F388" s="109" t="str">
        <f t="shared" ref="F388:G388" si="387">TRANSLATE(D388,"lzh","vi")</f>
        <v>#NAME?</v>
      </c>
      <c r="G388" s="109" t="str">
        <f t="shared" si="387"/>
        <v>#NAME?</v>
      </c>
      <c r="X388" s="129"/>
    </row>
    <row r="389" ht="21.75" customHeight="1">
      <c r="A389" s="37">
        <v>4.0</v>
      </c>
      <c r="B389" s="38">
        <v>414.0</v>
      </c>
      <c r="C389" s="38">
        <v>1.0</v>
      </c>
      <c r="D389" s="128" t="s">
        <v>654</v>
      </c>
      <c r="E389" s="40" t="s">
        <v>538</v>
      </c>
      <c r="F389" s="109" t="str">
        <f t="shared" ref="F389:G389" si="388">TRANSLATE(D389,"lzh","vi")</f>
        <v>#NAME?</v>
      </c>
      <c r="G389" s="109" t="str">
        <f t="shared" si="388"/>
        <v>#NAME?</v>
      </c>
      <c r="X389" s="129"/>
    </row>
    <row r="390" ht="21.75" customHeight="1">
      <c r="A390" s="37">
        <v>4.0</v>
      </c>
      <c r="B390" s="38">
        <v>414.0</v>
      </c>
      <c r="C390" s="38">
        <v>1.0</v>
      </c>
      <c r="D390" s="128" t="s">
        <v>654</v>
      </c>
      <c r="E390" s="40" t="s">
        <v>538</v>
      </c>
      <c r="F390" s="109" t="str">
        <f t="shared" ref="F390:G390" si="389">TRANSLATE(D390,"lzh","vi")</f>
        <v>#NAME?</v>
      </c>
      <c r="G390" s="109" t="str">
        <f t="shared" si="389"/>
        <v>#NAME?</v>
      </c>
      <c r="X390" s="129"/>
    </row>
    <row r="391" ht="21.75" customHeight="1">
      <c r="A391" s="37">
        <v>4.0</v>
      </c>
      <c r="B391" s="38">
        <v>414.0</v>
      </c>
      <c r="C391" s="38">
        <v>1.0</v>
      </c>
      <c r="D391" s="128" t="s">
        <v>654</v>
      </c>
      <c r="E391" s="40" t="s">
        <v>538</v>
      </c>
      <c r="F391" s="109" t="str">
        <f t="shared" ref="F391:G391" si="390">TRANSLATE(D391,"lzh","vi")</f>
        <v>#NAME?</v>
      </c>
      <c r="G391" s="109" t="str">
        <f t="shared" si="390"/>
        <v>#NAME?</v>
      </c>
      <c r="X391" s="129"/>
    </row>
    <row r="392" ht="21.75" customHeight="1">
      <c r="A392" s="37">
        <v>4.0</v>
      </c>
      <c r="B392" s="38">
        <v>414.0</v>
      </c>
      <c r="C392" s="38">
        <v>1.0</v>
      </c>
      <c r="D392" s="128" t="s">
        <v>654</v>
      </c>
      <c r="E392" s="40" t="s">
        <v>538</v>
      </c>
      <c r="F392" s="109" t="str">
        <f t="shared" ref="F392:G392" si="391">TRANSLATE(D392,"lzh","vi")</f>
        <v>#NAME?</v>
      </c>
      <c r="G392" s="109" t="str">
        <f t="shared" si="391"/>
        <v>#NAME?</v>
      </c>
      <c r="X392" s="129"/>
    </row>
    <row r="393" ht="21.75" customHeight="1">
      <c r="A393" s="37">
        <v>4.0</v>
      </c>
      <c r="B393" s="38">
        <v>414.0</v>
      </c>
      <c r="C393" s="38">
        <v>1.0</v>
      </c>
      <c r="D393" s="128" t="s">
        <v>654</v>
      </c>
      <c r="E393" s="40" t="s">
        <v>538</v>
      </c>
      <c r="F393" s="109" t="str">
        <f t="shared" ref="F393:G393" si="392">TRANSLATE(D393,"lzh","vi")</f>
        <v>#NAME?</v>
      </c>
      <c r="G393" s="109" t="str">
        <f t="shared" si="392"/>
        <v>#NAME?</v>
      </c>
      <c r="X393" s="129"/>
    </row>
    <row r="394" ht="21.75" customHeight="1">
      <c r="A394" s="37">
        <v>4.0</v>
      </c>
      <c r="B394" s="38">
        <v>414.0</v>
      </c>
      <c r="C394" s="38">
        <v>1.0</v>
      </c>
      <c r="D394" s="128" t="s">
        <v>654</v>
      </c>
      <c r="E394" s="40" t="s">
        <v>538</v>
      </c>
      <c r="F394" s="109" t="str">
        <f t="shared" ref="F394:G394" si="393">TRANSLATE(D394,"lzh","vi")</f>
        <v>#NAME?</v>
      </c>
      <c r="G394" s="109" t="str">
        <f t="shared" si="393"/>
        <v>#NAME?</v>
      </c>
      <c r="X394" s="129"/>
    </row>
    <row r="395" ht="21.75" customHeight="1">
      <c r="A395" s="37">
        <v>4.0</v>
      </c>
      <c r="B395" s="38">
        <v>414.0</v>
      </c>
      <c r="C395" s="38">
        <v>1.0</v>
      </c>
      <c r="D395" s="128" t="s">
        <v>654</v>
      </c>
      <c r="E395" s="40" t="s">
        <v>538</v>
      </c>
      <c r="F395" s="109" t="str">
        <f t="shared" ref="F395:G395" si="394">TRANSLATE(D395,"lzh","vi")</f>
        <v>#NAME?</v>
      </c>
      <c r="G395" s="109" t="str">
        <f t="shared" si="394"/>
        <v>#NAME?</v>
      </c>
      <c r="X395" s="129"/>
    </row>
    <row r="396" ht="21.75" customHeight="1">
      <c r="A396" s="37">
        <v>4.0</v>
      </c>
      <c r="B396" s="38">
        <v>414.0</v>
      </c>
      <c r="C396" s="38">
        <v>1.0</v>
      </c>
      <c r="D396" s="128" t="s">
        <v>654</v>
      </c>
      <c r="E396" s="40" t="s">
        <v>538</v>
      </c>
      <c r="F396" s="109" t="str">
        <f t="shared" ref="F396:G396" si="395">TRANSLATE(D396,"lzh","vi")</f>
        <v>#NAME?</v>
      </c>
      <c r="G396" s="109" t="str">
        <f t="shared" si="395"/>
        <v>#NAME?</v>
      </c>
      <c r="X396" s="129"/>
    </row>
    <row r="397" ht="21.75" customHeight="1">
      <c r="A397" s="37">
        <v>4.0</v>
      </c>
      <c r="B397" s="38">
        <v>414.0</v>
      </c>
      <c r="C397" s="38">
        <v>1.0</v>
      </c>
      <c r="D397" s="128" t="s">
        <v>654</v>
      </c>
      <c r="E397" s="40" t="s">
        <v>538</v>
      </c>
      <c r="F397" s="109" t="str">
        <f t="shared" ref="F397:G397" si="396">TRANSLATE(D397,"lzh","vi")</f>
        <v>#NAME?</v>
      </c>
      <c r="G397" s="109" t="str">
        <f t="shared" si="396"/>
        <v>#NAME?</v>
      </c>
      <c r="X397" s="129"/>
    </row>
    <row r="398" ht="21.75" customHeight="1">
      <c r="A398" s="37">
        <v>4.0</v>
      </c>
      <c r="B398" s="38">
        <v>414.0</v>
      </c>
      <c r="C398" s="38">
        <v>1.0</v>
      </c>
      <c r="D398" s="128" t="s">
        <v>654</v>
      </c>
      <c r="E398" s="40" t="s">
        <v>538</v>
      </c>
      <c r="F398" s="109" t="str">
        <f t="shared" ref="F398:G398" si="397">TRANSLATE(D398,"lzh","vi")</f>
        <v>#NAME?</v>
      </c>
      <c r="G398" s="109" t="str">
        <f t="shared" si="397"/>
        <v>#NAME?</v>
      </c>
      <c r="X398" s="129"/>
    </row>
    <row r="399" ht="21.0" customHeight="1">
      <c r="A399" s="5">
        <v>5.0</v>
      </c>
      <c r="B399" s="6">
        <v>415.0</v>
      </c>
      <c r="C399" s="6">
        <v>1.0</v>
      </c>
      <c r="D399" s="116" t="s">
        <v>655</v>
      </c>
      <c r="E399" s="9" t="s">
        <v>656</v>
      </c>
      <c r="F399" s="109" t="str">
        <f t="shared" ref="F399:G399" si="398">TRANSLATE(D399,"lzh","vi")</f>
        <v>#NAME?</v>
      </c>
      <c r="G399" s="109" t="str">
        <f t="shared" si="398"/>
        <v>#NAME?</v>
      </c>
      <c r="X399" s="110"/>
    </row>
    <row r="400" ht="21.0" customHeight="1">
      <c r="A400" s="5">
        <v>5.0</v>
      </c>
      <c r="B400" s="6">
        <v>415.0</v>
      </c>
      <c r="C400" s="6">
        <v>1.0</v>
      </c>
      <c r="D400" s="116" t="s">
        <v>657</v>
      </c>
      <c r="E400" s="9" t="s">
        <v>658</v>
      </c>
      <c r="F400" s="109" t="str">
        <f t="shared" ref="F400:G400" si="399">TRANSLATE(D400,"lzh","vi")</f>
        <v>#NAME?</v>
      </c>
      <c r="G400" s="109" t="str">
        <f t="shared" si="399"/>
        <v>#NAME?</v>
      </c>
      <c r="X400" s="110"/>
    </row>
    <row r="401" ht="21.0" customHeight="1">
      <c r="A401" s="5">
        <v>5.0</v>
      </c>
      <c r="B401" s="6">
        <v>415.0</v>
      </c>
      <c r="C401" s="6">
        <v>1.0</v>
      </c>
      <c r="D401" s="116" t="s">
        <v>659</v>
      </c>
      <c r="E401" s="9" t="s">
        <v>660</v>
      </c>
      <c r="F401" s="109" t="str">
        <f t="shared" ref="F401:G401" si="400">TRANSLATE(D401,"lzh","vi")</f>
        <v>#NAME?</v>
      </c>
      <c r="G401" s="109" t="str">
        <f t="shared" si="400"/>
        <v>#NAME?</v>
      </c>
      <c r="X401" s="110"/>
    </row>
    <row r="402" ht="21.0" customHeight="1">
      <c r="A402" s="5">
        <v>5.0</v>
      </c>
      <c r="B402" s="6">
        <v>415.0</v>
      </c>
      <c r="C402" s="6">
        <v>1.0</v>
      </c>
      <c r="D402" s="116" t="s">
        <v>661</v>
      </c>
      <c r="E402" s="9" t="s">
        <v>662</v>
      </c>
      <c r="F402" s="109" t="str">
        <f t="shared" ref="F402:G402" si="401">TRANSLATE(D402,"lzh","vi")</f>
        <v>#NAME?</v>
      </c>
      <c r="G402" s="109" t="str">
        <f t="shared" si="401"/>
        <v>#NAME?</v>
      </c>
      <c r="X402" s="110"/>
    </row>
    <row r="403" ht="21.0" customHeight="1">
      <c r="A403" s="5">
        <v>5.0</v>
      </c>
      <c r="B403" s="6">
        <v>416.0</v>
      </c>
      <c r="C403" s="6">
        <v>1.0</v>
      </c>
      <c r="D403" s="116" t="s">
        <v>663</v>
      </c>
      <c r="E403" s="9" t="s">
        <v>664</v>
      </c>
      <c r="F403" s="109" t="str">
        <f t="shared" ref="F403:G403" si="402">TRANSLATE(D403,"lzh","vi")</f>
        <v>#NAME?</v>
      </c>
      <c r="G403" s="109" t="str">
        <f t="shared" si="402"/>
        <v>#NAME?</v>
      </c>
      <c r="X403" s="110"/>
    </row>
    <row r="404" ht="21.0" customHeight="1">
      <c r="A404" s="5">
        <v>5.0</v>
      </c>
      <c r="B404" s="6">
        <v>416.0</v>
      </c>
      <c r="C404" s="6">
        <v>1.0</v>
      </c>
      <c r="D404" s="116" t="s">
        <v>665</v>
      </c>
      <c r="E404" s="9" t="s">
        <v>666</v>
      </c>
      <c r="F404" s="109" t="str">
        <f t="shared" ref="F404:G404" si="403">TRANSLATE(D404,"lzh","vi")</f>
        <v>#NAME?</v>
      </c>
      <c r="G404" s="109" t="str">
        <f t="shared" si="403"/>
        <v>#NAME?</v>
      </c>
      <c r="X404" s="110"/>
    </row>
    <row r="405" ht="21.0" customHeight="1">
      <c r="A405" s="5">
        <v>20.0</v>
      </c>
      <c r="B405" s="6">
        <v>415.0</v>
      </c>
      <c r="C405" s="6">
        <v>1.0</v>
      </c>
      <c r="D405" s="116" t="s">
        <v>667</v>
      </c>
      <c r="E405" s="9" t="s">
        <v>615</v>
      </c>
      <c r="F405" s="109" t="str">
        <f t="shared" ref="F405:G405" si="404">TRANSLATE(D405,"lzh","vi")</f>
        <v>#NAME?</v>
      </c>
      <c r="G405" s="109" t="str">
        <f t="shared" si="404"/>
        <v>#NAME?</v>
      </c>
      <c r="X405" s="110"/>
    </row>
    <row r="406" ht="21.0" customHeight="1">
      <c r="A406" s="5">
        <v>20.0</v>
      </c>
      <c r="B406" s="6">
        <v>415.0</v>
      </c>
      <c r="C406" s="6">
        <v>1.0</v>
      </c>
      <c r="D406" s="116" t="s">
        <v>668</v>
      </c>
      <c r="E406" s="9" t="s">
        <v>615</v>
      </c>
      <c r="F406" s="109" t="str">
        <f t="shared" ref="F406:G406" si="405">TRANSLATE(D406,"lzh","vi")</f>
        <v>#NAME?</v>
      </c>
      <c r="G406" s="109" t="str">
        <f t="shared" si="405"/>
        <v>#NAME?</v>
      </c>
      <c r="X406" s="110"/>
    </row>
    <row r="407" ht="21.0" customHeight="1">
      <c r="A407" s="5">
        <v>5.0</v>
      </c>
      <c r="B407" s="6">
        <v>415.0</v>
      </c>
      <c r="C407" s="6">
        <v>1.0</v>
      </c>
      <c r="D407" s="116" t="s">
        <v>669</v>
      </c>
      <c r="E407" s="9" t="s">
        <v>538</v>
      </c>
      <c r="F407" s="109" t="str">
        <f t="shared" ref="F407:G407" si="406">TRANSLATE(D407,"lzh","vi")</f>
        <v>#NAME?</v>
      </c>
      <c r="G407" s="109" t="str">
        <f t="shared" si="406"/>
        <v>#NAME?</v>
      </c>
      <c r="X407" s="110"/>
    </row>
    <row r="408" ht="21.0" customHeight="1">
      <c r="A408" s="5">
        <v>5.0</v>
      </c>
      <c r="B408" s="6">
        <v>415.0</v>
      </c>
      <c r="C408" s="6">
        <v>1.0</v>
      </c>
      <c r="D408" s="116" t="s">
        <v>661</v>
      </c>
      <c r="E408" s="9" t="s">
        <v>662</v>
      </c>
      <c r="F408" s="109" t="str">
        <f t="shared" ref="F408:G408" si="407">TRANSLATE(D408,"lzh","vi")</f>
        <v>#NAME?</v>
      </c>
      <c r="G408" s="109" t="str">
        <f t="shared" si="407"/>
        <v>#NAME?</v>
      </c>
    </row>
    <row r="409" ht="21.0" customHeight="1">
      <c r="A409" s="5">
        <v>20.0</v>
      </c>
      <c r="B409" s="6">
        <v>518.0</v>
      </c>
      <c r="C409" s="6">
        <v>1.0</v>
      </c>
      <c r="D409" s="116" t="s">
        <v>670</v>
      </c>
      <c r="E409" s="9" t="s">
        <v>671</v>
      </c>
      <c r="F409" s="109" t="str">
        <f t="shared" ref="F409:G409" si="408">TRANSLATE(D409,"lzh","vi")</f>
        <v>#NAME?</v>
      </c>
      <c r="G409" s="109" t="str">
        <f t="shared" si="408"/>
        <v>#NAME?</v>
      </c>
    </row>
    <row r="410" ht="21.0" customHeight="1">
      <c r="A410" s="5">
        <v>5.0</v>
      </c>
      <c r="B410" s="6">
        <v>415.0</v>
      </c>
      <c r="C410" s="6">
        <v>1.0</v>
      </c>
      <c r="D410" s="116" t="s">
        <v>672</v>
      </c>
      <c r="E410" s="9" t="s">
        <v>538</v>
      </c>
      <c r="F410" s="109" t="str">
        <f t="shared" ref="F410:G410" si="409">TRANSLATE(D410,"lzh","vi")</f>
        <v>#NAME?</v>
      </c>
      <c r="G410" s="109" t="str">
        <f t="shared" si="409"/>
        <v>#NAME?</v>
      </c>
      <c r="X410" s="110"/>
    </row>
    <row r="411" ht="21.0" customHeight="1">
      <c r="A411" s="5">
        <v>5.0</v>
      </c>
      <c r="B411" s="6">
        <v>415.0</v>
      </c>
      <c r="C411" s="6">
        <v>1.0</v>
      </c>
      <c r="D411" s="116" t="s">
        <v>673</v>
      </c>
      <c r="E411" s="9" t="s">
        <v>538</v>
      </c>
      <c r="F411" s="109" t="str">
        <f t="shared" ref="F411:G411" si="410">TRANSLATE(D411,"lzh","vi")</f>
        <v>#NAME?</v>
      </c>
      <c r="G411" s="109" t="str">
        <f t="shared" si="410"/>
        <v>#NAME?</v>
      </c>
      <c r="X411" s="110"/>
    </row>
    <row r="412" ht="21.0" customHeight="1">
      <c r="A412" s="5">
        <v>20.0</v>
      </c>
      <c r="B412" s="6">
        <v>415.0</v>
      </c>
      <c r="C412" s="6">
        <v>1.0</v>
      </c>
      <c r="D412" s="116" t="s">
        <v>674</v>
      </c>
      <c r="E412" s="9" t="s">
        <v>615</v>
      </c>
      <c r="F412" s="109" t="str">
        <f t="shared" ref="F412:G412" si="411">TRANSLATE(D412,"lzh","vi")</f>
        <v>#NAME?</v>
      </c>
      <c r="G412" s="109" t="str">
        <f t="shared" si="411"/>
        <v>#NAME?</v>
      </c>
      <c r="X412" s="110"/>
    </row>
    <row r="413" ht="21.0" customHeight="1">
      <c r="A413" s="5">
        <v>20.0</v>
      </c>
      <c r="B413" s="6">
        <v>415.0</v>
      </c>
      <c r="C413" s="6">
        <v>1.0</v>
      </c>
      <c r="D413" s="116" t="s">
        <v>675</v>
      </c>
      <c r="E413" s="9" t="s">
        <v>615</v>
      </c>
      <c r="F413" s="109" t="str">
        <f t="shared" ref="F413:G413" si="412">TRANSLATE(D413,"lzh","vi")</f>
        <v>#NAME?</v>
      </c>
      <c r="G413" s="109" t="str">
        <f t="shared" si="412"/>
        <v>#NAME?</v>
      </c>
      <c r="X413" s="110"/>
    </row>
    <row r="414" ht="21.0" customHeight="1">
      <c r="A414" s="5">
        <v>5.0</v>
      </c>
      <c r="B414" s="6">
        <v>415.0</v>
      </c>
      <c r="C414" s="6">
        <v>1.0</v>
      </c>
      <c r="D414" s="116" t="s">
        <v>676</v>
      </c>
      <c r="E414" s="9" t="s">
        <v>538</v>
      </c>
      <c r="F414" s="109" t="str">
        <f t="shared" ref="F414:G414" si="413">TRANSLATE(D414,"lzh","vi")</f>
        <v>#NAME?</v>
      </c>
      <c r="G414" s="109" t="str">
        <f t="shared" si="413"/>
        <v>#NAME?</v>
      </c>
      <c r="X414" s="110"/>
    </row>
    <row r="415" ht="21.0" customHeight="1">
      <c r="A415" s="5">
        <v>20.0</v>
      </c>
      <c r="B415" s="6">
        <v>415.0</v>
      </c>
      <c r="C415" s="6">
        <v>1.0</v>
      </c>
      <c r="D415" s="116" t="s">
        <v>677</v>
      </c>
      <c r="E415" s="9" t="s">
        <v>615</v>
      </c>
      <c r="F415" s="109" t="str">
        <f t="shared" ref="F415:G415" si="414">TRANSLATE(D415,"lzh","vi")</f>
        <v>#NAME?</v>
      </c>
      <c r="G415" s="109" t="str">
        <f t="shared" si="414"/>
        <v>#NAME?</v>
      </c>
      <c r="X415" s="110"/>
    </row>
    <row r="416" ht="21.0" customHeight="1">
      <c r="A416" s="5">
        <v>5.0</v>
      </c>
      <c r="B416" s="6">
        <v>415.0</v>
      </c>
      <c r="C416" s="6">
        <v>1.0</v>
      </c>
      <c r="D416" s="116" t="s">
        <v>678</v>
      </c>
      <c r="E416" s="9" t="s">
        <v>679</v>
      </c>
      <c r="F416" s="109" t="str">
        <f t="shared" ref="F416:G416" si="415">TRANSLATE(D416,"lzh","vi")</f>
        <v>#NAME?</v>
      </c>
      <c r="G416" s="109" t="str">
        <f t="shared" si="415"/>
        <v>#NAME?</v>
      </c>
      <c r="X416" s="110"/>
    </row>
    <row r="417" ht="21.0" customHeight="1">
      <c r="A417" s="5">
        <v>5.0</v>
      </c>
      <c r="B417" s="6">
        <v>415.0</v>
      </c>
      <c r="C417" s="6">
        <v>1.0</v>
      </c>
      <c r="D417" s="116" t="s">
        <v>680</v>
      </c>
      <c r="E417" s="9" t="s">
        <v>681</v>
      </c>
      <c r="F417" s="109" t="str">
        <f t="shared" ref="F417:G417" si="416">TRANSLATE(D417,"lzh","vi")</f>
        <v>#NAME?</v>
      </c>
      <c r="G417" s="109" t="str">
        <f t="shared" si="416"/>
        <v>#NAME?</v>
      </c>
      <c r="X417" s="110"/>
    </row>
    <row r="418" ht="21.0" customHeight="1">
      <c r="A418" s="5">
        <v>5.0</v>
      </c>
      <c r="B418" s="6">
        <v>415.0</v>
      </c>
      <c r="C418" s="6">
        <v>1.0</v>
      </c>
      <c r="D418" s="116" t="s">
        <v>682</v>
      </c>
      <c r="E418" s="9" t="s">
        <v>683</v>
      </c>
      <c r="F418" s="109" t="str">
        <f t="shared" ref="F418:G418" si="417">TRANSLATE(D418,"lzh","vi")</f>
        <v>#NAME?</v>
      </c>
      <c r="G418" s="109" t="str">
        <f t="shared" si="417"/>
        <v>#NAME?</v>
      </c>
      <c r="X418" s="110"/>
    </row>
    <row r="419" ht="21.0" customHeight="1">
      <c r="A419" s="5">
        <v>20.0</v>
      </c>
      <c r="B419" s="6">
        <v>415.0</v>
      </c>
      <c r="C419" s="6">
        <v>1.0</v>
      </c>
      <c r="D419" s="116" t="s">
        <v>684</v>
      </c>
      <c r="E419" s="9" t="s">
        <v>615</v>
      </c>
      <c r="F419" s="109" t="str">
        <f t="shared" ref="F419:G419" si="418">TRANSLATE(D419,"lzh","vi")</f>
        <v>#NAME?</v>
      </c>
      <c r="G419" s="109" t="str">
        <f t="shared" si="418"/>
        <v>#NAME?</v>
      </c>
      <c r="X419" s="110"/>
    </row>
    <row r="420" ht="21.0" customHeight="1">
      <c r="A420" s="5">
        <v>20.0</v>
      </c>
      <c r="B420" s="6">
        <v>415.0</v>
      </c>
      <c r="C420" s="6">
        <v>1.0</v>
      </c>
      <c r="D420" s="116" t="s">
        <v>685</v>
      </c>
      <c r="E420" s="9" t="s">
        <v>615</v>
      </c>
      <c r="F420" s="109" t="str">
        <f t="shared" ref="F420:G420" si="419">TRANSLATE(D420,"lzh","vi")</f>
        <v>#NAME?</v>
      </c>
      <c r="G420" s="109" t="str">
        <f t="shared" si="419"/>
        <v>#NAME?</v>
      </c>
      <c r="X420" s="110"/>
    </row>
    <row r="421" ht="21.0" customHeight="1">
      <c r="A421" s="5">
        <v>20.0</v>
      </c>
      <c r="B421" s="6">
        <v>415.0</v>
      </c>
      <c r="C421" s="6">
        <v>1.0</v>
      </c>
      <c r="D421" s="116" t="s">
        <v>686</v>
      </c>
      <c r="E421" s="9" t="s">
        <v>615</v>
      </c>
      <c r="F421" s="109" t="str">
        <f t="shared" ref="F421:G421" si="420">TRANSLATE(D421,"lzh","vi")</f>
        <v>#NAME?</v>
      </c>
      <c r="G421" s="109" t="str">
        <f t="shared" si="420"/>
        <v>#NAME?</v>
      </c>
      <c r="X421" s="110"/>
    </row>
    <row r="422" ht="21.0" customHeight="1">
      <c r="A422" s="5">
        <v>20.0</v>
      </c>
      <c r="B422" s="6">
        <v>415.0</v>
      </c>
      <c r="C422" s="6">
        <v>1.0</v>
      </c>
      <c r="D422" s="116" t="s">
        <v>687</v>
      </c>
      <c r="E422" s="9" t="s">
        <v>615</v>
      </c>
      <c r="F422" s="109" t="str">
        <f t="shared" ref="F422:G422" si="421">TRANSLATE(D422,"lzh","vi")</f>
        <v>#NAME?</v>
      </c>
      <c r="G422" s="109" t="str">
        <f t="shared" si="421"/>
        <v>#NAME?</v>
      </c>
      <c r="X422" s="110"/>
    </row>
    <row r="423" ht="21.0" customHeight="1">
      <c r="A423" s="5">
        <v>20.0</v>
      </c>
      <c r="B423" s="6">
        <v>415.0</v>
      </c>
      <c r="C423" s="6">
        <v>1.0</v>
      </c>
      <c r="D423" s="116" t="s">
        <v>688</v>
      </c>
      <c r="E423" s="9" t="s">
        <v>615</v>
      </c>
      <c r="F423" s="109" t="str">
        <f t="shared" ref="F423:G423" si="422">TRANSLATE(D423,"lzh","vi")</f>
        <v>#NAME?</v>
      </c>
      <c r="G423" s="109" t="str">
        <f t="shared" si="422"/>
        <v>#NAME?</v>
      </c>
      <c r="X423" s="110"/>
    </row>
    <row r="424" ht="21.0" customHeight="1">
      <c r="A424" s="5">
        <v>20.0</v>
      </c>
      <c r="B424" s="6">
        <v>415.0</v>
      </c>
      <c r="C424" s="6">
        <v>1.0</v>
      </c>
      <c r="D424" s="116" t="s">
        <v>689</v>
      </c>
      <c r="E424" s="9" t="s">
        <v>615</v>
      </c>
      <c r="F424" s="109" t="str">
        <f t="shared" ref="F424:G424" si="423">TRANSLATE(D424,"lzh","vi")</f>
        <v>#NAME?</v>
      </c>
      <c r="G424" s="109" t="str">
        <f t="shared" si="423"/>
        <v>#NAME?</v>
      </c>
      <c r="X424" s="110"/>
    </row>
    <row r="425" ht="21.0" customHeight="1">
      <c r="A425" s="5">
        <v>20.0</v>
      </c>
      <c r="B425" s="6">
        <v>415.0</v>
      </c>
      <c r="C425" s="6">
        <v>1.0</v>
      </c>
      <c r="D425" s="116" t="s">
        <v>690</v>
      </c>
      <c r="E425" s="9" t="s">
        <v>615</v>
      </c>
      <c r="F425" s="109" t="str">
        <f t="shared" ref="F425:G425" si="424">TRANSLATE(D425,"lzh","vi")</f>
        <v>#NAME?</v>
      </c>
      <c r="G425" s="109" t="str">
        <f t="shared" si="424"/>
        <v>#NAME?</v>
      </c>
      <c r="X425" s="110"/>
    </row>
    <row r="426" ht="21.0" customHeight="1">
      <c r="A426" s="5">
        <v>5.0</v>
      </c>
      <c r="B426" s="6">
        <v>501.0</v>
      </c>
      <c r="C426" s="6">
        <v>1.0</v>
      </c>
      <c r="D426" s="116" t="s">
        <v>691</v>
      </c>
      <c r="E426" s="9" t="s">
        <v>538</v>
      </c>
      <c r="F426" s="109" t="str">
        <f t="shared" ref="F426:G426" si="425">TRANSLATE(D426,"lzh","vi")</f>
        <v>#NAME?</v>
      </c>
      <c r="G426" s="109" t="str">
        <f t="shared" si="425"/>
        <v>#NAME?</v>
      </c>
      <c r="X426" s="110"/>
    </row>
    <row r="427" ht="21.0" customHeight="1">
      <c r="A427" s="5">
        <v>5.0</v>
      </c>
      <c r="B427" s="6">
        <v>502.0</v>
      </c>
      <c r="C427" s="6">
        <v>1.0</v>
      </c>
      <c r="D427" s="116" t="s">
        <v>692</v>
      </c>
      <c r="E427" s="9" t="s">
        <v>538</v>
      </c>
      <c r="F427" s="109" t="str">
        <f t="shared" ref="F427:G427" si="426">TRANSLATE(D427,"lzh","vi")</f>
        <v>#NAME?</v>
      </c>
      <c r="G427" s="109" t="str">
        <f t="shared" si="426"/>
        <v>#NAME?</v>
      </c>
      <c r="X427" s="110"/>
    </row>
    <row r="428" ht="21.0" customHeight="1">
      <c r="A428" s="5">
        <v>5.0</v>
      </c>
      <c r="B428" s="6">
        <v>503.0</v>
      </c>
      <c r="C428" s="6">
        <v>1.0</v>
      </c>
      <c r="D428" s="116" t="s">
        <v>693</v>
      </c>
      <c r="E428" s="9" t="s">
        <v>538</v>
      </c>
      <c r="F428" s="109" t="str">
        <f t="shared" ref="F428:G428" si="427">TRANSLATE(D428,"lzh","vi")</f>
        <v>#NAME?</v>
      </c>
      <c r="G428" s="109" t="str">
        <f t="shared" si="427"/>
        <v>#NAME?</v>
      </c>
      <c r="X428" s="110"/>
    </row>
    <row r="429" ht="21.0" customHeight="1">
      <c r="A429" s="5">
        <v>5.0</v>
      </c>
      <c r="B429" s="6">
        <v>506.0</v>
      </c>
      <c r="C429" s="6">
        <v>1.0</v>
      </c>
      <c r="D429" s="130" t="s">
        <v>694</v>
      </c>
      <c r="E429" s="9" t="s">
        <v>695</v>
      </c>
      <c r="F429" s="109" t="str">
        <f t="shared" ref="F429:G429" si="428">TRANSLATE(D429,"lzh","vi")</f>
        <v>#NAME?</v>
      </c>
      <c r="G429" s="109" t="str">
        <f t="shared" si="428"/>
        <v>#NAME?</v>
      </c>
      <c r="X429" s="110"/>
    </row>
    <row r="430" ht="21.0" customHeight="1">
      <c r="A430" s="5">
        <v>5.0</v>
      </c>
      <c r="B430" s="6">
        <v>506.0</v>
      </c>
      <c r="C430" s="6">
        <v>1.0</v>
      </c>
      <c r="D430" s="130" t="s">
        <v>696</v>
      </c>
      <c r="E430" s="9" t="s">
        <v>697</v>
      </c>
      <c r="F430" s="109" t="str">
        <f t="shared" ref="F430:G430" si="429">TRANSLATE(D430,"lzh","vi")</f>
        <v>#NAME?</v>
      </c>
      <c r="G430" s="109" t="str">
        <f t="shared" si="429"/>
        <v>#NAME?</v>
      </c>
      <c r="X430" s="110"/>
    </row>
    <row r="431" ht="21.0" customHeight="1">
      <c r="A431" s="5">
        <v>5.0</v>
      </c>
      <c r="B431" s="6">
        <v>506.0</v>
      </c>
      <c r="C431" s="6">
        <v>1.0</v>
      </c>
      <c r="D431" s="130" t="s">
        <v>698</v>
      </c>
      <c r="E431" s="9" t="s">
        <v>699</v>
      </c>
      <c r="F431" s="109" t="str">
        <f t="shared" ref="F431:G431" si="430">TRANSLATE(D431,"lzh","vi")</f>
        <v>#NAME?</v>
      </c>
      <c r="G431" s="109" t="str">
        <f t="shared" si="430"/>
        <v>#NAME?</v>
      </c>
      <c r="X431" s="110"/>
    </row>
    <row r="432" ht="21.0" customHeight="1">
      <c r="A432" s="5">
        <v>5.0</v>
      </c>
      <c r="B432" s="6">
        <v>506.0</v>
      </c>
      <c r="C432" s="6">
        <v>1.0</v>
      </c>
      <c r="D432" s="130" t="s">
        <v>700</v>
      </c>
      <c r="E432" s="9" t="s">
        <v>701</v>
      </c>
      <c r="F432" s="109" t="str">
        <f t="shared" ref="F432:G432" si="431">TRANSLATE(D432,"lzh","vi")</f>
        <v>#NAME?</v>
      </c>
      <c r="G432" s="109" t="str">
        <f t="shared" si="431"/>
        <v>#NAME?</v>
      </c>
      <c r="X432" s="110"/>
    </row>
    <row r="433" ht="21.0" customHeight="1">
      <c r="A433" s="5">
        <v>5.0</v>
      </c>
      <c r="B433" s="6">
        <v>506.0</v>
      </c>
      <c r="C433" s="6">
        <v>1.0</v>
      </c>
      <c r="D433" s="130" t="s">
        <v>702</v>
      </c>
      <c r="E433" s="9" t="s">
        <v>703</v>
      </c>
      <c r="F433" s="109" t="str">
        <f t="shared" ref="F433:G433" si="432">TRANSLATE(D433,"lzh","vi")</f>
        <v>#NAME?</v>
      </c>
      <c r="G433" s="109" t="str">
        <f t="shared" si="432"/>
        <v>#NAME?</v>
      </c>
      <c r="X433" s="110"/>
    </row>
    <row r="434" ht="21.0" customHeight="1">
      <c r="A434" s="5">
        <v>5.0</v>
      </c>
      <c r="B434" s="6">
        <v>506.0</v>
      </c>
      <c r="C434" s="6">
        <v>1.0</v>
      </c>
      <c r="D434" s="130" t="s">
        <v>704</v>
      </c>
      <c r="E434" s="9" t="s">
        <v>705</v>
      </c>
      <c r="F434" s="109" t="str">
        <f t="shared" ref="F434:G434" si="433">TRANSLATE(D434,"lzh","vi")</f>
        <v>#NAME?</v>
      </c>
      <c r="G434" s="109" t="str">
        <f t="shared" si="433"/>
        <v>#NAME?</v>
      </c>
      <c r="X434" s="110"/>
    </row>
    <row r="435" ht="21.0" customHeight="1">
      <c r="A435" s="5">
        <v>5.0</v>
      </c>
      <c r="B435" s="6">
        <v>506.0</v>
      </c>
      <c r="C435" s="6">
        <v>1.0</v>
      </c>
      <c r="D435" s="130" t="s">
        <v>706</v>
      </c>
      <c r="E435" s="9" t="s">
        <v>707</v>
      </c>
      <c r="F435" s="109" t="str">
        <f t="shared" ref="F435:G435" si="434">TRANSLATE(D435,"lzh","vi")</f>
        <v>#NAME?</v>
      </c>
      <c r="G435" s="109" t="str">
        <f t="shared" si="434"/>
        <v>#NAME?</v>
      </c>
      <c r="X435" s="110"/>
    </row>
    <row r="436" ht="21.0" customHeight="1">
      <c r="A436" s="5">
        <v>5.0</v>
      </c>
      <c r="B436" s="6">
        <v>506.0</v>
      </c>
      <c r="C436" s="6">
        <v>1.0</v>
      </c>
      <c r="D436" s="130" t="s">
        <v>708</v>
      </c>
      <c r="E436" s="9" t="s">
        <v>709</v>
      </c>
      <c r="F436" s="109" t="str">
        <f t="shared" ref="F436:G436" si="435">TRANSLATE(D436,"lzh","vi")</f>
        <v>#NAME?</v>
      </c>
      <c r="G436" s="109" t="str">
        <f t="shared" si="435"/>
        <v>#NAME?</v>
      </c>
      <c r="X436" s="110"/>
    </row>
    <row r="437" ht="21.0" customHeight="1">
      <c r="A437" s="5">
        <v>5.0</v>
      </c>
      <c r="B437" s="6">
        <v>506.0</v>
      </c>
      <c r="C437" s="6">
        <v>1.0</v>
      </c>
      <c r="D437" s="130" t="s">
        <v>710</v>
      </c>
      <c r="E437" s="9" t="s">
        <v>711</v>
      </c>
      <c r="F437" s="109" t="str">
        <f t="shared" ref="F437:G437" si="436">TRANSLATE(D437,"lzh","vi")</f>
        <v>#NAME?</v>
      </c>
      <c r="G437" s="109" t="str">
        <f t="shared" si="436"/>
        <v>#NAME?</v>
      </c>
      <c r="X437" s="110"/>
    </row>
    <row r="438" ht="21.0" customHeight="1">
      <c r="A438" s="5">
        <v>5.0</v>
      </c>
      <c r="B438" s="6">
        <v>506.0</v>
      </c>
      <c r="C438" s="6">
        <v>1.0</v>
      </c>
      <c r="D438" s="130" t="s">
        <v>712</v>
      </c>
      <c r="E438" s="9" t="s">
        <v>713</v>
      </c>
      <c r="F438" s="109" t="str">
        <f t="shared" ref="F438:G438" si="437">TRANSLATE(D438,"lzh","vi")</f>
        <v>#NAME?</v>
      </c>
      <c r="G438" s="109" t="str">
        <f t="shared" si="437"/>
        <v>#NAME?</v>
      </c>
      <c r="X438" s="110"/>
    </row>
    <row r="439" ht="21.0" customHeight="1">
      <c r="A439" s="5">
        <v>5.0</v>
      </c>
      <c r="B439" s="6">
        <v>506.0</v>
      </c>
      <c r="C439" s="6">
        <v>1.0</v>
      </c>
      <c r="D439" s="130" t="s">
        <v>714</v>
      </c>
      <c r="E439" s="9" t="s">
        <v>715</v>
      </c>
      <c r="F439" s="109" t="str">
        <f t="shared" ref="F439:G439" si="438">TRANSLATE(D439,"lzh","vi")</f>
        <v>#NAME?</v>
      </c>
      <c r="G439" s="109" t="str">
        <f t="shared" si="438"/>
        <v>#NAME?</v>
      </c>
      <c r="X439" s="110"/>
    </row>
    <row r="440" ht="21.0" customHeight="1">
      <c r="A440" s="5">
        <v>5.0</v>
      </c>
      <c r="B440" s="6">
        <v>509.0</v>
      </c>
      <c r="C440" s="6">
        <v>1.0</v>
      </c>
      <c r="D440" s="116" t="s">
        <v>716</v>
      </c>
      <c r="E440" s="9" t="s">
        <v>717</v>
      </c>
      <c r="F440" s="109" t="str">
        <f t="shared" ref="F440:G440" si="439">TRANSLATE(D440,"lzh","vi")</f>
        <v>#NAME?</v>
      </c>
      <c r="G440" s="109" t="str">
        <f t="shared" si="439"/>
        <v>#NAME?</v>
      </c>
      <c r="X440" s="110"/>
    </row>
    <row r="441" ht="21.0" customHeight="1">
      <c r="A441" s="5">
        <v>5.0</v>
      </c>
      <c r="B441" s="6">
        <v>509.0</v>
      </c>
      <c r="C441" s="6">
        <v>1.0</v>
      </c>
      <c r="D441" s="116" t="s">
        <v>718</v>
      </c>
      <c r="E441" s="9" t="s">
        <v>717</v>
      </c>
      <c r="F441" s="109" t="str">
        <f t="shared" ref="F441:G441" si="440">TRANSLATE(D441,"lzh","vi")</f>
        <v>#NAME?</v>
      </c>
      <c r="G441" s="109" t="str">
        <f t="shared" si="440"/>
        <v>#NAME?</v>
      </c>
      <c r="X441" s="110"/>
    </row>
    <row r="442" ht="21.0" customHeight="1">
      <c r="A442" s="5">
        <v>5.0</v>
      </c>
      <c r="B442" s="6">
        <v>509.0</v>
      </c>
      <c r="C442" s="6">
        <v>1.0</v>
      </c>
      <c r="D442" s="116" t="s">
        <v>719</v>
      </c>
      <c r="E442" s="9" t="s">
        <v>717</v>
      </c>
      <c r="F442" s="109" t="str">
        <f t="shared" ref="F442:G442" si="441">TRANSLATE(D442,"lzh","vi")</f>
        <v>#NAME?</v>
      </c>
      <c r="G442" s="109" t="str">
        <f t="shared" si="441"/>
        <v>#NAME?</v>
      </c>
      <c r="X442" s="110"/>
    </row>
    <row r="443" ht="21.0" customHeight="1">
      <c r="A443" s="5">
        <v>5.0</v>
      </c>
      <c r="B443" s="6">
        <v>510.0</v>
      </c>
      <c r="C443" s="6">
        <v>1.0</v>
      </c>
      <c r="D443" s="116" t="s">
        <v>720</v>
      </c>
      <c r="E443" s="9" t="s">
        <v>721</v>
      </c>
      <c r="F443" s="109" t="str">
        <f t="shared" ref="F443:G443" si="442">TRANSLATE(D443,"lzh","vi")</f>
        <v>#NAME?</v>
      </c>
      <c r="G443" s="109" t="str">
        <f t="shared" si="442"/>
        <v>#NAME?</v>
      </c>
      <c r="X443" s="110"/>
    </row>
    <row r="444" ht="21.0" customHeight="1">
      <c r="A444" s="5">
        <v>5.0</v>
      </c>
      <c r="B444" s="6">
        <v>510.0</v>
      </c>
      <c r="C444" s="6">
        <v>1.0</v>
      </c>
      <c r="D444" s="116" t="s">
        <v>722</v>
      </c>
      <c r="E444" s="9" t="s">
        <v>721</v>
      </c>
      <c r="F444" s="109" t="str">
        <f t="shared" ref="F444:G444" si="443">TRANSLATE(D444,"lzh","vi")</f>
        <v>#NAME?</v>
      </c>
      <c r="G444" s="109" t="str">
        <f t="shared" si="443"/>
        <v>#NAME?</v>
      </c>
      <c r="X444" s="110"/>
    </row>
    <row r="445" ht="21.0" customHeight="1">
      <c r="A445" s="5">
        <v>5.0</v>
      </c>
      <c r="B445" s="6">
        <v>510.0</v>
      </c>
      <c r="C445" s="6">
        <v>1.0</v>
      </c>
      <c r="D445" s="116" t="s">
        <v>723</v>
      </c>
      <c r="E445" s="9" t="s">
        <v>721</v>
      </c>
      <c r="F445" s="109" t="str">
        <f t="shared" ref="F445:G445" si="444">TRANSLATE(D445,"lzh","vi")</f>
        <v>#NAME?</v>
      </c>
      <c r="G445" s="109" t="str">
        <f t="shared" si="444"/>
        <v>#NAME?</v>
      </c>
      <c r="X445" s="110"/>
    </row>
    <row r="446" ht="21.0" customHeight="1">
      <c r="A446" s="5">
        <v>5.0</v>
      </c>
      <c r="B446" s="6">
        <v>511.0</v>
      </c>
      <c r="C446" s="6">
        <v>1.0</v>
      </c>
      <c r="D446" s="116" t="s">
        <v>724</v>
      </c>
      <c r="E446" s="9" t="s">
        <v>725</v>
      </c>
      <c r="F446" s="109" t="str">
        <f t="shared" ref="F446:G446" si="445">TRANSLATE(D446,"lzh","vi")</f>
        <v>#NAME?</v>
      </c>
      <c r="G446" s="109" t="str">
        <f t="shared" si="445"/>
        <v>#NAME?</v>
      </c>
      <c r="X446" s="110"/>
    </row>
    <row r="447" ht="21.0" customHeight="1">
      <c r="A447" s="5">
        <v>5.0</v>
      </c>
      <c r="B447" s="6">
        <v>511.0</v>
      </c>
      <c r="C447" s="6">
        <v>1.0</v>
      </c>
      <c r="D447" s="116" t="s">
        <v>726</v>
      </c>
      <c r="E447" s="9" t="s">
        <v>725</v>
      </c>
      <c r="F447" s="109" t="str">
        <f t="shared" ref="F447:G447" si="446">TRANSLATE(D447,"lzh","vi")</f>
        <v>#NAME?</v>
      </c>
      <c r="G447" s="109" t="str">
        <f t="shared" si="446"/>
        <v>#NAME?</v>
      </c>
      <c r="X447" s="110"/>
    </row>
    <row r="448" ht="21.0" customHeight="1">
      <c r="A448" s="5">
        <v>5.0</v>
      </c>
      <c r="B448" s="6">
        <v>511.0</v>
      </c>
      <c r="C448" s="6">
        <v>1.0</v>
      </c>
      <c r="D448" s="116" t="s">
        <v>727</v>
      </c>
      <c r="E448" s="9" t="s">
        <v>725</v>
      </c>
      <c r="F448" s="109" t="str">
        <f t="shared" ref="F448:G448" si="447">TRANSLATE(D448,"lzh","vi")</f>
        <v>#NAME?</v>
      </c>
      <c r="G448" s="109" t="str">
        <f t="shared" si="447"/>
        <v>#NAME?</v>
      </c>
      <c r="X448" s="110"/>
    </row>
    <row r="449" ht="21.0" customHeight="1">
      <c r="A449" s="5">
        <v>5.0</v>
      </c>
      <c r="B449" s="6">
        <v>512.0</v>
      </c>
      <c r="C449" s="6">
        <v>1.0</v>
      </c>
      <c r="D449" s="116" t="s">
        <v>728</v>
      </c>
      <c r="E449" s="9" t="s">
        <v>729</v>
      </c>
      <c r="F449" s="109" t="str">
        <f t="shared" ref="F449:G449" si="448">TRANSLATE(D449,"lzh","vi")</f>
        <v>#NAME?</v>
      </c>
      <c r="G449" s="109" t="str">
        <f t="shared" si="448"/>
        <v>#NAME?</v>
      </c>
      <c r="X449" s="110"/>
    </row>
    <row r="450" ht="21.0" customHeight="1">
      <c r="A450" s="5">
        <v>5.0</v>
      </c>
      <c r="B450" s="6">
        <v>512.0</v>
      </c>
      <c r="C450" s="6">
        <v>1.0</v>
      </c>
      <c r="D450" s="116" t="s">
        <v>730</v>
      </c>
      <c r="E450" s="9" t="s">
        <v>729</v>
      </c>
      <c r="F450" s="109" t="str">
        <f t="shared" ref="F450:G450" si="449">TRANSLATE(D450,"lzh","vi")</f>
        <v>#NAME?</v>
      </c>
      <c r="G450" s="109" t="str">
        <f t="shared" si="449"/>
        <v>#NAME?</v>
      </c>
      <c r="X450" s="110"/>
    </row>
    <row r="451" ht="21.0" customHeight="1">
      <c r="A451" s="5">
        <v>5.0</v>
      </c>
      <c r="B451" s="6">
        <v>512.0</v>
      </c>
      <c r="C451" s="6">
        <v>1.0</v>
      </c>
      <c r="D451" s="116" t="s">
        <v>731</v>
      </c>
      <c r="E451" s="9" t="s">
        <v>729</v>
      </c>
      <c r="F451" s="109" t="str">
        <f t="shared" ref="F451:G451" si="450">TRANSLATE(D451,"lzh","vi")</f>
        <v>#NAME?</v>
      </c>
      <c r="G451" s="109" t="str">
        <f t="shared" si="450"/>
        <v>#NAME?</v>
      </c>
      <c r="X451" s="110"/>
    </row>
    <row r="452" ht="21.0" customHeight="1">
      <c r="A452" s="5">
        <v>5.0</v>
      </c>
      <c r="B452" s="6">
        <v>513.0</v>
      </c>
      <c r="C452" s="6">
        <v>1.0</v>
      </c>
      <c r="D452" s="116" t="s">
        <v>732</v>
      </c>
      <c r="E452" s="9" t="s">
        <v>733</v>
      </c>
      <c r="F452" s="109" t="str">
        <f t="shared" ref="F452:G452" si="451">TRANSLATE(D452,"lzh","vi")</f>
        <v>#NAME?</v>
      </c>
      <c r="G452" s="109" t="str">
        <f t="shared" si="451"/>
        <v>#NAME?</v>
      </c>
      <c r="X452" s="110"/>
    </row>
    <row r="453" ht="21.0" customHeight="1">
      <c r="A453" s="5">
        <v>5.0</v>
      </c>
      <c r="B453" s="6">
        <v>513.0</v>
      </c>
      <c r="C453" s="6">
        <v>1.0</v>
      </c>
      <c r="D453" s="116" t="s">
        <v>734</v>
      </c>
      <c r="E453" s="9" t="s">
        <v>735</v>
      </c>
      <c r="F453" s="109" t="str">
        <f t="shared" ref="F453:G453" si="452">TRANSLATE(D453,"lzh","vi")</f>
        <v>#NAME?</v>
      </c>
      <c r="G453" s="109" t="str">
        <f t="shared" si="452"/>
        <v>#NAME?</v>
      </c>
      <c r="X453" s="110"/>
    </row>
    <row r="454" ht="21.0" customHeight="1">
      <c r="A454" s="5">
        <v>5.0</v>
      </c>
      <c r="B454" s="6">
        <v>513.0</v>
      </c>
      <c r="C454" s="6">
        <v>1.0</v>
      </c>
      <c r="D454" s="116" t="s">
        <v>736</v>
      </c>
      <c r="E454" s="9" t="s">
        <v>735</v>
      </c>
      <c r="F454" s="109" t="str">
        <f t="shared" ref="F454:G454" si="453">TRANSLATE(D454,"lzh","vi")</f>
        <v>#NAME?</v>
      </c>
      <c r="G454" s="109" t="str">
        <f t="shared" si="453"/>
        <v>#NAME?</v>
      </c>
      <c r="X454" s="110"/>
    </row>
    <row r="455" ht="21.75" customHeight="1">
      <c r="A455" s="5">
        <v>5.0</v>
      </c>
      <c r="B455" s="6">
        <v>510.0</v>
      </c>
      <c r="C455" s="6">
        <v>1.0</v>
      </c>
      <c r="D455" s="116" t="s">
        <v>737</v>
      </c>
      <c r="E455" s="9" t="s">
        <v>721</v>
      </c>
      <c r="F455" s="109" t="str">
        <f t="shared" ref="F455:G455" si="454">TRANSLATE(D455,"lzh","vi")</f>
        <v>#NAME?</v>
      </c>
      <c r="G455" s="109" t="str">
        <f t="shared" si="454"/>
        <v>#NAME?</v>
      </c>
      <c r="X455" s="110"/>
    </row>
    <row r="456" ht="21.75" customHeight="1">
      <c r="A456" s="5">
        <v>5.0</v>
      </c>
      <c r="B456" s="6">
        <v>509.0</v>
      </c>
      <c r="C456" s="6">
        <v>1.0</v>
      </c>
      <c r="D456" s="116" t="s">
        <v>738</v>
      </c>
      <c r="E456" s="9" t="s">
        <v>717</v>
      </c>
      <c r="F456" s="109" t="str">
        <f t="shared" ref="F456:G456" si="455">TRANSLATE(D456,"lzh","vi")</f>
        <v>#NAME?</v>
      </c>
      <c r="G456" s="109" t="str">
        <f t="shared" si="455"/>
        <v>#NAME?</v>
      </c>
      <c r="X456" s="110"/>
    </row>
    <row r="457" ht="21.75" customHeight="1">
      <c r="A457" s="5">
        <v>5.0</v>
      </c>
      <c r="B457" s="6">
        <v>512.0</v>
      </c>
      <c r="C457" s="6">
        <v>1.0</v>
      </c>
      <c r="D457" s="116" t="s">
        <v>739</v>
      </c>
      <c r="E457" s="9" t="s">
        <v>729</v>
      </c>
      <c r="F457" s="109" t="str">
        <f t="shared" ref="F457:G457" si="456">TRANSLATE(D457,"lzh","vi")</f>
        <v>#NAME?</v>
      </c>
      <c r="G457" s="109" t="str">
        <f t="shared" si="456"/>
        <v>#NAME?</v>
      </c>
      <c r="X457" s="110"/>
    </row>
    <row r="458" ht="21.75" customHeight="1">
      <c r="A458" s="5">
        <v>5.0</v>
      </c>
      <c r="B458" s="6">
        <v>511.0</v>
      </c>
      <c r="C458" s="6">
        <v>1.0</v>
      </c>
      <c r="D458" s="116" t="s">
        <v>740</v>
      </c>
      <c r="E458" s="9" t="s">
        <v>725</v>
      </c>
      <c r="F458" s="109" t="str">
        <f t="shared" ref="F458:G458" si="457">TRANSLATE(D458,"lzh","vi")</f>
        <v>#NAME?</v>
      </c>
      <c r="G458" s="109" t="str">
        <f t="shared" si="457"/>
        <v>#NAME?</v>
      </c>
      <c r="X458" s="110"/>
    </row>
    <row r="459" ht="21.75" customHeight="1">
      <c r="A459" s="5">
        <v>5.0</v>
      </c>
      <c r="B459" s="6">
        <v>506.0</v>
      </c>
      <c r="C459" s="6">
        <v>1.0</v>
      </c>
      <c r="D459" s="116" t="s">
        <v>741</v>
      </c>
      <c r="E459" s="9" t="s">
        <v>742</v>
      </c>
      <c r="F459" s="109" t="str">
        <f t="shared" ref="F459:G459" si="458">TRANSLATE(D459,"lzh","vi")</f>
        <v>#NAME?</v>
      </c>
      <c r="G459" s="109" t="str">
        <f t="shared" si="458"/>
        <v>#NAME?</v>
      </c>
      <c r="X459" s="110"/>
    </row>
    <row r="460" ht="21.75" customHeight="1">
      <c r="A460" s="5">
        <v>5.0</v>
      </c>
      <c r="B460" s="6">
        <v>507.0</v>
      </c>
      <c r="C460" s="6">
        <v>1.0</v>
      </c>
      <c r="D460" s="116" t="s">
        <v>743</v>
      </c>
      <c r="E460" s="9" t="s">
        <v>744</v>
      </c>
      <c r="F460" s="109" t="str">
        <f t="shared" ref="F460:G460" si="459">TRANSLATE(D460,"lzh","vi")</f>
        <v>#NAME?</v>
      </c>
      <c r="G460" s="109" t="str">
        <f t="shared" si="459"/>
        <v>#NAME?</v>
      </c>
      <c r="X460" s="110"/>
    </row>
    <row r="461" ht="21.0" customHeight="1">
      <c r="A461" s="5">
        <v>5.0</v>
      </c>
      <c r="B461" s="6">
        <v>507.0</v>
      </c>
      <c r="C461" s="6">
        <v>1.0</v>
      </c>
      <c r="D461" s="116" t="s">
        <v>745</v>
      </c>
      <c r="E461" s="9" t="s">
        <v>746</v>
      </c>
      <c r="F461" s="109" t="str">
        <f t="shared" ref="F461:G461" si="460">TRANSLATE(D461,"lzh","vi")</f>
        <v>#NAME?</v>
      </c>
      <c r="G461" s="109" t="str">
        <f t="shared" si="460"/>
        <v>#NAME?</v>
      </c>
      <c r="X461" s="110"/>
    </row>
    <row r="462" ht="21.0" customHeight="1">
      <c r="A462" s="5">
        <v>5.0</v>
      </c>
      <c r="B462" s="6">
        <v>507.0</v>
      </c>
      <c r="C462" s="6">
        <v>1.0</v>
      </c>
      <c r="D462" s="116" t="s">
        <v>747</v>
      </c>
      <c r="E462" s="9" t="s">
        <v>748</v>
      </c>
      <c r="F462" s="109" t="str">
        <f t="shared" ref="F462:G462" si="461">TRANSLATE(D462,"lzh","vi")</f>
        <v>#NAME?</v>
      </c>
      <c r="G462" s="109" t="str">
        <f t="shared" si="461"/>
        <v>#NAME?</v>
      </c>
      <c r="X462" s="110"/>
    </row>
    <row r="463" ht="21.0" customHeight="1">
      <c r="A463" s="5">
        <v>5.0</v>
      </c>
      <c r="B463" s="6">
        <v>507.0</v>
      </c>
      <c r="C463" s="6">
        <v>1.0</v>
      </c>
      <c r="D463" s="116" t="s">
        <v>749</v>
      </c>
      <c r="E463" s="9" t="s">
        <v>750</v>
      </c>
      <c r="F463" s="109" t="str">
        <f t="shared" ref="F463:G463" si="462">TRANSLATE(D463,"lzh","vi")</f>
        <v>#NAME?</v>
      </c>
      <c r="G463" s="109" t="str">
        <f t="shared" si="462"/>
        <v>#NAME?</v>
      </c>
      <c r="X463" s="110"/>
    </row>
    <row r="464" ht="21.0" customHeight="1">
      <c r="A464" s="5">
        <v>5.0</v>
      </c>
      <c r="B464" s="6">
        <v>507.0</v>
      </c>
      <c r="C464" s="6">
        <v>1.0</v>
      </c>
      <c r="D464" s="116" t="s">
        <v>751</v>
      </c>
      <c r="E464" s="9" t="s">
        <v>752</v>
      </c>
      <c r="F464" s="109" t="str">
        <f t="shared" ref="F464:G464" si="463">TRANSLATE(D464,"lzh","vi")</f>
        <v>#NAME?</v>
      </c>
      <c r="G464" s="109" t="str">
        <f t="shared" si="463"/>
        <v>#NAME?</v>
      </c>
      <c r="X464" s="110"/>
    </row>
    <row r="465" ht="21.0" customHeight="1">
      <c r="A465" s="5">
        <v>5.0</v>
      </c>
      <c r="B465" s="6">
        <v>507.0</v>
      </c>
      <c r="C465" s="6">
        <v>1.0</v>
      </c>
      <c r="D465" s="116" t="s">
        <v>753</v>
      </c>
      <c r="E465" s="9" t="s">
        <v>754</v>
      </c>
      <c r="F465" s="109" t="str">
        <f t="shared" ref="F465:G465" si="464">TRANSLATE(D465,"lzh","vi")</f>
        <v>#NAME?</v>
      </c>
      <c r="G465" s="109" t="str">
        <f t="shared" si="464"/>
        <v>#NAME?</v>
      </c>
      <c r="X465" s="110"/>
    </row>
    <row r="466" ht="21.0" customHeight="1">
      <c r="A466" s="5">
        <v>5.0</v>
      </c>
      <c r="B466" s="6">
        <v>507.0</v>
      </c>
      <c r="C466" s="6">
        <v>1.0</v>
      </c>
      <c r="D466" s="116" t="s">
        <v>755</v>
      </c>
      <c r="E466" s="9" t="s">
        <v>756</v>
      </c>
      <c r="F466" s="109" t="str">
        <f t="shared" ref="F466:G466" si="465">TRANSLATE(D466,"lzh","vi")</f>
        <v>#NAME?</v>
      </c>
      <c r="G466" s="109" t="str">
        <f t="shared" si="465"/>
        <v>#NAME?</v>
      </c>
      <c r="X466" s="110"/>
    </row>
    <row r="467" ht="21.0" customHeight="1">
      <c r="A467" s="5">
        <v>5.0</v>
      </c>
      <c r="B467" s="6">
        <v>507.0</v>
      </c>
      <c r="C467" s="6">
        <v>1.0</v>
      </c>
      <c r="D467" s="116" t="s">
        <v>757</v>
      </c>
      <c r="E467" s="9" t="s">
        <v>758</v>
      </c>
      <c r="F467" s="109" t="str">
        <f t="shared" ref="F467:G467" si="466">TRANSLATE(D467,"lzh","vi")</f>
        <v>#NAME?</v>
      </c>
      <c r="G467" s="109" t="str">
        <f t="shared" si="466"/>
        <v>#NAME?</v>
      </c>
      <c r="X467" s="110"/>
    </row>
    <row r="468" ht="21.0" customHeight="1">
      <c r="A468" s="5">
        <v>5.0</v>
      </c>
      <c r="B468" s="6">
        <v>507.0</v>
      </c>
      <c r="C468" s="6">
        <v>1.0</v>
      </c>
      <c r="D468" s="116" t="s">
        <v>759</v>
      </c>
      <c r="E468" s="9" t="s">
        <v>760</v>
      </c>
      <c r="F468" s="109" t="str">
        <f t="shared" ref="F468:G468" si="467">TRANSLATE(D468,"lzh","vi")</f>
        <v>#NAME?</v>
      </c>
      <c r="G468" s="109" t="str">
        <f t="shared" si="467"/>
        <v>#NAME?</v>
      </c>
      <c r="X468" s="110"/>
    </row>
    <row r="469" ht="21.0" customHeight="1">
      <c r="A469" s="5">
        <v>5.0</v>
      </c>
      <c r="B469" s="6">
        <v>507.0</v>
      </c>
      <c r="C469" s="6">
        <v>1.0</v>
      </c>
      <c r="D469" s="116" t="s">
        <v>761</v>
      </c>
      <c r="E469" s="9" t="s">
        <v>762</v>
      </c>
      <c r="F469" s="109" t="str">
        <f t="shared" ref="F469:G469" si="468">TRANSLATE(D469,"lzh","vi")</f>
        <v>#NAME?</v>
      </c>
      <c r="G469" s="109" t="str">
        <f t="shared" si="468"/>
        <v>#NAME?</v>
      </c>
      <c r="X469" s="110"/>
    </row>
    <row r="470" ht="21.0" customHeight="1">
      <c r="A470" s="5">
        <v>5.0</v>
      </c>
      <c r="B470" s="6">
        <v>507.0</v>
      </c>
      <c r="C470" s="6">
        <v>1.0</v>
      </c>
      <c r="D470" s="116" t="s">
        <v>763</v>
      </c>
      <c r="E470" s="9" t="s">
        <v>764</v>
      </c>
      <c r="F470" s="109" t="str">
        <f t="shared" ref="F470:G470" si="469">TRANSLATE(D470,"lzh","vi")</f>
        <v>#NAME?</v>
      </c>
      <c r="G470" s="109" t="str">
        <f t="shared" si="469"/>
        <v>#NAME?</v>
      </c>
      <c r="X470" s="110"/>
    </row>
    <row r="471" ht="21.0" customHeight="1">
      <c r="A471" s="5">
        <v>5.0</v>
      </c>
      <c r="B471" s="6">
        <v>507.0</v>
      </c>
      <c r="C471" s="6">
        <v>1.0</v>
      </c>
      <c r="D471" s="116" t="s">
        <v>765</v>
      </c>
      <c r="E471" s="9" t="s">
        <v>766</v>
      </c>
      <c r="F471" s="109" t="str">
        <f t="shared" ref="F471:G471" si="470">TRANSLATE(D471,"lzh","vi")</f>
        <v>#NAME?</v>
      </c>
      <c r="G471" s="109" t="str">
        <f t="shared" si="470"/>
        <v>#NAME?</v>
      </c>
      <c r="X471" s="110"/>
    </row>
    <row r="472" ht="21.0" customHeight="1">
      <c r="A472" s="5">
        <v>5.0</v>
      </c>
      <c r="B472" s="6">
        <v>507.0</v>
      </c>
      <c r="C472" s="6">
        <v>1.0</v>
      </c>
      <c r="D472" s="116" t="s">
        <v>767</v>
      </c>
      <c r="E472" s="9" t="s">
        <v>768</v>
      </c>
      <c r="F472" s="109" t="str">
        <f t="shared" ref="F472:G472" si="471">TRANSLATE(D472,"lzh","vi")</f>
        <v>#NAME?</v>
      </c>
      <c r="G472" s="109" t="str">
        <f t="shared" si="471"/>
        <v>#NAME?</v>
      </c>
      <c r="X472" s="110"/>
    </row>
    <row r="473" ht="21.0" customHeight="1">
      <c r="A473" s="5">
        <v>5.0</v>
      </c>
      <c r="B473" s="6">
        <v>507.0</v>
      </c>
      <c r="C473" s="6">
        <v>1.0</v>
      </c>
      <c r="D473" s="116" t="s">
        <v>769</v>
      </c>
      <c r="E473" s="9" t="s">
        <v>770</v>
      </c>
      <c r="F473" s="109" t="str">
        <f t="shared" ref="F473:G473" si="472">TRANSLATE(D473,"lzh","vi")</f>
        <v>#NAME?</v>
      </c>
      <c r="G473" s="109" t="str">
        <f t="shared" si="472"/>
        <v>#NAME?</v>
      </c>
      <c r="X473" s="110"/>
    </row>
    <row r="474" ht="21.0" customHeight="1">
      <c r="A474" s="5">
        <v>5.0</v>
      </c>
      <c r="B474" s="6">
        <v>507.0</v>
      </c>
      <c r="C474" s="6">
        <v>1.0</v>
      </c>
      <c r="D474" s="116" t="s">
        <v>771</v>
      </c>
      <c r="E474" s="9" t="s">
        <v>772</v>
      </c>
      <c r="F474" s="109" t="str">
        <f t="shared" ref="F474:G474" si="473">TRANSLATE(D474,"lzh","vi")</f>
        <v>#NAME?</v>
      </c>
      <c r="G474" s="109" t="str">
        <f t="shared" si="473"/>
        <v>#NAME?</v>
      </c>
      <c r="X474" s="110"/>
    </row>
    <row r="475" ht="21.0" customHeight="1">
      <c r="A475" s="43">
        <v>5.0</v>
      </c>
      <c r="B475" s="44">
        <v>507.0</v>
      </c>
      <c r="C475" s="44">
        <v>1.0</v>
      </c>
      <c r="D475" s="131" t="s">
        <v>773</v>
      </c>
      <c r="E475" s="46" t="s">
        <v>774</v>
      </c>
      <c r="F475" s="109" t="str">
        <f t="shared" ref="F475:G475" si="474">TRANSLATE(D475,"lzh","vi")</f>
        <v>#NAME?</v>
      </c>
      <c r="G475" s="109" t="str">
        <f t="shared" si="474"/>
        <v>#NAME?</v>
      </c>
      <c r="H475" s="47"/>
      <c r="I475" s="47"/>
      <c r="J475" s="47"/>
      <c r="K475" s="47"/>
      <c r="L475" s="47"/>
      <c r="M475" s="47"/>
      <c r="N475" s="47"/>
      <c r="O475" s="47"/>
      <c r="P475" s="47"/>
      <c r="Q475" s="47"/>
      <c r="R475" s="47"/>
      <c r="S475" s="47"/>
      <c r="T475" s="47"/>
      <c r="U475" s="47"/>
      <c r="V475" s="47"/>
      <c r="W475" s="47"/>
      <c r="X475" s="132"/>
    </row>
    <row r="476" ht="21.0" customHeight="1">
      <c r="A476" s="5">
        <v>5.0</v>
      </c>
      <c r="B476" s="6">
        <v>507.0</v>
      </c>
      <c r="C476" s="6">
        <v>1.0</v>
      </c>
      <c r="D476" s="116" t="s">
        <v>775</v>
      </c>
      <c r="E476" s="9" t="s">
        <v>776</v>
      </c>
      <c r="F476" s="109" t="str">
        <f t="shared" ref="F476:G476" si="475">TRANSLATE(D476,"lzh","vi")</f>
        <v>#NAME?</v>
      </c>
      <c r="G476" s="109" t="str">
        <f t="shared" si="475"/>
        <v>#NAME?</v>
      </c>
      <c r="X476" s="110"/>
    </row>
    <row r="477" ht="21.0" customHeight="1">
      <c r="A477" s="5">
        <v>5.0</v>
      </c>
      <c r="B477" s="6">
        <v>507.0</v>
      </c>
      <c r="C477" s="6">
        <v>1.0</v>
      </c>
      <c r="D477" s="116" t="s">
        <v>777</v>
      </c>
      <c r="E477" s="9" t="s">
        <v>778</v>
      </c>
      <c r="F477" s="109" t="str">
        <f t="shared" ref="F477:G477" si="476">TRANSLATE(D477,"lzh","vi")</f>
        <v>#NAME?</v>
      </c>
      <c r="G477" s="109" t="str">
        <f t="shared" si="476"/>
        <v>#NAME?</v>
      </c>
      <c r="X477" s="110"/>
    </row>
    <row r="478" ht="21.0" customHeight="1">
      <c r="A478" s="5">
        <v>5.0</v>
      </c>
      <c r="B478" s="6">
        <v>507.0</v>
      </c>
      <c r="C478" s="6">
        <v>1.0</v>
      </c>
      <c r="D478" s="116" t="s">
        <v>779</v>
      </c>
      <c r="E478" s="9" t="s">
        <v>780</v>
      </c>
      <c r="F478" s="109" t="str">
        <f t="shared" ref="F478:G478" si="477">TRANSLATE(D478,"lzh","vi")</f>
        <v>#NAME?</v>
      </c>
      <c r="G478" s="109" t="str">
        <f t="shared" si="477"/>
        <v>#NAME?</v>
      </c>
      <c r="X478" s="110"/>
    </row>
    <row r="479" ht="21.0" customHeight="1">
      <c r="A479" s="5">
        <v>5.0</v>
      </c>
      <c r="B479" s="6">
        <v>507.0</v>
      </c>
      <c r="C479" s="6">
        <v>1.0</v>
      </c>
      <c r="D479" s="116" t="s">
        <v>781</v>
      </c>
      <c r="E479" s="9" t="s">
        <v>782</v>
      </c>
      <c r="F479" s="109" t="str">
        <f t="shared" ref="F479:G479" si="478">TRANSLATE(D479,"lzh","vi")</f>
        <v>#NAME?</v>
      </c>
      <c r="G479" s="109" t="str">
        <f t="shared" si="478"/>
        <v>#NAME?</v>
      </c>
      <c r="X479" s="110"/>
    </row>
    <row r="480" ht="21.0" customHeight="1">
      <c r="A480" s="5">
        <v>5.0</v>
      </c>
      <c r="B480" s="6">
        <v>507.0</v>
      </c>
      <c r="C480" s="6">
        <v>1.0</v>
      </c>
      <c r="D480" s="116" t="s">
        <v>783</v>
      </c>
      <c r="E480" s="9" t="s">
        <v>784</v>
      </c>
      <c r="F480" s="109" t="str">
        <f t="shared" ref="F480:G480" si="479">TRANSLATE(D480,"lzh","vi")</f>
        <v>#NAME?</v>
      </c>
      <c r="G480" s="109" t="str">
        <f t="shared" si="479"/>
        <v>#NAME?</v>
      </c>
      <c r="X480" s="110"/>
    </row>
    <row r="481" ht="21.0" customHeight="1">
      <c r="A481" s="5">
        <v>5.0</v>
      </c>
      <c r="B481" s="6">
        <v>507.0</v>
      </c>
      <c r="C481" s="6">
        <v>1.0</v>
      </c>
      <c r="D481" s="116" t="s">
        <v>785</v>
      </c>
      <c r="E481" s="9" t="s">
        <v>786</v>
      </c>
      <c r="F481" s="109" t="str">
        <f t="shared" ref="F481:G481" si="480">TRANSLATE(D481,"lzh","vi")</f>
        <v>#NAME?</v>
      </c>
      <c r="G481" s="109" t="str">
        <f t="shared" si="480"/>
        <v>#NAME?</v>
      </c>
      <c r="X481" s="110"/>
    </row>
    <row r="482" ht="21.0" customHeight="1">
      <c r="A482" s="5">
        <v>5.0</v>
      </c>
      <c r="B482" s="6">
        <v>508.0</v>
      </c>
      <c r="C482" s="6">
        <v>1.0</v>
      </c>
      <c r="D482" s="116" t="s">
        <v>787</v>
      </c>
      <c r="E482" s="9" t="s">
        <v>788</v>
      </c>
      <c r="F482" s="109" t="str">
        <f t="shared" ref="F482:G482" si="481">TRANSLATE(D482,"lzh","vi")</f>
        <v>#NAME?</v>
      </c>
      <c r="G482" s="109" t="str">
        <f t="shared" si="481"/>
        <v>#NAME?</v>
      </c>
      <c r="X482" s="110"/>
    </row>
    <row r="483" ht="21.0" customHeight="1">
      <c r="A483" s="5">
        <v>5.0</v>
      </c>
      <c r="B483" s="6">
        <v>508.0</v>
      </c>
      <c r="C483" s="6">
        <v>1.0</v>
      </c>
      <c r="D483" s="116" t="s">
        <v>789</v>
      </c>
      <c r="E483" s="9" t="s">
        <v>790</v>
      </c>
      <c r="F483" s="109" t="str">
        <f t="shared" ref="F483:G483" si="482">TRANSLATE(D483,"lzh","vi")</f>
        <v>#NAME?</v>
      </c>
      <c r="G483" s="109" t="str">
        <f t="shared" si="482"/>
        <v>#NAME?</v>
      </c>
      <c r="X483" s="110"/>
    </row>
    <row r="484" ht="21.0" customHeight="1">
      <c r="A484" s="5">
        <v>5.0</v>
      </c>
      <c r="B484" s="6">
        <v>508.0</v>
      </c>
      <c r="C484" s="6">
        <v>1.0</v>
      </c>
      <c r="D484" s="116" t="s">
        <v>791</v>
      </c>
      <c r="E484" s="9" t="s">
        <v>792</v>
      </c>
      <c r="F484" s="109" t="str">
        <f t="shared" ref="F484:G484" si="483">TRANSLATE(D484,"lzh","vi")</f>
        <v>#NAME?</v>
      </c>
      <c r="G484" s="109" t="str">
        <f t="shared" si="483"/>
        <v>#NAME?</v>
      </c>
      <c r="X484" s="110"/>
    </row>
    <row r="485" ht="21.0" customHeight="1">
      <c r="A485" s="5">
        <v>5.0</v>
      </c>
      <c r="B485" s="6">
        <v>508.0</v>
      </c>
      <c r="C485" s="6">
        <v>1.0</v>
      </c>
      <c r="D485" s="116" t="s">
        <v>793</v>
      </c>
      <c r="E485" s="9" t="s">
        <v>794</v>
      </c>
      <c r="F485" s="109" t="str">
        <f t="shared" ref="F485:G485" si="484">TRANSLATE(D485,"lzh","vi")</f>
        <v>#NAME?</v>
      </c>
      <c r="G485" s="109" t="str">
        <f t="shared" si="484"/>
        <v>#NAME?</v>
      </c>
      <c r="X485" s="110"/>
    </row>
    <row r="486" ht="21.0" customHeight="1">
      <c r="A486" s="5">
        <v>5.0</v>
      </c>
      <c r="B486" s="6">
        <v>508.0</v>
      </c>
      <c r="C486" s="6">
        <v>1.0</v>
      </c>
      <c r="D486" s="116" t="s">
        <v>795</v>
      </c>
      <c r="E486" s="9" t="s">
        <v>796</v>
      </c>
      <c r="F486" s="109" t="str">
        <f t="shared" ref="F486:G486" si="485">TRANSLATE(D486,"lzh","vi")</f>
        <v>#NAME?</v>
      </c>
      <c r="G486" s="109" t="str">
        <f t="shared" si="485"/>
        <v>#NAME?</v>
      </c>
      <c r="X486" s="110"/>
    </row>
    <row r="487" ht="21.0" customHeight="1">
      <c r="A487" s="5">
        <v>5.0</v>
      </c>
      <c r="B487" s="6">
        <v>513.0</v>
      </c>
      <c r="C487" s="6">
        <v>1.0</v>
      </c>
      <c r="D487" s="116" t="s">
        <v>797</v>
      </c>
      <c r="E487" s="9" t="s">
        <v>798</v>
      </c>
      <c r="F487" s="109" t="str">
        <f t="shared" ref="F487:G487" si="486">TRANSLATE(D487,"lzh","vi")</f>
        <v>#NAME?</v>
      </c>
      <c r="G487" s="109" t="str">
        <f t="shared" si="486"/>
        <v>#NAME?</v>
      </c>
      <c r="X487" s="110"/>
    </row>
    <row r="488" ht="21.0" customHeight="1">
      <c r="A488" s="5">
        <v>5.0</v>
      </c>
      <c r="B488" s="6">
        <v>507.0</v>
      </c>
      <c r="C488" s="6">
        <v>1.0</v>
      </c>
      <c r="D488" s="116" t="s">
        <v>799</v>
      </c>
      <c r="E488" s="9" t="s">
        <v>800</v>
      </c>
      <c r="F488" s="109" t="str">
        <f t="shared" ref="F488:G488" si="487">TRANSLATE(D488,"lzh","vi")</f>
        <v>#NAME?</v>
      </c>
      <c r="G488" s="109" t="str">
        <f t="shared" si="487"/>
        <v>#NAME?</v>
      </c>
      <c r="X488" s="110"/>
    </row>
    <row r="489" ht="21.0" customHeight="1">
      <c r="A489" s="5">
        <v>5.0</v>
      </c>
      <c r="B489" s="6">
        <v>507.0</v>
      </c>
      <c r="C489" s="6">
        <v>1.0</v>
      </c>
      <c r="D489" s="116" t="s">
        <v>801</v>
      </c>
      <c r="E489" s="9" t="s">
        <v>800</v>
      </c>
      <c r="F489" s="109" t="str">
        <f t="shared" ref="F489:G489" si="488">TRANSLATE(D489,"lzh","vi")</f>
        <v>#NAME?</v>
      </c>
      <c r="G489" s="109" t="str">
        <f t="shared" si="488"/>
        <v>#NAME?</v>
      </c>
      <c r="X489" s="110"/>
    </row>
    <row r="490" ht="21.0" customHeight="1">
      <c r="A490" s="5">
        <v>5.0</v>
      </c>
      <c r="B490" s="6">
        <v>507.0</v>
      </c>
      <c r="C490" s="6">
        <v>1.0</v>
      </c>
      <c r="D490" s="116" t="s">
        <v>802</v>
      </c>
      <c r="E490" s="9" t="s">
        <v>800</v>
      </c>
      <c r="F490" s="109" t="str">
        <f t="shared" ref="F490:G490" si="489">TRANSLATE(D490,"lzh","vi")</f>
        <v>#NAME?</v>
      </c>
      <c r="G490" s="109" t="str">
        <f t="shared" si="489"/>
        <v>#NAME?</v>
      </c>
      <c r="X490" s="110"/>
    </row>
    <row r="491" ht="21.0" customHeight="1">
      <c r="A491" s="5">
        <v>5.0</v>
      </c>
      <c r="B491" s="6">
        <v>507.0</v>
      </c>
      <c r="C491" s="6">
        <v>1.0</v>
      </c>
      <c r="D491" s="116" t="s">
        <v>803</v>
      </c>
      <c r="E491" s="9" t="s">
        <v>800</v>
      </c>
      <c r="F491" s="109" t="str">
        <f t="shared" ref="F491:G491" si="490">TRANSLATE(D491,"lzh","vi")</f>
        <v>#NAME?</v>
      </c>
      <c r="G491" s="109" t="str">
        <f t="shared" si="490"/>
        <v>#NAME?</v>
      </c>
      <c r="X491" s="110"/>
    </row>
    <row r="492" ht="21.0" customHeight="1">
      <c r="A492" s="5">
        <v>5.0</v>
      </c>
      <c r="B492" s="6">
        <v>507.0</v>
      </c>
      <c r="C492" s="6">
        <v>1.0</v>
      </c>
      <c r="D492" s="116" t="s">
        <v>804</v>
      </c>
      <c r="E492" s="9" t="s">
        <v>800</v>
      </c>
      <c r="F492" s="109" t="str">
        <f t="shared" ref="F492:G492" si="491">TRANSLATE(D492,"lzh","vi")</f>
        <v>#NAME?</v>
      </c>
      <c r="G492" s="109" t="str">
        <f t="shared" si="491"/>
        <v>#NAME?</v>
      </c>
      <c r="X492" s="110"/>
    </row>
    <row r="493" ht="21.0" customHeight="1">
      <c r="A493" s="5">
        <v>5.0</v>
      </c>
      <c r="B493" s="6">
        <v>507.0</v>
      </c>
      <c r="C493" s="6">
        <v>1.0</v>
      </c>
      <c r="D493" s="116" t="s">
        <v>805</v>
      </c>
      <c r="E493" s="9" t="s">
        <v>800</v>
      </c>
      <c r="F493" s="109" t="str">
        <f t="shared" ref="F493:G493" si="492">TRANSLATE(D493,"lzh","vi")</f>
        <v>#NAME?</v>
      </c>
      <c r="G493" s="109" t="str">
        <f t="shared" si="492"/>
        <v>#NAME?</v>
      </c>
      <c r="X493" s="110"/>
    </row>
    <row r="494" ht="21.0" customHeight="1">
      <c r="A494" s="5">
        <v>5.0</v>
      </c>
      <c r="B494" s="6">
        <v>507.0</v>
      </c>
      <c r="C494" s="6">
        <v>1.0</v>
      </c>
      <c r="D494" s="116" t="s">
        <v>806</v>
      </c>
      <c r="E494" s="9" t="s">
        <v>800</v>
      </c>
      <c r="F494" s="109" t="str">
        <f t="shared" ref="F494:G494" si="493">TRANSLATE(D494,"lzh","vi")</f>
        <v>#NAME?</v>
      </c>
      <c r="G494" s="109" t="str">
        <f t="shared" si="493"/>
        <v>#NAME?</v>
      </c>
      <c r="X494" s="110"/>
    </row>
    <row r="495" ht="21.0" customHeight="1">
      <c r="A495" s="5">
        <v>5.0</v>
      </c>
      <c r="B495" s="6">
        <v>507.0</v>
      </c>
      <c r="C495" s="6">
        <v>1.0</v>
      </c>
      <c r="D495" s="116" t="s">
        <v>807</v>
      </c>
      <c r="E495" s="9" t="s">
        <v>800</v>
      </c>
      <c r="F495" s="109" t="str">
        <f t="shared" ref="F495:G495" si="494">TRANSLATE(D495,"lzh","vi")</f>
        <v>#NAME?</v>
      </c>
      <c r="G495" s="109" t="str">
        <f t="shared" si="494"/>
        <v>#NAME?</v>
      </c>
      <c r="X495" s="110"/>
    </row>
    <row r="496" ht="21.0" customHeight="1">
      <c r="A496" s="5">
        <v>5.0</v>
      </c>
      <c r="B496" s="6">
        <v>507.0</v>
      </c>
      <c r="C496" s="6">
        <v>1.0</v>
      </c>
      <c r="D496" s="116" t="s">
        <v>808</v>
      </c>
      <c r="E496" s="9" t="s">
        <v>800</v>
      </c>
      <c r="F496" s="109" t="str">
        <f t="shared" ref="F496:G496" si="495">TRANSLATE(D496,"lzh","vi")</f>
        <v>#NAME?</v>
      </c>
      <c r="G496" s="109" t="str">
        <f t="shared" si="495"/>
        <v>#NAME?</v>
      </c>
      <c r="X496" s="110"/>
    </row>
    <row r="497" ht="21.0" customHeight="1">
      <c r="A497" s="5">
        <v>5.0</v>
      </c>
      <c r="B497" s="6">
        <v>507.0</v>
      </c>
      <c r="C497" s="6">
        <v>1.0</v>
      </c>
      <c r="D497" s="116" t="s">
        <v>809</v>
      </c>
      <c r="E497" s="9" t="s">
        <v>800</v>
      </c>
      <c r="F497" s="109" t="str">
        <f t="shared" ref="F497:G497" si="496">TRANSLATE(D497,"lzh","vi")</f>
        <v>#NAME?</v>
      </c>
      <c r="G497" s="109" t="str">
        <f t="shared" si="496"/>
        <v>#NAME?</v>
      </c>
      <c r="X497" s="110"/>
    </row>
    <row r="498" ht="21.0" customHeight="1">
      <c r="A498" s="5">
        <v>5.0</v>
      </c>
      <c r="B498" s="6">
        <v>507.0</v>
      </c>
      <c r="C498" s="6">
        <v>1.0</v>
      </c>
      <c r="D498" s="116" t="s">
        <v>810</v>
      </c>
      <c r="E498" s="9" t="s">
        <v>800</v>
      </c>
      <c r="F498" s="109" t="str">
        <f t="shared" ref="F498:G498" si="497">TRANSLATE(D498,"lzh","vi")</f>
        <v>#NAME?</v>
      </c>
      <c r="G498" s="109" t="str">
        <f t="shared" si="497"/>
        <v>#NAME?</v>
      </c>
      <c r="X498" s="110"/>
    </row>
    <row r="499" ht="21.0" customHeight="1">
      <c r="A499" s="5">
        <v>5.0</v>
      </c>
      <c r="B499" s="6">
        <v>507.0</v>
      </c>
      <c r="C499" s="6">
        <v>1.0</v>
      </c>
      <c r="D499" s="116" t="s">
        <v>811</v>
      </c>
      <c r="E499" s="9" t="s">
        <v>812</v>
      </c>
      <c r="F499" s="109" t="str">
        <f t="shared" ref="F499:G499" si="498">TRANSLATE(D499,"lzh","vi")</f>
        <v>#NAME?</v>
      </c>
      <c r="G499" s="109" t="str">
        <f t="shared" si="498"/>
        <v>#NAME?</v>
      </c>
      <c r="X499" s="110"/>
    </row>
    <row r="500" ht="21.0" customHeight="1">
      <c r="A500" s="5">
        <v>5.0</v>
      </c>
      <c r="B500" s="6">
        <v>513.0</v>
      </c>
      <c r="C500" s="6">
        <v>1.0</v>
      </c>
      <c r="D500" s="116" t="s">
        <v>813</v>
      </c>
      <c r="E500" s="9" t="s">
        <v>814</v>
      </c>
      <c r="F500" s="109" t="str">
        <f t="shared" ref="F500:G500" si="499">TRANSLATE(D500,"lzh","vi")</f>
        <v>#NAME?</v>
      </c>
      <c r="G500" s="109" t="str">
        <f t="shared" si="499"/>
        <v>#NAME?</v>
      </c>
      <c r="X500" s="110"/>
    </row>
    <row r="501" ht="21.0" customHeight="1">
      <c r="A501" s="5">
        <v>5.0</v>
      </c>
      <c r="B501" s="6">
        <v>513.0</v>
      </c>
      <c r="C501" s="6">
        <v>1.0</v>
      </c>
      <c r="D501" s="116" t="s">
        <v>815</v>
      </c>
      <c r="E501" s="9" t="s">
        <v>814</v>
      </c>
      <c r="F501" s="109" t="str">
        <f t="shared" ref="F501:G501" si="500">TRANSLATE(D501,"lzh","vi")</f>
        <v>#NAME?</v>
      </c>
      <c r="G501" s="109" t="str">
        <f t="shared" si="500"/>
        <v>#NAME?</v>
      </c>
      <c r="X501" s="110"/>
    </row>
    <row r="502" ht="21.0" customHeight="1">
      <c r="A502" s="5">
        <v>5.0</v>
      </c>
      <c r="B502" s="6">
        <v>513.0</v>
      </c>
      <c r="C502" s="6">
        <v>1.0</v>
      </c>
      <c r="D502" s="116" t="s">
        <v>816</v>
      </c>
      <c r="E502" s="9" t="s">
        <v>817</v>
      </c>
      <c r="F502" s="109" t="str">
        <f t="shared" ref="F502:G502" si="501">TRANSLATE(D502,"lzh","vi")</f>
        <v>#NAME?</v>
      </c>
      <c r="G502" s="109" t="str">
        <f t="shared" si="501"/>
        <v>#NAME?</v>
      </c>
      <c r="X502" s="110"/>
    </row>
    <row r="503" ht="21.0" customHeight="1">
      <c r="A503" s="5">
        <v>5.0</v>
      </c>
      <c r="B503" s="6">
        <v>537.0</v>
      </c>
      <c r="C503" s="6">
        <v>1.0</v>
      </c>
      <c r="D503" s="115" t="s">
        <v>818</v>
      </c>
      <c r="E503" s="9" t="s">
        <v>819</v>
      </c>
      <c r="F503" s="109" t="str">
        <f t="shared" ref="F503:G503" si="502">TRANSLATE(D503,"lzh","vi")</f>
        <v>#NAME?</v>
      </c>
      <c r="G503" s="109" t="str">
        <f t="shared" si="502"/>
        <v>#NAME?</v>
      </c>
      <c r="X503" s="110"/>
    </row>
    <row r="504" ht="21.0" customHeight="1">
      <c r="A504" s="5">
        <v>5.0</v>
      </c>
      <c r="B504" s="6">
        <v>537.0</v>
      </c>
      <c r="C504" s="6">
        <v>1.0</v>
      </c>
      <c r="D504" s="115" t="s">
        <v>820</v>
      </c>
      <c r="E504" s="9" t="s">
        <v>821</v>
      </c>
      <c r="F504" s="109" t="str">
        <f t="shared" ref="F504:G504" si="503">TRANSLATE(D504,"lzh","vi")</f>
        <v>#NAME?</v>
      </c>
      <c r="G504" s="109" t="str">
        <f t="shared" si="503"/>
        <v>#NAME?</v>
      </c>
      <c r="X504" s="110"/>
    </row>
    <row r="505" ht="21.0" customHeight="1">
      <c r="A505" s="5">
        <v>5.0</v>
      </c>
      <c r="B505" s="6">
        <v>537.0</v>
      </c>
      <c r="C505" s="6">
        <v>1.0</v>
      </c>
      <c r="D505" s="115" t="s">
        <v>822</v>
      </c>
      <c r="E505" s="9" t="s">
        <v>823</v>
      </c>
      <c r="F505" s="109" t="str">
        <f t="shared" ref="F505:G505" si="504">TRANSLATE(D505,"lzh","vi")</f>
        <v>#NAME?</v>
      </c>
      <c r="G505" s="109" t="str">
        <f t="shared" si="504"/>
        <v>#NAME?</v>
      </c>
      <c r="X505" s="110"/>
    </row>
    <row r="506" ht="21.0" customHeight="1">
      <c r="A506" s="5">
        <v>5.0</v>
      </c>
      <c r="B506" s="6">
        <v>537.0</v>
      </c>
      <c r="C506" s="6">
        <v>1.0</v>
      </c>
      <c r="D506" s="115" t="s">
        <v>824</v>
      </c>
      <c r="E506" s="9" t="s">
        <v>825</v>
      </c>
      <c r="F506" s="109" t="str">
        <f t="shared" ref="F506:G506" si="505">TRANSLATE(D506,"lzh","vi")</f>
        <v>#NAME?</v>
      </c>
      <c r="G506" s="109" t="str">
        <f t="shared" si="505"/>
        <v>#NAME?</v>
      </c>
      <c r="X506" s="110"/>
    </row>
    <row r="507" ht="21.0" customHeight="1">
      <c r="A507" s="5">
        <v>5.0</v>
      </c>
      <c r="B507" s="6">
        <v>537.0</v>
      </c>
      <c r="C507" s="6">
        <v>1.0</v>
      </c>
      <c r="D507" s="115" t="s">
        <v>826</v>
      </c>
      <c r="E507" s="9" t="s">
        <v>825</v>
      </c>
      <c r="F507" s="109" t="str">
        <f t="shared" ref="F507:G507" si="506">TRANSLATE(D507,"lzh","vi")</f>
        <v>#NAME?</v>
      </c>
      <c r="G507" s="109" t="str">
        <f t="shared" si="506"/>
        <v>#NAME?</v>
      </c>
      <c r="X507" s="110"/>
    </row>
    <row r="508" ht="21.0" customHeight="1">
      <c r="A508" s="5">
        <v>5.0</v>
      </c>
      <c r="B508" s="6">
        <v>507.0</v>
      </c>
      <c r="C508" s="6">
        <v>1.0</v>
      </c>
      <c r="D508" s="116" t="s">
        <v>827</v>
      </c>
      <c r="E508" s="9" t="s">
        <v>800</v>
      </c>
      <c r="F508" s="109" t="str">
        <f t="shared" ref="F508:G508" si="507">TRANSLATE(D508,"lzh","vi")</f>
        <v>#NAME?</v>
      </c>
      <c r="G508" s="109" t="str">
        <f t="shared" si="507"/>
        <v>#NAME?</v>
      </c>
      <c r="X508" s="110"/>
    </row>
    <row r="509" ht="21.0" customHeight="1">
      <c r="A509" s="5">
        <v>5.0</v>
      </c>
      <c r="B509" s="6">
        <v>507.0</v>
      </c>
      <c r="C509" s="6">
        <v>1.0</v>
      </c>
      <c r="D509" s="116" t="s">
        <v>827</v>
      </c>
      <c r="E509" s="9" t="s">
        <v>800</v>
      </c>
      <c r="F509" s="109" t="str">
        <f t="shared" ref="F509:G509" si="508">TRANSLATE(D509,"lzh","vi")</f>
        <v>#NAME?</v>
      </c>
      <c r="G509" s="109" t="str">
        <f t="shared" si="508"/>
        <v>#NAME?</v>
      </c>
      <c r="X509" s="110"/>
    </row>
    <row r="510" ht="21.0" customHeight="1">
      <c r="A510" s="5">
        <v>5.0</v>
      </c>
      <c r="B510" s="6">
        <v>507.0</v>
      </c>
      <c r="C510" s="6">
        <v>1.0</v>
      </c>
      <c r="D510" s="116" t="s">
        <v>827</v>
      </c>
      <c r="E510" s="9" t="s">
        <v>800</v>
      </c>
      <c r="F510" s="109" t="str">
        <f t="shared" ref="F510:G510" si="509">TRANSLATE(D510,"lzh","vi")</f>
        <v>#NAME?</v>
      </c>
      <c r="G510" s="109" t="str">
        <f t="shared" si="509"/>
        <v>#NAME?</v>
      </c>
      <c r="X510" s="110"/>
    </row>
    <row r="511" ht="21.0" customHeight="1">
      <c r="A511" s="5">
        <v>5.0</v>
      </c>
      <c r="B511" s="6">
        <v>507.0</v>
      </c>
      <c r="C511" s="6">
        <v>1.0</v>
      </c>
      <c r="D511" s="116" t="s">
        <v>827</v>
      </c>
      <c r="E511" s="9" t="s">
        <v>800</v>
      </c>
      <c r="F511" s="109" t="str">
        <f t="shared" ref="F511:G511" si="510">TRANSLATE(D511,"lzh","vi")</f>
        <v>#NAME?</v>
      </c>
      <c r="G511" s="109" t="str">
        <f t="shared" si="510"/>
        <v>#NAME?</v>
      </c>
      <c r="X511" s="110"/>
    </row>
    <row r="512" ht="21.0" customHeight="1">
      <c r="A512" s="5">
        <v>5.0</v>
      </c>
      <c r="B512" s="6">
        <v>507.0</v>
      </c>
      <c r="C512" s="6">
        <v>1.0</v>
      </c>
      <c r="D512" s="116" t="s">
        <v>827</v>
      </c>
      <c r="E512" s="9" t="s">
        <v>800</v>
      </c>
      <c r="F512" s="109" t="str">
        <f t="shared" ref="F512:G512" si="511">TRANSLATE(D512,"lzh","vi")</f>
        <v>#NAME?</v>
      </c>
      <c r="G512" s="109" t="str">
        <f t="shared" si="511"/>
        <v>#NAME?</v>
      </c>
      <c r="X512" s="110"/>
    </row>
    <row r="513" ht="21.0" customHeight="1">
      <c r="A513" s="5">
        <v>5.0</v>
      </c>
      <c r="B513" s="6">
        <v>514.0</v>
      </c>
      <c r="C513" s="6">
        <v>1.0</v>
      </c>
      <c r="D513" s="115" t="s">
        <v>828</v>
      </c>
      <c r="E513" s="9" t="s">
        <v>829</v>
      </c>
      <c r="F513" s="109" t="str">
        <f t="shared" ref="F513:G513" si="512">TRANSLATE(D513,"lzh","vi")</f>
        <v>#NAME?</v>
      </c>
      <c r="G513" s="109" t="str">
        <f t="shared" si="512"/>
        <v>#NAME?</v>
      </c>
      <c r="X513" s="110"/>
    </row>
    <row r="514" ht="21.0" customHeight="1">
      <c r="A514" s="5">
        <v>5.0</v>
      </c>
      <c r="B514" s="6">
        <v>514.0</v>
      </c>
      <c r="C514" s="6">
        <v>1.0</v>
      </c>
      <c r="D514" s="115" t="s">
        <v>830</v>
      </c>
      <c r="E514" s="9" t="s">
        <v>831</v>
      </c>
      <c r="F514" s="109" t="str">
        <f t="shared" ref="F514:G514" si="513">TRANSLATE(D514,"lzh","vi")</f>
        <v>#NAME?</v>
      </c>
      <c r="G514" s="109" t="str">
        <f t="shared" si="513"/>
        <v>#NAME?</v>
      </c>
      <c r="X514" s="110"/>
    </row>
    <row r="515" ht="21.0" customHeight="1">
      <c r="A515" s="5">
        <v>5.0</v>
      </c>
      <c r="B515" s="6">
        <v>514.0</v>
      </c>
      <c r="C515" s="6">
        <v>1.0</v>
      </c>
      <c r="D515" s="115" t="s">
        <v>832</v>
      </c>
      <c r="E515" s="9" t="s">
        <v>829</v>
      </c>
      <c r="F515" s="109" t="str">
        <f t="shared" ref="F515:G515" si="514">TRANSLATE(D515,"lzh","vi")</f>
        <v>#NAME?</v>
      </c>
      <c r="G515" s="109" t="str">
        <f t="shared" si="514"/>
        <v>#NAME?</v>
      </c>
      <c r="X515" s="110"/>
    </row>
    <row r="516" ht="21.0" customHeight="1">
      <c r="A516" s="5">
        <v>5.0</v>
      </c>
      <c r="B516" s="6">
        <v>514.0</v>
      </c>
      <c r="C516" s="6">
        <v>1.0</v>
      </c>
      <c r="D516" s="115" t="s">
        <v>833</v>
      </c>
      <c r="E516" s="9" t="s">
        <v>831</v>
      </c>
      <c r="F516" s="109" t="str">
        <f t="shared" ref="F516:G516" si="515">TRANSLATE(D516,"lzh","vi")</f>
        <v>#NAME?</v>
      </c>
      <c r="G516" s="109" t="str">
        <f t="shared" si="515"/>
        <v>#NAME?</v>
      </c>
      <c r="X516" s="110"/>
    </row>
    <row r="517" ht="21.0" customHeight="1">
      <c r="A517" s="5">
        <v>17.0</v>
      </c>
      <c r="B517" s="6">
        <v>515.0</v>
      </c>
      <c r="C517" s="6">
        <v>1.0</v>
      </c>
      <c r="D517" s="116" t="s">
        <v>834</v>
      </c>
      <c r="E517" s="9" t="s">
        <v>615</v>
      </c>
      <c r="F517" s="109" t="str">
        <f t="shared" ref="F517:G517" si="516">TRANSLATE(D517,"lzh","vi")</f>
        <v>#NAME?</v>
      </c>
      <c r="G517" s="109" t="str">
        <f t="shared" si="516"/>
        <v>#NAME?</v>
      </c>
      <c r="X517" s="110"/>
    </row>
    <row r="518" ht="21.0" customHeight="1">
      <c r="A518" s="5">
        <v>17.0</v>
      </c>
      <c r="B518" s="6">
        <v>516.0</v>
      </c>
      <c r="C518" s="6">
        <v>1.0</v>
      </c>
      <c r="D518" s="116" t="s">
        <v>835</v>
      </c>
      <c r="E518" s="9" t="s">
        <v>615</v>
      </c>
      <c r="F518" s="109" t="str">
        <f t="shared" ref="F518:G518" si="517">TRANSLATE(D518,"lzh","vi")</f>
        <v>#NAME?</v>
      </c>
      <c r="G518" s="109" t="str">
        <f t="shared" si="517"/>
        <v>#NAME?</v>
      </c>
      <c r="X518" s="110"/>
    </row>
    <row r="519" ht="21.0" customHeight="1">
      <c r="A519" s="5">
        <v>14.0</v>
      </c>
      <c r="B519" s="6">
        <v>517.0</v>
      </c>
      <c r="C519" s="6">
        <v>1.0</v>
      </c>
      <c r="D519" s="116" t="s">
        <v>836</v>
      </c>
      <c r="E519" s="9" t="s">
        <v>615</v>
      </c>
      <c r="F519" s="109" t="str">
        <f t="shared" ref="F519:G519" si="518">TRANSLATE(D519,"lzh","vi")</f>
        <v>#NAME?</v>
      </c>
      <c r="G519" s="109" t="str">
        <f t="shared" si="518"/>
        <v>#NAME?</v>
      </c>
      <c r="X519" s="110"/>
    </row>
    <row r="520" ht="21.0" customHeight="1">
      <c r="A520" s="5">
        <v>17.0</v>
      </c>
      <c r="B520" s="6">
        <v>518.0</v>
      </c>
      <c r="C520" s="6">
        <v>1.0</v>
      </c>
      <c r="D520" s="116" t="s">
        <v>837</v>
      </c>
      <c r="E520" s="9" t="s">
        <v>615</v>
      </c>
      <c r="F520" s="109" t="str">
        <f t="shared" ref="F520:G520" si="519">TRANSLATE(D520,"lzh","vi")</f>
        <v>#NAME?</v>
      </c>
      <c r="G520" s="109" t="str">
        <f t="shared" si="519"/>
        <v>#NAME?</v>
      </c>
      <c r="X520" s="110"/>
    </row>
    <row r="521" ht="21.0" customHeight="1">
      <c r="A521" s="5">
        <v>14.0</v>
      </c>
      <c r="B521" s="6">
        <v>518.0</v>
      </c>
      <c r="C521" s="6">
        <v>1.0</v>
      </c>
      <c r="D521" s="116" t="s">
        <v>838</v>
      </c>
      <c r="E521" s="9" t="s">
        <v>839</v>
      </c>
      <c r="F521" s="109" t="str">
        <f t="shared" ref="F521:G521" si="520">TRANSLATE(D521,"lzh","vi")</f>
        <v>#NAME?</v>
      </c>
      <c r="G521" s="109" t="str">
        <f t="shared" si="520"/>
        <v>#NAME?</v>
      </c>
      <c r="X521" s="110"/>
    </row>
    <row r="522" ht="21.0" customHeight="1">
      <c r="A522" s="5">
        <v>14.0</v>
      </c>
      <c r="B522" s="6">
        <v>518.0</v>
      </c>
      <c r="C522" s="6">
        <v>1.0</v>
      </c>
      <c r="D522" s="116" t="s">
        <v>840</v>
      </c>
      <c r="E522" s="9" t="s">
        <v>841</v>
      </c>
      <c r="F522" s="109" t="str">
        <f t="shared" ref="F522:G522" si="521">TRANSLATE(D522,"lzh","vi")</f>
        <v>#NAME?</v>
      </c>
      <c r="G522" s="109" t="str">
        <f t="shared" si="521"/>
        <v>#NAME?</v>
      </c>
      <c r="X522" s="110"/>
    </row>
    <row r="523" ht="21.0" customHeight="1">
      <c r="A523" s="5">
        <v>14.0</v>
      </c>
      <c r="B523" s="6">
        <v>518.0</v>
      </c>
      <c r="C523" s="6">
        <v>1.0</v>
      </c>
      <c r="D523" s="116" t="s">
        <v>842</v>
      </c>
      <c r="E523" s="9" t="s">
        <v>843</v>
      </c>
      <c r="F523" s="109" t="str">
        <f t="shared" ref="F523:G523" si="522">TRANSLATE(D523,"lzh","vi")</f>
        <v>#NAME?</v>
      </c>
      <c r="G523" s="109" t="str">
        <f t="shared" si="522"/>
        <v>#NAME?</v>
      </c>
      <c r="X523" s="110"/>
    </row>
    <row r="524" ht="21.0" customHeight="1">
      <c r="A524" s="5">
        <v>17.0</v>
      </c>
      <c r="B524" s="6">
        <v>518.0</v>
      </c>
      <c r="C524" s="6">
        <v>1.0</v>
      </c>
      <c r="D524" s="116" t="s">
        <v>844</v>
      </c>
      <c r="E524" s="9" t="s">
        <v>615</v>
      </c>
      <c r="F524" s="109" t="str">
        <f t="shared" ref="F524:G524" si="523">TRANSLATE(D524,"lzh","vi")</f>
        <v>#NAME?</v>
      </c>
      <c r="G524" s="109" t="str">
        <f t="shared" si="523"/>
        <v>#NAME?</v>
      </c>
      <c r="X524" s="110"/>
    </row>
    <row r="525" ht="21.0" customHeight="1">
      <c r="A525" s="5">
        <v>17.0</v>
      </c>
      <c r="B525" s="6">
        <v>518.0</v>
      </c>
      <c r="C525" s="6">
        <v>1.0</v>
      </c>
      <c r="D525" s="116" t="s">
        <v>845</v>
      </c>
      <c r="E525" s="9" t="s">
        <v>615</v>
      </c>
      <c r="F525" s="109" t="str">
        <f t="shared" ref="F525:G525" si="524">TRANSLATE(D525,"lzh","vi")</f>
        <v>#NAME?</v>
      </c>
      <c r="G525" s="109" t="str">
        <f t="shared" si="524"/>
        <v>#NAME?</v>
      </c>
      <c r="X525" s="110"/>
    </row>
    <row r="526" ht="21.0" customHeight="1">
      <c r="A526" s="5">
        <v>17.0</v>
      </c>
      <c r="B526" s="6">
        <v>518.0</v>
      </c>
      <c r="C526" s="6">
        <v>1.0</v>
      </c>
      <c r="D526" s="116" t="s">
        <v>846</v>
      </c>
      <c r="E526" s="9" t="s">
        <v>615</v>
      </c>
      <c r="F526" s="109" t="str">
        <f t="shared" ref="F526:G526" si="525">TRANSLATE(D526,"lzh","vi")</f>
        <v>#NAME?</v>
      </c>
      <c r="G526" s="109" t="str">
        <f t="shared" si="525"/>
        <v>#NAME?</v>
      </c>
      <c r="X526" s="110"/>
    </row>
    <row r="527" ht="21.0" customHeight="1">
      <c r="A527" s="5">
        <v>17.0</v>
      </c>
      <c r="B527" s="6">
        <v>518.0</v>
      </c>
      <c r="C527" s="6">
        <v>1.0</v>
      </c>
      <c r="D527" s="116" t="s">
        <v>847</v>
      </c>
      <c r="E527" s="9" t="s">
        <v>848</v>
      </c>
      <c r="F527" s="109" t="str">
        <f t="shared" ref="F527:G527" si="526">TRANSLATE(D527,"lzh","vi")</f>
        <v>#NAME?</v>
      </c>
      <c r="G527" s="109" t="str">
        <f t="shared" si="526"/>
        <v>#NAME?</v>
      </c>
      <c r="X527" s="110"/>
    </row>
    <row r="528" ht="21.0" customHeight="1">
      <c r="A528" s="5">
        <v>17.0</v>
      </c>
      <c r="B528" s="6">
        <v>518.0</v>
      </c>
      <c r="C528" s="6">
        <v>1.0</v>
      </c>
      <c r="D528" s="116" t="s">
        <v>849</v>
      </c>
      <c r="E528" s="9" t="s">
        <v>615</v>
      </c>
      <c r="F528" s="109" t="str">
        <f t="shared" ref="F528:G528" si="527">TRANSLATE(D528,"lzh","vi")</f>
        <v>#NAME?</v>
      </c>
      <c r="G528" s="109" t="str">
        <f t="shared" si="527"/>
        <v>#NAME?</v>
      </c>
      <c r="X528" s="110"/>
    </row>
    <row r="529" ht="21.0" customHeight="1">
      <c r="A529" s="5">
        <v>17.0</v>
      </c>
      <c r="B529" s="6">
        <v>518.0</v>
      </c>
      <c r="C529" s="6">
        <v>1.0</v>
      </c>
      <c r="D529" s="116" t="s">
        <v>850</v>
      </c>
      <c r="E529" s="9" t="s">
        <v>615</v>
      </c>
      <c r="F529" s="109" t="str">
        <f t="shared" ref="F529:G529" si="528">TRANSLATE(D529,"lzh","vi")</f>
        <v>#NAME?</v>
      </c>
      <c r="G529" s="109" t="str">
        <f t="shared" si="528"/>
        <v>#NAME?</v>
      </c>
      <c r="X529" s="110"/>
    </row>
    <row r="530" ht="21.0" customHeight="1">
      <c r="A530" s="5">
        <v>17.0</v>
      </c>
      <c r="B530" s="6">
        <v>518.0</v>
      </c>
      <c r="C530" s="6">
        <v>1.0</v>
      </c>
      <c r="D530" s="116" t="s">
        <v>851</v>
      </c>
      <c r="E530" s="9" t="s">
        <v>615</v>
      </c>
      <c r="F530" s="109" t="str">
        <f t="shared" ref="F530:G530" si="529">TRANSLATE(D530,"lzh","vi")</f>
        <v>#NAME?</v>
      </c>
      <c r="G530" s="109" t="str">
        <f t="shared" si="529"/>
        <v>#NAME?</v>
      </c>
      <c r="X530" s="110"/>
    </row>
    <row r="531" ht="21.0" customHeight="1">
      <c r="A531" s="5">
        <v>17.0</v>
      </c>
      <c r="B531" s="6">
        <v>518.0</v>
      </c>
      <c r="C531" s="6">
        <v>1.0</v>
      </c>
      <c r="D531" s="116" t="s">
        <v>852</v>
      </c>
      <c r="E531" s="9" t="s">
        <v>615</v>
      </c>
      <c r="F531" s="109" t="str">
        <f t="shared" ref="F531:G531" si="530">TRANSLATE(D531,"lzh","vi")</f>
        <v>#NAME?</v>
      </c>
      <c r="G531" s="109" t="str">
        <f t="shared" si="530"/>
        <v>#NAME?</v>
      </c>
      <c r="X531" s="110"/>
    </row>
    <row r="532" ht="21.0" customHeight="1">
      <c r="A532" s="5">
        <v>17.0</v>
      </c>
      <c r="B532" s="6">
        <v>518.0</v>
      </c>
      <c r="C532" s="6">
        <v>1.0</v>
      </c>
      <c r="D532" s="116" t="s">
        <v>853</v>
      </c>
      <c r="E532" s="9" t="s">
        <v>615</v>
      </c>
      <c r="F532" s="109" t="str">
        <f t="shared" ref="F532:G532" si="531">TRANSLATE(D532,"lzh","vi")</f>
        <v>#NAME?</v>
      </c>
      <c r="G532" s="109" t="str">
        <f t="shared" si="531"/>
        <v>#NAME?</v>
      </c>
      <c r="X532" s="110"/>
    </row>
    <row r="533" ht="21.0" customHeight="1">
      <c r="A533" s="5">
        <v>17.0</v>
      </c>
      <c r="B533" s="6">
        <v>518.0</v>
      </c>
      <c r="C533" s="6">
        <v>1.0</v>
      </c>
      <c r="D533" s="116" t="s">
        <v>854</v>
      </c>
      <c r="E533" s="9" t="s">
        <v>615</v>
      </c>
      <c r="F533" s="109" t="str">
        <f t="shared" ref="F533:G533" si="532">TRANSLATE(D533,"lzh","vi")</f>
        <v>#NAME?</v>
      </c>
      <c r="G533" s="109" t="str">
        <f t="shared" si="532"/>
        <v>#NAME?</v>
      </c>
      <c r="X533" s="110"/>
    </row>
    <row r="534" ht="21.0" customHeight="1">
      <c r="A534" s="30">
        <v>20.0</v>
      </c>
      <c r="B534" s="31">
        <v>518.0</v>
      </c>
      <c r="C534" s="31">
        <v>1.0</v>
      </c>
      <c r="D534" s="125" t="s">
        <v>837</v>
      </c>
      <c r="E534" s="33" t="s">
        <v>615</v>
      </c>
      <c r="F534" s="109" t="str">
        <f t="shared" ref="F534:G534" si="533">TRANSLATE(D534,"lzh","vi")</f>
        <v>#NAME?</v>
      </c>
      <c r="G534" s="109" t="str">
        <f t="shared" si="533"/>
        <v>#NAME?</v>
      </c>
      <c r="X534" s="124"/>
    </row>
    <row r="535" ht="21.0" customHeight="1">
      <c r="A535" s="5">
        <v>20.0</v>
      </c>
      <c r="B535" s="6">
        <v>518.0</v>
      </c>
      <c r="C535" s="6">
        <v>1.0</v>
      </c>
      <c r="D535" s="116" t="s">
        <v>855</v>
      </c>
      <c r="E535" s="9" t="s">
        <v>615</v>
      </c>
      <c r="F535" s="109" t="str">
        <f t="shared" ref="F535:G535" si="534">TRANSLATE(D535,"lzh","vi")</f>
        <v>#NAME?</v>
      </c>
      <c r="G535" s="109" t="str">
        <f t="shared" si="534"/>
        <v>#NAME?</v>
      </c>
      <c r="X535" s="110"/>
    </row>
    <row r="536" ht="21.0" customHeight="1">
      <c r="A536" s="5">
        <v>20.0</v>
      </c>
      <c r="B536" s="6">
        <v>518.0</v>
      </c>
      <c r="C536" s="6">
        <v>1.0</v>
      </c>
      <c r="D536" s="116" t="s">
        <v>856</v>
      </c>
      <c r="E536" s="9" t="s">
        <v>615</v>
      </c>
      <c r="F536" s="109" t="str">
        <f t="shared" ref="F536:G536" si="535">TRANSLATE(D536,"lzh","vi")</f>
        <v>#NAME?</v>
      </c>
      <c r="G536" s="109" t="str">
        <f t="shared" si="535"/>
        <v>#NAME?</v>
      </c>
      <c r="X536" s="110"/>
    </row>
    <row r="537" ht="21.0" customHeight="1">
      <c r="A537" s="5">
        <v>20.0</v>
      </c>
      <c r="B537" s="6">
        <v>518.0</v>
      </c>
      <c r="C537" s="6">
        <v>1.0</v>
      </c>
      <c r="D537" s="116" t="s">
        <v>857</v>
      </c>
      <c r="E537" s="9" t="s">
        <v>615</v>
      </c>
      <c r="F537" s="109" t="str">
        <f t="shared" ref="F537:G537" si="536">TRANSLATE(D537,"lzh","vi")</f>
        <v>#NAME?</v>
      </c>
      <c r="G537" s="109" t="str">
        <f t="shared" si="536"/>
        <v>#NAME?</v>
      </c>
      <c r="X537" s="110"/>
    </row>
    <row r="538" ht="21.0" customHeight="1">
      <c r="A538" s="5">
        <v>20.0</v>
      </c>
      <c r="B538" s="6">
        <v>518.0</v>
      </c>
      <c r="C538" s="6">
        <v>1.0</v>
      </c>
      <c r="D538" s="116" t="s">
        <v>858</v>
      </c>
      <c r="E538" s="9" t="s">
        <v>615</v>
      </c>
      <c r="F538" s="109" t="str">
        <f t="shared" ref="F538:G538" si="537">TRANSLATE(D538,"lzh","vi")</f>
        <v>#NAME?</v>
      </c>
      <c r="G538" s="109" t="str">
        <f t="shared" si="537"/>
        <v>#NAME?</v>
      </c>
      <c r="X538" s="110"/>
    </row>
    <row r="539" ht="21.0" customHeight="1">
      <c r="A539" s="5">
        <v>17.0</v>
      </c>
      <c r="B539" s="6">
        <v>518.0</v>
      </c>
      <c r="C539" s="6">
        <v>1.0</v>
      </c>
      <c r="D539" s="116" t="s">
        <v>859</v>
      </c>
      <c r="E539" s="9" t="s">
        <v>615</v>
      </c>
      <c r="F539" s="109" t="str">
        <f t="shared" ref="F539:G539" si="538">TRANSLATE(D539,"lzh","vi")</f>
        <v>#NAME?</v>
      </c>
      <c r="G539" s="109" t="str">
        <f t="shared" si="538"/>
        <v>#NAME?</v>
      </c>
      <c r="X539" s="110"/>
    </row>
    <row r="540" ht="21.0" customHeight="1">
      <c r="A540" s="5">
        <v>17.0</v>
      </c>
      <c r="B540" s="6">
        <v>518.0</v>
      </c>
      <c r="C540" s="6">
        <v>1.0</v>
      </c>
      <c r="D540" s="116" t="s">
        <v>860</v>
      </c>
      <c r="E540" s="9" t="s">
        <v>615</v>
      </c>
      <c r="F540" s="109" t="str">
        <f t="shared" ref="F540:G540" si="539">TRANSLATE(D540,"lzh","vi")</f>
        <v>#NAME?</v>
      </c>
      <c r="G540" s="109" t="str">
        <f t="shared" si="539"/>
        <v>#NAME?</v>
      </c>
      <c r="X540" s="110"/>
    </row>
    <row r="541" ht="21.0" customHeight="1">
      <c r="A541" s="5">
        <v>17.0</v>
      </c>
      <c r="B541" s="6">
        <v>518.0</v>
      </c>
      <c r="C541" s="6">
        <v>1.0</v>
      </c>
      <c r="D541" s="116" t="s">
        <v>320</v>
      </c>
      <c r="E541" s="9" t="s">
        <v>615</v>
      </c>
      <c r="F541" s="109" t="str">
        <f t="shared" ref="F541:G541" si="540">TRANSLATE(D541,"lzh","vi")</f>
        <v>#NAME?</v>
      </c>
      <c r="G541" s="109" t="str">
        <f t="shared" si="540"/>
        <v>#NAME?</v>
      </c>
      <c r="X541" s="110"/>
    </row>
    <row r="542" ht="21.0" customHeight="1">
      <c r="A542" s="5">
        <v>17.0</v>
      </c>
      <c r="B542" s="6">
        <v>518.0</v>
      </c>
      <c r="C542" s="6">
        <v>1.0</v>
      </c>
      <c r="D542" s="116" t="s">
        <v>318</v>
      </c>
      <c r="E542" s="9" t="s">
        <v>615</v>
      </c>
      <c r="F542" s="109" t="str">
        <f t="shared" ref="F542:G542" si="541">TRANSLATE(D542,"lzh","vi")</f>
        <v>#NAME?</v>
      </c>
      <c r="G542" s="109" t="str">
        <f t="shared" si="541"/>
        <v>#NAME?</v>
      </c>
      <c r="X542" s="110"/>
    </row>
    <row r="543" ht="21.0" customHeight="1">
      <c r="A543" s="5">
        <v>20.0</v>
      </c>
      <c r="B543" s="6">
        <v>518.0</v>
      </c>
      <c r="C543" s="6">
        <v>1.0</v>
      </c>
      <c r="D543" s="116" t="s">
        <v>861</v>
      </c>
      <c r="E543" s="9" t="s">
        <v>615</v>
      </c>
      <c r="F543" s="109" t="str">
        <f t="shared" ref="F543:G543" si="542">TRANSLATE(D543,"lzh","vi")</f>
        <v>#NAME?</v>
      </c>
      <c r="G543" s="109" t="str">
        <f t="shared" si="542"/>
        <v>#NAME?</v>
      </c>
      <c r="X543" s="110"/>
    </row>
    <row r="544" ht="21.0" customHeight="1">
      <c r="A544" s="5">
        <v>20.0</v>
      </c>
      <c r="B544" s="6">
        <v>518.0</v>
      </c>
      <c r="C544" s="6">
        <v>1.0</v>
      </c>
      <c r="D544" s="116" t="s">
        <v>862</v>
      </c>
      <c r="E544" s="9" t="s">
        <v>615</v>
      </c>
      <c r="F544" s="109" t="str">
        <f t="shared" ref="F544:G544" si="543">TRANSLATE(D544,"lzh","vi")</f>
        <v>#NAME?</v>
      </c>
      <c r="G544" s="109" t="str">
        <f t="shared" si="543"/>
        <v>#NAME?</v>
      </c>
      <c r="X544" s="110"/>
    </row>
    <row r="545" ht="21.0" customHeight="1">
      <c r="A545" s="5">
        <v>20.0</v>
      </c>
      <c r="B545" s="6">
        <v>518.0</v>
      </c>
      <c r="C545" s="6">
        <v>1.0</v>
      </c>
      <c r="D545" s="116" t="s">
        <v>863</v>
      </c>
      <c r="E545" s="9" t="s">
        <v>615</v>
      </c>
      <c r="F545" s="109" t="str">
        <f t="shared" ref="F545:G545" si="544">TRANSLATE(D545,"lzh","vi")</f>
        <v>#NAME?</v>
      </c>
      <c r="G545" s="109" t="str">
        <f t="shared" si="544"/>
        <v>#NAME?</v>
      </c>
      <c r="X545" s="110"/>
    </row>
    <row r="546" ht="21.0" customHeight="1">
      <c r="A546" s="5">
        <v>20.0</v>
      </c>
      <c r="B546" s="6">
        <v>518.0</v>
      </c>
      <c r="C546" s="6">
        <v>1.0</v>
      </c>
      <c r="D546" s="116" t="s">
        <v>856</v>
      </c>
      <c r="E546" s="9" t="s">
        <v>615</v>
      </c>
      <c r="F546" s="109" t="str">
        <f t="shared" ref="F546:G546" si="545">TRANSLATE(D546,"lzh","vi")</f>
        <v>#NAME?</v>
      </c>
      <c r="G546" s="109" t="str">
        <f t="shared" si="545"/>
        <v>#NAME?</v>
      </c>
      <c r="X546" s="110"/>
    </row>
    <row r="547" ht="21.0" customHeight="1">
      <c r="A547" s="5">
        <v>20.0</v>
      </c>
      <c r="B547" s="6">
        <v>518.0</v>
      </c>
      <c r="C547" s="6">
        <v>1.0</v>
      </c>
      <c r="D547" s="116" t="s">
        <v>670</v>
      </c>
      <c r="E547" s="9" t="s">
        <v>864</v>
      </c>
      <c r="F547" s="109" t="str">
        <f t="shared" ref="F547:G547" si="546">TRANSLATE(D547,"lzh","vi")</f>
        <v>#NAME?</v>
      </c>
      <c r="G547" s="109" t="str">
        <f t="shared" si="546"/>
        <v>#NAME?</v>
      </c>
    </row>
    <row r="548" ht="21.0" customHeight="1">
      <c r="A548" s="5">
        <v>20.0</v>
      </c>
      <c r="B548" s="6">
        <v>518.0</v>
      </c>
      <c r="C548" s="6">
        <v>1.0</v>
      </c>
      <c r="D548" s="116" t="s">
        <v>670</v>
      </c>
      <c r="E548" s="9" t="s">
        <v>671</v>
      </c>
      <c r="F548" s="109" t="str">
        <f t="shared" ref="F548:G548" si="547">TRANSLATE(D548,"lzh","vi")</f>
        <v>#NAME?</v>
      </c>
      <c r="G548" s="109" t="str">
        <f t="shared" si="547"/>
        <v>#NAME?</v>
      </c>
    </row>
    <row r="549" ht="21.0" customHeight="1">
      <c r="A549" s="5">
        <v>20.0</v>
      </c>
      <c r="B549" s="6">
        <v>518.0</v>
      </c>
      <c r="C549" s="6">
        <v>1.0</v>
      </c>
      <c r="D549" s="116" t="s">
        <v>670</v>
      </c>
      <c r="E549" s="9" t="s">
        <v>865</v>
      </c>
      <c r="F549" s="109" t="str">
        <f t="shared" ref="F549:G549" si="548">TRANSLATE(D549,"lzh","vi")</f>
        <v>#NAME?</v>
      </c>
      <c r="G549" s="109" t="str">
        <f t="shared" si="548"/>
        <v>#NAME?</v>
      </c>
    </row>
    <row r="550" ht="21.0" customHeight="1">
      <c r="A550" s="5">
        <v>20.0</v>
      </c>
      <c r="B550" s="6">
        <v>518.0</v>
      </c>
      <c r="C550" s="6">
        <v>1.0</v>
      </c>
      <c r="D550" s="116" t="s">
        <v>670</v>
      </c>
      <c r="E550" s="9" t="s">
        <v>866</v>
      </c>
      <c r="F550" s="109" t="str">
        <f t="shared" ref="F550:G550" si="549">TRANSLATE(D550,"lzh","vi")</f>
        <v>#NAME?</v>
      </c>
      <c r="G550" s="109" t="str">
        <f t="shared" si="549"/>
        <v>#NAME?</v>
      </c>
    </row>
    <row r="551" ht="21.0" customHeight="1">
      <c r="A551" s="5">
        <v>20.0</v>
      </c>
      <c r="B551" s="6">
        <v>518.0</v>
      </c>
      <c r="C551" s="6">
        <v>1.0</v>
      </c>
      <c r="D551" s="116" t="s">
        <v>670</v>
      </c>
      <c r="E551" s="9" t="s">
        <v>864</v>
      </c>
      <c r="F551" s="109" t="str">
        <f t="shared" ref="F551:G551" si="550">TRANSLATE(D551,"lzh","vi")</f>
        <v>#NAME?</v>
      </c>
      <c r="G551" s="109" t="str">
        <f t="shared" si="550"/>
        <v>#NAME?</v>
      </c>
    </row>
    <row r="552" ht="21.0" customHeight="1">
      <c r="A552" s="5">
        <v>20.0</v>
      </c>
      <c r="B552" s="6">
        <v>518.0</v>
      </c>
      <c r="C552" s="6">
        <v>1.0</v>
      </c>
      <c r="D552" s="116" t="s">
        <v>867</v>
      </c>
      <c r="E552" s="9" t="s">
        <v>615</v>
      </c>
      <c r="F552" s="109" t="str">
        <f t="shared" ref="F552:G552" si="551">TRANSLATE(D552,"lzh","vi")</f>
        <v>#NAME?</v>
      </c>
      <c r="G552" s="109" t="str">
        <f t="shared" si="551"/>
        <v>#NAME?</v>
      </c>
    </row>
    <row r="553" ht="21.0" customHeight="1">
      <c r="A553" s="5">
        <v>20.0</v>
      </c>
      <c r="B553" s="6">
        <v>518.0</v>
      </c>
      <c r="C553" s="6">
        <v>1.0</v>
      </c>
      <c r="D553" s="116" t="s">
        <v>868</v>
      </c>
      <c r="E553" s="9" t="s">
        <v>671</v>
      </c>
      <c r="F553" s="109" t="str">
        <f t="shared" ref="F553:G553" si="552">TRANSLATE(D553,"lzh","vi")</f>
        <v>#NAME?</v>
      </c>
      <c r="G553" s="109" t="str">
        <f t="shared" si="552"/>
        <v>#NAME?</v>
      </c>
    </row>
    <row r="554" ht="21.0" customHeight="1">
      <c r="A554" s="5">
        <v>20.0</v>
      </c>
      <c r="B554" s="6">
        <v>518.0</v>
      </c>
      <c r="C554" s="6">
        <v>1.0</v>
      </c>
      <c r="D554" s="116" t="s">
        <v>869</v>
      </c>
      <c r="E554" s="9" t="s">
        <v>870</v>
      </c>
      <c r="F554" s="109" t="str">
        <f t="shared" ref="F554:G554" si="553">TRANSLATE(D554,"lzh","vi")</f>
        <v>#NAME?</v>
      </c>
      <c r="G554" s="109" t="str">
        <f t="shared" si="553"/>
        <v>#NAME?</v>
      </c>
    </row>
    <row r="555" ht="21.0" customHeight="1">
      <c r="A555" s="30">
        <v>14.0</v>
      </c>
      <c r="B555" s="31">
        <v>518.0</v>
      </c>
      <c r="C555" s="31">
        <v>1.0</v>
      </c>
      <c r="D555" s="125" t="s">
        <v>871</v>
      </c>
      <c r="E555" s="33" t="s">
        <v>641</v>
      </c>
      <c r="F555" s="109" t="str">
        <f t="shared" ref="F555:G555" si="554">TRANSLATE(D555,"lzh","vi")</f>
        <v>#NAME?</v>
      </c>
      <c r="G555" s="109" t="str">
        <f t="shared" si="554"/>
        <v>#NAME?</v>
      </c>
      <c r="X555" s="124"/>
    </row>
    <row r="556" ht="21.0" customHeight="1">
      <c r="A556" s="30">
        <v>14.0</v>
      </c>
      <c r="B556" s="31">
        <v>518.0</v>
      </c>
      <c r="C556" s="31">
        <v>1.0</v>
      </c>
      <c r="D556" s="125" t="s">
        <v>871</v>
      </c>
      <c r="E556" s="33" t="s">
        <v>641</v>
      </c>
      <c r="F556" s="109" t="str">
        <f t="shared" ref="F556:G556" si="555">TRANSLATE(D556,"lzh","vi")</f>
        <v>#NAME?</v>
      </c>
      <c r="G556" s="109" t="str">
        <f t="shared" si="555"/>
        <v>#NAME?</v>
      </c>
      <c r="X556" s="124"/>
    </row>
    <row r="557" ht="21.0" customHeight="1">
      <c r="A557" s="30">
        <v>14.0</v>
      </c>
      <c r="B557" s="31">
        <v>518.0</v>
      </c>
      <c r="C557" s="31">
        <v>1.0</v>
      </c>
      <c r="D557" s="125" t="s">
        <v>871</v>
      </c>
      <c r="E557" s="33" t="s">
        <v>641</v>
      </c>
      <c r="F557" s="109" t="str">
        <f t="shared" ref="F557:G557" si="556">TRANSLATE(D557,"lzh","vi")</f>
        <v>#NAME?</v>
      </c>
      <c r="G557" s="109" t="str">
        <f t="shared" si="556"/>
        <v>#NAME?</v>
      </c>
      <c r="X557" s="124"/>
    </row>
    <row r="558" ht="21.0" customHeight="1">
      <c r="A558" s="5">
        <v>20.0</v>
      </c>
      <c r="B558" s="6">
        <v>1.0</v>
      </c>
      <c r="C558" s="6">
        <v>1.0</v>
      </c>
      <c r="D558" s="116" t="s">
        <v>867</v>
      </c>
      <c r="E558" s="9" t="s">
        <v>615</v>
      </c>
      <c r="F558" s="109" t="str">
        <f t="shared" ref="F558:G558" si="557">TRANSLATE(D558,"lzh","vi")</f>
        <v>#NAME?</v>
      </c>
      <c r="G558" s="109" t="str">
        <f t="shared" si="557"/>
        <v>#NAME?</v>
      </c>
    </row>
    <row r="559" ht="21.0" customHeight="1">
      <c r="A559" s="5">
        <v>20.0</v>
      </c>
      <c r="B559" s="6">
        <v>1.0</v>
      </c>
      <c r="C559" s="6">
        <v>1.0</v>
      </c>
      <c r="D559" s="116" t="s">
        <v>867</v>
      </c>
      <c r="E559" s="9" t="s">
        <v>615</v>
      </c>
      <c r="F559" s="109" t="str">
        <f t="shared" ref="F559:G559" si="558">TRANSLATE(D559,"lzh","vi")</f>
        <v>#NAME?</v>
      </c>
      <c r="G559" s="109" t="str">
        <f t="shared" si="558"/>
        <v>#NAME?</v>
      </c>
    </row>
    <row r="560" ht="21.0" customHeight="1">
      <c r="A560" s="5">
        <v>5.0</v>
      </c>
      <c r="B560" s="6">
        <v>519.0</v>
      </c>
      <c r="C560" s="6">
        <v>1.0</v>
      </c>
      <c r="D560" s="116" t="s">
        <v>872</v>
      </c>
      <c r="E560" s="9" t="s">
        <v>873</v>
      </c>
      <c r="F560" s="109" t="str">
        <f t="shared" ref="F560:G560" si="559">TRANSLATE(D560,"lzh","vi")</f>
        <v>#NAME?</v>
      </c>
      <c r="G560" s="109" t="str">
        <f t="shared" si="559"/>
        <v>#NAME?</v>
      </c>
      <c r="X560" s="110"/>
    </row>
    <row r="561" ht="21.0" customHeight="1">
      <c r="A561" s="5">
        <v>5.0</v>
      </c>
      <c r="B561" s="6">
        <v>519.0</v>
      </c>
      <c r="C561" s="6">
        <v>1.0</v>
      </c>
      <c r="D561" s="116" t="s">
        <v>874</v>
      </c>
      <c r="E561" s="9" t="s">
        <v>873</v>
      </c>
      <c r="F561" s="109" t="str">
        <f t="shared" ref="F561:G561" si="560">TRANSLATE(D561,"lzh","vi")</f>
        <v>#NAME?</v>
      </c>
      <c r="G561" s="109" t="str">
        <f t="shared" si="560"/>
        <v>#NAME?</v>
      </c>
      <c r="X561" s="110"/>
    </row>
    <row r="562" ht="21.0" customHeight="1">
      <c r="A562" s="5">
        <v>5.0</v>
      </c>
      <c r="B562" s="6">
        <v>519.0</v>
      </c>
      <c r="C562" s="6">
        <v>1.0</v>
      </c>
      <c r="D562" s="116" t="s">
        <v>875</v>
      </c>
      <c r="E562" s="9" t="s">
        <v>873</v>
      </c>
      <c r="F562" s="109" t="str">
        <f t="shared" ref="F562:G562" si="561">TRANSLATE(D562,"lzh","vi")</f>
        <v>#NAME?</v>
      </c>
      <c r="G562" s="109" t="str">
        <f t="shared" si="561"/>
        <v>#NAME?</v>
      </c>
      <c r="X562" s="110"/>
    </row>
    <row r="563" ht="21.0" customHeight="1">
      <c r="A563" s="5">
        <v>5.0</v>
      </c>
      <c r="B563" s="6">
        <v>519.0</v>
      </c>
      <c r="C563" s="6">
        <v>1.0</v>
      </c>
      <c r="D563" s="116" t="s">
        <v>876</v>
      </c>
      <c r="E563" s="9" t="s">
        <v>873</v>
      </c>
      <c r="F563" s="109" t="str">
        <f t="shared" ref="F563:G563" si="562">TRANSLATE(D563,"lzh","vi")</f>
        <v>#NAME?</v>
      </c>
      <c r="G563" s="109" t="str">
        <f t="shared" si="562"/>
        <v>#NAME?</v>
      </c>
      <c r="X563" s="110"/>
    </row>
    <row r="564" ht="21.0" customHeight="1">
      <c r="A564" s="5">
        <v>5.0</v>
      </c>
      <c r="B564" s="6">
        <v>519.0</v>
      </c>
      <c r="C564" s="6">
        <v>1.0</v>
      </c>
      <c r="D564" s="116" t="s">
        <v>877</v>
      </c>
      <c r="E564" s="9" t="s">
        <v>873</v>
      </c>
      <c r="F564" s="109" t="str">
        <f t="shared" ref="F564:G564" si="563">TRANSLATE(D564,"lzh","vi")</f>
        <v>#NAME?</v>
      </c>
      <c r="G564" s="109" t="str">
        <f t="shared" si="563"/>
        <v>#NAME?</v>
      </c>
      <c r="X564" s="110"/>
    </row>
    <row r="565" ht="21.0" customHeight="1">
      <c r="A565" s="5">
        <v>5.0</v>
      </c>
      <c r="B565" s="6">
        <v>519.0</v>
      </c>
      <c r="C565" s="6">
        <v>1.0</v>
      </c>
      <c r="D565" s="116" t="s">
        <v>878</v>
      </c>
      <c r="E565" s="9" t="s">
        <v>873</v>
      </c>
      <c r="F565" s="109" t="str">
        <f t="shared" ref="F565:G565" si="564">TRANSLATE(D565,"lzh","vi")</f>
        <v>#NAME?</v>
      </c>
      <c r="G565" s="109" t="str">
        <f t="shared" si="564"/>
        <v>#NAME?</v>
      </c>
      <c r="X565" s="110"/>
    </row>
    <row r="566" ht="21.0" customHeight="1">
      <c r="A566" s="5">
        <v>5.0</v>
      </c>
      <c r="B566" s="6">
        <v>519.0</v>
      </c>
      <c r="C566" s="6">
        <v>1.0</v>
      </c>
      <c r="D566" s="116" t="s">
        <v>879</v>
      </c>
      <c r="E566" s="9" t="s">
        <v>873</v>
      </c>
      <c r="F566" s="109" t="str">
        <f t="shared" ref="F566:G566" si="565">TRANSLATE(D566,"lzh","vi")</f>
        <v>#NAME?</v>
      </c>
      <c r="G566" s="109" t="str">
        <f t="shared" si="565"/>
        <v>#NAME?</v>
      </c>
      <c r="X566" s="110"/>
    </row>
    <row r="567" ht="21.0" customHeight="1">
      <c r="A567" s="5">
        <v>5.0</v>
      </c>
      <c r="B567" s="6">
        <v>519.0</v>
      </c>
      <c r="C567" s="6">
        <v>1.0</v>
      </c>
      <c r="D567" s="116" t="s">
        <v>880</v>
      </c>
      <c r="E567" s="9" t="s">
        <v>873</v>
      </c>
      <c r="F567" s="109" t="str">
        <f t="shared" ref="F567:G567" si="566">TRANSLATE(D567,"lzh","vi")</f>
        <v>#NAME?</v>
      </c>
      <c r="G567" s="109" t="str">
        <f t="shared" si="566"/>
        <v>#NAME?</v>
      </c>
      <c r="X567" s="110"/>
    </row>
    <row r="568" ht="21.0" customHeight="1">
      <c r="A568" s="5">
        <v>5.0</v>
      </c>
      <c r="B568" s="6">
        <v>520.0</v>
      </c>
      <c r="C568" s="6">
        <v>1.0</v>
      </c>
      <c r="D568" s="116" t="s">
        <v>872</v>
      </c>
      <c r="E568" s="9" t="s">
        <v>873</v>
      </c>
      <c r="F568" s="109" t="str">
        <f t="shared" ref="F568:G568" si="567">TRANSLATE(D568,"lzh","vi")</f>
        <v>#NAME?</v>
      </c>
      <c r="G568" s="109" t="str">
        <f t="shared" si="567"/>
        <v>#NAME?</v>
      </c>
      <c r="X568" s="110"/>
    </row>
    <row r="569" ht="21.0" customHeight="1">
      <c r="A569" s="5">
        <v>5.0</v>
      </c>
      <c r="B569" s="6">
        <v>520.0</v>
      </c>
      <c r="C569" s="6">
        <v>1.0</v>
      </c>
      <c r="D569" s="116" t="s">
        <v>874</v>
      </c>
      <c r="E569" s="9" t="s">
        <v>873</v>
      </c>
      <c r="F569" s="109" t="str">
        <f t="shared" ref="F569:G569" si="568">TRANSLATE(D569,"lzh","vi")</f>
        <v>#NAME?</v>
      </c>
      <c r="G569" s="109" t="str">
        <f t="shared" si="568"/>
        <v>#NAME?</v>
      </c>
      <c r="X569" s="110"/>
    </row>
    <row r="570" ht="21.0" customHeight="1">
      <c r="A570" s="5">
        <v>5.0</v>
      </c>
      <c r="B570" s="6">
        <v>520.0</v>
      </c>
      <c r="C570" s="6">
        <v>1.0</v>
      </c>
      <c r="D570" s="116" t="s">
        <v>875</v>
      </c>
      <c r="E570" s="9" t="s">
        <v>873</v>
      </c>
      <c r="F570" s="109" t="str">
        <f t="shared" ref="F570:G570" si="569">TRANSLATE(D570,"lzh","vi")</f>
        <v>#NAME?</v>
      </c>
      <c r="G570" s="109" t="str">
        <f t="shared" si="569"/>
        <v>#NAME?</v>
      </c>
      <c r="X570" s="110"/>
    </row>
    <row r="571" ht="21.0" customHeight="1">
      <c r="A571" s="5">
        <v>5.0</v>
      </c>
      <c r="B571" s="6">
        <v>520.0</v>
      </c>
      <c r="C571" s="6">
        <v>1.0</v>
      </c>
      <c r="D571" s="116" t="s">
        <v>876</v>
      </c>
      <c r="E571" s="9" t="s">
        <v>873</v>
      </c>
      <c r="F571" s="109" t="str">
        <f t="shared" ref="F571:G571" si="570">TRANSLATE(D571,"lzh","vi")</f>
        <v>#NAME?</v>
      </c>
      <c r="G571" s="109" t="str">
        <f t="shared" si="570"/>
        <v>#NAME?</v>
      </c>
      <c r="X571" s="110"/>
    </row>
    <row r="572" ht="21.0" customHeight="1">
      <c r="A572" s="5">
        <v>5.0</v>
      </c>
      <c r="B572" s="6">
        <v>520.0</v>
      </c>
      <c r="C572" s="6">
        <v>1.0</v>
      </c>
      <c r="D572" s="116" t="s">
        <v>877</v>
      </c>
      <c r="E572" s="9" t="s">
        <v>873</v>
      </c>
      <c r="F572" s="109" t="str">
        <f t="shared" ref="F572:G572" si="571">TRANSLATE(D572,"lzh","vi")</f>
        <v>#NAME?</v>
      </c>
      <c r="G572" s="109" t="str">
        <f t="shared" si="571"/>
        <v>#NAME?</v>
      </c>
      <c r="X572" s="110"/>
    </row>
    <row r="573" ht="21.0" customHeight="1">
      <c r="A573" s="5">
        <v>5.0</v>
      </c>
      <c r="B573" s="6">
        <v>520.0</v>
      </c>
      <c r="C573" s="6">
        <v>1.0</v>
      </c>
      <c r="D573" s="116" t="s">
        <v>878</v>
      </c>
      <c r="E573" s="9" t="s">
        <v>873</v>
      </c>
      <c r="F573" s="109" t="str">
        <f t="shared" ref="F573:G573" si="572">TRANSLATE(D573,"lzh","vi")</f>
        <v>#NAME?</v>
      </c>
      <c r="G573" s="109" t="str">
        <f t="shared" si="572"/>
        <v>#NAME?</v>
      </c>
      <c r="X573" s="110"/>
    </row>
    <row r="574" ht="21.0" customHeight="1">
      <c r="A574" s="5">
        <v>5.0</v>
      </c>
      <c r="B574" s="6">
        <v>520.0</v>
      </c>
      <c r="C574" s="6">
        <v>1.0</v>
      </c>
      <c r="D574" s="116" t="s">
        <v>879</v>
      </c>
      <c r="E574" s="9" t="s">
        <v>873</v>
      </c>
      <c r="F574" s="109" t="str">
        <f t="shared" ref="F574:G574" si="573">TRANSLATE(D574,"lzh","vi")</f>
        <v>#NAME?</v>
      </c>
      <c r="G574" s="109" t="str">
        <f t="shared" si="573"/>
        <v>#NAME?</v>
      </c>
      <c r="X574" s="110"/>
    </row>
    <row r="575" ht="21.0" customHeight="1">
      <c r="A575" s="5">
        <v>5.0</v>
      </c>
      <c r="B575" s="6">
        <v>520.0</v>
      </c>
      <c r="C575" s="6">
        <v>1.0</v>
      </c>
      <c r="D575" s="116" t="s">
        <v>880</v>
      </c>
      <c r="E575" s="9" t="s">
        <v>873</v>
      </c>
      <c r="F575" s="109" t="str">
        <f t="shared" ref="F575:G575" si="574">TRANSLATE(D575,"lzh","vi")</f>
        <v>#NAME?</v>
      </c>
      <c r="G575" s="109" t="str">
        <f t="shared" si="574"/>
        <v>#NAME?</v>
      </c>
      <c r="X575" s="110"/>
    </row>
    <row r="576" ht="21.0" customHeight="1">
      <c r="A576" s="5">
        <v>5.0</v>
      </c>
      <c r="B576" s="6">
        <v>521.0</v>
      </c>
      <c r="C576" s="6">
        <v>1.0</v>
      </c>
      <c r="D576" s="116" t="s">
        <v>872</v>
      </c>
      <c r="E576" s="9" t="s">
        <v>873</v>
      </c>
      <c r="F576" s="109" t="str">
        <f t="shared" ref="F576:G576" si="575">TRANSLATE(D576,"lzh","vi")</f>
        <v>#NAME?</v>
      </c>
      <c r="G576" s="109" t="str">
        <f t="shared" si="575"/>
        <v>#NAME?</v>
      </c>
      <c r="X576" s="110"/>
    </row>
    <row r="577" ht="21.0" customHeight="1">
      <c r="A577" s="5">
        <v>5.0</v>
      </c>
      <c r="B577" s="6">
        <v>521.0</v>
      </c>
      <c r="C577" s="6">
        <v>1.0</v>
      </c>
      <c r="D577" s="116" t="s">
        <v>874</v>
      </c>
      <c r="E577" s="9" t="s">
        <v>873</v>
      </c>
      <c r="F577" s="109" t="str">
        <f t="shared" ref="F577:G577" si="576">TRANSLATE(D577,"lzh","vi")</f>
        <v>#NAME?</v>
      </c>
      <c r="G577" s="109" t="str">
        <f t="shared" si="576"/>
        <v>#NAME?</v>
      </c>
      <c r="X577" s="110"/>
    </row>
    <row r="578" ht="21.0" customHeight="1">
      <c r="A578" s="5">
        <v>5.0</v>
      </c>
      <c r="B578" s="6">
        <v>521.0</v>
      </c>
      <c r="C578" s="6">
        <v>1.0</v>
      </c>
      <c r="D578" s="116" t="s">
        <v>875</v>
      </c>
      <c r="E578" s="9" t="s">
        <v>873</v>
      </c>
      <c r="F578" s="109" t="str">
        <f t="shared" ref="F578:G578" si="577">TRANSLATE(D578,"lzh","vi")</f>
        <v>#NAME?</v>
      </c>
      <c r="G578" s="109" t="str">
        <f t="shared" si="577"/>
        <v>#NAME?</v>
      </c>
      <c r="X578" s="110"/>
    </row>
    <row r="579" ht="21.0" customHeight="1">
      <c r="A579" s="5">
        <v>5.0</v>
      </c>
      <c r="B579" s="6">
        <v>521.0</v>
      </c>
      <c r="C579" s="6">
        <v>1.0</v>
      </c>
      <c r="D579" s="116" t="s">
        <v>876</v>
      </c>
      <c r="E579" s="9" t="s">
        <v>873</v>
      </c>
      <c r="F579" s="109" t="str">
        <f t="shared" ref="F579:G579" si="578">TRANSLATE(D579,"lzh","vi")</f>
        <v>#NAME?</v>
      </c>
      <c r="G579" s="109" t="str">
        <f t="shared" si="578"/>
        <v>#NAME?</v>
      </c>
      <c r="X579" s="110"/>
    </row>
    <row r="580" ht="21.0" customHeight="1">
      <c r="A580" s="5">
        <v>5.0</v>
      </c>
      <c r="B580" s="6">
        <v>521.0</v>
      </c>
      <c r="C580" s="6">
        <v>1.0</v>
      </c>
      <c r="D580" s="116" t="s">
        <v>877</v>
      </c>
      <c r="E580" s="9" t="s">
        <v>873</v>
      </c>
      <c r="F580" s="109" t="str">
        <f t="shared" ref="F580:G580" si="579">TRANSLATE(D580,"lzh","vi")</f>
        <v>#NAME?</v>
      </c>
      <c r="G580" s="109" t="str">
        <f t="shared" si="579"/>
        <v>#NAME?</v>
      </c>
      <c r="X580" s="110"/>
    </row>
    <row r="581" ht="21.0" customHeight="1">
      <c r="A581" s="5">
        <v>5.0</v>
      </c>
      <c r="B581" s="6">
        <v>521.0</v>
      </c>
      <c r="C581" s="6">
        <v>1.0</v>
      </c>
      <c r="D581" s="116" t="s">
        <v>878</v>
      </c>
      <c r="E581" s="9" t="s">
        <v>873</v>
      </c>
      <c r="F581" s="109" t="str">
        <f t="shared" ref="F581:G581" si="580">TRANSLATE(D581,"lzh","vi")</f>
        <v>#NAME?</v>
      </c>
      <c r="G581" s="109" t="str">
        <f t="shared" si="580"/>
        <v>#NAME?</v>
      </c>
      <c r="X581" s="110"/>
    </row>
    <row r="582" ht="21.0" customHeight="1">
      <c r="A582" s="5">
        <v>5.0</v>
      </c>
      <c r="B582" s="6">
        <v>521.0</v>
      </c>
      <c r="C582" s="6">
        <v>1.0</v>
      </c>
      <c r="D582" s="116" t="s">
        <v>879</v>
      </c>
      <c r="E582" s="9" t="s">
        <v>873</v>
      </c>
      <c r="F582" s="109" t="str">
        <f t="shared" ref="F582:G582" si="581">TRANSLATE(D582,"lzh","vi")</f>
        <v>#NAME?</v>
      </c>
      <c r="G582" s="109" t="str">
        <f t="shared" si="581"/>
        <v>#NAME?</v>
      </c>
      <c r="X582" s="110"/>
    </row>
    <row r="583" ht="21.0" customHeight="1">
      <c r="A583" s="5">
        <v>5.0</v>
      </c>
      <c r="B583" s="6">
        <v>521.0</v>
      </c>
      <c r="C583" s="6">
        <v>1.0</v>
      </c>
      <c r="D583" s="116" t="s">
        <v>880</v>
      </c>
      <c r="E583" s="9" t="s">
        <v>873</v>
      </c>
      <c r="F583" s="109" t="str">
        <f t="shared" ref="F583:G583" si="582">TRANSLATE(D583,"lzh","vi")</f>
        <v>#NAME?</v>
      </c>
      <c r="G583" s="109" t="str">
        <f t="shared" si="582"/>
        <v>#NAME?</v>
      </c>
      <c r="X583" s="110"/>
    </row>
    <row r="584" ht="21.0" customHeight="1">
      <c r="A584" s="5">
        <v>5.0</v>
      </c>
      <c r="B584" s="6">
        <v>522.0</v>
      </c>
      <c r="C584" s="6">
        <v>1.0</v>
      </c>
      <c r="D584" s="116" t="s">
        <v>872</v>
      </c>
      <c r="E584" s="9" t="s">
        <v>873</v>
      </c>
      <c r="F584" s="109" t="str">
        <f t="shared" ref="F584:G584" si="583">TRANSLATE(D584,"lzh","vi")</f>
        <v>#NAME?</v>
      </c>
      <c r="G584" s="109" t="str">
        <f t="shared" si="583"/>
        <v>#NAME?</v>
      </c>
      <c r="X584" s="110"/>
    </row>
    <row r="585" ht="21.0" customHeight="1">
      <c r="A585" s="5">
        <v>5.0</v>
      </c>
      <c r="B585" s="6">
        <v>522.0</v>
      </c>
      <c r="C585" s="6">
        <v>1.0</v>
      </c>
      <c r="D585" s="116" t="s">
        <v>874</v>
      </c>
      <c r="E585" s="9" t="s">
        <v>873</v>
      </c>
      <c r="F585" s="109" t="str">
        <f t="shared" ref="F585:G585" si="584">TRANSLATE(D585,"lzh","vi")</f>
        <v>#NAME?</v>
      </c>
      <c r="G585" s="109" t="str">
        <f t="shared" si="584"/>
        <v>#NAME?</v>
      </c>
      <c r="X585" s="110"/>
    </row>
    <row r="586" ht="21.0" customHeight="1">
      <c r="A586" s="5">
        <v>5.0</v>
      </c>
      <c r="B586" s="6">
        <v>522.0</v>
      </c>
      <c r="C586" s="6">
        <v>1.0</v>
      </c>
      <c r="D586" s="116" t="s">
        <v>875</v>
      </c>
      <c r="E586" s="9" t="s">
        <v>873</v>
      </c>
      <c r="F586" s="109" t="str">
        <f t="shared" ref="F586:G586" si="585">TRANSLATE(D586,"lzh","vi")</f>
        <v>#NAME?</v>
      </c>
      <c r="G586" s="109" t="str">
        <f t="shared" si="585"/>
        <v>#NAME?</v>
      </c>
      <c r="X586" s="110"/>
    </row>
    <row r="587" ht="21.0" customHeight="1">
      <c r="A587" s="5">
        <v>5.0</v>
      </c>
      <c r="B587" s="6">
        <v>522.0</v>
      </c>
      <c r="C587" s="6">
        <v>1.0</v>
      </c>
      <c r="D587" s="116" t="s">
        <v>876</v>
      </c>
      <c r="E587" s="9" t="s">
        <v>873</v>
      </c>
      <c r="F587" s="109" t="str">
        <f t="shared" ref="F587:G587" si="586">TRANSLATE(D587,"lzh","vi")</f>
        <v>#NAME?</v>
      </c>
      <c r="G587" s="109" t="str">
        <f t="shared" si="586"/>
        <v>#NAME?</v>
      </c>
      <c r="X587" s="110"/>
    </row>
    <row r="588" ht="21.0" customHeight="1">
      <c r="A588" s="5">
        <v>5.0</v>
      </c>
      <c r="B588" s="6">
        <v>522.0</v>
      </c>
      <c r="C588" s="6">
        <v>1.0</v>
      </c>
      <c r="D588" s="116" t="s">
        <v>877</v>
      </c>
      <c r="E588" s="9" t="s">
        <v>873</v>
      </c>
      <c r="F588" s="109" t="str">
        <f t="shared" ref="F588:G588" si="587">TRANSLATE(D588,"lzh","vi")</f>
        <v>#NAME?</v>
      </c>
      <c r="G588" s="109" t="str">
        <f t="shared" si="587"/>
        <v>#NAME?</v>
      </c>
      <c r="X588" s="110"/>
    </row>
    <row r="589" ht="21.0" customHeight="1">
      <c r="A589" s="5">
        <v>5.0</v>
      </c>
      <c r="B589" s="6">
        <v>522.0</v>
      </c>
      <c r="C589" s="6">
        <v>1.0</v>
      </c>
      <c r="D589" s="116" t="s">
        <v>878</v>
      </c>
      <c r="E589" s="9" t="s">
        <v>873</v>
      </c>
      <c r="F589" s="109" t="str">
        <f t="shared" ref="F589:G589" si="588">TRANSLATE(D589,"lzh","vi")</f>
        <v>#NAME?</v>
      </c>
      <c r="G589" s="109" t="str">
        <f t="shared" si="588"/>
        <v>#NAME?</v>
      </c>
      <c r="X589" s="110"/>
    </row>
    <row r="590" ht="21.0" customHeight="1">
      <c r="A590" s="5">
        <v>5.0</v>
      </c>
      <c r="B590" s="6">
        <v>522.0</v>
      </c>
      <c r="C590" s="6">
        <v>1.0</v>
      </c>
      <c r="D590" s="116" t="s">
        <v>879</v>
      </c>
      <c r="E590" s="9" t="s">
        <v>873</v>
      </c>
      <c r="F590" s="109" t="str">
        <f t="shared" ref="F590:G590" si="589">TRANSLATE(D590,"lzh","vi")</f>
        <v>#NAME?</v>
      </c>
      <c r="G590" s="109" t="str">
        <f t="shared" si="589"/>
        <v>#NAME?</v>
      </c>
      <c r="X590" s="110"/>
    </row>
    <row r="591" ht="21.0" customHeight="1">
      <c r="A591" s="5">
        <v>5.0</v>
      </c>
      <c r="B591" s="6">
        <v>522.0</v>
      </c>
      <c r="C591" s="6">
        <v>1.0</v>
      </c>
      <c r="D591" s="116" t="s">
        <v>880</v>
      </c>
      <c r="E591" s="9" t="s">
        <v>873</v>
      </c>
      <c r="F591" s="109" t="str">
        <f t="shared" ref="F591:G591" si="590">TRANSLATE(D591,"lzh","vi")</f>
        <v>#NAME?</v>
      </c>
      <c r="G591" s="109" t="str">
        <f t="shared" si="590"/>
        <v>#NAME?</v>
      </c>
      <c r="X591" s="110"/>
    </row>
    <row r="592" ht="21.0" customHeight="1">
      <c r="A592" s="5">
        <v>5.0</v>
      </c>
      <c r="B592" s="6">
        <v>523.0</v>
      </c>
      <c r="C592" s="6">
        <v>1.0</v>
      </c>
      <c r="D592" s="116" t="s">
        <v>872</v>
      </c>
      <c r="E592" s="9" t="s">
        <v>873</v>
      </c>
      <c r="F592" s="109" t="str">
        <f t="shared" ref="F592:G592" si="591">TRANSLATE(D592,"lzh","vi")</f>
        <v>#NAME?</v>
      </c>
      <c r="G592" s="109" t="str">
        <f t="shared" si="591"/>
        <v>#NAME?</v>
      </c>
      <c r="X592" s="110"/>
    </row>
    <row r="593" ht="21.0" customHeight="1">
      <c r="A593" s="5">
        <v>5.0</v>
      </c>
      <c r="B593" s="6">
        <v>523.0</v>
      </c>
      <c r="C593" s="6">
        <v>1.0</v>
      </c>
      <c r="D593" s="116" t="s">
        <v>874</v>
      </c>
      <c r="E593" s="9" t="s">
        <v>873</v>
      </c>
      <c r="F593" s="109" t="str">
        <f t="shared" ref="F593:G593" si="592">TRANSLATE(D593,"lzh","vi")</f>
        <v>#NAME?</v>
      </c>
      <c r="G593" s="109" t="str">
        <f t="shared" si="592"/>
        <v>#NAME?</v>
      </c>
      <c r="X593" s="110"/>
    </row>
    <row r="594" ht="21.0" customHeight="1">
      <c r="A594" s="5">
        <v>5.0</v>
      </c>
      <c r="B594" s="6">
        <v>523.0</v>
      </c>
      <c r="C594" s="6">
        <v>1.0</v>
      </c>
      <c r="D594" s="116" t="s">
        <v>875</v>
      </c>
      <c r="E594" s="9" t="s">
        <v>873</v>
      </c>
      <c r="F594" s="109" t="str">
        <f t="shared" ref="F594:G594" si="593">TRANSLATE(D594,"lzh","vi")</f>
        <v>#NAME?</v>
      </c>
      <c r="G594" s="109" t="str">
        <f t="shared" si="593"/>
        <v>#NAME?</v>
      </c>
      <c r="X594" s="110"/>
    </row>
    <row r="595" ht="21.0" customHeight="1">
      <c r="A595" s="5">
        <v>5.0</v>
      </c>
      <c r="B595" s="6">
        <v>523.0</v>
      </c>
      <c r="C595" s="6">
        <v>1.0</v>
      </c>
      <c r="D595" s="116" t="s">
        <v>876</v>
      </c>
      <c r="E595" s="9" t="s">
        <v>873</v>
      </c>
      <c r="F595" s="109" t="str">
        <f t="shared" ref="F595:G595" si="594">TRANSLATE(D595,"lzh","vi")</f>
        <v>#NAME?</v>
      </c>
      <c r="G595" s="109" t="str">
        <f t="shared" si="594"/>
        <v>#NAME?</v>
      </c>
      <c r="X595" s="110"/>
    </row>
    <row r="596" ht="21.0" customHeight="1">
      <c r="A596" s="5">
        <v>5.0</v>
      </c>
      <c r="B596" s="6">
        <v>523.0</v>
      </c>
      <c r="C596" s="6">
        <v>1.0</v>
      </c>
      <c r="D596" s="116" t="s">
        <v>877</v>
      </c>
      <c r="E596" s="9" t="s">
        <v>873</v>
      </c>
      <c r="F596" s="109" t="str">
        <f t="shared" ref="F596:G596" si="595">TRANSLATE(D596,"lzh","vi")</f>
        <v>#NAME?</v>
      </c>
      <c r="G596" s="109" t="str">
        <f t="shared" si="595"/>
        <v>#NAME?</v>
      </c>
      <c r="X596" s="110"/>
    </row>
    <row r="597" ht="21.0" customHeight="1">
      <c r="A597" s="5">
        <v>5.0</v>
      </c>
      <c r="B597" s="6">
        <v>523.0</v>
      </c>
      <c r="C597" s="6">
        <v>1.0</v>
      </c>
      <c r="D597" s="116" t="s">
        <v>878</v>
      </c>
      <c r="E597" s="9" t="s">
        <v>873</v>
      </c>
      <c r="F597" s="109" t="str">
        <f t="shared" ref="F597:G597" si="596">TRANSLATE(D597,"lzh","vi")</f>
        <v>#NAME?</v>
      </c>
      <c r="G597" s="109" t="str">
        <f t="shared" si="596"/>
        <v>#NAME?</v>
      </c>
      <c r="X597" s="110"/>
    </row>
    <row r="598" ht="21.0" customHeight="1">
      <c r="A598" s="5">
        <v>5.0</v>
      </c>
      <c r="B598" s="6">
        <v>523.0</v>
      </c>
      <c r="C598" s="6">
        <v>1.0</v>
      </c>
      <c r="D598" s="116" t="s">
        <v>879</v>
      </c>
      <c r="E598" s="9" t="s">
        <v>873</v>
      </c>
      <c r="F598" s="109" t="str">
        <f t="shared" ref="F598:G598" si="597">TRANSLATE(D598,"lzh","vi")</f>
        <v>#NAME?</v>
      </c>
      <c r="G598" s="109" t="str">
        <f t="shared" si="597"/>
        <v>#NAME?</v>
      </c>
      <c r="X598" s="110"/>
    </row>
    <row r="599" ht="21.0" customHeight="1">
      <c r="A599" s="5">
        <v>5.0</v>
      </c>
      <c r="B599" s="6">
        <v>523.0</v>
      </c>
      <c r="C599" s="6">
        <v>1.0</v>
      </c>
      <c r="D599" s="116" t="s">
        <v>880</v>
      </c>
      <c r="E599" s="9" t="s">
        <v>873</v>
      </c>
      <c r="F599" s="109" t="str">
        <f t="shared" ref="F599:G599" si="598">TRANSLATE(D599,"lzh","vi")</f>
        <v>#NAME?</v>
      </c>
      <c r="G599" s="109" t="str">
        <f t="shared" si="598"/>
        <v>#NAME?</v>
      </c>
      <c r="X599" s="110"/>
    </row>
    <row r="600" ht="21.0" customHeight="1">
      <c r="A600" s="5">
        <v>5.0</v>
      </c>
      <c r="B600" s="6">
        <v>519.0</v>
      </c>
      <c r="C600" s="6">
        <v>1.0</v>
      </c>
      <c r="D600" s="116" t="s">
        <v>872</v>
      </c>
      <c r="E600" s="9" t="s">
        <v>873</v>
      </c>
      <c r="F600" s="109" t="str">
        <f t="shared" ref="F600:G600" si="599">TRANSLATE(D600,"lzh","vi")</f>
        <v>#NAME?</v>
      </c>
      <c r="G600" s="109" t="str">
        <f t="shared" si="599"/>
        <v>#NAME?</v>
      </c>
      <c r="X600" s="110"/>
    </row>
    <row r="601" ht="21.0" customHeight="1">
      <c r="A601" s="5">
        <v>5.0</v>
      </c>
      <c r="B601" s="6">
        <v>519.0</v>
      </c>
      <c r="C601" s="6">
        <v>1.0</v>
      </c>
      <c r="D601" s="116" t="s">
        <v>874</v>
      </c>
      <c r="E601" s="9" t="s">
        <v>873</v>
      </c>
      <c r="F601" s="109" t="str">
        <f t="shared" ref="F601:G601" si="600">TRANSLATE(D601,"lzh","vi")</f>
        <v>#NAME?</v>
      </c>
      <c r="G601" s="109" t="str">
        <f t="shared" si="600"/>
        <v>#NAME?</v>
      </c>
      <c r="X601" s="110"/>
    </row>
    <row r="602" ht="21.0" customHeight="1">
      <c r="A602" s="5">
        <v>5.0</v>
      </c>
      <c r="B602" s="6">
        <v>519.0</v>
      </c>
      <c r="C602" s="6">
        <v>1.0</v>
      </c>
      <c r="D602" s="116" t="s">
        <v>875</v>
      </c>
      <c r="E602" s="9" t="s">
        <v>873</v>
      </c>
      <c r="F602" s="109" t="str">
        <f t="shared" ref="F602:G602" si="601">TRANSLATE(D602,"lzh","vi")</f>
        <v>#NAME?</v>
      </c>
      <c r="G602" s="109" t="str">
        <f t="shared" si="601"/>
        <v>#NAME?</v>
      </c>
      <c r="X602" s="110"/>
    </row>
    <row r="603" ht="21.0" customHeight="1">
      <c r="A603" s="5">
        <v>5.0</v>
      </c>
      <c r="B603" s="6">
        <v>519.0</v>
      </c>
      <c r="C603" s="6">
        <v>1.0</v>
      </c>
      <c r="D603" s="116" t="s">
        <v>876</v>
      </c>
      <c r="E603" s="9" t="s">
        <v>873</v>
      </c>
      <c r="F603" s="109" t="str">
        <f t="shared" ref="F603:G603" si="602">TRANSLATE(D603,"lzh","vi")</f>
        <v>#NAME?</v>
      </c>
      <c r="G603" s="109" t="str">
        <f t="shared" si="602"/>
        <v>#NAME?</v>
      </c>
      <c r="X603" s="110"/>
    </row>
    <row r="604" ht="21.0" customHeight="1">
      <c r="A604" s="5">
        <v>5.0</v>
      </c>
      <c r="B604" s="6">
        <v>519.0</v>
      </c>
      <c r="C604" s="6">
        <v>1.0</v>
      </c>
      <c r="D604" s="116" t="s">
        <v>877</v>
      </c>
      <c r="E604" s="9" t="s">
        <v>873</v>
      </c>
      <c r="F604" s="109" t="str">
        <f t="shared" ref="F604:G604" si="603">TRANSLATE(D604,"lzh","vi")</f>
        <v>#NAME?</v>
      </c>
      <c r="G604" s="109" t="str">
        <f t="shared" si="603"/>
        <v>#NAME?</v>
      </c>
      <c r="X604" s="110"/>
    </row>
    <row r="605" ht="21.0" customHeight="1">
      <c r="A605" s="5">
        <v>5.0</v>
      </c>
      <c r="B605" s="6">
        <v>519.0</v>
      </c>
      <c r="C605" s="6">
        <v>1.0</v>
      </c>
      <c r="D605" s="116" t="s">
        <v>878</v>
      </c>
      <c r="E605" s="9" t="s">
        <v>873</v>
      </c>
      <c r="F605" s="109" t="str">
        <f t="shared" ref="F605:G605" si="604">TRANSLATE(D605,"lzh","vi")</f>
        <v>#NAME?</v>
      </c>
      <c r="G605" s="109" t="str">
        <f t="shared" si="604"/>
        <v>#NAME?</v>
      </c>
      <c r="X605" s="110"/>
    </row>
    <row r="606" ht="21.0" customHeight="1">
      <c r="A606" s="5">
        <v>5.0</v>
      </c>
      <c r="B606" s="6">
        <v>519.0</v>
      </c>
      <c r="C606" s="6">
        <v>1.0</v>
      </c>
      <c r="D606" s="116" t="s">
        <v>879</v>
      </c>
      <c r="E606" s="9" t="s">
        <v>873</v>
      </c>
      <c r="F606" s="109" t="str">
        <f t="shared" ref="F606:G606" si="605">TRANSLATE(D606,"lzh","vi")</f>
        <v>#NAME?</v>
      </c>
      <c r="G606" s="109" t="str">
        <f t="shared" si="605"/>
        <v>#NAME?</v>
      </c>
      <c r="X606" s="110"/>
    </row>
    <row r="607" ht="21.0" customHeight="1">
      <c r="A607" s="5">
        <v>5.0</v>
      </c>
      <c r="B607" s="6">
        <v>519.0</v>
      </c>
      <c r="C607" s="6">
        <v>1.0</v>
      </c>
      <c r="D607" s="116" t="s">
        <v>880</v>
      </c>
      <c r="E607" s="9" t="s">
        <v>873</v>
      </c>
      <c r="F607" s="109" t="str">
        <f t="shared" ref="F607:G607" si="606">TRANSLATE(D607,"lzh","vi")</f>
        <v>#NAME?</v>
      </c>
      <c r="G607" s="109" t="str">
        <f t="shared" si="606"/>
        <v>#NAME?</v>
      </c>
      <c r="X607" s="110"/>
    </row>
    <row r="608" ht="21.0" customHeight="1">
      <c r="A608" s="5">
        <v>5.0</v>
      </c>
      <c r="B608" s="6">
        <v>520.0</v>
      </c>
      <c r="C608" s="6">
        <v>1.0</v>
      </c>
      <c r="D608" s="116" t="s">
        <v>872</v>
      </c>
      <c r="E608" s="9" t="s">
        <v>873</v>
      </c>
      <c r="F608" s="109" t="str">
        <f t="shared" ref="F608:G608" si="607">TRANSLATE(D608,"lzh","vi")</f>
        <v>#NAME?</v>
      </c>
      <c r="G608" s="109" t="str">
        <f t="shared" si="607"/>
        <v>#NAME?</v>
      </c>
      <c r="X608" s="110"/>
    </row>
    <row r="609" ht="21.0" customHeight="1">
      <c r="A609" s="5">
        <v>5.0</v>
      </c>
      <c r="B609" s="6">
        <v>520.0</v>
      </c>
      <c r="C609" s="6">
        <v>1.0</v>
      </c>
      <c r="D609" s="116" t="s">
        <v>874</v>
      </c>
      <c r="E609" s="9" t="s">
        <v>873</v>
      </c>
      <c r="F609" s="109" t="str">
        <f t="shared" ref="F609:G609" si="608">TRANSLATE(D609,"lzh","vi")</f>
        <v>#NAME?</v>
      </c>
      <c r="G609" s="109" t="str">
        <f t="shared" si="608"/>
        <v>#NAME?</v>
      </c>
      <c r="X609" s="110"/>
    </row>
    <row r="610" ht="21.0" customHeight="1">
      <c r="A610" s="5">
        <v>5.0</v>
      </c>
      <c r="B610" s="6">
        <v>520.0</v>
      </c>
      <c r="C610" s="6">
        <v>1.0</v>
      </c>
      <c r="D610" s="116" t="s">
        <v>875</v>
      </c>
      <c r="E610" s="9" t="s">
        <v>873</v>
      </c>
      <c r="F610" s="109" t="str">
        <f t="shared" ref="F610:G610" si="609">TRANSLATE(D610,"lzh","vi")</f>
        <v>#NAME?</v>
      </c>
      <c r="G610" s="109" t="str">
        <f t="shared" si="609"/>
        <v>#NAME?</v>
      </c>
      <c r="X610" s="110"/>
    </row>
    <row r="611" ht="21.0" customHeight="1">
      <c r="A611" s="5">
        <v>5.0</v>
      </c>
      <c r="B611" s="6">
        <v>520.0</v>
      </c>
      <c r="C611" s="6">
        <v>1.0</v>
      </c>
      <c r="D611" s="116" t="s">
        <v>876</v>
      </c>
      <c r="E611" s="9" t="s">
        <v>873</v>
      </c>
      <c r="F611" s="109" t="str">
        <f t="shared" ref="F611:G611" si="610">TRANSLATE(D611,"lzh","vi")</f>
        <v>#NAME?</v>
      </c>
      <c r="G611" s="109" t="str">
        <f t="shared" si="610"/>
        <v>#NAME?</v>
      </c>
      <c r="X611" s="110"/>
    </row>
    <row r="612" ht="21.0" customHeight="1">
      <c r="A612" s="5">
        <v>5.0</v>
      </c>
      <c r="B612" s="6">
        <v>520.0</v>
      </c>
      <c r="C612" s="6">
        <v>1.0</v>
      </c>
      <c r="D612" s="116" t="s">
        <v>877</v>
      </c>
      <c r="E612" s="9" t="s">
        <v>873</v>
      </c>
      <c r="F612" s="109" t="str">
        <f t="shared" ref="F612:G612" si="611">TRANSLATE(D612,"lzh","vi")</f>
        <v>#NAME?</v>
      </c>
      <c r="G612" s="109" t="str">
        <f t="shared" si="611"/>
        <v>#NAME?</v>
      </c>
      <c r="X612" s="110"/>
    </row>
    <row r="613" ht="21.0" customHeight="1">
      <c r="A613" s="5">
        <v>5.0</v>
      </c>
      <c r="B613" s="6">
        <v>520.0</v>
      </c>
      <c r="C613" s="6">
        <v>1.0</v>
      </c>
      <c r="D613" s="116" t="s">
        <v>878</v>
      </c>
      <c r="E613" s="9" t="s">
        <v>873</v>
      </c>
      <c r="F613" s="109" t="str">
        <f t="shared" ref="F613:G613" si="612">TRANSLATE(D613,"lzh","vi")</f>
        <v>#NAME?</v>
      </c>
      <c r="G613" s="109" t="str">
        <f t="shared" si="612"/>
        <v>#NAME?</v>
      </c>
      <c r="X613" s="110"/>
    </row>
    <row r="614" ht="21.0" customHeight="1">
      <c r="A614" s="5">
        <v>5.0</v>
      </c>
      <c r="B614" s="6">
        <v>520.0</v>
      </c>
      <c r="C614" s="6">
        <v>1.0</v>
      </c>
      <c r="D614" s="116" t="s">
        <v>879</v>
      </c>
      <c r="E614" s="9" t="s">
        <v>873</v>
      </c>
      <c r="F614" s="109" t="str">
        <f t="shared" ref="F614:G614" si="613">TRANSLATE(D614,"lzh","vi")</f>
        <v>#NAME?</v>
      </c>
      <c r="G614" s="109" t="str">
        <f t="shared" si="613"/>
        <v>#NAME?</v>
      </c>
      <c r="X614" s="110"/>
    </row>
    <row r="615" ht="21.0" customHeight="1">
      <c r="A615" s="5">
        <v>5.0</v>
      </c>
      <c r="B615" s="6">
        <v>520.0</v>
      </c>
      <c r="C615" s="6">
        <v>1.0</v>
      </c>
      <c r="D615" s="116" t="s">
        <v>880</v>
      </c>
      <c r="E615" s="9" t="s">
        <v>873</v>
      </c>
      <c r="F615" s="109" t="str">
        <f t="shared" ref="F615:G615" si="614">TRANSLATE(D615,"lzh","vi")</f>
        <v>#NAME?</v>
      </c>
      <c r="G615" s="109" t="str">
        <f t="shared" si="614"/>
        <v>#NAME?</v>
      </c>
      <c r="X615" s="110"/>
    </row>
    <row r="616" ht="21.0" customHeight="1">
      <c r="A616" s="5">
        <v>5.0</v>
      </c>
      <c r="B616" s="6">
        <v>521.0</v>
      </c>
      <c r="C616" s="6">
        <v>1.0</v>
      </c>
      <c r="D616" s="116" t="s">
        <v>872</v>
      </c>
      <c r="E616" s="9" t="s">
        <v>873</v>
      </c>
      <c r="F616" s="109" t="str">
        <f t="shared" ref="F616:G616" si="615">TRANSLATE(D616,"lzh","vi")</f>
        <v>#NAME?</v>
      </c>
      <c r="G616" s="109" t="str">
        <f t="shared" si="615"/>
        <v>#NAME?</v>
      </c>
      <c r="X616" s="110"/>
    </row>
    <row r="617" ht="21.0" customHeight="1">
      <c r="A617" s="5">
        <v>5.0</v>
      </c>
      <c r="B617" s="6">
        <v>521.0</v>
      </c>
      <c r="C617" s="6">
        <v>1.0</v>
      </c>
      <c r="D617" s="116" t="s">
        <v>874</v>
      </c>
      <c r="E617" s="9" t="s">
        <v>873</v>
      </c>
      <c r="F617" s="109" t="str">
        <f t="shared" ref="F617:G617" si="616">TRANSLATE(D617,"lzh","vi")</f>
        <v>#NAME?</v>
      </c>
      <c r="G617" s="109" t="str">
        <f t="shared" si="616"/>
        <v>#NAME?</v>
      </c>
      <c r="X617" s="110"/>
    </row>
    <row r="618" ht="21.0" customHeight="1">
      <c r="A618" s="5">
        <v>5.0</v>
      </c>
      <c r="B618" s="6">
        <v>521.0</v>
      </c>
      <c r="C618" s="6">
        <v>1.0</v>
      </c>
      <c r="D618" s="116" t="s">
        <v>875</v>
      </c>
      <c r="E618" s="9" t="s">
        <v>873</v>
      </c>
      <c r="F618" s="109" t="str">
        <f t="shared" ref="F618:G618" si="617">TRANSLATE(D618,"lzh","vi")</f>
        <v>#NAME?</v>
      </c>
      <c r="G618" s="109" t="str">
        <f t="shared" si="617"/>
        <v>#NAME?</v>
      </c>
      <c r="X618" s="110"/>
    </row>
    <row r="619" ht="21.0" customHeight="1">
      <c r="A619" s="5">
        <v>5.0</v>
      </c>
      <c r="B619" s="6">
        <v>521.0</v>
      </c>
      <c r="C619" s="6">
        <v>1.0</v>
      </c>
      <c r="D619" s="116" t="s">
        <v>876</v>
      </c>
      <c r="E619" s="9" t="s">
        <v>873</v>
      </c>
      <c r="F619" s="109" t="str">
        <f t="shared" ref="F619:G619" si="618">TRANSLATE(D619,"lzh","vi")</f>
        <v>#NAME?</v>
      </c>
      <c r="G619" s="109" t="str">
        <f t="shared" si="618"/>
        <v>#NAME?</v>
      </c>
      <c r="X619" s="110"/>
    </row>
    <row r="620" ht="21.0" customHeight="1">
      <c r="A620" s="5">
        <v>5.0</v>
      </c>
      <c r="B620" s="6">
        <v>521.0</v>
      </c>
      <c r="C620" s="6">
        <v>1.0</v>
      </c>
      <c r="D620" s="116" t="s">
        <v>877</v>
      </c>
      <c r="E620" s="9" t="s">
        <v>873</v>
      </c>
      <c r="F620" s="109" t="str">
        <f t="shared" ref="F620:G620" si="619">TRANSLATE(D620,"lzh","vi")</f>
        <v>#NAME?</v>
      </c>
      <c r="G620" s="109" t="str">
        <f t="shared" si="619"/>
        <v>#NAME?</v>
      </c>
      <c r="X620" s="110"/>
    </row>
    <row r="621" ht="21.0" customHeight="1">
      <c r="A621" s="5">
        <v>5.0</v>
      </c>
      <c r="B621" s="6">
        <v>521.0</v>
      </c>
      <c r="C621" s="6">
        <v>1.0</v>
      </c>
      <c r="D621" s="116" t="s">
        <v>878</v>
      </c>
      <c r="E621" s="9" t="s">
        <v>873</v>
      </c>
      <c r="F621" s="109" t="str">
        <f t="shared" ref="F621:G621" si="620">TRANSLATE(D621,"lzh","vi")</f>
        <v>#NAME?</v>
      </c>
      <c r="G621" s="109" t="str">
        <f t="shared" si="620"/>
        <v>#NAME?</v>
      </c>
      <c r="X621" s="110"/>
    </row>
    <row r="622" ht="21.0" customHeight="1">
      <c r="A622" s="5">
        <v>5.0</v>
      </c>
      <c r="B622" s="6">
        <v>521.0</v>
      </c>
      <c r="C622" s="6">
        <v>1.0</v>
      </c>
      <c r="D622" s="116" t="s">
        <v>879</v>
      </c>
      <c r="E622" s="9" t="s">
        <v>873</v>
      </c>
      <c r="F622" s="109" t="str">
        <f t="shared" ref="F622:G622" si="621">TRANSLATE(D622,"lzh","vi")</f>
        <v>#NAME?</v>
      </c>
      <c r="G622" s="109" t="str">
        <f t="shared" si="621"/>
        <v>#NAME?</v>
      </c>
      <c r="X622" s="110"/>
    </row>
    <row r="623" ht="21.0" customHeight="1">
      <c r="A623" s="5">
        <v>5.0</v>
      </c>
      <c r="B623" s="6">
        <v>521.0</v>
      </c>
      <c r="C623" s="6">
        <v>1.0</v>
      </c>
      <c r="D623" s="116" t="s">
        <v>880</v>
      </c>
      <c r="E623" s="9" t="s">
        <v>873</v>
      </c>
      <c r="F623" s="109" t="str">
        <f t="shared" ref="F623:G623" si="622">TRANSLATE(D623,"lzh","vi")</f>
        <v>#NAME?</v>
      </c>
      <c r="G623" s="109" t="str">
        <f t="shared" si="622"/>
        <v>#NAME?</v>
      </c>
      <c r="X623" s="110"/>
    </row>
    <row r="624" ht="21.0" customHeight="1">
      <c r="A624" s="5">
        <v>5.0</v>
      </c>
      <c r="B624" s="6">
        <v>522.0</v>
      </c>
      <c r="C624" s="6">
        <v>1.0</v>
      </c>
      <c r="D624" s="116" t="s">
        <v>872</v>
      </c>
      <c r="E624" s="9" t="s">
        <v>873</v>
      </c>
      <c r="F624" s="109" t="str">
        <f t="shared" ref="F624:G624" si="623">TRANSLATE(D624,"lzh","vi")</f>
        <v>#NAME?</v>
      </c>
      <c r="G624" s="109" t="str">
        <f t="shared" si="623"/>
        <v>#NAME?</v>
      </c>
      <c r="X624" s="110"/>
    </row>
    <row r="625" ht="21.0" customHeight="1">
      <c r="A625" s="5">
        <v>5.0</v>
      </c>
      <c r="B625" s="6">
        <v>522.0</v>
      </c>
      <c r="C625" s="6">
        <v>1.0</v>
      </c>
      <c r="D625" s="116" t="s">
        <v>874</v>
      </c>
      <c r="E625" s="9" t="s">
        <v>873</v>
      </c>
      <c r="F625" s="109" t="str">
        <f t="shared" ref="F625:G625" si="624">TRANSLATE(D625,"lzh","vi")</f>
        <v>#NAME?</v>
      </c>
      <c r="G625" s="109" t="str">
        <f t="shared" si="624"/>
        <v>#NAME?</v>
      </c>
      <c r="X625" s="110"/>
    </row>
    <row r="626" ht="21.0" customHeight="1">
      <c r="A626" s="5">
        <v>5.0</v>
      </c>
      <c r="B626" s="6">
        <v>522.0</v>
      </c>
      <c r="C626" s="6">
        <v>1.0</v>
      </c>
      <c r="D626" s="116" t="s">
        <v>875</v>
      </c>
      <c r="E626" s="9" t="s">
        <v>873</v>
      </c>
      <c r="F626" s="109" t="str">
        <f t="shared" ref="F626:G626" si="625">TRANSLATE(D626,"lzh","vi")</f>
        <v>#NAME?</v>
      </c>
      <c r="G626" s="109" t="str">
        <f t="shared" si="625"/>
        <v>#NAME?</v>
      </c>
      <c r="X626" s="110"/>
    </row>
    <row r="627" ht="21.0" customHeight="1">
      <c r="A627" s="5">
        <v>5.0</v>
      </c>
      <c r="B627" s="6">
        <v>522.0</v>
      </c>
      <c r="C627" s="6">
        <v>1.0</v>
      </c>
      <c r="D627" s="116" t="s">
        <v>876</v>
      </c>
      <c r="E627" s="9" t="s">
        <v>873</v>
      </c>
      <c r="F627" s="109" t="str">
        <f t="shared" ref="F627:G627" si="626">TRANSLATE(D627,"lzh","vi")</f>
        <v>#NAME?</v>
      </c>
      <c r="G627" s="109" t="str">
        <f t="shared" si="626"/>
        <v>#NAME?</v>
      </c>
      <c r="X627" s="110"/>
    </row>
    <row r="628" ht="21.0" customHeight="1">
      <c r="A628" s="5">
        <v>5.0</v>
      </c>
      <c r="B628" s="6">
        <v>522.0</v>
      </c>
      <c r="C628" s="6">
        <v>1.0</v>
      </c>
      <c r="D628" s="116" t="s">
        <v>877</v>
      </c>
      <c r="E628" s="9" t="s">
        <v>873</v>
      </c>
      <c r="F628" s="109" t="str">
        <f t="shared" ref="F628:G628" si="627">TRANSLATE(D628,"lzh","vi")</f>
        <v>#NAME?</v>
      </c>
      <c r="G628" s="109" t="str">
        <f t="shared" si="627"/>
        <v>#NAME?</v>
      </c>
      <c r="X628" s="110"/>
    </row>
    <row r="629" ht="21.0" customHeight="1">
      <c r="A629" s="5">
        <v>5.0</v>
      </c>
      <c r="B629" s="6">
        <v>522.0</v>
      </c>
      <c r="C629" s="6">
        <v>1.0</v>
      </c>
      <c r="D629" s="116" t="s">
        <v>878</v>
      </c>
      <c r="E629" s="9" t="s">
        <v>873</v>
      </c>
      <c r="F629" s="109" t="str">
        <f t="shared" ref="F629:G629" si="628">TRANSLATE(D629,"lzh","vi")</f>
        <v>#NAME?</v>
      </c>
      <c r="G629" s="109" t="str">
        <f t="shared" si="628"/>
        <v>#NAME?</v>
      </c>
      <c r="X629" s="110"/>
    </row>
    <row r="630" ht="21.0" customHeight="1">
      <c r="A630" s="5">
        <v>5.0</v>
      </c>
      <c r="B630" s="6">
        <v>522.0</v>
      </c>
      <c r="C630" s="6">
        <v>1.0</v>
      </c>
      <c r="D630" s="116" t="s">
        <v>879</v>
      </c>
      <c r="E630" s="9" t="s">
        <v>873</v>
      </c>
      <c r="F630" s="109" t="str">
        <f t="shared" ref="F630:G630" si="629">TRANSLATE(D630,"lzh","vi")</f>
        <v>#NAME?</v>
      </c>
      <c r="G630" s="109" t="str">
        <f t="shared" si="629"/>
        <v>#NAME?</v>
      </c>
      <c r="X630" s="110"/>
    </row>
    <row r="631" ht="21.0" customHeight="1">
      <c r="A631" s="5">
        <v>5.0</v>
      </c>
      <c r="B631" s="6">
        <v>522.0</v>
      </c>
      <c r="C631" s="6">
        <v>1.0</v>
      </c>
      <c r="D631" s="116" t="s">
        <v>880</v>
      </c>
      <c r="E631" s="9" t="s">
        <v>873</v>
      </c>
      <c r="F631" s="109" t="str">
        <f t="shared" ref="F631:G631" si="630">TRANSLATE(D631,"lzh","vi")</f>
        <v>#NAME?</v>
      </c>
      <c r="G631" s="109" t="str">
        <f t="shared" si="630"/>
        <v>#NAME?</v>
      </c>
      <c r="X631" s="110"/>
    </row>
    <row r="632" ht="21.0" customHeight="1">
      <c r="A632" s="5">
        <v>5.0</v>
      </c>
      <c r="B632" s="6">
        <v>523.0</v>
      </c>
      <c r="C632" s="6">
        <v>1.0</v>
      </c>
      <c r="D632" s="116" t="s">
        <v>872</v>
      </c>
      <c r="E632" s="9" t="s">
        <v>873</v>
      </c>
      <c r="F632" s="109" t="str">
        <f t="shared" ref="F632:G632" si="631">TRANSLATE(D632,"lzh","vi")</f>
        <v>#NAME?</v>
      </c>
      <c r="G632" s="109" t="str">
        <f t="shared" si="631"/>
        <v>#NAME?</v>
      </c>
      <c r="X632" s="110"/>
    </row>
    <row r="633" ht="21.0" customHeight="1">
      <c r="A633" s="5">
        <v>5.0</v>
      </c>
      <c r="B633" s="6">
        <v>523.0</v>
      </c>
      <c r="C633" s="6">
        <v>1.0</v>
      </c>
      <c r="D633" s="116" t="s">
        <v>874</v>
      </c>
      <c r="E633" s="9" t="s">
        <v>873</v>
      </c>
      <c r="F633" s="109" t="str">
        <f t="shared" ref="F633:G633" si="632">TRANSLATE(D633,"lzh","vi")</f>
        <v>#NAME?</v>
      </c>
      <c r="G633" s="109" t="str">
        <f t="shared" si="632"/>
        <v>#NAME?</v>
      </c>
      <c r="X633" s="110"/>
    </row>
    <row r="634" ht="21.0" customHeight="1">
      <c r="A634" s="5">
        <v>5.0</v>
      </c>
      <c r="B634" s="6">
        <v>523.0</v>
      </c>
      <c r="C634" s="6">
        <v>1.0</v>
      </c>
      <c r="D634" s="116" t="s">
        <v>875</v>
      </c>
      <c r="E634" s="9" t="s">
        <v>873</v>
      </c>
      <c r="F634" s="109" t="str">
        <f t="shared" ref="F634:G634" si="633">TRANSLATE(D634,"lzh","vi")</f>
        <v>#NAME?</v>
      </c>
      <c r="G634" s="109" t="str">
        <f t="shared" si="633"/>
        <v>#NAME?</v>
      </c>
      <c r="X634" s="110"/>
    </row>
    <row r="635" ht="21.0" customHeight="1">
      <c r="A635" s="5">
        <v>5.0</v>
      </c>
      <c r="B635" s="6">
        <v>523.0</v>
      </c>
      <c r="C635" s="6">
        <v>1.0</v>
      </c>
      <c r="D635" s="116" t="s">
        <v>876</v>
      </c>
      <c r="E635" s="9" t="s">
        <v>873</v>
      </c>
      <c r="F635" s="109" t="str">
        <f t="shared" ref="F635:G635" si="634">TRANSLATE(D635,"lzh","vi")</f>
        <v>#NAME?</v>
      </c>
      <c r="G635" s="109" t="str">
        <f t="shared" si="634"/>
        <v>#NAME?</v>
      </c>
      <c r="X635" s="110"/>
    </row>
    <row r="636" ht="21.0" customHeight="1">
      <c r="A636" s="5">
        <v>5.0</v>
      </c>
      <c r="B636" s="6">
        <v>523.0</v>
      </c>
      <c r="C636" s="6">
        <v>1.0</v>
      </c>
      <c r="D636" s="116" t="s">
        <v>877</v>
      </c>
      <c r="E636" s="9" t="s">
        <v>873</v>
      </c>
      <c r="F636" s="109" t="str">
        <f t="shared" ref="F636:G636" si="635">TRANSLATE(D636,"lzh","vi")</f>
        <v>#NAME?</v>
      </c>
      <c r="G636" s="109" t="str">
        <f t="shared" si="635"/>
        <v>#NAME?</v>
      </c>
      <c r="X636" s="110"/>
    </row>
    <row r="637" ht="21.0" customHeight="1">
      <c r="A637" s="5">
        <v>5.0</v>
      </c>
      <c r="B637" s="6">
        <v>523.0</v>
      </c>
      <c r="C637" s="6">
        <v>1.0</v>
      </c>
      <c r="D637" s="116" t="s">
        <v>878</v>
      </c>
      <c r="E637" s="9" t="s">
        <v>873</v>
      </c>
      <c r="F637" s="109" t="str">
        <f t="shared" ref="F637:G637" si="636">TRANSLATE(D637,"lzh","vi")</f>
        <v>#NAME?</v>
      </c>
      <c r="G637" s="109" t="str">
        <f t="shared" si="636"/>
        <v>#NAME?</v>
      </c>
      <c r="X637" s="110"/>
    </row>
    <row r="638" ht="21.0" customHeight="1">
      <c r="A638" s="5">
        <v>5.0</v>
      </c>
      <c r="B638" s="6">
        <v>523.0</v>
      </c>
      <c r="C638" s="6">
        <v>1.0</v>
      </c>
      <c r="D638" s="116" t="s">
        <v>879</v>
      </c>
      <c r="E638" s="9" t="s">
        <v>873</v>
      </c>
      <c r="F638" s="109" t="str">
        <f t="shared" ref="F638:G638" si="637">TRANSLATE(D638,"lzh","vi")</f>
        <v>#NAME?</v>
      </c>
      <c r="G638" s="109" t="str">
        <f t="shared" si="637"/>
        <v>#NAME?</v>
      </c>
      <c r="X638" s="110"/>
    </row>
    <row r="639" ht="21.0" customHeight="1">
      <c r="A639" s="5">
        <v>5.0</v>
      </c>
      <c r="B639" s="6">
        <v>523.0</v>
      </c>
      <c r="C639" s="6">
        <v>1.0</v>
      </c>
      <c r="D639" s="116" t="s">
        <v>880</v>
      </c>
      <c r="E639" s="9" t="s">
        <v>873</v>
      </c>
      <c r="F639" s="109" t="str">
        <f t="shared" ref="F639:G639" si="638">TRANSLATE(D639,"lzh","vi")</f>
        <v>#NAME?</v>
      </c>
      <c r="G639" s="109" t="str">
        <f t="shared" si="638"/>
        <v>#NAME?</v>
      </c>
      <c r="X639" s="133"/>
    </row>
    <row r="640" ht="21.0" customHeight="1">
      <c r="A640" s="134">
        <v>5.0</v>
      </c>
      <c r="B640" s="6">
        <v>524.0</v>
      </c>
      <c r="C640" s="135">
        <v>1.0</v>
      </c>
      <c r="D640" s="136" t="s">
        <v>872</v>
      </c>
      <c r="E640" s="9" t="s">
        <v>873</v>
      </c>
      <c r="F640" s="109" t="str">
        <f t="shared" ref="F640:G640" si="639">TRANSLATE(D640,"lzh","vi")</f>
        <v>#NAME?</v>
      </c>
      <c r="G640" s="109" t="str">
        <f t="shared" si="639"/>
        <v>#NAME?</v>
      </c>
      <c r="X640" s="137"/>
    </row>
    <row r="641" ht="21.0" customHeight="1">
      <c r="A641" s="5">
        <v>5.0</v>
      </c>
      <c r="B641" s="6">
        <v>524.0</v>
      </c>
      <c r="C641" s="6">
        <v>1.0</v>
      </c>
      <c r="D641" s="116" t="s">
        <v>874</v>
      </c>
      <c r="E641" s="9" t="s">
        <v>873</v>
      </c>
      <c r="F641" s="109" t="str">
        <f t="shared" ref="F641:G641" si="640">TRANSLATE(D641,"lzh","vi")</f>
        <v>#NAME?</v>
      </c>
      <c r="G641" s="109" t="str">
        <f t="shared" si="640"/>
        <v>#NAME?</v>
      </c>
      <c r="X641" s="110"/>
    </row>
    <row r="642" ht="21.0" customHeight="1">
      <c r="A642" s="5">
        <v>5.0</v>
      </c>
      <c r="B642" s="6">
        <v>524.0</v>
      </c>
      <c r="C642" s="6">
        <v>1.0</v>
      </c>
      <c r="D642" s="116" t="s">
        <v>875</v>
      </c>
      <c r="E642" s="9" t="s">
        <v>873</v>
      </c>
      <c r="F642" s="109" t="str">
        <f t="shared" ref="F642:G642" si="641">TRANSLATE(D642,"lzh","vi")</f>
        <v>#NAME?</v>
      </c>
      <c r="G642" s="109" t="str">
        <f t="shared" si="641"/>
        <v>#NAME?</v>
      </c>
      <c r="X642" s="110"/>
    </row>
    <row r="643" ht="21.0" customHeight="1">
      <c r="A643" s="5">
        <v>5.0</v>
      </c>
      <c r="B643" s="6">
        <v>524.0</v>
      </c>
      <c r="C643" s="6">
        <v>1.0</v>
      </c>
      <c r="D643" s="116" t="s">
        <v>876</v>
      </c>
      <c r="E643" s="9" t="s">
        <v>873</v>
      </c>
      <c r="F643" s="109" t="str">
        <f t="shared" ref="F643:G643" si="642">TRANSLATE(D643,"lzh","vi")</f>
        <v>#NAME?</v>
      </c>
      <c r="G643" s="109" t="str">
        <f t="shared" si="642"/>
        <v>#NAME?</v>
      </c>
      <c r="X643" s="110"/>
    </row>
    <row r="644" ht="21.0" customHeight="1">
      <c r="A644" s="5">
        <v>5.0</v>
      </c>
      <c r="B644" s="6">
        <v>524.0</v>
      </c>
      <c r="C644" s="6">
        <v>1.0</v>
      </c>
      <c r="D644" s="116" t="s">
        <v>877</v>
      </c>
      <c r="E644" s="9" t="s">
        <v>873</v>
      </c>
      <c r="F644" s="109" t="str">
        <f t="shared" ref="F644:G644" si="643">TRANSLATE(D644,"lzh","vi")</f>
        <v>#NAME?</v>
      </c>
      <c r="G644" s="109" t="str">
        <f t="shared" si="643"/>
        <v>#NAME?</v>
      </c>
      <c r="X644" s="110"/>
    </row>
    <row r="645" ht="21.0" customHeight="1">
      <c r="A645" s="5">
        <v>5.0</v>
      </c>
      <c r="B645" s="6">
        <v>524.0</v>
      </c>
      <c r="C645" s="6">
        <v>1.0</v>
      </c>
      <c r="D645" s="116" t="s">
        <v>878</v>
      </c>
      <c r="E645" s="9" t="s">
        <v>873</v>
      </c>
      <c r="F645" s="109" t="str">
        <f t="shared" ref="F645:G645" si="644">TRANSLATE(D645,"lzh","vi")</f>
        <v>#NAME?</v>
      </c>
      <c r="G645" s="109" t="str">
        <f t="shared" si="644"/>
        <v>#NAME?</v>
      </c>
      <c r="X645" s="110"/>
    </row>
    <row r="646" ht="21.0" customHeight="1">
      <c r="A646" s="5">
        <v>5.0</v>
      </c>
      <c r="B646" s="6">
        <v>524.0</v>
      </c>
      <c r="C646" s="6">
        <v>1.0</v>
      </c>
      <c r="D646" s="116" t="s">
        <v>879</v>
      </c>
      <c r="E646" s="9" t="s">
        <v>873</v>
      </c>
      <c r="F646" s="109" t="str">
        <f t="shared" ref="F646:G646" si="645">TRANSLATE(D646,"lzh","vi")</f>
        <v>#NAME?</v>
      </c>
      <c r="G646" s="109" t="str">
        <f t="shared" si="645"/>
        <v>#NAME?</v>
      </c>
      <c r="X646" s="110"/>
    </row>
    <row r="647" ht="21.0" customHeight="1">
      <c r="A647" s="138">
        <v>5.0</v>
      </c>
      <c r="B647" s="6">
        <v>524.0</v>
      </c>
      <c r="C647" s="139">
        <v>1.0</v>
      </c>
      <c r="D647" s="140" t="s">
        <v>880</v>
      </c>
      <c r="E647" s="9" t="s">
        <v>873</v>
      </c>
      <c r="F647" s="109" t="str">
        <f t="shared" ref="F647:G647" si="646">TRANSLATE(D647,"lzh","vi")</f>
        <v>#NAME?</v>
      </c>
      <c r="G647" s="109" t="str">
        <f t="shared" si="646"/>
        <v>#NAME?</v>
      </c>
      <c r="X647" s="141"/>
    </row>
    <row r="648" ht="21.0" customHeight="1">
      <c r="A648" s="134">
        <v>5.0</v>
      </c>
      <c r="B648" s="6">
        <v>525.0</v>
      </c>
      <c r="C648" s="135">
        <v>1.0</v>
      </c>
      <c r="D648" s="136" t="s">
        <v>872</v>
      </c>
      <c r="E648" s="9" t="s">
        <v>873</v>
      </c>
      <c r="F648" s="109" t="str">
        <f t="shared" ref="F648:G648" si="647">TRANSLATE(D648,"lzh","vi")</f>
        <v>#NAME?</v>
      </c>
      <c r="G648" s="109" t="str">
        <f t="shared" si="647"/>
        <v>#NAME?</v>
      </c>
      <c r="X648" s="137"/>
    </row>
    <row r="649" ht="21.0" customHeight="1">
      <c r="A649" s="5">
        <v>5.0</v>
      </c>
      <c r="B649" s="6">
        <v>525.0</v>
      </c>
      <c r="C649" s="6">
        <v>1.0</v>
      </c>
      <c r="D649" s="116" t="s">
        <v>874</v>
      </c>
      <c r="E649" s="9" t="s">
        <v>873</v>
      </c>
      <c r="F649" s="109" t="str">
        <f t="shared" ref="F649:G649" si="648">TRANSLATE(D649,"lzh","vi")</f>
        <v>#NAME?</v>
      </c>
      <c r="G649" s="109" t="str">
        <f t="shared" si="648"/>
        <v>#NAME?</v>
      </c>
      <c r="X649" s="110"/>
    </row>
    <row r="650" ht="21.0" customHeight="1">
      <c r="A650" s="5">
        <v>5.0</v>
      </c>
      <c r="B650" s="6">
        <v>525.0</v>
      </c>
      <c r="C650" s="6">
        <v>1.0</v>
      </c>
      <c r="D650" s="116" t="s">
        <v>875</v>
      </c>
      <c r="E650" s="9" t="s">
        <v>873</v>
      </c>
      <c r="F650" s="109" t="str">
        <f t="shared" ref="F650:G650" si="649">TRANSLATE(D650,"lzh","vi")</f>
        <v>#NAME?</v>
      </c>
      <c r="G650" s="109" t="str">
        <f t="shared" si="649"/>
        <v>#NAME?</v>
      </c>
      <c r="X650" s="110"/>
    </row>
    <row r="651" ht="21.0" customHeight="1">
      <c r="A651" s="5">
        <v>5.0</v>
      </c>
      <c r="B651" s="6">
        <v>525.0</v>
      </c>
      <c r="C651" s="6">
        <v>1.0</v>
      </c>
      <c r="D651" s="116" t="s">
        <v>876</v>
      </c>
      <c r="E651" s="9" t="s">
        <v>873</v>
      </c>
      <c r="F651" s="109" t="str">
        <f t="shared" ref="F651:G651" si="650">TRANSLATE(D651,"lzh","vi")</f>
        <v>#NAME?</v>
      </c>
      <c r="G651" s="109" t="str">
        <f t="shared" si="650"/>
        <v>#NAME?</v>
      </c>
      <c r="X651" s="110"/>
    </row>
    <row r="652" ht="21.0" customHeight="1">
      <c r="A652" s="5">
        <v>5.0</v>
      </c>
      <c r="B652" s="6">
        <v>525.0</v>
      </c>
      <c r="C652" s="6">
        <v>1.0</v>
      </c>
      <c r="D652" s="116" t="s">
        <v>877</v>
      </c>
      <c r="E652" s="9" t="s">
        <v>873</v>
      </c>
      <c r="F652" s="109" t="str">
        <f t="shared" ref="F652:G652" si="651">TRANSLATE(D652,"lzh","vi")</f>
        <v>#NAME?</v>
      </c>
      <c r="G652" s="109" t="str">
        <f t="shared" si="651"/>
        <v>#NAME?</v>
      </c>
      <c r="X652" s="110"/>
    </row>
    <row r="653" ht="21.0" customHeight="1">
      <c r="A653" s="5">
        <v>5.0</v>
      </c>
      <c r="B653" s="6">
        <v>525.0</v>
      </c>
      <c r="C653" s="6">
        <v>1.0</v>
      </c>
      <c r="D653" s="116" t="s">
        <v>878</v>
      </c>
      <c r="E653" s="9" t="s">
        <v>873</v>
      </c>
      <c r="F653" s="109" t="str">
        <f t="shared" ref="F653:G653" si="652">TRANSLATE(D653,"lzh","vi")</f>
        <v>#NAME?</v>
      </c>
      <c r="G653" s="109" t="str">
        <f t="shared" si="652"/>
        <v>#NAME?</v>
      </c>
      <c r="X653" s="110"/>
    </row>
    <row r="654" ht="21.0" customHeight="1">
      <c r="A654" s="5">
        <v>5.0</v>
      </c>
      <c r="B654" s="6">
        <v>525.0</v>
      </c>
      <c r="C654" s="6">
        <v>1.0</v>
      </c>
      <c r="D654" s="116" t="s">
        <v>879</v>
      </c>
      <c r="E654" s="9" t="s">
        <v>873</v>
      </c>
      <c r="F654" s="109" t="str">
        <f t="shared" ref="F654:G654" si="653">TRANSLATE(D654,"lzh","vi")</f>
        <v>#NAME?</v>
      </c>
      <c r="G654" s="109" t="str">
        <f t="shared" si="653"/>
        <v>#NAME?</v>
      </c>
      <c r="X654" s="110"/>
    </row>
    <row r="655" ht="21.0" customHeight="1">
      <c r="A655" s="138">
        <v>5.0</v>
      </c>
      <c r="B655" s="6">
        <v>525.0</v>
      </c>
      <c r="C655" s="139">
        <v>1.0</v>
      </c>
      <c r="D655" s="140" t="s">
        <v>880</v>
      </c>
      <c r="E655" s="9" t="s">
        <v>873</v>
      </c>
      <c r="F655" s="109" t="str">
        <f t="shared" ref="F655:G655" si="654">TRANSLATE(D655,"lzh","vi")</f>
        <v>#NAME?</v>
      </c>
      <c r="G655" s="109" t="str">
        <f t="shared" si="654"/>
        <v>#NAME?</v>
      </c>
      <c r="X655" s="141"/>
    </row>
    <row r="656" ht="21.0" customHeight="1">
      <c r="A656" s="134">
        <v>5.0</v>
      </c>
      <c r="B656" s="6">
        <v>526.0</v>
      </c>
      <c r="C656" s="135">
        <v>1.0</v>
      </c>
      <c r="D656" s="136" t="s">
        <v>872</v>
      </c>
      <c r="E656" s="9" t="s">
        <v>873</v>
      </c>
      <c r="F656" s="109" t="str">
        <f t="shared" ref="F656:G656" si="655">TRANSLATE(D656,"lzh","vi")</f>
        <v>#NAME?</v>
      </c>
      <c r="G656" s="109" t="str">
        <f t="shared" si="655"/>
        <v>#NAME?</v>
      </c>
      <c r="X656" s="137"/>
    </row>
    <row r="657" ht="21.0" customHeight="1">
      <c r="A657" s="5">
        <v>5.0</v>
      </c>
      <c r="B657" s="6">
        <v>526.0</v>
      </c>
      <c r="C657" s="6">
        <v>1.0</v>
      </c>
      <c r="D657" s="116" t="s">
        <v>874</v>
      </c>
      <c r="E657" s="9" t="s">
        <v>873</v>
      </c>
      <c r="F657" s="109" t="str">
        <f t="shared" ref="F657:G657" si="656">TRANSLATE(D657,"lzh","vi")</f>
        <v>#NAME?</v>
      </c>
      <c r="G657" s="109" t="str">
        <f t="shared" si="656"/>
        <v>#NAME?</v>
      </c>
      <c r="X657" s="110"/>
    </row>
    <row r="658" ht="21.0" customHeight="1">
      <c r="A658" s="5">
        <v>5.0</v>
      </c>
      <c r="B658" s="6">
        <v>526.0</v>
      </c>
      <c r="C658" s="6">
        <v>1.0</v>
      </c>
      <c r="D658" s="116" t="s">
        <v>875</v>
      </c>
      <c r="E658" s="9" t="s">
        <v>873</v>
      </c>
      <c r="F658" s="109" t="str">
        <f t="shared" ref="F658:G658" si="657">TRANSLATE(D658,"lzh","vi")</f>
        <v>#NAME?</v>
      </c>
      <c r="G658" s="109" t="str">
        <f t="shared" si="657"/>
        <v>#NAME?</v>
      </c>
      <c r="X658" s="110"/>
    </row>
    <row r="659" ht="21.0" customHeight="1">
      <c r="A659" s="5">
        <v>5.0</v>
      </c>
      <c r="B659" s="6">
        <v>526.0</v>
      </c>
      <c r="C659" s="6">
        <v>1.0</v>
      </c>
      <c r="D659" s="116" t="s">
        <v>876</v>
      </c>
      <c r="E659" s="9" t="s">
        <v>873</v>
      </c>
      <c r="F659" s="109" t="str">
        <f t="shared" ref="F659:G659" si="658">TRANSLATE(D659,"lzh","vi")</f>
        <v>#NAME?</v>
      </c>
      <c r="G659" s="109" t="str">
        <f t="shared" si="658"/>
        <v>#NAME?</v>
      </c>
      <c r="X659" s="110"/>
    </row>
    <row r="660" ht="21.0" customHeight="1">
      <c r="A660" s="5">
        <v>5.0</v>
      </c>
      <c r="B660" s="6">
        <v>526.0</v>
      </c>
      <c r="C660" s="6">
        <v>1.0</v>
      </c>
      <c r="D660" s="116" t="s">
        <v>877</v>
      </c>
      <c r="E660" s="9" t="s">
        <v>873</v>
      </c>
      <c r="F660" s="109" t="str">
        <f t="shared" ref="F660:G660" si="659">TRANSLATE(D660,"lzh","vi")</f>
        <v>#NAME?</v>
      </c>
      <c r="G660" s="109" t="str">
        <f t="shared" si="659"/>
        <v>#NAME?</v>
      </c>
      <c r="X660" s="110"/>
    </row>
    <row r="661" ht="21.0" customHeight="1">
      <c r="A661" s="5">
        <v>5.0</v>
      </c>
      <c r="B661" s="6">
        <v>526.0</v>
      </c>
      <c r="C661" s="6">
        <v>1.0</v>
      </c>
      <c r="D661" s="116" t="s">
        <v>878</v>
      </c>
      <c r="E661" s="9" t="s">
        <v>873</v>
      </c>
      <c r="F661" s="109" t="str">
        <f t="shared" ref="F661:G661" si="660">TRANSLATE(D661,"lzh","vi")</f>
        <v>#NAME?</v>
      </c>
      <c r="G661" s="109" t="str">
        <f t="shared" si="660"/>
        <v>#NAME?</v>
      </c>
      <c r="X661" s="110"/>
    </row>
    <row r="662" ht="21.0" customHeight="1">
      <c r="A662" s="5">
        <v>5.0</v>
      </c>
      <c r="B662" s="6">
        <v>526.0</v>
      </c>
      <c r="C662" s="6">
        <v>1.0</v>
      </c>
      <c r="D662" s="116" t="s">
        <v>879</v>
      </c>
      <c r="E662" s="9" t="s">
        <v>873</v>
      </c>
      <c r="F662" s="109" t="str">
        <f t="shared" ref="F662:G662" si="661">TRANSLATE(D662,"lzh","vi")</f>
        <v>#NAME?</v>
      </c>
      <c r="G662" s="109" t="str">
        <f t="shared" si="661"/>
        <v>#NAME?</v>
      </c>
      <c r="X662" s="110"/>
    </row>
    <row r="663" ht="21.0" customHeight="1">
      <c r="A663" s="138">
        <v>5.0</v>
      </c>
      <c r="B663" s="6">
        <v>526.0</v>
      </c>
      <c r="C663" s="139">
        <v>1.0</v>
      </c>
      <c r="D663" s="140" t="s">
        <v>880</v>
      </c>
      <c r="E663" s="9" t="s">
        <v>873</v>
      </c>
      <c r="F663" s="109" t="str">
        <f t="shared" ref="F663:G663" si="662">TRANSLATE(D663,"lzh","vi")</f>
        <v>#NAME?</v>
      </c>
      <c r="G663" s="109" t="str">
        <f t="shared" si="662"/>
        <v>#NAME?</v>
      </c>
      <c r="X663" s="141"/>
    </row>
    <row r="664" ht="21.0" customHeight="1">
      <c r="A664" s="134">
        <v>5.0</v>
      </c>
      <c r="B664" s="6">
        <v>527.0</v>
      </c>
      <c r="C664" s="135">
        <v>1.0</v>
      </c>
      <c r="D664" s="136" t="s">
        <v>872</v>
      </c>
      <c r="E664" s="9" t="s">
        <v>873</v>
      </c>
      <c r="F664" s="109" t="str">
        <f t="shared" ref="F664:G664" si="663">TRANSLATE(D664,"lzh","vi")</f>
        <v>#NAME?</v>
      </c>
      <c r="G664" s="109" t="str">
        <f t="shared" si="663"/>
        <v>#NAME?</v>
      </c>
      <c r="X664" s="137"/>
    </row>
    <row r="665" ht="21.0" customHeight="1">
      <c r="A665" s="5">
        <v>5.0</v>
      </c>
      <c r="B665" s="6">
        <v>527.0</v>
      </c>
      <c r="C665" s="6">
        <v>1.0</v>
      </c>
      <c r="D665" s="116" t="s">
        <v>874</v>
      </c>
      <c r="E665" s="9" t="s">
        <v>873</v>
      </c>
      <c r="F665" s="109" t="str">
        <f t="shared" ref="F665:G665" si="664">TRANSLATE(D665,"lzh","vi")</f>
        <v>#NAME?</v>
      </c>
      <c r="G665" s="109" t="str">
        <f t="shared" si="664"/>
        <v>#NAME?</v>
      </c>
      <c r="X665" s="110"/>
    </row>
    <row r="666" ht="21.0" customHeight="1">
      <c r="A666" s="5">
        <v>5.0</v>
      </c>
      <c r="B666" s="6">
        <v>527.0</v>
      </c>
      <c r="C666" s="6">
        <v>1.0</v>
      </c>
      <c r="D666" s="116" t="s">
        <v>875</v>
      </c>
      <c r="E666" s="9" t="s">
        <v>873</v>
      </c>
      <c r="F666" s="109" t="str">
        <f t="shared" ref="F666:G666" si="665">TRANSLATE(D666,"lzh","vi")</f>
        <v>#NAME?</v>
      </c>
      <c r="G666" s="109" t="str">
        <f t="shared" si="665"/>
        <v>#NAME?</v>
      </c>
      <c r="X666" s="110"/>
    </row>
    <row r="667" ht="21.0" customHeight="1">
      <c r="A667" s="5">
        <v>5.0</v>
      </c>
      <c r="B667" s="6">
        <v>527.0</v>
      </c>
      <c r="C667" s="6">
        <v>1.0</v>
      </c>
      <c r="D667" s="116" t="s">
        <v>876</v>
      </c>
      <c r="E667" s="9" t="s">
        <v>873</v>
      </c>
      <c r="F667" s="109" t="str">
        <f t="shared" ref="F667:G667" si="666">TRANSLATE(D667,"lzh","vi")</f>
        <v>#NAME?</v>
      </c>
      <c r="G667" s="109" t="str">
        <f t="shared" si="666"/>
        <v>#NAME?</v>
      </c>
      <c r="X667" s="110"/>
    </row>
    <row r="668" ht="21.0" customHeight="1">
      <c r="A668" s="5">
        <v>5.0</v>
      </c>
      <c r="B668" s="6">
        <v>527.0</v>
      </c>
      <c r="C668" s="6">
        <v>1.0</v>
      </c>
      <c r="D668" s="116" t="s">
        <v>877</v>
      </c>
      <c r="E668" s="9" t="s">
        <v>873</v>
      </c>
      <c r="F668" s="109" t="str">
        <f t="shared" ref="F668:G668" si="667">TRANSLATE(D668,"lzh","vi")</f>
        <v>#NAME?</v>
      </c>
      <c r="G668" s="109" t="str">
        <f t="shared" si="667"/>
        <v>#NAME?</v>
      </c>
      <c r="X668" s="110"/>
    </row>
    <row r="669" ht="21.0" customHeight="1">
      <c r="A669" s="5">
        <v>5.0</v>
      </c>
      <c r="B669" s="6">
        <v>527.0</v>
      </c>
      <c r="C669" s="6">
        <v>1.0</v>
      </c>
      <c r="D669" s="116" t="s">
        <v>878</v>
      </c>
      <c r="E669" s="9" t="s">
        <v>873</v>
      </c>
      <c r="F669" s="109" t="str">
        <f t="shared" ref="F669:G669" si="668">TRANSLATE(D669,"lzh","vi")</f>
        <v>#NAME?</v>
      </c>
      <c r="G669" s="109" t="str">
        <f t="shared" si="668"/>
        <v>#NAME?</v>
      </c>
      <c r="X669" s="110"/>
    </row>
    <row r="670" ht="21.0" customHeight="1">
      <c r="A670" s="5">
        <v>5.0</v>
      </c>
      <c r="B670" s="6">
        <v>527.0</v>
      </c>
      <c r="C670" s="6">
        <v>1.0</v>
      </c>
      <c r="D670" s="116" t="s">
        <v>879</v>
      </c>
      <c r="E670" s="9" t="s">
        <v>873</v>
      </c>
      <c r="F670" s="109" t="str">
        <f t="shared" ref="F670:G670" si="669">TRANSLATE(D670,"lzh","vi")</f>
        <v>#NAME?</v>
      </c>
      <c r="G670" s="109" t="str">
        <f t="shared" si="669"/>
        <v>#NAME?</v>
      </c>
      <c r="X670" s="110"/>
    </row>
    <row r="671" ht="21.0" customHeight="1">
      <c r="A671" s="138">
        <v>5.0</v>
      </c>
      <c r="B671" s="6">
        <v>527.0</v>
      </c>
      <c r="C671" s="139">
        <v>1.0</v>
      </c>
      <c r="D671" s="140" t="s">
        <v>880</v>
      </c>
      <c r="E671" s="9" t="s">
        <v>873</v>
      </c>
      <c r="F671" s="109" t="str">
        <f t="shared" ref="F671:G671" si="670">TRANSLATE(D671,"lzh","vi")</f>
        <v>#NAME?</v>
      </c>
      <c r="G671" s="109" t="str">
        <f t="shared" si="670"/>
        <v>#NAME?</v>
      </c>
      <c r="X671" s="141"/>
    </row>
    <row r="672" ht="21.0" customHeight="1">
      <c r="A672" s="134">
        <v>5.0</v>
      </c>
      <c r="B672" s="6">
        <v>528.0</v>
      </c>
      <c r="C672" s="135">
        <v>1.0</v>
      </c>
      <c r="D672" s="136" t="s">
        <v>872</v>
      </c>
      <c r="E672" s="9" t="s">
        <v>873</v>
      </c>
      <c r="F672" s="109" t="str">
        <f t="shared" ref="F672:G672" si="671">TRANSLATE(D672,"lzh","vi")</f>
        <v>#NAME?</v>
      </c>
      <c r="G672" s="109" t="str">
        <f t="shared" si="671"/>
        <v>#NAME?</v>
      </c>
      <c r="X672" s="137"/>
    </row>
    <row r="673" ht="21.0" customHeight="1">
      <c r="A673" s="5">
        <v>5.0</v>
      </c>
      <c r="B673" s="6">
        <v>528.0</v>
      </c>
      <c r="C673" s="6">
        <v>1.0</v>
      </c>
      <c r="D673" s="116" t="s">
        <v>874</v>
      </c>
      <c r="E673" s="9" t="s">
        <v>873</v>
      </c>
      <c r="F673" s="109" t="str">
        <f t="shared" ref="F673:G673" si="672">TRANSLATE(D673,"lzh","vi")</f>
        <v>#NAME?</v>
      </c>
      <c r="G673" s="109" t="str">
        <f t="shared" si="672"/>
        <v>#NAME?</v>
      </c>
      <c r="X673" s="110"/>
    </row>
    <row r="674" ht="21.0" customHeight="1">
      <c r="A674" s="5">
        <v>5.0</v>
      </c>
      <c r="B674" s="6">
        <v>528.0</v>
      </c>
      <c r="C674" s="6">
        <v>1.0</v>
      </c>
      <c r="D674" s="116" t="s">
        <v>875</v>
      </c>
      <c r="E674" s="9" t="s">
        <v>873</v>
      </c>
      <c r="F674" s="109" t="str">
        <f t="shared" ref="F674:G674" si="673">TRANSLATE(D674,"lzh","vi")</f>
        <v>#NAME?</v>
      </c>
      <c r="G674" s="109" t="str">
        <f t="shared" si="673"/>
        <v>#NAME?</v>
      </c>
      <c r="X674" s="110"/>
    </row>
    <row r="675" ht="21.0" customHeight="1">
      <c r="A675" s="5">
        <v>5.0</v>
      </c>
      <c r="B675" s="6">
        <v>528.0</v>
      </c>
      <c r="C675" s="6">
        <v>1.0</v>
      </c>
      <c r="D675" s="116" t="s">
        <v>876</v>
      </c>
      <c r="E675" s="9" t="s">
        <v>873</v>
      </c>
      <c r="F675" s="109" t="str">
        <f t="shared" ref="F675:G675" si="674">TRANSLATE(D675,"lzh","vi")</f>
        <v>#NAME?</v>
      </c>
      <c r="G675" s="109" t="str">
        <f t="shared" si="674"/>
        <v>#NAME?</v>
      </c>
      <c r="X675" s="110"/>
    </row>
    <row r="676" ht="21.0" customHeight="1">
      <c r="A676" s="5">
        <v>5.0</v>
      </c>
      <c r="B676" s="6">
        <v>528.0</v>
      </c>
      <c r="C676" s="6">
        <v>1.0</v>
      </c>
      <c r="D676" s="116" t="s">
        <v>877</v>
      </c>
      <c r="E676" s="9" t="s">
        <v>873</v>
      </c>
      <c r="F676" s="109" t="str">
        <f t="shared" ref="F676:G676" si="675">TRANSLATE(D676,"lzh","vi")</f>
        <v>#NAME?</v>
      </c>
      <c r="G676" s="109" t="str">
        <f t="shared" si="675"/>
        <v>#NAME?</v>
      </c>
      <c r="X676" s="110"/>
    </row>
    <row r="677" ht="21.0" customHeight="1">
      <c r="A677" s="5">
        <v>5.0</v>
      </c>
      <c r="B677" s="6">
        <v>528.0</v>
      </c>
      <c r="C677" s="6">
        <v>1.0</v>
      </c>
      <c r="D677" s="116" t="s">
        <v>878</v>
      </c>
      <c r="E677" s="9" t="s">
        <v>873</v>
      </c>
      <c r="F677" s="109" t="str">
        <f t="shared" ref="F677:G677" si="676">TRANSLATE(D677,"lzh","vi")</f>
        <v>#NAME?</v>
      </c>
      <c r="G677" s="109" t="str">
        <f t="shared" si="676"/>
        <v>#NAME?</v>
      </c>
      <c r="X677" s="110"/>
    </row>
    <row r="678" ht="21.0" customHeight="1">
      <c r="A678" s="5">
        <v>5.0</v>
      </c>
      <c r="B678" s="6">
        <v>528.0</v>
      </c>
      <c r="C678" s="6">
        <v>1.0</v>
      </c>
      <c r="D678" s="116" t="s">
        <v>879</v>
      </c>
      <c r="E678" s="9" t="s">
        <v>873</v>
      </c>
      <c r="F678" s="109" t="str">
        <f t="shared" ref="F678:G678" si="677">TRANSLATE(D678,"lzh","vi")</f>
        <v>#NAME?</v>
      </c>
      <c r="G678" s="109" t="str">
        <f t="shared" si="677"/>
        <v>#NAME?</v>
      </c>
      <c r="X678" s="110"/>
    </row>
    <row r="679" ht="21.0" customHeight="1">
      <c r="A679" s="138">
        <v>5.0</v>
      </c>
      <c r="B679" s="142">
        <v>528.0</v>
      </c>
      <c r="C679" s="139">
        <v>1.0</v>
      </c>
      <c r="D679" s="140" t="s">
        <v>880</v>
      </c>
      <c r="E679" s="9" t="s">
        <v>873</v>
      </c>
      <c r="F679" s="109" t="str">
        <f t="shared" ref="F679:G679" si="678">TRANSLATE(D679,"lzh","vi")</f>
        <v>#NAME?</v>
      </c>
      <c r="G679" s="109" t="str">
        <f t="shared" si="678"/>
        <v>#NAME?</v>
      </c>
      <c r="X679" s="141"/>
    </row>
    <row r="680" ht="21.0" customHeight="1">
      <c r="A680" s="134">
        <v>5.0</v>
      </c>
      <c r="B680" s="135">
        <v>529.0</v>
      </c>
      <c r="C680" s="135">
        <v>1.0</v>
      </c>
      <c r="D680" s="136" t="s">
        <v>872</v>
      </c>
      <c r="E680" s="9" t="s">
        <v>873</v>
      </c>
      <c r="F680" s="109" t="str">
        <f t="shared" ref="F680:G680" si="679">TRANSLATE(D680,"lzh","vi")</f>
        <v>#NAME?</v>
      </c>
      <c r="G680" s="109" t="str">
        <f t="shared" si="679"/>
        <v>#NAME?</v>
      </c>
      <c r="X680" s="143"/>
    </row>
    <row r="681" ht="21.0" customHeight="1">
      <c r="A681" s="5">
        <v>5.0</v>
      </c>
      <c r="B681" s="6">
        <v>529.0</v>
      </c>
      <c r="C681" s="6">
        <v>1.0</v>
      </c>
      <c r="D681" s="116" t="s">
        <v>874</v>
      </c>
      <c r="E681" s="9" t="s">
        <v>873</v>
      </c>
      <c r="F681" s="109" t="str">
        <f t="shared" ref="F681:G681" si="680">TRANSLATE(D681,"lzh","vi")</f>
        <v>#NAME?</v>
      </c>
      <c r="G681" s="109" t="str">
        <f t="shared" si="680"/>
        <v>#NAME?</v>
      </c>
      <c r="X681" s="143"/>
    </row>
    <row r="682" ht="21.0" customHeight="1">
      <c r="A682" s="5">
        <v>5.0</v>
      </c>
      <c r="B682" s="6">
        <v>529.0</v>
      </c>
      <c r="C682" s="6">
        <v>1.0</v>
      </c>
      <c r="D682" s="116" t="s">
        <v>875</v>
      </c>
      <c r="E682" s="9" t="s">
        <v>873</v>
      </c>
      <c r="F682" s="109" t="str">
        <f t="shared" ref="F682:G682" si="681">TRANSLATE(D682,"lzh","vi")</f>
        <v>#NAME?</v>
      </c>
      <c r="G682" s="109" t="str">
        <f t="shared" si="681"/>
        <v>#NAME?</v>
      </c>
      <c r="X682" s="143"/>
    </row>
    <row r="683" ht="21.0" customHeight="1">
      <c r="A683" s="5">
        <v>5.0</v>
      </c>
      <c r="B683" s="6">
        <v>529.0</v>
      </c>
      <c r="C683" s="6">
        <v>1.0</v>
      </c>
      <c r="D683" s="116" t="s">
        <v>876</v>
      </c>
      <c r="E683" s="9" t="s">
        <v>873</v>
      </c>
      <c r="F683" s="109" t="str">
        <f t="shared" ref="F683:G683" si="682">TRANSLATE(D683,"lzh","vi")</f>
        <v>#NAME?</v>
      </c>
      <c r="G683" s="109" t="str">
        <f t="shared" si="682"/>
        <v>#NAME?</v>
      </c>
      <c r="X683" s="143"/>
    </row>
    <row r="684" ht="21.0" customHeight="1">
      <c r="A684" s="5">
        <v>5.0</v>
      </c>
      <c r="B684" s="6">
        <v>529.0</v>
      </c>
      <c r="C684" s="6">
        <v>1.0</v>
      </c>
      <c r="D684" s="116" t="s">
        <v>877</v>
      </c>
      <c r="E684" s="9" t="s">
        <v>873</v>
      </c>
      <c r="F684" s="109" t="str">
        <f t="shared" ref="F684:G684" si="683">TRANSLATE(D684,"lzh","vi")</f>
        <v>#NAME?</v>
      </c>
      <c r="G684" s="109" t="str">
        <f t="shared" si="683"/>
        <v>#NAME?</v>
      </c>
      <c r="X684" s="143"/>
    </row>
    <row r="685" ht="21.0" customHeight="1">
      <c r="A685" s="5">
        <v>5.0</v>
      </c>
      <c r="B685" s="6">
        <v>529.0</v>
      </c>
      <c r="C685" s="6">
        <v>1.0</v>
      </c>
      <c r="D685" s="116" t="s">
        <v>878</v>
      </c>
      <c r="E685" s="9" t="s">
        <v>873</v>
      </c>
      <c r="F685" s="109" t="str">
        <f t="shared" ref="F685:G685" si="684">TRANSLATE(D685,"lzh","vi")</f>
        <v>#NAME?</v>
      </c>
      <c r="G685" s="109" t="str">
        <f t="shared" si="684"/>
        <v>#NAME?</v>
      </c>
      <c r="X685" s="143"/>
    </row>
    <row r="686" ht="21.0" customHeight="1">
      <c r="A686" s="5">
        <v>5.0</v>
      </c>
      <c r="B686" s="6">
        <v>529.0</v>
      </c>
      <c r="C686" s="6">
        <v>1.0</v>
      </c>
      <c r="D686" s="116" t="s">
        <v>879</v>
      </c>
      <c r="E686" s="9" t="s">
        <v>873</v>
      </c>
      <c r="F686" s="109" t="str">
        <f t="shared" ref="F686:G686" si="685">TRANSLATE(D686,"lzh","vi")</f>
        <v>#NAME?</v>
      </c>
      <c r="G686" s="109" t="str">
        <f t="shared" si="685"/>
        <v>#NAME?</v>
      </c>
      <c r="X686" s="143"/>
    </row>
    <row r="687" ht="21.0" customHeight="1">
      <c r="A687" s="138">
        <v>5.0</v>
      </c>
      <c r="B687" s="139">
        <v>529.0</v>
      </c>
      <c r="C687" s="139">
        <v>1.0</v>
      </c>
      <c r="D687" s="140" t="s">
        <v>880</v>
      </c>
      <c r="E687" s="9" t="s">
        <v>873</v>
      </c>
      <c r="F687" s="109" t="str">
        <f t="shared" ref="F687:G687" si="686">TRANSLATE(D687,"lzh","vi")</f>
        <v>#NAME?</v>
      </c>
      <c r="G687" s="109" t="str">
        <f t="shared" si="686"/>
        <v>#NAME?</v>
      </c>
      <c r="X687" s="143"/>
    </row>
    <row r="688" ht="21.0" customHeight="1">
      <c r="A688" s="134">
        <v>5.0</v>
      </c>
      <c r="B688" s="135">
        <v>534.0</v>
      </c>
      <c r="C688" s="135">
        <v>1.0</v>
      </c>
      <c r="D688" s="136" t="s">
        <v>872</v>
      </c>
      <c r="E688" s="9" t="s">
        <v>873</v>
      </c>
      <c r="F688" s="109" t="str">
        <f t="shared" ref="F688:G688" si="687">TRANSLATE(D688,"lzh","vi")</f>
        <v>#NAME?</v>
      </c>
      <c r="G688" s="109" t="str">
        <f t="shared" si="687"/>
        <v>#NAME?</v>
      </c>
      <c r="X688" s="143"/>
    </row>
    <row r="689" ht="21.0" customHeight="1">
      <c r="A689" s="5">
        <v>5.0</v>
      </c>
      <c r="B689" s="6">
        <v>534.0</v>
      </c>
      <c r="C689" s="6">
        <v>1.0</v>
      </c>
      <c r="D689" s="116" t="s">
        <v>874</v>
      </c>
      <c r="E689" s="9" t="s">
        <v>873</v>
      </c>
      <c r="F689" s="109" t="str">
        <f t="shared" ref="F689:G689" si="688">TRANSLATE(D689,"lzh","vi")</f>
        <v>#NAME?</v>
      </c>
      <c r="G689" s="109" t="str">
        <f t="shared" si="688"/>
        <v>#NAME?</v>
      </c>
      <c r="X689" s="143"/>
    </row>
    <row r="690" ht="21.0" customHeight="1">
      <c r="A690" s="5">
        <v>5.0</v>
      </c>
      <c r="B690" s="6">
        <v>534.0</v>
      </c>
      <c r="C690" s="6">
        <v>1.0</v>
      </c>
      <c r="D690" s="116" t="s">
        <v>875</v>
      </c>
      <c r="E690" s="9" t="s">
        <v>873</v>
      </c>
      <c r="F690" s="109" t="str">
        <f t="shared" ref="F690:G690" si="689">TRANSLATE(D690,"lzh","vi")</f>
        <v>#NAME?</v>
      </c>
      <c r="G690" s="109" t="str">
        <f t="shared" si="689"/>
        <v>#NAME?</v>
      </c>
      <c r="X690" s="143"/>
    </row>
    <row r="691" ht="21.0" customHeight="1">
      <c r="A691" s="5">
        <v>5.0</v>
      </c>
      <c r="B691" s="6">
        <v>534.0</v>
      </c>
      <c r="C691" s="6">
        <v>1.0</v>
      </c>
      <c r="D691" s="116" t="s">
        <v>876</v>
      </c>
      <c r="E691" s="9" t="s">
        <v>873</v>
      </c>
      <c r="F691" s="109" t="str">
        <f t="shared" ref="F691:G691" si="690">TRANSLATE(D691,"lzh","vi")</f>
        <v>#NAME?</v>
      </c>
      <c r="G691" s="109" t="str">
        <f t="shared" si="690"/>
        <v>#NAME?</v>
      </c>
      <c r="X691" s="143"/>
    </row>
    <row r="692" ht="21.0" customHeight="1">
      <c r="A692" s="5">
        <v>5.0</v>
      </c>
      <c r="B692" s="6">
        <v>534.0</v>
      </c>
      <c r="C692" s="6">
        <v>1.0</v>
      </c>
      <c r="D692" s="116" t="s">
        <v>877</v>
      </c>
      <c r="E692" s="9" t="s">
        <v>873</v>
      </c>
      <c r="F692" s="109" t="str">
        <f t="shared" ref="F692:G692" si="691">TRANSLATE(D692,"lzh","vi")</f>
        <v>#NAME?</v>
      </c>
      <c r="G692" s="109" t="str">
        <f t="shared" si="691"/>
        <v>#NAME?</v>
      </c>
      <c r="X692" s="143"/>
    </row>
    <row r="693" ht="21.0" customHeight="1">
      <c r="A693" s="5">
        <v>5.0</v>
      </c>
      <c r="B693" s="6">
        <v>534.0</v>
      </c>
      <c r="C693" s="6">
        <v>1.0</v>
      </c>
      <c r="D693" s="116" t="s">
        <v>878</v>
      </c>
      <c r="E693" s="9" t="s">
        <v>873</v>
      </c>
      <c r="F693" s="109" t="str">
        <f t="shared" ref="F693:G693" si="692">TRANSLATE(D693,"lzh","vi")</f>
        <v>#NAME?</v>
      </c>
      <c r="G693" s="109" t="str">
        <f t="shared" si="692"/>
        <v>#NAME?</v>
      </c>
      <c r="X693" s="143"/>
    </row>
    <row r="694" ht="21.0" customHeight="1">
      <c r="A694" s="5">
        <v>5.0</v>
      </c>
      <c r="B694" s="6">
        <v>534.0</v>
      </c>
      <c r="C694" s="6">
        <v>1.0</v>
      </c>
      <c r="D694" s="116" t="s">
        <v>879</v>
      </c>
      <c r="E694" s="9" t="s">
        <v>873</v>
      </c>
      <c r="F694" s="109" t="str">
        <f t="shared" ref="F694:G694" si="693">TRANSLATE(D694,"lzh","vi")</f>
        <v>#NAME?</v>
      </c>
      <c r="G694" s="109" t="str">
        <f t="shared" si="693"/>
        <v>#NAME?</v>
      </c>
      <c r="X694" s="143"/>
    </row>
    <row r="695" ht="21.0" customHeight="1">
      <c r="A695" s="138">
        <v>5.0</v>
      </c>
      <c r="B695" s="139">
        <v>534.0</v>
      </c>
      <c r="C695" s="139">
        <v>1.0</v>
      </c>
      <c r="D695" s="140" t="s">
        <v>880</v>
      </c>
      <c r="E695" s="9" t="s">
        <v>873</v>
      </c>
      <c r="F695" s="109" t="str">
        <f t="shared" ref="F695:G695" si="694">TRANSLATE(D695,"lzh","vi")</f>
        <v>#NAME?</v>
      </c>
      <c r="G695" s="109" t="str">
        <f t="shared" si="694"/>
        <v>#NAME?</v>
      </c>
      <c r="X695" s="143"/>
    </row>
    <row r="696" ht="21.0" customHeight="1">
      <c r="A696" s="134">
        <v>5.0</v>
      </c>
      <c r="B696" s="135">
        <v>535.0</v>
      </c>
      <c r="C696" s="135">
        <v>1.0</v>
      </c>
      <c r="D696" s="136" t="s">
        <v>872</v>
      </c>
      <c r="E696" s="9" t="s">
        <v>873</v>
      </c>
      <c r="F696" s="109" t="str">
        <f t="shared" ref="F696:G696" si="695">TRANSLATE(D696,"lzh","vi")</f>
        <v>#NAME?</v>
      </c>
      <c r="G696" s="109" t="str">
        <f t="shared" si="695"/>
        <v>#NAME?</v>
      </c>
      <c r="X696" s="143"/>
    </row>
    <row r="697" ht="21.0" customHeight="1">
      <c r="A697" s="5">
        <v>5.0</v>
      </c>
      <c r="B697" s="6">
        <v>535.0</v>
      </c>
      <c r="C697" s="6">
        <v>1.0</v>
      </c>
      <c r="D697" s="116" t="s">
        <v>874</v>
      </c>
      <c r="E697" s="9" t="s">
        <v>873</v>
      </c>
      <c r="F697" s="109" t="str">
        <f t="shared" ref="F697:G697" si="696">TRANSLATE(D697,"lzh","vi")</f>
        <v>#NAME?</v>
      </c>
      <c r="G697" s="109" t="str">
        <f t="shared" si="696"/>
        <v>#NAME?</v>
      </c>
      <c r="X697" s="143"/>
    </row>
    <row r="698" ht="21.0" customHeight="1">
      <c r="A698" s="5">
        <v>5.0</v>
      </c>
      <c r="B698" s="6">
        <v>535.0</v>
      </c>
      <c r="C698" s="6">
        <v>1.0</v>
      </c>
      <c r="D698" s="116" t="s">
        <v>875</v>
      </c>
      <c r="E698" s="9" t="s">
        <v>873</v>
      </c>
      <c r="F698" s="109" t="str">
        <f t="shared" ref="F698:G698" si="697">TRANSLATE(D698,"lzh","vi")</f>
        <v>#NAME?</v>
      </c>
      <c r="G698" s="109" t="str">
        <f t="shared" si="697"/>
        <v>#NAME?</v>
      </c>
      <c r="X698" s="143"/>
    </row>
    <row r="699" ht="21.0" customHeight="1">
      <c r="A699" s="5">
        <v>5.0</v>
      </c>
      <c r="B699" s="6">
        <v>535.0</v>
      </c>
      <c r="C699" s="6">
        <v>1.0</v>
      </c>
      <c r="D699" s="116" t="s">
        <v>876</v>
      </c>
      <c r="E699" s="9" t="s">
        <v>873</v>
      </c>
      <c r="F699" s="109" t="str">
        <f t="shared" ref="F699:G699" si="698">TRANSLATE(D699,"lzh","vi")</f>
        <v>#NAME?</v>
      </c>
      <c r="G699" s="109" t="str">
        <f t="shared" si="698"/>
        <v>#NAME?</v>
      </c>
      <c r="X699" s="143"/>
    </row>
    <row r="700" ht="21.0" customHeight="1">
      <c r="A700" s="5">
        <v>5.0</v>
      </c>
      <c r="B700" s="6">
        <v>535.0</v>
      </c>
      <c r="C700" s="6">
        <v>1.0</v>
      </c>
      <c r="D700" s="116" t="s">
        <v>877</v>
      </c>
      <c r="E700" s="9" t="s">
        <v>873</v>
      </c>
      <c r="F700" s="109" t="str">
        <f t="shared" ref="F700:G700" si="699">TRANSLATE(D700,"lzh","vi")</f>
        <v>#NAME?</v>
      </c>
      <c r="G700" s="109" t="str">
        <f t="shared" si="699"/>
        <v>#NAME?</v>
      </c>
      <c r="X700" s="143"/>
    </row>
    <row r="701" ht="21.0" customHeight="1">
      <c r="A701" s="5">
        <v>5.0</v>
      </c>
      <c r="B701" s="6">
        <v>535.0</v>
      </c>
      <c r="C701" s="6">
        <v>1.0</v>
      </c>
      <c r="D701" s="116" t="s">
        <v>878</v>
      </c>
      <c r="E701" s="9" t="s">
        <v>873</v>
      </c>
      <c r="F701" s="109" t="str">
        <f t="shared" ref="F701:G701" si="700">TRANSLATE(D701,"lzh","vi")</f>
        <v>#NAME?</v>
      </c>
      <c r="G701" s="109" t="str">
        <f t="shared" si="700"/>
        <v>#NAME?</v>
      </c>
      <c r="X701" s="143"/>
    </row>
    <row r="702" ht="21.0" customHeight="1">
      <c r="A702" s="5">
        <v>5.0</v>
      </c>
      <c r="B702" s="6">
        <v>535.0</v>
      </c>
      <c r="C702" s="6">
        <v>1.0</v>
      </c>
      <c r="D702" s="116" t="s">
        <v>879</v>
      </c>
      <c r="E702" s="9" t="s">
        <v>873</v>
      </c>
      <c r="F702" s="109" t="str">
        <f t="shared" ref="F702:G702" si="701">TRANSLATE(D702,"lzh","vi")</f>
        <v>#NAME?</v>
      </c>
      <c r="G702" s="109" t="str">
        <f t="shared" si="701"/>
        <v>#NAME?</v>
      </c>
      <c r="X702" s="143"/>
    </row>
    <row r="703" ht="21.0" customHeight="1">
      <c r="A703" s="138">
        <v>5.0</v>
      </c>
      <c r="B703" s="139">
        <v>535.0</v>
      </c>
      <c r="C703" s="139">
        <v>1.0</v>
      </c>
      <c r="D703" s="140" t="s">
        <v>880</v>
      </c>
      <c r="E703" s="9" t="s">
        <v>873</v>
      </c>
      <c r="F703" s="109" t="str">
        <f t="shared" ref="F703:G703" si="702">TRANSLATE(D703,"lzh","vi")</f>
        <v>#NAME?</v>
      </c>
      <c r="G703" s="109" t="str">
        <f t="shared" si="702"/>
        <v>#NAME?</v>
      </c>
      <c r="X703" s="143"/>
    </row>
    <row r="704" ht="21.0" customHeight="1">
      <c r="A704" s="134">
        <v>5.0</v>
      </c>
      <c r="B704" s="135">
        <v>536.0</v>
      </c>
      <c r="C704" s="135">
        <v>1.0</v>
      </c>
      <c r="D704" s="136" t="s">
        <v>872</v>
      </c>
      <c r="E704" s="9" t="s">
        <v>873</v>
      </c>
      <c r="F704" s="109" t="str">
        <f t="shared" ref="F704:G704" si="703">TRANSLATE(D704,"lzh","vi")</f>
        <v>#NAME?</v>
      </c>
      <c r="G704" s="109" t="str">
        <f t="shared" si="703"/>
        <v>#NAME?</v>
      </c>
      <c r="X704" s="143"/>
    </row>
    <row r="705" ht="21.0" customHeight="1">
      <c r="A705" s="5">
        <v>5.0</v>
      </c>
      <c r="B705" s="6">
        <v>536.0</v>
      </c>
      <c r="C705" s="6">
        <v>1.0</v>
      </c>
      <c r="D705" s="116" t="s">
        <v>874</v>
      </c>
      <c r="E705" s="9" t="s">
        <v>873</v>
      </c>
      <c r="F705" s="109" t="str">
        <f t="shared" ref="F705:G705" si="704">TRANSLATE(D705,"lzh","vi")</f>
        <v>#NAME?</v>
      </c>
      <c r="G705" s="109" t="str">
        <f t="shared" si="704"/>
        <v>#NAME?</v>
      </c>
      <c r="X705" s="143"/>
    </row>
    <row r="706" ht="21.0" customHeight="1">
      <c r="A706" s="5">
        <v>5.0</v>
      </c>
      <c r="B706" s="6">
        <v>536.0</v>
      </c>
      <c r="C706" s="6">
        <v>1.0</v>
      </c>
      <c r="D706" s="116" t="s">
        <v>875</v>
      </c>
      <c r="E706" s="9" t="s">
        <v>873</v>
      </c>
      <c r="F706" s="109" t="str">
        <f t="shared" ref="F706:G706" si="705">TRANSLATE(D706,"lzh","vi")</f>
        <v>#NAME?</v>
      </c>
      <c r="G706" s="109" t="str">
        <f t="shared" si="705"/>
        <v>#NAME?</v>
      </c>
      <c r="X706" s="143"/>
    </row>
    <row r="707" ht="21.0" customHeight="1">
      <c r="A707" s="5">
        <v>5.0</v>
      </c>
      <c r="B707" s="6">
        <v>536.0</v>
      </c>
      <c r="C707" s="6">
        <v>1.0</v>
      </c>
      <c r="D707" s="116" t="s">
        <v>876</v>
      </c>
      <c r="E707" s="9" t="s">
        <v>873</v>
      </c>
      <c r="F707" s="109" t="str">
        <f t="shared" ref="F707:G707" si="706">TRANSLATE(D707,"lzh","vi")</f>
        <v>#NAME?</v>
      </c>
      <c r="G707" s="109" t="str">
        <f t="shared" si="706"/>
        <v>#NAME?</v>
      </c>
      <c r="X707" s="143"/>
    </row>
    <row r="708" ht="21.0" customHeight="1">
      <c r="A708" s="5">
        <v>5.0</v>
      </c>
      <c r="B708" s="6">
        <v>536.0</v>
      </c>
      <c r="C708" s="6">
        <v>1.0</v>
      </c>
      <c r="D708" s="116" t="s">
        <v>877</v>
      </c>
      <c r="E708" s="9" t="s">
        <v>873</v>
      </c>
      <c r="F708" s="109" t="str">
        <f t="shared" ref="F708:G708" si="707">TRANSLATE(D708,"lzh","vi")</f>
        <v>#NAME?</v>
      </c>
      <c r="G708" s="109" t="str">
        <f t="shared" si="707"/>
        <v>#NAME?</v>
      </c>
      <c r="X708" s="143"/>
    </row>
    <row r="709" ht="21.0" customHeight="1">
      <c r="A709" s="5">
        <v>5.0</v>
      </c>
      <c r="B709" s="6">
        <v>536.0</v>
      </c>
      <c r="C709" s="6">
        <v>1.0</v>
      </c>
      <c r="D709" s="116" t="s">
        <v>878</v>
      </c>
      <c r="E709" s="9" t="s">
        <v>873</v>
      </c>
      <c r="F709" s="109" t="str">
        <f t="shared" ref="F709:G709" si="708">TRANSLATE(D709,"lzh","vi")</f>
        <v>#NAME?</v>
      </c>
      <c r="G709" s="109" t="str">
        <f t="shared" si="708"/>
        <v>#NAME?</v>
      </c>
      <c r="X709" s="143"/>
    </row>
    <row r="710" ht="21.0" customHeight="1">
      <c r="A710" s="5">
        <v>5.0</v>
      </c>
      <c r="B710" s="6">
        <v>536.0</v>
      </c>
      <c r="C710" s="6">
        <v>1.0</v>
      </c>
      <c r="D710" s="116" t="s">
        <v>879</v>
      </c>
      <c r="E710" s="9" t="s">
        <v>873</v>
      </c>
      <c r="F710" s="109" t="str">
        <f t="shared" ref="F710:G710" si="709">TRANSLATE(D710,"lzh","vi")</f>
        <v>#NAME?</v>
      </c>
      <c r="G710" s="109" t="str">
        <f t="shared" si="709"/>
        <v>#NAME?</v>
      </c>
      <c r="X710" s="143"/>
    </row>
    <row r="711" ht="21.0" customHeight="1">
      <c r="A711" s="138">
        <v>5.0</v>
      </c>
      <c r="B711" s="139">
        <v>536.0</v>
      </c>
      <c r="C711" s="139">
        <v>1.0</v>
      </c>
      <c r="D711" s="140" t="s">
        <v>880</v>
      </c>
      <c r="E711" s="9" t="s">
        <v>873</v>
      </c>
      <c r="F711" s="109" t="str">
        <f t="shared" ref="F711:G711" si="710">TRANSLATE(D711,"lzh","vi")</f>
        <v>#NAME?</v>
      </c>
      <c r="G711" s="109" t="str">
        <f t="shared" si="710"/>
        <v>#NAME?</v>
      </c>
      <c r="X711" s="143"/>
    </row>
    <row r="712" ht="21.0" customHeight="1">
      <c r="A712" s="134">
        <v>5.0</v>
      </c>
      <c r="B712" s="135">
        <v>533.0</v>
      </c>
      <c r="C712" s="135">
        <v>1.0</v>
      </c>
      <c r="D712" s="136" t="s">
        <v>872</v>
      </c>
      <c r="E712" s="9" t="s">
        <v>873</v>
      </c>
      <c r="F712" s="109" t="str">
        <f t="shared" ref="F712:G712" si="711">TRANSLATE(D712,"lzh","vi")</f>
        <v>#NAME?</v>
      </c>
      <c r="G712" s="109" t="str">
        <f t="shared" si="711"/>
        <v>#NAME?</v>
      </c>
      <c r="X712" s="143"/>
    </row>
    <row r="713" ht="21.0" customHeight="1">
      <c r="A713" s="5">
        <v>5.0</v>
      </c>
      <c r="B713" s="6">
        <v>533.0</v>
      </c>
      <c r="C713" s="6">
        <v>1.0</v>
      </c>
      <c r="D713" s="116" t="s">
        <v>874</v>
      </c>
      <c r="E713" s="9" t="s">
        <v>873</v>
      </c>
      <c r="F713" s="109" t="str">
        <f t="shared" ref="F713:G713" si="712">TRANSLATE(D713,"lzh","vi")</f>
        <v>#NAME?</v>
      </c>
      <c r="G713" s="109" t="str">
        <f t="shared" si="712"/>
        <v>#NAME?</v>
      </c>
      <c r="X713" s="143"/>
    </row>
    <row r="714" ht="21.0" customHeight="1">
      <c r="A714" s="5">
        <v>5.0</v>
      </c>
      <c r="B714" s="6">
        <v>533.0</v>
      </c>
      <c r="C714" s="6">
        <v>1.0</v>
      </c>
      <c r="D714" s="116" t="s">
        <v>875</v>
      </c>
      <c r="E714" s="9" t="s">
        <v>873</v>
      </c>
      <c r="F714" s="109" t="str">
        <f t="shared" ref="F714:G714" si="713">TRANSLATE(D714,"lzh","vi")</f>
        <v>#NAME?</v>
      </c>
      <c r="G714" s="109" t="str">
        <f t="shared" si="713"/>
        <v>#NAME?</v>
      </c>
      <c r="X714" s="143"/>
    </row>
    <row r="715" ht="21.0" customHeight="1">
      <c r="A715" s="5">
        <v>5.0</v>
      </c>
      <c r="B715" s="6">
        <v>533.0</v>
      </c>
      <c r="C715" s="6">
        <v>1.0</v>
      </c>
      <c r="D715" s="116" t="s">
        <v>876</v>
      </c>
      <c r="E715" s="9" t="s">
        <v>873</v>
      </c>
      <c r="F715" s="109" t="str">
        <f t="shared" ref="F715:G715" si="714">TRANSLATE(D715,"lzh","vi")</f>
        <v>#NAME?</v>
      </c>
      <c r="G715" s="109" t="str">
        <f t="shared" si="714"/>
        <v>#NAME?</v>
      </c>
      <c r="X715" s="143"/>
    </row>
    <row r="716" ht="21.0" customHeight="1">
      <c r="A716" s="5">
        <v>5.0</v>
      </c>
      <c r="B716" s="6">
        <v>533.0</v>
      </c>
      <c r="C716" s="6">
        <v>1.0</v>
      </c>
      <c r="D716" s="116" t="s">
        <v>877</v>
      </c>
      <c r="E716" s="9" t="s">
        <v>873</v>
      </c>
      <c r="F716" s="109" t="str">
        <f t="shared" ref="F716:G716" si="715">TRANSLATE(D716,"lzh","vi")</f>
        <v>#NAME?</v>
      </c>
      <c r="G716" s="109" t="str">
        <f t="shared" si="715"/>
        <v>#NAME?</v>
      </c>
      <c r="X716" s="143"/>
    </row>
    <row r="717" ht="21.0" customHeight="1">
      <c r="A717" s="5">
        <v>5.0</v>
      </c>
      <c r="B717" s="6">
        <v>533.0</v>
      </c>
      <c r="C717" s="6">
        <v>1.0</v>
      </c>
      <c r="D717" s="116" t="s">
        <v>878</v>
      </c>
      <c r="E717" s="9" t="s">
        <v>873</v>
      </c>
      <c r="F717" s="109" t="str">
        <f t="shared" ref="F717:G717" si="716">TRANSLATE(D717,"lzh","vi")</f>
        <v>#NAME?</v>
      </c>
      <c r="G717" s="109" t="str">
        <f t="shared" si="716"/>
        <v>#NAME?</v>
      </c>
      <c r="X717" s="143"/>
    </row>
    <row r="718" ht="21.0" customHeight="1">
      <c r="A718" s="5">
        <v>5.0</v>
      </c>
      <c r="B718" s="6">
        <v>533.0</v>
      </c>
      <c r="C718" s="6">
        <v>1.0</v>
      </c>
      <c r="D718" s="116" t="s">
        <v>879</v>
      </c>
      <c r="E718" s="9" t="s">
        <v>873</v>
      </c>
      <c r="F718" s="109" t="str">
        <f t="shared" ref="F718:G718" si="717">TRANSLATE(D718,"lzh","vi")</f>
        <v>#NAME?</v>
      </c>
      <c r="G718" s="109" t="str">
        <f t="shared" si="717"/>
        <v>#NAME?</v>
      </c>
      <c r="X718" s="143"/>
    </row>
    <row r="719" ht="21.0" customHeight="1">
      <c r="A719" s="138">
        <v>5.0</v>
      </c>
      <c r="B719" s="139">
        <v>533.0</v>
      </c>
      <c r="C719" s="139">
        <v>1.0</v>
      </c>
      <c r="D719" s="140" t="s">
        <v>880</v>
      </c>
      <c r="E719" s="9" t="s">
        <v>873</v>
      </c>
      <c r="F719" s="109" t="str">
        <f t="shared" ref="F719:G719" si="718">TRANSLATE(D719,"lzh","vi")</f>
        <v>#NAME?</v>
      </c>
      <c r="G719" s="109" t="str">
        <f t="shared" si="718"/>
        <v>#NAME?</v>
      </c>
      <c r="X719" s="143"/>
    </row>
    <row r="720" ht="21.0" customHeight="1">
      <c r="A720" s="134">
        <v>5.0</v>
      </c>
      <c r="B720" s="135">
        <v>537.0</v>
      </c>
      <c r="C720" s="135">
        <v>1.0</v>
      </c>
      <c r="D720" s="136" t="s">
        <v>872</v>
      </c>
      <c r="E720" s="9" t="s">
        <v>873</v>
      </c>
      <c r="F720" s="109" t="str">
        <f t="shared" ref="F720:G720" si="719">TRANSLATE(D720,"lzh","vi")</f>
        <v>#NAME?</v>
      </c>
      <c r="G720" s="109" t="str">
        <f t="shared" si="719"/>
        <v>#NAME?</v>
      </c>
      <c r="X720" s="143"/>
    </row>
    <row r="721" ht="21.0" customHeight="1">
      <c r="A721" s="5">
        <v>5.0</v>
      </c>
      <c r="B721" s="135">
        <v>537.0</v>
      </c>
      <c r="C721" s="6">
        <v>1.0</v>
      </c>
      <c r="D721" s="116" t="s">
        <v>874</v>
      </c>
      <c r="E721" s="9" t="s">
        <v>873</v>
      </c>
      <c r="F721" s="109" t="str">
        <f t="shared" ref="F721:G721" si="720">TRANSLATE(D721,"lzh","vi")</f>
        <v>#NAME?</v>
      </c>
      <c r="G721" s="109" t="str">
        <f t="shared" si="720"/>
        <v>#NAME?</v>
      </c>
      <c r="X721" s="143"/>
    </row>
    <row r="722" ht="21.0" customHeight="1">
      <c r="A722" s="5">
        <v>5.0</v>
      </c>
      <c r="B722" s="135">
        <v>537.0</v>
      </c>
      <c r="C722" s="6">
        <v>1.0</v>
      </c>
      <c r="D722" s="116" t="s">
        <v>875</v>
      </c>
      <c r="E722" s="9" t="s">
        <v>873</v>
      </c>
      <c r="F722" s="109" t="str">
        <f t="shared" ref="F722:G722" si="721">TRANSLATE(D722,"lzh","vi")</f>
        <v>#NAME?</v>
      </c>
      <c r="G722" s="109" t="str">
        <f t="shared" si="721"/>
        <v>#NAME?</v>
      </c>
      <c r="X722" s="143"/>
    </row>
    <row r="723" ht="21.0" customHeight="1">
      <c r="A723" s="5">
        <v>5.0</v>
      </c>
      <c r="B723" s="135">
        <v>537.0</v>
      </c>
      <c r="C723" s="6">
        <v>1.0</v>
      </c>
      <c r="D723" s="116" t="s">
        <v>876</v>
      </c>
      <c r="E723" s="9" t="s">
        <v>873</v>
      </c>
      <c r="F723" s="109" t="str">
        <f t="shared" ref="F723:G723" si="722">TRANSLATE(D723,"lzh","vi")</f>
        <v>#NAME?</v>
      </c>
      <c r="G723" s="109" t="str">
        <f t="shared" si="722"/>
        <v>#NAME?</v>
      </c>
      <c r="X723" s="143"/>
    </row>
    <row r="724" ht="21.0" customHeight="1">
      <c r="A724" s="5">
        <v>5.0</v>
      </c>
      <c r="B724" s="135">
        <v>537.0</v>
      </c>
      <c r="C724" s="6">
        <v>1.0</v>
      </c>
      <c r="D724" s="116" t="s">
        <v>877</v>
      </c>
      <c r="E724" s="9" t="s">
        <v>873</v>
      </c>
      <c r="F724" s="109" t="str">
        <f t="shared" ref="F724:G724" si="723">TRANSLATE(D724,"lzh","vi")</f>
        <v>#NAME?</v>
      </c>
      <c r="G724" s="109" t="str">
        <f t="shared" si="723"/>
        <v>#NAME?</v>
      </c>
      <c r="X724" s="143"/>
    </row>
    <row r="725" ht="21.0" customHeight="1">
      <c r="A725" s="5">
        <v>5.0</v>
      </c>
      <c r="B725" s="135">
        <v>537.0</v>
      </c>
      <c r="C725" s="6">
        <v>1.0</v>
      </c>
      <c r="D725" s="116" t="s">
        <v>878</v>
      </c>
      <c r="E725" s="9" t="s">
        <v>873</v>
      </c>
      <c r="F725" s="109" t="str">
        <f t="shared" ref="F725:G725" si="724">TRANSLATE(D725,"lzh","vi")</f>
        <v>#NAME?</v>
      </c>
      <c r="G725" s="109" t="str">
        <f t="shared" si="724"/>
        <v>#NAME?</v>
      </c>
      <c r="X725" s="143"/>
    </row>
    <row r="726" ht="21.0" customHeight="1">
      <c r="A726" s="5">
        <v>5.0</v>
      </c>
      <c r="B726" s="135">
        <v>537.0</v>
      </c>
      <c r="C726" s="6">
        <v>1.0</v>
      </c>
      <c r="D726" s="116" t="s">
        <v>879</v>
      </c>
      <c r="E726" s="9" t="s">
        <v>873</v>
      </c>
      <c r="F726" s="109" t="str">
        <f t="shared" ref="F726:G726" si="725">TRANSLATE(D726,"lzh","vi")</f>
        <v>#NAME?</v>
      </c>
      <c r="G726" s="109" t="str">
        <f t="shared" si="725"/>
        <v>#NAME?</v>
      </c>
      <c r="X726" s="143"/>
    </row>
    <row r="727" ht="21.0" customHeight="1">
      <c r="A727" s="138">
        <v>5.0</v>
      </c>
      <c r="B727" s="135">
        <v>537.0</v>
      </c>
      <c r="C727" s="139">
        <v>1.0</v>
      </c>
      <c r="D727" s="140" t="s">
        <v>880</v>
      </c>
      <c r="E727" s="9" t="s">
        <v>873</v>
      </c>
      <c r="F727" s="109" t="str">
        <f t="shared" ref="F727:G727" si="726">TRANSLATE(D727,"lzh","vi")</f>
        <v>#NAME?</v>
      </c>
      <c r="G727" s="109" t="str">
        <f t="shared" si="726"/>
        <v>#NAME?</v>
      </c>
      <c r="X727" s="143"/>
    </row>
    <row r="728" ht="21.0" customHeight="1">
      <c r="A728" s="134">
        <v>5.0</v>
      </c>
      <c r="B728" s="135">
        <v>538.0</v>
      </c>
      <c r="C728" s="135">
        <v>1.0</v>
      </c>
      <c r="D728" s="136" t="s">
        <v>872</v>
      </c>
      <c r="E728" s="9" t="s">
        <v>873</v>
      </c>
      <c r="F728" s="109" t="str">
        <f t="shared" ref="F728:G728" si="727">TRANSLATE(D728,"lzh","vi")</f>
        <v>#NAME?</v>
      </c>
      <c r="G728" s="109" t="str">
        <f t="shared" si="727"/>
        <v>#NAME?</v>
      </c>
      <c r="X728" s="143"/>
    </row>
    <row r="729" ht="21.0" customHeight="1">
      <c r="A729" s="5">
        <v>5.0</v>
      </c>
      <c r="B729" s="135">
        <v>538.0</v>
      </c>
      <c r="C729" s="6">
        <v>1.0</v>
      </c>
      <c r="D729" s="116" t="s">
        <v>874</v>
      </c>
      <c r="E729" s="9" t="s">
        <v>873</v>
      </c>
      <c r="F729" s="109" t="str">
        <f t="shared" ref="F729:G729" si="728">TRANSLATE(D729,"lzh","vi")</f>
        <v>#NAME?</v>
      </c>
      <c r="G729" s="109" t="str">
        <f t="shared" si="728"/>
        <v>#NAME?</v>
      </c>
      <c r="X729" s="143"/>
    </row>
    <row r="730" ht="21.0" customHeight="1">
      <c r="A730" s="5">
        <v>5.0</v>
      </c>
      <c r="B730" s="135">
        <v>538.0</v>
      </c>
      <c r="C730" s="6">
        <v>1.0</v>
      </c>
      <c r="D730" s="116" t="s">
        <v>875</v>
      </c>
      <c r="E730" s="9" t="s">
        <v>873</v>
      </c>
      <c r="F730" s="109" t="str">
        <f t="shared" ref="F730:G730" si="729">TRANSLATE(D730,"lzh","vi")</f>
        <v>#NAME?</v>
      </c>
      <c r="G730" s="109" t="str">
        <f t="shared" si="729"/>
        <v>#NAME?</v>
      </c>
      <c r="X730" s="143"/>
    </row>
    <row r="731" ht="21.0" customHeight="1">
      <c r="A731" s="5">
        <v>5.0</v>
      </c>
      <c r="B731" s="135">
        <v>538.0</v>
      </c>
      <c r="C731" s="6">
        <v>1.0</v>
      </c>
      <c r="D731" s="116" t="s">
        <v>876</v>
      </c>
      <c r="E731" s="9" t="s">
        <v>873</v>
      </c>
      <c r="F731" s="109" t="str">
        <f t="shared" ref="F731:G731" si="730">TRANSLATE(D731,"lzh","vi")</f>
        <v>#NAME?</v>
      </c>
      <c r="G731" s="109" t="str">
        <f t="shared" si="730"/>
        <v>#NAME?</v>
      </c>
      <c r="X731" s="143"/>
    </row>
    <row r="732" ht="21.0" customHeight="1">
      <c r="A732" s="5">
        <v>5.0</v>
      </c>
      <c r="B732" s="135">
        <v>538.0</v>
      </c>
      <c r="C732" s="6">
        <v>1.0</v>
      </c>
      <c r="D732" s="116" t="s">
        <v>877</v>
      </c>
      <c r="E732" s="9" t="s">
        <v>873</v>
      </c>
      <c r="F732" s="109" t="str">
        <f t="shared" ref="F732:G732" si="731">TRANSLATE(D732,"lzh","vi")</f>
        <v>#NAME?</v>
      </c>
      <c r="G732" s="109" t="str">
        <f t="shared" si="731"/>
        <v>#NAME?</v>
      </c>
      <c r="X732" s="143"/>
    </row>
    <row r="733" ht="21.0" customHeight="1">
      <c r="A733" s="5">
        <v>5.0</v>
      </c>
      <c r="B733" s="135">
        <v>538.0</v>
      </c>
      <c r="C733" s="6">
        <v>1.0</v>
      </c>
      <c r="D733" s="116" t="s">
        <v>878</v>
      </c>
      <c r="E733" s="9" t="s">
        <v>873</v>
      </c>
      <c r="F733" s="109" t="str">
        <f t="shared" ref="F733:G733" si="732">TRANSLATE(D733,"lzh","vi")</f>
        <v>#NAME?</v>
      </c>
      <c r="G733" s="109" t="str">
        <f t="shared" si="732"/>
        <v>#NAME?</v>
      </c>
      <c r="X733" s="143"/>
    </row>
    <row r="734" ht="21.0" customHeight="1">
      <c r="A734" s="5">
        <v>5.0</v>
      </c>
      <c r="B734" s="135">
        <v>538.0</v>
      </c>
      <c r="C734" s="6">
        <v>1.0</v>
      </c>
      <c r="D734" s="116" t="s">
        <v>879</v>
      </c>
      <c r="E734" s="9" t="s">
        <v>873</v>
      </c>
      <c r="F734" s="109" t="str">
        <f t="shared" ref="F734:G734" si="733">TRANSLATE(D734,"lzh","vi")</f>
        <v>#NAME?</v>
      </c>
      <c r="G734" s="109" t="str">
        <f t="shared" si="733"/>
        <v>#NAME?</v>
      </c>
      <c r="X734" s="143"/>
    </row>
    <row r="735" ht="21.0" customHeight="1">
      <c r="A735" s="138">
        <v>5.0</v>
      </c>
      <c r="B735" s="135">
        <v>538.0</v>
      </c>
      <c r="C735" s="139">
        <v>1.0</v>
      </c>
      <c r="D735" s="140" t="s">
        <v>880</v>
      </c>
      <c r="E735" s="9" t="s">
        <v>873</v>
      </c>
      <c r="F735" s="109" t="str">
        <f t="shared" ref="F735:G735" si="734">TRANSLATE(D735,"lzh","vi")</f>
        <v>#NAME?</v>
      </c>
      <c r="G735" s="109" t="str">
        <f t="shared" si="734"/>
        <v>#NAME?</v>
      </c>
      <c r="X735" s="143"/>
    </row>
    <row r="736" ht="21.0" customHeight="1">
      <c r="A736" s="134">
        <v>5.0</v>
      </c>
      <c r="B736" s="135">
        <v>539.0</v>
      </c>
      <c r="C736" s="135">
        <v>1.0</v>
      </c>
      <c r="D736" s="136" t="s">
        <v>872</v>
      </c>
      <c r="E736" s="9" t="s">
        <v>873</v>
      </c>
      <c r="F736" s="109" t="str">
        <f t="shared" ref="F736:G736" si="735">TRANSLATE(D736,"lzh","vi")</f>
        <v>#NAME?</v>
      </c>
      <c r="G736" s="109" t="str">
        <f t="shared" si="735"/>
        <v>#NAME?</v>
      </c>
      <c r="X736" s="143"/>
    </row>
    <row r="737" ht="21.0" customHeight="1">
      <c r="A737" s="5">
        <v>5.0</v>
      </c>
      <c r="B737" s="135">
        <v>539.0</v>
      </c>
      <c r="C737" s="6">
        <v>1.0</v>
      </c>
      <c r="D737" s="116" t="s">
        <v>874</v>
      </c>
      <c r="E737" s="9" t="s">
        <v>873</v>
      </c>
      <c r="F737" s="109" t="str">
        <f t="shared" ref="F737:G737" si="736">TRANSLATE(D737,"lzh","vi")</f>
        <v>#NAME?</v>
      </c>
      <c r="G737" s="109" t="str">
        <f t="shared" si="736"/>
        <v>#NAME?</v>
      </c>
      <c r="X737" s="143"/>
    </row>
    <row r="738" ht="21.0" customHeight="1">
      <c r="A738" s="5">
        <v>5.0</v>
      </c>
      <c r="B738" s="135">
        <v>539.0</v>
      </c>
      <c r="C738" s="6">
        <v>1.0</v>
      </c>
      <c r="D738" s="116" t="s">
        <v>875</v>
      </c>
      <c r="E738" s="9" t="s">
        <v>873</v>
      </c>
      <c r="F738" s="109" t="str">
        <f t="shared" ref="F738:G738" si="737">TRANSLATE(D738,"lzh","vi")</f>
        <v>#NAME?</v>
      </c>
      <c r="G738" s="109" t="str">
        <f t="shared" si="737"/>
        <v>#NAME?</v>
      </c>
      <c r="X738" s="143"/>
    </row>
    <row r="739" ht="21.0" customHeight="1">
      <c r="A739" s="5">
        <v>5.0</v>
      </c>
      <c r="B739" s="135">
        <v>539.0</v>
      </c>
      <c r="C739" s="6">
        <v>1.0</v>
      </c>
      <c r="D739" s="116" t="s">
        <v>876</v>
      </c>
      <c r="E739" s="9" t="s">
        <v>873</v>
      </c>
      <c r="F739" s="109" t="str">
        <f t="shared" ref="F739:G739" si="738">TRANSLATE(D739,"lzh","vi")</f>
        <v>#NAME?</v>
      </c>
      <c r="G739" s="109" t="str">
        <f t="shared" si="738"/>
        <v>#NAME?</v>
      </c>
      <c r="X739" s="143"/>
    </row>
    <row r="740" ht="21.0" customHeight="1">
      <c r="A740" s="5">
        <v>5.0</v>
      </c>
      <c r="B740" s="135">
        <v>539.0</v>
      </c>
      <c r="C740" s="6">
        <v>1.0</v>
      </c>
      <c r="D740" s="116" t="s">
        <v>877</v>
      </c>
      <c r="E740" s="9" t="s">
        <v>873</v>
      </c>
      <c r="F740" s="109" t="str">
        <f t="shared" ref="F740:G740" si="739">TRANSLATE(D740,"lzh","vi")</f>
        <v>#NAME?</v>
      </c>
      <c r="G740" s="109" t="str">
        <f t="shared" si="739"/>
        <v>#NAME?</v>
      </c>
      <c r="X740" s="143"/>
    </row>
    <row r="741" ht="21.0" customHeight="1">
      <c r="A741" s="5">
        <v>5.0</v>
      </c>
      <c r="B741" s="135">
        <v>539.0</v>
      </c>
      <c r="C741" s="6">
        <v>1.0</v>
      </c>
      <c r="D741" s="116" t="s">
        <v>878</v>
      </c>
      <c r="E741" s="9" t="s">
        <v>873</v>
      </c>
      <c r="F741" s="109" t="str">
        <f t="shared" ref="F741:G741" si="740">TRANSLATE(D741,"lzh","vi")</f>
        <v>#NAME?</v>
      </c>
      <c r="G741" s="109" t="str">
        <f t="shared" si="740"/>
        <v>#NAME?</v>
      </c>
      <c r="X741" s="143"/>
    </row>
    <row r="742" ht="21.0" customHeight="1">
      <c r="A742" s="5">
        <v>5.0</v>
      </c>
      <c r="B742" s="135">
        <v>539.0</v>
      </c>
      <c r="C742" s="6">
        <v>1.0</v>
      </c>
      <c r="D742" s="116" t="s">
        <v>879</v>
      </c>
      <c r="E742" s="9" t="s">
        <v>873</v>
      </c>
      <c r="F742" s="109" t="str">
        <f t="shared" ref="F742:G742" si="741">TRANSLATE(D742,"lzh","vi")</f>
        <v>#NAME?</v>
      </c>
      <c r="G742" s="109" t="str">
        <f t="shared" si="741"/>
        <v>#NAME?</v>
      </c>
      <c r="X742" s="143"/>
    </row>
    <row r="743" ht="21.0" customHeight="1">
      <c r="A743" s="138">
        <v>5.0</v>
      </c>
      <c r="B743" s="135">
        <v>539.0</v>
      </c>
      <c r="C743" s="139">
        <v>1.0</v>
      </c>
      <c r="D743" s="140" t="s">
        <v>880</v>
      </c>
      <c r="E743" s="9" t="s">
        <v>873</v>
      </c>
      <c r="F743" s="109" t="str">
        <f t="shared" ref="F743:G743" si="742">TRANSLATE(D743,"lzh","vi")</f>
        <v>#NAME?</v>
      </c>
      <c r="G743" s="109" t="str">
        <f t="shared" si="742"/>
        <v>#NAME?</v>
      </c>
      <c r="X743" s="143"/>
    </row>
    <row r="744" ht="21.0" customHeight="1">
      <c r="A744" s="134">
        <v>5.0</v>
      </c>
      <c r="B744" s="135">
        <v>540.0</v>
      </c>
      <c r="C744" s="135">
        <v>1.0</v>
      </c>
      <c r="D744" s="136" t="s">
        <v>872</v>
      </c>
      <c r="E744" s="9" t="s">
        <v>873</v>
      </c>
      <c r="F744" s="109" t="str">
        <f t="shared" ref="F744:G744" si="743">TRANSLATE(D744,"lzh","vi")</f>
        <v>#NAME?</v>
      </c>
      <c r="G744" s="109" t="str">
        <f t="shared" si="743"/>
        <v>#NAME?</v>
      </c>
      <c r="X744" s="143"/>
    </row>
    <row r="745" ht="21.0" customHeight="1">
      <c r="A745" s="5">
        <v>5.0</v>
      </c>
      <c r="B745" s="135">
        <v>540.0</v>
      </c>
      <c r="C745" s="6">
        <v>1.0</v>
      </c>
      <c r="D745" s="116" t="s">
        <v>874</v>
      </c>
      <c r="E745" s="9" t="s">
        <v>873</v>
      </c>
      <c r="F745" s="109" t="str">
        <f t="shared" ref="F745:G745" si="744">TRANSLATE(D745,"lzh","vi")</f>
        <v>#NAME?</v>
      </c>
      <c r="G745" s="109" t="str">
        <f t="shared" si="744"/>
        <v>#NAME?</v>
      </c>
      <c r="X745" s="143"/>
    </row>
    <row r="746" ht="21.0" customHeight="1">
      <c r="A746" s="5">
        <v>5.0</v>
      </c>
      <c r="B746" s="135">
        <v>540.0</v>
      </c>
      <c r="C746" s="6">
        <v>1.0</v>
      </c>
      <c r="D746" s="116" t="s">
        <v>875</v>
      </c>
      <c r="E746" s="9" t="s">
        <v>873</v>
      </c>
      <c r="F746" s="109" t="str">
        <f t="shared" ref="F746:G746" si="745">TRANSLATE(D746,"lzh","vi")</f>
        <v>#NAME?</v>
      </c>
      <c r="G746" s="109" t="str">
        <f t="shared" si="745"/>
        <v>#NAME?</v>
      </c>
      <c r="X746" s="143"/>
    </row>
    <row r="747" ht="21.0" customHeight="1">
      <c r="A747" s="5">
        <v>5.0</v>
      </c>
      <c r="B747" s="135">
        <v>540.0</v>
      </c>
      <c r="C747" s="6">
        <v>1.0</v>
      </c>
      <c r="D747" s="116" t="s">
        <v>876</v>
      </c>
      <c r="E747" s="9" t="s">
        <v>873</v>
      </c>
      <c r="F747" s="109" t="str">
        <f t="shared" ref="F747:G747" si="746">TRANSLATE(D747,"lzh","vi")</f>
        <v>#NAME?</v>
      </c>
      <c r="G747" s="109" t="str">
        <f t="shared" si="746"/>
        <v>#NAME?</v>
      </c>
      <c r="X747" s="143"/>
    </row>
    <row r="748" ht="21.0" customHeight="1">
      <c r="A748" s="5">
        <v>5.0</v>
      </c>
      <c r="B748" s="135">
        <v>540.0</v>
      </c>
      <c r="C748" s="6">
        <v>1.0</v>
      </c>
      <c r="D748" s="116" t="s">
        <v>877</v>
      </c>
      <c r="E748" s="9" t="s">
        <v>873</v>
      </c>
      <c r="F748" s="109" t="str">
        <f t="shared" ref="F748:G748" si="747">TRANSLATE(D748,"lzh","vi")</f>
        <v>#NAME?</v>
      </c>
      <c r="G748" s="109" t="str">
        <f t="shared" si="747"/>
        <v>#NAME?</v>
      </c>
      <c r="X748" s="143"/>
    </row>
    <row r="749" ht="21.0" customHeight="1">
      <c r="A749" s="5">
        <v>5.0</v>
      </c>
      <c r="B749" s="135">
        <v>540.0</v>
      </c>
      <c r="C749" s="6">
        <v>1.0</v>
      </c>
      <c r="D749" s="116" t="s">
        <v>878</v>
      </c>
      <c r="E749" s="9" t="s">
        <v>873</v>
      </c>
      <c r="F749" s="109" t="str">
        <f t="shared" ref="F749:G749" si="748">TRANSLATE(D749,"lzh","vi")</f>
        <v>#NAME?</v>
      </c>
      <c r="G749" s="109" t="str">
        <f t="shared" si="748"/>
        <v>#NAME?</v>
      </c>
      <c r="X749" s="143"/>
    </row>
    <row r="750" ht="21.0" customHeight="1">
      <c r="A750" s="5">
        <v>5.0</v>
      </c>
      <c r="B750" s="135">
        <v>540.0</v>
      </c>
      <c r="C750" s="6">
        <v>1.0</v>
      </c>
      <c r="D750" s="116" t="s">
        <v>879</v>
      </c>
      <c r="E750" s="9" t="s">
        <v>873</v>
      </c>
      <c r="F750" s="109" t="str">
        <f t="shared" ref="F750:G750" si="749">TRANSLATE(D750,"lzh","vi")</f>
        <v>#NAME?</v>
      </c>
      <c r="G750" s="109" t="str">
        <f t="shared" si="749"/>
        <v>#NAME?</v>
      </c>
      <c r="X750" s="143"/>
    </row>
    <row r="751" ht="21.0" customHeight="1">
      <c r="A751" s="138">
        <v>5.0</v>
      </c>
      <c r="B751" s="135">
        <v>540.0</v>
      </c>
      <c r="C751" s="139">
        <v>1.0</v>
      </c>
      <c r="D751" s="140" t="s">
        <v>880</v>
      </c>
      <c r="E751" s="9" t="s">
        <v>873</v>
      </c>
      <c r="F751" s="109" t="str">
        <f t="shared" ref="F751:G751" si="750">TRANSLATE(D751,"lzh","vi")</f>
        <v>#NAME?</v>
      </c>
      <c r="G751" s="109" t="str">
        <f t="shared" si="750"/>
        <v>#NAME?</v>
      </c>
      <c r="X751" s="143"/>
    </row>
    <row r="752" ht="21.0" customHeight="1">
      <c r="A752" s="134">
        <v>5.0</v>
      </c>
      <c r="B752" s="135">
        <v>541.0</v>
      </c>
      <c r="C752" s="135">
        <v>1.0</v>
      </c>
      <c r="D752" s="136" t="s">
        <v>872</v>
      </c>
      <c r="E752" s="9" t="s">
        <v>873</v>
      </c>
      <c r="F752" s="109" t="str">
        <f t="shared" ref="F752:G752" si="751">TRANSLATE(D752,"lzh","vi")</f>
        <v>#NAME?</v>
      </c>
      <c r="G752" s="109" t="str">
        <f t="shared" si="751"/>
        <v>#NAME?</v>
      </c>
      <c r="X752" s="143"/>
    </row>
    <row r="753" ht="21.0" customHeight="1">
      <c r="A753" s="5">
        <v>5.0</v>
      </c>
      <c r="B753" s="135">
        <v>541.0</v>
      </c>
      <c r="C753" s="6">
        <v>1.0</v>
      </c>
      <c r="D753" s="116" t="s">
        <v>874</v>
      </c>
      <c r="E753" s="9" t="s">
        <v>873</v>
      </c>
      <c r="F753" s="109" t="str">
        <f t="shared" ref="F753:G753" si="752">TRANSLATE(D753,"lzh","vi")</f>
        <v>#NAME?</v>
      </c>
      <c r="G753" s="109" t="str">
        <f t="shared" si="752"/>
        <v>#NAME?</v>
      </c>
      <c r="X753" s="143"/>
    </row>
    <row r="754" ht="21.0" customHeight="1">
      <c r="A754" s="5">
        <v>5.0</v>
      </c>
      <c r="B754" s="135">
        <v>541.0</v>
      </c>
      <c r="C754" s="6">
        <v>1.0</v>
      </c>
      <c r="D754" s="116" t="s">
        <v>875</v>
      </c>
      <c r="E754" s="9" t="s">
        <v>873</v>
      </c>
      <c r="F754" s="109" t="str">
        <f t="shared" ref="F754:G754" si="753">TRANSLATE(D754,"lzh","vi")</f>
        <v>#NAME?</v>
      </c>
      <c r="G754" s="109" t="str">
        <f t="shared" si="753"/>
        <v>#NAME?</v>
      </c>
      <c r="X754" s="143"/>
    </row>
    <row r="755" ht="21.0" customHeight="1">
      <c r="A755" s="5">
        <v>5.0</v>
      </c>
      <c r="B755" s="135">
        <v>541.0</v>
      </c>
      <c r="C755" s="6">
        <v>1.0</v>
      </c>
      <c r="D755" s="116" t="s">
        <v>876</v>
      </c>
      <c r="E755" s="9" t="s">
        <v>873</v>
      </c>
      <c r="F755" s="109" t="str">
        <f t="shared" ref="F755:G755" si="754">TRANSLATE(D755,"lzh","vi")</f>
        <v>#NAME?</v>
      </c>
      <c r="G755" s="109" t="str">
        <f t="shared" si="754"/>
        <v>#NAME?</v>
      </c>
      <c r="X755" s="143"/>
    </row>
    <row r="756" ht="21.0" customHeight="1">
      <c r="A756" s="5">
        <v>5.0</v>
      </c>
      <c r="B756" s="135">
        <v>541.0</v>
      </c>
      <c r="C756" s="6">
        <v>1.0</v>
      </c>
      <c r="D756" s="116" t="s">
        <v>877</v>
      </c>
      <c r="E756" s="9" t="s">
        <v>873</v>
      </c>
      <c r="F756" s="109" t="str">
        <f t="shared" ref="F756:G756" si="755">TRANSLATE(D756,"lzh","vi")</f>
        <v>#NAME?</v>
      </c>
      <c r="G756" s="109" t="str">
        <f t="shared" si="755"/>
        <v>#NAME?</v>
      </c>
      <c r="X756" s="143"/>
    </row>
    <row r="757" ht="21.0" customHeight="1">
      <c r="A757" s="5">
        <v>5.0</v>
      </c>
      <c r="B757" s="135">
        <v>541.0</v>
      </c>
      <c r="C757" s="6">
        <v>1.0</v>
      </c>
      <c r="D757" s="116" t="s">
        <v>878</v>
      </c>
      <c r="E757" s="9" t="s">
        <v>873</v>
      </c>
      <c r="F757" s="109" t="str">
        <f t="shared" ref="F757:G757" si="756">TRANSLATE(D757,"lzh","vi")</f>
        <v>#NAME?</v>
      </c>
      <c r="G757" s="109" t="str">
        <f t="shared" si="756"/>
        <v>#NAME?</v>
      </c>
      <c r="X757" s="143"/>
    </row>
    <row r="758" ht="21.0" customHeight="1">
      <c r="A758" s="5">
        <v>5.0</v>
      </c>
      <c r="B758" s="135">
        <v>541.0</v>
      </c>
      <c r="C758" s="6">
        <v>1.0</v>
      </c>
      <c r="D758" s="116" t="s">
        <v>879</v>
      </c>
      <c r="E758" s="9" t="s">
        <v>873</v>
      </c>
      <c r="F758" s="109" t="str">
        <f t="shared" ref="F758:G758" si="757">TRANSLATE(D758,"lzh","vi")</f>
        <v>#NAME?</v>
      </c>
      <c r="G758" s="109" t="str">
        <f t="shared" si="757"/>
        <v>#NAME?</v>
      </c>
      <c r="X758" s="143"/>
    </row>
    <row r="759" ht="21.0" customHeight="1">
      <c r="A759" s="138">
        <v>5.0</v>
      </c>
      <c r="B759" s="135">
        <v>541.0</v>
      </c>
      <c r="C759" s="139">
        <v>1.0</v>
      </c>
      <c r="D759" s="140" t="s">
        <v>880</v>
      </c>
      <c r="E759" s="9" t="s">
        <v>873</v>
      </c>
      <c r="F759" s="109" t="str">
        <f t="shared" ref="F759:G759" si="758">TRANSLATE(D759,"lzh","vi")</f>
        <v>#NAME?</v>
      </c>
      <c r="G759" s="109" t="str">
        <f t="shared" si="758"/>
        <v>#NAME?</v>
      </c>
      <c r="X759" s="143"/>
    </row>
    <row r="760" ht="21.0" customHeight="1">
      <c r="A760" s="134">
        <v>5.0</v>
      </c>
      <c r="B760" s="6">
        <v>527.0</v>
      </c>
      <c r="C760" s="135">
        <v>1.0</v>
      </c>
      <c r="D760" s="136" t="s">
        <v>872</v>
      </c>
      <c r="E760" s="9" t="s">
        <v>873</v>
      </c>
      <c r="F760" s="109" t="str">
        <f t="shared" ref="F760:G760" si="759">TRANSLATE(D760,"lzh","vi")</f>
        <v>#NAME?</v>
      </c>
      <c r="G760" s="109" t="str">
        <f t="shared" si="759"/>
        <v>#NAME?</v>
      </c>
      <c r="X760" s="137"/>
    </row>
    <row r="761" ht="21.0" customHeight="1">
      <c r="A761" s="5">
        <v>5.0</v>
      </c>
      <c r="B761" s="6">
        <v>527.0</v>
      </c>
      <c r="C761" s="6">
        <v>1.0</v>
      </c>
      <c r="D761" s="116" t="s">
        <v>874</v>
      </c>
      <c r="E761" s="9" t="s">
        <v>873</v>
      </c>
      <c r="F761" s="109" t="str">
        <f t="shared" ref="F761:G761" si="760">TRANSLATE(D761,"lzh","vi")</f>
        <v>#NAME?</v>
      </c>
      <c r="G761" s="109" t="str">
        <f t="shared" si="760"/>
        <v>#NAME?</v>
      </c>
      <c r="X761" s="110"/>
    </row>
    <row r="762" ht="21.0" customHeight="1">
      <c r="A762" s="5">
        <v>5.0</v>
      </c>
      <c r="B762" s="6">
        <v>527.0</v>
      </c>
      <c r="C762" s="6">
        <v>1.0</v>
      </c>
      <c r="D762" s="116" t="s">
        <v>875</v>
      </c>
      <c r="E762" s="9" t="s">
        <v>873</v>
      </c>
      <c r="F762" s="109" t="str">
        <f t="shared" ref="F762:G762" si="761">TRANSLATE(D762,"lzh","vi")</f>
        <v>#NAME?</v>
      </c>
      <c r="G762" s="109" t="str">
        <f t="shared" si="761"/>
        <v>#NAME?</v>
      </c>
      <c r="X762" s="110"/>
    </row>
    <row r="763" ht="21.0" customHeight="1">
      <c r="A763" s="5">
        <v>5.0</v>
      </c>
      <c r="B763" s="6">
        <v>527.0</v>
      </c>
      <c r="C763" s="6">
        <v>1.0</v>
      </c>
      <c r="D763" s="116" t="s">
        <v>876</v>
      </c>
      <c r="E763" s="9" t="s">
        <v>873</v>
      </c>
      <c r="F763" s="109" t="str">
        <f t="shared" ref="F763:G763" si="762">TRANSLATE(D763,"lzh","vi")</f>
        <v>#NAME?</v>
      </c>
      <c r="G763" s="109" t="str">
        <f t="shared" si="762"/>
        <v>#NAME?</v>
      </c>
      <c r="X763" s="110"/>
    </row>
    <row r="764" ht="21.0" customHeight="1">
      <c r="A764" s="5">
        <v>5.0</v>
      </c>
      <c r="B764" s="6">
        <v>527.0</v>
      </c>
      <c r="C764" s="6">
        <v>1.0</v>
      </c>
      <c r="D764" s="116" t="s">
        <v>877</v>
      </c>
      <c r="E764" s="9" t="s">
        <v>873</v>
      </c>
      <c r="F764" s="109" t="str">
        <f t="shared" ref="F764:G764" si="763">TRANSLATE(D764,"lzh","vi")</f>
        <v>#NAME?</v>
      </c>
      <c r="G764" s="109" t="str">
        <f t="shared" si="763"/>
        <v>#NAME?</v>
      </c>
      <c r="X764" s="110"/>
    </row>
    <row r="765" ht="21.0" customHeight="1">
      <c r="A765" s="5">
        <v>5.0</v>
      </c>
      <c r="B765" s="6">
        <v>527.0</v>
      </c>
      <c r="C765" s="6">
        <v>1.0</v>
      </c>
      <c r="D765" s="116" t="s">
        <v>878</v>
      </c>
      <c r="E765" s="9" t="s">
        <v>873</v>
      </c>
      <c r="F765" s="109" t="str">
        <f t="shared" ref="F765:G765" si="764">TRANSLATE(D765,"lzh","vi")</f>
        <v>#NAME?</v>
      </c>
      <c r="G765" s="109" t="str">
        <f t="shared" si="764"/>
        <v>#NAME?</v>
      </c>
      <c r="X765" s="110"/>
    </row>
    <row r="766" ht="21.0" customHeight="1">
      <c r="A766" s="5">
        <v>5.0</v>
      </c>
      <c r="B766" s="6">
        <v>527.0</v>
      </c>
      <c r="C766" s="6">
        <v>1.0</v>
      </c>
      <c r="D766" s="116" t="s">
        <v>879</v>
      </c>
      <c r="E766" s="9" t="s">
        <v>873</v>
      </c>
      <c r="F766" s="109" t="str">
        <f t="shared" ref="F766:G766" si="765">TRANSLATE(D766,"lzh","vi")</f>
        <v>#NAME?</v>
      </c>
      <c r="G766" s="109" t="str">
        <f t="shared" si="765"/>
        <v>#NAME?</v>
      </c>
      <c r="X766" s="110"/>
    </row>
    <row r="767" ht="21.0" customHeight="1">
      <c r="A767" s="138">
        <v>5.0</v>
      </c>
      <c r="B767" s="6">
        <v>527.0</v>
      </c>
      <c r="C767" s="139">
        <v>1.0</v>
      </c>
      <c r="D767" s="140" t="s">
        <v>880</v>
      </c>
      <c r="E767" s="9" t="s">
        <v>873</v>
      </c>
      <c r="F767" s="109" t="str">
        <f t="shared" ref="F767:G767" si="766">TRANSLATE(D767,"lzh","vi")</f>
        <v>#NAME?</v>
      </c>
      <c r="G767" s="109" t="str">
        <f t="shared" si="766"/>
        <v>#NAME?</v>
      </c>
      <c r="X767" s="141"/>
    </row>
    <row r="768" ht="21.0" customHeight="1">
      <c r="A768" s="134">
        <v>5.0</v>
      </c>
      <c r="B768" s="6">
        <v>524.0</v>
      </c>
      <c r="C768" s="135">
        <v>1.0</v>
      </c>
      <c r="D768" s="136" t="s">
        <v>872</v>
      </c>
      <c r="E768" s="9" t="s">
        <v>873</v>
      </c>
      <c r="F768" s="109" t="str">
        <f t="shared" ref="F768:G768" si="767">TRANSLATE(D768,"lzh","vi")</f>
        <v>#NAME?</v>
      </c>
      <c r="G768" s="109" t="str">
        <f t="shared" si="767"/>
        <v>#NAME?</v>
      </c>
      <c r="X768" s="137"/>
    </row>
    <row r="769" ht="21.0" customHeight="1">
      <c r="A769" s="5">
        <v>5.0</v>
      </c>
      <c r="B769" s="6">
        <v>524.0</v>
      </c>
      <c r="C769" s="6">
        <v>1.0</v>
      </c>
      <c r="D769" s="116" t="s">
        <v>874</v>
      </c>
      <c r="E769" s="9" t="s">
        <v>873</v>
      </c>
      <c r="F769" s="109" t="str">
        <f t="shared" ref="F769:G769" si="768">TRANSLATE(D769,"lzh","vi")</f>
        <v>#NAME?</v>
      </c>
      <c r="G769" s="109" t="str">
        <f t="shared" si="768"/>
        <v>#NAME?</v>
      </c>
      <c r="X769" s="110"/>
    </row>
    <row r="770" ht="21.0" customHeight="1">
      <c r="A770" s="5">
        <v>5.0</v>
      </c>
      <c r="B770" s="6">
        <v>524.0</v>
      </c>
      <c r="C770" s="6">
        <v>1.0</v>
      </c>
      <c r="D770" s="116" t="s">
        <v>875</v>
      </c>
      <c r="E770" s="9" t="s">
        <v>873</v>
      </c>
      <c r="F770" s="109" t="str">
        <f t="shared" ref="F770:G770" si="769">TRANSLATE(D770,"lzh","vi")</f>
        <v>#NAME?</v>
      </c>
      <c r="G770" s="109" t="str">
        <f t="shared" si="769"/>
        <v>#NAME?</v>
      </c>
      <c r="X770" s="110"/>
    </row>
    <row r="771" ht="21.0" customHeight="1">
      <c r="A771" s="5">
        <v>5.0</v>
      </c>
      <c r="B771" s="6">
        <v>524.0</v>
      </c>
      <c r="C771" s="6">
        <v>1.0</v>
      </c>
      <c r="D771" s="116" t="s">
        <v>876</v>
      </c>
      <c r="E771" s="9" t="s">
        <v>873</v>
      </c>
      <c r="F771" s="109" t="str">
        <f t="shared" ref="F771:G771" si="770">TRANSLATE(D771,"lzh","vi")</f>
        <v>#NAME?</v>
      </c>
      <c r="G771" s="109" t="str">
        <f t="shared" si="770"/>
        <v>#NAME?</v>
      </c>
      <c r="X771" s="110"/>
    </row>
    <row r="772" ht="21.0" customHeight="1">
      <c r="A772" s="5">
        <v>5.0</v>
      </c>
      <c r="B772" s="6">
        <v>524.0</v>
      </c>
      <c r="C772" s="6">
        <v>1.0</v>
      </c>
      <c r="D772" s="116" t="s">
        <v>877</v>
      </c>
      <c r="E772" s="9" t="s">
        <v>873</v>
      </c>
      <c r="F772" s="109" t="str">
        <f t="shared" ref="F772:G772" si="771">TRANSLATE(D772,"lzh","vi")</f>
        <v>#NAME?</v>
      </c>
      <c r="G772" s="109" t="str">
        <f t="shared" si="771"/>
        <v>#NAME?</v>
      </c>
      <c r="X772" s="110"/>
    </row>
    <row r="773" ht="21.0" customHeight="1">
      <c r="A773" s="5">
        <v>5.0</v>
      </c>
      <c r="B773" s="6">
        <v>524.0</v>
      </c>
      <c r="C773" s="6">
        <v>1.0</v>
      </c>
      <c r="D773" s="116" t="s">
        <v>878</v>
      </c>
      <c r="E773" s="9" t="s">
        <v>873</v>
      </c>
      <c r="F773" s="109" t="str">
        <f t="shared" ref="F773:G773" si="772">TRANSLATE(D773,"lzh","vi")</f>
        <v>#NAME?</v>
      </c>
      <c r="G773" s="109" t="str">
        <f t="shared" si="772"/>
        <v>#NAME?</v>
      </c>
      <c r="X773" s="110"/>
    </row>
    <row r="774" ht="21.0" customHeight="1">
      <c r="A774" s="5">
        <v>5.0</v>
      </c>
      <c r="B774" s="6">
        <v>524.0</v>
      </c>
      <c r="C774" s="6">
        <v>1.0</v>
      </c>
      <c r="D774" s="116" t="s">
        <v>879</v>
      </c>
      <c r="E774" s="9" t="s">
        <v>873</v>
      </c>
      <c r="F774" s="109" t="str">
        <f t="shared" ref="F774:G774" si="773">TRANSLATE(D774,"lzh","vi")</f>
        <v>#NAME?</v>
      </c>
      <c r="G774" s="109" t="str">
        <f t="shared" si="773"/>
        <v>#NAME?</v>
      </c>
      <c r="X774" s="110"/>
    </row>
    <row r="775" ht="21.0" customHeight="1">
      <c r="A775" s="138">
        <v>5.0</v>
      </c>
      <c r="B775" s="6">
        <v>524.0</v>
      </c>
      <c r="C775" s="139">
        <v>1.0</v>
      </c>
      <c r="D775" s="140" t="s">
        <v>880</v>
      </c>
      <c r="E775" s="9" t="s">
        <v>873</v>
      </c>
      <c r="F775" s="109" t="str">
        <f t="shared" ref="F775:G775" si="774">TRANSLATE(D775,"lzh","vi")</f>
        <v>#NAME?</v>
      </c>
      <c r="G775" s="109" t="str">
        <f t="shared" si="774"/>
        <v>#NAME?</v>
      </c>
      <c r="X775" s="141"/>
    </row>
    <row r="776" ht="21.0" customHeight="1">
      <c r="A776" s="134">
        <v>5.0</v>
      </c>
      <c r="B776" s="135">
        <v>538.0</v>
      </c>
      <c r="C776" s="135">
        <v>1.0</v>
      </c>
      <c r="D776" s="136" t="s">
        <v>872</v>
      </c>
      <c r="E776" s="9" t="s">
        <v>873</v>
      </c>
      <c r="F776" s="109" t="str">
        <f t="shared" ref="F776:G776" si="775">TRANSLATE(D776,"lzh","vi")</f>
        <v>#NAME?</v>
      </c>
      <c r="G776" s="109" t="str">
        <f t="shared" si="775"/>
        <v>#NAME?</v>
      </c>
      <c r="X776" s="143"/>
    </row>
    <row r="777" ht="21.0" customHeight="1">
      <c r="A777" s="5">
        <v>5.0</v>
      </c>
      <c r="B777" s="135">
        <v>538.0</v>
      </c>
      <c r="C777" s="6">
        <v>1.0</v>
      </c>
      <c r="D777" s="116" t="s">
        <v>874</v>
      </c>
      <c r="E777" s="9" t="s">
        <v>873</v>
      </c>
      <c r="F777" s="109" t="str">
        <f t="shared" ref="F777:G777" si="776">TRANSLATE(D777,"lzh","vi")</f>
        <v>#NAME?</v>
      </c>
      <c r="G777" s="109" t="str">
        <f t="shared" si="776"/>
        <v>#NAME?</v>
      </c>
      <c r="X777" s="143"/>
    </row>
    <row r="778" ht="21.0" customHeight="1">
      <c r="A778" s="5">
        <v>5.0</v>
      </c>
      <c r="B778" s="135">
        <v>538.0</v>
      </c>
      <c r="C778" s="6">
        <v>1.0</v>
      </c>
      <c r="D778" s="116" t="s">
        <v>875</v>
      </c>
      <c r="E778" s="9" t="s">
        <v>873</v>
      </c>
      <c r="F778" s="109" t="str">
        <f t="shared" ref="F778:G778" si="777">TRANSLATE(D778,"lzh","vi")</f>
        <v>#NAME?</v>
      </c>
      <c r="G778" s="109" t="str">
        <f t="shared" si="777"/>
        <v>#NAME?</v>
      </c>
      <c r="X778" s="143"/>
    </row>
    <row r="779" ht="21.0" customHeight="1">
      <c r="A779" s="5">
        <v>5.0</v>
      </c>
      <c r="B779" s="135">
        <v>538.0</v>
      </c>
      <c r="C779" s="6">
        <v>1.0</v>
      </c>
      <c r="D779" s="116" t="s">
        <v>876</v>
      </c>
      <c r="E779" s="9" t="s">
        <v>873</v>
      </c>
      <c r="F779" s="109" t="str">
        <f t="shared" ref="F779:G779" si="778">TRANSLATE(D779,"lzh","vi")</f>
        <v>#NAME?</v>
      </c>
      <c r="G779" s="109" t="str">
        <f t="shared" si="778"/>
        <v>#NAME?</v>
      </c>
      <c r="X779" s="143"/>
    </row>
    <row r="780" ht="21.0" customHeight="1">
      <c r="A780" s="5">
        <v>5.0</v>
      </c>
      <c r="B780" s="135">
        <v>538.0</v>
      </c>
      <c r="C780" s="6">
        <v>1.0</v>
      </c>
      <c r="D780" s="116" t="s">
        <v>877</v>
      </c>
      <c r="E780" s="9" t="s">
        <v>873</v>
      </c>
      <c r="F780" s="109" t="str">
        <f t="shared" ref="F780:G780" si="779">TRANSLATE(D780,"lzh","vi")</f>
        <v>#NAME?</v>
      </c>
      <c r="G780" s="109" t="str">
        <f t="shared" si="779"/>
        <v>#NAME?</v>
      </c>
      <c r="X780" s="143"/>
    </row>
    <row r="781" ht="21.0" customHeight="1">
      <c r="A781" s="5">
        <v>5.0</v>
      </c>
      <c r="B781" s="135">
        <v>538.0</v>
      </c>
      <c r="C781" s="6">
        <v>1.0</v>
      </c>
      <c r="D781" s="116" t="s">
        <v>878</v>
      </c>
      <c r="E781" s="9" t="s">
        <v>873</v>
      </c>
      <c r="F781" s="109" t="str">
        <f t="shared" ref="F781:G781" si="780">TRANSLATE(D781,"lzh","vi")</f>
        <v>#NAME?</v>
      </c>
      <c r="G781" s="109" t="str">
        <f t="shared" si="780"/>
        <v>#NAME?</v>
      </c>
      <c r="X781" s="143"/>
    </row>
    <row r="782" ht="21.0" customHeight="1">
      <c r="A782" s="5">
        <v>5.0</v>
      </c>
      <c r="B782" s="135">
        <v>538.0</v>
      </c>
      <c r="C782" s="6">
        <v>1.0</v>
      </c>
      <c r="D782" s="116" t="s">
        <v>879</v>
      </c>
      <c r="E782" s="9" t="s">
        <v>873</v>
      </c>
      <c r="F782" s="109" t="str">
        <f t="shared" ref="F782:G782" si="781">TRANSLATE(D782,"lzh","vi")</f>
        <v>#NAME?</v>
      </c>
      <c r="G782" s="109" t="str">
        <f t="shared" si="781"/>
        <v>#NAME?</v>
      </c>
      <c r="X782" s="143"/>
    </row>
    <row r="783" ht="21.0" customHeight="1">
      <c r="A783" s="138">
        <v>5.0</v>
      </c>
      <c r="B783" s="135">
        <v>538.0</v>
      </c>
      <c r="C783" s="139">
        <v>1.0</v>
      </c>
      <c r="D783" s="140" t="s">
        <v>880</v>
      </c>
      <c r="E783" s="9" t="s">
        <v>873</v>
      </c>
      <c r="F783" s="109" t="str">
        <f t="shared" ref="F783:G783" si="782">TRANSLATE(D783,"lzh","vi")</f>
        <v>#NAME?</v>
      </c>
      <c r="G783" s="109" t="str">
        <f t="shared" si="782"/>
        <v>#NAME?</v>
      </c>
      <c r="X783" s="143"/>
    </row>
    <row r="784" ht="21.0" customHeight="1">
      <c r="A784" s="134">
        <v>5.0</v>
      </c>
      <c r="B784" s="135">
        <v>538.0</v>
      </c>
      <c r="C784" s="135">
        <v>1.0</v>
      </c>
      <c r="D784" s="136" t="s">
        <v>872</v>
      </c>
      <c r="E784" s="9" t="s">
        <v>873</v>
      </c>
      <c r="F784" s="109" t="str">
        <f t="shared" ref="F784:G784" si="783">TRANSLATE(D784,"lzh","vi")</f>
        <v>#NAME?</v>
      </c>
      <c r="G784" s="109" t="str">
        <f t="shared" si="783"/>
        <v>#NAME?</v>
      </c>
      <c r="X784" s="143"/>
    </row>
    <row r="785" ht="21.0" customHeight="1">
      <c r="A785" s="5">
        <v>5.0</v>
      </c>
      <c r="B785" s="135">
        <v>538.0</v>
      </c>
      <c r="C785" s="6">
        <v>1.0</v>
      </c>
      <c r="D785" s="116" t="s">
        <v>874</v>
      </c>
      <c r="E785" s="9" t="s">
        <v>873</v>
      </c>
      <c r="F785" s="109" t="str">
        <f t="shared" ref="F785:G785" si="784">TRANSLATE(D785,"lzh","vi")</f>
        <v>#NAME?</v>
      </c>
      <c r="G785" s="109" t="str">
        <f t="shared" si="784"/>
        <v>#NAME?</v>
      </c>
      <c r="X785" s="143"/>
    </row>
    <row r="786" ht="21.0" customHeight="1">
      <c r="A786" s="5">
        <v>5.0</v>
      </c>
      <c r="B786" s="135">
        <v>538.0</v>
      </c>
      <c r="C786" s="6">
        <v>1.0</v>
      </c>
      <c r="D786" s="116" t="s">
        <v>875</v>
      </c>
      <c r="E786" s="9" t="s">
        <v>873</v>
      </c>
      <c r="F786" s="109" t="str">
        <f t="shared" ref="F786:G786" si="785">TRANSLATE(D786,"lzh","vi")</f>
        <v>#NAME?</v>
      </c>
      <c r="G786" s="109" t="str">
        <f t="shared" si="785"/>
        <v>#NAME?</v>
      </c>
      <c r="X786" s="143"/>
    </row>
    <row r="787" ht="21.0" customHeight="1">
      <c r="A787" s="5">
        <v>5.0</v>
      </c>
      <c r="B787" s="135">
        <v>538.0</v>
      </c>
      <c r="C787" s="6">
        <v>1.0</v>
      </c>
      <c r="D787" s="116" t="s">
        <v>876</v>
      </c>
      <c r="E787" s="9" t="s">
        <v>873</v>
      </c>
      <c r="F787" s="109" t="str">
        <f t="shared" ref="F787:G787" si="786">TRANSLATE(D787,"lzh","vi")</f>
        <v>#NAME?</v>
      </c>
      <c r="G787" s="109" t="str">
        <f t="shared" si="786"/>
        <v>#NAME?</v>
      </c>
      <c r="X787" s="143"/>
    </row>
    <row r="788" ht="21.0" customHeight="1">
      <c r="A788" s="5">
        <v>5.0</v>
      </c>
      <c r="B788" s="135">
        <v>538.0</v>
      </c>
      <c r="C788" s="6">
        <v>1.0</v>
      </c>
      <c r="D788" s="116" t="s">
        <v>877</v>
      </c>
      <c r="E788" s="9" t="s">
        <v>873</v>
      </c>
      <c r="F788" s="109" t="str">
        <f t="shared" ref="F788:G788" si="787">TRANSLATE(D788,"lzh","vi")</f>
        <v>#NAME?</v>
      </c>
      <c r="G788" s="109" t="str">
        <f t="shared" si="787"/>
        <v>#NAME?</v>
      </c>
      <c r="X788" s="143"/>
    </row>
    <row r="789" ht="21.0" customHeight="1">
      <c r="A789" s="5">
        <v>5.0</v>
      </c>
      <c r="B789" s="135">
        <v>538.0</v>
      </c>
      <c r="C789" s="6">
        <v>1.0</v>
      </c>
      <c r="D789" s="116" t="s">
        <v>878</v>
      </c>
      <c r="E789" s="9" t="s">
        <v>873</v>
      </c>
      <c r="F789" s="109" t="str">
        <f t="shared" ref="F789:G789" si="788">TRANSLATE(D789,"lzh","vi")</f>
        <v>#NAME?</v>
      </c>
      <c r="G789" s="109" t="str">
        <f t="shared" si="788"/>
        <v>#NAME?</v>
      </c>
      <c r="X789" s="143"/>
    </row>
    <row r="790" ht="21.0" customHeight="1">
      <c r="A790" s="5">
        <v>5.0</v>
      </c>
      <c r="B790" s="135">
        <v>538.0</v>
      </c>
      <c r="C790" s="6">
        <v>1.0</v>
      </c>
      <c r="D790" s="116" t="s">
        <v>879</v>
      </c>
      <c r="E790" s="9" t="s">
        <v>873</v>
      </c>
      <c r="F790" s="109" t="str">
        <f t="shared" ref="F790:G790" si="789">TRANSLATE(D790,"lzh","vi")</f>
        <v>#NAME?</v>
      </c>
      <c r="G790" s="109" t="str">
        <f t="shared" si="789"/>
        <v>#NAME?</v>
      </c>
      <c r="X790" s="143"/>
    </row>
    <row r="791" ht="21.0" customHeight="1">
      <c r="A791" s="138">
        <v>5.0</v>
      </c>
      <c r="B791" s="135">
        <v>538.0</v>
      </c>
      <c r="C791" s="139">
        <v>1.0</v>
      </c>
      <c r="D791" s="140" t="s">
        <v>880</v>
      </c>
      <c r="E791" s="9" t="s">
        <v>873</v>
      </c>
      <c r="F791" s="109" t="str">
        <f t="shared" ref="F791:G791" si="790">TRANSLATE(D791,"lzh","vi")</f>
        <v>#NAME?</v>
      </c>
      <c r="G791" s="109" t="str">
        <f t="shared" si="790"/>
        <v>#NAME?</v>
      </c>
      <c r="X791" s="143"/>
    </row>
    <row r="792" ht="21.0" customHeight="1">
      <c r="A792" s="134">
        <v>5.0</v>
      </c>
      <c r="B792" s="135">
        <v>544.0</v>
      </c>
      <c r="C792" s="135">
        <v>1.0</v>
      </c>
      <c r="D792" s="136" t="s">
        <v>872</v>
      </c>
      <c r="E792" s="9" t="s">
        <v>873</v>
      </c>
      <c r="F792" s="109" t="str">
        <f t="shared" ref="F792:G792" si="791">TRANSLATE(D792,"lzh","vi")</f>
        <v>#NAME?</v>
      </c>
      <c r="G792" s="109" t="str">
        <f t="shared" si="791"/>
        <v>#NAME?</v>
      </c>
      <c r="X792" s="143"/>
    </row>
    <row r="793" ht="21.0" customHeight="1">
      <c r="A793" s="5">
        <v>5.0</v>
      </c>
      <c r="B793" s="135">
        <v>544.0</v>
      </c>
      <c r="C793" s="6">
        <v>1.0</v>
      </c>
      <c r="D793" s="116" t="s">
        <v>874</v>
      </c>
      <c r="E793" s="9" t="s">
        <v>873</v>
      </c>
      <c r="F793" s="109" t="str">
        <f t="shared" ref="F793:G793" si="792">TRANSLATE(D793,"lzh","vi")</f>
        <v>#NAME?</v>
      </c>
      <c r="G793" s="109" t="str">
        <f t="shared" si="792"/>
        <v>#NAME?</v>
      </c>
      <c r="X793" s="143"/>
    </row>
    <row r="794" ht="21.0" customHeight="1">
      <c r="A794" s="5">
        <v>5.0</v>
      </c>
      <c r="B794" s="135">
        <v>544.0</v>
      </c>
      <c r="C794" s="6">
        <v>1.0</v>
      </c>
      <c r="D794" s="116" t="s">
        <v>875</v>
      </c>
      <c r="E794" s="9" t="s">
        <v>873</v>
      </c>
      <c r="F794" s="109" t="str">
        <f t="shared" ref="F794:G794" si="793">TRANSLATE(D794,"lzh","vi")</f>
        <v>#NAME?</v>
      </c>
      <c r="G794" s="109" t="str">
        <f t="shared" si="793"/>
        <v>#NAME?</v>
      </c>
      <c r="X794" s="143"/>
    </row>
    <row r="795" ht="21.0" customHeight="1">
      <c r="A795" s="5">
        <v>5.0</v>
      </c>
      <c r="B795" s="135">
        <v>544.0</v>
      </c>
      <c r="C795" s="6">
        <v>1.0</v>
      </c>
      <c r="D795" s="116" t="s">
        <v>876</v>
      </c>
      <c r="E795" s="9" t="s">
        <v>873</v>
      </c>
      <c r="F795" s="109" t="str">
        <f t="shared" ref="F795:G795" si="794">TRANSLATE(D795,"lzh","vi")</f>
        <v>#NAME?</v>
      </c>
      <c r="G795" s="109" t="str">
        <f t="shared" si="794"/>
        <v>#NAME?</v>
      </c>
      <c r="X795" s="143"/>
    </row>
    <row r="796" ht="21.0" customHeight="1">
      <c r="A796" s="5">
        <v>5.0</v>
      </c>
      <c r="B796" s="135">
        <v>544.0</v>
      </c>
      <c r="C796" s="6">
        <v>1.0</v>
      </c>
      <c r="D796" s="116" t="s">
        <v>877</v>
      </c>
      <c r="E796" s="9" t="s">
        <v>873</v>
      </c>
      <c r="F796" s="109" t="str">
        <f t="shared" ref="F796:G796" si="795">TRANSLATE(D796,"lzh","vi")</f>
        <v>#NAME?</v>
      </c>
      <c r="G796" s="109" t="str">
        <f t="shared" si="795"/>
        <v>#NAME?</v>
      </c>
      <c r="X796" s="143"/>
    </row>
    <row r="797" ht="21.0" customHeight="1">
      <c r="A797" s="5">
        <v>5.0</v>
      </c>
      <c r="B797" s="135">
        <v>544.0</v>
      </c>
      <c r="C797" s="6">
        <v>1.0</v>
      </c>
      <c r="D797" s="116" t="s">
        <v>878</v>
      </c>
      <c r="E797" s="9" t="s">
        <v>873</v>
      </c>
      <c r="F797" s="109" t="str">
        <f t="shared" ref="F797:G797" si="796">TRANSLATE(D797,"lzh","vi")</f>
        <v>#NAME?</v>
      </c>
      <c r="G797" s="109" t="str">
        <f t="shared" si="796"/>
        <v>#NAME?</v>
      </c>
      <c r="X797" s="143"/>
    </row>
    <row r="798" ht="21.0" customHeight="1">
      <c r="A798" s="5">
        <v>5.0</v>
      </c>
      <c r="B798" s="135">
        <v>544.0</v>
      </c>
      <c r="C798" s="6">
        <v>1.0</v>
      </c>
      <c r="D798" s="116" t="s">
        <v>879</v>
      </c>
      <c r="E798" s="9" t="s">
        <v>873</v>
      </c>
      <c r="F798" s="109" t="str">
        <f t="shared" ref="F798:G798" si="797">TRANSLATE(D798,"lzh","vi")</f>
        <v>#NAME?</v>
      </c>
      <c r="G798" s="109" t="str">
        <f t="shared" si="797"/>
        <v>#NAME?</v>
      </c>
      <c r="X798" s="143"/>
    </row>
    <row r="799" ht="21.0" customHeight="1">
      <c r="A799" s="138">
        <v>5.0</v>
      </c>
      <c r="B799" s="135">
        <v>544.0</v>
      </c>
      <c r="C799" s="139">
        <v>1.0</v>
      </c>
      <c r="D799" s="140" t="s">
        <v>880</v>
      </c>
      <c r="E799" s="9" t="s">
        <v>873</v>
      </c>
      <c r="F799" s="109" t="str">
        <f t="shared" ref="F799:G799" si="798">TRANSLATE(D799,"lzh","vi")</f>
        <v>#NAME?</v>
      </c>
      <c r="G799" s="109" t="str">
        <f t="shared" si="798"/>
        <v>#NAME?</v>
      </c>
      <c r="X799" s="143"/>
    </row>
    <row r="800" ht="21.0" customHeight="1">
      <c r="A800" s="134">
        <v>5.0</v>
      </c>
      <c r="B800" s="135">
        <v>545.0</v>
      </c>
      <c r="C800" s="135">
        <v>1.0</v>
      </c>
      <c r="D800" s="136" t="s">
        <v>872</v>
      </c>
      <c r="E800" s="9" t="s">
        <v>873</v>
      </c>
      <c r="F800" s="109" t="str">
        <f t="shared" ref="F800:G800" si="799">TRANSLATE(D800,"lzh","vi")</f>
        <v>#NAME?</v>
      </c>
      <c r="G800" s="109" t="str">
        <f t="shared" si="799"/>
        <v>#NAME?</v>
      </c>
      <c r="X800" s="143"/>
    </row>
    <row r="801" ht="21.0" customHeight="1">
      <c r="A801" s="5">
        <v>5.0</v>
      </c>
      <c r="B801" s="135">
        <v>545.0</v>
      </c>
      <c r="C801" s="6">
        <v>1.0</v>
      </c>
      <c r="D801" s="116" t="s">
        <v>874</v>
      </c>
      <c r="E801" s="9" t="s">
        <v>873</v>
      </c>
      <c r="F801" s="109" t="str">
        <f t="shared" ref="F801:G801" si="800">TRANSLATE(D801,"lzh","vi")</f>
        <v>#NAME?</v>
      </c>
      <c r="G801" s="109" t="str">
        <f t="shared" si="800"/>
        <v>#NAME?</v>
      </c>
      <c r="X801" s="143"/>
    </row>
    <row r="802" ht="21.0" customHeight="1">
      <c r="A802" s="5">
        <v>5.0</v>
      </c>
      <c r="B802" s="135">
        <v>545.0</v>
      </c>
      <c r="C802" s="6">
        <v>1.0</v>
      </c>
      <c r="D802" s="116" t="s">
        <v>875</v>
      </c>
      <c r="E802" s="9" t="s">
        <v>873</v>
      </c>
      <c r="F802" s="109" t="str">
        <f t="shared" ref="F802:G802" si="801">TRANSLATE(D802,"lzh","vi")</f>
        <v>#NAME?</v>
      </c>
      <c r="G802" s="109" t="str">
        <f t="shared" si="801"/>
        <v>#NAME?</v>
      </c>
      <c r="X802" s="143"/>
    </row>
    <row r="803" ht="21.0" customHeight="1">
      <c r="A803" s="5">
        <v>5.0</v>
      </c>
      <c r="B803" s="135">
        <v>545.0</v>
      </c>
      <c r="C803" s="6">
        <v>1.0</v>
      </c>
      <c r="D803" s="116" t="s">
        <v>876</v>
      </c>
      <c r="E803" s="9" t="s">
        <v>873</v>
      </c>
      <c r="F803" s="109" t="str">
        <f t="shared" ref="F803:G803" si="802">TRANSLATE(D803,"lzh","vi")</f>
        <v>#NAME?</v>
      </c>
      <c r="G803" s="109" t="str">
        <f t="shared" si="802"/>
        <v>#NAME?</v>
      </c>
      <c r="X803" s="143"/>
    </row>
    <row r="804" ht="21.0" customHeight="1">
      <c r="A804" s="5">
        <v>5.0</v>
      </c>
      <c r="B804" s="135">
        <v>545.0</v>
      </c>
      <c r="C804" s="6">
        <v>1.0</v>
      </c>
      <c r="D804" s="116" t="s">
        <v>877</v>
      </c>
      <c r="E804" s="9" t="s">
        <v>873</v>
      </c>
      <c r="F804" s="109" t="str">
        <f t="shared" ref="F804:G804" si="803">TRANSLATE(D804,"lzh","vi")</f>
        <v>#NAME?</v>
      </c>
      <c r="G804" s="109" t="str">
        <f t="shared" si="803"/>
        <v>#NAME?</v>
      </c>
      <c r="X804" s="143"/>
    </row>
    <row r="805" ht="21.0" customHeight="1">
      <c r="A805" s="5">
        <v>5.0</v>
      </c>
      <c r="B805" s="135">
        <v>545.0</v>
      </c>
      <c r="C805" s="6">
        <v>1.0</v>
      </c>
      <c r="D805" s="116" t="s">
        <v>878</v>
      </c>
      <c r="E805" s="9" t="s">
        <v>873</v>
      </c>
      <c r="F805" s="109" t="str">
        <f t="shared" ref="F805:G805" si="804">TRANSLATE(D805,"lzh","vi")</f>
        <v>#NAME?</v>
      </c>
      <c r="G805" s="109" t="str">
        <f t="shared" si="804"/>
        <v>#NAME?</v>
      </c>
      <c r="X805" s="143"/>
    </row>
    <row r="806" ht="21.0" customHeight="1">
      <c r="A806" s="5">
        <v>5.0</v>
      </c>
      <c r="B806" s="135">
        <v>545.0</v>
      </c>
      <c r="C806" s="6">
        <v>1.0</v>
      </c>
      <c r="D806" s="116" t="s">
        <v>879</v>
      </c>
      <c r="E806" s="9" t="s">
        <v>873</v>
      </c>
      <c r="F806" s="109" t="str">
        <f t="shared" ref="F806:G806" si="805">TRANSLATE(D806,"lzh","vi")</f>
        <v>#NAME?</v>
      </c>
      <c r="G806" s="109" t="str">
        <f t="shared" si="805"/>
        <v>#NAME?</v>
      </c>
      <c r="X806" s="143"/>
    </row>
    <row r="807" ht="21.0" customHeight="1">
      <c r="A807" s="138">
        <v>5.0</v>
      </c>
      <c r="B807" s="135">
        <v>545.0</v>
      </c>
      <c r="C807" s="139">
        <v>1.0</v>
      </c>
      <c r="D807" s="140" t="s">
        <v>880</v>
      </c>
      <c r="E807" s="9" t="s">
        <v>873</v>
      </c>
      <c r="F807" s="109" t="str">
        <f t="shared" ref="F807:G807" si="806">TRANSLATE(D807,"lzh","vi")</f>
        <v>#NAME?</v>
      </c>
      <c r="G807" s="109" t="str">
        <f t="shared" si="806"/>
        <v>#NAME?</v>
      </c>
      <c r="X807" s="143"/>
    </row>
    <row r="808" ht="21.0" customHeight="1">
      <c r="A808" s="134">
        <v>5.0</v>
      </c>
      <c r="B808" s="135">
        <v>546.0</v>
      </c>
      <c r="C808" s="135">
        <v>1.0</v>
      </c>
      <c r="D808" s="136" t="s">
        <v>872</v>
      </c>
      <c r="E808" s="9" t="s">
        <v>873</v>
      </c>
      <c r="F808" s="109" t="str">
        <f t="shared" ref="F808:G808" si="807">TRANSLATE(D808,"lzh","vi")</f>
        <v>#NAME?</v>
      </c>
      <c r="G808" s="109" t="str">
        <f t="shared" si="807"/>
        <v>#NAME?</v>
      </c>
      <c r="X808" s="143"/>
    </row>
    <row r="809" ht="21.0" customHeight="1">
      <c r="A809" s="5">
        <v>5.0</v>
      </c>
      <c r="B809" s="135">
        <v>546.0</v>
      </c>
      <c r="C809" s="6">
        <v>1.0</v>
      </c>
      <c r="D809" s="116" t="s">
        <v>874</v>
      </c>
      <c r="E809" s="9" t="s">
        <v>873</v>
      </c>
      <c r="F809" s="109" t="str">
        <f t="shared" ref="F809:G809" si="808">TRANSLATE(D809,"lzh","vi")</f>
        <v>#NAME?</v>
      </c>
      <c r="G809" s="109" t="str">
        <f t="shared" si="808"/>
        <v>#NAME?</v>
      </c>
      <c r="X809" s="143"/>
    </row>
    <row r="810" ht="21.0" customHeight="1">
      <c r="A810" s="5">
        <v>5.0</v>
      </c>
      <c r="B810" s="135">
        <v>546.0</v>
      </c>
      <c r="C810" s="6">
        <v>1.0</v>
      </c>
      <c r="D810" s="116" t="s">
        <v>875</v>
      </c>
      <c r="E810" s="9" t="s">
        <v>873</v>
      </c>
      <c r="F810" s="109" t="str">
        <f t="shared" ref="F810:G810" si="809">TRANSLATE(D810,"lzh","vi")</f>
        <v>#NAME?</v>
      </c>
      <c r="G810" s="109" t="str">
        <f t="shared" si="809"/>
        <v>#NAME?</v>
      </c>
      <c r="X810" s="143"/>
    </row>
    <row r="811" ht="21.0" customHeight="1">
      <c r="A811" s="5">
        <v>5.0</v>
      </c>
      <c r="B811" s="135">
        <v>546.0</v>
      </c>
      <c r="C811" s="6">
        <v>1.0</v>
      </c>
      <c r="D811" s="116" t="s">
        <v>876</v>
      </c>
      <c r="E811" s="9" t="s">
        <v>873</v>
      </c>
      <c r="F811" s="109" t="str">
        <f t="shared" ref="F811:G811" si="810">TRANSLATE(D811,"lzh","vi")</f>
        <v>#NAME?</v>
      </c>
      <c r="G811" s="109" t="str">
        <f t="shared" si="810"/>
        <v>#NAME?</v>
      </c>
      <c r="X811" s="143"/>
    </row>
    <row r="812" ht="21.0" customHeight="1">
      <c r="A812" s="5">
        <v>5.0</v>
      </c>
      <c r="B812" s="135">
        <v>546.0</v>
      </c>
      <c r="C812" s="6">
        <v>1.0</v>
      </c>
      <c r="D812" s="116" t="s">
        <v>877</v>
      </c>
      <c r="E812" s="9" t="s">
        <v>873</v>
      </c>
      <c r="F812" s="109" t="str">
        <f t="shared" ref="F812:G812" si="811">TRANSLATE(D812,"lzh","vi")</f>
        <v>#NAME?</v>
      </c>
      <c r="G812" s="109" t="str">
        <f t="shared" si="811"/>
        <v>#NAME?</v>
      </c>
      <c r="X812" s="143"/>
    </row>
    <row r="813" ht="21.0" customHeight="1">
      <c r="A813" s="5">
        <v>5.0</v>
      </c>
      <c r="B813" s="135">
        <v>546.0</v>
      </c>
      <c r="C813" s="6">
        <v>1.0</v>
      </c>
      <c r="D813" s="116" t="s">
        <v>878</v>
      </c>
      <c r="E813" s="9" t="s">
        <v>873</v>
      </c>
      <c r="F813" s="109" t="str">
        <f t="shared" ref="F813:G813" si="812">TRANSLATE(D813,"lzh","vi")</f>
        <v>#NAME?</v>
      </c>
      <c r="G813" s="109" t="str">
        <f t="shared" si="812"/>
        <v>#NAME?</v>
      </c>
      <c r="X813" s="143"/>
    </row>
    <row r="814" ht="21.0" customHeight="1">
      <c r="A814" s="5">
        <v>5.0</v>
      </c>
      <c r="B814" s="135">
        <v>546.0</v>
      </c>
      <c r="C814" s="6">
        <v>1.0</v>
      </c>
      <c r="D814" s="116" t="s">
        <v>879</v>
      </c>
      <c r="E814" s="9" t="s">
        <v>873</v>
      </c>
      <c r="F814" s="109" t="str">
        <f t="shared" ref="F814:G814" si="813">TRANSLATE(D814,"lzh","vi")</f>
        <v>#NAME?</v>
      </c>
      <c r="G814" s="109" t="str">
        <f t="shared" si="813"/>
        <v>#NAME?</v>
      </c>
      <c r="X814" s="143"/>
    </row>
    <row r="815" ht="21.0" customHeight="1">
      <c r="A815" s="138">
        <v>5.0</v>
      </c>
      <c r="B815" s="135">
        <v>546.0</v>
      </c>
      <c r="C815" s="139">
        <v>1.0</v>
      </c>
      <c r="D815" s="140" t="s">
        <v>880</v>
      </c>
      <c r="E815" s="9" t="s">
        <v>873</v>
      </c>
      <c r="F815" s="109" t="str">
        <f t="shared" ref="F815:G815" si="814">TRANSLATE(D815,"lzh","vi")</f>
        <v>#NAME?</v>
      </c>
      <c r="G815" s="109" t="str">
        <f t="shared" si="814"/>
        <v>#NAME?</v>
      </c>
      <c r="X815" s="143"/>
    </row>
    <row r="816" ht="21.0" customHeight="1">
      <c r="A816" s="134">
        <v>5.0</v>
      </c>
      <c r="B816" s="135">
        <v>547.0</v>
      </c>
      <c r="C816" s="135">
        <v>1.0</v>
      </c>
      <c r="D816" s="136" t="s">
        <v>872</v>
      </c>
      <c r="E816" s="9" t="s">
        <v>873</v>
      </c>
      <c r="F816" s="109" t="str">
        <f t="shared" ref="F816:G816" si="815">TRANSLATE(D816,"lzh","vi")</f>
        <v>#NAME?</v>
      </c>
      <c r="G816" s="109" t="str">
        <f t="shared" si="815"/>
        <v>#NAME?</v>
      </c>
      <c r="X816" s="143"/>
    </row>
    <row r="817" ht="21.0" customHeight="1">
      <c r="A817" s="5">
        <v>5.0</v>
      </c>
      <c r="B817" s="135">
        <v>547.0</v>
      </c>
      <c r="C817" s="6">
        <v>1.0</v>
      </c>
      <c r="D817" s="116" t="s">
        <v>874</v>
      </c>
      <c r="E817" s="9" t="s">
        <v>873</v>
      </c>
      <c r="F817" s="109" t="str">
        <f t="shared" ref="F817:G817" si="816">TRANSLATE(D817,"lzh","vi")</f>
        <v>#NAME?</v>
      </c>
      <c r="G817" s="109" t="str">
        <f t="shared" si="816"/>
        <v>#NAME?</v>
      </c>
      <c r="X817" s="143"/>
    </row>
    <row r="818" ht="21.0" customHeight="1">
      <c r="A818" s="5">
        <v>5.0</v>
      </c>
      <c r="B818" s="135">
        <v>547.0</v>
      </c>
      <c r="C818" s="6">
        <v>1.0</v>
      </c>
      <c r="D818" s="116" t="s">
        <v>875</v>
      </c>
      <c r="E818" s="9" t="s">
        <v>873</v>
      </c>
      <c r="F818" s="109" t="str">
        <f t="shared" ref="F818:G818" si="817">TRANSLATE(D818,"lzh","vi")</f>
        <v>#NAME?</v>
      </c>
      <c r="G818" s="109" t="str">
        <f t="shared" si="817"/>
        <v>#NAME?</v>
      </c>
      <c r="X818" s="143"/>
    </row>
    <row r="819" ht="21.0" customHeight="1">
      <c r="A819" s="5">
        <v>5.0</v>
      </c>
      <c r="B819" s="135">
        <v>547.0</v>
      </c>
      <c r="C819" s="6">
        <v>1.0</v>
      </c>
      <c r="D819" s="116" t="s">
        <v>876</v>
      </c>
      <c r="E819" s="9" t="s">
        <v>873</v>
      </c>
      <c r="F819" s="109" t="str">
        <f t="shared" ref="F819:G819" si="818">TRANSLATE(D819,"lzh","vi")</f>
        <v>#NAME?</v>
      </c>
      <c r="G819" s="109" t="str">
        <f t="shared" si="818"/>
        <v>#NAME?</v>
      </c>
      <c r="X819" s="143"/>
    </row>
    <row r="820" ht="21.0" customHeight="1">
      <c r="A820" s="5">
        <v>5.0</v>
      </c>
      <c r="B820" s="135">
        <v>547.0</v>
      </c>
      <c r="C820" s="6">
        <v>1.0</v>
      </c>
      <c r="D820" s="116" t="s">
        <v>877</v>
      </c>
      <c r="E820" s="9" t="s">
        <v>873</v>
      </c>
      <c r="F820" s="109" t="str">
        <f t="shared" ref="F820:G820" si="819">TRANSLATE(D820,"lzh","vi")</f>
        <v>#NAME?</v>
      </c>
      <c r="G820" s="109" t="str">
        <f t="shared" si="819"/>
        <v>#NAME?</v>
      </c>
      <c r="X820" s="143"/>
    </row>
    <row r="821" ht="21.0" customHeight="1">
      <c r="A821" s="5">
        <v>5.0</v>
      </c>
      <c r="B821" s="135">
        <v>547.0</v>
      </c>
      <c r="C821" s="6">
        <v>1.0</v>
      </c>
      <c r="D821" s="116" t="s">
        <v>878</v>
      </c>
      <c r="E821" s="9" t="s">
        <v>873</v>
      </c>
      <c r="F821" s="109" t="str">
        <f t="shared" ref="F821:G821" si="820">TRANSLATE(D821,"lzh","vi")</f>
        <v>#NAME?</v>
      </c>
      <c r="G821" s="109" t="str">
        <f t="shared" si="820"/>
        <v>#NAME?</v>
      </c>
      <c r="X821" s="143"/>
    </row>
    <row r="822" ht="21.0" customHeight="1">
      <c r="A822" s="5">
        <v>5.0</v>
      </c>
      <c r="B822" s="135">
        <v>547.0</v>
      </c>
      <c r="C822" s="6">
        <v>1.0</v>
      </c>
      <c r="D822" s="116" t="s">
        <v>879</v>
      </c>
      <c r="E822" s="9" t="s">
        <v>873</v>
      </c>
      <c r="F822" s="109" t="str">
        <f t="shared" ref="F822:G822" si="821">TRANSLATE(D822,"lzh","vi")</f>
        <v>#NAME?</v>
      </c>
      <c r="G822" s="109" t="str">
        <f t="shared" si="821"/>
        <v>#NAME?</v>
      </c>
      <c r="X822" s="143"/>
    </row>
    <row r="823" ht="21.0" customHeight="1">
      <c r="A823" s="138">
        <v>5.0</v>
      </c>
      <c r="B823" s="135">
        <v>547.0</v>
      </c>
      <c r="C823" s="139">
        <v>1.0</v>
      </c>
      <c r="D823" s="140" t="s">
        <v>880</v>
      </c>
      <c r="E823" s="9" t="s">
        <v>873</v>
      </c>
      <c r="F823" s="109" t="str">
        <f t="shared" ref="F823:G823" si="822">TRANSLATE(D823,"lzh","vi")</f>
        <v>#NAME?</v>
      </c>
      <c r="G823" s="109" t="str">
        <f t="shared" si="822"/>
        <v>#NAME?</v>
      </c>
      <c r="X823" s="143"/>
    </row>
    <row r="824" ht="21.0" customHeight="1">
      <c r="A824" s="134">
        <v>5.0</v>
      </c>
      <c r="B824" s="135">
        <v>548.0</v>
      </c>
      <c r="C824" s="135">
        <v>1.0</v>
      </c>
      <c r="D824" s="136" t="s">
        <v>872</v>
      </c>
      <c r="E824" s="9" t="s">
        <v>873</v>
      </c>
      <c r="F824" s="109" t="str">
        <f t="shared" ref="F824:G824" si="823">TRANSLATE(D824,"lzh","vi")</f>
        <v>#NAME?</v>
      </c>
      <c r="G824" s="109" t="str">
        <f t="shared" si="823"/>
        <v>#NAME?</v>
      </c>
      <c r="X824" s="143"/>
    </row>
    <row r="825" ht="21.0" customHeight="1">
      <c r="A825" s="5">
        <v>5.0</v>
      </c>
      <c r="B825" s="135">
        <v>548.0</v>
      </c>
      <c r="C825" s="6">
        <v>1.0</v>
      </c>
      <c r="D825" s="116" t="s">
        <v>874</v>
      </c>
      <c r="E825" s="9" t="s">
        <v>873</v>
      </c>
      <c r="F825" s="109" t="str">
        <f t="shared" ref="F825:G825" si="824">TRANSLATE(D825,"lzh","vi")</f>
        <v>#NAME?</v>
      </c>
      <c r="G825" s="109" t="str">
        <f t="shared" si="824"/>
        <v>#NAME?</v>
      </c>
      <c r="X825" s="143"/>
    </row>
    <row r="826" ht="21.0" customHeight="1">
      <c r="A826" s="5">
        <v>5.0</v>
      </c>
      <c r="B826" s="135">
        <v>548.0</v>
      </c>
      <c r="C826" s="6">
        <v>1.0</v>
      </c>
      <c r="D826" s="116" t="s">
        <v>875</v>
      </c>
      <c r="E826" s="9" t="s">
        <v>873</v>
      </c>
      <c r="F826" s="109" t="str">
        <f t="shared" ref="F826:G826" si="825">TRANSLATE(D826,"lzh","vi")</f>
        <v>#NAME?</v>
      </c>
      <c r="G826" s="109" t="str">
        <f t="shared" si="825"/>
        <v>#NAME?</v>
      </c>
      <c r="X826" s="143"/>
    </row>
    <row r="827" ht="21.0" customHeight="1">
      <c r="A827" s="5">
        <v>5.0</v>
      </c>
      <c r="B827" s="135">
        <v>548.0</v>
      </c>
      <c r="C827" s="6">
        <v>1.0</v>
      </c>
      <c r="D827" s="116" t="s">
        <v>876</v>
      </c>
      <c r="E827" s="9" t="s">
        <v>873</v>
      </c>
      <c r="F827" s="109" t="str">
        <f t="shared" ref="F827:G827" si="826">TRANSLATE(D827,"lzh","vi")</f>
        <v>#NAME?</v>
      </c>
      <c r="G827" s="109" t="str">
        <f t="shared" si="826"/>
        <v>#NAME?</v>
      </c>
      <c r="X827" s="143"/>
    </row>
    <row r="828" ht="21.0" customHeight="1">
      <c r="A828" s="5">
        <v>5.0</v>
      </c>
      <c r="B828" s="135">
        <v>548.0</v>
      </c>
      <c r="C828" s="6">
        <v>1.0</v>
      </c>
      <c r="D828" s="116" t="s">
        <v>877</v>
      </c>
      <c r="E828" s="9" t="s">
        <v>873</v>
      </c>
      <c r="F828" s="109" t="str">
        <f t="shared" ref="F828:G828" si="827">TRANSLATE(D828,"lzh","vi")</f>
        <v>#NAME?</v>
      </c>
      <c r="G828" s="109" t="str">
        <f t="shared" si="827"/>
        <v>#NAME?</v>
      </c>
      <c r="X828" s="143"/>
    </row>
    <row r="829" ht="21.0" customHeight="1">
      <c r="A829" s="5">
        <v>5.0</v>
      </c>
      <c r="B829" s="135">
        <v>548.0</v>
      </c>
      <c r="C829" s="6">
        <v>1.0</v>
      </c>
      <c r="D829" s="116" t="s">
        <v>878</v>
      </c>
      <c r="E829" s="9" t="s">
        <v>873</v>
      </c>
      <c r="F829" s="109" t="str">
        <f t="shared" ref="F829:G829" si="828">TRANSLATE(D829,"lzh","vi")</f>
        <v>#NAME?</v>
      </c>
      <c r="G829" s="109" t="str">
        <f t="shared" si="828"/>
        <v>#NAME?</v>
      </c>
      <c r="X829" s="143"/>
    </row>
    <row r="830" ht="21.0" customHeight="1">
      <c r="A830" s="5">
        <v>5.0</v>
      </c>
      <c r="B830" s="135">
        <v>548.0</v>
      </c>
      <c r="C830" s="6">
        <v>1.0</v>
      </c>
      <c r="D830" s="116" t="s">
        <v>879</v>
      </c>
      <c r="E830" s="9" t="s">
        <v>873</v>
      </c>
      <c r="F830" s="109" t="str">
        <f t="shared" ref="F830:G830" si="829">TRANSLATE(D830,"lzh","vi")</f>
        <v>#NAME?</v>
      </c>
      <c r="G830" s="109" t="str">
        <f t="shared" si="829"/>
        <v>#NAME?</v>
      </c>
      <c r="X830" s="143"/>
    </row>
    <row r="831" ht="21.0" customHeight="1">
      <c r="A831" s="138">
        <v>5.0</v>
      </c>
      <c r="B831" s="135">
        <v>548.0</v>
      </c>
      <c r="C831" s="139">
        <v>1.0</v>
      </c>
      <c r="D831" s="140" t="s">
        <v>880</v>
      </c>
      <c r="E831" s="9" t="s">
        <v>873</v>
      </c>
      <c r="F831" s="109" t="str">
        <f t="shared" ref="F831:G831" si="830">TRANSLATE(D831,"lzh","vi")</f>
        <v>#NAME?</v>
      </c>
      <c r="G831" s="109" t="str">
        <f t="shared" si="830"/>
        <v>#NAME?</v>
      </c>
      <c r="X831" s="143"/>
    </row>
    <row r="832" ht="21.0" customHeight="1">
      <c r="A832" s="134">
        <v>5.0</v>
      </c>
      <c r="B832" s="135">
        <v>549.0</v>
      </c>
      <c r="C832" s="135">
        <v>1.0</v>
      </c>
      <c r="D832" s="136" t="s">
        <v>872</v>
      </c>
      <c r="E832" s="9" t="s">
        <v>873</v>
      </c>
      <c r="F832" s="109" t="str">
        <f t="shared" ref="F832:G832" si="831">TRANSLATE(D832,"lzh","vi")</f>
        <v>#NAME?</v>
      </c>
      <c r="G832" s="109" t="str">
        <f t="shared" si="831"/>
        <v>#NAME?</v>
      </c>
      <c r="X832" s="143"/>
    </row>
    <row r="833" ht="21.0" customHeight="1">
      <c r="A833" s="5">
        <v>5.0</v>
      </c>
      <c r="B833" s="135">
        <v>549.0</v>
      </c>
      <c r="C833" s="6">
        <v>1.0</v>
      </c>
      <c r="D833" s="116" t="s">
        <v>874</v>
      </c>
      <c r="E833" s="9" t="s">
        <v>873</v>
      </c>
      <c r="F833" s="109" t="str">
        <f t="shared" ref="F833:G833" si="832">TRANSLATE(D833,"lzh","vi")</f>
        <v>#NAME?</v>
      </c>
      <c r="G833" s="109" t="str">
        <f t="shared" si="832"/>
        <v>#NAME?</v>
      </c>
      <c r="X833" s="143"/>
    </row>
    <row r="834" ht="21.0" customHeight="1">
      <c r="A834" s="5">
        <v>5.0</v>
      </c>
      <c r="B834" s="135">
        <v>549.0</v>
      </c>
      <c r="C834" s="6">
        <v>1.0</v>
      </c>
      <c r="D834" s="116" t="s">
        <v>875</v>
      </c>
      <c r="E834" s="9" t="s">
        <v>873</v>
      </c>
      <c r="F834" s="109" t="str">
        <f t="shared" ref="F834:G834" si="833">TRANSLATE(D834,"lzh","vi")</f>
        <v>#NAME?</v>
      </c>
      <c r="G834" s="109" t="str">
        <f t="shared" si="833"/>
        <v>#NAME?</v>
      </c>
      <c r="X834" s="143"/>
    </row>
    <row r="835" ht="21.0" customHeight="1">
      <c r="A835" s="5">
        <v>5.0</v>
      </c>
      <c r="B835" s="135">
        <v>549.0</v>
      </c>
      <c r="C835" s="6">
        <v>1.0</v>
      </c>
      <c r="D835" s="116" t="s">
        <v>876</v>
      </c>
      <c r="E835" s="9" t="s">
        <v>873</v>
      </c>
      <c r="F835" s="109" t="str">
        <f t="shared" ref="F835:G835" si="834">TRANSLATE(D835,"lzh","vi")</f>
        <v>#NAME?</v>
      </c>
      <c r="G835" s="109" t="str">
        <f t="shared" si="834"/>
        <v>#NAME?</v>
      </c>
      <c r="X835" s="143"/>
    </row>
    <row r="836" ht="21.0" customHeight="1">
      <c r="A836" s="5">
        <v>5.0</v>
      </c>
      <c r="B836" s="135">
        <v>549.0</v>
      </c>
      <c r="C836" s="6">
        <v>1.0</v>
      </c>
      <c r="D836" s="116" t="s">
        <v>877</v>
      </c>
      <c r="E836" s="9" t="s">
        <v>873</v>
      </c>
      <c r="F836" s="109" t="str">
        <f t="shared" ref="F836:G836" si="835">TRANSLATE(D836,"lzh","vi")</f>
        <v>#NAME?</v>
      </c>
      <c r="G836" s="109" t="str">
        <f t="shared" si="835"/>
        <v>#NAME?</v>
      </c>
      <c r="X836" s="143"/>
    </row>
    <row r="837" ht="21.0" customHeight="1">
      <c r="A837" s="5">
        <v>5.0</v>
      </c>
      <c r="B837" s="135">
        <v>549.0</v>
      </c>
      <c r="C837" s="6">
        <v>1.0</v>
      </c>
      <c r="D837" s="116" t="s">
        <v>878</v>
      </c>
      <c r="E837" s="9" t="s">
        <v>873</v>
      </c>
      <c r="F837" s="109" t="str">
        <f t="shared" ref="F837:G837" si="836">TRANSLATE(D837,"lzh","vi")</f>
        <v>#NAME?</v>
      </c>
      <c r="G837" s="109" t="str">
        <f t="shared" si="836"/>
        <v>#NAME?</v>
      </c>
      <c r="X837" s="143"/>
    </row>
    <row r="838" ht="21.0" customHeight="1">
      <c r="A838" s="5">
        <v>5.0</v>
      </c>
      <c r="B838" s="135">
        <v>549.0</v>
      </c>
      <c r="C838" s="6">
        <v>1.0</v>
      </c>
      <c r="D838" s="116" t="s">
        <v>879</v>
      </c>
      <c r="E838" s="9" t="s">
        <v>873</v>
      </c>
      <c r="F838" s="109" t="str">
        <f t="shared" ref="F838:G838" si="837">TRANSLATE(D838,"lzh","vi")</f>
        <v>#NAME?</v>
      </c>
      <c r="G838" s="109" t="str">
        <f t="shared" si="837"/>
        <v>#NAME?</v>
      </c>
      <c r="X838" s="143"/>
    </row>
    <row r="839" ht="21.0" customHeight="1">
      <c r="A839" s="138">
        <v>5.0</v>
      </c>
      <c r="B839" s="135">
        <v>549.0</v>
      </c>
      <c r="C839" s="139">
        <v>1.0</v>
      </c>
      <c r="D839" s="140" t="s">
        <v>880</v>
      </c>
      <c r="E839" s="9" t="s">
        <v>873</v>
      </c>
      <c r="F839" s="109" t="str">
        <f t="shared" ref="F839:G839" si="838">TRANSLATE(D839,"lzh","vi")</f>
        <v>#NAME?</v>
      </c>
      <c r="G839" s="109" t="str">
        <f t="shared" si="838"/>
        <v>#NAME?</v>
      </c>
      <c r="X839" s="143"/>
    </row>
    <row r="840" ht="21.0" customHeight="1">
      <c r="A840" s="134">
        <v>5.0</v>
      </c>
      <c r="B840" s="135">
        <v>550.0</v>
      </c>
      <c r="C840" s="135">
        <v>1.0</v>
      </c>
      <c r="D840" s="136" t="s">
        <v>872</v>
      </c>
      <c r="E840" s="9" t="s">
        <v>873</v>
      </c>
      <c r="F840" s="109" t="str">
        <f t="shared" ref="F840:G840" si="839">TRANSLATE(D840,"lzh","vi")</f>
        <v>#NAME?</v>
      </c>
      <c r="G840" s="109" t="str">
        <f t="shared" si="839"/>
        <v>#NAME?</v>
      </c>
      <c r="X840" s="143"/>
    </row>
    <row r="841" ht="21.0" customHeight="1">
      <c r="A841" s="5">
        <v>5.0</v>
      </c>
      <c r="B841" s="135">
        <v>550.0</v>
      </c>
      <c r="C841" s="6">
        <v>1.0</v>
      </c>
      <c r="D841" s="116" t="s">
        <v>874</v>
      </c>
      <c r="E841" s="9" t="s">
        <v>873</v>
      </c>
      <c r="F841" s="109" t="str">
        <f t="shared" ref="F841:G841" si="840">TRANSLATE(D841,"lzh","vi")</f>
        <v>#NAME?</v>
      </c>
      <c r="G841" s="109" t="str">
        <f t="shared" si="840"/>
        <v>#NAME?</v>
      </c>
      <c r="X841" s="143"/>
    </row>
    <row r="842" ht="21.0" customHeight="1">
      <c r="A842" s="5">
        <v>5.0</v>
      </c>
      <c r="B842" s="135">
        <v>550.0</v>
      </c>
      <c r="C842" s="6">
        <v>1.0</v>
      </c>
      <c r="D842" s="116" t="s">
        <v>875</v>
      </c>
      <c r="E842" s="9" t="s">
        <v>873</v>
      </c>
      <c r="F842" s="109" t="str">
        <f t="shared" ref="F842:G842" si="841">TRANSLATE(D842,"lzh","vi")</f>
        <v>#NAME?</v>
      </c>
      <c r="G842" s="109" t="str">
        <f t="shared" si="841"/>
        <v>#NAME?</v>
      </c>
      <c r="X842" s="143"/>
    </row>
    <row r="843" ht="21.0" customHeight="1">
      <c r="A843" s="5">
        <v>5.0</v>
      </c>
      <c r="B843" s="135">
        <v>550.0</v>
      </c>
      <c r="C843" s="6">
        <v>1.0</v>
      </c>
      <c r="D843" s="116" t="s">
        <v>876</v>
      </c>
      <c r="E843" s="9" t="s">
        <v>873</v>
      </c>
      <c r="F843" s="109" t="str">
        <f t="shared" ref="F843:G843" si="842">TRANSLATE(D843,"lzh","vi")</f>
        <v>#NAME?</v>
      </c>
      <c r="G843" s="109" t="str">
        <f t="shared" si="842"/>
        <v>#NAME?</v>
      </c>
      <c r="X843" s="143"/>
    </row>
    <row r="844" ht="21.0" customHeight="1">
      <c r="A844" s="5">
        <v>5.0</v>
      </c>
      <c r="B844" s="135">
        <v>550.0</v>
      </c>
      <c r="C844" s="6">
        <v>1.0</v>
      </c>
      <c r="D844" s="116" t="s">
        <v>877</v>
      </c>
      <c r="E844" s="9" t="s">
        <v>873</v>
      </c>
      <c r="F844" s="109" t="str">
        <f t="shared" ref="F844:G844" si="843">TRANSLATE(D844,"lzh","vi")</f>
        <v>#NAME?</v>
      </c>
      <c r="G844" s="109" t="str">
        <f t="shared" si="843"/>
        <v>#NAME?</v>
      </c>
      <c r="X844" s="143"/>
    </row>
    <row r="845" ht="21.0" customHeight="1">
      <c r="A845" s="5">
        <v>5.0</v>
      </c>
      <c r="B845" s="135">
        <v>550.0</v>
      </c>
      <c r="C845" s="6">
        <v>1.0</v>
      </c>
      <c r="D845" s="116" t="s">
        <v>878</v>
      </c>
      <c r="E845" s="9" t="s">
        <v>873</v>
      </c>
      <c r="F845" s="109" t="str">
        <f t="shared" ref="F845:G845" si="844">TRANSLATE(D845,"lzh","vi")</f>
        <v>#NAME?</v>
      </c>
      <c r="G845" s="109" t="str">
        <f t="shared" si="844"/>
        <v>#NAME?</v>
      </c>
      <c r="X845" s="143"/>
    </row>
    <row r="846" ht="21.0" customHeight="1">
      <c r="A846" s="5">
        <v>5.0</v>
      </c>
      <c r="B846" s="135">
        <v>550.0</v>
      </c>
      <c r="C846" s="6">
        <v>1.0</v>
      </c>
      <c r="D846" s="116" t="s">
        <v>879</v>
      </c>
      <c r="E846" s="9" t="s">
        <v>873</v>
      </c>
      <c r="F846" s="109" t="str">
        <f t="shared" ref="F846:G846" si="845">TRANSLATE(D846,"lzh","vi")</f>
        <v>#NAME?</v>
      </c>
      <c r="G846" s="109" t="str">
        <f t="shared" si="845"/>
        <v>#NAME?</v>
      </c>
      <c r="X846" s="143"/>
    </row>
    <row r="847" ht="21.0" customHeight="1">
      <c r="A847" s="138">
        <v>5.0</v>
      </c>
      <c r="B847" s="135">
        <v>550.0</v>
      </c>
      <c r="C847" s="139">
        <v>1.0</v>
      </c>
      <c r="D847" s="140" t="s">
        <v>880</v>
      </c>
      <c r="E847" s="9" t="s">
        <v>873</v>
      </c>
      <c r="F847" s="109" t="str">
        <f t="shared" ref="F847:G847" si="846">TRANSLATE(D847,"lzh","vi")</f>
        <v>#NAME?</v>
      </c>
      <c r="G847" s="109" t="str">
        <f t="shared" si="846"/>
        <v>#NAME?</v>
      </c>
      <c r="X847" s="143"/>
    </row>
    <row r="848" ht="21.0" customHeight="1">
      <c r="A848" s="134">
        <v>5.0</v>
      </c>
      <c r="B848" s="6">
        <v>551.0</v>
      </c>
      <c r="C848" s="135">
        <v>1.0</v>
      </c>
      <c r="D848" s="136" t="s">
        <v>872</v>
      </c>
      <c r="E848" s="9" t="s">
        <v>873</v>
      </c>
      <c r="F848" s="109" t="str">
        <f t="shared" ref="F848:G848" si="847">TRANSLATE(D848,"lzh","vi")</f>
        <v>#NAME?</v>
      </c>
      <c r="G848" s="109" t="str">
        <f t="shared" si="847"/>
        <v>#NAME?</v>
      </c>
      <c r="X848" s="137"/>
    </row>
    <row r="849" ht="21.0" customHeight="1">
      <c r="A849" s="5">
        <v>5.0</v>
      </c>
      <c r="B849" s="6">
        <v>551.0</v>
      </c>
      <c r="C849" s="6">
        <v>1.0</v>
      </c>
      <c r="D849" s="116" t="s">
        <v>874</v>
      </c>
      <c r="E849" s="9" t="s">
        <v>873</v>
      </c>
      <c r="F849" s="109" t="str">
        <f t="shared" ref="F849:G849" si="848">TRANSLATE(D849,"lzh","vi")</f>
        <v>#NAME?</v>
      </c>
      <c r="G849" s="109" t="str">
        <f t="shared" si="848"/>
        <v>#NAME?</v>
      </c>
      <c r="X849" s="110"/>
    </row>
    <row r="850" ht="21.0" customHeight="1">
      <c r="A850" s="5">
        <v>5.0</v>
      </c>
      <c r="B850" s="6">
        <v>551.0</v>
      </c>
      <c r="C850" s="6">
        <v>1.0</v>
      </c>
      <c r="D850" s="116" t="s">
        <v>875</v>
      </c>
      <c r="E850" s="9" t="s">
        <v>873</v>
      </c>
      <c r="F850" s="109" t="str">
        <f t="shared" ref="F850:G850" si="849">TRANSLATE(D850,"lzh","vi")</f>
        <v>#NAME?</v>
      </c>
      <c r="G850" s="109" t="str">
        <f t="shared" si="849"/>
        <v>#NAME?</v>
      </c>
      <c r="X850" s="110"/>
    </row>
    <row r="851" ht="21.0" customHeight="1">
      <c r="A851" s="5">
        <v>5.0</v>
      </c>
      <c r="B851" s="6">
        <v>551.0</v>
      </c>
      <c r="C851" s="6">
        <v>1.0</v>
      </c>
      <c r="D851" s="116" t="s">
        <v>876</v>
      </c>
      <c r="E851" s="9" t="s">
        <v>873</v>
      </c>
      <c r="F851" s="109" t="str">
        <f t="shared" ref="F851:G851" si="850">TRANSLATE(D851,"lzh","vi")</f>
        <v>#NAME?</v>
      </c>
      <c r="G851" s="109" t="str">
        <f t="shared" si="850"/>
        <v>#NAME?</v>
      </c>
      <c r="X851" s="110"/>
    </row>
    <row r="852" ht="21.0" customHeight="1">
      <c r="A852" s="5">
        <v>5.0</v>
      </c>
      <c r="B852" s="6">
        <v>551.0</v>
      </c>
      <c r="C852" s="6">
        <v>1.0</v>
      </c>
      <c r="D852" s="116" t="s">
        <v>877</v>
      </c>
      <c r="E852" s="9" t="s">
        <v>873</v>
      </c>
      <c r="F852" s="109" t="str">
        <f t="shared" ref="F852:G852" si="851">TRANSLATE(D852,"lzh","vi")</f>
        <v>#NAME?</v>
      </c>
      <c r="G852" s="109" t="str">
        <f t="shared" si="851"/>
        <v>#NAME?</v>
      </c>
      <c r="X852" s="110"/>
    </row>
    <row r="853" ht="21.0" customHeight="1">
      <c r="A853" s="5">
        <v>5.0</v>
      </c>
      <c r="B853" s="6">
        <v>551.0</v>
      </c>
      <c r="C853" s="6">
        <v>1.0</v>
      </c>
      <c r="D853" s="116" t="s">
        <v>878</v>
      </c>
      <c r="E853" s="9" t="s">
        <v>873</v>
      </c>
      <c r="F853" s="109" t="str">
        <f t="shared" ref="F853:G853" si="852">TRANSLATE(D853,"lzh","vi")</f>
        <v>#NAME?</v>
      </c>
      <c r="G853" s="109" t="str">
        <f t="shared" si="852"/>
        <v>#NAME?</v>
      </c>
      <c r="X853" s="110"/>
    </row>
    <row r="854" ht="21.0" customHeight="1">
      <c r="A854" s="5">
        <v>5.0</v>
      </c>
      <c r="B854" s="6">
        <v>551.0</v>
      </c>
      <c r="C854" s="6">
        <v>1.0</v>
      </c>
      <c r="D854" s="116" t="s">
        <v>879</v>
      </c>
      <c r="E854" s="9" t="s">
        <v>873</v>
      </c>
      <c r="F854" s="109" t="str">
        <f t="shared" ref="F854:G854" si="853">TRANSLATE(D854,"lzh","vi")</f>
        <v>#NAME?</v>
      </c>
      <c r="G854" s="109" t="str">
        <f t="shared" si="853"/>
        <v>#NAME?</v>
      </c>
      <c r="X854" s="110"/>
    </row>
    <row r="855" ht="21.0" customHeight="1">
      <c r="A855" s="138">
        <v>5.0</v>
      </c>
      <c r="B855" s="6">
        <v>551.0</v>
      </c>
      <c r="C855" s="139">
        <v>1.0</v>
      </c>
      <c r="D855" s="140" t="s">
        <v>880</v>
      </c>
      <c r="E855" s="9" t="s">
        <v>873</v>
      </c>
      <c r="F855" s="109" t="str">
        <f t="shared" ref="F855:G855" si="854">TRANSLATE(D855,"lzh","vi")</f>
        <v>#NAME?</v>
      </c>
      <c r="G855" s="109" t="str">
        <f t="shared" si="854"/>
        <v>#NAME?</v>
      </c>
      <c r="X855" s="141"/>
    </row>
    <row r="856" ht="21.0" customHeight="1">
      <c r="A856" s="134">
        <v>5.0</v>
      </c>
      <c r="B856" s="135">
        <v>552.0</v>
      </c>
      <c r="C856" s="135">
        <v>1.0</v>
      </c>
      <c r="D856" s="136" t="s">
        <v>872</v>
      </c>
      <c r="E856" s="9" t="s">
        <v>873</v>
      </c>
      <c r="F856" s="109" t="str">
        <f t="shared" ref="F856:G856" si="855">TRANSLATE(D856,"lzh","vi")</f>
        <v>#NAME?</v>
      </c>
      <c r="G856" s="109" t="str">
        <f t="shared" si="855"/>
        <v>#NAME?</v>
      </c>
      <c r="X856" s="143"/>
    </row>
    <row r="857" ht="21.0" customHeight="1">
      <c r="A857" s="5">
        <v>5.0</v>
      </c>
      <c r="B857" s="135">
        <v>552.0</v>
      </c>
      <c r="C857" s="6">
        <v>1.0</v>
      </c>
      <c r="D857" s="116" t="s">
        <v>874</v>
      </c>
      <c r="E857" s="9" t="s">
        <v>873</v>
      </c>
      <c r="F857" s="109" t="str">
        <f t="shared" ref="F857:G857" si="856">TRANSLATE(D857,"lzh","vi")</f>
        <v>#NAME?</v>
      </c>
      <c r="G857" s="109" t="str">
        <f t="shared" si="856"/>
        <v>#NAME?</v>
      </c>
      <c r="X857" s="143"/>
    </row>
    <row r="858" ht="21.0" customHeight="1">
      <c r="A858" s="5">
        <v>5.0</v>
      </c>
      <c r="B858" s="135">
        <v>552.0</v>
      </c>
      <c r="C858" s="6">
        <v>1.0</v>
      </c>
      <c r="D858" s="116" t="s">
        <v>875</v>
      </c>
      <c r="E858" s="9" t="s">
        <v>873</v>
      </c>
      <c r="F858" s="109" t="str">
        <f t="shared" ref="F858:G858" si="857">TRANSLATE(D858,"lzh","vi")</f>
        <v>#NAME?</v>
      </c>
      <c r="G858" s="109" t="str">
        <f t="shared" si="857"/>
        <v>#NAME?</v>
      </c>
      <c r="X858" s="143"/>
    </row>
    <row r="859" ht="21.0" customHeight="1">
      <c r="A859" s="5">
        <v>5.0</v>
      </c>
      <c r="B859" s="135">
        <v>552.0</v>
      </c>
      <c r="C859" s="6">
        <v>1.0</v>
      </c>
      <c r="D859" s="116" t="s">
        <v>876</v>
      </c>
      <c r="E859" s="9" t="s">
        <v>873</v>
      </c>
      <c r="F859" s="109" t="str">
        <f t="shared" ref="F859:G859" si="858">TRANSLATE(D859,"lzh","vi")</f>
        <v>#NAME?</v>
      </c>
      <c r="G859" s="109" t="str">
        <f t="shared" si="858"/>
        <v>#NAME?</v>
      </c>
      <c r="X859" s="143"/>
    </row>
    <row r="860" ht="21.0" customHeight="1">
      <c r="A860" s="5">
        <v>5.0</v>
      </c>
      <c r="B860" s="135">
        <v>552.0</v>
      </c>
      <c r="C860" s="6">
        <v>1.0</v>
      </c>
      <c r="D860" s="116" t="s">
        <v>877</v>
      </c>
      <c r="E860" s="9" t="s">
        <v>873</v>
      </c>
      <c r="F860" s="109" t="str">
        <f t="shared" ref="F860:G860" si="859">TRANSLATE(D860,"lzh","vi")</f>
        <v>#NAME?</v>
      </c>
      <c r="G860" s="109" t="str">
        <f t="shared" si="859"/>
        <v>#NAME?</v>
      </c>
      <c r="X860" s="143"/>
    </row>
    <row r="861" ht="21.0" customHeight="1">
      <c r="A861" s="5">
        <v>5.0</v>
      </c>
      <c r="B861" s="135">
        <v>552.0</v>
      </c>
      <c r="C861" s="6">
        <v>1.0</v>
      </c>
      <c r="D861" s="116" t="s">
        <v>878</v>
      </c>
      <c r="E861" s="9" t="s">
        <v>873</v>
      </c>
      <c r="F861" s="109" t="str">
        <f t="shared" ref="F861:G861" si="860">TRANSLATE(D861,"lzh","vi")</f>
        <v>#NAME?</v>
      </c>
      <c r="G861" s="109" t="str">
        <f t="shared" si="860"/>
        <v>#NAME?</v>
      </c>
      <c r="X861" s="143"/>
    </row>
    <row r="862" ht="21.0" customHeight="1">
      <c r="A862" s="5">
        <v>5.0</v>
      </c>
      <c r="B862" s="135">
        <v>552.0</v>
      </c>
      <c r="C862" s="6">
        <v>1.0</v>
      </c>
      <c r="D862" s="116" t="s">
        <v>879</v>
      </c>
      <c r="E862" s="9" t="s">
        <v>873</v>
      </c>
      <c r="F862" s="109" t="str">
        <f t="shared" ref="F862:G862" si="861">TRANSLATE(D862,"lzh","vi")</f>
        <v>#NAME?</v>
      </c>
      <c r="G862" s="109" t="str">
        <f t="shared" si="861"/>
        <v>#NAME?</v>
      </c>
      <c r="X862" s="143"/>
    </row>
    <row r="863" ht="21.0" customHeight="1">
      <c r="A863" s="138">
        <v>5.0</v>
      </c>
      <c r="B863" s="135">
        <v>552.0</v>
      </c>
      <c r="C863" s="139">
        <v>1.0</v>
      </c>
      <c r="D863" s="140" t="s">
        <v>880</v>
      </c>
      <c r="E863" s="9" t="s">
        <v>873</v>
      </c>
      <c r="F863" s="109" t="str">
        <f t="shared" ref="F863:G863" si="862">TRANSLATE(D863,"lzh","vi")</f>
        <v>#NAME?</v>
      </c>
      <c r="G863" s="109" t="str">
        <f t="shared" si="862"/>
        <v>#NAME?</v>
      </c>
      <c r="X863" s="143"/>
    </row>
    <row r="864" ht="21.0" customHeight="1">
      <c r="A864" s="134">
        <v>5.0</v>
      </c>
      <c r="B864" s="135">
        <v>553.0</v>
      </c>
      <c r="C864" s="135">
        <v>1.0</v>
      </c>
      <c r="D864" s="136" t="s">
        <v>872</v>
      </c>
      <c r="E864" s="9" t="s">
        <v>873</v>
      </c>
      <c r="F864" s="109" t="str">
        <f t="shared" ref="F864:G864" si="863">TRANSLATE(D864,"lzh","vi")</f>
        <v>#NAME?</v>
      </c>
      <c r="G864" s="109" t="str">
        <f t="shared" si="863"/>
        <v>#NAME?</v>
      </c>
      <c r="X864" s="143"/>
    </row>
    <row r="865" ht="21.0" customHeight="1">
      <c r="A865" s="5">
        <v>5.0</v>
      </c>
      <c r="B865" s="135">
        <v>553.0</v>
      </c>
      <c r="C865" s="6">
        <v>1.0</v>
      </c>
      <c r="D865" s="116" t="s">
        <v>874</v>
      </c>
      <c r="E865" s="9" t="s">
        <v>873</v>
      </c>
      <c r="F865" s="109" t="str">
        <f t="shared" ref="F865:G865" si="864">TRANSLATE(D865,"lzh","vi")</f>
        <v>#NAME?</v>
      </c>
      <c r="G865" s="109" t="str">
        <f t="shared" si="864"/>
        <v>#NAME?</v>
      </c>
      <c r="X865" s="143"/>
    </row>
    <row r="866" ht="21.0" customHeight="1">
      <c r="A866" s="5">
        <v>5.0</v>
      </c>
      <c r="B866" s="135">
        <v>553.0</v>
      </c>
      <c r="C866" s="6">
        <v>1.0</v>
      </c>
      <c r="D866" s="116" t="s">
        <v>875</v>
      </c>
      <c r="E866" s="9" t="s">
        <v>873</v>
      </c>
      <c r="F866" s="109" t="str">
        <f t="shared" ref="F866:G866" si="865">TRANSLATE(D866,"lzh","vi")</f>
        <v>#NAME?</v>
      </c>
      <c r="G866" s="109" t="str">
        <f t="shared" si="865"/>
        <v>#NAME?</v>
      </c>
      <c r="X866" s="143"/>
    </row>
    <row r="867" ht="21.0" customHeight="1">
      <c r="A867" s="5">
        <v>5.0</v>
      </c>
      <c r="B867" s="135">
        <v>553.0</v>
      </c>
      <c r="C867" s="6">
        <v>1.0</v>
      </c>
      <c r="D867" s="116" t="s">
        <v>876</v>
      </c>
      <c r="E867" s="9" t="s">
        <v>873</v>
      </c>
      <c r="F867" s="109" t="str">
        <f t="shared" ref="F867:G867" si="866">TRANSLATE(D867,"lzh","vi")</f>
        <v>#NAME?</v>
      </c>
      <c r="G867" s="109" t="str">
        <f t="shared" si="866"/>
        <v>#NAME?</v>
      </c>
      <c r="X867" s="143"/>
    </row>
    <row r="868" ht="21.0" customHeight="1">
      <c r="A868" s="5">
        <v>5.0</v>
      </c>
      <c r="B868" s="135">
        <v>553.0</v>
      </c>
      <c r="C868" s="6">
        <v>1.0</v>
      </c>
      <c r="D868" s="116" t="s">
        <v>877</v>
      </c>
      <c r="E868" s="9" t="s">
        <v>873</v>
      </c>
      <c r="F868" s="109" t="str">
        <f t="shared" ref="F868:G868" si="867">TRANSLATE(D868,"lzh","vi")</f>
        <v>#NAME?</v>
      </c>
      <c r="G868" s="109" t="str">
        <f t="shared" si="867"/>
        <v>#NAME?</v>
      </c>
      <c r="X868" s="143"/>
    </row>
    <row r="869" ht="21.0" customHeight="1">
      <c r="A869" s="5">
        <v>5.0</v>
      </c>
      <c r="B869" s="135">
        <v>553.0</v>
      </c>
      <c r="C869" s="6">
        <v>1.0</v>
      </c>
      <c r="D869" s="116" t="s">
        <v>878</v>
      </c>
      <c r="E869" s="9" t="s">
        <v>873</v>
      </c>
      <c r="F869" s="109" t="str">
        <f t="shared" ref="F869:G869" si="868">TRANSLATE(D869,"lzh","vi")</f>
        <v>#NAME?</v>
      </c>
      <c r="G869" s="109" t="str">
        <f t="shared" si="868"/>
        <v>#NAME?</v>
      </c>
      <c r="X869" s="143"/>
    </row>
    <row r="870" ht="21.0" customHeight="1">
      <c r="A870" s="5">
        <v>5.0</v>
      </c>
      <c r="B870" s="135">
        <v>553.0</v>
      </c>
      <c r="C870" s="6">
        <v>1.0</v>
      </c>
      <c r="D870" s="116" t="s">
        <v>879</v>
      </c>
      <c r="E870" s="9" t="s">
        <v>873</v>
      </c>
      <c r="F870" s="109" t="str">
        <f t="shared" ref="F870:G870" si="869">TRANSLATE(D870,"lzh","vi")</f>
        <v>#NAME?</v>
      </c>
      <c r="G870" s="109" t="str">
        <f t="shared" si="869"/>
        <v>#NAME?</v>
      </c>
      <c r="X870" s="143"/>
    </row>
    <row r="871" ht="21.0" customHeight="1">
      <c r="A871" s="138">
        <v>5.0</v>
      </c>
      <c r="B871" s="135">
        <v>553.0</v>
      </c>
      <c r="C871" s="139">
        <v>1.0</v>
      </c>
      <c r="D871" s="140" t="s">
        <v>880</v>
      </c>
      <c r="E871" s="9" t="s">
        <v>873</v>
      </c>
      <c r="F871" s="109" t="str">
        <f t="shared" ref="F871:G871" si="870">TRANSLATE(D871,"lzh","vi")</f>
        <v>#NAME?</v>
      </c>
      <c r="G871" s="109" t="str">
        <f t="shared" si="870"/>
        <v>#NAME?</v>
      </c>
      <c r="X871" s="143"/>
    </row>
    <row r="872" ht="21.0" customHeight="1">
      <c r="A872" s="134">
        <v>5.0</v>
      </c>
      <c r="B872" s="135">
        <v>554.0</v>
      </c>
      <c r="C872" s="135">
        <v>1.0</v>
      </c>
      <c r="D872" s="136" t="s">
        <v>872</v>
      </c>
      <c r="E872" s="9" t="s">
        <v>873</v>
      </c>
      <c r="F872" s="109" t="str">
        <f t="shared" ref="F872:G872" si="871">TRANSLATE(D872,"lzh","vi")</f>
        <v>#NAME?</v>
      </c>
      <c r="G872" s="109" t="str">
        <f t="shared" si="871"/>
        <v>#NAME?</v>
      </c>
      <c r="X872" s="143"/>
    </row>
    <row r="873" ht="21.0" customHeight="1">
      <c r="A873" s="5">
        <v>5.0</v>
      </c>
      <c r="B873" s="135">
        <v>554.0</v>
      </c>
      <c r="C873" s="6">
        <v>1.0</v>
      </c>
      <c r="D873" s="116" t="s">
        <v>874</v>
      </c>
      <c r="E873" s="9" t="s">
        <v>873</v>
      </c>
      <c r="F873" s="109" t="str">
        <f t="shared" ref="F873:G873" si="872">TRANSLATE(D873,"lzh","vi")</f>
        <v>#NAME?</v>
      </c>
      <c r="G873" s="109" t="str">
        <f t="shared" si="872"/>
        <v>#NAME?</v>
      </c>
      <c r="X873" s="143"/>
    </row>
    <row r="874" ht="21.0" customHeight="1">
      <c r="A874" s="5">
        <v>5.0</v>
      </c>
      <c r="B874" s="135">
        <v>554.0</v>
      </c>
      <c r="C874" s="6">
        <v>1.0</v>
      </c>
      <c r="D874" s="116" t="s">
        <v>875</v>
      </c>
      <c r="E874" s="9" t="s">
        <v>873</v>
      </c>
      <c r="F874" s="109" t="str">
        <f t="shared" ref="F874:G874" si="873">TRANSLATE(D874,"lzh","vi")</f>
        <v>#NAME?</v>
      </c>
      <c r="G874" s="109" t="str">
        <f t="shared" si="873"/>
        <v>#NAME?</v>
      </c>
      <c r="X874" s="143"/>
    </row>
    <row r="875" ht="21.0" customHeight="1">
      <c r="A875" s="5">
        <v>5.0</v>
      </c>
      <c r="B875" s="135">
        <v>554.0</v>
      </c>
      <c r="C875" s="6">
        <v>1.0</v>
      </c>
      <c r="D875" s="116" t="s">
        <v>876</v>
      </c>
      <c r="E875" s="9" t="s">
        <v>873</v>
      </c>
      <c r="F875" s="109" t="str">
        <f t="shared" ref="F875:G875" si="874">TRANSLATE(D875,"lzh","vi")</f>
        <v>#NAME?</v>
      </c>
      <c r="G875" s="109" t="str">
        <f t="shared" si="874"/>
        <v>#NAME?</v>
      </c>
      <c r="X875" s="143"/>
    </row>
    <row r="876" ht="21.0" customHeight="1">
      <c r="A876" s="5">
        <v>5.0</v>
      </c>
      <c r="B876" s="135">
        <v>554.0</v>
      </c>
      <c r="C876" s="6">
        <v>1.0</v>
      </c>
      <c r="D876" s="116" t="s">
        <v>877</v>
      </c>
      <c r="E876" s="9" t="s">
        <v>873</v>
      </c>
      <c r="F876" s="109" t="str">
        <f t="shared" ref="F876:G876" si="875">TRANSLATE(D876,"lzh","vi")</f>
        <v>#NAME?</v>
      </c>
      <c r="G876" s="109" t="str">
        <f t="shared" si="875"/>
        <v>#NAME?</v>
      </c>
      <c r="X876" s="143"/>
    </row>
    <row r="877" ht="21.0" customHeight="1">
      <c r="A877" s="5">
        <v>5.0</v>
      </c>
      <c r="B877" s="135">
        <v>554.0</v>
      </c>
      <c r="C877" s="6">
        <v>1.0</v>
      </c>
      <c r="D877" s="116" t="s">
        <v>878</v>
      </c>
      <c r="E877" s="9" t="s">
        <v>873</v>
      </c>
      <c r="F877" s="109" t="str">
        <f t="shared" ref="F877:G877" si="876">TRANSLATE(D877,"lzh","vi")</f>
        <v>#NAME?</v>
      </c>
      <c r="G877" s="109" t="str">
        <f t="shared" si="876"/>
        <v>#NAME?</v>
      </c>
      <c r="X877" s="143"/>
    </row>
    <row r="878" ht="21.0" customHeight="1">
      <c r="A878" s="5">
        <v>5.0</v>
      </c>
      <c r="B878" s="135">
        <v>554.0</v>
      </c>
      <c r="C878" s="6">
        <v>1.0</v>
      </c>
      <c r="D878" s="116" t="s">
        <v>879</v>
      </c>
      <c r="E878" s="9" t="s">
        <v>873</v>
      </c>
      <c r="F878" s="109" t="str">
        <f t="shared" ref="F878:G878" si="877">TRANSLATE(D878,"lzh","vi")</f>
        <v>#NAME?</v>
      </c>
      <c r="G878" s="109" t="str">
        <f t="shared" si="877"/>
        <v>#NAME?</v>
      </c>
      <c r="X878" s="143"/>
    </row>
    <row r="879" ht="21.0" customHeight="1">
      <c r="A879" s="138">
        <v>5.0</v>
      </c>
      <c r="B879" s="135">
        <v>554.0</v>
      </c>
      <c r="C879" s="139">
        <v>1.0</v>
      </c>
      <c r="D879" s="140" t="s">
        <v>880</v>
      </c>
      <c r="E879" s="9" t="s">
        <v>873</v>
      </c>
      <c r="F879" s="109" t="str">
        <f t="shared" ref="F879:G879" si="878">TRANSLATE(D879,"lzh","vi")</f>
        <v>#NAME?</v>
      </c>
      <c r="G879" s="109" t="str">
        <f t="shared" si="878"/>
        <v>#NAME?</v>
      </c>
      <c r="X879" s="143"/>
    </row>
    <row r="880" ht="21.0" customHeight="1">
      <c r="A880" s="134">
        <v>5.0</v>
      </c>
      <c r="B880" s="135">
        <v>555.0</v>
      </c>
      <c r="C880" s="135">
        <v>1.0</v>
      </c>
      <c r="D880" s="136" t="s">
        <v>872</v>
      </c>
      <c r="E880" s="9" t="s">
        <v>873</v>
      </c>
      <c r="F880" s="109" t="str">
        <f t="shared" ref="F880:G880" si="879">TRANSLATE(D880,"lzh","vi")</f>
        <v>#NAME?</v>
      </c>
      <c r="G880" s="109" t="str">
        <f t="shared" si="879"/>
        <v>#NAME?</v>
      </c>
      <c r="X880" s="143"/>
    </row>
    <row r="881" ht="21.0" customHeight="1">
      <c r="A881" s="5">
        <v>5.0</v>
      </c>
      <c r="B881" s="135">
        <v>555.0</v>
      </c>
      <c r="C881" s="6">
        <v>1.0</v>
      </c>
      <c r="D881" s="116" t="s">
        <v>874</v>
      </c>
      <c r="E881" s="9" t="s">
        <v>873</v>
      </c>
      <c r="F881" s="109" t="str">
        <f t="shared" ref="F881:G881" si="880">TRANSLATE(D881,"lzh","vi")</f>
        <v>#NAME?</v>
      </c>
      <c r="G881" s="109" t="str">
        <f t="shared" si="880"/>
        <v>#NAME?</v>
      </c>
      <c r="X881" s="143"/>
    </row>
    <row r="882" ht="21.0" customHeight="1">
      <c r="A882" s="5">
        <v>5.0</v>
      </c>
      <c r="B882" s="135">
        <v>555.0</v>
      </c>
      <c r="C882" s="6">
        <v>1.0</v>
      </c>
      <c r="D882" s="116" t="s">
        <v>875</v>
      </c>
      <c r="E882" s="9" t="s">
        <v>873</v>
      </c>
      <c r="F882" s="109" t="str">
        <f t="shared" ref="F882:G882" si="881">TRANSLATE(D882,"lzh","vi")</f>
        <v>#NAME?</v>
      </c>
      <c r="G882" s="109" t="str">
        <f t="shared" si="881"/>
        <v>#NAME?</v>
      </c>
      <c r="X882" s="143"/>
    </row>
    <row r="883" ht="21.0" customHeight="1">
      <c r="A883" s="5">
        <v>5.0</v>
      </c>
      <c r="B883" s="135">
        <v>555.0</v>
      </c>
      <c r="C883" s="6">
        <v>1.0</v>
      </c>
      <c r="D883" s="116" t="s">
        <v>876</v>
      </c>
      <c r="E883" s="9" t="s">
        <v>873</v>
      </c>
      <c r="F883" s="109" t="str">
        <f t="shared" ref="F883:G883" si="882">TRANSLATE(D883,"lzh","vi")</f>
        <v>#NAME?</v>
      </c>
      <c r="G883" s="109" t="str">
        <f t="shared" si="882"/>
        <v>#NAME?</v>
      </c>
      <c r="X883" s="143"/>
    </row>
    <row r="884" ht="21.0" customHeight="1">
      <c r="A884" s="5">
        <v>5.0</v>
      </c>
      <c r="B884" s="135">
        <v>555.0</v>
      </c>
      <c r="C884" s="6">
        <v>1.0</v>
      </c>
      <c r="D884" s="116" t="s">
        <v>877</v>
      </c>
      <c r="E884" s="9" t="s">
        <v>873</v>
      </c>
      <c r="F884" s="109" t="str">
        <f t="shared" ref="F884:G884" si="883">TRANSLATE(D884,"lzh","vi")</f>
        <v>#NAME?</v>
      </c>
      <c r="G884" s="109" t="str">
        <f t="shared" si="883"/>
        <v>#NAME?</v>
      </c>
      <c r="X884" s="143"/>
    </row>
    <row r="885" ht="21.0" customHeight="1">
      <c r="A885" s="5">
        <v>5.0</v>
      </c>
      <c r="B885" s="135">
        <v>555.0</v>
      </c>
      <c r="C885" s="6">
        <v>1.0</v>
      </c>
      <c r="D885" s="116" t="s">
        <v>878</v>
      </c>
      <c r="E885" s="9" t="s">
        <v>873</v>
      </c>
      <c r="F885" s="109" t="str">
        <f t="shared" ref="F885:G885" si="884">TRANSLATE(D885,"lzh","vi")</f>
        <v>#NAME?</v>
      </c>
      <c r="G885" s="109" t="str">
        <f t="shared" si="884"/>
        <v>#NAME?</v>
      </c>
      <c r="X885" s="143"/>
    </row>
    <row r="886" ht="21.0" customHeight="1">
      <c r="A886" s="5">
        <v>5.0</v>
      </c>
      <c r="B886" s="135">
        <v>555.0</v>
      </c>
      <c r="C886" s="6">
        <v>1.0</v>
      </c>
      <c r="D886" s="116" t="s">
        <v>879</v>
      </c>
      <c r="E886" s="9" t="s">
        <v>873</v>
      </c>
      <c r="F886" s="109" t="str">
        <f t="shared" ref="F886:G886" si="885">TRANSLATE(D886,"lzh","vi")</f>
        <v>#NAME?</v>
      </c>
      <c r="G886" s="109" t="str">
        <f t="shared" si="885"/>
        <v>#NAME?</v>
      </c>
      <c r="X886" s="143"/>
    </row>
    <row r="887" ht="21.0" customHeight="1">
      <c r="A887" s="138">
        <v>5.0</v>
      </c>
      <c r="B887" s="135">
        <v>555.0</v>
      </c>
      <c r="C887" s="139">
        <v>1.0</v>
      </c>
      <c r="D887" s="140" t="s">
        <v>880</v>
      </c>
      <c r="E887" s="9" t="s">
        <v>873</v>
      </c>
      <c r="F887" s="109" t="str">
        <f t="shared" ref="F887:G887" si="886">TRANSLATE(D887,"lzh","vi")</f>
        <v>#NAME?</v>
      </c>
      <c r="G887" s="109" t="str">
        <f t="shared" si="886"/>
        <v>#NAME?</v>
      </c>
      <c r="X887" s="143"/>
    </row>
    <row r="888" ht="21.0" customHeight="1">
      <c r="A888" s="134">
        <v>5.0</v>
      </c>
      <c r="B888" s="135">
        <v>556.0</v>
      </c>
      <c r="C888" s="135">
        <v>1.0</v>
      </c>
      <c r="D888" s="136" t="s">
        <v>872</v>
      </c>
      <c r="E888" s="9" t="s">
        <v>873</v>
      </c>
      <c r="F888" s="109" t="str">
        <f t="shared" ref="F888:G888" si="887">TRANSLATE(D888,"lzh","vi")</f>
        <v>#NAME?</v>
      </c>
      <c r="G888" s="109" t="str">
        <f t="shared" si="887"/>
        <v>#NAME?</v>
      </c>
      <c r="X888" s="143"/>
    </row>
    <row r="889" ht="21.0" customHeight="1">
      <c r="A889" s="5">
        <v>5.0</v>
      </c>
      <c r="B889" s="135">
        <v>556.0</v>
      </c>
      <c r="C889" s="6">
        <v>1.0</v>
      </c>
      <c r="D889" s="116" t="s">
        <v>874</v>
      </c>
      <c r="E889" s="9" t="s">
        <v>873</v>
      </c>
      <c r="F889" s="109" t="str">
        <f t="shared" ref="F889:G889" si="888">TRANSLATE(D889,"lzh","vi")</f>
        <v>#NAME?</v>
      </c>
      <c r="G889" s="109" t="str">
        <f t="shared" si="888"/>
        <v>#NAME?</v>
      </c>
      <c r="X889" s="143"/>
    </row>
    <row r="890" ht="21.0" customHeight="1">
      <c r="A890" s="5">
        <v>5.0</v>
      </c>
      <c r="B890" s="135">
        <v>556.0</v>
      </c>
      <c r="C890" s="6">
        <v>1.0</v>
      </c>
      <c r="D890" s="116" t="s">
        <v>875</v>
      </c>
      <c r="E890" s="9" t="s">
        <v>873</v>
      </c>
      <c r="F890" s="109" t="str">
        <f t="shared" ref="F890:G890" si="889">TRANSLATE(D890,"lzh","vi")</f>
        <v>#NAME?</v>
      </c>
      <c r="G890" s="109" t="str">
        <f t="shared" si="889"/>
        <v>#NAME?</v>
      </c>
      <c r="X890" s="143"/>
    </row>
    <row r="891" ht="21.0" customHeight="1">
      <c r="A891" s="5">
        <v>5.0</v>
      </c>
      <c r="B891" s="135">
        <v>556.0</v>
      </c>
      <c r="C891" s="6">
        <v>1.0</v>
      </c>
      <c r="D891" s="116" t="s">
        <v>876</v>
      </c>
      <c r="E891" s="9" t="s">
        <v>873</v>
      </c>
      <c r="F891" s="109" t="str">
        <f t="shared" ref="F891:G891" si="890">TRANSLATE(D891,"lzh","vi")</f>
        <v>#NAME?</v>
      </c>
      <c r="G891" s="109" t="str">
        <f t="shared" si="890"/>
        <v>#NAME?</v>
      </c>
      <c r="X891" s="143"/>
    </row>
    <row r="892" ht="21.0" customHeight="1">
      <c r="A892" s="5">
        <v>5.0</v>
      </c>
      <c r="B892" s="135">
        <v>556.0</v>
      </c>
      <c r="C892" s="6">
        <v>1.0</v>
      </c>
      <c r="D892" s="116" t="s">
        <v>877</v>
      </c>
      <c r="E892" s="9" t="s">
        <v>873</v>
      </c>
      <c r="F892" s="109" t="str">
        <f t="shared" ref="F892:G892" si="891">TRANSLATE(D892,"lzh","vi")</f>
        <v>#NAME?</v>
      </c>
      <c r="G892" s="109" t="str">
        <f t="shared" si="891"/>
        <v>#NAME?</v>
      </c>
      <c r="X892" s="143"/>
    </row>
    <row r="893" ht="21.0" customHeight="1">
      <c r="A893" s="5">
        <v>5.0</v>
      </c>
      <c r="B893" s="135">
        <v>556.0</v>
      </c>
      <c r="C893" s="6">
        <v>1.0</v>
      </c>
      <c r="D893" s="116" t="s">
        <v>878</v>
      </c>
      <c r="E893" s="9" t="s">
        <v>873</v>
      </c>
      <c r="F893" s="109" t="str">
        <f t="shared" ref="F893:G893" si="892">TRANSLATE(D893,"lzh","vi")</f>
        <v>#NAME?</v>
      </c>
      <c r="G893" s="109" t="str">
        <f t="shared" si="892"/>
        <v>#NAME?</v>
      </c>
      <c r="X893" s="143"/>
    </row>
    <row r="894" ht="21.0" customHeight="1">
      <c r="A894" s="5">
        <v>5.0</v>
      </c>
      <c r="B894" s="135">
        <v>556.0</v>
      </c>
      <c r="C894" s="6">
        <v>1.0</v>
      </c>
      <c r="D894" s="116" t="s">
        <v>879</v>
      </c>
      <c r="E894" s="9" t="s">
        <v>873</v>
      </c>
      <c r="F894" s="109" t="str">
        <f t="shared" ref="F894:G894" si="893">TRANSLATE(D894,"lzh","vi")</f>
        <v>#NAME?</v>
      </c>
      <c r="G894" s="109" t="str">
        <f t="shared" si="893"/>
        <v>#NAME?</v>
      </c>
      <c r="X894" s="143"/>
    </row>
    <row r="895" ht="21.0" customHeight="1">
      <c r="A895" s="138">
        <v>5.0</v>
      </c>
      <c r="B895" s="135">
        <v>556.0</v>
      </c>
      <c r="C895" s="139">
        <v>1.0</v>
      </c>
      <c r="D895" s="140" t="s">
        <v>880</v>
      </c>
      <c r="E895" s="9" t="s">
        <v>873</v>
      </c>
      <c r="F895" s="109" t="str">
        <f t="shared" ref="F895:G895" si="894">TRANSLATE(D895,"lzh","vi")</f>
        <v>#NAME?</v>
      </c>
      <c r="G895" s="109" t="str">
        <f t="shared" si="894"/>
        <v>#NAME?</v>
      </c>
      <c r="X895" s="143"/>
    </row>
    <row r="896" ht="21.0" customHeight="1">
      <c r="A896" s="134">
        <v>5.0</v>
      </c>
      <c r="B896" s="135">
        <v>1.0</v>
      </c>
      <c r="C896" s="135">
        <v>1.0</v>
      </c>
      <c r="D896" s="136" t="s">
        <v>872</v>
      </c>
      <c r="E896" s="9" t="s">
        <v>873</v>
      </c>
      <c r="F896" s="109" t="str">
        <f t="shared" ref="F896:G896" si="895">TRANSLATE(D896,"lzh","vi")</f>
        <v>#NAME?</v>
      </c>
      <c r="G896" s="109" t="str">
        <f t="shared" si="895"/>
        <v>#NAME?</v>
      </c>
      <c r="X896" s="143"/>
    </row>
    <row r="897" ht="21.0" customHeight="1">
      <c r="A897" s="5">
        <v>5.0</v>
      </c>
      <c r="B897" s="135">
        <v>1.0</v>
      </c>
      <c r="C897" s="6">
        <v>1.0</v>
      </c>
      <c r="D897" s="116" t="s">
        <v>874</v>
      </c>
      <c r="E897" s="9" t="s">
        <v>873</v>
      </c>
      <c r="F897" s="109" t="str">
        <f t="shared" ref="F897:G897" si="896">TRANSLATE(D897,"lzh","vi")</f>
        <v>#NAME?</v>
      </c>
      <c r="G897" s="109" t="str">
        <f t="shared" si="896"/>
        <v>#NAME?</v>
      </c>
      <c r="X897" s="143"/>
    </row>
    <row r="898" ht="21.0" customHeight="1">
      <c r="A898" s="5">
        <v>5.0</v>
      </c>
      <c r="B898" s="135">
        <v>1.0</v>
      </c>
      <c r="C898" s="6">
        <v>1.0</v>
      </c>
      <c r="D898" s="116" t="s">
        <v>875</v>
      </c>
      <c r="E898" s="9" t="s">
        <v>873</v>
      </c>
      <c r="F898" s="109" t="str">
        <f t="shared" ref="F898:G898" si="897">TRANSLATE(D898,"lzh","vi")</f>
        <v>#NAME?</v>
      </c>
      <c r="G898" s="109" t="str">
        <f t="shared" si="897"/>
        <v>#NAME?</v>
      </c>
      <c r="X898" s="143"/>
    </row>
    <row r="899" ht="21.0" customHeight="1">
      <c r="A899" s="5">
        <v>5.0</v>
      </c>
      <c r="B899" s="135">
        <v>1.0</v>
      </c>
      <c r="C899" s="6">
        <v>1.0</v>
      </c>
      <c r="D899" s="116" t="s">
        <v>876</v>
      </c>
      <c r="E899" s="9" t="s">
        <v>873</v>
      </c>
      <c r="F899" s="109" t="str">
        <f t="shared" ref="F899:G899" si="898">TRANSLATE(D899,"lzh","vi")</f>
        <v>#NAME?</v>
      </c>
      <c r="G899" s="109" t="str">
        <f t="shared" si="898"/>
        <v>#NAME?</v>
      </c>
      <c r="X899" s="143"/>
    </row>
    <row r="900" ht="21.0" customHeight="1">
      <c r="A900" s="5">
        <v>5.0</v>
      </c>
      <c r="B900" s="135">
        <v>1.0</v>
      </c>
      <c r="C900" s="6">
        <v>1.0</v>
      </c>
      <c r="D900" s="116" t="s">
        <v>877</v>
      </c>
      <c r="E900" s="9" t="s">
        <v>873</v>
      </c>
      <c r="F900" s="109" t="str">
        <f t="shared" ref="F900:G900" si="899">TRANSLATE(D900,"lzh","vi")</f>
        <v>#NAME?</v>
      </c>
      <c r="G900" s="109" t="str">
        <f t="shared" si="899"/>
        <v>#NAME?</v>
      </c>
      <c r="X900" s="143"/>
    </row>
    <row r="901" ht="21.0" customHeight="1">
      <c r="A901" s="5">
        <v>5.0</v>
      </c>
      <c r="B901" s="135">
        <v>1.0</v>
      </c>
      <c r="C901" s="6">
        <v>1.0</v>
      </c>
      <c r="D901" s="116" t="s">
        <v>878</v>
      </c>
      <c r="E901" s="9" t="s">
        <v>873</v>
      </c>
      <c r="F901" s="109" t="str">
        <f t="shared" ref="F901:G901" si="900">TRANSLATE(D901,"lzh","vi")</f>
        <v>#NAME?</v>
      </c>
      <c r="G901" s="109" t="str">
        <f t="shared" si="900"/>
        <v>#NAME?</v>
      </c>
      <c r="X901" s="143"/>
    </row>
    <row r="902" ht="21.0" customHeight="1">
      <c r="A902" s="5">
        <v>5.0</v>
      </c>
      <c r="B902" s="135">
        <v>1.0</v>
      </c>
      <c r="C902" s="6">
        <v>1.0</v>
      </c>
      <c r="D902" s="116" t="s">
        <v>879</v>
      </c>
      <c r="E902" s="9" t="s">
        <v>873</v>
      </c>
      <c r="F902" s="109" t="str">
        <f t="shared" ref="F902:G902" si="901">TRANSLATE(D902,"lzh","vi")</f>
        <v>#NAME?</v>
      </c>
      <c r="G902" s="109" t="str">
        <f t="shared" si="901"/>
        <v>#NAME?</v>
      </c>
      <c r="X902" s="143"/>
    </row>
    <row r="903" ht="21.0" customHeight="1">
      <c r="A903" s="138">
        <v>5.0</v>
      </c>
      <c r="B903" s="135">
        <v>1.0</v>
      </c>
      <c r="C903" s="139">
        <v>1.0</v>
      </c>
      <c r="D903" s="140" t="s">
        <v>880</v>
      </c>
      <c r="E903" s="9" t="s">
        <v>873</v>
      </c>
      <c r="F903" s="109" t="str">
        <f t="shared" ref="F903:G903" si="902">TRANSLATE(D903,"lzh","vi")</f>
        <v>#NAME?</v>
      </c>
      <c r="G903" s="109" t="str">
        <f t="shared" si="902"/>
        <v>#NAME?</v>
      </c>
      <c r="X903" s="143"/>
    </row>
    <row r="904" ht="21.0" customHeight="1">
      <c r="A904" s="134">
        <v>5.0</v>
      </c>
      <c r="B904" s="135">
        <v>1.0</v>
      </c>
      <c r="C904" s="135">
        <v>1.0</v>
      </c>
      <c r="D904" s="136" t="s">
        <v>872</v>
      </c>
      <c r="E904" s="9" t="s">
        <v>873</v>
      </c>
      <c r="F904" s="109" t="str">
        <f t="shared" ref="F904:G904" si="903">TRANSLATE(D904,"lzh","vi")</f>
        <v>#NAME?</v>
      </c>
      <c r="G904" s="109" t="str">
        <f t="shared" si="903"/>
        <v>#NAME?</v>
      </c>
      <c r="X904" s="143"/>
    </row>
    <row r="905" ht="21.0" customHeight="1">
      <c r="A905" s="5">
        <v>5.0</v>
      </c>
      <c r="B905" s="135">
        <v>1.0</v>
      </c>
      <c r="C905" s="6">
        <v>1.0</v>
      </c>
      <c r="D905" s="116" t="s">
        <v>874</v>
      </c>
      <c r="E905" s="9" t="s">
        <v>873</v>
      </c>
      <c r="F905" s="109" t="str">
        <f t="shared" ref="F905:G905" si="904">TRANSLATE(D905,"lzh","vi")</f>
        <v>#NAME?</v>
      </c>
      <c r="G905" s="109" t="str">
        <f t="shared" si="904"/>
        <v>#NAME?</v>
      </c>
      <c r="X905" s="143"/>
    </row>
    <row r="906" ht="21.0" customHeight="1">
      <c r="A906" s="5">
        <v>5.0</v>
      </c>
      <c r="B906" s="135">
        <v>1.0</v>
      </c>
      <c r="C906" s="6">
        <v>1.0</v>
      </c>
      <c r="D906" s="116" t="s">
        <v>875</v>
      </c>
      <c r="E906" s="9" t="s">
        <v>873</v>
      </c>
      <c r="F906" s="109" t="str">
        <f t="shared" ref="F906:G906" si="905">TRANSLATE(D906,"lzh","vi")</f>
        <v>#NAME?</v>
      </c>
      <c r="G906" s="109" t="str">
        <f t="shared" si="905"/>
        <v>#NAME?</v>
      </c>
      <c r="X906" s="143"/>
    </row>
    <row r="907" ht="21.0" customHeight="1">
      <c r="A907" s="5">
        <v>5.0</v>
      </c>
      <c r="B907" s="135">
        <v>1.0</v>
      </c>
      <c r="C907" s="6">
        <v>1.0</v>
      </c>
      <c r="D907" s="116" t="s">
        <v>876</v>
      </c>
      <c r="E907" s="9" t="s">
        <v>873</v>
      </c>
      <c r="F907" s="109" t="str">
        <f t="shared" ref="F907:G907" si="906">TRANSLATE(D907,"lzh","vi")</f>
        <v>#NAME?</v>
      </c>
      <c r="G907" s="109" t="str">
        <f t="shared" si="906"/>
        <v>#NAME?</v>
      </c>
      <c r="X907" s="143"/>
    </row>
    <row r="908" ht="21.0" customHeight="1">
      <c r="A908" s="5">
        <v>5.0</v>
      </c>
      <c r="B908" s="135">
        <v>1.0</v>
      </c>
      <c r="C908" s="6">
        <v>1.0</v>
      </c>
      <c r="D908" s="116" t="s">
        <v>877</v>
      </c>
      <c r="E908" s="9" t="s">
        <v>873</v>
      </c>
      <c r="F908" s="109" t="str">
        <f t="shared" ref="F908:G908" si="907">TRANSLATE(D908,"lzh","vi")</f>
        <v>#NAME?</v>
      </c>
      <c r="G908" s="109" t="str">
        <f t="shared" si="907"/>
        <v>#NAME?</v>
      </c>
      <c r="X908" s="143"/>
    </row>
    <row r="909" ht="21.0" customHeight="1">
      <c r="A909" s="5">
        <v>5.0</v>
      </c>
      <c r="B909" s="135">
        <v>1.0</v>
      </c>
      <c r="C909" s="6">
        <v>1.0</v>
      </c>
      <c r="D909" s="116" t="s">
        <v>878</v>
      </c>
      <c r="E909" s="9" t="s">
        <v>873</v>
      </c>
      <c r="F909" s="109" t="str">
        <f t="shared" ref="F909:G909" si="908">TRANSLATE(D909,"lzh","vi")</f>
        <v>#NAME?</v>
      </c>
      <c r="G909" s="109" t="str">
        <f t="shared" si="908"/>
        <v>#NAME?</v>
      </c>
      <c r="X909" s="143"/>
    </row>
    <row r="910" ht="21.0" customHeight="1">
      <c r="A910" s="5">
        <v>5.0</v>
      </c>
      <c r="B910" s="135">
        <v>1.0</v>
      </c>
      <c r="C910" s="6">
        <v>1.0</v>
      </c>
      <c r="D910" s="116" t="s">
        <v>879</v>
      </c>
      <c r="E910" s="9" t="s">
        <v>873</v>
      </c>
      <c r="F910" s="109" t="str">
        <f t="shared" ref="F910:G910" si="909">TRANSLATE(D910,"lzh","vi")</f>
        <v>#NAME?</v>
      </c>
      <c r="G910" s="109" t="str">
        <f t="shared" si="909"/>
        <v>#NAME?</v>
      </c>
      <c r="X910" s="143"/>
    </row>
    <row r="911" ht="21.0" customHeight="1">
      <c r="A911" s="138">
        <v>5.0</v>
      </c>
      <c r="B911" s="135">
        <v>1.0</v>
      </c>
      <c r="C911" s="139">
        <v>1.0</v>
      </c>
      <c r="D911" s="140" t="s">
        <v>880</v>
      </c>
      <c r="E911" s="9" t="s">
        <v>873</v>
      </c>
      <c r="F911" s="109" t="str">
        <f t="shared" ref="F911:G911" si="910">TRANSLATE(D911,"lzh","vi")</f>
        <v>#NAME?</v>
      </c>
      <c r="G911" s="109" t="str">
        <f t="shared" si="910"/>
        <v>#NAME?</v>
      </c>
      <c r="X911" s="143"/>
    </row>
    <row r="912" ht="21.0" customHeight="1">
      <c r="A912" s="5">
        <v>17.0</v>
      </c>
      <c r="B912" s="6">
        <v>516.0</v>
      </c>
      <c r="C912" s="6">
        <v>1.0</v>
      </c>
      <c r="D912" s="116" t="s">
        <v>881</v>
      </c>
      <c r="E912" s="9" t="s">
        <v>671</v>
      </c>
      <c r="F912" s="109" t="str">
        <f t="shared" ref="F912:G912" si="911">TRANSLATE(D912,"lzh","vi")</f>
        <v>#NAME?</v>
      </c>
      <c r="G912" s="109" t="str">
        <f t="shared" si="911"/>
        <v>#NAME?</v>
      </c>
    </row>
    <row r="913" ht="21.0" customHeight="1">
      <c r="A913" s="5">
        <v>17.0</v>
      </c>
      <c r="B913" s="6">
        <v>516.0</v>
      </c>
      <c r="C913" s="6">
        <v>1.0</v>
      </c>
      <c r="D913" s="116" t="s">
        <v>881</v>
      </c>
      <c r="E913" s="9" t="s">
        <v>671</v>
      </c>
      <c r="F913" s="109" t="str">
        <f t="shared" ref="F913:G913" si="912">TRANSLATE(D913,"lzh","vi")</f>
        <v>#NAME?</v>
      </c>
      <c r="G913" s="109" t="str">
        <f t="shared" si="912"/>
        <v>#NAME?</v>
      </c>
    </row>
    <row r="914" ht="21.0" customHeight="1">
      <c r="A914" s="144">
        <v>20.0</v>
      </c>
      <c r="B914" s="145">
        <v>515.0</v>
      </c>
      <c r="C914" s="145">
        <v>1.0</v>
      </c>
      <c r="D914" s="146" t="s">
        <v>882</v>
      </c>
      <c r="E914" s="9" t="s">
        <v>883</v>
      </c>
      <c r="F914" s="109" t="str">
        <f t="shared" ref="F914:G914" si="913">TRANSLATE(D914,"lzh","vi")</f>
        <v>#NAME?</v>
      </c>
      <c r="G914" s="109" t="str">
        <f t="shared" si="913"/>
        <v>#NAME?</v>
      </c>
      <c r="X914" s="147"/>
    </row>
    <row r="915" ht="21.0" customHeight="1">
      <c r="A915" s="5">
        <v>20.0</v>
      </c>
      <c r="B915" s="6">
        <v>530.0</v>
      </c>
      <c r="C915" s="6">
        <v>1.0</v>
      </c>
      <c r="D915" s="116" t="s">
        <v>844</v>
      </c>
      <c r="E915" s="9" t="s">
        <v>325</v>
      </c>
      <c r="F915" s="109" t="str">
        <f t="shared" ref="F915:G915" si="914">TRANSLATE(D915,"lzh","vi")</f>
        <v>#NAME?</v>
      </c>
      <c r="G915" s="109" t="str">
        <f t="shared" si="914"/>
        <v>#NAME?</v>
      </c>
      <c r="X915" s="110"/>
    </row>
    <row r="916" ht="21.0" customHeight="1">
      <c r="A916" s="5">
        <v>20.0</v>
      </c>
      <c r="B916" s="6">
        <v>530.0</v>
      </c>
      <c r="C916" s="6">
        <v>1.0</v>
      </c>
      <c r="D916" s="116" t="s">
        <v>845</v>
      </c>
      <c r="E916" s="9" t="s">
        <v>325</v>
      </c>
      <c r="F916" s="109" t="str">
        <f t="shared" ref="F916:G916" si="915">TRANSLATE(D916,"lzh","vi")</f>
        <v>#NAME?</v>
      </c>
      <c r="G916" s="109" t="str">
        <f t="shared" si="915"/>
        <v>#NAME?</v>
      </c>
      <c r="X916" s="110"/>
    </row>
    <row r="917" ht="21.0" customHeight="1">
      <c r="A917" s="5">
        <v>20.0</v>
      </c>
      <c r="B917" s="6">
        <v>530.0</v>
      </c>
      <c r="C917" s="6">
        <v>1.0</v>
      </c>
      <c r="D917" s="116" t="s">
        <v>846</v>
      </c>
      <c r="E917" s="9" t="s">
        <v>325</v>
      </c>
      <c r="F917" s="109" t="str">
        <f t="shared" ref="F917:G917" si="916">TRANSLATE(D917,"lzh","vi")</f>
        <v>#NAME?</v>
      </c>
      <c r="G917" s="109" t="str">
        <f t="shared" si="916"/>
        <v>#NAME?</v>
      </c>
      <c r="X917" s="110"/>
    </row>
    <row r="918" ht="21.0" customHeight="1">
      <c r="A918" s="5">
        <v>20.0</v>
      </c>
      <c r="B918" s="6">
        <v>530.0</v>
      </c>
      <c r="C918" s="6">
        <v>1.0</v>
      </c>
      <c r="D918" s="116" t="s">
        <v>884</v>
      </c>
      <c r="E918" s="9" t="s">
        <v>325</v>
      </c>
      <c r="F918" s="109" t="str">
        <f t="shared" ref="F918:G918" si="917">TRANSLATE(D918,"lzh","vi")</f>
        <v>#NAME?</v>
      </c>
      <c r="G918" s="109" t="str">
        <f t="shared" si="917"/>
        <v>#NAME?</v>
      </c>
      <c r="X918" s="110"/>
    </row>
    <row r="919" ht="21.0" customHeight="1">
      <c r="A919" s="5">
        <v>20.0</v>
      </c>
      <c r="B919" s="6">
        <v>530.0</v>
      </c>
      <c r="C919" s="6">
        <v>1.0</v>
      </c>
      <c r="D919" s="116" t="s">
        <v>885</v>
      </c>
      <c r="E919" s="9" t="s">
        <v>325</v>
      </c>
      <c r="F919" s="109" t="str">
        <f t="shared" ref="F919:G919" si="918">TRANSLATE(D919,"lzh","vi")</f>
        <v>#NAME?</v>
      </c>
      <c r="G919" s="109" t="str">
        <f t="shared" si="918"/>
        <v>#NAME?</v>
      </c>
      <c r="X919" s="110"/>
    </row>
    <row r="920" ht="21.0" customHeight="1">
      <c r="A920" s="5">
        <v>20.0</v>
      </c>
      <c r="B920" s="6">
        <v>530.0</v>
      </c>
      <c r="C920" s="6">
        <v>1.0</v>
      </c>
      <c r="D920" s="116" t="s">
        <v>886</v>
      </c>
      <c r="E920" s="9" t="s">
        <v>325</v>
      </c>
      <c r="F920" s="109" t="str">
        <f t="shared" ref="F920:G920" si="919">TRANSLATE(D920,"lzh","vi")</f>
        <v>#NAME?</v>
      </c>
      <c r="G920" s="109" t="str">
        <f t="shared" si="919"/>
        <v>#NAME?</v>
      </c>
      <c r="X920" s="110"/>
    </row>
    <row r="921" ht="21.0" customHeight="1">
      <c r="A921" s="5">
        <v>20.0</v>
      </c>
      <c r="B921" s="6">
        <v>530.0</v>
      </c>
      <c r="C921" s="6">
        <v>1.0</v>
      </c>
      <c r="D921" s="116" t="s">
        <v>887</v>
      </c>
      <c r="E921" s="9" t="s">
        <v>325</v>
      </c>
      <c r="F921" s="109" t="str">
        <f t="shared" ref="F921:G921" si="920">TRANSLATE(D921,"lzh","vi")</f>
        <v>#NAME?</v>
      </c>
      <c r="G921" s="109" t="str">
        <f t="shared" si="920"/>
        <v>#NAME?</v>
      </c>
      <c r="X921" s="110"/>
    </row>
    <row r="922" ht="21.0" customHeight="1">
      <c r="A922" s="5">
        <v>20.0</v>
      </c>
      <c r="B922" s="6">
        <v>530.0</v>
      </c>
      <c r="C922" s="6">
        <v>1.0</v>
      </c>
      <c r="D922" s="116" t="s">
        <v>888</v>
      </c>
      <c r="E922" s="9" t="s">
        <v>325</v>
      </c>
      <c r="F922" s="109" t="str">
        <f t="shared" ref="F922:G922" si="921">TRANSLATE(D922,"lzh","vi")</f>
        <v>#NAME?</v>
      </c>
      <c r="G922" s="109" t="str">
        <f t="shared" si="921"/>
        <v>#NAME?</v>
      </c>
      <c r="X922" s="110"/>
    </row>
    <row r="923" ht="21.0" customHeight="1">
      <c r="A923" s="30">
        <v>20.0</v>
      </c>
      <c r="B923" s="31">
        <v>530.0</v>
      </c>
      <c r="C923" s="31">
        <v>1.0</v>
      </c>
      <c r="D923" s="125" t="s">
        <v>889</v>
      </c>
      <c r="E923" s="33" t="s">
        <v>325</v>
      </c>
      <c r="F923" s="109" t="str">
        <f t="shared" ref="F923:G923" si="922">TRANSLATE(D923,"lzh","vi")</f>
        <v>#NAME?</v>
      </c>
      <c r="G923" s="109" t="str">
        <f t="shared" si="922"/>
        <v>#NAME?</v>
      </c>
      <c r="X923" s="124"/>
    </row>
    <row r="924" ht="21.0" customHeight="1">
      <c r="A924" s="30">
        <v>20.0</v>
      </c>
      <c r="B924" s="31">
        <v>530.0</v>
      </c>
      <c r="C924" s="31">
        <v>1.0</v>
      </c>
      <c r="D924" s="125" t="s">
        <v>890</v>
      </c>
      <c r="E924" s="33" t="s">
        <v>325</v>
      </c>
      <c r="F924" s="109" t="str">
        <f t="shared" ref="F924:G924" si="923">TRANSLATE(D924,"lzh","vi")</f>
        <v>#NAME?</v>
      </c>
      <c r="G924" s="109" t="str">
        <f t="shared" si="923"/>
        <v>#NAME?</v>
      </c>
      <c r="X924" s="124"/>
    </row>
    <row r="925" ht="21.0" customHeight="1">
      <c r="A925" s="30">
        <v>20.0</v>
      </c>
      <c r="B925" s="31">
        <v>530.0</v>
      </c>
      <c r="C925" s="31">
        <v>1.0</v>
      </c>
      <c r="D925" s="125" t="s">
        <v>891</v>
      </c>
      <c r="E925" s="33" t="s">
        <v>325</v>
      </c>
      <c r="F925" s="109" t="str">
        <f t="shared" ref="F925:G925" si="924">TRANSLATE(D925,"lzh","vi")</f>
        <v>#NAME?</v>
      </c>
      <c r="G925" s="109" t="str">
        <f t="shared" si="924"/>
        <v>#NAME?</v>
      </c>
      <c r="X925" s="124"/>
    </row>
    <row r="926" ht="21.0" customHeight="1">
      <c r="A926" s="30">
        <v>20.0</v>
      </c>
      <c r="B926" s="31">
        <v>530.0</v>
      </c>
      <c r="C926" s="31">
        <v>1.0</v>
      </c>
      <c r="D926" s="125" t="s">
        <v>892</v>
      </c>
      <c r="E926" s="33" t="s">
        <v>325</v>
      </c>
      <c r="F926" s="109" t="str">
        <f t="shared" ref="F926:G926" si="925">TRANSLATE(D926,"lzh","vi")</f>
        <v>#NAME?</v>
      </c>
      <c r="G926" s="109" t="str">
        <f t="shared" si="925"/>
        <v>#NAME?</v>
      </c>
      <c r="X926" s="124"/>
    </row>
    <row r="927" ht="21.0" customHeight="1">
      <c r="A927" s="30">
        <v>20.0</v>
      </c>
      <c r="B927" s="31">
        <v>530.0</v>
      </c>
      <c r="C927" s="31">
        <v>1.0</v>
      </c>
      <c r="D927" s="125" t="s">
        <v>893</v>
      </c>
      <c r="E927" s="33" t="s">
        <v>325</v>
      </c>
      <c r="F927" s="109" t="str">
        <f t="shared" ref="F927:G927" si="926">TRANSLATE(D927,"lzh","vi")</f>
        <v>#NAME?</v>
      </c>
      <c r="G927" s="109" t="str">
        <f t="shared" si="926"/>
        <v>#NAME?</v>
      </c>
      <c r="X927" s="124"/>
    </row>
    <row r="928" ht="21.0" customHeight="1">
      <c r="A928" s="30">
        <v>20.0</v>
      </c>
      <c r="B928" s="31">
        <v>530.0</v>
      </c>
      <c r="C928" s="31">
        <v>1.0</v>
      </c>
      <c r="D928" s="125" t="s">
        <v>894</v>
      </c>
      <c r="E928" s="33" t="s">
        <v>325</v>
      </c>
      <c r="F928" s="109" t="str">
        <f t="shared" ref="F928:G928" si="927">TRANSLATE(D928,"lzh","vi")</f>
        <v>#NAME?</v>
      </c>
      <c r="G928" s="109" t="str">
        <f t="shared" si="927"/>
        <v>#NAME?</v>
      </c>
      <c r="X928" s="27"/>
    </row>
    <row r="929" ht="21.0" customHeight="1">
      <c r="A929" s="30">
        <v>20.0</v>
      </c>
      <c r="B929" s="31">
        <v>530.0</v>
      </c>
      <c r="C929" s="31">
        <v>1.0</v>
      </c>
      <c r="D929" s="125" t="s">
        <v>895</v>
      </c>
      <c r="E929" s="33" t="s">
        <v>325</v>
      </c>
      <c r="F929" s="109" t="str">
        <f t="shared" ref="F929:G929" si="928">TRANSLATE(D929,"lzh","vi")</f>
        <v>#NAME?</v>
      </c>
      <c r="G929" s="109" t="str">
        <f t="shared" si="928"/>
        <v>#NAME?</v>
      </c>
      <c r="X929" s="27"/>
    </row>
    <row r="930" ht="21.0" customHeight="1">
      <c r="A930" s="30">
        <v>20.0</v>
      </c>
      <c r="B930" s="31">
        <v>530.0</v>
      </c>
      <c r="C930" s="31">
        <v>1.0</v>
      </c>
      <c r="D930" s="125" t="s">
        <v>896</v>
      </c>
      <c r="E930" s="33" t="s">
        <v>325</v>
      </c>
      <c r="F930" s="109" t="str">
        <f t="shared" ref="F930:G930" si="929">TRANSLATE(D930,"lzh","vi")</f>
        <v>#NAME?</v>
      </c>
      <c r="G930" s="109" t="str">
        <f t="shared" si="929"/>
        <v>#NAME?</v>
      </c>
      <c r="X930" s="27"/>
    </row>
    <row r="931" ht="21.0" customHeight="1">
      <c r="A931" s="30">
        <v>20.0</v>
      </c>
      <c r="B931" s="31">
        <v>530.0</v>
      </c>
      <c r="C931" s="31">
        <v>1.0</v>
      </c>
      <c r="D931" s="125" t="s">
        <v>897</v>
      </c>
      <c r="E931" s="33" t="s">
        <v>325</v>
      </c>
      <c r="F931" s="109" t="str">
        <f t="shared" ref="F931:G931" si="930">TRANSLATE(D931,"lzh","vi")</f>
        <v>#NAME?</v>
      </c>
      <c r="G931" s="109" t="str">
        <f t="shared" si="930"/>
        <v>#NAME?</v>
      </c>
      <c r="X931" s="27"/>
    </row>
    <row r="932" ht="21.0" customHeight="1">
      <c r="A932" s="30">
        <v>20.0</v>
      </c>
      <c r="B932" s="31">
        <v>530.0</v>
      </c>
      <c r="C932" s="31">
        <v>1.0</v>
      </c>
      <c r="D932" s="125" t="s">
        <v>898</v>
      </c>
      <c r="E932" s="33" t="s">
        <v>325</v>
      </c>
      <c r="F932" s="109" t="str">
        <f t="shared" ref="F932:G932" si="931">TRANSLATE(D932,"lzh","vi")</f>
        <v>#NAME?</v>
      </c>
      <c r="G932" s="109" t="str">
        <f t="shared" si="931"/>
        <v>#NAME?</v>
      </c>
      <c r="X932" s="27"/>
    </row>
    <row r="933" ht="21.0" customHeight="1">
      <c r="A933" s="30">
        <v>20.0</v>
      </c>
      <c r="B933" s="31">
        <v>530.0</v>
      </c>
      <c r="C933" s="31">
        <v>1.0</v>
      </c>
      <c r="D933" s="125" t="s">
        <v>894</v>
      </c>
      <c r="E933" s="33" t="s">
        <v>325</v>
      </c>
      <c r="F933" s="109" t="str">
        <f t="shared" ref="F933:G933" si="932">TRANSLATE(D933,"lzh","vi")</f>
        <v>#NAME?</v>
      </c>
      <c r="G933" s="109" t="str">
        <f t="shared" si="932"/>
        <v>#NAME?</v>
      </c>
      <c r="X933" s="27"/>
    </row>
    <row r="934" ht="21.0" customHeight="1">
      <c r="A934" s="30">
        <v>20.0</v>
      </c>
      <c r="B934" s="31">
        <v>530.0</v>
      </c>
      <c r="C934" s="31">
        <v>1.0</v>
      </c>
      <c r="D934" s="125" t="s">
        <v>895</v>
      </c>
      <c r="E934" s="33" t="s">
        <v>325</v>
      </c>
      <c r="F934" s="109" t="str">
        <f t="shared" ref="F934:G934" si="933">TRANSLATE(D934,"lzh","vi")</f>
        <v>#NAME?</v>
      </c>
      <c r="G934" s="109" t="str">
        <f t="shared" si="933"/>
        <v>#NAME?</v>
      </c>
      <c r="X934" s="27"/>
    </row>
    <row r="935" ht="21.0" customHeight="1">
      <c r="A935" s="30">
        <v>20.0</v>
      </c>
      <c r="B935" s="31">
        <v>530.0</v>
      </c>
      <c r="C935" s="31">
        <v>1.0</v>
      </c>
      <c r="D935" s="125" t="s">
        <v>896</v>
      </c>
      <c r="E935" s="33" t="s">
        <v>325</v>
      </c>
      <c r="F935" s="109" t="str">
        <f t="shared" ref="F935:G935" si="934">TRANSLATE(D935,"lzh","vi")</f>
        <v>#NAME?</v>
      </c>
      <c r="G935" s="109" t="str">
        <f t="shared" si="934"/>
        <v>#NAME?</v>
      </c>
      <c r="X935" s="27"/>
    </row>
    <row r="936" ht="21.0" customHeight="1">
      <c r="A936" s="30">
        <v>20.0</v>
      </c>
      <c r="B936" s="31">
        <v>530.0</v>
      </c>
      <c r="C936" s="31">
        <v>1.0</v>
      </c>
      <c r="D936" s="125" t="s">
        <v>897</v>
      </c>
      <c r="E936" s="33" t="s">
        <v>325</v>
      </c>
      <c r="F936" s="109" t="str">
        <f t="shared" ref="F936:G936" si="935">TRANSLATE(D936,"lzh","vi")</f>
        <v>#NAME?</v>
      </c>
      <c r="G936" s="109" t="str">
        <f t="shared" si="935"/>
        <v>#NAME?</v>
      </c>
      <c r="X936" s="27"/>
    </row>
    <row r="937" ht="21.0" customHeight="1">
      <c r="A937" s="30">
        <v>20.0</v>
      </c>
      <c r="B937" s="31">
        <v>530.0</v>
      </c>
      <c r="C937" s="31">
        <v>1.0</v>
      </c>
      <c r="D937" s="125" t="s">
        <v>898</v>
      </c>
      <c r="E937" s="33" t="s">
        <v>325</v>
      </c>
      <c r="F937" s="109" t="str">
        <f t="shared" ref="F937:G937" si="936">TRANSLATE(D937,"lzh","vi")</f>
        <v>#NAME?</v>
      </c>
      <c r="G937" s="109" t="str">
        <f t="shared" si="936"/>
        <v>#NAME?</v>
      </c>
      <c r="X937" s="27"/>
    </row>
    <row r="938" ht="21.0" customHeight="1">
      <c r="A938" s="30">
        <v>20.0</v>
      </c>
      <c r="B938" s="31">
        <v>530.0</v>
      </c>
      <c r="C938" s="31">
        <v>1.0</v>
      </c>
      <c r="D938" s="125" t="s">
        <v>894</v>
      </c>
      <c r="E938" s="33" t="s">
        <v>325</v>
      </c>
      <c r="F938" s="109" t="str">
        <f t="shared" ref="F938:G938" si="937">TRANSLATE(D938,"lzh","vi")</f>
        <v>#NAME?</v>
      </c>
      <c r="G938" s="109" t="str">
        <f t="shared" si="937"/>
        <v>#NAME?</v>
      </c>
      <c r="X938" s="27"/>
    </row>
    <row r="939" ht="21.0" customHeight="1">
      <c r="A939" s="30">
        <v>20.0</v>
      </c>
      <c r="B939" s="31">
        <v>530.0</v>
      </c>
      <c r="C939" s="31">
        <v>1.0</v>
      </c>
      <c r="D939" s="125" t="s">
        <v>895</v>
      </c>
      <c r="E939" s="33" t="s">
        <v>325</v>
      </c>
      <c r="F939" s="109" t="str">
        <f t="shared" ref="F939:G939" si="938">TRANSLATE(D939,"lzh","vi")</f>
        <v>#NAME?</v>
      </c>
      <c r="G939" s="109" t="str">
        <f t="shared" si="938"/>
        <v>#NAME?</v>
      </c>
      <c r="X939" s="27"/>
    </row>
    <row r="940" ht="21.0" customHeight="1">
      <c r="A940" s="30">
        <v>20.0</v>
      </c>
      <c r="B940" s="31">
        <v>530.0</v>
      </c>
      <c r="C940" s="31">
        <v>1.0</v>
      </c>
      <c r="D940" s="125" t="s">
        <v>896</v>
      </c>
      <c r="E940" s="33" t="s">
        <v>325</v>
      </c>
      <c r="F940" s="109" t="str">
        <f t="shared" ref="F940:G940" si="939">TRANSLATE(D940,"lzh","vi")</f>
        <v>#NAME?</v>
      </c>
      <c r="G940" s="109" t="str">
        <f t="shared" si="939"/>
        <v>#NAME?</v>
      </c>
      <c r="X940" s="27"/>
    </row>
    <row r="941" ht="21.0" customHeight="1">
      <c r="A941" s="30">
        <v>20.0</v>
      </c>
      <c r="B941" s="31">
        <v>530.0</v>
      </c>
      <c r="C941" s="31">
        <v>1.0</v>
      </c>
      <c r="D941" s="125" t="s">
        <v>897</v>
      </c>
      <c r="E941" s="33" t="s">
        <v>325</v>
      </c>
      <c r="F941" s="109" t="str">
        <f t="shared" ref="F941:G941" si="940">TRANSLATE(D941,"lzh","vi")</f>
        <v>#NAME?</v>
      </c>
      <c r="G941" s="109" t="str">
        <f t="shared" si="940"/>
        <v>#NAME?</v>
      </c>
      <c r="X941" s="27"/>
    </row>
    <row r="942" ht="21.0" customHeight="1">
      <c r="A942" s="30">
        <v>20.0</v>
      </c>
      <c r="B942" s="31">
        <v>530.0</v>
      </c>
      <c r="C942" s="31">
        <v>1.0</v>
      </c>
      <c r="D942" s="125" t="s">
        <v>898</v>
      </c>
      <c r="E942" s="33" t="s">
        <v>325</v>
      </c>
      <c r="F942" s="109" t="str">
        <f t="shared" ref="F942:G942" si="941">TRANSLATE(D942,"lzh","vi")</f>
        <v>#NAME?</v>
      </c>
      <c r="G942" s="109" t="str">
        <f t="shared" si="941"/>
        <v>#NAME?</v>
      </c>
      <c r="X942" s="27"/>
    </row>
    <row r="943" ht="21.0" customHeight="1">
      <c r="A943" s="30">
        <v>14.0</v>
      </c>
      <c r="B943" s="31">
        <v>530.0</v>
      </c>
      <c r="C943" s="31">
        <v>1.0</v>
      </c>
      <c r="D943" s="125" t="s">
        <v>899</v>
      </c>
      <c r="E943" s="33" t="s">
        <v>641</v>
      </c>
      <c r="F943" s="109" t="str">
        <f t="shared" ref="F943:G943" si="942">TRANSLATE(D943,"lzh","vi")</f>
        <v>#NAME?</v>
      </c>
      <c r="G943" s="109" t="str">
        <f t="shared" si="942"/>
        <v>#NAME?</v>
      </c>
      <c r="X943" s="27"/>
    </row>
    <row r="944" ht="21.0" customHeight="1">
      <c r="A944" s="30">
        <v>14.0</v>
      </c>
      <c r="B944" s="31">
        <v>530.0</v>
      </c>
      <c r="C944" s="31">
        <v>1.0</v>
      </c>
      <c r="D944" s="125" t="s">
        <v>900</v>
      </c>
      <c r="E944" s="33" t="s">
        <v>641</v>
      </c>
      <c r="F944" s="109" t="str">
        <f t="shared" ref="F944:G944" si="943">TRANSLATE(D944,"lzh","vi")</f>
        <v>#NAME?</v>
      </c>
      <c r="G944" s="109" t="str">
        <f t="shared" si="943"/>
        <v>#NAME?</v>
      </c>
      <c r="X944" s="27"/>
    </row>
    <row r="945" ht="21.0" customHeight="1">
      <c r="A945" s="30">
        <v>14.0</v>
      </c>
      <c r="B945" s="31">
        <v>530.0</v>
      </c>
      <c r="C945" s="31">
        <v>1.0</v>
      </c>
      <c r="D945" s="125" t="s">
        <v>901</v>
      </c>
      <c r="E945" s="33" t="s">
        <v>641</v>
      </c>
      <c r="F945" s="109" t="str">
        <f t="shared" ref="F945:G945" si="944">TRANSLATE(D945,"lzh","vi")</f>
        <v>#NAME?</v>
      </c>
      <c r="G945" s="109" t="str">
        <f t="shared" si="944"/>
        <v>#NAME?</v>
      </c>
      <c r="X945" s="27"/>
    </row>
    <row r="946" ht="21.0" customHeight="1">
      <c r="A946" s="30">
        <v>14.0</v>
      </c>
      <c r="B946" s="31">
        <v>530.0</v>
      </c>
      <c r="C946" s="31">
        <v>1.0</v>
      </c>
      <c r="D946" s="125" t="s">
        <v>902</v>
      </c>
      <c r="E946" s="33" t="s">
        <v>641</v>
      </c>
      <c r="F946" s="109" t="str">
        <f t="shared" ref="F946:G946" si="945">TRANSLATE(D946,"lzh","vi")</f>
        <v>#NAME?</v>
      </c>
      <c r="G946" s="109" t="str">
        <f t="shared" si="945"/>
        <v>#NAME?</v>
      </c>
      <c r="X946" s="27"/>
    </row>
    <row r="947" ht="21.0" customHeight="1">
      <c r="A947" s="30">
        <v>20.0</v>
      </c>
      <c r="B947" s="31">
        <v>530.0</v>
      </c>
      <c r="C947" s="31">
        <v>1.0</v>
      </c>
      <c r="D947" s="125" t="s">
        <v>903</v>
      </c>
      <c r="E947" s="33" t="s">
        <v>325</v>
      </c>
      <c r="F947" s="109" t="str">
        <f t="shared" ref="F947:G947" si="946">TRANSLATE(D947,"lzh","vi")</f>
        <v>#NAME?</v>
      </c>
      <c r="G947" s="109" t="str">
        <f t="shared" si="946"/>
        <v>#NAME?</v>
      </c>
      <c r="X947" s="27"/>
    </row>
    <row r="948" ht="21.0" customHeight="1">
      <c r="A948" s="30">
        <v>20.0</v>
      </c>
      <c r="B948" s="31">
        <v>530.0</v>
      </c>
      <c r="C948" s="31">
        <v>1.0</v>
      </c>
      <c r="D948" s="125" t="s">
        <v>894</v>
      </c>
      <c r="E948" s="33" t="s">
        <v>325</v>
      </c>
      <c r="F948" s="109" t="str">
        <f t="shared" ref="F948:G948" si="947">TRANSLATE(D948,"lzh","vi")</f>
        <v>#NAME?</v>
      </c>
      <c r="G948" s="109" t="str">
        <f t="shared" si="947"/>
        <v>#NAME?</v>
      </c>
      <c r="X948" s="27"/>
    </row>
    <row r="949" ht="21.0" customHeight="1">
      <c r="A949" s="30">
        <v>20.0</v>
      </c>
      <c r="B949" s="31">
        <v>530.0</v>
      </c>
      <c r="C949" s="31">
        <v>1.0</v>
      </c>
      <c r="D949" s="125" t="s">
        <v>895</v>
      </c>
      <c r="E949" s="33" t="s">
        <v>325</v>
      </c>
      <c r="F949" s="109" t="str">
        <f t="shared" ref="F949:G949" si="948">TRANSLATE(D949,"lzh","vi")</f>
        <v>#NAME?</v>
      </c>
      <c r="G949" s="109" t="str">
        <f t="shared" si="948"/>
        <v>#NAME?</v>
      </c>
      <c r="X949" s="27"/>
    </row>
    <row r="950" ht="21.0" customHeight="1">
      <c r="A950" s="30">
        <v>20.0</v>
      </c>
      <c r="B950" s="31">
        <v>530.0</v>
      </c>
      <c r="C950" s="31">
        <v>1.0</v>
      </c>
      <c r="D950" s="125" t="s">
        <v>896</v>
      </c>
      <c r="E950" s="33" t="s">
        <v>325</v>
      </c>
      <c r="F950" s="109" t="str">
        <f t="shared" ref="F950:G950" si="949">TRANSLATE(D950,"lzh","vi")</f>
        <v>#NAME?</v>
      </c>
      <c r="G950" s="109" t="str">
        <f t="shared" si="949"/>
        <v>#NAME?</v>
      </c>
      <c r="X950" s="27"/>
    </row>
    <row r="951" ht="21.0" customHeight="1">
      <c r="A951" s="30">
        <v>20.0</v>
      </c>
      <c r="B951" s="31">
        <v>530.0</v>
      </c>
      <c r="C951" s="31">
        <v>1.0</v>
      </c>
      <c r="D951" s="125" t="s">
        <v>897</v>
      </c>
      <c r="E951" s="33" t="s">
        <v>325</v>
      </c>
      <c r="F951" s="109" t="str">
        <f t="shared" ref="F951:G951" si="950">TRANSLATE(D951,"lzh","vi")</f>
        <v>#NAME?</v>
      </c>
      <c r="G951" s="109" t="str">
        <f t="shared" si="950"/>
        <v>#NAME?</v>
      </c>
      <c r="X951" s="27"/>
    </row>
    <row r="952" ht="21.0" customHeight="1">
      <c r="A952" s="30">
        <v>20.0</v>
      </c>
      <c r="B952" s="31">
        <v>530.0</v>
      </c>
      <c r="C952" s="31">
        <v>1.0</v>
      </c>
      <c r="D952" s="125" t="s">
        <v>898</v>
      </c>
      <c r="E952" s="33" t="s">
        <v>325</v>
      </c>
      <c r="F952" s="109" t="str">
        <f t="shared" ref="F952:G952" si="951">TRANSLATE(D952,"lzh","vi")</f>
        <v>#NAME?</v>
      </c>
      <c r="G952" s="109" t="str">
        <f t="shared" si="951"/>
        <v>#NAME?</v>
      </c>
      <c r="X952" s="27"/>
    </row>
    <row r="953" ht="21.0" customHeight="1">
      <c r="A953" s="30">
        <v>20.0</v>
      </c>
      <c r="B953" s="31">
        <v>530.0</v>
      </c>
      <c r="C953" s="31">
        <v>1.0</v>
      </c>
      <c r="D953" s="125" t="s">
        <v>894</v>
      </c>
      <c r="E953" s="33" t="s">
        <v>325</v>
      </c>
      <c r="F953" s="109" t="str">
        <f t="shared" ref="F953:G953" si="952">TRANSLATE(D953,"lzh","vi")</f>
        <v>#NAME?</v>
      </c>
      <c r="G953" s="109" t="str">
        <f t="shared" si="952"/>
        <v>#NAME?</v>
      </c>
      <c r="X953" s="27"/>
    </row>
    <row r="954" ht="21.0" customHeight="1">
      <c r="A954" s="30">
        <v>20.0</v>
      </c>
      <c r="B954" s="31">
        <v>530.0</v>
      </c>
      <c r="C954" s="31">
        <v>1.0</v>
      </c>
      <c r="D954" s="125" t="s">
        <v>895</v>
      </c>
      <c r="E954" s="33" t="s">
        <v>325</v>
      </c>
      <c r="F954" s="109" t="str">
        <f t="shared" ref="F954:G954" si="953">TRANSLATE(D954,"lzh","vi")</f>
        <v>#NAME?</v>
      </c>
      <c r="G954" s="109" t="str">
        <f t="shared" si="953"/>
        <v>#NAME?</v>
      </c>
      <c r="X954" s="27"/>
    </row>
    <row r="955" ht="21.0" customHeight="1">
      <c r="A955" s="30">
        <v>20.0</v>
      </c>
      <c r="B955" s="31">
        <v>530.0</v>
      </c>
      <c r="C955" s="31">
        <v>1.0</v>
      </c>
      <c r="D955" s="125" t="s">
        <v>896</v>
      </c>
      <c r="E955" s="33" t="s">
        <v>325</v>
      </c>
      <c r="F955" s="109" t="str">
        <f t="shared" ref="F955:G955" si="954">TRANSLATE(D955,"lzh","vi")</f>
        <v>#NAME?</v>
      </c>
      <c r="G955" s="109" t="str">
        <f t="shared" si="954"/>
        <v>#NAME?</v>
      </c>
      <c r="X955" s="27"/>
    </row>
    <row r="956" ht="21.0" customHeight="1">
      <c r="A956" s="30">
        <v>20.0</v>
      </c>
      <c r="B956" s="31">
        <v>530.0</v>
      </c>
      <c r="C956" s="31">
        <v>1.0</v>
      </c>
      <c r="D956" s="125" t="s">
        <v>897</v>
      </c>
      <c r="E956" s="33" t="s">
        <v>325</v>
      </c>
      <c r="F956" s="109" t="str">
        <f t="shared" ref="F956:G956" si="955">TRANSLATE(D956,"lzh","vi")</f>
        <v>#NAME?</v>
      </c>
      <c r="G956" s="109" t="str">
        <f t="shared" si="955"/>
        <v>#NAME?</v>
      </c>
      <c r="X956" s="27"/>
    </row>
    <row r="957" ht="21.0" customHeight="1">
      <c r="A957" s="30">
        <v>20.0</v>
      </c>
      <c r="B957" s="31">
        <v>530.0</v>
      </c>
      <c r="C957" s="31">
        <v>1.0</v>
      </c>
      <c r="D957" s="125" t="s">
        <v>898</v>
      </c>
      <c r="E957" s="33" t="s">
        <v>325</v>
      </c>
      <c r="F957" s="109" t="str">
        <f t="shared" ref="F957:G957" si="956">TRANSLATE(D957,"lzh","vi")</f>
        <v>#NAME?</v>
      </c>
      <c r="G957" s="109" t="str">
        <f t="shared" si="956"/>
        <v>#NAME?</v>
      </c>
      <c r="X957" s="27"/>
    </row>
    <row r="958" ht="21.0" customHeight="1">
      <c r="A958" s="48">
        <v>20.0</v>
      </c>
      <c r="B958" s="49">
        <v>530.0</v>
      </c>
      <c r="C958" s="49">
        <v>1.0</v>
      </c>
      <c r="D958" s="148" t="s">
        <v>894</v>
      </c>
      <c r="E958" s="51" t="s">
        <v>325</v>
      </c>
      <c r="F958" s="109" t="str">
        <f t="shared" ref="F958:G958" si="957">TRANSLATE(D958,"lzh","vi")</f>
        <v>#NAME?</v>
      </c>
      <c r="G958" s="109" t="str">
        <f t="shared" si="957"/>
        <v>#NAME?</v>
      </c>
      <c r="X958" s="52"/>
    </row>
    <row r="959" ht="21.0" customHeight="1">
      <c r="A959" s="48">
        <v>20.0</v>
      </c>
      <c r="B959" s="49">
        <v>530.0</v>
      </c>
      <c r="C959" s="49">
        <v>1.0</v>
      </c>
      <c r="D959" s="148" t="s">
        <v>895</v>
      </c>
      <c r="E959" s="51" t="s">
        <v>325</v>
      </c>
      <c r="F959" s="109" t="str">
        <f t="shared" ref="F959:G959" si="958">TRANSLATE(D959,"lzh","vi")</f>
        <v>#NAME?</v>
      </c>
      <c r="G959" s="109" t="str">
        <f t="shared" si="958"/>
        <v>#NAME?</v>
      </c>
      <c r="X959" s="52"/>
    </row>
    <row r="960" ht="21.0" customHeight="1">
      <c r="A960" s="48">
        <v>20.0</v>
      </c>
      <c r="B960" s="49">
        <v>530.0</v>
      </c>
      <c r="C960" s="49">
        <v>1.0</v>
      </c>
      <c r="D960" s="148" t="s">
        <v>896</v>
      </c>
      <c r="E960" s="51" t="s">
        <v>325</v>
      </c>
      <c r="F960" s="109" t="str">
        <f t="shared" ref="F960:G960" si="959">TRANSLATE(D960,"lzh","vi")</f>
        <v>#NAME?</v>
      </c>
      <c r="G960" s="109" t="str">
        <f t="shared" si="959"/>
        <v>#NAME?</v>
      </c>
      <c r="X960" s="52"/>
    </row>
    <row r="961" ht="21.0" customHeight="1">
      <c r="A961" s="48">
        <v>20.0</v>
      </c>
      <c r="B961" s="49">
        <v>530.0</v>
      </c>
      <c r="C961" s="49">
        <v>1.0</v>
      </c>
      <c r="D961" s="148" t="s">
        <v>897</v>
      </c>
      <c r="E961" s="51" t="s">
        <v>325</v>
      </c>
      <c r="F961" s="109" t="str">
        <f t="shared" ref="F961:G961" si="960">TRANSLATE(D961,"lzh","vi")</f>
        <v>#NAME?</v>
      </c>
      <c r="G961" s="109" t="str">
        <f t="shared" si="960"/>
        <v>#NAME?</v>
      </c>
      <c r="X961" s="52"/>
    </row>
    <row r="962" ht="21.0" customHeight="1">
      <c r="A962" s="48">
        <v>20.0</v>
      </c>
      <c r="B962" s="49">
        <v>530.0</v>
      </c>
      <c r="C962" s="49">
        <v>1.0</v>
      </c>
      <c r="D962" s="148" t="s">
        <v>898</v>
      </c>
      <c r="E962" s="51" t="s">
        <v>325</v>
      </c>
      <c r="F962" s="109" t="str">
        <f t="shared" ref="F962:G962" si="961">TRANSLATE(D962,"lzh","vi")</f>
        <v>#NAME?</v>
      </c>
      <c r="G962" s="109" t="str">
        <f t="shared" si="961"/>
        <v>#NAME?</v>
      </c>
      <c r="X962" s="52"/>
    </row>
    <row r="963" ht="21.0" customHeight="1">
      <c r="A963" s="30">
        <v>20.0</v>
      </c>
      <c r="B963" s="31">
        <v>530.0</v>
      </c>
      <c r="C963" s="31">
        <v>1.0</v>
      </c>
      <c r="D963" s="125" t="s">
        <v>904</v>
      </c>
      <c r="E963" s="33" t="s">
        <v>325</v>
      </c>
      <c r="F963" s="109" t="str">
        <f t="shared" ref="F963:G963" si="962">TRANSLATE(D963,"lzh","vi")</f>
        <v>#NAME?</v>
      </c>
      <c r="G963" s="109" t="str">
        <f t="shared" si="962"/>
        <v>#NAME?</v>
      </c>
      <c r="X963" s="27"/>
    </row>
    <row r="964" ht="21.0" customHeight="1">
      <c r="A964" s="30">
        <v>20.0</v>
      </c>
      <c r="B964" s="31">
        <v>530.0</v>
      </c>
      <c r="C964" s="31">
        <v>1.0</v>
      </c>
      <c r="D964" s="125" t="s">
        <v>905</v>
      </c>
      <c r="E964" s="33" t="s">
        <v>325</v>
      </c>
      <c r="F964" s="109" t="str">
        <f t="shared" ref="F964:G964" si="963">TRANSLATE(D964,"lzh","vi")</f>
        <v>#NAME?</v>
      </c>
      <c r="G964" s="109" t="str">
        <f t="shared" si="963"/>
        <v>#NAME?</v>
      </c>
      <c r="X964" s="27"/>
    </row>
    <row r="965" ht="21.0" customHeight="1">
      <c r="A965" s="30">
        <v>20.0</v>
      </c>
      <c r="B965" s="31">
        <v>530.0</v>
      </c>
      <c r="C965" s="31">
        <v>1.0</v>
      </c>
      <c r="D965" s="125" t="s">
        <v>906</v>
      </c>
      <c r="E965" s="33" t="s">
        <v>325</v>
      </c>
      <c r="F965" s="109" t="str">
        <f t="shared" ref="F965:G965" si="964">TRANSLATE(D965,"lzh","vi")</f>
        <v>#NAME?</v>
      </c>
      <c r="G965" s="109" t="str">
        <f t="shared" si="964"/>
        <v>#NAME?</v>
      </c>
      <c r="X965" s="27"/>
    </row>
    <row r="966" ht="21.0" customHeight="1">
      <c r="A966" s="30">
        <v>20.0</v>
      </c>
      <c r="B966" s="31">
        <v>530.0</v>
      </c>
      <c r="C966" s="31">
        <v>1.0</v>
      </c>
      <c r="D966" s="125" t="s">
        <v>907</v>
      </c>
      <c r="E966" s="33" t="s">
        <v>325</v>
      </c>
      <c r="F966" s="109" t="str">
        <f t="shared" ref="F966:G966" si="965">TRANSLATE(D966,"lzh","vi")</f>
        <v>#NAME?</v>
      </c>
      <c r="G966" s="109" t="str">
        <f t="shared" si="965"/>
        <v>#NAME?</v>
      </c>
      <c r="X966" s="27"/>
    </row>
    <row r="967" ht="21.0" customHeight="1">
      <c r="A967" s="30">
        <v>20.0</v>
      </c>
      <c r="B967" s="31">
        <v>530.0</v>
      </c>
      <c r="C967" s="31">
        <v>1.0</v>
      </c>
      <c r="D967" s="125" t="s">
        <v>894</v>
      </c>
      <c r="E967" s="33" t="s">
        <v>325</v>
      </c>
      <c r="F967" s="109" t="str">
        <f t="shared" ref="F967:G967" si="966">TRANSLATE(D967,"lzh","vi")</f>
        <v>#NAME?</v>
      </c>
      <c r="G967" s="109" t="str">
        <f t="shared" si="966"/>
        <v>#NAME?</v>
      </c>
      <c r="X967" s="27"/>
    </row>
    <row r="968" ht="21.0" customHeight="1">
      <c r="A968" s="30">
        <v>20.0</v>
      </c>
      <c r="B968" s="31">
        <v>530.0</v>
      </c>
      <c r="C968" s="31">
        <v>1.0</v>
      </c>
      <c r="D968" s="125" t="s">
        <v>907</v>
      </c>
      <c r="E968" s="33" t="s">
        <v>325</v>
      </c>
      <c r="F968" s="109" t="str">
        <f t="shared" ref="F968:G968" si="967">TRANSLATE(D968,"lzh","vi")</f>
        <v>#NAME?</v>
      </c>
      <c r="G968" s="109" t="str">
        <f t="shared" si="967"/>
        <v>#NAME?</v>
      </c>
      <c r="X968" s="27"/>
    </row>
    <row r="969" ht="21.0" customHeight="1">
      <c r="A969" s="30">
        <v>20.0</v>
      </c>
      <c r="B969" s="31">
        <v>530.0</v>
      </c>
      <c r="C969" s="31">
        <v>1.0</v>
      </c>
      <c r="D969" s="125" t="s">
        <v>898</v>
      </c>
      <c r="E969" s="33" t="s">
        <v>325</v>
      </c>
      <c r="F969" s="109" t="str">
        <f t="shared" ref="F969:G969" si="968">TRANSLATE(D969,"lzh","vi")</f>
        <v>#NAME?</v>
      </c>
      <c r="G969" s="109" t="str">
        <f t="shared" si="968"/>
        <v>#NAME?</v>
      </c>
      <c r="X969" s="27"/>
    </row>
    <row r="970" ht="21.0" customHeight="1">
      <c r="A970" s="30">
        <v>20.0</v>
      </c>
      <c r="B970" s="31">
        <v>530.0</v>
      </c>
      <c r="C970" s="31">
        <v>1.0</v>
      </c>
      <c r="D970" s="125" t="s">
        <v>894</v>
      </c>
      <c r="E970" s="33" t="s">
        <v>325</v>
      </c>
      <c r="F970" s="109" t="str">
        <f t="shared" ref="F970:G970" si="969">TRANSLATE(D970,"lzh","vi")</f>
        <v>#NAME?</v>
      </c>
      <c r="G970" s="109" t="str">
        <f t="shared" si="969"/>
        <v>#NAME?</v>
      </c>
      <c r="X970" s="27"/>
    </row>
    <row r="971" ht="21.0" customHeight="1">
      <c r="A971" s="30">
        <v>20.0</v>
      </c>
      <c r="B971" s="31">
        <v>530.0</v>
      </c>
      <c r="C971" s="31">
        <v>1.0</v>
      </c>
      <c r="D971" s="125" t="s">
        <v>907</v>
      </c>
      <c r="E971" s="33" t="s">
        <v>325</v>
      </c>
      <c r="F971" s="109" t="str">
        <f t="shared" ref="F971:G971" si="970">TRANSLATE(D971,"lzh","vi")</f>
        <v>#NAME?</v>
      </c>
      <c r="G971" s="109" t="str">
        <f t="shared" si="970"/>
        <v>#NAME?</v>
      </c>
      <c r="X971" s="27"/>
    </row>
    <row r="972" ht="21.0" customHeight="1">
      <c r="A972" s="30">
        <v>20.0</v>
      </c>
      <c r="B972" s="31">
        <v>530.0</v>
      </c>
      <c r="C972" s="31">
        <v>1.0</v>
      </c>
      <c r="D972" s="125" t="s">
        <v>898</v>
      </c>
      <c r="E972" s="33" t="s">
        <v>325</v>
      </c>
      <c r="F972" s="109" t="str">
        <f t="shared" ref="F972:G972" si="971">TRANSLATE(D972,"lzh","vi")</f>
        <v>#NAME?</v>
      </c>
      <c r="G972" s="109" t="str">
        <f t="shared" si="971"/>
        <v>#NAME?</v>
      </c>
      <c r="X972" s="27"/>
    </row>
    <row r="973" ht="21.0" customHeight="1">
      <c r="A973" s="24">
        <v>20.0</v>
      </c>
      <c r="B973" s="25">
        <v>530.0</v>
      </c>
      <c r="C973" s="25">
        <v>1.0</v>
      </c>
      <c r="D973" s="121" t="s">
        <v>894</v>
      </c>
      <c r="E973" s="11" t="s">
        <v>325</v>
      </c>
      <c r="F973" s="109" t="str">
        <f t="shared" ref="F973:G973" si="972">TRANSLATE(D973,"lzh","vi")</f>
        <v>#NAME?</v>
      </c>
      <c r="G973" s="109" t="str">
        <f t="shared" si="972"/>
        <v>#NAME?</v>
      </c>
      <c r="X973" s="14"/>
    </row>
    <row r="974" ht="21.0" customHeight="1">
      <c r="A974" s="24">
        <v>20.0</v>
      </c>
      <c r="B974" s="25">
        <v>530.0</v>
      </c>
      <c r="C974" s="25">
        <v>1.0</v>
      </c>
      <c r="D974" s="121" t="s">
        <v>907</v>
      </c>
      <c r="E974" s="11" t="s">
        <v>325</v>
      </c>
      <c r="F974" s="109" t="str">
        <f t="shared" ref="F974:G974" si="973">TRANSLATE(D974,"lzh","vi")</f>
        <v>#NAME?</v>
      </c>
      <c r="G974" s="109" t="str">
        <f t="shared" si="973"/>
        <v>#NAME?</v>
      </c>
      <c r="X974" s="14"/>
    </row>
    <row r="975" ht="21.0" customHeight="1">
      <c r="A975" s="24">
        <v>20.0</v>
      </c>
      <c r="B975" s="25">
        <v>530.0</v>
      </c>
      <c r="C975" s="25">
        <v>1.0</v>
      </c>
      <c r="D975" s="121" t="s">
        <v>898</v>
      </c>
      <c r="E975" s="11" t="s">
        <v>325</v>
      </c>
      <c r="F975" s="109" t="str">
        <f t="shared" ref="F975:G975" si="974">TRANSLATE(D975,"lzh","vi")</f>
        <v>#NAME?</v>
      </c>
      <c r="G975" s="109" t="str">
        <f t="shared" si="974"/>
        <v>#NAME?</v>
      </c>
      <c r="X975" s="14"/>
    </row>
    <row r="976" ht="21.0" customHeight="1">
      <c r="A976" s="24">
        <v>20.0</v>
      </c>
      <c r="B976" s="25">
        <v>530.0</v>
      </c>
      <c r="C976" s="25">
        <v>1.0</v>
      </c>
      <c r="D976" s="121" t="s">
        <v>908</v>
      </c>
      <c r="E976" s="11" t="s">
        <v>325</v>
      </c>
      <c r="F976" s="109" t="str">
        <f t="shared" ref="F976:G976" si="975">TRANSLATE(D976,"lzh","vi")</f>
        <v>#NAME?</v>
      </c>
      <c r="G976" s="109" t="str">
        <f t="shared" si="975"/>
        <v>#NAME?</v>
      </c>
      <c r="X976" s="14"/>
    </row>
    <row r="977" ht="21.0" customHeight="1">
      <c r="A977" s="24">
        <v>20.0</v>
      </c>
      <c r="B977" s="25">
        <v>530.0</v>
      </c>
      <c r="C977" s="25">
        <v>1.0</v>
      </c>
      <c r="D977" s="121" t="s">
        <v>909</v>
      </c>
      <c r="E977" s="11" t="s">
        <v>325</v>
      </c>
      <c r="F977" s="109" t="str">
        <f t="shared" ref="F977:G977" si="976">TRANSLATE(D977,"lzh","vi")</f>
        <v>#NAME?</v>
      </c>
      <c r="G977" s="109" t="str">
        <f t="shared" si="976"/>
        <v>#NAME?</v>
      </c>
      <c r="X977" s="14"/>
    </row>
    <row r="978" ht="21.0" customHeight="1">
      <c r="A978" s="24">
        <v>20.0</v>
      </c>
      <c r="B978" s="25">
        <v>530.0</v>
      </c>
      <c r="C978" s="25">
        <v>1.0</v>
      </c>
      <c r="D978" s="121" t="s">
        <v>910</v>
      </c>
      <c r="E978" s="11" t="s">
        <v>325</v>
      </c>
      <c r="F978" s="109" t="str">
        <f t="shared" ref="F978:G978" si="977">TRANSLATE(D978,"lzh","vi")</f>
        <v>#NAME?</v>
      </c>
      <c r="G978" s="109" t="str">
        <f t="shared" si="977"/>
        <v>#NAME?</v>
      </c>
      <c r="X978" s="14"/>
    </row>
    <row r="979" ht="21.0" customHeight="1">
      <c r="A979" s="24">
        <v>20.0</v>
      </c>
      <c r="B979" s="25">
        <v>530.0</v>
      </c>
      <c r="C979" s="25">
        <v>1.0</v>
      </c>
      <c r="D979" s="121" t="s">
        <v>894</v>
      </c>
      <c r="E979" s="11" t="s">
        <v>325</v>
      </c>
      <c r="F979" s="109" t="str">
        <f t="shared" ref="F979:G979" si="978">TRANSLATE(D979,"lzh","vi")</f>
        <v>#NAME?</v>
      </c>
      <c r="G979" s="109" t="str">
        <f t="shared" si="978"/>
        <v>#NAME?</v>
      </c>
      <c r="X979" s="27"/>
    </row>
    <row r="980" ht="21.0" customHeight="1">
      <c r="A980" s="24">
        <v>20.0</v>
      </c>
      <c r="B980" s="25">
        <v>530.0</v>
      </c>
      <c r="C980" s="25">
        <v>1.0</v>
      </c>
      <c r="D980" s="121" t="s">
        <v>907</v>
      </c>
      <c r="E980" s="11" t="s">
        <v>325</v>
      </c>
      <c r="F980" s="109" t="str">
        <f t="shared" ref="F980:G980" si="979">TRANSLATE(D980,"lzh","vi")</f>
        <v>#NAME?</v>
      </c>
      <c r="G980" s="109" t="str">
        <f t="shared" si="979"/>
        <v>#NAME?</v>
      </c>
      <c r="X980" s="27"/>
    </row>
    <row r="981" ht="21.0" customHeight="1">
      <c r="A981" s="24">
        <v>20.0</v>
      </c>
      <c r="B981" s="25">
        <v>530.0</v>
      </c>
      <c r="C981" s="25">
        <v>1.0</v>
      </c>
      <c r="D981" s="121" t="s">
        <v>898</v>
      </c>
      <c r="E981" s="11" t="s">
        <v>325</v>
      </c>
      <c r="F981" s="109" t="str">
        <f t="shared" ref="F981:G981" si="980">TRANSLATE(D981,"lzh","vi")</f>
        <v>#NAME?</v>
      </c>
      <c r="G981" s="109" t="str">
        <f t="shared" si="980"/>
        <v>#NAME?</v>
      </c>
      <c r="X981" s="27"/>
    </row>
    <row r="982" ht="21.0" customHeight="1">
      <c r="A982" s="24">
        <v>20.0</v>
      </c>
      <c r="B982" s="25">
        <v>530.0</v>
      </c>
      <c r="C982" s="25">
        <v>1.0</v>
      </c>
      <c r="D982" s="121" t="s">
        <v>908</v>
      </c>
      <c r="E982" s="11" t="s">
        <v>325</v>
      </c>
      <c r="F982" s="109" t="str">
        <f t="shared" ref="F982:G982" si="981">TRANSLATE(D982,"lzh","vi")</f>
        <v>#NAME?</v>
      </c>
      <c r="G982" s="109" t="str">
        <f t="shared" si="981"/>
        <v>#NAME?</v>
      </c>
      <c r="X982" s="27"/>
    </row>
    <row r="983" ht="21.0" customHeight="1">
      <c r="A983" s="24">
        <v>20.0</v>
      </c>
      <c r="B983" s="25">
        <v>530.0</v>
      </c>
      <c r="C983" s="25">
        <v>1.0</v>
      </c>
      <c r="D983" s="121" t="s">
        <v>909</v>
      </c>
      <c r="E983" s="11" t="s">
        <v>325</v>
      </c>
      <c r="F983" s="109" t="str">
        <f t="shared" ref="F983:G983" si="982">TRANSLATE(D983,"lzh","vi")</f>
        <v>#NAME?</v>
      </c>
      <c r="G983" s="109" t="str">
        <f t="shared" si="982"/>
        <v>#NAME?</v>
      </c>
      <c r="X983" s="27"/>
    </row>
    <row r="984" ht="21.0" customHeight="1">
      <c r="A984" s="24">
        <v>20.0</v>
      </c>
      <c r="B984" s="25">
        <v>530.0</v>
      </c>
      <c r="C984" s="25">
        <v>1.0</v>
      </c>
      <c r="D984" s="121" t="s">
        <v>910</v>
      </c>
      <c r="E984" s="11" t="s">
        <v>325</v>
      </c>
      <c r="F984" s="109" t="str">
        <f t="shared" ref="F984:G984" si="983">TRANSLATE(D984,"lzh","vi")</f>
        <v>#NAME?</v>
      </c>
      <c r="G984" s="109" t="str">
        <f t="shared" si="983"/>
        <v>#NAME?</v>
      </c>
      <c r="X984" s="27"/>
    </row>
    <row r="985" ht="21.0" customHeight="1">
      <c r="A985" s="24">
        <v>20.0</v>
      </c>
      <c r="B985" s="25">
        <v>530.0</v>
      </c>
      <c r="C985" s="31">
        <v>1.0</v>
      </c>
      <c r="D985" s="125" t="s">
        <v>911</v>
      </c>
      <c r="E985" s="11" t="s">
        <v>325</v>
      </c>
      <c r="F985" s="109" t="str">
        <f t="shared" ref="F985:G985" si="984">TRANSLATE(D985,"lzh","vi")</f>
        <v>#NAME?</v>
      </c>
      <c r="G985" s="109" t="str">
        <f t="shared" si="984"/>
        <v>#NAME?</v>
      </c>
      <c r="X985" s="27"/>
    </row>
    <row r="986" ht="21.0" customHeight="1">
      <c r="A986" s="24">
        <v>20.0</v>
      </c>
      <c r="B986" s="25">
        <v>530.0</v>
      </c>
      <c r="C986" s="31">
        <v>1.0</v>
      </c>
      <c r="D986" s="125" t="s">
        <v>912</v>
      </c>
      <c r="E986" s="11" t="s">
        <v>325</v>
      </c>
      <c r="F986" s="109" t="str">
        <f t="shared" ref="F986:G986" si="985">TRANSLATE(D986,"lzh","vi")</f>
        <v>#NAME?</v>
      </c>
      <c r="G986" s="109" t="str">
        <f t="shared" si="985"/>
        <v>#NAME?</v>
      </c>
      <c r="X986" s="27"/>
    </row>
    <row r="987" ht="21.0" customHeight="1">
      <c r="A987" s="24">
        <v>20.0</v>
      </c>
      <c r="B987" s="25">
        <v>530.0</v>
      </c>
      <c r="C987" s="31">
        <v>1.0</v>
      </c>
      <c r="D987" s="125" t="s">
        <v>913</v>
      </c>
      <c r="E987" s="11" t="s">
        <v>325</v>
      </c>
      <c r="F987" s="109" t="str">
        <f t="shared" ref="F987:G987" si="986">TRANSLATE(D987,"lzh","vi")</f>
        <v>#NAME?</v>
      </c>
      <c r="G987" s="109" t="str">
        <f t="shared" si="986"/>
        <v>#NAME?</v>
      </c>
      <c r="X987" s="27"/>
    </row>
    <row r="988" ht="21.0" customHeight="1">
      <c r="A988" s="24">
        <v>20.0</v>
      </c>
      <c r="B988" s="25">
        <v>530.0</v>
      </c>
      <c r="C988" s="31">
        <v>1.0</v>
      </c>
      <c r="D988" s="125" t="s">
        <v>914</v>
      </c>
      <c r="E988" s="11" t="s">
        <v>325</v>
      </c>
      <c r="F988" s="109" t="str">
        <f t="shared" ref="F988:G988" si="987">TRANSLATE(D988,"lzh","vi")</f>
        <v>#NAME?</v>
      </c>
      <c r="G988" s="109" t="str">
        <f t="shared" si="987"/>
        <v>#NAME?</v>
      </c>
      <c r="X988" s="27"/>
    </row>
    <row r="989" ht="21.0" customHeight="1">
      <c r="A989" s="24">
        <v>20.0</v>
      </c>
      <c r="B989" s="31">
        <v>530.0</v>
      </c>
      <c r="C989" s="31">
        <v>1.0</v>
      </c>
      <c r="D989" s="125" t="s">
        <v>895</v>
      </c>
      <c r="E989" s="11" t="s">
        <v>325</v>
      </c>
      <c r="F989" s="109" t="str">
        <f t="shared" ref="F989:G989" si="988">TRANSLATE(D989,"lzh","vi")</f>
        <v>#NAME?</v>
      </c>
      <c r="G989" s="109" t="str">
        <f t="shared" si="988"/>
        <v>#NAME?</v>
      </c>
      <c r="X989" s="27"/>
    </row>
    <row r="990" ht="21.0" customHeight="1">
      <c r="A990" s="24">
        <v>20.0</v>
      </c>
      <c r="B990" s="25">
        <v>530.0</v>
      </c>
      <c r="C990" s="31">
        <v>1.0</v>
      </c>
      <c r="D990" s="121" t="s">
        <v>915</v>
      </c>
      <c r="E990" s="11" t="s">
        <v>325</v>
      </c>
      <c r="F990" s="109" t="str">
        <f t="shared" ref="F990:G990" si="989">TRANSLATE(D990,"lzh","vi")</f>
        <v>#NAME?</v>
      </c>
      <c r="G990" s="109" t="str">
        <f t="shared" si="989"/>
        <v>#NAME?</v>
      </c>
      <c r="X990" s="27"/>
    </row>
    <row r="991" ht="21.0" customHeight="1">
      <c r="A991" s="24">
        <v>20.0</v>
      </c>
      <c r="B991" s="25">
        <v>530.0</v>
      </c>
      <c r="C991" s="31">
        <v>1.0</v>
      </c>
      <c r="D991" s="125" t="s">
        <v>916</v>
      </c>
      <c r="E991" s="11" t="s">
        <v>325</v>
      </c>
      <c r="F991" s="109" t="str">
        <f t="shared" ref="F991:G991" si="990">TRANSLATE(D991,"lzh","vi")</f>
        <v>#NAME?</v>
      </c>
      <c r="G991" s="109" t="str">
        <f t="shared" si="990"/>
        <v>#NAME?</v>
      </c>
      <c r="X991" s="27"/>
    </row>
    <row r="992" ht="21.0" customHeight="1">
      <c r="A992" s="24">
        <v>20.0</v>
      </c>
      <c r="B992" s="31">
        <v>530.0</v>
      </c>
      <c r="C992" s="31">
        <v>1.0</v>
      </c>
      <c r="D992" s="121" t="s">
        <v>917</v>
      </c>
      <c r="E992" s="11" t="s">
        <v>325</v>
      </c>
      <c r="F992" s="109" t="str">
        <f t="shared" ref="F992:G992" si="991">TRANSLATE(D992,"lzh","vi")</f>
        <v>#NAME?</v>
      </c>
      <c r="G992" s="109" t="str">
        <f t="shared" si="991"/>
        <v>#NAME?</v>
      </c>
      <c r="X992" s="27"/>
    </row>
    <row r="993" ht="21.0" customHeight="1">
      <c r="A993" s="24">
        <v>20.0</v>
      </c>
      <c r="B993" s="25">
        <v>530.0</v>
      </c>
      <c r="C993" s="31">
        <v>1.0</v>
      </c>
      <c r="D993" s="125" t="s">
        <v>895</v>
      </c>
      <c r="E993" s="11" t="s">
        <v>325</v>
      </c>
      <c r="F993" s="109" t="str">
        <f t="shared" ref="F993:G993" si="992">TRANSLATE(D993,"lzh","vi")</f>
        <v>#NAME?</v>
      </c>
      <c r="G993" s="109" t="str">
        <f t="shared" si="992"/>
        <v>#NAME?</v>
      </c>
      <c r="X993" s="27"/>
    </row>
    <row r="994" ht="21.0" customHeight="1">
      <c r="A994" s="24">
        <v>20.0</v>
      </c>
      <c r="B994" s="25">
        <v>530.0</v>
      </c>
      <c r="C994" s="31">
        <v>1.0</v>
      </c>
      <c r="D994" s="121" t="s">
        <v>915</v>
      </c>
      <c r="E994" s="11" t="s">
        <v>325</v>
      </c>
      <c r="F994" s="109" t="str">
        <f t="shared" ref="F994:G994" si="993">TRANSLATE(D994,"lzh","vi")</f>
        <v>#NAME?</v>
      </c>
      <c r="G994" s="109" t="str">
        <f t="shared" si="993"/>
        <v>#NAME?</v>
      </c>
      <c r="X994" s="27"/>
    </row>
    <row r="995" ht="21.0" customHeight="1">
      <c r="A995" s="24">
        <v>20.0</v>
      </c>
      <c r="B995" s="31">
        <v>530.0</v>
      </c>
      <c r="C995" s="31">
        <v>1.0</v>
      </c>
      <c r="D995" s="125" t="s">
        <v>916</v>
      </c>
      <c r="E995" s="11" t="s">
        <v>325</v>
      </c>
      <c r="F995" s="109" t="str">
        <f t="shared" ref="F995:G995" si="994">TRANSLATE(D995,"lzh","vi")</f>
        <v>#NAME?</v>
      </c>
      <c r="G995" s="109" t="str">
        <f t="shared" si="994"/>
        <v>#NAME?</v>
      </c>
      <c r="X995" s="27"/>
    </row>
    <row r="996" ht="21.0" customHeight="1">
      <c r="A996" s="24">
        <v>20.0</v>
      </c>
      <c r="B996" s="25">
        <v>530.0</v>
      </c>
      <c r="C996" s="31">
        <v>1.0</v>
      </c>
      <c r="D996" s="121" t="s">
        <v>917</v>
      </c>
      <c r="E996" s="11" t="s">
        <v>325</v>
      </c>
      <c r="F996" s="109" t="str">
        <f t="shared" ref="F996:G996" si="995">TRANSLATE(D996,"lzh","vi")</f>
        <v>#NAME?</v>
      </c>
      <c r="G996" s="109" t="str">
        <f t="shared" si="995"/>
        <v>#NAME?</v>
      </c>
      <c r="X996" s="27"/>
    </row>
    <row r="997" ht="21.0" customHeight="1">
      <c r="A997" s="24">
        <v>20.0</v>
      </c>
      <c r="B997" s="25">
        <v>530.0</v>
      </c>
      <c r="C997" s="31">
        <v>1.0</v>
      </c>
      <c r="D997" s="121" t="s">
        <v>914</v>
      </c>
      <c r="E997" s="11" t="s">
        <v>325</v>
      </c>
      <c r="F997" s="109" t="str">
        <f t="shared" ref="F997:G997" si="996">TRANSLATE(D997,"lzh","vi")</f>
        <v>#NAME?</v>
      </c>
      <c r="G997" s="109" t="str">
        <f t="shared" si="996"/>
        <v>#NAME?</v>
      </c>
      <c r="X997" s="27"/>
    </row>
    <row r="998" ht="21.0" customHeight="1">
      <c r="A998" s="24">
        <v>20.0</v>
      </c>
      <c r="B998" s="25">
        <v>530.0</v>
      </c>
      <c r="C998" s="31">
        <v>1.0</v>
      </c>
      <c r="D998" s="125" t="s">
        <v>913</v>
      </c>
      <c r="E998" s="11" t="s">
        <v>325</v>
      </c>
      <c r="F998" s="109" t="str">
        <f t="shared" ref="F998:G998" si="997">TRANSLATE(D998,"lzh","vi")</f>
        <v>#NAME?</v>
      </c>
      <c r="G998" s="109" t="str">
        <f t="shared" si="997"/>
        <v>#NAME?</v>
      </c>
      <c r="X998" s="27"/>
    </row>
    <row r="999" ht="21.0" customHeight="1">
      <c r="A999" s="24">
        <v>20.0</v>
      </c>
      <c r="B999" s="25">
        <v>530.0</v>
      </c>
      <c r="C999" s="25">
        <v>1.0</v>
      </c>
      <c r="D999" s="121" t="s">
        <v>894</v>
      </c>
      <c r="E999" s="11" t="s">
        <v>325</v>
      </c>
      <c r="F999" s="109" t="str">
        <f t="shared" ref="F999:G999" si="998">TRANSLATE(D999,"lzh","vi")</f>
        <v>#NAME?</v>
      </c>
      <c r="G999" s="109" t="str">
        <f t="shared" si="998"/>
        <v>#NAME?</v>
      </c>
      <c r="X999" s="27"/>
    </row>
    <row r="1000" ht="21.0" customHeight="1">
      <c r="A1000" s="24">
        <v>20.0</v>
      </c>
      <c r="B1000" s="25">
        <v>530.0</v>
      </c>
      <c r="C1000" s="25">
        <v>1.0</v>
      </c>
      <c r="D1000" s="121" t="s">
        <v>895</v>
      </c>
      <c r="E1000" s="11" t="s">
        <v>325</v>
      </c>
      <c r="F1000" s="109" t="str">
        <f t="shared" ref="F1000:G1000" si="999">TRANSLATE(D1000,"lzh","vi")</f>
        <v>#NAME?</v>
      </c>
      <c r="G1000" s="109" t="str">
        <f t="shared" si="999"/>
        <v>#NAME?</v>
      </c>
      <c r="X1000" s="27"/>
    </row>
    <row r="1001" ht="21.0" customHeight="1">
      <c r="A1001" s="24">
        <v>20.0</v>
      </c>
      <c r="B1001" s="25">
        <v>530.0</v>
      </c>
      <c r="C1001" s="31">
        <v>1.0</v>
      </c>
      <c r="D1001" s="121" t="s">
        <v>915</v>
      </c>
      <c r="E1001" s="11" t="s">
        <v>325</v>
      </c>
      <c r="F1001" s="109" t="str">
        <f t="shared" ref="F1001:G1001" si="1000">TRANSLATE(D1001,"lzh","vi")</f>
        <v>#NAME?</v>
      </c>
      <c r="G1001" s="109" t="str">
        <f t="shared" si="1000"/>
        <v>#NAME?</v>
      </c>
      <c r="X1001" s="27"/>
    </row>
    <row r="1002" ht="21.0" customHeight="1">
      <c r="A1002" s="24">
        <v>20.0</v>
      </c>
      <c r="B1002" s="25">
        <v>530.0</v>
      </c>
      <c r="C1002" s="31">
        <v>1.0</v>
      </c>
      <c r="D1002" s="121" t="s">
        <v>918</v>
      </c>
      <c r="E1002" s="11" t="s">
        <v>325</v>
      </c>
      <c r="F1002" s="109" t="str">
        <f t="shared" ref="F1002:G1002" si="1001">TRANSLATE(D1002,"lzh","vi")</f>
        <v>#NAME?</v>
      </c>
      <c r="G1002" s="109" t="str">
        <f t="shared" si="1001"/>
        <v>#NAME?</v>
      </c>
      <c r="X1002" s="27"/>
    </row>
    <row r="1003" ht="21.0" customHeight="1">
      <c r="A1003" s="24">
        <v>20.0</v>
      </c>
      <c r="B1003" s="25">
        <v>530.0</v>
      </c>
      <c r="C1003" s="31">
        <v>1.0</v>
      </c>
      <c r="D1003" s="121" t="s">
        <v>898</v>
      </c>
      <c r="E1003" s="11" t="s">
        <v>325</v>
      </c>
      <c r="F1003" s="109" t="str">
        <f t="shared" ref="F1003:G1003" si="1002">TRANSLATE(D1003,"lzh","vi")</f>
        <v>#NAME?</v>
      </c>
      <c r="G1003" s="109" t="str">
        <f t="shared" si="1002"/>
        <v>#NAME?</v>
      </c>
      <c r="X1003" s="27"/>
    </row>
    <row r="1004" ht="21.0" customHeight="1">
      <c r="A1004" s="24">
        <v>20.0</v>
      </c>
      <c r="B1004" s="25">
        <v>530.0</v>
      </c>
      <c r="C1004" s="31">
        <v>1.0</v>
      </c>
      <c r="D1004" s="121" t="s">
        <v>919</v>
      </c>
      <c r="E1004" s="11" t="s">
        <v>325</v>
      </c>
      <c r="F1004" s="109" t="str">
        <f t="shared" ref="F1004:G1004" si="1003">TRANSLATE(D1004,"lzh","vi")</f>
        <v>#NAME?</v>
      </c>
      <c r="G1004" s="109" t="str">
        <f t="shared" si="1003"/>
        <v>#NAME?</v>
      </c>
      <c r="X1004" s="27"/>
    </row>
    <row r="1005" ht="21.0" customHeight="1">
      <c r="A1005" s="53">
        <v>14.0</v>
      </c>
      <c r="B1005" s="25">
        <v>530.0</v>
      </c>
      <c r="C1005" s="31">
        <v>1.0</v>
      </c>
      <c r="D1005" s="121" t="s">
        <v>920</v>
      </c>
      <c r="E1005" s="11" t="s">
        <v>325</v>
      </c>
      <c r="F1005" s="109" t="str">
        <f t="shared" ref="F1005:G1005" si="1004">TRANSLATE(D1005,"lzh","vi")</f>
        <v>#NAME?</v>
      </c>
      <c r="G1005" s="109" t="str">
        <f t="shared" si="1004"/>
        <v>#NAME?</v>
      </c>
      <c r="X1005" s="27"/>
    </row>
    <row r="1006" ht="21.0" customHeight="1">
      <c r="A1006" s="24">
        <v>20.0</v>
      </c>
      <c r="B1006" s="25">
        <v>530.0</v>
      </c>
      <c r="C1006" s="31">
        <v>1.0</v>
      </c>
      <c r="D1006" s="121" t="s">
        <v>921</v>
      </c>
      <c r="E1006" s="11" t="s">
        <v>325</v>
      </c>
      <c r="F1006" s="109" t="str">
        <f t="shared" ref="F1006:G1006" si="1005">TRANSLATE(D1006,"lzh","vi")</f>
        <v>#NAME?</v>
      </c>
      <c r="G1006" s="109" t="str">
        <f t="shared" si="1005"/>
        <v>#NAME?</v>
      </c>
      <c r="X1006" s="27"/>
    </row>
    <row r="1007" ht="21.0" customHeight="1">
      <c r="A1007" s="24">
        <v>20.0</v>
      </c>
      <c r="B1007" s="25">
        <v>530.0</v>
      </c>
      <c r="C1007" s="25">
        <v>1.0</v>
      </c>
      <c r="D1007" s="121" t="s">
        <v>908</v>
      </c>
      <c r="E1007" s="11" t="s">
        <v>325</v>
      </c>
      <c r="F1007" s="109" t="str">
        <f t="shared" ref="F1007:G1007" si="1006">TRANSLATE(D1007,"lzh","vi")</f>
        <v>#NAME?</v>
      </c>
      <c r="G1007" s="109" t="str">
        <f t="shared" si="1006"/>
        <v>#NAME?</v>
      </c>
      <c r="X1007" s="27"/>
    </row>
    <row r="1008" ht="21.0" customHeight="1">
      <c r="A1008" s="24">
        <v>20.0</v>
      </c>
      <c r="B1008" s="25">
        <v>530.0</v>
      </c>
      <c r="C1008" s="25">
        <v>1.0</v>
      </c>
      <c r="D1008" s="121" t="s">
        <v>916</v>
      </c>
      <c r="E1008" s="11" t="s">
        <v>325</v>
      </c>
      <c r="F1008" s="109" t="str">
        <f t="shared" ref="F1008:G1008" si="1007">TRANSLATE(D1008,"lzh","vi")</f>
        <v>#NAME?</v>
      </c>
      <c r="G1008" s="109" t="str">
        <f t="shared" si="1007"/>
        <v>#NAME?</v>
      </c>
      <c r="X1008" s="27"/>
    </row>
    <row r="1009" ht="21.0" customHeight="1">
      <c r="A1009" s="24">
        <v>20.0</v>
      </c>
      <c r="B1009" s="25">
        <v>530.0</v>
      </c>
      <c r="C1009" s="25">
        <v>1.0</v>
      </c>
      <c r="D1009" s="121" t="s">
        <v>917</v>
      </c>
      <c r="E1009" s="11" t="s">
        <v>325</v>
      </c>
      <c r="F1009" s="109" t="str">
        <f t="shared" ref="F1009:G1009" si="1008">TRANSLATE(D1009,"lzh","vi")</f>
        <v>#NAME?</v>
      </c>
      <c r="G1009" s="109" t="str">
        <f t="shared" si="1008"/>
        <v>#NAME?</v>
      </c>
      <c r="X1009" s="27"/>
    </row>
    <row r="1010" ht="21.0" customHeight="1">
      <c r="A1010" s="24">
        <v>20.0</v>
      </c>
      <c r="B1010" s="25">
        <v>530.0</v>
      </c>
      <c r="C1010" s="25">
        <v>1.0</v>
      </c>
      <c r="D1010" s="121" t="s">
        <v>922</v>
      </c>
      <c r="E1010" s="11" t="s">
        <v>325</v>
      </c>
      <c r="F1010" s="109" t="str">
        <f t="shared" ref="F1010:G1010" si="1009">TRANSLATE(D1010,"lzh","vi")</f>
        <v>#NAME?</v>
      </c>
      <c r="G1010" s="109" t="str">
        <f t="shared" si="1009"/>
        <v>#NAME?</v>
      </c>
      <c r="X1010" s="27"/>
    </row>
    <row r="1011" ht="21.0" customHeight="1">
      <c r="A1011" s="24">
        <v>20.0</v>
      </c>
      <c r="B1011" s="25">
        <v>530.0</v>
      </c>
      <c r="C1011" s="25">
        <v>1.0</v>
      </c>
      <c r="D1011" s="121" t="s">
        <v>910</v>
      </c>
      <c r="E1011" s="11" t="s">
        <v>325</v>
      </c>
      <c r="F1011" s="109" t="str">
        <f t="shared" ref="F1011:G1011" si="1010">TRANSLATE(D1011,"lzh","vi")</f>
        <v>#NAME?</v>
      </c>
      <c r="G1011" s="109" t="str">
        <f t="shared" si="1010"/>
        <v>#NAME?</v>
      </c>
      <c r="X1011" s="27"/>
    </row>
    <row r="1012" ht="21.0" customHeight="1">
      <c r="A1012" s="24">
        <v>20.0</v>
      </c>
      <c r="B1012" s="25">
        <v>530.0</v>
      </c>
      <c r="C1012" s="25">
        <v>1.0</v>
      </c>
      <c r="D1012" s="121" t="s">
        <v>917</v>
      </c>
      <c r="E1012" s="11" t="s">
        <v>325</v>
      </c>
      <c r="F1012" s="109" t="str">
        <f t="shared" ref="F1012:G1012" si="1011">TRANSLATE(D1012,"lzh","vi")</f>
        <v>#NAME?</v>
      </c>
      <c r="G1012" s="109" t="str">
        <f t="shared" si="1011"/>
        <v>#NAME?</v>
      </c>
      <c r="X1012" s="27"/>
    </row>
    <row r="1013" ht="21.0" customHeight="1">
      <c r="A1013" s="24">
        <v>20.0</v>
      </c>
      <c r="B1013" s="25">
        <v>530.0</v>
      </c>
      <c r="C1013" s="25">
        <v>1.0</v>
      </c>
      <c r="D1013" s="121" t="s">
        <v>917</v>
      </c>
      <c r="E1013" s="11" t="s">
        <v>325</v>
      </c>
      <c r="F1013" s="109" t="str">
        <f t="shared" ref="F1013:G1013" si="1012">TRANSLATE(D1013,"lzh","vi")</f>
        <v>#NAME?</v>
      </c>
      <c r="G1013" s="109" t="str">
        <f t="shared" si="1012"/>
        <v>#NAME?</v>
      </c>
      <c r="X1013" s="27"/>
    </row>
    <row r="1014" ht="21.0" customHeight="1">
      <c r="A1014" s="54">
        <v>14.0</v>
      </c>
      <c r="B1014" s="55">
        <v>530.0</v>
      </c>
      <c r="C1014" s="55">
        <v>1.0</v>
      </c>
      <c r="D1014" s="149" t="s">
        <v>923</v>
      </c>
      <c r="E1014" s="33" t="s">
        <v>641</v>
      </c>
      <c r="F1014" s="109" t="str">
        <f t="shared" ref="F1014:G1014" si="1013">TRANSLATE(D1014,"lzh","vi")</f>
        <v>#NAME?</v>
      </c>
      <c r="G1014" s="109" t="str">
        <f t="shared" si="1013"/>
        <v>#NAME?</v>
      </c>
      <c r="X1014" s="20"/>
    </row>
    <row r="1015" ht="21.0" customHeight="1">
      <c r="A1015" s="54">
        <v>14.0</v>
      </c>
      <c r="B1015" s="55">
        <v>530.0</v>
      </c>
      <c r="C1015" s="55">
        <v>1.0</v>
      </c>
      <c r="D1015" s="149" t="s">
        <v>924</v>
      </c>
      <c r="E1015" s="33" t="s">
        <v>641</v>
      </c>
      <c r="F1015" s="109" t="str">
        <f t="shared" ref="F1015:G1015" si="1014">TRANSLATE(D1015,"lzh","vi")</f>
        <v>#NAME?</v>
      </c>
      <c r="G1015" s="109" t="str">
        <f t="shared" si="1014"/>
        <v>#NAME?</v>
      </c>
      <c r="X1015" s="20"/>
    </row>
    <row r="1016" ht="21.0" customHeight="1">
      <c r="A1016" s="24">
        <v>20.0</v>
      </c>
      <c r="B1016" s="25">
        <v>530.0</v>
      </c>
      <c r="C1016" s="25">
        <v>1.0</v>
      </c>
      <c r="D1016" s="121" t="s">
        <v>670</v>
      </c>
      <c r="E1016" s="11" t="s">
        <v>325</v>
      </c>
      <c r="F1016" s="109" t="str">
        <f t="shared" ref="F1016:G1016" si="1015">TRANSLATE(D1016,"lzh","vi")</f>
        <v>#NAME?</v>
      </c>
      <c r="G1016" s="109" t="str">
        <f t="shared" si="1015"/>
        <v>#NAME?</v>
      </c>
      <c r="X1016" s="27"/>
    </row>
    <row r="1017" ht="21.0" customHeight="1">
      <c r="A1017" s="24">
        <v>20.0</v>
      </c>
      <c r="B1017" s="25">
        <v>530.0</v>
      </c>
      <c r="C1017" s="25">
        <v>1.0</v>
      </c>
      <c r="D1017" s="121" t="s">
        <v>925</v>
      </c>
      <c r="E1017" s="11" t="s">
        <v>325</v>
      </c>
      <c r="F1017" s="109" t="str">
        <f t="shared" ref="F1017:G1017" si="1016">TRANSLATE(D1017,"lzh","vi")</f>
        <v>#NAME?</v>
      </c>
      <c r="G1017" s="109" t="str">
        <f t="shared" si="1016"/>
        <v>#NAME?</v>
      </c>
      <c r="X1017" s="27"/>
    </row>
    <row r="1018" ht="21.0" customHeight="1">
      <c r="A1018" s="24">
        <v>20.0</v>
      </c>
      <c r="B1018" s="25">
        <v>530.0</v>
      </c>
      <c r="C1018" s="25">
        <v>1.0</v>
      </c>
      <c r="D1018" s="121" t="s">
        <v>926</v>
      </c>
      <c r="E1018" s="11" t="s">
        <v>325</v>
      </c>
      <c r="F1018" s="109" t="str">
        <f t="shared" ref="F1018:G1018" si="1017">TRANSLATE(D1018,"lzh","vi")</f>
        <v>#NAME?</v>
      </c>
      <c r="G1018" s="109" t="str">
        <f t="shared" si="1017"/>
        <v>#NAME?</v>
      </c>
      <c r="X1018" s="27"/>
    </row>
    <row r="1019" ht="21.0" customHeight="1">
      <c r="A1019" s="24">
        <v>20.0</v>
      </c>
      <c r="B1019" s="25">
        <v>530.0</v>
      </c>
      <c r="C1019" s="25">
        <v>1.0</v>
      </c>
      <c r="D1019" s="121" t="s">
        <v>926</v>
      </c>
      <c r="E1019" s="11" t="s">
        <v>325</v>
      </c>
      <c r="F1019" s="109" t="str">
        <f t="shared" ref="F1019:G1019" si="1018">TRANSLATE(D1019,"lzh","vi")</f>
        <v>#NAME?</v>
      </c>
      <c r="G1019" s="109" t="str">
        <f t="shared" si="1018"/>
        <v>#NAME?</v>
      </c>
      <c r="X1019" s="27"/>
    </row>
    <row r="1020" ht="21.0" customHeight="1">
      <c r="A1020" s="24">
        <v>20.0</v>
      </c>
      <c r="B1020" s="25">
        <v>530.0</v>
      </c>
      <c r="C1020" s="25">
        <v>1.0</v>
      </c>
      <c r="D1020" s="121" t="s">
        <v>926</v>
      </c>
      <c r="E1020" s="11" t="s">
        <v>325</v>
      </c>
      <c r="F1020" s="109" t="str">
        <f t="shared" ref="F1020:G1020" si="1019">TRANSLATE(D1020,"lzh","vi")</f>
        <v>#NAME?</v>
      </c>
      <c r="G1020" s="109" t="str">
        <f t="shared" si="1019"/>
        <v>#NAME?</v>
      </c>
      <c r="X1020" s="27"/>
    </row>
    <row r="1021" ht="21.0" customHeight="1">
      <c r="A1021" s="57">
        <v>4.0</v>
      </c>
      <c r="B1021" s="58">
        <v>542.0</v>
      </c>
      <c r="C1021" s="58">
        <v>1.0</v>
      </c>
      <c r="D1021" s="150" t="s">
        <v>927</v>
      </c>
      <c r="E1021" s="60" t="s">
        <v>928</v>
      </c>
      <c r="F1021" s="109" t="str">
        <f t="shared" ref="F1021:G1021" si="1020">TRANSLATE(D1021,"lzh","vi")</f>
        <v>#NAME?</v>
      </c>
      <c r="G1021" s="109" t="str">
        <f t="shared" si="1020"/>
        <v>#NAME?</v>
      </c>
      <c r="X1021" s="61"/>
    </row>
    <row r="1022" ht="21.0" customHeight="1">
      <c r="A1022" s="57">
        <v>14.0</v>
      </c>
      <c r="B1022" s="58">
        <v>542.0</v>
      </c>
      <c r="C1022" s="58">
        <v>1.0</v>
      </c>
      <c r="D1022" s="150" t="s">
        <v>929</v>
      </c>
      <c r="E1022" s="60" t="s">
        <v>930</v>
      </c>
      <c r="F1022" s="109" t="str">
        <f t="shared" ref="F1022:G1022" si="1021">TRANSLATE(D1022,"lzh","vi")</f>
        <v>#NAME?</v>
      </c>
      <c r="G1022" s="109" t="str">
        <f t="shared" si="1021"/>
        <v>#NAME?</v>
      </c>
      <c r="X1022" s="61"/>
    </row>
    <row r="1023" ht="21.0" customHeight="1">
      <c r="A1023" s="57">
        <v>14.0</v>
      </c>
      <c r="B1023" s="58">
        <v>542.0</v>
      </c>
      <c r="C1023" s="58">
        <v>1.0</v>
      </c>
      <c r="D1023" s="150" t="s">
        <v>931</v>
      </c>
      <c r="E1023" s="60" t="s">
        <v>932</v>
      </c>
      <c r="F1023" s="109" t="str">
        <f t="shared" ref="F1023:G1023" si="1022">TRANSLATE(D1023,"lzh","vi")</f>
        <v>#NAME?</v>
      </c>
      <c r="G1023" s="109" t="str">
        <f t="shared" si="1022"/>
        <v>#NAME?</v>
      </c>
      <c r="X1023" s="61"/>
    </row>
    <row r="1024" ht="21.0" customHeight="1">
      <c r="A1024" s="57">
        <v>14.0</v>
      </c>
      <c r="B1024" s="58">
        <v>542.0</v>
      </c>
      <c r="C1024" s="58">
        <v>1.0</v>
      </c>
      <c r="D1024" s="150" t="s">
        <v>933</v>
      </c>
      <c r="E1024" s="60" t="s">
        <v>934</v>
      </c>
      <c r="F1024" s="109" t="str">
        <f t="shared" ref="F1024:G1024" si="1023">TRANSLATE(D1024,"lzh","vi")</f>
        <v>#NAME?</v>
      </c>
      <c r="G1024" s="109" t="str">
        <f t="shared" si="1023"/>
        <v>#NAME?</v>
      </c>
      <c r="X1024" s="61"/>
    </row>
    <row r="1025" ht="21.0" customHeight="1">
      <c r="A1025" s="57">
        <v>14.0</v>
      </c>
      <c r="B1025" s="58">
        <v>542.0</v>
      </c>
      <c r="C1025" s="58">
        <v>1.0</v>
      </c>
      <c r="D1025" s="150" t="s">
        <v>935</v>
      </c>
      <c r="E1025" s="60" t="s">
        <v>936</v>
      </c>
      <c r="F1025" s="109" t="str">
        <f t="shared" ref="F1025:G1025" si="1024">TRANSLATE(D1025,"lzh","vi")</f>
        <v>#NAME?</v>
      </c>
      <c r="G1025" s="109" t="str">
        <f t="shared" si="1024"/>
        <v>#NAME?</v>
      </c>
      <c r="X1025" s="61"/>
    </row>
    <row r="1026" ht="21.0" customHeight="1">
      <c r="A1026" s="57">
        <v>14.0</v>
      </c>
      <c r="B1026" s="58">
        <v>542.0</v>
      </c>
      <c r="C1026" s="58">
        <v>1.0</v>
      </c>
      <c r="D1026" s="150" t="s">
        <v>937</v>
      </c>
      <c r="E1026" s="60" t="s">
        <v>938</v>
      </c>
      <c r="F1026" s="109" t="str">
        <f t="shared" ref="F1026:G1026" si="1025">TRANSLATE(D1026,"lzh","vi")</f>
        <v>#NAME?</v>
      </c>
      <c r="G1026" s="109" t="str">
        <f t="shared" si="1025"/>
        <v>#NAME?</v>
      </c>
      <c r="X1026" s="61"/>
    </row>
    <row r="1027" ht="21.0" customHeight="1">
      <c r="A1027" s="57">
        <v>14.0</v>
      </c>
      <c r="B1027" s="58">
        <v>542.0</v>
      </c>
      <c r="C1027" s="58">
        <v>1.0</v>
      </c>
      <c r="D1027" s="150" t="s">
        <v>939</v>
      </c>
      <c r="E1027" s="60" t="s">
        <v>940</v>
      </c>
      <c r="F1027" s="109" t="str">
        <f t="shared" ref="F1027:G1027" si="1026">TRANSLATE(D1027,"lzh","vi")</f>
        <v>#NAME?</v>
      </c>
      <c r="G1027" s="109" t="str">
        <f t="shared" si="1026"/>
        <v>#NAME?</v>
      </c>
      <c r="X1027" s="61"/>
    </row>
    <row r="1028" ht="21.0" customHeight="1">
      <c r="A1028" s="57">
        <v>14.0</v>
      </c>
      <c r="B1028" s="58">
        <v>542.0</v>
      </c>
      <c r="C1028" s="58">
        <v>1.0</v>
      </c>
      <c r="D1028" s="150" t="s">
        <v>941</v>
      </c>
      <c r="E1028" s="60" t="s">
        <v>942</v>
      </c>
      <c r="F1028" s="109" t="str">
        <f t="shared" ref="F1028:G1028" si="1027">TRANSLATE(D1028,"lzh","vi")</f>
        <v>#NAME?</v>
      </c>
      <c r="G1028" s="109" t="str">
        <f t="shared" si="1027"/>
        <v>#NAME?</v>
      </c>
      <c r="X1028" s="61"/>
    </row>
    <row r="1029" ht="21.0" customHeight="1">
      <c r="A1029" s="57">
        <v>14.0</v>
      </c>
      <c r="B1029" s="58">
        <v>542.0</v>
      </c>
      <c r="C1029" s="58">
        <v>1.0</v>
      </c>
      <c r="D1029" s="150" t="s">
        <v>943</v>
      </c>
      <c r="E1029" s="60" t="s">
        <v>944</v>
      </c>
      <c r="F1029" s="109" t="str">
        <f t="shared" ref="F1029:G1029" si="1028">TRANSLATE(D1029,"lzh","vi")</f>
        <v>#NAME?</v>
      </c>
      <c r="G1029" s="109" t="str">
        <f t="shared" si="1028"/>
        <v>#NAME?</v>
      </c>
      <c r="X1029" s="61"/>
    </row>
    <row r="1030" ht="21.0" customHeight="1">
      <c r="A1030" s="57">
        <v>14.0</v>
      </c>
      <c r="B1030" s="58">
        <v>542.0</v>
      </c>
      <c r="C1030" s="58">
        <v>1.0</v>
      </c>
      <c r="D1030" s="150" t="s">
        <v>945</v>
      </c>
      <c r="E1030" s="60" t="s">
        <v>946</v>
      </c>
      <c r="F1030" s="109" t="str">
        <f t="shared" ref="F1030:G1030" si="1029">TRANSLATE(D1030,"lzh","vi")</f>
        <v>#NAME?</v>
      </c>
      <c r="G1030" s="109" t="str">
        <f t="shared" si="1029"/>
        <v>#NAME?</v>
      </c>
      <c r="X1030" s="61"/>
    </row>
    <row r="1031" ht="21.0" customHeight="1">
      <c r="A1031" s="24">
        <v>4.0</v>
      </c>
      <c r="B1031" s="25">
        <v>543.0</v>
      </c>
      <c r="C1031" s="25">
        <v>1.0</v>
      </c>
      <c r="D1031" s="121" t="s">
        <v>947</v>
      </c>
      <c r="E1031" s="11" t="s">
        <v>928</v>
      </c>
      <c r="F1031" s="109" t="str">
        <f t="shared" ref="F1031:G1031" si="1030">TRANSLATE(D1031,"lzh","vi")</f>
        <v>#NAME?</v>
      </c>
      <c r="G1031" s="109" t="str">
        <f t="shared" si="1030"/>
        <v>#NAME?</v>
      </c>
      <c r="X1031" s="14"/>
    </row>
    <row r="1032" ht="21.0" customHeight="1">
      <c r="A1032" s="24">
        <v>5.0</v>
      </c>
      <c r="B1032" s="25">
        <v>543.0</v>
      </c>
      <c r="C1032" s="25">
        <v>1.0</v>
      </c>
      <c r="D1032" s="121" t="s">
        <v>948</v>
      </c>
      <c r="E1032" s="11" t="s">
        <v>928</v>
      </c>
      <c r="F1032" s="109" t="str">
        <f t="shared" ref="F1032:G1032" si="1031">TRANSLATE(D1032,"lzh","vi")</f>
        <v>#NAME?</v>
      </c>
      <c r="G1032" s="109" t="str">
        <f t="shared" si="1031"/>
        <v>#NAME?</v>
      </c>
      <c r="X1032" s="14"/>
    </row>
    <row r="1033" ht="21.0" customHeight="1">
      <c r="A1033" s="24">
        <v>20.0</v>
      </c>
      <c r="B1033" s="25">
        <v>543.0</v>
      </c>
      <c r="C1033" s="25">
        <v>1.0</v>
      </c>
      <c r="D1033" s="121" t="s">
        <v>949</v>
      </c>
      <c r="E1033" s="11" t="s">
        <v>325</v>
      </c>
      <c r="F1033" s="109" t="str">
        <f t="shared" ref="F1033:G1033" si="1032">TRANSLATE(D1033,"lzh","vi")</f>
        <v>#NAME?</v>
      </c>
      <c r="G1033" s="109" t="str">
        <f t="shared" si="1032"/>
        <v>#NAME?</v>
      </c>
      <c r="X1033" s="14"/>
    </row>
    <row r="1034" ht="21.0" customHeight="1">
      <c r="A1034" s="24">
        <v>14.0</v>
      </c>
      <c r="B1034" s="25">
        <v>543.0</v>
      </c>
      <c r="C1034" s="25">
        <v>1.0</v>
      </c>
      <c r="D1034" s="121" t="s">
        <v>950</v>
      </c>
      <c r="E1034" s="11" t="s">
        <v>951</v>
      </c>
      <c r="F1034" s="109" t="str">
        <f t="shared" ref="F1034:G1034" si="1033">TRANSLATE(D1034,"lzh","vi")</f>
        <v>#NAME?</v>
      </c>
      <c r="G1034" s="109" t="str">
        <f t="shared" si="1033"/>
        <v>#NAME?</v>
      </c>
      <c r="X1034" s="14"/>
    </row>
    <row r="1035" ht="21.0" customHeight="1">
      <c r="A1035" s="24">
        <v>14.0</v>
      </c>
      <c r="B1035" s="25">
        <v>543.0</v>
      </c>
      <c r="C1035" s="25">
        <v>1.0</v>
      </c>
      <c r="D1035" s="121" t="s">
        <v>952</v>
      </c>
      <c r="E1035" s="11" t="s">
        <v>951</v>
      </c>
      <c r="F1035" s="109" t="str">
        <f t="shared" ref="F1035:G1035" si="1034">TRANSLATE(D1035,"lzh","vi")</f>
        <v>#NAME?</v>
      </c>
      <c r="G1035" s="109" t="str">
        <f t="shared" si="1034"/>
        <v>#NAME?</v>
      </c>
      <c r="X1035" s="14"/>
    </row>
    <row r="1036" ht="21.0" customHeight="1">
      <c r="A1036" s="24">
        <v>14.0</v>
      </c>
      <c r="B1036" s="25">
        <v>543.0</v>
      </c>
      <c r="C1036" s="25">
        <v>1.0</v>
      </c>
      <c r="D1036" s="121" t="s">
        <v>953</v>
      </c>
      <c r="E1036" s="11" t="s">
        <v>951</v>
      </c>
      <c r="F1036" s="109" t="str">
        <f t="shared" ref="F1036:G1036" si="1035">TRANSLATE(D1036,"lzh","vi")</f>
        <v>#NAME?</v>
      </c>
      <c r="G1036" s="109" t="str">
        <f t="shared" si="1035"/>
        <v>#NAME?</v>
      </c>
      <c r="X1036" s="14"/>
    </row>
    <row r="1037" ht="21.0" customHeight="1">
      <c r="A1037" s="24">
        <v>17.0</v>
      </c>
      <c r="B1037" s="25">
        <v>543.0</v>
      </c>
      <c r="C1037" s="25">
        <v>1.0</v>
      </c>
      <c r="D1037" s="121" t="s">
        <v>954</v>
      </c>
      <c r="E1037" s="11" t="s">
        <v>325</v>
      </c>
      <c r="F1037" s="109" t="str">
        <f t="shared" ref="F1037:G1037" si="1036">TRANSLATE(D1037,"lzh","vi")</f>
        <v>#NAME?</v>
      </c>
      <c r="G1037" s="109" t="str">
        <f t="shared" si="1036"/>
        <v>#NAME?</v>
      </c>
      <c r="X1037" s="14"/>
    </row>
    <row r="1038" ht="21.0" customHeight="1">
      <c r="A1038" s="57">
        <v>17.0</v>
      </c>
      <c r="B1038" s="58">
        <v>543.0</v>
      </c>
      <c r="C1038" s="58">
        <v>1.0</v>
      </c>
      <c r="D1038" s="150" t="s">
        <v>955</v>
      </c>
      <c r="E1038" s="60" t="s">
        <v>956</v>
      </c>
      <c r="F1038" s="109" t="str">
        <f t="shared" ref="F1038:G1038" si="1037">TRANSLATE(D1038,"lzh","vi")</f>
        <v>#NAME?</v>
      </c>
      <c r="G1038" s="109" t="str">
        <f t="shared" si="1037"/>
        <v>#NAME?</v>
      </c>
      <c r="X1038" s="61"/>
    </row>
    <row r="1039" ht="21.0" customHeight="1">
      <c r="A1039" s="5">
        <v>17.0</v>
      </c>
      <c r="B1039" s="6">
        <v>543.0</v>
      </c>
      <c r="C1039" s="6">
        <v>1.0</v>
      </c>
      <c r="D1039" s="116" t="s">
        <v>957</v>
      </c>
      <c r="E1039" s="9" t="s">
        <v>958</v>
      </c>
      <c r="F1039" s="109" t="str">
        <f t="shared" ref="F1039:G1039" si="1038">TRANSLATE(D1039,"lzh","vi")</f>
        <v>#NAME?</v>
      </c>
      <c r="G1039" s="109" t="str">
        <f t="shared" si="1038"/>
        <v>#NAME?</v>
      </c>
      <c r="X1039" s="110"/>
    </row>
    <row r="1040" ht="21.0" customHeight="1">
      <c r="A1040" s="5">
        <v>17.0</v>
      </c>
      <c r="B1040" s="6">
        <v>543.0</v>
      </c>
      <c r="C1040" s="6">
        <v>1.0</v>
      </c>
      <c r="D1040" s="116" t="s">
        <v>959</v>
      </c>
      <c r="E1040" s="9" t="s">
        <v>958</v>
      </c>
      <c r="F1040" s="109" t="str">
        <f t="shared" ref="F1040:G1040" si="1039">TRANSLATE(D1040,"lzh","vi")</f>
        <v>#NAME?</v>
      </c>
      <c r="G1040" s="109" t="str">
        <f t="shared" si="1039"/>
        <v>#NAME?</v>
      </c>
      <c r="X1040" s="110"/>
    </row>
    <row r="1041" ht="21.0" customHeight="1">
      <c r="A1041" s="30">
        <v>5.0</v>
      </c>
      <c r="B1041" s="31">
        <v>417.0</v>
      </c>
      <c r="C1041" s="31">
        <v>1.0</v>
      </c>
      <c r="D1041" s="125" t="s">
        <v>960</v>
      </c>
      <c r="E1041" s="33" t="s">
        <v>961</v>
      </c>
      <c r="F1041" s="109" t="str">
        <f t="shared" ref="F1041:G1041" si="1040">TRANSLATE(D1041,"lzh","vi")</f>
        <v>#NAME?</v>
      </c>
      <c r="G1041" s="109" t="str">
        <f t="shared" si="1040"/>
        <v>#NAME?</v>
      </c>
      <c r="X1041" s="124"/>
    </row>
    <row r="1042" ht="21.0" customHeight="1">
      <c r="A1042" s="30">
        <v>5.0</v>
      </c>
      <c r="B1042" s="31">
        <v>417.0</v>
      </c>
      <c r="C1042" s="31">
        <v>1.0</v>
      </c>
      <c r="D1042" s="125" t="s">
        <v>962</v>
      </c>
      <c r="E1042" s="33" t="s">
        <v>963</v>
      </c>
      <c r="F1042" s="109" t="str">
        <f t="shared" ref="F1042:G1042" si="1041">TRANSLATE(D1042,"lzh","vi")</f>
        <v>#NAME?</v>
      </c>
      <c r="G1042" s="109" t="str">
        <f t="shared" si="1041"/>
        <v>#NAME?</v>
      </c>
      <c r="X1042" s="124"/>
    </row>
    <row r="1043" ht="21.0" customHeight="1">
      <c r="A1043" s="30">
        <v>5.0</v>
      </c>
      <c r="B1043" s="31">
        <v>417.0</v>
      </c>
      <c r="C1043" s="31">
        <v>1.0</v>
      </c>
      <c r="D1043" s="125" t="s">
        <v>964</v>
      </c>
      <c r="E1043" s="33" t="s">
        <v>965</v>
      </c>
      <c r="F1043" s="109" t="str">
        <f t="shared" ref="F1043:G1043" si="1042">TRANSLATE(D1043,"lzh","vi")</f>
        <v>#NAME?</v>
      </c>
      <c r="G1043" s="109" t="str">
        <f t="shared" si="1042"/>
        <v>#NAME?</v>
      </c>
      <c r="X1043" s="124"/>
    </row>
    <row r="1044" ht="21.0" customHeight="1">
      <c r="A1044" s="5">
        <v>17.0</v>
      </c>
      <c r="B1044" s="6">
        <v>543.0</v>
      </c>
      <c r="C1044" s="6">
        <v>1.0</v>
      </c>
      <c r="D1044" s="116" t="s">
        <v>966</v>
      </c>
      <c r="E1044" s="9" t="s">
        <v>958</v>
      </c>
      <c r="F1044" s="109" t="str">
        <f t="shared" ref="F1044:G1044" si="1043">TRANSLATE(D1044,"lzh","vi")</f>
        <v>#NAME?</v>
      </c>
      <c r="G1044" s="109" t="str">
        <f t="shared" si="1043"/>
        <v>#NAME?</v>
      </c>
      <c r="X1044" s="110"/>
    </row>
    <row r="1045" ht="21.0" customHeight="1">
      <c r="A1045" s="5">
        <v>17.0</v>
      </c>
      <c r="B1045" s="6">
        <v>543.0</v>
      </c>
      <c r="C1045" s="6">
        <v>1.0</v>
      </c>
      <c r="D1045" s="116" t="s">
        <v>967</v>
      </c>
      <c r="E1045" s="9" t="s">
        <v>958</v>
      </c>
      <c r="F1045" s="109" t="str">
        <f t="shared" ref="F1045:G1045" si="1044">TRANSLATE(D1045,"lzh","vi")</f>
        <v>#NAME?</v>
      </c>
      <c r="G1045" s="109" t="str">
        <f t="shared" si="1044"/>
        <v>#NAME?</v>
      </c>
      <c r="X1045" s="110"/>
    </row>
    <row r="1046" ht="21.0" customHeight="1">
      <c r="A1046" s="57">
        <v>14.0</v>
      </c>
      <c r="B1046" s="58">
        <v>542.0</v>
      </c>
      <c r="C1046" s="58">
        <v>1.0</v>
      </c>
      <c r="D1046" s="150" t="s">
        <v>968</v>
      </c>
      <c r="E1046" s="60" t="s">
        <v>969</v>
      </c>
      <c r="F1046" s="109" t="str">
        <f t="shared" ref="F1046:G1046" si="1045">TRANSLATE(D1046,"lzh","vi")</f>
        <v>#NAME?</v>
      </c>
      <c r="G1046" s="109" t="str">
        <f t="shared" si="1045"/>
        <v>#NAME?</v>
      </c>
      <c r="X1046" s="61"/>
    </row>
    <row r="1047" ht="21.0" customHeight="1">
      <c r="A1047" s="5">
        <v>17.0</v>
      </c>
      <c r="B1047" s="6">
        <v>543.0</v>
      </c>
      <c r="C1047" s="6">
        <v>1.0</v>
      </c>
      <c r="D1047" s="116" t="s">
        <v>970</v>
      </c>
      <c r="E1047" s="9" t="s">
        <v>958</v>
      </c>
      <c r="F1047" s="109" t="str">
        <f t="shared" ref="F1047:G1047" si="1046">TRANSLATE(D1047,"lzh","vi")</f>
        <v>#NAME?</v>
      </c>
      <c r="G1047" s="109" t="str">
        <f t="shared" si="1046"/>
        <v>#NAME?</v>
      </c>
      <c r="X1047" s="110"/>
    </row>
    <row r="1048" ht="21.0" customHeight="1">
      <c r="A1048" s="5">
        <v>17.0</v>
      </c>
      <c r="B1048" s="6">
        <v>543.0</v>
      </c>
      <c r="C1048" s="6">
        <v>1.0</v>
      </c>
      <c r="D1048" s="116" t="s">
        <v>971</v>
      </c>
      <c r="E1048" s="9" t="s">
        <v>958</v>
      </c>
      <c r="F1048" s="109" t="str">
        <f t="shared" ref="F1048:G1048" si="1047">TRANSLATE(D1048,"lzh","vi")</f>
        <v>#NAME?</v>
      </c>
      <c r="G1048" s="109" t="str">
        <f t="shared" si="1047"/>
        <v>#NAME?</v>
      </c>
      <c r="X1048" s="110"/>
    </row>
    <row r="1049" ht="21.0" customHeight="1">
      <c r="A1049" s="57">
        <v>14.0</v>
      </c>
      <c r="B1049" s="58">
        <v>1.0</v>
      </c>
      <c r="C1049" s="58">
        <v>1.0</v>
      </c>
      <c r="D1049" s="150" t="s">
        <v>935</v>
      </c>
      <c r="E1049" s="60" t="s">
        <v>972</v>
      </c>
      <c r="F1049" s="109" t="str">
        <f t="shared" ref="F1049:G1049" si="1048">TRANSLATE(D1049,"lzh","vi")</f>
        <v>#NAME?</v>
      </c>
      <c r="G1049" s="109" t="str">
        <f t="shared" si="1048"/>
        <v>#NAME?</v>
      </c>
      <c r="X1049" s="61"/>
    </row>
    <row r="1050" ht="21.0" customHeight="1">
      <c r="A1050" s="57">
        <v>14.0</v>
      </c>
      <c r="B1050" s="58">
        <v>1.0</v>
      </c>
      <c r="C1050" s="58">
        <v>1.0</v>
      </c>
      <c r="D1050" s="150" t="s">
        <v>937</v>
      </c>
      <c r="E1050" s="60" t="s">
        <v>973</v>
      </c>
      <c r="F1050" s="109" t="str">
        <f t="shared" ref="F1050:G1050" si="1049">TRANSLATE(D1050,"lzh","vi")</f>
        <v>#NAME?</v>
      </c>
      <c r="G1050" s="109" t="str">
        <f t="shared" si="1049"/>
        <v>#NAME?</v>
      </c>
      <c r="X1050" s="61"/>
    </row>
    <row r="1051" ht="21.0" customHeight="1">
      <c r="A1051" s="57">
        <v>14.0</v>
      </c>
      <c r="B1051" s="58">
        <v>1.0</v>
      </c>
      <c r="C1051" s="58">
        <v>1.0</v>
      </c>
      <c r="D1051" s="150" t="s">
        <v>939</v>
      </c>
      <c r="E1051" s="60" t="s">
        <v>974</v>
      </c>
      <c r="F1051" s="109" t="str">
        <f t="shared" ref="F1051:G1051" si="1050">TRANSLATE(D1051,"lzh","vi")</f>
        <v>#NAME?</v>
      </c>
      <c r="G1051" s="109" t="str">
        <f t="shared" si="1050"/>
        <v>#NAME?</v>
      </c>
      <c r="X1051" s="61"/>
    </row>
    <row r="1052" ht="21.0" customHeight="1">
      <c r="A1052" s="57">
        <v>14.0</v>
      </c>
      <c r="B1052" s="58">
        <v>1.0</v>
      </c>
      <c r="C1052" s="58">
        <v>1.0</v>
      </c>
      <c r="D1052" s="150" t="s">
        <v>941</v>
      </c>
      <c r="E1052" s="60" t="s">
        <v>975</v>
      </c>
      <c r="F1052" s="109" t="str">
        <f t="shared" ref="F1052:G1052" si="1051">TRANSLATE(D1052,"lzh","vi")</f>
        <v>#NAME?</v>
      </c>
      <c r="G1052" s="109" t="str">
        <f t="shared" si="1051"/>
        <v>#NAME?</v>
      </c>
      <c r="X1052" s="61"/>
    </row>
    <row r="1053" ht="21.0" customHeight="1">
      <c r="A1053" s="24">
        <v>20.0</v>
      </c>
      <c r="B1053" s="6">
        <v>1.0</v>
      </c>
      <c r="C1053" s="6">
        <v>1.0</v>
      </c>
      <c r="D1053" s="116" t="s">
        <v>976</v>
      </c>
      <c r="E1053" s="11" t="s">
        <v>325</v>
      </c>
      <c r="F1053" s="109" t="str">
        <f t="shared" ref="F1053:G1053" si="1052">TRANSLATE(D1053,"lzh","vi")</f>
        <v>#NAME?</v>
      </c>
      <c r="G1053" s="109" t="str">
        <f t="shared" si="1052"/>
        <v>#NAME?</v>
      </c>
      <c r="X1053" s="110"/>
    </row>
    <row r="1054" ht="21.0" customHeight="1">
      <c r="A1054" s="24">
        <v>20.0</v>
      </c>
      <c r="B1054" s="6">
        <v>1.0</v>
      </c>
      <c r="C1054" s="6">
        <v>1.0</v>
      </c>
      <c r="D1054" s="116" t="s">
        <v>977</v>
      </c>
      <c r="E1054" s="11" t="s">
        <v>325</v>
      </c>
      <c r="F1054" s="109" t="str">
        <f t="shared" ref="F1054:G1054" si="1053">TRANSLATE(D1054,"lzh","vi")</f>
        <v>#NAME?</v>
      </c>
      <c r="G1054" s="109" t="str">
        <f t="shared" si="1053"/>
        <v>#NAME?</v>
      </c>
      <c r="X1054" s="110"/>
    </row>
    <row r="1055" ht="21.0" customHeight="1">
      <c r="A1055" s="24">
        <v>20.0</v>
      </c>
      <c r="B1055" s="6">
        <v>1.0</v>
      </c>
      <c r="C1055" s="6">
        <v>1.0</v>
      </c>
      <c r="D1055" s="116" t="s">
        <v>978</v>
      </c>
      <c r="E1055" s="11" t="s">
        <v>325</v>
      </c>
      <c r="F1055" s="109" t="str">
        <f t="shared" ref="F1055:G1055" si="1054">TRANSLATE(D1055,"lzh","vi")</f>
        <v>#NAME?</v>
      </c>
      <c r="G1055" s="109" t="str">
        <f t="shared" si="1054"/>
        <v>#NAME?</v>
      </c>
      <c r="X1055" s="110"/>
    </row>
    <row r="1056" ht="21.0" customHeight="1">
      <c r="A1056" s="5">
        <v>17.0</v>
      </c>
      <c r="B1056" s="6">
        <v>543.0</v>
      </c>
      <c r="C1056" s="6">
        <v>1.0</v>
      </c>
      <c r="D1056" s="116" t="s">
        <v>979</v>
      </c>
      <c r="E1056" s="9" t="s">
        <v>958</v>
      </c>
      <c r="F1056" s="109" t="str">
        <f t="shared" ref="F1056:G1056" si="1055">TRANSLATE(D1056,"lzh","vi")</f>
        <v>#NAME?</v>
      </c>
      <c r="G1056" s="109" t="str">
        <f t="shared" si="1055"/>
        <v>#NAME?</v>
      </c>
      <c r="X1056" s="110"/>
    </row>
    <row r="1057" ht="21.0" customHeight="1">
      <c r="A1057" s="5">
        <v>17.0</v>
      </c>
      <c r="B1057" s="6">
        <v>543.0</v>
      </c>
      <c r="C1057" s="6">
        <v>1.0</v>
      </c>
      <c r="D1057" s="116" t="s">
        <v>980</v>
      </c>
      <c r="E1057" s="9" t="s">
        <v>958</v>
      </c>
      <c r="F1057" s="109" t="str">
        <f t="shared" ref="F1057:G1057" si="1056">TRANSLATE(D1057,"lzh","vi")</f>
        <v>#NAME?</v>
      </c>
      <c r="G1057" s="109" t="str">
        <f t="shared" si="1056"/>
        <v>#NAME?</v>
      </c>
      <c r="X1057" s="110"/>
    </row>
    <row r="1058" ht="21.0" customHeight="1">
      <c r="A1058" s="30">
        <v>20.0</v>
      </c>
      <c r="B1058" s="31">
        <v>620.0</v>
      </c>
      <c r="C1058" s="31">
        <v>1.0</v>
      </c>
      <c r="D1058" s="125" t="s">
        <v>981</v>
      </c>
      <c r="E1058" s="33" t="s">
        <v>325</v>
      </c>
      <c r="F1058" s="109" t="str">
        <f t="shared" ref="F1058:G1058" si="1057">TRANSLATE(D1058,"lzh","vi")</f>
        <v>#NAME?</v>
      </c>
      <c r="G1058" s="109" t="str">
        <f t="shared" si="1057"/>
        <v>#NAME?</v>
      </c>
      <c r="X1058" s="27"/>
    </row>
    <row r="1059" ht="21.0" customHeight="1">
      <c r="A1059" s="30">
        <v>20.0</v>
      </c>
      <c r="B1059" s="31">
        <v>620.0</v>
      </c>
      <c r="C1059" s="31">
        <v>1.0</v>
      </c>
      <c r="D1059" s="125" t="s">
        <v>982</v>
      </c>
      <c r="E1059" s="33" t="s">
        <v>325</v>
      </c>
      <c r="F1059" s="109" t="str">
        <f t="shared" ref="F1059:G1059" si="1058">TRANSLATE(D1059,"lzh","vi")</f>
        <v>#NAME?</v>
      </c>
      <c r="G1059" s="109" t="str">
        <f t="shared" si="1058"/>
        <v>#NAME?</v>
      </c>
      <c r="X1059" s="27"/>
    </row>
    <row r="1060" ht="21.0" customHeight="1">
      <c r="A1060" s="30">
        <v>20.0</v>
      </c>
      <c r="B1060" s="31">
        <v>620.0</v>
      </c>
      <c r="C1060" s="31">
        <v>1.0</v>
      </c>
      <c r="D1060" s="125" t="s">
        <v>983</v>
      </c>
      <c r="E1060" s="33" t="s">
        <v>325</v>
      </c>
      <c r="F1060" s="109" t="str">
        <f t="shared" ref="F1060:G1060" si="1059">TRANSLATE(D1060,"lzh","vi")</f>
        <v>#NAME?</v>
      </c>
      <c r="G1060" s="109" t="str">
        <f t="shared" si="1059"/>
        <v>#NAME?</v>
      </c>
      <c r="X1060" s="27"/>
    </row>
    <row r="1061" ht="21.0" customHeight="1">
      <c r="A1061" s="30">
        <v>20.0</v>
      </c>
      <c r="B1061" s="31">
        <v>620.0</v>
      </c>
      <c r="C1061" s="31">
        <v>1.0</v>
      </c>
      <c r="D1061" s="125" t="s">
        <v>984</v>
      </c>
      <c r="E1061" s="33" t="s">
        <v>325</v>
      </c>
      <c r="F1061" s="109" t="str">
        <f t="shared" ref="F1061:G1061" si="1060">TRANSLATE(D1061,"lzh","vi")</f>
        <v>#NAME?</v>
      </c>
      <c r="G1061" s="109" t="str">
        <f t="shared" si="1060"/>
        <v>#NAME?</v>
      </c>
      <c r="X1061" s="27"/>
    </row>
    <row r="1062" ht="21.0" customHeight="1">
      <c r="A1062" s="30">
        <v>20.0</v>
      </c>
      <c r="B1062" s="31">
        <v>620.0</v>
      </c>
      <c r="C1062" s="31">
        <v>1.0</v>
      </c>
      <c r="D1062" s="125" t="s">
        <v>985</v>
      </c>
      <c r="E1062" s="33" t="s">
        <v>325</v>
      </c>
      <c r="F1062" s="109" t="str">
        <f t="shared" ref="F1062:G1062" si="1061">TRANSLATE(D1062,"lzh","vi")</f>
        <v>#NAME?</v>
      </c>
      <c r="G1062" s="109" t="str">
        <f t="shared" si="1061"/>
        <v>#NAME?</v>
      </c>
      <c r="X1062" s="27"/>
    </row>
    <row r="1063" ht="21.0" customHeight="1">
      <c r="A1063" s="54">
        <v>20.0</v>
      </c>
      <c r="B1063" s="55">
        <v>620.0</v>
      </c>
      <c r="C1063" s="55">
        <v>1.0</v>
      </c>
      <c r="D1063" s="149" t="s">
        <v>986</v>
      </c>
      <c r="E1063" s="19" t="s">
        <v>325</v>
      </c>
      <c r="F1063" s="109" t="str">
        <f t="shared" ref="F1063:G1063" si="1062">TRANSLATE(D1063,"lzh","vi")</f>
        <v>#NAME?</v>
      </c>
      <c r="G1063" s="109" t="str">
        <f t="shared" si="1062"/>
        <v>#NAME?</v>
      </c>
      <c r="X1063" s="20"/>
    </row>
    <row r="1064" ht="21.0" customHeight="1">
      <c r="A1064" s="54">
        <v>20.0</v>
      </c>
      <c r="B1064" s="55">
        <v>620.0</v>
      </c>
      <c r="C1064" s="55">
        <v>1.0</v>
      </c>
      <c r="D1064" s="149" t="s">
        <v>987</v>
      </c>
      <c r="E1064" s="19" t="s">
        <v>325</v>
      </c>
      <c r="F1064" s="109" t="str">
        <f t="shared" ref="F1064:G1064" si="1063">TRANSLATE(D1064,"lzh","vi")</f>
        <v>#NAME?</v>
      </c>
      <c r="G1064" s="109" t="str">
        <f t="shared" si="1063"/>
        <v>#NAME?</v>
      </c>
      <c r="X1064" s="20"/>
    </row>
    <row r="1065" ht="21.0" customHeight="1">
      <c r="A1065" s="54">
        <v>20.0</v>
      </c>
      <c r="B1065" s="55">
        <v>620.0</v>
      </c>
      <c r="C1065" s="55">
        <v>1.0</v>
      </c>
      <c r="D1065" s="149" t="s">
        <v>988</v>
      </c>
      <c r="E1065" s="19" t="s">
        <v>325</v>
      </c>
      <c r="F1065" s="109" t="str">
        <f t="shared" ref="F1065:G1065" si="1064">TRANSLATE(D1065,"lzh","vi")</f>
        <v>#NAME?</v>
      </c>
      <c r="G1065" s="109" t="str">
        <f t="shared" si="1064"/>
        <v>#NAME?</v>
      </c>
      <c r="X1065" s="20"/>
    </row>
    <row r="1066" ht="21.0" customHeight="1">
      <c r="A1066" s="54">
        <v>20.0</v>
      </c>
      <c r="B1066" s="55">
        <v>620.0</v>
      </c>
      <c r="C1066" s="55">
        <v>1.0</v>
      </c>
      <c r="D1066" s="149" t="s">
        <v>989</v>
      </c>
      <c r="E1066" s="19" t="s">
        <v>325</v>
      </c>
      <c r="F1066" s="109" t="str">
        <f t="shared" ref="F1066:G1066" si="1065">TRANSLATE(D1066,"lzh","vi")</f>
        <v>#NAME?</v>
      </c>
      <c r="G1066" s="109" t="str">
        <f t="shared" si="1065"/>
        <v>#NAME?</v>
      </c>
      <c r="X1066" s="20"/>
    </row>
    <row r="1067" ht="21.0" customHeight="1">
      <c r="A1067" s="5">
        <v>7.0</v>
      </c>
      <c r="B1067" s="6">
        <v>701.0</v>
      </c>
      <c r="C1067" s="6">
        <v>1.0</v>
      </c>
      <c r="D1067" s="116" t="s">
        <v>990</v>
      </c>
      <c r="E1067" s="9" t="s">
        <v>991</v>
      </c>
      <c r="F1067" s="109" t="str">
        <f t="shared" ref="F1067:G1067" si="1066">TRANSLATE(D1067,"lzh","vi")</f>
        <v>#NAME?</v>
      </c>
      <c r="G1067" s="109" t="str">
        <f t="shared" si="1066"/>
        <v>#NAME?</v>
      </c>
      <c r="X1067" s="110"/>
    </row>
    <row r="1068" ht="21.0" customHeight="1">
      <c r="A1068" s="5">
        <v>7.0</v>
      </c>
      <c r="B1068" s="6">
        <v>702.0</v>
      </c>
      <c r="C1068" s="6">
        <v>1.0</v>
      </c>
      <c r="D1068" s="116" t="s">
        <v>992</v>
      </c>
      <c r="E1068" s="9" t="s">
        <v>993</v>
      </c>
      <c r="F1068" s="109" t="str">
        <f t="shared" ref="F1068:G1068" si="1067">TRANSLATE(D1068,"lzh","vi")</f>
        <v>#NAME?</v>
      </c>
      <c r="G1068" s="109" t="str">
        <f t="shared" si="1067"/>
        <v>#NAME?</v>
      </c>
      <c r="X1068" s="110"/>
    </row>
    <row r="1069" ht="21.0" customHeight="1">
      <c r="A1069" s="5">
        <v>7.0</v>
      </c>
      <c r="B1069" s="6">
        <v>703.0</v>
      </c>
      <c r="C1069" s="6">
        <v>1.0</v>
      </c>
      <c r="D1069" s="116" t="s">
        <v>994</v>
      </c>
      <c r="E1069" s="9" t="s">
        <v>995</v>
      </c>
      <c r="F1069" s="109" t="str">
        <f t="shared" ref="F1069:G1069" si="1068">TRANSLATE(D1069,"lzh","vi")</f>
        <v>#NAME?</v>
      </c>
      <c r="G1069" s="109" t="str">
        <f t="shared" si="1068"/>
        <v>#NAME?</v>
      </c>
      <c r="X1069" s="110"/>
    </row>
    <row r="1070" ht="21.0" customHeight="1">
      <c r="A1070" s="5">
        <v>7.0</v>
      </c>
      <c r="B1070" s="6">
        <v>704.0</v>
      </c>
      <c r="C1070" s="6">
        <v>1.0</v>
      </c>
      <c r="D1070" s="116" t="s">
        <v>996</v>
      </c>
      <c r="E1070" s="9" t="s">
        <v>997</v>
      </c>
      <c r="F1070" s="109" t="str">
        <f t="shared" ref="F1070:G1070" si="1069">TRANSLATE(D1070,"lzh","vi")</f>
        <v>#NAME?</v>
      </c>
      <c r="G1070" s="109" t="str">
        <f t="shared" si="1069"/>
        <v>#NAME?</v>
      </c>
      <c r="X1070" s="110"/>
    </row>
    <row r="1071" ht="21.0" customHeight="1">
      <c r="A1071" s="17">
        <v>22.0</v>
      </c>
      <c r="B1071" s="18">
        <v>705.0</v>
      </c>
      <c r="C1071" s="18">
        <v>1.0</v>
      </c>
      <c r="D1071" s="149" t="s">
        <v>998</v>
      </c>
      <c r="E1071" s="19" t="s">
        <v>999</v>
      </c>
      <c r="F1071" s="109" t="str">
        <f t="shared" ref="F1071:G1071" si="1070">TRANSLATE(D1071,"lzh","vi")</f>
        <v>#NAME?</v>
      </c>
      <c r="G1071" s="109" t="str">
        <f t="shared" si="1070"/>
        <v>#NAME?</v>
      </c>
      <c r="X1071" s="118"/>
    </row>
    <row r="1072" ht="21.0" customHeight="1">
      <c r="A1072" s="17">
        <v>22.0</v>
      </c>
      <c r="B1072" s="18">
        <v>705.0</v>
      </c>
      <c r="C1072" s="18">
        <v>2.0</v>
      </c>
      <c r="D1072" s="149" t="s">
        <v>1000</v>
      </c>
      <c r="E1072" s="19" t="s">
        <v>999</v>
      </c>
      <c r="F1072" s="109" t="str">
        <f t="shared" ref="F1072:G1072" si="1071">TRANSLATE(D1072,"lzh","vi")</f>
        <v>#NAME?</v>
      </c>
      <c r="G1072" s="109" t="str">
        <f t="shared" si="1071"/>
        <v>#NAME?</v>
      </c>
      <c r="X1072" s="118"/>
    </row>
    <row r="1073" ht="21.0" customHeight="1">
      <c r="A1073" s="17">
        <v>22.0</v>
      </c>
      <c r="B1073" s="18">
        <v>705.0</v>
      </c>
      <c r="C1073" s="18">
        <v>3.0</v>
      </c>
      <c r="D1073" s="149" t="s">
        <v>1001</v>
      </c>
      <c r="E1073" s="19" t="s">
        <v>999</v>
      </c>
      <c r="F1073" s="109" t="str">
        <f t="shared" ref="F1073:G1073" si="1072">TRANSLATE(D1073,"lzh","vi")</f>
        <v>#NAME?</v>
      </c>
      <c r="G1073" s="109" t="str">
        <f t="shared" si="1072"/>
        <v>#NAME?</v>
      </c>
      <c r="X1073" s="118"/>
    </row>
    <row r="1074" ht="21.0" customHeight="1">
      <c r="A1074" s="17">
        <v>20.0</v>
      </c>
      <c r="B1074" s="18">
        <v>706.0</v>
      </c>
      <c r="C1074" s="18">
        <v>1.0</v>
      </c>
      <c r="D1074" s="149" t="s">
        <v>1002</v>
      </c>
      <c r="E1074" s="19" t="s">
        <v>325</v>
      </c>
      <c r="F1074" s="109" t="str">
        <f t="shared" ref="F1074:G1074" si="1073">TRANSLATE(D1074,"lzh","vi")</f>
        <v>#NAME?</v>
      </c>
      <c r="G1074" s="109" t="str">
        <f t="shared" si="1073"/>
        <v>#NAME?</v>
      </c>
      <c r="X1074" s="118"/>
    </row>
    <row r="1075" ht="21.0" customHeight="1">
      <c r="A1075" s="17">
        <v>20.0</v>
      </c>
      <c r="B1075" s="18">
        <v>706.0</v>
      </c>
      <c r="C1075" s="18">
        <v>1.0</v>
      </c>
      <c r="D1075" s="149" t="s">
        <v>1003</v>
      </c>
      <c r="E1075" s="19" t="s">
        <v>325</v>
      </c>
      <c r="F1075" s="109" t="str">
        <f t="shared" ref="F1075:G1075" si="1074">TRANSLATE(D1075,"lzh","vi")</f>
        <v>#NAME?</v>
      </c>
      <c r="G1075" s="109" t="str">
        <f t="shared" si="1074"/>
        <v>#NAME?</v>
      </c>
      <c r="X1075" s="118"/>
    </row>
    <row r="1076" ht="21.0" customHeight="1">
      <c r="A1076" s="17">
        <v>20.0</v>
      </c>
      <c r="B1076" s="18">
        <v>706.0</v>
      </c>
      <c r="C1076" s="18">
        <v>1.0</v>
      </c>
      <c r="D1076" s="149" t="s">
        <v>1004</v>
      </c>
      <c r="E1076" s="19" t="s">
        <v>325</v>
      </c>
      <c r="F1076" s="109" t="str">
        <f t="shared" ref="F1076:G1076" si="1075">TRANSLATE(D1076,"lzh","vi")</f>
        <v>#NAME?</v>
      </c>
      <c r="G1076" s="109" t="str">
        <f t="shared" si="1075"/>
        <v>#NAME?</v>
      </c>
      <c r="X1076" s="118"/>
    </row>
    <row r="1077" ht="21.0" customHeight="1">
      <c r="A1077" s="5">
        <v>44.0</v>
      </c>
      <c r="B1077" s="6">
        <v>705.0</v>
      </c>
      <c r="C1077" s="6">
        <v>4.0</v>
      </c>
      <c r="D1077" s="116" t="s">
        <v>1005</v>
      </c>
      <c r="E1077" s="9" t="s">
        <v>1006</v>
      </c>
      <c r="F1077" s="109" t="str">
        <f t="shared" ref="F1077:G1077" si="1076">TRANSLATE(D1077,"lzh","vi")</f>
        <v>#NAME?</v>
      </c>
      <c r="G1077" s="109" t="str">
        <f t="shared" si="1076"/>
        <v>#NAME?</v>
      </c>
      <c r="X1077" s="110"/>
    </row>
    <row r="1078" ht="21.0" customHeight="1">
      <c r="A1078" s="5">
        <v>8.0</v>
      </c>
      <c r="B1078" s="6">
        <v>801.0</v>
      </c>
      <c r="C1078" s="6">
        <v>1.0</v>
      </c>
      <c r="D1078" s="116" t="s">
        <v>1007</v>
      </c>
      <c r="E1078" s="9" t="s">
        <v>1008</v>
      </c>
      <c r="F1078" s="109" t="str">
        <f t="shared" ref="F1078:G1078" si="1077">TRANSLATE(D1078,"lzh","vi")</f>
        <v>#NAME?</v>
      </c>
      <c r="G1078" s="109" t="str">
        <f t="shared" si="1077"/>
        <v>#NAME?</v>
      </c>
      <c r="X1078" s="110"/>
    </row>
    <row r="1079" ht="21.0" customHeight="1">
      <c r="A1079" s="5">
        <v>8.0</v>
      </c>
      <c r="B1079" s="6">
        <v>802.0</v>
      </c>
      <c r="C1079" s="6">
        <v>1.0</v>
      </c>
      <c r="D1079" s="116" t="s">
        <v>1009</v>
      </c>
      <c r="E1079" s="9" t="s">
        <v>1010</v>
      </c>
      <c r="F1079" s="109" t="str">
        <f t="shared" ref="F1079:G1079" si="1078">TRANSLATE(D1079,"lzh","vi")</f>
        <v>#NAME?</v>
      </c>
      <c r="G1079" s="109" t="str">
        <f t="shared" si="1078"/>
        <v>#NAME?</v>
      </c>
      <c r="X1079" s="110"/>
    </row>
    <row r="1080" ht="21.0" customHeight="1">
      <c r="A1080" s="5">
        <v>8.0</v>
      </c>
      <c r="B1080" s="6">
        <v>803.0</v>
      </c>
      <c r="C1080" s="6">
        <v>1.0</v>
      </c>
      <c r="D1080" s="116" t="s">
        <v>1011</v>
      </c>
      <c r="E1080" s="9" t="s">
        <v>1012</v>
      </c>
      <c r="F1080" s="109" t="str">
        <f t="shared" ref="F1080:G1080" si="1079">TRANSLATE(D1080,"lzh","vi")</f>
        <v>#NAME?</v>
      </c>
      <c r="G1080" s="109" t="str">
        <f t="shared" si="1079"/>
        <v>#NAME?</v>
      </c>
      <c r="X1080" s="110"/>
    </row>
    <row r="1081" ht="21.0" customHeight="1">
      <c r="A1081" s="5">
        <v>8.0</v>
      </c>
      <c r="B1081" s="6">
        <v>804.0</v>
      </c>
      <c r="C1081" s="6">
        <v>1.0</v>
      </c>
      <c r="D1081" s="116" t="s">
        <v>1013</v>
      </c>
      <c r="E1081" s="9" t="s">
        <v>1014</v>
      </c>
      <c r="F1081" s="109" t="str">
        <f t="shared" ref="F1081:G1081" si="1080">TRANSLATE(D1081,"lzh","vi")</f>
        <v>#NAME?</v>
      </c>
      <c r="G1081" s="109" t="str">
        <f t="shared" si="1080"/>
        <v>#NAME?</v>
      </c>
      <c r="X1081" s="110"/>
    </row>
    <row r="1082" ht="21.0" customHeight="1">
      <c r="A1082" s="17">
        <v>23.0</v>
      </c>
      <c r="B1082" s="18">
        <v>805.0</v>
      </c>
      <c r="C1082" s="18">
        <v>1.0</v>
      </c>
      <c r="D1082" s="149" t="s">
        <v>1015</v>
      </c>
      <c r="E1082" s="19" t="s">
        <v>1016</v>
      </c>
      <c r="F1082" s="109" t="str">
        <f t="shared" ref="F1082:G1082" si="1081">TRANSLATE(D1082,"lzh","vi")</f>
        <v>#NAME?</v>
      </c>
      <c r="G1082" s="109" t="str">
        <f t="shared" si="1081"/>
        <v>#NAME?</v>
      </c>
      <c r="X1082" s="118"/>
    </row>
    <row r="1083" ht="21.0" customHeight="1">
      <c r="A1083" s="17">
        <v>23.0</v>
      </c>
      <c r="B1083" s="18">
        <v>805.0</v>
      </c>
      <c r="C1083" s="18">
        <v>2.0</v>
      </c>
      <c r="D1083" s="149" t="s">
        <v>1017</v>
      </c>
      <c r="E1083" s="19" t="s">
        <v>1016</v>
      </c>
      <c r="F1083" s="109" t="str">
        <f t="shared" ref="F1083:G1083" si="1082">TRANSLATE(D1083,"lzh","vi")</f>
        <v>#NAME?</v>
      </c>
      <c r="G1083" s="109" t="str">
        <f t="shared" si="1082"/>
        <v>#NAME?</v>
      </c>
      <c r="X1083" s="118"/>
    </row>
    <row r="1084" ht="21.0" customHeight="1">
      <c r="A1084" s="17">
        <v>23.0</v>
      </c>
      <c r="B1084" s="18">
        <v>805.0</v>
      </c>
      <c r="C1084" s="18">
        <v>3.0</v>
      </c>
      <c r="D1084" s="149" t="s">
        <v>1018</v>
      </c>
      <c r="E1084" s="19" t="s">
        <v>1016</v>
      </c>
      <c r="F1084" s="109" t="str">
        <f t="shared" ref="F1084:G1084" si="1083">TRANSLATE(D1084,"lzh","vi")</f>
        <v>#NAME?</v>
      </c>
      <c r="G1084" s="109" t="str">
        <f t="shared" si="1083"/>
        <v>#NAME?</v>
      </c>
      <c r="X1084" s="118"/>
    </row>
    <row r="1085" ht="21.0" customHeight="1">
      <c r="A1085" s="5">
        <v>45.0</v>
      </c>
      <c r="B1085" s="6">
        <v>805.0</v>
      </c>
      <c r="C1085" s="6">
        <v>4.0</v>
      </c>
      <c r="D1085" s="116" t="s">
        <v>1019</v>
      </c>
      <c r="E1085" s="9" t="s">
        <v>1020</v>
      </c>
      <c r="F1085" s="109" t="str">
        <f t="shared" ref="F1085:G1085" si="1084">TRANSLATE(D1085,"lzh","vi")</f>
        <v>#NAME?</v>
      </c>
      <c r="G1085" s="109" t="str">
        <f t="shared" si="1084"/>
        <v>#NAME?</v>
      </c>
      <c r="X1085" s="110"/>
    </row>
    <row r="1086" ht="21.0" customHeight="1">
      <c r="A1086" s="5">
        <v>9.0</v>
      </c>
      <c r="B1086" s="6">
        <v>901.0</v>
      </c>
      <c r="C1086" s="6">
        <v>1.0</v>
      </c>
      <c r="D1086" s="116" t="s">
        <v>1021</v>
      </c>
      <c r="E1086" s="9" t="s">
        <v>1022</v>
      </c>
      <c r="F1086" s="109" t="str">
        <f t="shared" ref="F1086:G1086" si="1085">TRANSLATE(D1086,"lzh","vi")</f>
        <v>#NAME?</v>
      </c>
      <c r="G1086" s="109" t="str">
        <f t="shared" si="1085"/>
        <v>#NAME?</v>
      </c>
      <c r="X1086" s="110"/>
    </row>
    <row r="1087" ht="21.0" customHeight="1">
      <c r="A1087" s="17">
        <v>21.0</v>
      </c>
      <c r="B1087" s="18">
        <v>902.0</v>
      </c>
      <c r="C1087" s="18">
        <v>1.0</v>
      </c>
      <c r="D1087" s="149" t="s">
        <v>1023</v>
      </c>
      <c r="E1087" s="19" t="s">
        <v>1024</v>
      </c>
      <c r="F1087" s="109" t="str">
        <f t="shared" ref="F1087:G1087" si="1086">TRANSLATE(D1087,"lzh","vi")</f>
        <v>#NAME?</v>
      </c>
      <c r="G1087" s="109" t="str">
        <f t="shared" si="1086"/>
        <v>#NAME?</v>
      </c>
      <c r="X1087" s="118"/>
    </row>
    <row r="1088" ht="21.0" customHeight="1">
      <c r="A1088" s="17">
        <v>21.0</v>
      </c>
      <c r="B1088" s="18">
        <v>902.0</v>
      </c>
      <c r="C1088" s="18">
        <v>2.0</v>
      </c>
      <c r="D1088" s="149" t="s">
        <v>1025</v>
      </c>
      <c r="E1088" s="19" t="s">
        <v>1024</v>
      </c>
      <c r="F1088" s="109" t="str">
        <f t="shared" ref="F1088:G1088" si="1087">TRANSLATE(D1088,"lzh","vi")</f>
        <v>#NAME?</v>
      </c>
      <c r="G1088" s="109" t="str">
        <f t="shared" si="1087"/>
        <v>#NAME?</v>
      </c>
      <c r="X1088" s="118"/>
    </row>
    <row r="1089" ht="21.0" customHeight="1">
      <c r="A1089" s="17">
        <v>21.0</v>
      </c>
      <c r="B1089" s="18">
        <v>902.0</v>
      </c>
      <c r="C1089" s="18">
        <v>3.0</v>
      </c>
      <c r="D1089" s="149" t="s">
        <v>1026</v>
      </c>
      <c r="E1089" s="19" t="s">
        <v>1024</v>
      </c>
      <c r="F1089" s="109" t="str">
        <f t="shared" ref="F1089:G1089" si="1088">TRANSLATE(D1089,"lzh","vi")</f>
        <v>#NAME?</v>
      </c>
      <c r="G1089" s="109" t="str">
        <f t="shared" si="1088"/>
        <v>#NAME?</v>
      </c>
      <c r="X1089" s="118"/>
    </row>
    <row r="1090" ht="21.0" customHeight="1">
      <c r="A1090" s="5">
        <v>46.0</v>
      </c>
      <c r="B1090" s="6">
        <v>902.0</v>
      </c>
      <c r="C1090" s="6">
        <v>4.0</v>
      </c>
      <c r="D1090" s="116" t="s">
        <v>1027</v>
      </c>
      <c r="E1090" s="9" t="s">
        <v>1028</v>
      </c>
      <c r="F1090" s="109" t="str">
        <f t="shared" ref="F1090:G1090" si="1089">TRANSLATE(D1090,"lzh","vi")</f>
        <v>#NAME?</v>
      </c>
      <c r="G1090" s="109" t="str">
        <f t="shared" si="1089"/>
        <v>#NAME?</v>
      </c>
      <c r="X1090" s="110"/>
    </row>
    <row r="1091" ht="21.0" customHeight="1">
      <c r="A1091" s="5">
        <v>6.0</v>
      </c>
      <c r="B1091" s="6">
        <v>600.0</v>
      </c>
      <c r="C1091" s="6">
        <v>1.0</v>
      </c>
      <c r="D1091" s="116" t="s">
        <v>603</v>
      </c>
      <c r="E1091" s="9" t="s">
        <v>604</v>
      </c>
      <c r="F1091" s="109" t="str">
        <f t="shared" ref="F1091:G1091" si="1090">TRANSLATE(D1091,"lzh","vi")</f>
        <v>#NAME?</v>
      </c>
      <c r="G1091" s="109" t="str">
        <f t="shared" si="1090"/>
        <v>#NAME?</v>
      </c>
      <c r="X1091" s="110"/>
    </row>
    <row r="1092" ht="21.0" customHeight="1">
      <c r="A1092" s="5">
        <v>6.0</v>
      </c>
      <c r="B1092" s="6">
        <v>601.0</v>
      </c>
      <c r="C1092" s="6">
        <v>1.0</v>
      </c>
      <c r="D1092" s="116" t="s">
        <v>603</v>
      </c>
      <c r="E1092" s="9" t="s">
        <v>604</v>
      </c>
      <c r="F1092" s="109" t="str">
        <f t="shared" ref="F1092:G1092" si="1091">TRANSLATE(D1092,"lzh","vi")</f>
        <v>#NAME?</v>
      </c>
      <c r="G1092" s="109" t="str">
        <f t="shared" si="1091"/>
        <v>#NAME?</v>
      </c>
      <c r="X1092" s="110"/>
    </row>
    <row r="1093" ht="21.0" customHeight="1">
      <c r="A1093" s="5">
        <v>6.0</v>
      </c>
      <c r="B1093" s="6">
        <v>602.0</v>
      </c>
      <c r="C1093" s="6">
        <v>1.0</v>
      </c>
      <c r="D1093" s="151" t="s">
        <v>603</v>
      </c>
      <c r="E1093" s="9" t="s">
        <v>604</v>
      </c>
      <c r="F1093" s="109" t="str">
        <f t="shared" ref="F1093:G1093" si="1092">TRANSLATE(D1093,"lzh","vi")</f>
        <v>#NAME?</v>
      </c>
      <c r="G1093" s="109" t="str">
        <f t="shared" si="1092"/>
        <v>#NAME?</v>
      </c>
      <c r="X1093" s="110"/>
    </row>
    <row r="1094" ht="21.0" customHeight="1">
      <c r="A1094" s="5">
        <v>25.0</v>
      </c>
      <c r="B1094" s="6">
        <v>605.0</v>
      </c>
      <c r="C1094" s="6">
        <v>1.0</v>
      </c>
      <c r="D1094" s="116" t="s">
        <v>1029</v>
      </c>
      <c r="E1094" s="9" t="s">
        <v>1030</v>
      </c>
      <c r="F1094" s="109" t="str">
        <f t="shared" ref="F1094:G1094" si="1093">TRANSLATE(D1094,"lzh","vi")</f>
        <v>#NAME?</v>
      </c>
      <c r="G1094" s="109" t="str">
        <f t="shared" si="1093"/>
        <v>#NAME?</v>
      </c>
      <c r="X1094" s="110"/>
    </row>
    <row r="1095" ht="21.0" customHeight="1">
      <c r="A1095" s="5">
        <v>26.0</v>
      </c>
      <c r="B1095" s="6">
        <v>606.0</v>
      </c>
      <c r="C1095" s="6">
        <v>1.0</v>
      </c>
      <c r="D1095" s="116" t="s">
        <v>1031</v>
      </c>
      <c r="E1095" s="9" t="s">
        <v>1032</v>
      </c>
      <c r="F1095" s="109" t="str">
        <f t="shared" ref="F1095:G1095" si="1094">TRANSLATE(D1095,"lzh","vi")</f>
        <v>#NAME?</v>
      </c>
      <c r="G1095" s="109" t="str">
        <f t="shared" si="1094"/>
        <v>#NAME?</v>
      </c>
      <c r="X1095" s="110"/>
    </row>
    <row r="1096" ht="21.0" customHeight="1">
      <c r="A1096" s="5">
        <v>24.0</v>
      </c>
      <c r="B1096" s="6">
        <v>604.0</v>
      </c>
      <c r="C1096" s="6">
        <v>1.0</v>
      </c>
      <c r="D1096" s="116" t="s">
        <v>1033</v>
      </c>
      <c r="E1096" s="9" t="s">
        <v>1034</v>
      </c>
      <c r="F1096" s="109" t="str">
        <f t="shared" ref="F1096:G1096" si="1095">TRANSLATE(D1096,"lzh","vi")</f>
        <v>#NAME?</v>
      </c>
      <c r="G1096" s="109" t="str">
        <f t="shared" si="1095"/>
        <v>#NAME?</v>
      </c>
      <c r="X1096" s="110"/>
    </row>
    <row r="1097" ht="21.0" customHeight="1">
      <c r="A1097" s="5">
        <v>25.0</v>
      </c>
      <c r="B1097" s="6">
        <v>609.0</v>
      </c>
      <c r="C1097" s="6">
        <v>1.0</v>
      </c>
      <c r="D1097" s="116" t="s">
        <v>1035</v>
      </c>
      <c r="E1097" s="9" t="s">
        <v>1036</v>
      </c>
      <c r="F1097" s="109" t="str">
        <f t="shared" ref="F1097:G1097" si="1096">TRANSLATE(D1097,"lzh","vi")</f>
        <v>#NAME?</v>
      </c>
      <c r="G1097" s="109" t="str">
        <f t="shared" si="1096"/>
        <v>#NAME?</v>
      </c>
      <c r="X1097" s="110"/>
    </row>
    <row r="1098" ht="21.0" customHeight="1">
      <c r="A1098" s="5">
        <v>26.0</v>
      </c>
      <c r="B1098" s="6">
        <v>610.0</v>
      </c>
      <c r="C1098" s="6">
        <v>1.0</v>
      </c>
      <c r="D1098" s="116" t="s">
        <v>1037</v>
      </c>
      <c r="E1098" s="9" t="s">
        <v>1038</v>
      </c>
      <c r="F1098" s="109" t="str">
        <f t="shared" ref="F1098:G1098" si="1097">TRANSLATE(D1098,"lzh","vi")</f>
        <v>#NAME?</v>
      </c>
      <c r="G1098" s="109" t="str">
        <f t="shared" si="1097"/>
        <v>#NAME?</v>
      </c>
      <c r="X1098" s="110"/>
    </row>
    <row r="1099" ht="21.0" customHeight="1">
      <c r="A1099" s="5">
        <v>11.0</v>
      </c>
      <c r="B1099" s="6">
        <v>1001.0</v>
      </c>
      <c r="C1099" s="6">
        <v>1.0</v>
      </c>
      <c r="D1099" s="122" t="s">
        <v>1039</v>
      </c>
      <c r="E1099" s="9" t="s">
        <v>1040</v>
      </c>
      <c r="F1099" s="109" t="str">
        <f t="shared" ref="F1099:G1099" si="1098">TRANSLATE(D1099,"lzh","vi")</f>
        <v>#NAME?</v>
      </c>
      <c r="G1099" s="109" t="str">
        <f t="shared" si="1098"/>
        <v>#NAME?</v>
      </c>
      <c r="X1099" s="110"/>
    </row>
    <row r="1100" ht="21.0" customHeight="1">
      <c r="A1100" s="5">
        <v>11.0</v>
      </c>
      <c r="B1100" s="6">
        <v>1001.0</v>
      </c>
      <c r="C1100" s="6">
        <v>2.0</v>
      </c>
      <c r="D1100" s="122" t="s">
        <v>1041</v>
      </c>
      <c r="E1100" s="9" t="s">
        <v>1042</v>
      </c>
      <c r="F1100" s="109" t="str">
        <f t="shared" ref="F1100:G1100" si="1099">TRANSLATE(D1100,"lzh","vi")</f>
        <v>#NAME?</v>
      </c>
      <c r="G1100" s="109" t="str">
        <f t="shared" si="1099"/>
        <v>#NAME?</v>
      </c>
      <c r="X1100" s="110"/>
    </row>
    <row r="1101" ht="21.0" customHeight="1">
      <c r="A1101" s="5">
        <v>11.0</v>
      </c>
      <c r="B1101" s="6">
        <v>1001.0</v>
      </c>
      <c r="C1101" s="6">
        <v>3.0</v>
      </c>
      <c r="D1101" s="122" t="s">
        <v>1043</v>
      </c>
      <c r="E1101" s="9" t="s">
        <v>1044</v>
      </c>
      <c r="F1101" s="109" t="str">
        <f t="shared" ref="F1101:G1101" si="1100">TRANSLATE(D1101,"lzh","vi")</f>
        <v>#NAME?</v>
      </c>
      <c r="G1101" s="109" t="str">
        <f t="shared" si="1100"/>
        <v>#NAME?</v>
      </c>
      <c r="X1101" s="110"/>
    </row>
    <row r="1102" ht="21.0" customHeight="1">
      <c r="A1102" s="5">
        <v>11.0</v>
      </c>
      <c r="B1102" s="6">
        <v>1001.0</v>
      </c>
      <c r="C1102" s="6">
        <v>4.0</v>
      </c>
      <c r="D1102" s="122" t="s">
        <v>1045</v>
      </c>
      <c r="E1102" s="9" t="s">
        <v>1046</v>
      </c>
      <c r="F1102" s="109" t="str">
        <f t="shared" ref="F1102:G1102" si="1101">TRANSLATE(D1102,"lzh","vi")</f>
        <v>#NAME?</v>
      </c>
      <c r="G1102" s="109" t="str">
        <f t="shared" si="1101"/>
        <v>#NAME?</v>
      </c>
      <c r="X1102" s="110"/>
    </row>
    <row r="1103" ht="21.0" customHeight="1">
      <c r="A1103" s="5">
        <v>10.0</v>
      </c>
      <c r="B1103" s="6">
        <v>1001.0</v>
      </c>
      <c r="C1103" s="6">
        <v>5.0</v>
      </c>
      <c r="D1103" s="122" t="s">
        <v>1047</v>
      </c>
      <c r="E1103" s="9" t="s">
        <v>1048</v>
      </c>
      <c r="F1103" s="109" t="str">
        <f t="shared" ref="F1103:G1103" si="1102">TRANSLATE(D1103,"lzh","vi")</f>
        <v>#NAME?</v>
      </c>
      <c r="G1103" s="109" t="str">
        <f t="shared" si="1102"/>
        <v>#NAME?</v>
      </c>
      <c r="X1103" s="110"/>
    </row>
    <row r="1104" ht="21.0" customHeight="1">
      <c r="A1104" s="5">
        <v>10.0</v>
      </c>
      <c r="B1104" s="6">
        <v>1001.0</v>
      </c>
      <c r="C1104" s="6">
        <v>6.0</v>
      </c>
      <c r="D1104" s="122" t="s">
        <v>1049</v>
      </c>
      <c r="E1104" s="9" t="s">
        <v>1050</v>
      </c>
      <c r="F1104" s="109" t="str">
        <f t="shared" ref="F1104:G1104" si="1103">TRANSLATE(D1104,"lzh","vi")</f>
        <v>#NAME?</v>
      </c>
      <c r="G1104" s="109" t="str">
        <f t="shared" si="1103"/>
        <v>#NAME?</v>
      </c>
      <c r="X1104" s="110"/>
    </row>
    <row r="1105" ht="21.0" customHeight="1">
      <c r="A1105" s="5">
        <v>10.0</v>
      </c>
      <c r="B1105" s="6">
        <v>1001.0</v>
      </c>
      <c r="C1105" s="6">
        <v>7.0</v>
      </c>
      <c r="D1105" s="122" t="s">
        <v>1051</v>
      </c>
      <c r="E1105" s="9" t="s">
        <v>1052</v>
      </c>
      <c r="F1105" s="109" t="str">
        <f t="shared" ref="F1105:G1105" si="1104">TRANSLATE(D1105,"lzh","vi")</f>
        <v>#NAME?</v>
      </c>
      <c r="G1105" s="109" t="str">
        <f t="shared" si="1104"/>
        <v>#NAME?</v>
      </c>
      <c r="X1105" s="110"/>
    </row>
    <row r="1106" ht="21.0" customHeight="1">
      <c r="A1106" s="5">
        <v>10.0</v>
      </c>
      <c r="B1106" s="6">
        <v>1001.0</v>
      </c>
      <c r="C1106" s="6">
        <v>8.0</v>
      </c>
      <c r="D1106" s="122" t="s">
        <v>1053</v>
      </c>
      <c r="E1106" s="9" t="s">
        <v>1054</v>
      </c>
      <c r="F1106" s="109" t="str">
        <f t="shared" ref="F1106:G1106" si="1105">TRANSLATE(D1106,"lzh","vi")</f>
        <v>#NAME?</v>
      </c>
      <c r="G1106" s="109" t="str">
        <f t="shared" si="1105"/>
        <v>#NAME?</v>
      </c>
      <c r="X1106" s="110"/>
    </row>
    <row r="1107" ht="21.0" customHeight="1">
      <c r="A1107" s="5">
        <v>11.0</v>
      </c>
      <c r="B1107" s="6">
        <v>1002.0</v>
      </c>
      <c r="C1107" s="6">
        <v>1.0</v>
      </c>
      <c r="D1107" s="122" t="s">
        <v>1055</v>
      </c>
      <c r="E1107" s="9" t="s">
        <v>1056</v>
      </c>
      <c r="F1107" s="109" t="str">
        <f t="shared" ref="F1107:G1107" si="1106">TRANSLATE(D1107,"lzh","vi")</f>
        <v>#NAME?</v>
      </c>
      <c r="G1107" s="109" t="str">
        <f t="shared" si="1106"/>
        <v>#NAME?</v>
      </c>
      <c r="X1107" s="110"/>
    </row>
    <row r="1108" ht="21.0" customHeight="1">
      <c r="A1108" s="5">
        <v>11.0</v>
      </c>
      <c r="B1108" s="6">
        <v>1002.0</v>
      </c>
      <c r="C1108" s="6">
        <v>2.0</v>
      </c>
      <c r="D1108" s="122" t="s">
        <v>1057</v>
      </c>
      <c r="E1108" s="9" t="s">
        <v>1058</v>
      </c>
      <c r="F1108" s="109" t="str">
        <f t="shared" ref="F1108:G1108" si="1107">TRANSLATE(D1108,"lzh","vi")</f>
        <v>#NAME?</v>
      </c>
      <c r="G1108" s="109" t="str">
        <f t="shared" si="1107"/>
        <v>#NAME?</v>
      </c>
      <c r="X1108" s="110"/>
    </row>
    <row r="1109" ht="21.0" customHeight="1">
      <c r="A1109" s="5">
        <v>11.0</v>
      </c>
      <c r="B1109" s="6">
        <v>1002.0</v>
      </c>
      <c r="C1109" s="6">
        <v>3.0</v>
      </c>
      <c r="D1109" s="122" t="s">
        <v>1059</v>
      </c>
      <c r="E1109" s="9" t="s">
        <v>1060</v>
      </c>
      <c r="F1109" s="109" t="str">
        <f t="shared" ref="F1109:G1109" si="1108">TRANSLATE(D1109,"lzh","vi")</f>
        <v>#NAME?</v>
      </c>
      <c r="G1109" s="109" t="str">
        <f t="shared" si="1108"/>
        <v>#NAME?</v>
      </c>
      <c r="X1109" s="110"/>
    </row>
    <row r="1110" ht="21.0" customHeight="1">
      <c r="A1110" s="5">
        <v>10.0</v>
      </c>
      <c r="B1110" s="6">
        <v>1002.0</v>
      </c>
      <c r="C1110" s="6">
        <v>4.0</v>
      </c>
      <c r="D1110" s="122" t="s">
        <v>1061</v>
      </c>
      <c r="E1110" s="9" t="s">
        <v>1062</v>
      </c>
      <c r="F1110" s="109" t="str">
        <f t="shared" ref="F1110:G1110" si="1109">TRANSLATE(D1110,"lzh","vi")</f>
        <v>#NAME?</v>
      </c>
      <c r="G1110" s="109" t="str">
        <f t="shared" si="1109"/>
        <v>#NAME?</v>
      </c>
      <c r="X1110" s="110"/>
    </row>
    <row r="1111" ht="21.0" customHeight="1">
      <c r="A1111" s="5">
        <v>10.0</v>
      </c>
      <c r="B1111" s="6">
        <v>1002.0</v>
      </c>
      <c r="C1111" s="6">
        <v>5.0</v>
      </c>
      <c r="D1111" s="122" t="s">
        <v>1063</v>
      </c>
      <c r="E1111" s="9" t="s">
        <v>1064</v>
      </c>
      <c r="F1111" s="109" t="str">
        <f t="shared" ref="F1111:G1111" si="1110">TRANSLATE(D1111,"lzh","vi")</f>
        <v>#NAME?</v>
      </c>
      <c r="G1111" s="109" t="str">
        <f t="shared" si="1110"/>
        <v>#NAME?</v>
      </c>
      <c r="X1111" s="110"/>
    </row>
    <row r="1112" ht="21.0" customHeight="1">
      <c r="A1112" s="5">
        <v>10.0</v>
      </c>
      <c r="B1112" s="6">
        <v>1002.0</v>
      </c>
      <c r="C1112" s="6">
        <v>6.0</v>
      </c>
      <c r="D1112" s="122" t="s">
        <v>1065</v>
      </c>
      <c r="E1112" s="9" t="s">
        <v>1066</v>
      </c>
      <c r="F1112" s="109" t="str">
        <f t="shared" ref="F1112:G1112" si="1111">TRANSLATE(D1112,"lzh","vi")</f>
        <v>#NAME?</v>
      </c>
      <c r="G1112" s="109" t="str">
        <f t="shared" si="1111"/>
        <v>#NAME?</v>
      </c>
      <c r="X1112" s="110"/>
    </row>
    <row r="1113" ht="21.0" customHeight="1">
      <c r="A1113" s="6">
        <v>10.0</v>
      </c>
      <c r="B1113" s="6">
        <v>1002.0</v>
      </c>
      <c r="C1113" s="6">
        <v>7.0</v>
      </c>
      <c r="D1113" s="122" t="s">
        <v>1067</v>
      </c>
      <c r="E1113" s="9" t="s">
        <v>1068</v>
      </c>
      <c r="F1113" s="109" t="str">
        <f t="shared" ref="F1113:G1113" si="1112">TRANSLATE(D1113,"lzh","vi")</f>
        <v>#NAME?</v>
      </c>
      <c r="G1113" s="109" t="str">
        <f t="shared" si="1112"/>
        <v>#NAME?</v>
      </c>
      <c r="X1113" s="110"/>
    </row>
    <row r="1114" ht="21.0" customHeight="1">
      <c r="A1114" s="6">
        <v>10.0</v>
      </c>
      <c r="B1114" s="6">
        <v>1002.0</v>
      </c>
      <c r="C1114" s="6">
        <v>8.0</v>
      </c>
      <c r="D1114" s="122" t="s">
        <v>1069</v>
      </c>
      <c r="E1114" s="9" t="s">
        <v>1070</v>
      </c>
      <c r="F1114" s="109" t="str">
        <f t="shared" ref="F1114:G1114" si="1113">TRANSLATE(D1114,"lzh","vi")</f>
        <v>#NAME?</v>
      </c>
      <c r="G1114" s="109" t="str">
        <f t="shared" si="1113"/>
        <v>#NAME?</v>
      </c>
      <c r="X1114" s="110"/>
    </row>
    <row r="1115" ht="21.0" customHeight="1">
      <c r="A1115" s="6">
        <v>10.0</v>
      </c>
      <c r="B1115" s="6">
        <v>1002.0</v>
      </c>
      <c r="C1115" s="6">
        <v>9.0</v>
      </c>
      <c r="D1115" s="122" t="s">
        <v>1071</v>
      </c>
      <c r="E1115" s="9" t="s">
        <v>1072</v>
      </c>
      <c r="F1115" s="109" t="str">
        <f t="shared" ref="F1115:G1115" si="1114">TRANSLATE(D1115,"lzh","vi")</f>
        <v>#NAME?</v>
      </c>
      <c r="G1115" s="109" t="str">
        <f t="shared" si="1114"/>
        <v>#NAME?</v>
      </c>
      <c r="X1115" s="110"/>
    </row>
    <row r="1116" ht="21.0" customHeight="1">
      <c r="A1116" s="6">
        <v>11.0</v>
      </c>
      <c r="B1116" s="6">
        <v>1003.0</v>
      </c>
      <c r="C1116" s="6">
        <v>1.0</v>
      </c>
      <c r="D1116" s="122" t="s">
        <v>1073</v>
      </c>
      <c r="E1116" s="9" t="s">
        <v>1074</v>
      </c>
      <c r="F1116" s="109" t="str">
        <f t="shared" ref="F1116:G1116" si="1115">TRANSLATE(D1116,"lzh","vi")</f>
        <v>#NAME?</v>
      </c>
      <c r="G1116" s="109" t="str">
        <f t="shared" si="1115"/>
        <v>#NAME?</v>
      </c>
      <c r="X1116" s="110"/>
    </row>
    <row r="1117" ht="21.0" customHeight="1">
      <c r="A1117" s="6">
        <v>11.0</v>
      </c>
      <c r="B1117" s="6">
        <v>1003.0</v>
      </c>
      <c r="C1117" s="6">
        <v>2.0</v>
      </c>
      <c r="D1117" s="122" t="s">
        <v>1075</v>
      </c>
      <c r="E1117" s="9" t="s">
        <v>1076</v>
      </c>
      <c r="F1117" s="109" t="str">
        <f t="shared" ref="F1117:G1117" si="1116">TRANSLATE(D1117,"lzh","vi")</f>
        <v>#NAME?</v>
      </c>
      <c r="G1117" s="109" t="str">
        <f t="shared" si="1116"/>
        <v>#NAME?</v>
      </c>
      <c r="X1117" s="110"/>
    </row>
    <row r="1118" ht="21.0" customHeight="1">
      <c r="A1118" s="6">
        <v>11.0</v>
      </c>
      <c r="B1118" s="6">
        <v>1003.0</v>
      </c>
      <c r="C1118" s="6">
        <v>3.0</v>
      </c>
      <c r="D1118" s="122" t="s">
        <v>1077</v>
      </c>
      <c r="E1118" s="9" t="s">
        <v>1078</v>
      </c>
      <c r="F1118" s="109" t="str">
        <f t="shared" ref="F1118:G1118" si="1117">TRANSLATE(D1118,"lzh","vi")</f>
        <v>#NAME?</v>
      </c>
      <c r="G1118" s="109" t="str">
        <f t="shared" si="1117"/>
        <v>#NAME?</v>
      </c>
      <c r="X1118" s="110"/>
    </row>
    <row r="1119" ht="21.0" customHeight="1">
      <c r="A1119" s="6">
        <v>11.0</v>
      </c>
      <c r="B1119" s="6">
        <v>1003.0</v>
      </c>
      <c r="C1119" s="6">
        <v>4.0</v>
      </c>
      <c r="D1119" s="122" t="s">
        <v>1079</v>
      </c>
      <c r="E1119" s="9" t="s">
        <v>1080</v>
      </c>
      <c r="F1119" s="109" t="str">
        <f t="shared" ref="F1119:G1119" si="1118">TRANSLATE(D1119,"lzh","vi")</f>
        <v>#NAME?</v>
      </c>
      <c r="G1119" s="109" t="str">
        <f t="shared" si="1118"/>
        <v>#NAME?</v>
      </c>
      <c r="X1119" s="110"/>
    </row>
    <row r="1120" ht="21.0" customHeight="1">
      <c r="A1120" s="6">
        <v>10.0</v>
      </c>
      <c r="B1120" s="6">
        <v>1003.0</v>
      </c>
      <c r="C1120" s="6">
        <v>5.0</v>
      </c>
      <c r="D1120" s="122" t="s">
        <v>1081</v>
      </c>
      <c r="E1120" s="9" t="s">
        <v>1082</v>
      </c>
      <c r="F1120" s="109" t="str">
        <f t="shared" ref="F1120:G1120" si="1119">TRANSLATE(D1120,"lzh","vi")</f>
        <v>#NAME?</v>
      </c>
      <c r="G1120" s="109" t="str">
        <f t="shared" si="1119"/>
        <v>#NAME?</v>
      </c>
      <c r="X1120" s="110"/>
    </row>
    <row r="1121" ht="21.0" customHeight="1">
      <c r="A1121" s="6">
        <v>10.0</v>
      </c>
      <c r="B1121" s="6">
        <v>1003.0</v>
      </c>
      <c r="C1121" s="6">
        <v>6.0</v>
      </c>
      <c r="D1121" s="122" t="s">
        <v>1083</v>
      </c>
      <c r="E1121" s="9" t="s">
        <v>1084</v>
      </c>
      <c r="F1121" s="109" t="str">
        <f t="shared" ref="F1121:G1121" si="1120">TRANSLATE(D1121,"lzh","vi")</f>
        <v>#NAME?</v>
      </c>
      <c r="G1121" s="109" t="str">
        <f t="shared" si="1120"/>
        <v>#NAME?</v>
      </c>
      <c r="X1121" s="110"/>
    </row>
    <row r="1122" ht="21.0" customHeight="1">
      <c r="A1122" s="6">
        <v>10.0</v>
      </c>
      <c r="B1122" s="6">
        <v>1003.0</v>
      </c>
      <c r="C1122" s="6">
        <v>7.0</v>
      </c>
      <c r="D1122" s="122" t="s">
        <v>1085</v>
      </c>
      <c r="E1122" s="9" t="s">
        <v>1086</v>
      </c>
      <c r="F1122" s="109" t="str">
        <f t="shared" ref="F1122:G1122" si="1121">TRANSLATE(D1122,"lzh","vi")</f>
        <v>#NAME?</v>
      </c>
      <c r="G1122" s="109" t="str">
        <f t="shared" si="1121"/>
        <v>#NAME?</v>
      </c>
      <c r="X1122" s="110"/>
    </row>
    <row r="1123" ht="21.0" customHeight="1">
      <c r="A1123" s="6">
        <v>10.0</v>
      </c>
      <c r="B1123" s="6">
        <v>1003.0</v>
      </c>
      <c r="C1123" s="6">
        <v>8.0</v>
      </c>
      <c r="D1123" s="122" t="s">
        <v>1087</v>
      </c>
      <c r="E1123" s="9" t="s">
        <v>1088</v>
      </c>
      <c r="F1123" s="109" t="str">
        <f t="shared" ref="F1123:G1123" si="1122">TRANSLATE(D1123,"lzh","vi")</f>
        <v>#NAME?</v>
      </c>
      <c r="G1123" s="109" t="str">
        <f t="shared" si="1122"/>
        <v>#NAME?</v>
      </c>
      <c r="X1123" s="110"/>
    </row>
    <row r="1124" ht="21.0" customHeight="1">
      <c r="A1124" s="6">
        <v>10.0</v>
      </c>
      <c r="B1124" s="6">
        <v>1003.0</v>
      </c>
      <c r="C1124" s="6">
        <v>9.0</v>
      </c>
      <c r="D1124" s="122" t="s">
        <v>1089</v>
      </c>
      <c r="E1124" s="9" t="s">
        <v>1090</v>
      </c>
      <c r="F1124" s="109" t="str">
        <f t="shared" ref="F1124:G1124" si="1123">TRANSLATE(D1124,"lzh","vi")</f>
        <v>#NAME?</v>
      </c>
      <c r="G1124" s="109" t="str">
        <f t="shared" si="1123"/>
        <v>#NAME?</v>
      </c>
      <c r="X1124" s="110"/>
    </row>
    <row r="1125" ht="21.0" customHeight="1">
      <c r="A1125" s="6">
        <v>10.0</v>
      </c>
      <c r="B1125" s="6">
        <v>1003.0</v>
      </c>
      <c r="C1125" s="6">
        <v>10.0</v>
      </c>
      <c r="D1125" s="122" t="s">
        <v>1091</v>
      </c>
      <c r="E1125" s="9" t="s">
        <v>1092</v>
      </c>
      <c r="F1125" s="109" t="str">
        <f t="shared" ref="F1125:G1125" si="1124">TRANSLATE(D1125,"lzh","vi")</f>
        <v>#NAME?</v>
      </c>
      <c r="G1125" s="109" t="str">
        <f t="shared" si="1124"/>
        <v>#NAME?</v>
      </c>
      <c r="X1125" s="110"/>
    </row>
    <row r="1126" ht="21.0" customHeight="1">
      <c r="A1126" s="6">
        <v>11.0</v>
      </c>
      <c r="B1126" s="6">
        <v>1004.0</v>
      </c>
      <c r="C1126" s="6">
        <v>1.0</v>
      </c>
      <c r="D1126" s="122" t="s">
        <v>1093</v>
      </c>
      <c r="E1126" s="9" t="s">
        <v>1094</v>
      </c>
      <c r="F1126" s="109" t="str">
        <f t="shared" ref="F1126:G1126" si="1125">TRANSLATE(D1126,"lzh","vi")</f>
        <v>#NAME?</v>
      </c>
      <c r="G1126" s="109" t="str">
        <f t="shared" si="1125"/>
        <v>#NAME?</v>
      </c>
      <c r="X1126" s="110"/>
    </row>
    <row r="1127" ht="21.0" customHeight="1">
      <c r="A1127" s="6">
        <v>11.0</v>
      </c>
      <c r="B1127" s="6">
        <v>1004.0</v>
      </c>
      <c r="C1127" s="6">
        <v>2.0</v>
      </c>
      <c r="D1127" s="122" t="s">
        <v>1095</v>
      </c>
      <c r="E1127" s="9" t="s">
        <v>1096</v>
      </c>
      <c r="F1127" s="109" t="str">
        <f t="shared" ref="F1127:G1127" si="1126">TRANSLATE(D1127,"lzh","vi")</f>
        <v>#NAME?</v>
      </c>
      <c r="G1127" s="109" t="str">
        <f t="shared" si="1126"/>
        <v>#NAME?</v>
      </c>
      <c r="X1127" s="110"/>
    </row>
    <row r="1128" ht="21.0" customHeight="1">
      <c r="A1128" s="6">
        <v>11.0</v>
      </c>
      <c r="B1128" s="6">
        <v>1004.0</v>
      </c>
      <c r="C1128" s="6">
        <v>3.0</v>
      </c>
      <c r="D1128" s="122" t="s">
        <v>1097</v>
      </c>
      <c r="E1128" s="9" t="s">
        <v>1098</v>
      </c>
      <c r="F1128" s="109" t="str">
        <f t="shared" ref="F1128:G1128" si="1127">TRANSLATE(D1128,"lzh","vi")</f>
        <v>#NAME?</v>
      </c>
      <c r="G1128" s="109" t="str">
        <f t="shared" si="1127"/>
        <v>#NAME?</v>
      </c>
      <c r="X1128" s="110"/>
    </row>
    <row r="1129" ht="19.5" customHeight="1">
      <c r="A1129" s="6">
        <v>11.0</v>
      </c>
      <c r="B1129" s="6">
        <v>1004.0</v>
      </c>
      <c r="C1129" s="6">
        <v>4.0</v>
      </c>
      <c r="D1129" s="122" t="s">
        <v>1099</v>
      </c>
      <c r="E1129" s="9" t="s">
        <v>1100</v>
      </c>
      <c r="F1129" s="109" t="str">
        <f t="shared" ref="F1129:G1129" si="1128">TRANSLATE(D1129,"lzh","vi")</f>
        <v>#NAME?</v>
      </c>
      <c r="G1129" s="109" t="str">
        <f t="shared" si="1128"/>
        <v>#NAME?</v>
      </c>
      <c r="X1129" s="110"/>
    </row>
    <row r="1130" ht="21.0" customHeight="1">
      <c r="A1130" s="6">
        <v>10.0</v>
      </c>
      <c r="B1130" s="6">
        <v>1004.0</v>
      </c>
      <c r="C1130" s="6">
        <v>5.0</v>
      </c>
      <c r="D1130" s="122" t="s">
        <v>1101</v>
      </c>
      <c r="E1130" s="9" t="s">
        <v>1102</v>
      </c>
      <c r="F1130" s="109" t="str">
        <f t="shared" ref="F1130:G1130" si="1129">TRANSLATE(D1130,"lzh","vi")</f>
        <v>#NAME?</v>
      </c>
      <c r="G1130" s="109" t="str">
        <f t="shared" si="1129"/>
        <v>#NAME?</v>
      </c>
      <c r="X1130" s="110"/>
    </row>
    <row r="1131" ht="21.0" customHeight="1">
      <c r="A1131" s="6">
        <v>10.0</v>
      </c>
      <c r="B1131" s="6">
        <v>1004.0</v>
      </c>
      <c r="C1131" s="6">
        <v>6.0</v>
      </c>
      <c r="D1131" s="122" t="s">
        <v>1103</v>
      </c>
      <c r="E1131" s="9" t="s">
        <v>1104</v>
      </c>
      <c r="F1131" s="109" t="str">
        <f t="shared" ref="F1131:G1131" si="1130">TRANSLATE(D1131,"lzh","vi")</f>
        <v>#NAME?</v>
      </c>
      <c r="G1131" s="109" t="str">
        <f t="shared" si="1130"/>
        <v>#NAME?</v>
      </c>
      <c r="X1131" s="110"/>
    </row>
    <row r="1132" ht="21.0" customHeight="1">
      <c r="A1132" s="6">
        <v>10.0</v>
      </c>
      <c r="B1132" s="6">
        <v>1004.0</v>
      </c>
      <c r="C1132" s="6">
        <v>7.0</v>
      </c>
      <c r="D1132" s="122" t="s">
        <v>1105</v>
      </c>
      <c r="E1132" s="9" t="s">
        <v>1106</v>
      </c>
      <c r="F1132" s="109" t="str">
        <f t="shared" ref="F1132:G1132" si="1131">TRANSLATE(D1132,"lzh","vi")</f>
        <v>#NAME?</v>
      </c>
      <c r="G1132" s="109" t="str">
        <f t="shared" si="1131"/>
        <v>#NAME?</v>
      </c>
      <c r="X1132" s="110"/>
    </row>
    <row r="1133" ht="21.0" customHeight="1">
      <c r="A1133" s="6">
        <v>1.0</v>
      </c>
      <c r="B1133" s="6">
        <v>128.0</v>
      </c>
      <c r="C1133" s="6">
        <v>1.0</v>
      </c>
      <c r="D1133" s="122" t="s">
        <v>1107</v>
      </c>
      <c r="E1133" s="9" t="s">
        <v>1108</v>
      </c>
      <c r="F1133" s="109" t="str">
        <f t="shared" ref="F1133:G1133" si="1132">TRANSLATE(D1133,"lzh","vi")</f>
        <v>#NAME?</v>
      </c>
      <c r="G1133" s="109" t="str">
        <f t="shared" si="1132"/>
        <v>#NAME?</v>
      </c>
      <c r="X1133" s="110"/>
    </row>
    <row r="1134" ht="21.0" customHeight="1">
      <c r="A1134" s="6">
        <v>1.0</v>
      </c>
      <c r="B1134" s="6">
        <v>128.0</v>
      </c>
      <c r="C1134" s="6">
        <v>2.0</v>
      </c>
      <c r="D1134" s="122" t="s">
        <v>1109</v>
      </c>
      <c r="E1134" s="9" t="s">
        <v>1110</v>
      </c>
      <c r="F1134" s="109" t="str">
        <f t="shared" ref="F1134:G1134" si="1133">TRANSLATE(D1134,"lzh","vi")</f>
        <v>#NAME?</v>
      </c>
      <c r="G1134" s="109" t="str">
        <f t="shared" si="1133"/>
        <v>#NAME?</v>
      </c>
      <c r="X1134" s="110"/>
    </row>
    <row r="1135" ht="21.0" customHeight="1">
      <c r="A1135" s="6">
        <v>1.0</v>
      </c>
      <c r="B1135" s="6">
        <v>128.0</v>
      </c>
      <c r="C1135" s="6">
        <v>3.0</v>
      </c>
      <c r="D1135" s="122" t="s">
        <v>1111</v>
      </c>
      <c r="E1135" s="9" t="s">
        <v>1112</v>
      </c>
      <c r="F1135" s="109" t="str">
        <f t="shared" ref="F1135:G1135" si="1134">TRANSLATE(D1135,"lzh","vi")</f>
        <v>#NAME?</v>
      </c>
      <c r="G1135" s="109" t="str">
        <f t="shared" si="1134"/>
        <v>#NAME?</v>
      </c>
      <c r="X1135" s="110"/>
    </row>
    <row r="1136" ht="21.0" customHeight="1">
      <c r="A1136" s="6">
        <v>1.0</v>
      </c>
      <c r="B1136" s="6">
        <v>128.0</v>
      </c>
      <c r="C1136" s="6">
        <v>4.0</v>
      </c>
      <c r="D1136" s="151" t="s">
        <v>1113</v>
      </c>
      <c r="E1136" s="9" t="s">
        <v>1114</v>
      </c>
      <c r="F1136" s="109" t="str">
        <f t="shared" ref="F1136:G1136" si="1135">TRANSLATE(D1136,"lzh","vi")</f>
        <v>#NAME?</v>
      </c>
      <c r="G1136" s="109" t="str">
        <f t="shared" si="1135"/>
        <v>#NAME?</v>
      </c>
      <c r="X1136" s="110"/>
    </row>
    <row r="1137" ht="21.0" customHeight="1">
      <c r="A1137" s="6">
        <v>1.0</v>
      </c>
      <c r="B1137" s="6">
        <v>128.0</v>
      </c>
      <c r="C1137" s="6">
        <v>5.0</v>
      </c>
      <c r="D1137" s="122" t="s">
        <v>1115</v>
      </c>
      <c r="E1137" s="9" t="s">
        <v>1116</v>
      </c>
      <c r="F1137" s="109" t="str">
        <f t="shared" ref="F1137:G1137" si="1136">TRANSLATE(D1137,"lzh","vi")</f>
        <v>#NAME?</v>
      </c>
      <c r="G1137" s="109" t="str">
        <f t="shared" si="1136"/>
        <v>#NAME?</v>
      </c>
      <c r="X1137" s="110"/>
    </row>
    <row r="1138" ht="21.0" customHeight="1">
      <c r="A1138" s="6">
        <v>1.0</v>
      </c>
      <c r="B1138" s="6">
        <v>128.0</v>
      </c>
      <c r="C1138" s="6">
        <v>6.0</v>
      </c>
      <c r="D1138" s="122" t="s">
        <v>1117</v>
      </c>
      <c r="E1138" s="9" t="s">
        <v>1118</v>
      </c>
      <c r="F1138" s="109" t="str">
        <f t="shared" ref="F1138:G1138" si="1137">TRANSLATE(D1138,"lzh","vi")</f>
        <v>#NAME?</v>
      </c>
      <c r="G1138" s="109" t="str">
        <f t="shared" si="1137"/>
        <v>#NAME?</v>
      </c>
      <c r="X1138" s="110"/>
    </row>
    <row r="1139" ht="21.0" customHeight="1">
      <c r="A1139" s="6">
        <v>1.0</v>
      </c>
      <c r="B1139" s="6">
        <v>128.0</v>
      </c>
      <c r="C1139" s="6">
        <v>7.0</v>
      </c>
      <c r="D1139" s="122" t="s">
        <v>1119</v>
      </c>
      <c r="E1139" s="9" t="s">
        <v>1120</v>
      </c>
      <c r="F1139" s="109" t="str">
        <f t="shared" ref="F1139:G1139" si="1138">TRANSLATE(D1139,"lzh","vi")</f>
        <v>#NAME?</v>
      </c>
      <c r="G1139" s="109" t="str">
        <f t="shared" si="1138"/>
        <v>#NAME?</v>
      </c>
      <c r="X1139" s="110"/>
    </row>
    <row r="1140" ht="21.0" customHeight="1">
      <c r="A1140" s="6">
        <v>1.0</v>
      </c>
      <c r="B1140" s="6">
        <v>128.0</v>
      </c>
      <c r="C1140" s="6">
        <v>8.0</v>
      </c>
      <c r="D1140" s="151" t="s">
        <v>1121</v>
      </c>
      <c r="E1140" s="9" t="s">
        <v>1122</v>
      </c>
      <c r="F1140" s="109" t="str">
        <f t="shared" ref="F1140:G1140" si="1139">TRANSLATE(D1140,"lzh","vi")</f>
        <v>#NAME?</v>
      </c>
      <c r="G1140" s="109" t="str">
        <f t="shared" si="1139"/>
        <v>#NAME?</v>
      </c>
      <c r="X1140" s="110"/>
    </row>
    <row r="1141" ht="21.0" customHeight="1">
      <c r="A1141" s="6">
        <v>1.0</v>
      </c>
      <c r="B1141" s="6">
        <v>128.0</v>
      </c>
      <c r="C1141" s="6">
        <v>9.0</v>
      </c>
      <c r="D1141" s="122" t="s">
        <v>1123</v>
      </c>
      <c r="E1141" s="9" t="s">
        <v>1124</v>
      </c>
      <c r="F1141" s="109" t="str">
        <f t="shared" ref="F1141:G1141" si="1140">TRANSLATE(D1141,"lzh","vi")</f>
        <v>#NAME?</v>
      </c>
      <c r="G1141" s="109" t="str">
        <f t="shared" si="1140"/>
        <v>#NAME?</v>
      </c>
      <c r="X1141" s="110"/>
    </row>
    <row r="1142" ht="21.0" customHeight="1">
      <c r="A1142" s="6">
        <v>1.0</v>
      </c>
      <c r="B1142" s="6">
        <v>128.0</v>
      </c>
      <c r="C1142" s="6">
        <v>10.0</v>
      </c>
      <c r="D1142" s="122" t="s">
        <v>1125</v>
      </c>
      <c r="E1142" s="9" t="s">
        <v>1126</v>
      </c>
      <c r="F1142" s="109" t="str">
        <f t="shared" ref="F1142:G1142" si="1141">TRANSLATE(D1142,"lzh","vi")</f>
        <v>#NAME?</v>
      </c>
      <c r="G1142" s="109" t="str">
        <f t="shared" si="1141"/>
        <v>#NAME?</v>
      </c>
      <c r="X1142" s="110"/>
    </row>
    <row r="1143" ht="21.0" customHeight="1">
      <c r="A1143" s="6">
        <v>11.0</v>
      </c>
      <c r="B1143" s="6">
        <v>1005.0</v>
      </c>
      <c r="C1143" s="6">
        <v>1.0</v>
      </c>
      <c r="D1143" s="122" t="s">
        <v>1127</v>
      </c>
      <c r="E1143" s="9" t="s">
        <v>1128</v>
      </c>
      <c r="F1143" s="109" t="str">
        <f t="shared" ref="F1143:G1143" si="1142">TRANSLATE(D1143,"lzh","vi")</f>
        <v>#NAME?</v>
      </c>
      <c r="G1143" s="109" t="str">
        <f t="shared" si="1142"/>
        <v>#NAME?</v>
      </c>
      <c r="X1143" s="110"/>
    </row>
    <row r="1144" ht="21.0" customHeight="1">
      <c r="A1144" s="6">
        <v>11.0</v>
      </c>
      <c r="B1144" s="6">
        <v>1005.0</v>
      </c>
      <c r="C1144" s="6">
        <v>2.0</v>
      </c>
      <c r="D1144" s="122" t="s">
        <v>1129</v>
      </c>
      <c r="E1144" s="9" t="s">
        <v>1130</v>
      </c>
      <c r="F1144" s="109" t="str">
        <f t="shared" ref="F1144:G1144" si="1143">TRANSLATE(D1144,"lzh","vi")</f>
        <v>#NAME?</v>
      </c>
      <c r="G1144" s="109" t="str">
        <f t="shared" si="1143"/>
        <v>#NAME?</v>
      </c>
      <c r="X1144" s="110"/>
    </row>
    <row r="1145" ht="21.0" customHeight="1">
      <c r="A1145" s="6">
        <v>11.0</v>
      </c>
      <c r="B1145" s="6">
        <v>1005.0</v>
      </c>
      <c r="C1145" s="6">
        <v>3.0</v>
      </c>
      <c r="D1145" s="122" t="s">
        <v>1131</v>
      </c>
      <c r="E1145" s="9" t="s">
        <v>1132</v>
      </c>
      <c r="F1145" s="109" t="str">
        <f t="shared" ref="F1145:G1145" si="1144">TRANSLATE(D1145,"lzh","vi")</f>
        <v>#NAME?</v>
      </c>
      <c r="G1145" s="109" t="str">
        <f t="shared" si="1144"/>
        <v>#NAME?</v>
      </c>
      <c r="X1145" s="110"/>
    </row>
    <row r="1146" ht="21.0" customHeight="1">
      <c r="A1146" s="6">
        <v>11.0</v>
      </c>
      <c r="B1146" s="6">
        <v>1005.0</v>
      </c>
      <c r="C1146" s="6">
        <v>4.0</v>
      </c>
      <c r="D1146" s="122" t="s">
        <v>1133</v>
      </c>
      <c r="E1146" s="9" t="s">
        <v>1134</v>
      </c>
      <c r="F1146" s="109" t="str">
        <f t="shared" ref="F1146:G1146" si="1145">TRANSLATE(D1146,"lzh","vi")</f>
        <v>#NAME?</v>
      </c>
      <c r="G1146" s="109" t="str">
        <f t="shared" si="1145"/>
        <v>#NAME?</v>
      </c>
      <c r="X1146" s="110"/>
    </row>
    <row r="1147" ht="21.0" customHeight="1">
      <c r="A1147" s="6">
        <v>10.0</v>
      </c>
      <c r="B1147" s="6">
        <v>1005.0</v>
      </c>
      <c r="C1147" s="6">
        <v>5.0</v>
      </c>
      <c r="D1147" s="122" t="s">
        <v>1135</v>
      </c>
      <c r="E1147" s="9" t="s">
        <v>1136</v>
      </c>
      <c r="F1147" s="109" t="str">
        <f t="shared" ref="F1147:G1147" si="1146">TRANSLATE(D1147,"lzh","vi")</f>
        <v>#NAME?</v>
      </c>
      <c r="G1147" s="109" t="str">
        <f t="shared" si="1146"/>
        <v>#NAME?</v>
      </c>
      <c r="X1147" s="110"/>
    </row>
    <row r="1148" ht="21.0" customHeight="1">
      <c r="A1148" s="6">
        <v>10.0</v>
      </c>
      <c r="B1148" s="6">
        <v>1005.0</v>
      </c>
      <c r="C1148" s="6">
        <v>6.0</v>
      </c>
      <c r="D1148" s="122" t="s">
        <v>1137</v>
      </c>
      <c r="E1148" s="9" t="s">
        <v>1138</v>
      </c>
      <c r="F1148" s="109" t="str">
        <f t="shared" ref="F1148:G1148" si="1147">TRANSLATE(D1148,"lzh","vi")</f>
        <v>#NAME?</v>
      </c>
      <c r="G1148" s="109" t="str">
        <f t="shared" si="1147"/>
        <v>#NAME?</v>
      </c>
      <c r="X1148" s="110"/>
    </row>
    <row r="1149" ht="21.0" customHeight="1">
      <c r="A1149" s="6">
        <v>10.0</v>
      </c>
      <c r="B1149" s="6">
        <v>1005.0</v>
      </c>
      <c r="C1149" s="6">
        <v>7.0</v>
      </c>
      <c r="D1149" s="122" t="s">
        <v>1139</v>
      </c>
      <c r="E1149" s="9" t="s">
        <v>1140</v>
      </c>
      <c r="F1149" s="109" t="str">
        <f t="shared" ref="F1149:G1149" si="1148">TRANSLATE(D1149,"lzh","vi")</f>
        <v>#NAME?</v>
      </c>
      <c r="G1149" s="109" t="str">
        <f t="shared" si="1148"/>
        <v>#NAME?</v>
      </c>
      <c r="X1149" s="110"/>
    </row>
    <row r="1150" ht="21.0" customHeight="1">
      <c r="A1150" s="6">
        <v>10.0</v>
      </c>
      <c r="B1150" s="6">
        <v>1005.0</v>
      </c>
      <c r="C1150" s="6">
        <v>8.0</v>
      </c>
      <c r="D1150" s="122" t="s">
        <v>1141</v>
      </c>
      <c r="E1150" s="9" t="s">
        <v>1142</v>
      </c>
      <c r="F1150" s="109" t="str">
        <f t="shared" ref="F1150:G1150" si="1149">TRANSLATE(D1150,"lzh","vi")</f>
        <v>#NAME?</v>
      </c>
      <c r="G1150" s="109" t="str">
        <f t="shared" si="1149"/>
        <v>#NAME?</v>
      </c>
      <c r="X1150" s="110"/>
    </row>
    <row r="1151" ht="21.0" customHeight="1">
      <c r="A1151" s="6">
        <v>1.0</v>
      </c>
      <c r="B1151" s="6">
        <v>108.0</v>
      </c>
      <c r="C1151" s="6">
        <v>1.0</v>
      </c>
      <c r="D1151" s="122" t="s">
        <v>1143</v>
      </c>
      <c r="E1151" s="9" t="s">
        <v>1144</v>
      </c>
      <c r="F1151" s="109" t="str">
        <f t="shared" ref="F1151:G1151" si="1150">TRANSLATE(D1151,"lzh","vi")</f>
        <v>#NAME?</v>
      </c>
      <c r="G1151" s="109" t="str">
        <f t="shared" si="1150"/>
        <v>#NAME?</v>
      </c>
      <c r="X1151" s="110"/>
    </row>
    <row r="1152" ht="21.0" customHeight="1">
      <c r="A1152" s="6">
        <v>1.0</v>
      </c>
      <c r="B1152" s="6">
        <v>108.0</v>
      </c>
      <c r="C1152" s="6">
        <v>2.0</v>
      </c>
      <c r="D1152" s="122" t="s">
        <v>1145</v>
      </c>
      <c r="E1152" s="9" t="s">
        <v>1146</v>
      </c>
      <c r="F1152" s="109" t="str">
        <f t="shared" ref="F1152:G1152" si="1151">TRANSLATE(D1152,"lzh","vi")</f>
        <v>#NAME?</v>
      </c>
      <c r="G1152" s="109" t="str">
        <f t="shared" si="1151"/>
        <v>#NAME?</v>
      </c>
      <c r="X1152" s="110"/>
    </row>
    <row r="1153" ht="21.0" customHeight="1">
      <c r="A1153" s="6">
        <v>1.0</v>
      </c>
      <c r="B1153" s="6">
        <v>108.0</v>
      </c>
      <c r="C1153" s="6">
        <v>3.0</v>
      </c>
      <c r="D1153" s="122" t="s">
        <v>1147</v>
      </c>
      <c r="E1153" s="9" t="s">
        <v>1148</v>
      </c>
      <c r="F1153" s="109" t="str">
        <f t="shared" ref="F1153:G1153" si="1152">TRANSLATE(D1153,"lzh","vi")</f>
        <v>#NAME?</v>
      </c>
      <c r="G1153" s="109" t="str">
        <f t="shared" si="1152"/>
        <v>#NAME?</v>
      </c>
      <c r="X1153" s="110"/>
    </row>
    <row r="1154" ht="21.0" customHeight="1">
      <c r="A1154" s="6">
        <v>1.0</v>
      </c>
      <c r="B1154" s="6">
        <v>108.0</v>
      </c>
      <c r="C1154" s="6">
        <v>4.0</v>
      </c>
      <c r="D1154" s="122" t="s">
        <v>1149</v>
      </c>
      <c r="E1154" s="9" t="s">
        <v>1150</v>
      </c>
      <c r="F1154" s="109" t="str">
        <f t="shared" ref="F1154:G1154" si="1153">TRANSLATE(D1154,"lzh","vi")</f>
        <v>#NAME?</v>
      </c>
      <c r="G1154" s="109" t="str">
        <f t="shared" si="1153"/>
        <v>#NAME?</v>
      </c>
      <c r="X1154" s="110"/>
    </row>
    <row r="1155" ht="21.0" customHeight="1">
      <c r="A1155" s="6">
        <v>1.0</v>
      </c>
      <c r="B1155" s="6">
        <v>108.0</v>
      </c>
      <c r="C1155" s="6">
        <v>5.0</v>
      </c>
      <c r="D1155" s="122" t="s">
        <v>1151</v>
      </c>
      <c r="E1155" s="9" t="s">
        <v>1152</v>
      </c>
      <c r="F1155" s="109" t="str">
        <f t="shared" ref="F1155:G1155" si="1154">TRANSLATE(D1155,"lzh","vi")</f>
        <v>#NAME?</v>
      </c>
      <c r="G1155" s="109" t="str">
        <f t="shared" si="1154"/>
        <v>#NAME?</v>
      </c>
      <c r="X1155" s="110"/>
    </row>
    <row r="1156" ht="21.0" customHeight="1">
      <c r="A1156" s="6">
        <v>1.0</v>
      </c>
      <c r="B1156" s="6">
        <v>108.0</v>
      </c>
      <c r="C1156" s="6">
        <v>6.0</v>
      </c>
      <c r="D1156" s="122" t="s">
        <v>1153</v>
      </c>
      <c r="E1156" s="9" t="s">
        <v>1154</v>
      </c>
      <c r="F1156" s="109" t="str">
        <f t="shared" ref="F1156:G1156" si="1155">TRANSLATE(D1156,"lzh","vi")</f>
        <v>#NAME?</v>
      </c>
      <c r="G1156" s="109" t="str">
        <f t="shared" si="1155"/>
        <v>#NAME?</v>
      </c>
      <c r="X1156" s="110"/>
    </row>
    <row r="1157" ht="21.0" customHeight="1">
      <c r="A1157" s="6">
        <v>1.0</v>
      </c>
      <c r="B1157" s="6">
        <v>108.0</v>
      </c>
      <c r="C1157" s="6">
        <v>7.0</v>
      </c>
      <c r="D1157" s="122" t="s">
        <v>1155</v>
      </c>
      <c r="E1157" s="9" t="s">
        <v>1156</v>
      </c>
      <c r="F1157" s="109" t="str">
        <f t="shared" ref="F1157:G1157" si="1156">TRANSLATE(D1157,"lzh","vi")</f>
        <v>#NAME?</v>
      </c>
      <c r="G1157" s="109" t="str">
        <f t="shared" si="1156"/>
        <v>#NAME?</v>
      </c>
      <c r="X1157" s="110"/>
    </row>
    <row r="1158" ht="21.0" customHeight="1">
      <c r="A1158" s="6">
        <v>1.0</v>
      </c>
      <c r="B1158" s="6">
        <v>108.0</v>
      </c>
      <c r="C1158" s="6">
        <v>8.0</v>
      </c>
      <c r="D1158" s="122" t="s">
        <v>1157</v>
      </c>
      <c r="E1158" s="9" t="s">
        <v>1158</v>
      </c>
      <c r="F1158" s="109" t="str">
        <f t="shared" ref="F1158:G1158" si="1157">TRANSLATE(D1158,"lzh","vi")</f>
        <v>#NAME?</v>
      </c>
      <c r="G1158" s="109" t="str">
        <f t="shared" si="1157"/>
        <v>#NAME?</v>
      </c>
      <c r="X1158" s="110"/>
    </row>
    <row r="1159" ht="21.0" customHeight="1">
      <c r="A1159" s="6">
        <v>1.0</v>
      </c>
      <c r="B1159" s="6">
        <v>108.0</v>
      </c>
      <c r="C1159" s="6">
        <v>9.0</v>
      </c>
      <c r="D1159" s="122" t="s">
        <v>1159</v>
      </c>
      <c r="E1159" s="9" t="s">
        <v>1160</v>
      </c>
      <c r="F1159" s="109" t="str">
        <f t="shared" ref="F1159:G1159" si="1158">TRANSLATE(D1159,"lzh","vi")</f>
        <v>#NAME?</v>
      </c>
      <c r="G1159" s="109" t="str">
        <f t="shared" si="1158"/>
        <v>#NAME?</v>
      </c>
      <c r="X1159" s="110"/>
    </row>
    <row r="1160" ht="21.0" customHeight="1">
      <c r="A1160" s="6">
        <v>1.0</v>
      </c>
      <c r="B1160" s="6">
        <v>108.0</v>
      </c>
      <c r="C1160" s="6">
        <v>10.0</v>
      </c>
      <c r="D1160" s="122" t="s">
        <v>1161</v>
      </c>
      <c r="E1160" s="9" t="s">
        <v>1162</v>
      </c>
      <c r="F1160" s="109" t="str">
        <f t="shared" ref="F1160:G1160" si="1159">TRANSLATE(D1160,"lzh","vi")</f>
        <v>#NAME?</v>
      </c>
      <c r="G1160" s="109" t="str">
        <f t="shared" si="1159"/>
        <v>#NAME?</v>
      </c>
      <c r="X1160" s="110"/>
    </row>
    <row r="1161" ht="21.0" customHeight="1">
      <c r="A1161" s="6">
        <v>1.0</v>
      </c>
      <c r="B1161" s="6">
        <v>108.0</v>
      </c>
      <c r="C1161" s="6">
        <v>11.0</v>
      </c>
      <c r="D1161" s="122" t="s">
        <v>1163</v>
      </c>
      <c r="E1161" s="9" t="s">
        <v>1164</v>
      </c>
      <c r="F1161" s="109" t="str">
        <f t="shared" ref="F1161:G1161" si="1160">TRANSLATE(D1161,"lzh","vi")</f>
        <v>#NAME?</v>
      </c>
      <c r="G1161" s="109" t="str">
        <f t="shared" si="1160"/>
        <v>#NAME?</v>
      </c>
      <c r="X1161" s="110"/>
    </row>
    <row r="1162" ht="21.0" customHeight="1">
      <c r="A1162" s="6">
        <v>1.0</v>
      </c>
      <c r="B1162" s="6">
        <v>108.0</v>
      </c>
      <c r="C1162" s="6">
        <v>12.0</v>
      </c>
      <c r="D1162" s="122" t="s">
        <v>1165</v>
      </c>
      <c r="E1162" s="9" t="s">
        <v>1166</v>
      </c>
      <c r="F1162" s="109" t="str">
        <f t="shared" ref="F1162:G1162" si="1161">TRANSLATE(D1162,"lzh","vi")</f>
        <v>#NAME?</v>
      </c>
      <c r="G1162" s="109" t="str">
        <f t="shared" si="1161"/>
        <v>#NAME?</v>
      </c>
      <c r="X1162" s="110"/>
    </row>
    <row r="1163" ht="21.0" customHeight="1">
      <c r="A1163" s="6">
        <v>1.0</v>
      </c>
      <c r="B1163" s="6">
        <v>108.0</v>
      </c>
      <c r="C1163" s="6">
        <v>13.0</v>
      </c>
      <c r="D1163" s="152" t="s">
        <v>1167</v>
      </c>
      <c r="E1163" s="9" t="s">
        <v>1168</v>
      </c>
      <c r="F1163" s="109" t="str">
        <f t="shared" ref="F1163:G1163" si="1162">TRANSLATE(D1163,"lzh","vi")</f>
        <v>#NAME?</v>
      </c>
      <c r="G1163" s="109" t="str">
        <f t="shared" si="1162"/>
        <v>#NAME?</v>
      </c>
      <c r="X1163" s="110"/>
    </row>
    <row r="1164" ht="21.0" customHeight="1">
      <c r="A1164" s="6">
        <v>1.0</v>
      </c>
      <c r="B1164" s="6">
        <v>108.0</v>
      </c>
      <c r="C1164" s="6">
        <v>14.0</v>
      </c>
      <c r="D1164" s="152" t="s">
        <v>1169</v>
      </c>
      <c r="E1164" s="9" t="s">
        <v>1170</v>
      </c>
      <c r="F1164" s="109" t="str">
        <f t="shared" ref="F1164:G1164" si="1163">TRANSLATE(D1164,"lzh","vi")</f>
        <v>#NAME?</v>
      </c>
      <c r="G1164" s="109" t="str">
        <f t="shared" si="1163"/>
        <v>#NAME?</v>
      </c>
      <c r="X1164" s="110"/>
    </row>
    <row r="1165" ht="21.0" customHeight="1">
      <c r="A1165" s="6">
        <v>1.0</v>
      </c>
      <c r="B1165" s="6">
        <v>108.0</v>
      </c>
      <c r="C1165" s="6">
        <v>15.0</v>
      </c>
      <c r="D1165" s="122" t="s">
        <v>1171</v>
      </c>
      <c r="E1165" s="9" t="s">
        <v>1172</v>
      </c>
      <c r="F1165" s="109" t="str">
        <f t="shared" ref="F1165:G1165" si="1164">TRANSLATE(D1165,"lzh","vi")</f>
        <v>#NAME?</v>
      </c>
      <c r="G1165" s="109" t="str">
        <f t="shared" si="1164"/>
        <v>#NAME?</v>
      </c>
      <c r="X1165" s="110"/>
    </row>
    <row r="1166" ht="21.0" customHeight="1">
      <c r="A1166" s="6">
        <v>1.0</v>
      </c>
      <c r="B1166" s="6">
        <v>109.0</v>
      </c>
      <c r="C1166" s="6">
        <v>1.0</v>
      </c>
      <c r="D1166" s="122" t="s">
        <v>1173</v>
      </c>
      <c r="E1166" s="9" t="s">
        <v>1174</v>
      </c>
      <c r="F1166" s="109" t="str">
        <f t="shared" ref="F1166:G1166" si="1165">TRANSLATE(D1166,"lzh","vi")</f>
        <v>#NAME?</v>
      </c>
      <c r="G1166" s="109" t="str">
        <f t="shared" si="1165"/>
        <v>#NAME?</v>
      </c>
      <c r="X1166" s="110"/>
    </row>
    <row r="1167" ht="21.0" customHeight="1">
      <c r="A1167" s="6">
        <v>1.0</v>
      </c>
      <c r="B1167" s="6">
        <v>109.0</v>
      </c>
      <c r="C1167" s="6">
        <v>2.0</v>
      </c>
      <c r="D1167" s="122" t="s">
        <v>1175</v>
      </c>
      <c r="E1167" s="9" t="s">
        <v>1176</v>
      </c>
      <c r="F1167" s="109" t="str">
        <f t="shared" ref="F1167:G1167" si="1166">TRANSLATE(D1167,"lzh","vi")</f>
        <v>#NAME?</v>
      </c>
      <c r="G1167" s="109" t="str">
        <f t="shared" si="1166"/>
        <v>#NAME?</v>
      </c>
      <c r="X1167" s="110"/>
    </row>
    <row r="1168" ht="21.0" customHeight="1">
      <c r="A1168" s="6">
        <v>1.0</v>
      </c>
      <c r="B1168" s="6">
        <v>109.0</v>
      </c>
      <c r="C1168" s="6">
        <v>3.0</v>
      </c>
      <c r="D1168" s="122" t="s">
        <v>1177</v>
      </c>
      <c r="E1168" s="9" t="s">
        <v>1178</v>
      </c>
      <c r="F1168" s="109" t="str">
        <f t="shared" ref="F1168:G1168" si="1167">TRANSLATE(D1168,"lzh","vi")</f>
        <v>#NAME?</v>
      </c>
      <c r="G1168" s="109" t="str">
        <f t="shared" si="1167"/>
        <v>#NAME?</v>
      </c>
      <c r="X1168" s="110"/>
    </row>
    <row r="1169" ht="21.0" customHeight="1">
      <c r="A1169" s="6">
        <v>1.0</v>
      </c>
      <c r="B1169" s="6">
        <v>109.0</v>
      </c>
      <c r="C1169" s="6">
        <v>4.0</v>
      </c>
      <c r="D1169" s="122" t="s">
        <v>1179</v>
      </c>
      <c r="E1169" s="9" t="s">
        <v>1180</v>
      </c>
      <c r="F1169" s="109" t="str">
        <f t="shared" ref="F1169:G1169" si="1168">TRANSLATE(D1169,"lzh","vi")</f>
        <v>#NAME?</v>
      </c>
      <c r="G1169" s="109" t="str">
        <f t="shared" si="1168"/>
        <v>#NAME?</v>
      </c>
      <c r="X1169" s="110"/>
    </row>
    <row r="1170" ht="21.0" customHeight="1">
      <c r="A1170" s="6">
        <v>1.0</v>
      </c>
      <c r="B1170" s="6">
        <v>109.0</v>
      </c>
      <c r="C1170" s="6">
        <v>5.0</v>
      </c>
      <c r="D1170" s="122" t="s">
        <v>1181</v>
      </c>
      <c r="E1170" s="9" t="s">
        <v>1182</v>
      </c>
      <c r="F1170" s="109" t="str">
        <f t="shared" ref="F1170:G1170" si="1169">TRANSLATE(D1170,"lzh","vi")</f>
        <v>#NAME?</v>
      </c>
      <c r="G1170" s="109" t="str">
        <f t="shared" si="1169"/>
        <v>#NAME?</v>
      </c>
      <c r="X1170" s="110"/>
    </row>
    <row r="1171" ht="21.0" customHeight="1">
      <c r="A1171" s="6">
        <v>1.0</v>
      </c>
      <c r="B1171" s="6">
        <v>109.0</v>
      </c>
      <c r="C1171" s="6">
        <v>6.0</v>
      </c>
      <c r="D1171" s="122" t="s">
        <v>1183</v>
      </c>
      <c r="E1171" s="9" t="s">
        <v>1184</v>
      </c>
      <c r="F1171" s="109" t="str">
        <f t="shared" ref="F1171:G1171" si="1170">TRANSLATE(D1171,"lzh","vi")</f>
        <v>#NAME?</v>
      </c>
      <c r="G1171" s="109" t="str">
        <f t="shared" si="1170"/>
        <v>#NAME?</v>
      </c>
      <c r="X1171" s="110"/>
    </row>
    <row r="1172" ht="21.0" customHeight="1">
      <c r="A1172" s="6">
        <v>1.0</v>
      </c>
      <c r="B1172" s="6">
        <v>109.0</v>
      </c>
      <c r="C1172" s="6">
        <v>7.0</v>
      </c>
      <c r="D1172" s="122" t="s">
        <v>1185</v>
      </c>
      <c r="E1172" s="9" t="s">
        <v>1186</v>
      </c>
      <c r="F1172" s="109" t="str">
        <f t="shared" ref="F1172:G1172" si="1171">TRANSLATE(D1172,"lzh","vi")</f>
        <v>#NAME?</v>
      </c>
      <c r="G1172" s="109" t="str">
        <f t="shared" si="1171"/>
        <v>#NAME?</v>
      </c>
      <c r="X1172" s="110"/>
    </row>
    <row r="1173" ht="21.0" customHeight="1">
      <c r="A1173" s="6">
        <v>1.0</v>
      </c>
      <c r="B1173" s="6">
        <v>109.0</v>
      </c>
      <c r="C1173" s="6">
        <v>8.0</v>
      </c>
      <c r="D1173" s="122" t="s">
        <v>1187</v>
      </c>
      <c r="E1173" s="9" t="s">
        <v>1188</v>
      </c>
      <c r="F1173" s="109" t="str">
        <f t="shared" ref="F1173:G1173" si="1172">TRANSLATE(D1173,"lzh","vi")</f>
        <v>#NAME?</v>
      </c>
      <c r="G1173" s="109" t="str">
        <f t="shared" si="1172"/>
        <v>#NAME?</v>
      </c>
      <c r="X1173" s="110"/>
    </row>
    <row r="1174" ht="21.0" customHeight="1">
      <c r="A1174" s="6">
        <v>1.0</v>
      </c>
      <c r="B1174" s="6">
        <v>109.0</v>
      </c>
      <c r="C1174" s="6">
        <v>9.0</v>
      </c>
      <c r="D1174" s="122" t="s">
        <v>1189</v>
      </c>
      <c r="E1174" s="9" t="s">
        <v>1190</v>
      </c>
      <c r="F1174" s="109" t="str">
        <f t="shared" ref="F1174:G1174" si="1173">TRANSLATE(D1174,"lzh","vi")</f>
        <v>#NAME?</v>
      </c>
      <c r="G1174" s="109" t="str">
        <f t="shared" si="1173"/>
        <v>#NAME?</v>
      </c>
      <c r="X1174" s="110"/>
    </row>
    <row r="1175" ht="21.0" customHeight="1">
      <c r="A1175" s="6">
        <v>1.0</v>
      </c>
      <c r="B1175" s="6">
        <v>109.0</v>
      </c>
      <c r="C1175" s="6">
        <v>10.0</v>
      </c>
      <c r="D1175" s="122" t="s">
        <v>1191</v>
      </c>
      <c r="E1175" s="9" t="s">
        <v>1192</v>
      </c>
      <c r="F1175" s="109" t="str">
        <f t="shared" ref="F1175:G1175" si="1174">TRANSLATE(D1175,"lzh","vi")</f>
        <v>#NAME?</v>
      </c>
      <c r="G1175" s="109" t="str">
        <f t="shared" si="1174"/>
        <v>#NAME?</v>
      </c>
      <c r="X1175" s="110"/>
    </row>
    <row r="1176" ht="21.0" customHeight="1">
      <c r="A1176" s="6">
        <v>1.0</v>
      </c>
      <c r="B1176" s="6">
        <v>110.0</v>
      </c>
      <c r="C1176" s="6">
        <v>1.0</v>
      </c>
      <c r="D1176" s="122" t="s">
        <v>1193</v>
      </c>
      <c r="E1176" s="9" t="s">
        <v>1194</v>
      </c>
      <c r="F1176" s="109" t="str">
        <f t="shared" ref="F1176:G1176" si="1175">TRANSLATE(D1176,"lzh","vi")</f>
        <v>#NAME?</v>
      </c>
      <c r="G1176" s="109" t="str">
        <f t="shared" si="1175"/>
        <v>#NAME?</v>
      </c>
      <c r="X1176" s="110"/>
    </row>
    <row r="1177" ht="21.0" customHeight="1">
      <c r="A1177" s="6">
        <v>1.0</v>
      </c>
      <c r="B1177" s="6">
        <v>110.0</v>
      </c>
      <c r="C1177" s="6">
        <v>2.0</v>
      </c>
      <c r="D1177" s="122" t="s">
        <v>1195</v>
      </c>
      <c r="E1177" s="9" t="s">
        <v>1196</v>
      </c>
      <c r="F1177" s="109" t="str">
        <f t="shared" ref="F1177:G1177" si="1176">TRANSLATE(D1177,"lzh","vi")</f>
        <v>#NAME?</v>
      </c>
      <c r="G1177" s="109" t="str">
        <f t="shared" si="1176"/>
        <v>#NAME?</v>
      </c>
      <c r="X1177" s="110"/>
    </row>
    <row r="1178" ht="21.0" customHeight="1">
      <c r="A1178" s="6">
        <v>1.0</v>
      </c>
      <c r="B1178" s="6">
        <v>110.0</v>
      </c>
      <c r="C1178" s="6">
        <v>3.0</v>
      </c>
      <c r="D1178" s="122" t="s">
        <v>1197</v>
      </c>
      <c r="E1178" s="9" t="s">
        <v>1198</v>
      </c>
      <c r="F1178" s="109" t="str">
        <f t="shared" ref="F1178:G1178" si="1177">TRANSLATE(D1178,"lzh","vi")</f>
        <v>#NAME?</v>
      </c>
      <c r="G1178" s="109" t="str">
        <f t="shared" si="1177"/>
        <v>#NAME?</v>
      </c>
      <c r="X1178" s="110"/>
    </row>
    <row r="1179" ht="21.0" customHeight="1">
      <c r="A1179" s="6">
        <v>1.0</v>
      </c>
      <c r="B1179" s="6">
        <v>110.0</v>
      </c>
      <c r="C1179" s="6">
        <v>4.0</v>
      </c>
      <c r="D1179" s="122" t="s">
        <v>1199</v>
      </c>
      <c r="E1179" s="9" t="s">
        <v>1200</v>
      </c>
      <c r="F1179" s="109" t="str">
        <f t="shared" ref="F1179:G1179" si="1178">TRANSLATE(D1179,"lzh","vi")</f>
        <v>#NAME?</v>
      </c>
      <c r="G1179" s="109" t="str">
        <f t="shared" si="1178"/>
        <v>#NAME?</v>
      </c>
      <c r="X1179" s="110"/>
    </row>
    <row r="1180" ht="21.0" customHeight="1">
      <c r="A1180" s="6">
        <v>1.0</v>
      </c>
      <c r="B1180" s="6">
        <v>110.0</v>
      </c>
      <c r="C1180" s="6">
        <v>5.0</v>
      </c>
      <c r="D1180" s="122" t="s">
        <v>1201</v>
      </c>
      <c r="E1180" s="9" t="s">
        <v>1202</v>
      </c>
      <c r="F1180" s="109" t="str">
        <f t="shared" ref="F1180:G1180" si="1179">TRANSLATE(D1180,"lzh","vi")</f>
        <v>#NAME?</v>
      </c>
      <c r="G1180" s="109" t="str">
        <f t="shared" si="1179"/>
        <v>#NAME?</v>
      </c>
      <c r="X1180" s="110"/>
    </row>
    <row r="1181" ht="21.0" customHeight="1">
      <c r="A1181" s="6">
        <v>1.0</v>
      </c>
      <c r="B1181" s="6">
        <v>110.0</v>
      </c>
      <c r="C1181" s="6">
        <v>6.0</v>
      </c>
      <c r="D1181" s="122" t="s">
        <v>1203</v>
      </c>
      <c r="E1181" s="9" t="s">
        <v>1204</v>
      </c>
      <c r="F1181" s="109" t="str">
        <f t="shared" ref="F1181:G1181" si="1180">TRANSLATE(D1181,"lzh","vi")</f>
        <v>#NAME?</v>
      </c>
      <c r="G1181" s="109" t="str">
        <f t="shared" si="1180"/>
        <v>#NAME?</v>
      </c>
      <c r="X1181" s="110"/>
    </row>
    <row r="1182" ht="21.0" customHeight="1">
      <c r="A1182" s="6">
        <v>1.0</v>
      </c>
      <c r="B1182" s="6">
        <v>110.0</v>
      </c>
      <c r="C1182" s="6">
        <v>7.0</v>
      </c>
      <c r="D1182" s="122" t="s">
        <v>1205</v>
      </c>
      <c r="E1182" s="9" t="s">
        <v>1206</v>
      </c>
      <c r="F1182" s="109" t="str">
        <f t="shared" ref="F1182:G1182" si="1181">TRANSLATE(D1182,"lzh","vi")</f>
        <v>#NAME?</v>
      </c>
      <c r="G1182" s="109" t="str">
        <f t="shared" si="1181"/>
        <v>#NAME?</v>
      </c>
      <c r="X1182" s="110"/>
    </row>
    <row r="1183" ht="21.0" customHeight="1">
      <c r="A1183" s="6">
        <v>1.0</v>
      </c>
      <c r="B1183" s="6">
        <v>110.0</v>
      </c>
      <c r="C1183" s="6">
        <v>8.0</v>
      </c>
      <c r="D1183" s="122" t="s">
        <v>1207</v>
      </c>
      <c r="E1183" s="9" t="s">
        <v>1208</v>
      </c>
      <c r="F1183" s="109" t="str">
        <f t="shared" ref="F1183:G1183" si="1182">TRANSLATE(D1183,"lzh","vi")</f>
        <v>#NAME?</v>
      </c>
      <c r="G1183" s="109" t="str">
        <f t="shared" si="1182"/>
        <v>#NAME?</v>
      </c>
      <c r="X1183" s="110"/>
    </row>
    <row r="1184" ht="21.0" customHeight="1">
      <c r="A1184" s="6">
        <v>1.0</v>
      </c>
      <c r="B1184" s="6">
        <v>110.0</v>
      </c>
      <c r="C1184" s="6">
        <v>9.0</v>
      </c>
      <c r="D1184" s="122" t="s">
        <v>1209</v>
      </c>
      <c r="E1184" s="9" t="s">
        <v>1210</v>
      </c>
      <c r="F1184" s="109" t="str">
        <f t="shared" ref="F1184:G1184" si="1183">TRANSLATE(D1184,"lzh","vi")</f>
        <v>#NAME?</v>
      </c>
      <c r="G1184" s="109" t="str">
        <f t="shared" si="1183"/>
        <v>#NAME?</v>
      </c>
      <c r="X1184" s="110"/>
    </row>
    <row r="1185" ht="21.0" customHeight="1">
      <c r="A1185" s="6">
        <v>1.0</v>
      </c>
      <c r="B1185" s="6">
        <v>110.0</v>
      </c>
      <c r="C1185" s="6">
        <v>10.0</v>
      </c>
      <c r="D1185" s="122" t="s">
        <v>1211</v>
      </c>
      <c r="E1185" s="9" t="s">
        <v>1212</v>
      </c>
      <c r="F1185" s="109" t="str">
        <f t="shared" ref="F1185:G1185" si="1184">TRANSLATE(D1185,"lzh","vi")</f>
        <v>#NAME?</v>
      </c>
      <c r="G1185" s="109" t="str">
        <f t="shared" si="1184"/>
        <v>#NAME?</v>
      </c>
      <c r="X1185" s="110"/>
    </row>
    <row r="1186" ht="21.0" customHeight="1">
      <c r="A1186" s="6">
        <v>11.0</v>
      </c>
      <c r="B1186" s="6">
        <v>1006.0</v>
      </c>
      <c r="C1186" s="6">
        <v>1.0</v>
      </c>
      <c r="D1186" s="122" t="s">
        <v>1213</v>
      </c>
      <c r="E1186" s="9" t="s">
        <v>1214</v>
      </c>
      <c r="F1186" s="109" t="str">
        <f t="shared" ref="F1186:G1186" si="1185">TRANSLATE(D1186,"lzh","vi")</f>
        <v>#NAME?</v>
      </c>
      <c r="G1186" s="109" t="str">
        <f t="shared" si="1185"/>
        <v>#NAME?</v>
      </c>
      <c r="X1186" s="110"/>
    </row>
    <row r="1187" ht="21.0" customHeight="1">
      <c r="A1187" s="6">
        <v>11.0</v>
      </c>
      <c r="B1187" s="6">
        <v>1006.0</v>
      </c>
      <c r="C1187" s="6">
        <v>2.0</v>
      </c>
      <c r="D1187" s="122" t="s">
        <v>1215</v>
      </c>
      <c r="E1187" s="9" t="s">
        <v>1216</v>
      </c>
      <c r="F1187" s="109" t="str">
        <f t="shared" ref="F1187:G1187" si="1186">TRANSLATE(D1187,"lzh","vi")</f>
        <v>#NAME?</v>
      </c>
      <c r="G1187" s="109" t="str">
        <f t="shared" si="1186"/>
        <v>#NAME?</v>
      </c>
      <c r="X1187" s="110"/>
    </row>
    <row r="1188" ht="21.0" customHeight="1">
      <c r="A1188" s="6">
        <v>11.0</v>
      </c>
      <c r="B1188" s="6">
        <v>1006.0</v>
      </c>
      <c r="C1188" s="6">
        <v>3.0</v>
      </c>
      <c r="D1188" s="122" t="s">
        <v>1217</v>
      </c>
      <c r="E1188" s="9" t="s">
        <v>1218</v>
      </c>
      <c r="F1188" s="109" t="str">
        <f t="shared" ref="F1188:G1188" si="1187">TRANSLATE(D1188,"lzh","vi")</f>
        <v>#NAME?</v>
      </c>
      <c r="G1188" s="109" t="str">
        <f t="shared" si="1187"/>
        <v>#NAME?</v>
      </c>
      <c r="X1188" s="110"/>
    </row>
    <row r="1189" ht="21.0" customHeight="1">
      <c r="A1189" s="6">
        <v>11.0</v>
      </c>
      <c r="B1189" s="6">
        <v>1006.0</v>
      </c>
      <c r="C1189" s="6">
        <v>4.0</v>
      </c>
      <c r="D1189" s="122" t="s">
        <v>1219</v>
      </c>
      <c r="E1189" s="9" t="s">
        <v>1220</v>
      </c>
      <c r="F1189" s="109" t="str">
        <f t="shared" ref="F1189:G1189" si="1188">TRANSLATE(D1189,"lzh","vi")</f>
        <v>#NAME?</v>
      </c>
      <c r="G1189" s="109" t="str">
        <f t="shared" si="1188"/>
        <v>#NAME?</v>
      </c>
      <c r="X1189" s="110"/>
    </row>
    <row r="1190" ht="21.0" customHeight="1">
      <c r="A1190" s="6">
        <v>10.0</v>
      </c>
      <c r="B1190" s="6">
        <v>1006.0</v>
      </c>
      <c r="C1190" s="6">
        <v>5.0</v>
      </c>
      <c r="D1190" s="122" t="s">
        <v>1221</v>
      </c>
      <c r="E1190" s="9" t="s">
        <v>1222</v>
      </c>
      <c r="F1190" s="109" t="str">
        <f t="shared" ref="F1190:G1190" si="1189">TRANSLATE(D1190,"lzh","vi")</f>
        <v>#NAME?</v>
      </c>
      <c r="G1190" s="109" t="str">
        <f t="shared" si="1189"/>
        <v>#NAME?</v>
      </c>
      <c r="X1190" s="110"/>
    </row>
    <row r="1191" ht="21.0" customHeight="1">
      <c r="A1191" s="6">
        <v>10.0</v>
      </c>
      <c r="B1191" s="6">
        <v>1006.0</v>
      </c>
      <c r="C1191" s="6">
        <v>6.0</v>
      </c>
      <c r="D1191" s="122" t="s">
        <v>1223</v>
      </c>
      <c r="E1191" s="9" t="s">
        <v>1224</v>
      </c>
      <c r="F1191" s="109" t="str">
        <f t="shared" ref="F1191:G1191" si="1190">TRANSLATE(D1191,"lzh","vi")</f>
        <v>#NAME?</v>
      </c>
      <c r="G1191" s="109" t="str">
        <f t="shared" si="1190"/>
        <v>#NAME?</v>
      </c>
      <c r="X1191" s="110"/>
    </row>
    <row r="1192" ht="21.0" customHeight="1">
      <c r="A1192" s="6">
        <v>10.0</v>
      </c>
      <c r="B1192" s="6">
        <v>1006.0</v>
      </c>
      <c r="C1192" s="6">
        <v>7.0</v>
      </c>
      <c r="D1192" s="122" t="s">
        <v>1225</v>
      </c>
      <c r="E1192" s="9" t="s">
        <v>1226</v>
      </c>
      <c r="F1192" s="109" t="str">
        <f t="shared" ref="F1192:G1192" si="1191">TRANSLATE(D1192,"lzh","vi")</f>
        <v>#NAME?</v>
      </c>
      <c r="G1192" s="109" t="str">
        <f t="shared" si="1191"/>
        <v>#NAME?</v>
      </c>
      <c r="X1192" s="110"/>
    </row>
    <row r="1193" ht="21.0" customHeight="1">
      <c r="A1193" s="6">
        <v>10.0</v>
      </c>
      <c r="B1193" s="6">
        <v>1006.0</v>
      </c>
      <c r="C1193" s="6">
        <v>8.0</v>
      </c>
      <c r="D1193" s="122" t="s">
        <v>1227</v>
      </c>
      <c r="E1193" s="9" t="s">
        <v>1228</v>
      </c>
      <c r="F1193" s="109" t="str">
        <f t="shared" ref="F1193:G1193" si="1192">TRANSLATE(D1193,"lzh","vi")</f>
        <v>#NAME?</v>
      </c>
      <c r="G1193" s="109" t="str">
        <f t="shared" si="1192"/>
        <v>#NAME?</v>
      </c>
      <c r="X1193" s="110"/>
    </row>
    <row r="1194" ht="21.0" customHeight="1">
      <c r="A1194" s="6">
        <v>10.0</v>
      </c>
      <c r="B1194" s="6">
        <v>1006.0</v>
      </c>
      <c r="C1194" s="6">
        <v>9.0</v>
      </c>
      <c r="D1194" s="122" t="s">
        <v>1229</v>
      </c>
      <c r="E1194" s="9" t="s">
        <v>1230</v>
      </c>
      <c r="F1194" s="109" t="str">
        <f t="shared" ref="F1194:G1194" si="1193">TRANSLATE(D1194,"lzh","vi")</f>
        <v>#NAME?</v>
      </c>
      <c r="G1194" s="109" t="str">
        <f t="shared" si="1193"/>
        <v>#NAME?</v>
      </c>
      <c r="X1194" s="110"/>
    </row>
    <row r="1195" ht="21.0" customHeight="1">
      <c r="A1195" s="6">
        <v>10.0</v>
      </c>
      <c r="B1195" s="6">
        <v>1006.0</v>
      </c>
      <c r="C1195" s="6">
        <v>10.0</v>
      </c>
      <c r="D1195" s="122" t="s">
        <v>1231</v>
      </c>
      <c r="E1195" s="9" t="s">
        <v>1232</v>
      </c>
      <c r="F1195" s="109" t="str">
        <f t="shared" ref="F1195:G1195" si="1194">TRANSLATE(D1195,"lzh","vi")</f>
        <v>#NAME?</v>
      </c>
      <c r="G1195" s="109" t="str">
        <f t="shared" si="1194"/>
        <v>#NAME?</v>
      </c>
      <c r="X1195" s="110"/>
    </row>
    <row r="1196" ht="21.0" customHeight="1">
      <c r="A1196" s="6">
        <v>1.0</v>
      </c>
      <c r="B1196" s="6">
        <v>111.0</v>
      </c>
      <c r="C1196" s="6">
        <v>1.0</v>
      </c>
      <c r="D1196" s="122" t="s">
        <v>1233</v>
      </c>
      <c r="E1196" s="9" t="s">
        <v>1234</v>
      </c>
      <c r="F1196" s="109" t="str">
        <f t="shared" ref="F1196:G1196" si="1195">TRANSLATE(D1196,"lzh","vi")</f>
        <v>#NAME?</v>
      </c>
      <c r="G1196" s="109" t="str">
        <f t="shared" si="1195"/>
        <v>#NAME?</v>
      </c>
      <c r="X1196" s="110"/>
    </row>
    <row r="1197" ht="21.0" customHeight="1">
      <c r="A1197" s="6">
        <v>1.0</v>
      </c>
      <c r="B1197" s="6">
        <v>111.0</v>
      </c>
      <c r="C1197" s="6">
        <v>2.0</v>
      </c>
      <c r="D1197" s="122" t="s">
        <v>1235</v>
      </c>
      <c r="E1197" s="9" t="s">
        <v>1236</v>
      </c>
      <c r="F1197" s="109" t="str">
        <f t="shared" ref="F1197:G1197" si="1196">TRANSLATE(D1197,"lzh","vi")</f>
        <v>#NAME?</v>
      </c>
      <c r="G1197" s="109" t="str">
        <f t="shared" si="1196"/>
        <v>#NAME?</v>
      </c>
      <c r="X1197" s="110"/>
    </row>
    <row r="1198" ht="21.0" customHeight="1">
      <c r="A1198" s="6">
        <v>1.0</v>
      </c>
      <c r="B1198" s="6">
        <v>111.0</v>
      </c>
      <c r="C1198" s="6">
        <v>3.0</v>
      </c>
      <c r="D1198" s="122" t="s">
        <v>1237</v>
      </c>
      <c r="E1198" s="9" t="s">
        <v>1238</v>
      </c>
      <c r="F1198" s="109" t="str">
        <f t="shared" ref="F1198:G1198" si="1197">TRANSLATE(D1198,"lzh","vi")</f>
        <v>#NAME?</v>
      </c>
      <c r="G1198" s="109" t="str">
        <f t="shared" si="1197"/>
        <v>#NAME?</v>
      </c>
      <c r="X1198" s="110"/>
    </row>
    <row r="1199" ht="21.0" customHeight="1">
      <c r="A1199" s="6">
        <v>1.0</v>
      </c>
      <c r="B1199" s="6">
        <v>111.0</v>
      </c>
      <c r="C1199" s="6">
        <v>4.0</v>
      </c>
      <c r="D1199" s="122" t="s">
        <v>1239</v>
      </c>
      <c r="E1199" s="9" t="s">
        <v>1240</v>
      </c>
      <c r="F1199" s="109" t="str">
        <f t="shared" ref="F1199:G1199" si="1198">TRANSLATE(D1199,"lzh","vi")</f>
        <v>#NAME?</v>
      </c>
      <c r="G1199" s="109" t="str">
        <f t="shared" si="1198"/>
        <v>#NAME?</v>
      </c>
      <c r="X1199" s="110"/>
    </row>
    <row r="1200" ht="21.0" customHeight="1">
      <c r="A1200" s="6">
        <v>1.0</v>
      </c>
      <c r="B1200" s="6">
        <v>111.0</v>
      </c>
      <c r="C1200" s="6">
        <v>5.0</v>
      </c>
      <c r="D1200" s="122" t="s">
        <v>1241</v>
      </c>
      <c r="E1200" s="9" t="s">
        <v>1242</v>
      </c>
      <c r="F1200" s="109" t="str">
        <f t="shared" ref="F1200:G1200" si="1199">TRANSLATE(D1200,"lzh","vi")</f>
        <v>#NAME?</v>
      </c>
      <c r="G1200" s="109" t="str">
        <f t="shared" si="1199"/>
        <v>#NAME?</v>
      </c>
      <c r="X1200" s="110"/>
    </row>
    <row r="1201" ht="21.0" customHeight="1">
      <c r="A1201" s="6">
        <v>1.0</v>
      </c>
      <c r="B1201" s="6">
        <v>111.0</v>
      </c>
      <c r="C1201" s="6">
        <v>6.0</v>
      </c>
      <c r="D1201" s="122" t="s">
        <v>1243</v>
      </c>
      <c r="E1201" s="9" t="s">
        <v>1244</v>
      </c>
      <c r="F1201" s="109" t="str">
        <f t="shared" ref="F1201:G1201" si="1200">TRANSLATE(D1201,"lzh","vi")</f>
        <v>#NAME?</v>
      </c>
      <c r="G1201" s="109" t="str">
        <f t="shared" si="1200"/>
        <v>#NAME?</v>
      </c>
      <c r="X1201" s="110"/>
    </row>
    <row r="1202" ht="21.0" customHeight="1">
      <c r="A1202" s="6">
        <v>1.0</v>
      </c>
      <c r="B1202" s="6">
        <v>111.0</v>
      </c>
      <c r="C1202" s="6">
        <v>7.0</v>
      </c>
      <c r="D1202" s="122" t="s">
        <v>1245</v>
      </c>
      <c r="E1202" s="9" t="s">
        <v>1246</v>
      </c>
      <c r="F1202" s="109" t="str">
        <f t="shared" ref="F1202:G1202" si="1201">TRANSLATE(D1202,"lzh","vi")</f>
        <v>#NAME?</v>
      </c>
      <c r="G1202" s="109" t="str">
        <f t="shared" si="1201"/>
        <v>#NAME?</v>
      </c>
      <c r="X1202" s="110"/>
    </row>
    <row r="1203" ht="21.0" customHeight="1">
      <c r="A1203" s="6">
        <v>1.0</v>
      </c>
      <c r="B1203" s="6">
        <v>111.0</v>
      </c>
      <c r="C1203" s="6">
        <v>8.0</v>
      </c>
      <c r="D1203" s="122" t="s">
        <v>1247</v>
      </c>
      <c r="E1203" s="9" t="s">
        <v>1248</v>
      </c>
      <c r="F1203" s="109" t="str">
        <f t="shared" ref="F1203:G1203" si="1202">TRANSLATE(D1203,"lzh","vi")</f>
        <v>#NAME?</v>
      </c>
      <c r="G1203" s="109" t="str">
        <f t="shared" si="1202"/>
        <v>#NAME?</v>
      </c>
      <c r="X1203" s="110"/>
    </row>
    <row r="1204" ht="21.0" customHeight="1">
      <c r="A1204" s="6">
        <v>1.0</v>
      </c>
      <c r="B1204" s="6">
        <v>111.0</v>
      </c>
      <c r="C1204" s="6">
        <v>9.0</v>
      </c>
      <c r="D1204" s="122" t="s">
        <v>1249</v>
      </c>
      <c r="E1204" s="9" t="s">
        <v>1250</v>
      </c>
      <c r="F1204" s="109" t="str">
        <f t="shared" ref="F1204:G1204" si="1203">TRANSLATE(D1204,"lzh","vi")</f>
        <v>#NAME?</v>
      </c>
      <c r="G1204" s="109" t="str">
        <f t="shared" si="1203"/>
        <v>#NAME?</v>
      </c>
      <c r="X1204" s="110"/>
    </row>
    <row r="1205" ht="21.0" customHeight="1">
      <c r="A1205" s="6">
        <v>13.0</v>
      </c>
      <c r="B1205" s="6">
        <v>111.0</v>
      </c>
      <c r="C1205" s="6">
        <v>10.0</v>
      </c>
      <c r="D1205" s="153" t="s">
        <v>1251</v>
      </c>
      <c r="E1205" s="33" t="s">
        <v>1252</v>
      </c>
      <c r="F1205" s="109" t="str">
        <f t="shared" ref="F1205:G1205" si="1204">TRANSLATE(D1205,"lzh","vi")</f>
        <v>#NAME?</v>
      </c>
      <c r="G1205" s="109" t="str">
        <f t="shared" si="1204"/>
        <v>#NAME?</v>
      </c>
      <c r="X1205" s="110"/>
    </row>
    <row r="1206" ht="21.0" customHeight="1">
      <c r="A1206" s="6">
        <v>1.0</v>
      </c>
      <c r="B1206" s="6">
        <v>112.0</v>
      </c>
      <c r="C1206" s="6">
        <v>1.0</v>
      </c>
      <c r="D1206" s="122" t="s">
        <v>1253</v>
      </c>
      <c r="E1206" s="9" t="s">
        <v>1254</v>
      </c>
      <c r="F1206" s="109" t="str">
        <f t="shared" ref="F1206:G1206" si="1205">TRANSLATE(D1206,"lzh","vi")</f>
        <v>#NAME?</v>
      </c>
      <c r="G1206" s="109" t="str">
        <f t="shared" si="1205"/>
        <v>#NAME?</v>
      </c>
      <c r="X1206" s="110"/>
    </row>
    <row r="1207" ht="21.0" customHeight="1">
      <c r="A1207" s="6">
        <v>1.0</v>
      </c>
      <c r="B1207" s="6">
        <v>112.0</v>
      </c>
      <c r="C1207" s="6">
        <v>2.0</v>
      </c>
      <c r="D1207" s="122" t="s">
        <v>1255</v>
      </c>
      <c r="E1207" s="9" t="s">
        <v>1256</v>
      </c>
      <c r="F1207" s="109" t="str">
        <f t="shared" ref="F1207:G1207" si="1206">TRANSLATE(D1207,"lzh","vi")</f>
        <v>#NAME?</v>
      </c>
      <c r="G1207" s="109" t="str">
        <f t="shared" si="1206"/>
        <v>#NAME?</v>
      </c>
      <c r="X1207" s="110"/>
    </row>
    <row r="1208" ht="21.0" customHeight="1">
      <c r="A1208" s="6">
        <v>1.0</v>
      </c>
      <c r="B1208" s="6">
        <v>112.0</v>
      </c>
      <c r="C1208" s="6">
        <v>3.0</v>
      </c>
      <c r="D1208" s="122" t="s">
        <v>1257</v>
      </c>
      <c r="E1208" s="9" t="s">
        <v>1258</v>
      </c>
      <c r="F1208" s="109" t="str">
        <f t="shared" ref="F1208:G1208" si="1207">TRANSLATE(D1208,"lzh","vi")</f>
        <v>#NAME?</v>
      </c>
      <c r="G1208" s="109" t="str">
        <f t="shared" si="1207"/>
        <v>#NAME?</v>
      </c>
      <c r="X1208" s="110"/>
    </row>
    <row r="1209" ht="21.0" customHeight="1">
      <c r="A1209" s="6">
        <v>1.0</v>
      </c>
      <c r="B1209" s="6">
        <v>112.0</v>
      </c>
      <c r="C1209" s="6">
        <v>4.0</v>
      </c>
      <c r="D1209" s="122" t="s">
        <v>1259</v>
      </c>
      <c r="E1209" s="9" t="s">
        <v>1260</v>
      </c>
      <c r="F1209" s="109" t="str">
        <f t="shared" ref="F1209:G1209" si="1208">TRANSLATE(D1209,"lzh","vi")</f>
        <v>#NAME?</v>
      </c>
      <c r="G1209" s="109" t="str">
        <f t="shared" si="1208"/>
        <v>#NAME?</v>
      </c>
      <c r="X1209" s="110"/>
    </row>
    <row r="1210" ht="21.0" customHeight="1">
      <c r="A1210" s="6">
        <v>1.0</v>
      </c>
      <c r="B1210" s="6">
        <v>112.0</v>
      </c>
      <c r="C1210" s="6">
        <v>5.0</v>
      </c>
      <c r="D1210" s="122" t="s">
        <v>1261</v>
      </c>
      <c r="E1210" s="9" t="s">
        <v>1262</v>
      </c>
      <c r="F1210" s="109" t="str">
        <f t="shared" ref="F1210:G1210" si="1209">TRANSLATE(D1210,"lzh","vi")</f>
        <v>#NAME?</v>
      </c>
      <c r="G1210" s="109" t="str">
        <f t="shared" si="1209"/>
        <v>#NAME?</v>
      </c>
      <c r="X1210" s="110"/>
    </row>
    <row r="1211" ht="21.0" customHeight="1">
      <c r="A1211" s="6">
        <v>1.0</v>
      </c>
      <c r="B1211" s="6">
        <v>112.0</v>
      </c>
      <c r="C1211" s="6">
        <v>6.0</v>
      </c>
      <c r="D1211" s="122" t="s">
        <v>1263</v>
      </c>
      <c r="E1211" s="9" t="s">
        <v>1264</v>
      </c>
      <c r="F1211" s="109" t="str">
        <f t="shared" ref="F1211:G1211" si="1210">TRANSLATE(D1211,"lzh","vi")</f>
        <v>#NAME?</v>
      </c>
      <c r="G1211" s="109" t="str">
        <f t="shared" si="1210"/>
        <v>#NAME?</v>
      </c>
      <c r="X1211" s="110"/>
    </row>
    <row r="1212" ht="21.0" customHeight="1">
      <c r="A1212" s="6">
        <v>1.0</v>
      </c>
      <c r="B1212" s="6">
        <v>112.0</v>
      </c>
      <c r="C1212" s="6">
        <v>7.0</v>
      </c>
      <c r="D1212" s="122" t="s">
        <v>1265</v>
      </c>
      <c r="E1212" s="9" t="s">
        <v>1266</v>
      </c>
      <c r="F1212" s="109" t="str">
        <f t="shared" ref="F1212:G1212" si="1211">TRANSLATE(D1212,"lzh","vi")</f>
        <v>#NAME?</v>
      </c>
      <c r="G1212" s="109" t="str">
        <f t="shared" si="1211"/>
        <v>#NAME?</v>
      </c>
      <c r="X1212" s="110"/>
    </row>
    <row r="1213" ht="21.0" customHeight="1">
      <c r="A1213" s="6">
        <v>1.0</v>
      </c>
      <c r="B1213" s="6">
        <v>112.0</v>
      </c>
      <c r="C1213" s="6">
        <v>8.0</v>
      </c>
      <c r="D1213" s="122" t="s">
        <v>1267</v>
      </c>
      <c r="E1213" s="9" t="s">
        <v>1268</v>
      </c>
      <c r="F1213" s="109" t="str">
        <f t="shared" ref="F1213:G1213" si="1212">TRANSLATE(D1213,"lzh","vi")</f>
        <v>#NAME?</v>
      </c>
      <c r="G1213" s="109" t="str">
        <f t="shared" si="1212"/>
        <v>#NAME?</v>
      </c>
      <c r="X1213" s="110"/>
    </row>
    <row r="1214" ht="21.0" customHeight="1">
      <c r="A1214" s="6">
        <v>1.0</v>
      </c>
      <c r="B1214" s="6">
        <v>112.0</v>
      </c>
      <c r="C1214" s="6">
        <v>9.0</v>
      </c>
      <c r="D1214" s="122" t="s">
        <v>1269</v>
      </c>
      <c r="E1214" s="9" t="s">
        <v>1270</v>
      </c>
      <c r="F1214" s="109" t="str">
        <f t="shared" ref="F1214:G1214" si="1213">TRANSLATE(D1214,"lzh","vi")</f>
        <v>#NAME?</v>
      </c>
      <c r="G1214" s="109" t="str">
        <f t="shared" si="1213"/>
        <v>#NAME?</v>
      </c>
      <c r="X1214" s="110"/>
    </row>
    <row r="1215" ht="21.0" customHeight="1">
      <c r="A1215" s="6">
        <v>1.0</v>
      </c>
      <c r="B1215" s="6">
        <v>112.0</v>
      </c>
      <c r="C1215" s="6">
        <v>10.0</v>
      </c>
      <c r="D1215" s="122" t="s">
        <v>1271</v>
      </c>
      <c r="E1215" s="9" t="s">
        <v>1272</v>
      </c>
      <c r="F1215" s="109" t="str">
        <f t="shared" ref="F1215:G1215" si="1214">TRANSLATE(D1215,"lzh","vi")</f>
        <v>#NAME?</v>
      </c>
      <c r="G1215" s="109" t="str">
        <f t="shared" si="1214"/>
        <v>#NAME?</v>
      </c>
      <c r="X1215" s="110"/>
    </row>
    <row r="1216" ht="21.0" customHeight="1">
      <c r="A1216" s="6">
        <v>13.0</v>
      </c>
      <c r="B1216" s="6">
        <v>112.0</v>
      </c>
      <c r="C1216" s="6">
        <v>11.0</v>
      </c>
      <c r="D1216" s="153" t="s">
        <v>1273</v>
      </c>
      <c r="E1216" s="33" t="s">
        <v>1274</v>
      </c>
      <c r="F1216" s="109" t="str">
        <f t="shared" ref="F1216:G1216" si="1215">TRANSLATE(D1216,"lzh","vi")</f>
        <v>#NAME?</v>
      </c>
      <c r="G1216" s="109" t="str">
        <f t="shared" si="1215"/>
        <v>#NAME?</v>
      </c>
      <c r="X1216" s="110"/>
    </row>
    <row r="1217" ht="21.0" customHeight="1">
      <c r="A1217" s="6">
        <v>11.0</v>
      </c>
      <c r="B1217" s="6">
        <v>1007.0</v>
      </c>
      <c r="C1217" s="6">
        <v>1.0</v>
      </c>
      <c r="D1217" s="122" t="s">
        <v>1275</v>
      </c>
      <c r="E1217" s="9" t="s">
        <v>1276</v>
      </c>
      <c r="F1217" s="109" t="str">
        <f t="shared" ref="F1217:G1217" si="1216">TRANSLATE(D1217,"lzh","vi")</f>
        <v>#NAME?</v>
      </c>
      <c r="G1217" s="109" t="str">
        <f t="shared" si="1216"/>
        <v>#NAME?</v>
      </c>
      <c r="X1217" s="110"/>
    </row>
    <row r="1218" ht="21.0" customHeight="1">
      <c r="A1218" s="6">
        <v>11.0</v>
      </c>
      <c r="B1218" s="6">
        <v>1007.0</v>
      </c>
      <c r="C1218" s="6">
        <v>2.0</v>
      </c>
      <c r="D1218" s="122" t="s">
        <v>1277</v>
      </c>
      <c r="E1218" s="9" t="s">
        <v>1278</v>
      </c>
      <c r="F1218" s="109" t="str">
        <f t="shared" ref="F1218:G1218" si="1217">TRANSLATE(D1218,"lzh","vi")</f>
        <v>#NAME?</v>
      </c>
      <c r="G1218" s="109" t="str">
        <f t="shared" si="1217"/>
        <v>#NAME?</v>
      </c>
      <c r="X1218" s="110"/>
    </row>
    <row r="1219" ht="21.0" customHeight="1">
      <c r="A1219" s="6">
        <v>11.0</v>
      </c>
      <c r="B1219" s="6">
        <v>1007.0</v>
      </c>
      <c r="C1219" s="6">
        <v>3.0</v>
      </c>
      <c r="D1219" s="122" t="s">
        <v>1279</v>
      </c>
      <c r="E1219" s="9" t="s">
        <v>1280</v>
      </c>
      <c r="F1219" s="109" t="str">
        <f t="shared" ref="F1219:G1219" si="1218">TRANSLATE(D1219,"lzh","vi")</f>
        <v>#NAME?</v>
      </c>
      <c r="G1219" s="109" t="str">
        <f t="shared" si="1218"/>
        <v>#NAME?</v>
      </c>
      <c r="X1219" s="110"/>
    </row>
    <row r="1220" ht="21.0" customHeight="1">
      <c r="A1220" s="6">
        <v>11.0</v>
      </c>
      <c r="B1220" s="6">
        <v>1007.0</v>
      </c>
      <c r="C1220" s="6">
        <v>4.0</v>
      </c>
      <c r="D1220" s="122" t="s">
        <v>1281</v>
      </c>
      <c r="E1220" s="9" t="s">
        <v>1282</v>
      </c>
      <c r="F1220" s="109" t="str">
        <f t="shared" ref="F1220:G1220" si="1219">TRANSLATE(D1220,"lzh","vi")</f>
        <v>#NAME?</v>
      </c>
      <c r="G1220" s="109" t="str">
        <f t="shared" si="1219"/>
        <v>#NAME?</v>
      </c>
      <c r="X1220" s="110"/>
    </row>
    <row r="1221" ht="21.0" customHeight="1">
      <c r="A1221" s="6">
        <v>10.0</v>
      </c>
      <c r="B1221" s="6">
        <v>1007.0</v>
      </c>
      <c r="C1221" s="6">
        <v>5.0</v>
      </c>
      <c r="D1221" s="122" t="s">
        <v>1283</v>
      </c>
      <c r="E1221" s="9" t="s">
        <v>1284</v>
      </c>
      <c r="F1221" s="109" t="str">
        <f t="shared" ref="F1221:G1221" si="1220">TRANSLATE(D1221,"lzh","vi")</f>
        <v>#NAME?</v>
      </c>
      <c r="G1221" s="109" t="str">
        <f t="shared" si="1220"/>
        <v>#NAME?</v>
      </c>
      <c r="X1221" s="110"/>
    </row>
    <row r="1222" ht="21.0" customHeight="1">
      <c r="A1222" s="6">
        <v>10.0</v>
      </c>
      <c r="B1222" s="6">
        <v>1007.0</v>
      </c>
      <c r="C1222" s="6">
        <v>6.0</v>
      </c>
      <c r="D1222" s="122" t="s">
        <v>1285</v>
      </c>
      <c r="E1222" s="9" t="s">
        <v>1286</v>
      </c>
      <c r="F1222" s="109" t="str">
        <f t="shared" ref="F1222:G1222" si="1221">TRANSLATE(D1222,"lzh","vi")</f>
        <v>#NAME?</v>
      </c>
      <c r="G1222" s="109" t="str">
        <f t="shared" si="1221"/>
        <v>#NAME?</v>
      </c>
      <c r="X1222" s="110"/>
    </row>
    <row r="1223" ht="21.0" customHeight="1">
      <c r="A1223" s="6">
        <v>10.0</v>
      </c>
      <c r="B1223" s="6">
        <v>1007.0</v>
      </c>
      <c r="C1223" s="6">
        <v>7.0</v>
      </c>
      <c r="D1223" s="122" t="s">
        <v>1287</v>
      </c>
      <c r="E1223" s="9" t="s">
        <v>1288</v>
      </c>
      <c r="F1223" s="109" t="str">
        <f t="shared" ref="F1223:G1223" si="1222">TRANSLATE(D1223,"lzh","vi")</f>
        <v>#NAME?</v>
      </c>
      <c r="G1223" s="109" t="str">
        <f t="shared" si="1222"/>
        <v>#NAME?</v>
      </c>
      <c r="X1223" s="110"/>
    </row>
    <row r="1224" ht="21.0" customHeight="1">
      <c r="A1224" s="6">
        <v>10.0</v>
      </c>
      <c r="B1224" s="6">
        <v>1007.0</v>
      </c>
      <c r="C1224" s="6">
        <v>8.0</v>
      </c>
      <c r="D1224" s="122" t="s">
        <v>1289</v>
      </c>
      <c r="E1224" s="9" t="s">
        <v>1290</v>
      </c>
      <c r="F1224" s="109" t="str">
        <f t="shared" ref="F1224:G1224" si="1223">TRANSLATE(D1224,"lzh","vi")</f>
        <v>#NAME?</v>
      </c>
      <c r="G1224" s="109" t="str">
        <f t="shared" si="1223"/>
        <v>#NAME?</v>
      </c>
      <c r="X1224" s="110"/>
    </row>
    <row r="1225" ht="21.0" customHeight="1">
      <c r="A1225" s="6">
        <v>10.0</v>
      </c>
      <c r="B1225" s="6">
        <v>1007.0</v>
      </c>
      <c r="C1225" s="6">
        <v>9.0</v>
      </c>
      <c r="D1225" s="122" t="s">
        <v>1291</v>
      </c>
      <c r="E1225" s="9" t="s">
        <v>1292</v>
      </c>
      <c r="F1225" s="109" t="str">
        <f t="shared" ref="F1225:G1225" si="1224">TRANSLATE(D1225,"lzh","vi")</f>
        <v>#NAME?</v>
      </c>
      <c r="G1225" s="109" t="str">
        <f t="shared" si="1224"/>
        <v>#NAME?</v>
      </c>
      <c r="X1225" s="110"/>
    </row>
    <row r="1226" ht="21.0" customHeight="1">
      <c r="A1226" s="6">
        <v>10.0</v>
      </c>
      <c r="B1226" s="6">
        <v>1007.0</v>
      </c>
      <c r="C1226" s="6">
        <v>10.0</v>
      </c>
      <c r="D1226" s="122" t="s">
        <v>1293</v>
      </c>
      <c r="E1226" s="9" t="s">
        <v>1294</v>
      </c>
      <c r="F1226" s="109" t="str">
        <f t="shared" ref="F1226:G1226" si="1225">TRANSLATE(D1226,"lzh","vi")</f>
        <v>#NAME?</v>
      </c>
      <c r="G1226" s="109" t="str">
        <f t="shared" si="1225"/>
        <v>#NAME?</v>
      </c>
      <c r="X1226" s="110"/>
    </row>
    <row r="1227" ht="21.0" customHeight="1">
      <c r="A1227" s="6">
        <v>1.0</v>
      </c>
      <c r="B1227" s="6">
        <v>113.0</v>
      </c>
      <c r="C1227" s="6">
        <v>1.0</v>
      </c>
      <c r="D1227" s="122" t="s">
        <v>1295</v>
      </c>
      <c r="E1227" s="9" t="s">
        <v>1296</v>
      </c>
      <c r="F1227" s="109" t="str">
        <f t="shared" ref="F1227:G1227" si="1226">TRANSLATE(D1227,"lzh","vi")</f>
        <v>#NAME?</v>
      </c>
      <c r="G1227" s="109" t="str">
        <f t="shared" si="1226"/>
        <v>#NAME?</v>
      </c>
      <c r="X1227" s="110"/>
    </row>
    <row r="1228" ht="21.0" customHeight="1">
      <c r="A1228" s="6">
        <v>1.0</v>
      </c>
      <c r="B1228" s="6">
        <v>113.0</v>
      </c>
      <c r="C1228" s="6">
        <v>2.0</v>
      </c>
      <c r="D1228" s="122" t="s">
        <v>1297</v>
      </c>
      <c r="E1228" s="9" t="s">
        <v>1298</v>
      </c>
      <c r="F1228" s="109" t="str">
        <f t="shared" ref="F1228:G1228" si="1227">TRANSLATE(D1228,"lzh","vi")</f>
        <v>#NAME?</v>
      </c>
      <c r="G1228" s="109" t="str">
        <f t="shared" si="1227"/>
        <v>#NAME?</v>
      </c>
      <c r="X1228" s="110"/>
    </row>
    <row r="1229" ht="21.0" customHeight="1">
      <c r="A1229" s="6">
        <v>1.0</v>
      </c>
      <c r="B1229" s="6">
        <v>113.0</v>
      </c>
      <c r="C1229" s="6">
        <v>3.0</v>
      </c>
      <c r="D1229" s="122" t="s">
        <v>1299</v>
      </c>
      <c r="E1229" s="9" t="s">
        <v>1300</v>
      </c>
      <c r="F1229" s="109" t="str">
        <f t="shared" ref="F1229:G1229" si="1228">TRANSLATE(D1229,"lzh","vi")</f>
        <v>#NAME?</v>
      </c>
      <c r="G1229" s="109" t="str">
        <f t="shared" si="1228"/>
        <v>#NAME?</v>
      </c>
      <c r="X1229" s="110"/>
    </row>
    <row r="1230" ht="21.0" customHeight="1">
      <c r="A1230" s="6">
        <v>1.0</v>
      </c>
      <c r="B1230" s="6">
        <v>113.0</v>
      </c>
      <c r="C1230" s="6">
        <v>4.0</v>
      </c>
      <c r="D1230" s="122" t="s">
        <v>1301</v>
      </c>
      <c r="E1230" s="9" t="s">
        <v>1302</v>
      </c>
      <c r="F1230" s="109" t="str">
        <f t="shared" ref="F1230:G1230" si="1229">TRANSLATE(D1230,"lzh","vi")</f>
        <v>#NAME?</v>
      </c>
      <c r="G1230" s="109" t="str">
        <f t="shared" si="1229"/>
        <v>#NAME?</v>
      </c>
      <c r="X1230" s="110"/>
    </row>
    <row r="1231" ht="21.0" customHeight="1">
      <c r="A1231" s="6">
        <v>1.0</v>
      </c>
      <c r="B1231" s="6">
        <v>113.0</v>
      </c>
      <c r="C1231" s="6">
        <v>5.0</v>
      </c>
      <c r="D1231" s="151" t="s">
        <v>1303</v>
      </c>
      <c r="E1231" s="9" t="s">
        <v>1304</v>
      </c>
      <c r="F1231" s="109" t="str">
        <f t="shared" ref="F1231:G1231" si="1230">TRANSLATE(D1231,"lzh","vi")</f>
        <v>#NAME?</v>
      </c>
      <c r="G1231" s="109" t="str">
        <f t="shared" si="1230"/>
        <v>#NAME?</v>
      </c>
      <c r="X1231" s="110"/>
    </row>
    <row r="1232" ht="21.0" customHeight="1">
      <c r="A1232" s="6">
        <v>1.0</v>
      </c>
      <c r="B1232" s="6">
        <v>113.0</v>
      </c>
      <c r="C1232" s="6">
        <v>6.0</v>
      </c>
      <c r="D1232" s="151" t="s">
        <v>1305</v>
      </c>
      <c r="E1232" s="9" t="s">
        <v>1306</v>
      </c>
      <c r="F1232" s="109" t="str">
        <f t="shared" ref="F1232:G1232" si="1231">TRANSLATE(D1232,"lzh","vi")</f>
        <v>#NAME?</v>
      </c>
      <c r="G1232" s="109" t="str">
        <f t="shared" si="1231"/>
        <v>#NAME?</v>
      </c>
      <c r="X1232" s="110"/>
    </row>
    <row r="1233" ht="21.0" customHeight="1">
      <c r="A1233" s="6">
        <v>1.0</v>
      </c>
      <c r="B1233" s="6">
        <v>113.0</v>
      </c>
      <c r="C1233" s="6">
        <v>7.0</v>
      </c>
      <c r="D1233" s="151" t="s">
        <v>1307</v>
      </c>
      <c r="E1233" s="9" t="s">
        <v>1308</v>
      </c>
      <c r="F1233" s="109" t="str">
        <f t="shared" ref="F1233:G1233" si="1232">TRANSLATE(D1233,"lzh","vi")</f>
        <v>#NAME?</v>
      </c>
      <c r="G1233" s="109" t="str">
        <f t="shared" si="1232"/>
        <v>#NAME?</v>
      </c>
      <c r="X1233" s="110"/>
    </row>
    <row r="1234" ht="21.0" customHeight="1">
      <c r="A1234" s="6">
        <v>1.0</v>
      </c>
      <c r="B1234" s="6">
        <v>113.0</v>
      </c>
      <c r="C1234" s="6">
        <v>8.0</v>
      </c>
      <c r="D1234" s="122" t="s">
        <v>1309</v>
      </c>
      <c r="E1234" s="9" t="s">
        <v>1310</v>
      </c>
      <c r="F1234" s="109" t="str">
        <f t="shared" ref="F1234:G1234" si="1233">TRANSLATE(D1234,"lzh","vi")</f>
        <v>#NAME?</v>
      </c>
      <c r="G1234" s="109" t="str">
        <f t="shared" si="1233"/>
        <v>#NAME?</v>
      </c>
      <c r="X1234" s="110"/>
    </row>
    <row r="1235" ht="21.0" customHeight="1">
      <c r="A1235" s="6">
        <v>1.0</v>
      </c>
      <c r="B1235" s="6">
        <v>113.0</v>
      </c>
      <c r="C1235" s="6">
        <v>9.0</v>
      </c>
      <c r="D1235" s="122" t="s">
        <v>1311</v>
      </c>
      <c r="E1235" s="9" t="s">
        <v>1312</v>
      </c>
      <c r="F1235" s="109" t="str">
        <f t="shared" ref="F1235:G1235" si="1234">TRANSLATE(D1235,"lzh","vi")</f>
        <v>#NAME?</v>
      </c>
      <c r="G1235" s="109" t="str">
        <f t="shared" si="1234"/>
        <v>#NAME?</v>
      </c>
      <c r="X1235" s="110"/>
    </row>
    <row r="1236" ht="21.0" customHeight="1">
      <c r="A1236" s="6">
        <v>1.0</v>
      </c>
      <c r="B1236" s="6">
        <v>113.0</v>
      </c>
      <c r="C1236" s="6">
        <v>10.0</v>
      </c>
      <c r="D1236" s="122" t="s">
        <v>1313</v>
      </c>
      <c r="E1236" s="9" t="s">
        <v>1314</v>
      </c>
      <c r="F1236" s="109" t="str">
        <f t="shared" ref="F1236:G1236" si="1235">TRANSLATE(D1236,"lzh","vi")</f>
        <v>#NAME?</v>
      </c>
      <c r="G1236" s="109" t="str">
        <f t="shared" si="1235"/>
        <v>#NAME?</v>
      </c>
      <c r="X1236" s="110"/>
    </row>
    <row r="1237" ht="21.0" customHeight="1">
      <c r="A1237" s="6">
        <v>1.0</v>
      </c>
      <c r="B1237" s="6">
        <v>114.0</v>
      </c>
      <c r="C1237" s="6">
        <v>1.0</v>
      </c>
      <c r="D1237" s="122" t="s">
        <v>1315</v>
      </c>
      <c r="E1237" s="9" t="s">
        <v>1316</v>
      </c>
      <c r="F1237" s="109" t="str">
        <f t="shared" ref="F1237:G1237" si="1236">TRANSLATE(D1237,"lzh","vi")</f>
        <v>#NAME?</v>
      </c>
      <c r="G1237" s="109" t="str">
        <f t="shared" si="1236"/>
        <v>#NAME?</v>
      </c>
      <c r="X1237" s="110"/>
    </row>
    <row r="1238" ht="21.0" customHeight="1">
      <c r="A1238" s="6">
        <v>1.0</v>
      </c>
      <c r="B1238" s="6">
        <v>114.0</v>
      </c>
      <c r="C1238" s="6">
        <v>2.0</v>
      </c>
      <c r="D1238" s="122" t="s">
        <v>1317</v>
      </c>
      <c r="E1238" s="9" t="s">
        <v>1318</v>
      </c>
      <c r="F1238" s="109" t="str">
        <f t="shared" ref="F1238:G1238" si="1237">TRANSLATE(D1238,"lzh","vi")</f>
        <v>#NAME?</v>
      </c>
      <c r="G1238" s="109" t="str">
        <f t="shared" si="1237"/>
        <v>#NAME?</v>
      </c>
      <c r="X1238" s="110"/>
    </row>
    <row r="1239" ht="21.0" customHeight="1">
      <c r="A1239" s="6">
        <v>1.0</v>
      </c>
      <c r="B1239" s="6">
        <v>114.0</v>
      </c>
      <c r="C1239" s="6">
        <v>3.0</v>
      </c>
      <c r="D1239" s="122" t="s">
        <v>1319</v>
      </c>
      <c r="E1239" s="9" t="s">
        <v>1320</v>
      </c>
      <c r="F1239" s="109" t="str">
        <f t="shared" ref="F1239:G1239" si="1238">TRANSLATE(D1239,"lzh","vi")</f>
        <v>#NAME?</v>
      </c>
      <c r="G1239" s="109" t="str">
        <f t="shared" si="1238"/>
        <v>#NAME?</v>
      </c>
      <c r="X1239" s="110"/>
    </row>
    <row r="1240" ht="21.0" customHeight="1">
      <c r="A1240" s="6">
        <v>1.0</v>
      </c>
      <c r="B1240" s="6">
        <v>114.0</v>
      </c>
      <c r="C1240" s="6">
        <v>4.0</v>
      </c>
      <c r="D1240" s="122" t="s">
        <v>1321</v>
      </c>
      <c r="E1240" s="9" t="s">
        <v>1322</v>
      </c>
      <c r="F1240" s="109" t="str">
        <f t="shared" ref="F1240:G1240" si="1239">TRANSLATE(D1240,"lzh","vi")</f>
        <v>#NAME?</v>
      </c>
      <c r="G1240" s="109" t="str">
        <f t="shared" si="1239"/>
        <v>#NAME?</v>
      </c>
      <c r="X1240" s="110"/>
    </row>
    <row r="1241" ht="21.0" customHeight="1">
      <c r="A1241" s="6">
        <v>1.0</v>
      </c>
      <c r="B1241" s="6">
        <v>114.0</v>
      </c>
      <c r="C1241" s="6">
        <v>5.0</v>
      </c>
      <c r="D1241" s="122" t="s">
        <v>1323</v>
      </c>
      <c r="E1241" s="9" t="s">
        <v>1324</v>
      </c>
      <c r="F1241" s="109" t="str">
        <f t="shared" ref="F1241:G1241" si="1240">TRANSLATE(D1241,"lzh","vi")</f>
        <v>#NAME?</v>
      </c>
      <c r="G1241" s="109" t="str">
        <f t="shared" si="1240"/>
        <v>#NAME?</v>
      </c>
      <c r="X1241" s="110"/>
    </row>
    <row r="1242" ht="21.0" customHeight="1">
      <c r="A1242" s="6">
        <v>1.0</v>
      </c>
      <c r="B1242" s="6">
        <v>114.0</v>
      </c>
      <c r="C1242" s="6">
        <v>6.0</v>
      </c>
      <c r="D1242" s="122" t="s">
        <v>1325</v>
      </c>
      <c r="E1242" s="9" t="s">
        <v>1326</v>
      </c>
      <c r="F1242" s="109" t="str">
        <f t="shared" ref="F1242:G1242" si="1241">TRANSLATE(D1242,"lzh","vi")</f>
        <v>#NAME?</v>
      </c>
      <c r="G1242" s="109" t="str">
        <f t="shared" si="1241"/>
        <v>#NAME?</v>
      </c>
      <c r="X1242" s="110"/>
    </row>
    <row r="1243" ht="21.0" customHeight="1">
      <c r="A1243" s="6">
        <v>1.0</v>
      </c>
      <c r="B1243" s="6">
        <v>114.0</v>
      </c>
      <c r="C1243" s="6">
        <v>7.0</v>
      </c>
      <c r="D1243" s="122" t="s">
        <v>1327</v>
      </c>
      <c r="E1243" s="9" t="s">
        <v>1328</v>
      </c>
      <c r="F1243" s="109" t="str">
        <f t="shared" ref="F1243:G1243" si="1242">TRANSLATE(D1243,"lzh","vi")</f>
        <v>#NAME?</v>
      </c>
      <c r="G1243" s="109" t="str">
        <f t="shared" si="1242"/>
        <v>#NAME?</v>
      </c>
      <c r="X1243" s="110"/>
    </row>
    <row r="1244" ht="21.0" customHeight="1">
      <c r="A1244" s="6">
        <v>1.0</v>
      </c>
      <c r="B1244" s="6">
        <v>114.0</v>
      </c>
      <c r="C1244" s="6">
        <v>8.0</v>
      </c>
      <c r="D1244" s="122" t="s">
        <v>1329</v>
      </c>
      <c r="E1244" s="9" t="s">
        <v>1330</v>
      </c>
      <c r="F1244" s="109" t="str">
        <f t="shared" ref="F1244:G1244" si="1243">TRANSLATE(D1244,"lzh","vi")</f>
        <v>#NAME?</v>
      </c>
      <c r="G1244" s="109" t="str">
        <f t="shared" si="1243"/>
        <v>#NAME?</v>
      </c>
      <c r="X1244" s="110"/>
    </row>
    <row r="1245" ht="21.0" customHeight="1">
      <c r="A1245" s="6">
        <v>1.0</v>
      </c>
      <c r="B1245" s="6">
        <v>114.0</v>
      </c>
      <c r="C1245" s="6">
        <v>9.0</v>
      </c>
      <c r="D1245" s="122" t="s">
        <v>1331</v>
      </c>
      <c r="E1245" s="9" t="s">
        <v>1332</v>
      </c>
      <c r="F1245" s="109" t="str">
        <f t="shared" ref="F1245:G1245" si="1244">TRANSLATE(D1245,"lzh","vi")</f>
        <v>#NAME?</v>
      </c>
      <c r="G1245" s="109" t="str">
        <f t="shared" si="1244"/>
        <v>#NAME?</v>
      </c>
      <c r="X1245" s="110"/>
    </row>
    <row r="1246" ht="21.0" customHeight="1">
      <c r="A1246" s="6">
        <v>1.0</v>
      </c>
      <c r="B1246" s="6">
        <v>114.0</v>
      </c>
      <c r="C1246" s="6">
        <v>10.0</v>
      </c>
      <c r="D1246" s="122" t="s">
        <v>1333</v>
      </c>
      <c r="E1246" s="9" t="s">
        <v>1334</v>
      </c>
      <c r="F1246" s="109" t="str">
        <f t="shared" ref="F1246:G1246" si="1245">TRANSLATE(D1246,"lzh","vi")</f>
        <v>#NAME?</v>
      </c>
      <c r="G1246" s="109" t="str">
        <f t="shared" si="1245"/>
        <v>#NAME?</v>
      </c>
      <c r="X1246" s="110"/>
    </row>
    <row r="1247" ht="21.0" customHeight="1">
      <c r="A1247" s="30">
        <v>13.0</v>
      </c>
      <c r="B1247" s="31">
        <v>114.0</v>
      </c>
      <c r="C1247" s="31">
        <v>11.0</v>
      </c>
      <c r="D1247" s="153" t="s">
        <v>1335</v>
      </c>
      <c r="E1247" s="33" t="s">
        <v>462</v>
      </c>
      <c r="F1247" s="109" t="str">
        <f t="shared" ref="F1247:G1247" si="1246">TRANSLATE(D1247,"lzh","vi")</f>
        <v>#NAME?</v>
      </c>
      <c r="G1247" s="109" t="str">
        <f t="shared" si="1246"/>
        <v>#NAME?</v>
      </c>
      <c r="X1247" s="124"/>
    </row>
    <row r="1248" ht="21.0" customHeight="1">
      <c r="A1248" s="6">
        <v>11.0</v>
      </c>
      <c r="B1248" s="6">
        <v>1008.0</v>
      </c>
      <c r="C1248" s="6">
        <v>1.0</v>
      </c>
      <c r="D1248" s="122" t="s">
        <v>1336</v>
      </c>
      <c r="E1248" s="9" t="s">
        <v>1337</v>
      </c>
      <c r="F1248" s="109" t="str">
        <f t="shared" ref="F1248:G1248" si="1247">TRANSLATE(D1248,"lzh","vi")</f>
        <v>#NAME?</v>
      </c>
      <c r="G1248" s="109" t="str">
        <f t="shared" si="1247"/>
        <v>#NAME?</v>
      </c>
      <c r="X1248" s="110"/>
    </row>
    <row r="1249" ht="21.0" customHeight="1">
      <c r="A1249" s="6">
        <v>11.0</v>
      </c>
      <c r="B1249" s="6">
        <v>1008.0</v>
      </c>
      <c r="C1249" s="6">
        <v>2.0</v>
      </c>
      <c r="D1249" s="122" t="s">
        <v>1338</v>
      </c>
      <c r="E1249" s="9" t="s">
        <v>1339</v>
      </c>
      <c r="F1249" s="109" t="str">
        <f t="shared" ref="F1249:G1249" si="1248">TRANSLATE(D1249,"lzh","vi")</f>
        <v>#NAME?</v>
      </c>
      <c r="G1249" s="109" t="str">
        <f t="shared" si="1248"/>
        <v>#NAME?</v>
      </c>
      <c r="X1249" s="110"/>
    </row>
    <row r="1250" ht="21.0" customHeight="1">
      <c r="A1250" s="6">
        <v>11.0</v>
      </c>
      <c r="B1250" s="6">
        <v>1008.0</v>
      </c>
      <c r="C1250" s="6">
        <v>3.0</v>
      </c>
      <c r="D1250" s="122" t="s">
        <v>1340</v>
      </c>
      <c r="E1250" s="9" t="s">
        <v>1341</v>
      </c>
      <c r="F1250" s="109" t="str">
        <f t="shared" ref="F1250:G1250" si="1249">TRANSLATE(D1250,"lzh","vi")</f>
        <v>#NAME?</v>
      </c>
      <c r="G1250" s="109" t="str">
        <f t="shared" si="1249"/>
        <v>#NAME?</v>
      </c>
      <c r="X1250" s="110"/>
    </row>
    <row r="1251" ht="21.0" customHeight="1">
      <c r="A1251" s="6">
        <v>11.0</v>
      </c>
      <c r="B1251" s="6">
        <v>1008.0</v>
      </c>
      <c r="C1251" s="6">
        <v>4.0</v>
      </c>
      <c r="D1251" s="122" t="s">
        <v>1342</v>
      </c>
      <c r="E1251" s="9" t="s">
        <v>1343</v>
      </c>
      <c r="F1251" s="109" t="str">
        <f t="shared" ref="F1251:G1251" si="1250">TRANSLATE(D1251,"lzh","vi")</f>
        <v>#NAME?</v>
      </c>
      <c r="G1251" s="109" t="str">
        <f t="shared" si="1250"/>
        <v>#NAME?</v>
      </c>
      <c r="X1251" s="110"/>
    </row>
    <row r="1252" ht="21.0" customHeight="1">
      <c r="A1252" s="6">
        <v>10.0</v>
      </c>
      <c r="B1252" s="6">
        <v>1008.0</v>
      </c>
      <c r="C1252" s="6">
        <v>5.0</v>
      </c>
      <c r="D1252" s="122" t="s">
        <v>1344</v>
      </c>
      <c r="E1252" s="9" t="s">
        <v>1345</v>
      </c>
      <c r="F1252" s="109" t="str">
        <f t="shared" ref="F1252:G1252" si="1251">TRANSLATE(D1252,"lzh","vi")</f>
        <v>#NAME?</v>
      </c>
      <c r="G1252" s="109" t="str">
        <f t="shared" si="1251"/>
        <v>#NAME?</v>
      </c>
      <c r="X1252" s="110"/>
    </row>
    <row r="1253" ht="21.0" customHeight="1">
      <c r="A1253" s="6">
        <v>10.0</v>
      </c>
      <c r="B1253" s="6">
        <v>1008.0</v>
      </c>
      <c r="C1253" s="6">
        <v>6.0</v>
      </c>
      <c r="D1253" s="122" t="s">
        <v>1346</v>
      </c>
      <c r="E1253" s="9" t="s">
        <v>1347</v>
      </c>
      <c r="F1253" s="109" t="str">
        <f t="shared" ref="F1253:G1253" si="1252">TRANSLATE(D1253,"lzh","vi")</f>
        <v>#NAME?</v>
      </c>
      <c r="G1253" s="109" t="str">
        <f t="shared" si="1252"/>
        <v>#NAME?</v>
      </c>
      <c r="X1253" s="110"/>
    </row>
    <row r="1254" ht="21.0" customHeight="1">
      <c r="A1254" s="6">
        <v>10.0</v>
      </c>
      <c r="B1254" s="6">
        <v>1008.0</v>
      </c>
      <c r="C1254" s="6">
        <v>7.0</v>
      </c>
      <c r="D1254" s="122" t="s">
        <v>1348</v>
      </c>
      <c r="E1254" s="9" t="s">
        <v>1349</v>
      </c>
      <c r="F1254" s="109" t="str">
        <f t="shared" ref="F1254:G1254" si="1253">TRANSLATE(D1254,"lzh","vi")</f>
        <v>#NAME?</v>
      </c>
      <c r="G1254" s="109" t="str">
        <f t="shared" si="1253"/>
        <v>#NAME?</v>
      </c>
      <c r="X1254" s="110"/>
    </row>
    <row r="1255" ht="21.0" customHeight="1">
      <c r="A1255" s="6">
        <v>10.0</v>
      </c>
      <c r="B1255" s="6">
        <v>1008.0</v>
      </c>
      <c r="C1255" s="6">
        <v>8.0</v>
      </c>
      <c r="D1255" s="122" t="s">
        <v>1350</v>
      </c>
      <c r="E1255" s="9" t="s">
        <v>1351</v>
      </c>
      <c r="F1255" s="109" t="str">
        <f t="shared" ref="F1255:G1255" si="1254">TRANSLATE(D1255,"lzh","vi")</f>
        <v>#NAME?</v>
      </c>
      <c r="G1255" s="109" t="str">
        <f t="shared" si="1254"/>
        <v>#NAME?</v>
      </c>
      <c r="X1255" s="110"/>
    </row>
    <row r="1256" ht="21.0" customHeight="1">
      <c r="A1256" s="6">
        <v>1.0</v>
      </c>
      <c r="B1256" s="6">
        <v>115.0</v>
      </c>
      <c r="C1256" s="6">
        <v>1.0</v>
      </c>
      <c r="D1256" s="122" t="s">
        <v>1352</v>
      </c>
      <c r="E1256" s="9" t="s">
        <v>1353</v>
      </c>
      <c r="F1256" s="109" t="str">
        <f t="shared" ref="F1256:G1256" si="1255">TRANSLATE(D1256,"lzh","vi")</f>
        <v>#NAME?</v>
      </c>
      <c r="G1256" s="109" t="str">
        <f t="shared" si="1255"/>
        <v>#NAME?</v>
      </c>
      <c r="X1256" s="110"/>
    </row>
    <row r="1257" ht="21.0" customHeight="1">
      <c r="A1257" s="6">
        <v>1.0</v>
      </c>
      <c r="B1257" s="6">
        <v>115.0</v>
      </c>
      <c r="C1257" s="6">
        <v>2.0</v>
      </c>
      <c r="D1257" s="122" t="s">
        <v>1354</v>
      </c>
      <c r="E1257" s="9" t="s">
        <v>1355</v>
      </c>
      <c r="F1257" s="109" t="str">
        <f t="shared" ref="F1257:G1257" si="1256">TRANSLATE(D1257,"lzh","vi")</f>
        <v>#NAME?</v>
      </c>
      <c r="G1257" s="109" t="str">
        <f t="shared" si="1256"/>
        <v>#NAME?</v>
      </c>
      <c r="X1257" s="110"/>
    </row>
    <row r="1258" ht="21.0" customHeight="1">
      <c r="A1258" s="6">
        <v>1.0</v>
      </c>
      <c r="B1258" s="6">
        <v>115.0</v>
      </c>
      <c r="C1258" s="6">
        <v>3.0</v>
      </c>
      <c r="D1258" s="122" t="s">
        <v>1356</v>
      </c>
      <c r="E1258" s="9" t="s">
        <v>1357</v>
      </c>
      <c r="F1258" s="109" t="str">
        <f t="shared" ref="F1258:G1258" si="1257">TRANSLATE(D1258,"lzh","vi")</f>
        <v>#NAME?</v>
      </c>
      <c r="G1258" s="109" t="str">
        <f t="shared" si="1257"/>
        <v>#NAME?</v>
      </c>
      <c r="X1258" s="110"/>
    </row>
    <row r="1259" ht="21.0" customHeight="1">
      <c r="A1259" s="6">
        <v>1.0</v>
      </c>
      <c r="B1259" s="6">
        <v>115.0</v>
      </c>
      <c r="C1259" s="6">
        <v>4.0</v>
      </c>
      <c r="D1259" s="122" t="s">
        <v>1358</v>
      </c>
      <c r="E1259" s="9" t="s">
        <v>1359</v>
      </c>
      <c r="F1259" s="109" t="str">
        <f t="shared" ref="F1259:G1259" si="1258">TRANSLATE(D1259,"lzh","vi")</f>
        <v>#NAME?</v>
      </c>
      <c r="G1259" s="109" t="str">
        <f t="shared" si="1258"/>
        <v>#NAME?</v>
      </c>
      <c r="X1259" s="110"/>
    </row>
    <row r="1260" ht="21.0" customHeight="1">
      <c r="A1260" s="6">
        <v>1.0</v>
      </c>
      <c r="B1260" s="6">
        <v>115.0</v>
      </c>
      <c r="C1260" s="6">
        <v>5.0</v>
      </c>
      <c r="D1260" s="122" t="s">
        <v>1360</v>
      </c>
      <c r="E1260" s="9" t="s">
        <v>1361</v>
      </c>
      <c r="F1260" s="109" t="str">
        <f t="shared" ref="F1260:G1260" si="1259">TRANSLATE(D1260,"lzh","vi")</f>
        <v>#NAME?</v>
      </c>
      <c r="G1260" s="109" t="str">
        <f t="shared" si="1259"/>
        <v>#NAME?</v>
      </c>
      <c r="X1260" s="110"/>
    </row>
    <row r="1261" ht="21.0" customHeight="1">
      <c r="A1261" s="6">
        <v>1.0</v>
      </c>
      <c r="B1261" s="6">
        <v>115.0</v>
      </c>
      <c r="C1261" s="6">
        <v>6.0</v>
      </c>
      <c r="D1261" s="122" t="s">
        <v>1362</v>
      </c>
      <c r="E1261" s="9" t="s">
        <v>1363</v>
      </c>
      <c r="F1261" s="109" t="str">
        <f t="shared" ref="F1261:G1261" si="1260">TRANSLATE(D1261,"lzh","vi")</f>
        <v>#NAME?</v>
      </c>
      <c r="G1261" s="109" t="str">
        <f t="shared" si="1260"/>
        <v>#NAME?</v>
      </c>
      <c r="X1261" s="110"/>
    </row>
    <row r="1262" ht="21.0" customHeight="1">
      <c r="A1262" s="6">
        <v>1.0</v>
      </c>
      <c r="B1262" s="6">
        <v>115.0</v>
      </c>
      <c r="C1262" s="6">
        <v>7.0</v>
      </c>
      <c r="D1262" s="122" t="s">
        <v>1364</v>
      </c>
      <c r="E1262" s="9" t="s">
        <v>1365</v>
      </c>
      <c r="F1262" s="109" t="str">
        <f t="shared" ref="F1262:G1262" si="1261">TRANSLATE(D1262,"lzh","vi")</f>
        <v>#NAME?</v>
      </c>
      <c r="G1262" s="109" t="str">
        <f t="shared" si="1261"/>
        <v>#NAME?</v>
      </c>
      <c r="X1262" s="110"/>
    </row>
    <row r="1263" ht="21.0" customHeight="1">
      <c r="A1263" s="6">
        <v>1.0</v>
      </c>
      <c r="B1263" s="6">
        <v>115.0</v>
      </c>
      <c r="C1263" s="6">
        <v>8.0</v>
      </c>
      <c r="D1263" s="122" t="s">
        <v>1366</v>
      </c>
      <c r="E1263" s="9" t="s">
        <v>1367</v>
      </c>
      <c r="F1263" s="109" t="str">
        <f t="shared" ref="F1263:G1263" si="1262">TRANSLATE(D1263,"lzh","vi")</f>
        <v>#NAME?</v>
      </c>
      <c r="G1263" s="109" t="str">
        <f t="shared" si="1262"/>
        <v>#NAME?</v>
      </c>
      <c r="X1263" s="110"/>
    </row>
    <row r="1264" ht="21.0" customHeight="1">
      <c r="A1264" s="6">
        <v>1.0</v>
      </c>
      <c r="B1264" s="6">
        <v>115.0</v>
      </c>
      <c r="C1264" s="6">
        <v>9.0</v>
      </c>
      <c r="D1264" s="122" t="s">
        <v>1368</v>
      </c>
      <c r="E1264" s="9" t="s">
        <v>1369</v>
      </c>
      <c r="F1264" s="109" t="str">
        <f t="shared" ref="F1264:G1264" si="1263">TRANSLATE(D1264,"lzh","vi")</f>
        <v>#NAME?</v>
      </c>
      <c r="G1264" s="109" t="str">
        <f t="shared" si="1263"/>
        <v>#NAME?</v>
      </c>
      <c r="X1264" s="110"/>
    </row>
    <row r="1265" ht="21.0" customHeight="1">
      <c r="A1265" s="6">
        <v>1.0</v>
      </c>
      <c r="B1265" s="6">
        <v>115.0</v>
      </c>
      <c r="C1265" s="6">
        <v>10.0</v>
      </c>
      <c r="D1265" s="122" t="s">
        <v>1370</v>
      </c>
      <c r="E1265" s="9" t="s">
        <v>1371</v>
      </c>
      <c r="F1265" s="109" t="str">
        <f t="shared" ref="F1265:G1265" si="1264">TRANSLATE(D1265,"lzh","vi")</f>
        <v>#NAME?</v>
      </c>
      <c r="G1265" s="109" t="str">
        <f t="shared" si="1264"/>
        <v>#NAME?</v>
      </c>
      <c r="X1265" s="110"/>
    </row>
    <row r="1266" ht="21.0" customHeight="1">
      <c r="A1266" s="6">
        <v>13.0</v>
      </c>
      <c r="B1266" s="6">
        <v>115.0</v>
      </c>
      <c r="C1266" s="6">
        <v>11.0</v>
      </c>
      <c r="D1266" s="122" t="s">
        <v>1372</v>
      </c>
      <c r="E1266" s="9" t="s">
        <v>1373</v>
      </c>
      <c r="F1266" s="109" t="str">
        <f t="shared" ref="F1266:G1266" si="1265">TRANSLATE(D1266,"lzh","vi")</f>
        <v>#NAME?</v>
      </c>
      <c r="G1266" s="109" t="str">
        <f t="shared" si="1265"/>
        <v>#NAME?</v>
      </c>
      <c r="X1266" s="110"/>
    </row>
    <row r="1267" ht="21.0" customHeight="1">
      <c r="A1267" s="6">
        <v>1.0</v>
      </c>
      <c r="B1267" s="6">
        <v>126.0</v>
      </c>
      <c r="C1267" s="6">
        <v>1.0</v>
      </c>
      <c r="D1267" s="122" t="s">
        <v>1374</v>
      </c>
      <c r="E1267" s="9" t="s">
        <v>1375</v>
      </c>
      <c r="F1267" s="109" t="str">
        <f t="shared" ref="F1267:G1267" si="1266">TRANSLATE(D1267,"lzh","vi")</f>
        <v>#NAME?</v>
      </c>
      <c r="G1267" s="109" t="str">
        <f t="shared" si="1266"/>
        <v>#NAME?</v>
      </c>
      <c r="X1267" s="110"/>
    </row>
    <row r="1268" ht="21.0" customHeight="1">
      <c r="A1268" s="6">
        <v>1.0</v>
      </c>
      <c r="B1268" s="6">
        <v>126.0</v>
      </c>
      <c r="C1268" s="6">
        <v>2.0</v>
      </c>
      <c r="D1268" s="122" t="s">
        <v>1376</v>
      </c>
      <c r="E1268" s="9" t="s">
        <v>1377</v>
      </c>
      <c r="F1268" s="109" t="str">
        <f t="shared" ref="F1268:G1268" si="1267">TRANSLATE(D1268,"lzh","vi")</f>
        <v>#NAME?</v>
      </c>
      <c r="G1268" s="109" t="str">
        <f t="shared" si="1267"/>
        <v>#NAME?</v>
      </c>
      <c r="X1268" s="110"/>
    </row>
    <row r="1269" ht="21.0" customHeight="1">
      <c r="A1269" s="6">
        <v>1.0</v>
      </c>
      <c r="B1269" s="6">
        <v>126.0</v>
      </c>
      <c r="C1269" s="6">
        <v>3.0</v>
      </c>
      <c r="D1269" s="122" t="s">
        <v>1378</v>
      </c>
      <c r="E1269" s="9" t="s">
        <v>1379</v>
      </c>
      <c r="F1269" s="109" t="str">
        <f t="shared" ref="F1269:G1269" si="1268">TRANSLATE(D1269,"lzh","vi")</f>
        <v>#NAME?</v>
      </c>
      <c r="G1269" s="109" t="str">
        <f t="shared" si="1268"/>
        <v>#NAME?</v>
      </c>
      <c r="X1269" s="110"/>
    </row>
    <row r="1270" ht="21.0" customHeight="1">
      <c r="A1270" s="6">
        <v>1.0</v>
      </c>
      <c r="B1270" s="6">
        <v>126.0</v>
      </c>
      <c r="C1270" s="6">
        <v>4.0</v>
      </c>
      <c r="D1270" s="122" t="s">
        <v>1380</v>
      </c>
      <c r="E1270" s="9" t="s">
        <v>1381</v>
      </c>
      <c r="F1270" s="109" t="str">
        <f t="shared" ref="F1270:G1270" si="1269">TRANSLATE(D1270,"lzh","vi")</f>
        <v>#NAME?</v>
      </c>
      <c r="G1270" s="109" t="str">
        <f t="shared" si="1269"/>
        <v>#NAME?</v>
      </c>
      <c r="X1270" s="110"/>
    </row>
    <row r="1271" ht="21.0" customHeight="1">
      <c r="A1271" s="6">
        <v>1.0</v>
      </c>
      <c r="B1271" s="6">
        <v>126.0</v>
      </c>
      <c r="C1271" s="6">
        <v>5.0</v>
      </c>
      <c r="D1271" s="122" t="s">
        <v>1382</v>
      </c>
      <c r="E1271" s="9" t="s">
        <v>1383</v>
      </c>
      <c r="F1271" s="109" t="str">
        <f t="shared" ref="F1271:G1271" si="1270">TRANSLATE(D1271,"lzh","vi")</f>
        <v>#NAME?</v>
      </c>
      <c r="G1271" s="109" t="str">
        <f t="shared" si="1270"/>
        <v>#NAME?</v>
      </c>
      <c r="X1271" s="110"/>
    </row>
    <row r="1272" ht="21.0" customHeight="1">
      <c r="A1272" s="6">
        <v>1.0</v>
      </c>
      <c r="B1272" s="6">
        <v>126.0</v>
      </c>
      <c r="C1272" s="6">
        <v>6.0</v>
      </c>
      <c r="D1272" s="122" t="s">
        <v>1384</v>
      </c>
      <c r="E1272" s="9" t="s">
        <v>1385</v>
      </c>
      <c r="F1272" s="109" t="str">
        <f t="shared" ref="F1272:G1272" si="1271">TRANSLATE(D1272,"lzh","vi")</f>
        <v>#NAME?</v>
      </c>
      <c r="G1272" s="109" t="str">
        <f t="shared" si="1271"/>
        <v>#NAME?</v>
      </c>
      <c r="X1272" s="110"/>
    </row>
    <row r="1273" ht="21.0" customHeight="1">
      <c r="A1273" s="6">
        <v>1.0</v>
      </c>
      <c r="B1273" s="6">
        <v>126.0</v>
      </c>
      <c r="C1273" s="6">
        <v>7.0</v>
      </c>
      <c r="D1273" s="122" t="s">
        <v>1386</v>
      </c>
      <c r="E1273" s="9" t="s">
        <v>1387</v>
      </c>
      <c r="F1273" s="109" t="str">
        <f t="shared" ref="F1273:G1273" si="1272">TRANSLATE(D1273,"lzh","vi")</f>
        <v>#NAME?</v>
      </c>
      <c r="G1273" s="109" t="str">
        <f t="shared" si="1272"/>
        <v>#NAME?</v>
      </c>
      <c r="X1273" s="110"/>
    </row>
    <row r="1274" ht="21.0" customHeight="1">
      <c r="A1274" s="6">
        <v>1.0</v>
      </c>
      <c r="B1274" s="6">
        <v>126.0</v>
      </c>
      <c r="C1274" s="6">
        <v>8.0</v>
      </c>
      <c r="D1274" s="122" t="s">
        <v>1388</v>
      </c>
      <c r="E1274" s="9" t="s">
        <v>1389</v>
      </c>
      <c r="F1274" s="109" t="str">
        <f t="shared" ref="F1274:G1274" si="1273">TRANSLATE(D1274,"lzh","vi")</f>
        <v>#NAME?</v>
      </c>
      <c r="G1274" s="109" t="str">
        <f t="shared" si="1273"/>
        <v>#NAME?</v>
      </c>
      <c r="X1274" s="110"/>
    </row>
    <row r="1275" ht="21.0" customHeight="1">
      <c r="A1275" s="6">
        <v>1.0</v>
      </c>
      <c r="B1275" s="6">
        <v>126.0</v>
      </c>
      <c r="C1275" s="6">
        <v>9.0</v>
      </c>
      <c r="D1275" s="122" t="s">
        <v>1390</v>
      </c>
      <c r="E1275" s="9" t="s">
        <v>1391</v>
      </c>
      <c r="F1275" s="109" t="str">
        <f t="shared" ref="F1275:G1275" si="1274">TRANSLATE(D1275,"lzh","vi")</f>
        <v>#NAME?</v>
      </c>
      <c r="G1275" s="109" t="str">
        <f t="shared" si="1274"/>
        <v>#NAME?</v>
      </c>
      <c r="X1275" s="110"/>
    </row>
    <row r="1276" ht="21.0" customHeight="1">
      <c r="A1276" s="6">
        <v>1.0</v>
      </c>
      <c r="B1276" s="6">
        <v>126.0</v>
      </c>
      <c r="C1276" s="6">
        <v>10.0</v>
      </c>
      <c r="D1276" s="122" t="s">
        <v>1392</v>
      </c>
      <c r="E1276" s="9" t="s">
        <v>1393</v>
      </c>
      <c r="F1276" s="109" t="str">
        <f t="shared" ref="F1276:G1276" si="1275">TRANSLATE(D1276,"lzh","vi")</f>
        <v>#NAME?</v>
      </c>
      <c r="G1276" s="109" t="str">
        <f t="shared" si="1275"/>
        <v>#NAME?</v>
      </c>
      <c r="X1276" s="110"/>
    </row>
    <row r="1277" ht="21.0" customHeight="1">
      <c r="A1277" s="30">
        <v>13.0</v>
      </c>
      <c r="B1277" s="31">
        <v>126.0</v>
      </c>
      <c r="C1277" s="31">
        <v>11.0</v>
      </c>
      <c r="D1277" s="153" t="s">
        <v>1394</v>
      </c>
      <c r="E1277" s="33" t="s">
        <v>1395</v>
      </c>
      <c r="F1277" s="109" t="str">
        <f t="shared" ref="F1277:G1277" si="1276">TRANSLATE(D1277,"lzh","vi")</f>
        <v>#NAME?</v>
      </c>
      <c r="G1277" s="109" t="str">
        <f t="shared" si="1276"/>
        <v>#NAME?</v>
      </c>
      <c r="X1277" s="124"/>
    </row>
    <row r="1278" ht="21.0" customHeight="1">
      <c r="A1278" s="30">
        <v>5.0</v>
      </c>
      <c r="B1278" s="31">
        <v>531.0</v>
      </c>
      <c r="C1278" s="31">
        <v>1.0</v>
      </c>
      <c r="D1278" s="153" t="s">
        <v>1396</v>
      </c>
      <c r="E1278" s="33" t="s">
        <v>873</v>
      </c>
      <c r="F1278" s="109" t="str">
        <f t="shared" ref="F1278:G1278" si="1277">TRANSLATE(D1278,"lzh","vi")</f>
        <v>#NAME?</v>
      </c>
      <c r="G1278" s="109" t="str">
        <f t="shared" si="1277"/>
        <v>#NAME?</v>
      </c>
      <c r="X1278" s="124"/>
    </row>
    <row r="1279" ht="21.0" customHeight="1">
      <c r="A1279" s="30">
        <v>5.0</v>
      </c>
      <c r="B1279" s="31">
        <v>531.0</v>
      </c>
      <c r="C1279" s="31">
        <v>1.0</v>
      </c>
      <c r="D1279" s="153" t="s">
        <v>1397</v>
      </c>
      <c r="E1279" s="33" t="s">
        <v>873</v>
      </c>
      <c r="F1279" s="109" t="str">
        <f t="shared" ref="F1279:G1279" si="1278">TRANSLATE(D1279,"lzh","vi")</f>
        <v>#NAME?</v>
      </c>
      <c r="G1279" s="109" t="str">
        <f t="shared" si="1278"/>
        <v>#NAME?</v>
      </c>
      <c r="X1279" s="124"/>
    </row>
    <row r="1280" ht="21.0" customHeight="1">
      <c r="A1280" s="30">
        <v>5.0</v>
      </c>
      <c r="B1280" s="31">
        <v>531.0</v>
      </c>
      <c r="C1280" s="31">
        <v>1.0</v>
      </c>
      <c r="D1280" s="153" t="s">
        <v>1398</v>
      </c>
      <c r="E1280" s="33" t="s">
        <v>873</v>
      </c>
      <c r="F1280" s="109" t="str">
        <f t="shared" ref="F1280:G1280" si="1279">TRANSLATE(D1280,"lzh","vi")</f>
        <v>#NAME?</v>
      </c>
      <c r="G1280" s="109" t="str">
        <f t="shared" si="1279"/>
        <v>#NAME?</v>
      </c>
      <c r="X1280" s="124"/>
    </row>
    <row r="1281" ht="21.0" customHeight="1">
      <c r="A1281" s="30">
        <v>5.0</v>
      </c>
      <c r="B1281" s="31">
        <v>531.0</v>
      </c>
      <c r="C1281" s="31">
        <v>1.0</v>
      </c>
      <c r="D1281" s="153" t="s">
        <v>1399</v>
      </c>
      <c r="E1281" s="33" t="s">
        <v>873</v>
      </c>
      <c r="F1281" s="109" t="str">
        <f t="shared" ref="F1281:G1281" si="1280">TRANSLATE(D1281,"lzh","vi")</f>
        <v>#NAME?</v>
      </c>
      <c r="G1281" s="109" t="str">
        <f t="shared" si="1280"/>
        <v>#NAME?</v>
      </c>
      <c r="X1281" s="124"/>
    </row>
    <row r="1282" ht="21.0" customHeight="1">
      <c r="A1282" s="30">
        <v>5.0</v>
      </c>
      <c r="B1282" s="31">
        <v>531.0</v>
      </c>
      <c r="C1282" s="31">
        <v>1.0</v>
      </c>
      <c r="D1282" s="153" t="s">
        <v>1400</v>
      </c>
      <c r="E1282" s="33" t="s">
        <v>873</v>
      </c>
      <c r="F1282" s="109" t="str">
        <f t="shared" ref="F1282:G1282" si="1281">TRANSLATE(D1282,"lzh","vi")</f>
        <v>#NAME?</v>
      </c>
      <c r="G1282" s="109" t="str">
        <f t="shared" si="1281"/>
        <v>#NAME?</v>
      </c>
      <c r="X1282" s="124"/>
    </row>
    <row r="1283" ht="21.0" customHeight="1">
      <c r="A1283" s="30">
        <v>5.0</v>
      </c>
      <c r="B1283" s="31">
        <v>531.0</v>
      </c>
      <c r="C1283" s="31">
        <v>1.0</v>
      </c>
      <c r="D1283" s="153" t="s">
        <v>1401</v>
      </c>
      <c r="E1283" s="33" t="s">
        <v>1402</v>
      </c>
      <c r="F1283" s="109" t="str">
        <f t="shared" ref="F1283:G1283" si="1282">TRANSLATE(D1283,"lzh","vi")</f>
        <v>#NAME?</v>
      </c>
      <c r="G1283" s="109" t="str">
        <f t="shared" si="1282"/>
        <v>#NAME?</v>
      </c>
      <c r="X1283" s="124"/>
    </row>
    <row r="1284" ht="21.0" customHeight="1">
      <c r="A1284" s="30">
        <v>5.0</v>
      </c>
      <c r="B1284" s="31">
        <v>531.0</v>
      </c>
      <c r="C1284" s="31">
        <v>1.0</v>
      </c>
      <c r="D1284" s="153" t="s">
        <v>1403</v>
      </c>
      <c r="E1284" s="33" t="s">
        <v>1402</v>
      </c>
      <c r="F1284" s="109" t="str">
        <f t="shared" ref="F1284:G1284" si="1283">TRANSLATE(D1284,"lzh","vi")</f>
        <v>#NAME?</v>
      </c>
      <c r="G1284" s="109" t="str">
        <f t="shared" si="1283"/>
        <v>#NAME?</v>
      </c>
      <c r="X1284" s="124"/>
    </row>
    <row r="1285" ht="21.0" customHeight="1">
      <c r="A1285" s="30">
        <v>43.0</v>
      </c>
      <c r="B1285" s="31">
        <v>531.0</v>
      </c>
      <c r="C1285" s="31">
        <v>1.0</v>
      </c>
      <c r="D1285" s="153" t="s">
        <v>1404</v>
      </c>
      <c r="E1285" s="33" t="s">
        <v>1405</v>
      </c>
      <c r="F1285" s="109" t="str">
        <f t="shared" ref="F1285:G1285" si="1284">TRANSLATE(D1285,"lzh","vi")</f>
        <v>#NAME?</v>
      </c>
      <c r="G1285" s="109" t="str">
        <f t="shared" si="1284"/>
        <v>#NAME?</v>
      </c>
      <c r="X1285" s="124"/>
    </row>
    <row r="1286" ht="21.0" customHeight="1">
      <c r="A1286" s="6">
        <v>11.0</v>
      </c>
      <c r="B1286" s="6">
        <v>1009.0</v>
      </c>
      <c r="C1286" s="6">
        <v>1.0</v>
      </c>
      <c r="D1286" s="122" t="s">
        <v>1406</v>
      </c>
      <c r="E1286" s="9" t="s">
        <v>1407</v>
      </c>
      <c r="F1286" s="109" t="str">
        <f t="shared" ref="F1286:G1286" si="1285">TRANSLATE(D1286,"lzh","vi")</f>
        <v>#NAME?</v>
      </c>
      <c r="G1286" s="109" t="str">
        <f t="shared" si="1285"/>
        <v>#NAME?</v>
      </c>
      <c r="X1286" s="110"/>
    </row>
    <row r="1287" ht="21.0" customHeight="1">
      <c r="A1287" s="6">
        <v>11.0</v>
      </c>
      <c r="B1287" s="6">
        <v>1009.0</v>
      </c>
      <c r="C1287" s="6">
        <v>2.0</v>
      </c>
      <c r="D1287" s="122" t="s">
        <v>1406</v>
      </c>
      <c r="E1287" s="9" t="s">
        <v>1407</v>
      </c>
      <c r="F1287" s="109" t="str">
        <f t="shared" ref="F1287:G1287" si="1286">TRANSLATE(D1287,"lzh","vi")</f>
        <v>#NAME?</v>
      </c>
      <c r="G1287" s="109" t="str">
        <f t="shared" si="1286"/>
        <v>#NAME?</v>
      </c>
      <c r="X1287" s="110"/>
    </row>
    <row r="1288" ht="21.0" customHeight="1">
      <c r="A1288" s="6">
        <v>11.0</v>
      </c>
      <c r="B1288" s="6">
        <v>1009.0</v>
      </c>
      <c r="C1288" s="6">
        <v>3.0</v>
      </c>
      <c r="D1288" s="122" t="s">
        <v>1406</v>
      </c>
      <c r="E1288" s="9" t="s">
        <v>1407</v>
      </c>
      <c r="F1288" s="109" t="str">
        <f t="shared" ref="F1288:G1288" si="1287">TRANSLATE(D1288,"lzh","vi")</f>
        <v>#NAME?</v>
      </c>
      <c r="G1288" s="109" t="str">
        <f t="shared" si="1287"/>
        <v>#NAME?</v>
      </c>
      <c r="X1288" s="110"/>
    </row>
    <row r="1289" ht="21.0" customHeight="1">
      <c r="A1289" s="6">
        <v>11.0</v>
      </c>
      <c r="B1289" s="6">
        <v>1009.0</v>
      </c>
      <c r="C1289" s="6">
        <v>4.0</v>
      </c>
      <c r="D1289" s="122" t="s">
        <v>1406</v>
      </c>
      <c r="E1289" s="9" t="s">
        <v>1407</v>
      </c>
      <c r="F1289" s="109" t="str">
        <f t="shared" ref="F1289:G1289" si="1288">TRANSLATE(D1289,"lzh","vi")</f>
        <v>#NAME?</v>
      </c>
      <c r="G1289" s="109" t="str">
        <f t="shared" si="1288"/>
        <v>#NAME?</v>
      </c>
      <c r="X1289" s="110"/>
    </row>
    <row r="1290" ht="21.0" customHeight="1">
      <c r="A1290" s="6">
        <v>11.0</v>
      </c>
      <c r="B1290" s="6">
        <v>1009.0</v>
      </c>
      <c r="C1290" s="6">
        <v>5.0</v>
      </c>
      <c r="D1290" s="122" t="s">
        <v>1406</v>
      </c>
      <c r="E1290" s="9" t="s">
        <v>1407</v>
      </c>
      <c r="F1290" s="109" t="str">
        <f t="shared" ref="F1290:G1290" si="1289">TRANSLATE(D1290,"lzh","vi")</f>
        <v>#NAME?</v>
      </c>
      <c r="G1290" s="109" t="str">
        <f t="shared" si="1289"/>
        <v>#NAME?</v>
      </c>
      <c r="X1290" s="154"/>
    </row>
    <row r="1291" ht="21.0" customHeight="1">
      <c r="A1291" s="6">
        <v>11.0</v>
      </c>
      <c r="B1291" s="6">
        <v>1009.0</v>
      </c>
      <c r="C1291" s="6">
        <v>6.0</v>
      </c>
      <c r="D1291" s="122" t="s">
        <v>1406</v>
      </c>
      <c r="E1291" s="9" t="s">
        <v>1407</v>
      </c>
      <c r="F1291" s="109" t="str">
        <f t="shared" ref="F1291:G1291" si="1290">TRANSLATE(D1291,"lzh","vi")</f>
        <v>#NAME?</v>
      </c>
      <c r="G1291" s="109" t="str">
        <f t="shared" si="1290"/>
        <v>#NAME?</v>
      </c>
      <c r="X1291" s="154"/>
    </row>
    <row r="1292" ht="21.0" customHeight="1">
      <c r="A1292" s="6">
        <v>11.0</v>
      </c>
      <c r="B1292" s="6">
        <v>1009.0</v>
      </c>
      <c r="C1292" s="6">
        <v>7.0</v>
      </c>
      <c r="D1292" s="122" t="s">
        <v>1406</v>
      </c>
      <c r="E1292" s="9" t="s">
        <v>1407</v>
      </c>
      <c r="F1292" s="109" t="str">
        <f t="shared" ref="F1292:G1292" si="1291">TRANSLATE(D1292,"lzh","vi")</f>
        <v>#NAME?</v>
      </c>
      <c r="G1292" s="109" t="str">
        <f t="shared" si="1291"/>
        <v>#NAME?</v>
      </c>
      <c r="X1292" s="154"/>
    </row>
    <row r="1293" ht="21.0" customHeight="1">
      <c r="A1293" s="6">
        <v>11.0</v>
      </c>
      <c r="B1293" s="6">
        <v>1009.0</v>
      </c>
      <c r="C1293" s="6">
        <v>8.0</v>
      </c>
      <c r="D1293" s="122" t="s">
        <v>1406</v>
      </c>
      <c r="E1293" s="9" t="s">
        <v>1407</v>
      </c>
      <c r="F1293" s="109" t="str">
        <f t="shared" ref="F1293:G1293" si="1292">TRANSLATE(D1293,"lzh","vi")</f>
        <v>#NAME?</v>
      </c>
      <c r="G1293" s="109" t="str">
        <f t="shared" si="1292"/>
        <v>#NAME?</v>
      </c>
      <c r="X1293" s="154"/>
    </row>
    <row r="1294" ht="21.0" customHeight="1">
      <c r="A1294" s="6">
        <v>11.0</v>
      </c>
      <c r="B1294" s="6">
        <v>1009.0</v>
      </c>
      <c r="C1294" s="6">
        <v>9.0</v>
      </c>
      <c r="D1294" s="122" t="s">
        <v>1406</v>
      </c>
      <c r="E1294" s="9" t="s">
        <v>1407</v>
      </c>
      <c r="F1294" s="109" t="str">
        <f t="shared" ref="F1294:G1294" si="1293">TRANSLATE(D1294,"lzh","vi")</f>
        <v>#NAME?</v>
      </c>
      <c r="G1294" s="109" t="str">
        <f t="shared" si="1293"/>
        <v>#NAME?</v>
      </c>
      <c r="X1294" s="154"/>
    </row>
    <row r="1295" ht="21.0" customHeight="1">
      <c r="A1295" s="6">
        <v>11.0</v>
      </c>
      <c r="B1295" s="6">
        <v>1009.0</v>
      </c>
      <c r="C1295" s="6">
        <v>10.0</v>
      </c>
      <c r="D1295" s="122" t="s">
        <v>1406</v>
      </c>
      <c r="E1295" s="9" t="s">
        <v>1408</v>
      </c>
      <c r="F1295" s="109" t="str">
        <f t="shared" ref="F1295:G1295" si="1294">TRANSLATE(D1295,"lzh","vi")</f>
        <v>#NAME?</v>
      </c>
      <c r="G1295" s="109" t="str">
        <f t="shared" si="1294"/>
        <v>#NAME?</v>
      </c>
      <c r="X1295" s="154"/>
    </row>
    <row r="1296" ht="21.0" customHeight="1">
      <c r="A1296" s="6">
        <v>1.0</v>
      </c>
      <c r="B1296" s="6">
        <v>116.0</v>
      </c>
      <c r="C1296" s="6">
        <v>1.0</v>
      </c>
      <c r="D1296" s="122" t="s">
        <v>1409</v>
      </c>
      <c r="E1296" s="9" t="s">
        <v>1408</v>
      </c>
      <c r="F1296" s="109" t="str">
        <f t="shared" ref="F1296:G1296" si="1295">TRANSLATE(D1296,"lzh","vi")</f>
        <v>#NAME?</v>
      </c>
      <c r="G1296" s="109" t="str">
        <f t="shared" si="1295"/>
        <v>#NAME?</v>
      </c>
      <c r="X1296" s="154"/>
    </row>
    <row r="1297" ht="21.0" customHeight="1">
      <c r="A1297" s="6">
        <v>1.0</v>
      </c>
      <c r="B1297" s="6">
        <v>116.0</v>
      </c>
      <c r="C1297" s="6">
        <v>2.0</v>
      </c>
      <c r="D1297" s="122" t="s">
        <v>1409</v>
      </c>
      <c r="E1297" s="9" t="s">
        <v>1408</v>
      </c>
      <c r="F1297" s="109" t="str">
        <f t="shared" ref="F1297:G1297" si="1296">TRANSLATE(D1297,"lzh","vi")</f>
        <v>#NAME?</v>
      </c>
      <c r="G1297" s="109" t="str">
        <f t="shared" si="1296"/>
        <v>#NAME?</v>
      </c>
      <c r="X1297" s="154"/>
    </row>
    <row r="1298" ht="21.0" customHeight="1">
      <c r="A1298" s="6">
        <v>1.0</v>
      </c>
      <c r="B1298" s="6">
        <v>116.0</v>
      </c>
      <c r="C1298" s="6">
        <v>3.0</v>
      </c>
      <c r="D1298" s="122" t="s">
        <v>1409</v>
      </c>
      <c r="E1298" s="9" t="s">
        <v>1408</v>
      </c>
      <c r="F1298" s="109" t="str">
        <f t="shared" ref="F1298:G1298" si="1297">TRANSLATE(D1298,"lzh","vi")</f>
        <v>#NAME?</v>
      </c>
      <c r="G1298" s="109" t="str">
        <f t="shared" si="1297"/>
        <v>#NAME?</v>
      </c>
      <c r="X1298" s="154"/>
    </row>
    <row r="1299" ht="21.0" customHeight="1">
      <c r="A1299" s="6">
        <v>1.0</v>
      </c>
      <c r="B1299" s="6">
        <v>116.0</v>
      </c>
      <c r="C1299" s="6">
        <v>4.0</v>
      </c>
      <c r="D1299" s="122" t="s">
        <v>1409</v>
      </c>
      <c r="E1299" s="9" t="s">
        <v>1408</v>
      </c>
      <c r="F1299" s="109" t="str">
        <f t="shared" ref="F1299:G1299" si="1298">TRANSLATE(D1299,"lzh","vi")</f>
        <v>#NAME?</v>
      </c>
      <c r="G1299" s="109" t="str">
        <f t="shared" si="1298"/>
        <v>#NAME?</v>
      </c>
      <c r="X1299" s="154"/>
    </row>
    <row r="1300" ht="21.0" customHeight="1">
      <c r="A1300" s="6">
        <v>1.0</v>
      </c>
      <c r="B1300" s="6">
        <v>116.0</v>
      </c>
      <c r="C1300" s="6">
        <v>5.0</v>
      </c>
      <c r="D1300" s="122" t="s">
        <v>1409</v>
      </c>
      <c r="E1300" s="9" t="s">
        <v>1408</v>
      </c>
      <c r="F1300" s="109" t="str">
        <f t="shared" ref="F1300:G1300" si="1299">TRANSLATE(D1300,"lzh","vi")</f>
        <v>#NAME?</v>
      </c>
      <c r="G1300" s="109" t="str">
        <f t="shared" si="1299"/>
        <v>#NAME?</v>
      </c>
      <c r="X1300" s="154"/>
    </row>
    <row r="1301" ht="21.0" customHeight="1">
      <c r="A1301" s="6">
        <v>1.0</v>
      </c>
      <c r="B1301" s="6">
        <v>116.0</v>
      </c>
      <c r="C1301" s="6">
        <v>6.0</v>
      </c>
      <c r="D1301" s="122" t="s">
        <v>1409</v>
      </c>
      <c r="E1301" s="9" t="s">
        <v>1408</v>
      </c>
      <c r="F1301" s="109" t="str">
        <f t="shared" ref="F1301:G1301" si="1300">TRANSLATE(D1301,"lzh","vi")</f>
        <v>#NAME?</v>
      </c>
      <c r="G1301" s="109" t="str">
        <f t="shared" si="1300"/>
        <v>#NAME?</v>
      </c>
      <c r="X1301" s="154"/>
    </row>
    <row r="1302" ht="21.0" customHeight="1">
      <c r="A1302" s="6">
        <v>1.0</v>
      </c>
      <c r="B1302" s="6">
        <v>116.0</v>
      </c>
      <c r="C1302" s="6">
        <v>7.0</v>
      </c>
      <c r="D1302" s="122" t="s">
        <v>1409</v>
      </c>
      <c r="E1302" s="9" t="s">
        <v>1408</v>
      </c>
      <c r="F1302" s="109" t="str">
        <f t="shared" ref="F1302:G1302" si="1301">TRANSLATE(D1302,"lzh","vi")</f>
        <v>#NAME?</v>
      </c>
      <c r="G1302" s="109" t="str">
        <f t="shared" si="1301"/>
        <v>#NAME?</v>
      </c>
      <c r="X1302" s="154"/>
    </row>
    <row r="1303" ht="21.0" customHeight="1">
      <c r="A1303" s="6">
        <v>1.0</v>
      </c>
      <c r="B1303" s="6">
        <v>116.0</v>
      </c>
      <c r="C1303" s="6">
        <v>8.0</v>
      </c>
      <c r="D1303" s="122" t="s">
        <v>1409</v>
      </c>
      <c r="E1303" s="9" t="s">
        <v>1408</v>
      </c>
      <c r="F1303" s="109" t="str">
        <f t="shared" ref="F1303:G1303" si="1302">TRANSLATE(D1303,"lzh","vi")</f>
        <v>#NAME?</v>
      </c>
      <c r="G1303" s="109" t="str">
        <f t="shared" si="1302"/>
        <v>#NAME?</v>
      </c>
      <c r="X1303" s="154"/>
    </row>
    <row r="1304" ht="21.0" customHeight="1">
      <c r="A1304" s="6">
        <v>1.0</v>
      </c>
      <c r="B1304" s="6">
        <v>116.0</v>
      </c>
      <c r="C1304" s="6">
        <v>9.0</v>
      </c>
      <c r="D1304" s="122" t="s">
        <v>1409</v>
      </c>
      <c r="E1304" s="9" t="s">
        <v>1408</v>
      </c>
      <c r="F1304" s="109" t="str">
        <f t="shared" ref="F1304:G1304" si="1303">TRANSLATE(D1304,"lzh","vi")</f>
        <v>#NAME?</v>
      </c>
      <c r="G1304" s="109" t="str">
        <f t="shared" si="1303"/>
        <v>#NAME?</v>
      </c>
      <c r="X1304" s="154"/>
    </row>
    <row r="1305" ht="21.0" customHeight="1">
      <c r="A1305" s="6">
        <v>1.0</v>
      </c>
      <c r="B1305" s="6">
        <v>116.0</v>
      </c>
      <c r="C1305" s="6">
        <v>10.0</v>
      </c>
      <c r="D1305" s="122" t="s">
        <v>1409</v>
      </c>
      <c r="E1305" s="9" t="s">
        <v>1410</v>
      </c>
      <c r="F1305" s="109" t="str">
        <f t="shared" ref="F1305:G1305" si="1304">TRANSLATE(D1305,"lzh","vi")</f>
        <v>#NAME?</v>
      </c>
      <c r="G1305" s="109" t="str">
        <f t="shared" si="1304"/>
        <v>#NAME?</v>
      </c>
      <c r="X1305" s="154"/>
    </row>
    <row r="1306" ht="21.0" customHeight="1">
      <c r="A1306" s="6">
        <v>11.0</v>
      </c>
      <c r="B1306" s="6">
        <v>1010.0</v>
      </c>
      <c r="C1306" s="6">
        <v>1.0</v>
      </c>
      <c r="D1306" s="122" t="s">
        <v>1411</v>
      </c>
      <c r="E1306" s="9" t="s">
        <v>1412</v>
      </c>
      <c r="F1306" s="109" t="str">
        <f t="shared" ref="F1306:G1306" si="1305">TRANSLATE(D1306,"lzh","vi")</f>
        <v>#NAME?</v>
      </c>
      <c r="G1306" s="109" t="str">
        <f t="shared" si="1305"/>
        <v>#NAME?</v>
      </c>
      <c r="X1306" s="110"/>
    </row>
    <row r="1307" ht="21.0" customHeight="1">
      <c r="A1307" s="6">
        <v>11.0</v>
      </c>
      <c r="B1307" s="6">
        <v>1010.0</v>
      </c>
      <c r="C1307" s="6">
        <v>2.0</v>
      </c>
      <c r="D1307" s="122" t="s">
        <v>1413</v>
      </c>
      <c r="E1307" s="9" t="s">
        <v>1414</v>
      </c>
      <c r="F1307" s="109" t="str">
        <f t="shared" ref="F1307:G1307" si="1306">TRANSLATE(D1307,"lzh","vi")</f>
        <v>#NAME?</v>
      </c>
      <c r="G1307" s="109" t="str">
        <f t="shared" si="1306"/>
        <v>#NAME?</v>
      </c>
      <c r="X1307" s="110"/>
    </row>
    <row r="1308" ht="21.0" customHeight="1">
      <c r="A1308" s="6">
        <v>11.0</v>
      </c>
      <c r="B1308" s="6">
        <v>1010.0</v>
      </c>
      <c r="C1308" s="6">
        <v>3.0</v>
      </c>
      <c r="D1308" s="122" t="s">
        <v>1415</v>
      </c>
      <c r="E1308" s="9" t="s">
        <v>1416</v>
      </c>
      <c r="F1308" s="109" t="str">
        <f t="shared" ref="F1308:G1308" si="1307">TRANSLATE(D1308,"lzh","vi")</f>
        <v>#NAME?</v>
      </c>
      <c r="G1308" s="109" t="str">
        <f t="shared" si="1307"/>
        <v>#NAME?</v>
      </c>
      <c r="X1308" s="110"/>
    </row>
    <row r="1309" ht="21.0" customHeight="1">
      <c r="A1309" s="6">
        <v>11.0</v>
      </c>
      <c r="B1309" s="6">
        <v>1010.0</v>
      </c>
      <c r="C1309" s="6">
        <v>4.0</v>
      </c>
      <c r="D1309" s="122" t="s">
        <v>1417</v>
      </c>
      <c r="E1309" s="9" t="s">
        <v>1418</v>
      </c>
      <c r="F1309" s="109" t="str">
        <f t="shared" ref="F1309:G1309" si="1308">TRANSLATE(D1309,"lzh","vi")</f>
        <v>#NAME?</v>
      </c>
      <c r="G1309" s="109" t="str">
        <f t="shared" si="1308"/>
        <v>#NAME?</v>
      </c>
      <c r="X1309" s="110"/>
    </row>
    <row r="1310" ht="21.0" customHeight="1">
      <c r="A1310" s="6">
        <v>10.0</v>
      </c>
      <c r="B1310" s="6">
        <v>1010.0</v>
      </c>
      <c r="C1310" s="6">
        <v>5.0</v>
      </c>
      <c r="D1310" s="122" t="s">
        <v>1419</v>
      </c>
      <c r="E1310" s="9" t="s">
        <v>1420</v>
      </c>
      <c r="F1310" s="109" t="str">
        <f t="shared" ref="F1310:G1310" si="1309">TRANSLATE(D1310,"lzh","vi")</f>
        <v>#NAME?</v>
      </c>
      <c r="G1310" s="109" t="str">
        <f t="shared" si="1309"/>
        <v>#NAME?</v>
      </c>
      <c r="X1310" s="110"/>
    </row>
    <row r="1311" ht="21.0" customHeight="1">
      <c r="A1311" s="6">
        <v>10.0</v>
      </c>
      <c r="B1311" s="6">
        <v>1010.0</v>
      </c>
      <c r="C1311" s="6">
        <v>6.0</v>
      </c>
      <c r="D1311" s="122" t="s">
        <v>1421</v>
      </c>
      <c r="E1311" s="9" t="s">
        <v>1422</v>
      </c>
      <c r="F1311" s="109" t="str">
        <f t="shared" ref="F1311:G1311" si="1310">TRANSLATE(D1311,"lzh","vi")</f>
        <v>#NAME?</v>
      </c>
      <c r="G1311" s="109" t="str">
        <f t="shared" si="1310"/>
        <v>#NAME?</v>
      </c>
      <c r="X1311" s="110"/>
    </row>
    <row r="1312" ht="21.0" customHeight="1">
      <c r="A1312" s="6">
        <v>10.0</v>
      </c>
      <c r="B1312" s="6">
        <v>1010.0</v>
      </c>
      <c r="C1312" s="6">
        <v>7.0</v>
      </c>
      <c r="D1312" s="122" t="s">
        <v>1423</v>
      </c>
      <c r="E1312" s="9" t="s">
        <v>1424</v>
      </c>
      <c r="F1312" s="109" t="str">
        <f t="shared" ref="F1312:G1312" si="1311">TRANSLATE(D1312,"lzh","vi")</f>
        <v>#NAME?</v>
      </c>
      <c r="G1312" s="109" t="str">
        <f t="shared" si="1311"/>
        <v>#NAME?</v>
      </c>
      <c r="X1312" s="110"/>
    </row>
    <row r="1313" ht="21.0" customHeight="1">
      <c r="A1313" s="6">
        <v>10.0</v>
      </c>
      <c r="B1313" s="6">
        <v>1010.0</v>
      </c>
      <c r="C1313" s="6">
        <v>8.0</v>
      </c>
      <c r="D1313" s="122" t="s">
        <v>1425</v>
      </c>
      <c r="E1313" s="9" t="s">
        <v>1426</v>
      </c>
      <c r="F1313" s="109" t="str">
        <f t="shared" ref="F1313:G1313" si="1312">TRANSLATE(D1313,"lzh","vi")</f>
        <v>#NAME?</v>
      </c>
      <c r="G1313" s="109" t="str">
        <f t="shared" si="1312"/>
        <v>#NAME?</v>
      </c>
      <c r="X1313" s="110"/>
    </row>
    <row r="1314" ht="21.0" customHeight="1">
      <c r="A1314" s="6">
        <v>10.0</v>
      </c>
      <c r="B1314" s="6">
        <v>1010.0</v>
      </c>
      <c r="C1314" s="6">
        <v>9.0</v>
      </c>
      <c r="D1314" s="122" t="s">
        <v>1427</v>
      </c>
      <c r="E1314" s="9" t="s">
        <v>1428</v>
      </c>
      <c r="F1314" s="109" t="str">
        <f t="shared" ref="F1314:G1314" si="1313">TRANSLATE(D1314,"lzh","vi")</f>
        <v>#NAME?</v>
      </c>
      <c r="G1314" s="109" t="str">
        <f t="shared" si="1313"/>
        <v>#NAME?</v>
      </c>
      <c r="X1314" s="110"/>
    </row>
    <row r="1315" ht="21.0" customHeight="1">
      <c r="A1315" s="6">
        <v>10.0</v>
      </c>
      <c r="B1315" s="6">
        <v>1010.0</v>
      </c>
      <c r="C1315" s="6">
        <v>10.0</v>
      </c>
      <c r="D1315" s="122" t="s">
        <v>1429</v>
      </c>
      <c r="E1315" s="9" t="s">
        <v>1430</v>
      </c>
      <c r="F1315" s="109" t="str">
        <f t="shared" ref="F1315:G1315" si="1314">TRANSLATE(D1315,"lzh","vi")</f>
        <v>#NAME?</v>
      </c>
      <c r="G1315" s="109" t="str">
        <f t="shared" si="1314"/>
        <v>#NAME?</v>
      </c>
      <c r="X1315" s="110"/>
    </row>
    <row r="1316" ht="21.0" customHeight="1">
      <c r="A1316" s="6">
        <v>1.0</v>
      </c>
      <c r="B1316" s="6">
        <v>117.0</v>
      </c>
      <c r="C1316" s="6">
        <v>1.0</v>
      </c>
      <c r="D1316" s="122" t="s">
        <v>1431</v>
      </c>
      <c r="E1316" s="9" t="s">
        <v>1432</v>
      </c>
      <c r="F1316" s="109" t="str">
        <f t="shared" ref="F1316:G1316" si="1315">TRANSLATE(D1316,"lzh","vi")</f>
        <v>#NAME?</v>
      </c>
      <c r="G1316" s="109" t="str">
        <f t="shared" si="1315"/>
        <v>#NAME?</v>
      </c>
      <c r="X1316" s="110"/>
    </row>
    <row r="1317" ht="21.0" customHeight="1">
      <c r="A1317" s="6">
        <v>1.0</v>
      </c>
      <c r="B1317" s="6">
        <v>117.0</v>
      </c>
      <c r="C1317" s="6">
        <v>2.0</v>
      </c>
      <c r="D1317" s="122" t="s">
        <v>1433</v>
      </c>
      <c r="E1317" s="9" t="s">
        <v>1434</v>
      </c>
      <c r="F1317" s="109" t="str">
        <f t="shared" ref="F1317:G1317" si="1316">TRANSLATE(D1317,"lzh","vi")</f>
        <v>#NAME?</v>
      </c>
      <c r="G1317" s="109" t="str">
        <f t="shared" si="1316"/>
        <v>#NAME?</v>
      </c>
      <c r="X1317" s="110"/>
    </row>
    <row r="1318" ht="21.0" customHeight="1">
      <c r="A1318" s="6">
        <v>1.0</v>
      </c>
      <c r="B1318" s="6">
        <v>117.0</v>
      </c>
      <c r="C1318" s="6">
        <v>3.0</v>
      </c>
      <c r="D1318" s="122" t="s">
        <v>1435</v>
      </c>
      <c r="E1318" s="9" t="s">
        <v>1436</v>
      </c>
      <c r="F1318" s="109" t="str">
        <f t="shared" ref="F1318:G1318" si="1317">TRANSLATE(D1318,"lzh","vi")</f>
        <v>#NAME?</v>
      </c>
      <c r="G1318" s="109" t="str">
        <f t="shared" si="1317"/>
        <v>#NAME?</v>
      </c>
      <c r="X1318" s="110"/>
    </row>
    <row r="1319" ht="21.0" customHeight="1">
      <c r="A1319" s="6">
        <v>1.0</v>
      </c>
      <c r="B1319" s="6">
        <v>117.0</v>
      </c>
      <c r="C1319" s="6">
        <v>4.0</v>
      </c>
      <c r="D1319" s="122" t="s">
        <v>1437</v>
      </c>
      <c r="E1319" s="9" t="s">
        <v>1438</v>
      </c>
      <c r="F1319" s="109" t="str">
        <f t="shared" ref="F1319:G1319" si="1318">TRANSLATE(D1319,"lzh","vi")</f>
        <v>#NAME?</v>
      </c>
      <c r="G1319" s="109" t="str">
        <f t="shared" si="1318"/>
        <v>#NAME?</v>
      </c>
      <c r="X1319" s="110"/>
    </row>
    <row r="1320" ht="21.0" customHeight="1">
      <c r="A1320" s="6">
        <v>1.0</v>
      </c>
      <c r="B1320" s="6">
        <v>117.0</v>
      </c>
      <c r="C1320" s="6">
        <v>5.0</v>
      </c>
      <c r="D1320" s="122" t="s">
        <v>1439</v>
      </c>
      <c r="E1320" s="9" t="s">
        <v>1440</v>
      </c>
      <c r="F1320" s="109" t="str">
        <f t="shared" ref="F1320:G1320" si="1319">TRANSLATE(D1320,"lzh","vi")</f>
        <v>#NAME?</v>
      </c>
      <c r="G1320" s="109" t="str">
        <f t="shared" si="1319"/>
        <v>#NAME?</v>
      </c>
      <c r="X1320" s="110"/>
    </row>
    <row r="1321" ht="21.0" customHeight="1">
      <c r="A1321" s="6">
        <v>1.0</v>
      </c>
      <c r="B1321" s="6">
        <v>117.0</v>
      </c>
      <c r="C1321" s="6">
        <v>6.0</v>
      </c>
      <c r="D1321" s="122" t="s">
        <v>1441</v>
      </c>
      <c r="E1321" s="9" t="s">
        <v>1442</v>
      </c>
      <c r="F1321" s="109" t="str">
        <f t="shared" ref="F1321:G1321" si="1320">TRANSLATE(D1321,"lzh","vi")</f>
        <v>#NAME?</v>
      </c>
      <c r="G1321" s="109" t="str">
        <f t="shared" si="1320"/>
        <v>#NAME?</v>
      </c>
      <c r="X1321" s="110"/>
    </row>
    <row r="1322" ht="21.0" customHeight="1">
      <c r="A1322" s="6">
        <v>1.0</v>
      </c>
      <c r="B1322" s="6">
        <v>117.0</v>
      </c>
      <c r="C1322" s="6">
        <v>7.0</v>
      </c>
      <c r="D1322" s="122" t="s">
        <v>1443</v>
      </c>
      <c r="E1322" s="9" t="s">
        <v>1444</v>
      </c>
      <c r="F1322" s="109" t="str">
        <f t="shared" ref="F1322:G1322" si="1321">TRANSLATE(D1322,"lzh","vi")</f>
        <v>#NAME?</v>
      </c>
      <c r="G1322" s="109" t="str">
        <f t="shared" si="1321"/>
        <v>#NAME?</v>
      </c>
      <c r="X1322" s="110"/>
    </row>
    <row r="1323" ht="21.0" customHeight="1">
      <c r="A1323" s="6">
        <v>1.0</v>
      </c>
      <c r="B1323" s="6">
        <v>117.0</v>
      </c>
      <c r="C1323" s="6">
        <v>8.0</v>
      </c>
      <c r="D1323" s="122" t="s">
        <v>1445</v>
      </c>
      <c r="E1323" s="9" t="s">
        <v>1446</v>
      </c>
      <c r="F1323" s="109" t="str">
        <f t="shared" ref="F1323:G1323" si="1322">TRANSLATE(D1323,"lzh","vi")</f>
        <v>#NAME?</v>
      </c>
      <c r="G1323" s="109" t="str">
        <f t="shared" si="1322"/>
        <v>#NAME?</v>
      </c>
      <c r="X1323" s="110"/>
    </row>
    <row r="1324" ht="21.0" customHeight="1">
      <c r="A1324" s="6">
        <v>1.0</v>
      </c>
      <c r="B1324" s="6">
        <v>117.0</v>
      </c>
      <c r="C1324" s="6">
        <v>9.0</v>
      </c>
      <c r="D1324" s="122" t="s">
        <v>1447</v>
      </c>
      <c r="E1324" s="9" t="s">
        <v>1448</v>
      </c>
      <c r="F1324" s="109" t="str">
        <f t="shared" ref="F1324:G1324" si="1323">TRANSLATE(D1324,"lzh","vi")</f>
        <v>#NAME?</v>
      </c>
      <c r="G1324" s="109" t="str">
        <f t="shared" si="1323"/>
        <v>#NAME?</v>
      </c>
      <c r="X1324" s="110"/>
    </row>
    <row r="1325" ht="21.0" customHeight="1">
      <c r="A1325" s="6">
        <v>1.0</v>
      </c>
      <c r="B1325" s="6">
        <v>117.0</v>
      </c>
      <c r="C1325" s="6">
        <v>10.0</v>
      </c>
      <c r="D1325" s="122" t="s">
        <v>1449</v>
      </c>
      <c r="E1325" s="9" t="s">
        <v>1450</v>
      </c>
      <c r="F1325" s="109" t="str">
        <f t="shared" ref="F1325:G1325" si="1324">TRANSLATE(D1325,"lzh","vi")</f>
        <v>#NAME?</v>
      </c>
      <c r="G1325" s="109" t="str">
        <f t="shared" si="1324"/>
        <v>#NAME?</v>
      </c>
      <c r="X1325" s="110"/>
    </row>
    <row r="1326" ht="21.0" customHeight="1">
      <c r="A1326" s="6">
        <v>11.0</v>
      </c>
      <c r="B1326" s="6">
        <v>1011.0</v>
      </c>
      <c r="C1326" s="6">
        <v>1.0</v>
      </c>
      <c r="D1326" s="122" t="s">
        <v>1451</v>
      </c>
      <c r="E1326" s="9" t="s">
        <v>1452</v>
      </c>
      <c r="F1326" s="109" t="str">
        <f t="shared" ref="F1326:G1326" si="1325">TRANSLATE(D1326,"lzh","vi")</f>
        <v>#NAME?</v>
      </c>
      <c r="G1326" s="109" t="str">
        <f t="shared" si="1325"/>
        <v>#NAME?</v>
      </c>
      <c r="X1326" s="110"/>
    </row>
    <row r="1327" ht="21.0" customHeight="1">
      <c r="A1327" s="6">
        <v>11.0</v>
      </c>
      <c r="B1327" s="6">
        <v>1011.0</v>
      </c>
      <c r="C1327" s="6">
        <v>2.0</v>
      </c>
      <c r="D1327" s="122" t="s">
        <v>1453</v>
      </c>
      <c r="E1327" s="9" t="s">
        <v>1454</v>
      </c>
      <c r="F1327" s="109" t="str">
        <f t="shared" ref="F1327:G1327" si="1326">TRANSLATE(D1327,"lzh","vi")</f>
        <v>#NAME?</v>
      </c>
      <c r="G1327" s="109" t="str">
        <f t="shared" si="1326"/>
        <v>#NAME?</v>
      </c>
      <c r="X1327" s="110"/>
    </row>
    <row r="1328" ht="21.0" customHeight="1">
      <c r="A1328" s="6">
        <v>11.0</v>
      </c>
      <c r="B1328" s="6">
        <v>1011.0</v>
      </c>
      <c r="C1328" s="6">
        <v>3.0</v>
      </c>
      <c r="D1328" s="122" t="s">
        <v>1455</v>
      </c>
      <c r="E1328" s="9" t="s">
        <v>1456</v>
      </c>
      <c r="F1328" s="109" t="str">
        <f t="shared" ref="F1328:G1328" si="1327">TRANSLATE(D1328,"lzh","vi")</f>
        <v>#NAME?</v>
      </c>
      <c r="G1328" s="109" t="str">
        <f t="shared" si="1327"/>
        <v>#NAME?</v>
      </c>
      <c r="X1328" s="110"/>
    </row>
    <row r="1329" ht="21.0" customHeight="1">
      <c r="A1329" s="6">
        <v>11.0</v>
      </c>
      <c r="B1329" s="6">
        <v>1011.0</v>
      </c>
      <c r="C1329" s="6">
        <v>4.0</v>
      </c>
      <c r="D1329" s="122" t="s">
        <v>1457</v>
      </c>
      <c r="E1329" s="9" t="s">
        <v>1458</v>
      </c>
      <c r="F1329" s="109" t="str">
        <f t="shared" ref="F1329:G1329" si="1328">TRANSLATE(D1329,"lzh","vi")</f>
        <v>#NAME?</v>
      </c>
      <c r="G1329" s="109" t="str">
        <f t="shared" si="1328"/>
        <v>#NAME?</v>
      </c>
      <c r="X1329" s="110"/>
    </row>
    <row r="1330" ht="21.0" customHeight="1">
      <c r="A1330" s="6">
        <v>10.0</v>
      </c>
      <c r="B1330" s="6">
        <v>1011.0</v>
      </c>
      <c r="C1330" s="6">
        <v>5.0</v>
      </c>
      <c r="D1330" s="122" t="s">
        <v>1459</v>
      </c>
      <c r="E1330" s="9" t="s">
        <v>1460</v>
      </c>
      <c r="F1330" s="109" t="str">
        <f t="shared" ref="F1330:G1330" si="1329">TRANSLATE(D1330,"lzh","vi")</f>
        <v>#NAME?</v>
      </c>
      <c r="G1330" s="109" t="str">
        <f t="shared" si="1329"/>
        <v>#NAME?</v>
      </c>
      <c r="X1330" s="110"/>
    </row>
    <row r="1331" ht="21.0" customHeight="1">
      <c r="A1331" s="6">
        <v>10.0</v>
      </c>
      <c r="B1331" s="6">
        <v>1011.0</v>
      </c>
      <c r="C1331" s="6">
        <v>6.0</v>
      </c>
      <c r="D1331" s="122" t="s">
        <v>1461</v>
      </c>
      <c r="E1331" s="9" t="s">
        <v>1462</v>
      </c>
      <c r="F1331" s="109" t="str">
        <f t="shared" ref="F1331:G1331" si="1330">TRANSLATE(D1331,"lzh","vi")</f>
        <v>#NAME?</v>
      </c>
      <c r="G1331" s="109" t="str">
        <f t="shared" si="1330"/>
        <v>#NAME?</v>
      </c>
      <c r="X1331" s="110"/>
    </row>
    <row r="1332" ht="21.0" customHeight="1">
      <c r="A1332" s="6">
        <v>10.0</v>
      </c>
      <c r="B1332" s="6">
        <v>1011.0</v>
      </c>
      <c r="C1332" s="6">
        <v>7.0</v>
      </c>
      <c r="D1332" s="122" t="s">
        <v>1463</v>
      </c>
      <c r="E1332" s="9" t="s">
        <v>1464</v>
      </c>
      <c r="F1332" s="109" t="str">
        <f t="shared" ref="F1332:G1332" si="1331">TRANSLATE(D1332,"lzh","vi")</f>
        <v>#NAME?</v>
      </c>
      <c r="G1332" s="109" t="str">
        <f t="shared" si="1331"/>
        <v>#NAME?</v>
      </c>
      <c r="X1332" s="110"/>
    </row>
    <row r="1333" ht="21.0" customHeight="1">
      <c r="A1333" s="6">
        <v>1.0</v>
      </c>
      <c r="B1333" s="6">
        <v>118.0</v>
      </c>
      <c r="C1333" s="6">
        <v>1.0</v>
      </c>
      <c r="D1333" s="122" t="s">
        <v>1465</v>
      </c>
      <c r="E1333" s="9" t="s">
        <v>1466</v>
      </c>
      <c r="F1333" s="109" t="str">
        <f t="shared" ref="F1333:G1333" si="1332">TRANSLATE(D1333,"lzh","vi")</f>
        <v>#NAME?</v>
      </c>
      <c r="G1333" s="109" t="str">
        <f t="shared" si="1332"/>
        <v>#NAME?</v>
      </c>
      <c r="X1333" s="110"/>
    </row>
    <row r="1334" ht="21.0" customHeight="1">
      <c r="A1334" s="6">
        <v>1.0</v>
      </c>
      <c r="B1334" s="6">
        <v>118.0</v>
      </c>
      <c r="C1334" s="6">
        <v>2.0</v>
      </c>
      <c r="D1334" s="122" t="s">
        <v>1467</v>
      </c>
      <c r="E1334" s="9" t="s">
        <v>1468</v>
      </c>
      <c r="F1334" s="109" t="str">
        <f t="shared" ref="F1334:G1334" si="1333">TRANSLATE(D1334,"lzh","vi")</f>
        <v>#NAME?</v>
      </c>
      <c r="G1334" s="109" t="str">
        <f t="shared" si="1333"/>
        <v>#NAME?</v>
      </c>
      <c r="X1334" s="110"/>
    </row>
    <row r="1335" ht="21.0" customHeight="1">
      <c r="A1335" s="6">
        <v>1.0</v>
      </c>
      <c r="B1335" s="6">
        <v>118.0</v>
      </c>
      <c r="C1335" s="6">
        <v>3.0</v>
      </c>
      <c r="D1335" s="122" t="s">
        <v>1469</v>
      </c>
      <c r="E1335" s="9" t="s">
        <v>1470</v>
      </c>
      <c r="F1335" s="109" t="str">
        <f t="shared" ref="F1335:G1335" si="1334">TRANSLATE(D1335,"lzh","vi")</f>
        <v>#NAME?</v>
      </c>
      <c r="G1335" s="109" t="str">
        <f t="shared" si="1334"/>
        <v>#NAME?</v>
      </c>
      <c r="X1335" s="110"/>
    </row>
    <row r="1336" ht="21.0" customHeight="1">
      <c r="A1336" s="6">
        <v>1.0</v>
      </c>
      <c r="B1336" s="6">
        <v>118.0</v>
      </c>
      <c r="C1336" s="6">
        <v>4.0</v>
      </c>
      <c r="D1336" s="122" t="s">
        <v>1471</v>
      </c>
      <c r="E1336" s="9" t="s">
        <v>1472</v>
      </c>
      <c r="F1336" s="109" t="str">
        <f t="shared" ref="F1336:G1336" si="1335">TRANSLATE(D1336,"lzh","vi")</f>
        <v>#NAME?</v>
      </c>
      <c r="G1336" s="109" t="str">
        <f t="shared" si="1335"/>
        <v>#NAME?</v>
      </c>
      <c r="X1336" s="110"/>
    </row>
    <row r="1337" ht="21.0" customHeight="1">
      <c r="A1337" s="6">
        <v>1.0</v>
      </c>
      <c r="B1337" s="6">
        <v>118.0</v>
      </c>
      <c r="C1337" s="6">
        <v>5.0</v>
      </c>
      <c r="D1337" s="122" t="s">
        <v>1473</v>
      </c>
      <c r="E1337" s="9" t="s">
        <v>1474</v>
      </c>
      <c r="F1337" s="109" t="str">
        <f t="shared" ref="F1337:G1337" si="1336">TRANSLATE(D1337,"lzh","vi")</f>
        <v>#NAME?</v>
      </c>
      <c r="G1337" s="109" t="str">
        <f t="shared" si="1336"/>
        <v>#NAME?</v>
      </c>
      <c r="X1337" s="110"/>
    </row>
    <row r="1338" ht="21.0" customHeight="1">
      <c r="A1338" s="6">
        <v>1.0</v>
      </c>
      <c r="B1338" s="6">
        <v>118.0</v>
      </c>
      <c r="C1338" s="6">
        <v>6.0</v>
      </c>
      <c r="D1338" s="122" t="s">
        <v>1475</v>
      </c>
      <c r="E1338" s="9" t="s">
        <v>1476</v>
      </c>
      <c r="F1338" s="109" t="str">
        <f t="shared" ref="F1338:G1338" si="1337">TRANSLATE(D1338,"lzh","vi")</f>
        <v>#NAME?</v>
      </c>
      <c r="G1338" s="109" t="str">
        <f t="shared" si="1337"/>
        <v>#NAME?</v>
      </c>
      <c r="X1338" s="110"/>
    </row>
    <row r="1339" ht="21.0" customHeight="1">
      <c r="A1339" s="6">
        <v>1.0</v>
      </c>
      <c r="B1339" s="6">
        <v>118.0</v>
      </c>
      <c r="C1339" s="6">
        <v>7.0</v>
      </c>
      <c r="D1339" s="122" t="s">
        <v>1477</v>
      </c>
      <c r="E1339" s="9" t="s">
        <v>1478</v>
      </c>
      <c r="F1339" s="109" t="str">
        <f t="shared" ref="F1339:G1339" si="1338">TRANSLATE(D1339,"lzh","vi")</f>
        <v>#NAME?</v>
      </c>
      <c r="G1339" s="109" t="str">
        <f t="shared" si="1338"/>
        <v>#NAME?</v>
      </c>
      <c r="X1339" s="110"/>
    </row>
    <row r="1340" ht="21.0" customHeight="1">
      <c r="A1340" s="6">
        <v>1.0</v>
      </c>
      <c r="B1340" s="6">
        <v>118.0</v>
      </c>
      <c r="C1340" s="6">
        <v>8.0</v>
      </c>
      <c r="D1340" s="122" t="s">
        <v>1479</v>
      </c>
      <c r="E1340" s="9" t="s">
        <v>1480</v>
      </c>
      <c r="F1340" s="109" t="str">
        <f t="shared" ref="F1340:G1340" si="1339">TRANSLATE(D1340,"lzh","vi")</f>
        <v>#NAME?</v>
      </c>
      <c r="G1340" s="109" t="str">
        <f t="shared" si="1339"/>
        <v>#NAME?</v>
      </c>
      <c r="X1340" s="110"/>
    </row>
    <row r="1341" ht="21.0" customHeight="1">
      <c r="A1341" s="6">
        <v>1.0</v>
      </c>
      <c r="B1341" s="6">
        <v>118.0</v>
      </c>
      <c r="C1341" s="6">
        <v>9.0</v>
      </c>
      <c r="D1341" s="122" t="s">
        <v>1481</v>
      </c>
      <c r="E1341" s="9" t="s">
        <v>1482</v>
      </c>
      <c r="F1341" s="109" t="str">
        <f t="shared" ref="F1341:G1341" si="1340">TRANSLATE(D1341,"lzh","vi")</f>
        <v>#NAME?</v>
      </c>
      <c r="G1341" s="109" t="str">
        <f t="shared" si="1340"/>
        <v>#NAME?</v>
      </c>
      <c r="X1341" s="110"/>
    </row>
    <row r="1342" ht="21.0" customHeight="1">
      <c r="A1342" s="6">
        <v>1.0</v>
      </c>
      <c r="B1342" s="6">
        <v>118.0</v>
      </c>
      <c r="C1342" s="6">
        <v>10.0</v>
      </c>
      <c r="D1342" s="122" t="s">
        <v>1483</v>
      </c>
      <c r="E1342" s="9" t="s">
        <v>1484</v>
      </c>
      <c r="F1342" s="109" t="str">
        <f t="shared" ref="F1342:G1342" si="1341">TRANSLATE(D1342,"lzh","vi")</f>
        <v>#NAME?</v>
      </c>
      <c r="G1342" s="109" t="str">
        <f t="shared" si="1341"/>
        <v>#NAME?</v>
      </c>
      <c r="X1342" s="110"/>
    </row>
    <row r="1343" ht="21.0" customHeight="1">
      <c r="A1343" s="6">
        <v>1.0</v>
      </c>
      <c r="B1343" s="6">
        <v>119.0</v>
      </c>
      <c r="C1343" s="6">
        <v>1.0</v>
      </c>
      <c r="D1343" s="122" t="s">
        <v>1485</v>
      </c>
      <c r="E1343" s="9" t="s">
        <v>1486</v>
      </c>
      <c r="F1343" s="109" t="str">
        <f t="shared" ref="F1343:G1343" si="1342">TRANSLATE(D1343,"lzh","vi")</f>
        <v>#NAME?</v>
      </c>
      <c r="G1343" s="109" t="str">
        <f t="shared" si="1342"/>
        <v>#NAME?</v>
      </c>
      <c r="X1343" s="110"/>
    </row>
    <row r="1344" ht="21.0" customHeight="1">
      <c r="A1344" s="6">
        <v>1.0</v>
      </c>
      <c r="B1344" s="6">
        <v>119.0</v>
      </c>
      <c r="C1344" s="6">
        <v>2.0</v>
      </c>
      <c r="D1344" s="122" t="s">
        <v>1487</v>
      </c>
      <c r="E1344" s="9" t="s">
        <v>1488</v>
      </c>
      <c r="F1344" s="109" t="str">
        <f t="shared" ref="F1344:G1344" si="1343">TRANSLATE(D1344,"lzh","vi")</f>
        <v>#NAME?</v>
      </c>
      <c r="G1344" s="109" t="str">
        <f t="shared" si="1343"/>
        <v>#NAME?</v>
      </c>
      <c r="X1344" s="110"/>
    </row>
    <row r="1345" ht="21.0" customHeight="1">
      <c r="A1345" s="6">
        <v>1.0</v>
      </c>
      <c r="B1345" s="6">
        <v>119.0</v>
      </c>
      <c r="C1345" s="6">
        <v>3.0</v>
      </c>
      <c r="D1345" s="122" t="s">
        <v>1489</v>
      </c>
      <c r="E1345" s="9" t="s">
        <v>1490</v>
      </c>
      <c r="F1345" s="109" t="str">
        <f t="shared" ref="F1345:G1345" si="1344">TRANSLATE(D1345,"lzh","vi")</f>
        <v>#NAME?</v>
      </c>
      <c r="G1345" s="109" t="str">
        <f t="shared" si="1344"/>
        <v>#NAME?</v>
      </c>
      <c r="X1345" s="110"/>
    </row>
    <row r="1346" ht="21.0" customHeight="1">
      <c r="A1346" s="6">
        <v>1.0</v>
      </c>
      <c r="B1346" s="6">
        <v>119.0</v>
      </c>
      <c r="C1346" s="6">
        <v>4.0</v>
      </c>
      <c r="D1346" s="122" t="s">
        <v>1491</v>
      </c>
      <c r="E1346" s="9" t="s">
        <v>1492</v>
      </c>
      <c r="F1346" s="109" t="str">
        <f t="shared" ref="F1346:G1346" si="1345">TRANSLATE(D1346,"lzh","vi")</f>
        <v>#NAME?</v>
      </c>
      <c r="G1346" s="109" t="str">
        <f t="shared" si="1345"/>
        <v>#NAME?</v>
      </c>
      <c r="X1346" s="110"/>
    </row>
    <row r="1347" ht="21.0" customHeight="1">
      <c r="A1347" s="6">
        <v>1.0</v>
      </c>
      <c r="B1347" s="6">
        <v>119.0</v>
      </c>
      <c r="C1347" s="6">
        <v>5.0</v>
      </c>
      <c r="D1347" s="122" t="s">
        <v>1493</v>
      </c>
      <c r="E1347" s="9" t="s">
        <v>1494</v>
      </c>
      <c r="F1347" s="109" t="str">
        <f t="shared" ref="F1347:G1347" si="1346">TRANSLATE(D1347,"lzh","vi")</f>
        <v>#NAME?</v>
      </c>
      <c r="G1347" s="109" t="str">
        <f t="shared" si="1346"/>
        <v>#NAME?</v>
      </c>
      <c r="X1347" s="110"/>
    </row>
    <row r="1348" ht="21.0" customHeight="1">
      <c r="A1348" s="6">
        <v>1.0</v>
      </c>
      <c r="B1348" s="6">
        <v>119.0</v>
      </c>
      <c r="C1348" s="6">
        <v>6.0</v>
      </c>
      <c r="D1348" s="122" t="s">
        <v>1495</v>
      </c>
      <c r="E1348" s="9" t="s">
        <v>1496</v>
      </c>
      <c r="F1348" s="109" t="str">
        <f t="shared" ref="F1348:G1348" si="1347">TRANSLATE(D1348,"lzh","vi")</f>
        <v>#NAME?</v>
      </c>
      <c r="G1348" s="109" t="str">
        <f t="shared" si="1347"/>
        <v>#NAME?</v>
      </c>
      <c r="X1348" s="110"/>
    </row>
    <row r="1349" ht="21.0" customHeight="1">
      <c r="A1349" s="6">
        <v>1.0</v>
      </c>
      <c r="B1349" s="6">
        <v>119.0</v>
      </c>
      <c r="C1349" s="6">
        <v>7.0</v>
      </c>
      <c r="D1349" s="122" t="s">
        <v>1497</v>
      </c>
      <c r="E1349" s="9" t="s">
        <v>1498</v>
      </c>
      <c r="F1349" s="109" t="str">
        <f t="shared" ref="F1349:G1349" si="1348">TRANSLATE(D1349,"lzh","vi")</f>
        <v>#NAME?</v>
      </c>
      <c r="G1349" s="109" t="str">
        <f t="shared" si="1348"/>
        <v>#NAME?</v>
      </c>
      <c r="X1349" s="110"/>
    </row>
    <row r="1350" ht="21.0" customHeight="1">
      <c r="A1350" s="6">
        <v>1.0</v>
      </c>
      <c r="B1350" s="6">
        <v>119.0</v>
      </c>
      <c r="C1350" s="6">
        <v>8.0</v>
      </c>
      <c r="D1350" s="122" t="s">
        <v>1499</v>
      </c>
      <c r="E1350" s="9" t="s">
        <v>1500</v>
      </c>
      <c r="F1350" s="109" t="str">
        <f t="shared" ref="F1350:G1350" si="1349">TRANSLATE(D1350,"lzh","vi")</f>
        <v>#NAME?</v>
      </c>
      <c r="G1350" s="109" t="str">
        <f t="shared" si="1349"/>
        <v>#NAME?</v>
      </c>
      <c r="X1350" s="110"/>
    </row>
    <row r="1351" ht="21.0" customHeight="1">
      <c r="A1351" s="6">
        <v>1.0</v>
      </c>
      <c r="B1351" s="6">
        <v>119.0</v>
      </c>
      <c r="C1351" s="6">
        <v>9.0</v>
      </c>
      <c r="D1351" s="122" t="s">
        <v>1501</v>
      </c>
      <c r="E1351" s="9" t="s">
        <v>1502</v>
      </c>
      <c r="F1351" s="109" t="str">
        <f t="shared" ref="F1351:G1351" si="1350">TRANSLATE(D1351,"lzh","vi")</f>
        <v>#NAME?</v>
      </c>
      <c r="G1351" s="109" t="str">
        <f t="shared" si="1350"/>
        <v>#NAME?</v>
      </c>
      <c r="X1351" s="110"/>
    </row>
    <row r="1352" ht="21.0" customHeight="1">
      <c r="A1352" s="6">
        <v>1.0</v>
      </c>
      <c r="B1352" s="6">
        <v>119.0</v>
      </c>
      <c r="C1352" s="6">
        <v>10.0</v>
      </c>
      <c r="D1352" s="122" t="s">
        <v>1503</v>
      </c>
      <c r="E1352" s="9" t="s">
        <v>1504</v>
      </c>
      <c r="F1352" s="109" t="str">
        <f t="shared" ref="F1352:G1352" si="1351">TRANSLATE(D1352,"lzh","vi")</f>
        <v>#NAME?</v>
      </c>
      <c r="G1352" s="109" t="str">
        <f t="shared" si="1351"/>
        <v>#NAME?</v>
      </c>
      <c r="X1352" s="110"/>
    </row>
    <row r="1353" ht="21.0" customHeight="1">
      <c r="A1353" s="5">
        <v>1.0</v>
      </c>
      <c r="B1353" s="6">
        <v>119.0</v>
      </c>
      <c r="C1353" s="6">
        <v>11.0</v>
      </c>
      <c r="D1353" s="108" t="s">
        <v>1505</v>
      </c>
      <c r="E1353" s="9" t="s">
        <v>1506</v>
      </c>
      <c r="F1353" s="109" t="str">
        <f t="shared" ref="F1353:G1353" si="1352">TRANSLATE(D1353,"lzh","vi")</f>
        <v>#NAME?</v>
      </c>
      <c r="G1353" s="109" t="str">
        <f t="shared" si="1352"/>
        <v>#NAME?</v>
      </c>
      <c r="X1353" s="110"/>
    </row>
    <row r="1354" ht="21.0" customHeight="1">
      <c r="A1354" s="5">
        <v>13.0</v>
      </c>
      <c r="B1354" s="6">
        <v>119.0</v>
      </c>
      <c r="C1354" s="6">
        <v>12.0</v>
      </c>
      <c r="D1354" s="108" t="s">
        <v>1507</v>
      </c>
      <c r="E1354" s="9" t="s">
        <v>1508</v>
      </c>
      <c r="F1354" s="109" t="str">
        <f t="shared" ref="F1354:G1354" si="1353">TRANSLATE(D1354,"lzh","vi")</f>
        <v>#NAME?</v>
      </c>
      <c r="G1354" s="109" t="str">
        <f t="shared" si="1353"/>
        <v>#NAME?</v>
      </c>
      <c r="X1354" s="110"/>
    </row>
    <row r="1355" ht="21.0" customHeight="1">
      <c r="A1355" s="6">
        <v>1.0</v>
      </c>
      <c r="B1355" s="6">
        <v>127.0</v>
      </c>
      <c r="C1355" s="6">
        <v>1.0</v>
      </c>
      <c r="D1355" s="122" t="s">
        <v>1509</v>
      </c>
      <c r="E1355" s="9" t="s">
        <v>1510</v>
      </c>
      <c r="F1355" s="109" t="str">
        <f t="shared" ref="F1355:G1355" si="1354">TRANSLATE(D1355,"lzh","vi")</f>
        <v>#NAME?</v>
      </c>
      <c r="G1355" s="109" t="str">
        <f t="shared" si="1354"/>
        <v>#NAME?</v>
      </c>
      <c r="X1355" s="110"/>
    </row>
    <row r="1356" ht="21.0" customHeight="1">
      <c r="A1356" s="6">
        <v>1.0</v>
      </c>
      <c r="B1356" s="6">
        <v>127.0</v>
      </c>
      <c r="C1356" s="6">
        <v>2.0</v>
      </c>
      <c r="D1356" s="122" t="s">
        <v>1511</v>
      </c>
      <c r="E1356" s="9" t="s">
        <v>1512</v>
      </c>
      <c r="F1356" s="109" t="str">
        <f t="shared" ref="F1356:G1356" si="1355">TRANSLATE(D1356,"lzh","vi")</f>
        <v>#NAME?</v>
      </c>
      <c r="G1356" s="109" t="str">
        <f t="shared" si="1355"/>
        <v>#NAME?</v>
      </c>
      <c r="X1356" s="110"/>
    </row>
    <row r="1357" ht="21.0" customHeight="1">
      <c r="A1357" s="6">
        <v>1.0</v>
      </c>
      <c r="B1357" s="6">
        <v>127.0</v>
      </c>
      <c r="C1357" s="6">
        <v>3.0</v>
      </c>
      <c r="D1357" s="122" t="s">
        <v>1513</v>
      </c>
      <c r="E1357" s="9" t="s">
        <v>1514</v>
      </c>
      <c r="F1357" s="109" t="str">
        <f t="shared" ref="F1357:G1357" si="1356">TRANSLATE(D1357,"lzh","vi")</f>
        <v>#NAME?</v>
      </c>
      <c r="G1357" s="109" t="str">
        <f t="shared" si="1356"/>
        <v>#NAME?</v>
      </c>
      <c r="X1357" s="110"/>
    </row>
    <row r="1358" ht="21.0" customHeight="1">
      <c r="A1358" s="6">
        <v>1.0</v>
      </c>
      <c r="B1358" s="6">
        <v>127.0</v>
      </c>
      <c r="C1358" s="6">
        <v>4.0</v>
      </c>
      <c r="D1358" s="122" t="s">
        <v>1515</v>
      </c>
      <c r="E1358" s="9" t="s">
        <v>1516</v>
      </c>
      <c r="F1358" s="109" t="str">
        <f t="shared" ref="F1358:G1358" si="1357">TRANSLATE(D1358,"lzh","vi")</f>
        <v>#NAME?</v>
      </c>
      <c r="G1358" s="109" t="str">
        <f t="shared" si="1357"/>
        <v>#NAME?</v>
      </c>
      <c r="X1358" s="110"/>
    </row>
    <row r="1359" ht="21.0" customHeight="1">
      <c r="A1359" s="6">
        <v>1.0</v>
      </c>
      <c r="B1359" s="6">
        <v>127.0</v>
      </c>
      <c r="C1359" s="6">
        <v>5.0</v>
      </c>
      <c r="D1359" s="122" t="s">
        <v>1517</v>
      </c>
      <c r="E1359" s="9" t="s">
        <v>1518</v>
      </c>
      <c r="F1359" s="109" t="str">
        <f t="shared" ref="F1359:G1359" si="1358">TRANSLATE(D1359,"lzh","vi")</f>
        <v>#NAME?</v>
      </c>
      <c r="G1359" s="109" t="str">
        <f t="shared" si="1358"/>
        <v>#NAME?</v>
      </c>
      <c r="X1359" s="110"/>
    </row>
    <row r="1360" ht="21.0" customHeight="1">
      <c r="A1360" s="6">
        <v>1.0</v>
      </c>
      <c r="B1360" s="6">
        <v>127.0</v>
      </c>
      <c r="C1360" s="6">
        <v>6.0</v>
      </c>
      <c r="D1360" s="122" t="s">
        <v>1519</v>
      </c>
      <c r="E1360" s="9" t="s">
        <v>1520</v>
      </c>
      <c r="F1360" s="109" t="str">
        <f t="shared" ref="F1360:G1360" si="1359">TRANSLATE(D1360,"lzh","vi")</f>
        <v>#NAME?</v>
      </c>
      <c r="G1360" s="109" t="str">
        <f t="shared" si="1359"/>
        <v>#NAME?</v>
      </c>
      <c r="X1360" s="110"/>
    </row>
    <row r="1361" ht="21.0" customHeight="1">
      <c r="A1361" s="6">
        <v>1.0</v>
      </c>
      <c r="B1361" s="6">
        <v>127.0</v>
      </c>
      <c r="C1361" s="6">
        <v>7.0</v>
      </c>
      <c r="D1361" s="122" t="s">
        <v>1521</v>
      </c>
      <c r="E1361" s="9" t="s">
        <v>1522</v>
      </c>
      <c r="F1361" s="109" t="str">
        <f t="shared" ref="F1361:G1361" si="1360">TRANSLATE(D1361,"lzh","vi")</f>
        <v>#NAME?</v>
      </c>
      <c r="G1361" s="109" t="str">
        <f t="shared" si="1360"/>
        <v>#NAME?</v>
      </c>
      <c r="X1361" s="110"/>
    </row>
    <row r="1362" ht="21.0" customHeight="1">
      <c r="A1362" s="6">
        <v>1.0</v>
      </c>
      <c r="B1362" s="6">
        <v>127.0</v>
      </c>
      <c r="C1362" s="6">
        <v>8.0</v>
      </c>
      <c r="D1362" s="122" t="s">
        <v>1523</v>
      </c>
      <c r="E1362" s="9" t="s">
        <v>1524</v>
      </c>
      <c r="F1362" s="109" t="str">
        <f t="shared" ref="F1362:G1362" si="1361">TRANSLATE(D1362,"lzh","vi")</f>
        <v>#NAME?</v>
      </c>
      <c r="G1362" s="109" t="str">
        <f t="shared" si="1361"/>
        <v>#NAME?</v>
      </c>
      <c r="X1362" s="110"/>
    </row>
    <row r="1363" ht="21.0" customHeight="1">
      <c r="A1363" s="6">
        <v>1.0</v>
      </c>
      <c r="B1363" s="6">
        <v>127.0</v>
      </c>
      <c r="C1363" s="6">
        <v>9.0</v>
      </c>
      <c r="D1363" s="122" t="s">
        <v>1525</v>
      </c>
      <c r="E1363" s="9" t="s">
        <v>1526</v>
      </c>
      <c r="F1363" s="109" t="str">
        <f t="shared" ref="F1363:G1363" si="1362">TRANSLATE(D1363,"lzh","vi")</f>
        <v>#NAME?</v>
      </c>
      <c r="G1363" s="109" t="str">
        <f t="shared" si="1362"/>
        <v>#NAME?</v>
      </c>
      <c r="X1363" s="110"/>
    </row>
    <row r="1364" ht="21.0" customHeight="1">
      <c r="A1364" s="6">
        <v>1.0</v>
      </c>
      <c r="B1364" s="6">
        <v>127.0</v>
      </c>
      <c r="C1364" s="6">
        <v>10.0</v>
      </c>
      <c r="D1364" s="155" t="s">
        <v>1527</v>
      </c>
      <c r="E1364" s="63" t="s">
        <v>1528</v>
      </c>
      <c r="F1364" s="109" t="str">
        <f t="shared" ref="F1364:G1364" si="1363">TRANSLATE(D1364,"lzh","vi")</f>
        <v>#NAME?</v>
      </c>
      <c r="G1364" s="109" t="str">
        <f t="shared" si="1363"/>
        <v>#NAME?</v>
      </c>
      <c r="X1364" s="110"/>
    </row>
    <row r="1365" ht="21.0" customHeight="1">
      <c r="A1365" s="6">
        <v>1.0</v>
      </c>
      <c r="B1365" s="6">
        <v>127.0</v>
      </c>
      <c r="C1365" s="6">
        <v>11.0</v>
      </c>
      <c r="D1365" s="155" t="s">
        <v>1529</v>
      </c>
      <c r="E1365" s="63" t="s">
        <v>1530</v>
      </c>
      <c r="F1365" s="109" t="str">
        <f t="shared" ref="F1365:G1365" si="1364">TRANSLATE(D1365,"lzh","vi")</f>
        <v>#NAME?</v>
      </c>
      <c r="G1365" s="109" t="str">
        <f t="shared" si="1364"/>
        <v>#NAME?</v>
      </c>
      <c r="X1365" s="110"/>
    </row>
    <row r="1366" ht="21.0" customHeight="1">
      <c r="A1366" s="6">
        <v>1.0</v>
      </c>
      <c r="B1366" s="6">
        <v>127.0</v>
      </c>
      <c r="C1366" s="6">
        <v>12.0</v>
      </c>
      <c r="D1366" s="155" t="s">
        <v>1531</v>
      </c>
      <c r="E1366" s="63" t="s">
        <v>1532</v>
      </c>
      <c r="F1366" s="109" t="str">
        <f t="shared" ref="F1366:G1366" si="1365">TRANSLATE(D1366,"lzh","vi")</f>
        <v>#NAME?</v>
      </c>
      <c r="G1366" s="109" t="str">
        <f t="shared" si="1365"/>
        <v>#NAME?</v>
      </c>
      <c r="X1366" s="110"/>
    </row>
    <row r="1367" ht="21.0" customHeight="1">
      <c r="A1367" s="6">
        <v>1.0</v>
      </c>
      <c r="B1367" s="6">
        <v>127.0</v>
      </c>
      <c r="C1367" s="6">
        <v>13.0</v>
      </c>
      <c r="D1367" s="122" t="s">
        <v>1533</v>
      </c>
      <c r="E1367" s="9" t="s">
        <v>1534</v>
      </c>
      <c r="F1367" s="109" t="str">
        <f t="shared" ref="F1367:G1367" si="1366">TRANSLATE(D1367,"lzh","vi")</f>
        <v>#NAME?</v>
      </c>
      <c r="G1367" s="109" t="str">
        <f t="shared" si="1366"/>
        <v>#NAME?</v>
      </c>
      <c r="X1367" s="110"/>
    </row>
    <row r="1368" ht="21.0" customHeight="1">
      <c r="A1368" s="6">
        <v>11.0</v>
      </c>
      <c r="B1368" s="6">
        <v>1012.0</v>
      </c>
      <c r="C1368" s="6">
        <v>1.0</v>
      </c>
      <c r="D1368" s="122" t="s">
        <v>1535</v>
      </c>
      <c r="E1368" s="9" t="s">
        <v>1536</v>
      </c>
      <c r="F1368" s="109" t="str">
        <f t="shared" ref="F1368:G1368" si="1367">TRANSLATE(D1368,"lzh","vi")</f>
        <v>#NAME?</v>
      </c>
      <c r="G1368" s="109" t="str">
        <f t="shared" si="1367"/>
        <v>#NAME?</v>
      </c>
      <c r="X1368" s="110"/>
    </row>
    <row r="1369" ht="21.0" customHeight="1">
      <c r="A1369" s="6">
        <v>11.0</v>
      </c>
      <c r="B1369" s="6">
        <v>1012.0</v>
      </c>
      <c r="C1369" s="6">
        <v>2.0</v>
      </c>
      <c r="D1369" s="122" t="s">
        <v>1537</v>
      </c>
      <c r="E1369" s="9" t="s">
        <v>1538</v>
      </c>
      <c r="F1369" s="109" t="str">
        <f t="shared" ref="F1369:G1369" si="1368">TRANSLATE(D1369,"lzh","vi")</f>
        <v>#NAME?</v>
      </c>
      <c r="G1369" s="109" t="str">
        <f t="shared" si="1368"/>
        <v>#NAME?</v>
      </c>
      <c r="X1369" s="110"/>
    </row>
    <row r="1370" ht="21.0" customHeight="1">
      <c r="A1370" s="6">
        <v>11.0</v>
      </c>
      <c r="B1370" s="6">
        <v>1012.0</v>
      </c>
      <c r="C1370" s="6">
        <v>3.0</v>
      </c>
      <c r="D1370" s="122" t="s">
        <v>1539</v>
      </c>
      <c r="E1370" s="9" t="s">
        <v>1540</v>
      </c>
      <c r="F1370" s="109" t="str">
        <f t="shared" ref="F1370:G1370" si="1369">TRANSLATE(D1370,"lzh","vi")</f>
        <v>#NAME?</v>
      </c>
      <c r="G1370" s="109" t="str">
        <f t="shared" si="1369"/>
        <v>#NAME?</v>
      </c>
      <c r="X1370" s="110"/>
    </row>
    <row r="1371" ht="21.0" customHeight="1">
      <c r="A1371" s="6">
        <v>11.0</v>
      </c>
      <c r="B1371" s="6">
        <v>1012.0</v>
      </c>
      <c r="C1371" s="6">
        <v>4.0</v>
      </c>
      <c r="D1371" s="122" t="s">
        <v>1541</v>
      </c>
      <c r="E1371" s="9" t="s">
        <v>1542</v>
      </c>
      <c r="F1371" s="109" t="str">
        <f t="shared" ref="F1371:G1371" si="1370">TRANSLATE(D1371,"lzh","vi")</f>
        <v>#NAME?</v>
      </c>
      <c r="G1371" s="109" t="str">
        <f t="shared" si="1370"/>
        <v>#NAME?</v>
      </c>
      <c r="X1371" s="110"/>
    </row>
    <row r="1372" ht="21.0" customHeight="1">
      <c r="A1372" s="6">
        <v>10.0</v>
      </c>
      <c r="B1372" s="6">
        <v>1012.0</v>
      </c>
      <c r="C1372" s="6">
        <v>5.0</v>
      </c>
      <c r="D1372" s="122" t="s">
        <v>1543</v>
      </c>
      <c r="E1372" s="9" t="s">
        <v>1544</v>
      </c>
      <c r="F1372" s="109" t="str">
        <f t="shared" ref="F1372:G1372" si="1371">TRANSLATE(D1372,"lzh","vi")</f>
        <v>#NAME?</v>
      </c>
      <c r="G1372" s="109" t="str">
        <f t="shared" si="1371"/>
        <v>#NAME?</v>
      </c>
      <c r="X1372" s="110"/>
    </row>
    <row r="1373" ht="21.0" customHeight="1">
      <c r="A1373" s="6">
        <v>10.0</v>
      </c>
      <c r="B1373" s="6">
        <v>1012.0</v>
      </c>
      <c r="C1373" s="6">
        <v>6.0</v>
      </c>
      <c r="D1373" s="122" t="s">
        <v>1545</v>
      </c>
      <c r="E1373" s="9" t="s">
        <v>1546</v>
      </c>
      <c r="F1373" s="109" t="str">
        <f t="shared" ref="F1373:G1373" si="1372">TRANSLATE(D1373,"lzh","vi")</f>
        <v>#NAME?</v>
      </c>
      <c r="G1373" s="109" t="str">
        <f t="shared" si="1372"/>
        <v>#NAME?</v>
      </c>
      <c r="X1373" s="110"/>
    </row>
    <row r="1374" ht="21.0" customHeight="1">
      <c r="A1374" s="6">
        <v>10.0</v>
      </c>
      <c r="B1374" s="6">
        <v>1012.0</v>
      </c>
      <c r="C1374" s="6">
        <v>7.0</v>
      </c>
      <c r="D1374" s="122" t="s">
        <v>1547</v>
      </c>
      <c r="E1374" s="9" t="s">
        <v>1548</v>
      </c>
      <c r="F1374" s="109" t="str">
        <f t="shared" ref="F1374:G1374" si="1373">TRANSLATE(D1374,"lzh","vi")</f>
        <v>#NAME?</v>
      </c>
      <c r="G1374" s="109" t="str">
        <f t="shared" si="1373"/>
        <v>#NAME?</v>
      </c>
      <c r="X1374" s="110"/>
    </row>
    <row r="1375" ht="21.0" customHeight="1">
      <c r="A1375" s="6">
        <v>10.0</v>
      </c>
      <c r="B1375" s="6">
        <v>1012.0</v>
      </c>
      <c r="C1375" s="6">
        <v>8.0</v>
      </c>
      <c r="D1375" s="122" t="s">
        <v>1549</v>
      </c>
      <c r="E1375" s="9" t="s">
        <v>1550</v>
      </c>
      <c r="F1375" s="109" t="str">
        <f t="shared" ref="F1375:G1375" si="1374">TRANSLATE(D1375,"lzh","vi")</f>
        <v>#NAME?</v>
      </c>
      <c r="G1375" s="109" t="str">
        <f t="shared" si="1374"/>
        <v>#NAME?</v>
      </c>
      <c r="X1375" s="110"/>
    </row>
    <row r="1376" ht="21.0" customHeight="1">
      <c r="A1376" s="6">
        <v>10.0</v>
      </c>
      <c r="B1376" s="6">
        <v>1012.0</v>
      </c>
      <c r="C1376" s="6">
        <v>9.0</v>
      </c>
      <c r="D1376" s="122" t="s">
        <v>1551</v>
      </c>
      <c r="E1376" s="9" t="s">
        <v>1552</v>
      </c>
      <c r="F1376" s="109" t="str">
        <f t="shared" ref="F1376:G1376" si="1375">TRANSLATE(D1376,"lzh","vi")</f>
        <v>#NAME?</v>
      </c>
      <c r="G1376" s="109" t="str">
        <f t="shared" si="1375"/>
        <v>#NAME?</v>
      </c>
      <c r="X1376" s="110"/>
    </row>
    <row r="1377" ht="21.0" customHeight="1">
      <c r="A1377" s="6">
        <v>10.0</v>
      </c>
      <c r="B1377" s="6">
        <v>1012.0</v>
      </c>
      <c r="C1377" s="6">
        <v>10.0</v>
      </c>
      <c r="D1377" s="122" t="s">
        <v>1553</v>
      </c>
      <c r="E1377" s="9" t="s">
        <v>1554</v>
      </c>
      <c r="F1377" s="109" t="str">
        <f t="shared" ref="F1377:G1377" si="1376">TRANSLATE(D1377,"lzh","vi")</f>
        <v>#NAME?</v>
      </c>
      <c r="G1377" s="109" t="str">
        <f t="shared" si="1376"/>
        <v>#NAME?</v>
      </c>
      <c r="X1377" s="110"/>
    </row>
    <row r="1378" ht="21.0" customHeight="1">
      <c r="A1378" s="6">
        <v>1.0</v>
      </c>
      <c r="B1378" s="6">
        <v>136.0</v>
      </c>
      <c r="C1378" s="6">
        <v>1.0</v>
      </c>
      <c r="D1378" s="122" t="s">
        <v>1555</v>
      </c>
      <c r="E1378" s="9" t="s">
        <v>1556</v>
      </c>
      <c r="F1378" s="109" t="str">
        <f t="shared" ref="F1378:G1378" si="1377">TRANSLATE(D1378,"lzh","vi")</f>
        <v>#NAME?</v>
      </c>
      <c r="G1378" s="109" t="str">
        <f t="shared" si="1377"/>
        <v>#NAME?</v>
      </c>
      <c r="X1378" s="110"/>
    </row>
    <row r="1379" ht="21.0" customHeight="1">
      <c r="A1379" s="6">
        <v>1.0</v>
      </c>
      <c r="B1379" s="6">
        <v>136.0</v>
      </c>
      <c r="C1379" s="6">
        <v>2.0</v>
      </c>
      <c r="D1379" s="122" t="s">
        <v>1557</v>
      </c>
      <c r="E1379" s="9" t="s">
        <v>1558</v>
      </c>
      <c r="F1379" s="109" t="str">
        <f t="shared" ref="F1379:G1379" si="1378">TRANSLATE(D1379,"lzh","vi")</f>
        <v>#NAME?</v>
      </c>
      <c r="G1379" s="109" t="str">
        <f t="shared" si="1378"/>
        <v>#NAME?</v>
      </c>
      <c r="X1379" s="110"/>
    </row>
    <row r="1380" ht="21.0" customHeight="1">
      <c r="A1380" s="6">
        <v>1.0</v>
      </c>
      <c r="B1380" s="6">
        <v>136.0</v>
      </c>
      <c r="C1380" s="6">
        <v>3.0</v>
      </c>
      <c r="D1380" s="122" t="s">
        <v>1559</v>
      </c>
      <c r="E1380" s="9" t="s">
        <v>1560</v>
      </c>
      <c r="F1380" s="109" t="str">
        <f t="shared" ref="F1380:G1380" si="1379">TRANSLATE(D1380,"lzh","vi")</f>
        <v>#NAME?</v>
      </c>
      <c r="G1380" s="109" t="str">
        <f t="shared" si="1379"/>
        <v>#NAME?</v>
      </c>
      <c r="X1380" s="110"/>
    </row>
    <row r="1381" ht="21.0" customHeight="1">
      <c r="A1381" s="6">
        <v>1.0</v>
      </c>
      <c r="B1381" s="6">
        <v>136.0</v>
      </c>
      <c r="C1381" s="6">
        <v>4.0</v>
      </c>
      <c r="D1381" s="122" t="s">
        <v>1561</v>
      </c>
      <c r="E1381" s="9" t="s">
        <v>1562</v>
      </c>
      <c r="F1381" s="109" t="str">
        <f t="shared" ref="F1381:G1381" si="1380">TRANSLATE(D1381,"lzh","vi")</f>
        <v>#NAME?</v>
      </c>
      <c r="G1381" s="109" t="str">
        <f t="shared" si="1380"/>
        <v>#NAME?</v>
      </c>
      <c r="X1381" s="110"/>
    </row>
    <row r="1382" ht="21.0" customHeight="1">
      <c r="A1382" s="6">
        <v>1.0</v>
      </c>
      <c r="B1382" s="6">
        <v>136.0</v>
      </c>
      <c r="C1382" s="6">
        <v>5.0</v>
      </c>
      <c r="D1382" s="122" t="s">
        <v>1563</v>
      </c>
      <c r="E1382" s="9" t="s">
        <v>1564</v>
      </c>
      <c r="F1382" s="109" t="str">
        <f t="shared" ref="F1382:G1382" si="1381">TRANSLATE(D1382,"lzh","vi")</f>
        <v>#NAME?</v>
      </c>
      <c r="G1382" s="109" t="str">
        <f t="shared" si="1381"/>
        <v>#NAME?</v>
      </c>
      <c r="X1382" s="110"/>
    </row>
    <row r="1383" ht="21.0" customHeight="1">
      <c r="A1383" s="6">
        <v>1.0</v>
      </c>
      <c r="B1383" s="6">
        <v>136.0</v>
      </c>
      <c r="C1383" s="6">
        <v>6.0</v>
      </c>
      <c r="D1383" s="122" t="s">
        <v>1565</v>
      </c>
      <c r="E1383" s="9" t="s">
        <v>1566</v>
      </c>
      <c r="F1383" s="109" t="str">
        <f t="shared" ref="F1383:G1383" si="1382">TRANSLATE(D1383,"lzh","vi")</f>
        <v>#NAME?</v>
      </c>
      <c r="G1383" s="109" t="str">
        <f t="shared" si="1382"/>
        <v>#NAME?</v>
      </c>
      <c r="X1383" s="110"/>
    </row>
    <row r="1384" ht="21.0" customHeight="1">
      <c r="A1384" s="6">
        <v>1.0</v>
      </c>
      <c r="B1384" s="6">
        <v>136.0</v>
      </c>
      <c r="C1384" s="6">
        <v>7.0</v>
      </c>
      <c r="D1384" s="122" t="s">
        <v>1567</v>
      </c>
      <c r="E1384" s="9" t="s">
        <v>1568</v>
      </c>
      <c r="F1384" s="109" t="str">
        <f t="shared" ref="F1384:G1384" si="1383">TRANSLATE(D1384,"lzh","vi")</f>
        <v>#NAME?</v>
      </c>
      <c r="G1384" s="109" t="str">
        <f t="shared" si="1383"/>
        <v>#NAME?</v>
      </c>
      <c r="X1384" s="110"/>
    </row>
    <row r="1385" ht="21.0" customHeight="1">
      <c r="A1385" s="6">
        <v>1.0</v>
      </c>
      <c r="B1385" s="6">
        <v>136.0</v>
      </c>
      <c r="C1385" s="6">
        <v>8.0</v>
      </c>
      <c r="D1385" s="122" t="s">
        <v>1569</v>
      </c>
      <c r="E1385" s="9" t="s">
        <v>1570</v>
      </c>
      <c r="F1385" s="109" t="str">
        <f t="shared" ref="F1385:G1385" si="1384">TRANSLATE(D1385,"lzh","vi")</f>
        <v>#NAME?</v>
      </c>
      <c r="G1385" s="109" t="str">
        <f t="shared" si="1384"/>
        <v>#NAME?</v>
      </c>
      <c r="X1385" s="110"/>
    </row>
    <row r="1386" ht="21.0" customHeight="1">
      <c r="A1386" s="6">
        <v>1.0</v>
      </c>
      <c r="B1386" s="6">
        <v>136.0</v>
      </c>
      <c r="C1386" s="6">
        <v>9.0</v>
      </c>
      <c r="D1386" s="122" t="s">
        <v>1571</v>
      </c>
      <c r="E1386" s="9" t="s">
        <v>1572</v>
      </c>
      <c r="F1386" s="109" t="str">
        <f t="shared" ref="F1386:G1386" si="1385">TRANSLATE(D1386,"lzh","vi")</f>
        <v>#NAME?</v>
      </c>
      <c r="G1386" s="109" t="str">
        <f t="shared" si="1385"/>
        <v>#NAME?</v>
      </c>
      <c r="X1386" s="110"/>
    </row>
    <row r="1387" ht="21.0" customHeight="1">
      <c r="A1387" s="6">
        <v>1.0</v>
      </c>
      <c r="B1387" s="6">
        <v>136.0</v>
      </c>
      <c r="C1387" s="6">
        <v>10.0</v>
      </c>
      <c r="D1387" s="122" t="s">
        <v>1573</v>
      </c>
      <c r="E1387" s="9" t="s">
        <v>1574</v>
      </c>
      <c r="F1387" s="109" t="str">
        <f t="shared" ref="F1387:G1387" si="1386">TRANSLATE(D1387,"lzh","vi")</f>
        <v>#NAME?</v>
      </c>
      <c r="G1387" s="109" t="str">
        <f t="shared" si="1386"/>
        <v>#NAME?</v>
      </c>
      <c r="X1387" s="110"/>
    </row>
    <row r="1388" ht="21.0" customHeight="1">
      <c r="A1388" s="6">
        <v>1.0</v>
      </c>
      <c r="B1388" s="6">
        <v>137.0</v>
      </c>
      <c r="C1388" s="6">
        <v>1.0</v>
      </c>
      <c r="D1388" s="122" t="s">
        <v>1575</v>
      </c>
      <c r="E1388" s="9" t="s">
        <v>1576</v>
      </c>
      <c r="F1388" s="109" t="str">
        <f t="shared" ref="F1388:G1388" si="1387">TRANSLATE(D1388,"lzh","vi")</f>
        <v>#NAME?</v>
      </c>
      <c r="G1388" s="109" t="str">
        <f t="shared" si="1387"/>
        <v>#NAME?</v>
      </c>
      <c r="X1388" s="110"/>
    </row>
    <row r="1389" ht="21.0" customHeight="1">
      <c r="A1389" s="6">
        <v>1.0</v>
      </c>
      <c r="B1389" s="6">
        <v>137.0</v>
      </c>
      <c r="C1389" s="6">
        <v>2.0</v>
      </c>
      <c r="D1389" s="122" t="s">
        <v>1577</v>
      </c>
      <c r="E1389" s="9" t="s">
        <v>1578</v>
      </c>
      <c r="F1389" s="109" t="str">
        <f t="shared" ref="F1389:G1389" si="1388">TRANSLATE(D1389,"lzh","vi")</f>
        <v>#NAME?</v>
      </c>
      <c r="G1389" s="109" t="str">
        <f t="shared" si="1388"/>
        <v>#NAME?</v>
      </c>
      <c r="X1389" s="110"/>
    </row>
    <row r="1390" ht="21.0" customHeight="1">
      <c r="A1390" s="6">
        <v>1.0</v>
      </c>
      <c r="B1390" s="6">
        <v>137.0</v>
      </c>
      <c r="C1390" s="6">
        <v>3.0</v>
      </c>
      <c r="D1390" s="122" t="s">
        <v>1579</v>
      </c>
      <c r="E1390" s="9" t="s">
        <v>1580</v>
      </c>
      <c r="F1390" s="109" t="str">
        <f t="shared" ref="F1390:G1390" si="1389">TRANSLATE(D1390,"lzh","vi")</f>
        <v>#NAME?</v>
      </c>
      <c r="G1390" s="109" t="str">
        <f t="shared" si="1389"/>
        <v>#NAME?</v>
      </c>
      <c r="X1390" s="110"/>
    </row>
    <row r="1391" ht="21.0" customHeight="1">
      <c r="A1391" s="6">
        <v>1.0</v>
      </c>
      <c r="B1391" s="6">
        <v>137.0</v>
      </c>
      <c r="C1391" s="6">
        <v>4.0</v>
      </c>
      <c r="D1391" s="122" t="s">
        <v>1581</v>
      </c>
      <c r="E1391" s="9" t="s">
        <v>1582</v>
      </c>
      <c r="F1391" s="109" t="str">
        <f t="shared" ref="F1391:G1391" si="1390">TRANSLATE(D1391,"lzh","vi")</f>
        <v>#NAME?</v>
      </c>
      <c r="G1391" s="109" t="str">
        <f t="shared" si="1390"/>
        <v>#NAME?</v>
      </c>
      <c r="X1391" s="110"/>
    </row>
    <row r="1392" ht="21.0" customHeight="1">
      <c r="A1392" s="6">
        <v>1.0</v>
      </c>
      <c r="B1392" s="6">
        <v>137.0</v>
      </c>
      <c r="C1392" s="6">
        <v>5.0</v>
      </c>
      <c r="D1392" s="122" t="s">
        <v>1583</v>
      </c>
      <c r="E1392" s="9" t="s">
        <v>1584</v>
      </c>
      <c r="F1392" s="109" t="str">
        <f t="shared" ref="F1392:G1392" si="1391">TRANSLATE(D1392,"lzh","vi")</f>
        <v>#NAME?</v>
      </c>
      <c r="G1392" s="109" t="str">
        <f t="shared" si="1391"/>
        <v>#NAME?</v>
      </c>
      <c r="X1392" s="110"/>
    </row>
    <row r="1393" ht="21.0" customHeight="1">
      <c r="A1393" s="6">
        <v>1.0</v>
      </c>
      <c r="B1393" s="6">
        <v>137.0</v>
      </c>
      <c r="C1393" s="6">
        <v>6.0</v>
      </c>
      <c r="D1393" s="152" t="s">
        <v>1585</v>
      </c>
      <c r="E1393" s="9" t="s">
        <v>1586</v>
      </c>
      <c r="F1393" s="109" t="str">
        <f t="shared" ref="F1393:G1393" si="1392">TRANSLATE(D1393,"lzh","vi")</f>
        <v>#NAME?</v>
      </c>
      <c r="G1393" s="109" t="str">
        <f t="shared" si="1392"/>
        <v>#NAME?</v>
      </c>
      <c r="X1393" s="110"/>
    </row>
    <row r="1394" ht="21.0" customHeight="1">
      <c r="A1394" s="6">
        <v>1.0</v>
      </c>
      <c r="B1394" s="6">
        <v>137.0</v>
      </c>
      <c r="C1394" s="6">
        <v>7.0</v>
      </c>
      <c r="D1394" s="122" t="s">
        <v>1587</v>
      </c>
      <c r="E1394" s="9" t="s">
        <v>1588</v>
      </c>
      <c r="F1394" s="109" t="str">
        <f t="shared" ref="F1394:G1394" si="1393">TRANSLATE(D1394,"lzh","vi")</f>
        <v>#NAME?</v>
      </c>
      <c r="G1394" s="109" t="str">
        <f t="shared" si="1393"/>
        <v>#NAME?</v>
      </c>
      <c r="X1394" s="110"/>
    </row>
    <row r="1395" ht="21.0" customHeight="1">
      <c r="A1395" s="6">
        <v>1.0</v>
      </c>
      <c r="B1395" s="6">
        <v>137.0</v>
      </c>
      <c r="C1395" s="6">
        <v>8.0</v>
      </c>
      <c r="D1395" s="122" t="s">
        <v>1589</v>
      </c>
      <c r="E1395" s="9" t="s">
        <v>1590</v>
      </c>
      <c r="F1395" s="109" t="str">
        <f t="shared" ref="F1395:G1395" si="1394">TRANSLATE(D1395,"lzh","vi")</f>
        <v>#NAME?</v>
      </c>
      <c r="G1395" s="109" t="str">
        <f t="shared" si="1394"/>
        <v>#NAME?</v>
      </c>
      <c r="X1395" s="110"/>
    </row>
    <row r="1396" ht="21.0" customHeight="1">
      <c r="A1396" s="6">
        <v>1.0</v>
      </c>
      <c r="B1396" s="6">
        <v>137.0</v>
      </c>
      <c r="C1396" s="6">
        <v>9.0</v>
      </c>
      <c r="D1396" s="122" t="s">
        <v>1591</v>
      </c>
      <c r="E1396" s="9" t="s">
        <v>1592</v>
      </c>
      <c r="F1396" s="109" t="str">
        <f t="shared" ref="F1396:G1396" si="1395">TRANSLATE(D1396,"lzh","vi")</f>
        <v>#NAME?</v>
      </c>
      <c r="G1396" s="109" t="str">
        <f t="shared" si="1395"/>
        <v>#NAME?</v>
      </c>
      <c r="X1396" s="110"/>
    </row>
    <row r="1397" ht="21.0" customHeight="1">
      <c r="A1397" s="6">
        <v>1.0</v>
      </c>
      <c r="B1397" s="6">
        <v>137.0</v>
      </c>
      <c r="C1397" s="6">
        <v>10.0</v>
      </c>
      <c r="D1397" s="122" t="s">
        <v>1593</v>
      </c>
      <c r="E1397" s="9" t="s">
        <v>1594</v>
      </c>
      <c r="F1397" s="109" t="str">
        <f t="shared" ref="F1397:G1397" si="1396">TRANSLATE(D1397,"lzh","vi")</f>
        <v>#NAME?</v>
      </c>
      <c r="G1397" s="109" t="str">
        <f t="shared" si="1396"/>
        <v>#NAME?</v>
      </c>
      <c r="X1397" s="110"/>
    </row>
    <row r="1398" ht="21.0" customHeight="1">
      <c r="A1398" s="6">
        <v>1.0</v>
      </c>
      <c r="B1398" s="6">
        <v>120.0</v>
      </c>
      <c r="C1398" s="6">
        <v>1.0</v>
      </c>
      <c r="D1398" s="122" t="s">
        <v>1595</v>
      </c>
      <c r="E1398" s="9" t="s">
        <v>1596</v>
      </c>
      <c r="F1398" s="109" t="str">
        <f t="shared" ref="F1398:G1398" si="1397">TRANSLATE(D1398,"lzh","vi")</f>
        <v>#NAME?</v>
      </c>
      <c r="G1398" s="109" t="str">
        <f t="shared" si="1397"/>
        <v>#NAME?</v>
      </c>
      <c r="X1398" s="110"/>
    </row>
    <row r="1399" ht="21.0" customHeight="1">
      <c r="A1399" s="6">
        <v>1.0</v>
      </c>
      <c r="B1399" s="6">
        <v>120.0</v>
      </c>
      <c r="C1399" s="6">
        <v>2.0</v>
      </c>
      <c r="D1399" s="122" t="s">
        <v>1597</v>
      </c>
      <c r="E1399" s="9" t="s">
        <v>1598</v>
      </c>
      <c r="F1399" s="109" t="str">
        <f t="shared" ref="F1399:G1399" si="1398">TRANSLATE(D1399,"lzh","vi")</f>
        <v>#NAME?</v>
      </c>
      <c r="G1399" s="109" t="str">
        <f t="shared" si="1398"/>
        <v>#NAME?</v>
      </c>
      <c r="X1399" s="110"/>
    </row>
    <row r="1400" ht="21.0" customHeight="1">
      <c r="A1400" s="6">
        <v>1.0</v>
      </c>
      <c r="B1400" s="6">
        <v>120.0</v>
      </c>
      <c r="C1400" s="6">
        <v>3.0</v>
      </c>
      <c r="D1400" s="122" t="s">
        <v>1599</v>
      </c>
      <c r="E1400" s="9" t="s">
        <v>1600</v>
      </c>
      <c r="F1400" s="109" t="str">
        <f t="shared" ref="F1400:G1400" si="1399">TRANSLATE(D1400,"lzh","vi")</f>
        <v>#NAME?</v>
      </c>
      <c r="G1400" s="109" t="str">
        <f t="shared" si="1399"/>
        <v>#NAME?</v>
      </c>
      <c r="X1400" s="110"/>
    </row>
    <row r="1401" ht="21.0" customHeight="1">
      <c r="A1401" s="6">
        <v>1.0</v>
      </c>
      <c r="B1401" s="6">
        <v>120.0</v>
      </c>
      <c r="C1401" s="6">
        <v>4.0</v>
      </c>
      <c r="D1401" s="122" t="s">
        <v>1601</v>
      </c>
      <c r="E1401" s="9" t="s">
        <v>1602</v>
      </c>
      <c r="F1401" s="109" t="str">
        <f t="shared" ref="F1401:G1401" si="1400">TRANSLATE(D1401,"lzh","vi")</f>
        <v>#NAME?</v>
      </c>
      <c r="G1401" s="109" t="str">
        <f t="shared" si="1400"/>
        <v>#NAME?</v>
      </c>
      <c r="X1401" s="110"/>
    </row>
    <row r="1402" ht="21.0" customHeight="1">
      <c r="A1402" s="6">
        <v>1.0</v>
      </c>
      <c r="B1402" s="6">
        <v>120.0</v>
      </c>
      <c r="C1402" s="6">
        <v>5.0</v>
      </c>
      <c r="D1402" s="122" t="s">
        <v>1603</v>
      </c>
      <c r="E1402" s="9" t="s">
        <v>1604</v>
      </c>
      <c r="F1402" s="109" t="str">
        <f t="shared" ref="F1402:G1402" si="1401">TRANSLATE(D1402,"lzh","vi")</f>
        <v>#NAME?</v>
      </c>
      <c r="G1402" s="109" t="str">
        <f t="shared" si="1401"/>
        <v>#NAME?</v>
      </c>
      <c r="X1402" s="110"/>
    </row>
    <row r="1403" ht="21.0" customHeight="1">
      <c r="A1403" s="6">
        <v>1.0</v>
      </c>
      <c r="B1403" s="6">
        <v>120.0</v>
      </c>
      <c r="C1403" s="6">
        <v>6.0</v>
      </c>
      <c r="D1403" s="122" t="s">
        <v>1605</v>
      </c>
      <c r="E1403" s="9" t="s">
        <v>1606</v>
      </c>
      <c r="F1403" s="109" t="str">
        <f t="shared" ref="F1403:G1403" si="1402">TRANSLATE(D1403,"lzh","vi")</f>
        <v>#NAME?</v>
      </c>
      <c r="G1403" s="109" t="str">
        <f t="shared" si="1402"/>
        <v>#NAME?</v>
      </c>
      <c r="X1403" s="110"/>
    </row>
    <row r="1404" ht="21.0" customHeight="1">
      <c r="A1404" s="6">
        <v>1.0</v>
      </c>
      <c r="B1404" s="6">
        <v>120.0</v>
      </c>
      <c r="C1404" s="6">
        <v>7.0</v>
      </c>
      <c r="D1404" s="122" t="s">
        <v>1607</v>
      </c>
      <c r="E1404" s="9" t="s">
        <v>1608</v>
      </c>
      <c r="F1404" s="109" t="str">
        <f t="shared" ref="F1404:G1404" si="1403">TRANSLATE(D1404,"lzh","vi")</f>
        <v>#NAME?</v>
      </c>
      <c r="G1404" s="109" t="str">
        <f t="shared" si="1403"/>
        <v>#NAME?</v>
      </c>
      <c r="X1404" s="110"/>
    </row>
    <row r="1405" ht="21.0" customHeight="1">
      <c r="A1405" s="6">
        <v>1.0</v>
      </c>
      <c r="B1405" s="6">
        <v>120.0</v>
      </c>
      <c r="C1405" s="6">
        <v>8.0</v>
      </c>
      <c r="D1405" s="122" t="s">
        <v>1609</v>
      </c>
      <c r="E1405" s="9" t="s">
        <v>1610</v>
      </c>
      <c r="F1405" s="109" t="str">
        <f t="shared" ref="F1405:G1405" si="1404">TRANSLATE(D1405,"lzh","vi")</f>
        <v>#NAME?</v>
      </c>
      <c r="G1405" s="109" t="str">
        <f t="shared" si="1404"/>
        <v>#NAME?</v>
      </c>
      <c r="X1405" s="110"/>
    </row>
    <row r="1406" ht="21.0" customHeight="1">
      <c r="A1406" s="6">
        <v>1.0</v>
      </c>
      <c r="B1406" s="6">
        <v>120.0</v>
      </c>
      <c r="C1406" s="6">
        <v>9.0</v>
      </c>
      <c r="D1406" s="122" t="s">
        <v>1611</v>
      </c>
      <c r="E1406" s="9" t="s">
        <v>1612</v>
      </c>
      <c r="F1406" s="109" t="str">
        <f t="shared" ref="F1406:G1406" si="1405">TRANSLATE(D1406,"lzh","vi")</f>
        <v>#NAME?</v>
      </c>
      <c r="G1406" s="109" t="str">
        <f t="shared" si="1405"/>
        <v>#NAME?</v>
      </c>
      <c r="X1406" s="110"/>
    </row>
    <row r="1407" ht="21.0" customHeight="1">
      <c r="A1407" s="64">
        <v>1.0</v>
      </c>
      <c r="B1407" s="64">
        <v>120.0</v>
      </c>
      <c r="C1407" s="64">
        <v>10.0</v>
      </c>
      <c r="D1407" s="156" t="s">
        <v>1613</v>
      </c>
      <c r="E1407" s="65" t="s">
        <v>1614</v>
      </c>
      <c r="F1407" s="109" t="str">
        <f t="shared" ref="F1407:G1407" si="1406">TRANSLATE(D1407,"lzh","vi")</f>
        <v>#NAME?</v>
      </c>
      <c r="G1407" s="109" t="str">
        <f t="shared" si="1406"/>
        <v>#NAME?</v>
      </c>
      <c r="X1407" s="157"/>
    </row>
    <row r="1408" ht="21.0" customHeight="1">
      <c r="A1408" s="5">
        <v>13.0</v>
      </c>
      <c r="B1408" s="64">
        <v>120.0</v>
      </c>
      <c r="C1408" s="6">
        <v>11.0</v>
      </c>
      <c r="D1408" s="108" t="s">
        <v>1615</v>
      </c>
      <c r="E1408" s="67" t="s">
        <v>1616</v>
      </c>
      <c r="F1408" s="109" t="str">
        <f t="shared" ref="F1408:G1408" si="1407">TRANSLATE(D1408,"lzh","vi")</f>
        <v>#NAME?</v>
      </c>
      <c r="G1408" s="109" t="str">
        <f t="shared" si="1407"/>
        <v>#NAME?</v>
      </c>
      <c r="X1408" s="110"/>
    </row>
    <row r="1409" ht="21.0" customHeight="1">
      <c r="A1409" s="6">
        <v>1.0</v>
      </c>
      <c r="B1409" s="6">
        <v>121.0</v>
      </c>
      <c r="C1409" s="6">
        <v>1.0</v>
      </c>
      <c r="D1409" s="122" t="s">
        <v>1617</v>
      </c>
      <c r="E1409" s="9" t="s">
        <v>1618</v>
      </c>
      <c r="F1409" s="109" t="str">
        <f t="shared" ref="F1409:G1409" si="1408">TRANSLATE(D1409,"lzh","vi")</f>
        <v>#NAME?</v>
      </c>
      <c r="G1409" s="109" t="str">
        <f t="shared" si="1408"/>
        <v>#NAME?</v>
      </c>
      <c r="X1409" s="110"/>
    </row>
    <row r="1410" ht="21.0" customHeight="1">
      <c r="A1410" s="6">
        <v>1.0</v>
      </c>
      <c r="B1410" s="6">
        <v>121.0</v>
      </c>
      <c r="C1410" s="6">
        <v>2.0</v>
      </c>
      <c r="D1410" s="122" t="s">
        <v>1619</v>
      </c>
      <c r="E1410" s="9" t="s">
        <v>1620</v>
      </c>
      <c r="F1410" s="109" t="str">
        <f t="shared" ref="F1410:G1410" si="1409">TRANSLATE(D1410,"lzh","vi")</f>
        <v>#NAME?</v>
      </c>
      <c r="G1410" s="109" t="str">
        <f t="shared" si="1409"/>
        <v>#NAME?</v>
      </c>
      <c r="X1410" s="110"/>
    </row>
    <row r="1411" ht="21.0" customHeight="1">
      <c r="A1411" s="6">
        <v>1.0</v>
      </c>
      <c r="B1411" s="6">
        <v>121.0</v>
      </c>
      <c r="C1411" s="6">
        <v>3.0</v>
      </c>
      <c r="D1411" s="152" t="s">
        <v>1621</v>
      </c>
      <c r="E1411" s="9" t="s">
        <v>1622</v>
      </c>
      <c r="F1411" s="109" t="str">
        <f t="shared" ref="F1411:G1411" si="1410">TRANSLATE(D1411,"lzh","vi")</f>
        <v>#NAME?</v>
      </c>
      <c r="G1411" s="109" t="str">
        <f t="shared" si="1410"/>
        <v>#NAME?</v>
      </c>
      <c r="X1411" s="110"/>
    </row>
    <row r="1412" ht="21.0" customHeight="1">
      <c r="A1412" s="6">
        <v>1.0</v>
      </c>
      <c r="B1412" s="6">
        <v>121.0</v>
      </c>
      <c r="C1412" s="6">
        <v>4.0</v>
      </c>
      <c r="D1412" s="122" t="s">
        <v>1623</v>
      </c>
      <c r="E1412" s="9" t="s">
        <v>1624</v>
      </c>
      <c r="F1412" s="109" t="str">
        <f t="shared" ref="F1412:G1412" si="1411">TRANSLATE(D1412,"lzh","vi")</f>
        <v>#NAME?</v>
      </c>
      <c r="G1412" s="109" t="str">
        <f t="shared" si="1411"/>
        <v>#NAME?</v>
      </c>
      <c r="X1412" s="110"/>
    </row>
    <row r="1413" ht="21.0" customHeight="1">
      <c r="A1413" s="6">
        <v>1.0</v>
      </c>
      <c r="B1413" s="6">
        <v>121.0</v>
      </c>
      <c r="C1413" s="6">
        <v>5.0</v>
      </c>
      <c r="D1413" s="122" t="s">
        <v>1625</v>
      </c>
      <c r="E1413" s="9" t="s">
        <v>1626</v>
      </c>
      <c r="F1413" s="109" t="str">
        <f t="shared" ref="F1413:G1413" si="1412">TRANSLATE(D1413,"lzh","vi")</f>
        <v>#NAME?</v>
      </c>
      <c r="G1413" s="109" t="str">
        <f t="shared" si="1412"/>
        <v>#NAME?</v>
      </c>
      <c r="X1413" s="110"/>
    </row>
    <row r="1414" ht="21.0" customHeight="1">
      <c r="A1414" s="6">
        <v>1.0</v>
      </c>
      <c r="B1414" s="6">
        <v>121.0</v>
      </c>
      <c r="C1414" s="6">
        <v>6.0</v>
      </c>
      <c r="D1414" s="122" t="s">
        <v>1627</v>
      </c>
      <c r="E1414" s="9" t="s">
        <v>1628</v>
      </c>
      <c r="F1414" s="109" t="str">
        <f t="shared" ref="F1414:G1414" si="1413">TRANSLATE(D1414,"lzh","vi")</f>
        <v>#NAME?</v>
      </c>
      <c r="G1414" s="109" t="str">
        <f t="shared" si="1413"/>
        <v>#NAME?</v>
      </c>
      <c r="X1414" s="110"/>
    </row>
    <row r="1415" ht="21.0" customHeight="1">
      <c r="A1415" s="6">
        <v>1.0</v>
      </c>
      <c r="B1415" s="6">
        <v>121.0</v>
      </c>
      <c r="C1415" s="6">
        <v>7.0</v>
      </c>
      <c r="D1415" s="122" t="s">
        <v>1629</v>
      </c>
      <c r="E1415" s="9" t="s">
        <v>1630</v>
      </c>
      <c r="F1415" s="109" t="str">
        <f t="shared" ref="F1415:G1415" si="1414">TRANSLATE(D1415,"lzh","vi")</f>
        <v>#NAME?</v>
      </c>
      <c r="G1415" s="109" t="str">
        <f t="shared" si="1414"/>
        <v>#NAME?</v>
      </c>
      <c r="X1415" s="110"/>
    </row>
    <row r="1416" ht="21.0" customHeight="1">
      <c r="A1416" s="6">
        <v>1.0</v>
      </c>
      <c r="B1416" s="6">
        <v>121.0</v>
      </c>
      <c r="C1416" s="6">
        <v>8.0</v>
      </c>
      <c r="D1416" s="122" t="s">
        <v>1631</v>
      </c>
      <c r="E1416" s="9" t="s">
        <v>1632</v>
      </c>
      <c r="F1416" s="109" t="str">
        <f t="shared" ref="F1416:G1416" si="1415">TRANSLATE(D1416,"lzh","vi")</f>
        <v>#NAME?</v>
      </c>
      <c r="G1416" s="109" t="str">
        <f t="shared" si="1415"/>
        <v>#NAME?</v>
      </c>
      <c r="X1416" s="110"/>
    </row>
    <row r="1417" ht="21.0" customHeight="1">
      <c r="A1417" s="6">
        <v>1.0</v>
      </c>
      <c r="B1417" s="6">
        <v>121.0</v>
      </c>
      <c r="C1417" s="6">
        <v>9.0</v>
      </c>
      <c r="D1417" s="122" t="s">
        <v>1633</v>
      </c>
      <c r="E1417" s="9" t="s">
        <v>1634</v>
      </c>
      <c r="F1417" s="109" t="str">
        <f t="shared" ref="F1417:G1417" si="1416">TRANSLATE(D1417,"lzh","vi")</f>
        <v>#NAME?</v>
      </c>
      <c r="G1417" s="109" t="str">
        <f t="shared" si="1416"/>
        <v>#NAME?</v>
      </c>
      <c r="X1417" s="110"/>
    </row>
    <row r="1418" ht="21.0" customHeight="1">
      <c r="A1418" s="6">
        <v>1.0</v>
      </c>
      <c r="B1418" s="6">
        <v>121.0</v>
      </c>
      <c r="C1418" s="6">
        <v>10.0</v>
      </c>
      <c r="D1418" s="122" t="s">
        <v>1635</v>
      </c>
      <c r="E1418" s="9" t="s">
        <v>1636</v>
      </c>
      <c r="F1418" s="109" t="str">
        <f t="shared" ref="F1418:G1418" si="1417">TRANSLATE(D1418,"lzh","vi")</f>
        <v>#NAME?</v>
      </c>
      <c r="G1418" s="109" t="str">
        <f t="shared" si="1417"/>
        <v>#NAME?</v>
      </c>
      <c r="X1418" s="110"/>
    </row>
    <row r="1419" ht="21.0" customHeight="1">
      <c r="A1419" s="6">
        <v>11.0</v>
      </c>
      <c r="B1419" s="6">
        <v>1013.0</v>
      </c>
      <c r="C1419" s="6">
        <v>1.0</v>
      </c>
      <c r="D1419" s="122" t="s">
        <v>1637</v>
      </c>
      <c r="E1419" s="9" t="s">
        <v>1638</v>
      </c>
      <c r="F1419" s="109" t="str">
        <f t="shared" ref="F1419:G1419" si="1418">TRANSLATE(D1419,"lzh","vi")</f>
        <v>#NAME?</v>
      </c>
      <c r="G1419" s="109" t="str">
        <f t="shared" si="1418"/>
        <v>#NAME?</v>
      </c>
      <c r="X1419" s="110"/>
    </row>
    <row r="1420" ht="21.0" customHeight="1">
      <c r="A1420" s="6">
        <v>11.0</v>
      </c>
      <c r="B1420" s="6">
        <v>1013.0</v>
      </c>
      <c r="C1420" s="6">
        <v>2.0</v>
      </c>
      <c r="D1420" s="122" t="s">
        <v>1639</v>
      </c>
      <c r="E1420" s="9" t="s">
        <v>1640</v>
      </c>
      <c r="F1420" s="109" t="str">
        <f t="shared" ref="F1420:G1420" si="1419">TRANSLATE(D1420,"lzh","vi")</f>
        <v>#NAME?</v>
      </c>
      <c r="G1420" s="109" t="str">
        <f t="shared" si="1419"/>
        <v>#NAME?</v>
      </c>
      <c r="X1420" s="110"/>
    </row>
    <row r="1421" ht="21.0" customHeight="1">
      <c r="A1421" s="6">
        <v>11.0</v>
      </c>
      <c r="B1421" s="6">
        <v>1013.0</v>
      </c>
      <c r="C1421" s="6">
        <v>3.0</v>
      </c>
      <c r="D1421" s="122" t="s">
        <v>1641</v>
      </c>
      <c r="E1421" s="9" t="s">
        <v>1642</v>
      </c>
      <c r="F1421" s="109" t="str">
        <f t="shared" ref="F1421:G1421" si="1420">TRANSLATE(D1421,"lzh","vi")</f>
        <v>#NAME?</v>
      </c>
      <c r="G1421" s="109" t="str">
        <f t="shared" si="1420"/>
        <v>#NAME?</v>
      </c>
      <c r="X1421" s="110"/>
    </row>
    <row r="1422" ht="21.0" customHeight="1">
      <c r="A1422" s="6">
        <v>11.0</v>
      </c>
      <c r="B1422" s="6">
        <v>1013.0</v>
      </c>
      <c r="C1422" s="6">
        <v>4.0</v>
      </c>
      <c r="D1422" s="122" t="s">
        <v>1643</v>
      </c>
      <c r="E1422" s="9" t="s">
        <v>1644</v>
      </c>
      <c r="F1422" s="109" t="str">
        <f t="shared" ref="F1422:G1422" si="1421">TRANSLATE(D1422,"lzh","vi")</f>
        <v>#NAME?</v>
      </c>
      <c r="G1422" s="109" t="str">
        <f t="shared" si="1421"/>
        <v>#NAME?</v>
      </c>
      <c r="X1422" s="110"/>
    </row>
    <row r="1423" ht="21.0" customHeight="1">
      <c r="A1423" s="6">
        <v>10.0</v>
      </c>
      <c r="B1423" s="6">
        <v>1013.0</v>
      </c>
      <c r="C1423" s="6">
        <v>5.0</v>
      </c>
      <c r="D1423" s="122" t="s">
        <v>1645</v>
      </c>
      <c r="E1423" s="9" t="s">
        <v>1646</v>
      </c>
      <c r="F1423" s="109" t="str">
        <f t="shared" ref="F1423:G1423" si="1422">TRANSLATE(D1423,"lzh","vi")</f>
        <v>#NAME?</v>
      </c>
      <c r="G1423" s="109" t="str">
        <f t="shared" si="1422"/>
        <v>#NAME?</v>
      </c>
      <c r="X1423" s="110"/>
    </row>
    <row r="1424" ht="21.0" customHeight="1">
      <c r="A1424" s="6">
        <v>10.0</v>
      </c>
      <c r="B1424" s="6">
        <v>1013.0</v>
      </c>
      <c r="C1424" s="6">
        <v>6.0</v>
      </c>
      <c r="D1424" s="122" t="s">
        <v>1647</v>
      </c>
      <c r="E1424" s="9" t="s">
        <v>1648</v>
      </c>
      <c r="F1424" s="109" t="str">
        <f t="shared" ref="F1424:G1424" si="1423">TRANSLATE(D1424,"lzh","vi")</f>
        <v>#NAME?</v>
      </c>
      <c r="G1424" s="109" t="str">
        <f t="shared" si="1423"/>
        <v>#NAME?</v>
      </c>
      <c r="X1424" s="110"/>
    </row>
    <row r="1425" ht="21.0" customHeight="1">
      <c r="A1425" s="6">
        <v>10.0</v>
      </c>
      <c r="B1425" s="6">
        <v>1013.0</v>
      </c>
      <c r="C1425" s="6">
        <v>7.0</v>
      </c>
      <c r="D1425" s="122" t="s">
        <v>1649</v>
      </c>
      <c r="E1425" s="9" t="s">
        <v>1650</v>
      </c>
      <c r="F1425" s="109" t="str">
        <f t="shared" ref="F1425:G1425" si="1424">TRANSLATE(D1425,"lzh","vi")</f>
        <v>#NAME?</v>
      </c>
      <c r="G1425" s="109" t="str">
        <f t="shared" si="1424"/>
        <v>#NAME?</v>
      </c>
      <c r="X1425" s="110"/>
    </row>
    <row r="1426" ht="21.0" customHeight="1">
      <c r="A1426" s="6">
        <v>10.0</v>
      </c>
      <c r="B1426" s="6">
        <v>1013.0</v>
      </c>
      <c r="C1426" s="6">
        <v>8.0</v>
      </c>
      <c r="D1426" s="122" t="s">
        <v>1651</v>
      </c>
      <c r="E1426" s="9" t="s">
        <v>1652</v>
      </c>
      <c r="F1426" s="109" t="str">
        <f t="shared" ref="F1426:G1426" si="1425">TRANSLATE(D1426,"lzh","vi")</f>
        <v>#NAME?</v>
      </c>
      <c r="G1426" s="109" t="str">
        <f t="shared" si="1425"/>
        <v>#NAME?</v>
      </c>
      <c r="X1426" s="110"/>
    </row>
    <row r="1427" ht="21.0" customHeight="1">
      <c r="A1427" s="6">
        <v>10.0</v>
      </c>
      <c r="B1427" s="6">
        <v>1013.0</v>
      </c>
      <c r="C1427" s="6">
        <v>9.0</v>
      </c>
      <c r="D1427" s="122" t="s">
        <v>1653</v>
      </c>
      <c r="E1427" s="9" t="s">
        <v>1654</v>
      </c>
      <c r="F1427" s="109" t="str">
        <f t="shared" ref="F1427:G1427" si="1426">TRANSLATE(D1427,"lzh","vi")</f>
        <v>#NAME?</v>
      </c>
      <c r="G1427" s="109" t="str">
        <f t="shared" si="1426"/>
        <v>#NAME?</v>
      </c>
      <c r="X1427" s="110"/>
    </row>
    <row r="1428" ht="21.0" customHeight="1">
      <c r="A1428" s="6">
        <v>10.0</v>
      </c>
      <c r="B1428" s="6">
        <v>1013.0</v>
      </c>
      <c r="C1428" s="6">
        <v>10.0</v>
      </c>
      <c r="D1428" s="122" t="s">
        <v>1655</v>
      </c>
      <c r="E1428" s="9" t="s">
        <v>1656</v>
      </c>
      <c r="F1428" s="109" t="str">
        <f t="shared" ref="F1428:G1428" si="1427">TRANSLATE(D1428,"lzh","vi")</f>
        <v>#NAME?</v>
      </c>
      <c r="G1428" s="109" t="str">
        <f t="shared" si="1427"/>
        <v>#NAME?</v>
      </c>
      <c r="X1428" s="110"/>
    </row>
    <row r="1429" ht="21.0" customHeight="1">
      <c r="A1429" s="6">
        <v>1.0</v>
      </c>
      <c r="B1429" s="6">
        <v>122.0</v>
      </c>
      <c r="C1429" s="6">
        <v>1.0</v>
      </c>
      <c r="D1429" s="122" t="s">
        <v>1657</v>
      </c>
      <c r="E1429" s="9" t="s">
        <v>1658</v>
      </c>
      <c r="F1429" s="109" t="str">
        <f t="shared" ref="F1429:G1429" si="1428">TRANSLATE(D1429,"lzh","vi")</f>
        <v>#NAME?</v>
      </c>
      <c r="G1429" s="109" t="str">
        <f t="shared" si="1428"/>
        <v>#NAME?</v>
      </c>
      <c r="X1429" s="110"/>
    </row>
    <row r="1430" ht="21.0" customHeight="1">
      <c r="A1430" s="6">
        <v>1.0</v>
      </c>
      <c r="B1430" s="6">
        <v>122.0</v>
      </c>
      <c r="C1430" s="6">
        <v>2.0</v>
      </c>
      <c r="D1430" s="122" t="s">
        <v>1659</v>
      </c>
      <c r="E1430" s="9" t="s">
        <v>1660</v>
      </c>
      <c r="F1430" s="109" t="str">
        <f t="shared" ref="F1430:G1430" si="1429">TRANSLATE(D1430,"lzh","vi")</f>
        <v>#NAME?</v>
      </c>
      <c r="G1430" s="109" t="str">
        <f t="shared" si="1429"/>
        <v>#NAME?</v>
      </c>
      <c r="X1430" s="110"/>
    </row>
    <row r="1431" ht="21.0" customHeight="1">
      <c r="A1431" s="6">
        <v>1.0</v>
      </c>
      <c r="B1431" s="6">
        <v>122.0</v>
      </c>
      <c r="C1431" s="6">
        <v>3.0</v>
      </c>
      <c r="D1431" s="122" t="s">
        <v>1661</v>
      </c>
      <c r="E1431" s="9" t="s">
        <v>1662</v>
      </c>
      <c r="F1431" s="109" t="str">
        <f t="shared" ref="F1431:G1431" si="1430">TRANSLATE(D1431,"lzh","vi")</f>
        <v>#NAME?</v>
      </c>
      <c r="G1431" s="109" t="str">
        <f t="shared" si="1430"/>
        <v>#NAME?</v>
      </c>
      <c r="X1431" s="110"/>
    </row>
    <row r="1432" ht="21.0" customHeight="1">
      <c r="A1432" s="6">
        <v>1.0</v>
      </c>
      <c r="B1432" s="6">
        <v>122.0</v>
      </c>
      <c r="C1432" s="6">
        <v>4.0</v>
      </c>
      <c r="D1432" s="122" t="s">
        <v>1663</v>
      </c>
      <c r="E1432" s="9" t="s">
        <v>1664</v>
      </c>
      <c r="F1432" s="109" t="str">
        <f t="shared" ref="F1432:G1432" si="1431">TRANSLATE(D1432,"lzh","vi")</f>
        <v>#NAME?</v>
      </c>
      <c r="G1432" s="109" t="str">
        <f t="shared" si="1431"/>
        <v>#NAME?</v>
      </c>
      <c r="X1432" s="110"/>
    </row>
    <row r="1433" ht="21.0" customHeight="1">
      <c r="A1433" s="6">
        <v>1.0</v>
      </c>
      <c r="B1433" s="6">
        <v>122.0</v>
      </c>
      <c r="C1433" s="6">
        <v>5.0</v>
      </c>
      <c r="D1433" s="122" t="s">
        <v>1665</v>
      </c>
      <c r="E1433" s="9" t="s">
        <v>1666</v>
      </c>
      <c r="F1433" s="109" t="str">
        <f t="shared" ref="F1433:G1433" si="1432">TRANSLATE(D1433,"lzh","vi")</f>
        <v>#NAME?</v>
      </c>
      <c r="G1433" s="109" t="str">
        <f t="shared" si="1432"/>
        <v>#NAME?</v>
      </c>
      <c r="X1433" s="110"/>
    </row>
    <row r="1434" ht="21.0" customHeight="1">
      <c r="A1434" s="6">
        <v>1.0</v>
      </c>
      <c r="B1434" s="6">
        <v>122.0</v>
      </c>
      <c r="C1434" s="6">
        <v>6.0</v>
      </c>
      <c r="D1434" s="122" t="s">
        <v>1667</v>
      </c>
      <c r="E1434" s="9" t="s">
        <v>1668</v>
      </c>
      <c r="F1434" s="109" t="str">
        <f t="shared" ref="F1434:G1434" si="1433">TRANSLATE(D1434,"lzh","vi")</f>
        <v>#NAME?</v>
      </c>
      <c r="G1434" s="109" t="str">
        <f t="shared" si="1433"/>
        <v>#NAME?</v>
      </c>
      <c r="X1434" s="110"/>
    </row>
    <row r="1435" ht="21.0" customHeight="1">
      <c r="A1435" s="6">
        <v>1.0</v>
      </c>
      <c r="B1435" s="6">
        <v>122.0</v>
      </c>
      <c r="C1435" s="6">
        <v>7.0</v>
      </c>
      <c r="D1435" s="122" t="s">
        <v>1669</v>
      </c>
      <c r="E1435" s="9" t="s">
        <v>1670</v>
      </c>
      <c r="F1435" s="109" t="str">
        <f t="shared" ref="F1435:G1435" si="1434">TRANSLATE(D1435,"lzh","vi")</f>
        <v>#NAME?</v>
      </c>
      <c r="G1435" s="109" t="str">
        <f t="shared" si="1434"/>
        <v>#NAME?</v>
      </c>
      <c r="X1435" s="110"/>
    </row>
    <row r="1436" ht="21.0" customHeight="1">
      <c r="A1436" s="6">
        <v>1.0</v>
      </c>
      <c r="B1436" s="6">
        <v>122.0</v>
      </c>
      <c r="C1436" s="6">
        <v>8.0</v>
      </c>
      <c r="D1436" s="122" t="s">
        <v>1671</v>
      </c>
      <c r="E1436" s="9" t="s">
        <v>1672</v>
      </c>
      <c r="F1436" s="109" t="str">
        <f t="shared" ref="F1436:G1436" si="1435">TRANSLATE(D1436,"lzh","vi")</f>
        <v>#NAME?</v>
      </c>
      <c r="G1436" s="109" t="str">
        <f t="shared" si="1435"/>
        <v>#NAME?</v>
      </c>
      <c r="X1436" s="110"/>
    </row>
    <row r="1437" ht="21.0" customHeight="1">
      <c r="A1437" s="6">
        <v>1.0</v>
      </c>
      <c r="B1437" s="6">
        <v>122.0</v>
      </c>
      <c r="C1437" s="6">
        <v>9.0</v>
      </c>
      <c r="D1437" s="122" t="s">
        <v>1673</v>
      </c>
      <c r="E1437" s="9" t="s">
        <v>1674</v>
      </c>
      <c r="F1437" s="109" t="str">
        <f t="shared" ref="F1437:G1437" si="1436">TRANSLATE(D1437,"lzh","vi")</f>
        <v>#NAME?</v>
      </c>
      <c r="G1437" s="109" t="str">
        <f t="shared" si="1436"/>
        <v>#NAME?</v>
      </c>
      <c r="X1437" s="110"/>
    </row>
    <row r="1438" ht="21.0" customHeight="1">
      <c r="A1438" s="6">
        <v>1.0</v>
      </c>
      <c r="B1438" s="6">
        <v>122.0</v>
      </c>
      <c r="C1438" s="6">
        <v>10.0</v>
      </c>
      <c r="D1438" s="122" t="s">
        <v>1675</v>
      </c>
      <c r="E1438" s="9" t="s">
        <v>1676</v>
      </c>
      <c r="F1438" s="109" t="str">
        <f t="shared" ref="F1438:G1438" si="1437">TRANSLATE(D1438,"lzh","vi")</f>
        <v>#NAME?</v>
      </c>
      <c r="G1438" s="109" t="str">
        <f t="shared" si="1437"/>
        <v>#NAME?</v>
      </c>
      <c r="X1438" s="110"/>
    </row>
    <row r="1439" ht="21.0" customHeight="1">
      <c r="A1439" s="6">
        <v>1.0</v>
      </c>
      <c r="B1439" s="6">
        <v>129.0</v>
      </c>
      <c r="C1439" s="6">
        <v>1.0</v>
      </c>
      <c r="D1439" s="122" t="s">
        <v>1677</v>
      </c>
      <c r="E1439" s="9" t="s">
        <v>1678</v>
      </c>
      <c r="F1439" s="109" t="str">
        <f t="shared" ref="F1439:G1439" si="1438">TRANSLATE(D1439,"lzh","vi")</f>
        <v>#NAME?</v>
      </c>
      <c r="G1439" s="109" t="str">
        <f t="shared" si="1438"/>
        <v>#NAME?</v>
      </c>
      <c r="X1439" s="110"/>
    </row>
    <row r="1440" ht="21.0" customHeight="1">
      <c r="A1440" s="6">
        <v>1.0</v>
      </c>
      <c r="B1440" s="6">
        <v>129.0</v>
      </c>
      <c r="C1440" s="6">
        <v>2.0</v>
      </c>
      <c r="D1440" s="122" t="s">
        <v>1679</v>
      </c>
      <c r="E1440" s="9" t="s">
        <v>1680</v>
      </c>
      <c r="F1440" s="109" t="str">
        <f t="shared" ref="F1440:G1440" si="1439">TRANSLATE(D1440,"lzh","vi")</f>
        <v>#NAME?</v>
      </c>
      <c r="G1440" s="109" t="str">
        <f t="shared" si="1439"/>
        <v>#NAME?</v>
      </c>
      <c r="X1440" s="110"/>
    </row>
    <row r="1441" ht="21.0" customHeight="1">
      <c r="A1441" s="6">
        <v>1.0</v>
      </c>
      <c r="B1441" s="6">
        <v>129.0</v>
      </c>
      <c r="C1441" s="6">
        <v>3.0</v>
      </c>
      <c r="D1441" s="122" t="s">
        <v>1681</v>
      </c>
      <c r="E1441" s="9" t="s">
        <v>1682</v>
      </c>
      <c r="F1441" s="109" t="str">
        <f t="shared" ref="F1441:G1441" si="1440">TRANSLATE(D1441,"lzh","vi")</f>
        <v>#NAME?</v>
      </c>
      <c r="G1441" s="109" t="str">
        <f t="shared" si="1440"/>
        <v>#NAME?</v>
      </c>
      <c r="X1441" s="110"/>
    </row>
    <row r="1442" ht="21.0" customHeight="1">
      <c r="A1442" s="6">
        <v>1.0</v>
      </c>
      <c r="B1442" s="6">
        <v>129.0</v>
      </c>
      <c r="C1442" s="6">
        <v>4.0</v>
      </c>
      <c r="D1442" s="122" t="s">
        <v>1683</v>
      </c>
      <c r="E1442" s="9" t="s">
        <v>1684</v>
      </c>
      <c r="F1442" s="109" t="str">
        <f t="shared" ref="F1442:G1442" si="1441">TRANSLATE(D1442,"lzh","vi")</f>
        <v>#NAME?</v>
      </c>
      <c r="G1442" s="109" t="str">
        <f t="shared" si="1441"/>
        <v>#NAME?</v>
      </c>
      <c r="X1442" s="110"/>
    </row>
    <row r="1443" ht="21.0" customHeight="1">
      <c r="A1443" s="6">
        <v>1.0</v>
      </c>
      <c r="B1443" s="6">
        <v>129.0</v>
      </c>
      <c r="C1443" s="6">
        <v>5.0</v>
      </c>
      <c r="D1443" s="122" t="s">
        <v>1685</v>
      </c>
      <c r="E1443" s="9" t="s">
        <v>1686</v>
      </c>
      <c r="F1443" s="109" t="str">
        <f t="shared" ref="F1443:G1443" si="1442">TRANSLATE(D1443,"lzh","vi")</f>
        <v>#NAME?</v>
      </c>
      <c r="G1443" s="109" t="str">
        <f t="shared" si="1442"/>
        <v>#NAME?</v>
      </c>
      <c r="X1443" s="110"/>
    </row>
    <row r="1444" ht="21.0" customHeight="1">
      <c r="A1444" s="6">
        <v>1.0</v>
      </c>
      <c r="B1444" s="6">
        <v>129.0</v>
      </c>
      <c r="C1444" s="6">
        <v>6.0</v>
      </c>
      <c r="D1444" s="122" t="s">
        <v>1687</v>
      </c>
      <c r="E1444" s="9" t="s">
        <v>1688</v>
      </c>
      <c r="F1444" s="109" t="str">
        <f t="shared" ref="F1444:G1444" si="1443">TRANSLATE(D1444,"lzh","vi")</f>
        <v>#NAME?</v>
      </c>
      <c r="G1444" s="109" t="str">
        <f t="shared" si="1443"/>
        <v>#NAME?</v>
      </c>
      <c r="X1444" s="110"/>
    </row>
    <row r="1445" ht="21.0" customHeight="1">
      <c r="A1445" s="6">
        <v>1.0</v>
      </c>
      <c r="B1445" s="6">
        <v>129.0</v>
      </c>
      <c r="C1445" s="6">
        <v>7.0</v>
      </c>
      <c r="D1445" s="122" t="s">
        <v>1689</v>
      </c>
      <c r="E1445" s="9" t="s">
        <v>1690</v>
      </c>
      <c r="F1445" s="109" t="str">
        <f t="shared" ref="F1445:G1445" si="1444">TRANSLATE(D1445,"lzh","vi")</f>
        <v>#NAME?</v>
      </c>
      <c r="G1445" s="109" t="str">
        <f t="shared" si="1444"/>
        <v>#NAME?</v>
      </c>
      <c r="X1445" s="110"/>
    </row>
    <row r="1446" ht="21.0" customHeight="1">
      <c r="A1446" s="6">
        <v>1.0</v>
      </c>
      <c r="B1446" s="6">
        <v>129.0</v>
      </c>
      <c r="C1446" s="6">
        <v>8.0</v>
      </c>
      <c r="D1446" s="122" t="s">
        <v>1691</v>
      </c>
      <c r="E1446" s="9" t="s">
        <v>1692</v>
      </c>
      <c r="F1446" s="109" t="str">
        <f t="shared" ref="F1446:G1446" si="1445">TRANSLATE(D1446,"lzh","vi")</f>
        <v>#NAME?</v>
      </c>
      <c r="G1446" s="109" t="str">
        <f t="shared" si="1445"/>
        <v>#NAME?</v>
      </c>
      <c r="X1446" s="110"/>
    </row>
    <row r="1447" ht="21.0" customHeight="1">
      <c r="A1447" s="6">
        <v>1.0</v>
      </c>
      <c r="B1447" s="6">
        <v>129.0</v>
      </c>
      <c r="C1447" s="6">
        <v>9.0</v>
      </c>
      <c r="D1447" s="122" t="s">
        <v>1693</v>
      </c>
      <c r="E1447" s="9" t="s">
        <v>1694</v>
      </c>
      <c r="F1447" s="109" t="str">
        <f t="shared" ref="F1447:G1447" si="1446">TRANSLATE(D1447,"lzh","vi")</f>
        <v>#NAME?</v>
      </c>
      <c r="G1447" s="109" t="str">
        <f t="shared" si="1446"/>
        <v>#NAME?</v>
      </c>
      <c r="X1447" s="110"/>
    </row>
    <row r="1448" ht="21.0" customHeight="1">
      <c r="A1448" s="6">
        <v>1.0</v>
      </c>
      <c r="B1448" s="6">
        <v>129.0</v>
      </c>
      <c r="C1448" s="6">
        <v>10.0</v>
      </c>
      <c r="D1448" s="122" t="s">
        <v>1695</v>
      </c>
      <c r="E1448" s="9" t="s">
        <v>1696</v>
      </c>
      <c r="F1448" s="109" t="str">
        <f t="shared" ref="F1448:G1448" si="1447">TRANSLATE(D1448,"lzh","vi")</f>
        <v>#NAME?</v>
      </c>
      <c r="G1448" s="109" t="str">
        <f t="shared" si="1447"/>
        <v>#NAME?</v>
      </c>
      <c r="X1448" s="110"/>
    </row>
    <row r="1449" ht="21.0" customHeight="1">
      <c r="A1449" s="6">
        <v>11.0</v>
      </c>
      <c r="B1449" s="6">
        <v>1014.0</v>
      </c>
      <c r="C1449" s="6">
        <v>1.0</v>
      </c>
      <c r="D1449" s="122" t="s">
        <v>1697</v>
      </c>
      <c r="E1449" s="9" t="s">
        <v>1698</v>
      </c>
      <c r="F1449" s="109" t="str">
        <f t="shared" ref="F1449:G1449" si="1448">TRANSLATE(D1449,"lzh","vi")</f>
        <v>#NAME?</v>
      </c>
      <c r="G1449" s="109" t="str">
        <f t="shared" si="1448"/>
        <v>#NAME?</v>
      </c>
      <c r="X1449" s="110"/>
    </row>
    <row r="1450" ht="21.0" customHeight="1">
      <c r="A1450" s="6">
        <v>11.0</v>
      </c>
      <c r="B1450" s="6">
        <v>1014.0</v>
      </c>
      <c r="C1450" s="6">
        <v>2.0</v>
      </c>
      <c r="D1450" s="122" t="s">
        <v>1699</v>
      </c>
      <c r="E1450" s="9" t="s">
        <v>1700</v>
      </c>
      <c r="F1450" s="109" t="str">
        <f t="shared" ref="F1450:G1450" si="1449">TRANSLATE(D1450,"lzh","vi")</f>
        <v>#NAME?</v>
      </c>
      <c r="G1450" s="109" t="str">
        <f t="shared" si="1449"/>
        <v>#NAME?</v>
      </c>
      <c r="X1450" s="110"/>
    </row>
    <row r="1451" ht="21.0" customHeight="1">
      <c r="A1451" s="6">
        <v>11.0</v>
      </c>
      <c r="B1451" s="6">
        <v>1014.0</v>
      </c>
      <c r="C1451" s="6">
        <v>3.0</v>
      </c>
      <c r="D1451" s="122" t="s">
        <v>1701</v>
      </c>
      <c r="E1451" s="9" t="s">
        <v>1702</v>
      </c>
      <c r="F1451" s="109" t="str">
        <f t="shared" ref="F1451:G1451" si="1450">TRANSLATE(D1451,"lzh","vi")</f>
        <v>#NAME?</v>
      </c>
      <c r="G1451" s="109" t="str">
        <f t="shared" si="1450"/>
        <v>#NAME?</v>
      </c>
      <c r="X1451" s="110"/>
    </row>
    <row r="1452" ht="21.0" customHeight="1">
      <c r="A1452" s="6">
        <v>11.0</v>
      </c>
      <c r="B1452" s="6">
        <v>1014.0</v>
      </c>
      <c r="C1452" s="6">
        <v>4.0</v>
      </c>
      <c r="D1452" s="122" t="s">
        <v>1703</v>
      </c>
      <c r="E1452" s="9" t="s">
        <v>1704</v>
      </c>
      <c r="F1452" s="109" t="str">
        <f t="shared" ref="F1452:G1452" si="1451">TRANSLATE(D1452,"lzh","vi")</f>
        <v>#NAME?</v>
      </c>
      <c r="G1452" s="109" t="str">
        <f t="shared" si="1451"/>
        <v>#NAME?</v>
      </c>
      <c r="X1452" s="110"/>
    </row>
    <row r="1453" ht="21.0" customHeight="1">
      <c r="A1453" s="6">
        <v>10.0</v>
      </c>
      <c r="B1453" s="6">
        <v>1014.0</v>
      </c>
      <c r="C1453" s="6">
        <v>5.0</v>
      </c>
      <c r="D1453" s="122" t="s">
        <v>1705</v>
      </c>
      <c r="E1453" s="9" t="s">
        <v>1706</v>
      </c>
      <c r="F1453" s="109" t="str">
        <f t="shared" ref="F1453:G1453" si="1452">TRANSLATE(D1453,"lzh","vi")</f>
        <v>#NAME?</v>
      </c>
      <c r="G1453" s="109" t="str">
        <f t="shared" si="1452"/>
        <v>#NAME?</v>
      </c>
      <c r="X1453" s="110"/>
    </row>
    <row r="1454" ht="21.0" customHeight="1">
      <c r="A1454" s="6">
        <v>10.0</v>
      </c>
      <c r="B1454" s="6">
        <v>1014.0</v>
      </c>
      <c r="C1454" s="6">
        <v>6.0</v>
      </c>
      <c r="D1454" s="122" t="s">
        <v>1707</v>
      </c>
      <c r="E1454" s="9" t="s">
        <v>1708</v>
      </c>
      <c r="F1454" s="109" t="str">
        <f t="shared" ref="F1454:G1454" si="1453">TRANSLATE(D1454,"lzh","vi")</f>
        <v>#NAME?</v>
      </c>
      <c r="G1454" s="109" t="str">
        <f t="shared" si="1453"/>
        <v>#NAME?</v>
      </c>
      <c r="X1454" s="110"/>
    </row>
    <row r="1455" ht="21.0" customHeight="1">
      <c r="A1455" s="6">
        <v>10.0</v>
      </c>
      <c r="B1455" s="6">
        <v>1014.0</v>
      </c>
      <c r="C1455" s="6">
        <v>7.0</v>
      </c>
      <c r="D1455" s="122" t="s">
        <v>1709</v>
      </c>
      <c r="E1455" s="9" t="s">
        <v>1710</v>
      </c>
      <c r="F1455" s="109" t="str">
        <f t="shared" ref="F1455:G1455" si="1454">TRANSLATE(D1455,"lzh","vi")</f>
        <v>#NAME?</v>
      </c>
      <c r="G1455" s="109" t="str">
        <f t="shared" si="1454"/>
        <v>#NAME?</v>
      </c>
      <c r="X1455" s="110"/>
    </row>
    <row r="1456" ht="21.0" customHeight="1">
      <c r="A1456" s="6">
        <v>10.0</v>
      </c>
      <c r="B1456" s="6">
        <v>1014.0</v>
      </c>
      <c r="C1456" s="6">
        <v>8.0</v>
      </c>
      <c r="D1456" s="122" t="s">
        <v>1711</v>
      </c>
      <c r="E1456" s="9" t="s">
        <v>1712</v>
      </c>
      <c r="F1456" s="109" t="str">
        <f t="shared" ref="F1456:G1456" si="1455">TRANSLATE(D1456,"lzh","vi")</f>
        <v>#NAME?</v>
      </c>
      <c r="G1456" s="109" t="str">
        <f t="shared" si="1455"/>
        <v>#NAME?</v>
      </c>
      <c r="X1456" s="110"/>
    </row>
    <row r="1457" ht="21.0" customHeight="1">
      <c r="A1457" s="6">
        <v>1.0</v>
      </c>
      <c r="B1457" s="6">
        <v>123.0</v>
      </c>
      <c r="C1457" s="6">
        <v>1.0</v>
      </c>
      <c r="D1457" s="122" t="s">
        <v>1713</v>
      </c>
      <c r="E1457" s="9" t="s">
        <v>1714</v>
      </c>
      <c r="F1457" s="109" t="str">
        <f t="shared" ref="F1457:G1457" si="1456">TRANSLATE(D1457,"lzh","vi")</f>
        <v>#NAME?</v>
      </c>
      <c r="G1457" s="109" t="str">
        <f t="shared" si="1456"/>
        <v>#NAME?</v>
      </c>
      <c r="X1457" s="110"/>
    </row>
    <row r="1458" ht="21.0" customHeight="1">
      <c r="A1458" s="6">
        <v>1.0</v>
      </c>
      <c r="B1458" s="6">
        <v>123.0</v>
      </c>
      <c r="C1458" s="6">
        <v>2.0</v>
      </c>
      <c r="D1458" s="122" t="s">
        <v>1715</v>
      </c>
      <c r="E1458" s="9" t="s">
        <v>1716</v>
      </c>
      <c r="F1458" s="109" t="str">
        <f t="shared" ref="F1458:G1458" si="1457">TRANSLATE(D1458,"lzh","vi")</f>
        <v>#NAME?</v>
      </c>
      <c r="G1458" s="109" t="str">
        <f t="shared" si="1457"/>
        <v>#NAME?</v>
      </c>
      <c r="X1458" s="110"/>
    </row>
    <row r="1459" ht="21.0" customHeight="1">
      <c r="A1459" s="6">
        <v>1.0</v>
      </c>
      <c r="B1459" s="6">
        <v>123.0</v>
      </c>
      <c r="C1459" s="6">
        <v>3.0</v>
      </c>
      <c r="D1459" s="122" t="s">
        <v>1717</v>
      </c>
      <c r="E1459" s="9" t="s">
        <v>1718</v>
      </c>
      <c r="F1459" s="109" t="str">
        <f t="shared" ref="F1459:G1459" si="1458">TRANSLATE(D1459,"lzh","vi")</f>
        <v>#NAME?</v>
      </c>
      <c r="G1459" s="109" t="str">
        <f t="shared" si="1458"/>
        <v>#NAME?</v>
      </c>
      <c r="X1459" s="110"/>
    </row>
    <row r="1460" ht="21.0" customHeight="1">
      <c r="A1460" s="6">
        <v>1.0</v>
      </c>
      <c r="B1460" s="6">
        <v>123.0</v>
      </c>
      <c r="C1460" s="6">
        <v>4.0</v>
      </c>
      <c r="D1460" s="122" t="s">
        <v>1719</v>
      </c>
      <c r="E1460" s="9" t="s">
        <v>1720</v>
      </c>
      <c r="F1460" s="109" t="str">
        <f t="shared" ref="F1460:G1460" si="1459">TRANSLATE(D1460,"lzh","vi")</f>
        <v>#NAME?</v>
      </c>
      <c r="G1460" s="109" t="str">
        <f t="shared" si="1459"/>
        <v>#NAME?</v>
      </c>
      <c r="X1460" s="110"/>
    </row>
    <row r="1461" ht="21.0" customHeight="1">
      <c r="A1461" s="6">
        <v>1.0</v>
      </c>
      <c r="B1461" s="6">
        <v>123.0</v>
      </c>
      <c r="C1461" s="6">
        <v>5.0</v>
      </c>
      <c r="D1461" s="122" t="s">
        <v>1721</v>
      </c>
      <c r="E1461" s="9" t="s">
        <v>1722</v>
      </c>
      <c r="F1461" s="109" t="str">
        <f t="shared" ref="F1461:G1461" si="1460">TRANSLATE(D1461,"lzh","vi")</f>
        <v>#NAME?</v>
      </c>
      <c r="G1461" s="109" t="str">
        <f t="shared" si="1460"/>
        <v>#NAME?</v>
      </c>
      <c r="X1461" s="110"/>
    </row>
    <row r="1462" ht="21.0" customHeight="1">
      <c r="A1462" s="6">
        <v>1.0</v>
      </c>
      <c r="B1462" s="6">
        <v>123.0</v>
      </c>
      <c r="C1462" s="6">
        <v>6.0</v>
      </c>
      <c r="D1462" s="122" t="s">
        <v>1723</v>
      </c>
      <c r="E1462" s="9" t="s">
        <v>1724</v>
      </c>
      <c r="F1462" s="109" t="str">
        <f t="shared" ref="F1462:G1462" si="1461">TRANSLATE(D1462,"lzh","vi")</f>
        <v>#NAME?</v>
      </c>
      <c r="G1462" s="109" t="str">
        <f t="shared" si="1461"/>
        <v>#NAME?</v>
      </c>
      <c r="X1462" s="110"/>
    </row>
    <row r="1463" ht="21.0" customHeight="1">
      <c r="A1463" s="6">
        <v>1.0</v>
      </c>
      <c r="B1463" s="6">
        <v>123.0</v>
      </c>
      <c r="C1463" s="6">
        <v>7.0</v>
      </c>
      <c r="D1463" s="122" t="s">
        <v>1725</v>
      </c>
      <c r="E1463" s="9" t="s">
        <v>1726</v>
      </c>
      <c r="F1463" s="109" t="str">
        <f t="shared" ref="F1463:G1463" si="1462">TRANSLATE(D1463,"lzh","vi")</f>
        <v>#NAME?</v>
      </c>
      <c r="G1463" s="109" t="str">
        <f t="shared" si="1462"/>
        <v>#NAME?</v>
      </c>
      <c r="X1463" s="110"/>
    </row>
    <row r="1464" ht="21.0" customHeight="1">
      <c r="A1464" s="6">
        <v>1.0</v>
      </c>
      <c r="B1464" s="6">
        <v>123.0</v>
      </c>
      <c r="C1464" s="6">
        <v>8.0</v>
      </c>
      <c r="D1464" s="122" t="s">
        <v>1727</v>
      </c>
      <c r="E1464" s="9" t="s">
        <v>1728</v>
      </c>
      <c r="F1464" s="109" t="str">
        <f t="shared" ref="F1464:G1464" si="1463">TRANSLATE(D1464,"lzh","vi")</f>
        <v>#NAME?</v>
      </c>
      <c r="G1464" s="109" t="str">
        <f t="shared" si="1463"/>
        <v>#NAME?</v>
      </c>
      <c r="X1464" s="110"/>
    </row>
    <row r="1465" ht="21.0" customHeight="1">
      <c r="A1465" s="6">
        <v>1.0</v>
      </c>
      <c r="B1465" s="6">
        <v>123.0</v>
      </c>
      <c r="C1465" s="6">
        <v>9.0</v>
      </c>
      <c r="D1465" s="122" t="s">
        <v>1729</v>
      </c>
      <c r="E1465" s="9" t="s">
        <v>1730</v>
      </c>
      <c r="F1465" s="109" t="str">
        <f t="shared" ref="F1465:G1465" si="1464">TRANSLATE(D1465,"lzh","vi")</f>
        <v>#NAME?</v>
      </c>
      <c r="G1465" s="109" t="str">
        <f t="shared" si="1464"/>
        <v>#NAME?</v>
      </c>
      <c r="X1465" s="110"/>
    </row>
    <row r="1466" ht="21.0" customHeight="1">
      <c r="A1466" s="6">
        <v>1.0</v>
      </c>
      <c r="B1466" s="6">
        <v>123.0</v>
      </c>
      <c r="C1466" s="6">
        <v>10.0</v>
      </c>
      <c r="D1466" s="122" t="s">
        <v>1731</v>
      </c>
      <c r="E1466" s="9" t="s">
        <v>1732</v>
      </c>
      <c r="F1466" s="109" t="str">
        <f t="shared" ref="F1466:G1466" si="1465">TRANSLATE(D1466,"lzh","vi")</f>
        <v>#NAME?</v>
      </c>
      <c r="G1466" s="109" t="str">
        <f t="shared" si="1465"/>
        <v>#NAME?</v>
      </c>
      <c r="X1466" s="110"/>
    </row>
    <row r="1467" ht="21.0" customHeight="1">
      <c r="A1467" s="6">
        <v>1.0</v>
      </c>
      <c r="B1467" s="6">
        <v>123.0</v>
      </c>
      <c r="C1467" s="6">
        <v>11.0</v>
      </c>
      <c r="D1467" s="122" t="s">
        <v>1733</v>
      </c>
      <c r="E1467" s="9" t="s">
        <v>1734</v>
      </c>
      <c r="F1467" s="109" t="str">
        <f t="shared" ref="F1467:G1467" si="1466">TRANSLATE(D1467,"lzh","vi")</f>
        <v>#NAME?</v>
      </c>
      <c r="G1467" s="109" t="str">
        <f t="shared" si="1466"/>
        <v>#NAME?</v>
      </c>
      <c r="X1467" s="110"/>
    </row>
    <row r="1468" ht="21.0" customHeight="1">
      <c r="A1468" s="6">
        <v>1.0</v>
      </c>
      <c r="B1468" s="6">
        <v>123.0</v>
      </c>
      <c r="C1468" s="6">
        <v>12.0</v>
      </c>
      <c r="D1468" s="122" t="s">
        <v>1735</v>
      </c>
      <c r="E1468" s="9" t="s">
        <v>1736</v>
      </c>
      <c r="F1468" s="109" t="str">
        <f t="shared" ref="F1468:G1468" si="1467">TRANSLATE(D1468,"lzh","vi")</f>
        <v>#NAME?</v>
      </c>
      <c r="G1468" s="109" t="str">
        <f t="shared" si="1467"/>
        <v>#NAME?</v>
      </c>
      <c r="X1468" s="110"/>
    </row>
    <row r="1469" ht="21.0" customHeight="1">
      <c r="A1469" s="6">
        <v>11.0</v>
      </c>
      <c r="B1469" s="6">
        <v>1015.0</v>
      </c>
      <c r="C1469" s="6">
        <v>1.0</v>
      </c>
      <c r="D1469" s="122" t="s">
        <v>1737</v>
      </c>
      <c r="E1469" s="9" t="s">
        <v>1738</v>
      </c>
      <c r="F1469" s="109" t="str">
        <f t="shared" ref="F1469:G1469" si="1468">TRANSLATE(D1469,"lzh","vi")</f>
        <v>#NAME?</v>
      </c>
      <c r="G1469" s="109" t="str">
        <f t="shared" si="1468"/>
        <v>#NAME?</v>
      </c>
      <c r="X1469" s="110"/>
    </row>
    <row r="1470" ht="21.0" customHeight="1">
      <c r="A1470" s="6">
        <v>11.0</v>
      </c>
      <c r="B1470" s="6">
        <v>1015.0</v>
      </c>
      <c r="C1470" s="6">
        <v>2.0</v>
      </c>
      <c r="D1470" s="122" t="s">
        <v>1739</v>
      </c>
      <c r="E1470" s="9" t="s">
        <v>1740</v>
      </c>
      <c r="F1470" s="109" t="str">
        <f t="shared" ref="F1470:G1470" si="1469">TRANSLATE(D1470,"lzh","vi")</f>
        <v>#NAME?</v>
      </c>
      <c r="G1470" s="109" t="str">
        <f t="shared" si="1469"/>
        <v>#NAME?</v>
      </c>
      <c r="X1470" s="110"/>
    </row>
    <row r="1471" ht="21.0" customHeight="1">
      <c r="A1471" s="6">
        <v>11.0</v>
      </c>
      <c r="B1471" s="6">
        <v>1015.0</v>
      </c>
      <c r="C1471" s="6">
        <v>3.0</v>
      </c>
      <c r="D1471" s="122" t="s">
        <v>1741</v>
      </c>
      <c r="E1471" s="9" t="s">
        <v>1742</v>
      </c>
      <c r="F1471" s="109" t="str">
        <f t="shared" ref="F1471:G1471" si="1470">TRANSLATE(D1471,"lzh","vi")</f>
        <v>#NAME?</v>
      </c>
      <c r="G1471" s="109" t="str">
        <f t="shared" si="1470"/>
        <v>#NAME?</v>
      </c>
      <c r="X1471" s="110"/>
    </row>
    <row r="1472" ht="21.0" customHeight="1">
      <c r="A1472" s="6">
        <v>11.0</v>
      </c>
      <c r="B1472" s="6">
        <v>1015.0</v>
      </c>
      <c r="C1472" s="6">
        <v>4.0</v>
      </c>
      <c r="D1472" s="122" t="s">
        <v>1743</v>
      </c>
      <c r="E1472" s="9" t="s">
        <v>1744</v>
      </c>
      <c r="F1472" s="109" t="str">
        <f t="shared" ref="F1472:G1472" si="1471">TRANSLATE(D1472,"lzh","vi")</f>
        <v>#NAME?</v>
      </c>
      <c r="G1472" s="109" t="str">
        <f t="shared" si="1471"/>
        <v>#NAME?</v>
      </c>
      <c r="X1472" s="110"/>
    </row>
    <row r="1473" ht="21.0" customHeight="1">
      <c r="A1473" s="6">
        <v>10.0</v>
      </c>
      <c r="B1473" s="6">
        <v>1015.0</v>
      </c>
      <c r="C1473" s="6">
        <v>5.0</v>
      </c>
      <c r="D1473" s="122" t="s">
        <v>1745</v>
      </c>
      <c r="E1473" s="9" t="s">
        <v>1746</v>
      </c>
      <c r="F1473" s="109" t="str">
        <f t="shared" ref="F1473:G1473" si="1472">TRANSLATE(D1473,"lzh","vi")</f>
        <v>#NAME?</v>
      </c>
      <c r="G1473" s="109" t="str">
        <f t="shared" si="1472"/>
        <v>#NAME?</v>
      </c>
      <c r="X1473" s="110"/>
    </row>
    <row r="1474" ht="21.0" customHeight="1">
      <c r="A1474" s="6">
        <v>10.0</v>
      </c>
      <c r="B1474" s="6">
        <v>1015.0</v>
      </c>
      <c r="C1474" s="6">
        <v>6.0</v>
      </c>
      <c r="D1474" s="122" t="s">
        <v>1747</v>
      </c>
      <c r="E1474" s="9" t="s">
        <v>1748</v>
      </c>
      <c r="F1474" s="109" t="str">
        <f t="shared" ref="F1474:G1474" si="1473">TRANSLATE(D1474,"lzh","vi")</f>
        <v>#NAME?</v>
      </c>
      <c r="G1474" s="109" t="str">
        <f t="shared" si="1473"/>
        <v>#NAME?</v>
      </c>
      <c r="X1474" s="110"/>
    </row>
    <row r="1475" ht="21.0" customHeight="1">
      <c r="A1475" s="6">
        <v>1.0</v>
      </c>
      <c r="B1475" s="6">
        <v>124.0</v>
      </c>
      <c r="C1475" s="6">
        <v>1.0</v>
      </c>
      <c r="D1475" s="122" t="s">
        <v>1749</v>
      </c>
      <c r="E1475" s="9" t="s">
        <v>1750</v>
      </c>
      <c r="F1475" s="109" t="str">
        <f t="shared" ref="F1475:G1475" si="1474">TRANSLATE(D1475,"lzh","vi")</f>
        <v>#NAME?</v>
      </c>
      <c r="G1475" s="109" t="str">
        <f t="shared" si="1474"/>
        <v>#NAME?</v>
      </c>
      <c r="X1475" s="110"/>
    </row>
    <row r="1476" ht="21.0" customHeight="1">
      <c r="A1476" s="6">
        <v>1.0</v>
      </c>
      <c r="B1476" s="6">
        <v>124.0</v>
      </c>
      <c r="C1476" s="6">
        <v>2.0</v>
      </c>
      <c r="D1476" s="122" t="s">
        <v>1751</v>
      </c>
      <c r="E1476" s="9" t="s">
        <v>1752</v>
      </c>
      <c r="F1476" s="109" t="str">
        <f t="shared" ref="F1476:G1476" si="1475">TRANSLATE(D1476,"lzh","vi")</f>
        <v>#NAME?</v>
      </c>
      <c r="G1476" s="109" t="str">
        <f t="shared" si="1475"/>
        <v>#NAME?</v>
      </c>
      <c r="X1476" s="110"/>
    </row>
    <row r="1477" ht="21.0" customHeight="1">
      <c r="A1477" s="6">
        <v>1.0</v>
      </c>
      <c r="B1477" s="6">
        <v>124.0</v>
      </c>
      <c r="C1477" s="6">
        <v>3.0</v>
      </c>
      <c r="D1477" s="122" t="s">
        <v>1753</v>
      </c>
      <c r="E1477" s="9" t="s">
        <v>1754</v>
      </c>
      <c r="F1477" s="109" t="str">
        <f t="shared" ref="F1477:G1477" si="1476">TRANSLATE(D1477,"lzh","vi")</f>
        <v>#NAME?</v>
      </c>
      <c r="G1477" s="109" t="str">
        <f t="shared" si="1476"/>
        <v>#NAME?</v>
      </c>
      <c r="X1477" s="110"/>
    </row>
    <row r="1478" ht="21.0" customHeight="1">
      <c r="A1478" s="6">
        <v>1.0</v>
      </c>
      <c r="B1478" s="6">
        <v>124.0</v>
      </c>
      <c r="C1478" s="6">
        <v>4.0</v>
      </c>
      <c r="D1478" s="122" t="s">
        <v>1755</v>
      </c>
      <c r="E1478" s="9" t="s">
        <v>1756</v>
      </c>
      <c r="F1478" s="109" t="str">
        <f t="shared" ref="F1478:G1478" si="1477">TRANSLATE(D1478,"lzh","vi")</f>
        <v>#NAME?</v>
      </c>
      <c r="G1478" s="109" t="str">
        <f t="shared" si="1477"/>
        <v>#NAME?</v>
      </c>
      <c r="X1478" s="110"/>
    </row>
    <row r="1479" ht="21.0" customHeight="1">
      <c r="A1479" s="6">
        <v>1.0</v>
      </c>
      <c r="B1479" s="6">
        <v>124.0</v>
      </c>
      <c r="C1479" s="6">
        <v>5.0</v>
      </c>
      <c r="D1479" s="122" t="s">
        <v>1757</v>
      </c>
      <c r="E1479" s="9" t="s">
        <v>1758</v>
      </c>
      <c r="F1479" s="109" t="str">
        <f t="shared" ref="F1479:G1479" si="1478">TRANSLATE(D1479,"lzh","vi")</f>
        <v>#NAME?</v>
      </c>
      <c r="G1479" s="109" t="str">
        <f t="shared" si="1478"/>
        <v>#NAME?</v>
      </c>
      <c r="X1479" s="110"/>
    </row>
    <row r="1480" ht="21.0" customHeight="1">
      <c r="A1480" s="6">
        <v>1.0</v>
      </c>
      <c r="B1480" s="6">
        <v>124.0</v>
      </c>
      <c r="C1480" s="6">
        <v>6.0</v>
      </c>
      <c r="D1480" s="122" t="s">
        <v>1759</v>
      </c>
      <c r="E1480" s="9" t="s">
        <v>1760</v>
      </c>
      <c r="F1480" s="109" t="str">
        <f t="shared" ref="F1480:G1480" si="1479">TRANSLATE(D1480,"lzh","vi")</f>
        <v>#NAME?</v>
      </c>
      <c r="G1480" s="109" t="str">
        <f t="shared" si="1479"/>
        <v>#NAME?</v>
      </c>
      <c r="X1480" s="110"/>
    </row>
    <row r="1481" ht="21.0" customHeight="1">
      <c r="A1481" s="6">
        <v>1.0</v>
      </c>
      <c r="B1481" s="6">
        <v>124.0</v>
      </c>
      <c r="C1481" s="6">
        <v>7.0</v>
      </c>
      <c r="D1481" s="122" t="s">
        <v>1761</v>
      </c>
      <c r="E1481" s="9" t="s">
        <v>1762</v>
      </c>
      <c r="F1481" s="109" t="str">
        <f t="shared" ref="F1481:G1481" si="1480">TRANSLATE(D1481,"lzh","vi")</f>
        <v>#NAME?</v>
      </c>
      <c r="G1481" s="109" t="str">
        <f t="shared" si="1480"/>
        <v>#NAME?</v>
      </c>
      <c r="X1481" s="110"/>
    </row>
    <row r="1482" ht="21.0" customHeight="1">
      <c r="A1482" s="6">
        <v>1.0</v>
      </c>
      <c r="B1482" s="6">
        <v>124.0</v>
      </c>
      <c r="C1482" s="6">
        <v>8.0</v>
      </c>
      <c r="D1482" s="122" t="s">
        <v>1763</v>
      </c>
      <c r="E1482" s="9" t="s">
        <v>1764</v>
      </c>
      <c r="F1482" s="109" t="str">
        <f t="shared" ref="F1482:G1482" si="1481">TRANSLATE(D1482,"lzh","vi")</f>
        <v>#NAME?</v>
      </c>
      <c r="G1482" s="109" t="str">
        <f t="shared" si="1481"/>
        <v>#NAME?</v>
      </c>
      <c r="X1482" s="110"/>
    </row>
    <row r="1483" ht="21.0" customHeight="1">
      <c r="A1483" s="6">
        <v>1.0</v>
      </c>
      <c r="B1483" s="6">
        <v>124.0</v>
      </c>
      <c r="C1483" s="6">
        <v>9.0</v>
      </c>
      <c r="D1483" s="122" t="s">
        <v>1765</v>
      </c>
      <c r="E1483" s="9" t="s">
        <v>1766</v>
      </c>
      <c r="F1483" s="109" t="str">
        <f t="shared" ref="F1483:G1483" si="1482">TRANSLATE(D1483,"lzh","vi")</f>
        <v>#NAME?</v>
      </c>
      <c r="G1483" s="109" t="str">
        <f t="shared" si="1482"/>
        <v>#NAME?</v>
      </c>
      <c r="X1483" s="110"/>
    </row>
    <row r="1484" ht="21.0" customHeight="1">
      <c r="A1484" s="6">
        <v>1.0</v>
      </c>
      <c r="B1484" s="6">
        <v>124.0</v>
      </c>
      <c r="C1484" s="6">
        <v>10.0</v>
      </c>
      <c r="D1484" s="122" t="s">
        <v>1767</v>
      </c>
      <c r="E1484" s="9" t="s">
        <v>1768</v>
      </c>
      <c r="F1484" s="109" t="str">
        <f t="shared" ref="F1484:G1484" si="1483">TRANSLATE(D1484,"lzh","vi")</f>
        <v>#NAME?</v>
      </c>
      <c r="G1484" s="109" t="str">
        <f t="shared" si="1483"/>
        <v>#NAME?</v>
      </c>
      <c r="X1484" s="110"/>
    </row>
    <row r="1485" ht="21.0" customHeight="1">
      <c r="A1485" s="6">
        <v>1.0</v>
      </c>
      <c r="B1485" s="6">
        <v>125.0</v>
      </c>
      <c r="C1485" s="6">
        <v>1.0</v>
      </c>
      <c r="D1485" s="122" t="s">
        <v>1769</v>
      </c>
      <c r="E1485" s="9" t="s">
        <v>1770</v>
      </c>
      <c r="F1485" s="109" t="str">
        <f t="shared" ref="F1485:G1485" si="1484">TRANSLATE(D1485,"lzh","vi")</f>
        <v>#NAME?</v>
      </c>
      <c r="G1485" s="109" t="str">
        <f t="shared" si="1484"/>
        <v>#NAME?</v>
      </c>
      <c r="X1485" s="110"/>
    </row>
    <row r="1486" ht="21.0" customHeight="1">
      <c r="A1486" s="6">
        <v>1.0</v>
      </c>
      <c r="B1486" s="6">
        <v>125.0</v>
      </c>
      <c r="C1486" s="6">
        <v>2.0</v>
      </c>
      <c r="D1486" s="122" t="s">
        <v>1771</v>
      </c>
      <c r="E1486" s="9" t="s">
        <v>1772</v>
      </c>
      <c r="F1486" s="109" t="str">
        <f t="shared" ref="F1486:G1486" si="1485">TRANSLATE(D1486,"lzh","vi")</f>
        <v>#NAME?</v>
      </c>
      <c r="G1486" s="109" t="str">
        <f t="shared" si="1485"/>
        <v>#NAME?</v>
      </c>
      <c r="X1486" s="110"/>
    </row>
    <row r="1487" ht="21.0" customHeight="1">
      <c r="A1487" s="6">
        <v>1.0</v>
      </c>
      <c r="B1487" s="6">
        <v>125.0</v>
      </c>
      <c r="C1487" s="6">
        <v>3.0</v>
      </c>
      <c r="D1487" s="122" t="s">
        <v>1773</v>
      </c>
      <c r="E1487" s="9" t="s">
        <v>1774</v>
      </c>
      <c r="F1487" s="109" t="str">
        <f t="shared" ref="F1487:G1487" si="1486">TRANSLATE(D1487,"lzh","vi")</f>
        <v>#NAME?</v>
      </c>
      <c r="G1487" s="109" t="str">
        <f t="shared" si="1486"/>
        <v>#NAME?</v>
      </c>
      <c r="X1487" s="110"/>
    </row>
    <row r="1488" ht="21.0" customHeight="1">
      <c r="A1488" s="6">
        <v>1.0</v>
      </c>
      <c r="B1488" s="6">
        <v>125.0</v>
      </c>
      <c r="C1488" s="6">
        <v>4.0</v>
      </c>
      <c r="D1488" s="122" t="s">
        <v>1775</v>
      </c>
      <c r="E1488" s="9" t="s">
        <v>1776</v>
      </c>
      <c r="F1488" s="109" t="str">
        <f t="shared" ref="F1488:G1488" si="1487">TRANSLATE(D1488,"lzh","vi")</f>
        <v>#NAME?</v>
      </c>
      <c r="G1488" s="109" t="str">
        <f t="shared" si="1487"/>
        <v>#NAME?</v>
      </c>
      <c r="X1488" s="110"/>
    </row>
    <row r="1489" ht="21.0" customHeight="1">
      <c r="A1489" s="6">
        <v>1.0</v>
      </c>
      <c r="B1489" s="6">
        <v>125.0</v>
      </c>
      <c r="C1489" s="6">
        <v>5.0</v>
      </c>
      <c r="D1489" s="122" t="s">
        <v>1777</v>
      </c>
      <c r="E1489" s="9" t="s">
        <v>1778</v>
      </c>
      <c r="F1489" s="109" t="str">
        <f t="shared" ref="F1489:G1489" si="1488">TRANSLATE(D1489,"lzh","vi")</f>
        <v>#NAME?</v>
      </c>
      <c r="G1489" s="109" t="str">
        <f t="shared" si="1488"/>
        <v>#NAME?</v>
      </c>
      <c r="X1489" s="110"/>
    </row>
    <row r="1490" ht="21.0" customHeight="1">
      <c r="A1490" s="6">
        <v>1.0</v>
      </c>
      <c r="B1490" s="6">
        <v>125.0</v>
      </c>
      <c r="C1490" s="6">
        <v>6.0</v>
      </c>
      <c r="D1490" s="122" t="s">
        <v>1779</v>
      </c>
      <c r="E1490" s="9" t="s">
        <v>1780</v>
      </c>
      <c r="F1490" s="109" t="str">
        <f t="shared" ref="F1490:G1490" si="1489">TRANSLATE(D1490,"lzh","vi")</f>
        <v>#NAME?</v>
      </c>
      <c r="G1490" s="109" t="str">
        <f t="shared" si="1489"/>
        <v>#NAME?</v>
      </c>
      <c r="X1490" s="110"/>
    </row>
    <row r="1491" ht="21.0" customHeight="1">
      <c r="A1491" s="6">
        <v>1.0</v>
      </c>
      <c r="B1491" s="6">
        <v>125.0</v>
      </c>
      <c r="C1491" s="6">
        <v>7.0</v>
      </c>
      <c r="D1491" s="122" t="s">
        <v>1781</v>
      </c>
      <c r="E1491" s="9" t="s">
        <v>1782</v>
      </c>
      <c r="F1491" s="109" t="str">
        <f t="shared" ref="F1491:G1491" si="1490">TRANSLATE(D1491,"lzh","vi")</f>
        <v>#NAME?</v>
      </c>
      <c r="G1491" s="109" t="str">
        <f t="shared" si="1490"/>
        <v>#NAME?</v>
      </c>
      <c r="X1491" s="110"/>
    </row>
    <row r="1492" ht="21.0" customHeight="1">
      <c r="A1492" s="6">
        <v>1.0</v>
      </c>
      <c r="B1492" s="6">
        <v>125.0</v>
      </c>
      <c r="C1492" s="6">
        <v>8.0</v>
      </c>
      <c r="D1492" s="122" t="s">
        <v>1783</v>
      </c>
      <c r="E1492" s="9" t="s">
        <v>1784</v>
      </c>
      <c r="F1492" s="109" t="str">
        <f t="shared" ref="F1492:G1492" si="1491">TRANSLATE(D1492,"lzh","vi")</f>
        <v>#NAME?</v>
      </c>
      <c r="G1492" s="109" t="str">
        <f t="shared" si="1491"/>
        <v>#NAME?</v>
      </c>
      <c r="X1492" s="110"/>
    </row>
    <row r="1493" ht="21.0" customHeight="1">
      <c r="A1493" s="6">
        <v>1.0</v>
      </c>
      <c r="B1493" s="6">
        <v>125.0</v>
      </c>
      <c r="C1493" s="6">
        <v>9.0</v>
      </c>
      <c r="D1493" s="122" t="s">
        <v>1785</v>
      </c>
      <c r="E1493" s="9" t="s">
        <v>1786</v>
      </c>
      <c r="F1493" s="109" t="str">
        <f t="shared" ref="F1493:G1493" si="1492">TRANSLATE(D1493,"lzh","vi")</f>
        <v>#NAME?</v>
      </c>
      <c r="G1493" s="109" t="str">
        <f t="shared" si="1492"/>
        <v>#NAME?</v>
      </c>
      <c r="X1493" s="110"/>
    </row>
    <row r="1494" ht="21.0" customHeight="1">
      <c r="A1494" s="6">
        <v>1.0</v>
      </c>
      <c r="B1494" s="6">
        <v>125.0</v>
      </c>
      <c r="C1494" s="6">
        <v>10.0</v>
      </c>
      <c r="D1494" s="122" t="s">
        <v>1787</v>
      </c>
      <c r="E1494" s="9" t="s">
        <v>1788</v>
      </c>
      <c r="F1494" s="109" t="str">
        <f t="shared" ref="F1494:G1494" si="1493">TRANSLATE(D1494,"lzh","vi")</f>
        <v>#NAME?</v>
      </c>
      <c r="G1494" s="109" t="str">
        <f t="shared" si="1493"/>
        <v>#NAME?</v>
      </c>
      <c r="X1494" s="110"/>
    </row>
    <row r="1495" ht="21.0" customHeight="1">
      <c r="A1495" s="6">
        <v>1.0</v>
      </c>
      <c r="B1495" s="6">
        <v>138.0</v>
      </c>
      <c r="C1495" s="6">
        <v>1.0</v>
      </c>
      <c r="D1495" s="122" t="s">
        <v>1789</v>
      </c>
      <c r="E1495" s="9" t="s">
        <v>1790</v>
      </c>
      <c r="F1495" s="109" t="str">
        <f t="shared" ref="F1495:G1495" si="1494">TRANSLATE(D1495,"lzh","vi")</f>
        <v>#NAME?</v>
      </c>
      <c r="G1495" s="109" t="str">
        <f t="shared" si="1494"/>
        <v>#NAME?</v>
      </c>
      <c r="X1495" s="110"/>
    </row>
    <row r="1496" ht="21.0" customHeight="1">
      <c r="A1496" s="6">
        <v>1.0</v>
      </c>
      <c r="B1496" s="6">
        <v>138.0</v>
      </c>
      <c r="C1496" s="6">
        <v>2.0</v>
      </c>
      <c r="D1496" s="122" t="s">
        <v>1791</v>
      </c>
      <c r="E1496" s="9" t="s">
        <v>1792</v>
      </c>
      <c r="F1496" s="109" t="str">
        <f t="shared" ref="F1496:G1496" si="1495">TRANSLATE(D1496,"lzh","vi")</f>
        <v>#NAME?</v>
      </c>
      <c r="G1496" s="109" t="str">
        <f t="shared" si="1495"/>
        <v>#NAME?</v>
      </c>
      <c r="X1496" s="110"/>
    </row>
    <row r="1497" ht="21.0" customHeight="1">
      <c r="A1497" s="6">
        <v>1.0</v>
      </c>
      <c r="B1497" s="6">
        <v>138.0</v>
      </c>
      <c r="C1497" s="6">
        <v>3.0</v>
      </c>
      <c r="D1497" s="122" t="s">
        <v>1793</v>
      </c>
      <c r="E1497" s="9" t="s">
        <v>1794</v>
      </c>
      <c r="F1497" s="109" t="str">
        <f t="shared" ref="F1497:G1497" si="1496">TRANSLATE(D1497,"lzh","vi")</f>
        <v>#NAME?</v>
      </c>
      <c r="G1497" s="109" t="str">
        <f t="shared" si="1496"/>
        <v>#NAME?</v>
      </c>
      <c r="X1497" s="110"/>
    </row>
    <row r="1498" ht="21.0" customHeight="1">
      <c r="A1498" s="6">
        <v>1.0</v>
      </c>
      <c r="B1498" s="6">
        <v>138.0</v>
      </c>
      <c r="C1498" s="6">
        <v>4.0</v>
      </c>
      <c r="D1498" s="122" t="s">
        <v>1795</v>
      </c>
      <c r="E1498" s="9" t="s">
        <v>1796</v>
      </c>
      <c r="F1498" s="109" t="str">
        <f t="shared" ref="F1498:G1498" si="1497">TRANSLATE(D1498,"lzh","vi")</f>
        <v>#NAME?</v>
      </c>
      <c r="G1498" s="109" t="str">
        <f t="shared" si="1497"/>
        <v>#NAME?</v>
      </c>
      <c r="X1498" s="110"/>
    </row>
    <row r="1499" ht="21.0" customHeight="1">
      <c r="A1499" s="6">
        <v>1.0</v>
      </c>
      <c r="B1499" s="6">
        <v>138.0</v>
      </c>
      <c r="C1499" s="6">
        <v>5.0</v>
      </c>
      <c r="D1499" s="122" t="s">
        <v>1797</v>
      </c>
      <c r="E1499" s="9" t="s">
        <v>1798</v>
      </c>
      <c r="F1499" s="109" t="str">
        <f t="shared" ref="F1499:G1499" si="1498">TRANSLATE(D1499,"lzh","vi")</f>
        <v>#NAME?</v>
      </c>
      <c r="G1499" s="109" t="str">
        <f t="shared" si="1498"/>
        <v>#NAME?</v>
      </c>
      <c r="X1499" s="110"/>
    </row>
    <row r="1500" ht="21.0" customHeight="1">
      <c r="A1500" s="6">
        <v>1.0</v>
      </c>
      <c r="B1500" s="6">
        <v>138.0</v>
      </c>
      <c r="C1500" s="6">
        <v>6.0</v>
      </c>
      <c r="D1500" s="122" t="s">
        <v>1799</v>
      </c>
      <c r="E1500" s="9" t="s">
        <v>1800</v>
      </c>
      <c r="F1500" s="109" t="str">
        <f t="shared" ref="F1500:G1500" si="1499">TRANSLATE(D1500,"lzh","vi")</f>
        <v>#NAME?</v>
      </c>
      <c r="G1500" s="109" t="str">
        <f t="shared" si="1499"/>
        <v>#NAME?</v>
      </c>
      <c r="X1500" s="110"/>
    </row>
    <row r="1501" ht="21.0" customHeight="1">
      <c r="A1501" s="6">
        <v>1.0</v>
      </c>
      <c r="B1501" s="6">
        <v>138.0</v>
      </c>
      <c r="C1501" s="6">
        <v>7.0</v>
      </c>
      <c r="D1501" s="122" t="s">
        <v>1801</v>
      </c>
      <c r="E1501" s="9" t="s">
        <v>1802</v>
      </c>
      <c r="F1501" s="109" t="str">
        <f t="shared" ref="F1501:G1501" si="1500">TRANSLATE(D1501,"lzh","vi")</f>
        <v>#NAME?</v>
      </c>
      <c r="G1501" s="109" t="str">
        <f t="shared" si="1500"/>
        <v>#NAME?</v>
      </c>
      <c r="X1501" s="110"/>
    </row>
    <row r="1502" ht="21.0" customHeight="1">
      <c r="A1502" s="6">
        <v>1.0</v>
      </c>
      <c r="B1502" s="6">
        <v>138.0</v>
      </c>
      <c r="C1502" s="6">
        <v>8.0</v>
      </c>
      <c r="D1502" s="122" t="s">
        <v>1803</v>
      </c>
      <c r="E1502" s="9" t="s">
        <v>1804</v>
      </c>
      <c r="F1502" s="109" t="str">
        <f t="shared" ref="F1502:G1502" si="1501">TRANSLATE(D1502,"lzh","vi")</f>
        <v>#NAME?</v>
      </c>
      <c r="G1502" s="109" t="str">
        <f t="shared" si="1501"/>
        <v>#NAME?</v>
      </c>
      <c r="X1502" s="110"/>
    </row>
    <row r="1503" ht="21.0" customHeight="1">
      <c r="A1503" s="6">
        <v>1.0</v>
      </c>
      <c r="B1503" s="6">
        <v>138.0</v>
      </c>
      <c r="C1503" s="6">
        <v>9.0</v>
      </c>
      <c r="D1503" s="122" t="s">
        <v>1805</v>
      </c>
      <c r="E1503" s="9" t="s">
        <v>1806</v>
      </c>
      <c r="F1503" s="109" t="str">
        <f t="shared" ref="F1503:G1503" si="1502">TRANSLATE(D1503,"lzh","vi")</f>
        <v>#NAME?</v>
      </c>
      <c r="G1503" s="109" t="str">
        <f t="shared" si="1502"/>
        <v>#NAME?</v>
      </c>
      <c r="X1503" s="110"/>
    </row>
    <row r="1504" ht="21.0" customHeight="1">
      <c r="A1504" s="6">
        <v>1.0</v>
      </c>
      <c r="B1504" s="6">
        <v>138.0</v>
      </c>
      <c r="C1504" s="6">
        <v>10.0</v>
      </c>
      <c r="D1504" s="122" t="s">
        <v>1807</v>
      </c>
      <c r="E1504" s="9" t="s">
        <v>1808</v>
      </c>
      <c r="F1504" s="109" t="str">
        <f t="shared" ref="F1504:G1504" si="1503">TRANSLATE(D1504,"lzh","vi")</f>
        <v>#NAME?</v>
      </c>
      <c r="G1504" s="109" t="str">
        <f t="shared" si="1503"/>
        <v>#NAME?</v>
      </c>
      <c r="X1504" s="110"/>
    </row>
    <row r="1505" ht="21.0" customHeight="1">
      <c r="A1505" s="6">
        <v>1.0</v>
      </c>
      <c r="B1505" s="6">
        <v>138.0</v>
      </c>
      <c r="C1505" s="6">
        <v>11.0</v>
      </c>
      <c r="D1505" s="122" t="s">
        <v>1809</v>
      </c>
      <c r="E1505" s="9" t="s">
        <v>1810</v>
      </c>
      <c r="F1505" s="109" t="str">
        <f t="shared" ref="F1505:G1505" si="1504">TRANSLATE(D1505,"lzh","vi")</f>
        <v>#NAME?</v>
      </c>
      <c r="G1505" s="109" t="str">
        <f t="shared" si="1504"/>
        <v>#NAME?</v>
      </c>
      <c r="X1505" s="110"/>
    </row>
    <row r="1506" ht="21.0" customHeight="1">
      <c r="A1506" s="6">
        <v>1.0</v>
      </c>
      <c r="B1506" s="6">
        <v>138.0</v>
      </c>
      <c r="C1506" s="6">
        <v>12.0</v>
      </c>
      <c r="D1506" s="122" t="s">
        <v>1811</v>
      </c>
      <c r="E1506" s="9" t="s">
        <v>1812</v>
      </c>
      <c r="F1506" s="109" t="str">
        <f t="shared" ref="F1506:G1506" si="1505">TRANSLATE(D1506,"lzh","vi")</f>
        <v>#NAME?</v>
      </c>
      <c r="G1506" s="109" t="str">
        <f t="shared" si="1505"/>
        <v>#NAME?</v>
      </c>
      <c r="X1506" s="110"/>
    </row>
    <row r="1507" ht="21.0" customHeight="1">
      <c r="A1507" s="6">
        <v>11.0</v>
      </c>
      <c r="B1507" s="6">
        <v>1016.0</v>
      </c>
      <c r="C1507" s="6">
        <v>1.0</v>
      </c>
      <c r="D1507" s="122" t="s">
        <v>1813</v>
      </c>
      <c r="E1507" s="9" t="s">
        <v>1814</v>
      </c>
      <c r="F1507" s="109" t="str">
        <f t="shared" ref="F1507:G1507" si="1506">TRANSLATE(D1507,"lzh","vi")</f>
        <v>#NAME?</v>
      </c>
      <c r="G1507" s="109" t="str">
        <f t="shared" si="1506"/>
        <v>#NAME?</v>
      </c>
      <c r="X1507" s="110"/>
    </row>
    <row r="1508" ht="21.0" customHeight="1">
      <c r="A1508" s="6">
        <v>11.0</v>
      </c>
      <c r="B1508" s="6">
        <v>1016.0</v>
      </c>
      <c r="C1508" s="6">
        <v>2.0</v>
      </c>
      <c r="D1508" s="122" t="s">
        <v>1815</v>
      </c>
      <c r="E1508" s="9" t="s">
        <v>1816</v>
      </c>
      <c r="F1508" s="109" t="str">
        <f t="shared" ref="F1508:G1508" si="1507">TRANSLATE(D1508,"lzh","vi")</f>
        <v>#NAME?</v>
      </c>
      <c r="G1508" s="109" t="str">
        <f t="shared" si="1507"/>
        <v>#NAME?</v>
      </c>
      <c r="X1508" s="110"/>
    </row>
    <row r="1509" ht="21.0" customHeight="1">
      <c r="A1509" s="6">
        <v>11.0</v>
      </c>
      <c r="B1509" s="6">
        <v>1016.0</v>
      </c>
      <c r="C1509" s="6">
        <v>3.0</v>
      </c>
      <c r="D1509" s="152" t="s">
        <v>1817</v>
      </c>
      <c r="E1509" s="9" t="s">
        <v>1818</v>
      </c>
      <c r="F1509" s="109" t="str">
        <f t="shared" ref="F1509:G1509" si="1508">TRANSLATE(D1509,"lzh","vi")</f>
        <v>#NAME?</v>
      </c>
      <c r="G1509" s="109" t="str">
        <f t="shared" si="1508"/>
        <v>#NAME?</v>
      </c>
      <c r="X1509" s="110"/>
    </row>
    <row r="1510" ht="21.0" customHeight="1">
      <c r="A1510" s="6">
        <v>11.0</v>
      </c>
      <c r="B1510" s="6">
        <v>1016.0</v>
      </c>
      <c r="C1510" s="6">
        <v>4.0</v>
      </c>
      <c r="D1510" s="122" t="s">
        <v>1819</v>
      </c>
      <c r="E1510" s="9" t="s">
        <v>1820</v>
      </c>
      <c r="F1510" s="109" t="str">
        <f t="shared" ref="F1510:G1510" si="1509">TRANSLATE(D1510,"lzh","vi")</f>
        <v>#NAME?</v>
      </c>
      <c r="G1510" s="109" t="str">
        <f t="shared" si="1509"/>
        <v>#NAME?</v>
      </c>
      <c r="X1510" s="110"/>
    </row>
    <row r="1511" ht="21.0" customHeight="1">
      <c r="A1511" s="6">
        <v>10.0</v>
      </c>
      <c r="B1511" s="6">
        <v>1016.0</v>
      </c>
      <c r="C1511" s="6">
        <v>5.0</v>
      </c>
      <c r="D1511" s="122" t="s">
        <v>1821</v>
      </c>
      <c r="E1511" s="9" t="s">
        <v>1822</v>
      </c>
      <c r="F1511" s="109" t="str">
        <f t="shared" ref="F1511:G1511" si="1510">TRANSLATE(D1511,"lzh","vi")</f>
        <v>#NAME?</v>
      </c>
      <c r="G1511" s="109" t="str">
        <f t="shared" si="1510"/>
        <v>#NAME?</v>
      </c>
      <c r="X1511" s="110"/>
    </row>
    <row r="1512" ht="21.0" customHeight="1">
      <c r="A1512" s="6">
        <v>10.0</v>
      </c>
      <c r="B1512" s="6">
        <v>1016.0</v>
      </c>
      <c r="C1512" s="6">
        <v>6.0</v>
      </c>
      <c r="D1512" s="122" t="s">
        <v>1823</v>
      </c>
      <c r="E1512" s="9" t="s">
        <v>1824</v>
      </c>
      <c r="F1512" s="109" t="str">
        <f t="shared" ref="F1512:G1512" si="1511">TRANSLATE(D1512,"lzh","vi")</f>
        <v>#NAME?</v>
      </c>
      <c r="G1512" s="109" t="str">
        <f t="shared" si="1511"/>
        <v>#NAME?</v>
      </c>
      <c r="X1512" s="110"/>
    </row>
    <row r="1513" ht="21.0" customHeight="1">
      <c r="A1513" s="6">
        <v>10.0</v>
      </c>
      <c r="B1513" s="6">
        <v>1016.0</v>
      </c>
      <c r="C1513" s="6">
        <v>7.0</v>
      </c>
      <c r="D1513" s="122" t="s">
        <v>1825</v>
      </c>
      <c r="E1513" s="9" t="s">
        <v>1826</v>
      </c>
      <c r="F1513" s="109" t="str">
        <f t="shared" ref="F1513:G1513" si="1512">TRANSLATE(D1513,"lzh","vi")</f>
        <v>#NAME?</v>
      </c>
      <c r="G1513" s="109" t="str">
        <f t="shared" si="1512"/>
        <v>#NAME?</v>
      </c>
      <c r="X1513" s="110"/>
    </row>
    <row r="1514" ht="21.0" customHeight="1">
      <c r="A1514" s="6">
        <v>10.0</v>
      </c>
      <c r="B1514" s="6">
        <v>1016.0</v>
      </c>
      <c r="C1514" s="6">
        <v>8.0</v>
      </c>
      <c r="D1514" s="122" t="s">
        <v>1827</v>
      </c>
      <c r="E1514" s="9" t="s">
        <v>1828</v>
      </c>
      <c r="F1514" s="109" t="str">
        <f t="shared" ref="F1514:G1514" si="1513">TRANSLATE(D1514,"lzh","vi")</f>
        <v>#NAME?</v>
      </c>
      <c r="G1514" s="109" t="str">
        <f t="shared" si="1513"/>
        <v>#NAME?</v>
      </c>
      <c r="X1514" s="110"/>
    </row>
    <row r="1515" ht="21.0" customHeight="1">
      <c r="A1515" s="6">
        <v>10.0</v>
      </c>
      <c r="B1515" s="6">
        <v>1016.0</v>
      </c>
      <c r="C1515" s="6">
        <v>9.0</v>
      </c>
      <c r="D1515" s="122" t="s">
        <v>1829</v>
      </c>
      <c r="E1515" s="9" t="s">
        <v>1830</v>
      </c>
      <c r="F1515" s="109" t="str">
        <f t="shared" ref="F1515:G1515" si="1514">TRANSLATE(D1515,"lzh","vi")</f>
        <v>#NAME?</v>
      </c>
      <c r="G1515" s="109" t="str">
        <f t="shared" si="1514"/>
        <v>#NAME?</v>
      </c>
      <c r="X1515" s="110"/>
    </row>
    <row r="1516" ht="21.0" customHeight="1">
      <c r="A1516" s="6">
        <v>10.0</v>
      </c>
      <c r="B1516" s="6">
        <v>1016.0</v>
      </c>
      <c r="C1516" s="6">
        <v>10.0</v>
      </c>
      <c r="D1516" s="122" t="s">
        <v>1831</v>
      </c>
      <c r="E1516" s="9" t="s">
        <v>1832</v>
      </c>
      <c r="F1516" s="109" t="str">
        <f t="shared" ref="F1516:G1516" si="1515">TRANSLATE(D1516,"lzh","vi")</f>
        <v>#NAME?</v>
      </c>
      <c r="G1516" s="109" t="str">
        <f t="shared" si="1515"/>
        <v>#NAME?</v>
      </c>
      <c r="X1516" s="110"/>
    </row>
    <row r="1517" ht="21.0" customHeight="1">
      <c r="A1517" s="6">
        <v>1.0</v>
      </c>
      <c r="B1517" s="6">
        <v>130.0</v>
      </c>
      <c r="C1517" s="6">
        <v>1.0</v>
      </c>
      <c r="D1517" s="122" t="s">
        <v>1833</v>
      </c>
      <c r="E1517" s="9" t="s">
        <v>1834</v>
      </c>
      <c r="F1517" s="109" t="str">
        <f t="shared" ref="F1517:G1517" si="1516">TRANSLATE(D1517,"lzh","vi")</f>
        <v>#NAME?</v>
      </c>
      <c r="G1517" s="109" t="str">
        <f t="shared" si="1516"/>
        <v>#NAME?</v>
      </c>
      <c r="X1517" s="110"/>
    </row>
    <row r="1518" ht="21.0" customHeight="1">
      <c r="A1518" s="6">
        <v>1.0</v>
      </c>
      <c r="B1518" s="6">
        <v>130.0</v>
      </c>
      <c r="C1518" s="6">
        <v>2.0</v>
      </c>
      <c r="D1518" s="122" t="s">
        <v>1835</v>
      </c>
      <c r="E1518" s="9" t="s">
        <v>1836</v>
      </c>
      <c r="F1518" s="109" t="str">
        <f t="shared" ref="F1518:G1518" si="1517">TRANSLATE(D1518,"lzh","vi")</f>
        <v>#NAME?</v>
      </c>
      <c r="G1518" s="109" t="str">
        <f t="shared" si="1517"/>
        <v>#NAME?</v>
      </c>
      <c r="X1518" s="110"/>
    </row>
    <row r="1519" ht="21.0" customHeight="1">
      <c r="A1519" s="6">
        <v>1.0</v>
      </c>
      <c r="B1519" s="6">
        <v>130.0</v>
      </c>
      <c r="C1519" s="6">
        <v>3.0</v>
      </c>
      <c r="D1519" s="122" t="s">
        <v>1837</v>
      </c>
      <c r="E1519" s="9" t="s">
        <v>1838</v>
      </c>
      <c r="F1519" s="109" t="str">
        <f t="shared" ref="F1519:G1519" si="1518">TRANSLATE(D1519,"lzh","vi")</f>
        <v>#NAME?</v>
      </c>
      <c r="G1519" s="109" t="str">
        <f t="shared" si="1518"/>
        <v>#NAME?</v>
      </c>
      <c r="X1519" s="110"/>
    </row>
    <row r="1520" ht="21.0" customHeight="1">
      <c r="A1520" s="6">
        <v>1.0</v>
      </c>
      <c r="B1520" s="6">
        <v>130.0</v>
      </c>
      <c r="C1520" s="6">
        <v>4.0</v>
      </c>
      <c r="D1520" s="122" t="s">
        <v>1839</v>
      </c>
      <c r="E1520" s="9" t="s">
        <v>1840</v>
      </c>
      <c r="F1520" s="109" t="str">
        <f t="shared" ref="F1520:G1520" si="1519">TRANSLATE(D1520,"lzh","vi")</f>
        <v>#NAME?</v>
      </c>
      <c r="G1520" s="109" t="str">
        <f t="shared" si="1519"/>
        <v>#NAME?</v>
      </c>
      <c r="X1520" s="110"/>
    </row>
    <row r="1521" ht="21.0" customHeight="1">
      <c r="A1521" s="6">
        <v>1.0</v>
      </c>
      <c r="B1521" s="6">
        <v>130.0</v>
      </c>
      <c r="C1521" s="6">
        <v>5.0</v>
      </c>
      <c r="D1521" s="122" t="s">
        <v>1841</v>
      </c>
      <c r="E1521" s="9" t="s">
        <v>1842</v>
      </c>
      <c r="F1521" s="109" t="str">
        <f t="shared" ref="F1521:G1521" si="1520">TRANSLATE(D1521,"lzh","vi")</f>
        <v>#NAME?</v>
      </c>
      <c r="G1521" s="109" t="str">
        <f t="shared" si="1520"/>
        <v>#NAME?</v>
      </c>
      <c r="X1521" s="110"/>
    </row>
    <row r="1522" ht="21.0" customHeight="1">
      <c r="A1522" s="6">
        <v>1.0</v>
      </c>
      <c r="B1522" s="6">
        <v>130.0</v>
      </c>
      <c r="C1522" s="6">
        <v>6.0</v>
      </c>
      <c r="D1522" s="122" t="s">
        <v>1843</v>
      </c>
      <c r="E1522" s="9" t="s">
        <v>1844</v>
      </c>
      <c r="F1522" s="109" t="str">
        <f t="shared" ref="F1522:G1522" si="1521">TRANSLATE(D1522,"lzh","vi")</f>
        <v>#NAME?</v>
      </c>
      <c r="G1522" s="109" t="str">
        <f t="shared" si="1521"/>
        <v>#NAME?</v>
      </c>
      <c r="X1522" s="110"/>
    </row>
    <row r="1523" ht="21.0" customHeight="1">
      <c r="A1523" s="6">
        <v>1.0</v>
      </c>
      <c r="B1523" s="6">
        <v>130.0</v>
      </c>
      <c r="C1523" s="6">
        <v>7.0</v>
      </c>
      <c r="D1523" s="122" t="s">
        <v>1845</v>
      </c>
      <c r="E1523" s="9" t="s">
        <v>1846</v>
      </c>
      <c r="F1523" s="109" t="str">
        <f t="shared" ref="F1523:G1523" si="1522">TRANSLATE(D1523,"lzh","vi")</f>
        <v>#NAME?</v>
      </c>
      <c r="G1523" s="109" t="str">
        <f t="shared" si="1522"/>
        <v>#NAME?</v>
      </c>
      <c r="X1523" s="110"/>
    </row>
    <row r="1524" ht="21.0" customHeight="1">
      <c r="A1524" s="6">
        <v>1.0</v>
      </c>
      <c r="B1524" s="6">
        <v>130.0</v>
      </c>
      <c r="C1524" s="6">
        <v>8.0</v>
      </c>
      <c r="D1524" s="122" t="s">
        <v>1847</v>
      </c>
      <c r="E1524" s="9" t="s">
        <v>1848</v>
      </c>
      <c r="F1524" s="109" t="str">
        <f t="shared" ref="F1524:G1524" si="1523">TRANSLATE(D1524,"lzh","vi")</f>
        <v>#NAME?</v>
      </c>
      <c r="G1524" s="109" t="str">
        <f t="shared" si="1523"/>
        <v>#NAME?</v>
      </c>
      <c r="X1524" s="110"/>
    </row>
    <row r="1525" ht="21.0" customHeight="1">
      <c r="A1525" s="6">
        <v>1.0</v>
      </c>
      <c r="B1525" s="6">
        <v>130.0</v>
      </c>
      <c r="C1525" s="6">
        <v>9.0</v>
      </c>
      <c r="D1525" s="122" t="s">
        <v>1849</v>
      </c>
      <c r="E1525" s="9" t="s">
        <v>1850</v>
      </c>
      <c r="F1525" s="109" t="str">
        <f t="shared" ref="F1525:G1525" si="1524">TRANSLATE(D1525,"lzh","vi")</f>
        <v>#NAME?</v>
      </c>
      <c r="G1525" s="109" t="str">
        <f t="shared" si="1524"/>
        <v>#NAME?</v>
      </c>
      <c r="X1525" s="110"/>
    </row>
    <row r="1526" ht="21.0" customHeight="1">
      <c r="A1526" s="6">
        <v>1.0</v>
      </c>
      <c r="B1526" s="6">
        <v>130.0</v>
      </c>
      <c r="C1526" s="6">
        <v>10.0</v>
      </c>
      <c r="D1526" s="122" t="s">
        <v>1851</v>
      </c>
      <c r="E1526" s="9" t="s">
        <v>1852</v>
      </c>
      <c r="F1526" s="109" t="str">
        <f t="shared" ref="F1526:G1526" si="1525">TRANSLATE(D1526,"lzh","vi")</f>
        <v>#NAME?</v>
      </c>
      <c r="G1526" s="109" t="str">
        <f t="shared" si="1525"/>
        <v>#NAME?</v>
      </c>
      <c r="X1526" s="110"/>
    </row>
    <row r="1527" ht="21.0" customHeight="1">
      <c r="A1527" s="6">
        <v>1.0</v>
      </c>
      <c r="B1527" s="6">
        <v>130.0</v>
      </c>
      <c r="C1527" s="6">
        <v>11.0</v>
      </c>
      <c r="D1527" s="122" t="s">
        <v>1853</v>
      </c>
      <c r="E1527" s="9" t="s">
        <v>1854</v>
      </c>
      <c r="F1527" s="109" t="str">
        <f t="shared" ref="F1527:G1527" si="1526">TRANSLATE(D1527,"lzh","vi")</f>
        <v>#NAME?</v>
      </c>
      <c r="G1527" s="109" t="str">
        <f t="shared" si="1526"/>
        <v>#NAME?</v>
      </c>
      <c r="X1527" s="110"/>
    </row>
    <row r="1528" ht="21.0" customHeight="1">
      <c r="A1528" s="6">
        <v>1.0</v>
      </c>
      <c r="B1528" s="6">
        <v>130.0</v>
      </c>
      <c r="C1528" s="6">
        <v>12.0</v>
      </c>
      <c r="D1528" s="122" t="s">
        <v>1855</v>
      </c>
      <c r="E1528" s="9" t="s">
        <v>1856</v>
      </c>
      <c r="F1528" s="109" t="str">
        <f t="shared" ref="F1528:G1528" si="1527">TRANSLATE(D1528,"lzh","vi")</f>
        <v>#NAME?</v>
      </c>
      <c r="G1528" s="109" t="str">
        <f t="shared" si="1527"/>
        <v>#NAME?</v>
      </c>
      <c r="X1528" s="110"/>
    </row>
    <row r="1529" ht="21.0" customHeight="1">
      <c r="A1529" s="6">
        <v>1.0</v>
      </c>
      <c r="B1529" s="6">
        <v>130.0</v>
      </c>
      <c r="C1529" s="6">
        <v>13.0</v>
      </c>
      <c r="D1529" s="122" t="s">
        <v>1857</v>
      </c>
      <c r="E1529" s="9" t="s">
        <v>1858</v>
      </c>
      <c r="F1529" s="109" t="str">
        <f t="shared" ref="F1529:G1529" si="1528">TRANSLATE(D1529,"lzh","vi")</f>
        <v>#NAME?</v>
      </c>
      <c r="G1529" s="109" t="str">
        <f t="shared" si="1528"/>
        <v>#NAME?</v>
      </c>
      <c r="X1529" s="110"/>
    </row>
    <row r="1530" ht="21.0" customHeight="1">
      <c r="A1530" s="6">
        <v>1.0</v>
      </c>
      <c r="B1530" s="6">
        <v>131.0</v>
      </c>
      <c r="C1530" s="6">
        <v>1.0</v>
      </c>
      <c r="D1530" s="122" t="s">
        <v>1859</v>
      </c>
      <c r="E1530" s="9" t="s">
        <v>1860</v>
      </c>
      <c r="F1530" s="109" t="str">
        <f t="shared" ref="F1530:G1530" si="1529">TRANSLATE(D1530,"lzh","vi")</f>
        <v>#NAME?</v>
      </c>
      <c r="G1530" s="109" t="str">
        <f t="shared" si="1529"/>
        <v>#NAME?</v>
      </c>
      <c r="X1530" s="110"/>
    </row>
    <row r="1531" ht="21.0" customHeight="1">
      <c r="A1531" s="6">
        <v>1.0</v>
      </c>
      <c r="B1531" s="6">
        <v>131.0</v>
      </c>
      <c r="C1531" s="6">
        <v>2.0</v>
      </c>
      <c r="D1531" s="122" t="s">
        <v>1861</v>
      </c>
      <c r="E1531" s="9" t="s">
        <v>1862</v>
      </c>
      <c r="F1531" s="109" t="str">
        <f t="shared" ref="F1531:G1531" si="1530">TRANSLATE(D1531,"lzh","vi")</f>
        <v>#NAME?</v>
      </c>
      <c r="G1531" s="109" t="str">
        <f t="shared" si="1530"/>
        <v>#NAME?</v>
      </c>
      <c r="X1531" s="110"/>
    </row>
    <row r="1532" ht="21.0" customHeight="1">
      <c r="A1532" s="6">
        <v>1.0</v>
      </c>
      <c r="B1532" s="6">
        <v>131.0</v>
      </c>
      <c r="C1532" s="6">
        <v>3.0</v>
      </c>
      <c r="D1532" s="122" t="s">
        <v>1863</v>
      </c>
      <c r="E1532" s="9" t="s">
        <v>1864</v>
      </c>
      <c r="F1532" s="109" t="str">
        <f t="shared" ref="F1532:G1532" si="1531">TRANSLATE(D1532,"lzh","vi")</f>
        <v>#NAME?</v>
      </c>
      <c r="G1532" s="109" t="str">
        <f t="shared" si="1531"/>
        <v>#NAME?</v>
      </c>
      <c r="X1532" s="110"/>
    </row>
    <row r="1533" ht="21.0" customHeight="1">
      <c r="A1533" s="6">
        <v>1.0</v>
      </c>
      <c r="B1533" s="6">
        <v>131.0</v>
      </c>
      <c r="C1533" s="6">
        <v>4.0</v>
      </c>
      <c r="D1533" s="122" t="s">
        <v>1865</v>
      </c>
      <c r="E1533" s="9" t="s">
        <v>1866</v>
      </c>
      <c r="F1533" s="109" t="str">
        <f t="shared" ref="F1533:G1533" si="1532">TRANSLATE(D1533,"lzh","vi")</f>
        <v>#NAME?</v>
      </c>
      <c r="G1533" s="109" t="str">
        <f t="shared" si="1532"/>
        <v>#NAME?</v>
      </c>
      <c r="X1533" s="110"/>
    </row>
    <row r="1534" ht="21.0" customHeight="1">
      <c r="A1534" s="6">
        <v>1.0</v>
      </c>
      <c r="B1534" s="6">
        <v>131.0</v>
      </c>
      <c r="C1534" s="6">
        <v>5.0</v>
      </c>
      <c r="D1534" s="122" t="s">
        <v>1867</v>
      </c>
      <c r="E1534" s="9" t="s">
        <v>1868</v>
      </c>
      <c r="F1534" s="109" t="str">
        <f t="shared" ref="F1534:G1534" si="1533">TRANSLATE(D1534,"lzh","vi")</f>
        <v>#NAME?</v>
      </c>
      <c r="G1534" s="109" t="str">
        <f t="shared" si="1533"/>
        <v>#NAME?</v>
      </c>
      <c r="X1534" s="110"/>
    </row>
    <row r="1535" ht="21.0" customHeight="1">
      <c r="A1535" s="6">
        <v>1.0</v>
      </c>
      <c r="B1535" s="6">
        <v>131.0</v>
      </c>
      <c r="C1535" s="6">
        <v>6.0</v>
      </c>
      <c r="D1535" s="122" t="s">
        <v>1869</v>
      </c>
      <c r="E1535" s="9" t="s">
        <v>1870</v>
      </c>
      <c r="F1535" s="109" t="str">
        <f t="shared" ref="F1535:G1535" si="1534">TRANSLATE(D1535,"lzh","vi")</f>
        <v>#NAME?</v>
      </c>
      <c r="G1535" s="109" t="str">
        <f t="shared" si="1534"/>
        <v>#NAME?</v>
      </c>
      <c r="X1535" s="110"/>
    </row>
    <row r="1536" ht="21.0" customHeight="1">
      <c r="A1536" s="6">
        <v>1.0</v>
      </c>
      <c r="B1536" s="6">
        <v>131.0</v>
      </c>
      <c r="C1536" s="6">
        <v>7.0</v>
      </c>
      <c r="D1536" s="122" t="s">
        <v>1871</v>
      </c>
      <c r="E1536" s="9" t="s">
        <v>1872</v>
      </c>
      <c r="F1536" s="109" t="str">
        <f t="shared" ref="F1536:G1536" si="1535">TRANSLATE(D1536,"lzh","vi")</f>
        <v>#NAME?</v>
      </c>
      <c r="G1536" s="109" t="str">
        <f t="shared" si="1535"/>
        <v>#NAME?</v>
      </c>
      <c r="X1536" s="110"/>
    </row>
    <row r="1537" ht="21.0" customHeight="1">
      <c r="A1537" s="6">
        <v>1.0</v>
      </c>
      <c r="B1537" s="6">
        <v>131.0</v>
      </c>
      <c r="C1537" s="6">
        <v>8.0</v>
      </c>
      <c r="D1537" s="122" t="s">
        <v>1873</v>
      </c>
      <c r="E1537" s="9" t="s">
        <v>1874</v>
      </c>
      <c r="F1537" s="109" t="str">
        <f t="shared" ref="F1537:G1537" si="1536">TRANSLATE(D1537,"lzh","vi")</f>
        <v>#NAME?</v>
      </c>
      <c r="G1537" s="109" t="str">
        <f t="shared" si="1536"/>
        <v>#NAME?</v>
      </c>
      <c r="X1537" s="110"/>
    </row>
    <row r="1538" ht="21.0" customHeight="1">
      <c r="A1538" s="6">
        <v>1.0</v>
      </c>
      <c r="B1538" s="6">
        <v>131.0</v>
      </c>
      <c r="C1538" s="6">
        <v>9.0</v>
      </c>
      <c r="D1538" s="122" t="s">
        <v>1875</v>
      </c>
      <c r="E1538" s="9" t="s">
        <v>1876</v>
      </c>
      <c r="F1538" s="109" t="str">
        <f t="shared" ref="F1538:G1538" si="1537">TRANSLATE(D1538,"lzh","vi")</f>
        <v>#NAME?</v>
      </c>
      <c r="G1538" s="109" t="str">
        <f t="shared" si="1537"/>
        <v>#NAME?</v>
      </c>
      <c r="X1538" s="110"/>
    </row>
    <row r="1539" ht="21.0" customHeight="1">
      <c r="A1539" s="6">
        <v>1.0</v>
      </c>
      <c r="B1539" s="6">
        <v>131.0</v>
      </c>
      <c r="C1539" s="6">
        <v>10.0</v>
      </c>
      <c r="D1539" s="122" t="s">
        <v>1877</v>
      </c>
      <c r="E1539" s="9" t="s">
        <v>1878</v>
      </c>
      <c r="F1539" s="109" t="str">
        <f t="shared" ref="F1539:G1539" si="1538">TRANSLATE(D1539,"lzh","vi")</f>
        <v>#NAME?</v>
      </c>
      <c r="G1539" s="109" t="str">
        <f t="shared" si="1538"/>
        <v>#NAME?</v>
      </c>
      <c r="X1539" s="110"/>
    </row>
    <row r="1540" ht="21.0" customHeight="1">
      <c r="A1540" s="6">
        <v>1.0</v>
      </c>
      <c r="B1540" s="6">
        <v>132.0</v>
      </c>
      <c r="C1540" s="6">
        <v>1.0</v>
      </c>
      <c r="D1540" s="122" t="s">
        <v>1879</v>
      </c>
      <c r="E1540" s="9" t="s">
        <v>1880</v>
      </c>
      <c r="F1540" s="109" t="str">
        <f t="shared" ref="F1540:G1540" si="1539">TRANSLATE(D1540,"lzh","vi")</f>
        <v>#NAME?</v>
      </c>
      <c r="G1540" s="109" t="str">
        <f t="shared" si="1539"/>
        <v>#NAME?</v>
      </c>
      <c r="X1540" s="110"/>
    </row>
    <row r="1541" ht="21.0" customHeight="1">
      <c r="A1541" s="6">
        <v>1.0</v>
      </c>
      <c r="B1541" s="6">
        <v>132.0</v>
      </c>
      <c r="C1541" s="6">
        <v>2.0</v>
      </c>
      <c r="D1541" s="122" t="s">
        <v>1881</v>
      </c>
      <c r="E1541" s="9" t="s">
        <v>1882</v>
      </c>
      <c r="F1541" s="109" t="str">
        <f t="shared" ref="F1541:G1541" si="1540">TRANSLATE(D1541,"lzh","vi")</f>
        <v>#NAME?</v>
      </c>
      <c r="G1541" s="109" t="str">
        <f t="shared" si="1540"/>
        <v>#NAME?</v>
      </c>
      <c r="X1541" s="110"/>
    </row>
    <row r="1542" ht="21.0" customHeight="1">
      <c r="A1542" s="6">
        <v>1.0</v>
      </c>
      <c r="B1542" s="6">
        <v>132.0</v>
      </c>
      <c r="C1542" s="6">
        <v>3.0</v>
      </c>
      <c r="D1542" s="122" t="s">
        <v>1883</v>
      </c>
      <c r="E1542" s="9" t="s">
        <v>1884</v>
      </c>
      <c r="F1542" s="109" t="str">
        <f t="shared" ref="F1542:G1542" si="1541">TRANSLATE(D1542,"lzh","vi")</f>
        <v>#NAME?</v>
      </c>
      <c r="G1542" s="109" t="str">
        <f t="shared" si="1541"/>
        <v>#NAME?</v>
      </c>
      <c r="X1542" s="110"/>
    </row>
    <row r="1543" ht="21.0" customHeight="1">
      <c r="A1543" s="6">
        <v>1.0</v>
      </c>
      <c r="B1543" s="6">
        <v>132.0</v>
      </c>
      <c r="C1543" s="6">
        <v>4.0</v>
      </c>
      <c r="D1543" s="122" t="s">
        <v>1885</v>
      </c>
      <c r="E1543" s="9" t="s">
        <v>1886</v>
      </c>
      <c r="F1543" s="109" t="str">
        <f t="shared" ref="F1543:G1543" si="1542">TRANSLATE(D1543,"lzh","vi")</f>
        <v>#NAME?</v>
      </c>
      <c r="G1543" s="109" t="str">
        <f t="shared" si="1542"/>
        <v>#NAME?</v>
      </c>
      <c r="X1543" s="110"/>
    </row>
    <row r="1544" ht="21.0" customHeight="1">
      <c r="A1544" s="6">
        <v>1.0</v>
      </c>
      <c r="B1544" s="6">
        <v>132.0</v>
      </c>
      <c r="C1544" s="6">
        <v>5.0</v>
      </c>
      <c r="D1544" s="122" t="s">
        <v>1887</v>
      </c>
      <c r="E1544" s="9" t="s">
        <v>1888</v>
      </c>
      <c r="F1544" s="109" t="str">
        <f t="shared" ref="F1544:G1544" si="1543">TRANSLATE(D1544,"lzh","vi")</f>
        <v>#NAME?</v>
      </c>
      <c r="G1544" s="109" t="str">
        <f t="shared" si="1543"/>
        <v>#NAME?</v>
      </c>
      <c r="X1544" s="110"/>
    </row>
    <row r="1545" ht="21.0" customHeight="1">
      <c r="A1545" s="6">
        <v>1.0</v>
      </c>
      <c r="B1545" s="6">
        <v>132.0</v>
      </c>
      <c r="C1545" s="6">
        <v>6.0</v>
      </c>
      <c r="D1545" s="122" t="s">
        <v>1889</v>
      </c>
      <c r="E1545" s="9" t="s">
        <v>1890</v>
      </c>
      <c r="F1545" s="109" t="str">
        <f t="shared" ref="F1545:G1545" si="1544">TRANSLATE(D1545,"lzh","vi")</f>
        <v>#NAME?</v>
      </c>
      <c r="G1545" s="109" t="str">
        <f t="shared" si="1544"/>
        <v>#NAME?</v>
      </c>
      <c r="X1545" s="110"/>
    </row>
    <row r="1546" ht="21.0" customHeight="1">
      <c r="A1546" s="6">
        <v>1.0</v>
      </c>
      <c r="B1546" s="6">
        <v>132.0</v>
      </c>
      <c r="C1546" s="6">
        <v>7.0</v>
      </c>
      <c r="D1546" s="122" t="s">
        <v>1891</v>
      </c>
      <c r="E1546" s="9" t="s">
        <v>1892</v>
      </c>
      <c r="F1546" s="109" t="str">
        <f t="shared" ref="F1546:G1546" si="1545">TRANSLATE(D1546,"lzh","vi")</f>
        <v>#NAME?</v>
      </c>
      <c r="G1546" s="109" t="str">
        <f t="shared" si="1545"/>
        <v>#NAME?</v>
      </c>
      <c r="X1546" s="110"/>
    </row>
    <row r="1547" ht="21.0" customHeight="1">
      <c r="A1547" s="6">
        <v>1.0</v>
      </c>
      <c r="B1547" s="6">
        <v>132.0</v>
      </c>
      <c r="C1547" s="6">
        <v>8.0</v>
      </c>
      <c r="D1547" s="122" t="s">
        <v>1893</v>
      </c>
      <c r="E1547" s="9" t="s">
        <v>1894</v>
      </c>
      <c r="F1547" s="109" t="str">
        <f t="shared" ref="F1547:G1547" si="1546">TRANSLATE(D1547,"lzh","vi")</f>
        <v>#NAME?</v>
      </c>
      <c r="G1547" s="109" t="str">
        <f t="shared" si="1546"/>
        <v>#NAME?</v>
      </c>
      <c r="X1547" s="110"/>
    </row>
    <row r="1548" ht="21.0" customHeight="1">
      <c r="A1548" s="6">
        <v>1.0</v>
      </c>
      <c r="B1548" s="6">
        <v>132.0</v>
      </c>
      <c r="C1548" s="6">
        <v>9.0</v>
      </c>
      <c r="D1548" s="122" t="s">
        <v>1895</v>
      </c>
      <c r="E1548" s="9" t="s">
        <v>1896</v>
      </c>
      <c r="F1548" s="109" t="str">
        <f t="shared" ref="F1548:G1548" si="1547">TRANSLATE(D1548,"lzh","vi")</f>
        <v>#NAME?</v>
      </c>
      <c r="G1548" s="109" t="str">
        <f t="shared" si="1547"/>
        <v>#NAME?</v>
      </c>
      <c r="X1548" s="110"/>
    </row>
    <row r="1549" ht="21.0" customHeight="1">
      <c r="A1549" s="6">
        <v>1.0</v>
      </c>
      <c r="B1549" s="6">
        <v>132.0</v>
      </c>
      <c r="C1549" s="6">
        <v>10.0</v>
      </c>
      <c r="D1549" s="122" t="s">
        <v>1897</v>
      </c>
      <c r="E1549" s="9" t="s">
        <v>1898</v>
      </c>
      <c r="F1549" s="109" t="str">
        <f t="shared" ref="F1549:G1549" si="1548">TRANSLATE(D1549,"lzh","vi")</f>
        <v>#NAME?</v>
      </c>
      <c r="G1549" s="109" t="str">
        <f t="shared" si="1548"/>
        <v>#NAME?</v>
      </c>
      <c r="X1549" s="110"/>
    </row>
    <row r="1550" ht="21.0" customHeight="1">
      <c r="A1550" s="6">
        <v>1.0</v>
      </c>
      <c r="B1550" s="6">
        <v>133.0</v>
      </c>
      <c r="C1550" s="6">
        <v>1.0</v>
      </c>
      <c r="D1550" s="122" t="s">
        <v>1899</v>
      </c>
      <c r="E1550" s="9" t="s">
        <v>1900</v>
      </c>
      <c r="F1550" s="109" t="str">
        <f t="shared" ref="F1550:G1550" si="1549">TRANSLATE(D1550,"lzh","vi")</f>
        <v>#NAME?</v>
      </c>
      <c r="G1550" s="109" t="str">
        <f t="shared" si="1549"/>
        <v>#NAME?</v>
      </c>
      <c r="X1550" s="110"/>
    </row>
    <row r="1551" ht="21.0" customHeight="1">
      <c r="A1551" s="6">
        <v>1.0</v>
      </c>
      <c r="B1551" s="6">
        <v>133.0</v>
      </c>
      <c r="C1551" s="6">
        <v>2.0</v>
      </c>
      <c r="D1551" s="122" t="s">
        <v>1901</v>
      </c>
      <c r="E1551" s="9" t="s">
        <v>1902</v>
      </c>
      <c r="F1551" s="109" t="str">
        <f t="shared" ref="F1551:G1551" si="1550">TRANSLATE(D1551,"lzh","vi")</f>
        <v>#NAME?</v>
      </c>
      <c r="G1551" s="109" t="str">
        <f t="shared" si="1550"/>
        <v>#NAME?</v>
      </c>
      <c r="X1551" s="110"/>
    </row>
    <row r="1552" ht="21.0" customHeight="1">
      <c r="A1552" s="6">
        <v>1.0</v>
      </c>
      <c r="B1552" s="6">
        <v>133.0</v>
      </c>
      <c r="C1552" s="6">
        <v>3.0</v>
      </c>
      <c r="D1552" s="122" t="s">
        <v>1903</v>
      </c>
      <c r="E1552" s="9" t="s">
        <v>1904</v>
      </c>
      <c r="F1552" s="109" t="str">
        <f t="shared" ref="F1552:G1552" si="1551">TRANSLATE(D1552,"lzh","vi")</f>
        <v>#NAME?</v>
      </c>
      <c r="G1552" s="109" t="str">
        <f t="shared" si="1551"/>
        <v>#NAME?</v>
      </c>
      <c r="X1552" s="110"/>
    </row>
    <row r="1553" ht="21.0" customHeight="1">
      <c r="A1553" s="6">
        <v>1.0</v>
      </c>
      <c r="B1553" s="6">
        <v>133.0</v>
      </c>
      <c r="C1553" s="6">
        <v>4.0</v>
      </c>
      <c r="D1553" s="122" t="s">
        <v>1905</v>
      </c>
      <c r="E1553" s="9" t="s">
        <v>1906</v>
      </c>
      <c r="F1553" s="109" t="str">
        <f t="shared" ref="F1553:G1553" si="1552">TRANSLATE(D1553,"lzh","vi")</f>
        <v>#NAME?</v>
      </c>
      <c r="G1553" s="109" t="str">
        <f t="shared" si="1552"/>
        <v>#NAME?</v>
      </c>
      <c r="X1553" s="110"/>
    </row>
    <row r="1554" ht="21.0" customHeight="1">
      <c r="A1554" s="6">
        <v>1.0</v>
      </c>
      <c r="B1554" s="6">
        <v>133.0</v>
      </c>
      <c r="C1554" s="6">
        <v>5.0</v>
      </c>
      <c r="D1554" s="122" t="s">
        <v>1907</v>
      </c>
      <c r="E1554" s="9" t="s">
        <v>1908</v>
      </c>
      <c r="F1554" s="109" t="str">
        <f t="shared" ref="F1554:G1554" si="1553">TRANSLATE(D1554,"lzh","vi")</f>
        <v>#NAME?</v>
      </c>
      <c r="G1554" s="109" t="str">
        <f t="shared" si="1553"/>
        <v>#NAME?</v>
      </c>
      <c r="X1554" s="110"/>
    </row>
    <row r="1555" ht="21.0" customHeight="1">
      <c r="A1555" s="6">
        <v>1.0</v>
      </c>
      <c r="B1555" s="6">
        <v>133.0</v>
      </c>
      <c r="C1555" s="6">
        <v>6.0</v>
      </c>
      <c r="D1555" s="122" t="s">
        <v>1909</v>
      </c>
      <c r="E1555" s="9" t="s">
        <v>1910</v>
      </c>
      <c r="F1555" s="109" t="str">
        <f t="shared" ref="F1555:G1555" si="1554">TRANSLATE(D1555,"lzh","vi")</f>
        <v>#NAME?</v>
      </c>
      <c r="G1555" s="109" t="str">
        <f t="shared" si="1554"/>
        <v>#NAME?</v>
      </c>
      <c r="X1555" s="110"/>
    </row>
    <row r="1556" ht="21.0" customHeight="1">
      <c r="A1556" s="6">
        <v>1.0</v>
      </c>
      <c r="B1556" s="6">
        <v>133.0</v>
      </c>
      <c r="C1556" s="6">
        <v>7.0</v>
      </c>
      <c r="D1556" s="122" t="s">
        <v>1911</v>
      </c>
      <c r="E1556" s="9" t="s">
        <v>1912</v>
      </c>
      <c r="F1556" s="109" t="str">
        <f t="shared" ref="F1556:G1556" si="1555">TRANSLATE(D1556,"lzh","vi")</f>
        <v>#NAME?</v>
      </c>
      <c r="G1556" s="109" t="str">
        <f t="shared" si="1555"/>
        <v>#NAME?</v>
      </c>
      <c r="X1556" s="110"/>
    </row>
    <row r="1557" ht="21.0" customHeight="1">
      <c r="A1557" s="6">
        <v>1.0</v>
      </c>
      <c r="B1557" s="6">
        <v>133.0</v>
      </c>
      <c r="C1557" s="6">
        <v>8.0</v>
      </c>
      <c r="D1557" s="122" t="s">
        <v>1913</v>
      </c>
      <c r="E1557" s="9" t="s">
        <v>1914</v>
      </c>
      <c r="F1557" s="109" t="str">
        <f t="shared" ref="F1557:G1557" si="1556">TRANSLATE(D1557,"lzh","vi")</f>
        <v>#NAME?</v>
      </c>
      <c r="G1557" s="109" t="str">
        <f t="shared" si="1556"/>
        <v>#NAME?</v>
      </c>
      <c r="X1557" s="110"/>
    </row>
    <row r="1558" ht="21.0" customHeight="1">
      <c r="A1558" s="6">
        <v>1.0</v>
      </c>
      <c r="B1558" s="6">
        <v>133.0</v>
      </c>
      <c r="C1558" s="6">
        <v>9.0</v>
      </c>
      <c r="D1558" s="122" t="s">
        <v>1915</v>
      </c>
      <c r="E1558" s="9" t="s">
        <v>1916</v>
      </c>
      <c r="F1558" s="109" t="str">
        <f t="shared" ref="F1558:G1558" si="1557">TRANSLATE(D1558,"lzh","vi")</f>
        <v>#NAME?</v>
      </c>
      <c r="G1558" s="109" t="str">
        <f t="shared" si="1557"/>
        <v>#NAME?</v>
      </c>
      <c r="X1558" s="110"/>
    </row>
    <row r="1559" ht="21.0" customHeight="1">
      <c r="A1559" s="6">
        <v>1.0</v>
      </c>
      <c r="B1559" s="6">
        <v>133.0</v>
      </c>
      <c r="C1559" s="6">
        <v>10.0</v>
      </c>
      <c r="D1559" s="122" t="s">
        <v>1917</v>
      </c>
      <c r="E1559" s="9" t="s">
        <v>1918</v>
      </c>
      <c r="F1559" s="109" t="str">
        <f t="shared" ref="F1559:G1559" si="1558">TRANSLATE(D1559,"lzh","vi")</f>
        <v>#NAME?</v>
      </c>
      <c r="G1559" s="109" t="str">
        <f t="shared" si="1558"/>
        <v>#NAME?</v>
      </c>
      <c r="X1559" s="110"/>
    </row>
    <row r="1560" ht="21.0" customHeight="1">
      <c r="A1560" s="6">
        <v>1.0</v>
      </c>
      <c r="B1560" s="6">
        <v>134.0</v>
      </c>
      <c r="C1560" s="6">
        <v>1.0</v>
      </c>
      <c r="D1560" s="122" t="s">
        <v>1919</v>
      </c>
      <c r="E1560" s="9" t="s">
        <v>1920</v>
      </c>
      <c r="F1560" s="109" t="str">
        <f t="shared" ref="F1560:G1560" si="1559">TRANSLATE(D1560,"lzh","vi")</f>
        <v>#NAME?</v>
      </c>
      <c r="G1560" s="109" t="str">
        <f t="shared" si="1559"/>
        <v>#NAME?</v>
      </c>
      <c r="X1560" s="110"/>
    </row>
    <row r="1561" ht="21.0" customHeight="1">
      <c r="A1561" s="6">
        <v>1.0</v>
      </c>
      <c r="B1561" s="6">
        <v>134.0</v>
      </c>
      <c r="C1561" s="6">
        <v>2.0</v>
      </c>
      <c r="D1561" s="122" t="s">
        <v>1921</v>
      </c>
      <c r="E1561" s="9" t="s">
        <v>1922</v>
      </c>
      <c r="F1561" s="109" t="str">
        <f t="shared" ref="F1561:G1561" si="1560">TRANSLATE(D1561,"lzh","vi")</f>
        <v>#NAME?</v>
      </c>
      <c r="G1561" s="109" t="str">
        <f t="shared" si="1560"/>
        <v>#NAME?</v>
      </c>
      <c r="X1561" s="110"/>
    </row>
    <row r="1562" ht="21.0" customHeight="1">
      <c r="A1562" s="6">
        <v>1.0</v>
      </c>
      <c r="B1562" s="6">
        <v>134.0</v>
      </c>
      <c r="C1562" s="6">
        <v>3.0</v>
      </c>
      <c r="D1562" s="122" t="s">
        <v>1923</v>
      </c>
      <c r="E1562" s="9" t="s">
        <v>1924</v>
      </c>
      <c r="F1562" s="109" t="str">
        <f t="shared" ref="F1562:G1562" si="1561">TRANSLATE(D1562,"lzh","vi")</f>
        <v>#NAME?</v>
      </c>
      <c r="G1562" s="109" t="str">
        <f t="shared" si="1561"/>
        <v>#NAME?</v>
      </c>
      <c r="X1562" s="110"/>
    </row>
    <row r="1563" ht="21.0" customHeight="1">
      <c r="A1563" s="6">
        <v>1.0</v>
      </c>
      <c r="B1563" s="6">
        <v>134.0</v>
      </c>
      <c r="C1563" s="6">
        <v>4.0</v>
      </c>
      <c r="D1563" s="122" t="s">
        <v>1925</v>
      </c>
      <c r="E1563" s="9" t="s">
        <v>1926</v>
      </c>
      <c r="F1563" s="109" t="str">
        <f t="shared" ref="F1563:G1563" si="1562">TRANSLATE(D1563,"lzh","vi")</f>
        <v>#NAME?</v>
      </c>
      <c r="G1563" s="109" t="str">
        <f t="shared" si="1562"/>
        <v>#NAME?</v>
      </c>
      <c r="X1563" s="110"/>
    </row>
    <row r="1564" ht="21.0" customHeight="1">
      <c r="A1564" s="6">
        <v>1.0</v>
      </c>
      <c r="B1564" s="6">
        <v>134.0</v>
      </c>
      <c r="C1564" s="6">
        <v>5.0</v>
      </c>
      <c r="D1564" s="122" t="s">
        <v>1927</v>
      </c>
      <c r="E1564" s="9" t="s">
        <v>1928</v>
      </c>
      <c r="F1564" s="109" t="str">
        <f t="shared" ref="F1564:G1564" si="1563">TRANSLATE(D1564,"lzh","vi")</f>
        <v>#NAME?</v>
      </c>
      <c r="G1564" s="109" t="str">
        <f t="shared" si="1563"/>
        <v>#NAME?</v>
      </c>
      <c r="X1564" s="110"/>
    </row>
    <row r="1565" ht="21.0" customHeight="1">
      <c r="A1565" s="6">
        <v>1.0</v>
      </c>
      <c r="B1565" s="6">
        <v>134.0</v>
      </c>
      <c r="C1565" s="6">
        <v>6.0</v>
      </c>
      <c r="D1565" s="122" t="s">
        <v>1929</v>
      </c>
      <c r="E1565" s="9" t="s">
        <v>1930</v>
      </c>
      <c r="F1565" s="109" t="str">
        <f t="shared" ref="F1565:G1565" si="1564">TRANSLATE(D1565,"lzh","vi")</f>
        <v>#NAME?</v>
      </c>
      <c r="G1565" s="109" t="str">
        <f t="shared" si="1564"/>
        <v>#NAME?</v>
      </c>
      <c r="X1565" s="110"/>
    </row>
    <row r="1566" ht="21.0" customHeight="1">
      <c r="A1566" s="6">
        <v>1.0</v>
      </c>
      <c r="B1566" s="6">
        <v>134.0</v>
      </c>
      <c r="C1566" s="6">
        <v>7.0</v>
      </c>
      <c r="D1566" s="122" t="s">
        <v>1931</v>
      </c>
      <c r="E1566" s="9" t="s">
        <v>1932</v>
      </c>
      <c r="F1566" s="109" t="str">
        <f t="shared" ref="F1566:G1566" si="1565">TRANSLATE(D1566,"lzh","vi")</f>
        <v>#NAME?</v>
      </c>
      <c r="G1566" s="109" t="str">
        <f t="shared" si="1565"/>
        <v>#NAME?</v>
      </c>
      <c r="X1566" s="110"/>
    </row>
    <row r="1567" ht="21.0" customHeight="1">
      <c r="A1567" s="6">
        <v>1.0</v>
      </c>
      <c r="B1567" s="6">
        <v>134.0</v>
      </c>
      <c r="C1567" s="6">
        <v>8.0</v>
      </c>
      <c r="D1567" s="152" t="s">
        <v>1933</v>
      </c>
      <c r="E1567" s="9" t="s">
        <v>1934</v>
      </c>
      <c r="F1567" s="109" t="str">
        <f t="shared" ref="F1567:G1567" si="1566">TRANSLATE(D1567,"lzh","vi")</f>
        <v>#NAME?</v>
      </c>
      <c r="G1567" s="109" t="str">
        <f t="shared" si="1566"/>
        <v>#NAME?</v>
      </c>
      <c r="X1567" s="110"/>
    </row>
    <row r="1568" ht="21.0" customHeight="1">
      <c r="A1568" s="6">
        <v>1.0</v>
      </c>
      <c r="B1568" s="6">
        <v>134.0</v>
      </c>
      <c r="C1568" s="6">
        <v>9.0</v>
      </c>
      <c r="D1568" s="122" t="s">
        <v>1935</v>
      </c>
      <c r="E1568" s="9" t="s">
        <v>1936</v>
      </c>
      <c r="F1568" s="109" t="str">
        <f t="shared" ref="F1568:G1568" si="1567">TRANSLATE(D1568,"lzh","vi")</f>
        <v>#NAME?</v>
      </c>
      <c r="G1568" s="109" t="str">
        <f t="shared" si="1567"/>
        <v>#NAME?</v>
      </c>
      <c r="X1568" s="110"/>
    </row>
    <row r="1569" ht="21.0" customHeight="1">
      <c r="A1569" s="6">
        <v>1.0</v>
      </c>
      <c r="B1569" s="6">
        <v>134.0</v>
      </c>
      <c r="C1569" s="6">
        <v>10.0</v>
      </c>
      <c r="D1569" s="122" t="s">
        <v>1937</v>
      </c>
      <c r="E1569" s="9" t="s">
        <v>1938</v>
      </c>
      <c r="F1569" s="109" t="str">
        <f t="shared" ref="F1569:G1569" si="1568">TRANSLATE(D1569,"lzh","vi")</f>
        <v>#NAME?</v>
      </c>
      <c r="G1569" s="109" t="str">
        <f t="shared" si="1568"/>
        <v>#NAME?</v>
      </c>
      <c r="X1569" s="110"/>
    </row>
    <row r="1570" ht="21.0" customHeight="1">
      <c r="A1570" s="6">
        <v>1.0</v>
      </c>
      <c r="B1570" s="6">
        <v>134.0</v>
      </c>
      <c r="C1570" s="6">
        <v>11.0</v>
      </c>
      <c r="D1570" s="122" t="s">
        <v>1939</v>
      </c>
      <c r="E1570" s="9" t="s">
        <v>1940</v>
      </c>
      <c r="F1570" s="109" t="str">
        <f t="shared" ref="F1570:G1570" si="1569">TRANSLATE(D1570,"lzh","vi")</f>
        <v>#NAME?</v>
      </c>
      <c r="G1570" s="109" t="str">
        <f t="shared" si="1569"/>
        <v>#NAME?</v>
      </c>
      <c r="X1570" s="110"/>
    </row>
    <row r="1571" ht="21.0" customHeight="1">
      <c r="A1571" s="6">
        <v>1.0</v>
      </c>
      <c r="B1571" s="6">
        <v>134.0</v>
      </c>
      <c r="C1571" s="6">
        <v>12.0</v>
      </c>
      <c r="D1571" s="122" t="s">
        <v>1941</v>
      </c>
      <c r="E1571" s="9" t="s">
        <v>1942</v>
      </c>
      <c r="F1571" s="109" t="str">
        <f t="shared" ref="F1571:G1571" si="1570">TRANSLATE(D1571,"lzh","vi")</f>
        <v>#NAME?</v>
      </c>
      <c r="G1571" s="109" t="str">
        <f t="shared" si="1570"/>
        <v>#NAME?</v>
      </c>
      <c r="X1571" s="110"/>
    </row>
    <row r="1572" ht="21.0" customHeight="1">
      <c r="A1572" s="6">
        <v>1.0</v>
      </c>
      <c r="B1572" s="6">
        <v>134.0</v>
      </c>
      <c r="C1572" s="6">
        <v>13.0</v>
      </c>
      <c r="D1572" s="122" t="s">
        <v>1943</v>
      </c>
      <c r="E1572" s="9" t="s">
        <v>1944</v>
      </c>
      <c r="F1572" s="109" t="str">
        <f t="shared" ref="F1572:G1572" si="1571">TRANSLATE(D1572,"lzh","vi")</f>
        <v>#NAME?</v>
      </c>
      <c r="G1572" s="109" t="str">
        <f t="shared" si="1571"/>
        <v>#NAME?</v>
      </c>
      <c r="X1572" s="110"/>
    </row>
    <row r="1573" ht="21.0" customHeight="1">
      <c r="A1573" s="6">
        <v>1.0</v>
      </c>
      <c r="B1573" s="6">
        <v>135.0</v>
      </c>
      <c r="C1573" s="6">
        <v>1.0</v>
      </c>
      <c r="D1573" s="122" t="s">
        <v>1945</v>
      </c>
      <c r="E1573" s="9" t="s">
        <v>1946</v>
      </c>
      <c r="F1573" s="109" t="str">
        <f t="shared" ref="F1573:G1573" si="1572">TRANSLATE(D1573,"lzh","vi")</f>
        <v>#NAME?</v>
      </c>
      <c r="G1573" s="109" t="str">
        <f t="shared" si="1572"/>
        <v>#NAME?</v>
      </c>
      <c r="X1573" s="110"/>
    </row>
    <row r="1574" ht="21.0" customHeight="1">
      <c r="A1574" s="6">
        <v>1.0</v>
      </c>
      <c r="B1574" s="6">
        <v>135.0</v>
      </c>
      <c r="C1574" s="6">
        <v>2.0</v>
      </c>
      <c r="D1574" s="122" t="s">
        <v>1947</v>
      </c>
      <c r="E1574" s="9" t="s">
        <v>1948</v>
      </c>
      <c r="F1574" s="109" t="str">
        <f t="shared" ref="F1574:G1574" si="1573">TRANSLATE(D1574,"lzh","vi")</f>
        <v>#NAME?</v>
      </c>
      <c r="G1574" s="109" t="str">
        <f t="shared" si="1573"/>
        <v>#NAME?</v>
      </c>
      <c r="X1574" s="110"/>
    </row>
    <row r="1575" ht="21.0" customHeight="1">
      <c r="A1575" s="6">
        <v>1.0</v>
      </c>
      <c r="B1575" s="6">
        <v>135.0</v>
      </c>
      <c r="C1575" s="6">
        <v>3.0</v>
      </c>
      <c r="D1575" s="122" t="s">
        <v>1949</v>
      </c>
      <c r="E1575" s="9" t="s">
        <v>1950</v>
      </c>
      <c r="F1575" s="109" t="str">
        <f t="shared" ref="F1575:G1575" si="1574">TRANSLATE(D1575,"lzh","vi")</f>
        <v>#NAME?</v>
      </c>
      <c r="G1575" s="109" t="str">
        <f t="shared" si="1574"/>
        <v>#NAME?</v>
      </c>
      <c r="X1575" s="110"/>
    </row>
    <row r="1576" ht="21.0" customHeight="1">
      <c r="A1576" s="6">
        <v>1.0</v>
      </c>
      <c r="B1576" s="6">
        <v>135.0</v>
      </c>
      <c r="C1576" s="6">
        <v>4.0</v>
      </c>
      <c r="D1576" s="122" t="s">
        <v>1951</v>
      </c>
      <c r="E1576" s="9" t="s">
        <v>1952</v>
      </c>
      <c r="F1576" s="109" t="str">
        <f t="shared" ref="F1576:G1576" si="1575">TRANSLATE(D1576,"lzh","vi")</f>
        <v>#NAME?</v>
      </c>
      <c r="G1576" s="109" t="str">
        <f t="shared" si="1575"/>
        <v>#NAME?</v>
      </c>
      <c r="X1576" s="110"/>
    </row>
    <row r="1577" ht="21.0" customHeight="1">
      <c r="A1577" s="6">
        <v>1.0</v>
      </c>
      <c r="B1577" s="6">
        <v>135.0</v>
      </c>
      <c r="C1577" s="6">
        <v>5.0</v>
      </c>
      <c r="D1577" s="122" t="s">
        <v>1953</v>
      </c>
      <c r="E1577" s="9" t="s">
        <v>1954</v>
      </c>
      <c r="F1577" s="109" t="str">
        <f t="shared" ref="F1577:G1577" si="1576">TRANSLATE(D1577,"lzh","vi")</f>
        <v>#NAME?</v>
      </c>
      <c r="G1577" s="109" t="str">
        <f t="shared" si="1576"/>
        <v>#NAME?</v>
      </c>
      <c r="X1577" s="110"/>
    </row>
    <row r="1578" ht="21.0" customHeight="1">
      <c r="A1578" s="6">
        <v>1.0</v>
      </c>
      <c r="B1578" s="6">
        <v>135.0</v>
      </c>
      <c r="C1578" s="6">
        <v>6.0</v>
      </c>
      <c r="D1578" s="122" t="s">
        <v>1955</v>
      </c>
      <c r="E1578" s="9" t="s">
        <v>1956</v>
      </c>
      <c r="F1578" s="109" t="str">
        <f t="shared" ref="F1578:G1578" si="1577">TRANSLATE(D1578,"lzh","vi")</f>
        <v>#NAME?</v>
      </c>
      <c r="G1578" s="109" t="str">
        <f t="shared" si="1577"/>
        <v>#NAME?</v>
      </c>
      <c r="X1578" s="110"/>
    </row>
    <row r="1579" ht="21.0" customHeight="1">
      <c r="A1579" s="6">
        <v>1.0</v>
      </c>
      <c r="B1579" s="6">
        <v>135.0</v>
      </c>
      <c r="C1579" s="6">
        <v>7.0</v>
      </c>
      <c r="D1579" s="122" t="s">
        <v>1957</v>
      </c>
      <c r="E1579" s="9" t="s">
        <v>1958</v>
      </c>
      <c r="F1579" s="109" t="str">
        <f t="shared" ref="F1579:G1579" si="1578">TRANSLATE(D1579,"lzh","vi")</f>
        <v>#NAME?</v>
      </c>
      <c r="G1579" s="109" t="str">
        <f t="shared" si="1578"/>
        <v>#NAME?</v>
      </c>
      <c r="X1579" s="110"/>
    </row>
    <row r="1580" ht="21.0" customHeight="1">
      <c r="A1580" s="6">
        <v>1.0</v>
      </c>
      <c r="B1580" s="6">
        <v>135.0</v>
      </c>
      <c r="C1580" s="6">
        <v>8.0</v>
      </c>
      <c r="D1580" s="122" t="s">
        <v>1959</v>
      </c>
      <c r="E1580" s="9" t="s">
        <v>1960</v>
      </c>
      <c r="F1580" s="109" t="str">
        <f t="shared" ref="F1580:G1580" si="1579">TRANSLATE(D1580,"lzh","vi")</f>
        <v>#NAME?</v>
      </c>
      <c r="G1580" s="109" t="str">
        <f t="shared" si="1579"/>
        <v>#NAME?</v>
      </c>
      <c r="X1580" s="110"/>
    </row>
    <row r="1581" ht="21.0" customHeight="1">
      <c r="A1581" s="6">
        <v>1.0</v>
      </c>
      <c r="B1581" s="6">
        <v>135.0</v>
      </c>
      <c r="C1581" s="6">
        <v>9.0</v>
      </c>
      <c r="D1581" s="122" t="s">
        <v>1961</v>
      </c>
      <c r="E1581" s="9" t="s">
        <v>1962</v>
      </c>
      <c r="F1581" s="109" t="str">
        <f t="shared" ref="F1581:G1581" si="1580">TRANSLATE(D1581,"lzh","vi")</f>
        <v>#NAME?</v>
      </c>
      <c r="G1581" s="109" t="str">
        <f t="shared" si="1580"/>
        <v>#NAME?</v>
      </c>
      <c r="X1581" s="110"/>
    </row>
    <row r="1582" ht="21.0" customHeight="1">
      <c r="A1582" s="6">
        <v>1.0</v>
      </c>
      <c r="B1582" s="6">
        <v>135.0</v>
      </c>
      <c r="C1582" s="6">
        <v>10.0</v>
      </c>
      <c r="D1582" s="122" t="s">
        <v>1963</v>
      </c>
      <c r="E1582" s="9" t="s">
        <v>1964</v>
      </c>
      <c r="F1582" s="109" t="str">
        <f t="shared" ref="F1582:G1582" si="1581">TRANSLATE(D1582,"lzh","vi")</f>
        <v>#NAME?</v>
      </c>
      <c r="G1582" s="109" t="str">
        <f t="shared" si="1581"/>
        <v>#NAME?</v>
      </c>
      <c r="X1582" s="110"/>
    </row>
    <row r="1583" ht="21.0" customHeight="1">
      <c r="A1583" s="6">
        <v>11.0</v>
      </c>
      <c r="B1583" s="6">
        <v>1017.0</v>
      </c>
      <c r="C1583" s="6">
        <v>1.0</v>
      </c>
      <c r="D1583" s="122" t="s">
        <v>1965</v>
      </c>
      <c r="E1583" s="9" t="s">
        <v>1966</v>
      </c>
      <c r="F1583" s="109" t="str">
        <f t="shared" ref="F1583:G1583" si="1582">TRANSLATE(D1583,"lzh","vi")</f>
        <v>#NAME?</v>
      </c>
      <c r="G1583" s="109" t="str">
        <f t="shared" si="1582"/>
        <v>#NAME?</v>
      </c>
      <c r="X1583" s="110"/>
    </row>
    <row r="1584" ht="21.0" customHeight="1">
      <c r="A1584" s="6">
        <v>11.0</v>
      </c>
      <c r="B1584" s="6">
        <v>1017.0</v>
      </c>
      <c r="C1584" s="6">
        <v>2.0</v>
      </c>
      <c r="D1584" s="122" t="s">
        <v>1967</v>
      </c>
      <c r="E1584" s="9" t="s">
        <v>1968</v>
      </c>
      <c r="F1584" s="109" t="str">
        <f t="shared" ref="F1584:G1584" si="1583">TRANSLATE(D1584,"lzh","vi")</f>
        <v>#NAME?</v>
      </c>
      <c r="G1584" s="109" t="str">
        <f t="shared" si="1583"/>
        <v>#NAME?</v>
      </c>
      <c r="X1584" s="110"/>
    </row>
    <row r="1585" ht="21.0" customHeight="1">
      <c r="A1585" s="6">
        <v>11.0</v>
      </c>
      <c r="B1585" s="6">
        <v>1017.0</v>
      </c>
      <c r="C1585" s="6">
        <v>3.0</v>
      </c>
      <c r="D1585" s="122" t="s">
        <v>1969</v>
      </c>
      <c r="E1585" s="9" t="s">
        <v>1970</v>
      </c>
      <c r="F1585" s="109" t="str">
        <f t="shared" ref="F1585:G1585" si="1584">TRANSLATE(D1585,"lzh","vi")</f>
        <v>#NAME?</v>
      </c>
      <c r="G1585" s="109" t="str">
        <f t="shared" si="1584"/>
        <v>#NAME?</v>
      </c>
      <c r="X1585" s="110"/>
    </row>
    <row r="1586" ht="21.0" customHeight="1">
      <c r="A1586" s="6">
        <v>11.0</v>
      </c>
      <c r="B1586" s="6">
        <v>1017.0</v>
      </c>
      <c r="C1586" s="6">
        <v>4.0</v>
      </c>
      <c r="D1586" s="122" t="s">
        <v>1971</v>
      </c>
      <c r="E1586" s="9" t="s">
        <v>1972</v>
      </c>
      <c r="F1586" s="109" t="str">
        <f t="shared" ref="F1586:G1586" si="1585">TRANSLATE(D1586,"lzh","vi")</f>
        <v>#NAME?</v>
      </c>
      <c r="G1586" s="109" t="str">
        <f t="shared" si="1585"/>
        <v>#NAME?</v>
      </c>
      <c r="X1586" s="110"/>
    </row>
    <row r="1587" ht="21.0" customHeight="1">
      <c r="A1587" s="6">
        <v>10.0</v>
      </c>
      <c r="B1587" s="6">
        <v>1017.0</v>
      </c>
      <c r="C1587" s="6">
        <v>5.0</v>
      </c>
      <c r="D1587" s="122" t="s">
        <v>1973</v>
      </c>
      <c r="E1587" s="9" t="s">
        <v>1974</v>
      </c>
      <c r="F1587" s="109" t="str">
        <f t="shared" ref="F1587:G1587" si="1586">TRANSLATE(D1587,"lzh","vi")</f>
        <v>#NAME?</v>
      </c>
      <c r="G1587" s="109" t="str">
        <f t="shared" si="1586"/>
        <v>#NAME?</v>
      </c>
      <c r="X1587" s="110"/>
    </row>
    <row r="1588" ht="21.0" customHeight="1">
      <c r="A1588" s="6">
        <v>10.0</v>
      </c>
      <c r="B1588" s="6">
        <v>1017.0</v>
      </c>
      <c r="C1588" s="6">
        <v>6.0</v>
      </c>
      <c r="D1588" s="122" t="s">
        <v>1975</v>
      </c>
      <c r="E1588" s="9" t="s">
        <v>1976</v>
      </c>
      <c r="F1588" s="109" t="str">
        <f t="shared" ref="F1588:G1588" si="1587">TRANSLATE(D1588,"lzh","vi")</f>
        <v>#NAME?</v>
      </c>
      <c r="G1588" s="109" t="str">
        <f t="shared" si="1587"/>
        <v>#NAME?</v>
      </c>
      <c r="X1588" s="110"/>
    </row>
    <row r="1589" ht="21.0" customHeight="1">
      <c r="A1589" s="6">
        <v>10.0</v>
      </c>
      <c r="B1589" s="6">
        <v>1017.0</v>
      </c>
      <c r="C1589" s="6">
        <v>7.0</v>
      </c>
      <c r="D1589" s="122" t="s">
        <v>1977</v>
      </c>
      <c r="E1589" s="9" t="s">
        <v>1978</v>
      </c>
      <c r="F1589" s="109" t="str">
        <f t="shared" ref="F1589:G1589" si="1588">TRANSLATE(D1589,"lzh","vi")</f>
        <v>#NAME?</v>
      </c>
      <c r="G1589" s="109" t="str">
        <f t="shared" si="1588"/>
        <v>#NAME?</v>
      </c>
      <c r="X1589" s="110"/>
    </row>
    <row r="1590" ht="21.0" customHeight="1">
      <c r="A1590" s="6">
        <v>10.0</v>
      </c>
      <c r="B1590" s="6">
        <v>1017.0</v>
      </c>
      <c r="C1590" s="6">
        <v>8.0</v>
      </c>
      <c r="D1590" s="122" t="s">
        <v>1979</v>
      </c>
      <c r="E1590" s="9" t="s">
        <v>1980</v>
      </c>
      <c r="F1590" s="109" t="str">
        <f t="shared" ref="F1590:G1590" si="1589">TRANSLATE(D1590,"lzh","vi")</f>
        <v>#NAME?</v>
      </c>
      <c r="G1590" s="109" t="str">
        <f t="shared" si="1589"/>
        <v>#NAME?</v>
      </c>
      <c r="X1590" s="110"/>
    </row>
    <row r="1591" ht="21.0" customHeight="1">
      <c r="A1591" s="6">
        <v>10.0</v>
      </c>
      <c r="B1591" s="6">
        <v>1017.0</v>
      </c>
      <c r="C1591" s="6">
        <v>9.0</v>
      </c>
      <c r="D1591" s="122" t="s">
        <v>1981</v>
      </c>
      <c r="E1591" s="9" t="s">
        <v>1982</v>
      </c>
      <c r="F1591" s="109" t="str">
        <f t="shared" ref="F1591:G1591" si="1590">TRANSLATE(D1591,"lzh","vi")</f>
        <v>#NAME?</v>
      </c>
      <c r="G1591" s="109" t="str">
        <f t="shared" si="1590"/>
        <v>#NAME?</v>
      </c>
      <c r="X1591" s="110"/>
    </row>
    <row r="1592" ht="21.0" customHeight="1">
      <c r="A1592" s="6">
        <v>10.0</v>
      </c>
      <c r="B1592" s="6">
        <v>1017.0</v>
      </c>
      <c r="C1592" s="6">
        <v>10.0</v>
      </c>
      <c r="D1592" s="122" t="s">
        <v>1983</v>
      </c>
      <c r="E1592" s="9" t="s">
        <v>1984</v>
      </c>
      <c r="F1592" s="109" t="str">
        <f t="shared" ref="F1592:G1592" si="1591">TRANSLATE(D1592,"lzh","vi")</f>
        <v>#NAME?</v>
      </c>
      <c r="G1592" s="109" t="str">
        <f t="shared" si="1591"/>
        <v>#NAME?</v>
      </c>
      <c r="X1592" s="110"/>
    </row>
    <row r="1593" ht="21.0" customHeight="1">
      <c r="A1593" s="6">
        <v>1.0</v>
      </c>
      <c r="B1593" s="6">
        <v>142.0</v>
      </c>
      <c r="C1593" s="6">
        <v>1.0</v>
      </c>
      <c r="D1593" s="122" t="s">
        <v>1985</v>
      </c>
      <c r="E1593" s="9" t="s">
        <v>1986</v>
      </c>
      <c r="F1593" s="109" t="str">
        <f t="shared" ref="F1593:G1593" si="1592">TRANSLATE(D1593,"lzh","vi")</f>
        <v>#NAME?</v>
      </c>
      <c r="G1593" s="109" t="str">
        <f t="shared" si="1592"/>
        <v>#NAME?</v>
      </c>
      <c r="X1593" s="110"/>
    </row>
    <row r="1594" ht="21.0" customHeight="1">
      <c r="A1594" s="6">
        <v>1.0</v>
      </c>
      <c r="B1594" s="6">
        <v>142.0</v>
      </c>
      <c r="C1594" s="6">
        <v>2.0</v>
      </c>
      <c r="D1594" s="122" t="s">
        <v>1987</v>
      </c>
      <c r="E1594" s="9" t="s">
        <v>1988</v>
      </c>
      <c r="F1594" s="109" t="str">
        <f t="shared" ref="F1594:G1594" si="1593">TRANSLATE(D1594,"lzh","vi")</f>
        <v>#NAME?</v>
      </c>
      <c r="G1594" s="109" t="str">
        <f t="shared" si="1593"/>
        <v>#NAME?</v>
      </c>
      <c r="X1594" s="110"/>
    </row>
    <row r="1595" ht="21.0" customHeight="1">
      <c r="A1595" s="6">
        <v>1.0</v>
      </c>
      <c r="B1595" s="6">
        <v>142.0</v>
      </c>
      <c r="C1595" s="6">
        <v>3.0</v>
      </c>
      <c r="D1595" s="122" t="s">
        <v>1989</v>
      </c>
      <c r="E1595" s="9" t="s">
        <v>1990</v>
      </c>
      <c r="F1595" s="109" t="str">
        <f t="shared" ref="F1595:G1595" si="1594">TRANSLATE(D1595,"lzh","vi")</f>
        <v>#NAME?</v>
      </c>
      <c r="G1595" s="109" t="str">
        <f t="shared" si="1594"/>
        <v>#NAME?</v>
      </c>
      <c r="X1595" s="110"/>
    </row>
    <row r="1596" ht="21.0" customHeight="1">
      <c r="A1596" s="6">
        <v>1.0</v>
      </c>
      <c r="B1596" s="6">
        <v>142.0</v>
      </c>
      <c r="C1596" s="6">
        <v>4.0</v>
      </c>
      <c r="D1596" s="122" t="s">
        <v>1991</v>
      </c>
      <c r="E1596" s="9" t="s">
        <v>1992</v>
      </c>
      <c r="F1596" s="109" t="str">
        <f t="shared" ref="F1596:G1596" si="1595">TRANSLATE(D1596,"lzh","vi")</f>
        <v>#NAME?</v>
      </c>
      <c r="G1596" s="109" t="str">
        <f t="shared" si="1595"/>
        <v>#NAME?</v>
      </c>
      <c r="X1596" s="110"/>
    </row>
    <row r="1597" ht="21.0" customHeight="1">
      <c r="A1597" s="6">
        <v>1.0</v>
      </c>
      <c r="B1597" s="6">
        <v>142.0</v>
      </c>
      <c r="C1597" s="6">
        <v>5.0</v>
      </c>
      <c r="D1597" s="122" t="s">
        <v>1993</v>
      </c>
      <c r="E1597" s="9" t="s">
        <v>1994</v>
      </c>
      <c r="F1597" s="109" t="str">
        <f t="shared" ref="F1597:G1597" si="1596">TRANSLATE(D1597,"lzh","vi")</f>
        <v>#NAME?</v>
      </c>
      <c r="G1597" s="109" t="str">
        <f t="shared" si="1596"/>
        <v>#NAME?</v>
      </c>
      <c r="X1597" s="110"/>
    </row>
    <row r="1598" ht="21.0" customHeight="1">
      <c r="A1598" s="6">
        <v>1.0</v>
      </c>
      <c r="B1598" s="6">
        <v>142.0</v>
      </c>
      <c r="C1598" s="6">
        <v>6.0</v>
      </c>
      <c r="D1598" s="122" t="s">
        <v>1995</v>
      </c>
      <c r="E1598" s="9" t="s">
        <v>1996</v>
      </c>
      <c r="F1598" s="109" t="str">
        <f t="shared" ref="F1598:G1598" si="1597">TRANSLATE(D1598,"lzh","vi")</f>
        <v>#NAME?</v>
      </c>
      <c r="G1598" s="109" t="str">
        <f t="shared" si="1597"/>
        <v>#NAME?</v>
      </c>
      <c r="X1598" s="110"/>
    </row>
    <row r="1599" ht="21.0" customHeight="1">
      <c r="A1599" s="6">
        <v>1.0</v>
      </c>
      <c r="B1599" s="6">
        <v>142.0</v>
      </c>
      <c r="C1599" s="6">
        <v>7.0</v>
      </c>
      <c r="D1599" s="122" t="s">
        <v>1997</v>
      </c>
      <c r="E1599" s="9" t="s">
        <v>1998</v>
      </c>
      <c r="F1599" s="109" t="str">
        <f t="shared" ref="F1599:G1599" si="1598">TRANSLATE(D1599,"lzh","vi")</f>
        <v>#NAME?</v>
      </c>
      <c r="G1599" s="109" t="str">
        <f t="shared" si="1598"/>
        <v>#NAME?</v>
      </c>
      <c r="X1599" s="110"/>
    </row>
    <row r="1600" ht="21.0" customHeight="1">
      <c r="A1600" s="6">
        <v>1.0</v>
      </c>
      <c r="B1600" s="6">
        <v>142.0</v>
      </c>
      <c r="C1600" s="6">
        <v>8.0</v>
      </c>
      <c r="D1600" s="122" t="s">
        <v>1999</v>
      </c>
      <c r="E1600" s="9" t="s">
        <v>2000</v>
      </c>
      <c r="F1600" s="109" t="str">
        <f t="shared" ref="F1600:G1600" si="1599">TRANSLATE(D1600,"lzh","vi")</f>
        <v>#NAME?</v>
      </c>
      <c r="G1600" s="109" t="str">
        <f t="shared" si="1599"/>
        <v>#NAME?</v>
      </c>
      <c r="X1600" s="110"/>
    </row>
    <row r="1601" ht="21.0" customHeight="1">
      <c r="A1601" s="6">
        <v>1.0</v>
      </c>
      <c r="B1601" s="6">
        <v>142.0</v>
      </c>
      <c r="C1601" s="6">
        <v>9.0</v>
      </c>
      <c r="D1601" s="122" t="s">
        <v>2001</v>
      </c>
      <c r="E1601" s="9" t="s">
        <v>2002</v>
      </c>
      <c r="F1601" s="109" t="str">
        <f t="shared" ref="F1601:G1601" si="1600">TRANSLATE(D1601,"lzh","vi")</f>
        <v>#NAME?</v>
      </c>
      <c r="G1601" s="109" t="str">
        <f t="shared" si="1600"/>
        <v>#NAME?</v>
      </c>
      <c r="X1601" s="110"/>
    </row>
    <row r="1602" ht="21.0" customHeight="1">
      <c r="A1602" s="6">
        <v>1.0</v>
      </c>
      <c r="B1602" s="6">
        <v>142.0</v>
      </c>
      <c r="C1602" s="6">
        <v>10.0</v>
      </c>
      <c r="D1602" s="122" t="s">
        <v>2003</v>
      </c>
      <c r="E1602" s="9" t="s">
        <v>2004</v>
      </c>
      <c r="F1602" s="109" t="str">
        <f t="shared" ref="F1602:G1602" si="1601">TRANSLATE(D1602,"lzh","vi")</f>
        <v>#NAME?</v>
      </c>
      <c r="G1602" s="109" t="str">
        <f t="shared" si="1601"/>
        <v>#NAME?</v>
      </c>
      <c r="X1602" s="110"/>
    </row>
    <row r="1603" ht="21.0" customHeight="1">
      <c r="A1603" s="6">
        <v>1.0</v>
      </c>
      <c r="B1603" s="6">
        <v>142.0</v>
      </c>
      <c r="C1603" s="6">
        <v>11.0</v>
      </c>
      <c r="D1603" s="122" t="s">
        <v>2005</v>
      </c>
      <c r="E1603" s="9" t="s">
        <v>2006</v>
      </c>
      <c r="F1603" s="109" t="str">
        <f t="shared" ref="F1603:G1603" si="1602">TRANSLATE(D1603,"lzh","vi")</f>
        <v>#NAME?</v>
      </c>
      <c r="G1603" s="109" t="str">
        <f t="shared" si="1602"/>
        <v>#NAME?</v>
      </c>
      <c r="X1603" s="110"/>
    </row>
    <row r="1604" ht="21.0" customHeight="1">
      <c r="A1604" s="6">
        <v>1.0</v>
      </c>
      <c r="B1604" s="6">
        <v>142.0</v>
      </c>
      <c r="C1604" s="6">
        <v>12.0</v>
      </c>
      <c r="D1604" s="122" t="s">
        <v>2007</v>
      </c>
      <c r="E1604" s="9" t="s">
        <v>2008</v>
      </c>
      <c r="F1604" s="109" t="str">
        <f t="shared" ref="F1604:G1604" si="1603">TRANSLATE(D1604,"lzh","vi")</f>
        <v>#NAME?</v>
      </c>
      <c r="G1604" s="109" t="str">
        <f t="shared" si="1603"/>
        <v>#NAME?</v>
      </c>
      <c r="X1604" s="110"/>
    </row>
    <row r="1605" ht="21.0" customHeight="1">
      <c r="A1605" s="6">
        <v>1.0</v>
      </c>
      <c r="B1605" s="6">
        <v>142.0</v>
      </c>
      <c r="C1605" s="6">
        <v>13.0</v>
      </c>
      <c r="D1605" s="122" t="s">
        <v>2009</v>
      </c>
      <c r="E1605" s="9" t="s">
        <v>2010</v>
      </c>
      <c r="F1605" s="109" t="str">
        <f t="shared" ref="F1605:G1605" si="1604">TRANSLATE(D1605,"lzh","vi")</f>
        <v>#NAME?</v>
      </c>
      <c r="G1605" s="109" t="str">
        <f t="shared" si="1604"/>
        <v>#NAME?</v>
      </c>
      <c r="X1605" s="110"/>
    </row>
    <row r="1606" ht="21.0" customHeight="1">
      <c r="A1606" s="6">
        <v>1.0</v>
      </c>
      <c r="B1606" s="6">
        <v>141.0</v>
      </c>
      <c r="C1606" s="6">
        <v>1.0</v>
      </c>
      <c r="D1606" s="122" t="s">
        <v>2011</v>
      </c>
      <c r="E1606" s="9" t="s">
        <v>2012</v>
      </c>
      <c r="F1606" s="109" t="str">
        <f t="shared" ref="F1606:G1606" si="1605">TRANSLATE(D1606,"lzh","vi")</f>
        <v>#NAME?</v>
      </c>
      <c r="G1606" s="109" t="str">
        <f t="shared" si="1605"/>
        <v>#NAME?</v>
      </c>
      <c r="X1606" s="110"/>
    </row>
    <row r="1607" ht="21.0" customHeight="1">
      <c r="A1607" s="6">
        <v>1.0</v>
      </c>
      <c r="B1607" s="6">
        <v>141.0</v>
      </c>
      <c r="C1607" s="6">
        <v>2.0</v>
      </c>
      <c r="D1607" s="122" t="s">
        <v>2013</v>
      </c>
      <c r="E1607" s="9" t="s">
        <v>2014</v>
      </c>
      <c r="F1607" s="109" t="str">
        <f t="shared" ref="F1607:G1607" si="1606">TRANSLATE(D1607,"lzh","vi")</f>
        <v>#NAME?</v>
      </c>
      <c r="G1607" s="109" t="str">
        <f t="shared" si="1606"/>
        <v>#NAME?</v>
      </c>
      <c r="X1607" s="110"/>
    </row>
    <row r="1608" ht="21.0" customHeight="1">
      <c r="A1608" s="6">
        <v>1.0</v>
      </c>
      <c r="B1608" s="6">
        <v>141.0</v>
      </c>
      <c r="C1608" s="6">
        <v>3.0</v>
      </c>
      <c r="D1608" s="122" t="s">
        <v>2015</v>
      </c>
      <c r="E1608" s="9" t="s">
        <v>2016</v>
      </c>
      <c r="F1608" s="109" t="str">
        <f t="shared" ref="F1608:G1608" si="1607">TRANSLATE(D1608,"lzh","vi")</f>
        <v>#NAME?</v>
      </c>
      <c r="G1608" s="109" t="str">
        <f t="shared" si="1607"/>
        <v>#NAME?</v>
      </c>
      <c r="X1608" s="110"/>
    </row>
    <row r="1609" ht="21.0" customHeight="1">
      <c r="A1609" s="6">
        <v>1.0</v>
      </c>
      <c r="B1609" s="6">
        <v>141.0</v>
      </c>
      <c r="C1609" s="6">
        <v>4.0</v>
      </c>
      <c r="D1609" s="122" t="s">
        <v>2017</v>
      </c>
      <c r="E1609" s="9" t="s">
        <v>2018</v>
      </c>
      <c r="F1609" s="109" t="str">
        <f t="shared" ref="F1609:G1609" si="1608">TRANSLATE(D1609,"lzh","vi")</f>
        <v>#NAME?</v>
      </c>
      <c r="G1609" s="109" t="str">
        <f t="shared" si="1608"/>
        <v>#NAME?</v>
      </c>
      <c r="X1609" s="110"/>
    </row>
    <row r="1610" ht="21.0" customHeight="1">
      <c r="A1610" s="6">
        <v>1.0</v>
      </c>
      <c r="B1610" s="6">
        <v>141.0</v>
      </c>
      <c r="C1610" s="6">
        <v>5.0</v>
      </c>
      <c r="D1610" s="122" t="s">
        <v>2019</v>
      </c>
      <c r="E1610" s="9" t="s">
        <v>2020</v>
      </c>
      <c r="F1610" s="109" t="str">
        <f t="shared" ref="F1610:G1610" si="1609">TRANSLATE(D1610,"lzh","vi")</f>
        <v>#NAME?</v>
      </c>
      <c r="G1610" s="109" t="str">
        <f t="shared" si="1609"/>
        <v>#NAME?</v>
      </c>
      <c r="X1610" s="110"/>
    </row>
    <row r="1611" ht="21.0" customHeight="1">
      <c r="A1611" s="6">
        <v>1.0</v>
      </c>
      <c r="B1611" s="6">
        <v>141.0</v>
      </c>
      <c r="C1611" s="6">
        <v>6.0</v>
      </c>
      <c r="D1611" s="122" t="s">
        <v>2021</v>
      </c>
      <c r="E1611" s="9" t="s">
        <v>2022</v>
      </c>
      <c r="F1611" s="109" t="str">
        <f t="shared" ref="F1611:G1611" si="1610">TRANSLATE(D1611,"lzh","vi")</f>
        <v>#NAME?</v>
      </c>
      <c r="G1611" s="109" t="str">
        <f t="shared" si="1610"/>
        <v>#NAME?</v>
      </c>
      <c r="X1611" s="110"/>
    </row>
    <row r="1612" ht="21.0" customHeight="1">
      <c r="A1612" s="6">
        <v>1.0</v>
      </c>
      <c r="B1612" s="6">
        <v>141.0</v>
      </c>
      <c r="C1612" s="6">
        <v>7.0</v>
      </c>
      <c r="D1612" s="122" t="s">
        <v>2023</v>
      </c>
      <c r="E1612" s="9" t="s">
        <v>2024</v>
      </c>
      <c r="F1612" s="109" t="str">
        <f t="shared" ref="F1612:G1612" si="1611">TRANSLATE(D1612,"lzh","vi")</f>
        <v>#NAME?</v>
      </c>
      <c r="G1612" s="109" t="str">
        <f t="shared" si="1611"/>
        <v>#NAME?</v>
      </c>
      <c r="X1612" s="110"/>
    </row>
    <row r="1613" ht="21.0" customHeight="1">
      <c r="A1613" s="6">
        <v>1.0</v>
      </c>
      <c r="B1613" s="6">
        <v>141.0</v>
      </c>
      <c r="C1613" s="6">
        <v>8.0</v>
      </c>
      <c r="D1613" s="122" t="s">
        <v>2025</v>
      </c>
      <c r="E1613" s="9" t="s">
        <v>2026</v>
      </c>
      <c r="F1613" s="109" t="str">
        <f t="shared" ref="F1613:G1613" si="1612">TRANSLATE(D1613,"lzh","vi")</f>
        <v>#NAME?</v>
      </c>
      <c r="G1613" s="109" t="str">
        <f t="shared" si="1612"/>
        <v>#NAME?</v>
      </c>
      <c r="X1613" s="110"/>
    </row>
    <row r="1614" ht="21.0" customHeight="1">
      <c r="A1614" s="6">
        <v>1.0</v>
      </c>
      <c r="B1614" s="6">
        <v>141.0</v>
      </c>
      <c r="C1614" s="6">
        <v>9.0</v>
      </c>
      <c r="D1614" s="122" t="s">
        <v>2027</v>
      </c>
      <c r="E1614" s="9" t="s">
        <v>2028</v>
      </c>
      <c r="F1614" s="109" t="str">
        <f t="shared" ref="F1614:G1614" si="1613">TRANSLATE(D1614,"lzh","vi")</f>
        <v>#NAME?</v>
      </c>
      <c r="G1614" s="109" t="str">
        <f t="shared" si="1613"/>
        <v>#NAME?</v>
      </c>
      <c r="X1614" s="110"/>
    </row>
    <row r="1615" ht="21.0" customHeight="1">
      <c r="A1615" s="6">
        <v>1.0</v>
      </c>
      <c r="B1615" s="6">
        <v>141.0</v>
      </c>
      <c r="C1615" s="6">
        <v>10.0</v>
      </c>
      <c r="D1615" s="122" t="s">
        <v>2029</v>
      </c>
      <c r="E1615" s="9" t="s">
        <v>2030</v>
      </c>
      <c r="F1615" s="109" t="str">
        <f t="shared" ref="F1615:G1615" si="1614">TRANSLATE(D1615,"lzh","vi")</f>
        <v>#NAME?</v>
      </c>
      <c r="G1615" s="109" t="str">
        <f t="shared" si="1614"/>
        <v>#NAME?</v>
      </c>
      <c r="X1615" s="110"/>
    </row>
    <row r="1616" ht="21.0" customHeight="1">
      <c r="A1616" s="6">
        <v>1.0</v>
      </c>
      <c r="B1616" s="6">
        <v>141.0</v>
      </c>
      <c r="C1616" s="6">
        <v>11.0</v>
      </c>
      <c r="D1616" s="122" t="s">
        <v>2031</v>
      </c>
      <c r="E1616" s="9" t="s">
        <v>2032</v>
      </c>
      <c r="F1616" s="109" t="str">
        <f t="shared" ref="F1616:G1616" si="1615">TRANSLATE(D1616,"lzh","vi")</f>
        <v>#NAME?</v>
      </c>
      <c r="G1616" s="109" t="str">
        <f t="shared" si="1615"/>
        <v>#NAME?</v>
      </c>
      <c r="X1616" s="110"/>
    </row>
    <row r="1617" ht="21.0" customHeight="1">
      <c r="A1617" s="6">
        <v>1.0</v>
      </c>
      <c r="B1617" s="6">
        <v>141.0</v>
      </c>
      <c r="C1617" s="6">
        <v>12.0</v>
      </c>
      <c r="D1617" s="122" t="s">
        <v>2033</v>
      </c>
      <c r="E1617" s="9" t="s">
        <v>2034</v>
      </c>
      <c r="F1617" s="109" t="str">
        <f t="shared" ref="F1617:G1617" si="1616">TRANSLATE(D1617,"lzh","vi")</f>
        <v>#NAME?</v>
      </c>
      <c r="G1617" s="109" t="str">
        <f t="shared" si="1616"/>
        <v>#NAME?</v>
      </c>
      <c r="X1617" s="110"/>
    </row>
    <row r="1618" ht="21.0" customHeight="1">
      <c r="A1618" s="6">
        <v>1.0</v>
      </c>
      <c r="B1618" s="6">
        <v>141.0</v>
      </c>
      <c r="C1618" s="6">
        <v>13.0</v>
      </c>
      <c r="D1618" s="122" t="s">
        <v>2035</v>
      </c>
      <c r="E1618" s="9" t="s">
        <v>2036</v>
      </c>
      <c r="F1618" s="109" t="str">
        <f t="shared" ref="F1618:G1618" si="1617">TRANSLATE(D1618,"lzh","vi")</f>
        <v>#NAME?</v>
      </c>
      <c r="G1618" s="109" t="str">
        <f t="shared" si="1617"/>
        <v>#NAME?</v>
      </c>
      <c r="X1618" s="110"/>
    </row>
    <row r="1619" ht="21.0" customHeight="1">
      <c r="A1619" s="6">
        <v>1.0</v>
      </c>
      <c r="B1619" s="6">
        <v>143.0</v>
      </c>
      <c r="C1619" s="6">
        <v>1.0</v>
      </c>
      <c r="D1619" s="122" t="s">
        <v>2037</v>
      </c>
      <c r="E1619" s="9" t="s">
        <v>2038</v>
      </c>
      <c r="F1619" s="109" t="str">
        <f t="shared" ref="F1619:G1619" si="1618">TRANSLATE(D1619,"lzh","vi")</f>
        <v>#NAME?</v>
      </c>
      <c r="G1619" s="109" t="str">
        <f t="shared" si="1618"/>
        <v>#NAME?</v>
      </c>
      <c r="X1619" s="110"/>
    </row>
    <row r="1620" ht="21.0" customHeight="1">
      <c r="A1620" s="6">
        <v>1.0</v>
      </c>
      <c r="B1620" s="6">
        <v>143.0</v>
      </c>
      <c r="C1620" s="6">
        <v>2.0</v>
      </c>
      <c r="D1620" s="122" t="s">
        <v>2039</v>
      </c>
      <c r="E1620" s="9" t="s">
        <v>2040</v>
      </c>
      <c r="F1620" s="109" t="str">
        <f t="shared" ref="F1620:G1620" si="1619">TRANSLATE(D1620,"lzh","vi")</f>
        <v>#NAME?</v>
      </c>
      <c r="G1620" s="109" t="str">
        <f t="shared" si="1619"/>
        <v>#NAME?</v>
      </c>
      <c r="X1620" s="110"/>
    </row>
    <row r="1621" ht="21.0" customHeight="1">
      <c r="A1621" s="6">
        <v>1.0</v>
      </c>
      <c r="B1621" s="6">
        <v>143.0</v>
      </c>
      <c r="C1621" s="6">
        <v>3.0</v>
      </c>
      <c r="D1621" s="122" t="s">
        <v>2041</v>
      </c>
      <c r="E1621" s="9" t="s">
        <v>2042</v>
      </c>
      <c r="F1621" s="109" t="str">
        <f t="shared" ref="F1621:G1621" si="1620">TRANSLATE(D1621,"lzh","vi")</f>
        <v>#NAME?</v>
      </c>
      <c r="G1621" s="109" t="str">
        <f t="shared" si="1620"/>
        <v>#NAME?</v>
      </c>
      <c r="X1621" s="110"/>
    </row>
    <row r="1622" ht="21.0" customHeight="1">
      <c r="A1622" s="6">
        <v>1.0</v>
      </c>
      <c r="B1622" s="6">
        <v>143.0</v>
      </c>
      <c r="C1622" s="6">
        <v>4.0</v>
      </c>
      <c r="D1622" s="122" t="s">
        <v>2043</v>
      </c>
      <c r="E1622" s="9" t="s">
        <v>2044</v>
      </c>
      <c r="F1622" s="109" t="str">
        <f t="shared" ref="F1622:G1622" si="1621">TRANSLATE(D1622,"lzh","vi")</f>
        <v>#NAME?</v>
      </c>
      <c r="G1622" s="109" t="str">
        <f t="shared" si="1621"/>
        <v>#NAME?</v>
      </c>
      <c r="X1622" s="110"/>
    </row>
    <row r="1623" ht="21.0" customHeight="1">
      <c r="A1623" s="6">
        <v>1.0</v>
      </c>
      <c r="B1623" s="6">
        <v>143.0</v>
      </c>
      <c r="C1623" s="6">
        <v>5.0</v>
      </c>
      <c r="D1623" s="122" t="s">
        <v>2045</v>
      </c>
      <c r="E1623" s="9" t="s">
        <v>2046</v>
      </c>
      <c r="F1623" s="109" t="str">
        <f t="shared" ref="F1623:G1623" si="1622">TRANSLATE(D1623,"lzh","vi")</f>
        <v>#NAME?</v>
      </c>
      <c r="G1623" s="109" t="str">
        <f t="shared" si="1622"/>
        <v>#NAME?</v>
      </c>
      <c r="X1623" s="110"/>
    </row>
    <row r="1624" ht="21.0" customHeight="1">
      <c r="A1624" s="6">
        <v>1.0</v>
      </c>
      <c r="B1624" s="6">
        <v>143.0</v>
      </c>
      <c r="C1624" s="6">
        <v>6.0</v>
      </c>
      <c r="D1624" s="122" t="s">
        <v>2047</v>
      </c>
      <c r="E1624" s="9" t="s">
        <v>2048</v>
      </c>
      <c r="F1624" s="109" t="str">
        <f t="shared" ref="F1624:G1624" si="1623">TRANSLATE(D1624,"lzh","vi")</f>
        <v>#NAME?</v>
      </c>
      <c r="G1624" s="109" t="str">
        <f t="shared" si="1623"/>
        <v>#NAME?</v>
      </c>
      <c r="X1624" s="110"/>
    </row>
    <row r="1625" ht="21.0" customHeight="1">
      <c r="A1625" s="6">
        <v>1.0</v>
      </c>
      <c r="B1625" s="6">
        <v>143.0</v>
      </c>
      <c r="C1625" s="6">
        <v>7.0</v>
      </c>
      <c r="D1625" s="122" t="s">
        <v>2049</v>
      </c>
      <c r="E1625" s="9" t="s">
        <v>2050</v>
      </c>
      <c r="F1625" s="109" t="str">
        <f t="shared" ref="F1625:G1625" si="1624">TRANSLATE(D1625,"lzh","vi")</f>
        <v>#NAME?</v>
      </c>
      <c r="G1625" s="109" t="str">
        <f t="shared" si="1624"/>
        <v>#NAME?</v>
      </c>
      <c r="X1625" s="110"/>
    </row>
    <row r="1626" ht="21.0" customHeight="1">
      <c r="A1626" s="6">
        <v>1.0</v>
      </c>
      <c r="B1626" s="6">
        <v>143.0</v>
      </c>
      <c r="C1626" s="6">
        <v>8.0</v>
      </c>
      <c r="D1626" s="122" t="s">
        <v>2051</v>
      </c>
      <c r="E1626" s="9" t="s">
        <v>2052</v>
      </c>
      <c r="F1626" s="109" t="str">
        <f t="shared" ref="F1626:G1626" si="1625">TRANSLATE(D1626,"lzh","vi")</f>
        <v>#NAME?</v>
      </c>
      <c r="G1626" s="109" t="str">
        <f t="shared" si="1625"/>
        <v>#NAME?</v>
      </c>
      <c r="X1626" s="110"/>
    </row>
    <row r="1627" ht="21.0" customHeight="1">
      <c r="A1627" s="6">
        <v>1.0</v>
      </c>
      <c r="B1627" s="6">
        <v>143.0</v>
      </c>
      <c r="C1627" s="6">
        <v>9.0</v>
      </c>
      <c r="D1627" s="122" t="s">
        <v>2053</v>
      </c>
      <c r="E1627" s="9" t="s">
        <v>2054</v>
      </c>
      <c r="F1627" s="109" t="str">
        <f t="shared" ref="F1627:G1627" si="1626">TRANSLATE(D1627,"lzh","vi")</f>
        <v>#NAME?</v>
      </c>
      <c r="G1627" s="109" t="str">
        <f t="shared" si="1626"/>
        <v>#NAME?</v>
      </c>
      <c r="X1627" s="110"/>
    </row>
    <row r="1628" ht="21.0" customHeight="1">
      <c r="A1628" s="6">
        <v>1.0</v>
      </c>
      <c r="B1628" s="6">
        <v>143.0</v>
      </c>
      <c r="C1628" s="6">
        <v>10.0</v>
      </c>
      <c r="D1628" s="122" t="s">
        <v>2055</v>
      </c>
      <c r="E1628" s="9" t="s">
        <v>2056</v>
      </c>
      <c r="F1628" s="109" t="str">
        <f t="shared" ref="F1628:G1628" si="1627">TRANSLATE(D1628,"lzh","vi")</f>
        <v>#NAME?</v>
      </c>
      <c r="G1628" s="109" t="str">
        <f t="shared" si="1627"/>
        <v>#NAME?</v>
      </c>
      <c r="X1628" s="110"/>
    </row>
    <row r="1629" ht="21.0" customHeight="1">
      <c r="A1629" s="6">
        <v>1.0</v>
      </c>
      <c r="B1629" s="6">
        <v>143.0</v>
      </c>
      <c r="C1629" s="6">
        <v>11.0</v>
      </c>
      <c r="D1629" s="122" t="s">
        <v>2057</v>
      </c>
      <c r="E1629" s="9" t="s">
        <v>2058</v>
      </c>
      <c r="F1629" s="109" t="str">
        <f t="shared" ref="F1629:G1629" si="1628">TRANSLATE(D1629,"lzh","vi")</f>
        <v>#NAME?</v>
      </c>
      <c r="G1629" s="109" t="str">
        <f t="shared" si="1628"/>
        <v>#NAME?</v>
      </c>
      <c r="X1629" s="110"/>
    </row>
    <row r="1630" ht="21.0" customHeight="1">
      <c r="A1630" s="6">
        <v>1.0</v>
      </c>
      <c r="B1630" s="6">
        <v>143.0</v>
      </c>
      <c r="C1630" s="6">
        <v>12.0</v>
      </c>
      <c r="D1630" s="122" t="s">
        <v>2059</v>
      </c>
      <c r="E1630" s="9" t="s">
        <v>2060</v>
      </c>
      <c r="F1630" s="109" t="str">
        <f t="shared" ref="F1630:G1630" si="1629">TRANSLATE(D1630,"lzh","vi")</f>
        <v>#NAME?</v>
      </c>
      <c r="G1630" s="109" t="str">
        <f t="shared" si="1629"/>
        <v>#NAME?</v>
      </c>
      <c r="X1630" s="110"/>
    </row>
    <row r="1631" ht="21.0" customHeight="1">
      <c r="A1631" s="6">
        <v>1.0</v>
      </c>
      <c r="B1631" s="6">
        <v>143.0</v>
      </c>
      <c r="C1631" s="6">
        <v>13.0</v>
      </c>
      <c r="D1631" s="122" t="s">
        <v>2061</v>
      </c>
      <c r="E1631" s="9" t="s">
        <v>2062</v>
      </c>
      <c r="F1631" s="109" t="str">
        <f t="shared" ref="F1631:G1631" si="1630">TRANSLATE(D1631,"lzh","vi")</f>
        <v>#NAME?</v>
      </c>
      <c r="G1631" s="109" t="str">
        <f t="shared" si="1630"/>
        <v>#NAME?</v>
      </c>
      <c r="X1631" s="110"/>
    </row>
    <row r="1632" ht="21.0" customHeight="1">
      <c r="A1632" s="6">
        <v>11.0</v>
      </c>
      <c r="B1632" s="6">
        <v>1018.0</v>
      </c>
      <c r="C1632" s="6">
        <v>1.0</v>
      </c>
      <c r="D1632" s="122" t="s">
        <v>2063</v>
      </c>
      <c r="E1632" s="9" t="s">
        <v>2064</v>
      </c>
      <c r="F1632" s="109" t="str">
        <f t="shared" ref="F1632:G1632" si="1631">TRANSLATE(D1632,"lzh","vi")</f>
        <v>#NAME?</v>
      </c>
      <c r="G1632" s="109" t="str">
        <f t="shared" si="1631"/>
        <v>#NAME?</v>
      </c>
      <c r="X1632" s="110"/>
    </row>
    <row r="1633" ht="21.0" customHeight="1">
      <c r="A1633" s="6">
        <v>11.0</v>
      </c>
      <c r="B1633" s="6">
        <v>1018.0</v>
      </c>
      <c r="C1633" s="6">
        <v>2.0</v>
      </c>
      <c r="D1633" s="122" t="s">
        <v>2065</v>
      </c>
      <c r="E1633" s="9" t="s">
        <v>2066</v>
      </c>
      <c r="F1633" s="109" t="str">
        <f t="shared" ref="F1633:G1633" si="1632">TRANSLATE(D1633,"lzh","vi")</f>
        <v>#NAME?</v>
      </c>
      <c r="G1633" s="109" t="str">
        <f t="shared" si="1632"/>
        <v>#NAME?</v>
      </c>
      <c r="X1633" s="110"/>
    </row>
    <row r="1634" ht="21.0" customHeight="1">
      <c r="A1634" s="6">
        <v>11.0</v>
      </c>
      <c r="B1634" s="6">
        <v>1018.0</v>
      </c>
      <c r="C1634" s="6">
        <v>3.0</v>
      </c>
      <c r="D1634" s="122" t="s">
        <v>2067</v>
      </c>
      <c r="E1634" s="9" t="s">
        <v>2068</v>
      </c>
      <c r="F1634" s="109" t="str">
        <f t="shared" ref="F1634:G1634" si="1633">TRANSLATE(D1634,"lzh","vi")</f>
        <v>#NAME?</v>
      </c>
      <c r="G1634" s="109" t="str">
        <f t="shared" si="1633"/>
        <v>#NAME?</v>
      </c>
      <c r="X1634" s="110"/>
    </row>
    <row r="1635" ht="21.0" customHeight="1">
      <c r="A1635" s="6">
        <v>11.0</v>
      </c>
      <c r="B1635" s="6">
        <v>1018.0</v>
      </c>
      <c r="C1635" s="6">
        <v>4.0</v>
      </c>
      <c r="D1635" s="122" t="s">
        <v>2069</v>
      </c>
      <c r="E1635" s="9" t="s">
        <v>2070</v>
      </c>
      <c r="F1635" s="109" t="str">
        <f t="shared" ref="F1635:G1635" si="1634">TRANSLATE(D1635,"lzh","vi")</f>
        <v>#NAME?</v>
      </c>
      <c r="G1635" s="109" t="str">
        <f t="shared" si="1634"/>
        <v>#NAME?</v>
      </c>
      <c r="X1635" s="110"/>
    </row>
    <row r="1636" ht="21.0" customHeight="1">
      <c r="A1636" s="6">
        <v>10.0</v>
      </c>
      <c r="B1636" s="6">
        <v>1018.0</v>
      </c>
      <c r="C1636" s="6">
        <v>5.0</v>
      </c>
      <c r="D1636" s="122" t="s">
        <v>2071</v>
      </c>
      <c r="E1636" s="9" t="s">
        <v>2072</v>
      </c>
      <c r="F1636" s="109" t="str">
        <f t="shared" ref="F1636:G1636" si="1635">TRANSLATE(D1636,"lzh","vi")</f>
        <v>#NAME?</v>
      </c>
      <c r="G1636" s="109" t="str">
        <f t="shared" si="1635"/>
        <v>#NAME?</v>
      </c>
      <c r="X1636" s="110"/>
    </row>
    <row r="1637" ht="21.0" customHeight="1">
      <c r="A1637" s="6">
        <v>10.0</v>
      </c>
      <c r="B1637" s="6">
        <v>1018.0</v>
      </c>
      <c r="C1637" s="6">
        <v>6.0</v>
      </c>
      <c r="D1637" s="122" t="s">
        <v>2073</v>
      </c>
      <c r="E1637" s="9" t="s">
        <v>2074</v>
      </c>
      <c r="F1637" s="109" t="str">
        <f t="shared" ref="F1637:G1637" si="1636">TRANSLATE(D1637,"lzh","vi")</f>
        <v>#NAME?</v>
      </c>
      <c r="G1637" s="109" t="str">
        <f t="shared" si="1636"/>
        <v>#NAME?</v>
      </c>
      <c r="X1637" s="110"/>
    </row>
    <row r="1638" ht="21.0" customHeight="1">
      <c r="A1638" s="6">
        <v>10.0</v>
      </c>
      <c r="B1638" s="6">
        <v>1018.0</v>
      </c>
      <c r="C1638" s="6">
        <v>7.0</v>
      </c>
      <c r="D1638" s="122" t="s">
        <v>2075</v>
      </c>
      <c r="E1638" s="9" t="s">
        <v>2076</v>
      </c>
      <c r="F1638" s="109" t="str">
        <f t="shared" ref="F1638:G1638" si="1637">TRANSLATE(D1638,"lzh","vi")</f>
        <v>#NAME?</v>
      </c>
      <c r="G1638" s="109" t="str">
        <f t="shared" si="1637"/>
        <v>#NAME?</v>
      </c>
      <c r="X1638" s="110"/>
    </row>
    <row r="1639" ht="21.0" customHeight="1">
      <c r="A1639" s="6">
        <v>10.0</v>
      </c>
      <c r="B1639" s="6">
        <v>1018.0</v>
      </c>
      <c r="C1639" s="6">
        <v>8.0</v>
      </c>
      <c r="D1639" s="122" t="s">
        <v>2077</v>
      </c>
      <c r="E1639" s="9" t="s">
        <v>2078</v>
      </c>
      <c r="F1639" s="109" t="str">
        <f t="shared" ref="F1639:G1639" si="1638">TRANSLATE(D1639,"lzh","vi")</f>
        <v>#NAME?</v>
      </c>
      <c r="G1639" s="109" t="str">
        <f t="shared" si="1638"/>
        <v>#NAME?</v>
      </c>
      <c r="X1639" s="110"/>
    </row>
    <row r="1640" ht="21.0" customHeight="1">
      <c r="A1640" s="6">
        <v>10.0</v>
      </c>
      <c r="B1640" s="6">
        <v>1018.0</v>
      </c>
      <c r="C1640" s="6">
        <v>9.0</v>
      </c>
      <c r="D1640" s="122" t="s">
        <v>2079</v>
      </c>
      <c r="E1640" s="9" t="s">
        <v>2080</v>
      </c>
      <c r="F1640" s="109" t="str">
        <f t="shared" ref="F1640:G1640" si="1639">TRANSLATE(D1640,"lzh","vi")</f>
        <v>#NAME?</v>
      </c>
      <c r="G1640" s="109" t="str">
        <f t="shared" si="1639"/>
        <v>#NAME?</v>
      </c>
      <c r="X1640" s="110"/>
    </row>
    <row r="1641" ht="21.0" customHeight="1">
      <c r="A1641" s="6">
        <v>10.0</v>
      </c>
      <c r="B1641" s="6">
        <v>1018.0</v>
      </c>
      <c r="C1641" s="6">
        <v>10.0</v>
      </c>
      <c r="D1641" s="122" t="s">
        <v>2081</v>
      </c>
      <c r="E1641" s="9" t="s">
        <v>2082</v>
      </c>
      <c r="F1641" s="109" t="str">
        <f t="shared" ref="F1641:G1641" si="1640">TRANSLATE(D1641,"lzh","vi")</f>
        <v>#NAME?</v>
      </c>
      <c r="G1641" s="109" t="str">
        <f t="shared" si="1640"/>
        <v>#NAME?</v>
      </c>
      <c r="X1641" s="110"/>
    </row>
    <row r="1642" ht="21.0" customHeight="1">
      <c r="A1642" s="6">
        <v>11.0</v>
      </c>
      <c r="B1642" s="6">
        <v>1019.0</v>
      </c>
      <c r="C1642" s="6">
        <v>1.0</v>
      </c>
      <c r="D1642" s="122" t="s">
        <v>2083</v>
      </c>
      <c r="E1642" s="9" t="s">
        <v>2084</v>
      </c>
      <c r="F1642" s="109" t="str">
        <f t="shared" ref="F1642:G1642" si="1641">TRANSLATE(D1642,"lzh","vi")</f>
        <v>#NAME?</v>
      </c>
      <c r="G1642" s="109" t="str">
        <f t="shared" si="1641"/>
        <v>#NAME?</v>
      </c>
      <c r="X1642" s="110"/>
    </row>
    <row r="1643" ht="21.0" customHeight="1">
      <c r="A1643" s="6">
        <v>11.0</v>
      </c>
      <c r="B1643" s="6">
        <v>1019.0</v>
      </c>
      <c r="C1643" s="6">
        <v>2.0</v>
      </c>
      <c r="D1643" s="122" t="s">
        <v>2085</v>
      </c>
      <c r="E1643" s="9" t="s">
        <v>2086</v>
      </c>
      <c r="F1643" s="109" t="str">
        <f t="shared" ref="F1643:G1643" si="1642">TRANSLATE(D1643,"lzh","vi")</f>
        <v>#NAME?</v>
      </c>
      <c r="G1643" s="109" t="str">
        <f t="shared" si="1642"/>
        <v>#NAME?</v>
      </c>
      <c r="X1643" s="110"/>
    </row>
    <row r="1644" ht="21.0" customHeight="1">
      <c r="A1644" s="6">
        <v>11.0</v>
      </c>
      <c r="B1644" s="6">
        <v>1019.0</v>
      </c>
      <c r="C1644" s="6">
        <v>3.0</v>
      </c>
      <c r="D1644" s="122" t="s">
        <v>2087</v>
      </c>
      <c r="E1644" s="9" t="s">
        <v>2088</v>
      </c>
      <c r="F1644" s="109" t="str">
        <f t="shared" ref="F1644:G1644" si="1643">TRANSLATE(D1644,"lzh","vi")</f>
        <v>#NAME?</v>
      </c>
      <c r="G1644" s="109" t="str">
        <f t="shared" si="1643"/>
        <v>#NAME?</v>
      </c>
      <c r="X1644" s="110"/>
    </row>
    <row r="1645" ht="21.0" customHeight="1">
      <c r="A1645" s="6">
        <v>11.0</v>
      </c>
      <c r="B1645" s="6">
        <v>1019.0</v>
      </c>
      <c r="C1645" s="6">
        <v>4.0</v>
      </c>
      <c r="D1645" s="122" t="s">
        <v>2089</v>
      </c>
      <c r="E1645" s="9" t="s">
        <v>2090</v>
      </c>
      <c r="F1645" s="109" t="str">
        <f t="shared" ref="F1645:G1645" si="1644">TRANSLATE(D1645,"lzh","vi")</f>
        <v>#NAME?</v>
      </c>
      <c r="G1645" s="109" t="str">
        <f t="shared" si="1644"/>
        <v>#NAME?</v>
      </c>
      <c r="X1645" s="110"/>
    </row>
    <row r="1646" ht="21.0" customHeight="1">
      <c r="A1646" s="6">
        <v>10.0</v>
      </c>
      <c r="B1646" s="6">
        <v>1019.0</v>
      </c>
      <c r="C1646" s="6">
        <v>5.0</v>
      </c>
      <c r="D1646" s="122" t="s">
        <v>2091</v>
      </c>
      <c r="E1646" s="9" t="s">
        <v>2092</v>
      </c>
      <c r="F1646" s="109" t="str">
        <f t="shared" ref="F1646:G1646" si="1645">TRANSLATE(D1646,"lzh","vi")</f>
        <v>#NAME?</v>
      </c>
      <c r="G1646" s="109" t="str">
        <f t="shared" si="1645"/>
        <v>#NAME?</v>
      </c>
      <c r="X1646" s="110"/>
    </row>
    <row r="1647" ht="21.0" customHeight="1">
      <c r="A1647" s="6">
        <v>10.0</v>
      </c>
      <c r="B1647" s="6">
        <v>1019.0</v>
      </c>
      <c r="C1647" s="6">
        <v>6.0</v>
      </c>
      <c r="D1647" s="122" t="s">
        <v>2093</v>
      </c>
      <c r="E1647" s="9" t="s">
        <v>2094</v>
      </c>
      <c r="F1647" s="109" t="str">
        <f t="shared" ref="F1647:G1647" si="1646">TRANSLATE(D1647,"lzh","vi")</f>
        <v>#NAME?</v>
      </c>
      <c r="G1647" s="109" t="str">
        <f t="shared" si="1646"/>
        <v>#NAME?</v>
      </c>
      <c r="X1647" s="110"/>
    </row>
    <row r="1648" ht="21.0" customHeight="1">
      <c r="A1648" s="6">
        <v>10.0</v>
      </c>
      <c r="B1648" s="6">
        <v>1019.0</v>
      </c>
      <c r="C1648" s="6">
        <v>7.0</v>
      </c>
      <c r="D1648" s="152" t="s">
        <v>2095</v>
      </c>
      <c r="E1648" s="9" t="s">
        <v>2096</v>
      </c>
      <c r="F1648" s="109" t="str">
        <f t="shared" ref="F1648:G1648" si="1647">TRANSLATE(D1648,"lzh","vi")</f>
        <v>#NAME?</v>
      </c>
      <c r="G1648" s="109" t="str">
        <f t="shared" si="1647"/>
        <v>#NAME?</v>
      </c>
      <c r="X1648" s="110"/>
    </row>
    <row r="1649" ht="21.0" customHeight="1">
      <c r="A1649" s="6">
        <v>10.0</v>
      </c>
      <c r="B1649" s="6">
        <v>1019.0</v>
      </c>
      <c r="C1649" s="6">
        <v>8.0</v>
      </c>
      <c r="D1649" s="122" t="s">
        <v>2097</v>
      </c>
      <c r="E1649" s="9" t="s">
        <v>2098</v>
      </c>
      <c r="F1649" s="109" t="str">
        <f t="shared" ref="F1649:G1649" si="1648">TRANSLATE(D1649,"lzh","vi")</f>
        <v>#NAME?</v>
      </c>
      <c r="G1649" s="109" t="str">
        <f t="shared" si="1648"/>
        <v>#NAME?</v>
      </c>
      <c r="X1649" s="110"/>
    </row>
    <row r="1650" ht="21.0" customHeight="1">
      <c r="A1650" s="6">
        <v>10.0</v>
      </c>
      <c r="B1650" s="6">
        <v>1019.0</v>
      </c>
      <c r="C1650" s="6">
        <v>9.0</v>
      </c>
      <c r="D1650" s="122" t="s">
        <v>2099</v>
      </c>
      <c r="E1650" s="9" t="s">
        <v>2100</v>
      </c>
      <c r="F1650" s="109" t="str">
        <f t="shared" ref="F1650:G1650" si="1649">TRANSLATE(D1650,"lzh","vi")</f>
        <v>#NAME?</v>
      </c>
      <c r="G1650" s="109" t="str">
        <f t="shared" si="1649"/>
        <v>#NAME?</v>
      </c>
      <c r="X1650" s="110"/>
    </row>
    <row r="1651" ht="21.0" customHeight="1">
      <c r="A1651" s="6">
        <v>10.0</v>
      </c>
      <c r="B1651" s="6">
        <v>1019.0</v>
      </c>
      <c r="C1651" s="6">
        <v>10.0</v>
      </c>
      <c r="D1651" s="122" t="s">
        <v>2101</v>
      </c>
      <c r="E1651" s="9" t="s">
        <v>2102</v>
      </c>
      <c r="F1651" s="109" t="str">
        <f t="shared" ref="F1651:G1651" si="1650">TRANSLATE(D1651,"lzh","vi")</f>
        <v>#NAME?</v>
      </c>
      <c r="G1651" s="109" t="str">
        <f t="shared" si="1650"/>
        <v>#NAME?</v>
      </c>
      <c r="X1651" s="110"/>
    </row>
    <row r="1652" ht="21.0" customHeight="1">
      <c r="A1652" s="6">
        <v>1.0</v>
      </c>
      <c r="B1652" s="6">
        <v>139.0</v>
      </c>
      <c r="C1652" s="6">
        <v>1.0</v>
      </c>
      <c r="D1652" s="122" t="s">
        <v>2103</v>
      </c>
      <c r="E1652" s="9" t="s">
        <v>2104</v>
      </c>
      <c r="F1652" s="109" t="str">
        <f t="shared" ref="F1652:G1652" si="1651">TRANSLATE(D1652,"lzh","vi")</f>
        <v>#NAME?</v>
      </c>
      <c r="G1652" s="109" t="str">
        <f t="shared" si="1651"/>
        <v>#NAME?</v>
      </c>
      <c r="X1652" s="110"/>
    </row>
    <row r="1653" ht="21.0" customHeight="1">
      <c r="A1653" s="6">
        <v>1.0</v>
      </c>
      <c r="B1653" s="6">
        <v>139.0</v>
      </c>
      <c r="C1653" s="6">
        <v>2.0</v>
      </c>
      <c r="D1653" s="122" t="s">
        <v>2105</v>
      </c>
      <c r="E1653" s="9" t="s">
        <v>2106</v>
      </c>
      <c r="F1653" s="109" t="str">
        <f t="shared" ref="F1653:G1653" si="1652">TRANSLATE(D1653,"lzh","vi")</f>
        <v>#NAME?</v>
      </c>
      <c r="G1653" s="109" t="str">
        <f t="shared" si="1652"/>
        <v>#NAME?</v>
      </c>
      <c r="X1653" s="110"/>
    </row>
    <row r="1654" ht="21.0" customHeight="1">
      <c r="A1654" s="6">
        <v>1.0</v>
      </c>
      <c r="B1654" s="6">
        <v>139.0</v>
      </c>
      <c r="C1654" s="6">
        <v>3.0</v>
      </c>
      <c r="D1654" s="122" t="s">
        <v>2107</v>
      </c>
      <c r="E1654" s="9" t="s">
        <v>2108</v>
      </c>
      <c r="F1654" s="109" t="str">
        <f t="shared" ref="F1654:G1654" si="1653">TRANSLATE(D1654,"lzh","vi")</f>
        <v>#NAME?</v>
      </c>
      <c r="G1654" s="109" t="str">
        <f t="shared" si="1653"/>
        <v>#NAME?</v>
      </c>
      <c r="X1654" s="110"/>
    </row>
    <row r="1655" ht="21.0" customHeight="1">
      <c r="A1655" s="6">
        <v>1.0</v>
      </c>
      <c r="B1655" s="6">
        <v>139.0</v>
      </c>
      <c r="C1655" s="6">
        <v>4.0</v>
      </c>
      <c r="D1655" s="122" t="s">
        <v>2109</v>
      </c>
      <c r="E1655" s="9" t="s">
        <v>2110</v>
      </c>
      <c r="F1655" s="109" t="str">
        <f t="shared" ref="F1655:G1655" si="1654">TRANSLATE(D1655,"lzh","vi")</f>
        <v>#NAME?</v>
      </c>
      <c r="G1655" s="109" t="str">
        <f t="shared" si="1654"/>
        <v>#NAME?</v>
      </c>
      <c r="X1655" s="110"/>
    </row>
    <row r="1656" ht="21.0" customHeight="1">
      <c r="A1656" s="6">
        <v>1.0</v>
      </c>
      <c r="B1656" s="6">
        <v>139.0</v>
      </c>
      <c r="C1656" s="6">
        <v>5.0</v>
      </c>
      <c r="D1656" s="122" t="s">
        <v>2111</v>
      </c>
      <c r="E1656" s="9" t="s">
        <v>2112</v>
      </c>
      <c r="F1656" s="109" t="str">
        <f t="shared" ref="F1656:G1656" si="1655">TRANSLATE(D1656,"lzh","vi")</f>
        <v>#NAME?</v>
      </c>
      <c r="G1656" s="109" t="str">
        <f t="shared" si="1655"/>
        <v>#NAME?</v>
      </c>
      <c r="X1656" s="110"/>
    </row>
    <row r="1657" ht="21.0" customHeight="1">
      <c r="A1657" s="6">
        <v>1.0</v>
      </c>
      <c r="B1657" s="6">
        <v>139.0</v>
      </c>
      <c r="C1657" s="6">
        <v>6.0</v>
      </c>
      <c r="D1657" s="122" t="s">
        <v>2113</v>
      </c>
      <c r="E1657" s="9" t="s">
        <v>2114</v>
      </c>
      <c r="F1657" s="109" t="str">
        <f t="shared" ref="F1657:G1657" si="1656">TRANSLATE(D1657,"lzh","vi")</f>
        <v>#NAME?</v>
      </c>
      <c r="G1657" s="109" t="str">
        <f t="shared" si="1656"/>
        <v>#NAME?</v>
      </c>
      <c r="X1657" s="110"/>
    </row>
    <row r="1658" ht="21.0" customHeight="1">
      <c r="A1658" s="6">
        <v>1.0</v>
      </c>
      <c r="B1658" s="6">
        <v>139.0</v>
      </c>
      <c r="C1658" s="6">
        <v>7.0</v>
      </c>
      <c r="D1658" s="122" t="s">
        <v>2115</v>
      </c>
      <c r="E1658" s="9" t="s">
        <v>2116</v>
      </c>
      <c r="F1658" s="109" t="str">
        <f t="shared" ref="F1658:G1658" si="1657">TRANSLATE(D1658,"lzh","vi")</f>
        <v>#NAME?</v>
      </c>
      <c r="G1658" s="109" t="str">
        <f t="shared" si="1657"/>
        <v>#NAME?</v>
      </c>
      <c r="X1658" s="110"/>
    </row>
    <row r="1659" ht="21.0" customHeight="1">
      <c r="A1659" s="6">
        <v>1.0</v>
      </c>
      <c r="B1659" s="6">
        <v>139.0</v>
      </c>
      <c r="C1659" s="6">
        <v>8.0</v>
      </c>
      <c r="D1659" s="122" t="s">
        <v>2117</v>
      </c>
      <c r="E1659" s="9" t="s">
        <v>2118</v>
      </c>
      <c r="F1659" s="109" t="str">
        <f t="shared" ref="F1659:G1659" si="1658">TRANSLATE(D1659,"lzh","vi")</f>
        <v>#NAME?</v>
      </c>
      <c r="G1659" s="109" t="str">
        <f t="shared" si="1658"/>
        <v>#NAME?</v>
      </c>
      <c r="X1659" s="110"/>
    </row>
    <row r="1660" ht="21.0" customHeight="1">
      <c r="A1660" s="6">
        <v>1.0</v>
      </c>
      <c r="B1660" s="6">
        <v>139.0</v>
      </c>
      <c r="C1660" s="6">
        <v>9.0</v>
      </c>
      <c r="D1660" s="122" t="s">
        <v>2119</v>
      </c>
      <c r="E1660" s="9" t="s">
        <v>2120</v>
      </c>
      <c r="F1660" s="109" t="str">
        <f t="shared" ref="F1660:G1660" si="1659">TRANSLATE(D1660,"lzh","vi")</f>
        <v>#NAME?</v>
      </c>
      <c r="G1660" s="109" t="str">
        <f t="shared" si="1659"/>
        <v>#NAME?</v>
      </c>
      <c r="X1660" s="110"/>
    </row>
    <row r="1661" ht="21.0" customHeight="1">
      <c r="A1661" s="6">
        <v>1.0</v>
      </c>
      <c r="B1661" s="6">
        <v>139.0</v>
      </c>
      <c r="C1661" s="6">
        <v>10.0</v>
      </c>
      <c r="D1661" s="122" t="s">
        <v>2121</v>
      </c>
      <c r="E1661" s="9" t="s">
        <v>2122</v>
      </c>
      <c r="F1661" s="109" t="str">
        <f t="shared" ref="F1661:G1661" si="1660">TRANSLATE(D1661,"lzh","vi")</f>
        <v>#NAME?</v>
      </c>
      <c r="G1661" s="109" t="str">
        <f t="shared" si="1660"/>
        <v>#NAME?</v>
      </c>
      <c r="X1661" s="110"/>
    </row>
    <row r="1662" ht="21.0" customHeight="1">
      <c r="A1662" s="6">
        <v>1.0</v>
      </c>
      <c r="B1662" s="6">
        <v>139.0</v>
      </c>
      <c r="C1662" s="6">
        <v>11.0</v>
      </c>
      <c r="D1662" s="122" t="s">
        <v>2123</v>
      </c>
      <c r="E1662" s="9" t="s">
        <v>2124</v>
      </c>
      <c r="F1662" s="109" t="str">
        <f t="shared" ref="F1662:G1662" si="1661">TRANSLATE(D1662,"lzh","vi")</f>
        <v>#NAME?</v>
      </c>
      <c r="G1662" s="109" t="str">
        <f t="shared" si="1661"/>
        <v>#NAME?</v>
      </c>
      <c r="X1662" s="110"/>
    </row>
    <row r="1663" ht="21.0" customHeight="1">
      <c r="A1663" s="6">
        <v>1.0</v>
      </c>
      <c r="B1663" s="6">
        <v>139.0</v>
      </c>
      <c r="C1663" s="6">
        <v>12.0</v>
      </c>
      <c r="D1663" s="122" t="s">
        <v>2125</v>
      </c>
      <c r="E1663" s="9" t="s">
        <v>2126</v>
      </c>
      <c r="F1663" s="109" t="str">
        <f t="shared" ref="F1663:G1663" si="1662">TRANSLATE(D1663,"lzh","vi")</f>
        <v>#NAME?</v>
      </c>
      <c r="G1663" s="109" t="str">
        <f t="shared" si="1662"/>
        <v>#NAME?</v>
      </c>
      <c r="X1663" s="110"/>
    </row>
    <row r="1664" ht="21.0" customHeight="1">
      <c r="A1664" s="6">
        <v>1.0</v>
      </c>
      <c r="B1664" s="6">
        <v>139.0</v>
      </c>
      <c r="C1664" s="6">
        <v>13.0</v>
      </c>
      <c r="D1664" s="122" t="s">
        <v>2127</v>
      </c>
      <c r="E1664" s="9" t="s">
        <v>2128</v>
      </c>
      <c r="F1664" s="109" t="str">
        <f t="shared" ref="F1664:G1664" si="1663">TRANSLATE(D1664,"lzh","vi")</f>
        <v>#NAME?</v>
      </c>
      <c r="G1664" s="109" t="str">
        <f t="shared" si="1663"/>
        <v>#NAME?</v>
      </c>
      <c r="X1664" s="110"/>
    </row>
    <row r="1665" ht="21.0" customHeight="1">
      <c r="A1665" s="6">
        <v>1.0</v>
      </c>
      <c r="B1665" s="6">
        <v>144.0</v>
      </c>
      <c r="C1665" s="6">
        <v>1.0</v>
      </c>
      <c r="D1665" s="122" t="s">
        <v>2129</v>
      </c>
      <c r="E1665" s="9" t="s">
        <v>2130</v>
      </c>
      <c r="F1665" s="109" t="str">
        <f t="shared" ref="F1665:G1665" si="1664">TRANSLATE(D1665,"lzh","vi")</f>
        <v>#NAME?</v>
      </c>
      <c r="G1665" s="109" t="str">
        <f t="shared" si="1664"/>
        <v>#NAME?</v>
      </c>
      <c r="X1665" s="110"/>
    </row>
    <row r="1666" ht="21.0" customHeight="1">
      <c r="A1666" s="6">
        <v>1.0</v>
      </c>
      <c r="B1666" s="6">
        <v>144.0</v>
      </c>
      <c r="C1666" s="6">
        <v>2.0</v>
      </c>
      <c r="D1666" s="122" t="s">
        <v>2131</v>
      </c>
      <c r="E1666" s="9" t="s">
        <v>2132</v>
      </c>
      <c r="F1666" s="109" t="str">
        <f t="shared" ref="F1666:G1666" si="1665">TRANSLATE(D1666,"lzh","vi")</f>
        <v>#NAME?</v>
      </c>
      <c r="G1666" s="109" t="str">
        <f t="shared" si="1665"/>
        <v>#NAME?</v>
      </c>
      <c r="X1666" s="110"/>
    </row>
    <row r="1667" ht="21.0" customHeight="1">
      <c r="A1667" s="6">
        <v>1.0</v>
      </c>
      <c r="B1667" s="6">
        <v>144.0</v>
      </c>
      <c r="C1667" s="6">
        <v>3.0</v>
      </c>
      <c r="D1667" s="122" t="s">
        <v>2133</v>
      </c>
      <c r="E1667" s="9" t="s">
        <v>2134</v>
      </c>
      <c r="F1667" s="109" t="str">
        <f t="shared" ref="F1667:G1667" si="1666">TRANSLATE(D1667,"lzh","vi")</f>
        <v>#NAME?</v>
      </c>
      <c r="G1667" s="109" t="str">
        <f t="shared" si="1666"/>
        <v>#NAME?</v>
      </c>
      <c r="X1667" s="110"/>
    </row>
    <row r="1668" ht="21.0" customHeight="1">
      <c r="A1668" s="6">
        <v>1.0</v>
      </c>
      <c r="B1668" s="6">
        <v>144.0</v>
      </c>
      <c r="C1668" s="6">
        <v>4.0</v>
      </c>
      <c r="D1668" s="122" t="s">
        <v>2135</v>
      </c>
      <c r="E1668" s="9" t="s">
        <v>2136</v>
      </c>
      <c r="F1668" s="109" t="str">
        <f t="shared" ref="F1668:G1668" si="1667">TRANSLATE(D1668,"lzh","vi")</f>
        <v>#NAME?</v>
      </c>
      <c r="G1668" s="109" t="str">
        <f t="shared" si="1667"/>
        <v>#NAME?</v>
      </c>
      <c r="X1668" s="110"/>
    </row>
    <row r="1669" ht="21.0" customHeight="1">
      <c r="A1669" s="6">
        <v>1.0</v>
      </c>
      <c r="B1669" s="6">
        <v>144.0</v>
      </c>
      <c r="C1669" s="6">
        <v>5.0</v>
      </c>
      <c r="D1669" s="122" t="s">
        <v>2137</v>
      </c>
      <c r="E1669" s="9" t="s">
        <v>2138</v>
      </c>
      <c r="F1669" s="109" t="str">
        <f t="shared" ref="F1669:G1669" si="1668">TRANSLATE(D1669,"lzh","vi")</f>
        <v>#NAME?</v>
      </c>
      <c r="G1669" s="109" t="str">
        <f t="shared" si="1668"/>
        <v>#NAME?</v>
      </c>
      <c r="X1669" s="110"/>
    </row>
    <row r="1670" ht="21.0" customHeight="1">
      <c r="A1670" s="6">
        <v>1.0</v>
      </c>
      <c r="B1670" s="6">
        <v>144.0</v>
      </c>
      <c r="C1670" s="6">
        <v>6.0</v>
      </c>
      <c r="D1670" s="122" t="s">
        <v>2139</v>
      </c>
      <c r="E1670" s="9" t="s">
        <v>2140</v>
      </c>
      <c r="F1670" s="109" t="str">
        <f t="shared" ref="F1670:G1670" si="1669">TRANSLATE(D1670,"lzh","vi")</f>
        <v>#NAME?</v>
      </c>
      <c r="G1670" s="109" t="str">
        <f t="shared" si="1669"/>
        <v>#NAME?</v>
      </c>
      <c r="X1670" s="110"/>
    </row>
    <row r="1671" ht="21.0" customHeight="1">
      <c r="A1671" s="6">
        <v>1.0</v>
      </c>
      <c r="B1671" s="6">
        <v>144.0</v>
      </c>
      <c r="C1671" s="6">
        <v>7.0</v>
      </c>
      <c r="D1671" s="122" t="s">
        <v>2141</v>
      </c>
      <c r="E1671" s="9" t="s">
        <v>2142</v>
      </c>
      <c r="F1671" s="109" t="str">
        <f t="shared" ref="F1671:G1671" si="1670">TRANSLATE(D1671,"lzh","vi")</f>
        <v>#NAME?</v>
      </c>
      <c r="G1671" s="109" t="str">
        <f t="shared" si="1670"/>
        <v>#NAME?</v>
      </c>
      <c r="X1671" s="110"/>
    </row>
    <row r="1672" ht="21.0" customHeight="1">
      <c r="A1672" s="6">
        <v>1.0</v>
      </c>
      <c r="B1672" s="6">
        <v>144.0</v>
      </c>
      <c r="C1672" s="6">
        <v>8.0</v>
      </c>
      <c r="D1672" s="122" t="s">
        <v>2143</v>
      </c>
      <c r="E1672" s="9" t="s">
        <v>2144</v>
      </c>
      <c r="F1672" s="109" t="str">
        <f t="shared" ref="F1672:G1672" si="1671">TRANSLATE(D1672,"lzh","vi")</f>
        <v>#NAME?</v>
      </c>
      <c r="G1672" s="109" t="str">
        <f t="shared" si="1671"/>
        <v>#NAME?</v>
      </c>
      <c r="X1672" s="110"/>
    </row>
    <row r="1673" ht="21.0" customHeight="1">
      <c r="A1673" s="6">
        <v>1.0</v>
      </c>
      <c r="B1673" s="6">
        <v>144.0</v>
      </c>
      <c r="C1673" s="6">
        <v>9.0</v>
      </c>
      <c r="D1673" s="122" t="s">
        <v>2145</v>
      </c>
      <c r="E1673" s="9" t="s">
        <v>2146</v>
      </c>
      <c r="F1673" s="109" t="str">
        <f t="shared" ref="F1673:G1673" si="1672">TRANSLATE(D1673,"lzh","vi")</f>
        <v>#NAME?</v>
      </c>
      <c r="G1673" s="109" t="str">
        <f t="shared" si="1672"/>
        <v>#NAME?</v>
      </c>
      <c r="X1673" s="110"/>
    </row>
    <row r="1674" ht="21.0" customHeight="1">
      <c r="A1674" s="6">
        <v>1.0</v>
      </c>
      <c r="B1674" s="6">
        <v>144.0</v>
      </c>
      <c r="C1674" s="6">
        <v>10.0</v>
      </c>
      <c r="D1674" s="122" t="s">
        <v>2147</v>
      </c>
      <c r="E1674" s="9" t="s">
        <v>2148</v>
      </c>
      <c r="F1674" s="109" t="str">
        <f t="shared" ref="F1674:G1674" si="1673">TRANSLATE(D1674,"lzh","vi")</f>
        <v>#NAME?</v>
      </c>
      <c r="G1674" s="109" t="str">
        <f t="shared" si="1673"/>
        <v>#NAME?</v>
      </c>
      <c r="X1674" s="110"/>
    </row>
    <row r="1675" ht="21.0" customHeight="1">
      <c r="A1675" s="6">
        <v>1.0</v>
      </c>
      <c r="B1675" s="6">
        <v>144.0</v>
      </c>
      <c r="C1675" s="6">
        <v>11.0</v>
      </c>
      <c r="D1675" s="122" t="s">
        <v>2149</v>
      </c>
      <c r="E1675" s="9" t="s">
        <v>2150</v>
      </c>
      <c r="F1675" s="109" t="str">
        <f t="shared" ref="F1675:G1675" si="1674">TRANSLATE(D1675,"lzh","vi")</f>
        <v>#NAME?</v>
      </c>
      <c r="G1675" s="109" t="str">
        <f t="shared" si="1674"/>
        <v>#NAME?</v>
      </c>
      <c r="X1675" s="110"/>
    </row>
    <row r="1676" ht="21.0" customHeight="1">
      <c r="A1676" s="6">
        <v>1.0</v>
      </c>
      <c r="B1676" s="6">
        <v>144.0</v>
      </c>
      <c r="C1676" s="6">
        <v>12.0</v>
      </c>
      <c r="D1676" s="122" t="s">
        <v>2151</v>
      </c>
      <c r="E1676" s="9" t="s">
        <v>2152</v>
      </c>
      <c r="F1676" s="109" t="str">
        <f t="shared" ref="F1676:G1676" si="1675">TRANSLATE(D1676,"lzh","vi")</f>
        <v>#NAME?</v>
      </c>
      <c r="G1676" s="109" t="str">
        <f t="shared" si="1675"/>
        <v>#NAME?</v>
      </c>
      <c r="X1676" s="110"/>
    </row>
    <row r="1677" ht="21.0" customHeight="1">
      <c r="A1677" s="6">
        <v>1.0</v>
      </c>
      <c r="B1677" s="6">
        <v>144.0</v>
      </c>
      <c r="C1677" s="6">
        <v>13.0</v>
      </c>
      <c r="D1677" s="122" t="s">
        <v>2153</v>
      </c>
      <c r="E1677" s="9" t="s">
        <v>2154</v>
      </c>
      <c r="F1677" s="109" t="str">
        <f t="shared" ref="F1677:G1677" si="1676">TRANSLATE(D1677,"lzh","vi")</f>
        <v>#NAME?</v>
      </c>
      <c r="G1677" s="109" t="str">
        <f t="shared" si="1676"/>
        <v>#NAME?</v>
      </c>
      <c r="X1677" s="110"/>
    </row>
    <row r="1678" ht="21.0" customHeight="1">
      <c r="A1678" s="6">
        <v>1.0</v>
      </c>
      <c r="B1678" s="6">
        <v>145.0</v>
      </c>
      <c r="C1678" s="6">
        <v>1.0</v>
      </c>
      <c r="D1678" s="152" t="s">
        <v>2155</v>
      </c>
      <c r="E1678" s="9" t="s">
        <v>2156</v>
      </c>
      <c r="F1678" s="109" t="str">
        <f t="shared" ref="F1678:G1678" si="1677">TRANSLATE(D1678,"lzh","vi")</f>
        <v>#NAME?</v>
      </c>
      <c r="G1678" s="109" t="str">
        <f t="shared" si="1677"/>
        <v>#NAME?</v>
      </c>
      <c r="X1678" s="110"/>
    </row>
    <row r="1679" ht="21.0" customHeight="1">
      <c r="A1679" s="6">
        <v>1.0</v>
      </c>
      <c r="B1679" s="6">
        <v>145.0</v>
      </c>
      <c r="C1679" s="6">
        <v>2.0</v>
      </c>
      <c r="D1679" s="122" t="s">
        <v>2157</v>
      </c>
      <c r="E1679" s="9" t="s">
        <v>2158</v>
      </c>
      <c r="F1679" s="109" t="str">
        <f t="shared" ref="F1679:G1679" si="1678">TRANSLATE(D1679,"lzh","vi")</f>
        <v>#NAME?</v>
      </c>
      <c r="G1679" s="109" t="str">
        <f t="shared" si="1678"/>
        <v>#NAME?</v>
      </c>
      <c r="X1679" s="110"/>
    </row>
    <row r="1680" ht="21.0" customHeight="1">
      <c r="A1680" s="6">
        <v>1.0</v>
      </c>
      <c r="B1680" s="6">
        <v>145.0</v>
      </c>
      <c r="C1680" s="6">
        <v>3.0</v>
      </c>
      <c r="D1680" s="122" t="s">
        <v>2159</v>
      </c>
      <c r="E1680" s="9" t="s">
        <v>2160</v>
      </c>
      <c r="F1680" s="109" t="str">
        <f t="shared" ref="F1680:G1680" si="1679">TRANSLATE(D1680,"lzh","vi")</f>
        <v>#NAME?</v>
      </c>
      <c r="G1680" s="109" t="str">
        <f t="shared" si="1679"/>
        <v>#NAME?</v>
      </c>
      <c r="X1680" s="110"/>
    </row>
    <row r="1681" ht="21.0" customHeight="1">
      <c r="A1681" s="6">
        <v>1.0</v>
      </c>
      <c r="B1681" s="6">
        <v>145.0</v>
      </c>
      <c r="C1681" s="6">
        <v>4.0</v>
      </c>
      <c r="D1681" s="122" t="s">
        <v>2161</v>
      </c>
      <c r="E1681" s="9" t="s">
        <v>2162</v>
      </c>
      <c r="F1681" s="109" t="str">
        <f t="shared" ref="F1681:G1681" si="1680">TRANSLATE(D1681,"lzh","vi")</f>
        <v>#NAME?</v>
      </c>
      <c r="G1681" s="109" t="str">
        <f t="shared" si="1680"/>
        <v>#NAME?</v>
      </c>
      <c r="X1681" s="110"/>
    </row>
    <row r="1682" ht="21.0" customHeight="1">
      <c r="A1682" s="6">
        <v>1.0</v>
      </c>
      <c r="B1682" s="6">
        <v>145.0</v>
      </c>
      <c r="C1682" s="6">
        <v>5.0</v>
      </c>
      <c r="D1682" s="122" t="s">
        <v>2163</v>
      </c>
      <c r="E1682" s="9" t="s">
        <v>2164</v>
      </c>
      <c r="F1682" s="109" t="str">
        <f t="shared" ref="F1682:G1682" si="1681">TRANSLATE(D1682,"lzh","vi")</f>
        <v>#NAME?</v>
      </c>
      <c r="G1682" s="109" t="str">
        <f t="shared" si="1681"/>
        <v>#NAME?</v>
      </c>
      <c r="X1682" s="110"/>
    </row>
    <row r="1683" ht="21.0" customHeight="1">
      <c r="A1683" s="6">
        <v>1.0</v>
      </c>
      <c r="B1683" s="6">
        <v>145.0</v>
      </c>
      <c r="C1683" s="6">
        <v>6.0</v>
      </c>
      <c r="D1683" s="122" t="s">
        <v>2165</v>
      </c>
      <c r="E1683" s="9" t="s">
        <v>2166</v>
      </c>
      <c r="F1683" s="109" t="str">
        <f t="shared" ref="F1683:G1683" si="1682">TRANSLATE(D1683,"lzh","vi")</f>
        <v>#NAME?</v>
      </c>
      <c r="G1683" s="109" t="str">
        <f t="shared" si="1682"/>
        <v>#NAME?</v>
      </c>
      <c r="X1683" s="110"/>
    </row>
    <row r="1684" ht="21.0" customHeight="1">
      <c r="A1684" s="6">
        <v>1.0</v>
      </c>
      <c r="B1684" s="6">
        <v>145.0</v>
      </c>
      <c r="C1684" s="6">
        <v>7.0</v>
      </c>
      <c r="D1684" s="122" t="s">
        <v>2167</v>
      </c>
      <c r="E1684" s="9" t="s">
        <v>2168</v>
      </c>
      <c r="F1684" s="109" t="str">
        <f t="shared" ref="F1684:G1684" si="1683">TRANSLATE(D1684,"lzh","vi")</f>
        <v>#NAME?</v>
      </c>
      <c r="G1684" s="109" t="str">
        <f t="shared" si="1683"/>
        <v>#NAME?</v>
      </c>
      <c r="X1684" s="110"/>
    </row>
    <row r="1685" ht="21.0" customHeight="1">
      <c r="A1685" s="6">
        <v>1.0</v>
      </c>
      <c r="B1685" s="6">
        <v>145.0</v>
      </c>
      <c r="C1685" s="6">
        <v>8.0</v>
      </c>
      <c r="D1685" s="122" t="s">
        <v>2169</v>
      </c>
      <c r="E1685" s="9" t="s">
        <v>2170</v>
      </c>
      <c r="F1685" s="109" t="str">
        <f t="shared" ref="F1685:G1685" si="1684">TRANSLATE(D1685,"lzh","vi")</f>
        <v>#NAME?</v>
      </c>
      <c r="G1685" s="109" t="str">
        <f t="shared" si="1684"/>
        <v>#NAME?</v>
      </c>
      <c r="X1685" s="110"/>
    </row>
    <row r="1686" ht="21.0" customHeight="1">
      <c r="A1686" s="6">
        <v>1.0</v>
      </c>
      <c r="B1686" s="6">
        <v>145.0</v>
      </c>
      <c r="C1686" s="6">
        <v>9.0</v>
      </c>
      <c r="D1686" s="122" t="s">
        <v>2171</v>
      </c>
      <c r="E1686" s="9" t="s">
        <v>2172</v>
      </c>
      <c r="F1686" s="109" t="str">
        <f t="shared" ref="F1686:G1686" si="1685">TRANSLATE(D1686,"lzh","vi")</f>
        <v>#NAME?</v>
      </c>
      <c r="G1686" s="109" t="str">
        <f t="shared" si="1685"/>
        <v>#NAME?</v>
      </c>
      <c r="X1686" s="110"/>
    </row>
    <row r="1687" ht="21.0" customHeight="1">
      <c r="A1687" s="6">
        <v>1.0</v>
      </c>
      <c r="B1687" s="6">
        <v>145.0</v>
      </c>
      <c r="C1687" s="6">
        <v>10.0</v>
      </c>
      <c r="D1687" s="122" t="s">
        <v>2173</v>
      </c>
      <c r="E1687" s="9" t="s">
        <v>2174</v>
      </c>
      <c r="F1687" s="109" t="str">
        <f t="shared" ref="F1687:G1687" si="1686">TRANSLATE(D1687,"lzh","vi")</f>
        <v>#NAME?</v>
      </c>
      <c r="G1687" s="109" t="str">
        <f t="shared" si="1686"/>
        <v>#NAME?</v>
      </c>
      <c r="X1687" s="110"/>
    </row>
    <row r="1688" ht="21.0" customHeight="1">
      <c r="A1688" s="6">
        <v>1.0</v>
      </c>
      <c r="B1688" s="6">
        <v>145.0</v>
      </c>
      <c r="C1688" s="6">
        <v>11.0</v>
      </c>
      <c r="D1688" s="122" t="s">
        <v>2175</v>
      </c>
      <c r="E1688" s="9" t="s">
        <v>2176</v>
      </c>
      <c r="F1688" s="109" t="str">
        <f t="shared" ref="F1688:G1688" si="1687">TRANSLATE(D1688,"lzh","vi")</f>
        <v>#NAME?</v>
      </c>
      <c r="G1688" s="109" t="str">
        <f t="shared" si="1687"/>
        <v>#NAME?</v>
      </c>
      <c r="X1688" s="110"/>
    </row>
    <row r="1689" ht="21.0" customHeight="1">
      <c r="A1689" s="6">
        <v>1.0</v>
      </c>
      <c r="B1689" s="6">
        <v>145.0</v>
      </c>
      <c r="C1689" s="6">
        <v>12.0</v>
      </c>
      <c r="D1689" s="122" t="s">
        <v>2177</v>
      </c>
      <c r="E1689" s="9" t="s">
        <v>2178</v>
      </c>
      <c r="F1689" s="109" t="str">
        <f t="shared" ref="F1689:G1689" si="1688">TRANSLATE(D1689,"lzh","vi")</f>
        <v>#NAME?</v>
      </c>
      <c r="G1689" s="109" t="str">
        <f t="shared" si="1688"/>
        <v>#NAME?</v>
      </c>
      <c r="X1689" s="110"/>
    </row>
    <row r="1690" ht="21.0" customHeight="1">
      <c r="A1690" s="6">
        <v>1.0</v>
      </c>
      <c r="B1690" s="6">
        <v>145.0</v>
      </c>
      <c r="C1690" s="6">
        <v>13.0</v>
      </c>
      <c r="D1690" s="122" t="s">
        <v>2179</v>
      </c>
      <c r="E1690" s="9" t="s">
        <v>2180</v>
      </c>
      <c r="F1690" s="109" t="str">
        <f t="shared" ref="F1690:G1690" si="1689">TRANSLATE(D1690,"lzh","vi")</f>
        <v>#NAME?</v>
      </c>
      <c r="G1690" s="109" t="str">
        <f t="shared" si="1689"/>
        <v>#NAME?</v>
      </c>
      <c r="X1690" s="110"/>
    </row>
    <row r="1691" ht="21.0" customHeight="1">
      <c r="A1691" s="6">
        <v>1.0</v>
      </c>
      <c r="B1691" s="6">
        <v>146.0</v>
      </c>
      <c r="C1691" s="6">
        <v>1.0</v>
      </c>
      <c r="D1691" s="122" t="s">
        <v>2181</v>
      </c>
      <c r="E1691" s="9" t="s">
        <v>2182</v>
      </c>
      <c r="F1691" s="109" t="str">
        <f t="shared" ref="F1691:G1691" si="1690">TRANSLATE(D1691,"lzh","vi")</f>
        <v>#NAME?</v>
      </c>
      <c r="G1691" s="109" t="str">
        <f t="shared" si="1690"/>
        <v>#NAME?</v>
      </c>
      <c r="X1691" s="110"/>
    </row>
    <row r="1692" ht="21.0" customHeight="1">
      <c r="A1692" s="6">
        <v>1.0</v>
      </c>
      <c r="B1692" s="6">
        <v>146.0</v>
      </c>
      <c r="C1692" s="6">
        <v>2.0</v>
      </c>
      <c r="D1692" s="122" t="s">
        <v>2183</v>
      </c>
      <c r="E1692" s="9" t="s">
        <v>2184</v>
      </c>
      <c r="F1692" s="109" t="str">
        <f t="shared" ref="F1692:G1692" si="1691">TRANSLATE(D1692,"lzh","vi")</f>
        <v>#NAME?</v>
      </c>
      <c r="G1692" s="109" t="str">
        <f t="shared" si="1691"/>
        <v>#NAME?</v>
      </c>
      <c r="X1692" s="110"/>
    </row>
    <row r="1693" ht="21.0" customHeight="1">
      <c r="A1693" s="6">
        <v>1.0</v>
      </c>
      <c r="B1693" s="6">
        <v>146.0</v>
      </c>
      <c r="C1693" s="6">
        <v>3.0</v>
      </c>
      <c r="D1693" s="122" t="s">
        <v>2185</v>
      </c>
      <c r="E1693" s="9" t="s">
        <v>2186</v>
      </c>
      <c r="F1693" s="109" t="str">
        <f t="shared" ref="F1693:G1693" si="1692">TRANSLATE(D1693,"lzh","vi")</f>
        <v>#NAME?</v>
      </c>
      <c r="G1693" s="109" t="str">
        <f t="shared" si="1692"/>
        <v>#NAME?</v>
      </c>
      <c r="X1693" s="110"/>
    </row>
    <row r="1694" ht="21.0" customHeight="1">
      <c r="A1694" s="6">
        <v>1.0</v>
      </c>
      <c r="B1694" s="6">
        <v>146.0</v>
      </c>
      <c r="C1694" s="6">
        <v>4.0</v>
      </c>
      <c r="D1694" s="122" t="s">
        <v>2187</v>
      </c>
      <c r="E1694" s="9" t="s">
        <v>2188</v>
      </c>
      <c r="F1694" s="109" t="str">
        <f t="shared" ref="F1694:G1694" si="1693">TRANSLATE(D1694,"lzh","vi")</f>
        <v>#NAME?</v>
      </c>
      <c r="G1694" s="109" t="str">
        <f t="shared" si="1693"/>
        <v>#NAME?</v>
      </c>
      <c r="X1694" s="110"/>
    </row>
    <row r="1695" ht="21.0" customHeight="1">
      <c r="A1695" s="6">
        <v>1.0</v>
      </c>
      <c r="B1695" s="6">
        <v>146.0</v>
      </c>
      <c r="C1695" s="6">
        <v>5.0</v>
      </c>
      <c r="D1695" s="122" t="s">
        <v>2189</v>
      </c>
      <c r="E1695" s="9" t="s">
        <v>2190</v>
      </c>
      <c r="F1695" s="109" t="str">
        <f t="shared" ref="F1695:G1695" si="1694">TRANSLATE(D1695,"lzh","vi")</f>
        <v>#NAME?</v>
      </c>
      <c r="G1695" s="109" t="str">
        <f t="shared" si="1694"/>
        <v>#NAME?</v>
      </c>
      <c r="X1695" s="110"/>
    </row>
    <row r="1696" ht="21.0" customHeight="1">
      <c r="A1696" s="6">
        <v>1.0</v>
      </c>
      <c r="B1696" s="6">
        <v>146.0</v>
      </c>
      <c r="C1696" s="6">
        <v>6.0</v>
      </c>
      <c r="D1696" s="122" t="s">
        <v>2191</v>
      </c>
      <c r="E1696" s="9" t="s">
        <v>2192</v>
      </c>
      <c r="F1696" s="109" t="str">
        <f t="shared" ref="F1696:G1696" si="1695">TRANSLATE(D1696,"lzh","vi")</f>
        <v>#NAME?</v>
      </c>
      <c r="G1696" s="109" t="str">
        <f t="shared" si="1695"/>
        <v>#NAME?</v>
      </c>
      <c r="X1696" s="110"/>
    </row>
    <row r="1697" ht="21.0" customHeight="1">
      <c r="A1697" s="6">
        <v>1.0</v>
      </c>
      <c r="B1697" s="6">
        <v>146.0</v>
      </c>
      <c r="C1697" s="6">
        <v>7.0</v>
      </c>
      <c r="D1697" s="122" t="s">
        <v>2193</v>
      </c>
      <c r="E1697" s="9" t="s">
        <v>2194</v>
      </c>
      <c r="F1697" s="109" t="str">
        <f t="shared" ref="F1697:G1697" si="1696">TRANSLATE(D1697,"lzh","vi")</f>
        <v>#NAME?</v>
      </c>
      <c r="G1697" s="109" t="str">
        <f t="shared" si="1696"/>
        <v>#NAME?</v>
      </c>
      <c r="X1697" s="110"/>
    </row>
    <row r="1698" ht="21.0" customHeight="1">
      <c r="A1698" s="6">
        <v>1.0</v>
      </c>
      <c r="B1698" s="6">
        <v>146.0</v>
      </c>
      <c r="C1698" s="6">
        <v>8.0</v>
      </c>
      <c r="D1698" s="122" t="s">
        <v>2195</v>
      </c>
      <c r="E1698" s="9" t="s">
        <v>2196</v>
      </c>
      <c r="F1698" s="109" t="str">
        <f t="shared" ref="F1698:G1698" si="1697">TRANSLATE(D1698,"lzh","vi")</f>
        <v>#NAME?</v>
      </c>
      <c r="G1698" s="109" t="str">
        <f t="shared" si="1697"/>
        <v>#NAME?</v>
      </c>
      <c r="X1698" s="110"/>
    </row>
    <row r="1699" ht="21.0" customHeight="1">
      <c r="A1699" s="6">
        <v>1.0</v>
      </c>
      <c r="B1699" s="6">
        <v>146.0</v>
      </c>
      <c r="C1699" s="6">
        <v>9.0</v>
      </c>
      <c r="D1699" s="122" t="s">
        <v>2197</v>
      </c>
      <c r="E1699" s="9" t="s">
        <v>2198</v>
      </c>
      <c r="F1699" s="109" t="str">
        <f t="shared" ref="F1699:G1699" si="1698">TRANSLATE(D1699,"lzh","vi")</f>
        <v>#NAME?</v>
      </c>
      <c r="G1699" s="109" t="str">
        <f t="shared" si="1698"/>
        <v>#NAME?</v>
      </c>
      <c r="X1699" s="110"/>
    </row>
    <row r="1700" ht="21.0" customHeight="1">
      <c r="A1700" s="6">
        <v>1.0</v>
      </c>
      <c r="B1700" s="6">
        <v>146.0</v>
      </c>
      <c r="C1700" s="6">
        <v>10.0</v>
      </c>
      <c r="D1700" s="122" t="s">
        <v>2199</v>
      </c>
      <c r="E1700" s="9" t="s">
        <v>2200</v>
      </c>
      <c r="F1700" s="109" t="str">
        <f t="shared" ref="F1700:G1700" si="1699">TRANSLATE(D1700,"lzh","vi")</f>
        <v>#NAME?</v>
      </c>
      <c r="G1700" s="109" t="str">
        <f t="shared" si="1699"/>
        <v>#NAME?</v>
      </c>
      <c r="X1700" s="110"/>
    </row>
    <row r="1701" ht="21.0" customHeight="1">
      <c r="A1701" s="6">
        <v>1.0</v>
      </c>
      <c r="B1701" s="6">
        <v>146.0</v>
      </c>
      <c r="C1701" s="6">
        <v>11.0</v>
      </c>
      <c r="D1701" s="122" t="s">
        <v>2201</v>
      </c>
      <c r="E1701" s="9" t="s">
        <v>2202</v>
      </c>
      <c r="F1701" s="109" t="str">
        <f t="shared" ref="F1701:G1701" si="1700">TRANSLATE(D1701,"lzh","vi")</f>
        <v>#NAME?</v>
      </c>
      <c r="G1701" s="109" t="str">
        <f t="shared" si="1700"/>
        <v>#NAME?</v>
      </c>
      <c r="X1701" s="110"/>
    </row>
    <row r="1702" ht="21.0" customHeight="1">
      <c r="A1702" s="6">
        <v>1.0</v>
      </c>
      <c r="B1702" s="6">
        <v>146.0</v>
      </c>
      <c r="C1702" s="6">
        <v>12.0</v>
      </c>
      <c r="D1702" s="122" t="s">
        <v>2203</v>
      </c>
      <c r="E1702" s="9" t="s">
        <v>2204</v>
      </c>
      <c r="F1702" s="109" t="str">
        <f t="shared" ref="F1702:G1702" si="1701">TRANSLATE(D1702,"lzh","vi")</f>
        <v>#NAME?</v>
      </c>
      <c r="G1702" s="109" t="str">
        <f t="shared" si="1701"/>
        <v>#NAME?</v>
      </c>
      <c r="X1702" s="110"/>
    </row>
    <row r="1703" ht="21.0" customHeight="1">
      <c r="A1703" s="6">
        <v>1.0</v>
      </c>
      <c r="B1703" s="6">
        <v>146.0</v>
      </c>
      <c r="C1703" s="6">
        <v>13.0</v>
      </c>
      <c r="D1703" s="122" t="s">
        <v>2205</v>
      </c>
      <c r="E1703" s="9" t="s">
        <v>2206</v>
      </c>
      <c r="F1703" s="109" t="str">
        <f t="shared" ref="F1703:G1703" si="1702">TRANSLATE(D1703,"lzh","vi")</f>
        <v>#NAME?</v>
      </c>
      <c r="G1703" s="109" t="str">
        <f t="shared" si="1702"/>
        <v>#NAME?</v>
      </c>
      <c r="X1703" s="110"/>
    </row>
    <row r="1704" ht="21.0" customHeight="1">
      <c r="A1704" s="6">
        <v>11.0</v>
      </c>
      <c r="B1704" s="6">
        <v>1020.0</v>
      </c>
      <c r="C1704" s="6">
        <v>1.0</v>
      </c>
      <c r="D1704" s="122" t="s">
        <v>2207</v>
      </c>
      <c r="E1704" s="9" t="s">
        <v>2208</v>
      </c>
      <c r="F1704" s="109" t="str">
        <f t="shared" ref="F1704:G1704" si="1703">TRANSLATE(D1704,"lzh","vi")</f>
        <v>#NAME?</v>
      </c>
      <c r="G1704" s="109" t="str">
        <f t="shared" si="1703"/>
        <v>#NAME?</v>
      </c>
      <c r="X1704" s="110"/>
    </row>
    <row r="1705" ht="21.0" customHeight="1">
      <c r="A1705" s="6">
        <v>11.0</v>
      </c>
      <c r="B1705" s="6">
        <v>1020.0</v>
      </c>
      <c r="C1705" s="6">
        <v>2.0</v>
      </c>
      <c r="D1705" s="122" t="s">
        <v>2209</v>
      </c>
      <c r="E1705" s="9" t="s">
        <v>2210</v>
      </c>
      <c r="F1705" s="109" t="str">
        <f t="shared" ref="F1705:G1705" si="1704">TRANSLATE(D1705,"lzh","vi")</f>
        <v>#NAME?</v>
      </c>
      <c r="G1705" s="109" t="str">
        <f t="shared" si="1704"/>
        <v>#NAME?</v>
      </c>
      <c r="X1705" s="110"/>
    </row>
    <row r="1706" ht="21.0" customHeight="1">
      <c r="A1706" s="6">
        <v>11.0</v>
      </c>
      <c r="B1706" s="6">
        <v>1020.0</v>
      </c>
      <c r="C1706" s="6">
        <v>3.0</v>
      </c>
      <c r="D1706" s="122" t="s">
        <v>2211</v>
      </c>
      <c r="E1706" s="9" t="s">
        <v>2212</v>
      </c>
      <c r="F1706" s="109" t="str">
        <f t="shared" ref="F1706:G1706" si="1705">TRANSLATE(D1706,"lzh","vi")</f>
        <v>#NAME?</v>
      </c>
      <c r="G1706" s="109" t="str">
        <f t="shared" si="1705"/>
        <v>#NAME?</v>
      </c>
      <c r="X1706" s="110"/>
    </row>
    <row r="1707" ht="21.0" customHeight="1">
      <c r="A1707" s="6">
        <v>11.0</v>
      </c>
      <c r="B1707" s="6">
        <v>1020.0</v>
      </c>
      <c r="C1707" s="6">
        <v>4.0</v>
      </c>
      <c r="D1707" s="122" t="s">
        <v>2213</v>
      </c>
      <c r="E1707" s="9" t="s">
        <v>2214</v>
      </c>
      <c r="F1707" s="109" t="str">
        <f t="shared" ref="F1707:G1707" si="1706">TRANSLATE(D1707,"lzh","vi")</f>
        <v>#NAME?</v>
      </c>
      <c r="G1707" s="109" t="str">
        <f t="shared" si="1706"/>
        <v>#NAME?</v>
      </c>
      <c r="X1707" s="110"/>
    </row>
    <row r="1708" ht="21.0" customHeight="1">
      <c r="A1708" s="6">
        <v>10.0</v>
      </c>
      <c r="B1708" s="6">
        <v>1020.0</v>
      </c>
      <c r="C1708" s="6">
        <v>5.0</v>
      </c>
      <c r="D1708" s="122" t="s">
        <v>2215</v>
      </c>
      <c r="E1708" s="9" t="s">
        <v>2216</v>
      </c>
      <c r="F1708" s="109" t="str">
        <f t="shared" ref="F1708:G1708" si="1707">TRANSLATE(D1708,"lzh","vi")</f>
        <v>#NAME?</v>
      </c>
      <c r="G1708" s="109" t="str">
        <f t="shared" si="1707"/>
        <v>#NAME?</v>
      </c>
      <c r="X1708" s="110"/>
    </row>
    <row r="1709" ht="21.0" customHeight="1">
      <c r="A1709" s="6">
        <v>10.0</v>
      </c>
      <c r="B1709" s="6">
        <v>1020.0</v>
      </c>
      <c r="C1709" s="6">
        <v>6.0</v>
      </c>
      <c r="D1709" s="122" t="s">
        <v>2217</v>
      </c>
      <c r="E1709" s="9" t="s">
        <v>2218</v>
      </c>
      <c r="F1709" s="109" t="str">
        <f t="shared" ref="F1709:G1709" si="1708">TRANSLATE(D1709,"lzh","vi")</f>
        <v>#NAME?</v>
      </c>
      <c r="G1709" s="109" t="str">
        <f t="shared" si="1708"/>
        <v>#NAME?</v>
      </c>
      <c r="X1709" s="110"/>
    </row>
    <row r="1710" ht="21.0" customHeight="1">
      <c r="A1710" s="6">
        <v>10.0</v>
      </c>
      <c r="B1710" s="6">
        <v>1020.0</v>
      </c>
      <c r="C1710" s="6">
        <v>7.0</v>
      </c>
      <c r="D1710" s="122" t="s">
        <v>2219</v>
      </c>
      <c r="E1710" s="9" t="s">
        <v>2220</v>
      </c>
      <c r="F1710" s="109" t="str">
        <f t="shared" ref="F1710:G1710" si="1709">TRANSLATE(D1710,"lzh","vi")</f>
        <v>#NAME?</v>
      </c>
      <c r="G1710" s="109" t="str">
        <f t="shared" si="1709"/>
        <v>#NAME?</v>
      </c>
      <c r="X1710" s="110"/>
    </row>
    <row r="1711" ht="21.0" customHeight="1">
      <c r="A1711" s="6">
        <v>10.0</v>
      </c>
      <c r="B1711" s="6">
        <v>1020.0</v>
      </c>
      <c r="C1711" s="6">
        <v>8.0</v>
      </c>
      <c r="D1711" s="122" t="s">
        <v>2221</v>
      </c>
      <c r="E1711" s="9" t="s">
        <v>2222</v>
      </c>
      <c r="F1711" s="109" t="str">
        <f t="shared" ref="F1711:G1711" si="1710">TRANSLATE(D1711,"lzh","vi")</f>
        <v>#NAME?</v>
      </c>
      <c r="G1711" s="109" t="str">
        <f t="shared" si="1710"/>
        <v>#NAME?</v>
      </c>
      <c r="X1711" s="110"/>
    </row>
    <row r="1712" ht="21.0" customHeight="1">
      <c r="A1712" s="6">
        <v>10.0</v>
      </c>
      <c r="B1712" s="6">
        <v>1020.0</v>
      </c>
      <c r="C1712" s="6">
        <v>9.0</v>
      </c>
      <c r="D1712" s="122" t="s">
        <v>2223</v>
      </c>
      <c r="E1712" s="9" t="s">
        <v>2224</v>
      </c>
      <c r="F1712" s="109" t="str">
        <f t="shared" ref="F1712:G1712" si="1711">TRANSLATE(D1712,"lzh","vi")</f>
        <v>#NAME?</v>
      </c>
      <c r="G1712" s="109" t="str">
        <f t="shared" si="1711"/>
        <v>#NAME?</v>
      </c>
      <c r="X1712" s="110"/>
    </row>
    <row r="1713" ht="21.0" customHeight="1">
      <c r="A1713" s="6">
        <v>10.0</v>
      </c>
      <c r="B1713" s="6">
        <v>1020.0</v>
      </c>
      <c r="C1713" s="6">
        <v>10.0</v>
      </c>
      <c r="D1713" s="122" t="s">
        <v>2225</v>
      </c>
      <c r="E1713" s="9" t="s">
        <v>2226</v>
      </c>
      <c r="F1713" s="109" t="str">
        <f t="shared" ref="F1713:G1713" si="1712">TRANSLATE(D1713,"lzh","vi")</f>
        <v>#NAME?</v>
      </c>
      <c r="G1713" s="109" t="str">
        <f t="shared" si="1712"/>
        <v>#NAME?</v>
      </c>
      <c r="X1713" s="110"/>
    </row>
    <row r="1714" ht="21.0" customHeight="1">
      <c r="A1714" s="6">
        <v>1.0</v>
      </c>
      <c r="B1714" s="6">
        <v>147.0</v>
      </c>
      <c r="C1714" s="6">
        <v>1.0</v>
      </c>
      <c r="D1714" s="122" t="s">
        <v>2227</v>
      </c>
      <c r="E1714" s="9" t="s">
        <v>2228</v>
      </c>
      <c r="F1714" s="109" t="str">
        <f t="shared" ref="F1714:G1714" si="1713">TRANSLATE(D1714,"lzh","vi")</f>
        <v>#NAME?</v>
      </c>
      <c r="G1714" s="109" t="str">
        <f t="shared" si="1713"/>
        <v>#NAME?</v>
      </c>
      <c r="X1714" s="110"/>
    </row>
    <row r="1715" ht="21.0" customHeight="1">
      <c r="A1715" s="6">
        <v>1.0</v>
      </c>
      <c r="B1715" s="6">
        <v>147.0</v>
      </c>
      <c r="C1715" s="6">
        <v>2.0</v>
      </c>
      <c r="D1715" s="122" t="s">
        <v>2229</v>
      </c>
      <c r="E1715" s="9" t="s">
        <v>2230</v>
      </c>
      <c r="F1715" s="109" t="str">
        <f t="shared" ref="F1715:G1715" si="1714">TRANSLATE(D1715,"lzh","vi")</f>
        <v>#NAME?</v>
      </c>
      <c r="G1715" s="109" t="str">
        <f t="shared" si="1714"/>
        <v>#NAME?</v>
      </c>
      <c r="X1715" s="110"/>
    </row>
    <row r="1716" ht="21.0" customHeight="1">
      <c r="A1716" s="6">
        <v>1.0</v>
      </c>
      <c r="B1716" s="6">
        <v>147.0</v>
      </c>
      <c r="C1716" s="6">
        <v>3.0</v>
      </c>
      <c r="D1716" s="122" t="s">
        <v>2231</v>
      </c>
      <c r="E1716" s="9" t="s">
        <v>2232</v>
      </c>
      <c r="F1716" s="109" t="str">
        <f t="shared" ref="F1716:G1716" si="1715">TRANSLATE(D1716,"lzh","vi")</f>
        <v>#NAME?</v>
      </c>
      <c r="G1716" s="109" t="str">
        <f t="shared" si="1715"/>
        <v>#NAME?</v>
      </c>
      <c r="X1716" s="110"/>
    </row>
    <row r="1717" ht="21.0" customHeight="1">
      <c r="A1717" s="6">
        <v>1.0</v>
      </c>
      <c r="B1717" s="6">
        <v>147.0</v>
      </c>
      <c r="C1717" s="6">
        <v>4.0</v>
      </c>
      <c r="D1717" s="122" t="s">
        <v>2233</v>
      </c>
      <c r="E1717" s="9" t="s">
        <v>2234</v>
      </c>
      <c r="F1717" s="109" t="str">
        <f t="shared" ref="F1717:G1717" si="1716">TRANSLATE(D1717,"lzh","vi")</f>
        <v>#NAME?</v>
      </c>
      <c r="G1717" s="109" t="str">
        <f t="shared" si="1716"/>
        <v>#NAME?</v>
      </c>
      <c r="X1717" s="110"/>
    </row>
    <row r="1718" ht="21.0" customHeight="1">
      <c r="A1718" s="6">
        <v>1.0</v>
      </c>
      <c r="B1718" s="6">
        <v>147.0</v>
      </c>
      <c r="C1718" s="6">
        <v>5.0</v>
      </c>
      <c r="D1718" s="122" t="s">
        <v>2235</v>
      </c>
      <c r="E1718" s="9" t="s">
        <v>2236</v>
      </c>
      <c r="F1718" s="109" t="str">
        <f t="shared" ref="F1718:G1718" si="1717">TRANSLATE(D1718,"lzh","vi")</f>
        <v>#NAME?</v>
      </c>
      <c r="G1718" s="109" t="str">
        <f t="shared" si="1717"/>
        <v>#NAME?</v>
      </c>
      <c r="X1718" s="110"/>
    </row>
    <row r="1719" ht="21.0" customHeight="1">
      <c r="A1719" s="6">
        <v>1.0</v>
      </c>
      <c r="B1719" s="6">
        <v>147.0</v>
      </c>
      <c r="C1719" s="6">
        <v>6.0</v>
      </c>
      <c r="D1719" s="122" t="s">
        <v>2237</v>
      </c>
      <c r="E1719" s="9" t="s">
        <v>2238</v>
      </c>
      <c r="F1719" s="109" t="str">
        <f t="shared" ref="F1719:G1719" si="1718">TRANSLATE(D1719,"lzh","vi")</f>
        <v>#NAME?</v>
      </c>
      <c r="G1719" s="109" t="str">
        <f t="shared" si="1718"/>
        <v>#NAME?</v>
      </c>
      <c r="X1719" s="110"/>
    </row>
    <row r="1720" ht="21.0" customHeight="1">
      <c r="A1720" s="6">
        <v>1.0</v>
      </c>
      <c r="B1720" s="6">
        <v>147.0</v>
      </c>
      <c r="C1720" s="6">
        <v>7.0</v>
      </c>
      <c r="D1720" s="122" t="s">
        <v>2239</v>
      </c>
      <c r="E1720" s="9" t="s">
        <v>2240</v>
      </c>
      <c r="F1720" s="109" t="str">
        <f t="shared" ref="F1720:G1720" si="1719">TRANSLATE(D1720,"lzh","vi")</f>
        <v>#NAME?</v>
      </c>
      <c r="G1720" s="109" t="str">
        <f t="shared" si="1719"/>
        <v>#NAME?</v>
      </c>
      <c r="X1720" s="110"/>
    </row>
    <row r="1721" ht="21.0" customHeight="1">
      <c r="A1721" s="6">
        <v>1.0</v>
      </c>
      <c r="B1721" s="6">
        <v>147.0</v>
      </c>
      <c r="C1721" s="6">
        <v>8.0</v>
      </c>
      <c r="D1721" s="122" t="s">
        <v>2241</v>
      </c>
      <c r="E1721" s="9" t="s">
        <v>2242</v>
      </c>
      <c r="F1721" s="109" t="str">
        <f t="shared" ref="F1721:G1721" si="1720">TRANSLATE(D1721,"lzh","vi")</f>
        <v>#NAME?</v>
      </c>
      <c r="G1721" s="109" t="str">
        <f t="shared" si="1720"/>
        <v>#NAME?</v>
      </c>
      <c r="X1721" s="110"/>
    </row>
    <row r="1722" ht="21.0" customHeight="1">
      <c r="A1722" s="6">
        <v>1.0</v>
      </c>
      <c r="B1722" s="6">
        <v>147.0</v>
      </c>
      <c r="C1722" s="6">
        <v>9.0</v>
      </c>
      <c r="D1722" s="122" t="s">
        <v>2243</v>
      </c>
      <c r="E1722" s="9" t="s">
        <v>2244</v>
      </c>
      <c r="F1722" s="109" t="str">
        <f t="shared" ref="F1722:G1722" si="1721">TRANSLATE(D1722,"lzh","vi")</f>
        <v>#NAME?</v>
      </c>
      <c r="G1722" s="109" t="str">
        <f t="shared" si="1721"/>
        <v>#NAME?</v>
      </c>
      <c r="X1722" s="110"/>
    </row>
    <row r="1723" ht="21.0" customHeight="1">
      <c r="A1723" s="6">
        <v>1.0</v>
      </c>
      <c r="B1723" s="6">
        <v>147.0</v>
      </c>
      <c r="C1723" s="6">
        <v>10.0</v>
      </c>
      <c r="D1723" s="122" t="s">
        <v>2245</v>
      </c>
      <c r="E1723" s="9" t="s">
        <v>2246</v>
      </c>
      <c r="F1723" s="109" t="str">
        <f t="shared" ref="F1723:G1723" si="1722">TRANSLATE(D1723,"lzh","vi")</f>
        <v>#NAME?</v>
      </c>
      <c r="G1723" s="109" t="str">
        <f t="shared" si="1722"/>
        <v>#NAME?</v>
      </c>
      <c r="X1723" s="110"/>
    </row>
    <row r="1724" ht="21.0" customHeight="1">
      <c r="A1724" s="6">
        <v>1.0</v>
      </c>
      <c r="B1724" s="6">
        <v>147.0</v>
      </c>
      <c r="C1724" s="6">
        <v>11.0</v>
      </c>
      <c r="D1724" s="122" t="s">
        <v>2247</v>
      </c>
      <c r="E1724" s="9" t="s">
        <v>2248</v>
      </c>
      <c r="F1724" s="109" t="str">
        <f t="shared" ref="F1724:G1724" si="1723">TRANSLATE(D1724,"lzh","vi")</f>
        <v>#NAME?</v>
      </c>
      <c r="G1724" s="109" t="str">
        <f t="shared" si="1723"/>
        <v>#NAME?</v>
      </c>
      <c r="X1724" s="110"/>
    </row>
    <row r="1725" ht="21.0" customHeight="1">
      <c r="A1725" s="6">
        <v>1.0</v>
      </c>
      <c r="B1725" s="6">
        <v>147.0</v>
      </c>
      <c r="C1725" s="6">
        <v>12.0</v>
      </c>
      <c r="D1725" s="122" t="s">
        <v>2249</v>
      </c>
      <c r="E1725" s="9" t="s">
        <v>2250</v>
      </c>
      <c r="F1725" s="109" t="str">
        <f t="shared" ref="F1725:G1725" si="1724">TRANSLATE(D1725,"lzh","vi")</f>
        <v>#NAME?</v>
      </c>
      <c r="G1725" s="109" t="str">
        <f t="shared" si="1724"/>
        <v>#NAME?</v>
      </c>
      <c r="X1725" s="110"/>
    </row>
    <row r="1726" ht="21.0" customHeight="1">
      <c r="A1726" s="6">
        <v>1.0</v>
      </c>
      <c r="B1726" s="6">
        <v>147.0</v>
      </c>
      <c r="C1726" s="6">
        <v>13.0</v>
      </c>
      <c r="D1726" s="122" t="s">
        <v>2251</v>
      </c>
      <c r="E1726" s="9" t="s">
        <v>2252</v>
      </c>
      <c r="F1726" s="109" t="str">
        <f t="shared" ref="F1726:G1726" si="1725">TRANSLATE(D1726,"lzh","vi")</f>
        <v>#NAME?</v>
      </c>
      <c r="G1726" s="109" t="str">
        <f t="shared" si="1725"/>
        <v>#NAME?</v>
      </c>
      <c r="X1726" s="110"/>
    </row>
    <row r="1727" ht="21.0" customHeight="1">
      <c r="A1727" s="6">
        <v>1.0</v>
      </c>
      <c r="B1727" s="6">
        <v>148.0</v>
      </c>
      <c r="C1727" s="6">
        <v>1.0</v>
      </c>
      <c r="D1727" s="122" t="s">
        <v>2253</v>
      </c>
      <c r="E1727" s="9" t="s">
        <v>2254</v>
      </c>
      <c r="F1727" s="109" t="str">
        <f t="shared" ref="F1727:G1727" si="1726">TRANSLATE(D1727,"lzh","vi")</f>
        <v>#NAME?</v>
      </c>
      <c r="G1727" s="109" t="str">
        <f t="shared" si="1726"/>
        <v>#NAME?</v>
      </c>
      <c r="X1727" s="110"/>
    </row>
    <row r="1728" ht="21.0" customHeight="1">
      <c r="A1728" s="6">
        <v>1.0</v>
      </c>
      <c r="B1728" s="6">
        <v>148.0</v>
      </c>
      <c r="C1728" s="6">
        <v>2.0</v>
      </c>
      <c r="D1728" s="122" t="s">
        <v>2255</v>
      </c>
      <c r="E1728" s="9" t="s">
        <v>2256</v>
      </c>
      <c r="F1728" s="109" t="str">
        <f t="shared" ref="F1728:G1728" si="1727">TRANSLATE(D1728,"lzh","vi")</f>
        <v>#NAME?</v>
      </c>
      <c r="G1728" s="109" t="str">
        <f t="shared" si="1727"/>
        <v>#NAME?</v>
      </c>
      <c r="X1728" s="110"/>
    </row>
    <row r="1729" ht="21.0" customHeight="1">
      <c r="A1729" s="6">
        <v>1.0</v>
      </c>
      <c r="B1729" s="6">
        <v>148.0</v>
      </c>
      <c r="C1729" s="6">
        <v>3.0</v>
      </c>
      <c r="D1729" s="122" t="s">
        <v>2257</v>
      </c>
      <c r="E1729" s="9" t="s">
        <v>2258</v>
      </c>
      <c r="F1729" s="109" t="str">
        <f t="shared" ref="F1729:G1729" si="1728">TRANSLATE(D1729,"lzh","vi")</f>
        <v>#NAME?</v>
      </c>
      <c r="G1729" s="109" t="str">
        <f t="shared" si="1728"/>
        <v>#NAME?</v>
      </c>
      <c r="X1729" s="110"/>
    </row>
    <row r="1730" ht="21.0" customHeight="1">
      <c r="A1730" s="6">
        <v>1.0</v>
      </c>
      <c r="B1730" s="6">
        <v>148.0</v>
      </c>
      <c r="C1730" s="6">
        <v>4.0</v>
      </c>
      <c r="D1730" s="122" t="s">
        <v>2259</v>
      </c>
      <c r="E1730" s="9" t="s">
        <v>2260</v>
      </c>
      <c r="F1730" s="109" t="str">
        <f t="shared" ref="F1730:G1730" si="1729">TRANSLATE(D1730,"lzh","vi")</f>
        <v>#NAME?</v>
      </c>
      <c r="G1730" s="109" t="str">
        <f t="shared" si="1729"/>
        <v>#NAME?</v>
      </c>
      <c r="X1730" s="110"/>
    </row>
    <row r="1731" ht="21.0" customHeight="1">
      <c r="A1731" s="6">
        <v>1.0</v>
      </c>
      <c r="B1731" s="6">
        <v>148.0</v>
      </c>
      <c r="C1731" s="6">
        <v>5.0</v>
      </c>
      <c r="D1731" s="122" t="s">
        <v>2261</v>
      </c>
      <c r="E1731" s="9" t="s">
        <v>2262</v>
      </c>
      <c r="F1731" s="109" t="str">
        <f t="shared" ref="F1731:G1731" si="1730">TRANSLATE(D1731,"lzh","vi")</f>
        <v>#NAME?</v>
      </c>
      <c r="G1731" s="109" t="str">
        <f t="shared" si="1730"/>
        <v>#NAME?</v>
      </c>
      <c r="X1731" s="110"/>
    </row>
    <row r="1732" ht="21.0" customHeight="1">
      <c r="A1732" s="6">
        <v>1.0</v>
      </c>
      <c r="B1732" s="6">
        <v>148.0</v>
      </c>
      <c r="C1732" s="6">
        <v>6.0</v>
      </c>
      <c r="D1732" s="122" t="s">
        <v>2263</v>
      </c>
      <c r="E1732" s="9" t="s">
        <v>2264</v>
      </c>
      <c r="F1732" s="109" t="str">
        <f t="shared" ref="F1732:G1732" si="1731">TRANSLATE(D1732,"lzh","vi")</f>
        <v>#NAME?</v>
      </c>
      <c r="G1732" s="109" t="str">
        <f t="shared" si="1731"/>
        <v>#NAME?</v>
      </c>
      <c r="X1732" s="110"/>
    </row>
    <row r="1733" ht="21.0" customHeight="1">
      <c r="A1733" s="6">
        <v>1.0</v>
      </c>
      <c r="B1733" s="6">
        <v>148.0</v>
      </c>
      <c r="C1733" s="6">
        <v>7.0</v>
      </c>
      <c r="D1733" s="122" t="s">
        <v>2265</v>
      </c>
      <c r="E1733" s="9" t="s">
        <v>2266</v>
      </c>
      <c r="F1733" s="109" t="str">
        <f t="shared" ref="F1733:G1733" si="1732">TRANSLATE(D1733,"lzh","vi")</f>
        <v>#NAME?</v>
      </c>
      <c r="G1733" s="109" t="str">
        <f t="shared" si="1732"/>
        <v>#NAME?</v>
      </c>
      <c r="X1733" s="110"/>
    </row>
    <row r="1734" ht="21.0" customHeight="1">
      <c r="A1734" s="6">
        <v>1.0</v>
      </c>
      <c r="B1734" s="6">
        <v>148.0</v>
      </c>
      <c r="C1734" s="6">
        <v>8.0</v>
      </c>
      <c r="D1734" s="122" t="s">
        <v>2267</v>
      </c>
      <c r="E1734" s="9" t="s">
        <v>2268</v>
      </c>
      <c r="F1734" s="109" t="str">
        <f t="shared" ref="F1734:G1734" si="1733">TRANSLATE(D1734,"lzh","vi")</f>
        <v>#NAME?</v>
      </c>
      <c r="G1734" s="109" t="str">
        <f t="shared" si="1733"/>
        <v>#NAME?</v>
      </c>
      <c r="X1734" s="110"/>
    </row>
    <row r="1735" ht="21.0" customHeight="1">
      <c r="A1735" s="6">
        <v>1.0</v>
      </c>
      <c r="B1735" s="6">
        <v>148.0</v>
      </c>
      <c r="C1735" s="6">
        <v>9.0</v>
      </c>
      <c r="D1735" s="122" t="s">
        <v>2269</v>
      </c>
      <c r="E1735" s="9" t="s">
        <v>2270</v>
      </c>
      <c r="F1735" s="109" t="str">
        <f t="shared" ref="F1735:G1735" si="1734">TRANSLATE(D1735,"lzh","vi")</f>
        <v>#NAME?</v>
      </c>
      <c r="G1735" s="109" t="str">
        <f t="shared" si="1734"/>
        <v>#NAME?</v>
      </c>
      <c r="X1735" s="110"/>
    </row>
    <row r="1736" ht="21.0" customHeight="1">
      <c r="A1736" s="6">
        <v>1.0</v>
      </c>
      <c r="B1736" s="6">
        <v>148.0</v>
      </c>
      <c r="C1736" s="6">
        <v>10.0</v>
      </c>
      <c r="D1736" s="122" t="s">
        <v>2271</v>
      </c>
      <c r="E1736" s="9" t="s">
        <v>2272</v>
      </c>
      <c r="F1736" s="109" t="str">
        <f t="shared" ref="F1736:G1736" si="1735">TRANSLATE(D1736,"lzh","vi")</f>
        <v>#NAME?</v>
      </c>
      <c r="G1736" s="109" t="str">
        <f t="shared" si="1735"/>
        <v>#NAME?</v>
      </c>
      <c r="X1736" s="110"/>
    </row>
    <row r="1737" ht="21.0" customHeight="1">
      <c r="A1737" s="6">
        <v>1.0</v>
      </c>
      <c r="B1737" s="6">
        <v>148.0</v>
      </c>
      <c r="C1737" s="6">
        <v>11.0</v>
      </c>
      <c r="D1737" s="122" t="s">
        <v>2273</v>
      </c>
      <c r="E1737" s="9" t="s">
        <v>2274</v>
      </c>
      <c r="F1737" s="109" t="str">
        <f t="shared" ref="F1737:G1737" si="1736">TRANSLATE(D1737,"lzh","vi")</f>
        <v>#NAME?</v>
      </c>
      <c r="G1737" s="109" t="str">
        <f t="shared" si="1736"/>
        <v>#NAME?</v>
      </c>
      <c r="X1737" s="110"/>
    </row>
    <row r="1738" ht="21.0" customHeight="1">
      <c r="A1738" s="6">
        <v>1.0</v>
      </c>
      <c r="B1738" s="6">
        <v>148.0</v>
      </c>
      <c r="C1738" s="6">
        <v>12.0</v>
      </c>
      <c r="D1738" s="122" t="s">
        <v>2275</v>
      </c>
      <c r="E1738" s="9" t="s">
        <v>2276</v>
      </c>
      <c r="F1738" s="109" t="str">
        <f t="shared" ref="F1738:G1738" si="1737">TRANSLATE(D1738,"lzh","vi")</f>
        <v>#NAME?</v>
      </c>
      <c r="G1738" s="109" t="str">
        <f t="shared" si="1737"/>
        <v>#NAME?</v>
      </c>
      <c r="X1738" s="110"/>
    </row>
    <row r="1739" ht="21.0" customHeight="1">
      <c r="A1739" s="6">
        <v>1.0</v>
      </c>
      <c r="B1739" s="6">
        <v>148.0</v>
      </c>
      <c r="C1739" s="6">
        <v>13.0</v>
      </c>
      <c r="D1739" s="122" t="s">
        <v>2277</v>
      </c>
      <c r="E1739" s="9" t="s">
        <v>2278</v>
      </c>
      <c r="F1739" s="109" t="str">
        <f t="shared" ref="F1739:G1739" si="1738">TRANSLATE(D1739,"lzh","vi")</f>
        <v>#NAME?</v>
      </c>
      <c r="G1739" s="109" t="str">
        <f t="shared" si="1738"/>
        <v>#NAME?</v>
      </c>
      <c r="X1739" s="110"/>
    </row>
    <row r="1740" ht="21.0" customHeight="1">
      <c r="A1740" s="6">
        <v>11.0</v>
      </c>
      <c r="B1740" s="6">
        <v>1021.0</v>
      </c>
      <c r="C1740" s="6">
        <v>1.0</v>
      </c>
      <c r="D1740" s="122" t="s">
        <v>2279</v>
      </c>
      <c r="E1740" s="9" t="s">
        <v>2280</v>
      </c>
      <c r="F1740" s="109" t="str">
        <f t="shared" ref="F1740:G1740" si="1739">TRANSLATE(D1740,"lzh","vi")</f>
        <v>#NAME?</v>
      </c>
      <c r="G1740" s="109" t="str">
        <f t="shared" si="1739"/>
        <v>#NAME?</v>
      </c>
      <c r="X1740" s="110"/>
    </row>
    <row r="1741" ht="21.0" customHeight="1">
      <c r="A1741" s="6">
        <v>11.0</v>
      </c>
      <c r="B1741" s="6">
        <v>1021.0</v>
      </c>
      <c r="C1741" s="6">
        <v>2.0</v>
      </c>
      <c r="D1741" s="122" t="s">
        <v>2281</v>
      </c>
      <c r="E1741" s="9" t="s">
        <v>2282</v>
      </c>
      <c r="F1741" s="109" t="str">
        <f t="shared" ref="F1741:G1741" si="1740">TRANSLATE(D1741,"lzh","vi")</f>
        <v>#NAME?</v>
      </c>
      <c r="G1741" s="109" t="str">
        <f t="shared" si="1740"/>
        <v>#NAME?</v>
      </c>
      <c r="X1741" s="110"/>
    </row>
    <row r="1742" ht="21.0" customHeight="1">
      <c r="A1742" s="6">
        <v>11.0</v>
      </c>
      <c r="B1742" s="6">
        <v>1021.0</v>
      </c>
      <c r="C1742" s="6">
        <v>3.0</v>
      </c>
      <c r="D1742" s="122" t="s">
        <v>2283</v>
      </c>
      <c r="E1742" s="9" t="s">
        <v>2284</v>
      </c>
      <c r="F1742" s="109" t="str">
        <f t="shared" ref="F1742:G1742" si="1741">TRANSLATE(D1742,"lzh","vi")</f>
        <v>#NAME?</v>
      </c>
      <c r="G1742" s="109" t="str">
        <f t="shared" si="1741"/>
        <v>#NAME?</v>
      </c>
      <c r="X1742" s="110"/>
    </row>
    <row r="1743" ht="21.0" customHeight="1">
      <c r="A1743" s="6">
        <v>11.0</v>
      </c>
      <c r="B1743" s="6">
        <v>1021.0</v>
      </c>
      <c r="C1743" s="6">
        <v>4.0</v>
      </c>
      <c r="D1743" s="122" t="s">
        <v>2285</v>
      </c>
      <c r="E1743" s="9" t="s">
        <v>2286</v>
      </c>
      <c r="F1743" s="109" t="str">
        <f t="shared" ref="F1743:G1743" si="1742">TRANSLATE(D1743,"lzh","vi")</f>
        <v>#NAME?</v>
      </c>
      <c r="G1743" s="109" t="str">
        <f t="shared" si="1742"/>
        <v>#NAME?</v>
      </c>
      <c r="X1743" s="110"/>
    </row>
    <row r="1744" ht="21.0" customHeight="1">
      <c r="A1744" s="6">
        <v>10.0</v>
      </c>
      <c r="B1744" s="6">
        <v>1021.0</v>
      </c>
      <c r="C1744" s="6">
        <v>5.0</v>
      </c>
      <c r="D1744" s="122" t="s">
        <v>2287</v>
      </c>
      <c r="E1744" s="9" t="s">
        <v>2288</v>
      </c>
      <c r="F1744" s="109" t="str">
        <f t="shared" ref="F1744:G1744" si="1743">TRANSLATE(D1744,"lzh","vi")</f>
        <v>#NAME?</v>
      </c>
      <c r="G1744" s="109" t="str">
        <f t="shared" si="1743"/>
        <v>#NAME?</v>
      </c>
      <c r="X1744" s="110"/>
    </row>
    <row r="1745" ht="21.0" customHeight="1">
      <c r="A1745" s="6">
        <v>10.0</v>
      </c>
      <c r="B1745" s="6">
        <v>1021.0</v>
      </c>
      <c r="C1745" s="6">
        <v>6.0</v>
      </c>
      <c r="D1745" s="122" t="s">
        <v>2289</v>
      </c>
      <c r="E1745" s="9" t="s">
        <v>2290</v>
      </c>
      <c r="F1745" s="109" t="str">
        <f t="shared" ref="F1745:G1745" si="1744">TRANSLATE(D1745,"lzh","vi")</f>
        <v>#NAME?</v>
      </c>
      <c r="G1745" s="109" t="str">
        <f t="shared" si="1744"/>
        <v>#NAME?</v>
      </c>
      <c r="X1745" s="110"/>
    </row>
    <row r="1746" ht="21.0" customHeight="1">
      <c r="A1746" s="6">
        <v>10.0</v>
      </c>
      <c r="B1746" s="6">
        <v>1021.0</v>
      </c>
      <c r="C1746" s="6">
        <v>7.0</v>
      </c>
      <c r="D1746" s="122" t="s">
        <v>2291</v>
      </c>
      <c r="E1746" s="9" t="s">
        <v>2292</v>
      </c>
      <c r="F1746" s="109" t="str">
        <f t="shared" ref="F1746:G1746" si="1745">TRANSLATE(D1746,"lzh","vi")</f>
        <v>#NAME?</v>
      </c>
      <c r="G1746" s="109" t="str">
        <f t="shared" si="1745"/>
        <v>#NAME?</v>
      </c>
      <c r="X1746" s="110"/>
    </row>
    <row r="1747" ht="21.0" customHeight="1">
      <c r="A1747" s="6">
        <v>10.0</v>
      </c>
      <c r="B1747" s="6">
        <v>1021.0</v>
      </c>
      <c r="C1747" s="6">
        <v>8.0</v>
      </c>
      <c r="D1747" s="122" t="s">
        <v>2293</v>
      </c>
      <c r="E1747" s="9" t="s">
        <v>2294</v>
      </c>
      <c r="F1747" s="109" t="str">
        <f t="shared" ref="F1747:G1747" si="1746">TRANSLATE(D1747,"lzh","vi")</f>
        <v>#NAME?</v>
      </c>
      <c r="G1747" s="109" t="str">
        <f t="shared" si="1746"/>
        <v>#NAME?</v>
      </c>
      <c r="X1747" s="110"/>
    </row>
    <row r="1748" ht="21.0" customHeight="1">
      <c r="A1748" s="6">
        <v>10.0</v>
      </c>
      <c r="B1748" s="6">
        <v>1021.0</v>
      </c>
      <c r="C1748" s="6">
        <v>9.0</v>
      </c>
      <c r="D1748" s="122" t="s">
        <v>2295</v>
      </c>
      <c r="E1748" s="9" t="s">
        <v>2296</v>
      </c>
      <c r="F1748" s="109" t="str">
        <f t="shared" ref="F1748:G1748" si="1747">TRANSLATE(D1748,"lzh","vi")</f>
        <v>#NAME?</v>
      </c>
      <c r="G1748" s="109" t="str">
        <f t="shared" si="1747"/>
        <v>#NAME?</v>
      </c>
      <c r="X1748" s="110"/>
    </row>
    <row r="1749" ht="21.0" customHeight="1">
      <c r="A1749" s="6">
        <v>10.0</v>
      </c>
      <c r="B1749" s="6">
        <v>1021.0</v>
      </c>
      <c r="C1749" s="6">
        <v>10.0</v>
      </c>
      <c r="D1749" s="122" t="s">
        <v>2297</v>
      </c>
      <c r="E1749" s="9" t="s">
        <v>2298</v>
      </c>
      <c r="F1749" s="109" t="str">
        <f t="shared" ref="F1749:G1749" si="1748">TRANSLATE(D1749,"lzh","vi")</f>
        <v>#NAME?</v>
      </c>
      <c r="G1749" s="109" t="str">
        <f t="shared" si="1748"/>
        <v>#NAME?</v>
      </c>
      <c r="X1749" s="110"/>
    </row>
    <row r="1750" ht="21.0" customHeight="1">
      <c r="A1750" s="6">
        <v>11.0</v>
      </c>
      <c r="B1750" s="6">
        <v>1022.0</v>
      </c>
      <c r="C1750" s="6">
        <v>1.0</v>
      </c>
      <c r="D1750" s="122" t="s">
        <v>2299</v>
      </c>
      <c r="E1750" s="9" t="s">
        <v>2300</v>
      </c>
      <c r="F1750" s="109" t="str">
        <f t="shared" ref="F1750:G1750" si="1749">TRANSLATE(D1750,"lzh","vi")</f>
        <v>#NAME?</v>
      </c>
      <c r="G1750" s="109" t="str">
        <f t="shared" si="1749"/>
        <v>#NAME?</v>
      </c>
      <c r="X1750" s="110"/>
    </row>
    <row r="1751" ht="21.0" customHeight="1">
      <c r="A1751" s="6">
        <v>11.0</v>
      </c>
      <c r="B1751" s="6">
        <v>1022.0</v>
      </c>
      <c r="C1751" s="6">
        <v>2.0</v>
      </c>
      <c r="D1751" s="122" t="s">
        <v>2301</v>
      </c>
      <c r="E1751" s="9" t="s">
        <v>2302</v>
      </c>
      <c r="F1751" s="109" t="str">
        <f t="shared" ref="F1751:G1751" si="1750">TRANSLATE(D1751,"lzh","vi")</f>
        <v>#NAME?</v>
      </c>
      <c r="G1751" s="109" t="str">
        <f t="shared" si="1750"/>
        <v>#NAME?</v>
      </c>
      <c r="X1751" s="110"/>
    </row>
    <row r="1752" ht="21.0" customHeight="1">
      <c r="A1752" s="6">
        <v>11.0</v>
      </c>
      <c r="B1752" s="6">
        <v>1022.0</v>
      </c>
      <c r="C1752" s="6">
        <v>3.0</v>
      </c>
      <c r="D1752" s="122" t="s">
        <v>2303</v>
      </c>
      <c r="E1752" s="9" t="s">
        <v>2304</v>
      </c>
      <c r="F1752" s="109" t="str">
        <f t="shared" ref="F1752:G1752" si="1751">TRANSLATE(D1752,"lzh","vi")</f>
        <v>#NAME?</v>
      </c>
      <c r="G1752" s="109" t="str">
        <f t="shared" si="1751"/>
        <v>#NAME?</v>
      </c>
      <c r="X1752" s="110"/>
    </row>
    <row r="1753" ht="21.0" customHeight="1">
      <c r="A1753" s="6">
        <v>11.0</v>
      </c>
      <c r="B1753" s="6">
        <v>1022.0</v>
      </c>
      <c r="C1753" s="6">
        <v>4.0</v>
      </c>
      <c r="D1753" s="122" t="s">
        <v>2305</v>
      </c>
      <c r="E1753" s="9" t="s">
        <v>2306</v>
      </c>
      <c r="F1753" s="109" t="str">
        <f t="shared" ref="F1753:G1753" si="1752">TRANSLATE(D1753,"lzh","vi")</f>
        <v>#NAME?</v>
      </c>
      <c r="G1753" s="109" t="str">
        <f t="shared" si="1752"/>
        <v>#NAME?</v>
      </c>
      <c r="X1753" s="110"/>
    </row>
    <row r="1754" ht="21.0" customHeight="1">
      <c r="A1754" s="6">
        <v>10.0</v>
      </c>
      <c r="B1754" s="6">
        <v>1022.0</v>
      </c>
      <c r="C1754" s="6">
        <v>5.0</v>
      </c>
      <c r="D1754" s="122" t="s">
        <v>2307</v>
      </c>
      <c r="E1754" s="9" t="s">
        <v>2308</v>
      </c>
      <c r="F1754" s="109" t="str">
        <f t="shared" ref="F1754:G1754" si="1753">TRANSLATE(D1754,"lzh","vi")</f>
        <v>#NAME?</v>
      </c>
      <c r="G1754" s="109" t="str">
        <f t="shared" si="1753"/>
        <v>#NAME?</v>
      </c>
      <c r="X1754" s="110"/>
    </row>
    <row r="1755" ht="21.0" customHeight="1">
      <c r="A1755" s="6">
        <v>10.0</v>
      </c>
      <c r="B1755" s="6">
        <v>1022.0</v>
      </c>
      <c r="C1755" s="6">
        <v>6.0</v>
      </c>
      <c r="D1755" s="122" t="s">
        <v>2309</v>
      </c>
      <c r="E1755" s="9" t="s">
        <v>2310</v>
      </c>
      <c r="F1755" s="109" t="str">
        <f t="shared" ref="F1755:G1755" si="1754">TRANSLATE(D1755,"lzh","vi")</f>
        <v>#NAME?</v>
      </c>
      <c r="G1755" s="109" t="str">
        <f t="shared" si="1754"/>
        <v>#NAME?</v>
      </c>
      <c r="X1755" s="110"/>
    </row>
    <row r="1756" ht="21.0" customHeight="1">
      <c r="A1756" s="6">
        <v>10.0</v>
      </c>
      <c r="B1756" s="6">
        <v>1022.0</v>
      </c>
      <c r="C1756" s="6">
        <v>7.0</v>
      </c>
      <c r="D1756" s="122" t="s">
        <v>2311</v>
      </c>
      <c r="E1756" s="9" t="s">
        <v>2312</v>
      </c>
      <c r="F1756" s="109" t="str">
        <f t="shared" ref="F1756:G1756" si="1755">TRANSLATE(D1756,"lzh","vi")</f>
        <v>#NAME?</v>
      </c>
      <c r="G1756" s="109" t="str">
        <f t="shared" si="1755"/>
        <v>#NAME?</v>
      </c>
      <c r="X1756" s="110"/>
    </row>
    <row r="1757" ht="21.0" customHeight="1">
      <c r="A1757" s="6">
        <v>10.0</v>
      </c>
      <c r="B1757" s="6">
        <v>1022.0</v>
      </c>
      <c r="C1757" s="6">
        <v>8.0</v>
      </c>
      <c r="D1757" s="122" t="s">
        <v>2313</v>
      </c>
      <c r="E1757" s="9" t="s">
        <v>2314</v>
      </c>
      <c r="F1757" s="109" t="str">
        <f t="shared" ref="F1757:G1757" si="1756">TRANSLATE(D1757,"lzh","vi")</f>
        <v>#NAME?</v>
      </c>
      <c r="G1757" s="109" t="str">
        <f t="shared" si="1756"/>
        <v>#NAME?</v>
      </c>
      <c r="X1757" s="110"/>
    </row>
    <row r="1758" ht="21.0" customHeight="1">
      <c r="A1758" s="6">
        <v>10.0</v>
      </c>
      <c r="B1758" s="6">
        <v>1022.0</v>
      </c>
      <c r="C1758" s="6">
        <v>9.0</v>
      </c>
      <c r="D1758" s="122" t="s">
        <v>2315</v>
      </c>
      <c r="E1758" s="9" t="s">
        <v>2316</v>
      </c>
      <c r="F1758" s="109" t="str">
        <f t="shared" ref="F1758:G1758" si="1757">TRANSLATE(D1758,"lzh","vi")</f>
        <v>#NAME?</v>
      </c>
      <c r="G1758" s="109" t="str">
        <f t="shared" si="1757"/>
        <v>#NAME?</v>
      </c>
      <c r="X1758" s="110"/>
    </row>
    <row r="1759" ht="21.0" customHeight="1">
      <c r="A1759" s="6">
        <v>10.0</v>
      </c>
      <c r="B1759" s="6">
        <v>1022.0</v>
      </c>
      <c r="C1759" s="6">
        <v>10.0</v>
      </c>
      <c r="D1759" s="122" t="s">
        <v>2317</v>
      </c>
      <c r="E1759" s="9" t="s">
        <v>2318</v>
      </c>
      <c r="F1759" s="109" t="str">
        <f t="shared" ref="F1759:G1759" si="1758">TRANSLATE(D1759,"lzh","vi")</f>
        <v>#NAME?</v>
      </c>
      <c r="G1759" s="109" t="str">
        <f t="shared" si="1758"/>
        <v>#NAME?</v>
      </c>
      <c r="X1759" s="110"/>
    </row>
    <row r="1760" ht="21.0" customHeight="1">
      <c r="A1760" s="6">
        <v>1.0</v>
      </c>
      <c r="B1760" s="6">
        <v>149.0</v>
      </c>
      <c r="C1760" s="6">
        <v>1.0</v>
      </c>
      <c r="D1760" s="122" t="s">
        <v>2319</v>
      </c>
      <c r="E1760" s="9" t="s">
        <v>2320</v>
      </c>
      <c r="F1760" s="109" t="str">
        <f t="shared" ref="F1760:G1760" si="1759">TRANSLATE(D1760,"lzh","vi")</f>
        <v>#NAME?</v>
      </c>
      <c r="G1760" s="109" t="str">
        <f t="shared" si="1759"/>
        <v>#NAME?</v>
      </c>
      <c r="X1760" s="110"/>
    </row>
    <row r="1761" ht="21.0" customHeight="1">
      <c r="A1761" s="6">
        <v>1.0</v>
      </c>
      <c r="B1761" s="6">
        <v>149.0</v>
      </c>
      <c r="C1761" s="6">
        <v>2.0</v>
      </c>
      <c r="D1761" s="122" t="s">
        <v>2321</v>
      </c>
      <c r="E1761" s="9" t="s">
        <v>2322</v>
      </c>
      <c r="F1761" s="109" t="str">
        <f t="shared" ref="F1761:G1761" si="1760">TRANSLATE(D1761,"lzh","vi")</f>
        <v>#NAME?</v>
      </c>
      <c r="G1761" s="109" t="str">
        <f t="shared" si="1760"/>
        <v>#NAME?</v>
      </c>
      <c r="X1761" s="110"/>
    </row>
    <row r="1762" ht="21.0" customHeight="1">
      <c r="A1762" s="6">
        <v>1.0</v>
      </c>
      <c r="B1762" s="6">
        <v>149.0</v>
      </c>
      <c r="C1762" s="6">
        <v>3.0</v>
      </c>
      <c r="D1762" s="122" t="s">
        <v>2323</v>
      </c>
      <c r="E1762" s="9" t="s">
        <v>2324</v>
      </c>
      <c r="F1762" s="109" t="str">
        <f t="shared" ref="F1762:G1762" si="1761">TRANSLATE(D1762,"lzh","vi")</f>
        <v>#NAME?</v>
      </c>
      <c r="G1762" s="109" t="str">
        <f t="shared" si="1761"/>
        <v>#NAME?</v>
      </c>
      <c r="X1762" s="110"/>
    </row>
    <row r="1763" ht="21.0" customHeight="1">
      <c r="A1763" s="6">
        <v>1.0</v>
      </c>
      <c r="B1763" s="6">
        <v>149.0</v>
      </c>
      <c r="C1763" s="6">
        <v>4.0</v>
      </c>
      <c r="D1763" s="122" t="s">
        <v>2325</v>
      </c>
      <c r="E1763" s="9" t="s">
        <v>2326</v>
      </c>
      <c r="F1763" s="109" t="str">
        <f t="shared" ref="F1763:G1763" si="1762">TRANSLATE(D1763,"lzh","vi")</f>
        <v>#NAME?</v>
      </c>
      <c r="G1763" s="109" t="str">
        <f t="shared" si="1762"/>
        <v>#NAME?</v>
      </c>
      <c r="X1763" s="110"/>
    </row>
    <row r="1764" ht="21.0" customHeight="1">
      <c r="A1764" s="6">
        <v>1.0</v>
      </c>
      <c r="B1764" s="6">
        <v>149.0</v>
      </c>
      <c r="C1764" s="6">
        <v>5.0</v>
      </c>
      <c r="D1764" s="122" t="s">
        <v>2327</v>
      </c>
      <c r="E1764" s="9" t="s">
        <v>2328</v>
      </c>
      <c r="F1764" s="109" t="str">
        <f t="shared" ref="F1764:G1764" si="1763">TRANSLATE(D1764,"lzh","vi")</f>
        <v>#NAME?</v>
      </c>
      <c r="G1764" s="109" t="str">
        <f t="shared" si="1763"/>
        <v>#NAME?</v>
      </c>
      <c r="X1764" s="110"/>
    </row>
    <row r="1765" ht="21.0" customHeight="1">
      <c r="A1765" s="6">
        <v>1.0</v>
      </c>
      <c r="B1765" s="6">
        <v>149.0</v>
      </c>
      <c r="C1765" s="6">
        <v>6.0</v>
      </c>
      <c r="D1765" s="122" t="s">
        <v>2329</v>
      </c>
      <c r="E1765" s="9" t="s">
        <v>2330</v>
      </c>
      <c r="F1765" s="109" t="str">
        <f t="shared" ref="F1765:G1765" si="1764">TRANSLATE(D1765,"lzh","vi")</f>
        <v>#NAME?</v>
      </c>
      <c r="G1765" s="109" t="str">
        <f t="shared" si="1764"/>
        <v>#NAME?</v>
      </c>
      <c r="X1765" s="110"/>
    </row>
    <row r="1766" ht="21.0" customHeight="1">
      <c r="A1766" s="6">
        <v>1.0</v>
      </c>
      <c r="B1766" s="6">
        <v>149.0</v>
      </c>
      <c r="C1766" s="6">
        <v>7.0</v>
      </c>
      <c r="D1766" s="122" t="s">
        <v>2331</v>
      </c>
      <c r="E1766" s="9" t="s">
        <v>2332</v>
      </c>
      <c r="F1766" s="109" t="str">
        <f t="shared" ref="F1766:G1766" si="1765">TRANSLATE(D1766,"lzh","vi")</f>
        <v>#NAME?</v>
      </c>
      <c r="G1766" s="109" t="str">
        <f t="shared" si="1765"/>
        <v>#NAME?</v>
      </c>
      <c r="X1766" s="110"/>
    </row>
    <row r="1767" ht="21.0" customHeight="1">
      <c r="A1767" s="6">
        <v>1.0</v>
      </c>
      <c r="B1767" s="6">
        <v>149.0</v>
      </c>
      <c r="C1767" s="6">
        <v>8.0</v>
      </c>
      <c r="D1767" s="122" t="s">
        <v>2333</v>
      </c>
      <c r="E1767" s="9" t="s">
        <v>2334</v>
      </c>
      <c r="F1767" s="109" t="str">
        <f t="shared" ref="F1767:G1767" si="1766">TRANSLATE(D1767,"lzh","vi")</f>
        <v>#NAME?</v>
      </c>
      <c r="G1767" s="109" t="str">
        <f t="shared" si="1766"/>
        <v>#NAME?</v>
      </c>
      <c r="X1767" s="110"/>
    </row>
    <row r="1768" ht="21.0" customHeight="1">
      <c r="A1768" s="6">
        <v>1.0</v>
      </c>
      <c r="B1768" s="6">
        <v>149.0</v>
      </c>
      <c r="C1768" s="6">
        <v>9.0</v>
      </c>
      <c r="D1768" s="122" t="s">
        <v>2335</v>
      </c>
      <c r="E1768" s="9" t="s">
        <v>2336</v>
      </c>
      <c r="F1768" s="109" t="str">
        <f t="shared" ref="F1768:G1768" si="1767">TRANSLATE(D1768,"lzh","vi")</f>
        <v>#NAME?</v>
      </c>
      <c r="G1768" s="109" t="str">
        <f t="shared" si="1767"/>
        <v>#NAME?</v>
      </c>
      <c r="X1768" s="110"/>
    </row>
    <row r="1769" ht="21.0" customHeight="1">
      <c r="A1769" s="6">
        <v>1.0</v>
      </c>
      <c r="B1769" s="6">
        <v>149.0</v>
      </c>
      <c r="C1769" s="6">
        <v>10.0</v>
      </c>
      <c r="D1769" s="122" t="s">
        <v>2337</v>
      </c>
      <c r="E1769" s="9" t="s">
        <v>2338</v>
      </c>
      <c r="F1769" s="109" t="str">
        <f t="shared" ref="F1769:G1769" si="1768">TRANSLATE(D1769,"lzh","vi")</f>
        <v>#NAME?</v>
      </c>
      <c r="G1769" s="109" t="str">
        <f t="shared" si="1768"/>
        <v>#NAME?</v>
      </c>
      <c r="X1769" s="110"/>
    </row>
    <row r="1770" ht="21.0" customHeight="1">
      <c r="A1770" s="6">
        <v>1.0</v>
      </c>
      <c r="B1770" s="6">
        <v>149.0</v>
      </c>
      <c r="C1770" s="6">
        <v>11.0</v>
      </c>
      <c r="D1770" s="122" t="s">
        <v>2339</v>
      </c>
      <c r="E1770" s="9" t="s">
        <v>2340</v>
      </c>
      <c r="F1770" s="109" t="str">
        <f t="shared" ref="F1770:G1770" si="1769">TRANSLATE(D1770,"lzh","vi")</f>
        <v>#NAME?</v>
      </c>
      <c r="G1770" s="109" t="str">
        <f t="shared" si="1769"/>
        <v>#NAME?</v>
      </c>
      <c r="X1770" s="110"/>
    </row>
    <row r="1771" ht="21.0" customHeight="1">
      <c r="A1771" s="6">
        <v>1.0</v>
      </c>
      <c r="B1771" s="6">
        <v>149.0</v>
      </c>
      <c r="C1771" s="6">
        <v>12.0</v>
      </c>
      <c r="D1771" s="122" t="s">
        <v>2341</v>
      </c>
      <c r="E1771" s="9" t="s">
        <v>2342</v>
      </c>
      <c r="F1771" s="109" t="str">
        <f t="shared" ref="F1771:G1771" si="1770">TRANSLATE(D1771,"lzh","vi")</f>
        <v>#NAME?</v>
      </c>
      <c r="G1771" s="109" t="str">
        <f t="shared" si="1770"/>
        <v>#NAME?</v>
      </c>
      <c r="X1771" s="110"/>
    </row>
    <row r="1772" ht="21.0" customHeight="1">
      <c r="A1772" s="6">
        <v>1.0</v>
      </c>
      <c r="B1772" s="6">
        <v>149.0</v>
      </c>
      <c r="C1772" s="6">
        <v>13.0</v>
      </c>
      <c r="D1772" s="122" t="s">
        <v>2343</v>
      </c>
      <c r="E1772" s="9" t="s">
        <v>2344</v>
      </c>
      <c r="F1772" s="109" t="str">
        <f t="shared" ref="F1772:G1772" si="1771">TRANSLATE(D1772,"lzh","vi")</f>
        <v>#NAME?</v>
      </c>
      <c r="G1772" s="109" t="str">
        <f t="shared" si="1771"/>
        <v>#NAME?</v>
      </c>
      <c r="X1772" s="110"/>
    </row>
    <row r="1773" ht="21.0" customHeight="1">
      <c r="A1773" s="6">
        <v>1.0</v>
      </c>
      <c r="B1773" s="6">
        <v>149.0</v>
      </c>
      <c r="C1773" s="6">
        <v>14.0</v>
      </c>
      <c r="D1773" s="122" t="s">
        <v>2345</v>
      </c>
      <c r="E1773" s="9" t="s">
        <v>2346</v>
      </c>
      <c r="F1773" s="109" t="str">
        <f t="shared" ref="F1773:G1773" si="1772">TRANSLATE(D1773,"lzh","vi")</f>
        <v>#NAME?</v>
      </c>
      <c r="G1773" s="109" t="str">
        <f t="shared" si="1772"/>
        <v>#NAME?</v>
      </c>
      <c r="X1773" s="110"/>
    </row>
    <row r="1774" ht="21.0" customHeight="1">
      <c r="A1774" s="6">
        <v>1.0</v>
      </c>
      <c r="B1774" s="6">
        <v>149.0</v>
      </c>
      <c r="C1774" s="6">
        <v>15.0</v>
      </c>
      <c r="D1774" s="122" t="s">
        <v>2347</v>
      </c>
      <c r="E1774" s="9" t="s">
        <v>2348</v>
      </c>
      <c r="F1774" s="109" t="str">
        <f t="shared" ref="F1774:G1774" si="1773">TRANSLATE(D1774,"lzh","vi")</f>
        <v>#NAME?</v>
      </c>
      <c r="G1774" s="109" t="str">
        <f t="shared" si="1773"/>
        <v>#NAME?</v>
      </c>
      <c r="X1774" s="110"/>
    </row>
    <row r="1775" ht="21.0" customHeight="1">
      <c r="A1775" s="6">
        <v>1.0</v>
      </c>
      <c r="B1775" s="6">
        <v>150.0</v>
      </c>
      <c r="C1775" s="6">
        <v>1.0</v>
      </c>
      <c r="D1775" s="122" t="s">
        <v>2349</v>
      </c>
      <c r="E1775" s="9" t="s">
        <v>2350</v>
      </c>
      <c r="F1775" s="109" t="str">
        <f t="shared" ref="F1775:G1775" si="1774">TRANSLATE(D1775,"lzh","vi")</f>
        <v>#NAME?</v>
      </c>
      <c r="G1775" s="109" t="str">
        <f t="shared" si="1774"/>
        <v>#NAME?</v>
      </c>
      <c r="X1775" s="110"/>
    </row>
    <row r="1776" ht="21.0" customHeight="1">
      <c r="A1776" s="6">
        <v>1.0</v>
      </c>
      <c r="B1776" s="6">
        <v>150.0</v>
      </c>
      <c r="C1776" s="6">
        <v>2.0</v>
      </c>
      <c r="D1776" s="122" t="s">
        <v>2351</v>
      </c>
      <c r="E1776" s="9" t="s">
        <v>2352</v>
      </c>
      <c r="F1776" s="109" t="str">
        <f t="shared" ref="F1776:G1776" si="1775">TRANSLATE(D1776,"lzh","vi")</f>
        <v>#NAME?</v>
      </c>
      <c r="G1776" s="109" t="str">
        <f t="shared" si="1775"/>
        <v>#NAME?</v>
      </c>
      <c r="X1776" s="110"/>
    </row>
    <row r="1777" ht="21.0" customHeight="1">
      <c r="A1777" s="6">
        <v>1.0</v>
      </c>
      <c r="B1777" s="6">
        <v>150.0</v>
      </c>
      <c r="C1777" s="6">
        <v>3.0</v>
      </c>
      <c r="D1777" s="122" t="s">
        <v>2353</v>
      </c>
      <c r="E1777" s="9" t="s">
        <v>2354</v>
      </c>
      <c r="F1777" s="109" t="str">
        <f t="shared" ref="F1777:G1777" si="1776">TRANSLATE(D1777,"lzh","vi")</f>
        <v>#NAME?</v>
      </c>
      <c r="G1777" s="109" t="str">
        <f t="shared" si="1776"/>
        <v>#NAME?</v>
      </c>
      <c r="X1777" s="110"/>
    </row>
    <row r="1778" ht="21.0" customHeight="1">
      <c r="A1778" s="6">
        <v>1.0</v>
      </c>
      <c r="B1778" s="6">
        <v>150.0</v>
      </c>
      <c r="C1778" s="6">
        <v>4.0</v>
      </c>
      <c r="D1778" s="122" t="s">
        <v>2355</v>
      </c>
      <c r="E1778" s="9" t="s">
        <v>2356</v>
      </c>
      <c r="F1778" s="109" t="str">
        <f t="shared" ref="F1778:G1778" si="1777">TRANSLATE(D1778,"lzh","vi")</f>
        <v>#NAME?</v>
      </c>
      <c r="G1778" s="109" t="str">
        <f t="shared" si="1777"/>
        <v>#NAME?</v>
      </c>
      <c r="X1778" s="110"/>
    </row>
    <row r="1779" ht="21.0" customHeight="1">
      <c r="A1779" s="6">
        <v>1.0</v>
      </c>
      <c r="B1779" s="6">
        <v>150.0</v>
      </c>
      <c r="C1779" s="6">
        <v>5.0</v>
      </c>
      <c r="D1779" s="122" t="s">
        <v>2357</v>
      </c>
      <c r="E1779" s="9" t="s">
        <v>2358</v>
      </c>
      <c r="F1779" s="109" t="str">
        <f t="shared" ref="F1779:G1779" si="1778">TRANSLATE(D1779,"lzh","vi")</f>
        <v>#NAME?</v>
      </c>
      <c r="G1779" s="109" t="str">
        <f t="shared" si="1778"/>
        <v>#NAME?</v>
      </c>
      <c r="X1779" s="110"/>
    </row>
    <row r="1780" ht="21.0" customHeight="1">
      <c r="A1780" s="6">
        <v>1.0</v>
      </c>
      <c r="B1780" s="6">
        <v>150.0</v>
      </c>
      <c r="C1780" s="6">
        <v>6.0</v>
      </c>
      <c r="D1780" s="122" t="s">
        <v>2359</v>
      </c>
      <c r="E1780" s="9" t="s">
        <v>2360</v>
      </c>
      <c r="F1780" s="109" t="str">
        <f t="shared" ref="F1780:G1780" si="1779">TRANSLATE(D1780,"lzh","vi")</f>
        <v>#NAME?</v>
      </c>
      <c r="G1780" s="109" t="str">
        <f t="shared" si="1779"/>
        <v>#NAME?</v>
      </c>
      <c r="X1780" s="110"/>
    </row>
    <row r="1781" ht="21.0" customHeight="1">
      <c r="A1781" s="6">
        <v>1.0</v>
      </c>
      <c r="B1781" s="6">
        <v>150.0</v>
      </c>
      <c r="C1781" s="6">
        <v>7.0</v>
      </c>
      <c r="D1781" s="122" t="s">
        <v>2361</v>
      </c>
      <c r="E1781" s="9" t="s">
        <v>2362</v>
      </c>
      <c r="F1781" s="109" t="str">
        <f t="shared" ref="F1781:G1781" si="1780">TRANSLATE(D1781,"lzh","vi")</f>
        <v>#NAME?</v>
      </c>
      <c r="G1781" s="109" t="str">
        <f t="shared" si="1780"/>
        <v>#NAME?</v>
      </c>
      <c r="X1781" s="110"/>
    </row>
    <row r="1782" ht="21.0" customHeight="1">
      <c r="A1782" s="6">
        <v>1.0</v>
      </c>
      <c r="B1782" s="6">
        <v>150.0</v>
      </c>
      <c r="C1782" s="6">
        <v>8.0</v>
      </c>
      <c r="D1782" s="122" t="s">
        <v>2363</v>
      </c>
      <c r="E1782" s="9" t="s">
        <v>2364</v>
      </c>
      <c r="F1782" s="109" t="str">
        <f t="shared" ref="F1782:G1782" si="1781">TRANSLATE(D1782,"lzh","vi")</f>
        <v>#NAME?</v>
      </c>
      <c r="G1782" s="109" t="str">
        <f t="shared" si="1781"/>
        <v>#NAME?</v>
      </c>
      <c r="X1782" s="110"/>
    </row>
    <row r="1783" ht="21.0" customHeight="1">
      <c r="A1783" s="6">
        <v>1.0</v>
      </c>
      <c r="B1783" s="6">
        <v>150.0</v>
      </c>
      <c r="C1783" s="6">
        <v>9.0</v>
      </c>
      <c r="D1783" s="122" t="s">
        <v>2365</v>
      </c>
      <c r="E1783" s="9" t="s">
        <v>2366</v>
      </c>
      <c r="F1783" s="109" t="str">
        <f t="shared" ref="F1783:G1783" si="1782">TRANSLATE(D1783,"lzh","vi")</f>
        <v>#NAME?</v>
      </c>
      <c r="G1783" s="109" t="str">
        <f t="shared" si="1782"/>
        <v>#NAME?</v>
      </c>
      <c r="X1783" s="110"/>
    </row>
    <row r="1784" ht="21.0" customHeight="1">
      <c r="A1784" s="6">
        <v>1.0</v>
      </c>
      <c r="B1784" s="6">
        <v>150.0</v>
      </c>
      <c r="C1784" s="6">
        <v>10.0</v>
      </c>
      <c r="D1784" s="122" t="s">
        <v>2367</v>
      </c>
      <c r="E1784" s="9" t="s">
        <v>2368</v>
      </c>
      <c r="F1784" s="109" t="str">
        <f t="shared" ref="F1784:G1784" si="1783">TRANSLATE(D1784,"lzh","vi")</f>
        <v>#NAME?</v>
      </c>
      <c r="G1784" s="109" t="str">
        <f t="shared" si="1783"/>
        <v>#NAME?</v>
      </c>
      <c r="X1784" s="110"/>
    </row>
    <row r="1785" ht="21.0" customHeight="1">
      <c r="A1785" s="6">
        <v>1.0</v>
      </c>
      <c r="B1785" s="6">
        <v>150.0</v>
      </c>
      <c r="C1785" s="6">
        <v>11.0</v>
      </c>
      <c r="D1785" s="122" t="s">
        <v>2369</v>
      </c>
      <c r="E1785" s="9" t="s">
        <v>2370</v>
      </c>
      <c r="F1785" s="109" t="str">
        <f t="shared" ref="F1785:G1785" si="1784">TRANSLATE(D1785,"lzh","vi")</f>
        <v>#NAME?</v>
      </c>
      <c r="G1785" s="109" t="str">
        <f t="shared" si="1784"/>
        <v>#NAME?</v>
      </c>
      <c r="X1785" s="110"/>
    </row>
    <row r="1786" ht="21.0" customHeight="1">
      <c r="A1786" s="6">
        <v>1.0</v>
      </c>
      <c r="B1786" s="6">
        <v>150.0</v>
      </c>
      <c r="C1786" s="6">
        <v>12.0</v>
      </c>
      <c r="D1786" s="122" t="s">
        <v>2371</v>
      </c>
      <c r="E1786" s="9" t="s">
        <v>2372</v>
      </c>
      <c r="F1786" s="109" t="str">
        <f t="shared" ref="F1786:G1786" si="1785">TRANSLATE(D1786,"lzh","vi")</f>
        <v>#NAME?</v>
      </c>
      <c r="G1786" s="109" t="str">
        <f t="shared" si="1785"/>
        <v>#NAME?</v>
      </c>
      <c r="X1786" s="110"/>
    </row>
    <row r="1787" ht="21.0" customHeight="1">
      <c r="A1787" s="6">
        <v>1.0</v>
      </c>
      <c r="B1787" s="6">
        <v>150.0</v>
      </c>
      <c r="C1787" s="6">
        <v>13.0</v>
      </c>
      <c r="D1787" s="122" t="s">
        <v>2373</v>
      </c>
      <c r="E1787" s="9" t="s">
        <v>2374</v>
      </c>
      <c r="F1787" s="109" t="str">
        <f t="shared" ref="F1787:G1787" si="1786">TRANSLATE(D1787,"lzh","vi")</f>
        <v>#NAME?</v>
      </c>
      <c r="G1787" s="109" t="str">
        <f t="shared" si="1786"/>
        <v>#NAME?</v>
      </c>
      <c r="X1787" s="110"/>
    </row>
    <row r="1788" ht="21.0" customHeight="1">
      <c r="A1788" s="6">
        <v>1.0</v>
      </c>
      <c r="B1788" s="6">
        <v>151.0</v>
      </c>
      <c r="C1788" s="6">
        <v>1.0</v>
      </c>
      <c r="D1788" s="122" t="s">
        <v>2375</v>
      </c>
      <c r="E1788" s="9" t="s">
        <v>2376</v>
      </c>
      <c r="F1788" s="109" t="str">
        <f t="shared" ref="F1788:G1788" si="1787">TRANSLATE(D1788,"lzh","vi")</f>
        <v>#NAME?</v>
      </c>
      <c r="G1788" s="109" t="str">
        <f t="shared" si="1787"/>
        <v>#NAME?</v>
      </c>
      <c r="X1788" s="110"/>
    </row>
    <row r="1789" ht="21.0" customHeight="1">
      <c r="A1789" s="6">
        <v>1.0</v>
      </c>
      <c r="B1789" s="6">
        <v>151.0</v>
      </c>
      <c r="C1789" s="6">
        <v>2.0</v>
      </c>
      <c r="D1789" s="122" t="s">
        <v>2377</v>
      </c>
      <c r="E1789" s="9" t="s">
        <v>2378</v>
      </c>
      <c r="F1789" s="109" t="str">
        <f t="shared" ref="F1789:G1789" si="1788">TRANSLATE(D1789,"lzh","vi")</f>
        <v>#NAME?</v>
      </c>
      <c r="G1789" s="109" t="str">
        <f t="shared" si="1788"/>
        <v>#NAME?</v>
      </c>
      <c r="X1789" s="110"/>
    </row>
    <row r="1790" ht="21.0" customHeight="1">
      <c r="A1790" s="6">
        <v>1.0</v>
      </c>
      <c r="B1790" s="6">
        <v>151.0</v>
      </c>
      <c r="C1790" s="6">
        <v>3.0</v>
      </c>
      <c r="D1790" s="122" t="s">
        <v>2379</v>
      </c>
      <c r="E1790" s="9" t="s">
        <v>2380</v>
      </c>
      <c r="F1790" s="109" t="str">
        <f t="shared" ref="F1790:G1790" si="1789">TRANSLATE(D1790,"lzh","vi")</f>
        <v>#NAME?</v>
      </c>
      <c r="G1790" s="109" t="str">
        <f t="shared" si="1789"/>
        <v>#NAME?</v>
      </c>
      <c r="X1790" s="110"/>
    </row>
    <row r="1791" ht="21.0" customHeight="1">
      <c r="A1791" s="6">
        <v>1.0</v>
      </c>
      <c r="B1791" s="6">
        <v>151.0</v>
      </c>
      <c r="C1791" s="6">
        <v>4.0</v>
      </c>
      <c r="D1791" s="122" t="s">
        <v>2381</v>
      </c>
      <c r="E1791" s="9" t="s">
        <v>2382</v>
      </c>
      <c r="F1791" s="109" t="str">
        <f t="shared" ref="F1791:G1791" si="1790">TRANSLATE(D1791,"lzh","vi")</f>
        <v>#NAME?</v>
      </c>
      <c r="G1791" s="109" t="str">
        <f t="shared" si="1790"/>
        <v>#NAME?</v>
      </c>
      <c r="X1791" s="110"/>
    </row>
    <row r="1792" ht="21.0" customHeight="1">
      <c r="A1792" s="6">
        <v>1.0</v>
      </c>
      <c r="B1792" s="6">
        <v>151.0</v>
      </c>
      <c r="C1792" s="6">
        <v>5.0</v>
      </c>
      <c r="D1792" s="122" t="s">
        <v>2383</v>
      </c>
      <c r="E1792" s="9" t="s">
        <v>2384</v>
      </c>
      <c r="F1792" s="109" t="str">
        <f t="shared" ref="F1792:G1792" si="1791">TRANSLATE(D1792,"lzh","vi")</f>
        <v>#NAME?</v>
      </c>
      <c r="G1792" s="109" t="str">
        <f t="shared" si="1791"/>
        <v>#NAME?</v>
      </c>
      <c r="X1792" s="110"/>
    </row>
    <row r="1793" ht="21.0" customHeight="1">
      <c r="A1793" s="6">
        <v>1.0</v>
      </c>
      <c r="B1793" s="6">
        <v>151.0</v>
      </c>
      <c r="C1793" s="6">
        <v>6.0</v>
      </c>
      <c r="D1793" s="122" t="s">
        <v>2385</v>
      </c>
      <c r="E1793" s="9" t="s">
        <v>2386</v>
      </c>
      <c r="F1793" s="109" t="str">
        <f t="shared" ref="F1793:G1793" si="1792">TRANSLATE(D1793,"lzh","vi")</f>
        <v>#NAME?</v>
      </c>
      <c r="G1793" s="109" t="str">
        <f t="shared" si="1792"/>
        <v>#NAME?</v>
      </c>
      <c r="X1793" s="110"/>
    </row>
    <row r="1794" ht="21.0" customHeight="1">
      <c r="A1794" s="6">
        <v>1.0</v>
      </c>
      <c r="B1794" s="6">
        <v>151.0</v>
      </c>
      <c r="C1794" s="6">
        <v>7.0</v>
      </c>
      <c r="D1794" s="122" t="s">
        <v>2387</v>
      </c>
      <c r="E1794" s="9" t="s">
        <v>2388</v>
      </c>
      <c r="F1794" s="109" t="str">
        <f t="shared" ref="F1794:G1794" si="1793">TRANSLATE(D1794,"lzh","vi")</f>
        <v>#NAME?</v>
      </c>
      <c r="G1794" s="109" t="str">
        <f t="shared" si="1793"/>
        <v>#NAME?</v>
      </c>
      <c r="X1794" s="110"/>
    </row>
    <row r="1795" ht="21.0" customHeight="1">
      <c r="A1795" s="6">
        <v>1.0</v>
      </c>
      <c r="B1795" s="6">
        <v>151.0</v>
      </c>
      <c r="C1795" s="6">
        <v>8.0</v>
      </c>
      <c r="D1795" s="122" t="s">
        <v>2389</v>
      </c>
      <c r="E1795" s="9" t="s">
        <v>2390</v>
      </c>
      <c r="F1795" s="109" t="str">
        <f t="shared" ref="F1795:G1795" si="1794">TRANSLATE(D1795,"lzh","vi")</f>
        <v>#NAME?</v>
      </c>
      <c r="G1795" s="109" t="str">
        <f t="shared" si="1794"/>
        <v>#NAME?</v>
      </c>
      <c r="X1795" s="110"/>
    </row>
    <row r="1796" ht="21.0" customHeight="1">
      <c r="A1796" s="6">
        <v>1.0</v>
      </c>
      <c r="B1796" s="6">
        <v>151.0</v>
      </c>
      <c r="C1796" s="6">
        <v>9.0</v>
      </c>
      <c r="D1796" s="122" t="s">
        <v>2391</v>
      </c>
      <c r="E1796" s="9" t="s">
        <v>2392</v>
      </c>
      <c r="F1796" s="109" t="str">
        <f t="shared" ref="F1796:G1796" si="1795">TRANSLATE(D1796,"lzh","vi")</f>
        <v>#NAME?</v>
      </c>
      <c r="G1796" s="109" t="str">
        <f t="shared" si="1795"/>
        <v>#NAME?</v>
      </c>
      <c r="X1796" s="110"/>
    </row>
    <row r="1797" ht="21.0" customHeight="1">
      <c r="A1797" s="6">
        <v>1.0</v>
      </c>
      <c r="B1797" s="6">
        <v>151.0</v>
      </c>
      <c r="C1797" s="6">
        <v>10.0</v>
      </c>
      <c r="D1797" s="122" t="s">
        <v>2393</v>
      </c>
      <c r="E1797" s="9" t="s">
        <v>2394</v>
      </c>
      <c r="F1797" s="109" t="str">
        <f t="shared" ref="F1797:G1797" si="1796">TRANSLATE(D1797,"lzh","vi")</f>
        <v>#NAME?</v>
      </c>
      <c r="G1797" s="109" t="str">
        <f t="shared" si="1796"/>
        <v>#NAME?</v>
      </c>
      <c r="X1797" s="110"/>
    </row>
    <row r="1798" ht="21.0" customHeight="1">
      <c r="A1798" s="6">
        <v>1.0</v>
      </c>
      <c r="B1798" s="6">
        <v>151.0</v>
      </c>
      <c r="C1798" s="6">
        <v>11.0</v>
      </c>
      <c r="D1798" s="122" t="s">
        <v>2395</v>
      </c>
      <c r="E1798" s="9" t="s">
        <v>2396</v>
      </c>
      <c r="F1798" s="109" t="str">
        <f t="shared" ref="F1798:G1798" si="1797">TRANSLATE(D1798,"lzh","vi")</f>
        <v>#NAME?</v>
      </c>
      <c r="G1798" s="109" t="str">
        <f t="shared" si="1797"/>
        <v>#NAME?</v>
      </c>
      <c r="X1798" s="110"/>
    </row>
    <row r="1799" ht="21.0" customHeight="1">
      <c r="A1799" s="6">
        <v>1.0</v>
      </c>
      <c r="B1799" s="6">
        <v>151.0</v>
      </c>
      <c r="C1799" s="6">
        <v>12.0</v>
      </c>
      <c r="D1799" s="122" t="s">
        <v>2397</v>
      </c>
      <c r="E1799" s="9" t="s">
        <v>2398</v>
      </c>
      <c r="F1799" s="109" t="str">
        <f t="shared" ref="F1799:G1799" si="1798">TRANSLATE(D1799,"lzh","vi")</f>
        <v>#NAME?</v>
      </c>
      <c r="G1799" s="109" t="str">
        <f t="shared" si="1798"/>
        <v>#NAME?</v>
      </c>
      <c r="X1799" s="110"/>
    </row>
    <row r="1800" ht="21.0" customHeight="1">
      <c r="A1800" s="6">
        <v>1.0</v>
      </c>
      <c r="B1800" s="6">
        <v>151.0</v>
      </c>
      <c r="C1800" s="6">
        <v>13.0</v>
      </c>
      <c r="D1800" s="122" t="s">
        <v>2399</v>
      </c>
      <c r="E1800" s="9" t="s">
        <v>2400</v>
      </c>
      <c r="F1800" s="109" t="str">
        <f t="shared" ref="F1800:G1800" si="1799">TRANSLATE(D1800,"lzh","vi")</f>
        <v>#NAME?</v>
      </c>
      <c r="G1800" s="109" t="str">
        <f t="shared" si="1799"/>
        <v>#NAME?</v>
      </c>
      <c r="X1800" s="110"/>
    </row>
    <row r="1801" ht="21.0" customHeight="1">
      <c r="A1801" s="6">
        <v>1.0</v>
      </c>
      <c r="B1801" s="6">
        <v>152.0</v>
      </c>
      <c r="C1801" s="6">
        <v>1.0</v>
      </c>
      <c r="D1801" s="122" t="s">
        <v>2401</v>
      </c>
      <c r="E1801" s="9" t="s">
        <v>2402</v>
      </c>
      <c r="F1801" s="109" t="str">
        <f t="shared" ref="F1801:G1801" si="1800">TRANSLATE(D1801,"lzh","vi")</f>
        <v>#NAME?</v>
      </c>
      <c r="G1801" s="109" t="str">
        <f t="shared" si="1800"/>
        <v>#NAME?</v>
      </c>
      <c r="X1801" s="110"/>
    </row>
    <row r="1802" ht="21.0" customHeight="1">
      <c r="A1802" s="6">
        <v>1.0</v>
      </c>
      <c r="B1802" s="6">
        <v>152.0</v>
      </c>
      <c r="C1802" s="6">
        <v>2.0</v>
      </c>
      <c r="D1802" s="122" t="s">
        <v>2403</v>
      </c>
      <c r="E1802" s="9" t="s">
        <v>2404</v>
      </c>
      <c r="F1802" s="109" t="str">
        <f t="shared" ref="F1802:G1802" si="1801">TRANSLATE(D1802,"lzh","vi")</f>
        <v>#NAME?</v>
      </c>
      <c r="G1802" s="109" t="str">
        <f t="shared" si="1801"/>
        <v>#NAME?</v>
      </c>
      <c r="X1802" s="110"/>
    </row>
    <row r="1803" ht="21.0" customHeight="1">
      <c r="A1803" s="6">
        <v>1.0</v>
      </c>
      <c r="B1803" s="6">
        <v>152.0</v>
      </c>
      <c r="C1803" s="6">
        <v>3.0</v>
      </c>
      <c r="D1803" s="122" t="s">
        <v>2405</v>
      </c>
      <c r="E1803" s="9" t="s">
        <v>2406</v>
      </c>
      <c r="F1803" s="109" t="str">
        <f t="shared" ref="F1803:G1803" si="1802">TRANSLATE(D1803,"lzh","vi")</f>
        <v>#NAME?</v>
      </c>
      <c r="G1803" s="109" t="str">
        <f t="shared" si="1802"/>
        <v>#NAME?</v>
      </c>
      <c r="X1803" s="110"/>
    </row>
    <row r="1804" ht="21.0" customHeight="1">
      <c r="A1804" s="6">
        <v>1.0</v>
      </c>
      <c r="B1804" s="6">
        <v>152.0</v>
      </c>
      <c r="C1804" s="6">
        <v>4.0</v>
      </c>
      <c r="D1804" s="122" t="s">
        <v>2407</v>
      </c>
      <c r="E1804" s="9" t="s">
        <v>2408</v>
      </c>
      <c r="F1804" s="109" t="str">
        <f t="shared" ref="F1804:G1804" si="1803">TRANSLATE(D1804,"lzh","vi")</f>
        <v>#NAME?</v>
      </c>
      <c r="G1804" s="109" t="str">
        <f t="shared" si="1803"/>
        <v>#NAME?</v>
      </c>
      <c r="X1804" s="110"/>
    </row>
    <row r="1805" ht="21.0" customHeight="1">
      <c r="A1805" s="6">
        <v>1.0</v>
      </c>
      <c r="B1805" s="6">
        <v>152.0</v>
      </c>
      <c r="C1805" s="6">
        <v>5.0</v>
      </c>
      <c r="D1805" s="122" t="s">
        <v>2409</v>
      </c>
      <c r="E1805" s="9" t="s">
        <v>2410</v>
      </c>
      <c r="F1805" s="109" t="str">
        <f t="shared" ref="F1805:G1805" si="1804">TRANSLATE(D1805,"lzh","vi")</f>
        <v>#NAME?</v>
      </c>
      <c r="G1805" s="109" t="str">
        <f t="shared" si="1804"/>
        <v>#NAME?</v>
      </c>
      <c r="X1805" s="110"/>
    </row>
    <row r="1806" ht="21.0" customHeight="1">
      <c r="A1806" s="6">
        <v>1.0</v>
      </c>
      <c r="B1806" s="6">
        <v>152.0</v>
      </c>
      <c r="C1806" s="6">
        <v>6.0</v>
      </c>
      <c r="D1806" s="122" t="s">
        <v>2411</v>
      </c>
      <c r="E1806" s="9" t="s">
        <v>2412</v>
      </c>
      <c r="F1806" s="109" t="str">
        <f t="shared" ref="F1806:G1806" si="1805">TRANSLATE(D1806,"lzh","vi")</f>
        <v>#NAME?</v>
      </c>
      <c r="G1806" s="109" t="str">
        <f t="shared" si="1805"/>
        <v>#NAME?</v>
      </c>
      <c r="X1806" s="110"/>
    </row>
    <row r="1807" ht="21.0" customHeight="1">
      <c r="A1807" s="6">
        <v>1.0</v>
      </c>
      <c r="B1807" s="6">
        <v>152.0</v>
      </c>
      <c r="C1807" s="6">
        <v>7.0</v>
      </c>
      <c r="D1807" s="122" t="s">
        <v>2413</v>
      </c>
      <c r="E1807" s="9" t="s">
        <v>2414</v>
      </c>
      <c r="F1807" s="109" t="str">
        <f t="shared" ref="F1807:G1807" si="1806">TRANSLATE(D1807,"lzh","vi")</f>
        <v>#NAME?</v>
      </c>
      <c r="G1807" s="109" t="str">
        <f t="shared" si="1806"/>
        <v>#NAME?</v>
      </c>
      <c r="X1807" s="110"/>
    </row>
    <row r="1808" ht="21.0" customHeight="1">
      <c r="A1808" s="6">
        <v>1.0</v>
      </c>
      <c r="B1808" s="6">
        <v>152.0</v>
      </c>
      <c r="C1808" s="6">
        <v>8.0</v>
      </c>
      <c r="D1808" s="122" t="s">
        <v>2415</v>
      </c>
      <c r="E1808" s="9" t="s">
        <v>2416</v>
      </c>
      <c r="F1808" s="109" t="str">
        <f t="shared" ref="F1808:G1808" si="1807">TRANSLATE(D1808,"lzh","vi")</f>
        <v>#NAME?</v>
      </c>
      <c r="G1808" s="109" t="str">
        <f t="shared" si="1807"/>
        <v>#NAME?</v>
      </c>
      <c r="X1808" s="110"/>
    </row>
    <row r="1809" ht="21.0" customHeight="1">
      <c r="A1809" s="6">
        <v>1.0</v>
      </c>
      <c r="B1809" s="6">
        <v>152.0</v>
      </c>
      <c r="C1809" s="6">
        <v>9.0</v>
      </c>
      <c r="D1809" s="122" t="s">
        <v>2417</v>
      </c>
      <c r="E1809" s="9" t="s">
        <v>2418</v>
      </c>
      <c r="F1809" s="109" t="str">
        <f t="shared" ref="F1809:G1809" si="1808">TRANSLATE(D1809,"lzh","vi")</f>
        <v>#NAME?</v>
      </c>
      <c r="G1809" s="109" t="str">
        <f t="shared" si="1808"/>
        <v>#NAME?</v>
      </c>
      <c r="X1809" s="110"/>
    </row>
    <row r="1810" ht="21.0" customHeight="1">
      <c r="A1810" s="6">
        <v>1.0</v>
      </c>
      <c r="B1810" s="6">
        <v>152.0</v>
      </c>
      <c r="C1810" s="6">
        <v>10.0</v>
      </c>
      <c r="D1810" s="122" t="s">
        <v>2419</v>
      </c>
      <c r="E1810" s="9" t="s">
        <v>2420</v>
      </c>
      <c r="F1810" s="109" t="str">
        <f t="shared" ref="F1810:G1810" si="1809">TRANSLATE(D1810,"lzh","vi")</f>
        <v>#NAME?</v>
      </c>
      <c r="G1810" s="109" t="str">
        <f t="shared" si="1809"/>
        <v>#NAME?</v>
      </c>
      <c r="X1810" s="110"/>
    </row>
    <row r="1811" ht="21.0" customHeight="1">
      <c r="A1811" s="6">
        <v>1.0</v>
      </c>
      <c r="B1811" s="6">
        <v>152.0</v>
      </c>
      <c r="C1811" s="6">
        <v>11.0</v>
      </c>
      <c r="D1811" s="122" t="s">
        <v>2421</v>
      </c>
      <c r="E1811" s="9" t="s">
        <v>2422</v>
      </c>
      <c r="F1811" s="109" t="str">
        <f t="shared" ref="F1811:G1811" si="1810">TRANSLATE(D1811,"lzh","vi")</f>
        <v>#NAME?</v>
      </c>
      <c r="G1811" s="109" t="str">
        <f t="shared" si="1810"/>
        <v>#NAME?</v>
      </c>
      <c r="X1811" s="110"/>
    </row>
    <row r="1812" ht="21.0" customHeight="1">
      <c r="A1812" s="6">
        <v>1.0</v>
      </c>
      <c r="B1812" s="6">
        <v>152.0</v>
      </c>
      <c r="C1812" s="6">
        <v>12.0</v>
      </c>
      <c r="D1812" s="122" t="s">
        <v>2423</v>
      </c>
      <c r="E1812" s="9" t="s">
        <v>2424</v>
      </c>
      <c r="F1812" s="109" t="str">
        <f t="shared" ref="F1812:G1812" si="1811">TRANSLATE(D1812,"lzh","vi")</f>
        <v>#NAME?</v>
      </c>
      <c r="G1812" s="109" t="str">
        <f t="shared" si="1811"/>
        <v>#NAME?</v>
      </c>
      <c r="X1812" s="110"/>
    </row>
    <row r="1813" ht="21.0" customHeight="1">
      <c r="A1813" s="6">
        <v>1.0</v>
      </c>
      <c r="B1813" s="6">
        <v>152.0</v>
      </c>
      <c r="C1813" s="6">
        <v>13.0</v>
      </c>
      <c r="D1813" s="122" t="s">
        <v>2425</v>
      </c>
      <c r="E1813" s="9" t="s">
        <v>2426</v>
      </c>
      <c r="F1813" s="109" t="str">
        <f t="shared" ref="F1813:G1813" si="1812">TRANSLATE(D1813,"lzh","vi")</f>
        <v>#NAME?</v>
      </c>
      <c r="G1813" s="109" t="str">
        <f t="shared" si="1812"/>
        <v>#NAME?</v>
      </c>
      <c r="X1813" s="110"/>
    </row>
    <row r="1814" ht="21.0" customHeight="1">
      <c r="A1814" s="6">
        <v>1.0</v>
      </c>
      <c r="B1814" s="6">
        <v>153.0</v>
      </c>
      <c r="C1814" s="6">
        <v>1.0</v>
      </c>
      <c r="D1814" s="122" t="s">
        <v>2427</v>
      </c>
      <c r="E1814" s="9" t="s">
        <v>2428</v>
      </c>
      <c r="F1814" s="109" t="str">
        <f t="shared" ref="F1814:G1814" si="1813">TRANSLATE(D1814,"lzh","vi")</f>
        <v>#NAME?</v>
      </c>
      <c r="G1814" s="109" t="str">
        <f t="shared" si="1813"/>
        <v>#NAME?</v>
      </c>
      <c r="X1814" s="110"/>
    </row>
    <row r="1815" ht="21.0" customHeight="1">
      <c r="A1815" s="6">
        <v>1.0</v>
      </c>
      <c r="B1815" s="6">
        <v>153.0</v>
      </c>
      <c r="C1815" s="6">
        <v>2.0</v>
      </c>
      <c r="D1815" s="122" t="s">
        <v>2429</v>
      </c>
      <c r="E1815" s="9" t="s">
        <v>2430</v>
      </c>
      <c r="F1815" s="109" t="str">
        <f t="shared" ref="F1815:G1815" si="1814">TRANSLATE(D1815,"lzh","vi")</f>
        <v>#NAME?</v>
      </c>
      <c r="G1815" s="109" t="str">
        <f t="shared" si="1814"/>
        <v>#NAME?</v>
      </c>
      <c r="X1815" s="110"/>
    </row>
    <row r="1816" ht="21.0" customHeight="1">
      <c r="A1816" s="6">
        <v>1.0</v>
      </c>
      <c r="B1816" s="6">
        <v>153.0</v>
      </c>
      <c r="C1816" s="6">
        <v>3.0</v>
      </c>
      <c r="D1816" s="122" t="s">
        <v>2431</v>
      </c>
      <c r="E1816" s="9" t="s">
        <v>2432</v>
      </c>
      <c r="F1816" s="109" t="str">
        <f t="shared" ref="F1816:G1816" si="1815">TRANSLATE(D1816,"lzh","vi")</f>
        <v>#NAME?</v>
      </c>
      <c r="G1816" s="109" t="str">
        <f t="shared" si="1815"/>
        <v>#NAME?</v>
      </c>
      <c r="X1816" s="110"/>
    </row>
    <row r="1817" ht="21.0" customHeight="1">
      <c r="A1817" s="6">
        <v>1.0</v>
      </c>
      <c r="B1817" s="6">
        <v>153.0</v>
      </c>
      <c r="C1817" s="6">
        <v>4.0</v>
      </c>
      <c r="D1817" s="122" t="s">
        <v>2433</v>
      </c>
      <c r="E1817" s="9" t="s">
        <v>2434</v>
      </c>
      <c r="F1817" s="109" t="str">
        <f t="shared" ref="F1817:G1817" si="1816">TRANSLATE(D1817,"lzh","vi")</f>
        <v>#NAME?</v>
      </c>
      <c r="G1817" s="109" t="str">
        <f t="shared" si="1816"/>
        <v>#NAME?</v>
      </c>
      <c r="X1817" s="110"/>
    </row>
    <row r="1818" ht="21.0" customHeight="1">
      <c r="A1818" s="6">
        <v>1.0</v>
      </c>
      <c r="B1818" s="6">
        <v>153.0</v>
      </c>
      <c r="C1818" s="6">
        <v>5.0</v>
      </c>
      <c r="D1818" s="122" t="s">
        <v>2435</v>
      </c>
      <c r="E1818" s="9" t="s">
        <v>2436</v>
      </c>
      <c r="F1818" s="109" t="str">
        <f t="shared" ref="F1818:G1818" si="1817">TRANSLATE(D1818,"lzh","vi")</f>
        <v>#NAME?</v>
      </c>
      <c r="G1818" s="109" t="str">
        <f t="shared" si="1817"/>
        <v>#NAME?</v>
      </c>
      <c r="X1818" s="110"/>
    </row>
    <row r="1819" ht="21.0" customHeight="1">
      <c r="A1819" s="6">
        <v>1.0</v>
      </c>
      <c r="B1819" s="6">
        <v>153.0</v>
      </c>
      <c r="C1819" s="6">
        <v>6.0</v>
      </c>
      <c r="D1819" s="122" t="s">
        <v>2437</v>
      </c>
      <c r="E1819" s="9" t="s">
        <v>2438</v>
      </c>
      <c r="F1819" s="109" t="str">
        <f t="shared" ref="F1819:G1819" si="1818">TRANSLATE(D1819,"lzh","vi")</f>
        <v>#NAME?</v>
      </c>
      <c r="G1819" s="109" t="str">
        <f t="shared" si="1818"/>
        <v>#NAME?</v>
      </c>
      <c r="X1819" s="110"/>
    </row>
    <row r="1820" ht="21.0" customHeight="1">
      <c r="A1820" s="6">
        <v>1.0</v>
      </c>
      <c r="B1820" s="6">
        <v>153.0</v>
      </c>
      <c r="C1820" s="6">
        <v>7.0</v>
      </c>
      <c r="D1820" s="122" t="s">
        <v>2439</v>
      </c>
      <c r="E1820" s="9" t="s">
        <v>2440</v>
      </c>
      <c r="F1820" s="109" t="str">
        <f t="shared" ref="F1820:G1820" si="1819">TRANSLATE(D1820,"lzh","vi")</f>
        <v>#NAME?</v>
      </c>
      <c r="G1820" s="109" t="str">
        <f t="shared" si="1819"/>
        <v>#NAME?</v>
      </c>
      <c r="X1820" s="110"/>
    </row>
    <row r="1821" ht="21.0" customHeight="1">
      <c r="A1821" s="6">
        <v>1.0</v>
      </c>
      <c r="B1821" s="6">
        <v>153.0</v>
      </c>
      <c r="C1821" s="6">
        <v>8.0</v>
      </c>
      <c r="D1821" s="122" t="s">
        <v>2441</v>
      </c>
      <c r="E1821" s="9" t="s">
        <v>2442</v>
      </c>
      <c r="F1821" s="109" t="str">
        <f t="shared" ref="F1821:G1821" si="1820">TRANSLATE(D1821,"lzh","vi")</f>
        <v>#NAME?</v>
      </c>
      <c r="G1821" s="109" t="str">
        <f t="shared" si="1820"/>
        <v>#NAME?</v>
      </c>
      <c r="X1821" s="110"/>
    </row>
    <row r="1822" ht="21.0" customHeight="1">
      <c r="A1822" s="6">
        <v>1.0</v>
      </c>
      <c r="B1822" s="6">
        <v>153.0</v>
      </c>
      <c r="C1822" s="6">
        <v>9.0</v>
      </c>
      <c r="D1822" s="122" t="s">
        <v>2443</v>
      </c>
      <c r="E1822" s="9" t="s">
        <v>2444</v>
      </c>
      <c r="F1822" s="109" t="str">
        <f t="shared" ref="F1822:G1822" si="1821">TRANSLATE(D1822,"lzh","vi")</f>
        <v>#NAME?</v>
      </c>
      <c r="G1822" s="109" t="str">
        <f t="shared" si="1821"/>
        <v>#NAME?</v>
      </c>
      <c r="X1822" s="110"/>
    </row>
    <row r="1823" ht="21.0" customHeight="1">
      <c r="A1823" s="6">
        <v>1.0</v>
      </c>
      <c r="B1823" s="6">
        <v>153.0</v>
      </c>
      <c r="C1823" s="6">
        <v>10.0</v>
      </c>
      <c r="D1823" s="122" t="s">
        <v>2445</v>
      </c>
      <c r="E1823" s="9" t="s">
        <v>2446</v>
      </c>
      <c r="F1823" s="109" t="str">
        <f t="shared" ref="F1823:G1823" si="1822">TRANSLATE(D1823,"lzh","vi")</f>
        <v>#NAME?</v>
      </c>
      <c r="G1823" s="109" t="str">
        <f t="shared" si="1822"/>
        <v>#NAME?</v>
      </c>
      <c r="X1823" s="110"/>
    </row>
    <row r="1824" ht="21.0" customHeight="1">
      <c r="A1824" s="6">
        <v>1.0</v>
      </c>
      <c r="B1824" s="6">
        <v>153.0</v>
      </c>
      <c r="C1824" s="6">
        <v>11.0</v>
      </c>
      <c r="D1824" s="122" t="s">
        <v>2447</v>
      </c>
      <c r="E1824" s="9" t="s">
        <v>2448</v>
      </c>
      <c r="F1824" s="109" t="str">
        <f t="shared" ref="F1824:G1824" si="1823">TRANSLATE(D1824,"lzh","vi")</f>
        <v>#NAME?</v>
      </c>
      <c r="G1824" s="109" t="str">
        <f t="shared" si="1823"/>
        <v>#NAME?</v>
      </c>
      <c r="X1824" s="110"/>
    </row>
    <row r="1825" ht="21.0" customHeight="1">
      <c r="A1825" s="6">
        <v>1.0</v>
      </c>
      <c r="B1825" s="6">
        <v>153.0</v>
      </c>
      <c r="C1825" s="6">
        <v>12.0</v>
      </c>
      <c r="D1825" s="122" t="s">
        <v>2449</v>
      </c>
      <c r="E1825" s="9" t="s">
        <v>2450</v>
      </c>
      <c r="F1825" s="109" t="str">
        <f t="shared" ref="F1825:G1825" si="1824">TRANSLATE(D1825,"lzh","vi")</f>
        <v>#NAME?</v>
      </c>
      <c r="G1825" s="109" t="str">
        <f t="shared" si="1824"/>
        <v>#NAME?</v>
      </c>
      <c r="X1825" s="110"/>
    </row>
    <row r="1826" ht="21.0" customHeight="1">
      <c r="A1826" s="6">
        <v>1.0</v>
      </c>
      <c r="B1826" s="6">
        <v>153.0</v>
      </c>
      <c r="C1826" s="6">
        <v>13.0</v>
      </c>
      <c r="D1826" s="122" t="s">
        <v>2451</v>
      </c>
      <c r="E1826" s="9" t="s">
        <v>2452</v>
      </c>
      <c r="F1826" s="109" t="str">
        <f t="shared" ref="F1826:G1826" si="1825">TRANSLATE(D1826,"lzh","vi")</f>
        <v>#NAME?</v>
      </c>
      <c r="G1826" s="109" t="str">
        <f t="shared" si="1825"/>
        <v>#NAME?</v>
      </c>
      <c r="X1826" s="110"/>
    </row>
    <row r="1827" ht="21.0" customHeight="1">
      <c r="A1827" s="6">
        <v>1.0</v>
      </c>
      <c r="B1827" s="6">
        <v>153.0</v>
      </c>
      <c r="C1827" s="6">
        <v>14.0</v>
      </c>
      <c r="D1827" s="122" t="s">
        <v>2453</v>
      </c>
      <c r="E1827" s="9" t="s">
        <v>2454</v>
      </c>
      <c r="F1827" s="109" t="str">
        <f t="shared" ref="F1827:G1827" si="1826">TRANSLATE(D1827,"lzh","vi")</f>
        <v>#NAME?</v>
      </c>
      <c r="G1827" s="109" t="str">
        <f t="shared" si="1826"/>
        <v>#NAME?</v>
      </c>
      <c r="X1827" s="110"/>
    </row>
    <row r="1828" ht="21.0" customHeight="1">
      <c r="A1828" s="6">
        <v>1.0</v>
      </c>
      <c r="B1828" s="6">
        <v>153.0</v>
      </c>
      <c r="C1828" s="6">
        <v>15.0</v>
      </c>
      <c r="D1828" s="122" t="s">
        <v>2455</v>
      </c>
      <c r="E1828" s="9" t="s">
        <v>2456</v>
      </c>
      <c r="F1828" s="109" t="str">
        <f t="shared" ref="F1828:G1828" si="1827">TRANSLATE(D1828,"lzh","vi")</f>
        <v>#NAME?</v>
      </c>
      <c r="G1828" s="109" t="str">
        <f t="shared" si="1827"/>
        <v>#NAME?</v>
      </c>
      <c r="X1828" s="110"/>
    </row>
    <row r="1829" ht="21.0" customHeight="1">
      <c r="A1829" s="6">
        <v>11.0</v>
      </c>
      <c r="B1829" s="6">
        <v>1023.0</v>
      </c>
      <c r="C1829" s="6">
        <v>1.0</v>
      </c>
      <c r="D1829" s="122" t="s">
        <v>2457</v>
      </c>
      <c r="E1829" s="9" t="s">
        <v>2458</v>
      </c>
      <c r="F1829" s="109" t="str">
        <f t="shared" ref="F1829:G1829" si="1828">TRANSLATE(D1829,"lzh","vi")</f>
        <v>#NAME?</v>
      </c>
      <c r="G1829" s="109" t="str">
        <f t="shared" si="1828"/>
        <v>#NAME?</v>
      </c>
      <c r="X1829" s="110"/>
    </row>
    <row r="1830" ht="21.0" customHeight="1">
      <c r="A1830" s="6">
        <v>11.0</v>
      </c>
      <c r="B1830" s="6">
        <v>1023.0</v>
      </c>
      <c r="C1830" s="6">
        <v>2.0</v>
      </c>
      <c r="D1830" s="122" t="s">
        <v>2459</v>
      </c>
      <c r="E1830" s="9" t="s">
        <v>2460</v>
      </c>
      <c r="F1830" s="109" t="str">
        <f t="shared" ref="F1830:G1830" si="1829">TRANSLATE(D1830,"lzh","vi")</f>
        <v>#NAME?</v>
      </c>
      <c r="G1830" s="109" t="str">
        <f t="shared" si="1829"/>
        <v>#NAME?</v>
      </c>
      <c r="X1830" s="110"/>
    </row>
    <row r="1831" ht="21.0" customHeight="1">
      <c r="A1831" s="6">
        <v>11.0</v>
      </c>
      <c r="B1831" s="6">
        <v>1023.0</v>
      </c>
      <c r="C1831" s="6">
        <v>3.0</v>
      </c>
      <c r="D1831" s="122" t="s">
        <v>2461</v>
      </c>
      <c r="E1831" s="9" t="s">
        <v>2462</v>
      </c>
      <c r="F1831" s="109" t="str">
        <f t="shared" ref="F1831:G1831" si="1830">TRANSLATE(D1831,"lzh","vi")</f>
        <v>#NAME?</v>
      </c>
      <c r="G1831" s="109" t="str">
        <f t="shared" si="1830"/>
        <v>#NAME?</v>
      </c>
      <c r="X1831" s="110"/>
    </row>
    <row r="1832" ht="21.0" customHeight="1">
      <c r="A1832" s="6">
        <v>11.0</v>
      </c>
      <c r="B1832" s="6">
        <v>1023.0</v>
      </c>
      <c r="C1832" s="6">
        <v>4.0</v>
      </c>
      <c r="D1832" s="122" t="s">
        <v>2463</v>
      </c>
      <c r="E1832" s="9" t="s">
        <v>2464</v>
      </c>
      <c r="F1832" s="109" t="str">
        <f t="shared" ref="F1832:G1832" si="1831">TRANSLATE(D1832,"lzh","vi")</f>
        <v>#NAME?</v>
      </c>
      <c r="G1832" s="109" t="str">
        <f t="shared" si="1831"/>
        <v>#NAME?</v>
      </c>
      <c r="X1832" s="110"/>
    </row>
    <row r="1833" ht="21.0" customHeight="1">
      <c r="A1833" s="6">
        <v>10.0</v>
      </c>
      <c r="B1833" s="6">
        <v>1023.0</v>
      </c>
      <c r="C1833" s="6">
        <v>5.0</v>
      </c>
      <c r="D1833" s="122" t="s">
        <v>2465</v>
      </c>
      <c r="E1833" s="9" t="s">
        <v>2466</v>
      </c>
      <c r="F1833" s="109" t="str">
        <f t="shared" ref="F1833:G1833" si="1832">TRANSLATE(D1833,"lzh","vi")</f>
        <v>#NAME?</v>
      </c>
      <c r="G1833" s="109" t="str">
        <f t="shared" si="1832"/>
        <v>#NAME?</v>
      </c>
      <c r="X1833" s="110"/>
    </row>
    <row r="1834" ht="21.0" customHeight="1">
      <c r="A1834" s="6">
        <v>10.0</v>
      </c>
      <c r="B1834" s="6">
        <v>1023.0</v>
      </c>
      <c r="C1834" s="6">
        <v>6.0</v>
      </c>
      <c r="D1834" s="122" t="s">
        <v>2467</v>
      </c>
      <c r="E1834" s="9" t="s">
        <v>2468</v>
      </c>
      <c r="F1834" s="109" t="str">
        <f t="shared" ref="F1834:G1834" si="1833">TRANSLATE(D1834,"lzh","vi")</f>
        <v>#NAME?</v>
      </c>
      <c r="G1834" s="109" t="str">
        <f t="shared" si="1833"/>
        <v>#NAME?</v>
      </c>
      <c r="X1834" s="110"/>
    </row>
    <row r="1835" ht="21.0" customHeight="1">
      <c r="A1835" s="6">
        <v>10.0</v>
      </c>
      <c r="B1835" s="6">
        <v>1023.0</v>
      </c>
      <c r="C1835" s="6">
        <v>7.0</v>
      </c>
      <c r="D1835" s="122" t="s">
        <v>2469</v>
      </c>
      <c r="E1835" s="9" t="s">
        <v>2470</v>
      </c>
      <c r="F1835" s="109" t="str">
        <f t="shared" ref="F1835:G1835" si="1834">TRANSLATE(D1835,"lzh","vi")</f>
        <v>#NAME?</v>
      </c>
      <c r="G1835" s="109" t="str">
        <f t="shared" si="1834"/>
        <v>#NAME?</v>
      </c>
      <c r="X1835" s="110"/>
    </row>
    <row r="1836" ht="21.0" customHeight="1">
      <c r="A1836" s="6">
        <v>10.0</v>
      </c>
      <c r="B1836" s="6">
        <v>1023.0</v>
      </c>
      <c r="C1836" s="6">
        <v>8.0</v>
      </c>
      <c r="D1836" s="122" t="s">
        <v>2471</v>
      </c>
      <c r="E1836" s="9" t="s">
        <v>2472</v>
      </c>
      <c r="F1836" s="109" t="str">
        <f t="shared" ref="F1836:G1836" si="1835">TRANSLATE(D1836,"lzh","vi")</f>
        <v>#NAME?</v>
      </c>
      <c r="G1836" s="109" t="str">
        <f t="shared" si="1835"/>
        <v>#NAME?</v>
      </c>
      <c r="X1836" s="110"/>
    </row>
    <row r="1837" ht="21.0" customHeight="1">
      <c r="A1837" s="6">
        <v>10.0</v>
      </c>
      <c r="B1837" s="6">
        <v>1023.0</v>
      </c>
      <c r="C1837" s="6">
        <v>9.0</v>
      </c>
      <c r="D1837" s="122" t="s">
        <v>2473</v>
      </c>
      <c r="E1837" s="9" t="s">
        <v>2474</v>
      </c>
      <c r="F1837" s="109" t="str">
        <f t="shared" ref="F1837:G1837" si="1836">TRANSLATE(D1837,"lzh","vi")</f>
        <v>#NAME?</v>
      </c>
      <c r="G1837" s="109" t="str">
        <f t="shared" si="1836"/>
        <v>#NAME?</v>
      </c>
      <c r="X1837" s="110"/>
    </row>
    <row r="1838" ht="21.0" customHeight="1">
      <c r="A1838" s="6">
        <v>10.0</v>
      </c>
      <c r="B1838" s="6">
        <v>1023.0</v>
      </c>
      <c r="C1838" s="6">
        <v>10.0</v>
      </c>
      <c r="D1838" s="122" t="s">
        <v>2475</v>
      </c>
      <c r="E1838" s="9" t="s">
        <v>2476</v>
      </c>
      <c r="F1838" s="109" t="str">
        <f t="shared" ref="F1838:G1838" si="1837">TRANSLATE(D1838,"lzh","vi")</f>
        <v>#NAME?</v>
      </c>
      <c r="G1838" s="109" t="str">
        <f t="shared" si="1837"/>
        <v>#NAME?</v>
      </c>
      <c r="X1838" s="110"/>
    </row>
    <row r="1839" ht="21.0" customHeight="1">
      <c r="A1839" s="6">
        <v>1.0</v>
      </c>
      <c r="B1839" s="6">
        <v>154.0</v>
      </c>
      <c r="C1839" s="6">
        <v>1.0</v>
      </c>
      <c r="D1839" s="122" t="s">
        <v>2477</v>
      </c>
      <c r="E1839" s="9" t="s">
        <v>2478</v>
      </c>
      <c r="F1839" s="109" t="str">
        <f t="shared" ref="F1839:G1839" si="1838">TRANSLATE(D1839,"lzh","vi")</f>
        <v>#NAME?</v>
      </c>
      <c r="G1839" s="109" t="str">
        <f t="shared" si="1838"/>
        <v>#NAME?</v>
      </c>
      <c r="X1839" s="110"/>
    </row>
    <row r="1840" ht="21.0" customHeight="1">
      <c r="A1840" s="6">
        <v>1.0</v>
      </c>
      <c r="B1840" s="6">
        <v>154.0</v>
      </c>
      <c r="C1840" s="6">
        <v>2.0</v>
      </c>
      <c r="D1840" s="122" t="s">
        <v>2479</v>
      </c>
      <c r="E1840" s="9" t="s">
        <v>2480</v>
      </c>
      <c r="F1840" s="109" t="str">
        <f t="shared" ref="F1840:G1840" si="1839">TRANSLATE(D1840,"lzh","vi")</f>
        <v>#NAME?</v>
      </c>
      <c r="G1840" s="109" t="str">
        <f t="shared" si="1839"/>
        <v>#NAME?</v>
      </c>
      <c r="X1840" s="110"/>
    </row>
    <row r="1841" ht="21.0" customHeight="1">
      <c r="A1841" s="6">
        <v>1.0</v>
      </c>
      <c r="B1841" s="6">
        <v>154.0</v>
      </c>
      <c r="C1841" s="6">
        <v>3.0</v>
      </c>
      <c r="D1841" s="122" t="s">
        <v>2481</v>
      </c>
      <c r="E1841" s="9" t="s">
        <v>2482</v>
      </c>
      <c r="F1841" s="109" t="str">
        <f t="shared" ref="F1841:G1841" si="1840">TRANSLATE(D1841,"lzh","vi")</f>
        <v>#NAME?</v>
      </c>
      <c r="G1841" s="109" t="str">
        <f t="shared" si="1840"/>
        <v>#NAME?</v>
      </c>
      <c r="X1841" s="110"/>
    </row>
    <row r="1842" ht="21.0" customHeight="1">
      <c r="A1842" s="6">
        <v>1.0</v>
      </c>
      <c r="B1842" s="6">
        <v>154.0</v>
      </c>
      <c r="C1842" s="6">
        <v>4.0</v>
      </c>
      <c r="D1842" s="122" t="s">
        <v>2483</v>
      </c>
      <c r="E1842" s="9" t="s">
        <v>2484</v>
      </c>
      <c r="F1842" s="109" t="str">
        <f t="shared" ref="F1842:G1842" si="1841">TRANSLATE(D1842,"lzh","vi")</f>
        <v>#NAME?</v>
      </c>
      <c r="G1842" s="109" t="str">
        <f t="shared" si="1841"/>
        <v>#NAME?</v>
      </c>
      <c r="X1842" s="110"/>
    </row>
    <row r="1843" ht="21.0" customHeight="1">
      <c r="A1843" s="6">
        <v>1.0</v>
      </c>
      <c r="B1843" s="6">
        <v>154.0</v>
      </c>
      <c r="C1843" s="6">
        <v>5.0</v>
      </c>
      <c r="D1843" s="122" t="s">
        <v>2485</v>
      </c>
      <c r="E1843" s="9" t="s">
        <v>2486</v>
      </c>
      <c r="F1843" s="109" t="str">
        <f t="shared" ref="F1843:G1843" si="1842">TRANSLATE(D1843,"lzh","vi")</f>
        <v>#NAME?</v>
      </c>
      <c r="G1843" s="109" t="str">
        <f t="shared" si="1842"/>
        <v>#NAME?</v>
      </c>
      <c r="X1843" s="110"/>
    </row>
    <row r="1844" ht="21.0" customHeight="1">
      <c r="A1844" s="6">
        <v>1.0</v>
      </c>
      <c r="B1844" s="6">
        <v>154.0</v>
      </c>
      <c r="C1844" s="6">
        <v>6.0</v>
      </c>
      <c r="D1844" s="122" t="s">
        <v>2487</v>
      </c>
      <c r="E1844" s="9" t="s">
        <v>2488</v>
      </c>
      <c r="F1844" s="109" t="str">
        <f t="shared" ref="F1844:G1844" si="1843">TRANSLATE(D1844,"lzh","vi")</f>
        <v>#NAME?</v>
      </c>
      <c r="G1844" s="109" t="str">
        <f t="shared" si="1843"/>
        <v>#NAME?</v>
      </c>
      <c r="X1844" s="110"/>
    </row>
    <row r="1845" ht="21.0" customHeight="1">
      <c r="A1845" s="6">
        <v>1.0</v>
      </c>
      <c r="B1845" s="6">
        <v>154.0</v>
      </c>
      <c r="C1845" s="6">
        <v>7.0</v>
      </c>
      <c r="D1845" s="122" t="s">
        <v>2489</v>
      </c>
      <c r="E1845" s="9" t="s">
        <v>2490</v>
      </c>
      <c r="F1845" s="109" t="str">
        <f t="shared" ref="F1845:G1845" si="1844">TRANSLATE(D1845,"lzh","vi")</f>
        <v>#NAME?</v>
      </c>
      <c r="G1845" s="109" t="str">
        <f t="shared" si="1844"/>
        <v>#NAME?</v>
      </c>
      <c r="X1845" s="110"/>
    </row>
    <row r="1846" ht="21.0" customHeight="1">
      <c r="A1846" s="6">
        <v>1.0</v>
      </c>
      <c r="B1846" s="6">
        <v>154.0</v>
      </c>
      <c r="C1846" s="6">
        <v>8.0</v>
      </c>
      <c r="D1846" s="122" t="s">
        <v>2491</v>
      </c>
      <c r="E1846" s="9" t="s">
        <v>2492</v>
      </c>
      <c r="F1846" s="109" t="str">
        <f t="shared" ref="F1846:G1846" si="1845">TRANSLATE(D1846,"lzh","vi")</f>
        <v>#NAME?</v>
      </c>
      <c r="G1846" s="109" t="str">
        <f t="shared" si="1845"/>
        <v>#NAME?</v>
      </c>
      <c r="X1846" s="110"/>
    </row>
    <row r="1847" ht="21.0" customHeight="1">
      <c r="A1847" s="6">
        <v>1.0</v>
      </c>
      <c r="B1847" s="6">
        <v>154.0</v>
      </c>
      <c r="C1847" s="6">
        <v>9.0</v>
      </c>
      <c r="D1847" s="122" t="s">
        <v>2493</v>
      </c>
      <c r="E1847" s="9" t="s">
        <v>2494</v>
      </c>
      <c r="F1847" s="109" t="str">
        <f t="shared" ref="F1847:G1847" si="1846">TRANSLATE(D1847,"lzh","vi")</f>
        <v>#NAME?</v>
      </c>
      <c r="G1847" s="109" t="str">
        <f t="shared" si="1846"/>
        <v>#NAME?</v>
      </c>
      <c r="X1847" s="110"/>
    </row>
    <row r="1848" ht="21.0" customHeight="1">
      <c r="A1848" s="6">
        <v>1.0</v>
      </c>
      <c r="B1848" s="6">
        <v>154.0</v>
      </c>
      <c r="C1848" s="6">
        <v>10.0</v>
      </c>
      <c r="D1848" s="122" t="s">
        <v>2495</v>
      </c>
      <c r="E1848" s="9" t="s">
        <v>2496</v>
      </c>
      <c r="F1848" s="109" t="str">
        <f t="shared" ref="F1848:G1848" si="1847">TRANSLATE(D1848,"lzh","vi")</f>
        <v>#NAME?</v>
      </c>
      <c r="G1848" s="109" t="str">
        <f t="shared" si="1847"/>
        <v>#NAME?</v>
      </c>
      <c r="X1848" s="110"/>
    </row>
    <row r="1849" ht="21.0" customHeight="1">
      <c r="A1849" s="6">
        <v>1.0</v>
      </c>
      <c r="B1849" s="6">
        <v>154.0</v>
      </c>
      <c r="C1849" s="6">
        <v>11.0</v>
      </c>
      <c r="D1849" s="122" t="s">
        <v>2497</v>
      </c>
      <c r="E1849" s="9" t="s">
        <v>2498</v>
      </c>
      <c r="F1849" s="109" t="str">
        <f t="shared" ref="F1849:G1849" si="1848">TRANSLATE(D1849,"lzh","vi")</f>
        <v>#NAME?</v>
      </c>
      <c r="G1849" s="109" t="str">
        <f t="shared" si="1848"/>
        <v>#NAME?</v>
      </c>
      <c r="X1849" s="110"/>
    </row>
    <row r="1850" ht="21.0" customHeight="1">
      <c r="A1850" s="6">
        <v>1.0</v>
      </c>
      <c r="B1850" s="6">
        <v>154.0</v>
      </c>
      <c r="C1850" s="6">
        <v>12.0</v>
      </c>
      <c r="D1850" s="122" t="s">
        <v>2499</v>
      </c>
      <c r="E1850" s="9" t="s">
        <v>2500</v>
      </c>
      <c r="F1850" s="109" t="str">
        <f t="shared" ref="F1850:G1850" si="1849">TRANSLATE(D1850,"lzh","vi")</f>
        <v>#NAME?</v>
      </c>
      <c r="G1850" s="109" t="str">
        <f t="shared" si="1849"/>
        <v>#NAME?</v>
      </c>
      <c r="X1850" s="110"/>
    </row>
    <row r="1851" ht="21.0" customHeight="1">
      <c r="A1851" s="6">
        <v>1.0</v>
      </c>
      <c r="B1851" s="6">
        <v>154.0</v>
      </c>
      <c r="C1851" s="6">
        <v>13.0</v>
      </c>
      <c r="D1851" s="122" t="s">
        <v>2501</v>
      </c>
      <c r="E1851" s="9" t="s">
        <v>2502</v>
      </c>
      <c r="F1851" s="109" t="str">
        <f t="shared" ref="F1851:G1851" si="1850">TRANSLATE(D1851,"lzh","vi")</f>
        <v>#NAME?</v>
      </c>
      <c r="G1851" s="109" t="str">
        <f t="shared" si="1850"/>
        <v>#NAME?</v>
      </c>
      <c r="X1851" s="110"/>
    </row>
    <row r="1852" ht="21.0" customHeight="1">
      <c r="A1852" s="6">
        <v>1.0</v>
      </c>
      <c r="B1852" s="6">
        <v>154.0</v>
      </c>
      <c r="C1852" s="6">
        <v>14.0</v>
      </c>
      <c r="D1852" s="122" t="s">
        <v>2503</v>
      </c>
      <c r="E1852" s="9" t="s">
        <v>2504</v>
      </c>
      <c r="F1852" s="109" t="str">
        <f t="shared" ref="F1852:G1852" si="1851">TRANSLATE(D1852,"lzh","vi")</f>
        <v>#NAME?</v>
      </c>
      <c r="G1852" s="109" t="str">
        <f t="shared" si="1851"/>
        <v>#NAME?</v>
      </c>
      <c r="X1852" s="110"/>
    </row>
    <row r="1853" ht="21.0" customHeight="1">
      <c r="A1853" s="6">
        <v>1.0</v>
      </c>
      <c r="B1853" s="6">
        <v>154.0</v>
      </c>
      <c r="C1853" s="6">
        <v>15.0</v>
      </c>
      <c r="D1853" s="122" t="s">
        <v>2505</v>
      </c>
      <c r="E1853" s="9" t="s">
        <v>2506</v>
      </c>
      <c r="F1853" s="109" t="str">
        <f t="shared" ref="F1853:G1853" si="1852">TRANSLATE(D1853,"lzh","vi")</f>
        <v>#NAME?</v>
      </c>
      <c r="G1853" s="109" t="str">
        <f t="shared" si="1852"/>
        <v>#NAME?</v>
      </c>
      <c r="X1853" s="110"/>
    </row>
    <row r="1854" ht="21.0" customHeight="1">
      <c r="A1854" s="6">
        <v>1.0</v>
      </c>
      <c r="B1854" s="6">
        <v>155.0</v>
      </c>
      <c r="C1854" s="6">
        <v>1.0</v>
      </c>
      <c r="D1854" s="122" t="s">
        <v>2507</v>
      </c>
      <c r="E1854" s="9" t="s">
        <v>2508</v>
      </c>
      <c r="F1854" s="109" t="str">
        <f t="shared" ref="F1854:G1854" si="1853">TRANSLATE(D1854,"lzh","vi")</f>
        <v>#NAME?</v>
      </c>
      <c r="G1854" s="109" t="str">
        <f t="shared" si="1853"/>
        <v>#NAME?</v>
      </c>
      <c r="X1854" s="110"/>
    </row>
    <row r="1855" ht="21.0" customHeight="1">
      <c r="A1855" s="6">
        <v>1.0</v>
      </c>
      <c r="B1855" s="6">
        <v>155.0</v>
      </c>
      <c r="C1855" s="6">
        <v>2.0</v>
      </c>
      <c r="D1855" s="122" t="s">
        <v>2509</v>
      </c>
      <c r="E1855" s="9" t="s">
        <v>2510</v>
      </c>
      <c r="F1855" s="109" t="str">
        <f t="shared" ref="F1855:G1855" si="1854">TRANSLATE(D1855,"lzh","vi")</f>
        <v>#NAME?</v>
      </c>
      <c r="G1855" s="109" t="str">
        <f t="shared" si="1854"/>
        <v>#NAME?</v>
      </c>
      <c r="X1855" s="110"/>
    </row>
    <row r="1856" ht="21.0" customHeight="1">
      <c r="A1856" s="6">
        <v>1.0</v>
      </c>
      <c r="B1856" s="6">
        <v>155.0</v>
      </c>
      <c r="C1856" s="6">
        <v>3.0</v>
      </c>
      <c r="D1856" s="152" t="s">
        <v>2511</v>
      </c>
      <c r="E1856" s="9" t="s">
        <v>2512</v>
      </c>
      <c r="F1856" s="109" t="str">
        <f t="shared" ref="F1856:G1856" si="1855">TRANSLATE(D1856,"lzh","vi")</f>
        <v>#NAME?</v>
      </c>
      <c r="G1856" s="109" t="str">
        <f t="shared" si="1855"/>
        <v>#NAME?</v>
      </c>
      <c r="X1856" s="110"/>
    </row>
    <row r="1857" ht="21.0" customHeight="1">
      <c r="A1857" s="6">
        <v>1.0</v>
      </c>
      <c r="B1857" s="6">
        <v>155.0</v>
      </c>
      <c r="C1857" s="6">
        <v>4.0</v>
      </c>
      <c r="D1857" s="122" t="s">
        <v>2513</v>
      </c>
      <c r="E1857" s="9" t="s">
        <v>2514</v>
      </c>
      <c r="F1857" s="109" t="str">
        <f t="shared" ref="F1857:G1857" si="1856">TRANSLATE(D1857,"lzh","vi")</f>
        <v>#NAME?</v>
      </c>
      <c r="G1857" s="109" t="str">
        <f t="shared" si="1856"/>
        <v>#NAME?</v>
      </c>
      <c r="X1857" s="110"/>
    </row>
    <row r="1858" ht="21.0" customHeight="1">
      <c r="A1858" s="6">
        <v>1.0</v>
      </c>
      <c r="B1858" s="6">
        <v>155.0</v>
      </c>
      <c r="C1858" s="6">
        <v>5.0</v>
      </c>
      <c r="D1858" s="122" t="s">
        <v>2515</v>
      </c>
      <c r="E1858" s="9" t="s">
        <v>2516</v>
      </c>
      <c r="F1858" s="109" t="str">
        <f t="shared" ref="F1858:G1858" si="1857">TRANSLATE(D1858,"lzh","vi")</f>
        <v>#NAME?</v>
      </c>
      <c r="G1858" s="109" t="str">
        <f t="shared" si="1857"/>
        <v>#NAME?</v>
      </c>
      <c r="X1858" s="110"/>
    </row>
    <row r="1859" ht="21.0" customHeight="1">
      <c r="A1859" s="6">
        <v>1.0</v>
      </c>
      <c r="B1859" s="6">
        <v>155.0</v>
      </c>
      <c r="C1859" s="6">
        <v>6.0</v>
      </c>
      <c r="D1859" s="122" t="s">
        <v>2517</v>
      </c>
      <c r="E1859" s="9" t="s">
        <v>2518</v>
      </c>
      <c r="F1859" s="109" t="str">
        <f t="shared" ref="F1859:G1859" si="1858">TRANSLATE(D1859,"lzh","vi")</f>
        <v>#NAME?</v>
      </c>
      <c r="G1859" s="109" t="str">
        <f t="shared" si="1858"/>
        <v>#NAME?</v>
      </c>
      <c r="X1859" s="110"/>
    </row>
    <row r="1860" ht="21.0" customHeight="1">
      <c r="A1860" s="6">
        <v>1.0</v>
      </c>
      <c r="B1860" s="6">
        <v>155.0</v>
      </c>
      <c r="C1860" s="6">
        <v>7.0</v>
      </c>
      <c r="D1860" s="122" t="s">
        <v>2519</v>
      </c>
      <c r="E1860" s="9" t="s">
        <v>2520</v>
      </c>
      <c r="F1860" s="109" t="str">
        <f t="shared" ref="F1860:G1860" si="1859">TRANSLATE(D1860,"lzh","vi")</f>
        <v>#NAME?</v>
      </c>
      <c r="G1860" s="109" t="str">
        <f t="shared" si="1859"/>
        <v>#NAME?</v>
      </c>
      <c r="X1860" s="110"/>
    </row>
    <row r="1861" ht="21.0" customHeight="1">
      <c r="A1861" s="6">
        <v>1.0</v>
      </c>
      <c r="B1861" s="6">
        <v>155.0</v>
      </c>
      <c r="C1861" s="6">
        <v>8.0</v>
      </c>
      <c r="D1861" s="122" t="s">
        <v>2521</v>
      </c>
      <c r="E1861" s="9" t="s">
        <v>2522</v>
      </c>
      <c r="F1861" s="109" t="str">
        <f t="shared" ref="F1861:G1861" si="1860">TRANSLATE(D1861,"lzh","vi")</f>
        <v>#NAME?</v>
      </c>
      <c r="G1861" s="109" t="str">
        <f t="shared" si="1860"/>
        <v>#NAME?</v>
      </c>
      <c r="X1861" s="110"/>
    </row>
    <row r="1862" ht="21.0" customHeight="1">
      <c r="A1862" s="6">
        <v>1.0</v>
      </c>
      <c r="B1862" s="6">
        <v>155.0</v>
      </c>
      <c r="C1862" s="6">
        <v>9.0</v>
      </c>
      <c r="D1862" s="152" t="s">
        <v>2523</v>
      </c>
      <c r="E1862" s="9" t="s">
        <v>2524</v>
      </c>
      <c r="F1862" s="109" t="str">
        <f t="shared" ref="F1862:G1862" si="1861">TRANSLATE(D1862,"lzh","vi")</f>
        <v>#NAME?</v>
      </c>
      <c r="G1862" s="109" t="str">
        <f t="shared" si="1861"/>
        <v>#NAME?</v>
      </c>
      <c r="X1862" s="110"/>
    </row>
    <row r="1863" ht="21.0" customHeight="1">
      <c r="A1863" s="6">
        <v>1.0</v>
      </c>
      <c r="B1863" s="6">
        <v>155.0</v>
      </c>
      <c r="C1863" s="6">
        <v>10.0</v>
      </c>
      <c r="D1863" s="122" t="s">
        <v>2525</v>
      </c>
      <c r="E1863" s="9" t="s">
        <v>2526</v>
      </c>
      <c r="F1863" s="109" t="str">
        <f t="shared" ref="F1863:G1863" si="1862">TRANSLATE(D1863,"lzh","vi")</f>
        <v>#NAME?</v>
      </c>
      <c r="G1863" s="109" t="str">
        <f t="shared" si="1862"/>
        <v>#NAME?</v>
      </c>
      <c r="X1863" s="110"/>
    </row>
    <row r="1864" ht="21.0" customHeight="1">
      <c r="A1864" s="6">
        <v>1.0</v>
      </c>
      <c r="B1864" s="6">
        <v>155.0</v>
      </c>
      <c r="C1864" s="6">
        <v>11.0</v>
      </c>
      <c r="D1864" s="122" t="s">
        <v>2527</v>
      </c>
      <c r="E1864" s="9" t="s">
        <v>2528</v>
      </c>
      <c r="F1864" s="109" t="str">
        <f t="shared" ref="F1864:G1864" si="1863">TRANSLATE(D1864,"lzh","vi")</f>
        <v>#NAME?</v>
      </c>
      <c r="G1864" s="109" t="str">
        <f t="shared" si="1863"/>
        <v>#NAME?</v>
      </c>
      <c r="X1864" s="110"/>
    </row>
    <row r="1865" ht="21.0" customHeight="1">
      <c r="A1865" s="6">
        <v>1.0</v>
      </c>
      <c r="B1865" s="6">
        <v>155.0</v>
      </c>
      <c r="C1865" s="6">
        <v>12.0</v>
      </c>
      <c r="D1865" s="122" t="s">
        <v>2529</v>
      </c>
      <c r="E1865" s="9" t="s">
        <v>2530</v>
      </c>
      <c r="F1865" s="109" t="str">
        <f t="shared" ref="F1865:G1865" si="1864">TRANSLATE(D1865,"lzh","vi")</f>
        <v>#NAME?</v>
      </c>
      <c r="G1865" s="109" t="str">
        <f t="shared" si="1864"/>
        <v>#NAME?</v>
      </c>
      <c r="X1865" s="110"/>
    </row>
    <row r="1866" ht="21.0" customHeight="1">
      <c r="A1866" s="6">
        <v>1.0</v>
      </c>
      <c r="B1866" s="6">
        <v>155.0</v>
      </c>
      <c r="C1866" s="6">
        <v>13.0</v>
      </c>
      <c r="D1866" s="122" t="s">
        <v>2531</v>
      </c>
      <c r="E1866" s="9" t="s">
        <v>2532</v>
      </c>
      <c r="F1866" s="109" t="str">
        <f t="shared" ref="F1866:G1866" si="1865">TRANSLATE(D1866,"lzh","vi")</f>
        <v>#NAME?</v>
      </c>
      <c r="G1866" s="109" t="str">
        <f t="shared" si="1865"/>
        <v>#NAME?</v>
      </c>
      <c r="X1866" s="110"/>
    </row>
    <row r="1867" ht="21.0" customHeight="1">
      <c r="A1867" s="6">
        <v>1.0</v>
      </c>
      <c r="B1867" s="6">
        <v>156.0</v>
      </c>
      <c r="C1867" s="6">
        <v>1.0</v>
      </c>
      <c r="D1867" s="122" t="s">
        <v>2533</v>
      </c>
      <c r="E1867" s="9" t="s">
        <v>2534</v>
      </c>
      <c r="F1867" s="109" t="str">
        <f t="shared" ref="F1867:G1867" si="1866">TRANSLATE(D1867,"lzh","vi")</f>
        <v>#NAME?</v>
      </c>
      <c r="G1867" s="109" t="str">
        <f t="shared" si="1866"/>
        <v>#NAME?</v>
      </c>
      <c r="X1867" s="110"/>
    </row>
    <row r="1868" ht="21.0" customHeight="1">
      <c r="A1868" s="6">
        <v>1.0</v>
      </c>
      <c r="B1868" s="6">
        <v>156.0</v>
      </c>
      <c r="C1868" s="6">
        <v>2.0</v>
      </c>
      <c r="D1868" s="122" t="s">
        <v>2535</v>
      </c>
      <c r="E1868" s="9" t="s">
        <v>2536</v>
      </c>
      <c r="F1868" s="109" t="str">
        <f t="shared" ref="F1868:G1868" si="1867">TRANSLATE(D1868,"lzh","vi")</f>
        <v>#NAME?</v>
      </c>
      <c r="G1868" s="109" t="str">
        <f t="shared" si="1867"/>
        <v>#NAME?</v>
      </c>
      <c r="X1868" s="110"/>
    </row>
    <row r="1869" ht="21.0" customHeight="1">
      <c r="A1869" s="6">
        <v>1.0</v>
      </c>
      <c r="B1869" s="6">
        <v>156.0</v>
      </c>
      <c r="C1869" s="6">
        <v>3.0</v>
      </c>
      <c r="D1869" s="122" t="s">
        <v>2537</v>
      </c>
      <c r="E1869" s="9" t="s">
        <v>2538</v>
      </c>
      <c r="F1869" s="109" t="str">
        <f t="shared" ref="F1869:G1869" si="1868">TRANSLATE(D1869,"lzh","vi")</f>
        <v>#NAME?</v>
      </c>
      <c r="G1869" s="109" t="str">
        <f t="shared" si="1868"/>
        <v>#NAME?</v>
      </c>
      <c r="X1869" s="110"/>
    </row>
    <row r="1870" ht="21.0" customHeight="1">
      <c r="A1870" s="6">
        <v>1.0</v>
      </c>
      <c r="B1870" s="6">
        <v>156.0</v>
      </c>
      <c r="C1870" s="6">
        <v>4.0</v>
      </c>
      <c r="D1870" s="122" t="s">
        <v>2539</v>
      </c>
      <c r="E1870" s="9" t="s">
        <v>2540</v>
      </c>
      <c r="F1870" s="109" t="str">
        <f t="shared" ref="F1870:G1870" si="1869">TRANSLATE(D1870,"lzh","vi")</f>
        <v>#NAME?</v>
      </c>
      <c r="G1870" s="109" t="str">
        <f t="shared" si="1869"/>
        <v>#NAME?</v>
      </c>
      <c r="X1870" s="110"/>
    </row>
    <row r="1871" ht="21.0" customHeight="1">
      <c r="A1871" s="6">
        <v>1.0</v>
      </c>
      <c r="B1871" s="6">
        <v>156.0</v>
      </c>
      <c r="C1871" s="6">
        <v>5.0</v>
      </c>
      <c r="D1871" s="122" t="s">
        <v>2541</v>
      </c>
      <c r="E1871" s="9" t="s">
        <v>2542</v>
      </c>
      <c r="F1871" s="109" t="str">
        <f t="shared" ref="F1871:G1871" si="1870">TRANSLATE(D1871,"lzh","vi")</f>
        <v>#NAME?</v>
      </c>
      <c r="G1871" s="109" t="str">
        <f t="shared" si="1870"/>
        <v>#NAME?</v>
      </c>
      <c r="X1871" s="110"/>
    </row>
    <row r="1872" ht="21.0" customHeight="1">
      <c r="A1872" s="6">
        <v>1.0</v>
      </c>
      <c r="B1872" s="6">
        <v>156.0</v>
      </c>
      <c r="C1872" s="6">
        <v>6.0</v>
      </c>
      <c r="D1872" s="122" t="s">
        <v>2543</v>
      </c>
      <c r="E1872" s="9" t="s">
        <v>2544</v>
      </c>
      <c r="F1872" s="109" t="str">
        <f t="shared" ref="F1872:G1872" si="1871">TRANSLATE(D1872,"lzh","vi")</f>
        <v>#NAME?</v>
      </c>
      <c r="G1872" s="109" t="str">
        <f t="shared" si="1871"/>
        <v>#NAME?</v>
      </c>
      <c r="X1872" s="110"/>
    </row>
    <row r="1873" ht="21.0" customHeight="1">
      <c r="A1873" s="6">
        <v>1.0</v>
      </c>
      <c r="B1873" s="6">
        <v>156.0</v>
      </c>
      <c r="C1873" s="6">
        <v>7.0</v>
      </c>
      <c r="D1873" s="122" t="s">
        <v>2545</v>
      </c>
      <c r="E1873" s="9" t="s">
        <v>2546</v>
      </c>
      <c r="F1873" s="109" t="str">
        <f t="shared" ref="F1873:G1873" si="1872">TRANSLATE(D1873,"lzh","vi")</f>
        <v>#NAME?</v>
      </c>
      <c r="G1873" s="109" t="str">
        <f t="shared" si="1872"/>
        <v>#NAME?</v>
      </c>
      <c r="X1873" s="110"/>
    </row>
    <row r="1874" ht="21.0" customHeight="1">
      <c r="A1874" s="6">
        <v>1.0</v>
      </c>
      <c r="B1874" s="6">
        <v>156.0</v>
      </c>
      <c r="C1874" s="6">
        <v>8.0</v>
      </c>
      <c r="D1874" s="122" t="s">
        <v>2547</v>
      </c>
      <c r="E1874" s="9" t="s">
        <v>2548</v>
      </c>
      <c r="F1874" s="109" t="str">
        <f t="shared" ref="F1874:G1874" si="1873">TRANSLATE(D1874,"lzh","vi")</f>
        <v>#NAME?</v>
      </c>
      <c r="G1874" s="109" t="str">
        <f t="shared" si="1873"/>
        <v>#NAME?</v>
      </c>
      <c r="X1874" s="110"/>
    </row>
    <row r="1875" ht="21.0" customHeight="1">
      <c r="A1875" s="6">
        <v>1.0</v>
      </c>
      <c r="B1875" s="6">
        <v>156.0</v>
      </c>
      <c r="C1875" s="6">
        <v>9.0</v>
      </c>
      <c r="D1875" s="122" t="s">
        <v>2549</v>
      </c>
      <c r="E1875" s="9" t="s">
        <v>2550</v>
      </c>
      <c r="F1875" s="109" t="str">
        <f t="shared" ref="F1875:G1875" si="1874">TRANSLATE(D1875,"lzh","vi")</f>
        <v>#NAME?</v>
      </c>
      <c r="G1875" s="109" t="str">
        <f t="shared" si="1874"/>
        <v>#NAME?</v>
      </c>
      <c r="X1875" s="110"/>
    </row>
    <row r="1876" ht="21.0" customHeight="1">
      <c r="A1876" s="6">
        <v>1.0</v>
      </c>
      <c r="B1876" s="6">
        <v>156.0</v>
      </c>
      <c r="C1876" s="6">
        <v>10.0</v>
      </c>
      <c r="D1876" s="122" t="s">
        <v>2551</v>
      </c>
      <c r="E1876" s="9" t="s">
        <v>2552</v>
      </c>
      <c r="F1876" s="109" t="str">
        <f t="shared" ref="F1876:G1876" si="1875">TRANSLATE(D1876,"lzh","vi")</f>
        <v>#NAME?</v>
      </c>
      <c r="G1876" s="109" t="str">
        <f t="shared" si="1875"/>
        <v>#NAME?</v>
      </c>
      <c r="X1876" s="110"/>
    </row>
    <row r="1877" ht="21.0" customHeight="1">
      <c r="A1877" s="6">
        <v>1.0</v>
      </c>
      <c r="B1877" s="6">
        <v>156.0</v>
      </c>
      <c r="C1877" s="6">
        <v>11.0</v>
      </c>
      <c r="D1877" s="122" t="s">
        <v>2553</v>
      </c>
      <c r="E1877" s="9" t="s">
        <v>2554</v>
      </c>
      <c r="F1877" s="109" t="str">
        <f t="shared" ref="F1877:G1877" si="1876">TRANSLATE(D1877,"lzh","vi")</f>
        <v>#NAME?</v>
      </c>
      <c r="G1877" s="109" t="str">
        <f t="shared" si="1876"/>
        <v>#NAME?</v>
      </c>
      <c r="X1877" s="110"/>
    </row>
    <row r="1878" ht="21.0" customHeight="1">
      <c r="A1878" s="6">
        <v>1.0</v>
      </c>
      <c r="B1878" s="6">
        <v>156.0</v>
      </c>
      <c r="C1878" s="6">
        <v>12.0</v>
      </c>
      <c r="D1878" s="122" t="s">
        <v>2555</v>
      </c>
      <c r="E1878" s="9" t="s">
        <v>2556</v>
      </c>
      <c r="F1878" s="109" t="str">
        <f t="shared" ref="F1878:G1878" si="1877">TRANSLATE(D1878,"lzh","vi")</f>
        <v>#NAME?</v>
      </c>
      <c r="G1878" s="109" t="str">
        <f t="shared" si="1877"/>
        <v>#NAME?</v>
      </c>
      <c r="X1878" s="110"/>
    </row>
    <row r="1879" ht="21.0" customHeight="1">
      <c r="A1879" s="6">
        <v>1.0</v>
      </c>
      <c r="B1879" s="6">
        <v>156.0</v>
      </c>
      <c r="C1879" s="6">
        <v>13.0</v>
      </c>
      <c r="D1879" s="122" t="s">
        <v>2557</v>
      </c>
      <c r="E1879" s="9" t="s">
        <v>2558</v>
      </c>
      <c r="F1879" s="109" t="str">
        <f t="shared" ref="F1879:G1879" si="1878">TRANSLATE(D1879,"lzh","vi")</f>
        <v>#NAME?</v>
      </c>
      <c r="G1879" s="109" t="str">
        <f t="shared" si="1878"/>
        <v>#NAME?</v>
      </c>
      <c r="X1879" s="110"/>
    </row>
    <row r="1880" ht="21.0" customHeight="1">
      <c r="A1880" s="6">
        <v>1.0</v>
      </c>
      <c r="B1880" s="6">
        <v>157.0</v>
      </c>
      <c r="C1880" s="6">
        <v>1.0</v>
      </c>
      <c r="D1880" s="122" t="s">
        <v>2559</v>
      </c>
      <c r="E1880" s="9" t="s">
        <v>2560</v>
      </c>
      <c r="F1880" s="109" t="str">
        <f t="shared" ref="F1880:G1880" si="1879">TRANSLATE(D1880,"lzh","vi")</f>
        <v>#NAME?</v>
      </c>
      <c r="G1880" s="109" t="str">
        <f t="shared" si="1879"/>
        <v>#NAME?</v>
      </c>
      <c r="X1880" s="110"/>
    </row>
    <row r="1881" ht="21.0" customHeight="1">
      <c r="A1881" s="6">
        <v>1.0</v>
      </c>
      <c r="B1881" s="6">
        <v>157.0</v>
      </c>
      <c r="C1881" s="6">
        <v>2.0</v>
      </c>
      <c r="D1881" s="122" t="s">
        <v>2561</v>
      </c>
      <c r="E1881" s="9" t="s">
        <v>2562</v>
      </c>
      <c r="F1881" s="109" t="str">
        <f t="shared" ref="F1881:G1881" si="1880">TRANSLATE(D1881,"lzh","vi")</f>
        <v>#NAME?</v>
      </c>
      <c r="G1881" s="109" t="str">
        <f t="shared" si="1880"/>
        <v>#NAME?</v>
      </c>
      <c r="X1881" s="110"/>
    </row>
    <row r="1882" ht="21.0" customHeight="1">
      <c r="A1882" s="6">
        <v>1.0</v>
      </c>
      <c r="B1882" s="6">
        <v>157.0</v>
      </c>
      <c r="C1882" s="6">
        <v>3.0</v>
      </c>
      <c r="D1882" s="122" t="s">
        <v>2563</v>
      </c>
      <c r="E1882" s="9" t="s">
        <v>2564</v>
      </c>
      <c r="F1882" s="109" t="str">
        <f t="shared" ref="F1882:G1882" si="1881">TRANSLATE(D1882,"lzh","vi")</f>
        <v>#NAME?</v>
      </c>
      <c r="G1882" s="109" t="str">
        <f t="shared" si="1881"/>
        <v>#NAME?</v>
      </c>
      <c r="X1882" s="110"/>
    </row>
    <row r="1883" ht="21.0" customHeight="1">
      <c r="A1883" s="6">
        <v>1.0</v>
      </c>
      <c r="B1883" s="6">
        <v>157.0</v>
      </c>
      <c r="C1883" s="6">
        <v>4.0</v>
      </c>
      <c r="D1883" s="122" t="s">
        <v>2565</v>
      </c>
      <c r="E1883" s="9" t="s">
        <v>2566</v>
      </c>
      <c r="F1883" s="109" t="str">
        <f t="shared" ref="F1883:G1883" si="1882">TRANSLATE(D1883,"lzh","vi")</f>
        <v>#NAME?</v>
      </c>
      <c r="G1883" s="109" t="str">
        <f t="shared" si="1882"/>
        <v>#NAME?</v>
      </c>
      <c r="X1883" s="110"/>
    </row>
    <row r="1884" ht="21.0" customHeight="1">
      <c r="A1884" s="6">
        <v>1.0</v>
      </c>
      <c r="B1884" s="6">
        <v>157.0</v>
      </c>
      <c r="C1884" s="6">
        <v>5.0</v>
      </c>
      <c r="D1884" s="122" t="s">
        <v>2567</v>
      </c>
      <c r="E1884" s="9" t="s">
        <v>2568</v>
      </c>
      <c r="F1884" s="109" t="str">
        <f t="shared" ref="F1884:G1884" si="1883">TRANSLATE(D1884,"lzh","vi")</f>
        <v>#NAME?</v>
      </c>
      <c r="G1884" s="109" t="str">
        <f t="shared" si="1883"/>
        <v>#NAME?</v>
      </c>
      <c r="X1884" s="110"/>
    </row>
    <row r="1885" ht="21.0" customHeight="1">
      <c r="A1885" s="6">
        <v>1.0</v>
      </c>
      <c r="B1885" s="6">
        <v>157.0</v>
      </c>
      <c r="C1885" s="6">
        <v>6.0</v>
      </c>
      <c r="D1885" s="122" t="s">
        <v>2569</v>
      </c>
      <c r="E1885" s="9" t="s">
        <v>2570</v>
      </c>
      <c r="F1885" s="109" t="str">
        <f t="shared" ref="F1885:G1885" si="1884">TRANSLATE(D1885,"lzh","vi")</f>
        <v>#NAME?</v>
      </c>
      <c r="G1885" s="109" t="str">
        <f t="shared" si="1884"/>
        <v>#NAME?</v>
      </c>
      <c r="X1885" s="110"/>
    </row>
    <row r="1886" ht="21.0" customHeight="1">
      <c r="A1886" s="6">
        <v>1.0</v>
      </c>
      <c r="B1886" s="6">
        <v>157.0</v>
      </c>
      <c r="C1886" s="6">
        <v>7.0</v>
      </c>
      <c r="D1886" s="122" t="s">
        <v>2571</v>
      </c>
      <c r="E1886" s="9" t="s">
        <v>2572</v>
      </c>
      <c r="F1886" s="109" t="str">
        <f t="shared" ref="F1886:G1886" si="1885">TRANSLATE(D1886,"lzh","vi")</f>
        <v>#NAME?</v>
      </c>
      <c r="G1886" s="109" t="str">
        <f t="shared" si="1885"/>
        <v>#NAME?</v>
      </c>
      <c r="X1886" s="110"/>
    </row>
    <row r="1887" ht="21.0" customHeight="1">
      <c r="A1887" s="6">
        <v>1.0</v>
      </c>
      <c r="B1887" s="6">
        <v>157.0</v>
      </c>
      <c r="C1887" s="6">
        <v>8.0</v>
      </c>
      <c r="D1887" s="122" t="s">
        <v>2573</v>
      </c>
      <c r="E1887" s="9" t="s">
        <v>2574</v>
      </c>
      <c r="F1887" s="109" t="str">
        <f t="shared" ref="F1887:G1887" si="1886">TRANSLATE(D1887,"lzh","vi")</f>
        <v>#NAME?</v>
      </c>
      <c r="G1887" s="109" t="str">
        <f t="shared" si="1886"/>
        <v>#NAME?</v>
      </c>
      <c r="X1887" s="110"/>
    </row>
    <row r="1888" ht="21.0" customHeight="1">
      <c r="A1888" s="6">
        <v>1.0</v>
      </c>
      <c r="B1888" s="6">
        <v>157.0</v>
      </c>
      <c r="C1888" s="6">
        <v>9.0</v>
      </c>
      <c r="D1888" s="122" t="s">
        <v>2575</v>
      </c>
      <c r="E1888" s="9" t="s">
        <v>2576</v>
      </c>
      <c r="F1888" s="109" t="str">
        <f t="shared" ref="F1888:G1888" si="1887">TRANSLATE(D1888,"lzh","vi")</f>
        <v>#NAME?</v>
      </c>
      <c r="G1888" s="109" t="str">
        <f t="shared" si="1887"/>
        <v>#NAME?</v>
      </c>
      <c r="X1888" s="110"/>
    </row>
    <row r="1889" ht="21.0" customHeight="1">
      <c r="A1889" s="6">
        <v>1.0</v>
      </c>
      <c r="B1889" s="6">
        <v>157.0</v>
      </c>
      <c r="C1889" s="6">
        <v>10.0</v>
      </c>
      <c r="D1889" s="122" t="s">
        <v>2577</v>
      </c>
      <c r="E1889" s="9" t="s">
        <v>2578</v>
      </c>
      <c r="F1889" s="109" t="str">
        <f t="shared" ref="F1889:G1889" si="1888">TRANSLATE(D1889,"lzh","vi")</f>
        <v>#NAME?</v>
      </c>
      <c r="G1889" s="109" t="str">
        <f t="shared" si="1888"/>
        <v>#NAME?</v>
      </c>
      <c r="X1889" s="110"/>
    </row>
    <row r="1890" ht="21.0" customHeight="1">
      <c r="A1890" s="6">
        <v>1.0</v>
      </c>
      <c r="B1890" s="6">
        <v>157.0</v>
      </c>
      <c r="C1890" s="6">
        <v>11.0</v>
      </c>
      <c r="D1890" s="122" t="s">
        <v>2579</v>
      </c>
      <c r="E1890" s="9" t="s">
        <v>2580</v>
      </c>
      <c r="F1890" s="109" t="str">
        <f t="shared" ref="F1890:G1890" si="1889">TRANSLATE(D1890,"lzh","vi")</f>
        <v>#NAME?</v>
      </c>
      <c r="G1890" s="109" t="str">
        <f t="shared" si="1889"/>
        <v>#NAME?</v>
      </c>
      <c r="X1890" s="110"/>
    </row>
    <row r="1891" ht="21.0" customHeight="1">
      <c r="A1891" s="6">
        <v>1.0</v>
      </c>
      <c r="B1891" s="6">
        <v>157.0</v>
      </c>
      <c r="C1891" s="6">
        <v>12.0</v>
      </c>
      <c r="D1891" s="122" t="s">
        <v>2581</v>
      </c>
      <c r="E1891" s="9" t="s">
        <v>2582</v>
      </c>
      <c r="F1891" s="109" t="str">
        <f t="shared" ref="F1891:G1891" si="1890">TRANSLATE(D1891,"lzh","vi")</f>
        <v>#NAME?</v>
      </c>
      <c r="G1891" s="109" t="str">
        <f t="shared" si="1890"/>
        <v>#NAME?</v>
      </c>
      <c r="X1891" s="110"/>
    </row>
    <row r="1892" ht="21.0" customHeight="1">
      <c r="A1892" s="6">
        <v>1.0</v>
      </c>
      <c r="B1892" s="6">
        <v>157.0</v>
      </c>
      <c r="C1892" s="6">
        <v>13.0</v>
      </c>
      <c r="D1892" s="122" t="s">
        <v>2583</v>
      </c>
      <c r="E1892" s="9" t="s">
        <v>2584</v>
      </c>
      <c r="F1892" s="109" t="str">
        <f t="shared" ref="F1892:G1892" si="1891">TRANSLATE(D1892,"lzh","vi")</f>
        <v>#NAME?</v>
      </c>
      <c r="G1892" s="109" t="str">
        <f t="shared" si="1891"/>
        <v>#NAME?</v>
      </c>
      <c r="X1892" s="110"/>
    </row>
    <row r="1893" ht="21.0" customHeight="1">
      <c r="A1893" s="68">
        <v>1.0</v>
      </c>
      <c r="B1893" s="68">
        <v>158.0</v>
      </c>
      <c r="C1893" s="68">
        <v>1.0</v>
      </c>
      <c r="D1893" s="158" t="s">
        <v>2585</v>
      </c>
      <c r="E1893" s="68" t="s">
        <v>2586</v>
      </c>
      <c r="F1893" s="109" t="str">
        <f t="shared" ref="F1893:G1893" si="1892">TRANSLATE(D1893,"lzh","vi")</f>
        <v>#NAME?</v>
      </c>
      <c r="G1893" s="109" t="str">
        <f t="shared" si="1892"/>
        <v>#NAME?</v>
      </c>
      <c r="X1893" s="110"/>
    </row>
    <row r="1894" ht="21.0" customHeight="1">
      <c r="A1894" s="35">
        <v>1.0</v>
      </c>
      <c r="B1894" s="35">
        <v>158.0</v>
      </c>
      <c r="C1894" s="35">
        <v>2.0</v>
      </c>
      <c r="D1894" s="126" t="s">
        <v>2587</v>
      </c>
      <c r="E1894" s="35" t="s">
        <v>2588</v>
      </c>
      <c r="F1894" s="109" t="str">
        <f t="shared" ref="F1894:G1894" si="1893">TRANSLATE(D1894,"lzh","vi")</f>
        <v>#NAME?</v>
      </c>
      <c r="G1894" s="109" t="str">
        <f t="shared" si="1893"/>
        <v>#NAME?</v>
      </c>
      <c r="X1894" s="110"/>
    </row>
    <row r="1895" ht="21.0" customHeight="1">
      <c r="A1895" s="68">
        <v>1.0</v>
      </c>
      <c r="B1895" s="68">
        <v>158.0</v>
      </c>
      <c r="C1895" s="68">
        <v>3.0</v>
      </c>
      <c r="D1895" s="158" t="s">
        <v>2589</v>
      </c>
      <c r="E1895" s="68" t="s">
        <v>2590</v>
      </c>
      <c r="F1895" s="109" t="str">
        <f t="shared" ref="F1895:G1895" si="1894">TRANSLATE(D1895,"lzh","vi")</f>
        <v>#NAME?</v>
      </c>
      <c r="G1895" s="109" t="str">
        <f t="shared" si="1894"/>
        <v>#NAME?</v>
      </c>
      <c r="X1895" s="110"/>
    </row>
    <row r="1896" ht="21.0" customHeight="1">
      <c r="A1896" s="35">
        <v>1.0</v>
      </c>
      <c r="B1896" s="35">
        <v>158.0</v>
      </c>
      <c r="C1896" s="35">
        <v>4.0</v>
      </c>
      <c r="D1896" s="126" t="s">
        <v>2591</v>
      </c>
      <c r="E1896" s="35" t="s">
        <v>2592</v>
      </c>
      <c r="F1896" s="109" t="str">
        <f t="shared" ref="F1896:G1896" si="1895">TRANSLATE(D1896,"lzh","vi")</f>
        <v>#NAME?</v>
      </c>
      <c r="G1896" s="109" t="str">
        <f t="shared" si="1895"/>
        <v>#NAME?</v>
      </c>
      <c r="X1896" s="110"/>
    </row>
    <row r="1897" ht="21.0" customHeight="1">
      <c r="A1897" s="68">
        <v>1.0</v>
      </c>
      <c r="B1897" s="68">
        <v>158.0</v>
      </c>
      <c r="C1897" s="68">
        <v>5.0</v>
      </c>
      <c r="D1897" s="158" t="s">
        <v>2593</v>
      </c>
      <c r="E1897" s="68" t="s">
        <v>2594</v>
      </c>
      <c r="F1897" s="109" t="str">
        <f t="shared" ref="F1897:G1897" si="1896">TRANSLATE(D1897,"lzh","vi")</f>
        <v>#NAME?</v>
      </c>
      <c r="G1897" s="109" t="str">
        <f t="shared" si="1896"/>
        <v>#NAME?</v>
      </c>
      <c r="X1897" s="110"/>
    </row>
    <row r="1898" ht="21.0" customHeight="1">
      <c r="A1898" s="35">
        <v>1.0</v>
      </c>
      <c r="B1898" s="35">
        <v>158.0</v>
      </c>
      <c r="C1898" s="35">
        <v>6.0</v>
      </c>
      <c r="D1898" s="126" t="s">
        <v>2595</v>
      </c>
      <c r="E1898" s="35" t="s">
        <v>2596</v>
      </c>
      <c r="F1898" s="109" t="str">
        <f t="shared" ref="F1898:G1898" si="1897">TRANSLATE(D1898,"lzh","vi")</f>
        <v>#NAME?</v>
      </c>
      <c r="G1898" s="109" t="str">
        <f t="shared" si="1897"/>
        <v>#NAME?</v>
      </c>
      <c r="X1898" s="110"/>
    </row>
    <row r="1899" ht="21.0" customHeight="1">
      <c r="A1899" s="68">
        <v>1.0</v>
      </c>
      <c r="B1899" s="68">
        <v>158.0</v>
      </c>
      <c r="C1899" s="68">
        <v>7.0</v>
      </c>
      <c r="D1899" s="158" t="s">
        <v>2597</v>
      </c>
      <c r="E1899" s="68" t="s">
        <v>2598</v>
      </c>
      <c r="F1899" s="109" t="str">
        <f t="shared" ref="F1899:G1899" si="1898">TRANSLATE(D1899,"lzh","vi")</f>
        <v>#NAME?</v>
      </c>
      <c r="G1899" s="109" t="str">
        <f t="shared" si="1898"/>
        <v>#NAME?</v>
      </c>
      <c r="X1899" s="110"/>
    </row>
    <row r="1900" ht="21.0" customHeight="1">
      <c r="A1900" s="35">
        <v>1.0</v>
      </c>
      <c r="B1900" s="35">
        <v>158.0</v>
      </c>
      <c r="C1900" s="35">
        <v>8.0</v>
      </c>
      <c r="D1900" s="126" t="s">
        <v>2599</v>
      </c>
      <c r="E1900" s="35" t="s">
        <v>2600</v>
      </c>
      <c r="F1900" s="109" t="str">
        <f t="shared" ref="F1900:G1900" si="1899">TRANSLATE(D1900,"lzh","vi")</f>
        <v>#NAME?</v>
      </c>
      <c r="G1900" s="109" t="str">
        <f t="shared" si="1899"/>
        <v>#NAME?</v>
      </c>
      <c r="X1900" s="110"/>
    </row>
    <row r="1901" ht="21.0" customHeight="1">
      <c r="A1901" s="68">
        <v>1.0</v>
      </c>
      <c r="B1901" s="68">
        <v>158.0</v>
      </c>
      <c r="C1901" s="68">
        <v>9.0</v>
      </c>
      <c r="D1901" s="158" t="s">
        <v>2601</v>
      </c>
      <c r="E1901" s="68" t="s">
        <v>2602</v>
      </c>
      <c r="F1901" s="109" t="str">
        <f t="shared" ref="F1901:G1901" si="1900">TRANSLATE(D1901,"lzh","vi")</f>
        <v>#NAME?</v>
      </c>
      <c r="G1901" s="109" t="str">
        <f t="shared" si="1900"/>
        <v>#NAME?</v>
      </c>
      <c r="X1901" s="110"/>
    </row>
    <row r="1902" ht="21.0" customHeight="1">
      <c r="A1902" s="35">
        <v>1.0</v>
      </c>
      <c r="B1902" s="35">
        <v>158.0</v>
      </c>
      <c r="C1902" s="35">
        <v>10.0</v>
      </c>
      <c r="D1902" s="126" t="s">
        <v>2603</v>
      </c>
      <c r="E1902" s="35" t="s">
        <v>2604</v>
      </c>
      <c r="F1902" s="109" t="str">
        <f t="shared" ref="F1902:G1902" si="1901">TRANSLATE(D1902,"lzh","vi")</f>
        <v>#NAME?</v>
      </c>
      <c r="G1902" s="109" t="str">
        <f t="shared" si="1901"/>
        <v>#NAME?</v>
      </c>
      <c r="X1902" s="110"/>
    </row>
    <row r="1903" ht="21.0" customHeight="1">
      <c r="A1903" s="68">
        <v>1.0</v>
      </c>
      <c r="B1903" s="68">
        <v>158.0</v>
      </c>
      <c r="C1903" s="68">
        <v>11.0</v>
      </c>
      <c r="D1903" s="158" t="s">
        <v>2605</v>
      </c>
      <c r="E1903" s="68" t="s">
        <v>2606</v>
      </c>
      <c r="F1903" s="109" t="str">
        <f t="shared" ref="F1903:G1903" si="1902">TRANSLATE(D1903,"lzh","vi")</f>
        <v>#NAME?</v>
      </c>
      <c r="G1903" s="109" t="str">
        <f t="shared" si="1902"/>
        <v>#NAME?</v>
      </c>
      <c r="X1903" s="110"/>
    </row>
    <row r="1904" ht="21.0" customHeight="1">
      <c r="A1904" s="35">
        <v>1.0</v>
      </c>
      <c r="B1904" s="35">
        <v>158.0</v>
      </c>
      <c r="C1904" s="35">
        <v>12.0</v>
      </c>
      <c r="D1904" s="126" t="s">
        <v>2607</v>
      </c>
      <c r="E1904" s="35" t="s">
        <v>2608</v>
      </c>
      <c r="F1904" s="109" t="str">
        <f t="shared" ref="F1904:G1904" si="1903">TRANSLATE(D1904,"lzh","vi")</f>
        <v>#NAME?</v>
      </c>
      <c r="G1904" s="109" t="str">
        <f t="shared" si="1903"/>
        <v>#NAME?</v>
      </c>
      <c r="X1904" s="110"/>
    </row>
    <row r="1905" ht="21.0" customHeight="1">
      <c r="A1905" s="68">
        <v>1.0</v>
      </c>
      <c r="B1905" s="68">
        <v>158.0</v>
      </c>
      <c r="C1905" s="68">
        <v>13.0</v>
      </c>
      <c r="D1905" s="158" t="s">
        <v>2609</v>
      </c>
      <c r="E1905" s="68" t="s">
        <v>2610</v>
      </c>
      <c r="F1905" s="109" t="str">
        <f t="shared" ref="F1905:G1905" si="1904">TRANSLATE(D1905,"lzh","vi")</f>
        <v>#NAME?</v>
      </c>
      <c r="G1905" s="109" t="str">
        <f t="shared" si="1904"/>
        <v>#NAME?</v>
      </c>
      <c r="X1905" s="110"/>
    </row>
    <row r="1906" ht="21.0" customHeight="1">
      <c r="A1906" s="35">
        <v>1.0</v>
      </c>
      <c r="B1906" s="35">
        <v>159.0</v>
      </c>
      <c r="C1906" s="35">
        <v>1.0</v>
      </c>
      <c r="D1906" s="126" t="s">
        <v>2611</v>
      </c>
      <c r="E1906" s="35" t="s">
        <v>2612</v>
      </c>
      <c r="F1906" s="109" t="str">
        <f t="shared" ref="F1906:G1906" si="1905">TRANSLATE(D1906,"lzh","vi")</f>
        <v>#NAME?</v>
      </c>
      <c r="G1906" s="109" t="str">
        <f t="shared" si="1905"/>
        <v>#NAME?</v>
      </c>
      <c r="X1906" s="110"/>
    </row>
    <row r="1907" ht="21.0" customHeight="1">
      <c r="A1907" s="68">
        <v>1.0</v>
      </c>
      <c r="B1907" s="68">
        <v>159.0</v>
      </c>
      <c r="C1907" s="68">
        <v>2.0</v>
      </c>
      <c r="D1907" s="158" t="s">
        <v>2613</v>
      </c>
      <c r="E1907" s="68" t="s">
        <v>2614</v>
      </c>
      <c r="F1907" s="109" t="str">
        <f t="shared" ref="F1907:G1907" si="1906">TRANSLATE(D1907,"lzh","vi")</f>
        <v>#NAME?</v>
      </c>
      <c r="G1907" s="109" t="str">
        <f t="shared" si="1906"/>
        <v>#NAME?</v>
      </c>
      <c r="X1907" s="110"/>
    </row>
    <row r="1908" ht="21.0" customHeight="1">
      <c r="A1908" s="35">
        <v>1.0</v>
      </c>
      <c r="B1908" s="35">
        <v>159.0</v>
      </c>
      <c r="C1908" s="35">
        <v>3.0</v>
      </c>
      <c r="D1908" s="126" t="s">
        <v>2615</v>
      </c>
      <c r="E1908" s="35" t="s">
        <v>2616</v>
      </c>
      <c r="F1908" s="109" t="str">
        <f t="shared" ref="F1908:G1908" si="1907">TRANSLATE(D1908,"lzh","vi")</f>
        <v>#NAME?</v>
      </c>
      <c r="G1908" s="109" t="str">
        <f t="shared" si="1907"/>
        <v>#NAME?</v>
      </c>
      <c r="X1908" s="110"/>
    </row>
    <row r="1909" ht="21.0" customHeight="1">
      <c r="A1909" s="68">
        <v>1.0</v>
      </c>
      <c r="B1909" s="68">
        <v>159.0</v>
      </c>
      <c r="C1909" s="68">
        <v>4.0</v>
      </c>
      <c r="D1909" s="158" t="s">
        <v>2617</v>
      </c>
      <c r="E1909" s="68" t="s">
        <v>2618</v>
      </c>
      <c r="F1909" s="109" t="str">
        <f t="shared" ref="F1909:G1909" si="1908">TRANSLATE(D1909,"lzh","vi")</f>
        <v>#NAME?</v>
      </c>
      <c r="G1909" s="109" t="str">
        <f t="shared" si="1908"/>
        <v>#NAME?</v>
      </c>
      <c r="X1909" s="110"/>
    </row>
    <row r="1910" ht="21.0" customHeight="1">
      <c r="A1910" s="35">
        <v>1.0</v>
      </c>
      <c r="B1910" s="35">
        <v>159.0</v>
      </c>
      <c r="C1910" s="35">
        <v>5.0</v>
      </c>
      <c r="D1910" s="126" t="s">
        <v>2619</v>
      </c>
      <c r="E1910" s="35" t="s">
        <v>2620</v>
      </c>
      <c r="F1910" s="109" t="str">
        <f t="shared" ref="F1910:G1910" si="1909">TRANSLATE(D1910,"lzh","vi")</f>
        <v>#NAME?</v>
      </c>
      <c r="G1910" s="109" t="str">
        <f t="shared" si="1909"/>
        <v>#NAME?</v>
      </c>
      <c r="X1910" s="110"/>
    </row>
    <row r="1911" ht="21.0" customHeight="1">
      <c r="A1911" s="68">
        <v>1.0</v>
      </c>
      <c r="B1911" s="68">
        <v>159.0</v>
      </c>
      <c r="C1911" s="68">
        <v>6.0</v>
      </c>
      <c r="D1911" s="158" t="s">
        <v>2621</v>
      </c>
      <c r="E1911" s="68" t="s">
        <v>2622</v>
      </c>
      <c r="F1911" s="109" t="str">
        <f t="shared" ref="F1911:G1911" si="1910">TRANSLATE(D1911,"lzh","vi")</f>
        <v>#NAME?</v>
      </c>
      <c r="G1911" s="109" t="str">
        <f t="shared" si="1910"/>
        <v>#NAME?</v>
      </c>
      <c r="X1911" s="110"/>
    </row>
    <row r="1912" ht="21.0" customHeight="1">
      <c r="A1912" s="35">
        <v>1.0</v>
      </c>
      <c r="B1912" s="35">
        <v>159.0</v>
      </c>
      <c r="C1912" s="35">
        <v>7.0</v>
      </c>
      <c r="D1912" s="126" t="s">
        <v>2623</v>
      </c>
      <c r="E1912" s="35" t="s">
        <v>2624</v>
      </c>
      <c r="F1912" s="109" t="str">
        <f t="shared" ref="F1912:G1912" si="1911">TRANSLATE(D1912,"lzh","vi")</f>
        <v>#NAME?</v>
      </c>
      <c r="G1912" s="109" t="str">
        <f t="shared" si="1911"/>
        <v>#NAME?</v>
      </c>
      <c r="X1912" s="110"/>
    </row>
    <row r="1913" ht="21.0" customHeight="1">
      <c r="A1913" s="68">
        <v>1.0</v>
      </c>
      <c r="B1913" s="68">
        <v>159.0</v>
      </c>
      <c r="C1913" s="68">
        <v>8.0</v>
      </c>
      <c r="D1913" s="158" t="s">
        <v>2625</v>
      </c>
      <c r="E1913" s="68" t="s">
        <v>2626</v>
      </c>
      <c r="F1913" s="109" t="str">
        <f t="shared" ref="F1913:G1913" si="1912">TRANSLATE(D1913,"lzh","vi")</f>
        <v>#NAME?</v>
      </c>
      <c r="G1913" s="109" t="str">
        <f t="shared" si="1912"/>
        <v>#NAME?</v>
      </c>
      <c r="X1913" s="110"/>
    </row>
    <row r="1914" ht="21.0" customHeight="1">
      <c r="A1914" s="35">
        <v>1.0</v>
      </c>
      <c r="B1914" s="35">
        <v>159.0</v>
      </c>
      <c r="C1914" s="35">
        <v>9.0</v>
      </c>
      <c r="D1914" s="158" t="s">
        <v>2627</v>
      </c>
      <c r="E1914" s="68" t="s">
        <v>2628</v>
      </c>
      <c r="F1914" s="109" t="str">
        <f t="shared" ref="F1914:G1914" si="1913">TRANSLATE(D1914,"lzh","vi")</f>
        <v>#NAME?</v>
      </c>
      <c r="G1914" s="109" t="str">
        <f t="shared" si="1913"/>
        <v>#NAME?</v>
      </c>
      <c r="X1914" s="110"/>
    </row>
    <row r="1915" ht="21.0" customHeight="1">
      <c r="A1915" s="68">
        <v>1.0</v>
      </c>
      <c r="B1915" s="68">
        <v>159.0</v>
      </c>
      <c r="C1915" s="68">
        <v>10.0</v>
      </c>
      <c r="D1915" s="126" t="s">
        <v>2629</v>
      </c>
      <c r="E1915" s="35" t="s">
        <v>2630</v>
      </c>
      <c r="F1915" s="109" t="str">
        <f t="shared" ref="F1915:G1915" si="1914">TRANSLATE(D1915,"lzh","vi")</f>
        <v>#NAME?</v>
      </c>
      <c r="G1915" s="109" t="str">
        <f t="shared" si="1914"/>
        <v>#NAME?</v>
      </c>
      <c r="X1915" s="110"/>
    </row>
    <row r="1916" ht="21.0" customHeight="1">
      <c r="A1916" s="35">
        <v>1.0</v>
      </c>
      <c r="B1916" s="35">
        <v>159.0</v>
      </c>
      <c r="C1916" s="35">
        <v>11.0</v>
      </c>
      <c r="D1916" s="126" t="s">
        <v>2631</v>
      </c>
      <c r="E1916" s="35" t="s">
        <v>2632</v>
      </c>
      <c r="F1916" s="109" t="str">
        <f t="shared" ref="F1916:G1916" si="1915">TRANSLATE(D1916,"lzh","vi")</f>
        <v>#NAME?</v>
      </c>
      <c r="G1916" s="109" t="str">
        <f t="shared" si="1915"/>
        <v>#NAME?</v>
      </c>
      <c r="X1916" s="110"/>
    </row>
    <row r="1917" ht="21.0" customHeight="1">
      <c r="A1917" s="68">
        <v>1.0</v>
      </c>
      <c r="B1917" s="68">
        <v>159.0</v>
      </c>
      <c r="C1917" s="68">
        <v>12.0</v>
      </c>
      <c r="D1917" s="158" t="s">
        <v>2633</v>
      </c>
      <c r="E1917" s="68" t="s">
        <v>2634</v>
      </c>
      <c r="F1917" s="109" t="str">
        <f t="shared" ref="F1917:G1917" si="1916">TRANSLATE(D1917,"lzh","vi")</f>
        <v>#NAME?</v>
      </c>
      <c r="G1917" s="109" t="str">
        <f t="shared" si="1916"/>
        <v>#NAME?</v>
      </c>
      <c r="X1917" s="110"/>
    </row>
    <row r="1918" ht="21.0" customHeight="1">
      <c r="A1918" s="35">
        <v>1.0</v>
      </c>
      <c r="B1918" s="35">
        <v>159.0</v>
      </c>
      <c r="C1918" s="35">
        <v>13.0</v>
      </c>
      <c r="D1918" s="126" t="s">
        <v>2635</v>
      </c>
      <c r="E1918" s="35" t="s">
        <v>2636</v>
      </c>
      <c r="F1918" s="109" t="str">
        <f t="shared" ref="F1918:G1918" si="1917">TRANSLATE(D1918,"lzh","vi")</f>
        <v>#NAME?</v>
      </c>
      <c r="G1918" s="109" t="str">
        <f t="shared" si="1917"/>
        <v>#NAME?</v>
      </c>
      <c r="X1918" s="110"/>
    </row>
    <row r="1919" ht="21.0" customHeight="1">
      <c r="A1919" s="35">
        <v>11.0</v>
      </c>
      <c r="B1919" s="35">
        <v>1024.0</v>
      </c>
      <c r="C1919" s="35">
        <v>1.0</v>
      </c>
      <c r="D1919" s="126" t="s">
        <v>2637</v>
      </c>
      <c r="E1919" s="35" t="s">
        <v>2638</v>
      </c>
      <c r="F1919" s="109" t="str">
        <f t="shared" ref="F1919:G1919" si="1918">TRANSLATE(D1919,"lzh","vi")</f>
        <v>#NAME?</v>
      </c>
      <c r="G1919" s="109" t="str">
        <f t="shared" si="1918"/>
        <v>#NAME?</v>
      </c>
      <c r="X1919" s="110"/>
    </row>
    <row r="1920" ht="21.0" customHeight="1">
      <c r="A1920" s="68">
        <v>11.0</v>
      </c>
      <c r="B1920" s="68">
        <v>1024.0</v>
      </c>
      <c r="C1920" s="68">
        <v>2.0</v>
      </c>
      <c r="D1920" s="158" t="s">
        <v>2639</v>
      </c>
      <c r="E1920" s="68" t="s">
        <v>2640</v>
      </c>
      <c r="F1920" s="109" t="str">
        <f t="shared" ref="F1920:G1920" si="1919">TRANSLATE(D1920,"lzh","vi")</f>
        <v>#NAME?</v>
      </c>
      <c r="G1920" s="109" t="str">
        <f t="shared" si="1919"/>
        <v>#NAME?</v>
      </c>
      <c r="X1920" s="110"/>
    </row>
    <row r="1921" ht="21.0" customHeight="1">
      <c r="A1921" s="35">
        <v>11.0</v>
      </c>
      <c r="B1921" s="35">
        <v>1024.0</v>
      </c>
      <c r="C1921" s="35">
        <v>3.0</v>
      </c>
      <c r="D1921" s="126" t="s">
        <v>2641</v>
      </c>
      <c r="E1921" s="35" t="s">
        <v>2642</v>
      </c>
      <c r="F1921" s="109" t="str">
        <f t="shared" ref="F1921:G1921" si="1920">TRANSLATE(D1921,"lzh","vi")</f>
        <v>#NAME?</v>
      </c>
      <c r="G1921" s="109" t="str">
        <f t="shared" si="1920"/>
        <v>#NAME?</v>
      </c>
      <c r="X1921" s="110"/>
    </row>
    <row r="1922" ht="21.0" customHeight="1">
      <c r="A1922" s="68">
        <v>11.0</v>
      </c>
      <c r="B1922" s="68">
        <v>1024.0</v>
      </c>
      <c r="C1922" s="68">
        <v>4.0</v>
      </c>
      <c r="D1922" s="158" t="s">
        <v>2643</v>
      </c>
      <c r="E1922" s="68" t="s">
        <v>2644</v>
      </c>
      <c r="F1922" s="109" t="str">
        <f t="shared" ref="F1922:G1922" si="1921">TRANSLATE(D1922,"lzh","vi")</f>
        <v>#NAME?</v>
      </c>
      <c r="G1922" s="109" t="str">
        <f t="shared" si="1921"/>
        <v>#NAME?</v>
      </c>
      <c r="X1922" s="110"/>
    </row>
    <row r="1923" ht="21.0" customHeight="1">
      <c r="A1923" s="35">
        <v>10.0</v>
      </c>
      <c r="B1923" s="35">
        <v>1024.0</v>
      </c>
      <c r="C1923" s="35">
        <v>5.0</v>
      </c>
      <c r="D1923" s="126" t="s">
        <v>2645</v>
      </c>
      <c r="E1923" s="35" t="s">
        <v>2646</v>
      </c>
      <c r="F1923" s="109" t="str">
        <f t="shared" ref="F1923:G1923" si="1922">TRANSLATE(D1923,"lzh","vi")</f>
        <v>#NAME?</v>
      </c>
      <c r="G1923" s="109" t="str">
        <f t="shared" si="1922"/>
        <v>#NAME?</v>
      </c>
      <c r="X1923" s="110"/>
    </row>
    <row r="1924" ht="21.0" customHeight="1">
      <c r="A1924" s="68">
        <v>10.0</v>
      </c>
      <c r="B1924" s="68">
        <v>1024.0</v>
      </c>
      <c r="C1924" s="68">
        <v>6.0</v>
      </c>
      <c r="D1924" s="158" t="s">
        <v>2647</v>
      </c>
      <c r="E1924" s="68" t="s">
        <v>2648</v>
      </c>
      <c r="F1924" s="109" t="str">
        <f t="shared" ref="F1924:G1924" si="1923">TRANSLATE(D1924,"lzh","vi")</f>
        <v>#NAME?</v>
      </c>
      <c r="G1924" s="109" t="str">
        <f t="shared" si="1923"/>
        <v>#NAME?</v>
      </c>
      <c r="X1924" s="110"/>
    </row>
    <row r="1925" ht="21.0" customHeight="1">
      <c r="A1925" s="35">
        <v>10.0</v>
      </c>
      <c r="B1925" s="35">
        <v>1024.0</v>
      </c>
      <c r="C1925" s="35">
        <v>7.0</v>
      </c>
      <c r="D1925" s="126" t="s">
        <v>2649</v>
      </c>
      <c r="E1925" s="35" t="s">
        <v>2650</v>
      </c>
      <c r="F1925" s="109" t="str">
        <f t="shared" ref="F1925:G1925" si="1924">TRANSLATE(D1925,"lzh","vi")</f>
        <v>#NAME?</v>
      </c>
      <c r="G1925" s="109" t="str">
        <f t="shared" si="1924"/>
        <v>#NAME?</v>
      </c>
      <c r="X1925" s="110"/>
    </row>
    <row r="1926" ht="21.0" customHeight="1">
      <c r="A1926" s="68">
        <v>10.0</v>
      </c>
      <c r="B1926" s="68">
        <v>1024.0</v>
      </c>
      <c r="C1926" s="68">
        <v>8.0</v>
      </c>
      <c r="D1926" s="158" t="s">
        <v>2651</v>
      </c>
      <c r="E1926" s="68" t="s">
        <v>2652</v>
      </c>
      <c r="F1926" s="109" t="str">
        <f t="shared" ref="F1926:G1926" si="1925">TRANSLATE(D1926,"lzh","vi")</f>
        <v>#NAME?</v>
      </c>
      <c r="G1926" s="109" t="str">
        <f t="shared" si="1925"/>
        <v>#NAME?</v>
      </c>
      <c r="X1926" s="110"/>
    </row>
    <row r="1927" ht="21.0" customHeight="1">
      <c r="A1927" s="35">
        <v>10.0</v>
      </c>
      <c r="B1927" s="35">
        <v>1024.0</v>
      </c>
      <c r="C1927" s="35">
        <v>9.0</v>
      </c>
      <c r="D1927" s="126" t="s">
        <v>2653</v>
      </c>
      <c r="E1927" s="35" t="s">
        <v>2654</v>
      </c>
      <c r="F1927" s="109" t="str">
        <f t="shared" ref="F1927:G1927" si="1926">TRANSLATE(D1927,"lzh","vi")</f>
        <v>#NAME?</v>
      </c>
      <c r="G1927" s="109" t="str">
        <f t="shared" si="1926"/>
        <v>#NAME?</v>
      </c>
      <c r="X1927" s="110"/>
    </row>
    <row r="1928" ht="21.0" customHeight="1">
      <c r="A1928" s="68">
        <v>10.0</v>
      </c>
      <c r="B1928" s="68">
        <v>1024.0</v>
      </c>
      <c r="C1928" s="68">
        <v>10.0</v>
      </c>
      <c r="D1928" s="158" t="s">
        <v>2655</v>
      </c>
      <c r="E1928" s="68" t="s">
        <v>2656</v>
      </c>
      <c r="F1928" s="109" t="str">
        <f t="shared" ref="F1928:G1928" si="1927">TRANSLATE(D1928,"lzh","vi")</f>
        <v>#NAME?</v>
      </c>
      <c r="G1928" s="109" t="str">
        <f t="shared" si="1927"/>
        <v>#NAME?</v>
      </c>
      <c r="X1928" s="110"/>
    </row>
    <row r="1929" ht="21.0" customHeight="1">
      <c r="A1929" s="35">
        <v>11.0</v>
      </c>
      <c r="B1929" s="35">
        <v>1025.0</v>
      </c>
      <c r="C1929" s="35">
        <v>1.0</v>
      </c>
      <c r="D1929" s="126" t="s">
        <v>2657</v>
      </c>
      <c r="E1929" s="69" t="s">
        <v>2658</v>
      </c>
      <c r="F1929" s="109" t="str">
        <f t="shared" ref="F1929:G1929" si="1928">TRANSLATE(D1929,"lzh","vi")</f>
        <v>#NAME?</v>
      </c>
      <c r="G1929" s="109" t="str">
        <f t="shared" si="1928"/>
        <v>#NAME?</v>
      </c>
      <c r="X1929" s="110"/>
    </row>
    <row r="1930" ht="21.0" customHeight="1">
      <c r="A1930" s="68">
        <v>11.0</v>
      </c>
      <c r="B1930" s="68">
        <v>1025.0</v>
      </c>
      <c r="C1930" s="68">
        <v>2.0</v>
      </c>
      <c r="D1930" s="158" t="s">
        <v>2659</v>
      </c>
      <c r="E1930" s="70" t="s">
        <v>2660</v>
      </c>
      <c r="F1930" s="109" t="str">
        <f t="shared" ref="F1930:G1930" si="1929">TRANSLATE(D1930,"lzh","vi")</f>
        <v>#NAME?</v>
      </c>
      <c r="G1930" s="109" t="str">
        <f t="shared" si="1929"/>
        <v>#NAME?</v>
      </c>
      <c r="X1930" s="110"/>
    </row>
    <row r="1931" ht="21.0" customHeight="1">
      <c r="A1931" s="35">
        <v>11.0</v>
      </c>
      <c r="B1931" s="35">
        <v>1025.0</v>
      </c>
      <c r="C1931" s="35">
        <v>3.0</v>
      </c>
      <c r="D1931" s="126" t="s">
        <v>2661</v>
      </c>
      <c r="E1931" s="69" t="s">
        <v>2662</v>
      </c>
      <c r="F1931" s="109" t="str">
        <f t="shared" ref="F1931:G1931" si="1930">TRANSLATE(D1931,"lzh","vi")</f>
        <v>#NAME?</v>
      </c>
      <c r="G1931" s="109" t="str">
        <f t="shared" si="1930"/>
        <v>#NAME?</v>
      </c>
      <c r="X1931" s="110"/>
    </row>
    <row r="1932" ht="21.0" customHeight="1">
      <c r="A1932" s="68">
        <v>11.0</v>
      </c>
      <c r="B1932" s="68">
        <v>1025.0</v>
      </c>
      <c r="C1932" s="68">
        <v>4.0</v>
      </c>
      <c r="D1932" s="158" t="s">
        <v>2663</v>
      </c>
      <c r="E1932" s="70" t="s">
        <v>2664</v>
      </c>
      <c r="F1932" s="109" t="str">
        <f t="shared" ref="F1932:G1932" si="1931">TRANSLATE(D1932,"lzh","vi")</f>
        <v>#NAME?</v>
      </c>
      <c r="G1932" s="109" t="str">
        <f t="shared" si="1931"/>
        <v>#NAME?</v>
      </c>
      <c r="X1932" s="110"/>
    </row>
    <row r="1933" ht="21.0" customHeight="1">
      <c r="A1933" s="35">
        <v>10.0</v>
      </c>
      <c r="B1933" s="35">
        <v>1025.0</v>
      </c>
      <c r="C1933" s="35">
        <v>5.0</v>
      </c>
      <c r="D1933" s="126" t="s">
        <v>2665</v>
      </c>
      <c r="E1933" s="69" t="s">
        <v>2666</v>
      </c>
      <c r="F1933" s="109" t="str">
        <f t="shared" ref="F1933:G1933" si="1932">TRANSLATE(D1933,"lzh","vi")</f>
        <v>#NAME?</v>
      </c>
      <c r="G1933" s="109" t="str">
        <f t="shared" si="1932"/>
        <v>#NAME?</v>
      </c>
      <c r="X1933" s="110"/>
    </row>
    <row r="1934" ht="21.0" customHeight="1">
      <c r="A1934" s="68">
        <v>10.0</v>
      </c>
      <c r="B1934" s="68">
        <v>1025.0</v>
      </c>
      <c r="C1934" s="68">
        <v>6.0</v>
      </c>
      <c r="D1934" s="158" t="s">
        <v>2667</v>
      </c>
      <c r="E1934" s="70" t="s">
        <v>2668</v>
      </c>
      <c r="F1934" s="109" t="str">
        <f t="shared" ref="F1934:G1934" si="1933">TRANSLATE(D1934,"lzh","vi")</f>
        <v>#NAME?</v>
      </c>
      <c r="G1934" s="109" t="str">
        <f t="shared" si="1933"/>
        <v>#NAME?</v>
      </c>
      <c r="X1934" s="110"/>
    </row>
    <row r="1935" ht="21.0" customHeight="1">
      <c r="A1935" s="35">
        <v>10.0</v>
      </c>
      <c r="B1935" s="35">
        <v>1025.0</v>
      </c>
      <c r="C1935" s="35">
        <v>7.0</v>
      </c>
      <c r="D1935" s="126" t="s">
        <v>2669</v>
      </c>
      <c r="E1935" s="69" t="s">
        <v>2670</v>
      </c>
      <c r="F1935" s="109" t="str">
        <f t="shared" ref="F1935:G1935" si="1934">TRANSLATE(D1935,"lzh","vi")</f>
        <v>#NAME?</v>
      </c>
      <c r="G1935" s="109" t="str">
        <f t="shared" si="1934"/>
        <v>#NAME?</v>
      </c>
      <c r="X1935" s="110"/>
    </row>
    <row r="1936" ht="21.0" customHeight="1">
      <c r="A1936" s="68">
        <v>10.0</v>
      </c>
      <c r="B1936" s="68">
        <v>1025.0</v>
      </c>
      <c r="C1936" s="68">
        <v>8.0</v>
      </c>
      <c r="D1936" s="158" t="s">
        <v>2671</v>
      </c>
      <c r="E1936" s="70" t="s">
        <v>2672</v>
      </c>
      <c r="F1936" s="109" t="str">
        <f t="shared" ref="F1936:G1936" si="1935">TRANSLATE(D1936,"lzh","vi")</f>
        <v>#NAME?</v>
      </c>
      <c r="G1936" s="109" t="str">
        <f t="shared" si="1935"/>
        <v>#NAME?</v>
      </c>
      <c r="X1936" s="110"/>
    </row>
    <row r="1937" ht="21.0" customHeight="1">
      <c r="A1937" s="35">
        <v>10.0</v>
      </c>
      <c r="B1937" s="35">
        <v>1025.0</v>
      </c>
      <c r="C1937" s="35">
        <v>9.0</v>
      </c>
      <c r="D1937" s="126" t="s">
        <v>2673</v>
      </c>
      <c r="E1937" s="69" t="s">
        <v>2674</v>
      </c>
      <c r="F1937" s="109" t="str">
        <f t="shared" ref="F1937:G1937" si="1936">TRANSLATE(D1937,"lzh","vi")</f>
        <v>#NAME?</v>
      </c>
      <c r="G1937" s="109" t="str">
        <f t="shared" si="1936"/>
        <v>#NAME?</v>
      </c>
      <c r="X1937" s="110"/>
    </row>
    <row r="1938" ht="21.0" customHeight="1">
      <c r="A1938" s="68">
        <v>10.0</v>
      </c>
      <c r="B1938" s="68">
        <v>1025.0</v>
      </c>
      <c r="C1938" s="68">
        <v>10.0</v>
      </c>
      <c r="D1938" s="158" t="s">
        <v>2675</v>
      </c>
      <c r="E1938" s="70" t="s">
        <v>2656</v>
      </c>
      <c r="F1938" s="109" t="str">
        <f t="shared" ref="F1938:G1938" si="1937">TRANSLATE(D1938,"lzh","vi")</f>
        <v>#NAME?</v>
      </c>
      <c r="G1938" s="109" t="str">
        <f t="shared" si="1937"/>
        <v>#NAME?</v>
      </c>
      <c r="X1938" s="110"/>
    </row>
    <row r="1939" ht="21.0" customHeight="1">
      <c r="A1939" s="35">
        <v>11.0</v>
      </c>
      <c r="B1939" s="35">
        <v>1026.0</v>
      </c>
      <c r="C1939" s="35">
        <v>1.0</v>
      </c>
      <c r="D1939" s="126" t="s">
        <v>2676</v>
      </c>
      <c r="E1939" s="69" t="s">
        <v>2677</v>
      </c>
      <c r="F1939" s="109" t="str">
        <f t="shared" ref="F1939:G1939" si="1938">TRANSLATE(D1939,"lzh","vi")</f>
        <v>#NAME?</v>
      </c>
      <c r="G1939" s="109" t="str">
        <f t="shared" si="1938"/>
        <v>#NAME?</v>
      </c>
      <c r="X1939" s="110"/>
    </row>
    <row r="1940" ht="21.0" customHeight="1">
      <c r="A1940" s="68">
        <v>11.0</v>
      </c>
      <c r="B1940" s="68">
        <v>1026.0</v>
      </c>
      <c r="C1940" s="68">
        <v>2.0</v>
      </c>
      <c r="D1940" s="158" t="s">
        <v>2678</v>
      </c>
      <c r="E1940" s="70" t="s">
        <v>2679</v>
      </c>
      <c r="F1940" s="109" t="str">
        <f t="shared" ref="F1940:G1940" si="1939">TRANSLATE(D1940,"lzh","vi")</f>
        <v>#NAME?</v>
      </c>
      <c r="G1940" s="109" t="str">
        <f t="shared" si="1939"/>
        <v>#NAME?</v>
      </c>
      <c r="X1940" s="110"/>
    </row>
    <row r="1941" ht="21.0" customHeight="1">
      <c r="A1941" s="35">
        <v>11.0</v>
      </c>
      <c r="B1941" s="35">
        <v>1026.0</v>
      </c>
      <c r="C1941" s="35">
        <v>3.0</v>
      </c>
      <c r="D1941" s="126" t="s">
        <v>2680</v>
      </c>
      <c r="E1941" s="69" t="s">
        <v>2681</v>
      </c>
      <c r="F1941" s="109" t="str">
        <f t="shared" ref="F1941:G1941" si="1940">TRANSLATE(D1941,"lzh","vi")</f>
        <v>#NAME?</v>
      </c>
      <c r="G1941" s="109" t="str">
        <f t="shared" si="1940"/>
        <v>#NAME?</v>
      </c>
      <c r="X1941" s="110"/>
    </row>
    <row r="1942" ht="21.0" customHeight="1">
      <c r="A1942" s="68">
        <v>11.0</v>
      </c>
      <c r="B1942" s="68">
        <v>1026.0</v>
      </c>
      <c r="C1942" s="68">
        <v>4.0</v>
      </c>
      <c r="D1942" s="158" t="s">
        <v>2682</v>
      </c>
      <c r="E1942" s="70" t="s">
        <v>2683</v>
      </c>
      <c r="F1942" s="109" t="str">
        <f t="shared" ref="F1942:G1942" si="1941">TRANSLATE(D1942,"lzh","vi")</f>
        <v>#NAME?</v>
      </c>
      <c r="G1942" s="109" t="str">
        <f t="shared" si="1941"/>
        <v>#NAME?</v>
      </c>
      <c r="X1942" s="110"/>
    </row>
    <row r="1943" ht="21.0" customHeight="1">
      <c r="A1943" s="35">
        <v>10.0</v>
      </c>
      <c r="B1943" s="35">
        <v>1026.0</v>
      </c>
      <c r="C1943" s="35">
        <v>5.0</v>
      </c>
      <c r="D1943" s="126" t="s">
        <v>2684</v>
      </c>
      <c r="E1943" s="69" t="s">
        <v>2685</v>
      </c>
      <c r="F1943" s="109" t="str">
        <f t="shared" ref="F1943:G1943" si="1942">TRANSLATE(D1943,"lzh","vi")</f>
        <v>#NAME?</v>
      </c>
      <c r="G1943" s="109" t="str">
        <f t="shared" si="1942"/>
        <v>#NAME?</v>
      </c>
      <c r="X1943" s="110"/>
    </row>
    <row r="1944" ht="21.0" customHeight="1">
      <c r="A1944" s="68">
        <v>10.0</v>
      </c>
      <c r="B1944" s="68">
        <v>1026.0</v>
      </c>
      <c r="C1944" s="68">
        <v>6.0</v>
      </c>
      <c r="D1944" s="158" t="s">
        <v>2686</v>
      </c>
      <c r="E1944" s="70" t="s">
        <v>2687</v>
      </c>
      <c r="F1944" s="109" t="str">
        <f t="shared" ref="F1944:G1944" si="1943">TRANSLATE(D1944,"lzh","vi")</f>
        <v>#NAME?</v>
      </c>
      <c r="G1944" s="109" t="str">
        <f t="shared" si="1943"/>
        <v>#NAME?</v>
      </c>
      <c r="X1944" s="110"/>
    </row>
    <row r="1945" ht="21.0" customHeight="1">
      <c r="A1945" s="35">
        <v>10.0</v>
      </c>
      <c r="B1945" s="35">
        <v>1026.0</v>
      </c>
      <c r="C1945" s="35">
        <v>7.0</v>
      </c>
      <c r="D1945" s="126" t="s">
        <v>2688</v>
      </c>
      <c r="E1945" s="69" t="s">
        <v>2689</v>
      </c>
      <c r="F1945" s="109" t="str">
        <f t="shared" ref="F1945:G1945" si="1944">TRANSLATE(D1945,"lzh","vi")</f>
        <v>#NAME?</v>
      </c>
      <c r="G1945" s="109" t="str">
        <f t="shared" si="1944"/>
        <v>#NAME?</v>
      </c>
      <c r="X1945" s="110"/>
    </row>
    <row r="1946" ht="21.0" customHeight="1">
      <c r="A1946" s="68">
        <v>10.0</v>
      </c>
      <c r="B1946" s="68">
        <v>1026.0</v>
      </c>
      <c r="C1946" s="68">
        <v>8.0</v>
      </c>
      <c r="D1946" s="158" t="s">
        <v>2690</v>
      </c>
      <c r="E1946" s="70" t="s">
        <v>2691</v>
      </c>
      <c r="F1946" s="109" t="str">
        <f t="shared" ref="F1946:G1946" si="1945">TRANSLATE(D1946,"lzh","vi")</f>
        <v>#NAME?</v>
      </c>
      <c r="G1946" s="109" t="str">
        <f t="shared" si="1945"/>
        <v>#NAME?</v>
      </c>
      <c r="X1946" s="110"/>
    </row>
    <row r="1947" ht="21.0" customHeight="1">
      <c r="A1947" s="35">
        <v>10.0</v>
      </c>
      <c r="B1947" s="35">
        <v>1026.0</v>
      </c>
      <c r="C1947" s="35">
        <v>9.0</v>
      </c>
      <c r="D1947" s="126" t="s">
        <v>2692</v>
      </c>
      <c r="E1947" s="69" t="s">
        <v>2693</v>
      </c>
      <c r="F1947" s="109" t="str">
        <f t="shared" ref="F1947:G1947" si="1946">TRANSLATE(D1947,"lzh","vi")</f>
        <v>#NAME?</v>
      </c>
      <c r="G1947" s="109" t="str">
        <f t="shared" si="1946"/>
        <v>#NAME?</v>
      </c>
      <c r="X1947" s="110"/>
    </row>
    <row r="1948" ht="21.0" customHeight="1">
      <c r="A1948" s="68">
        <v>10.0</v>
      </c>
      <c r="B1948" s="68">
        <v>1026.0</v>
      </c>
      <c r="C1948" s="68">
        <v>10.0</v>
      </c>
      <c r="D1948" s="158" t="s">
        <v>2694</v>
      </c>
      <c r="E1948" s="70" t="s">
        <v>2695</v>
      </c>
      <c r="F1948" s="109" t="str">
        <f t="shared" ref="F1948:G1948" si="1947">TRANSLATE(D1948,"lzh","vi")</f>
        <v>#NAME?</v>
      </c>
      <c r="G1948" s="109" t="str">
        <f t="shared" si="1947"/>
        <v>#NAME?</v>
      </c>
      <c r="X1948" s="110"/>
    </row>
    <row r="1949" ht="21.0" customHeight="1">
      <c r="A1949" s="35">
        <v>1.0</v>
      </c>
      <c r="B1949" s="35">
        <v>160.0</v>
      </c>
      <c r="C1949" s="35">
        <v>1.0</v>
      </c>
      <c r="D1949" s="126" t="s">
        <v>2696</v>
      </c>
      <c r="E1949" s="69" t="s">
        <v>2697</v>
      </c>
      <c r="F1949" s="109" t="str">
        <f t="shared" ref="F1949:G1949" si="1948">TRANSLATE(D1949,"lzh","vi")</f>
        <v>#NAME?</v>
      </c>
      <c r="G1949" s="109" t="str">
        <f t="shared" si="1948"/>
        <v>#NAME?</v>
      </c>
      <c r="X1949" s="110"/>
    </row>
    <row r="1950" ht="21.0" customHeight="1">
      <c r="A1950" s="68">
        <v>1.0</v>
      </c>
      <c r="B1950" s="35">
        <v>160.0</v>
      </c>
      <c r="C1950" s="68">
        <v>2.0</v>
      </c>
      <c r="D1950" s="126" t="s">
        <v>2698</v>
      </c>
      <c r="E1950" s="69" t="s">
        <v>2699</v>
      </c>
      <c r="F1950" s="109" t="str">
        <f t="shared" ref="F1950:G1950" si="1949">TRANSLATE(D1950,"lzh","vi")</f>
        <v>#NAME?</v>
      </c>
      <c r="G1950" s="109" t="str">
        <f t="shared" si="1949"/>
        <v>#NAME?</v>
      </c>
      <c r="X1950" s="110"/>
    </row>
    <row r="1951" ht="21.0" customHeight="1">
      <c r="A1951" s="35">
        <v>1.0</v>
      </c>
      <c r="B1951" s="35">
        <v>160.0</v>
      </c>
      <c r="C1951" s="35">
        <v>3.0</v>
      </c>
      <c r="D1951" s="126" t="s">
        <v>2700</v>
      </c>
      <c r="E1951" s="69" t="s">
        <v>2701</v>
      </c>
      <c r="F1951" s="109" t="str">
        <f t="shared" ref="F1951:G1951" si="1950">TRANSLATE(D1951,"lzh","vi")</f>
        <v>#NAME?</v>
      </c>
      <c r="G1951" s="109" t="str">
        <f t="shared" si="1950"/>
        <v>#NAME?</v>
      </c>
      <c r="X1951" s="110"/>
    </row>
    <row r="1952" ht="21.0" customHeight="1">
      <c r="A1952" s="68">
        <v>1.0</v>
      </c>
      <c r="B1952" s="35">
        <v>160.0</v>
      </c>
      <c r="C1952" s="68">
        <v>4.0</v>
      </c>
      <c r="D1952" s="126" t="s">
        <v>2702</v>
      </c>
      <c r="E1952" s="69" t="s">
        <v>2703</v>
      </c>
      <c r="F1952" s="109" t="str">
        <f t="shared" ref="F1952:G1952" si="1951">TRANSLATE(D1952,"lzh","vi")</f>
        <v>#NAME?</v>
      </c>
      <c r="G1952" s="109" t="str">
        <f t="shared" si="1951"/>
        <v>#NAME?</v>
      </c>
      <c r="X1952" s="110"/>
    </row>
    <row r="1953" ht="21.0" customHeight="1">
      <c r="A1953" s="35">
        <v>1.0</v>
      </c>
      <c r="B1953" s="35">
        <v>160.0</v>
      </c>
      <c r="C1953" s="35">
        <v>5.0</v>
      </c>
      <c r="D1953" s="126" t="s">
        <v>2704</v>
      </c>
      <c r="E1953" s="69" t="s">
        <v>2705</v>
      </c>
      <c r="F1953" s="109" t="str">
        <f t="shared" ref="F1953:G1953" si="1952">TRANSLATE(D1953,"lzh","vi")</f>
        <v>#NAME?</v>
      </c>
      <c r="G1953" s="109" t="str">
        <f t="shared" si="1952"/>
        <v>#NAME?</v>
      </c>
      <c r="X1953" s="110"/>
    </row>
    <row r="1954" ht="21.0" customHeight="1">
      <c r="A1954" s="68">
        <v>1.0</v>
      </c>
      <c r="B1954" s="35">
        <v>160.0</v>
      </c>
      <c r="C1954" s="68">
        <v>6.0</v>
      </c>
      <c r="D1954" s="126" t="s">
        <v>2706</v>
      </c>
      <c r="E1954" s="69" t="s">
        <v>2707</v>
      </c>
      <c r="F1954" s="109" t="str">
        <f t="shared" ref="F1954:G1954" si="1953">TRANSLATE(D1954,"lzh","vi")</f>
        <v>#NAME?</v>
      </c>
      <c r="G1954" s="109" t="str">
        <f t="shared" si="1953"/>
        <v>#NAME?</v>
      </c>
      <c r="X1954" s="110"/>
    </row>
    <row r="1955" ht="21.0" customHeight="1">
      <c r="A1955" s="35">
        <v>1.0</v>
      </c>
      <c r="B1955" s="35">
        <v>160.0</v>
      </c>
      <c r="C1955" s="35">
        <v>7.0</v>
      </c>
      <c r="D1955" s="126" t="s">
        <v>2708</v>
      </c>
      <c r="E1955" s="69" t="s">
        <v>2709</v>
      </c>
      <c r="F1955" s="109" t="str">
        <f t="shared" ref="F1955:G1955" si="1954">TRANSLATE(D1955,"lzh","vi")</f>
        <v>#NAME?</v>
      </c>
      <c r="G1955" s="109" t="str">
        <f t="shared" si="1954"/>
        <v>#NAME?</v>
      </c>
      <c r="X1955" s="110"/>
    </row>
    <row r="1956" ht="21.0" customHeight="1">
      <c r="A1956" s="68">
        <v>1.0</v>
      </c>
      <c r="B1956" s="35">
        <v>160.0</v>
      </c>
      <c r="C1956" s="68">
        <v>8.0</v>
      </c>
      <c r="D1956" s="126" t="s">
        <v>2710</v>
      </c>
      <c r="E1956" s="69" t="s">
        <v>2711</v>
      </c>
      <c r="F1956" s="109" t="str">
        <f t="shared" ref="F1956:G1956" si="1955">TRANSLATE(D1956,"lzh","vi")</f>
        <v>#NAME?</v>
      </c>
      <c r="G1956" s="109" t="str">
        <f t="shared" si="1955"/>
        <v>#NAME?</v>
      </c>
      <c r="X1956" s="110"/>
    </row>
    <row r="1957" ht="21.0" customHeight="1">
      <c r="A1957" s="35">
        <v>1.0</v>
      </c>
      <c r="B1957" s="35">
        <v>160.0</v>
      </c>
      <c r="C1957" s="35">
        <v>9.0</v>
      </c>
      <c r="D1957" s="126" t="s">
        <v>2712</v>
      </c>
      <c r="E1957" s="69" t="s">
        <v>2713</v>
      </c>
      <c r="F1957" s="109" t="str">
        <f t="shared" ref="F1957:G1957" si="1956">TRANSLATE(D1957,"lzh","vi")</f>
        <v>#NAME?</v>
      </c>
      <c r="G1957" s="109" t="str">
        <f t="shared" si="1956"/>
        <v>#NAME?</v>
      </c>
      <c r="X1957" s="110"/>
    </row>
    <row r="1958" ht="21.0" customHeight="1">
      <c r="A1958" s="68">
        <v>1.0</v>
      </c>
      <c r="B1958" s="35">
        <v>160.0</v>
      </c>
      <c r="C1958" s="68">
        <v>10.0</v>
      </c>
      <c r="D1958" s="126" t="s">
        <v>2714</v>
      </c>
      <c r="E1958" s="69" t="s">
        <v>2715</v>
      </c>
      <c r="F1958" s="109" t="str">
        <f t="shared" ref="F1958:G1958" si="1957">TRANSLATE(D1958,"lzh","vi")</f>
        <v>#NAME?</v>
      </c>
      <c r="G1958" s="109" t="str">
        <f t="shared" si="1957"/>
        <v>#NAME?</v>
      </c>
      <c r="X1958" s="110"/>
    </row>
    <row r="1959" ht="21.0" customHeight="1">
      <c r="A1959" s="35">
        <v>1.0</v>
      </c>
      <c r="B1959" s="35">
        <v>160.0</v>
      </c>
      <c r="C1959" s="35">
        <v>11.0</v>
      </c>
      <c r="D1959" s="126" t="s">
        <v>2716</v>
      </c>
      <c r="E1959" s="69" t="s">
        <v>2717</v>
      </c>
      <c r="F1959" s="109" t="str">
        <f t="shared" ref="F1959:G1959" si="1958">TRANSLATE(D1959,"lzh","vi")</f>
        <v>#NAME?</v>
      </c>
      <c r="G1959" s="109" t="str">
        <f t="shared" si="1958"/>
        <v>#NAME?</v>
      </c>
      <c r="X1959" s="110"/>
    </row>
    <row r="1960" ht="21.0" customHeight="1">
      <c r="A1960" s="68">
        <v>1.0</v>
      </c>
      <c r="B1960" s="35">
        <v>160.0</v>
      </c>
      <c r="C1960" s="68">
        <v>12.0</v>
      </c>
      <c r="D1960" s="126" t="s">
        <v>2718</v>
      </c>
      <c r="E1960" s="69" t="s">
        <v>2719</v>
      </c>
      <c r="F1960" s="109" t="str">
        <f t="shared" ref="F1960:G1960" si="1959">TRANSLATE(D1960,"lzh","vi")</f>
        <v>#NAME?</v>
      </c>
      <c r="G1960" s="109" t="str">
        <f t="shared" si="1959"/>
        <v>#NAME?</v>
      </c>
      <c r="X1960" s="110"/>
    </row>
    <row r="1961" ht="21.0" customHeight="1">
      <c r="A1961" s="35">
        <v>1.0</v>
      </c>
      <c r="B1961" s="35">
        <v>160.0</v>
      </c>
      <c r="C1961" s="35">
        <v>13.0</v>
      </c>
      <c r="D1961" s="126" t="s">
        <v>2720</v>
      </c>
      <c r="E1961" s="69" t="s">
        <v>2721</v>
      </c>
      <c r="F1961" s="109" t="str">
        <f t="shared" ref="F1961:G1961" si="1960">TRANSLATE(D1961,"lzh","vi")</f>
        <v>#NAME?</v>
      </c>
      <c r="G1961" s="109" t="str">
        <f t="shared" si="1960"/>
        <v>#NAME?</v>
      </c>
      <c r="X1961" s="110"/>
    </row>
    <row r="1962" ht="21.0" customHeight="1">
      <c r="A1962" s="68">
        <v>1.0</v>
      </c>
      <c r="B1962" s="35">
        <v>161.0</v>
      </c>
      <c r="C1962" s="68">
        <v>1.0</v>
      </c>
      <c r="D1962" s="126" t="s">
        <v>2722</v>
      </c>
      <c r="E1962" s="69" t="s">
        <v>2723</v>
      </c>
      <c r="F1962" s="109" t="str">
        <f t="shared" ref="F1962:G1962" si="1961">TRANSLATE(D1962,"lzh","vi")</f>
        <v>#NAME?</v>
      </c>
      <c r="G1962" s="109" t="str">
        <f t="shared" si="1961"/>
        <v>#NAME?</v>
      </c>
      <c r="X1962" s="110"/>
    </row>
    <row r="1963" ht="21.0" customHeight="1">
      <c r="A1963" s="35">
        <v>1.0</v>
      </c>
      <c r="B1963" s="35">
        <v>161.0</v>
      </c>
      <c r="C1963" s="35">
        <v>2.0</v>
      </c>
      <c r="D1963" s="126" t="s">
        <v>2724</v>
      </c>
      <c r="E1963" s="69" t="s">
        <v>2725</v>
      </c>
      <c r="F1963" s="109" t="str">
        <f t="shared" ref="F1963:G1963" si="1962">TRANSLATE(D1963,"lzh","vi")</f>
        <v>#NAME?</v>
      </c>
      <c r="G1963" s="109" t="str">
        <f t="shared" si="1962"/>
        <v>#NAME?</v>
      </c>
      <c r="X1963" s="110"/>
    </row>
    <row r="1964" ht="21.0" customHeight="1">
      <c r="A1964" s="68">
        <v>1.0</v>
      </c>
      <c r="B1964" s="35">
        <v>161.0</v>
      </c>
      <c r="C1964" s="68">
        <v>3.0</v>
      </c>
      <c r="D1964" s="126" t="s">
        <v>2726</v>
      </c>
      <c r="E1964" s="69" t="s">
        <v>2727</v>
      </c>
      <c r="F1964" s="109" t="str">
        <f t="shared" ref="F1964:G1964" si="1963">TRANSLATE(D1964,"lzh","vi")</f>
        <v>#NAME?</v>
      </c>
      <c r="G1964" s="109" t="str">
        <f t="shared" si="1963"/>
        <v>#NAME?</v>
      </c>
      <c r="X1964" s="110"/>
    </row>
    <row r="1965" ht="21.0" customHeight="1">
      <c r="A1965" s="35">
        <v>1.0</v>
      </c>
      <c r="B1965" s="35">
        <v>161.0</v>
      </c>
      <c r="C1965" s="35">
        <v>4.0</v>
      </c>
      <c r="D1965" s="126" t="s">
        <v>2728</v>
      </c>
      <c r="E1965" s="69" t="s">
        <v>2729</v>
      </c>
      <c r="F1965" s="109" t="str">
        <f t="shared" ref="F1965:G1965" si="1964">TRANSLATE(D1965,"lzh","vi")</f>
        <v>#NAME?</v>
      </c>
      <c r="G1965" s="109" t="str">
        <f t="shared" si="1964"/>
        <v>#NAME?</v>
      </c>
      <c r="X1965" s="110"/>
    </row>
    <row r="1966" ht="21.0" customHeight="1">
      <c r="A1966" s="68">
        <v>1.0</v>
      </c>
      <c r="B1966" s="35">
        <v>161.0</v>
      </c>
      <c r="C1966" s="68">
        <v>5.0</v>
      </c>
      <c r="D1966" s="126" t="s">
        <v>2730</v>
      </c>
      <c r="E1966" s="69" t="s">
        <v>2731</v>
      </c>
      <c r="F1966" s="109" t="str">
        <f t="shared" ref="F1966:G1966" si="1965">TRANSLATE(D1966,"lzh","vi")</f>
        <v>#NAME?</v>
      </c>
      <c r="G1966" s="109" t="str">
        <f t="shared" si="1965"/>
        <v>#NAME?</v>
      </c>
      <c r="X1966" s="110"/>
    </row>
    <row r="1967" ht="21.0" customHeight="1">
      <c r="A1967" s="35">
        <v>1.0</v>
      </c>
      <c r="B1967" s="35">
        <v>161.0</v>
      </c>
      <c r="C1967" s="35">
        <v>6.0</v>
      </c>
      <c r="D1967" s="126" t="s">
        <v>2732</v>
      </c>
      <c r="E1967" s="69" t="s">
        <v>2733</v>
      </c>
      <c r="F1967" s="109" t="str">
        <f t="shared" ref="F1967:G1967" si="1966">TRANSLATE(D1967,"lzh","vi")</f>
        <v>#NAME?</v>
      </c>
      <c r="G1967" s="109" t="str">
        <f t="shared" si="1966"/>
        <v>#NAME?</v>
      </c>
      <c r="X1967" s="110"/>
    </row>
    <row r="1968" ht="21.0" customHeight="1">
      <c r="A1968" s="68">
        <v>1.0</v>
      </c>
      <c r="B1968" s="35">
        <v>161.0</v>
      </c>
      <c r="C1968" s="68">
        <v>7.0</v>
      </c>
      <c r="D1968" s="126" t="s">
        <v>2734</v>
      </c>
      <c r="E1968" s="69" t="s">
        <v>2735</v>
      </c>
      <c r="F1968" s="109" t="str">
        <f t="shared" ref="F1968:G1968" si="1967">TRANSLATE(D1968,"lzh","vi")</f>
        <v>#NAME?</v>
      </c>
      <c r="G1968" s="109" t="str">
        <f t="shared" si="1967"/>
        <v>#NAME?</v>
      </c>
      <c r="X1968" s="110"/>
    </row>
    <row r="1969" ht="21.0" customHeight="1">
      <c r="A1969" s="35">
        <v>1.0</v>
      </c>
      <c r="B1969" s="35">
        <v>161.0</v>
      </c>
      <c r="C1969" s="35">
        <v>8.0</v>
      </c>
      <c r="D1969" s="126" t="s">
        <v>2736</v>
      </c>
      <c r="E1969" s="69" t="s">
        <v>2737</v>
      </c>
      <c r="F1969" s="109" t="str">
        <f t="shared" ref="F1969:G1969" si="1968">TRANSLATE(D1969,"lzh","vi")</f>
        <v>#NAME?</v>
      </c>
      <c r="G1969" s="109" t="str">
        <f t="shared" si="1968"/>
        <v>#NAME?</v>
      </c>
      <c r="X1969" s="110"/>
    </row>
    <row r="1970" ht="21.0" customHeight="1">
      <c r="A1970" s="68">
        <v>1.0</v>
      </c>
      <c r="B1970" s="35">
        <v>161.0</v>
      </c>
      <c r="C1970" s="68">
        <v>9.0</v>
      </c>
      <c r="D1970" s="126" t="s">
        <v>2738</v>
      </c>
      <c r="E1970" s="69" t="s">
        <v>2739</v>
      </c>
      <c r="F1970" s="109" t="str">
        <f t="shared" ref="F1970:G1970" si="1969">TRANSLATE(D1970,"lzh","vi")</f>
        <v>#NAME?</v>
      </c>
      <c r="G1970" s="109" t="str">
        <f t="shared" si="1969"/>
        <v>#NAME?</v>
      </c>
      <c r="X1970" s="110"/>
    </row>
    <row r="1971" ht="21.0" customHeight="1">
      <c r="A1971" s="35">
        <v>1.0</v>
      </c>
      <c r="B1971" s="35">
        <v>161.0</v>
      </c>
      <c r="C1971" s="35">
        <v>10.0</v>
      </c>
      <c r="D1971" s="126" t="s">
        <v>2740</v>
      </c>
      <c r="E1971" s="69" t="s">
        <v>2741</v>
      </c>
      <c r="F1971" s="109" t="str">
        <f t="shared" ref="F1971:G1971" si="1970">TRANSLATE(D1971,"lzh","vi")</f>
        <v>#NAME?</v>
      </c>
      <c r="G1971" s="109" t="str">
        <f t="shared" si="1970"/>
        <v>#NAME?</v>
      </c>
      <c r="X1971" s="110"/>
    </row>
    <row r="1972" ht="21.0" customHeight="1">
      <c r="A1972" s="68">
        <v>1.0</v>
      </c>
      <c r="B1972" s="35">
        <v>161.0</v>
      </c>
      <c r="C1972" s="68">
        <v>11.0</v>
      </c>
      <c r="D1972" s="126" t="s">
        <v>2742</v>
      </c>
      <c r="E1972" s="69" t="s">
        <v>2743</v>
      </c>
      <c r="F1972" s="109" t="str">
        <f t="shared" ref="F1972:G1972" si="1971">TRANSLATE(D1972,"lzh","vi")</f>
        <v>#NAME?</v>
      </c>
      <c r="G1972" s="109" t="str">
        <f t="shared" si="1971"/>
        <v>#NAME?</v>
      </c>
      <c r="X1972" s="110"/>
    </row>
    <row r="1973" ht="21.0" customHeight="1">
      <c r="A1973" s="35">
        <v>1.0</v>
      </c>
      <c r="B1973" s="35">
        <v>161.0</v>
      </c>
      <c r="C1973" s="35">
        <v>12.0</v>
      </c>
      <c r="D1973" s="126" t="s">
        <v>2744</v>
      </c>
      <c r="E1973" s="69" t="s">
        <v>2745</v>
      </c>
      <c r="F1973" s="109" t="str">
        <f t="shared" ref="F1973:G1973" si="1972">TRANSLATE(D1973,"lzh","vi")</f>
        <v>#NAME?</v>
      </c>
      <c r="G1973" s="109" t="str">
        <f t="shared" si="1972"/>
        <v>#NAME?</v>
      </c>
      <c r="X1973" s="110"/>
    </row>
    <row r="1974" ht="21.0" customHeight="1">
      <c r="A1974" s="68">
        <v>1.0</v>
      </c>
      <c r="B1974" s="35">
        <v>161.0</v>
      </c>
      <c r="C1974" s="68">
        <v>13.0</v>
      </c>
      <c r="D1974" s="126" t="s">
        <v>2746</v>
      </c>
      <c r="E1974" s="69" t="s">
        <v>2747</v>
      </c>
      <c r="F1974" s="109" t="str">
        <f t="shared" ref="F1974:G1974" si="1973">TRANSLATE(D1974,"lzh","vi")</f>
        <v>#NAME?</v>
      </c>
      <c r="G1974" s="109" t="str">
        <f t="shared" si="1973"/>
        <v>#NAME?</v>
      </c>
      <c r="X1974" s="110"/>
    </row>
    <row r="1975" ht="21.0" customHeight="1">
      <c r="A1975" s="35">
        <v>1.0</v>
      </c>
      <c r="B1975" s="35">
        <v>162.0</v>
      </c>
      <c r="C1975" s="35">
        <v>1.0</v>
      </c>
      <c r="D1975" s="126" t="s">
        <v>2748</v>
      </c>
      <c r="E1975" s="69" t="s">
        <v>2749</v>
      </c>
      <c r="F1975" s="109" t="str">
        <f t="shared" ref="F1975:G1975" si="1974">TRANSLATE(D1975,"lzh","vi")</f>
        <v>#NAME?</v>
      </c>
      <c r="G1975" s="109" t="str">
        <f t="shared" si="1974"/>
        <v>#NAME?</v>
      </c>
      <c r="X1975" s="110"/>
    </row>
    <row r="1976" ht="21.0" customHeight="1">
      <c r="A1976" s="68">
        <v>1.0</v>
      </c>
      <c r="B1976" s="35">
        <v>162.0</v>
      </c>
      <c r="C1976" s="68">
        <v>2.0</v>
      </c>
      <c r="D1976" s="126" t="s">
        <v>2750</v>
      </c>
      <c r="E1976" s="70" t="s">
        <v>2751</v>
      </c>
      <c r="F1976" s="109" t="str">
        <f t="shared" ref="F1976:G1976" si="1975">TRANSLATE(D1976,"lzh","vi")</f>
        <v>#NAME?</v>
      </c>
      <c r="G1976" s="109" t="str">
        <f t="shared" si="1975"/>
        <v>#NAME?</v>
      </c>
      <c r="X1976" s="110"/>
    </row>
    <row r="1977" ht="21.0" customHeight="1">
      <c r="A1977" s="35">
        <v>1.0</v>
      </c>
      <c r="B1977" s="35">
        <v>162.0</v>
      </c>
      <c r="C1977" s="35">
        <v>3.0</v>
      </c>
      <c r="D1977" s="126" t="s">
        <v>2752</v>
      </c>
      <c r="E1977" s="69" t="s">
        <v>2753</v>
      </c>
      <c r="F1977" s="109" t="str">
        <f t="shared" ref="F1977:G1977" si="1976">TRANSLATE(D1977,"lzh","vi")</f>
        <v>#NAME?</v>
      </c>
      <c r="G1977" s="109" t="str">
        <f t="shared" si="1976"/>
        <v>#NAME?</v>
      </c>
      <c r="X1977" s="110"/>
    </row>
    <row r="1978" ht="21.0" customHeight="1">
      <c r="A1978" s="68">
        <v>1.0</v>
      </c>
      <c r="B1978" s="35">
        <v>162.0</v>
      </c>
      <c r="C1978" s="35">
        <v>4.0</v>
      </c>
      <c r="D1978" s="126" t="s">
        <v>2754</v>
      </c>
      <c r="E1978" s="70" t="s">
        <v>2755</v>
      </c>
      <c r="F1978" s="109" t="str">
        <f t="shared" ref="F1978:G1978" si="1977">TRANSLATE(D1978,"lzh","vi")</f>
        <v>#NAME?</v>
      </c>
      <c r="G1978" s="109" t="str">
        <f t="shared" si="1977"/>
        <v>#NAME?</v>
      </c>
      <c r="X1978" s="110"/>
    </row>
    <row r="1979" ht="21.0" customHeight="1">
      <c r="A1979" s="35">
        <v>1.0</v>
      </c>
      <c r="B1979" s="35">
        <v>162.0</v>
      </c>
      <c r="C1979" s="68">
        <v>5.0</v>
      </c>
      <c r="D1979" s="126" t="s">
        <v>2756</v>
      </c>
      <c r="E1979" s="69" t="s">
        <v>2757</v>
      </c>
      <c r="F1979" s="109" t="str">
        <f t="shared" ref="F1979:G1979" si="1978">TRANSLATE(D1979,"lzh","vi")</f>
        <v>#NAME?</v>
      </c>
      <c r="G1979" s="109" t="str">
        <f t="shared" si="1978"/>
        <v>#NAME?</v>
      </c>
      <c r="X1979" s="110"/>
    </row>
    <row r="1980" ht="21.0" customHeight="1">
      <c r="A1980" s="68">
        <v>1.0</v>
      </c>
      <c r="B1980" s="35">
        <v>162.0</v>
      </c>
      <c r="C1980" s="35">
        <v>6.0</v>
      </c>
      <c r="D1980" s="126" t="s">
        <v>2758</v>
      </c>
      <c r="E1980" s="70" t="s">
        <v>2759</v>
      </c>
      <c r="F1980" s="109" t="str">
        <f t="shared" ref="F1980:G1980" si="1979">TRANSLATE(D1980,"lzh","vi")</f>
        <v>#NAME?</v>
      </c>
      <c r="G1980" s="109" t="str">
        <f t="shared" si="1979"/>
        <v>#NAME?</v>
      </c>
      <c r="X1980" s="110"/>
    </row>
    <row r="1981" ht="21.0" customHeight="1">
      <c r="A1981" s="35">
        <v>1.0</v>
      </c>
      <c r="B1981" s="35">
        <v>162.0</v>
      </c>
      <c r="C1981" s="35">
        <v>7.0</v>
      </c>
      <c r="D1981" s="126" t="s">
        <v>2760</v>
      </c>
      <c r="E1981" s="69" t="s">
        <v>2761</v>
      </c>
      <c r="F1981" s="109" t="str">
        <f t="shared" ref="F1981:G1981" si="1980">TRANSLATE(D1981,"lzh","vi")</f>
        <v>#NAME?</v>
      </c>
      <c r="G1981" s="109" t="str">
        <f t="shared" si="1980"/>
        <v>#NAME?</v>
      </c>
      <c r="X1981" s="110"/>
    </row>
    <row r="1982" ht="21.0" customHeight="1">
      <c r="A1982" s="68">
        <v>1.0</v>
      </c>
      <c r="B1982" s="35">
        <v>162.0</v>
      </c>
      <c r="C1982" s="68">
        <v>8.0</v>
      </c>
      <c r="D1982" s="126" t="s">
        <v>2762</v>
      </c>
      <c r="E1982" s="70" t="s">
        <v>2763</v>
      </c>
      <c r="F1982" s="109" t="str">
        <f t="shared" ref="F1982:G1982" si="1981">TRANSLATE(D1982,"lzh","vi")</f>
        <v>#NAME?</v>
      </c>
      <c r="G1982" s="109" t="str">
        <f t="shared" si="1981"/>
        <v>#NAME?</v>
      </c>
      <c r="X1982" s="110"/>
    </row>
    <row r="1983" ht="21.0" customHeight="1">
      <c r="A1983" s="35">
        <v>1.0</v>
      </c>
      <c r="B1983" s="35">
        <v>162.0</v>
      </c>
      <c r="C1983" s="35">
        <v>9.0</v>
      </c>
      <c r="D1983" s="126" t="s">
        <v>2764</v>
      </c>
      <c r="E1983" s="69" t="s">
        <v>2765</v>
      </c>
      <c r="F1983" s="109" t="str">
        <f t="shared" ref="F1983:G1983" si="1982">TRANSLATE(D1983,"lzh","vi")</f>
        <v>#NAME?</v>
      </c>
      <c r="G1983" s="109" t="str">
        <f t="shared" si="1982"/>
        <v>#NAME?</v>
      </c>
      <c r="X1983" s="110"/>
    </row>
    <row r="1984" ht="21.0" customHeight="1">
      <c r="A1984" s="68">
        <v>1.0</v>
      </c>
      <c r="B1984" s="35">
        <v>162.0</v>
      </c>
      <c r="C1984" s="35">
        <v>10.0</v>
      </c>
      <c r="D1984" s="126" t="s">
        <v>2766</v>
      </c>
      <c r="E1984" s="70" t="s">
        <v>2767</v>
      </c>
      <c r="F1984" s="109" t="str">
        <f t="shared" ref="F1984:G1984" si="1983">TRANSLATE(D1984,"lzh","vi")</f>
        <v>#NAME?</v>
      </c>
      <c r="G1984" s="109" t="str">
        <f t="shared" si="1983"/>
        <v>#NAME?</v>
      </c>
      <c r="X1984" s="110"/>
    </row>
    <row r="1985" ht="21.0" customHeight="1">
      <c r="A1985" s="35">
        <v>1.0</v>
      </c>
      <c r="B1985" s="35">
        <v>162.0</v>
      </c>
      <c r="C1985" s="68">
        <v>11.0</v>
      </c>
      <c r="D1985" s="126" t="s">
        <v>2768</v>
      </c>
      <c r="E1985" s="69" t="s">
        <v>2769</v>
      </c>
      <c r="F1985" s="109" t="str">
        <f t="shared" ref="F1985:G1985" si="1984">TRANSLATE(D1985,"lzh","vi")</f>
        <v>#NAME?</v>
      </c>
      <c r="G1985" s="109" t="str">
        <f t="shared" si="1984"/>
        <v>#NAME?</v>
      </c>
      <c r="X1985" s="110"/>
    </row>
    <row r="1986" ht="21.0" customHeight="1">
      <c r="A1986" s="68">
        <v>1.0</v>
      </c>
      <c r="B1986" s="35">
        <v>162.0</v>
      </c>
      <c r="C1986" s="35">
        <v>12.0</v>
      </c>
      <c r="D1986" s="126" t="s">
        <v>2770</v>
      </c>
      <c r="E1986" s="70" t="s">
        <v>2771</v>
      </c>
      <c r="F1986" s="109" t="str">
        <f t="shared" ref="F1986:G1986" si="1985">TRANSLATE(D1986,"lzh","vi")</f>
        <v>#NAME?</v>
      </c>
      <c r="G1986" s="109" t="str">
        <f t="shared" si="1985"/>
        <v>#NAME?</v>
      </c>
      <c r="X1986" s="110"/>
    </row>
    <row r="1987" ht="21.0" customHeight="1">
      <c r="A1987" s="35">
        <v>1.0</v>
      </c>
      <c r="B1987" s="35">
        <v>162.0</v>
      </c>
      <c r="C1987" s="35">
        <v>13.0</v>
      </c>
      <c r="D1987" s="126" t="s">
        <v>2772</v>
      </c>
      <c r="E1987" s="69" t="s">
        <v>2773</v>
      </c>
      <c r="F1987" s="109" t="str">
        <f t="shared" ref="F1987:G1987" si="1986">TRANSLATE(D1987,"lzh","vi")</f>
        <v>#NAME?</v>
      </c>
      <c r="G1987" s="109" t="str">
        <f t="shared" si="1986"/>
        <v>#NAME?</v>
      </c>
      <c r="X1987" s="110"/>
    </row>
    <row r="1988" ht="21.0" customHeight="1">
      <c r="A1988" s="68">
        <v>11.0</v>
      </c>
      <c r="B1988" s="35">
        <v>1027.0</v>
      </c>
      <c r="C1988" s="35">
        <v>1.0</v>
      </c>
      <c r="D1988" s="126" t="s">
        <v>2774</v>
      </c>
      <c r="E1988" s="69" t="s">
        <v>2775</v>
      </c>
      <c r="F1988" s="109" t="str">
        <f t="shared" ref="F1988:G1988" si="1987">TRANSLATE(D1988,"lzh","vi")</f>
        <v>#NAME?</v>
      </c>
      <c r="G1988" s="109" t="str">
        <f t="shared" si="1987"/>
        <v>#NAME?</v>
      </c>
      <c r="X1988" s="110"/>
    </row>
    <row r="1989" ht="21.0" customHeight="1">
      <c r="A1989" s="35">
        <v>11.0</v>
      </c>
      <c r="B1989" s="35">
        <v>1027.0</v>
      </c>
      <c r="C1989" s="35">
        <v>2.0</v>
      </c>
      <c r="D1989" s="126" t="s">
        <v>2776</v>
      </c>
      <c r="E1989" s="70" t="s">
        <v>2777</v>
      </c>
      <c r="F1989" s="109" t="str">
        <f t="shared" ref="F1989:G1989" si="1988">TRANSLATE(D1989,"lzh","vi")</f>
        <v>#NAME?</v>
      </c>
      <c r="G1989" s="109" t="str">
        <f t="shared" si="1988"/>
        <v>#NAME?</v>
      </c>
      <c r="X1989" s="110"/>
    </row>
    <row r="1990" ht="21.0" customHeight="1">
      <c r="A1990" s="68">
        <v>11.0</v>
      </c>
      <c r="B1990" s="35">
        <v>1027.0</v>
      </c>
      <c r="C1990" s="35">
        <v>3.0</v>
      </c>
      <c r="D1990" s="126" t="s">
        <v>2778</v>
      </c>
      <c r="E1990" s="69" t="s">
        <v>2779</v>
      </c>
      <c r="F1990" s="109" t="str">
        <f t="shared" ref="F1990:G1990" si="1989">TRANSLATE(D1990,"lzh","vi")</f>
        <v>#NAME?</v>
      </c>
      <c r="G1990" s="109" t="str">
        <f t="shared" si="1989"/>
        <v>#NAME?</v>
      </c>
      <c r="X1990" s="110"/>
    </row>
    <row r="1991" ht="21.0" customHeight="1">
      <c r="A1991" s="35">
        <v>11.0</v>
      </c>
      <c r="B1991" s="35">
        <v>1027.0</v>
      </c>
      <c r="C1991" s="35">
        <v>4.0</v>
      </c>
      <c r="D1991" s="126" t="s">
        <v>2780</v>
      </c>
      <c r="E1991" s="70" t="s">
        <v>2781</v>
      </c>
      <c r="F1991" s="109" t="str">
        <f t="shared" ref="F1991:G1991" si="1990">TRANSLATE(D1991,"lzh","vi")</f>
        <v>#NAME?</v>
      </c>
      <c r="G1991" s="109" t="str">
        <f t="shared" si="1990"/>
        <v>#NAME?</v>
      </c>
      <c r="X1991" s="110"/>
    </row>
    <row r="1992" ht="21.0" customHeight="1">
      <c r="A1992" s="68">
        <v>10.0</v>
      </c>
      <c r="B1992" s="35">
        <v>1027.0</v>
      </c>
      <c r="C1992" s="35">
        <v>5.0</v>
      </c>
      <c r="D1992" s="126" t="s">
        <v>2782</v>
      </c>
      <c r="E1992" s="69" t="s">
        <v>2783</v>
      </c>
      <c r="F1992" s="109" t="str">
        <f t="shared" ref="F1992:G1992" si="1991">TRANSLATE(D1992,"lzh","vi")</f>
        <v>#NAME?</v>
      </c>
      <c r="G1992" s="109" t="str">
        <f t="shared" si="1991"/>
        <v>#NAME?</v>
      </c>
      <c r="X1992" s="110"/>
    </row>
    <row r="1993" ht="21.0" customHeight="1">
      <c r="A1993" s="35">
        <v>10.0</v>
      </c>
      <c r="B1993" s="35">
        <v>1027.0</v>
      </c>
      <c r="C1993" s="35">
        <v>6.0</v>
      </c>
      <c r="D1993" s="126" t="s">
        <v>2784</v>
      </c>
      <c r="E1993" s="70" t="s">
        <v>2785</v>
      </c>
      <c r="F1993" s="109" t="str">
        <f t="shared" ref="F1993:G1993" si="1992">TRANSLATE(D1993,"lzh","vi")</f>
        <v>#NAME?</v>
      </c>
      <c r="G1993" s="109" t="str">
        <f t="shared" si="1992"/>
        <v>#NAME?</v>
      </c>
      <c r="X1993" s="110"/>
    </row>
    <row r="1994" ht="21.0" customHeight="1">
      <c r="A1994" s="68">
        <v>10.0</v>
      </c>
      <c r="B1994" s="35">
        <v>1027.0</v>
      </c>
      <c r="C1994" s="35">
        <v>7.0</v>
      </c>
      <c r="D1994" s="126" t="s">
        <v>2786</v>
      </c>
      <c r="E1994" s="69" t="s">
        <v>2787</v>
      </c>
      <c r="F1994" s="109" t="str">
        <f t="shared" ref="F1994:G1994" si="1993">TRANSLATE(D1994,"lzh","vi")</f>
        <v>#NAME?</v>
      </c>
      <c r="G1994" s="109" t="str">
        <f t="shared" si="1993"/>
        <v>#NAME?</v>
      </c>
      <c r="X1994" s="110"/>
    </row>
    <row r="1995" ht="21.0" customHeight="1">
      <c r="A1995" s="35">
        <v>10.0</v>
      </c>
      <c r="B1995" s="35">
        <v>1027.0</v>
      </c>
      <c r="C1995" s="35">
        <v>8.0</v>
      </c>
      <c r="D1995" s="126" t="s">
        <v>2788</v>
      </c>
      <c r="E1995" s="70" t="s">
        <v>2789</v>
      </c>
      <c r="F1995" s="109" t="str">
        <f t="shared" ref="F1995:G1995" si="1994">TRANSLATE(D1995,"lzh","vi")</f>
        <v>#NAME?</v>
      </c>
      <c r="G1995" s="109" t="str">
        <f t="shared" si="1994"/>
        <v>#NAME?</v>
      </c>
      <c r="X1995" s="110"/>
    </row>
    <row r="1996" ht="21.0" customHeight="1">
      <c r="A1996" s="68">
        <v>10.0</v>
      </c>
      <c r="B1996" s="35">
        <v>1027.0</v>
      </c>
      <c r="C1996" s="35">
        <v>9.0</v>
      </c>
      <c r="D1996" s="126" t="s">
        <v>2790</v>
      </c>
      <c r="E1996" s="69" t="s">
        <v>2791</v>
      </c>
      <c r="F1996" s="109" t="str">
        <f t="shared" ref="F1996:G1996" si="1995">TRANSLATE(D1996,"lzh","vi")</f>
        <v>#NAME?</v>
      </c>
      <c r="G1996" s="109" t="str">
        <f t="shared" si="1995"/>
        <v>#NAME?</v>
      </c>
      <c r="X1996" s="110"/>
    </row>
    <row r="1997" ht="21.0" customHeight="1">
      <c r="A1997" s="35">
        <v>10.0</v>
      </c>
      <c r="B1997" s="35">
        <v>1027.0</v>
      </c>
      <c r="C1997" s="35">
        <v>10.0</v>
      </c>
      <c r="D1997" s="126" t="s">
        <v>2792</v>
      </c>
      <c r="E1997" s="70" t="s">
        <v>2695</v>
      </c>
      <c r="F1997" s="109" t="str">
        <f t="shared" ref="F1997:G1997" si="1996">TRANSLATE(D1997,"lzh","vi")</f>
        <v>#NAME?</v>
      </c>
      <c r="G1997" s="109" t="str">
        <f t="shared" si="1996"/>
        <v>#NAME?</v>
      </c>
      <c r="X1997" s="110"/>
    </row>
    <row r="1998" ht="21.0" customHeight="1">
      <c r="A1998" s="68">
        <v>1.0</v>
      </c>
      <c r="B1998" s="68">
        <v>163.0</v>
      </c>
      <c r="C1998" s="68">
        <v>1.0</v>
      </c>
      <c r="D1998" s="158" t="s">
        <v>2793</v>
      </c>
      <c r="E1998" s="70" t="s">
        <v>2794</v>
      </c>
      <c r="F1998" s="109" t="str">
        <f t="shared" ref="F1998:G1998" si="1997">TRANSLATE(D1998,"lzh","vi")</f>
        <v>#NAME?</v>
      </c>
      <c r="G1998" s="109" t="str">
        <f t="shared" si="1997"/>
        <v>#NAME?</v>
      </c>
      <c r="X1998" s="110"/>
    </row>
    <row r="1999" ht="21.0" customHeight="1">
      <c r="A1999" s="35">
        <v>1.0</v>
      </c>
      <c r="B1999" s="35">
        <v>163.0</v>
      </c>
      <c r="C1999" s="35">
        <v>2.0</v>
      </c>
      <c r="D1999" s="126" t="s">
        <v>2795</v>
      </c>
      <c r="E1999" s="69" t="s">
        <v>2796</v>
      </c>
      <c r="F1999" s="109" t="str">
        <f t="shared" ref="F1999:G1999" si="1998">TRANSLATE(D1999,"lzh","vi")</f>
        <v>#NAME?</v>
      </c>
      <c r="G1999" s="109" t="str">
        <f t="shared" si="1998"/>
        <v>#NAME?</v>
      </c>
      <c r="X1999" s="110"/>
    </row>
    <row r="2000" ht="21.0" customHeight="1">
      <c r="A2000" s="68">
        <v>1.0</v>
      </c>
      <c r="B2000" s="68">
        <v>163.0</v>
      </c>
      <c r="C2000" s="68">
        <v>3.0</v>
      </c>
      <c r="D2000" s="158" t="s">
        <v>2797</v>
      </c>
      <c r="E2000" s="70" t="s">
        <v>2798</v>
      </c>
      <c r="F2000" s="109" t="str">
        <f t="shared" ref="F2000:G2000" si="1999">TRANSLATE(D2000,"lzh","vi")</f>
        <v>#NAME?</v>
      </c>
      <c r="G2000" s="109" t="str">
        <f t="shared" si="1999"/>
        <v>#NAME?</v>
      </c>
      <c r="X2000" s="110"/>
    </row>
    <row r="2001" ht="21.0" customHeight="1">
      <c r="A2001" s="35">
        <v>1.0</v>
      </c>
      <c r="B2001" s="35">
        <v>163.0</v>
      </c>
      <c r="C2001" s="35">
        <v>4.0</v>
      </c>
      <c r="D2001" s="126" t="s">
        <v>2799</v>
      </c>
      <c r="E2001" s="69" t="s">
        <v>2800</v>
      </c>
      <c r="F2001" s="109" t="str">
        <f t="shared" ref="F2001:G2001" si="2000">TRANSLATE(D2001,"lzh","vi")</f>
        <v>#NAME?</v>
      </c>
      <c r="G2001" s="109" t="str">
        <f t="shared" si="2000"/>
        <v>#NAME?</v>
      </c>
      <c r="X2001" s="110"/>
    </row>
    <row r="2002" ht="21.0" customHeight="1">
      <c r="A2002" s="68">
        <v>1.0</v>
      </c>
      <c r="B2002" s="68">
        <v>163.0</v>
      </c>
      <c r="C2002" s="68">
        <v>5.0</v>
      </c>
      <c r="D2002" s="158" t="s">
        <v>2801</v>
      </c>
      <c r="E2002" s="70" t="s">
        <v>2802</v>
      </c>
      <c r="F2002" s="109" t="str">
        <f t="shared" ref="F2002:G2002" si="2001">TRANSLATE(D2002,"lzh","vi")</f>
        <v>#NAME?</v>
      </c>
      <c r="G2002" s="109" t="str">
        <f t="shared" si="2001"/>
        <v>#NAME?</v>
      </c>
      <c r="X2002" s="110"/>
    </row>
    <row r="2003" ht="21.0" customHeight="1">
      <c r="A2003" s="35">
        <v>1.0</v>
      </c>
      <c r="B2003" s="35">
        <v>163.0</v>
      </c>
      <c r="C2003" s="35">
        <v>6.0</v>
      </c>
      <c r="D2003" s="126" t="s">
        <v>2803</v>
      </c>
      <c r="E2003" s="69" t="s">
        <v>2804</v>
      </c>
      <c r="F2003" s="109" t="str">
        <f t="shared" ref="F2003:G2003" si="2002">TRANSLATE(D2003,"lzh","vi")</f>
        <v>#NAME?</v>
      </c>
      <c r="G2003" s="109" t="str">
        <f t="shared" si="2002"/>
        <v>#NAME?</v>
      </c>
      <c r="X2003" s="110"/>
    </row>
    <row r="2004" ht="21.0" customHeight="1">
      <c r="A2004" s="68">
        <v>1.0</v>
      </c>
      <c r="B2004" s="68">
        <v>163.0</v>
      </c>
      <c r="C2004" s="68">
        <v>7.0</v>
      </c>
      <c r="D2004" s="158" t="s">
        <v>2805</v>
      </c>
      <c r="E2004" s="70" t="s">
        <v>2806</v>
      </c>
      <c r="F2004" s="109" t="str">
        <f t="shared" ref="F2004:G2004" si="2003">TRANSLATE(D2004,"lzh","vi")</f>
        <v>#NAME?</v>
      </c>
      <c r="G2004" s="109" t="str">
        <f t="shared" si="2003"/>
        <v>#NAME?</v>
      </c>
      <c r="X2004" s="110"/>
    </row>
    <row r="2005" ht="21.0" customHeight="1">
      <c r="A2005" s="35">
        <v>1.0</v>
      </c>
      <c r="B2005" s="35">
        <v>163.0</v>
      </c>
      <c r="C2005" s="35">
        <v>8.0</v>
      </c>
      <c r="D2005" s="126" t="s">
        <v>2807</v>
      </c>
      <c r="E2005" s="69" t="s">
        <v>2808</v>
      </c>
      <c r="F2005" s="109" t="str">
        <f t="shared" ref="F2005:G2005" si="2004">TRANSLATE(D2005,"lzh","vi")</f>
        <v>#NAME?</v>
      </c>
      <c r="G2005" s="109" t="str">
        <f t="shared" si="2004"/>
        <v>#NAME?</v>
      </c>
      <c r="X2005" s="110"/>
    </row>
    <row r="2006" ht="21.0" customHeight="1">
      <c r="A2006" s="68">
        <v>1.0</v>
      </c>
      <c r="B2006" s="68">
        <v>163.0</v>
      </c>
      <c r="C2006" s="68">
        <v>9.0</v>
      </c>
      <c r="D2006" s="158" t="s">
        <v>2809</v>
      </c>
      <c r="E2006" s="70" t="s">
        <v>2810</v>
      </c>
      <c r="F2006" s="109" t="str">
        <f t="shared" ref="F2006:G2006" si="2005">TRANSLATE(D2006,"lzh","vi")</f>
        <v>#NAME?</v>
      </c>
      <c r="G2006" s="109" t="str">
        <f t="shared" si="2005"/>
        <v>#NAME?</v>
      </c>
      <c r="X2006" s="110"/>
    </row>
    <row r="2007" ht="21.0" customHeight="1">
      <c r="A2007" s="35">
        <v>1.0</v>
      </c>
      <c r="B2007" s="35">
        <v>163.0</v>
      </c>
      <c r="C2007" s="35">
        <v>10.0</v>
      </c>
      <c r="D2007" s="126" t="s">
        <v>2811</v>
      </c>
      <c r="E2007" s="69" t="s">
        <v>2812</v>
      </c>
      <c r="F2007" s="109" t="str">
        <f t="shared" ref="F2007:G2007" si="2006">TRANSLATE(D2007,"lzh","vi")</f>
        <v>#NAME?</v>
      </c>
      <c r="G2007" s="109" t="str">
        <f t="shared" si="2006"/>
        <v>#NAME?</v>
      </c>
      <c r="X2007" s="110"/>
    </row>
    <row r="2008" ht="21.0" customHeight="1">
      <c r="A2008" s="68">
        <v>1.0</v>
      </c>
      <c r="B2008" s="68">
        <v>163.0</v>
      </c>
      <c r="C2008" s="68">
        <v>11.0</v>
      </c>
      <c r="D2008" s="158" t="s">
        <v>2813</v>
      </c>
      <c r="E2008" s="70" t="s">
        <v>2814</v>
      </c>
      <c r="F2008" s="109" t="str">
        <f t="shared" ref="F2008:G2008" si="2007">TRANSLATE(D2008,"lzh","vi")</f>
        <v>#NAME?</v>
      </c>
      <c r="G2008" s="109" t="str">
        <f t="shared" si="2007"/>
        <v>#NAME?</v>
      </c>
      <c r="X2008" s="110"/>
    </row>
    <row r="2009" ht="21.0" customHeight="1">
      <c r="A2009" s="35">
        <v>1.0</v>
      </c>
      <c r="B2009" s="35">
        <v>163.0</v>
      </c>
      <c r="C2009" s="35">
        <v>12.0</v>
      </c>
      <c r="D2009" s="126" t="s">
        <v>2815</v>
      </c>
      <c r="E2009" s="69" t="s">
        <v>2816</v>
      </c>
      <c r="F2009" s="109" t="str">
        <f t="shared" ref="F2009:G2009" si="2008">TRANSLATE(D2009,"lzh","vi")</f>
        <v>#NAME?</v>
      </c>
      <c r="G2009" s="109" t="str">
        <f t="shared" si="2008"/>
        <v>#NAME?</v>
      </c>
      <c r="X2009" s="110"/>
    </row>
    <row r="2010" ht="21.0" customHeight="1">
      <c r="A2010" s="68">
        <v>1.0</v>
      </c>
      <c r="B2010" s="68">
        <v>163.0</v>
      </c>
      <c r="C2010" s="68">
        <v>13.0</v>
      </c>
      <c r="D2010" s="158" t="s">
        <v>2817</v>
      </c>
      <c r="E2010" s="70" t="s">
        <v>2818</v>
      </c>
      <c r="F2010" s="109" t="str">
        <f t="shared" ref="F2010:G2010" si="2009">TRANSLATE(D2010,"lzh","vi")</f>
        <v>#NAME?</v>
      </c>
      <c r="G2010" s="109" t="str">
        <f t="shared" si="2009"/>
        <v>#NAME?</v>
      </c>
      <c r="X2010" s="110"/>
    </row>
    <row r="2011" ht="21.0" customHeight="1">
      <c r="A2011" s="35">
        <v>1.0</v>
      </c>
      <c r="B2011" s="35">
        <v>164.0</v>
      </c>
      <c r="C2011" s="35">
        <v>1.0</v>
      </c>
      <c r="D2011" s="126" t="s">
        <v>2819</v>
      </c>
      <c r="E2011" s="69" t="s">
        <v>2820</v>
      </c>
      <c r="F2011" s="109" t="str">
        <f t="shared" ref="F2011:G2011" si="2010">TRANSLATE(D2011,"lzh","vi")</f>
        <v>#NAME?</v>
      </c>
      <c r="G2011" s="109" t="str">
        <f t="shared" si="2010"/>
        <v>#NAME?</v>
      </c>
      <c r="X2011" s="110"/>
    </row>
    <row r="2012" ht="21.0" customHeight="1">
      <c r="A2012" s="68">
        <v>1.0</v>
      </c>
      <c r="B2012" s="68">
        <v>164.0</v>
      </c>
      <c r="C2012" s="68">
        <v>2.0</v>
      </c>
      <c r="D2012" s="158" t="s">
        <v>2821</v>
      </c>
      <c r="E2012" s="70" t="s">
        <v>2822</v>
      </c>
      <c r="F2012" s="109" t="str">
        <f t="shared" ref="F2012:G2012" si="2011">TRANSLATE(D2012,"lzh","vi")</f>
        <v>#NAME?</v>
      </c>
      <c r="G2012" s="109" t="str">
        <f t="shared" si="2011"/>
        <v>#NAME?</v>
      </c>
      <c r="X2012" s="110"/>
    </row>
    <row r="2013" ht="21.0" customHeight="1">
      <c r="A2013" s="35">
        <v>1.0</v>
      </c>
      <c r="B2013" s="35">
        <v>164.0</v>
      </c>
      <c r="C2013" s="35">
        <v>3.0</v>
      </c>
      <c r="D2013" s="126" t="s">
        <v>2823</v>
      </c>
      <c r="E2013" s="69" t="s">
        <v>2824</v>
      </c>
      <c r="F2013" s="109" t="str">
        <f t="shared" ref="F2013:G2013" si="2012">TRANSLATE(D2013,"lzh","vi")</f>
        <v>#NAME?</v>
      </c>
      <c r="G2013" s="109" t="str">
        <f t="shared" si="2012"/>
        <v>#NAME?</v>
      </c>
      <c r="X2013" s="110"/>
    </row>
    <row r="2014" ht="21.0" customHeight="1">
      <c r="A2014" s="68">
        <v>1.0</v>
      </c>
      <c r="B2014" s="68">
        <v>164.0</v>
      </c>
      <c r="C2014" s="68">
        <v>4.0</v>
      </c>
      <c r="D2014" s="158" t="s">
        <v>2825</v>
      </c>
      <c r="E2014" s="70" t="s">
        <v>2826</v>
      </c>
      <c r="F2014" s="109" t="str">
        <f t="shared" ref="F2014:G2014" si="2013">TRANSLATE(D2014,"lzh","vi")</f>
        <v>#NAME?</v>
      </c>
      <c r="G2014" s="109" t="str">
        <f t="shared" si="2013"/>
        <v>#NAME?</v>
      </c>
      <c r="X2014" s="110"/>
    </row>
    <row r="2015" ht="21.0" customHeight="1">
      <c r="A2015" s="35">
        <v>1.0</v>
      </c>
      <c r="B2015" s="35">
        <v>164.0</v>
      </c>
      <c r="C2015" s="35">
        <v>5.0</v>
      </c>
      <c r="D2015" s="126" t="s">
        <v>2827</v>
      </c>
      <c r="E2015" s="69" t="s">
        <v>2828</v>
      </c>
      <c r="F2015" s="109" t="str">
        <f t="shared" ref="F2015:G2015" si="2014">TRANSLATE(D2015,"lzh","vi")</f>
        <v>#NAME?</v>
      </c>
      <c r="G2015" s="109" t="str">
        <f t="shared" si="2014"/>
        <v>#NAME?</v>
      </c>
      <c r="X2015" s="110"/>
    </row>
    <row r="2016" ht="21.0" customHeight="1">
      <c r="A2016" s="68">
        <v>1.0</v>
      </c>
      <c r="B2016" s="68">
        <v>164.0</v>
      </c>
      <c r="C2016" s="68">
        <v>6.0</v>
      </c>
      <c r="D2016" s="158" t="s">
        <v>2829</v>
      </c>
      <c r="E2016" s="70" t="s">
        <v>2830</v>
      </c>
      <c r="F2016" s="109" t="str">
        <f t="shared" ref="F2016:G2016" si="2015">TRANSLATE(D2016,"lzh","vi")</f>
        <v>#NAME?</v>
      </c>
      <c r="G2016" s="109" t="str">
        <f t="shared" si="2015"/>
        <v>#NAME?</v>
      </c>
      <c r="X2016" s="110"/>
    </row>
    <row r="2017" ht="21.0" customHeight="1">
      <c r="A2017" s="35">
        <v>1.0</v>
      </c>
      <c r="B2017" s="35">
        <v>164.0</v>
      </c>
      <c r="C2017" s="35">
        <v>7.0</v>
      </c>
      <c r="D2017" s="126" t="s">
        <v>2831</v>
      </c>
      <c r="E2017" s="69" t="s">
        <v>2832</v>
      </c>
      <c r="F2017" s="109" t="str">
        <f t="shared" ref="F2017:G2017" si="2016">TRANSLATE(D2017,"lzh","vi")</f>
        <v>#NAME?</v>
      </c>
      <c r="G2017" s="109" t="str">
        <f t="shared" si="2016"/>
        <v>#NAME?</v>
      </c>
      <c r="X2017" s="110"/>
    </row>
    <row r="2018" ht="21.0" customHeight="1">
      <c r="A2018" s="68">
        <v>1.0</v>
      </c>
      <c r="B2018" s="68">
        <v>164.0</v>
      </c>
      <c r="C2018" s="68">
        <v>8.0</v>
      </c>
      <c r="D2018" s="158" t="s">
        <v>2833</v>
      </c>
      <c r="E2018" s="70" t="s">
        <v>2834</v>
      </c>
      <c r="F2018" s="109" t="str">
        <f t="shared" ref="F2018:G2018" si="2017">TRANSLATE(D2018,"lzh","vi")</f>
        <v>#NAME?</v>
      </c>
      <c r="G2018" s="109" t="str">
        <f t="shared" si="2017"/>
        <v>#NAME?</v>
      </c>
      <c r="X2018" s="110"/>
    </row>
    <row r="2019" ht="21.0" customHeight="1">
      <c r="A2019" s="35">
        <v>1.0</v>
      </c>
      <c r="B2019" s="35">
        <v>164.0</v>
      </c>
      <c r="C2019" s="35">
        <v>9.0</v>
      </c>
      <c r="D2019" s="126" t="s">
        <v>2835</v>
      </c>
      <c r="E2019" s="69" t="s">
        <v>2836</v>
      </c>
      <c r="F2019" s="109" t="str">
        <f t="shared" ref="F2019:G2019" si="2018">TRANSLATE(D2019,"lzh","vi")</f>
        <v>#NAME?</v>
      </c>
      <c r="G2019" s="109" t="str">
        <f t="shared" si="2018"/>
        <v>#NAME?</v>
      </c>
      <c r="X2019" s="110"/>
    </row>
    <row r="2020" ht="21.0" customHeight="1">
      <c r="A2020" s="68">
        <v>1.0</v>
      </c>
      <c r="B2020" s="68">
        <v>164.0</v>
      </c>
      <c r="C2020" s="68">
        <v>10.0</v>
      </c>
      <c r="D2020" s="158" t="s">
        <v>2837</v>
      </c>
      <c r="E2020" s="70" t="s">
        <v>2838</v>
      </c>
      <c r="F2020" s="109" t="str">
        <f t="shared" ref="F2020:G2020" si="2019">TRANSLATE(D2020,"lzh","vi")</f>
        <v>#NAME?</v>
      </c>
      <c r="G2020" s="109" t="str">
        <f t="shared" si="2019"/>
        <v>#NAME?</v>
      </c>
      <c r="X2020" s="110"/>
    </row>
    <row r="2021" ht="21.0" customHeight="1">
      <c r="A2021" s="35">
        <v>1.0</v>
      </c>
      <c r="B2021" s="35">
        <v>164.0</v>
      </c>
      <c r="C2021" s="35">
        <v>11.0</v>
      </c>
      <c r="D2021" s="126" t="s">
        <v>2839</v>
      </c>
      <c r="E2021" s="69" t="s">
        <v>2840</v>
      </c>
      <c r="F2021" s="109" t="str">
        <f t="shared" ref="F2021:G2021" si="2020">TRANSLATE(D2021,"lzh","vi")</f>
        <v>#NAME?</v>
      </c>
      <c r="G2021" s="109" t="str">
        <f t="shared" si="2020"/>
        <v>#NAME?</v>
      </c>
      <c r="X2021" s="110"/>
    </row>
    <row r="2022" ht="21.0" customHeight="1">
      <c r="A2022" s="68">
        <v>1.0</v>
      </c>
      <c r="B2022" s="68">
        <v>164.0</v>
      </c>
      <c r="C2022" s="68">
        <v>12.0</v>
      </c>
      <c r="D2022" s="158" t="s">
        <v>2841</v>
      </c>
      <c r="E2022" s="70" t="s">
        <v>2842</v>
      </c>
      <c r="F2022" s="109" t="str">
        <f t="shared" ref="F2022:G2022" si="2021">TRANSLATE(D2022,"lzh","vi")</f>
        <v>#NAME?</v>
      </c>
      <c r="G2022" s="109" t="str">
        <f t="shared" si="2021"/>
        <v>#NAME?</v>
      </c>
      <c r="X2022" s="110"/>
    </row>
    <row r="2023" ht="21.0" customHeight="1">
      <c r="A2023" s="35">
        <v>1.0</v>
      </c>
      <c r="B2023" s="35">
        <v>164.0</v>
      </c>
      <c r="C2023" s="35">
        <v>13.0</v>
      </c>
      <c r="D2023" s="126" t="s">
        <v>2843</v>
      </c>
      <c r="E2023" s="69" t="s">
        <v>2844</v>
      </c>
      <c r="F2023" s="109" t="str">
        <f t="shared" ref="F2023:G2023" si="2022">TRANSLATE(D2023,"lzh","vi")</f>
        <v>#NAME?</v>
      </c>
      <c r="G2023" s="109" t="str">
        <f t="shared" si="2022"/>
        <v>#NAME?</v>
      </c>
      <c r="X2023" s="110"/>
    </row>
    <row r="2024" ht="21.0" customHeight="1">
      <c r="A2024" s="68">
        <v>1.0</v>
      </c>
      <c r="B2024" s="68">
        <v>165.0</v>
      </c>
      <c r="C2024" s="68">
        <v>1.0</v>
      </c>
      <c r="D2024" s="158" t="s">
        <v>2845</v>
      </c>
      <c r="E2024" s="70" t="s">
        <v>2846</v>
      </c>
      <c r="F2024" s="109" t="str">
        <f t="shared" ref="F2024:G2024" si="2023">TRANSLATE(D2024,"lzh","vi")</f>
        <v>#NAME?</v>
      </c>
      <c r="G2024" s="109" t="str">
        <f t="shared" si="2023"/>
        <v>#NAME?</v>
      </c>
      <c r="X2024" s="110"/>
    </row>
    <row r="2025" ht="21.0" customHeight="1">
      <c r="A2025" s="35">
        <v>1.0</v>
      </c>
      <c r="B2025" s="35">
        <v>165.0</v>
      </c>
      <c r="C2025" s="35">
        <v>2.0</v>
      </c>
      <c r="D2025" s="126" t="s">
        <v>2847</v>
      </c>
      <c r="E2025" s="69" t="s">
        <v>2848</v>
      </c>
      <c r="F2025" s="109" t="str">
        <f t="shared" ref="F2025:G2025" si="2024">TRANSLATE(D2025,"lzh","vi")</f>
        <v>#NAME?</v>
      </c>
      <c r="G2025" s="109" t="str">
        <f t="shared" si="2024"/>
        <v>#NAME?</v>
      </c>
      <c r="X2025" s="110"/>
    </row>
    <row r="2026" ht="21.0" customHeight="1">
      <c r="A2026" s="68">
        <v>1.0</v>
      </c>
      <c r="B2026" s="68">
        <v>165.0</v>
      </c>
      <c r="C2026" s="68">
        <v>3.0</v>
      </c>
      <c r="D2026" s="158" t="s">
        <v>2849</v>
      </c>
      <c r="E2026" s="70" t="s">
        <v>2850</v>
      </c>
      <c r="F2026" s="109" t="str">
        <f t="shared" ref="F2026:G2026" si="2025">TRANSLATE(D2026,"lzh","vi")</f>
        <v>#NAME?</v>
      </c>
      <c r="G2026" s="109" t="str">
        <f t="shared" si="2025"/>
        <v>#NAME?</v>
      </c>
      <c r="X2026" s="110"/>
    </row>
    <row r="2027" ht="21.0" customHeight="1">
      <c r="A2027" s="35">
        <v>1.0</v>
      </c>
      <c r="B2027" s="35">
        <v>165.0</v>
      </c>
      <c r="C2027" s="35">
        <v>4.0</v>
      </c>
      <c r="D2027" s="126" t="s">
        <v>2851</v>
      </c>
      <c r="E2027" s="69" t="s">
        <v>2852</v>
      </c>
      <c r="F2027" s="109" t="str">
        <f t="shared" ref="F2027:G2027" si="2026">TRANSLATE(D2027,"lzh","vi")</f>
        <v>#NAME?</v>
      </c>
      <c r="G2027" s="109" t="str">
        <f t="shared" si="2026"/>
        <v>#NAME?</v>
      </c>
      <c r="X2027" s="110"/>
    </row>
    <row r="2028" ht="21.0" customHeight="1">
      <c r="A2028" s="68">
        <v>1.0</v>
      </c>
      <c r="B2028" s="68">
        <v>165.0</v>
      </c>
      <c r="C2028" s="68">
        <v>5.0</v>
      </c>
      <c r="D2028" s="158" t="s">
        <v>2853</v>
      </c>
      <c r="E2028" s="70" t="s">
        <v>2854</v>
      </c>
      <c r="F2028" s="109" t="str">
        <f t="shared" ref="F2028:G2028" si="2027">TRANSLATE(D2028,"lzh","vi")</f>
        <v>#NAME?</v>
      </c>
      <c r="G2028" s="109" t="str">
        <f t="shared" si="2027"/>
        <v>#NAME?</v>
      </c>
      <c r="X2028" s="110"/>
    </row>
    <row r="2029" ht="21.0" customHeight="1">
      <c r="A2029" s="35">
        <v>1.0</v>
      </c>
      <c r="B2029" s="35">
        <v>165.0</v>
      </c>
      <c r="C2029" s="35">
        <v>6.0</v>
      </c>
      <c r="D2029" s="126" t="s">
        <v>2855</v>
      </c>
      <c r="E2029" s="69" t="s">
        <v>2856</v>
      </c>
      <c r="F2029" s="109" t="str">
        <f t="shared" ref="F2029:G2029" si="2028">TRANSLATE(D2029,"lzh","vi")</f>
        <v>#NAME?</v>
      </c>
      <c r="G2029" s="109" t="str">
        <f t="shared" si="2028"/>
        <v>#NAME?</v>
      </c>
      <c r="X2029" s="110"/>
    </row>
    <row r="2030" ht="21.0" customHeight="1">
      <c r="A2030" s="68">
        <v>1.0</v>
      </c>
      <c r="B2030" s="68">
        <v>165.0</v>
      </c>
      <c r="C2030" s="68">
        <v>7.0</v>
      </c>
      <c r="D2030" s="158" t="s">
        <v>2857</v>
      </c>
      <c r="E2030" s="70" t="s">
        <v>2858</v>
      </c>
      <c r="F2030" s="109" t="str">
        <f t="shared" ref="F2030:G2030" si="2029">TRANSLATE(D2030,"lzh","vi")</f>
        <v>#NAME?</v>
      </c>
      <c r="G2030" s="109" t="str">
        <f t="shared" si="2029"/>
        <v>#NAME?</v>
      </c>
      <c r="X2030" s="110"/>
    </row>
    <row r="2031" ht="21.0" customHeight="1">
      <c r="A2031" s="35">
        <v>1.0</v>
      </c>
      <c r="B2031" s="35">
        <v>165.0</v>
      </c>
      <c r="C2031" s="35">
        <v>8.0</v>
      </c>
      <c r="D2031" s="126" t="s">
        <v>2859</v>
      </c>
      <c r="E2031" s="69" t="s">
        <v>2860</v>
      </c>
      <c r="F2031" s="109" t="str">
        <f t="shared" ref="F2031:G2031" si="2030">TRANSLATE(D2031,"lzh","vi")</f>
        <v>#NAME?</v>
      </c>
      <c r="G2031" s="109" t="str">
        <f t="shared" si="2030"/>
        <v>#NAME?</v>
      </c>
      <c r="X2031" s="110"/>
    </row>
    <row r="2032" ht="21.0" customHeight="1">
      <c r="A2032" s="68">
        <v>1.0</v>
      </c>
      <c r="B2032" s="68">
        <v>165.0</v>
      </c>
      <c r="C2032" s="68">
        <v>9.0</v>
      </c>
      <c r="D2032" s="158" t="s">
        <v>2861</v>
      </c>
      <c r="E2032" s="70" t="s">
        <v>2862</v>
      </c>
      <c r="F2032" s="109" t="str">
        <f t="shared" ref="F2032:G2032" si="2031">TRANSLATE(D2032,"lzh","vi")</f>
        <v>#NAME?</v>
      </c>
      <c r="G2032" s="109" t="str">
        <f t="shared" si="2031"/>
        <v>#NAME?</v>
      </c>
      <c r="X2032" s="110"/>
    </row>
    <row r="2033" ht="21.0" customHeight="1">
      <c r="A2033" s="35">
        <v>1.0</v>
      </c>
      <c r="B2033" s="35">
        <v>165.0</v>
      </c>
      <c r="C2033" s="35">
        <v>10.0</v>
      </c>
      <c r="D2033" s="126" t="s">
        <v>2863</v>
      </c>
      <c r="E2033" s="69" t="s">
        <v>2864</v>
      </c>
      <c r="F2033" s="109" t="str">
        <f t="shared" ref="F2033:G2033" si="2032">TRANSLATE(D2033,"lzh","vi")</f>
        <v>#NAME?</v>
      </c>
      <c r="G2033" s="109" t="str">
        <f t="shared" si="2032"/>
        <v>#NAME?</v>
      </c>
      <c r="X2033" s="110"/>
    </row>
    <row r="2034" ht="21.0" customHeight="1">
      <c r="A2034" s="68">
        <v>1.0</v>
      </c>
      <c r="B2034" s="68">
        <v>165.0</v>
      </c>
      <c r="C2034" s="68">
        <v>11.0</v>
      </c>
      <c r="D2034" s="158" t="s">
        <v>2865</v>
      </c>
      <c r="E2034" s="70" t="s">
        <v>2866</v>
      </c>
      <c r="F2034" s="109" t="str">
        <f t="shared" ref="F2034:G2034" si="2033">TRANSLATE(D2034,"lzh","vi")</f>
        <v>#NAME?</v>
      </c>
      <c r="G2034" s="109" t="str">
        <f t="shared" si="2033"/>
        <v>#NAME?</v>
      </c>
      <c r="X2034" s="110"/>
    </row>
    <row r="2035" ht="21.0" customHeight="1">
      <c r="A2035" s="35">
        <v>1.0</v>
      </c>
      <c r="B2035" s="35">
        <v>165.0</v>
      </c>
      <c r="C2035" s="35">
        <v>12.0</v>
      </c>
      <c r="D2035" s="126" t="s">
        <v>2867</v>
      </c>
      <c r="E2035" s="69" t="s">
        <v>2868</v>
      </c>
      <c r="F2035" s="109" t="str">
        <f t="shared" ref="F2035:G2035" si="2034">TRANSLATE(D2035,"lzh","vi")</f>
        <v>#NAME?</v>
      </c>
      <c r="G2035" s="109" t="str">
        <f t="shared" si="2034"/>
        <v>#NAME?</v>
      </c>
      <c r="X2035" s="110"/>
    </row>
    <row r="2036" ht="21.0" customHeight="1">
      <c r="A2036" s="68">
        <v>1.0</v>
      </c>
      <c r="B2036" s="68">
        <v>165.0</v>
      </c>
      <c r="C2036" s="68">
        <v>13.0</v>
      </c>
      <c r="D2036" s="158" t="s">
        <v>2869</v>
      </c>
      <c r="E2036" s="70" t="s">
        <v>2870</v>
      </c>
      <c r="F2036" s="109" t="str">
        <f t="shared" ref="F2036:G2036" si="2035">TRANSLATE(D2036,"lzh","vi")</f>
        <v>#NAME?</v>
      </c>
      <c r="G2036" s="109" t="str">
        <f t="shared" si="2035"/>
        <v>#NAME?</v>
      </c>
      <c r="X2036" s="110"/>
    </row>
    <row r="2037" ht="21.0" customHeight="1">
      <c r="A2037" s="35">
        <v>11.0</v>
      </c>
      <c r="B2037" s="35">
        <v>1028.0</v>
      </c>
      <c r="C2037" s="35">
        <v>1.0</v>
      </c>
      <c r="D2037" s="126" t="s">
        <v>2871</v>
      </c>
      <c r="E2037" s="69" t="s">
        <v>2872</v>
      </c>
      <c r="F2037" s="109" t="str">
        <f t="shared" ref="F2037:G2037" si="2036">TRANSLATE(D2037,"lzh","vi")</f>
        <v>#NAME?</v>
      </c>
      <c r="G2037" s="109" t="str">
        <f t="shared" si="2036"/>
        <v>#NAME?</v>
      </c>
      <c r="X2037" s="110"/>
    </row>
    <row r="2038" ht="21.0" customHeight="1">
      <c r="A2038" s="68">
        <v>11.0</v>
      </c>
      <c r="B2038" s="68">
        <v>1028.0</v>
      </c>
      <c r="C2038" s="68">
        <v>2.0</v>
      </c>
      <c r="D2038" s="158" t="s">
        <v>2873</v>
      </c>
      <c r="E2038" s="70" t="s">
        <v>2874</v>
      </c>
      <c r="F2038" s="109" t="str">
        <f t="shared" ref="F2038:G2038" si="2037">TRANSLATE(D2038,"lzh","vi")</f>
        <v>#NAME?</v>
      </c>
      <c r="G2038" s="109" t="str">
        <f t="shared" si="2037"/>
        <v>#NAME?</v>
      </c>
      <c r="X2038" s="110"/>
    </row>
    <row r="2039" ht="21.0" customHeight="1">
      <c r="A2039" s="35">
        <v>11.0</v>
      </c>
      <c r="B2039" s="35">
        <v>1028.0</v>
      </c>
      <c r="C2039" s="35">
        <v>3.0</v>
      </c>
      <c r="D2039" s="126" t="s">
        <v>2875</v>
      </c>
      <c r="E2039" s="69" t="s">
        <v>2876</v>
      </c>
      <c r="F2039" s="109" t="str">
        <f t="shared" ref="F2039:G2039" si="2038">TRANSLATE(D2039,"lzh","vi")</f>
        <v>#NAME?</v>
      </c>
      <c r="G2039" s="109" t="str">
        <f t="shared" si="2038"/>
        <v>#NAME?</v>
      </c>
      <c r="X2039" s="110"/>
    </row>
    <row r="2040" ht="21.0" customHeight="1">
      <c r="A2040" s="68">
        <v>11.0</v>
      </c>
      <c r="B2040" s="68">
        <v>1028.0</v>
      </c>
      <c r="C2040" s="68">
        <v>4.0</v>
      </c>
      <c r="D2040" s="158" t="s">
        <v>2877</v>
      </c>
      <c r="E2040" s="70" t="s">
        <v>2878</v>
      </c>
      <c r="F2040" s="109" t="str">
        <f t="shared" ref="F2040:G2040" si="2039">TRANSLATE(D2040,"lzh","vi")</f>
        <v>#NAME?</v>
      </c>
      <c r="G2040" s="109" t="str">
        <f t="shared" si="2039"/>
        <v>#NAME?</v>
      </c>
      <c r="X2040" s="110"/>
    </row>
    <row r="2041" ht="21.0" customHeight="1">
      <c r="A2041" s="35">
        <v>10.0</v>
      </c>
      <c r="B2041" s="35">
        <v>1028.0</v>
      </c>
      <c r="C2041" s="35">
        <v>5.0</v>
      </c>
      <c r="D2041" s="126" t="s">
        <v>2879</v>
      </c>
      <c r="E2041" s="69" t="s">
        <v>2880</v>
      </c>
      <c r="F2041" s="109" t="str">
        <f t="shared" ref="F2041:G2041" si="2040">TRANSLATE(D2041,"lzh","vi")</f>
        <v>#NAME?</v>
      </c>
      <c r="G2041" s="109" t="str">
        <f t="shared" si="2040"/>
        <v>#NAME?</v>
      </c>
      <c r="X2041" s="110"/>
    </row>
    <row r="2042" ht="21.0" customHeight="1">
      <c r="A2042" s="68">
        <v>10.0</v>
      </c>
      <c r="B2042" s="68">
        <v>1028.0</v>
      </c>
      <c r="C2042" s="68">
        <v>6.0</v>
      </c>
      <c r="D2042" s="158" t="s">
        <v>2881</v>
      </c>
      <c r="E2042" s="70" t="s">
        <v>2882</v>
      </c>
      <c r="F2042" s="109" t="str">
        <f t="shared" ref="F2042:G2042" si="2041">TRANSLATE(D2042,"lzh","vi")</f>
        <v>#NAME?</v>
      </c>
      <c r="G2042" s="109" t="str">
        <f t="shared" si="2041"/>
        <v>#NAME?</v>
      </c>
      <c r="X2042" s="110"/>
    </row>
    <row r="2043" ht="21.0" customHeight="1">
      <c r="A2043" s="35">
        <v>10.0</v>
      </c>
      <c r="B2043" s="35">
        <v>1028.0</v>
      </c>
      <c r="C2043" s="35">
        <v>7.0</v>
      </c>
      <c r="D2043" s="126" t="s">
        <v>2883</v>
      </c>
      <c r="E2043" s="69" t="s">
        <v>2884</v>
      </c>
      <c r="F2043" s="109" t="str">
        <f t="shared" ref="F2043:G2043" si="2042">TRANSLATE(D2043,"lzh","vi")</f>
        <v>#NAME?</v>
      </c>
      <c r="G2043" s="109" t="str">
        <f t="shared" si="2042"/>
        <v>#NAME?</v>
      </c>
      <c r="X2043" s="110"/>
    </row>
    <row r="2044" ht="21.0" customHeight="1">
      <c r="A2044" s="68">
        <v>10.0</v>
      </c>
      <c r="B2044" s="68">
        <v>1028.0</v>
      </c>
      <c r="C2044" s="68">
        <v>8.0</v>
      </c>
      <c r="D2044" s="158" t="s">
        <v>2885</v>
      </c>
      <c r="E2044" s="70" t="s">
        <v>2886</v>
      </c>
      <c r="F2044" s="109" t="str">
        <f t="shared" ref="F2044:G2044" si="2043">TRANSLATE(D2044,"lzh","vi")</f>
        <v>#NAME?</v>
      </c>
      <c r="G2044" s="109" t="str">
        <f t="shared" si="2043"/>
        <v>#NAME?</v>
      </c>
      <c r="X2044" s="110"/>
    </row>
    <row r="2045" ht="21.0" customHeight="1">
      <c r="A2045" s="35">
        <v>10.0</v>
      </c>
      <c r="B2045" s="35">
        <v>1028.0</v>
      </c>
      <c r="C2045" s="35">
        <v>9.0</v>
      </c>
      <c r="D2045" s="126" t="s">
        <v>2887</v>
      </c>
      <c r="E2045" s="69" t="s">
        <v>2888</v>
      </c>
      <c r="F2045" s="109" t="str">
        <f t="shared" ref="F2045:G2045" si="2044">TRANSLATE(D2045,"lzh","vi")</f>
        <v>#NAME?</v>
      </c>
      <c r="G2045" s="109" t="str">
        <f t="shared" si="2044"/>
        <v>#NAME?</v>
      </c>
      <c r="X2045" s="110"/>
    </row>
    <row r="2046" ht="21.0" customHeight="1">
      <c r="A2046" s="68">
        <v>10.0</v>
      </c>
      <c r="B2046" s="68">
        <v>1028.0</v>
      </c>
      <c r="C2046" s="68">
        <v>10.0</v>
      </c>
      <c r="D2046" s="158" t="s">
        <v>2889</v>
      </c>
      <c r="E2046" s="70" t="s">
        <v>2890</v>
      </c>
      <c r="F2046" s="109" t="str">
        <f t="shared" ref="F2046:G2046" si="2045">TRANSLATE(D2046,"lzh","vi")</f>
        <v>#NAME?</v>
      </c>
      <c r="G2046" s="109" t="str">
        <f t="shared" si="2045"/>
        <v>#NAME?</v>
      </c>
      <c r="X2046" s="110"/>
    </row>
    <row r="2047" ht="21.0" customHeight="1">
      <c r="A2047" s="35">
        <v>11.0</v>
      </c>
      <c r="B2047" s="35">
        <v>1029.0</v>
      </c>
      <c r="C2047" s="35">
        <v>1.0</v>
      </c>
      <c r="D2047" s="126" t="s">
        <v>2891</v>
      </c>
      <c r="E2047" s="69" t="s">
        <v>2892</v>
      </c>
      <c r="F2047" s="109" t="str">
        <f t="shared" ref="F2047:G2047" si="2046">TRANSLATE(D2047,"lzh","vi")</f>
        <v>#NAME?</v>
      </c>
      <c r="G2047" s="109" t="str">
        <f t="shared" si="2046"/>
        <v>#NAME?</v>
      </c>
      <c r="X2047" s="110"/>
    </row>
    <row r="2048" ht="21.0" customHeight="1">
      <c r="A2048" s="68">
        <v>11.0</v>
      </c>
      <c r="B2048" s="68">
        <v>1029.0</v>
      </c>
      <c r="C2048" s="68">
        <v>2.0</v>
      </c>
      <c r="D2048" s="158" t="s">
        <v>2893</v>
      </c>
      <c r="E2048" s="70" t="s">
        <v>2894</v>
      </c>
      <c r="F2048" s="109" t="str">
        <f t="shared" ref="F2048:G2048" si="2047">TRANSLATE(D2048,"lzh","vi")</f>
        <v>#NAME?</v>
      </c>
      <c r="G2048" s="109" t="str">
        <f t="shared" si="2047"/>
        <v>#NAME?</v>
      </c>
      <c r="X2048" s="110"/>
    </row>
    <row r="2049" ht="21.0" customHeight="1">
      <c r="A2049" s="35">
        <v>11.0</v>
      </c>
      <c r="B2049" s="35">
        <v>1029.0</v>
      </c>
      <c r="C2049" s="35">
        <v>3.0</v>
      </c>
      <c r="D2049" s="126" t="s">
        <v>2895</v>
      </c>
      <c r="E2049" s="69" t="s">
        <v>2896</v>
      </c>
      <c r="F2049" s="109" t="str">
        <f t="shared" ref="F2049:G2049" si="2048">TRANSLATE(D2049,"lzh","vi")</f>
        <v>#NAME?</v>
      </c>
      <c r="G2049" s="109" t="str">
        <f t="shared" si="2048"/>
        <v>#NAME?</v>
      </c>
      <c r="X2049" s="110"/>
    </row>
    <row r="2050" ht="21.0" customHeight="1">
      <c r="A2050" s="68">
        <v>11.0</v>
      </c>
      <c r="B2050" s="68">
        <v>1029.0</v>
      </c>
      <c r="C2050" s="68">
        <v>4.0</v>
      </c>
      <c r="D2050" s="158" t="s">
        <v>2897</v>
      </c>
      <c r="E2050" s="70" t="s">
        <v>2898</v>
      </c>
      <c r="F2050" s="109" t="str">
        <f t="shared" ref="F2050:G2050" si="2049">TRANSLATE(D2050,"lzh","vi")</f>
        <v>#NAME?</v>
      </c>
      <c r="G2050" s="109" t="str">
        <f t="shared" si="2049"/>
        <v>#NAME?</v>
      </c>
      <c r="X2050" s="110"/>
    </row>
    <row r="2051" ht="21.0" customHeight="1">
      <c r="A2051" s="35">
        <v>10.0</v>
      </c>
      <c r="B2051" s="35">
        <v>1029.0</v>
      </c>
      <c r="C2051" s="35">
        <v>5.0</v>
      </c>
      <c r="D2051" s="126" t="s">
        <v>2899</v>
      </c>
      <c r="E2051" s="69" t="s">
        <v>2900</v>
      </c>
      <c r="F2051" s="109" t="str">
        <f t="shared" ref="F2051:G2051" si="2050">TRANSLATE(D2051,"lzh","vi")</f>
        <v>#NAME?</v>
      </c>
      <c r="G2051" s="109" t="str">
        <f t="shared" si="2050"/>
        <v>#NAME?</v>
      </c>
      <c r="X2051" s="110"/>
    </row>
    <row r="2052" ht="21.0" customHeight="1">
      <c r="A2052" s="68">
        <v>10.0</v>
      </c>
      <c r="B2052" s="68">
        <v>1029.0</v>
      </c>
      <c r="C2052" s="68">
        <v>6.0</v>
      </c>
      <c r="D2052" s="158" t="s">
        <v>2901</v>
      </c>
      <c r="E2052" s="70" t="s">
        <v>2902</v>
      </c>
      <c r="F2052" s="109" t="str">
        <f t="shared" ref="F2052:G2052" si="2051">TRANSLATE(D2052,"lzh","vi")</f>
        <v>#NAME?</v>
      </c>
      <c r="G2052" s="109" t="str">
        <f t="shared" si="2051"/>
        <v>#NAME?</v>
      </c>
      <c r="X2052" s="110"/>
    </row>
    <row r="2053" ht="21.0" customHeight="1">
      <c r="A2053" s="35">
        <v>10.0</v>
      </c>
      <c r="B2053" s="35">
        <v>1029.0</v>
      </c>
      <c r="C2053" s="35">
        <v>7.0</v>
      </c>
      <c r="D2053" s="126" t="s">
        <v>2903</v>
      </c>
      <c r="E2053" s="69" t="s">
        <v>2904</v>
      </c>
      <c r="F2053" s="109" t="str">
        <f t="shared" ref="F2053:G2053" si="2052">TRANSLATE(D2053,"lzh","vi")</f>
        <v>#NAME?</v>
      </c>
      <c r="G2053" s="109" t="str">
        <f t="shared" si="2052"/>
        <v>#NAME?</v>
      </c>
      <c r="X2053" s="110"/>
    </row>
    <row r="2054" ht="21.0" customHeight="1">
      <c r="A2054" s="68">
        <v>10.0</v>
      </c>
      <c r="B2054" s="68">
        <v>1029.0</v>
      </c>
      <c r="C2054" s="68">
        <v>8.0</v>
      </c>
      <c r="D2054" s="158" t="s">
        <v>2905</v>
      </c>
      <c r="E2054" s="70" t="s">
        <v>2906</v>
      </c>
      <c r="F2054" s="109" t="str">
        <f t="shared" ref="F2054:G2054" si="2053">TRANSLATE(D2054,"lzh","vi")</f>
        <v>#NAME?</v>
      </c>
      <c r="G2054" s="109" t="str">
        <f t="shared" si="2053"/>
        <v>#NAME?</v>
      </c>
      <c r="X2054" s="110"/>
    </row>
    <row r="2055" ht="21.0" customHeight="1">
      <c r="A2055" s="35">
        <v>10.0</v>
      </c>
      <c r="B2055" s="35">
        <v>1029.0</v>
      </c>
      <c r="C2055" s="35">
        <v>9.0</v>
      </c>
      <c r="D2055" s="126" t="s">
        <v>2907</v>
      </c>
      <c r="E2055" s="69" t="s">
        <v>2908</v>
      </c>
      <c r="F2055" s="109" t="str">
        <f t="shared" ref="F2055:G2055" si="2054">TRANSLATE(D2055,"lzh","vi")</f>
        <v>#NAME?</v>
      </c>
      <c r="G2055" s="109" t="str">
        <f t="shared" si="2054"/>
        <v>#NAME?</v>
      </c>
      <c r="X2055" s="110"/>
    </row>
    <row r="2056" ht="21.0" customHeight="1">
      <c r="A2056" s="68">
        <v>10.0</v>
      </c>
      <c r="B2056" s="68">
        <v>1029.0</v>
      </c>
      <c r="C2056" s="68">
        <v>10.0</v>
      </c>
      <c r="D2056" s="158" t="s">
        <v>2909</v>
      </c>
      <c r="E2056" s="70" t="s">
        <v>2890</v>
      </c>
      <c r="F2056" s="109" t="str">
        <f t="shared" ref="F2056:G2056" si="2055">TRANSLATE(D2056,"lzh","vi")</f>
        <v>#NAME?</v>
      </c>
      <c r="G2056" s="109" t="str">
        <f t="shared" si="2055"/>
        <v>#NAME?</v>
      </c>
      <c r="X2056" s="110"/>
    </row>
    <row r="2057" ht="21.0" customHeight="1">
      <c r="A2057" s="68">
        <v>1.0</v>
      </c>
      <c r="B2057" s="68">
        <v>166.0</v>
      </c>
      <c r="C2057" s="68">
        <v>1.0</v>
      </c>
      <c r="D2057" s="158" t="s">
        <v>2910</v>
      </c>
      <c r="E2057" s="70" t="s">
        <v>2911</v>
      </c>
      <c r="F2057" s="109" t="str">
        <f t="shared" ref="F2057:G2057" si="2056">TRANSLATE(D2057,"lzh","vi")</f>
        <v>#NAME?</v>
      </c>
      <c r="G2057" s="109" t="str">
        <f t="shared" si="2056"/>
        <v>#NAME?</v>
      </c>
      <c r="X2057" s="110"/>
    </row>
    <row r="2058" ht="21.0" customHeight="1">
      <c r="A2058" s="35">
        <v>1.0</v>
      </c>
      <c r="B2058" s="35">
        <v>166.0</v>
      </c>
      <c r="C2058" s="35">
        <v>2.0</v>
      </c>
      <c r="D2058" s="126" t="s">
        <v>2912</v>
      </c>
      <c r="E2058" s="69" t="s">
        <v>2913</v>
      </c>
      <c r="F2058" s="109" t="str">
        <f t="shared" ref="F2058:G2058" si="2057">TRANSLATE(D2058,"lzh","vi")</f>
        <v>#NAME?</v>
      </c>
      <c r="G2058" s="109" t="str">
        <f t="shared" si="2057"/>
        <v>#NAME?</v>
      </c>
      <c r="X2058" s="110"/>
    </row>
    <row r="2059" ht="21.0" customHeight="1">
      <c r="A2059" s="68">
        <v>1.0</v>
      </c>
      <c r="B2059" s="68">
        <v>166.0</v>
      </c>
      <c r="C2059" s="68">
        <v>3.0</v>
      </c>
      <c r="D2059" s="158" t="s">
        <v>2914</v>
      </c>
      <c r="E2059" s="70" t="s">
        <v>2915</v>
      </c>
      <c r="F2059" s="109" t="str">
        <f t="shared" ref="F2059:G2059" si="2058">TRANSLATE(D2059,"lzh","vi")</f>
        <v>#NAME?</v>
      </c>
      <c r="G2059" s="109" t="str">
        <f t="shared" si="2058"/>
        <v>#NAME?</v>
      </c>
      <c r="X2059" s="110"/>
    </row>
    <row r="2060" ht="21.0" customHeight="1">
      <c r="A2060" s="35">
        <v>1.0</v>
      </c>
      <c r="B2060" s="35">
        <v>166.0</v>
      </c>
      <c r="C2060" s="35">
        <v>4.0</v>
      </c>
      <c r="D2060" s="126" t="s">
        <v>2916</v>
      </c>
      <c r="E2060" s="69" t="s">
        <v>2917</v>
      </c>
      <c r="F2060" s="109" t="str">
        <f t="shared" ref="F2060:G2060" si="2059">TRANSLATE(D2060,"lzh","vi")</f>
        <v>#NAME?</v>
      </c>
      <c r="G2060" s="109" t="str">
        <f t="shared" si="2059"/>
        <v>#NAME?</v>
      </c>
      <c r="X2060" s="110"/>
    </row>
    <row r="2061" ht="21.0" customHeight="1">
      <c r="A2061" s="68">
        <v>1.0</v>
      </c>
      <c r="B2061" s="68">
        <v>166.0</v>
      </c>
      <c r="C2061" s="68">
        <v>5.0</v>
      </c>
      <c r="D2061" s="158" t="s">
        <v>2918</v>
      </c>
      <c r="E2061" s="70" t="s">
        <v>2919</v>
      </c>
      <c r="F2061" s="109" t="str">
        <f t="shared" ref="F2061:G2061" si="2060">TRANSLATE(D2061,"lzh","vi")</f>
        <v>#NAME?</v>
      </c>
      <c r="G2061" s="109" t="str">
        <f t="shared" si="2060"/>
        <v>#NAME?</v>
      </c>
      <c r="X2061" s="110"/>
    </row>
    <row r="2062" ht="21.0" customHeight="1">
      <c r="A2062" s="35">
        <v>1.0</v>
      </c>
      <c r="B2062" s="35">
        <v>166.0</v>
      </c>
      <c r="C2062" s="35">
        <v>6.0</v>
      </c>
      <c r="D2062" s="126" t="s">
        <v>2920</v>
      </c>
      <c r="E2062" s="69" t="s">
        <v>2921</v>
      </c>
      <c r="F2062" s="109" t="str">
        <f t="shared" ref="F2062:G2062" si="2061">TRANSLATE(D2062,"lzh","vi")</f>
        <v>#NAME?</v>
      </c>
      <c r="G2062" s="109" t="str">
        <f t="shared" si="2061"/>
        <v>#NAME?</v>
      </c>
      <c r="X2062" s="110"/>
    </row>
    <row r="2063" ht="21.0" customHeight="1">
      <c r="A2063" s="68">
        <v>1.0</v>
      </c>
      <c r="B2063" s="68">
        <v>166.0</v>
      </c>
      <c r="C2063" s="68">
        <v>7.0</v>
      </c>
      <c r="D2063" s="158" t="s">
        <v>2922</v>
      </c>
      <c r="E2063" s="70" t="s">
        <v>2923</v>
      </c>
      <c r="F2063" s="109" t="str">
        <f t="shared" ref="F2063:G2063" si="2062">TRANSLATE(D2063,"lzh","vi")</f>
        <v>#NAME?</v>
      </c>
      <c r="G2063" s="109" t="str">
        <f t="shared" si="2062"/>
        <v>#NAME?</v>
      </c>
      <c r="X2063" s="110"/>
    </row>
    <row r="2064" ht="21.0" customHeight="1">
      <c r="A2064" s="35">
        <v>1.0</v>
      </c>
      <c r="B2064" s="35">
        <v>166.0</v>
      </c>
      <c r="C2064" s="35">
        <v>8.0</v>
      </c>
      <c r="D2064" s="126" t="s">
        <v>2924</v>
      </c>
      <c r="E2064" s="69" t="s">
        <v>2925</v>
      </c>
      <c r="F2064" s="109" t="str">
        <f t="shared" ref="F2064:G2064" si="2063">TRANSLATE(D2064,"lzh","vi")</f>
        <v>#NAME?</v>
      </c>
      <c r="G2064" s="109" t="str">
        <f t="shared" si="2063"/>
        <v>#NAME?</v>
      </c>
      <c r="X2064" s="110"/>
    </row>
    <row r="2065" ht="21.0" customHeight="1">
      <c r="A2065" s="68">
        <v>1.0</v>
      </c>
      <c r="B2065" s="68">
        <v>166.0</v>
      </c>
      <c r="C2065" s="68">
        <v>9.0</v>
      </c>
      <c r="D2065" s="158" t="s">
        <v>2926</v>
      </c>
      <c r="E2065" s="70" t="s">
        <v>2927</v>
      </c>
      <c r="F2065" s="109" t="str">
        <f t="shared" ref="F2065:G2065" si="2064">TRANSLATE(D2065,"lzh","vi")</f>
        <v>#NAME?</v>
      </c>
      <c r="G2065" s="109" t="str">
        <f t="shared" si="2064"/>
        <v>#NAME?</v>
      </c>
      <c r="X2065" s="110"/>
    </row>
    <row r="2066" ht="21.0" customHeight="1">
      <c r="A2066" s="35">
        <v>1.0</v>
      </c>
      <c r="B2066" s="35">
        <v>166.0</v>
      </c>
      <c r="C2066" s="35">
        <v>10.0</v>
      </c>
      <c r="D2066" s="126" t="s">
        <v>2928</v>
      </c>
      <c r="E2066" s="69" t="s">
        <v>2929</v>
      </c>
      <c r="F2066" s="109" t="str">
        <f t="shared" ref="F2066:G2066" si="2065">TRANSLATE(D2066,"lzh","vi")</f>
        <v>#NAME?</v>
      </c>
      <c r="G2066" s="109" t="str">
        <f t="shared" si="2065"/>
        <v>#NAME?</v>
      </c>
      <c r="X2066" s="110"/>
    </row>
    <row r="2067" ht="21.0" customHeight="1">
      <c r="A2067" s="68">
        <v>1.0</v>
      </c>
      <c r="B2067" s="68">
        <v>166.0</v>
      </c>
      <c r="C2067" s="68">
        <v>11.0</v>
      </c>
      <c r="D2067" s="158" t="s">
        <v>2930</v>
      </c>
      <c r="E2067" s="70" t="s">
        <v>2931</v>
      </c>
      <c r="F2067" s="109" t="str">
        <f t="shared" ref="F2067:G2067" si="2066">TRANSLATE(D2067,"lzh","vi")</f>
        <v>#NAME?</v>
      </c>
      <c r="G2067" s="109" t="str">
        <f t="shared" si="2066"/>
        <v>#NAME?</v>
      </c>
      <c r="X2067" s="110"/>
    </row>
    <row r="2068" ht="21.0" customHeight="1">
      <c r="A2068" s="35">
        <v>1.0</v>
      </c>
      <c r="B2068" s="35">
        <v>166.0</v>
      </c>
      <c r="C2068" s="35">
        <v>12.0</v>
      </c>
      <c r="D2068" s="126" t="s">
        <v>2932</v>
      </c>
      <c r="E2068" s="69" t="s">
        <v>2933</v>
      </c>
      <c r="F2068" s="109" t="str">
        <f t="shared" ref="F2068:G2068" si="2067">TRANSLATE(D2068,"lzh","vi")</f>
        <v>#NAME?</v>
      </c>
      <c r="G2068" s="109" t="str">
        <f t="shared" si="2067"/>
        <v>#NAME?</v>
      </c>
      <c r="X2068" s="110"/>
    </row>
    <row r="2069" ht="21.0" customHeight="1">
      <c r="A2069" s="68">
        <v>1.0</v>
      </c>
      <c r="B2069" s="68">
        <v>166.0</v>
      </c>
      <c r="C2069" s="68">
        <v>13.0</v>
      </c>
      <c r="D2069" s="158" t="s">
        <v>2934</v>
      </c>
      <c r="E2069" s="70" t="s">
        <v>2935</v>
      </c>
      <c r="F2069" s="109" t="str">
        <f t="shared" ref="F2069:G2069" si="2068">TRANSLATE(D2069,"lzh","vi")</f>
        <v>#NAME?</v>
      </c>
      <c r="G2069" s="109" t="str">
        <f t="shared" si="2068"/>
        <v>#NAME?</v>
      </c>
      <c r="X2069" s="110"/>
    </row>
    <row r="2070" ht="21.0" customHeight="1">
      <c r="A2070" s="35">
        <v>1.0</v>
      </c>
      <c r="B2070" s="35">
        <v>167.0</v>
      </c>
      <c r="C2070" s="35">
        <v>1.0</v>
      </c>
      <c r="D2070" s="126" t="s">
        <v>2936</v>
      </c>
      <c r="E2070" s="69" t="s">
        <v>2937</v>
      </c>
      <c r="F2070" s="109" t="str">
        <f t="shared" ref="F2070:G2070" si="2069">TRANSLATE(D2070,"lzh","vi")</f>
        <v>#NAME?</v>
      </c>
      <c r="G2070" s="109" t="str">
        <f t="shared" si="2069"/>
        <v>#NAME?</v>
      </c>
      <c r="X2070" s="110"/>
    </row>
    <row r="2071" ht="21.0" customHeight="1">
      <c r="A2071" s="68">
        <v>1.0</v>
      </c>
      <c r="B2071" s="68">
        <v>167.0</v>
      </c>
      <c r="C2071" s="68">
        <v>2.0</v>
      </c>
      <c r="D2071" s="158" t="s">
        <v>2938</v>
      </c>
      <c r="E2071" s="70" t="s">
        <v>2939</v>
      </c>
      <c r="F2071" s="109" t="str">
        <f t="shared" ref="F2071:G2071" si="2070">TRANSLATE(D2071,"lzh","vi")</f>
        <v>#NAME?</v>
      </c>
      <c r="G2071" s="109" t="str">
        <f t="shared" si="2070"/>
        <v>#NAME?</v>
      </c>
      <c r="X2071" s="110"/>
    </row>
    <row r="2072" ht="21.0" customHeight="1">
      <c r="A2072" s="35">
        <v>1.0</v>
      </c>
      <c r="B2072" s="35">
        <v>167.0</v>
      </c>
      <c r="C2072" s="35">
        <v>3.0</v>
      </c>
      <c r="D2072" s="126" t="s">
        <v>2940</v>
      </c>
      <c r="E2072" s="69" t="s">
        <v>2941</v>
      </c>
      <c r="F2072" s="109" t="str">
        <f t="shared" ref="F2072:G2072" si="2071">TRANSLATE(D2072,"lzh","vi")</f>
        <v>#NAME?</v>
      </c>
      <c r="G2072" s="109" t="str">
        <f t="shared" si="2071"/>
        <v>#NAME?</v>
      </c>
      <c r="X2072" s="110"/>
    </row>
    <row r="2073" ht="21.0" customHeight="1">
      <c r="A2073" s="68">
        <v>1.0</v>
      </c>
      <c r="B2073" s="68">
        <v>167.0</v>
      </c>
      <c r="C2073" s="68">
        <v>4.0</v>
      </c>
      <c r="D2073" s="158" t="s">
        <v>2942</v>
      </c>
      <c r="E2073" s="70" t="s">
        <v>2943</v>
      </c>
      <c r="F2073" s="109" t="str">
        <f t="shared" ref="F2073:G2073" si="2072">TRANSLATE(D2073,"lzh","vi")</f>
        <v>#NAME?</v>
      </c>
      <c r="G2073" s="109" t="str">
        <f t="shared" si="2072"/>
        <v>#NAME?</v>
      </c>
      <c r="X2073" s="110"/>
    </row>
    <row r="2074" ht="21.0" customHeight="1">
      <c r="A2074" s="35">
        <v>1.0</v>
      </c>
      <c r="B2074" s="35">
        <v>167.0</v>
      </c>
      <c r="C2074" s="35">
        <v>5.0</v>
      </c>
      <c r="D2074" s="126" t="s">
        <v>2944</v>
      </c>
      <c r="E2074" s="69" t="s">
        <v>2945</v>
      </c>
      <c r="F2074" s="109" t="str">
        <f t="shared" ref="F2074:G2074" si="2073">TRANSLATE(D2074,"lzh","vi")</f>
        <v>#NAME?</v>
      </c>
      <c r="G2074" s="109" t="str">
        <f t="shared" si="2073"/>
        <v>#NAME?</v>
      </c>
      <c r="X2074" s="110"/>
    </row>
    <row r="2075" ht="21.0" customHeight="1">
      <c r="A2075" s="68">
        <v>1.0</v>
      </c>
      <c r="B2075" s="68">
        <v>167.0</v>
      </c>
      <c r="C2075" s="68">
        <v>6.0</v>
      </c>
      <c r="D2075" s="158" t="s">
        <v>2946</v>
      </c>
      <c r="E2075" s="70" t="s">
        <v>2947</v>
      </c>
      <c r="F2075" s="109" t="str">
        <f t="shared" ref="F2075:G2075" si="2074">TRANSLATE(D2075,"lzh","vi")</f>
        <v>#NAME?</v>
      </c>
      <c r="G2075" s="109" t="str">
        <f t="shared" si="2074"/>
        <v>#NAME?</v>
      </c>
      <c r="X2075" s="110"/>
    </row>
    <row r="2076" ht="21.0" customHeight="1">
      <c r="A2076" s="35">
        <v>1.0</v>
      </c>
      <c r="B2076" s="35">
        <v>167.0</v>
      </c>
      <c r="C2076" s="35">
        <v>7.0</v>
      </c>
      <c r="D2076" s="126" t="s">
        <v>2948</v>
      </c>
      <c r="E2076" s="69" t="s">
        <v>2949</v>
      </c>
      <c r="F2076" s="109" t="str">
        <f t="shared" ref="F2076:G2076" si="2075">TRANSLATE(D2076,"lzh","vi")</f>
        <v>#NAME?</v>
      </c>
      <c r="G2076" s="109" t="str">
        <f t="shared" si="2075"/>
        <v>#NAME?</v>
      </c>
      <c r="X2076" s="110"/>
    </row>
    <row r="2077" ht="21.0" customHeight="1">
      <c r="A2077" s="68">
        <v>1.0</v>
      </c>
      <c r="B2077" s="68">
        <v>167.0</v>
      </c>
      <c r="C2077" s="68">
        <v>8.0</v>
      </c>
      <c r="D2077" s="158" t="s">
        <v>2950</v>
      </c>
      <c r="E2077" s="70" t="s">
        <v>2951</v>
      </c>
      <c r="F2077" s="109" t="str">
        <f t="shared" ref="F2077:G2077" si="2076">TRANSLATE(D2077,"lzh","vi")</f>
        <v>#NAME?</v>
      </c>
      <c r="G2077" s="109" t="str">
        <f t="shared" si="2076"/>
        <v>#NAME?</v>
      </c>
      <c r="X2077" s="110"/>
    </row>
    <row r="2078" ht="21.0" customHeight="1">
      <c r="A2078" s="35">
        <v>1.0</v>
      </c>
      <c r="B2078" s="35">
        <v>167.0</v>
      </c>
      <c r="C2078" s="35">
        <v>9.0</v>
      </c>
      <c r="D2078" s="126" t="s">
        <v>2952</v>
      </c>
      <c r="E2078" s="69" t="s">
        <v>2953</v>
      </c>
      <c r="F2078" s="109" t="str">
        <f t="shared" ref="F2078:G2078" si="2077">TRANSLATE(D2078,"lzh","vi")</f>
        <v>#NAME?</v>
      </c>
      <c r="G2078" s="109" t="str">
        <f t="shared" si="2077"/>
        <v>#NAME?</v>
      </c>
      <c r="X2078" s="110"/>
    </row>
    <row r="2079" ht="21.0" customHeight="1">
      <c r="A2079" s="68">
        <v>1.0</v>
      </c>
      <c r="B2079" s="68">
        <v>167.0</v>
      </c>
      <c r="C2079" s="68">
        <v>10.0</v>
      </c>
      <c r="D2079" s="158" t="s">
        <v>2954</v>
      </c>
      <c r="E2079" s="70" t="s">
        <v>2955</v>
      </c>
      <c r="F2079" s="109" t="str">
        <f t="shared" ref="F2079:G2079" si="2078">TRANSLATE(D2079,"lzh","vi")</f>
        <v>#NAME?</v>
      </c>
      <c r="G2079" s="109" t="str">
        <f t="shared" si="2078"/>
        <v>#NAME?</v>
      </c>
      <c r="X2079" s="110"/>
    </row>
    <row r="2080" ht="21.0" customHeight="1">
      <c r="A2080" s="35">
        <v>1.0</v>
      </c>
      <c r="B2080" s="35">
        <v>167.0</v>
      </c>
      <c r="C2080" s="35">
        <v>11.0</v>
      </c>
      <c r="D2080" s="126" t="s">
        <v>2956</v>
      </c>
      <c r="E2080" s="69" t="s">
        <v>2957</v>
      </c>
      <c r="F2080" s="109" t="str">
        <f t="shared" ref="F2080:G2080" si="2079">TRANSLATE(D2080,"lzh","vi")</f>
        <v>#NAME?</v>
      </c>
      <c r="G2080" s="109" t="str">
        <f t="shared" si="2079"/>
        <v>#NAME?</v>
      </c>
      <c r="X2080" s="110"/>
    </row>
    <row r="2081" ht="21.0" customHeight="1">
      <c r="A2081" s="68">
        <v>1.0</v>
      </c>
      <c r="B2081" s="68">
        <v>167.0</v>
      </c>
      <c r="C2081" s="68">
        <v>12.0</v>
      </c>
      <c r="D2081" s="158" t="s">
        <v>2958</v>
      </c>
      <c r="E2081" s="70" t="s">
        <v>2959</v>
      </c>
      <c r="F2081" s="109" t="str">
        <f t="shared" ref="F2081:G2081" si="2080">TRANSLATE(D2081,"lzh","vi")</f>
        <v>#NAME?</v>
      </c>
      <c r="G2081" s="109" t="str">
        <f t="shared" si="2080"/>
        <v>#NAME?</v>
      </c>
      <c r="X2081" s="110"/>
    </row>
    <row r="2082" ht="21.0" customHeight="1">
      <c r="A2082" s="35">
        <v>1.0</v>
      </c>
      <c r="B2082" s="35">
        <v>167.0</v>
      </c>
      <c r="C2082" s="35">
        <v>13.0</v>
      </c>
      <c r="D2082" s="126" t="s">
        <v>2960</v>
      </c>
      <c r="E2082" s="69" t="s">
        <v>2961</v>
      </c>
      <c r="F2082" s="109" t="str">
        <f t="shared" ref="F2082:G2082" si="2081">TRANSLATE(D2082,"lzh","vi")</f>
        <v>#NAME?</v>
      </c>
      <c r="G2082" s="109" t="str">
        <f t="shared" si="2081"/>
        <v>#NAME?</v>
      </c>
      <c r="X2082" s="110"/>
    </row>
    <row r="2083" ht="21.0" customHeight="1">
      <c r="A2083" s="68">
        <v>1.0</v>
      </c>
      <c r="B2083" s="68">
        <v>168.0</v>
      </c>
      <c r="C2083" s="68">
        <v>1.0</v>
      </c>
      <c r="D2083" s="158" t="s">
        <v>2962</v>
      </c>
      <c r="E2083" s="70" t="s">
        <v>2963</v>
      </c>
      <c r="F2083" s="109" t="str">
        <f t="shared" ref="F2083:G2083" si="2082">TRANSLATE(D2083,"lzh","vi")</f>
        <v>#NAME?</v>
      </c>
      <c r="G2083" s="109" t="str">
        <f t="shared" si="2082"/>
        <v>#NAME?</v>
      </c>
      <c r="X2083" s="110"/>
    </row>
    <row r="2084" ht="21.0" customHeight="1">
      <c r="A2084" s="35">
        <v>1.0</v>
      </c>
      <c r="B2084" s="35">
        <v>168.0</v>
      </c>
      <c r="C2084" s="35">
        <v>2.0</v>
      </c>
      <c r="D2084" s="126" t="s">
        <v>2964</v>
      </c>
      <c r="E2084" s="69" t="s">
        <v>2965</v>
      </c>
      <c r="F2084" s="109" t="str">
        <f t="shared" ref="F2084:G2084" si="2083">TRANSLATE(D2084,"lzh","vi")</f>
        <v>#NAME?</v>
      </c>
      <c r="G2084" s="109" t="str">
        <f t="shared" si="2083"/>
        <v>#NAME?</v>
      </c>
      <c r="X2084" s="110"/>
    </row>
    <row r="2085" ht="21.0" customHeight="1">
      <c r="A2085" s="68">
        <v>1.0</v>
      </c>
      <c r="B2085" s="68">
        <v>168.0</v>
      </c>
      <c r="C2085" s="68">
        <v>3.0</v>
      </c>
      <c r="D2085" s="158" t="s">
        <v>2966</v>
      </c>
      <c r="E2085" s="70" t="s">
        <v>2967</v>
      </c>
      <c r="F2085" s="109" t="str">
        <f t="shared" ref="F2085:G2085" si="2084">TRANSLATE(D2085,"lzh","vi")</f>
        <v>#NAME?</v>
      </c>
      <c r="G2085" s="109" t="str">
        <f t="shared" si="2084"/>
        <v>#NAME?</v>
      </c>
      <c r="X2085" s="110"/>
    </row>
    <row r="2086" ht="21.0" customHeight="1">
      <c r="A2086" s="35">
        <v>1.0</v>
      </c>
      <c r="B2086" s="35">
        <v>168.0</v>
      </c>
      <c r="C2086" s="35">
        <v>4.0</v>
      </c>
      <c r="D2086" s="126" t="s">
        <v>2968</v>
      </c>
      <c r="E2086" s="69" t="s">
        <v>2969</v>
      </c>
      <c r="F2086" s="109" t="str">
        <f t="shared" ref="F2086:G2086" si="2085">TRANSLATE(D2086,"lzh","vi")</f>
        <v>#NAME?</v>
      </c>
      <c r="G2086" s="109" t="str">
        <f t="shared" si="2085"/>
        <v>#NAME?</v>
      </c>
      <c r="X2086" s="110"/>
    </row>
    <row r="2087" ht="21.0" customHeight="1">
      <c r="A2087" s="68">
        <v>1.0</v>
      </c>
      <c r="B2087" s="68">
        <v>168.0</v>
      </c>
      <c r="C2087" s="68">
        <v>5.0</v>
      </c>
      <c r="D2087" s="158" t="s">
        <v>2970</v>
      </c>
      <c r="E2087" s="70" t="s">
        <v>2971</v>
      </c>
      <c r="F2087" s="109" t="str">
        <f t="shared" ref="F2087:G2087" si="2086">TRANSLATE(D2087,"lzh","vi")</f>
        <v>#NAME?</v>
      </c>
      <c r="G2087" s="109" t="str">
        <f t="shared" si="2086"/>
        <v>#NAME?</v>
      </c>
      <c r="X2087" s="110"/>
    </row>
    <row r="2088" ht="21.0" customHeight="1">
      <c r="A2088" s="35">
        <v>1.0</v>
      </c>
      <c r="B2088" s="35">
        <v>168.0</v>
      </c>
      <c r="C2088" s="35">
        <v>6.0</v>
      </c>
      <c r="D2088" s="126" t="s">
        <v>2972</v>
      </c>
      <c r="E2088" s="69" t="s">
        <v>2973</v>
      </c>
      <c r="F2088" s="109" t="str">
        <f t="shared" ref="F2088:G2088" si="2087">TRANSLATE(D2088,"lzh","vi")</f>
        <v>#NAME?</v>
      </c>
      <c r="G2088" s="109" t="str">
        <f t="shared" si="2087"/>
        <v>#NAME?</v>
      </c>
      <c r="X2088" s="110"/>
    </row>
    <row r="2089" ht="21.0" customHeight="1">
      <c r="A2089" s="68">
        <v>1.0</v>
      </c>
      <c r="B2089" s="68">
        <v>168.0</v>
      </c>
      <c r="C2089" s="68">
        <v>7.0</v>
      </c>
      <c r="D2089" s="158" t="s">
        <v>2974</v>
      </c>
      <c r="E2089" s="70" t="s">
        <v>2975</v>
      </c>
      <c r="F2089" s="109" t="str">
        <f t="shared" ref="F2089:G2089" si="2088">TRANSLATE(D2089,"lzh","vi")</f>
        <v>#NAME?</v>
      </c>
      <c r="G2089" s="109" t="str">
        <f t="shared" si="2088"/>
        <v>#NAME?</v>
      </c>
      <c r="X2089" s="110"/>
    </row>
    <row r="2090" ht="21.0" customHeight="1">
      <c r="A2090" s="35">
        <v>1.0</v>
      </c>
      <c r="B2090" s="35">
        <v>168.0</v>
      </c>
      <c r="C2090" s="35">
        <v>8.0</v>
      </c>
      <c r="D2090" s="126" t="s">
        <v>2976</v>
      </c>
      <c r="E2090" s="69" t="s">
        <v>2977</v>
      </c>
      <c r="F2090" s="109" t="str">
        <f t="shared" ref="F2090:G2090" si="2089">TRANSLATE(D2090,"lzh","vi")</f>
        <v>#NAME?</v>
      </c>
      <c r="G2090" s="109" t="str">
        <f t="shared" si="2089"/>
        <v>#NAME?</v>
      </c>
      <c r="X2090" s="110"/>
    </row>
    <row r="2091" ht="21.0" customHeight="1">
      <c r="A2091" s="68">
        <v>1.0</v>
      </c>
      <c r="B2091" s="68">
        <v>168.0</v>
      </c>
      <c r="C2091" s="68">
        <v>9.0</v>
      </c>
      <c r="D2091" s="158" t="s">
        <v>2978</v>
      </c>
      <c r="E2091" s="70" t="s">
        <v>2979</v>
      </c>
      <c r="F2091" s="109" t="str">
        <f t="shared" ref="F2091:G2091" si="2090">TRANSLATE(D2091,"lzh","vi")</f>
        <v>#NAME?</v>
      </c>
      <c r="G2091" s="109" t="str">
        <f t="shared" si="2090"/>
        <v>#NAME?</v>
      </c>
      <c r="X2091" s="110"/>
    </row>
    <row r="2092" ht="21.0" customHeight="1">
      <c r="A2092" s="35">
        <v>1.0</v>
      </c>
      <c r="B2092" s="35">
        <v>168.0</v>
      </c>
      <c r="C2092" s="35">
        <v>10.0</v>
      </c>
      <c r="D2092" s="126" t="s">
        <v>2980</v>
      </c>
      <c r="E2092" s="69" t="s">
        <v>2981</v>
      </c>
      <c r="F2092" s="109" t="str">
        <f t="shared" ref="F2092:G2092" si="2091">TRANSLATE(D2092,"lzh","vi")</f>
        <v>#NAME?</v>
      </c>
      <c r="G2092" s="109" t="str">
        <f t="shared" si="2091"/>
        <v>#NAME?</v>
      </c>
      <c r="X2092" s="110"/>
    </row>
    <row r="2093" ht="21.0" customHeight="1">
      <c r="A2093" s="68">
        <v>1.0</v>
      </c>
      <c r="B2093" s="68">
        <v>168.0</v>
      </c>
      <c r="C2093" s="68">
        <v>11.0</v>
      </c>
      <c r="D2093" s="158" t="s">
        <v>2982</v>
      </c>
      <c r="E2093" s="70" t="s">
        <v>2983</v>
      </c>
      <c r="F2093" s="109" t="str">
        <f t="shared" ref="F2093:G2093" si="2092">TRANSLATE(D2093,"lzh","vi")</f>
        <v>#NAME?</v>
      </c>
      <c r="G2093" s="109" t="str">
        <f t="shared" si="2092"/>
        <v>#NAME?</v>
      </c>
      <c r="X2093" s="110"/>
    </row>
    <row r="2094" ht="21.0" customHeight="1">
      <c r="A2094" s="35">
        <v>1.0</v>
      </c>
      <c r="B2094" s="35">
        <v>168.0</v>
      </c>
      <c r="C2094" s="35">
        <v>12.0</v>
      </c>
      <c r="D2094" s="126" t="s">
        <v>2984</v>
      </c>
      <c r="E2094" s="69" t="s">
        <v>2985</v>
      </c>
      <c r="F2094" s="109" t="str">
        <f t="shared" ref="F2094:G2094" si="2093">TRANSLATE(D2094,"lzh","vi")</f>
        <v>#NAME?</v>
      </c>
      <c r="G2094" s="109" t="str">
        <f t="shared" si="2093"/>
        <v>#NAME?</v>
      </c>
      <c r="X2094" s="110"/>
    </row>
    <row r="2095" ht="21.0" customHeight="1">
      <c r="A2095" s="68">
        <v>1.0</v>
      </c>
      <c r="B2095" s="68">
        <v>168.0</v>
      </c>
      <c r="C2095" s="68">
        <v>13.0</v>
      </c>
      <c r="D2095" s="158" t="s">
        <v>2986</v>
      </c>
      <c r="E2095" s="70" t="s">
        <v>2987</v>
      </c>
      <c r="F2095" s="109" t="str">
        <f t="shared" ref="F2095:G2095" si="2094">TRANSLATE(D2095,"lzh","vi")</f>
        <v>#NAME?</v>
      </c>
      <c r="G2095" s="109" t="str">
        <f t="shared" si="2094"/>
        <v>#NAME?</v>
      </c>
      <c r="X2095" s="110"/>
    </row>
    <row r="2096" ht="21.0" customHeight="1">
      <c r="A2096" s="35">
        <v>11.0</v>
      </c>
      <c r="B2096" s="35">
        <v>1030.0</v>
      </c>
      <c r="C2096" s="35">
        <v>1.0</v>
      </c>
      <c r="D2096" s="126" t="s">
        <v>2988</v>
      </c>
      <c r="E2096" s="69" t="s">
        <v>2989</v>
      </c>
      <c r="F2096" s="109" t="str">
        <f t="shared" ref="F2096:G2096" si="2095">TRANSLATE(D2096,"lzh","vi")</f>
        <v>#NAME?</v>
      </c>
      <c r="G2096" s="109" t="str">
        <f t="shared" si="2095"/>
        <v>#NAME?</v>
      </c>
      <c r="X2096" s="110"/>
    </row>
    <row r="2097" ht="21.0" customHeight="1">
      <c r="A2097" s="68">
        <v>11.0</v>
      </c>
      <c r="B2097" s="68">
        <v>1030.0</v>
      </c>
      <c r="C2097" s="68">
        <v>2.0</v>
      </c>
      <c r="D2097" s="158" t="s">
        <v>2990</v>
      </c>
      <c r="E2097" s="70" t="s">
        <v>2991</v>
      </c>
      <c r="F2097" s="109" t="str">
        <f t="shared" ref="F2097:G2097" si="2096">TRANSLATE(D2097,"lzh","vi")</f>
        <v>#NAME?</v>
      </c>
      <c r="G2097" s="109" t="str">
        <f t="shared" si="2096"/>
        <v>#NAME?</v>
      </c>
      <c r="X2097" s="110"/>
    </row>
    <row r="2098" ht="21.0" customHeight="1">
      <c r="A2098" s="35">
        <v>11.0</v>
      </c>
      <c r="B2098" s="35">
        <v>1030.0</v>
      </c>
      <c r="C2098" s="35">
        <v>3.0</v>
      </c>
      <c r="D2098" s="126" t="s">
        <v>2992</v>
      </c>
      <c r="E2098" s="69" t="s">
        <v>2993</v>
      </c>
      <c r="F2098" s="109" t="str">
        <f t="shared" ref="F2098:G2098" si="2097">TRANSLATE(D2098,"lzh","vi")</f>
        <v>#NAME?</v>
      </c>
      <c r="G2098" s="109" t="str">
        <f t="shared" si="2097"/>
        <v>#NAME?</v>
      </c>
      <c r="X2098" s="110"/>
    </row>
    <row r="2099" ht="21.0" customHeight="1">
      <c r="A2099" s="68">
        <v>11.0</v>
      </c>
      <c r="B2099" s="68">
        <v>1030.0</v>
      </c>
      <c r="C2099" s="68">
        <v>4.0</v>
      </c>
      <c r="D2099" s="158" t="s">
        <v>2994</v>
      </c>
      <c r="E2099" s="70" t="s">
        <v>2995</v>
      </c>
      <c r="F2099" s="109" t="str">
        <f t="shared" ref="F2099:G2099" si="2098">TRANSLATE(D2099,"lzh","vi")</f>
        <v>#NAME?</v>
      </c>
      <c r="G2099" s="109" t="str">
        <f t="shared" si="2098"/>
        <v>#NAME?</v>
      </c>
      <c r="X2099" s="110"/>
    </row>
    <row r="2100" ht="21.0" customHeight="1">
      <c r="A2100" s="35">
        <v>10.0</v>
      </c>
      <c r="B2100" s="35">
        <v>1030.0</v>
      </c>
      <c r="C2100" s="35">
        <v>5.0</v>
      </c>
      <c r="D2100" s="126" t="s">
        <v>2996</v>
      </c>
      <c r="E2100" s="69" t="s">
        <v>2997</v>
      </c>
      <c r="F2100" s="109" t="str">
        <f t="shared" ref="F2100:G2100" si="2099">TRANSLATE(D2100,"lzh","vi")</f>
        <v>#NAME?</v>
      </c>
      <c r="G2100" s="109" t="str">
        <f t="shared" si="2099"/>
        <v>#NAME?</v>
      </c>
      <c r="X2100" s="110"/>
    </row>
    <row r="2101" ht="21.0" customHeight="1">
      <c r="A2101" s="68">
        <v>10.0</v>
      </c>
      <c r="B2101" s="68">
        <v>1030.0</v>
      </c>
      <c r="C2101" s="68">
        <v>6.0</v>
      </c>
      <c r="D2101" s="158" t="s">
        <v>2998</v>
      </c>
      <c r="E2101" s="70" t="s">
        <v>2999</v>
      </c>
      <c r="F2101" s="109" t="str">
        <f t="shared" ref="F2101:G2101" si="2100">TRANSLATE(D2101,"lzh","vi")</f>
        <v>#NAME?</v>
      </c>
      <c r="G2101" s="109" t="str">
        <f t="shared" si="2100"/>
        <v>#NAME?</v>
      </c>
      <c r="X2101" s="110"/>
    </row>
    <row r="2102" ht="21.0" customHeight="1">
      <c r="A2102" s="35">
        <v>10.0</v>
      </c>
      <c r="B2102" s="35">
        <v>1030.0</v>
      </c>
      <c r="C2102" s="35">
        <v>7.0</v>
      </c>
      <c r="D2102" s="126" t="s">
        <v>3000</v>
      </c>
      <c r="E2102" s="69" t="s">
        <v>3001</v>
      </c>
      <c r="F2102" s="109" t="str">
        <f t="shared" ref="F2102:G2102" si="2101">TRANSLATE(D2102,"lzh","vi")</f>
        <v>#NAME?</v>
      </c>
      <c r="G2102" s="109" t="str">
        <f t="shared" si="2101"/>
        <v>#NAME?</v>
      </c>
      <c r="X2102" s="110"/>
    </row>
    <row r="2103" ht="21.0" customHeight="1">
      <c r="A2103" s="68">
        <v>10.0</v>
      </c>
      <c r="B2103" s="68">
        <v>1030.0</v>
      </c>
      <c r="C2103" s="68">
        <v>8.0</v>
      </c>
      <c r="D2103" s="158" t="s">
        <v>3002</v>
      </c>
      <c r="E2103" s="70" t="s">
        <v>3003</v>
      </c>
      <c r="F2103" s="109" t="str">
        <f t="shared" ref="F2103:G2103" si="2102">TRANSLATE(D2103,"lzh","vi")</f>
        <v>#NAME?</v>
      </c>
      <c r="G2103" s="109" t="str">
        <f t="shared" si="2102"/>
        <v>#NAME?</v>
      </c>
      <c r="X2103" s="110"/>
    </row>
    <row r="2104" ht="21.0" customHeight="1">
      <c r="A2104" s="35">
        <v>10.0</v>
      </c>
      <c r="B2104" s="35">
        <v>1030.0</v>
      </c>
      <c r="C2104" s="35">
        <v>9.0</v>
      </c>
      <c r="D2104" s="126" t="s">
        <v>3004</v>
      </c>
      <c r="E2104" s="69" t="s">
        <v>3005</v>
      </c>
      <c r="F2104" s="109" t="str">
        <f t="shared" ref="F2104:G2104" si="2103">TRANSLATE(D2104,"lzh","vi")</f>
        <v>#NAME?</v>
      </c>
      <c r="G2104" s="109" t="str">
        <f t="shared" si="2103"/>
        <v>#NAME?</v>
      </c>
      <c r="X2104" s="110"/>
    </row>
    <row r="2105" ht="21.0" customHeight="1">
      <c r="A2105" s="68">
        <v>10.0</v>
      </c>
      <c r="B2105" s="68">
        <v>1030.0</v>
      </c>
      <c r="C2105" s="68">
        <v>10.0</v>
      </c>
      <c r="D2105" s="158" t="s">
        <v>3006</v>
      </c>
      <c r="E2105" s="70" t="s">
        <v>3007</v>
      </c>
      <c r="F2105" s="109" t="str">
        <f t="shared" ref="F2105:G2105" si="2104">TRANSLATE(D2105,"lzh","vi")</f>
        <v>#NAME?</v>
      </c>
      <c r="G2105" s="109" t="str">
        <f t="shared" si="2104"/>
        <v>#NAME?</v>
      </c>
      <c r="X2105" s="110"/>
    </row>
    <row r="2106" ht="21.0" customHeight="1">
      <c r="A2106" s="35">
        <v>11.0</v>
      </c>
      <c r="B2106" s="35">
        <v>1031.0</v>
      </c>
      <c r="C2106" s="35">
        <v>1.0</v>
      </c>
      <c r="D2106" s="126" t="s">
        <v>3008</v>
      </c>
      <c r="E2106" s="69" t="s">
        <v>3009</v>
      </c>
      <c r="F2106" s="109" t="str">
        <f t="shared" ref="F2106:G2106" si="2105">TRANSLATE(D2106,"lzh","vi")</f>
        <v>#NAME?</v>
      </c>
      <c r="G2106" s="109" t="str">
        <f t="shared" si="2105"/>
        <v>#NAME?</v>
      </c>
      <c r="X2106" s="110"/>
    </row>
    <row r="2107" ht="21.0" customHeight="1">
      <c r="A2107" s="68">
        <v>11.0</v>
      </c>
      <c r="B2107" s="68">
        <v>1031.0</v>
      </c>
      <c r="C2107" s="68">
        <v>2.0</v>
      </c>
      <c r="D2107" s="158" t="s">
        <v>3010</v>
      </c>
      <c r="E2107" s="70" t="s">
        <v>3011</v>
      </c>
      <c r="F2107" s="109" t="str">
        <f t="shared" ref="F2107:G2107" si="2106">TRANSLATE(D2107,"lzh","vi")</f>
        <v>#NAME?</v>
      </c>
      <c r="G2107" s="109" t="str">
        <f t="shared" si="2106"/>
        <v>#NAME?</v>
      </c>
      <c r="X2107" s="110"/>
    </row>
    <row r="2108" ht="21.0" customHeight="1">
      <c r="A2108" s="35">
        <v>11.0</v>
      </c>
      <c r="B2108" s="35">
        <v>1031.0</v>
      </c>
      <c r="C2108" s="35">
        <v>3.0</v>
      </c>
      <c r="D2108" s="126" t="s">
        <v>3012</v>
      </c>
      <c r="E2108" s="69" t="s">
        <v>3013</v>
      </c>
      <c r="F2108" s="109" t="str">
        <f t="shared" ref="F2108:G2108" si="2107">TRANSLATE(D2108,"lzh","vi")</f>
        <v>#NAME?</v>
      </c>
      <c r="G2108" s="109" t="str">
        <f t="shared" si="2107"/>
        <v>#NAME?</v>
      </c>
      <c r="X2108" s="110"/>
    </row>
    <row r="2109" ht="21.0" customHeight="1">
      <c r="A2109" s="68">
        <v>11.0</v>
      </c>
      <c r="B2109" s="68">
        <v>1031.0</v>
      </c>
      <c r="C2109" s="68">
        <v>4.0</v>
      </c>
      <c r="D2109" s="158" t="s">
        <v>3014</v>
      </c>
      <c r="E2109" s="70" t="s">
        <v>3015</v>
      </c>
      <c r="F2109" s="109" t="str">
        <f t="shared" ref="F2109:G2109" si="2108">TRANSLATE(D2109,"lzh","vi")</f>
        <v>#NAME?</v>
      </c>
      <c r="G2109" s="109" t="str">
        <f t="shared" si="2108"/>
        <v>#NAME?</v>
      </c>
      <c r="X2109" s="110"/>
    </row>
    <row r="2110" ht="21.0" customHeight="1">
      <c r="A2110" s="35">
        <v>10.0</v>
      </c>
      <c r="B2110" s="35">
        <v>1031.0</v>
      </c>
      <c r="C2110" s="35">
        <v>5.0</v>
      </c>
      <c r="D2110" s="126" t="s">
        <v>3016</v>
      </c>
      <c r="E2110" s="69" t="s">
        <v>3017</v>
      </c>
      <c r="F2110" s="109" t="str">
        <f t="shared" ref="F2110:G2110" si="2109">TRANSLATE(D2110,"lzh","vi")</f>
        <v>#NAME?</v>
      </c>
      <c r="G2110" s="109" t="str">
        <f t="shared" si="2109"/>
        <v>#NAME?</v>
      </c>
      <c r="X2110" s="110"/>
    </row>
    <row r="2111" ht="21.0" customHeight="1">
      <c r="A2111" s="68">
        <v>10.0</v>
      </c>
      <c r="B2111" s="68">
        <v>1031.0</v>
      </c>
      <c r="C2111" s="68">
        <v>6.0</v>
      </c>
      <c r="D2111" s="158" t="s">
        <v>3018</v>
      </c>
      <c r="E2111" s="70" t="s">
        <v>3019</v>
      </c>
      <c r="F2111" s="109" t="str">
        <f t="shared" ref="F2111:G2111" si="2110">TRANSLATE(D2111,"lzh","vi")</f>
        <v>#NAME?</v>
      </c>
      <c r="G2111" s="109" t="str">
        <f t="shared" si="2110"/>
        <v>#NAME?</v>
      </c>
      <c r="X2111" s="110"/>
    </row>
    <row r="2112" ht="21.0" customHeight="1">
      <c r="A2112" s="35">
        <v>10.0</v>
      </c>
      <c r="B2112" s="35">
        <v>1031.0</v>
      </c>
      <c r="C2112" s="35">
        <v>7.0</v>
      </c>
      <c r="D2112" s="126" t="s">
        <v>3020</v>
      </c>
      <c r="E2112" s="69" t="s">
        <v>3021</v>
      </c>
      <c r="F2112" s="109" t="str">
        <f t="shared" ref="F2112:G2112" si="2111">TRANSLATE(D2112,"lzh","vi")</f>
        <v>#NAME?</v>
      </c>
      <c r="G2112" s="109" t="str">
        <f t="shared" si="2111"/>
        <v>#NAME?</v>
      </c>
      <c r="X2112" s="110"/>
    </row>
    <row r="2113" ht="21.0" customHeight="1">
      <c r="A2113" s="68">
        <v>10.0</v>
      </c>
      <c r="B2113" s="68">
        <v>1031.0</v>
      </c>
      <c r="C2113" s="68">
        <v>8.0</v>
      </c>
      <c r="D2113" s="158" t="s">
        <v>3022</v>
      </c>
      <c r="E2113" s="70" t="s">
        <v>3023</v>
      </c>
      <c r="F2113" s="109" t="str">
        <f t="shared" ref="F2113:G2113" si="2112">TRANSLATE(D2113,"lzh","vi")</f>
        <v>#NAME?</v>
      </c>
      <c r="G2113" s="109" t="str">
        <f t="shared" si="2112"/>
        <v>#NAME?</v>
      </c>
      <c r="X2113" s="110"/>
    </row>
    <row r="2114" ht="21.0" customHeight="1">
      <c r="A2114" s="35">
        <v>10.0</v>
      </c>
      <c r="B2114" s="35">
        <v>1031.0</v>
      </c>
      <c r="C2114" s="35">
        <v>9.0</v>
      </c>
      <c r="D2114" s="126" t="s">
        <v>3024</v>
      </c>
      <c r="E2114" s="69" t="s">
        <v>3025</v>
      </c>
      <c r="F2114" s="109" t="str">
        <f t="shared" ref="F2114:G2114" si="2113">TRANSLATE(D2114,"lzh","vi")</f>
        <v>#NAME?</v>
      </c>
      <c r="G2114" s="109" t="str">
        <f t="shared" si="2113"/>
        <v>#NAME?</v>
      </c>
      <c r="X2114" s="110"/>
    </row>
    <row r="2115" ht="21.0" customHeight="1">
      <c r="A2115" s="68">
        <v>10.0</v>
      </c>
      <c r="B2115" s="68">
        <v>1031.0</v>
      </c>
      <c r="C2115" s="68">
        <v>10.0</v>
      </c>
      <c r="D2115" s="158" t="s">
        <v>3026</v>
      </c>
      <c r="E2115" s="70" t="s">
        <v>3007</v>
      </c>
      <c r="F2115" s="109" t="str">
        <f t="shared" ref="F2115:G2115" si="2114">TRANSLATE(D2115,"lzh","vi")</f>
        <v>#NAME?</v>
      </c>
      <c r="G2115" s="109" t="str">
        <f t="shared" si="2114"/>
        <v>#NAME?</v>
      </c>
      <c r="X2115" s="110"/>
    </row>
    <row r="2116" ht="21.0" customHeight="1">
      <c r="A2116" s="35">
        <v>1.0</v>
      </c>
      <c r="B2116" s="35">
        <v>169.0</v>
      </c>
      <c r="C2116" s="35">
        <v>1.0</v>
      </c>
      <c r="D2116" s="126" t="s">
        <v>3027</v>
      </c>
      <c r="E2116" s="69" t="s">
        <v>3028</v>
      </c>
      <c r="F2116" s="109" t="str">
        <f t="shared" ref="F2116:G2116" si="2115">TRANSLATE(D2116,"lzh","vi")</f>
        <v>#NAME?</v>
      </c>
      <c r="G2116" s="109" t="str">
        <f t="shared" si="2115"/>
        <v>#NAME?</v>
      </c>
      <c r="X2116" s="110"/>
    </row>
    <row r="2117" ht="21.0" customHeight="1">
      <c r="A2117" s="68">
        <v>1.0</v>
      </c>
      <c r="B2117" s="68">
        <v>169.0</v>
      </c>
      <c r="C2117" s="68">
        <v>2.0</v>
      </c>
      <c r="D2117" s="158" t="s">
        <v>3029</v>
      </c>
      <c r="E2117" s="70" t="s">
        <v>3030</v>
      </c>
      <c r="F2117" s="109" t="str">
        <f t="shared" ref="F2117:G2117" si="2116">TRANSLATE(D2117,"lzh","vi")</f>
        <v>#NAME?</v>
      </c>
      <c r="G2117" s="109" t="str">
        <f t="shared" si="2116"/>
        <v>#NAME?</v>
      </c>
      <c r="X2117" s="110"/>
    </row>
    <row r="2118" ht="21.0" customHeight="1">
      <c r="A2118" s="35">
        <v>1.0</v>
      </c>
      <c r="B2118" s="35">
        <v>169.0</v>
      </c>
      <c r="C2118" s="35">
        <v>3.0</v>
      </c>
      <c r="D2118" s="126" t="s">
        <v>3031</v>
      </c>
      <c r="E2118" s="69" t="s">
        <v>3032</v>
      </c>
      <c r="F2118" s="109" t="str">
        <f t="shared" ref="F2118:G2118" si="2117">TRANSLATE(D2118,"lzh","vi")</f>
        <v>#NAME?</v>
      </c>
      <c r="G2118" s="109" t="str">
        <f t="shared" si="2117"/>
        <v>#NAME?</v>
      </c>
      <c r="X2118" s="110"/>
    </row>
    <row r="2119" ht="21.0" customHeight="1">
      <c r="A2119" s="68">
        <v>1.0</v>
      </c>
      <c r="B2119" s="68">
        <v>169.0</v>
      </c>
      <c r="C2119" s="68">
        <v>4.0</v>
      </c>
      <c r="D2119" s="158" t="s">
        <v>3033</v>
      </c>
      <c r="E2119" s="70" t="s">
        <v>3034</v>
      </c>
      <c r="F2119" s="109" t="str">
        <f t="shared" ref="F2119:G2119" si="2118">TRANSLATE(D2119,"lzh","vi")</f>
        <v>#NAME?</v>
      </c>
      <c r="G2119" s="109" t="str">
        <f t="shared" si="2118"/>
        <v>#NAME?</v>
      </c>
      <c r="X2119" s="110"/>
    </row>
    <row r="2120" ht="21.0" customHeight="1">
      <c r="A2120" s="35">
        <v>1.0</v>
      </c>
      <c r="B2120" s="35">
        <v>169.0</v>
      </c>
      <c r="C2120" s="35">
        <v>5.0</v>
      </c>
      <c r="D2120" s="126" t="s">
        <v>3035</v>
      </c>
      <c r="E2120" s="69" t="s">
        <v>3036</v>
      </c>
      <c r="F2120" s="109" t="str">
        <f t="shared" ref="F2120:G2120" si="2119">TRANSLATE(D2120,"lzh","vi")</f>
        <v>#NAME?</v>
      </c>
      <c r="G2120" s="109" t="str">
        <f t="shared" si="2119"/>
        <v>#NAME?</v>
      </c>
      <c r="X2120" s="110"/>
    </row>
    <row r="2121" ht="21.0" customHeight="1">
      <c r="A2121" s="68">
        <v>1.0</v>
      </c>
      <c r="B2121" s="68">
        <v>169.0</v>
      </c>
      <c r="C2121" s="68">
        <v>6.0</v>
      </c>
      <c r="D2121" s="158" t="s">
        <v>3037</v>
      </c>
      <c r="E2121" s="70" t="s">
        <v>3038</v>
      </c>
      <c r="F2121" s="109" t="str">
        <f t="shared" ref="F2121:G2121" si="2120">TRANSLATE(D2121,"lzh","vi")</f>
        <v>#NAME?</v>
      </c>
      <c r="G2121" s="109" t="str">
        <f t="shared" si="2120"/>
        <v>#NAME?</v>
      </c>
      <c r="X2121" s="110"/>
    </row>
    <row r="2122" ht="21.0" customHeight="1">
      <c r="A2122" s="35">
        <v>1.0</v>
      </c>
      <c r="B2122" s="35">
        <v>169.0</v>
      </c>
      <c r="C2122" s="35">
        <v>7.0</v>
      </c>
      <c r="D2122" s="126" t="s">
        <v>3039</v>
      </c>
      <c r="E2122" s="69" t="s">
        <v>3040</v>
      </c>
      <c r="F2122" s="109" t="str">
        <f t="shared" ref="F2122:G2122" si="2121">TRANSLATE(D2122,"lzh","vi")</f>
        <v>#NAME?</v>
      </c>
      <c r="G2122" s="109" t="str">
        <f t="shared" si="2121"/>
        <v>#NAME?</v>
      </c>
      <c r="X2122" s="110"/>
    </row>
    <row r="2123" ht="21.0" customHeight="1">
      <c r="A2123" s="68">
        <v>1.0</v>
      </c>
      <c r="B2123" s="68">
        <v>169.0</v>
      </c>
      <c r="C2123" s="68">
        <v>8.0</v>
      </c>
      <c r="D2123" s="159" t="s">
        <v>3041</v>
      </c>
      <c r="E2123" s="70" t="s">
        <v>3042</v>
      </c>
      <c r="F2123" s="109" t="str">
        <f t="shared" ref="F2123:G2123" si="2122">TRANSLATE(D2123,"lzh","vi")</f>
        <v>#NAME?</v>
      </c>
      <c r="G2123" s="109" t="str">
        <f t="shared" si="2122"/>
        <v>#NAME?</v>
      </c>
      <c r="X2123" s="110"/>
    </row>
    <row r="2124" ht="21.0" customHeight="1">
      <c r="A2124" s="35">
        <v>1.0</v>
      </c>
      <c r="B2124" s="35">
        <v>169.0</v>
      </c>
      <c r="C2124" s="35">
        <v>9.0</v>
      </c>
      <c r="D2124" s="126" t="s">
        <v>3043</v>
      </c>
      <c r="E2124" s="69" t="s">
        <v>3044</v>
      </c>
      <c r="F2124" s="109" t="str">
        <f t="shared" ref="F2124:G2124" si="2123">TRANSLATE(D2124,"lzh","vi")</f>
        <v>#NAME?</v>
      </c>
      <c r="G2124" s="109" t="str">
        <f t="shared" si="2123"/>
        <v>#NAME?</v>
      </c>
      <c r="X2124" s="110"/>
    </row>
    <row r="2125" ht="21.0" customHeight="1">
      <c r="A2125" s="68">
        <v>1.0</v>
      </c>
      <c r="B2125" s="68">
        <v>169.0</v>
      </c>
      <c r="C2125" s="68">
        <v>10.0</v>
      </c>
      <c r="D2125" s="158" t="s">
        <v>3045</v>
      </c>
      <c r="E2125" s="70" t="s">
        <v>3046</v>
      </c>
      <c r="F2125" s="109" t="str">
        <f t="shared" ref="F2125:G2125" si="2124">TRANSLATE(D2125,"lzh","vi")</f>
        <v>#NAME?</v>
      </c>
      <c r="G2125" s="109" t="str">
        <f t="shared" si="2124"/>
        <v>#NAME?</v>
      </c>
      <c r="X2125" s="110"/>
    </row>
    <row r="2126" ht="21.0" customHeight="1">
      <c r="A2126" s="35">
        <v>1.0</v>
      </c>
      <c r="B2126" s="35">
        <v>169.0</v>
      </c>
      <c r="C2126" s="35">
        <v>11.0</v>
      </c>
      <c r="D2126" s="126" t="s">
        <v>3047</v>
      </c>
      <c r="E2126" s="69" t="s">
        <v>3048</v>
      </c>
      <c r="F2126" s="109" t="str">
        <f t="shared" ref="F2126:G2126" si="2125">TRANSLATE(D2126,"lzh","vi")</f>
        <v>#NAME?</v>
      </c>
      <c r="G2126" s="109" t="str">
        <f t="shared" si="2125"/>
        <v>#NAME?</v>
      </c>
      <c r="X2126" s="110"/>
    </row>
    <row r="2127" ht="21.0" customHeight="1">
      <c r="A2127" s="68">
        <v>1.0</v>
      </c>
      <c r="B2127" s="68">
        <v>169.0</v>
      </c>
      <c r="C2127" s="68">
        <v>12.0</v>
      </c>
      <c r="D2127" s="158" t="s">
        <v>3049</v>
      </c>
      <c r="E2127" s="70" t="s">
        <v>3050</v>
      </c>
      <c r="F2127" s="109" t="str">
        <f t="shared" ref="F2127:G2127" si="2126">TRANSLATE(D2127,"lzh","vi")</f>
        <v>#NAME?</v>
      </c>
      <c r="G2127" s="109" t="str">
        <f t="shared" si="2126"/>
        <v>#NAME?</v>
      </c>
      <c r="X2127" s="110"/>
    </row>
    <row r="2128" ht="21.0" customHeight="1">
      <c r="A2128" s="35">
        <v>1.0</v>
      </c>
      <c r="B2128" s="35">
        <v>169.0</v>
      </c>
      <c r="C2128" s="35">
        <v>13.0</v>
      </c>
      <c r="D2128" s="126" t="s">
        <v>3051</v>
      </c>
      <c r="E2128" s="69" t="s">
        <v>3052</v>
      </c>
      <c r="F2128" s="109" t="str">
        <f t="shared" ref="F2128:G2128" si="2127">TRANSLATE(D2128,"lzh","vi")</f>
        <v>#NAME?</v>
      </c>
      <c r="G2128" s="109" t="str">
        <f t="shared" si="2127"/>
        <v>#NAME?</v>
      </c>
      <c r="X2128" s="110"/>
    </row>
    <row r="2129" ht="21.0" customHeight="1">
      <c r="A2129" s="68">
        <v>1.0</v>
      </c>
      <c r="B2129" s="68">
        <v>170.0</v>
      </c>
      <c r="C2129" s="68">
        <v>1.0</v>
      </c>
      <c r="D2129" s="158" t="s">
        <v>3053</v>
      </c>
      <c r="E2129" s="70" t="s">
        <v>3054</v>
      </c>
      <c r="F2129" s="109" t="str">
        <f t="shared" ref="F2129:G2129" si="2128">TRANSLATE(D2129,"lzh","vi")</f>
        <v>#NAME?</v>
      </c>
      <c r="G2129" s="109" t="str">
        <f t="shared" si="2128"/>
        <v>#NAME?</v>
      </c>
      <c r="X2129" s="110"/>
    </row>
    <row r="2130" ht="21.0" customHeight="1">
      <c r="A2130" s="35">
        <v>1.0</v>
      </c>
      <c r="B2130" s="35">
        <v>170.0</v>
      </c>
      <c r="C2130" s="35">
        <v>2.0</v>
      </c>
      <c r="D2130" s="126" t="s">
        <v>3055</v>
      </c>
      <c r="E2130" s="69" t="s">
        <v>3056</v>
      </c>
      <c r="F2130" s="109" t="str">
        <f t="shared" ref="F2130:G2130" si="2129">TRANSLATE(D2130,"lzh","vi")</f>
        <v>#NAME?</v>
      </c>
      <c r="G2130" s="109" t="str">
        <f t="shared" si="2129"/>
        <v>#NAME?</v>
      </c>
      <c r="X2130" s="110"/>
    </row>
    <row r="2131" ht="21.0" customHeight="1">
      <c r="A2131" s="68">
        <v>1.0</v>
      </c>
      <c r="B2131" s="68">
        <v>170.0</v>
      </c>
      <c r="C2131" s="68">
        <v>3.0</v>
      </c>
      <c r="D2131" s="158" t="s">
        <v>3057</v>
      </c>
      <c r="E2131" s="70" t="s">
        <v>3058</v>
      </c>
      <c r="F2131" s="109" t="str">
        <f t="shared" ref="F2131:G2131" si="2130">TRANSLATE(D2131,"lzh","vi")</f>
        <v>#NAME?</v>
      </c>
      <c r="G2131" s="109" t="str">
        <f t="shared" si="2130"/>
        <v>#NAME?</v>
      </c>
      <c r="X2131" s="110"/>
    </row>
    <row r="2132" ht="21.0" customHeight="1">
      <c r="A2132" s="35">
        <v>1.0</v>
      </c>
      <c r="B2132" s="35">
        <v>170.0</v>
      </c>
      <c r="C2132" s="35">
        <v>4.0</v>
      </c>
      <c r="D2132" s="126" t="s">
        <v>3059</v>
      </c>
      <c r="E2132" s="69" t="s">
        <v>3060</v>
      </c>
      <c r="F2132" s="109" t="str">
        <f t="shared" ref="F2132:G2132" si="2131">TRANSLATE(D2132,"lzh","vi")</f>
        <v>#NAME?</v>
      </c>
      <c r="G2132" s="109" t="str">
        <f t="shared" si="2131"/>
        <v>#NAME?</v>
      </c>
      <c r="X2132" s="110"/>
    </row>
    <row r="2133" ht="21.0" customHeight="1">
      <c r="A2133" s="68">
        <v>1.0</v>
      </c>
      <c r="B2133" s="68">
        <v>170.0</v>
      </c>
      <c r="C2133" s="68">
        <v>5.0</v>
      </c>
      <c r="D2133" s="159" t="s">
        <v>3061</v>
      </c>
      <c r="E2133" s="70" t="s">
        <v>3062</v>
      </c>
      <c r="F2133" s="109" t="str">
        <f t="shared" ref="F2133:G2133" si="2132">TRANSLATE(D2133,"lzh","vi")</f>
        <v>#NAME?</v>
      </c>
      <c r="G2133" s="109" t="str">
        <f t="shared" si="2132"/>
        <v>#NAME?</v>
      </c>
      <c r="X2133" s="110"/>
    </row>
    <row r="2134" ht="21.0" customHeight="1">
      <c r="A2134" s="35">
        <v>1.0</v>
      </c>
      <c r="B2134" s="35">
        <v>170.0</v>
      </c>
      <c r="C2134" s="35">
        <v>6.0</v>
      </c>
      <c r="D2134" s="126" t="s">
        <v>3063</v>
      </c>
      <c r="E2134" s="69" t="s">
        <v>3064</v>
      </c>
      <c r="F2134" s="109" t="str">
        <f t="shared" ref="F2134:G2134" si="2133">TRANSLATE(D2134,"lzh","vi")</f>
        <v>#NAME?</v>
      </c>
      <c r="G2134" s="109" t="str">
        <f t="shared" si="2133"/>
        <v>#NAME?</v>
      </c>
      <c r="X2134" s="110"/>
    </row>
    <row r="2135" ht="21.0" customHeight="1">
      <c r="A2135" s="68">
        <v>1.0</v>
      </c>
      <c r="B2135" s="68">
        <v>170.0</v>
      </c>
      <c r="C2135" s="68">
        <v>7.0</v>
      </c>
      <c r="D2135" s="158" t="s">
        <v>3065</v>
      </c>
      <c r="E2135" s="70" t="s">
        <v>3066</v>
      </c>
      <c r="F2135" s="109" t="str">
        <f t="shared" ref="F2135:G2135" si="2134">TRANSLATE(D2135,"lzh","vi")</f>
        <v>#NAME?</v>
      </c>
      <c r="G2135" s="109" t="str">
        <f t="shared" si="2134"/>
        <v>#NAME?</v>
      </c>
      <c r="X2135" s="110"/>
    </row>
    <row r="2136" ht="21.0" customHeight="1">
      <c r="A2136" s="35">
        <v>1.0</v>
      </c>
      <c r="B2136" s="35">
        <v>170.0</v>
      </c>
      <c r="C2136" s="35">
        <v>8.0</v>
      </c>
      <c r="D2136" s="126" t="s">
        <v>3067</v>
      </c>
      <c r="E2136" s="69" t="s">
        <v>3068</v>
      </c>
      <c r="F2136" s="109" t="str">
        <f t="shared" ref="F2136:G2136" si="2135">TRANSLATE(D2136,"lzh","vi")</f>
        <v>#NAME?</v>
      </c>
      <c r="G2136" s="109" t="str">
        <f t="shared" si="2135"/>
        <v>#NAME?</v>
      </c>
      <c r="X2136" s="110"/>
    </row>
    <row r="2137" ht="21.0" customHeight="1">
      <c r="A2137" s="68">
        <v>1.0</v>
      </c>
      <c r="B2137" s="68">
        <v>170.0</v>
      </c>
      <c r="C2137" s="68">
        <v>9.0</v>
      </c>
      <c r="D2137" s="158" t="s">
        <v>3069</v>
      </c>
      <c r="E2137" s="70" t="s">
        <v>3070</v>
      </c>
      <c r="F2137" s="109" t="str">
        <f t="shared" ref="F2137:G2137" si="2136">TRANSLATE(D2137,"lzh","vi")</f>
        <v>#NAME?</v>
      </c>
      <c r="G2137" s="109" t="str">
        <f t="shared" si="2136"/>
        <v>#NAME?</v>
      </c>
      <c r="X2137" s="110"/>
    </row>
    <row r="2138" ht="21.0" customHeight="1">
      <c r="A2138" s="35">
        <v>1.0</v>
      </c>
      <c r="B2138" s="35">
        <v>170.0</v>
      </c>
      <c r="C2138" s="35">
        <v>10.0</v>
      </c>
      <c r="D2138" s="126" t="s">
        <v>3071</v>
      </c>
      <c r="E2138" s="69" t="s">
        <v>3072</v>
      </c>
      <c r="F2138" s="109" t="str">
        <f t="shared" ref="F2138:G2138" si="2137">TRANSLATE(D2138,"lzh","vi")</f>
        <v>#NAME?</v>
      </c>
      <c r="G2138" s="109" t="str">
        <f t="shared" si="2137"/>
        <v>#NAME?</v>
      </c>
      <c r="X2138" s="110"/>
    </row>
    <row r="2139" ht="21.0" customHeight="1">
      <c r="A2139" s="68">
        <v>1.0</v>
      </c>
      <c r="B2139" s="68">
        <v>170.0</v>
      </c>
      <c r="C2139" s="68">
        <v>11.0</v>
      </c>
      <c r="D2139" s="158" t="s">
        <v>3073</v>
      </c>
      <c r="E2139" s="70" t="s">
        <v>3074</v>
      </c>
      <c r="F2139" s="109" t="str">
        <f t="shared" ref="F2139:G2139" si="2138">TRANSLATE(D2139,"lzh","vi")</f>
        <v>#NAME?</v>
      </c>
      <c r="G2139" s="109" t="str">
        <f t="shared" si="2138"/>
        <v>#NAME?</v>
      </c>
      <c r="X2139" s="110"/>
    </row>
    <row r="2140" ht="21.0" customHeight="1">
      <c r="A2140" s="35">
        <v>1.0</v>
      </c>
      <c r="B2140" s="35">
        <v>170.0</v>
      </c>
      <c r="C2140" s="35">
        <v>12.0</v>
      </c>
      <c r="D2140" s="126" t="s">
        <v>3075</v>
      </c>
      <c r="E2140" s="69" t="s">
        <v>3076</v>
      </c>
      <c r="F2140" s="109" t="str">
        <f t="shared" ref="F2140:G2140" si="2139">TRANSLATE(D2140,"lzh","vi")</f>
        <v>#NAME?</v>
      </c>
      <c r="G2140" s="109" t="str">
        <f t="shared" si="2139"/>
        <v>#NAME?</v>
      </c>
      <c r="X2140" s="110"/>
    </row>
    <row r="2141" ht="21.0" customHeight="1">
      <c r="A2141" s="68">
        <v>1.0</v>
      </c>
      <c r="B2141" s="68">
        <v>170.0</v>
      </c>
      <c r="C2141" s="68">
        <v>13.0</v>
      </c>
      <c r="D2141" s="158" t="s">
        <v>3077</v>
      </c>
      <c r="E2141" s="70" t="s">
        <v>3078</v>
      </c>
      <c r="F2141" s="109" t="str">
        <f t="shared" ref="F2141:G2141" si="2140">TRANSLATE(D2141,"lzh","vi")</f>
        <v>#NAME?</v>
      </c>
      <c r="G2141" s="109" t="str">
        <f t="shared" si="2140"/>
        <v>#NAME?</v>
      </c>
      <c r="X2141" s="110"/>
    </row>
    <row r="2142" ht="21.0" customHeight="1">
      <c r="A2142" s="35">
        <v>1.0</v>
      </c>
      <c r="B2142" s="35">
        <v>171.0</v>
      </c>
      <c r="C2142" s="35">
        <v>1.0</v>
      </c>
      <c r="D2142" s="126" t="s">
        <v>3079</v>
      </c>
      <c r="E2142" s="69" t="s">
        <v>3080</v>
      </c>
      <c r="F2142" s="109" t="str">
        <f t="shared" ref="F2142:G2142" si="2141">TRANSLATE(D2142,"lzh","vi")</f>
        <v>#NAME?</v>
      </c>
      <c r="G2142" s="109" t="str">
        <f t="shared" si="2141"/>
        <v>#NAME?</v>
      </c>
      <c r="X2142" s="110"/>
    </row>
    <row r="2143" ht="21.0" customHeight="1">
      <c r="A2143" s="68">
        <v>1.0</v>
      </c>
      <c r="B2143" s="68">
        <v>171.0</v>
      </c>
      <c r="C2143" s="68">
        <v>2.0</v>
      </c>
      <c r="D2143" s="158" t="s">
        <v>3081</v>
      </c>
      <c r="E2143" s="70" t="s">
        <v>3082</v>
      </c>
      <c r="F2143" s="109" t="str">
        <f t="shared" ref="F2143:G2143" si="2142">TRANSLATE(D2143,"lzh","vi")</f>
        <v>#NAME?</v>
      </c>
      <c r="G2143" s="109" t="str">
        <f t="shared" si="2142"/>
        <v>#NAME?</v>
      </c>
      <c r="X2143" s="110"/>
    </row>
    <row r="2144" ht="21.0" customHeight="1">
      <c r="A2144" s="35">
        <v>1.0</v>
      </c>
      <c r="B2144" s="35">
        <v>171.0</v>
      </c>
      <c r="C2144" s="35">
        <v>3.0</v>
      </c>
      <c r="D2144" s="126" t="s">
        <v>3083</v>
      </c>
      <c r="E2144" s="69" t="s">
        <v>3084</v>
      </c>
      <c r="F2144" s="109" t="str">
        <f t="shared" ref="F2144:G2144" si="2143">TRANSLATE(D2144,"lzh","vi")</f>
        <v>#NAME?</v>
      </c>
      <c r="G2144" s="109" t="str">
        <f t="shared" si="2143"/>
        <v>#NAME?</v>
      </c>
      <c r="X2144" s="110"/>
    </row>
    <row r="2145" ht="21.0" customHeight="1">
      <c r="A2145" s="68">
        <v>1.0</v>
      </c>
      <c r="B2145" s="68">
        <v>171.0</v>
      </c>
      <c r="C2145" s="68">
        <v>4.0</v>
      </c>
      <c r="D2145" s="158" t="s">
        <v>3085</v>
      </c>
      <c r="E2145" s="70" t="s">
        <v>3086</v>
      </c>
      <c r="F2145" s="109" t="str">
        <f t="shared" ref="F2145:G2145" si="2144">TRANSLATE(D2145,"lzh","vi")</f>
        <v>#NAME?</v>
      </c>
      <c r="G2145" s="109" t="str">
        <f t="shared" si="2144"/>
        <v>#NAME?</v>
      </c>
      <c r="X2145" s="110"/>
    </row>
    <row r="2146" ht="21.0" customHeight="1">
      <c r="A2146" s="35">
        <v>1.0</v>
      </c>
      <c r="B2146" s="35">
        <v>171.0</v>
      </c>
      <c r="C2146" s="35">
        <v>5.0</v>
      </c>
      <c r="D2146" s="126" t="s">
        <v>3087</v>
      </c>
      <c r="E2146" s="69" t="s">
        <v>3088</v>
      </c>
      <c r="F2146" s="109" t="str">
        <f t="shared" ref="F2146:G2146" si="2145">TRANSLATE(D2146,"lzh","vi")</f>
        <v>#NAME?</v>
      </c>
      <c r="G2146" s="109" t="str">
        <f t="shared" si="2145"/>
        <v>#NAME?</v>
      </c>
      <c r="X2146" s="110"/>
    </row>
    <row r="2147" ht="21.0" customHeight="1">
      <c r="A2147" s="68">
        <v>1.0</v>
      </c>
      <c r="B2147" s="68">
        <v>171.0</v>
      </c>
      <c r="C2147" s="68">
        <v>6.0</v>
      </c>
      <c r="D2147" s="158" t="s">
        <v>3089</v>
      </c>
      <c r="E2147" s="70" t="s">
        <v>3090</v>
      </c>
      <c r="F2147" s="109" t="str">
        <f t="shared" ref="F2147:G2147" si="2146">TRANSLATE(D2147,"lzh","vi")</f>
        <v>#NAME?</v>
      </c>
      <c r="G2147" s="109" t="str">
        <f t="shared" si="2146"/>
        <v>#NAME?</v>
      </c>
      <c r="X2147" s="110"/>
    </row>
    <row r="2148" ht="21.0" customHeight="1">
      <c r="A2148" s="35">
        <v>1.0</v>
      </c>
      <c r="B2148" s="35">
        <v>171.0</v>
      </c>
      <c r="C2148" s="35">
        <v>7.0</v>
      </c>
      <c r="D2148" s="126" t="s">
        <v>3091</v>
      </c>
      <c r="E2148" s="69" t="s">
        <v>3092</v>
      </c>
      <c r="F2148" s="109" t="str">
        <f t="shared" ref="F2148:G2148" si="2147">TRANSLATE(D2148,"lzh","vi")</f>
        <v>#NAME?</v>
      </c>
      <c r="G2148" s="109" t="str">
        <f t="shared" si="2147"/>
        <v>#NAME?</v>
      </c>
      <c r="X2148" s="110"/>
    </row>
    <row r="2149" ht="21.0" customHeight="1">
      <c r="A2149" s="68">
        <v>1.0</v>
      </c>
      <c r="B2149" s="68">
        <v>171.0</v>
      </c>
      <c r="C2149" s="68">
        <v>8.0</v>
      </c>
      <c r="D2149" s="158" t="s">
        <v>3093</v>
      </c>
      <c r="E2149" s="70" t="s">
        <v>3094</v>
      </c>
      <c r="F2149" s="109" t="str">
        <f t="shared" ref="F2149:G2149" si="2148">TRANSLATE(D2149,"lzh","vi")</f>
        <v>#NAME?</v>
      </c>
      <c r="G2149" s="109" t="str">
        <f t="shared" si="2148"/>
        <v>#NAME?</v>
      </c>
      <c r="X2149" s="110"/>
    </row>
    <row r="2150" ht="21.0" customHeight="1">
      <c r="A2150" s="35">
        <v>1.0</v>
      </c>
      <c r="B2150" s="35">
        <v>171.0</v>
      </c>
      <c r="C2150" s="35">
        <v>9.0</v>
      </c>
      <c r="D2150" s="126" t="s">
        <v>3095</v>
      </c>
      <c r="E2150" s="69" t="s">
        <v>3096</v>
      </c>
      <c r="F2150" s="109" t="str">
        <f t="shared" ref="F2150:G2150" si="2149">TRANSLATE(D2150,"lzh","vi")</f>
        <v>#NAME?</v>
      </c>
      <c r="G2150" s="109" t="str">
        <f t="shared" si="2149"/>
        <v>#NAME?</v>
      </c>
      <c r="X2150" s="110"/>
    </row>
    <row r="2151" ht="21.0" customHeight="1">
      <c r="A2151" s="68">
        <v>1.0</v>
      </c>
      <c r="B2151" s="68">
        <v>171.0</v>
      </c>
      <c r="C2151" s="68">
        <v>10.0</v>
      </c>
      <c r="D2151" s="158" t="s">
        <v>3097</v>
      </c>
      <c r="E2151" s="70" t="s">
        <v>3098</v>
      </c>
      <c r="F2151" s="109" t="str">
        <f t="shared" ref="F2151:G2151" si="2150">TRANSLATE(D2151,"lzh","vi")</f>
        <v>#NAME?</v>
      </c>
      <c r="G2151" s="109" t="str">
        <f t="shared" si="2150"/>
        <v>#NAME?</v>
      </c>
      <c r="X2151" s="110"/>
    </row>
    <row r="2152" ht="21.0" customHeight="1">
      <c r="A2152" s="35">
        <v>1.0</v>
      </c>
      <c r="B2152" s="35">
        <v>171.0</v>
      </c>
      <c r="C2152" s="35">
        <v>11.0</v>
      </c>
      <c r="D2152" s="126" t="s">
        <v>3099</v>
      </c>
      <c r="E2152" s="69" t="s">
        <v>3100</v>
      </c>
      <c r="F2152" s="109" t="str">
        <f t="shared" ref="F2152:G2152" si="2151">TRANSLATE(D2152,"lzh","vi")</f>
        <v>#NAME?</v>
      </c>
      <c r="G2152" s="109" t="str">
        <f t="shared" si="2151"/>
        <v>#NAME?</v>
      </c>
      <c r="X2152" s="110"/>
    </row>
    <row r="2153" ht="21.0" customHeight="1">
      <c r="A2153" s="68">
        <v>1.0</v>
      </c>
      <c r="B2153" s="68">
        <v>171.0</v>
      </c>
      <c r="C2153" s="68">
        <v>12.0</v>
      </c>
      <c r="D2153" s="158" t="s">
        <v>3101</v>
      </c>
      <c r="E2153" s="70" t="s">
        <v>3102</v>
      </c>
      <c r="F2153" s="109" t="str">
        <f t="shared" ref="F2153:G2153" si="2152">TRANSLATE(D2153,"lzh","vi")</f>
        <v>#NAME?</v>
      </c>
      <c r="G2153" s="109" t="str">
        <f t="shared" si="2152"/>
        <v>#NAME?</v>
      </c>
      <c r="X2153" s="110"/>
    </row>
    <row r="2154" ht="21.0" customHeight="1">
      <c r="A2154" s="35">
        <v>1.0</v>
      </c>
      <c r="B2154" s="35">
        <v>171.0</v>
      </c>
      <c r="C2154" s="35">
        <v>13.0</v>
      </c>
      <c r="D2154" s="126" t="s">
        <v>3103</v>
      </c>
      <c r="E2154" s="69" t="s">
        <v>3104</v>
      </c>
      <c r="F2154" s="109" t="str">
        <f t="shared" ref="F2154:G2154" si="2153">TRANSLATE(D2154,"lzh","vi")</f>
        <v>#NAME?</v>
      </c>
      <c r="G2154" s="109" t="str">
        <f t="shared" si="2153"/>
        <v>#NAME?</v>
      </c>
      <c r="X2154" s="110"/>
    </row>
    <row r="2155" ht="21.0" customHeight="1">
      <c r="A2155" s="68">
        <v>11.0</v>
      </c>
      <c r="B2155" s="68">
        <v>1032.0</v>
      </c>
      <c r="C2155" s="68">
        <v>1.0</v>
      </c>
      <c r="D2155" s="158" t="s">
        <v>3105</v>
      </c>
      <c r="E2155" s="70" t="s">
        <v>3106</v>
      </c>
      <c r="F2155" s="109" t="str">
        <f t="shared" ref="F2155:G2155" si="2154">TRANSLATE(D2155,"lzh","vi")</f>
        <v>#NAME?</v>
      </c>
      <c r="G2155" s="109" t="str">
        <f t="shared" si="2154"/>
        <v>#NAME?</v>
      </c>
      <c r="X2155" s="110"/>
    </row>
    <row r="2156" ht="21.0" customHeight="1">
      <c r="A2156" s="35">
        <v>11.0</v>
      </c>
      <c r="B2156" s="35">
        <v>1032.0</v>
      </c>
      <c r="C2156" s="35">
        <v>2.0</v>
      </c>
      <c r="D2156" s="126" t="s">
        <v>3107</v>
      </c>
      <c r="E2156" s="69" t="s">
        <v>3108</v>
      </c>
      <c r="F2156" s="109" t="str">
        <f t="shared" ref="F2156:G2156" si="2155">TRANSLATE(D2156,"lzh","vi")</f>
        <v>#NAME?</v>
      </c>
      <c r="G2156" s="109" t="str">
        <f t="shared" si="2155"/>
        <v>#NAME?</v>
      </c>
      <c r="X2156" s="110"/>
    </row>
    <row r="2157" ht="21.0" customHeight="1">
      <c r="A2157" s="68">
        <v>11.0</v>
      </c>
      <c r="B2157" s="68">
        <v>1032.0</v>
      </c>
      <c r="C2157" s="68">
        <v>3.0</v>
      </c>
      <c r="D2157" s="158" t="s">
        <v>3109</v>
      </c>
      <c r="E2157" s="70" t="s">
        <v>3110</v>
      </c>
      <c r="F2157" s="109" t="str">
        <f t="shared" ref="F2157:G2157" si="2156">TRANSLATE(D2157,"lzh","vi")</f>
        <v>#NAME?</v>
      </c>
      <c r="G2157" s="109" t="str">
        <f t="shared" si="2156"/>
        <v>#NAME?</v>
      </c>
      <c r="X2157" s="110"/>
    </row>
    <row r="2158" ht="21.0" customHeight="1">
      <c r="A2158" s="35">
        <v>11.0</v>
      </c>
      <c r="B2158" s="35">
        <v>1032.0</v>
      </c>
      <c r="C2158" s="35">
        <v>4.0</v>
      </c>
      <c r="D2158" s="126" t="s">
        <v>3111</v>
      </c>
      <c r="E2158" s="69" t="s">
        <v>3112</v>
      </c>
      <c r="F2158" s="109" t="str">
        <f t="shared" ref="F2158:G2158" si="2157">TRANSLATE(D2158,"lzh","vi")</f>
        <v>#NAME?</v>
      </c>
      <c r="G2158" s="109" t="str">
        <f t="shared" si="2157"/>
        <v>#NAME?</v>
      </c>
      <c r="X2158" s="110"/>
    </row>
    <row r="2159" ht="21.0" customHeight="1">
      <c r="A2159" s="68">
        <v>10.0</v>
      </c>
      <c r="B2159" s="68">
        <v>1032.0</v>
      </c>
      <c r="C2159" s="68">
        <v>5.0</v>
      </c>
      <c r="D2159" s="158" t="s">
        <v>3113</v>
      </c>
      <c r="E2159" s="70" t="s">
        <v>3114</v>
      </c>
      <c r="F2159" s="109" t="str">
        <f t="shared" ref="F2159:G2159" si="2158">TRANSLATE(D2159,"lzh","vi")</f>
        <v>#NAME?</v>
      </c>
      <c r="G2159" s="109" t="str">
        <f t="shared" si="2158"/>
        <v>#NAME?</v>
      </c>
      <c r="X2159" s="110"/>
    </row>
    <row r="2160" ht="21.0" customHeight="1">
      <c r="A2160" s="35">
        <v>10.0</v>
      </c>
      <c r="B2160" s="35">
        <v>1032.0</v>
      </c>
      <c r="C2160" s="35">
        <v>6.0</v>
      </c>
      <c r="D2160" s="126" t="s">
        <v>3115</v>
      </c>
      <c r="E2160" s="69" t="s">
        <v>3116</v>
      </c>
      <c r="F2160" s="109" t="str">
        <f t="shared" ref="F2160:G2160" si="2159">TRANSLATE(D2160,"lzh","vi")</f>
        <v>#NAME?</v>
      </c>
      <c r="G2160" s="109" t="str">
        <f t="shared" si="2159"/>
        <v>#NAME?</v>
      </c>
      <c r="X2160" s="110"/>
    </row>
    <row r="2161" ht="21.0" customHeight="1">
      <c r="A2161" s="68">
        <v>10.0</v>
      </c>
      <c r="B2161" s="68">
        <v>1032.0</v>
      </c>
      <c r="C2161" s="68">
        <v>7.0</v>
      </c>
      <c r="D2161" s="158" t="s">
        <v>3117</v>
      </c>
      <c r="E2161" s="70" t="s">
        <v>3118</v>
      </c>
      <c r="F2161" s="109" t="str">
        <f t="shared" ref="F2161:G2161" si="2160">TRANSLATE(D2161,"lzh","vi")</f>
        <v>#NAME?</v>
      </c>
      <c r="G2161" s="109" t="str">
        <f t="shared" si="2160"/>
        <v>#NAME?</v>
      </c>
      <c r="X2161" s="110"/>
    </row>
    <row r="2162" ht="21.0" customHeight="1">
      <c r="A2162" s="35">
        <v>10.0</v>
      </c>
      <c r="B2162" s="35">
        <v>1032.0</v>
      </c>
      <c r="C2162" s="35">
        <v>8.0</v>
      </c>
      <c r="D2162" s="126" t="s">
        <v>3119</v>
      </c>
      <c r="E2162" s="69" t="s">
        <v>3120</v>
      </c>
      <c r="F2162" s="109" t="str">
        <f t="shared" ref="F2162:G2162" si="2161">TRANSLATE(D2162,"lzh","vi")</f>
        <v>#NAME?</v>
      </c>
      <c r="G2162" s="109" t="str">
        <f t="shared" si="2161"/>
        <v>#NAME?</v>
      </c>
      <c r="X2162" s="110"/>
    </row>
    <row r="2163" ht="21.0" customHeight="1">
      <c r="A2163" s="68">
        <v>10.0</v>
      </c>
      <c r="B2163" s="68">
        <v>1032.0</v>
      </c>
      <c r="C2163" s="68">
        <v>9.0</v>
      </c>
      <c r="D2163" s="158" t="s">
        <v>3121</v>
      </c>
      <c r="E2163" s="70" t="s">
        <v>3122</v>
      </c>
      <c r="F2163" s="109" t="str">
        <f t="shared" ref="F2163:G2163" si="2162">TRANSLATE(D2163,"lzh","vi")</f>
        <v>#NAME?</v>
      </c>
      <c r="G2163" s="109" t="str">
        <f t="shared" si="2162"/>
        <v>#NAME?</v>
      </c>
      <c r="X2163" s="110"/>
    </row>
    <row r="2164" ht="21.0" customHeight="1">
      <c r="A2164" s="35">
        <v>10.0</v>
      </c>
      <c r="B2164" s="35">
        <v>1032.0</v>
      </c>
      <c r="C2164" s="35">
        <v>10.0</v>
      </c>
      <c r="D2164" s="126" t="s">
        <v>3123</v>
      </c>
      <c r="E2164" s="69" t="s">
        <v>3124</v>
      </c>
      <c r="F2164" s="109" t="str">
        <f t="shared" ref="F2164:G2164" si="2163">TRANSLATE(D2164,"lzh","vi")</f>
        <v>#NAME?</v>
      </c>
      <c r="G2164" s="109" t="str">
        <f t="shared" si="2163"/>
        <v>#NAME?</v>
      </c>
      <c r="X2164" s="110"/>
    </row>
    <row r="2165" ht="21.0" customHeight="1">
      <c r="A2165" s="68">
        <v>11.0</v>
      </c>
      <c r="B2165" s="68">
        <v>1033.0</v>
      </c>
      <c r="C2165" s="68">
        <v>1.0</v>
      </c>
      <c r="D2165" s="158" t="s">
        <v>3125</v>
      </c>
      <c r="E2165" s="70" t="s">
        <v>3126</v>
      </c>
      <c r="F2165" s="109" t="str">
        <f t="shared" ref="F2165:G2165" si="2164">TRANSLATE(D2165,"lzh","vi")</f>
        <v>#NAME?</v>
      </c>
      <c r="G2165" s="109" t="str">
        <f t="shared" si="2164"/>
        <v>#NAME?</v>
      </c>
      <c r="X2165" s="110"/>
    </row>
    <row r="2166" ht="21.0" customHeight="1">
      <c r="A2166" s="35">
        <v>11.0</v>
      </c>
      <c r="B2166" s="35">
        <v>1033.0</v>
      </c>
      <c r="C2166" s="35">
        <v>2.0</v>
      </c>
      <c r="D2166" s="126" t="s">
        <v>3127</v>
      </c>
      <c r="E2166" s="69" t="s">
        <v>3128</v>
      </c>
      <c r="F2166" s="109" t="str">
        <f t="shared" ref="F2166:G2166" si="2165">TRANSLATE(D2166,"lzh","vi")</f>
        <v>#NAME?</v>
      </c>
      <c r="G2166" s="109" t="str">
        <f t="shared" si="2165"/>
        <v>#NAME?</v>
      </c>
      <c r="X2166" s="110"/>
    </row>
    <row r="2167" ht="21.0" customHeight="1">
      <c r="A2167" s="68">
        <v>11.0</v>
      </c>
      <c r="B2167" s="68">
        <v>1033.0</v>
      </c>
      <c r="C2167" s="68">
        <v>3.0</v>
      </c>
      <c r="D2167" s="158" t="s">
        <v>3129</v>
      </c>
      <c r="E2167" s="70" t="s">
        <v>3130</v>
      </c>
      <c r="F2167" s="109" t="str">
        <f t="shared" ref="F2167:G2167" si="2166">TRANSLATE(D2167,"lzh","vi")</f>
        <v>#NAME?</v>
      </c>
      <c r="G2167" s="109" t="str">
        <f t="shared" si="2166"/>
        <v>#NAME?</v>
      </c>
      <c r="X2167" s="110"/>
    </row>
    <row r="2168" ht="21.0" customHeight="1">
      <c r="A2168" s="35">
        <v>11.0</v>
      </c>
      <c r="B2168" s="35">
        <v>1033.0</v>
      </c>
      <c r="C2168" s="35">
        <v>4.0</v>
      </c>
      <c r="D2168" s="126" t="s">
        <v>3131</v>
      </c>
      <c r="E2168" s="69" t="s">
        <v>3132</v>
      </c>
      <c r="F2168" s="109" t="str">
        <f t="shared" ref="F2168:G2168" si="2167">TRANSLATE(D2168,"lzh","vi")</f>
        <v>#NAME?</v>
      </c>
      <c r="G2168" s="109" t="str">
        <f t="shared" si="2167"/>
        <v>#NAME?</v>
      </c>
      <c r="X2168" s="110"/>
    </row>
    <row r="2169" ht="21.0" customHeight="1">
      <c r="A2169" s="68">
        <v>10.0</v>
      </c>
      <c r="B2169" s="68">
        <v>1033.0</v>
      </c>
      <c r="C2169" s="68">
        <v>5.0</v>
      </c>
      <c r="D2169" s="158" t="s">
        <v>3133</v>
      </c>
      <c r="E2169" s="70" t="s">
        <v>3134</v>
      </c>
      <c r="F2169" s="109" t="str">
        <f t="shared" ref="F2169:G2169" si="2168">TRANSLATE(D2169,"lzh","vi")</f>
        <v>#NAME?</v>
      </c>
      <c r="G2169" s="109" t="str">
        <f t="shared" si="2168"/>
        <v>#NAME?</v>
      </c>
      <c r="X2169" s="110"/>
    </row>
    <row r="2170" ht="21.0" customHeight="1">
      <c r="A2170" s="35">
        <v>10.0</v>
      </c>
      <c r="B2170" s="35">
        <v>1033.0</v>
      </c>
      <c r="C2170" s="35">
        <v>6.0</v>
      </c>
      <c r="D2170" s="126" t="s">
        <v>3135</v>
      </c>
      <c r="E2170" s="69" t="s">
        <v>3136</v>
      </c>
      <c r="F2170" s="109" t="str">
        <f t="shared" ref="F2170:G2170" si="2169">TRANSLATE(D2170,"lzh","vi")</f>
        <v>#NAME?</v>
      </c>
      <c r="G2170" s="109" t="str">
        <f t="shared" si="2169"/>
        <v>#NAME?</v>
      </c>
      <c r="X2170" s="110"/>
    </row>
    <row r="2171" ht="21.0" customHeight="1">
      <c r="A2171" s="68">
        <v>10.0</v>
      </c>
      <c r="B2171" s="68">
        <v>1033.0</v>
      </c>
      <c r="C2171" s="68">
        <v>7.0</v>
      </c>
      <c r="D2171" s="158" t="s">
        <v>3137</v>
      </c>
      <c r="E2171" s="70" t="s">
        <v>3138</v>
      </c>
      <c r="F2171" s="109" t="str">
        <f t="shared" ref="F2171:G2171" si="2170">TRANSLATE(D2171,"lzh","vi")</f>
        <v>#NAME?</v>
      </c>
      <c r="G2171" s="109" t="str">
        <f t="shared" si="2170"/>
        <v>#NAME?</v>
      </c>
      <c r="X2171" s="110"/>
    </row>
    <row r="2172" ht="21.0" customHeight="1">
      <c r="A2172" s="35">
        <v>10.0</v>
      </c>
      <c r="B2172" s="35">
        <v>1033.0</v>
      </c>
      <c r="C2172" s="35">
        <v>8.0</v>
      </c>
      <c r="D2172" s="126" t="s">
        <v>3139</v>
      </c>
      <c r="E2172" s="69" t="s">
        <v>3140</v>
      </c>
      <c r="F2172" s="109" t="str">
        <f t="shared" ref="F2172:G2172" si="2171">TRANSLATE(D2172,"lzh","vi")</f>
        <v>#NAME?</v>
      </c>
      <c r="G2172" s="109" t="str">
        <f t="shared" si="2171"/>
        <v>#NAME?</v>
      </c>
      <c r="X2172" s="110"/>
    </row>
    <row r="2173" ht="21.0" customHeight="1">
      <c r="A2173" s="68">
        <v>10.0</v>
      </c>
      <c r="B2173" s="68">
        <v>1033.0</v>
      </c>
      <c r="C2173" s="68">
        <v>9.0</v>
      </c>
      <c r="D2173" s="158" t="s">
        <v>3141</v>
      </c>
      <c r="E2173" s="70" t="s">
        <v>3142</v>
      </c>
      <c r="F2173" s="109" t="str">
        <f t="shared" ref="F2173:G2173" si="2172">TRANSLATE(D2173,"lzh","vi")</f>
        <v>#NAME?</v>
      </c>
      <c r="G2173" s="109" t="str">
        <f t="shared" si="2172"/>
        <v>#NAME?</v>
      </c>
      <c r="X2173" s="110"/>
    </row>
    <row r="2174" ht="21.0" customHeight="1">
      <c r="A2174" s="35">
        <v>10.0</v>
      </c>
      <c r="B2174" s="35">
        <v>1033.0</v>
      </c>
      <c r="C2174" s="35">
        <v>10.0</v>
      </c>
      <c r="D2174" s="126" t="s">
        <v>3143</v>
      </c>
      <c r="E2174" s="69" t="s">
        <v>3124</v>
      </c>
      <c r="F2174" s="109" t="str">
        <f t="shared" ref="F2174:G2174" si="2173">TRANSLATE(D2174,"lzh","vi")</f>
        <v>#NAME?</v>
      </c>
      <c r="G2174" s="109" t="str">
        <f t="shared" si="2173"/>
        <v>#NAME?</v>
      </c>
      <c r="X2174" s="110"/>
    </row>
    <row r="2175" ht="21.0" customHeight="1">
      <c r="A2175" s="6">
        <v>11.0</v>
      </c>
      <c r="B2175" s="6">
        <v>1034.0</v>
      </c>
      <c r="C2175" s="6">
        <v>1.0</v>
      </c>
      <c r="D2175" s="151" t="s">
        <v>3144</v>
      </c>
      <c r="E2175" s="9" t="s">
        <v>3145</v>
      </c>
      <c r="F2175" s="109" t="str">
        <f t="shared" ref="F2175:G2175" si="2174">TRANSLATE(D2175,"lzh","vi")</f>
        <v>#NAME?</v>
      </c>
      <c r="G2175" s="109" t="str">
        <f t="shared" si="2174"/>
        <v>#NAME?</v>
      </c>
      <c r="X2175" s="110"/>
    </row>
    <row r="2176" ht="21.0" customHeight="1">
      <c r="A2176" s="6">
        <v>11.0</v>
      </c>
      <c r="B2176" s="6">
        <v>1034.0</v>
      </c>
      <c r="C2176" s="6">
        <v>2.0</v>
      </c>
      <c r="D2176" s="151" t="s">
        <v>3146</v>
      </c>
      <c r="E2176" s="9" t="s">
        <v>3147</v>
      </c>
      <c r="F2176" s="109" t="str">
        <f t="shared" ref="F2176:G2176" si="2175">TRANSLATE(D2176,"lzh","vi")</f>
        <v>#NAME?</v>
      </c>
      <c r="G2176" s="109" t="str">
        <f t="shared" si="2175"/>
        <v>#NAME?</v>
      </c>
      <c r="X2176" s="110"/>
    </row>
    <row r="2177" ht="21.0" customHeight="1">
      <c r="A2177" s="6">
        <v>11.0</v>
      </c>
      <c r="B2177" s="6">
        <v>1034.0</v>
      </c>
      <c r="C2177" s="6">
        <v>3.0</v>
      </c>
      <c r="D2177" s="151" t="s">
        <v>3148</v>
      </c>
      <c r="E2177" s="9" t="s">
        <v>3149</v>
      </c>
      <c r="F2177" s="109" t="str">
        <f t="shared" ref="F2177:G2177" si="2176">TRANSLATE(D2177,"lzh","vi")</f>
        <v>#NAME?</v>
      </c>
      <c r="G2177" s="109" t="str">
        <f t="shared" si="2176"/>
        <v>#NAME?</v>
      </c>
      <c r="X2177" s="110"/>
    </row>
    <row r="2178" ht="21.0" customHeight="1">
      <c r="A2178" s="6">
        <v>11.0</v>
      </c>
      <c r="B2178" s="6">
        <v>1034.0</v>
      </c>
      <c r="C2178" s="6">
        <v>4.0</v>
      </c>
      <c r="D2178" s="151" t="s">
        <v>3150</v>
      </c>
      <c r="E2178" s="9" t="s">
        <v>3151</v>
      </c>
      <c r="F2178" s="109" t="str">
        <f t="shared" ref="F2178:G2178" si="2177">TRANSLATE(D2178,"lzh","vi")</f>
        <v>#NAME?</v>
      </c>
      <c r="G2178" s="109" t="str">
        <f t="shared" si="2177"/>
        <v>#NAME?</v>
      </c>
      <c r="X2178" s="110"/>
    </row>
    <row r="2179" ht="21.0" customHeight="1">
      <c r="A2179" s="6">
        <v>10.0</v>
      </c>
      <c r="B2179" s="6">
        <v>1034.0</v>
      </c>
      <c r="C2179" s="6">
        <v>5.0</v>
      </c>
      <c r="D2179" s="151" t="s">
        <v>3152</v>
      </c>
      <c r="E2179" s="9" t="s">
        <v>3153</v>
      </c>
      <c r="F2179" s="109" t="str">
        <f t="shared" ref="F2179:G2179" si="2178">TRANSLATE(D2179,"lzh","vi")</f>
        <v>#NAME?</v>
      </c>
      <c r="G2179" s="109" t="str">
        <f t="shared" si="2178"/>
        <v>#NAME?</v>
      </c>
      <c r="X2179" s="110"/>
    </row>
    <row r="2180" ht="21.0" customHeight="1">
      <c r="A2180" s="6">
        <v>10.0</v>
      </c>
      <c r="B2180" s="6">
        <v>1034.0</v>
      </c>
      <c r="C2180" s="6">
        <v>6.0</v>
      </c>
      <c r="D2180" s="151" t="s">
        <v>3154</v>
      </c>
      <c r="E2180" s="9" t="s">
        <v>3155</v>
      </c>
      <c r="F2180" s="109" t="str">
        <f t="shared" ref="F2180:G2180" si="2179">TRANSLATE(D2180,"lzh","vi")</f>
        <v>#NAME?</v>
      </c>
      <c r="G2180" s="109" t="str">
        <f t="shared" si="2179"/>
        <v>#NAME?</v>
      </c>
      <c r="X2180" s="110"/>
    </row>
    <row r="2181" ht="21.0" customHeight="1">
      <c r="A2181" s="6">
        <v>10.0</v>
      </c>
      <c r="B2181" s="6">
        <v>1034.0</v>
      </c>
      <c r="C2181" s="6">
        <v>7.0</v>
      </c>
      <c r="D2181" s="151" t="s">
        <v>3156</v>
      </c>
      <c r="E2181" s="9" t="s">
        <v>3157</v>
      </c>
      <c r="F2181" s="109" t="str">
        <f t="shared" ref="F2181:G2181" si="2180">TRANSLATE(D2181,"lzh","vi")</f>
        <v>#NAME?</v>
      </c>
      <c r="G2181" s="109" t="str">
        <f t="shared" si="2180"/>
        <v>#NAME?</v>
      </c>
      <c r="X2181" s="110"/>
    </row>
    <row r="2182" ht="21.0" customHeight="1">
      <c r="A2182" s="6">
        <v>10.0</v>
      </c>
      <c r="B2182" s="6">
        <v>1034.0</v>
      </c>
      <c r="C2182" s="6">
        <v>8.0</v>
      </c>
      <c r="D2182" s="151" t="s">
        <v>3158</v>
      </c>
      <c r="E2182" s="9" t="s">
        <v>3159</v>
      </c>
      <c r="F2182" s="109" t="str">
        <f t="shared" ref="F2182:G2182" si="2181">TRANSLATE(D2182,"lzh","vi")</f>
        <v>#NAME?</v>
      </c>
      <c r="G2182" s="109" t="str">
        <f t="shared" si="2181"/>
        <v>#NAME?</v>
      </c>
      <c r="X2182" s="110"/>
    </row>
    <row r="2183" ht="21.0" customHeight="1">
      <c r="A2183" s="6">
        <v>10.0</v>
      </c>
      <c r="B2183" s="6">
        <v>1034.0</v>
      </c>
      <c r="C2183" s="6">
        <v>9.0</v>
      </c>
      <c r="D2183" s="151" t="s">
        <v>3160</v>
      </c>
      <c r="E2183" s="9" t="s">
        <v>3161</v>
      </c>
      <c r="F2183" s="109" t="str">
        <f t="shared" ref="F2183:G2183" si="2182">TRANSLATE(D2183,"lzh","vi")</f>
        <v>#NAME?</v>
      </c>
      <c r="G2183" s="109" t="str">
        <f t="shared" si="2182"/>
        <v>#NAME?</v>
      </c>
      <c r="X2183" s="110"/>
    </row>
    <row r="2184" ht="21.0" customHeight="1">
      <c r="A2184" s="6">
        <v>10.0</v>
      </c>
      <c r="B2184" s="6">
        <v>1034.0</v>
      </c>
      <c r="C2184" s="6">
        <v>10.0</v>
      </c>
      <c r="D2184" s="151" t="s">
        <v>3162</v>
      </c>
      <c r="E2184" s="9" t="s">
        <v>3163</v>
      </c>
      <c r="F2184" s="109" t="str">
        <f t="shared" ref="F2184:G2184" si="2183">TRANSLATE(D2184,"lzh","vi")</f>
        <v>#NAME?</v>
      </c>
      <c r="G2184" s="109" t="str">
        <f t="shared" si="2183"/>
        <v>#NAME?</v>
      </c>
      <c r="X2184" s="110"/>
    </row>
    <row r="2185" ht="21.0" customHeight="1">
      <c r="A2185" s="6">
        <v>11.0</v>
      </c>
      <c r="B2185" s="6">
        <v>1035.0</v>
      </c>
      <c r="C2185" s="6">
        <v>1.0</v>
      </c>
      <c r="D2185" s="151" t="s">
        <v>3164</v>
      </c>
      <c r="E2185" s="9" t="s">
        <v>3165</v>
      </c>
      <c r="F2185" s="109" t="str">
        <f t="shared" ref="F2185:G2185" si="2184">TRANSLATE(D2185,"lzh","vi")</f>
        <v>#NAME?</v>
      </c>
      <c r="G2185" s="109" t="str">
        <f t="shared" si="2184"/>
        <v>#NAME?</v>
      </c>
      <c r="X2185" s="110"/>
    </row>
    <row r="2186" ht="21.0" customHeight="1">
      <c r="A2186" s="6">
        <v>11.0</v>
      </c>
      <c r="B2186" s="6">
        <v>1035.0</v>
      </c>
      <c r="C2186" s="6">
        <v>2.0</v>
      </c>
      <c r="D2186" s="151" t="s">
        <v>3166</v>
      </c>
      <c r="E2186" s="9" t="s">
        <v>3167</v>
      </c>
      <c r="F2186" s="109" t="str">
        <f t="shared" ref="F2186:G2186" si="2185">TRANSLATE(D2186,"lzh","vi")</f>
        <v>#NAME?</v>
      </c>
      <c r="G2186" s="109" t="str">
        <f t="shared" si="2185"/>
        <v>#NAME?</v>
      </c>
      <c r="X2186" s="110"/>
    </row>
    <row r="2187" ht="21.0" customHeight="1">
      <c r="A2187" s="6">
        <v>11.0</v>
      </c>
      <c r="B2187" s="6">
        <v>1035.0</v>
      </c>
      <c r="C2187" s="6">
        <v>3.0</v>
      </c>
      <c r="D2187" s="151" t="s">
        <v>3168</v>
      </c>
      <c r="E2187" s="9" t="s">
        <v>3169</v>
      </c>
      <c r="F2187" s="109" t="str">
        <f t="shared" ref="F2187:G2187" si="2186">TRANSLATE(D2187,"lzh","vi")</f>
        <v>#NAME?</v>
      </c>
      <c r="G2187" s="109" t="str">
        <f t="shared" si="2186"/>
        <v>#NAME?</v>
      </c>
      <c r="X2187" s="110"/>
    </row>
    <row r="2188" ht="21.0" customHeight="1">
      <c r="A2188" s="6">
        <v>11.0</v>
      </c>
      <c r="B2188" s="6">
        <v>1035.0</v>
      </c>
      <c r="C2188" s="6">
        <v>4.0</v>
      </c>
      <c r="D2188" s="151" t="s">
        <v>3170</v>
      </c>
      <c r="E2188" s="9" t="s">
        <v>3171</v>
      </c>
      <c r="F2188" s="109" t="str">
        <f t="shared" ref="F2188:G2188" si="2187">TRANSLATE(D2188,"lzh","vi")</f>
        <v>#NAME?</v>
      </c>
      <c r="G2188" s="109" t="str">
        <f t="shared" si="2187"/>
        <v>#NAME?</v>
      </c>
      <c r="X2188" s="110"/>
    </row>
    <row r="2189" ht="21.0" customHeight="1">
      <c r="A2189" s="6">
        <v>10.0</v>
      </c>
      <c r="B2189" s="6">
        <v>1035.0</v>
      </c>
      <c r="C2189" s="6">
        <v>5.0</v>
      </c>
      <c r="D2189" s="151" t="s">
        <v>3172</v>
      </c>
      <c r="E2189" s="9" t="s">
        <v>3173</v>
      </c>
      <c r="F2189" s="109" t="str">
        <f t="shared" ref="F2189:G2189" si="2188">TRANSLATE(D2189,"lzh","vi")</f>
        <v>#NAME?</v>
      </c>
      <c r="G2189" s="109" t="str">
        <f t="shared" si="2188"/>
        <v>#NAME?</v>
      </c>
      <c r="X2189" s="110"/>
    </row>
    <row r="2190" ht="21.0" customHeight="1">
      <c r="A2190" s="6">
        <v>10.0</v>
      </c>
      <c r="B2190" s="6">
        <v>1035.0</v>
      </c>
      <c r="C2190" s="6">
        <v>6.0</v>
      </c>
      <c r="D2190" s="151" t="s">
        <v>3174</v>
      </c>
      <c r="E2190" s="9" t="s">
        <v>3175</v>
      </c>
      <c r="F2190" s="109" t="str">
        <f t="shared" ref="F2190:G2190" si="2189">TRANSLATE(D2190,"lzh","vi")</f>
        <v>#NAME?</v>
      </c>
      <c r="G2190" s="109" t="str">
        <f t="shared" si="2189"/>
        <v>#NAME?</v>
      </c>
      <c r="X2190" s="110"/>
    </row>
    <row r="2191" ht="21.0" customHeight="1">
      <c r="A2191" s="6">
        <v>10.0</v>
      </c>
      <c r="B2191" s="6">
        <v>1035.0</v>
      </c>
      <c r="C2191" s="6">
        <v>7.0</v>
      </c>
      <c r="D2191" s="151" t="s">
        <v>3176</v>
      </c>
      <c r="E2191" s="9" t="s">
        <v>3177</v>
      </c>
      <c r="F2191" s="109" t="str">
        <f t="shared" ref="F2191:G2191" si="2190">TRANSLATE(D2191,"lzh","vi")</f>
        <v>#NAME?</v>
      </c>
      <c r="G2191" s="109" t="str">
        <f t="shared" si="2190"/>
        <v>#NAME?</v>
      </c>
      <c r="X2191" s="110"/>
    </row>
    <row r="2192" ht="21.0" customHeight="1">
      <c r="A2192" s="6">
        <v>10.0</v>
      </c>
      <c r="B2192" s="6">
        <v>1035.0</v>
      </c>
      <c r="C2192" s="6">
        <v>8.0</v>
      </c>
      <c r="D2192" s="151" t="s">
        <v>3178</v>
      </c>
      <c r="E2192" s="9" t="s">
        <v>3179</v>
      </c>
      <c r="F2192" s="109" t="str">
        <f t="shared" ref="F2192:G2192" si="2191">TRANSLATE(D2192,"lzh","vi")</f>
        <v>#NAME?</v>
      </c>
      <c r="G2192" s="109" t="str">
        <f t="shared" si="2191"/>
        <v>#NAME?</v>
      </c>
      <c r="X2192" s="110"/>
    </row>
    <row r="2193" ht="21.0" customHeight="1">
      <c r="A2193" s="6">
        <v>10.0</v>
      </c>
      <c r="B2193" s="6">
        <v>1035.0</v>
      </c>
      <c r="C2193" s="6">
        <v>9.0</v>
      </c>
      <c r="D2193" s="151" t="s">
        <v>3180</v>
      </c>
      <c r="E2193" s="9" t="s">
        <v>3181</v>
      </c>
      <c r="F2193" s="109" t="str">
        <f t="shared" ref="F2193:G2193" si="2192">TRANSLATE(D2193,"lzh","vi")</f>
        <v>#NAME?</v>
      </c>
      <c r="G2193" s="109" t="str">
        <f t="shared" si="2192"/>
        <v>#NAME?</v>
      </c>
      <c r="X2193" s="110"/>
    </row>
    <row r="2194" ht="21.0" customHeight="1">
      <c r="A2194" s="6">
        <v>10.0</v>
      </c>
      <c r="B2194" s="6">
        <v>1035.0</v>
      </c>
      <c r="C2194" s="6">
        <v>10.0</v>
      </c>
      <c r="D2194" s="151" t="s">
        <v>3182</v>
      </c>
      <c r="E2194" s="9" t="s">
        <v>3183</v>
      </c>
      <c r="F2194" s="109" t="str">
        <f t="shared" ref="F2194:G2194" si="2193">TRANSLATE(D2194,"lzh","vi")</f>
        <v>#NAME?</v>
      </c>
      <c r="G2194" s="109" t="str">
        <f t="shared" si="2193"/>
        <v>#NAME?</v>
      </c>
      <c r="X2194" s="110"/>
    </row>
    <row r="2195" ht="21.0" customHeight="1">
      <c r="A2195" s="6">
        <v>1.0</v>
      </c>
      <c r="B2195" s="6">
        <v>172.0</v>
      </c>
      <c r="C2195" s="6">
        <v>1.0</v>
      </c>
      <c r="D2195" s="151" t="s">
        <v>3184</v>
      </c>
      <c r="E2195" s="9" t="s">
        <v>3185</v>
      </c>
      <c r="F2195" s="109" t="str">
        <f t="shared" ref="F2195:G2195" si="2194">TRANSLATE(D2195,"lzh","vi")</f>
        <v>#NAME?</v>
      </c>
      <c r="G2195" s="109" t="str">
        <f t="shared" si="2194"/>
        <v>#NAME?</v>
      </c>
      <c r="X2195" s="110"/>
    </row>
    <row r="2196" ht="21.0" customHeight="1">
      <c r="A2196" s="6">
        <v>1.0</v>
      </c>
      <c r="B2196" s="6">
        <v>172.0</v>
      </c>
      <c r="C2196" s="6">
        <v>2.0</v>
      </c>
      <c r="D2196" s="151" t="s">
        <v>3186</v>
      </c>
      <c r="E2196" s="9" t="s">
        <v>3187</v>
      </c>
      <c r="F2196" s="109" t="str">
        <f t="shared" ref="F2196:G2196" si="2195">TRANSLATE(D2196,"lzh","vi")</f>
        <v>#NAME?</v>
      </c>
      <c r="G2196" s="109" t="str">
        <f t="shared" si="2195"/>
        <v>#NAME?</v>
      </c>
      <c r="X2196" s="110"/>
    </row>
    <row r="2197" ht="21.0" customHeight="1">
      <c r="A2197" s="6">
        <v>1.0</v>
      </c>
      <c r="B2197" s="6">
        <v>172.0</v>
      </c>
      <c r="C2197" s="6">
        <v>3.0</v>
      </c>
      <c r="D2197" s="151" t="s">
        <v>3188</v>
      </c>
      <c r="E2197" s="9" t="s">
        <v>3189</v>
      </c>
      <c r="F2197" s="109" t="str">
        <f t="shared" ref="F2197:G2197" si="2196">TRANSLATE(D2197,"lzh","vi")</f>
        <v>#NAME?</v>
      </c>
      <c r="G2197" s="109" t="str">
        <f t="shared" si="2196"/>
        <v>#NAME?</v>
      </c>
      <c r="X2197" s="110"/>
    </row>
    <row r="2198" ht="21.0" customHeight="1">
      <c r="A2198" s="6">
        <v>1.0</v>
      </c>
      <c r="B2198" s="6">
        <v>172.0</v>
      </c>
      <c r="C2198" s="6">
        <v>4.0</v>
      </c>
      <c r="D2198" s="151" t="s">
        <v>3190</v>
      </c>
      <c r="E2198" s="9" t="s">
        <v>3191</v>
      </c>
      <c r="F2198" s="109" t="str">
        <f t="shared" ref="F2198:G2198" si="2197">TRANSLATE(D2198,"lzh","vi")</f>
        <v>#NAME?</v>
      </c>
      <c r="G2198" s="109" t="str">
        <f t="shared" si="2197"/>
        <v>#NAME?</v>
      </c>
      <c r="X2198" s="110"/>
    </row>
    <row r="2199" ht="21.0" customHeight="1">
      <c r="A2199" s="6">
        <v>1.0</v>
      </c>
      <c r="B2199" s="6">
        <v>172.0</v>
      </c>
      <c r="C2199" s="6">
        <v>5.0</v>
      </c>
      <c r="D2199" s="151" t="s">
        <v>3192</v>
      </c>
      <c r="E2199" s="9" t="s">
        <v>3193</v>
      </c>
      <c r="F2199" s="109" t="str">
        <f t="shared" ref="F2199:G2199" si="2198">TRANSLATE(D2199,"lzh","vi")</f>
        <v>#NAME?</v>
      </c>
      <c r="G2199" s="109" t="str">
        <f t="shared" si="2198"/>
        <v>#NAME?</v>
      </c>
      <c r="X2199" s="110"/>
    </row>
    <row r="2200" ht="21.0" customHeight="1">
      <c r="A2200" s="6">
        <v>1.0</v>
      </c>
      <c r="B2200" s="6">
        <v>172.0</v>
      </c>
      <c r="C2200" s="6">
        <v>6.0</v>
      </c>
      <c r="D2200" s="151" t="s">
        <v>3194</v>
      </c>
      <c r="E2200" s="9" t="s">
        <v>3195</v>
      </c>
      <c r="F2200" s="109" t="str">
        <f t="shared" ref="F2200:G2200" si="2199">TRANSLATE(D2200,"lzh","vi")</f>
        <v>#NAME?</v>
      </c>
      <c r="G2200" s="109" t="str">
        <f t="shared" si="2199"/>
        <v>#NAME?</v>
      </c>
      <c r="X2200" s="110"/>
    </row>
    <row r="2201" ht="21.0" customHeight="1">
      <c r="A2201" s="6">
        <v>1.0</v>
      </c>
      <c r="B2201" s="6">
        <v>172.0</v>
      </c>
      <c r="C2201" s="6">
        <v>7.0</v>
      </c>
      <c r="D2201" s="151" t="s">
        <v>3196</v>
      </c>
      <c r="E2201" s="9" t="s">
        <v>3197</v>
      </c>
      <c r="F2201" s="109" t="str">
        <f t="shared" ref="F2201:G2201" si="2200">TRANSLATE(D2201,"lzh","vi")</f>
        <v>#NAME?</v>
      </c>
      <c r="G2201" s="109" t="str">
        <f t="shared" si="2200"/>
        <v>#NAME?</v>
      </c>
      <c r="X2201" s="110"/>
    </row>
    <row r="2202" ht="21.0" customHeight="1">
      <c r="A2202" s="6">
        <v>1.0</v>
      </c>
      <c r="B2202" s="6">
        <v>172.0</v>
      </c>
      <c r="C2202" s="6">
        <v>8.0</v>
      </c>
      <c r="D2202" s="151" t="s">
        <v>3198</v>
      </c>
      <c r="E2202" s="9" t="s">
        <v>3199</v>
      </c>
      <c r="F2202" s="109" t="str">
        <f t="shared" ref="F2202:G2202" si="2201">TRANSLATE(D2202,"lzh","vi")</f>
        <v>#NAME?</v>
      </c>
      <c r="G2202" s="109" t="str">
        <f t="shared" si="2201"/>
        <v>#NAME?</v>
      </c>
      <c r="X2202" s="110"/>
    </row>
    <row r="2203" ht="21.0" customHeight="1">
      <c r="A2203" s="6">
        <v>1.0</v>
      </c>
      <c r="B2203" s="6">
        <v>172.0</v>
      </c>
      <c r="C2203" s="6">
        <v>9.0</v>
      </c>
      <c r="D2203" s="151" t="s">
        <v>3200</v>
      </c>
      <c r="E2203" s="9" t="s">
        <v>3201</v>
      </c>
      <c r="F2203" s="109" t="str">
        <f t="shared" ref="F2203:G2203" si="2202">TRANSLATE(D2203,"lzh","vi")</f>
        <v>#NAME?</v>
      </c>
      <c r="G2203" s="109" t="str">
        <f t="shared" si="2202"/>
        <v>#NAME?</v>
      </c>
      <c r="X2203" s="110"/>
    </row>
    <row r="2204" ht="21.0" customHeight="1">
      <c r="A2204" s="6">
        <v>1.0</v>
      </c>
      <c r="B2204" s="6">
        <v>172.0</v>
      </c>
      <c r="C2204" s="6">
        <v>10.0</v>
      </c>
      <c r="D2204" s="151" t="s">
        <v>3202</v>
      </c>
      <c r="E2204" s="9" t="s">
        <v>3203</v>
      </c>
      <c r="F2204" s="109" t="str">
        <f t="shared" ref="F2204:G2204" si="2203">TRANSLATE(D2204,"lzh","vi")</f>
        <v>#NAME?</v>
      </c>
      <c r="G2204" s="109" t="str">
        <f t="shared" si="2203"/>
        <v>#NAME?</v>
      </c>
      <c r="X2204" s="110"/>
    </row>
    <row r="2205" ht="21.0" customHeight="1">
      <c r="A2205" s="6">
        <v>1.0</v>
      </c>
      <c r="B2205" s="6">
        <v>172.0</v>
      </c>
      <c r="C2205" s="6">
        <v>11.0</v>
      </c>
      <c r="D2205" s="151" t="s">
        <v>3204</v>
      </c>
      <c r="E2205" s="9" t="s">
        <v>3205</v>
      </c>
      <c r="F2205" s="109" t="str">
        <f t="shared" ref="F2205:G2205" si="2204">TRANSLATE(D2205,"lzh","vi")</f>
        <v>#NAME?</v>
      </c>
      <c r="G2205" s="109" t="str">
        <f t="shared" si="2204"/>
        <v>#NAME?</v>
      </c>
      <c r="X2205" s="110"/>
    </row>
    <row r="2206" ht="21.0" customHeight="1">
      <c r="A2206" s="6">
        <v>1.0</v>
      </c>
      <c r="B2206" s="6">
        <v>172.0</v>
      </c>
      <c r="C2206" s="6">
        <v>12.0</v>
      </c>
      <c r="D2206" s="151" t="s">
        <v>3206</v>
      </c>
      <c r="E2206" s="9" t="s">
        <v>3207</v>
      </c>
      <c r="F2206" s="109" t="str">
        <f t="shared" ref="F2206:G2206" si="2205">TRANSLATE(D2206,"lzh","vi")</f>
        <v>#NAME?</v>
      </c>
      <c r="G2206" s="109" t="str">
        <f t="shared" si="2205"/>
        <v>#NAME?</v>
      </c>
      <c r="X2206" s="110"/>
    </row>
    <row r="2207" ht="21.0" customHeight="1">
      <c r="A2207" s="6">
        <v>1.0</v>
      </c>
      <c r="B2207" s="6">
        <v>172.0</v>
      </c>
      <c r="C2207" s="6">
        <v>13.0</v>
      </c>
      <c r="D2207" s="151" t="s">
        <v>3208</v>
      </c>
      <c r="E2207" s="9" t="s">
        <v>3209</v>
      </c>
      <c r="F2207" s="109" t="str">
        <f t="shared" ref="F2207:G2207" si="2206">TRANSLATE(D2207,"lzh","vi")</f>
        <v>#NAME?</v>
      </c>
      <c r="G2207" s="109" t="str">
        <f t="shared" si="2206"/>
        <v>#NAME?</v>
      </c>
      <c r="X2207" s="110"/>
    </row>
    <row r="2208" ht="21.0" customHeight="1">
      <c r="A2208" s="6">
        <v>1.0</v>
      </c>
      <c r="B2208" s="6">
        <v>173.0</v>
      </c>
      <c r="C2208" s="6">
        <v>1.0</v>
      </c>
      <c r="D2208" s="151" t="s">
        <v>3210</v>
      </c>
      <c r="E2208" s="9" t="s">
        <v>3211</v>
      </c>
      <c r="F2208" s="109" t="str">
        <f t="shared" ref="F2208:G2208" si="2207">TRANSLATE(D2208,"lzh","vi")</f>
        <v>#NAME?</v>
      </c>
      <c r="G2208" s="109" t="str">
        <f t="shared" si="2207"/>
        <v>#NAME?</v>
      </c>
      <c r="X2208" s="110"/>
    </row>
    <row r="2209" ht="21.0" customHeight="1">
      <c r="A2209" s="6">
        <v>1.0</v>
      </c>
      <c r="B2209" s="6">
        <v>173.0</v>
      </c>
      <c r="C2209" s="6">
        <v>2.0</v>
      </c>
      <c r="D2209" s="151" t="s">
        <v>3212</v>
      </c>
      <c r="E2209" s="9" t="s">
        <v>3213</v>
      </c>
      <c r="F2209" s="109" t="str">
        <f t="shared" ref="F2209:G2209" si="2208">TRANSLATE(D2209,"lzh","vi")</f>
        <v>#NAME?</v>
      </c>
      <c r="G2209" s="109" t="str">
        <f t="shared" si="2208"/>
        <v>#NAME?</v>
      </c>
      <c r="X2209" s="110"/>
    </row>
    <row r="2210" ht="21.0" customHeight="1">
      <c r="A2210" s="6">
        <v>1.0</v>
      </c>
      <c r="B2210" s="6">
        <v>173.0</v>
      </c>
      <c r="C2210" s="6">
        <v>3.0</v>
      </c>
      <c r="D2210" s="151" t="s">
        <v>3214</v>
      </c>
      <c r="E2210" s="9" t="s">
        <v>3215</v>
      </c>
      <c r="F2210" s="109" t="str">
        <f t="shared" ref="F2210:G2210" si="2209">TRANSLATE(D2210,"lzh","vi")</f>
        <v>#NAME?</v>
      </c>
      <c r="G2210" s="109" t="str">
        <f t="shared" si="2209"/>
        <v>#NAME?</v>
      </c>
      <c r="X2210" s="110"/>
    </row>
    <row r="2211" ht="21.0" customHeight="1">
      <c r="A2211" s="6">
        <v>1.0</v>
      </c>
      <c r="B2211" s="6">
        <v>173.0</v>
      </c>
      <c r="C2211" s="6">
        <v>4.0</v>
      </c>
      <c r="D2211" s="151" t="s">
        <v>3216</v>
      </c>
      <c r="E2211" s="9" t="s">
        <v>3217</v>
      </c>
      <c r="F2211" s="109" t="str">
        <f t="shared" ref="F2211:G2211" si="2210">TRANSLATE(D2211,"lzh","vi")</f>
        <v>#NAME?</v>
      </c>
      <c r="G2211" s="109" t="str">
        <f t="shared" si="2210"/>
        <v>#NAME?</v>
      </c>
      <c r="X2211" s="110"/>
    </row>
    <row r="2212" ht="21.0" customHeight="1">
      <c r="A2212" s="6">
        <v>1.0</v>
      </c>
      <c r="B2212" s="6">
        <v>173.0</v>
      </c>
      <c r="C2212" s="6">
        <v>5.0</v>
      </c>
      <c r="D2212" s="151" t="s">
        <v>3218</v>
      </c>
      <c r="E2212" s="9" t="s">
        <v>3219</v>
      </c>
      <c r="F2212" s="109" t="str">
        <f t="shared" ref="F2212:G2212" si="2211">TRANSLATE(D2212,"lzh","vi")</f>
        <v>#NAME?</v>
      </c>
      <c r="G2212" s="109" t="str">
        <f t="shared" si="2211"/>
        <v>#NAME?</v>
      </c>
      <c r="X2212" s="110"/>
    </row>
    <row r="2213" ht="21.0" customHeight="1">
      <c r="A2213" s="6">
        <v>1.0</v>
      </c>
      <c r="B2213" s="6">
        <v>173.0</v>
      </c>
      <c r="C2213" s="6">
        <v>6.0</v>
      </c>
      <c r="D2213" s="151" t="s">
        <v>3220</v>
      </c>
      <c r="E2213" s="9" t="s">
        <v>3221</v>
      </c>
      <c r="F2213" s="109" t="str">
        <f t="shared" ref="F2213:G2213" si="2212">TRANSLATE(D2213,"lzh","vi")</f>
        <v>#NAME?</v>
      </c>
      <c r="G2213" s="109" t="str">
        <f t="shared" si="2212"/>
        <v>#NAME?</v>
      </c>
      <c r="X2213" s="110"/>
    </row>
    <row r="2214" ht="21.0" customHeight="1">
      <c r="A2214" s="6">
        <v>1.0</v>
      </c>
      <c r="B2214" s="6">
        <v>173.0</v>
      </c>
      <c r="C2214" s="6">
        <v>7.0</v>
      </c>
      <c r="D2214" s="151" t="s">
        <v>3222</v>
      </c>
      <c r="E2214" s="9" t="s">
        <v>3223</v>
      </c>
      <c r="F2214" s="109" t="str">
        <f t="shared" ref="F2214:G2214" si="2213">TRANSLATE(D2214,"lzh","vi")</f>
        <v>#NAME?</v>
      </c>
      <c r="G2214" s="109" t="str">
        <f t="shared" si="2213"/>
        <v>#NAME?</v>
      </c>
      <c r="X2214" s="110"/>
    </row>
    <row r="2215" ht="21.0" customHeight="1">
      <c r="A2215" s="6">
        <v>1.0</v>
      </c>
      <c r="B2215" s="6">
        <v>173.0</v>
      </c>
      <c r="C2215" s="6">
        <v>8.0</v>
      </c>
      <c r="D2215" s="151" t="s">
        <v>3224</v>
      </c>
      <c r="E2215" s="9" t="s">
        <v>3225</v>
      </c>
      <c r="F2215" s="109" t="str">
        <f t="shared" ref="F2215:G2215" si="2214">TRANSLATE(D2215,"lzh","vi")</f>
        <v>#NAME?</v>
      </c>
      <c r="G2215" s="109" t="str">
        <f t="shared" si="2214"/>
        <v>#NAME?</v>
      </c>
      <c r="X2215" s="110"/>
    </row>
    <row r="2216" ht="21.0" customHeight="1">
      <c r="A2216" s="6">
        <v>1.0</v>
      </c>
      <c r="B2216" s="6">
        <v>173.0</v>
      </c>
      <c r="C2216" s="6">
        <v>9.0</v>
      </c>
      <c r="D2216" s="151" t="s">
        <v>3226</v>
      </c>
      <c r="E2216" s="9" t="s">
        <v>3227</v>
      </c>
      <c r="F2216" s="109" t="str">
        <f t="shared" ref="F2216:G2216" si="2215">TRANSLATE(D2216,"lzh","vi")</f>
        <v>#NAME?</v>
      </c>
      <c r="G2216" s="109" t="str">
        <f t="shared" si="2215"/>
        <v>#NAME?</v>
      </c>
      <c r="X2216" s="110"/>
    </row>
    <row r="2217" ht="21.0" customHeight="1">
      <c r="A2217" s="6">
        <v>1.0</v>
      </c>
      <c r="B2217" s="6">
        <v>173.0</v>
      </c>
      <c r="C2217" s="6">
        <v>10.0</v>
      </c>
      <c r="D2217" s="151" t="s">
        <v>3228</v>
      </c>
      <c r="E2217" s="9" t="s">
        <v>3229</v>
      </c>
      <c r="F2217" s="109" t="str">
        <f t="shared" ref="F2217:G2217" si="2216">TRANSLATE(D2217,"lzh","vi")</f>
        <v>#NAME?</v>
      </c>
      <c r="G2217" s="109" t="str">
        <f t="shared" si="2216"/>
        <v>#NAME?</v>
      </c>
      <c r="X2217" s="110"/>
    </row>
    <row r="2218" ht="21.0" customHeight="1">
      <c r="A2218" s="6">
        <v>1.0</v>
      </c>
      <c r="B2218" s="6">
        <v>173.0</v>
      </c>
      <c r="C2218" s="6">
        <v>11.0</v>
      </c>
      <c r="D2218" s="151" t="s">
        <v>3230</v>
      </c>
      <c r="E2218" s="9" t="s">
        <v>3231</v>
      </c>
      <c r="F2218" s="109" t="str">
        <f t="shared" ref="F2218:G2218" si="2217">TRANSLATE(D2218,"lzh","vi")</f>
        <v>#NAME?</v>
      </c>
      <c r="G2218" s="109" t="str">
        <f t="shared" si="2217"/>
        <v>#NAME?</v>
      </c>
      <c r="X2218" s="110"/>
    </row>
    <row r="2219" ht="21.0" customHeight="1">
      <c r="A2219" s="6">
        <v>1.0</v>
      </c>
      <c r="B2219" s="6">
        <v>173.0</v>
      </c>
      <c r="C2219" s="6">
        <v>12.0</v>
      </c>
      <c r="D2219" s="151" t="s">
        <v>3232</v>
      </c>
      <c r="E2219" s="9" t="s">
        <v>3233</v>
      </c>
      <c r="F2219" s="109" t="str">
        <f t="shared" ref="F2219:G2219" si="2218">TRANSLATE(D2219,"lzh","vi")</f>
        <v>#NAME?</v>
      </c>
      <c r="G2219" s="109" t="str">
        <f t="shared" si="2218"/>
        <v>#NAME?</v>
      </c>
      <c r="X2219" s="110"/>
    </row>
    <row r="2220" ht="21.0" customHeight="1">
      <c r="A2220" s="6">
        <v>1.0</v>
      </c>
      <c r="B2220" s="6">
        <v>173.0</v>
      </c>
      <c r="C2220" s="6">
        <v>13.0</v>
      </c>
      <c r="D2220" s="151" t="s">
        <v>3234</v>
      </c>
      <c r="E2220" s="9" t="s">
        <v>3235</v>
      </c>
      <c r="F2220" s="109" t="str">
        <f t="shared" ref="F2220:G2220" si="2219">TRANSLATE(D2220,"lzh","vi")</f>
        <v>#NAME?</v>
      </c>
      <c r="G2220" s="109" t="str">
        <f t="shared" si="2219"/>
        <v>#NAME?</v>
      </c>
      <c r="X2220" s="110"/>
    </row>
    <row r="2221" ht="21.0" customHeight="1">
      <c r="A2221" s="6">
        <v>1.0</v>
      </c>
      <c r="B2221" s="6">
        <v>174.0</v>
      </c>
      <c r="C2221" s="6">
        <v>1.0</v>
      </c>
      <c r="D2221" s="151" t="s">
        <v>3236</v>
      </c>
      <c r="E2221" s="9" t="s">
        <v>3237</v>
      </c>
      <c r="F2221" s="109" t="str">
        <f t="shared" ref="F2221:G2221" si="2220">TRANSLATE(D2221,"lzh","vi")</f>
        <v>#NAME?</v>
      </c>
      <c r="G2221" s="109" t="str">
        <f t="shared" si="2220"/>
        <v>#NAME?</v>
      </c>
      <c r="X2221" s="110"/>
    </row>
    <row r="2222" ht="21.0" customHeight="1">
      <c r="A2222" s="6">
        <v>1.0</v>
      </c>
      <c r="B2222" s="6">
        <v>174.0</v>
      </c>
      <c r="C2222" s="6">
        <v>2.0</v>
      </c>
      <c r="D2222" s="151" t="s">
        <v>3238</v>
      </c>
      <c r="E2222" s="9" t="s">
        <v>3239</v>
      </c>
      <c r="F2222" s="109" t="str">
        <f t="shared" ref="F2222:G2222" si="2221">TRANSLATE(D2222,"lzh","vi")</f>
        <v>#NAME?</v>
      </c>
      <c r="G2222" s="109" t="str">
        <f t="shared" si="2221"/>
        <v>#NAME?</v>
      </c>
      <c r="X2222" s="110"/>
    </row>
    <row r="2223" ht="21.0" customHeight="1">
      <c r="A2223" s="6">
        <v>1.0</v>
      </c>
      <c r="B2223" s="6">
        <v>174.0</v>
      </c>
      <c r="C2223" s="6">
        <v>3.0</v>
      </c>
      <c r="D2223" s="151" t="s">
        <v>3240</v>
      </c>
      <c r="E2223" s="9" t="s">
        <v>3241</v>
      </c>
      <c r="F2223" s="109" t="str">
        <f t="shared" ref="F2223:G2223" si="2222">TRANSLATE(D2223,"lzh","vi")</f>
        <v>#NAME?</v>
      </c>
      <c r="G2223" s="109" t="str">
        <f t="shared" si="2222"/>
        <v>#NAME?</v>
      </c>
      <c r="X2223" s="110"/>
    </row>
    <row r="2224" ht="21.0" customHeight="1">
      <c r="A2224" s="6">
        <v>1.0</v>
      </c>
      <c r="B2224" s="6">
        <v>174.0</v>
      </c>
      <c r="C2224" s="6">
        <v>4.0</v>
      </c>
      <c r="D2224" s="151" t="s">
        <v>3242</v>
      </c>
      <c r="E2224" s="9" t="s">
        <v>3243</v>
      </c>
      <c r="F2224" s="109" t="str">
        <f t="shared" ref="F2224:G2224" si="2223">TRANSLATE(D2224,"lzh","vi")</f>
        <v>#NAME?</v>
      </c>
      <c r="G2224" s="109" t="str">
        <f t="shared" si="2223"/>
        <v>#NAME?</v>
      </c>
      <c r="X2224" s="110"/>
    </row>
    <row r="2225" ht="21.0" customHeight="1">
      <c r="A2225" s="6">
        <v>1.0</v>
      </c>
      <c r="B2225" s="6">
        <v>174.0</v>
      </c>
      <c r="C2225" s="6">
        <v>5.0</v>
      </c>
      <c r="D2225" s="151" t="s">
        <v>3244</v>
      </c>
      <c r="E2225" s="9" t="s">
        <v>3245</v>
      </c>
      <c r="F2225" s="109" t="str">
        <f t="shared" ref="F2225:G2225" si="2224">TRANSLATE(D2225,"lzh","vi")</f>
        <v>#NAME?</v>
      </c>
      <c r="G2225" s="109" t="str">
        <f t="shared" si="2224"/>
        <v>#NAME?</v>
      </c>
      <c r="X2225" s="110"/>
    </row>
    <row r="2226" ht="21.0" customHeight="1">
      <c r="A2226" s="6">
        <v>1.0</v>
      </c>
      <c r="B2226" s="6">
        <v>174.0</v>
      </c>
      <c r="C2226" s="6">
        <v>6.0</v>
      </c>
      <c r="D2226" s="151" t="s">
        <v>3246</v>
      </c>
      <c r="E2226" s="9" t="s">
        <v>3247</v>
      </c>
      <c r="F2226" s="109" t="str">
        <f t="shared" ref="F2226:G2226" si="2225">TRANSLATE(D2226,"lzh","vi")</f>
        <v>#NAME?</v>
      </c>
      <c r="G2226" s="109" t="str">
        <f t="shared" si="2225"/>
        <v>#NAME?</v>
      </c>
      <c r="X2226" s="110"/>
    </row>
    <row r="2227" ht="21.0" customHeight="1">
      <c r="A2227" s="6">
        <v>1.0</v>
      </c>
      <c r="B2227" s="6">
        <v>174.0</v>
      </c>
      <c r="C2227" s="6">
        <v>7.0</v>
      </c>
      <c r="D2227" s="151" t="s">
        <v>3248</v>
      </c>
      <c r="E2227" s="9" t="s">
        <v>3249</v>
      </c>
      <c r="F2227" s="109" t="str">
        <f t="shared" ref="F2227:G2227" si="2226">TRANSLATE(D2227,"lzh","vi")</f>
        <v>#NAME?</v>
      </c>
      <c r="G2227" s="109" t="str">
        <f t="shared" si="2226"/>
        <v>#NAME?</v>
      </c>
      <c r="X2227" s="110"/>
    </row>
    <row r="2228" ht="21.0" customHeight="1">
      <c r="A2228" s="6">
        <v>1.0</v>
      </c>
      <c r="B2228" s="6">
        <v>174.0</v>
      </c>
      <c r="C2228" s="6">
        <v>8.0</v>
      </c>
      <c r="D2228" s="151" t="s">
        <v>3250</v>
      </c>
      <c r="E2228" s="9" t="s">
        <v>3251</v>
      </c>
      <c r="F2228" s="109" t="str">
        <f t="shared" ref="F2228:G2228" si="2227">TRANSLATE(D2228,"lzh","vi")</f>
        <v>#NAME?</v>
      </c>
      <c r="G2228" s="109" t="str">
        <f t="shared" si="2227"/>
        <v>#NAME?</v>
      </c>
      <c r="X2228" s="110"/>
    </row>
    <row r="2229" ht="21.0" customHeight="1">
      <c r="A2229" s="6">
        <v>1.0</v>
      </c>
      <c r="B2229" s="6">
        <v>174.0</v>
      </c>
      <c r="C2229" s="6">
        <v>9.0</v>
      </c>
      <c r="D2229" s="151" t="s">
        <v>3252</v>
      </c>
      <c r="E2229" s="9" t="s">
        <v>3253</v>
      </c>
      <c r="F2229" s="109" t="str">
        <f t="shared" ref="F2229:G2229" si="2228">TRANSLATE(D2229,"lzh","vi")</f>
        <v>#NAME?</v>
      </c>
      <c r="G2229" s="109" t="str">
        <f t="shared" si="2228"/>
        <v>#NAME?</v>
      </c>
      <c r="X2229" s="110"/>
    </row>
    <row r="2230" ht="21.0" customHeight="1">
      <c r="A2230" s="6">
        <v>1.0</v>
      </c>
      <c r="B2230" s="6">
        <v>174.0</v>
      </c>
      <c r="C2230" s="6">
        <v>10.0</v>
      </c>
      <c r="D2230" s="151" t="s">
        <v>3254</v>
      </c>
      <c r="E2230" s="9" t="s">
        <v>3255</v>
      </c>
      <c r="F2230" s="109" t="str">
        <f t="shared" ref="F2230:G2230" si="2229">TRANSLATE(D2230,"lzh","vi")</f>
        <v>#NAME?</v>
      </c>
      <c r="G2230" s="109" t="str">
        <f t="shared" si="2229"/>
        <v>#NAME?</v>
      </c>
      <c r="X2230" s="110"/>
    </row>
    <row r="2231" ht="21.0" customHeight="1">
      <c r="A2231" s="6">
        <v>1.0</v>
      </c>
      <c r="B2231" s="6">
        <v>174.0</v>
      </c>
      <c r="C2231" s="6">
        <v>11.0</v>
      </c>
      <c r="D2231" s="151" t="s">
        <v>3256</v>
      </c>
      <c r="E2231" s="9" t="s">
        <v>3257</v>
      </c>
      <c r="F2231" s="109" t="str">
        <f t="shared" ref="F2231:G2231" si="2230">TRANSLATE(D2231,"lzh","vi")</f>
        <v>#NAME?</v>
      </c>
      <c r="G2231" s="109" t="str">
        <f t="shared" si="2230"/>
        <v>#NAME?</v>
      </c>
      <c r="X2231" s="110"/>
    </row>
    <row r="2232" ht="21.0" customHeight="1">
      <c r="A2232" s="6">
        <v>1.0</v>
      </c>
      <c r="B2232" s="6">
        <v>174.0</v>
      </c>
      <c r="C2232" s="6">
        <v>12.0</v>
      </c>
      <c r="D2232" s="151" t="s">
        <v>3258</v>
      </c>
      <c r="E2232" s="9" t="s">
        <v>3259</v>
      </c>
      <c r="F2232" s="109" t="str">
        <f t="shared" ref="F2232:G2232" si="2231">TRANSLATE(D2232,"lzh","vi")</f>
        <v>#NAME?</v>
      </c>
      <c r="G2232" s="109" t="str">
        <f t="shared" si="2231"/>
        <v>#NAME?</v>
      </c>
      <c r="X2232" s="110"/>
    </row>
    <row r="2233" ht="21.0" customHeight="1">
      <c r="A2233" s="6">
        <v>1.0</v>
      </c>
      <c r="B2233" s="6">
        <v>174.0</v>
      </c>
      <c r="C2233" s="6">
        <v>13.0</v>
      </c>
      <c r="D2233" s="151" t="s">
        <v>3260</v>
      </c>
      <c r="E2233" s="9" t="s">
        <v>3261</v>
      </c>
      <c r="F2233" s="109" t="str">
        <f t="shared" ref="F2233:G2233" si="2232">TRANSLATE(D2233,"lzh","vi")</f>
        <v>#NAME?</v>
      </c>
      <c r="G2233" s="109" t="str">
        <f t="shared" si="2232"/>
        <v>#NAME?</v>
      </c>
      <c r="X2233" s="110"/>
    </row>
    <row r="2234" ht="21.0" customHeight="1">
      <c r="A2234" s="6">
        <v>11.0</v>
      </c>
      <c r="B2234" s="6">
        <v>1036.0</v>
      </c>
      <c r="C2234" s="6">
        <v>1.0</v>
      </c>
      <c r="D2234" s="151" t="s">
        <v>3262</v>
      </c>
      <c r="E2234" s="9" t="s">
        <v>3263</v>
      </c>
      <c r="F2234" s="109" t="str">
        <f t="shared" ref="F2234:G2234" si="2233">TRANSLATE(D2234,"lzh","vi")</f>
        <v>#NAME?</v>
      </c>
      <c r="G2234" s="109" t="str">
        <f t="shared" si="2233"/>
        <v>#NAME?</v>
      </c>
      <c r="X2234" s="110"/>
    </row>
    <row r="2235" ht="21.0" customHeight="1">
      <c r="A2235" s="6">
        <v>11.0</v>
      </c>
      <c r="B2235" s="6">
        <v>1036.0</v>
      </c>
      <c r="C2235" s="6">
        <v>2.0</v>
      </c>
      <c r="D2235" s="151" t="s">
        <v>3264</v>
      </c>
      <c r="E2235" s="9" t="s">
        <v>3265</v>
      </c>
      <c r="F2235" s="109" t="str">
        <f t="shared" ref="F2235:G2235" si="2234">TRANSLATE(D2235,"lzh","vi")</f>
        <v>#NAME?</v>
      </c>
      <c r="G2235" s="109" t="str">
        <f t="shared" si="2234"/>
        <v>#NAME?</v>
      </c>
      <c r="X2235" s="110"/>
    </row>
    <row r="2236" ht="21.0" customHeight="1">
      <c r="A2236" s="6">
        <v>11.0</v>
      </c>
      <c r="B2236" s="6">
        <v>1036.0</v>
      </c>
      <c r="C2236" s="6">
        <v>3.0</v>
      </c>
      <c r="D2236" s="151" t="s">
        <v>3266</v>
      </c>
      <c r="E2236" s="9" t="s">
        <v>3267</v>
      </c>
      <c r="F2236" s="109" t="str">
        <f t="shared" ref="F2236:G2236" si="2235">TRANSLATE(D2236,"lzh","vi")</f>
        <v>#NAME?</v>
      </c>
      <c r="G2236" s="109" t="str">
        <f t="shared" si="2235"/>
        <v>#NAME?</v>
      </c>
      <c r="X2236" s="110"/>
    </row>
    <row r="2237" ht="21.0" customHeight="1">
      <c r="A2237" s="6">
        <v>11.0</v>
      </c>
      <c r="B2237" s="6">
        <v>1036.0</v>
      </c>
      <c r="C2237" s="6">
        <v>4.0</v>
      </c>
      <c r="D2237" s="151" t="s">
        <v>3268</v>
      </c>
      <c r="E2237" s="9" t="s">
        <v>3269</v>
      </c>
      <c r="F2237" s="109" t="str">
        <f t="shared" ref="F2237:G2237" si="2236">TRANSLATE(D2237,"lzh","vi")</f>
        <v>#NAME?</v>
      </c>
      <c r="G2237" s="109" t="str">
        <f t="shared" si="2236"/>
        <v>#NAME?</v>
      </c>
      <c r="X2237" s="110"/>
    </row>
    <row r="2238" ht="21.0" customHeight="1">
      <c r="A2238" s="6">
        <v>10.0</v>
      </c>
      <c r="B2238" s="6">
        <v>1036.0</v>
      </c>
      <c r="C2238" s="6">
        <v>5.0</v>
      </c>
      <c r="D2238" s="151" t="s">
        <v>3270</v>
      </c>
      <c r="E2238" s="9" t="s">
        <v>3271</v>
      </c>
      <c r="F2238" s="109" t="str">
        <f t="shared" ref="F2238:G2238" si="2237">TRANSLATE(D2238,"lzh","vi")</f>
        <v>#NAME?</v>
      </c>
      <c r="G2238" s="109" t="str">
        <f t="shared" si="2237"/>
        <v>#NAME?</v>
      </c>
      <c r="X2238" s="110"/>
    </row>
    <row r="2239" ht="21.0" customHeight="1">
      <c r="A2239" s="6">
        <v>10.0</v>
      </c>
      <c r="B2239" s="6">
        <v>1036.0</v>
      </c>
      <c r="C2239" s="6">
        <v>6.0</v>
      </c>
      <c r="D2239" s="151" t="s">
        <v>3272</v>
      </c>
      <c r="E2239" s="9" t="s">
        <v>3273</v>
      </c>
      <c r="F2239" s="109" t="str">
        <f t="shared" ref="F2239:G2239" si="2238">TRANSLATE(D2239,"lzh","vi")</f>
        <v>#NAME?</v>
      </c>
      <c r="G2239" s="109" t="str">
        <f t="shared" si="2238"/>
        <v>#NAME?</v>
      </c>
      <c r="X2239" s="110"/>
    </row>
    <row r="2240" ht="21.0" customHeight="1">
      <c r="A2240" s="6">
        <v>10.0</v>
      </c>
      <c r="B2240" s="6">
        <v>1036.0</v>
      </c>
      <c r="C2240" s="6">
        <v>7.0</v>
      </c>
      <c r="D2240" s="151" t="s">
        <v>3274</v>
      </c>
      <c r="E2240" s="9" t="s">
        <v>3275</v>
      </c>
      <c r="F2240" s="109" t="str">
        <f t="shared" ref="F2240:G2240" si="2239">TRANSLATE(D2240,"lzh","vi")</f>
        <v>#NAME?</v>
      </c>
      <c r="G2240" s="109" t="str">
        <f t="shared" si="2239"/>
        <v>#NAME?</v>
      </c>
      <c r="X2240" s="110"/>
    </row>
    <row r="2241" ht="21.0" customHeight="1">
      <c r="A2241" s="6">
        <v>10.0</v>
      </c>
      <c r="B2241" s="6">
        <v>1036.0</v>
      </c>
      <c r="C2241" s="6">
        <v>8.0</v>
      </c>
      <c r="D2241" s="151" t="s">
        <v>3276</v>
      </c>
      <c r="E2241" s="9" t="s">
        <v>3277</v>
      </c>
      <c r="F2241" s="109" t="str">
        <f t="shared" ref="F2241:G2241" si="2240">TRANSLATE(D2241,"lzh","vi")</f>
        <v>#NAME?</v>
      </c>
      <c r="G2241" s="109" t="str">
        <f t="shared" si="2240"/>
        <v>#NAME?</v>
      </c>
      <c r="X2241" s="110"/>
    </row>
    <row r="2242" ht="21.0" customHeight="1">
      <c r="A2242" s="6">
        <v>10.0</v>
      </c>
      <c r="B2242" s="6">
        <v>1036.0</v>
      </c>
      <c r="C2242" s="6">
        <v>9.0</v>
      </c>
      <c r="D2242" s="151" t="s">
        <v>3278</v>
      </c>
      <c r="E2242" s="9" t="s">
        <v>3279</v>
      </c>
      <c r="F2242" s="109" t="str">
        <f t="shared" ref="F2242:G2242" si="2241">TRANSLATE(D2242,"lzh","vi")</f>
        <v>#NAME?</v>
      </c>
      <c r="G2242" s="109" t="str">
        <f t="shared" si="2241"/>
        <v>#NAME?</v>
      </c>
      <c r="X2242" s="110"/>
    </row>
    <row r="2243" ht="21.0" customHeight="1">
      <c r="A2243" s="6">
        <v>10.0</v>
      </c>
      <c r="B2243" s="6">
        <v>1036.0</v>
      </c>
      <c r="C2243" s="6">
        <v>10.0</v>
      </c>
      <c r="D2243" s="151" t="s">
        <v>3280</v>
      </c>
      <c r="E2243" s="9" t="s">
        <v>3281</v>
      </c>
      <c r="F2243" s="109" t="str">
        <f t="shared" ref="F2243:G2243" si="2242">TRANSLATE(D2243,"lzh","vi")</f>
        <v>#NAME?</v>
      </c>
      <c r="G2243" s="109" t="str">
        <f t="shared" si="2242"/>
        <v>#NAME?</v>
      </c>
      <c r="X2243" s="110"/>
    </row>
    <row r="2244" ht="21.0" customHeight="1">
      <c r="A2244" s="6">
        <v>11.0</v>
      </c>
      <c r="B2244" s="6">
        <v>1037.0</v>
      </c>
      <c r="C2244" s="6">
        <v>1.0</v>
      </c>
      <c r="D2244" s="151" t="s">
        <v>3282</v>
      </c>
      <c r="E2244" s="9" t="s">
        <v>3283</v>
      </c>
      <c r="F2244" s="109" t="str">
        <f t="shared" ref="F2244:G2244" si="2243">TRANSLATE(D2244,"lzh","vi")</f>
        <v>#NAME?</v>
      </c>
      <c r="G2244" s="109" t="str">
        <f t="shared" si="2243"/>
        <v>#NAME?</v>
      </c>
      <c r="X2244" s="110"/>
    </row>
    <row r="2245" ht="21.0" customHeight="1">
      <c r="A2245" s="6">
        <v>11.0</v>
      </c>
      <c r="B2245" s="6">
        <v>1037.0</v>
      </c>
      <c r="C2245" s="6">
        <v>2.0</v>
      </c>
      <c r="D2245" s="151" t="s">
        <v>3284</v>
      </c>
      <c r="E2245" s="9" t="s">
        <v>3285</v>
      </c>
      <c r="F2245" s="109" t="str">
        <f t="shared" ref="F2245:G2245" si="2244">TRANSLATE(D2245,"lzh","vi")</f>
        <v>#NAME?</v>
      </c>
      <c r="G2245" s="109" t="str">
        <f t="shared" si="2244"/>
        <v>#NAME?</v>
      </c>
      <c r="X2245" s="110"/>
    </row>
    <row r="2246" ht="21.0" customHeight="1">
      <c r="A2246" s="6">
        <v>11.0</v>
      </c>
      <c r="B2246" s="6">
        <v>1037.0</v>
      </c>
      <c r="C2246" s="6">
        <v>3.0</v>
      </c>
      <c r="D2246" s="151" t="s">
        <v>3286</v>
      </c>
      <c r="E2246" s="9" t="s">
        <v>3287</v>
      </c>
      <c r="F2246" s="109" t="str">
        <f t="shared" ref="F2246:G2246" si="2245">TRANSLATE(D2246,"lzh","vi")</f>
        <v>#NAME?</v>
      </c>
      <c r="G2246" s="109" t="str">
        <f t="shared" si="2245"/>
        <v>#NAME?</v>
      </c>
      <c r="X2246" s="110"/>
    </row>
    <row r="2247" ht="21.0" customHeight="1">
      <c r="A2247" s="6">
        <v>11.0</v>
      </c>
      <c r="B2247" s="6">
        <v>1037.0</v>
      </c>
      <c r="C2247" s="6">
        <v>4.0</v>
      </c>
      <c r="D2247" s="151" t="s">
        <v>3288</v>
      </c>
      <c r="E2247" s="9" t="s">
        <v>3289</v>
      </c>
      <c r="F2247" s="109" t="str">
        <f t="shared" ref="F2247:G2247" si="2246">TRANSLATE(D2247,"lzh","vi")</f>
        <v>#NAME?</v>
      </c>
      <c r="G2247" s="109" t="str">
        <f t="shared" si="2246"/>
        <v>#NAME?</v>
      </c>
      <c r="X2247" s="110"/>
    </row>
    <row r="2248" ht="21.0" customHeight="1">
      <c r="A2248" s="6">
        <v>10.0</v>
      </c>
      <c r="B2248" s="6">
        <v>1037.0</v>
      </c>
      <c r="C2248" s="6">
        <v>5.0</v>
      </c>
      <c r="D2248" s="151" t="s">
        <v>3290</v>
      </c>
      <c r="E2248" s="9" t="s">
        <v>3291</v>
      </c>
      <c r="F2248" s="109" t="str">
        <f t="shared" ref="F2248:G2248" si="2247">TRANSLATE(D2248,"lzh","vi")</f>
        <v>#NAME?</v>
      </c>
      <c r="G2248" s="109" t="str">
        <f t="shared" si="2247"/>
        <v>#NAME?</v>
      </c>
      <c r="X2248" s="110"/>
    </row>
    <row r="2249" ht="21.0" customHeight="1">
      <c r="A2249" s="6">
        <v>10.0</v>
      </c>
      <c r="B2249" s="6">
        <v>1037.0</v>
      </c>
      <c r="C2249" s="6">
        <v>6.0</v>
      </c>
      <c r="D2249" s="151" t="s">
        <v>3292</v>
      </c>
      <c r="E2249" s="9" t="s">
        <v>3293</v>
      </c>
      <c r="F2249" s="109" t="str">
        <f t="shared" ref="F2249:G2249" si="2248">TRANSLATE(D2249,"lzh","vi")</f>
        <v>#NAME?</v>
      </c>
      <c r="G2249" s="109" t="str">
        <f t="shared" si="2248"/>
        <v>#NAME?</v>
      </c>
      <c r="X2249" s="110"/>
    </row>
    <row r="2250" ht="21.0" customHeight="1">
      <c r="A2250" s="6">
        <v>10.0</v>
      </c>
      <c r="B2250" s="6">
        <v>1037.0</v>
      </c>
      <c r="C2250" s="6">
        <v>7.0</v>
      </c>
      <c r="D2250" s="151" t="s">
        <v>3294</v>
      </c>
      <c r="E2250" s="9" t="s">
        <v>3295</v>
      </c>
      <c r="F2250" s="109" t="str">
        <f t="shared" ref="F2250:G2250" si="2249">TRANSLATE(D2250,"lzh","vi")</f>
        <v>#NAME?</v>
      </c>
      <c r="G2250" s="109" t="str">
        <f t="shared" si="2249"/>
        <v>#NAME?</v>
      </c>
      <c r="X2250" s="110"/>
    </row>
    <row r="2251" ht="21.0" customHeight="1">
      <c r="A2251" s="6">
        <v>10.0</v>
      </c>
      <c r="B2251" s="6">
        <v>1037.0</v>
      </c>
      <c r="C2251" s="6">
        <v>8.0</v>
      </c>
      <c r="D2251" s="151" t="s">
        <v>3296</v>
      </c>
      <c r="E2251" s="9" t="s">
        <v>3297</v>
      </c>
      <c r="F2251" s="109" t="str">
        <f t="shared" ref="F2251:G2251" si="2250">TRANSLATE(D2251,"lzh","vi")</f>
        <v>#NAME?</v>
      </c>
      <c r="G2251" s="109" t="str">
        <f t="shared" si="2250"/>
        <v>#NAME?</v>
      </c>
      <c r="X2251" s="110"/>
    </row>
    <row r="2252" ht="21.0" customHeight="1">
      <c r="A2252" s="6">
        <v>10.0</v>
      </c>
      <c r="B2252" s="6">
        <v>1037.0</v>
      </c>
      <c r="C2252" s="6">
        <v>9.0</v>
      </c>
      <c r="D2252" s="151" t="s">
        <v>3298</v>
      </c>
      <c r="E2252" s="9" t="s">
        <v>3299</v>
      </c>
      <c r="F2252" s="109" t="str">
        <f t="shared" ref="F2252:G2252" si="2251">TRANSLATE(D2252,"lzh","vi")</f>
        <v>#NAME?</v>
      </c>
      <c r="G2252" s="109" t="str">
        <f t="shared" si="2251"/>
        <v>#NAME?</v>
      </c>
      <c r="X2252" s="110"/>
    </row>
    <row r="2253" ht="21.0" customHeight="1">
      <c r="A2253" s="6">
        <v>10.0</v>
      </c>
      <c r="B2253" s="6">
        <v>1037.0</v>
      </c>
      <c r="C2253" s="6">
        <v>10.0</v>
      </c>
      <c r="D2253" s="151" t="s">
        <v>3300</v>
      </c>
      <c r="E2253" s="9" t="s">
        <v>3281</v>
      </c>
      <c r="F2253" s="109" t="str">
        <f t="shared" ref="F2253:G2253" si="2252">TRANSLATE(D2253,"lzh","vi")</f>
        <v>#NAME?</v>
      </c>
      <c r="G2253" s="109" t="str">
        <f t="shared" si="2252"/>
        <v>#NAME?</v>
      </c>
      <c r="X2253" s="110"/>
    </row>
    <row r="2254" ht="21.0" customHeight="1">
      <c r="A2254" s="6">
        <v>1.0</v>
      </c>
      <c r="B2254" s="6">
        <v>175.0</v>
      </c>
      <c r="C2254" s="6">
        <v>1.0</v>
      </c>
      <c r="D2254" s="151" t="s">
        <v>3301</v>
      </c>
      <c r="E2254" s="9" t="s">
        <v>3302</v>
      </c>
      <c r="F2254" s="109" t="str">
        <f t="shared" ref="F2254:G2254" si="2253">TRANSLATE(D2254,"lzh","vi")</f>
        <v>#NAME?</v>
      </c>
      <c r="G2254" s="109" t="str">
        <f t="shared" si="2253"/>
        <v>#NAME?</v>
      </c>
      <c r="X2254" s="110"/>
    </row>
    <row r="2255" ht="21.0" customHeight="1">
      <c r="A2255" s="6">
        <v>1.0</v>
      </c>
      <c r="B2255" s="6">
        <v>175.0</v>
      </c>
      <c r="C2255" s="6">
        <v>2.0</v>
      </c>
      <c r="D2255" s="151" t="s">
        <v>3303</v>
      </c>
      <c r="E2255" s="9" t="s">
        <v>3304</v>
      </c>
      <c r="F2255" s="109" t="str">
        <f t="shared" ref="F2255:G2255" si="2254">TRANSLATE(D2255,"lzh","vi")</f>
        <v>#NAME?</v>
      </c>
      <c r="G2255" s="109" t="str">
        <f t="shared" si="2254"/>
        <v>#NAME?</v>
      </c>
      <c r="X2255" s="110"/>
    </row>
    <row r="2256" ht="21.0" customHeight="1">
      <c r="A2256" s="6">
        <v>1.0</v>
      </c>
      <c r="B2256" s="6">
        <v>175.0</v>
      </c>
      <c r="C2256" s="6">
        <v>3.0</v>
      </c>
      <c r="D2256" s="151" t="s">
        <v>3305</v>
      </c>
      <c r="E2256" s="9" t="s">
        <v>3306</v>
      </c>
      <c r="F2256" s="109" t="str">
        <f t="shared" ref="F2256:G2256" si="2255">TRANSLATE(D2256,"lzh","vi")</f>
        <v>#NAME?</v>
      </c>
      <c r="G2256" s="109" t="str">
        <f t="shared" si="2255"/>
        <v>#NAME?</v>
      </c>
      <c r="X2256" s="110"/>
    </row>
    <row r="2257" ht="21.0" customHeight="1">
      <c r="A2257" s="6">
        <v>1.0</v>
      </c>
      <c r="B2257" s="6">
        <v>175.0</v>
      </c>
      <c r="C2257" s="6">
        <v>4.0</v>
      </c>
      <c r="D2257" s="160" t="s">
        <v>3307</v>
      </c>
      <c r="E2257" s="9" t="s">
        <v>3308</v>
      </c>
      <c r="F2257" s="109" t="str">
        <f t="shared" ref="F2257:G2257" si="2256">TRANSLATE(D2257,"lzh","vi")</f>
        <v>#NAME?</v>
      </c>
      <c r="G2257" s="109" t="str">
        <f t="shared" si="2256"/>
        <v>#NAME?</v>
      </c>
      <c r="X2257" s="110"/>
    </row>
    <row r="2258" ht="21.0" customHeight="1">
      <c r="A2258" s="6">
        <v>1.0</v>
      </c>
      <c r="B2258" s="6">
        <v>175.0</v>
      </c>
      <c r="C2258" s="6">
        <v>5.0</v>
      </c>
      <c r="D2258" s="151" t="s">
        <v>3309</v>
      </c>
      <c r="E2258" s="9" t="s">
        <v>3310</v>
      </c>
      <c r="F2258" s="109" t="str">
        <f t="shared" ref="F2258:G2258" si="2257">TRANSLATE(D2258,"lzh","vi")</f>
        <v>#NAME?</v>
      </c>
      <c r="G2258" s="109" t="str">
        <f t="shared" si="2257"/>
        <v>#NAME?</v>
      </c>
      <c r="X2258" s="110"/>
    </row>
    <row r="2259" ht="21.0" customHeight="1">
      <c r="A2259" s="6">
        <v>1.0</v>
      </c>
      <c r="B2259" s="6">
        <v>175.0</v>
      </c>
      <c r="C2259" s="6">
        <v>6.0</v>
      </c>
      <c r="D2259" s="151" t="s">
        <v>3311</v>
      </c>
      <c r="E2259" s="9" t="s">
        <v>3312</v>
      </c>
      <c r="F2259" s="109" t="str">
        <f t="shared" ref="F2259:G2259" si="2258">TRANSLATE(D2259,"lzh","vi")</f>
        <v>#NAME?</v>
      </c>
      <c r="G2259" s="109" t="str">
        <f t="shared" si="2258"/>
        <v>#NAME?</v>
      </c>
      <c r="X2259" s="110"/>
    </row>
    <row r="2260" ht="21.0" customHeight="1">
      <c r="A2260" s="6">
        <v>1.0</v>
      </c>
      <c r="B2260" s="6">
        <v>175.0</v>
      </c>
      <c r="C2260" s="6">
        <v>7.0</v>
      </c>
      <c r="D2260" s="151" t="s">
        <v>3313</v>
      </c>
      <c r="E2260" s="9" t="s">
        <v>3314</v>
      </c>
      <c r="F2260" s="109" t="str">
        <f t="shared" ref="F2260:G2260" si="2259">TRANSLATE(D2260,"lzh","vi")</f>
        <v>#NAME?</v>
      </c>
      <c r="G2260" s="109" t="str">
        <f t="shared" si="2259"/>
        <v>#NAME?</v>
      </c>
      <c r="X2260" s="110"/>
    </row>
    <row r="2261" ht="21.0" customHeight="1">
      <c r="A2261" s="6">
        <v>1.0</v>
      </c>
      <c r="B2261" s="6">
        <v>175.0</v>
      </c>
      <c r="C2261" s="6">
        <v>8.0</v>
      </c>
      <c r="D2261" s="151" t="s">
        <v>3315</v>
      </c>
      <c r="E2261" s="9" t="s">
        <v>3316</v>
      </c>
      <c r="F2261" s="109" t="str">
        <f t="shared" ref="F2261:G2261" si="2260">TRANSLATE(D2261,"lzh","vi")</f>
        <v>#NAME?</v>
      </c>
      <c r="G2261" s="109" t="str">
        <f t="shared" si="2260"/>
        <v>#NAME?</v>
      </c>
      <c r="X2261" s="110"/>
    </row>
    <row r="2262" ht="21.0" customHeight="1">
      <c r="A2262" s="6">
        <v>1.0</v>
      </c>
      <c r="B2262" s="6">
        <v>175.0</v>
      </c>
      <c r="C2262" s="6">
        <v>9.0</v>
      </c>
      <c r="D2262" s="151" t="s">
        <v>3317</v>
      </c>
      <c r="E2262" s="9" t="s">
        <v>3318</v>
      </c>
      <c r="F2262" s="109" t="str">
        <f t="shared" ref="F2262:G2262" si="2261">TRANSLATE(D2262,"lzh","vi")</f>
        <v>#NAME?</v>
      </c>
      <c r="G2262" s="109" t="str">
        <f t="shared" si="2261"/>
        <v>#NAME?</v>
      </c>
      <c r="X2262" s="110"/>
    </row>
    <row r="2263" ht="21.0" customHeight="1">
      <c r="A2263" s="6">
        <v>1.0</v>
      </c>
      <c r="B2263" s="6">
        <v>175.0</v>
      </c>
      <c r="C2263" s="6">
        <v>10.0</v>
      </c>
      <c r="D2263" s="151" t="s">
        <v>3319</v>
      </c>
      <c r="E2263" s="9" t="s">
        <v>3320</v>
      </c>
      <c r="F2263" s="109" t="str">
        <f t="shared" ref="F2263:G2263" si="2262">TRANSLATE(D2263,"lzh","vi")</f>
        <v>#NAME?</v>
      </c>
      <c r="G2263" s="109" t="str">
        <f t="shared" si="2262"/>
        <v>#NAME?</v>
      </c>
      <c r="X2263" s="110"/>
    </row>
    <row r="2264" ht="21.0" customHeight="1">
      <c r="A2264" s="6">
        <v>1.0</v>
      </c>
      <c r="B2264" s="6">
        <v>175.0</v>
      </c>
      <c r="C2264" s="6">
        <v>11.0</v>
      </c>
      <c r="D2264" s="151" t="s">
        <v>3321</v>
      </c>
      <c r="E2264" s="9" t="s">
        <v>3322</v>
      </c>
      <c r="F2264" s="109" t="str">
        <f t="shared" ref="F2264:G2264" si="2263">TRANSLATE(D2264,"lzh","vi")</f>
        <v>#NAME?</v>
      </c>
      <c r="G2264" s="109" t="str">
        <f t="shared" si="2263"/>
        <v>#NAME?</v>
      </c>
      <c r="X2264" s="110"/>
    </row>
    <row r="2265" ht="21.0" customHeight="1">
      <c r="A2265" s="6">
        <v>1.0</v>
      </c>
      <c r="B2265" s="6">
        <v>175.0</v>
      </c>
      <c r="C2265" s="6">
        <v>12.0</v>
      </c>
      <c r="D2265" s="151" t="s">
        <v>3323</v>
      </c>
      <c r="E2265" s="9" t="s">
        <v>3324</v>
      </c>
      <c r="F2265" s="109" t="str">
        <f t="shared" ref="F2265:G2265" si="2264">TRANSLATE(D2265,"lzh","vi")</f>
        <v>#NAME?</v>
      </c>
      <c r="G2265" s="109" t="str">
        <f t="shared" si="2264"/>
        <v>#NAME?</v>
      </c>
      <c r="X2265" s="110"/>
    </row>
    <row r="2266" ht="21.0" customHeight="1">
      <c r="A2266" s="6">
        <v>1.0</v>
      </c>
      <c r="B2266" s="6">
        <v>175.0</v>
      </c>
      <c r="C2266" s="6">
        <v>13.0</v>
      </c>
      <c r="D2266" s="151" t="s">
        <v>3325</v>
      </c>
      <c r="E2266" s="9" t="s">
        <v>3326</v>
      </c>
      <c r="F2266" s="109" t="str">
        <f t="shared" ref="F2266:G2266" si="2265">TRANSLATE(D2266,"lzh","vi")</f>
        <v>#NAME?</v>
      </c>
      <c r="G2266" s="109" t="str">
        <f t="shared" si="2265"/>
        <v>#NAME?</v>
      </c>
      <c r="X2266" s="110"/>
    </row>
    <row r="2267" ht="21.0" customHeight="1">
      <c r="A2267" s="6">
        <v>1.0</v>
      </c>
      <c r="B2267" s="6">
        <v>176.0</v>
      </c>
      <c r="C2267" s="6">
        <v>1.0</v>
      </c>
      <c r="D2267" s="151" t="s">
        <v>3327</v>
      </c>
      <c r="E2267" s="9" t="s">
        <v>3328</v>
      </c>
      <c r="F2267" s="109" t="str">
        <f t="shared" ref="F2267:G2267" si="2266">TRANSLATE(D2267,"lzh","vi")</f>
        <v>#NAME?</v>
      </c>
      <c r="G2267" s="109" t="str">
        <f t="shared" si="2266"/>
        <v>#NAME?</v>
      </c>
      <c r="X2267" s="110"/>
    </row>
    <row r="2268" ht="21.0" customHeight="1">
      <c r="A2268" s="6">
        <v>1.0</v>
      </c>
      <c r="B2268" s="6">
        <v>176.0</v>
      </c>
      <c r="C2268" s="6">
        <v>2.0</v>
      </c>
      <c r="D2268" s="151" t="s">
        <v>3329</v>
      </c>
      <c r="E2268" s="9" t="s">
        <v>3330</v>
      </c>
      <c r="F2268" s="109" t="str">
        <f t="shared" ref="F2268:G2268" si="2267">TRANSLATE(D2268,"lzh","vi")</f>
        <v>#NAME?</v>
      </c>
      <c r="G2268" s="109" t="str">
        <f t="shared" si="2267"/>
        <v>#NAME?</v>
      </c>
      <c r="X2268" s="110"/>
    </row>
    <row r="2269" ht="21.0" customHeight="1">
      <c r="A2269" s="6">
        <v>1.0</v>
      </c>
      <c r="B2269" s="6">
        <v>176.0</v>
      </c>
      <c r="C2269" s="6">
        <v>3.0</v>
      </c>
      <c r="D2269" s="151" t="s">
        <v>3331</v>
      </c>
      <c r="E2269" s="9" t="s">
        <v>3332</v>
      </c>
      <c r="F2269" s="109" t="str">
        <f t="shared" ref="F2269:G2269" si="2268">TRANSLATE(D2269,"lzh","vi")</f>
        <v>#NAME?</v>
      </c>
      <c r="G2269" s="109" t="str">
        <f t="shared" si="2268"/>
        <v>#NAME?</v>
      </c>
      <c r="X2269" s="110"/>
    </row>
    <row r="2270" ht="21.0" customHeight="1">
      <c r="A2270" s="6">
        <v>1.0</v>
      </c>
      <c r="B2270" s="6">
        <v>176.0</v>
      </c>
      <c r="C2270" s="6">
        <v>4.0</v>
      </c>
      <c r="D2270" s="151" t="s">
        <v>3333</v>
      </c>
      <c r="E2270" s="9" t="s">
        <v>3334</v>
      </c>
      <c r="F2270" s="109" t="str">
        <f t="shared" ref="F2270:G2270" si="2269">TRANSLATE(D2270,"lzh","vi")</f>
        <v>#NAME?</v>
      </c>
      <c r="G2270" s="109" t="str">
        <f t="shared" si="2269"/>
        <v>#NAME?</v>
      </c>
      <c r="X2270" s="110"/>
    </row>
    <row r="2271" ht="21.0" customHeight="1">
      <c r="A2271" s="6">
        <v>1.0</v>
      </c>
      <c r="B2271" s="6">
        <v>176.0</v>
      </c>
      <c r="C2271" s="6">
        <v>5.0</v>
      </c>
      <c r="D2271" s="151" t="s">
        <v>3335</v>
      </c>
      <c r="E2271" s="9" t="s">
        <v>3336</v>
      </c>
      <c r="F2271" s="109" t="str">
        <f t="shared" ref="F2271:G2271" si="2270">TRANSLATE(D2271,"lzh","vi")</f>
        <v>#NAME?</v>
      </c>
      <c r="G2271" s="109" t="str">
        <f t="shared" si="2270"/>
        <v>#NAME?</v>
      </c>
      <c r="X2271" s="110"/>
    </row>
    <row r="2272" ht="21.0" customHeight="1">
      <c r="A2272" s="6">
        <v>1.0</v>
      </c>
      <c r="B2272" s="6">
        <v>176.0</v>
      </c>
      <c r="C2272" s="6">
        <v>6.0</v>
      </c>
      <c r="D2272" s="151" t="s">
        <v>3337</v>
      </c>
      <c r="E2272" s="9" t="s">
        <v>3338</v>
      </c>
      <c r="F2272" s="109" t="str">
        <f t="shared" ref="F2272:G2272" si="2271">TRANSLATE(D2272,"lzh","vi")</f>
        <v>#NAME?</v>
      </c>
      <c r="G2272" s="109" t="str">
        <f t="shared" si="2271"/>
        <v>#NAME?</v>
      </c>
      <c r="X2272" s="110"/>
    </row>
    <row r="2273" ht="21.0" customHeight="1">
      <c r="A2273" s="6">
        <v>1.0</v>
      </c>
      <c r="B2273" s="6">
        <v>176.0</v>
      </c>
      <c r="C2273" s="6">
        <v>7.0</v>
      </c>
      <c r="D2273" s="151" t="s">
        <v>3339</v>
      </c>
      <c r="E2273" s="9" t="s">
        <v>3340</v>
      </c>
      <c r="F2273" s="109" t="str">
        <f t="shared" ref="F2273:G2273" si="2272">TRANSLATE(D2273,"lzh","vi")</f>
        <v>#NAME?</v>
      </c>
      <c r="G2273" s="109" t="str">
        <f t="shared" si="2272"/>
        <v>#NAME?</v>
      </c>
      <c r="X2273" s="110"/>
    </row>
    <row r="2274" ht="21.0" customHeight="1">
      <c r="A2274" s="6">
        <v>1.0</v>
      </c>
      <c r="B2274" s="6">
        <v>176.0</v>
      </c>
      <c r="C2274" s="6">
        <v>8.0</v>
      </c>
      <c r="D2274" s="151" t="s">
        <v>3341</v>
      </c>
      <c r="E2274" s="9" t="s">
        <v>3342</v>
      </c>
      <c r="F2274" s="109" t="str">
        <f t="shared" ref="F2274:G2274" si="2273">TRANSLATE(D2274,"lzh","vi")</f>
        <v>#NAME?</v>
      </c>
      <c r="G2274" s="109" t="str">
        <f t="shared" si="2273"/>
        <v>#NAME?</v>
      </c>
      <c r="X2274" s="110"/>
    </row>
    <row r="2275" ht="21.0" customHeight="1">
      <c r="A2275" s="6">
        <v>1.0</v>
      </c>
      <c r="B2275" s="6">
        <v>176.0</v>
      </c>
      <c r="C2275" s="6">
        <v>9.0</v>
      </c>
      <c r="D2275" s="151" t="s">
        <v>3343</v>
      </c>
      <c r="E2275" s="9" t="s">
        <v>3344</v>
      </c>
      <c r="F2275" s="109" t="str">
        <f t="shared" ref="F2275:G2275" si="2274">TRANSLATE(D2275,"lzh","vi")</f>
        <v>#NAME?</v>
      </c>
      <c r="G2275" s="109" t="str">
        <f t="shared" si="2274"/>
        <v>#NAME?</v>
      </c>
      <c r="X2275" s="110"/>
    </row>
    <row r="2276" ht="21.0" customHeight="1">
      <c r="A2276" s="6">
        <v>1.0</v>
      </c>
      <c r="B2276" s="6">
        <v>176.0</v>
      </c>
      <c r="C2276" s="6">
        <v>10.0</v>
      </c>
      <c r="D2276" s="151" t="s">
        <v>3345</v>
      </c>
      <c r="E2276" s="9" t="s">
        <v>3346</v>
      </c>
      <c r="F2276" s="109" t="str">
        <f t="shared" ref="F2276:G2276" si="2275">TRANSLATE(D2276,"lzh","vi")</f>
        <v>#NAME?</v>
      </c>
      <c r="G2276" s="109" t="str">
        <f t="shared" si="2275"/>
        <v>#NAME?</v>
      </c>
      <c r="X2276" s="110"/>
    </row>
    <row r="2277" ht="21.0" customHeight="1">
      <c r="A2277" s="6">
        <v>1.0</v>
      </c>
      <c r="B2277" s="6">
        <v>176.0</v>
      </c>
      <c r="C2277" s="6">
        <v>11.0</v>
      </c>
      <c r="D2277" s="151" t="s">
        <v>3347</v>
      </c>
      <c r="E2277" s="9" t="s">
        <v>3348</v>
      </c>
      <c r="F2277" s="109" t="str">
        <f t="shared" ref="F2277:G2277" si="2276">TRANSLATE(D2277,"lzh","vi")</f>
        <v>#NAME?</v>
      </c>
      <c r="G2277" s="109" t="str">
        <f t="shared" si="2276"/>
        <v>#NAME?</v>
      </c>
      <c r="X2277" s="110"/>
    </row>
    <row r="2278" ht="21.0" customHeight="1">
      <c r="A2278" s="6">
        <v>1.0</v>
      </c>
      <c r="B2278" s="6">
        <v>176.0</v>
      </c>
      <c r="C2278" s="6">
        <v>12.0</v>
      </c>
      <c r="D2278" s="151" t="s">
        <v>3349</v>
      </c>
      <c r="E2278" s="9" t="s">
        <v>3350</v>
      </c>
      <c r="F2278" s="109" t="str">
        <f t="shared" ref="F2278:G2278" si="2277">TRANSLATE(D2278,"lzh","vi")</f>
        <v>#NAME?</v>
      </c>
      <c r="G2278" s="109" t="str">
        <f t="shared" si="2277"/>
        <v>#NAME?</v>
      </c>
      <c r="X2278" s="110"/>
    </row>
    <row r="2279" ht="21.0" customHeight="1">
      <c r="A2279" s="6">
        <v>1.0</v>
      </c>
      <c r="B2279" s="6">
        <v>176.0</v>
      </c>
      <c r="C2279" s="6">
        <v>13.0</v>
      </c>
      <c r="D2279" s="151" t="s">
        <v>3351</v>
      </c>
      <c r="E2279" s="9" t="s">
        <v>3352</v>
      </c>
      <c r="F2279" s="109" t="str">
        <f t="shared" ref="F2279:G2279" si="2278">TRANSLATE(D2279,"lzh","vi")</f>
        <v>#NAME?</v>
      </c>
      <c r="G2279" s="109" t="str">
        <f t="shared" si="2278"/>
        <v>#NAME?</v>
      </c>
      <c r="X2279" s="110"/>
    </row>
    <row r="2280" ht="21.0" customHeight="1">
      <c r="A2280" s="6">
        <v>1.0</v>
      </c>
      <c r="B2280" s="6">
        <v>177.0</v>
      </c>
      <c r="C2280" s="6">
        <v>1.0</v>
      </c>
      <c r="D2280" s="151" t="s">
        <v>3353</v>
      </c>
      <c r="E2280" s="9" t="s">
        <v>3354</v>
      </c>
      <c r="F2280" s="109" t="str">
        <f t="shared" ref="F2280:G2280" si="2279">TRANSLATE(D2280,"lzh","vi")</f>
        <v>#NAME?</v>
      </c>
      <c r="G2280" s="109" t="str">
        <f t="shared" si="2279"/>
        <v>#NAME?</v>
      </c>
      <c r="X2280" s="110"/>
    </row>
    <row r="2281" ht="21.0" customHeight="1">
      <c r="A2281" s="6">
        <v>1.0</v>
      </c>
      <c r="B2281" s="6">
        <v>177.0</v>
      </c>
      <c r="C2281" s="6">
        <v>2.0</v>
      </c>
      <c r="D2281" s="151" t="s">
        <v>3355</v>
      </c>
      <c r="E2281" s="9" t="s">
        <v>3356</v>
      </c>
      <c r="F2281" s="109" t="str">
        <f t="shared" ref="F2281:G2281" si="2280">TRANSLATE(D2281,"lzh","vi")</f>
        <v>#NAME?</v>
      </c>
      <c r="G2281" s="109" t="str">
        <f t="shared" si="2280"/>
        <v>#NAME?</v>
      </c>
      <c r="X2281" s="110"/>
    </row>
    <row r="2282" ht="21.0" customHeight="1">
      <c r="A2282" s="6">
        <v>1.0</v>
      </c>
      <c r="B2282" s="6">
        <v>177.0</v>
      </c>
      <c r="C2282" s="6">
        <v>3.0</v>
      </c>
      <c r="D2282" s="151" t="s">
        <v>3357</v>
      </c>
      <c r="E2282" s="9" t="s">
        <v>3358</v>
      </c>
      <c r="F2282" s="109" t="str">
        <f t="shared" ref="F2282:G2282" si="2281">TRANSLATE(D2282,"lzh","vi")</f>
        <v>#NAME?</v>
      </c>
      <c r="G2282" s="109" t="str">
        <f t="shared" si="2281"/>
        <v>#NAME?</v>
      </c>
      <c r="X2282" s="110"/>
    </row>
    <row r="2283" ht="21.0" customHeight="1">
      <c r="A2283" s="6">
        <v>1.0</v>
      </c>
      <c r="B2283" s="6">
        <v>177.0</v>
      </c>
      <c r="C2283" s="6">
        <v>4.0</v>
      </c>
      <c r="D2283" s="151" t="s">
        <v>3359</v>
      </c>
      <c r="E2283" s="9" t="s">
        <v>3360</v>
      </c>
      <c r="F2283" s="109" t="str">
        <f t="shared" ref="F2283:G2283" si="2282">TRANSLATE(D2283,"lzh","vi")</f>
        <v>#NAME?</v>
      </c>
      <c r="G2283" s="109" t="str">
        <f t="shared" si="2282"/>
        <v>#NAME?</v>
      </c>
      <c r="X2283" s="110"/>
    </row>
    <row r="2284" ht="21.0" customHeight="1">
      <c r="A2284" s="6">
        <v>1.0</v>
      </c>
      <c r="B2284" s="6">
        <v>177.0</v>
      </c>
      <c r="C2284" s="6">
        <v>5.0</v>
      </c>
      <c r="D2284" s="151" t="s">
        <v>3361</v>
      </c>
      <c r="E2284" s="9" t="s">
        <v>3362</v>
      </c>
      <c r="F2284" s="109" t="str">
        <f t="shared" ref="F2284:G2284" si="2283">TRANSLATE(D2284,"lzh","vi")</f>
        <v>#NAME?</v>
      </c>
      <c r="G2284" s="109" t="str">
        <f t="shared" si="2283"/>
        <v>#NAME?</v>
      </c>
      <c r="X2284" s="110"/>
    </row>
    <row r="2285" ht="21.0" customHeight="1">
      <c r="A2285" s="6">
        <v>1.0</v>
      </c>
      <c r="B2285" s="6">
        <v>177.0</v>
      </c>
      <c r="C2285" s="6">
        <v>6.0</v>
      </c>
      <c r="D2285" s="151" t="s">
        <v>3363</v>
      </c>
      <c r="E2285" s="9" t="s">
        <v>3364</v>
      </c>
      <c r="F2285" s="109" t="str">
        <f t="shared" ref="F2285:G2285" si="2284">TRANSLATE(D2285,"lzh","vi")</f>
        <v>#NAME?</v>
      </c>
      <c r="G2285" s="109" t="str">
        <f t="shared" si="2284"/>
        <v>#NAME?</v>
      </c>
      <c r="X2285" s="110"/>
    </row>
    <row r="2286" ht="21.0" customHeight="1">
      <c r="A2286" s="6">
        <v>1.0</v>
      </c>
      <c r="B2286" s="6">
        <v>177.0</v>
      </c>
      <c r="C2286" s="6">
        <v>7.0</v>
      </c>
      <c r="D2286" s="151" t="s">
        <v>3365</v>
      </c>
      <c r="E2286" s="9" t="s">
        <v>3366</v>
      </c>
      <c r="F2286" s="109" t="str">
        <f t="shared" ref="F2286:G2286" si="2285">TRANSLATE(D2286,"lzh","vi")</f>
        <v>#NAME?</v>
      </c>
      <c r="G2286" s="109" t="str">
        <f t="shared" si="2285"/>
        <v>#NAME?</v>
      </c>
      <c r="X2286" s="110"/>
    </row>
    <row r="2287" ht="21.0" customHeight="1">
      <c r="A2287" s="6">
        <v>1.0</v>
      </c>
      <c r="B2287" s="6">
        <v>177.0</v>
      </c>
      <c r="C2287" s="6">
        <v>8.0</v>
      </c>
      <c r="D2287" s="151" t="s">
        <v>3367</v>
      </c>
      <c r="E2287" s="9" t="s">
        <v>3368</v>
      </c>
      <c r="F2287" s="109" t="str">
        <f t="shared" ref="F2287:G2287" si="2286">TRANSLATE(D2287,"lzh","vi")</f>
        <v>#NAME?</v>
      </c>
      <c r="G2287" s="109" t="str">
        <f t="shared" si="2286"/>
        <v>#NAME?</v>
      </c>
      <c r="X2287" s="110"/>
    </row>
    <row r="2288" ht="21.0" customHeight="1">
      <c r="A2288" s="6">
        <v>1.0</v>
      </c>
      <c r="B2288" s="6">
        <v>177.0</v>
      </c>
      <c r="C2288" s="6">
        <v>9.0</v>
      </c>
      <c r="D2288" s="151" t="s">
        <v>3369</v>
      </c>
      <c r="E2288" s="9" t="s">
        <v>3370</v>
      </c>
      <c r="F2288" s="109" t="str">
        <f t="shared" ref="F2288:G2288" si="2287">TRANSLATE(D2288,"lzh","vi")</f>
        <v>#NAME?</v>
      </c>
      <c r="G2288" s="109" t="str">
        <f t="shared" si="2287"/>
        <v>#NAME?</v>
      </c>
      <c r="X2288" s="110"/>
    </row>
    <row r="2289" ht="21.0" customHeight="1">
      <c r="A2289" s="6">
        <v>1.0</v>
      </c>
      <c r="B2289" s="6">
        <v>177.0</v>
      </c>
      <c r="C2289" s="6">
        <v>10.0</v>
      </c>
      <c r="D2289" s="151" t="s">
        <v>3371</v>
      </c>
      <c r="E2289" s="9" t="s">
        <v>3372</v>
      </c>
      <c r="F2289" s="109" t="str">
        <f t="shared" ref="F2289:G2289" si="2288">TRANSLATE(D2289,"lzh","vi")</f>
        <v>#NAME?</v>
      </c>
      <c r="G2289" s="109" t="str">
        <f t="shared" si="2288"/>
        <v>#NAME?</v>
      </c>
      <c r="X2289" s="110"/>
    </row>
    <row r="2290" ht="21.0" customHeight="1">
      <c r="A2290" s="6">
        <v>1.0</v>
      </c>
      <c r="B2290" s="6">
        <v>177.0</v>
      </c>
      <c r="C2290" s="6">
        <v>11.0</v>
      </c>
      <c r="D2290" s="160" t="s">
        <v>3373</v>
      </c>
      <c r="E2290" s="9" t="s">
        <v>3374</v>
      </c>
      <c r="F2290" s="109" t="str">
        <f t="shared" ref="F2290:G2290" si="2289">TRANSLATE(D2290,"lzh","vi")</f>
        <v>#NAME?</v>
      </c>
      <c r="G2290" s="109" t="str">
        <f t="shared" si="2289"/>
        <v>#NAME?</v>
      </c>
      <c r="X2290" s="110"/>
    </row>
    <row r="2291" ht="21.0" customHeight="1">
      <c r="A2291" s="6">
        <v>1.0</v>
      </c>
      <c r="B2291" s="6">
        <v>177.0</v>
      </c>
      <c r="C2291" s="6">
        <v>12.0</v>
      </c>
      <c r="D2291" s="151" t="s">
        <v>3375</v>
      </c>
      <c r="E2291" s="9" t="s">
        <v>3376</v>
      </c>
      <c r="F2291" s="109" t="str">
        <f t="shared" ref="F2291:G2291" si="2290">TRANSLATE(D2291,"lzh","vi")</f>
        <v>#NAME?</v>
      </c>
      <c r="G2291" s="109" t="str">
        <f t="shared" si="2290"/>
        <v>#NAME?</v>
      </c>
      <c r="X2291" s="110"/>
    </row>
    <row r="2292" ht="21.0" customHeight="1">
      <c r="A2292" s="6">
        <v>1.0</v>
      </c>
      <c r="B2292" s="6">
        <v>177.0</v>
      </c>
      <c r="C2292" s="6">
        <v>13.0</v>
      </c>
      <c r="D2292" s="151" t="s">
        <v>3377</v>
      </c>
      <c r="E2292" s="9" t="s">
        <v>3378</v>
      </c>
      <c r="F2292" s="109" t="str">
        <f t="shared" ref="F2292:G2292" si="2291">TRANSLATE(D2292,"lzh","vi")</f>
        <v>#NAME?</v>
      </c>
      <c r="G2292" s="109" t="str">
        <f t="shared" si="2291"/>
        <v>#NAME?</v>
      </c>
      <c r="X2292" s="110"/>
    </row>
    <row r="2293" ht="21.0" customHeight="1">
      <c r="A2293" s="6">
        <v>11.0</v>
      </c>
      <c r="B2293" s="6">
        <v>1038.0</v>
      </c>
      <c r="C2293" s="6">
        <v>1.0</v>
      </c>
      <c r="D2293" s="151" t="s">
        <v>3379</v>
      </c>
      <c r="E2293" s="9" t="s">
        <v>3380</v>
      </c>
      <c r="F2293" s="109" t="str">
        <f t="shared" ref="F2293:G2293" si="2292">TRANSLATE(D2293,"lzh","vi")</f>
        <v>#NAME?</v>
      </c>
      <c r="G2293" s="109" t="str">
        <f t="shared" si="2292"/>
        <v>#NAME?</v>
      </c>
      <c r="X2293" s="110"/>
    </row>
    <row r="2294" ht="21.0" customHeight="1">
      <c r="A2294" s="6">
        <v>11.0</v>
      </c>
      <c r="B2294" s="6">
        <v>1038.0</v>
      </c>
      <c r="C2294" s="6">
        <v>2.0</v>
      </c>
      <c r="D2294" s="151" t="s">
        <v>3381</v>
      </c>
      <c r="E2294" s="9" t="s">
        <v>3382</v>
      </c>
      <c r="F2294" s="109" t="str">
        <f t="shared" ref="F2294:G2294" si="2293">TRANSLATE(D2294,"lzh","vi")</f>
        <v>#NAME?</v>
      </c>
      <c r="G2294" s="109" t="str">
        <f t="shared" si="2293"/>
        <v>#NAME?</v>
      </c>
      <c r="X2294" s="110"/>
    </row>
    <row r="2295" ht="21.0" customHeight="1">
      <c r="A2295" s="6">
        <v>11.0</v>
      </c>
      <c r="B2295" s="6">
        <v>1038.0</v>
      </c>
      <c r="C2295" s="6">
        <v>3.0</v>
      </c>
      <c r="D2295" s="151" t="s">
        <v>3383</v>
      </c>
      <c r="E2295" s="9" t="s">
        <v>3384</v>
      </c>
      <c r="F2295" s="109" t="str">
        <f t="shared" ref="F2295:G2295" si="2294">TRANSLATE(D2295,"lzh","vi")</f>
        <v>#NAME?</v>
      </c>
      <c r="G2295" s="109" t="str">
        <f t="shared" si="2294"/>
        <v>#NAME?</v>
      </c>
      <c r="X2295" s="110"/>
    </row>
    <row r="2296" ht="21.0" customHeight="1">
      <c r="A2296" s="6">
        <v>11.0</v>
      </c>
      <c r="B2296" s="6">
        <v>1038.0</v>
      </c>
      <c r="C2296" s="6">
        <v>4.0</v>
      </c>
      <c r="D2296" s="151" t="s">
        <v>3385</v>
      </c>
      <c r="E2296" s="9" t="s">
        <v>3386</v>
      </c>
      <c r="F2296" s="109" t="str">
        <f t="shared" ref="F2296:G2296" si="2295">TRANSLATE(D2296,"lzh","vi")</f>
        <v>#NAME?</v>
      </c>
      <c r="G2296" s="109" t="str">
        <f t="shared" si="2295"/>
        <v>#NAME?</v>
      </c>
      <c r="X2296" s="110"/>
    </row>
    <row r="2297" ht="21.0" customHeight="1">
      <c r="A2297" s="6">
        <v>10.0</v>
      </c>
      <c r="B2297" s="6">
        <v>1038.0</v>
      </c>
      <c r="C2297" s="6">
        <v>5.0</v>
      </c>
      <c r="D2297" s="151" t="s">
        <v>3387</v>
      </c>
      <c r="E2297" s="9" t="s">
        <v>3388</v>
      </c>
      <c r="F2297" s="109" t="str">
        <f t="shared" ref="F2297:G2297" si="2296">TRANSLATE(D2297,"lzh","vi")</f>
        <v>#NAME?</v>
      </c>
      <c r="G2297" s="109" t="str">
        <f t="shared" si="2296"/>
        <v>#NAME?</v>
      </c>
      <c r="X2297" s="110"/>
    </row>
    <row r="2298" ht="21.0" customHeight="1">
      <c r="A2298" s="6">
        <v>10.0</v>
      </c>
      <c r="B2298" s="6">
        <v>1038.0</v>
      </c>
      <c r="C2298" s="6">
        <v>6.0</v>
      </c>
      <c r="D2298" s="151" t="s">
        <v>3389</v>
      </c>
      <c r="E2298" s="9" t="s">
        <v>3390</v>
      </c>
      <c r="F2298" s="109" t="str">
        <f t="shared" ref="F2298:G2298" si="2297">TRANSLATE(D2298,"lzh","vi")</f>
        <v>#NAME?</v>
      </c>
      <c r="G2298" s="109" t="str">
        <f t="shared" si="2297"/>
        <v>#NAME?</v>
      </c>
      <c r="X2298" s="110"/>
    </row>
    <row r="2299" ht="21.0" customHeight="1">
      <c r="A2299" s="6">
        <v>10.0</v>
      </c>
      <c r="B2299" s="6">
        <v>1038.0</v>
      </c>
      <c r="C2299" s="6">
        <v>7.0</v>
      </c>
      <c r="D2299" s="151" t="s">
        <v>3391</v>
      </c>
      <c r="E2299" s="9" t="s">
        <v>3392</v>
      </c>
      <c r="F2299" s="109" t="str">
        <f t="shared" ref="F2299:G2299" si="2298">TRANSLATE(D2299,"lzh","vi")</f>
        <v>#NAME?</v>
      </c>
      <c r="G2299" s="109" t="str">
        <f t="shared" si="2298"/>
        <v>#NAME?</v>
      </c>
      <c r="X2299" s="110"/>
    </row>
    <row r="2300" ht="21.0" customHeight="1">
      <c r="A2300" s="6">
        <v>10.0</v>
      </c>
      <c r="B2300" s="6">
        <v>1038.0</v>
      </c>
      <c r="C2300" s="6">
        <v>8.0</v>
      </c>
      <c r="D2300" s="151" t="s">
        <v>3393</v>
      </c>
      <c r="E2300" s="9" t="s">
        <v>3394</v>
      </c>
      <c r="F2300" s="109" t="str">
        <f t="shared" ref="F2300:G2300" si="2299">TRANSLATE(D2300,"lzh","vi")</f>
        <v>#NAME?</v>
      </c>
      <c r="G2300" s="109" t="str">
        <f t="shared" si="2299"/>
        <v>#NAME?</v>
      </c>
      <c r="X2300" s="110"/>
    </row>
    <row r="2301" ht="21.0" customHeight="1">
      <c r="A2301" s="6">
        <v>10.0</v>
      </c>
      <c r="B2301" s="6">
        <v>1038.0</v>
      </c>
      <c r="C2301" s="6">
        <v>9.0</v>
      </c>
      <c r="D2301" s="151" t="s">
        <v>3395</v>
      </c>
      <c r="E2301" s="9" t="s">
        <v>3396</v>
      </c>
      <c r="F2301" s="109" t="str">
        <f t="shared" ref="F2301:G2301" si="2300">TRANSLATE(D2301,"lzh","vi")</f>
        <v>#NAME?</v>
      </c>
      <c r="G2301" s="109" t="str">
        <f t="shared" si="2300"/>
        <v>#NAME?</v>
      </c>
      <c r="X2301" s="110"/>
    </row>
    <row r="2302" ht="21.0" customHeight="1">
      <c r="A2302" s="6">
        <v>10.0</v>
      </c>
      <c r="B2302" s="6">
        <v>1038.0</v>
      </c>
      <c r="C2302" s="6">
        <v>10.0</v>
      </c>
      <c r="D2302" s="151" t="s">
        <v>3397</v>
      </c>
      <c r="E2302" s="9" t="s">
        <v>3398</v>
      </c>
      <c r="F2302" s="109" t="str">
        <f t="shared" ref="F2302:G2302" si="2301">TRANSLATE(D2302,"lzh","vi")</f>
        <v>#NAME?</v>
      </c>
      <c r="G2302" s="109" t="str">
        <f t="shared" si="2301"/>
        <v>#NAME?</v>
      </c>
      <c r="X2302" s="110"/>
    </row>
    <row r="2303" ht="21.0" customHeight="1">
      <c r="A2303" s="6">
        <v>11.0</v>
      </c>
      <c r="B2303" s="6">
        <v>1039.0</v>
      </c>
      <c r="C2303" s="6">
        <v>1.0</v>
      </c>
      <c r="D2303" s="151" t="s">
        <v>3399</v>
      </c>
      <c r="E2303" s="9" t="s">
        <v>3400</v>
      </c>
      <c r="F2303" s="109" t="str">
        <f t="shared" ref="F2303:G2303" si="2302">TRANSLATE(D2303,"lzh","vi")</f>
        <v>#NAME?</v>
      </c>
      <c r="G2303" s="109" t="str">
        <f t="shared" si="2302"/>
        <v>#NAME?</v>
      </c>
      <c r="X2303" s="110"/>
    </row>
    <row r="2304" ht="21.0" customHeight="1">
      <c r="A2304" s="6">
        <v>11.0</v>
      </c>
      <c r="B2304" s="6">
        <v>1039.0</v>
      </c>
      <c r="C2304" s="6">
        <v>2.0</v>
      </c>
      <c r="D2304" s="151" t="s">
        <v>3401</v>
      </c>
      <c r="E2304" s="9" t="s">
        <v>3402</v>
      </c>
      <c r="F2304" s="109" t="str">
        <f t="shared" ref="F2304:G2304" si="2303">TRANSLATE(D2304,"lzh","vi")</f>
        <v>#NAME?</v>
      </c>
      <c r="G2304" s="109" t="str">
        <f t="shared" si="2303"/>
        <v>#NAME?</v>
      </c>
      <c r="X2304" s="110"/>
    </row>
    <row r="2305" ht="21.0" customHeight="1">
      <c r="A2305" s="6">
        <v>11.0</v>
      </c>
      <c r="B2305" s="6">
        <v>1039.0</v>
      </c>
      <c r="C2305" s="6">
        <v>3.0</v>
      </c>
      <c r="D2305" s="151" t="s">
        <v>3403</v>
      </c>
      <c r="E2305" s="9" t="s">
        <v>3404</v>
      </c>
      <c r="F2305" s="109" t="str">
        <f t="shared" ref="F2305:G2305" si="2304">TRANSLATE(D2305,"lzh","vi")</f>
        <v>#NAME?</v>
      </c>
      <c r="G2305" s="109" t="str">
        <f t="shared" si="2304"/>
        <v>#NAME?</v>
      </c>
      <c r="X2305" s="110"/>
    </row>
    <row r="2306" ht="21.0" customHeight="1">
      <c r="A2306" s="6">
        <v>11.0</v>
      </c>
      <c r="B2306" s="6">
        <v>1039.0</v>
      </c>
      <c r="C2306" s="6">
        <v>4.0</v>
      </c>
      <c r="D2306" s="151" t="s">
        <v>3405</v>
      </c>
      <c r="E2306" s="9" t="s">
        <v>3406</v>
      </c>
      <c r="F2306" s="109" t="str">
        <f t="shared" ref="F2306:G2306" si="2305">TRANSLATE(D2306,"lzh","vi")</f>
        <v>#NAME?</v>
      </c>
      <c r="G2306" s="109" t="str">
        <f t="shared" si="2305"/>
        <v>#NAME?</v>
      </c>
      <c r="X2306" s="110"/>
    </row>
    <row r="2307" ht="21.0" customHeight="1">
      <c r="A2307" s="6">
        <v>10.0</v>
      </c>
      <c r="B2307" s="6">
        <v>1039.0</v>
      </c>
      <c r="C2307" s="6">
        <v>5.0</v>
      </c>
      <c r="D2307" s="151" t="s">
        <v>3407</v>
      </c>
      <c r="E2307" s="9" t="s">
        <v>3408</v>
      </c>
      <c r="F2307" s="109" t="str">
        <f t="shared" ref="F2307:G2307" si="2306">TRANSLATE(D2307,"lzh","vi")</f>
        <v>#NAME?</v>
      </c>
      <c r="G2307" s="109" t="str">
        <f t="shared" si="2306"/>
        <v>#NAME?</v>
      </c>
      <c r="X2307" s="110"/>
    </row>
    <row r="2308" ht="21.0" customHeight="1">
      <c r="A2308" s="6">
        <v>10.0</v>
      </c>
      <c r="B2308" s="6">
        <v>1039.0</v>
      </c>
      <c r="C2308" s="6">
        <v>6.0</v>
      </c>
      <c r="D2308" s="151" t="s">
        <v>3409</v>
      </c>
      <c r="E2308" s="9" t="s">
        <v>3410</v>
      </c>
      <c r="F2308" s="109" t="str">
        <f t="shared" ref="F2308:G2308" si="2307">TRANSLATE(D2308,"lzh","vi")</f>
        <v>#NAME?</v>
      </c>
      <c r="G2308" s="109" t="str">
        <f t="shared" si="2307"/>
        <v>#NAME?</v>
      </c>
      <c r="X2308" s="110"/>
    </row>
    <row r="2309" ht="21.0" customHeight="1">
      <c r="A2309" s="6">
        <v>10.0</v>
      </c>
      <c r="B2309" s="6">
        <v>1039.0</v>
      </c>
      <c r="C2309" s="6">
        <v>7.0</v>
      </c>
      <c r="D2309" s="151" t="s">
        <v>3411</v>
      </c>
      <c r="E2309" s="9" t="s">
        <v>3412</v>
      </c>
      <c r="F2309" s="109" t="str">
        <f t="shared" ref="F2309:G2309" si="2308">TRANSLATE(D2309,"lzh","vi")</f>
        <v>#NAME?</v>
      </c>
      <c r="G2309" s="109" t="str">
        <f t="shared" si="2308"/>
        <v>#NAME?</v>
      </c>
      <c r="X2309" s="110"/>
    </row>
    <row r="2310" ht="21.0" customHeight="1">
      <c r="A2310" s="6">
        <v>10.0</v>
      </c>
      <c r="B2310" s="6">
        <v>1039.0</v>
      </c>
      <c r="C2310" s="6">
        <v>8.0</v>
      </c>
      <c r="D2310" s="151" t="s">
        <v>3413</v>
      </c>
      <c r="E2310" s="9" t="s">
        <v>3414</v>
      </c>
      <c r="F2310" s="109" t="str">
        <f t="shared" ref="F2310:G2310" si="2309">TRANSLATE(D2310,"lzh","vi")</f>
        <v>#NAME?</v>
      </c>
      <c r="G2310" s="109" t="str">
        <f t="shared" si="2309"/>
        <v>#NAME?</v>
      </c>
      <c r="X2310" s="110"/>
    </row>
    <row r="2311" ht="21.0" customHeight="1">
      <c r="A2311" s="6">
        <v>10.0</v>
      </c>
      <c r="B2311" s="6">
        <v>1039.0</v>
      </c>
      <c r="C2311" s="6">
        <v>9.0</v>
      </c>
      <c r="D2311" s="151" t="s">
        <v>3415</v>
      </c>
      <c r="E2311" s="9" t="s">
        <v>3416</v>
      </c>
      <c r="F2311" s="109" t="str">
        <f t="shared" ref="F2311:G2311" si="2310">TRANSLATE(D2311,"lzh","vi")</f>
        <v>#NAME?</v>
      </c>
      <c r="G2311" s="109" t="str">
        <f t="shared" si="2310"/>
        <v>#NAME?</v>
      </c>
      <c r="X2311" s="110"/>
    </row>
    <row r="2312" ht="21.0" customHeight="1">
      <c r="A2312" s="6">
        <v>10.0</v>
      </c>
      <c r="B2312" s="6">
        <v>1039.0</v>
      </c>
      <c r="C2312" s="6">
        <v>10.0</v>
      </c>
      <c r="D2312" s="151" t="s">
        <v>3417</v>
      </c>
      <c r="E2312" s="9" t="s">
        <v>3398</v>
      </c>
      <c r="F2312" s="109" t="str">
        <f t="shared" ref="F2312:G2312" si="2311">TRANSLATE(D2312,"lzh","vi")</f>
        <v>#NAME?</v>
      </c>
      <c r="G2312" s="109" t="str">
        <f t="shared" si="2311"/>
        <v>#NAME?</v>
      </c>
      <c r="X2312" s="110"/>
    </row>
    <row r="2313" ht="21.0" customHeight="1">
      <c r="A2313" s="6">
        <v>1.0</v>
      </c>
      <c r="B2313" s="6">
        <v>178.0</v>
      </c>
      <c r="C2313" s="6">
        <v>1.0</v>
      </c>
      <c r="D2313" s="151" t="s">
        <v>3418</v>
      </c>
      <c r="E2313" s="9" t="s">
        <v>3419</v>
      </c>
      <c r="F2313" s="109" t="str">
        <f t="shared" ref="F2313:G2313" si="2312">TRANSLATE(D2313,"lzh","vi")</f>
        <v>#NAME?</v>
      </c>
      <c r="G2313" s="109" t="str">
        <f t="shared" si="2312"/>
        <v>#NAME?</v>
      </c>
      <c r="X2313" s="110"/>
    </row>
    <row r="2314" ht="21.0" customHeight="1">
      <c r="A2314" s="6">
        <v>1.0</v>
      </c>
      <c r="B2314" s="6">
        <v>178.0</v>
      </c>
      <c r="C2314" s="6">
        <v>2.0</v>
      </c>
      <c r="D2314" s="151" t="s">
        <v>3420</v>
      </c>
      <c r="E2314" s="9" t="s">
        <v>3421</v>
      </c>
      <c r="F2314" s="109" t="str">
        <f t="shared" ref="F2314:G2314" si="2313">TRANSLATE(D2314,"lzh","vi")</f>
        <v>#NAME?</v>
      </c>
      <c r="G2314" s="109" t="str">
        <f t="shared" si="2313"/>
        <v>#NAME?</v>
      </c>
      <c r="X2314" s="110"/>
    </row>
    <row r="2315" ht="21.0" customHeight="1">
      <c r="A2315" s="6">
        <v>1.0</v>
      </c>
      <c r="B2315" s="6">
        <v>178.0</v>
      </c>
      <c r="C2315" s="6">
        <v>3.0</v>
      </c>
      <c r="D2315" s="151" t="s">
        <v>3422</v>
      </c>
      <c r="E2315" s="9" t="s">
        <v>3423</v>
      </c>
      <c r="F2315" s="109" t="str">
        <f t="shared" ref="F2315:G2315" si="2314">TRANSLATE(D2315,"lzh","vi")</f>
        <v>#NAME?</v>
      </c>
      <c r="G2315" s="109" t="str">
        <f t="shared" si="2314"/>
        <v>#NAME?</v>
      </c>
      <c r="X2315" s="110"/>
    </row>
    <row r="2316" ht="21.0" customHeight="1">
      <c r="A2316" s="6">
        <v>1.0</v>
      </c>
      <c r="B2316" s="6">
        <v>178.0</v>
      </c>
      <c r="C2316" s="6">
        <v>4.0</v>
      </c>
      <c r="D2316" s="151" t="s">
        <v>3424</v>
      </c>
      <c r="E2316" s="9" t="s">
        <v>3425</v>
      </c>
      <c r="F2316" s="109" t="str">
        <f t="shared" ref="F2316:G2316" si="2315">TRANSLATE(D2316,"lzh","vi")</f>
        <v>#NAME?</v>
      </c>
      <c r="G2316" s="109" t="str">
        <f t="shared" si="2315"/>
        <v>#NAME?</v>
      </c>
      <c r="X2316" s="110"/>
    </row>
    <row r="2317" ht="21.0" customHeight="1">
      <c r="A2317" s="6">
        <v>1.0</v>
      </c>
      <c r="B2317" s="6">
        <v>178.0</v>
      </c>
      <c r="C2317" s="6">
        <v>5.0</v>
      </c>
      <c r="D2317" s="151" t="s">
        <v>3426</v>
      </c>
      <c r="E2317" s="9" t="s">
        <v>3427</v>
      </c>
      <c r="F2317" s="109" t="str">
        <f t="shared" ref="F2317:G2317" si="2316">TRANSLATE(D2317,"lzh","vi")</f>
        <v>#NAME?</v>
      </c>
      <c r="G2317" s="109" t="str">
        <f t="shared" si="2316"/>
        <v>#NAME?</v>
      </c>
      <c r="X2317" s="110"/>
    </row>
    <row r="2318" ht="21.0" customHeight="1">
      <c r="A2318" s="6">
        <v>1.0</v>
      </c>
      <c r="B2318" s="6">
        <v>178.0</v>
      </c>
      <c r="C2318" s="6">
        <v>6.0</v>
      </c>
      <c r="D2318" s="151" t="s">
        <v>3428</v>
      </c>
      <c r="E2318" s="9" t="s">
        <v>3429</v>
      </c>
      <c r="F2318" s="109" t="str">
        <f t="shared" ref="F2318:G2318" si="2317">TRANSLATE(D2318,"lzh","vi")</f>
        <v>#NAME?</v>
      </c>
      <c r="G2318" s="109" t="str">
        <f t="shared" si="2317"/>
        <v>#NAME?</v>
      </c>
      <c r="X2318" s="110"/>
    </row>
    <row r="2319" ht="21.0" customHeight="1">
      <c r="A2319" s="6">
        <v>1.0</v>
      </c>
      <c r="B2319" s="6">
        <v>178.0</v>
      </c>
      <c r="C2319" s="6">
        <v>7.0</v>
      </c>
      <c r="D2319" s="151" t="s">
        <v>3430</v>
      </c>
      <c r="E2319" s="9" t="s">
        <v>3431</v>
      </c>
      <c r="F2319" s="109" t="str">
        <f t="shared" ref="F2319:G2319" si="2318">TRANSLATE(D2319,"lzh","vi")</f>
        <v>#NAME?</v>
      </c>
      <c r="G2319" s="109" t="str">
        <f t="shared" si="2318"/>
        <v>#NAME?</v>
      </c>
      <c r="X2319" s="110"/>
    </row>
    <row r="2320" ht="21.0" customHeight="1">
      <c r="A2320" s="6">
        <v>1.0</v>
      </c>
      <c r="B2320" s="6">
        <v>178.0</v>
      </c>
      <c r="C2320" s="6">
        <v>8.0</v>
      </c>
      <c r="D2320" s="151" t="s">
        <v>3432</v>
      </c>
      <c r="E2320" s="9" t="s">
        <v>3433</v>
      </c>
      <c r="F2320" s="109" t="str">
        <f t="shared" ref="F2320:G2320" si="2319">TRANSLATE(D2320,"lzh","vi")</f>
        <v>#NAME?</v>
      </c>
      <c r="G2320" s="109" t="str">
        <f t="shared" si="2319"/>
        <v>#NAME?</v>
      </c>
      <c r="X2320" s="110"/>
    </row>
    <row r="2321" ht="21.0" customHeight="1">
      <c r="A2321" s="6">
        <v>1.0</v>
      </c>
      <c r="B2321" s="6">
        <v>178.0</v>
      </c>
      <c r="C2321" s="6">
        <v>9.0</v>
      </c>
      <c r="D2321" s="151" t="s">
        <v>3434</v>
      </c>
      <c r="E2321" s="9" t="s">
        <v>3435</v>
      </c>
      <c r="F2321" s="109" t="str">
        <f t="shared" ref="F2321:G2321" si="2320">TRANSLATE(D2321,"lzh","vi")</f>
        <v>#NAME?</v>
      </c>
      <c r="G2321" s="109" t="str">
        <f t="shared" si="2320"/>
        <v>#NAME?</v>
      </c>
      <c r="X2321" s="110"/>
    </row>
    <row r="2322" ht="21.0" customHeight="1">
      <c r="A2322" s="6">
        <v>1.0</v>
      </c>
      <c r="B2322" s="6">
        <v>178.0</v>
      </c>
      <c r="C2322" s="6">
        <v>10.0</v>
      </c>
      <c r="D2322" s="151" t="s">
        <v>3436</v>
      </c>
      <c r="E2322" s="9" t="s">
        <v>3437</v>
      </c>
      <c r="F2322" s="109" t="str">
        <f t="shared" ref="F2322:G2322" si="2321">TRANSLATE(D2322,"lzh","vi")</f>
        <v>#NAME?</v>
      </c>
      <c r="G2322" s="109" t="str">
        <f t="shared" si="2321"/>
        <v>#NAME?</v>
      </c>
      <c r="X2322" s="110"/>
    </row>
    <row r="2323" ht="21.0" customHeight="1">
      <c r="A2323" s="6">
        <v>1.0</v>
      </c>
      <c r="B2323" s="6">
        <v>178.0</v>
      </c>
      <c r="C2323" s="6">
        <v>11.0</v>
      </c>
      <c r="D2323" s="151" t="s">
        <v>3438</v>
      </c>
      <c r="E2323" s="9" t="s">
        <v>3439</v>
      </c>
      <c r="F2323" s="109" t="str">
        <f t="shared" ref="F2323:G2323" si="2322">TRANSLATE(D2323,"lzh","vi")</f>
        <v>#NAME?</v>
      </c>
      <c r="G2323" s="109" t="str">
        <f t="shared" si="2322"/>
        <v>#NAME?</v>
      </c>
      <c r="X2323" s="110"/>
    </row>
    <row r="2324" ht="21.0" customHeight="1">
      <c r="A2324" s="6">
        <v>1.0</v>
      </c>
      <c r="B2324" s="6">
        <v>178.0</v>
      </c>
      <c r="C2324" s="6">
        <v>12.0</v>
      </c>
      <c r="D2324" s="151" t="s">
        <v>3440</v>
      </c>
      <c r="E2324" s="9" t="s">
        <v>3441</v>
      </c>
      <c r="F2324" s="109" t="str">
        <f t="shared" ref="F2324:G2324" si="2323">TRANSLATE(D2324,"lzh","vi")</f>
        <v>#NAME?</v>
      </c>
      <c r="G2324" s="109" t="str">
        <f t="shared" si="2323"/>
        <v>#NAME?</v>
      </c>
      <c r="X2324" s="110"/>
    </row>
    <row r="2325" ht="21.0" customHeight="1">
      <c r="A2325" s="6">
        <v>1.0</v>
      </c>
      <c r="B2325" s="6">
        <v>178.0</v>
      </c>
      <c r="C2325" s="6">
        <v>13.0</v>
      </c>
      <c r="D2325" s="151" t="s">
        <v>3442</v>
      </c>
      <c r="E2325" s="9" t="s">
        <v>3443</v>
      </c>
      <c r="F2325" s="109" t="str">
        <f t="shared" ref="F2325:G2325" si="2324">TRANSLATE(D2325,"lzh","vi")</f>
        <v>#NAME?</v>
      </c>
      <c r="G2325" s="109" t="str">
        <f t="shared" si="2324"/>
        <v>#NAME?</v>
      </c>
      <c r="X2325" s="110"/>
    </row>
    <row r="2326" ht="21.0" customHeight="1">
      <c r="A2326" s="6">
        <v>1.0</v>
      </c>
      <c r="B2326" s="6">
        <v>179.0</v>
      </c>
      <c r="C2326" s="6">
        <v>1.0</v>
      </c>
      <c r="D2326" s="151" t="s">
        <v>3444</v>
      </c>
      <c r="E2326" s="9" t="s">
        <v>3445</v>
      </c>
      <c r="F2326" s="109" t="str">
        <f t="shared" ref="F2326:G2326" si="2325">TRANSLATE(D2326,"lzh","vi")</f>
        <v>#NAME?</v>
      </c>
      <c r="G2326" s="109" t="str">
        <f t="shared" si="2325"/>
        <v>#NAME?</v>
      </c>
      <c r="X2326" s="110"/>
    </row>
    <row r="2327" ht="21.0" customHeight="1">
      <c r="A2327" s="6">
        <v>1.0</v>
      </c>
      <c r="B2327" s="6">
        <v>179.0</v>
      </c>
      <c r="C2327" s="6">
        <v>2.0</v>
      </c>
      <c r="D2327" s="113" t="s">
        <v>3446</v>
      </c>
      <c r="E2327" s="9" t="s">
        <v>3447</v>
      </c>
      <c r="F2327" s="109" t="str">
        <f t="shared" ref="F2327:G2327" si="2326">TRANSLATE(D2327,"lzh","vi")</f>
        <v>#NAME?</v>
      </c>
      <c r="G2327" s="109" t="str">
        <f t="shared" si="2326"/>
        <v>#NAME?</v>
      </c>
      <c r="X2327" s="110"/>
    </row>
    <row r="2328" ht="21.0" customHeight="1">
      <c r="A2328" s="6">
        <v>1.0</v>
      </c>
      <c r="B2328" s="6">
        <v>179.0</v>
      </c>
      <c r="C2328" s="6">
        <v>3.0</v>
      </c>
      <c r="D2328" s="151" t="s">
        <v>3448</v>
      </c>
      <c r="E2328" s="9" t="s">
        <v>3449</v>
      </c>
      <c r="F2328" s="109" t="str">
        <f t="shared" ref="F2328:G2328" si="2327">TRANSLATE(D2328,"lzh","vi")</f>
        <v>#NAME?</v>
      </c>
      <c r="G2328" s="109" t="str">
        <f t="shared" si="2327"/>
        <v>#NAME?</v>
      </c>
      <c r="X2328" s="110"/>
    </row>
    <row r="2329" ht="21.0" customHeight="1">
      <c r="A2329" s="6">
        <v>1.0</v>
      </c>
      <c r="B2329" s="6">
        <v>179.0</v>
      </c>
      <c r="C2329" s="6">
        <v>4.0</v>
      </c>
      <c r="D2329" s="151" t="s">
        <v>3450</v>
      </c>
      <c r="E2329" s="9" t="s">
        <v>3451</v>
      </c>
      <c r="F2329" s="109" t="str">
        <f t="shared" ref="F2329:G2329" si="2328">TRANSLATE(D2329,"lzh","vi")</f>
        <v>#NAME?</v>
      </c>
      <c r="G2329" s="109" t="str">
        <f t="shared" si="2328"/>
        <v>#NAME?</v>
      </c>
      <c r="X2329" s="110"/>
    </row>
    <row r="2330" ht="21.0" customHeight="1">
      <c r="A2330" s="6">
        <v>1.0</v>
      </c>
      <c r="B2330" s="6">
        <v>179.0</v>
      </c>
      <c r="C2330" s="6">
        <v>5.0</v>
      </c>
      <c r="D2330" s="151" t="s">
        <v>3452</v>
      </c>
      <c r="E2330" s="9" t="s">
        <v>3453</v>
      </c>
      <c r="F2330" s="109" t="str">
        <f t="shared" ref="F2330:G2330" si="2329">TRANSLATE(D2330,"lzh","vi")</f>
        <v>#NAME?</v>
      </c>
      <c r="G2330" s="109" t="str">
        <f t="shared" si="2329"/>
        <v>#NAME?</v>
      </c>
      <c r="X2330" s="110"/>
    </row>
    <row r="2331" ht="21.0" customHeight="1">
      <c r="A2331" s="6">
        <v>1.0</v>
      </c>
      <c r="B2331" s="6">
        <v>179.0</v>
      </c>
      <c r="C2331" s="6">
        <v>6.0</v>
      </c>
      <c r="D2331" s="151" t="s">
        <v>3454</v>
      </c>
      <c r="E2331" s="9" t="s">
        <v>3455</v>
      </c>
      <c r="F2331" s="109" t="str">
        <f t="shared" ref="F2331:G2331" si="2330">TRANSLATE(D2331,"lzh","vi")</f>
        <v>#NAME?</v>
      </c>
      <c r="G2331" s="109" t="str">
        <f t="shared" si="2330"/>
        <v>#NAME?</v>
      </c>
      <c r="X2331" s="110"/>
    </row>
    <row r="2332" ht="21.0" customHeight="1">
      <c r="A2332" s="6">
        <v>1.0</v>
      </c>
      <c r="B2332" s="6">
        <v>179.0</v>
      </c>
      <c r="C2332" s="6">
        <v>7.0</v>
      </c>
      <c r="D2332" s="151" t="s">
        <v>3456</v>
      </c>
      <c r="E2332" s="9" t="s">
        <v>3457</v>
      </c>
      <c r="F2332" s="109" t="str">
        <f t="shared" ref="F2332:G2332" si="2331">TRANSLATE(D2332,"lzh","vi")</f>
        <v>#NAME?</v>
      </c>
      <c r="G2332" s="109" t="str">
        <f t="shared" si="2331"/>
        <v>#NAME?</v>
      </c>
      <c r="X2332" s="110"/>
    </row>
    <row r="2333" ht="21.0" customHeight="1">
      <c r="A2333" s="6">
        <v>1.0</v>
      </c>
      <c r="B2333" s="6">
        <v>179.0</v>
      </c>
      <c r="C2333" s="6">
        <v>8.0</v>
      </c>
      <c r="D2333" s="151" t="s">
        <v>3458</v>
      </c>
      <c r="E2333" s="72" t="s">
        <v>3459</v>
      </c>
      <c r="F2333" s="109" t="str">
        <f t="shared" ref="F2333:G2333" si="2332">TRANSLATE(D2333,"lzh","vi")</f>
        <v>#NAME?</v>
      </c>
      <c r="G2333" s="109" t="str">
        <f t="shared" si="2332"/>
        <v>#NAME?</v>
      </c>
      <c r="X2333" s="110"/>
    </row>
    <row r="2334" ht="21.0" customHeight="1">
      <c r="A2334" s="6">
        <v>1.0</v>
      </c>
      <c r="B2334" s="6">
        <v>179.0</v>
      </c>
      <c r="C2334" s="6">
        <v>9.0</v>
      </c>
      <c r="D2334" s="151" t="s">
        <v>3460</v>
      </c>
      <c r="E2334" s="9" t="s">
        <v>3461</v>
      </c>
      <c r="F2334" s="109" t="str">
        <f t="shared" ref="F2334:G2334" si="2333">TRANSLATE(D2334,"lzh","vi")</f>
        <v>#NAME?</v>
      </c>
      <c r="G2334" s="109" t="str">
        <f t="shared" si="2333"/>
        <v>#NAME?</v>
      </c>
      <c r="X2334" s="110"/>
    </row>
    <row r="2335" ht="21.0" customHeight="1">
      <c r="A2335" s="6">
        <v>1.0</v>
      </c>
      <c r="B2335" s="6">
        <v>179.0</v>
      </c>
      <c r="C2335" s="6">
        <v>10.0</v>
      </c>
      <c r="D2335" s="151" t="s">
        <v>3462</v>
      </c>
      <c r="E2335" s="9" t="s">
        <v>3463</v>
      </c>
      <c r="F2335" s="109" t="str">
        <f t="shared" ref="F2335:G2335" si="2334">TRANSLATE(D2335,"lzh","vi")</f>
        <v>#NAME?</v>
      </c>
      <c r="G2335" s="109" t="str">
        <f t="shared" si="2334"/>
        <v>#NAME?</v>
      </c>
      <c r="X2335" s="110"/>
    </row>
    <row r="2336" ht="21.0" customHeight="1">
      <c r="A2336" s="6">
        <v>1.0</v>
      </c>
      <c r="B2336" s="6">
        <v>179.0</v>
      </c>
      <c r="C2336" s="6">
        <v>11.0</v>
      </c>
      <c r="D2336" s="151" t="s">
        <v>3464</v>
      </c>
      <c r="E2336" s="9" t="s">
        <v>3465</v>
      </c>
      <c r="F2336" s="109" t="str">
        <f t="shared" ref="F2336:G2336" si="2335">TRANSLATE(D2336,"lzh","vi")</f>
        <v>#NAME?</v>
      </c>
      <c r="G2336" s="109" t="str">
        <f t="shared" si="2335"/>
        <v>#NAME?</v>
      </c>
      <c r="X2336" s="110"/>
    </row>
    <row r="2337" ht="21.0" customHeight="1">
      <c r="A2337" s="6">
        <v>1.0</v>
      </c>
      <c r="B2337" s="6">
        <v>179.0</v>
      </c>
      <c r="C2337" s="6">
        <v>12.0</v>
      </c>
      <c r="D2337" s="151" t="s">
        <v>3466</v>
      </c>
      <c r="E2337" s="9" t="s">
        <v>3467</v>
      </c>
      <c r="F2337" s="109" t="str">
        <f t="shared" ref="F2337:G2337" si="2336">TRANSLATE(D2337,"lzh","vi")</f>
        <v>#NAME?</v>
      </c>
      <c r="G2337" s="109" t="str">
        <f t="shared" si="2336"/>
        <v>#NAME?</v>
      </c>
      <c r="X2337" s="110"/>
    </row>
    <row r="2338" ht="21.0" customHeight="1">
      <c r="A2338" s="6">
        <v>1.0</v>
      </c>
      <c r="B2338" s="6">
        <v>179.0</v>
      </c>
      <c r="C2338" s="6">
        <v>13.0</v>
      </c>
      <c r="D2338" s="151" t="s">
        <v>3468</v>
      </c>
      <c r="E2338" s="9" t="s">
        <v>3469</v>
      </c>
      <c r="F2338" s="109" t="str">
        <f t="shared" ref="F2338:G2338" si="2337">TRANSLATE(D2338,"lzh","vi")</f>
        <v>#NAME?</v>
      </c>
      <c r="G2338" s="109" t="str">
        <f t="shared" si="2337"/>
        <v>#NAME?</v>
      </c>
      <c r="X2338" s="110"/>
    </row>
    <row r="2339" ht="21.0" customHeight="1">
      <c r="A2339" s="6">
        <v>1.0</v>
      </c>
      <c r="B2339" s="6">
        <v>180.0</v>
      </c>
      <c r="C2339" s="6">
        <v>1.0</v>
      </c>
      <c r="D2339" s="151" t="s">
        <v>3470</v>
      </c>
      <c r="E2339" s="9" t="s">
        <v>3471</v>
      </c>
      <c r="F2339" s="109" t="str">
        <f t="shared" ref="F2339:G2339" si="2338">TRANSLATE(D2339,"lzh","vi")</f>
        <v>#NAME?</v>
      </c>
      <c r="G2339" s="109" t="str">
        <f t="shared" si="2338"/>
        <v>#NAME?</v>
      </c>
      <c r="X2339" s="110"/>
    </row>
    <row r="2340" ht="21.0" customHeight="1">
      <c r="A2340" s="6">
        <v>1.0</v>
      </c>
      <c r="B2340" s="6">
        <v>180.0</v>
      </c>
      <c r="C2340" s="6">
        <v>2.0</v>
      </c>
      <c r="D2340" s="151" t="s">
        <v>3472</v>
      </c>
      <c r="E2340" s="9" t="s">
        <v>3473</v>
      </c>
      <c r="F2340" s="109" t="str">
        <f t="shared" ref="F2340:G2340" si="2339">TRANSLATE(D2340,"lzh","vi")</f>
        <v>#NAME?</v>
      </c>
      <c r="G2340" s="109" t="str">
        <f t="shared" si="2339"/>
        <v>#NAME?</v>
      </c>
      <c r="X2340" s="110"/>
    </row>
    <row r="2341" ht="21.0" customHeight="1">
      <c r="A2341" s="6">
        <v>1.0</v>
      </c>
      <c r="B2341" s="6">
        <v>180.0</v>
      </c>
      <c r="C2341" s="6">
        <v>3.0</v>
      </c>
      <c r="D2341" s="151" t="s">
        <v>3474</v>
      </c>
      <c r="E2341" s="9" t="s">
        <v>3475</v>
      </c>
      <c r="F2341" s="109" t="str">
        <f t="shared" ref="F2341:G2341" si="2340">TRANSLATE(D2341,"lzh","vi")</f>
        <v>#NAME?</v>
      </c>
      <c r="G2341" s="109" t="str">
        <f t="shared" si="2340"/>
        <v>#NAME?</v>
      </c>
      <c r="X2341" s="110"/>
    </row>
    <row r="2342" ht="21.0" customHeight="1">
      <c r="A2342" s="6">
        <v>1.0</v>
      </c>
      <c r="B2342" s="6">
        <v>180.0</v>
      </c>
      <c r="C2342" s="6">
        <v>4.0</v>
      </c>
      <c r="D2342" s="151" t="s">
        <v>3476</v>
      </c>
      <c r="E2342" s="9" t="s">
        <v>3477</v>
      </c>
      <c r="F2342" s="109" t="str">
        <f t="shared" ref="F2342:G2342" si="2341">TRANSLATE(D2342,"lzh","vi")</f>
        <v>#NAME?</v>
      </c>
      <c r="G2342" s="109" t="str">
        <f t="shared" si="2341"/>
        <v>#NAME?</v>
      </c>
      <c r="X2342" s="110"/>
    </row>
    <row r="2343" ht="21.0" customHeight="1">
      <c r="A2343" s="6">
        <v>1.0</v>
      </c>
      <c r="B2343" s="6">
        <v>180.0</v>
      </c>
      <c r="C2343" s="6">
        <v>5.0</v>
      </c>
      <c r="D2343" s="151" t="s">
        <v>3478</v>
      </c>
      <c r="E2343" s="9" t="s">
        <v>3479</v>
      </c>
      <c r="F2343" s="109" t="str">
        <f t="shared" ref="F2343:G2343" si="2342">TRANSLATE(D2343,"lzh","vi")</f>
        <v>#NAME?</v>
      </c>
      <c r="G2343" s="109" t="str">
        <f t="shared" si="2342"/>
        <v>#NAME?</v>
      </c>
      <c r="X2343" s="110"/>
    </row>
    <row r="2344" ht="21.0" customHeight="1">
      <c r="A2344" s="6">
        <v>1.0</v>
      </c>
      <c r="B2344" s="6">
        <v>180.0</v>
      </c>
      <c r="C2344" s="6">
        <v>6.0</v>
      </c>
      <c r="D2344" s="151" t="s">
        <v>3480</v>
      </c>
      <c r="E2344" s="9" t="s">
        <v>3481</v>
      </c>
      <c r="F2344" s="109" t="str">
        <f t="shared" ref="F2344:G2344" si="2343">TRANSLATE(D2344,"lzh","vi")</f>
        <v>#NAME?</v>
      </c>
      <c r="G2344" s="109" t="str">
        <f t="shared" si="2343"/>
        <v>#NAME?</v>
      </c>
      <c r="X2344" s="110"/>
    </row>
    <row r="2345" ht="21.0" customHeight="1">
      <c r="A2345" s="6">
        <v>1.0</v>
      </c>
      <c r="B2345" s="6">
        <v>180.0</v>
      </c>
      <c r="C2345" s="6">
        <v>7.0</v>
      </c>
      <c r="D2345" s="151" t="s">
        <v>3482</v>
      </c>
      <c r="E2345" s="72" t="s">
        <v>3483</v>
      </c>
      <c r="F2345" s="109" t="str">
        <f t="shared" ref="F2345:G2345" si="2344">TRANSLATE(D2345,"lzh","vi")</f>
        <v>#NAME?</v>
      </c>
      <c r="G2345" s="109" t="str">
        <f t="shared" si="2344"/>
        <v>#NAME?</v>
      </c>
      <c r="X2345" s="110"/>
    </row>
    <row r="2346" ht="21.0" customHeight="1">
      <c r="A2346" s="6">
        <v>1.0</v>
      </c>
      <c r="B2346" s="6">
        <v>180.0</v>
      </c>
      <c r="C2346" s="6">
        <v>8.0</v>
      </c>
      <c r="D2346" s="151" t="s">
        <v>3484</v>
      </c>
      <c r="E2346" s="9" t="s">
        <v>3485</v>
      </c>
      <c r="F2346" s="109" t="str">
        <f t="shared" ref="F2346:G2346" si="2345">TRANSLATE(D2346,"lzh","vi")</f>
        <v>#NAME?</v>
      </c>
      <c r="G2346" s="109" t="str">
        <f t="shared" si="2345"/>
        <v>#NAME?</v>
      </c>
      <c r="X2346" s="110"/>
    </row>
    <row r="2347" ht="21.0" customHeight="1">
      <c r="A2347" s="6">
        <v>1.0</v>
      </c>
      <c r="B2347" s="6">
        <v>180.0</v>
      </c>
      <c r="C2347" s="6">
        <v>9.0</v>
      </c>
      <c r="D2347" s="151" t="s">
        <v>3486</v>
      </c>
      <c r="E2347" s="9" t="s">
        <v>3487</v>
      </c>
      <c r="F2347" s="109" t="str">
        <f t="shared" ref="F2347:G2347" si="2346">TRANSLATE(D2347,"lzh","vi")</f>
        <v>#NAME?</v>
      </c>
      <c r="G2347" s="109" t="str">
        <f t="shared" si="2346"/>
        <v>#NAME?</v>
      </c>
      <c r="X2347" s="110"/>
    </row>
    <row r="2348" ht="21.0" customHeight="1">
      <c r="A2348" s="6">
        <v>1.0</v>
      </c>
      <c r="B2348" s="6">
        <v>180.0</v>
      </c>
      <c r="C2348" s="6">
        <v>10.0</v>
      </c>
      <c r="D2348" s="151" t="s">
        <v>3488</v>
      </c>
      <c r="E2348" s="9" t="s">
        <v>3489</v>
      </c>
      <c r="F2348" s="109" t="str">
        <f t="shared" ref="F2348:G2348" si="2347">TRANSLATE(D2348,"lzh","vi")</f>
        <v>#NAME?</v>
      </c>
      <c r="G2348" s="109" t="str">
        <f t="shared" si="2347"/>
        <v>#NAME?</v>
      </c>
      <c r="X2348" s="110"/>
    </row>
    <row r="2349" ht="21.0" customHeight="1">
      <c r="A2349" s="6">
        <v>1.0</v>
      </c>
      <c r="B2349" s="6">
        <v>180.0</v>
      </c>
      <c r="C2349" s="6">
        <v>11.0</v>
      </c>
      <c r="D2349" s="151" t="s">
        <v>3490</v>
      </c>
      <c r="E2349" s="9" t="s">
        <v>3491</v>
      </c>
      <c r="F2349" s="109" t="str">
        <f t="shared" ref="F2349:G2349" si="2348">TRANSLATE(D2349,"lzh","vi")</f>
        <v>#NAME?</v>
      </c>
      <c r="G2349" s="109" t="str">
        <f t="shared" si="2348"/>
        <v>#NAME?</v>
      </c>
      <c r="X2349" s="110"/>
    </row>
    <row r="2350" ht="21.0" customHeight="1">
      <c r="A2350" s="6">
        <v>1.0</v>
      </c>
      <c r="B2350" s="6">
        <v>180.0</v>
      </c>
      <c r="C2350" s="6">
        <v>12.0</v>
      </c>
      <c r="D2350" s="151" t="s">
        <v>3492</v>
      </c>
      <c r="E2350" s="9" t="s">
        <v>3493</v>
      </c>
      <c r="F2350" s="109" t="str">
        <f t="shared" ref="F2350:G2350" si="2349">TRANSLATE(D2350,"lzh","vi")</f>
        <v>#NAME?</v>
      </c>
      <c r="G2350" s="109" t="str">
        <f t="shared" si="2349"/>
        <v>#NAME?</v>
      </c>
      <c r="X2350" s="110"/>
    </row>
    <row r="2351" ht="21.0" customHeight="1">
      <c r="A2351" s="6">
        <v>1.0</v>
      </c>
      <c r="B2351" s="6">
        <v>180.0</v>
      </c>
      <c r="C2351" s="6">
        <v>13.0</v>
      </c>
      <c r="D2351" s="151" t="s">
        <v>3494</v>
      </c>
      <c r="E2351" s="9" t="s">
        <v>3495</v>
      </c>
      <c r="F2351" s="109" t="str">
        <f t="shared" ref="F2351:G2351" si="2350">TRANSLATE(D2351,"lzh","vi")</f>
        <v>#NAME?</v>
      </c>
      <c r="G2351" s="109" t="str">
        <f t="shared" si="2350"/>
        <v>#NAME?</v>
      </c>
      <c r="X2351" s="110"/>
    </row>
    <row r="2352" ht="21.0" customHeight="1">
      <c r="A2352" s="6">
        <v>11.0</v>
      </c>
      <c r="B2352" s="6">
        <v>1040.0</v>
      </c>
      <c r="C2352" s="6">
        <v>1.0</v>
      </c>
      <c r="D2352" s="151" t="s">
        <v>3496</v>
      </c>
      <c r="E2352" s="9" t="s">
        <v>3497</v>
      </c>
      <c r="F2352" s="109" t="str">
        <f t="shared" ref="F2352:G2352" si="2351">TRANSLATE(D2352,"lzh","vi")</f>
        <v>#NAME?</v>
      </c>
      <c r="G2352" s="109" t="str">
        <f t="shared" si="2351"/>
        <v>#NAME?</v>
      </c>
      <c r="X2352" s="110"/>
    </row>
    <row r="2353" ht="21.0" customHeight="1">
      <c r="A2353" s="6">
        <v>11.0</v>
      </c>
      <c r="B2353" s="6">
        <v>1040.0</v>
      </c>
      <c r="C2353" s="6">
        <v>2.0</v>
      </c>
      <c r="D2353" s="151" t="s">
        <v>3498</v>
      </c>
      <c r="E2353" s="9" t="s">
        <v>3499</v>
      </c>
      <c r="F2353" s="109" t="str">
        <f t="shared" ref="F2353:G2353" si="2352">TRANSLATE(D2353,"lzh","vi")</f>
        <v>#NAME?</v>
      </c>
      <c r="G2353" s="109" t="str">
        <f t="shared" si="2352"/>
        <v>#NAME?</v>
      </c>
      <c r="X2353" s="110"/>
    </row>
    <row r="2354" ht="21.0" customHeight="1">
      <c r="A2354" s="6">
        <v>11.0</v>
      </c>
      <c r="B2354" s="6">
        <v>1040.0</v>
      </c>
      <c r="C2354" s="6">
        <v>3.0</v>
      </c>
      <c r="D2354" s="151" t="s">
        <v>3500</v>
      </c>
      <c r="E2354" s="9" t="s">
        <v>3501</v>
      </c>
      <c r="F2354" s="109" t="str">
        <f t="shared" ref="F2354:G2354" si="2353">TRANSLATE(D2354,"lzh","vi")</f>
        <v>#NAME?</v>
      </c>
      <c r="G2354" s="109" t="str">
        <f t="shared" si="2353"/>
        <v>#NAME?</v>
      </c>
      <c r="X2354" s="110"/>
    </row>
    <row r="2355" ht="21.0" customHeight="1">
      <c r="A2355" s="6">
        <v>11.0</v>
      </c>
      <c r="B2355" s="6">
        <v>1040.0</v>
      </c>
      <c r="C2355" s="6">
        <v>4.0</v>
      </c>
      <c r="D2355" s="151" t="s">
        <v>3502</v>
      </c>
      <c r="E2355" s="9" t="s">
        <v>3503</v>
      </c>
      <c r="F2355" s="109" t="str">
        <f t="shared" ref="F2355:G2355" si="2354">TRANSLATE(D2355,"lzh","vi")</f>
        <v>#NAME?</v>
      </c>
      <c r="G2355" s="109" t="str">
        <f t="shared" si="2354"/>
        <v>#NAME?</v>
      </c>
      <c r="X2355" s="110"/>
    </row>
    <row r="2356" ht="21.0" customHeight="1">
      <c r="A2356" s="6">
        <v>10.0</v>
      </c>
      <c r="B2356" s="6">
        <v>1040.0</v>
      </c>
      <c r="C2356" s="6">
        <v>5.0</v>
      </c>
      <c r="D2356" s="151" t="s">
        <v>3504</v>
      </c>
      <c r="E2356" s="9" t="s">
        <v>3505</v>
      </c>
      <c r="F2356" s="109" t="str">
        <f t="shared" ref="F2356:G2356" si="2355">TRANSLATE(D2356,"lzh","vi")</f>
        <v>#NAME?</v>
      </c>
      <c r="G2356" s="109" t="str">
        <f t="shared" si="2355"/>
        <v>#NAME?</v>
      </c>
      <c r="X2356" s="110"/>
    </row>
    <row r="2357" ht="21.0" customHeight="1">
      <c r="A2357" s="6">
        <v>10.0</v>
      </c>
      <c r="B2357" s="6">
        <v>1040.0</v>
      </c>
      <c r="C2357" s="6">
        <v>6.0</v>
      </c>
      <c r="D2357" s="151" t="s">
        <v>3506</v>
      </c>
      <c r="E2357" s="9" t="s">
        <v>3507</v>
      </c>
      <c r="F2357" s="109" t="str">
        <f t="shared" ref="F2357:G2357" si="2356">TRANSLATE(D2357,"lzh","vi")</f>
        <v>#NAME?</v>
      </c>
      <c r="G2357" s="109" t="str">
        <f t="shared" si="2356"/>
        <v>#NAME?</v>
      </c>
      <c r="X2357" s="110"/>
    </row>
    <row r="2358" ht="21.0" customHeight="1">
      <c r="A2358" s="6">
        <v>10.0</v>
      </c>
      <c r="B2358" s="6">
        <v>1040.0</v>
      </c>
      <c r="C2358" s="6">
        <v>7.0</v>
      </c>
      <c r="D2358" s="151" t="s">
        <v>3508</v>
      </c>
      <c r="E2358" s="9" t="s">
        <v>3509</v>
      </c>
      <c r="F2358" s="109" t="str">
        <f t="shared" ref="F2358:G2358" si="2357">TRANSLATE(D2358,"lzh","vi")</f>
        <v>#NAME?</v>
      </c>
      <c r="G2358" s="109" t="str">
        <f t="shared" si="2357"/>
        <v>#NAME?</v>
      </c>
      <c r="X2358" s="110"/>
    </row>
    <row r="2359" ht="21.0" customHeight="1">
      <c r="A2359" s="6">
        <v>10.0</v>
      </c>
      <c r="B2359" s="6">
        <v>1040.0</v>
      </c>
      <c r="C2359" s="6">
        <v>8.0</v>
      </c>
      <c r="D2359" s="151" t="s">
        <v>3510</v>
      </c>
      <c r="E2359" s="9" t="s">
        <v>3511</v>
      </c>
      <c r="F2359" s="109" t="str">
        <f t="shared" ref="F2359:G2359" si="2358">TRANSLATE(D2359,"lzh","vi")</f>
        <v>#NAME?</v>
      </c>
      <c r="G2359" s="109" t="str">
        <f t="shared" si="2358"/>
        <v>#NAME?</v>
      </c>
      <c r="X2359" s="110"/>
    </row>
    <row r="2360" ht="21.0" customHeight="1">
      <c r="A2360" s="6">
        <v>10.0</v>
      </c>
      <c r="B2360" s="6">
        <v>1040.0</v>
      </c>
      <c r="C2360" s="6">
        <v>9.0</v>
      </c>
      <c r="D2360" s="151" t="s">
        <v>3512</v>
      </c>
      <c r="E2360" s="9" t="s">
        <v>3513</v>
      </c>
      <c r="F2360" s="109" t="str">
        <f t="shared" ref="F2360:G2360" si="2359">TRANSLATE(D2360,"lzh","vi")</f>
        <v>#NAME?</v>
      </c>
      <c r="G2360" s="109" t="str">
        <f t="shared" si="2359"/>
        <v>#NAME?</v>
      </c>
      <c r="X2360" s="110"/>
    </row>
    <row r="2361" ht="21.0" customHeight="1">
      <c r="A2361" s="6">
        <v>10.0</v>
      </c>
      <c r="B2361" s="6">
        <v>1040.0</v>
      </c>
      <c r="C2361" s="6">
        <v>10.0</v>
      </c>
      <c r="D2361" s="151" t="s">
        <v>3514</v>
      </c>
      <c r="E2361" s="9" t="s">
        <v>3515</v>
      </c>
      <c r="F2361" s="109" t="str">
        <f t="shared" ref="F2361:G2361" si="2360">TRANSLATE(D2361,"lzh","vi")</f>
        <v>#NAME?</v>
      </c>
      <c r="G2361" s="109" t="str">
        <f t="shared" si="2360"/>
        <v>#NAME?</v>
      </c>
      <c r="X2361" s="110"/>
    </row>
    <row r="2362" ht="21.0" customHeight="1">
      <c r="A2362" s="6">
        <v>11.0</v>
      </c>
      <c r="B2362" s="6">
        <v>1041.0</v>
      </c>
      <c r="C2362" s="6">
        <v>1.0</v>
      </c>
      <c r="D2362" s="151" t="s">
        <v>3516</v>
      </c>
      <c r="E2362" s="9" t="s">
        <v>3517</v>
      </c>
      <c r="F2362" s="109" t="str">
        <f t="shared" ref="F2362:G2362" si="2361">TRANSLATE(D2362,"lzh","vi")</f>
        <v>#NAME?</v>
      </c>
      <c r="G2362" s="109" t="str">
        <f t="shared" si="2361"/>
        <v>#NAME?</v>
      </c>
      <c r="X2362" s="110"/>
    </row>
    <row r="2363" ht="21.0" customHeight="1">
      <c r="A2363" s="6">
        <v>11.0</v>
      </c>
      <c r="B2363" s="6">
        <v>1041.0</v>
      </c>
      <c r="C2363" s="6">
        <v>2.0</v>
      </c>
      <c r="D2363" s="151" t="s">
        <v>3518</v>
      </c>
      <c r="E2363" s="9" t="s">
        <v>3519</v>
      </c>
      <c r="F2363" s="109" t="str">
        <f t="shared" ref="F2363:G2363" si="2362">TRANSLATE(D2363,"lzh","vi")</f>
        <v>#NAME?</v>
      </c>
      <c r="G2363" s="109" t="str">
        <f t="shared" si="2362"/>
        <v>#NAME?</v>
      </c>
      <c r="X2363" s="110"/>
    </row>
    <row r="2364" ht="21.0" customHeight="1">
      <c r="A2364" s="6">
        <v>11.0</v>
      </c>
      <c r="B2364" s="6">
        <v>1041.0</v>
      </c>
      <c r="C2364" s="6">
        <v>3.0</v>
      </c>
      <c r="D2364" s="151" t="s">
        <v>3520</v>
      </c>
      <c r="E2364" s="9" t="s">
        <v>3521</v>
      </c>
      <c r="F2364" s="109" t="str">
        <f t="shared" ref="F2364:G2364" si="2363">TRANSLATE(D2364,"lzh","vi")</f>
        <v>#NAME?</v>
      </c>
      <c r="G2364" s="109" t="str">
        <f t="shared" si="2363"/>
        <v>#NAME?</v>
      </c>
      <c r="X2364" s="110"/>
    </row>
    <row r="2365" ht="21.0" customHeight="1">
      <c r="A2365" s="6">
        <v>11.0</v>
      </c>
      <c r="B2365" s="6">
        <v>1041.0</v>
      </c>
      <c r="C2365" s="6">
        <v>4.0</v>
      </c>
      <c r="D2365" s="151" t="s">
        <v>3522</v>
      </c>
      <c r="E2365" s="9" t="s">
        <v>3523</v>
      </c>
      <c r="F2365" s="109" t="str">
        <f t="shared" ref="F2365:G2365" si="2364">TRANSLATE(D2365,"lzh","vi")</f>
        <v>#NAME?</v>
      </c>
      <c r="G2365" s="109" t="str">
        <f t="shared" si="2364"/>
        <v>#NAME?</v>
      </c>
      <c r="X2365" s="110"/>
    </row>
    <row r="2366" ht="21.0" customHeight="1">
      <c r="A2366" s="6">
        <v>10.0</v>
      </c>
      <c r="B2366" s="6">
        <v>1041.0</v>
      </c>
      <c r="C2366" s="6">
        <v>5.0</v>
      </c>
      <c r="D2366" s="151" t="s">
        <v>3524</v>
      </c>
      <c r="E2366" s="9" t="s">
        <v>3525</v>
      </c>
      <c r="F2366" s="109" t="str">
        <f t="shared" ref="F2366:G2366" si="2365">TRANSLATE(D2366,"lzh","vi")</f>
        <v>#NAME?</v>
      </c>
      <c r="G2366" s="109" t="str">
        <f t="shared" si="2365"/>
        <v>#NAME?</v>
      </c>
      <c r="X2366" s="110"/>
    </row>
    <row r="2367" ht="21.0" customHeight="1">
      <c r="A2367" s="6">
        <v>10.0</v>
      </c>
      <c r="B2367" s="6">
        <v>1041.0</v>
      </c>
      <c r="C2367" s="6">
        <v>6.0</v>
      </c>
      <c r="D2367" s="151" t="s">
        <v>3526</v>
      </c>
      <c r="E2367" s="9" t="s">
        <v>3527</v>
      </c>
      <c r="F2367" s="109" t="str">
        <f t="shared" ref="F2367:G2367" si="2366">TRANSLATE(D2367,"lzh","vi")</f>
        <v>#NAME?</v>
      </c>
      <c r="G2367" s="109" t="str">
        <f t="shared" si="2366"/>
        <v>#NAME?</v>
      </c>
      <c r="X2367" s="110"/>
    </row>
    <row r="2368" ht="21.0" customHeight="1">
      <c r="A2368" s="6">
        <v>10.0</v>
      </c>
      <c r="B2368" s="6">
        <v>1041.0</v>
      </c>
      <c r="C2368" s="6">
        <v>7.0</v>
      </c>
      <c r="D2368" s="151" t="s">
        <v>3528</v>
      </c>
      <c r="E2368" s="9" t="s">
        <v>3529</v>
      </c>
      <c r="F2368" s="109" t="str">
        <f t="shared" ref="F2368:G2368" si="2367">TRANSLATE(D2368,"lzh","vi")</f>
        <v>#NAME?</v>
      </c>
      <c r="G2368" s="109" t="str">
        <f t="shared" si="2367"/>
        <v>#NAME?</v>
      </c>
      <c r="X2368" s="110"/>
    </row>
    <row r="2369" ht="21.0" customHeight="1">
      <c r="A2369" s="6">
        <v>10.0</v>
      </c>
      <c r="B2369" s="6">
        <v>1041.0</v>
      </c>
      <c r="C2369" s="6">
        <v>8.0</v>
      </c>
      <c r="D2369" s="151" t="s">
        <v>3530</v>
      </c>
      <c r="E2369" s="9" t="s">
        <v>3531</v>
      </c>
      <c r="F2369" s="109" t="str">
        <f t="shared" ref="F2369:G2369" si="2368">TRANSLATE(D2369,"lzh","vi")</f>
        <v>#NAME?</v>
      </c>
      <c r="G2369" s="109" t="str">
        <f t="shared" si="2368"/>
        <v>#NAME?</v>
      </c>
      <c r="X2369" s="110"/>
    </row>
    <row r="2370" ht="21.0" customHeight="1">
      <c r="A2370" s="6">
        <v>10.0</v>
      </c>
      <c r="B2370" s="6">
        <v>1041.0</v>
      </c>
      <c r="C2370" s="6">
        <v>9.0</v>
      </c>
      <c r="D2370" s="151" t="s">
        <v>3532</v>
      </c>
      <c r="E2370" s="9" t="s">
        <v>3533</v>
      </c>
      <c r="F2370" s="109" t="str">
        <f t="shared" ref="F2370:G2370" si="2369">TRANSLATE(D2370,"lzh","vi")</f>
        <v>#NAME?</v>
      </c>
      <c r="G2370" s="109" t="str">
        <f t="shared" si="2369"/>
        <v>#NAME?</v>
      </c>
      <c r="X2370" s="110"/>
    </row>
    <row r="2371" ht="21.0" customHeight="1">
      <c r="A2371" s="6">
        <v>10.0</v>
      </c>
      <c r="B2371" s="6">
        <v>1041.0</v>
      </c>
      <c r="C2371" s="6">
        <v>10.0</v>
      </c>
      <c r="D2371" s="151" t="s">
        <v>3534</v>
      </c>
      <c r="E2371" s="9" t="s">
        <v>3515</v>
      </c>
      <c r="F2371" s="109" t="str">
        <f t="shared" ref="F2371:G2371" si="2370">TRANSLATE(D2371,"lzh","vi")</f>
        <v>#NAME?</v>
      </c>
      <c r="G2371" s="109" t="str">
        <f t="shared" si="2370"/>
        <v>#NAME?</v>
      </c>
      <c r="X2371" s="110"/>
    </row>
    <row r="2372" ht="21.0" customHeight="1">
      <c r="A2372" s="6">
        <v>1.0</v>
      </c>
      <c r="B2372" s="6">
        <v>181.0</v>
      </c>
      <c r="C2372" s="6">
        <v>1.0</v>
      </c>
      <c r="D2372" s="151" t="s">
        <v>3535</v>
      </c>
      <c r="E2372" s="9" t="s">
        <v>3536</v>
      </c>
      <c r="F2372" s="109" t="str">
        <f t="shared" ref="F2372:G2372" si="2371">TRANSLATE(D2372,"lzh","vi")</f>
        <v>#NAME?</v>
      </c>
      <c r="G2372" s="109" t="str">
        <f t="shared" si="2371"/>
        <v>#NAME?</v>
      </c>
      <c r="X2372" s="110"/>
    </row>
    <row r="2373" ht="21.0" customHeight="1">
      <c r="A2373" s="6">
        <v>1.0</v>
      </c>
      <c r="B2373" s="6">
        <v>181.0</v>
      </c>
      <c r="C2373" s="6">
        <v>2.0</v>
      </c>
      <c r="D2373" s="151" t="s">
        <v>3537</v>
      </c>
      <c r="E2373" s="9" t="s">
        <v>3538</v>
      </c>
      <c r="F2373" s="109" t="str">
        <f t="shared" ref="F2373:G2373" si="2372">TRANSLATE(D2373,"lzh","vi")</f>
        <v>#NAME?</v>
      </c>
      <c r="G2373" s="109" t="str">
        <f t="shared" si="2372"/>
        <v>#NAME?</v>
      </c>
      <c r="X2373" s="110"/>
    </row>
    <row r="2374" ht="21.0" customHeight="1">
      <c r="A2374" s="6">
        <v>1.0</v>
      </c>
      <c r="B2374" s="6">
        <v>181.0</v>
      </c>
      <c r="C2374" s="6">
        <v>3.0</v>
      </c>
      <c r="D2374" s="151" t="s">
        <v>3539</v>
      </c>
      <c r="E2374" s="9" t="s">
        <v>3540</v>
      </c>
      <c r="F2374" s="109" t="str">
        <f t="shared" ref="F2374:G2374" si="2373">TRANSLATE(D2374,"lzh","vi")</f>
        <v>#NAME?</v>
      </c>
      <c r="G2374" s="109" t="str">
        <f t="shared" si="2373"/>
        <v>#NAME?</v>
      </c>
      <c r="X2374" s="110"/>
    </row>
    <row r="2375" ht="21.0" customHeight="1">
      <c r="A2375" s="6">
        <v>1.0</v>
      </c>
      <c r="B2375" s="6">
        <v>181.0</v>
      </c>
      <c r="C2375" s="6">
        <v>4.0</v>
      </c>
      <c r="D2375" s="151" t="s">
        <v>3541</v>
      </c>
      <c r="E2375" s="9" t="s">
        <v>3542</v>
      </c>
      <c r="F2375" s="109" t="str">
        <f t="shared" ref="F2375:G2375" si="2374">TRANSLATE(D2375,"lzh","vi")</f>
        <v>#NAME?</v>
      </c>
      <c r="G2375" s="109" t="str">
        <f t="shared" si="2374"/>
        <v>#NAME?</v>
      </c>
      <c r="X2375" s="110"/>
    </row>
    <row r="2376" ht="21.0" customHeight="1">
      <c r="A2376" s="6">
        <v>1.0</v>
      </c>
      <c r="B2376" s="6">
        <v>181.0</v>
      </c>
      <c r="C2376" s="6">
        <v>5.0</v>
      </c>
      <c r="D2376" s="151" t="s">
        <v>3543</v>
      </c>
      <c r="E2376" s="9" t="s">
        <v>3544</v>
      </c>
      <c r="F2376" s="109" t="str">
        <f t="shared" ref="F2376:G2376" si="2375">TRANSLATE(D2376,"lzh","vi")</f>
        <v>#NAME?</v>
      </c>
      <c r="G2376" s="109" t="str">
        <f t="shared" si="2375"/>
        <v>#NAME?</v>
      </c>
      <c r="X2376" s="110"/>
    </row>
    <row r="2377" ht="21.0" customHeight="1">
      <c r="A2377" s="6">
        <v>1.0</v>
      </c>
      <c r="B2377" s="6">
        <v>181.0</v>
      </c>
      <c r="C2377" s="6">
        <v>6.0</v>
      </c>
      <c r="D2377" s="151" t="s">
        <v>3545</v>
      </c>
      <c r="E2377" s="9" t="s">
        <v>3546</v>
      </c>
      <c r="F2377" s="109" t="str">
        <f t="shared" ref="F2377:G2377" si="2376">TRANSLATE(D2377,"lzh","vi")</f>
        <v>#NAME?</v>
      </c>
      <c r="G2377" s="109" t="str">
        <f t="shared" si="2376"/>
        <v>#NAME?</v>
      </c>
      <c r="X2377" s="110"/>
    </row>
    <row r="2378" ht="21.0" customHeight="1">
      <c r="A2378" s="6">
        <v>1.0</v>
      </c>
      <c r="B2378" s="6">
        <v>181.0</v>
      </c>
      <c r="C2378" s="6">
        <v>7.0</v>
      </c>
      <c r="D2378" s="151" t="s">
        <v>3547</v>
      </c>
      <c r="E2378" s="9" t="s">
        <v>3548</v>
      </c>
      <c r="F2378" s="109" t="str">
        <f t="shared" ref="F2378:G2378" si="2377">TRANSLATE(D2378,"lzh","vi")</f>
        <v>#NAME?</v>
      </c>
      <c r="G2378" s="109" t="str">
        <f t="shared" si="2377"/>
        <v>#NAME?</v>
      </c>
      <c r="X2378" s="110"/>
    </row>
    <row r="2379" ht="21.0" customHeight="1">
      <c r="A2379" s="6">
        <v>1.0</v>
      </c>
      <c r="B2379" s="6">
        <v>181.0</v>
      </c>
      <c r="C2379" s="6">
        <v>8.0</v>
      </c>
      <c r="D2379" s="151" t="s">
        <v>3549</v>
      </c>
      <c r="E2379" s="9" t="s">
        <v>3550</v>
      </c>
      <c r="F2379" s="109" t="str">
        <f t="shared" ref="F2379:G2379" si="2378">TRANSLATE(D2379,"lzh","vi")</f>
        <v>#NAME?</v>
      </c>
      <c r="G2379" s="109" t="str">
        <f t="shared" si="2378"/>
        <v>#NAME?</v>
      </c>
      <c r="X2379" s="110"/>
    </row>
    <row r="2380" ht="21.0" customHeight="1">
      <c r="A2380" s="6">
        <v>1.0</v>
      </c>
      <c r="B2380" s="6">
        <v>181.0</v>
      </c>
      <c r="C2380" s="6">
        <v>9.0</v>
      </c>
      <c r="D2380" s="151" t="s">
        <v>3551</v>
      </c>
      <c r="E2380" s="9" t="s">
        <v>3552</v>
      </c>
      <c r="F2380" s="109" t="str">
        <f t="shared" ref="F2380:G2380" si="2379">TRANSLATE(D2380,"lzh","vi")</f>
        <v>#NAME?</v>
      </c>
      <c r="G2380" s="109" t="str">
        <f t="shared" si="2379"/>
        <v>#NAME?</v>
      </c>
      <c r="X2380" s="110"/>
    </row>
    <row r="2381" ht="21.0" customHeight="1">
      <c r="A2381" s="6">
        <v>1.0</v>
      </c>
      <c r="B2381" s="6">
        <v>181.0</v>
      </c>
      <c r="C2381" s="6">
        <v>10.0</v>
      </c>
      <c r="D2381" s="151" t="s">
        <v>3553</v>
      </c>
      <c r="E2381" s="9" t="s">
        <v>3554</v>
      </c>
      <c r="F2381" s="109" t="str">
        <f t="shared" ref="F2381:G2381" si="2380">TRANSLATE(D2381,"lzh","vi")</f>
        <v>#NAME?</v>
      </c>
      <c r="G2381" s="109" t="str">
        <f t="shared" si="2380"/>
        <v>#NAME?</v>
      </c>
      <c r="X2381" s="110"/>
    </row>
    <row r="2382" ht="21.0" customHeight="1">
      <c r="A2382" s="6">
        <v>1.0</v>
      </c>
      <c r="B2382" s="6">
        <v>181.0</v>
      </c>
      <c r="C2382" s="6">
        <v>11.0</v>
      </c>
      <c r="D2382" s="151" t="s">
        <v>3555</v>
      </c>
      <c r="E2382" s="9" t="s">
        <v>3556</v>
      </c>
      <c r="F2382" s="109" t="str">
        <f t="shared" ref="F2382:G2382" si="2381">TRANSLATE(D2382,"lzh","vi")</f>
        <v>#NAME?</v>
      </c>
      <c r="G2382" s="109" t="str">
        <f t="shared" si="2381"/>
        <v>#NAME?</v>
      </c>
      <c r="X2382" s="110"/>
    </row>
    <row r="2383" ht="21.0" customHeight="1">
      <c r="A2383" s="6">
        <v>1.0</v>
      </c>
      <c r="B2383" s="6">
        <v>181.0</v>
      </c>
      <c r="C2383" s="6">
        <v>12.0</v>
      </c>
      <c r="D2383" s="151" t="s">
        <v>3557</v>
      </c>
      <c r="E2383" s="9" t="s">
        <v>3558</v>
      </c>
      <c r="F2383" s="109" t="str">
        <f t="shared" ref="F2383:G2383" si="2382">TRANSLATE(D2383,"lzh","vi")</f>
        <v>#NAME?</v>
      </c>
      <c r="G2383" s="109" t="str">
        <f t="shared" si="2382"/>
        <v>#NAME?</v>
      </c>
      <c r="X2383" s="110"/>
    </row>
    <row r="2384" ht="21.0" customHeight="1">
      <c r="A2384" s="6">
        <v>1.0</v>
      </c>
      <c r="B2384" s="6">
        <v>181.0</v>
      </c>
      <c r="C2384" s="6">
        <v>13.0</v>
      </c>
      <c r="D2384" s="151" t="s">
        <v>3559</v>
      </c>
      <c r="E2384" s="9" t="s">
        <v>3560</v>
      </c>
      <c r="F2384" s="109" t="str">
        <f t="shared" ref="F2384:G2384" si="2383">TRANSLATE(D2384,"lzh","vi")</f>
        <v>#NAME?</v>
      </c>
      <c r="G2384" s="109" t="str">
        <f t="shared" si="2383"/>
        <v>#NAME?</v>
      </c>
      <c r="X2384" s="110"/>
    </row>
    <row r="2385" ht="21.0" customHeight="1">
      <c r="A2385" s="6">
        <v>1.0</v>
      </c>
      <c r="B2385" s="6">
        <v>182.0</v>
      </c>
      <c r="C2385" s="6">
        <v>1.0</v>
      </c>
      <c r="D2385" s="151" t="s">
        <v>3561</v>
      </c>
      <c r="E2385" s="9" t="s">
        <v>3562</v>
      </c>
      <c r="F2385" s="109" t="str">
        <f t="shared" ref="F2385:G2385" si="2384">TRANSLATE(D2385,"lzh","vi")</f>
        <v>#NAME?</v>
      </c>
      <c r="G2385" s="109" t="str">
        <f t="shared" si="2384"/>
        <v>#NAME?</v>
      </c>
      <c r="X2385" s="110"/>
    </row>
    <row r="2386" ht="21.0" customHeight="1">
      <c r="A2386" s="6">
        <v>1.0</v>
      </c>
      <c r="B2386" s="6">
        <v>182.0</v>
      </c>
      <c r="C2386" s="6">
        <v>2.0</v>
      </c>
      <c r="D2386" s="151" t="s">
        <v>3563</v>
      </c>
      <c r="E2386" s="9" t="s">
        <v>3564</v>
      </c>
      <c r="F2386" s="109" t="str">
        <f t="shared" ref="F2386:G2386" si="2385">TRANSLATE(D2386,"lzh","vi")</f>
        <v>#NAME?</v>
      </c>
      <c r="G2386" s="109" t="str">
        <f t="shared" si="2385"/>
        <v>#NAME?</v>
      </c>
      <c r="X2386" s="110"/>
    </row>
    <row r="2387" ht="21.0" customHeight="1">
      <c r="A2387" s="6">
        <v>1.0</v>
      </c>
      <c r="B2387" s="6">
        <v>182.0</v>
      </c>
      <c r="C2387" s="6">
        <v>3.0</v>
      </c>
      <c r="D2387" s="151" t="s">
        <v>3565</v>
      </c>
      <c r="E2387" s="9" t="s">
        <v>3566</v>
      </c>
      <c r="F2387" s="109" t="str">
        <f t="shared" ref="F2387:G2387" si="2386">TRANSLATE(D2387,"lzh","vi")</f>
        <v>#NAME?</v>
      </c>
      <c r="G2387" s="109" t="str">
        <f t="shared" si="2386"/>
        <v>#NAME?</v>
      </c>
      <c r="X2387" s="110"/>
    </row>
    <row r="2388" ht="21.0" customHeight="1">
      <c r="A2388" s="6">
        <v>1.0</v>
      </c>
      <c r="B2388" s="6">
        <v>182.0</v>
      </c>
      <c r="C2388" s="6">
        <v>4.0</v>
      </c>
      <c r="D2388" s="151" t="s">
        <v>3567</v>
      </c>
      <c r="E2388" s="9" t="s">
        <v>3568</v>
      </c>
      <c r="F2388" s="109" t="str">
        <f t="shared" ref="F2388:G2388" si="2387">TRANSLATE(D2388,"lzh","vi")</f>
        <v>#NAME?</v>
      </c>
      <c r="G2388" s="109" t="str">
        <f t="shared" si="2387"/>
        <v>#NAME?</v>
      </c>
      <c r="X2388" s="110"/>
    </row>
    <row r="2389" ht="21.0" customHeight="1">
      <c r="A2389" s="6">
        <v>1.0</v>
      </c>
      <c r="B2389" s="6">
        <v>182.0</v>
      </c>
      <c r="C2389" s="6">
        <v>5.0</v>
      </c>
      <c r="D2389" s="151" t="s">
        <v>3569</v>
      </c>
      <c r="E2389" s="9" t="s">
        <v>3570</v>
      </c>
      <c r="F2389" s="109" t="str">
        <f t="shared" ref="F2389:G2389" si="2388">TRANSLATE(D2389,"lzh","vi")</f>
        <v>#NAME?</v>
      </c>
      <c r="G2389" s="109" t="str">
        <f t="shared" si="2388"/>
        <v>#NAME?</v>
      </c>
      <c r="X2389" s="110"/>
    </row>
    <row r="2390" ht="21.0" customHeight="1">
      <c r="A2390" s="6">
        <v>1.0</v>
      </c>
      <c r="B2390" s="6">
        <v>182.0</v>
      </c>
      <c r="C2390" s="6">
        <v>6.0</v>
      </c>
      <c r="D2390" s="151" t="s">
        <v>3571</v>
      </c>
      <c r="E2390" s="9" t="s">
        <v>3572</v>
      </c>
      <c r="F2390" s="109" t="str">
        <f t="shared" ref="F2390:G2390" si="2389">TRANSLATE(D2390,"lzh","vi")</f>
        <v>#NAME?</v>
      </c>
      <c r="G2390" s="109" t="str">
        <f t="shared" si="2389"/>
        <v>#NAME?</v>
      </c>
      <c r="X2390" s="110"/>
    </row>
    <row r="2391" ht="21.0" customHeight="1">
      <c r="A2391" s="6">
        <v>1.0</v>
      </c>
      <c r="B2391" s="6">
        <v>182.0</v>
      </c>
      <c r="C2391" s="6">
        <v>7.0</v>
      </c>
      <c r="D2391" s="151" t="s">
        <v>3573</v>
      </c>
      <c r="E2391" s="9" t="s">
        <v>3574</v>
      </c>
      <c r="F2391" s="109" t="str">
        <f t="shared" ref="F2391:G2391" si="2390">TRANSLATE(D2391,"lzh","vi")</f>
        <v>#NAME?</v>
      </c>
      <c r="G2391" s="109" t="str">
        <f t="shared" si="2390"/>
        <v>#NAME?</v>
      </c>
      <c r="X2391" s="110"/>
    </row>
    <row r="2392" ht="21.0" customHeight="1">
      <c r="A2392" s="6">
        <v>1.0</v>
      </c>
      <c r="B2392" s="6">
        <v>182.0</v>
      </c>
      <c r="C2392" s="6">
        <v>8.0</v>
      </c>
      <c r="D2392" s="151" t="s">
        <v>3575</v>
      </c>
      <c r="E2392" s="72" t="s">
        <v>3576</v>
      </c>
      <c r="F2392" s="109" t="str">
        <f t="shared" ref="F2392:G2392" si="2391">TRANSLATE(D2392,"lzh","vi")</f>
        <v>#NAME?</v>
      </c>
      <c r="G2392" s="109" t="str">
        <f t="shared" si="2391"/>
        <v>#NAME?</v>
      </c>
      <c r="X2392" s="110"/>
    </row>
    <row r="2393" ht="21.0" customHeight="1">
      <c r="A2393" s="6">
        <v>1.0</v>
      </c>
      <c r="B2393" s="6">
        <v>182.0</v>
      </c>
      <c r="C2393" s="6">
        <v>9.0</v>
      </c>
      <c r="D2393" s="151" t="s">
        <v>3577</v>
      </c>
      <c r="E2393" s="9" t="s">
        <v>3578</v>
      </c>
      <c r="F2393" s="109" t="str">
        <f t="shared" ref="F2393:G2393" si="2392">TRANSLATE(D2393,"lzh","vi")</f>
        <v>#NAME?</v>
      </c>
      <c r="G2393" s="109" t="str">
        <f t="shared" si="2392"/>
        <v>#NAME?</v>
      </c>
      <c r="X2393" s="110"/>
    </row>
    <row r="2394" ht="21.0" customHeight="1">
      <c r="A2394" s="6">
        <v>1.0</v>
      </c>
      <c r="B2394" s="6">
        <v>182.0</v>
      </c>
      <c r="C2394" s="6">
        <v>10.0</v>
      </c>
      <c r="D2394" s="151" t="s">
        <v>3579</v>
      </c>
      <c r="E2394" s="9" t="s">
        <v>3580</v>
      </c>
      <c r="F2394" s="109" t="str">
        <f t="shared" ref="F2394:G2394" si="2393">TRANSLATE(D2394,"lzh","vi")</f>
        <v>#NAME?</v>
      </c>
      <c r="G2394" s="109" t="str">
        <f t="shared" si="2393"/>
        <v>#NAME?</v>
      </c>
      <c r="X2394" s="110"/>
    </row>
    <row r="2395" ht="21.0" customHeight="1">
      <c r="A2395" s="6">
        <v>1.0</v>
      </c>
      <c r="B2395" s="6">
        <v>182.0</v>
      </c>
      <c r="C2395" s="6">
        <v>11.0</v>
      </c>
      <c r="D2395" s="151" t="s">
        <v>3581</v>
      </c>
      <c r="E2395" s="9" t="s">
        <v>3582</v>
      </c>
      <c r="F2395" s="109" t="str">
        <f t="shared" ref="F2395:G2395" si="2394">TRANSLATE(D2395,"lzh","vi")</f>
        <v>#NAME?</v>
      </c>
      <c r="G2395" s="109" t="str">
        <f t="shared" si="2394"/>
        <v>#NAME?</v>
      </c>
      <c r="X2395" s="110"/>
    </row>
    <row r="2396" ht="21.0" customHeight="1">
      <c r="A2396" s="6">
        <v>1.0</v>
      </c>
      <c r="B2396" s="6">
        <v>182.0</v>
      </c>
      <c r="C2396" s="6">
        <v>12.0</v>
      </c>
      <c r="D2396" s="151" t="s">
        <v>3583</v>
      </c>
      <c r="E2396" s="9" t="s">
        <v>3584</v>
      </c>
      <c r="F2396" s="109" t="str">
        <f t="shared" ref="F2396:G2396" si="2395">TRANSLATE(D2396,"lzh","vi")</f>
        <v>#NAME?</v>
      </c>
      <c r="G2396" s="109" t="str">
        <f t="shared" si="2395"/>
        <v>#NAME?</v>
      </c>
      <c r="X2396" s="110"/>
    </row>
    <row r="2397" ht="21.0" customHeight="1">
      <c r="A2397" s="6">
        <v>1.0</v>
      </c>
      <c r="B2397" s="6">
        <v>182.0</v>
      </c>
      <c r="C2397" s="6">
        <v>13.0</v>
      </c>
      <c r="D2397" s="151" t="s">
        <v>3585</v>
      </c>
      <c r="E2397" s="9" t="s">
        <v>3586</v>
      </c>
      <c r="F2397" s="109" t="str">
        <f t="shared" ref="F2397:G2397" si="2396">TRANSLATE(D2397,"lzh","vi")</f>
        <v>#NAME?</v>
      </c>
      <c r="G2397" s="109" t="str">
        <f t="shared" si="2396"/>
        <v>#NAME?</v>
      </c>
      <c r="X2397" s="110"/>
    </row>
    <row r="2398" ht="21.0" customHeight="1">
      <c r="A2398" s="6">
        <v>1.0</v>
      </c>
      <c r="B2398" s="6">
        <v>183.0</v>
      </c>
      <c r="C2398" s="6">
        <v>1.0</v>
      </c>
      <c r="D2398" s="151" t="s">
        <v>3587</v>
      </c>
      <c r="E2398" s="9" t="s">
        <v>3588</v>
      </c>
      <c r="F2398" s="109" t="str">
        <f t="shared" ref="F2398:G2398" si="2397">TRANSLATE(D2398,"lzh","vi")</f>
        <v>#NAME?</v>
      </c>
      <c r="G2398" s="109" t="str">
        <f t="shared" si="2397"/>
        <v>#NAME?</v>
      </c>
      <c r="X2398" s="110"/>
    </row>
    <row r="2399" ht="21.0" customHeight="1">
      <c r="A2399" s="6">
        <v>1.0</v>
      </c>
      <c r="B2399" s="6">
        <v>183.0</v>
      </c>
      <c r="C2399" s="6">
        <v>2.0</v>
      </c>
      <c r="D2399" s="151" t="s">
        <v>3589</v>
      </c>
      <c r="E2399" s="9" t="s">
        <v>3590</v>
      </c>
      <c r="F2399" s="109" t="str">
        <f t="shared" ref="F2399:G2399" si="2398">TRANSLATE(D2399,"lzh","vi")</f>
        <v>#NAME?</v>
      </c>
      <c r="G2399" s="109" t="str">
        <f t="shared" si="2398"/>
        <v>#NAME?</v>
      </c>
      <c r="X2399" s="110"/>
    </row>
    <row r="2400" ht="21.0" customHeight="1">
      <c r="A2400" s="6">
        <v>1.0</v>
      </c>
      <c r="B2400" s="6">
        <v>183.0</v>
      </c>
      <c r="C2400" s="6">
        <v>3.0</v>
      </c>
      <c r="D2400" s="151" t="s">
        <v>3591</v>
      </c>
      <c r="E2400" s="9" t="s">
        <v>3592</v>
      </c>
      <c r="F2400" s="109" t="str">
        <f t="shared" ref="F2400:G2400" si="2399">TRANSLATE(D2400,"lzh","vi")</f>
        <v>#NAME?</v>
      </c>
      <c r="G2400" s="109" t="str">
        <f t="shared" si="2399"/>
        <v>#NAME?</v>
      </c>
      <c r="X2400" s="110"/>
    </row>
    <row r="2401" ht="21.0" customHeight="1">
      <c r="A2401" s="6">
        <v>1.0</v>
      </c>
      <c r="B2401" s="6">
        <v>183.0</v>
      </c>
      <c r="C2401" s="6">
        <v>4.0</v>
      </c>
      <c r="D2401" s="151" t="s">
        <v>3593</v>
      </c>
      <c r="E2401" s="9" t="s">
        <v>3594</v>
      </c>
      <c r="F2401" s="109" t="str">
        <f t="shared" ref="F2401:G2401" si="2400">TRANSLATE(D2401,"lzh","vi")</f>
        <v>#NAME?</v>
      </c>
      <c r="G2401" s="109" t="str">
        <f t="shared" si="2400"/>
        <v>#NAME?</v>
      </c>
      <c r="X2401" s="110"/>
    </row>
    <row r="2402" ht="21.0" customHeight="1">
      <c r="A2402" s="6">
        <v>1.0</v>
      </c>
      <c r="B2402" s="6">
        <v>183.0</v>
      </c>
      <c r="C2402" s="6">
        <v>5.0</v>
      </c>
      <c r="D2402" s="151" t="s">
        <v>3595</v>
      </c>
      <c r="E2402" s="9" t="s">
        <v>3596</v>
      </c>
      <c r="F2402" s="109" t="str">
        <f t="shared" ref="F2402:G2402" si="2401">TRANSLATE(D2402,"lzh","vi")</f>
        <v>#NAME?</v>
      </c>
      <c r="G2402" s="109" t="str">
        <f t="shared" si="2401"/>
        <v>#NAME?</v>
      </c>
      <c r="X2402" s="110"/>
    </row>
    <row r="2403" ht="21.0" customHeight="1">
      <c r="A2403" s="6">
        <v>1.0</v>
      </c>
      <c r="B2403" s="6">
        <v>183.0</v>
      </c>
      <c r="C2403" s="6">
        <v>6.0</v>
      </c>
      <c r="D2403" s="151" t="s">
        <v>3597</v>
      </c>
      <c r="E2403" s="9" t="s">
        <v>3598</v>
      </c>
      <c r="F2403" s="109" t="str">
        <f t="shared" ref="F2403:G2403" si="2402">TRANSLATE(D2403,"lzh","vi")</f>
        <v>#NAME?</v>
      </c>
      <c r="G2403" s="109" t="str">
        <f t="shared" si="2402"/>
        <v>#NAME?</v>
      </c>
      <c r="X2403" s="110"/>
    </row>
    <row r="2404" ht="21.0" customHeight="1">
      <c r="A2404" s="6">
        <v>1.0</v>
      </c>
      <c r="B2404" s="6">
        <v>183.0</v>
      </c>
      <c r="C2404" s="6">
        <v>7.0</v>
      </c>
      <c r="D2404" s="151" t="s">
        <v>3599</v>
      </c>
      <c r="E2404" s="72" t="s">
        <v>3600</v>
      </c>
      <c r="F2404" s="109" t="str">
        <f t="shared" ref="F2404:G2404" si="2403">TRANSLATE(D2404,"lzh","vi")</f>
        <v>#NAME?</v>
      </c>
      <c r="G2404" s="109" t="str">
        <f t="shared" si="2403"/>
        <v>#NAME?</v>
      </c>
      <c r="X2404" s="110"/>
    </row>
    <row r="2405" ht="21.0" customHeight="1">
      <c r="A2405" s="6">
        <v>1.0</v>
      </c>
      <c r="B2405" s="6">
        <v>183.0</v>
      </c>
      <c r="C2405" s="6">
        <v>8.0</v>
      </c>
      <c r="D2405" s="151" t="s">
        <v>3601</v>
      </c>
      <c r="E2405" s="9" t="s">
        <v>3602</v>
      </c>
      <c r="F2405" s="109" t="str">
        <f t="shared" ref="F2405:G2405" si="2404">TRANSLATE(D2405,"lzh","vi")</f>
        <v>#NAME?</v>
      </c>
      <c r="G2405" s="109" t="str">
        <f t="shared" si="2404"/>
        <v>#NAME?</v>
      </c>
      <c r="X2405" s="110"/>
    </row>
    <row r="2406" ht="21.0" customHeight="1">
      <c r="A2406" s="6">
        <v>1.0</v>
      </c>
      <c r="B2406" s="6">
        <v>183.0</v>
      </c>
      <c r="C2406" s="6">
        <v>9.0</v>
      </c>
      <c r="D2406" s="151" t="s">
        <v>3603</v>
      </c>
      <c r="E2406" s="9" t="s">
        <v>3604</v>
      </c>
      <c r="F2406" s="109" t="str">
        <f t="shared" ref="F2406:G2406" si="2405">TRANSLATE(D2406,"lzh","vi")</f>
        <v>#NAME?</v>
      </c>
      <c r="G2406" s="109" t="str">
        <f t="shared" si="2405"/>
        <v>#NAME?</v>
      </c>
      <c r="X2406" s="110"/>
    </row>
    <row r="2407" ht="21.0" customHeight="1">
      <c r="A2407" s="6">
        <v>1.0</v>
      </c>
      <c r="B2407" s="6">
        <v>183.0</v>
      </c>
      <c r="C2407" s="6">
        <v>10.0</v>
      </c>
      <c r="D2407" s="151" t="s">
        <v>3605</v>
      </c>
      <c r="E2407" s="9" t="s">
        <v>3606</v>
      </c>
      <c r="F2407" s="109" t="str">
        <f t="shared" ref="F2407:G2407" si="2406">TRANSLATE(D2407,"lzh","vi")</f>
        <v>#NAME?</v>
      </c>
      <c r="G2407" s="109" t="str">
        <f t="shared" si="2406"/>
        <v>#NAME?</v>
      </c>
      <c r="X2407" s="110"/>
    </row>
    <row r="2408" ht="21.0" customHeight="1">
      <c r="A2408" s="6">
        <v>1.0</v>
      </c>
      <c r="B2408" s="6">
        <v>183.0</v>
      </c>
      <c r="C2408" s="6">
        <v>11.0</v>
      </c>
      <c r="D2408" s="151" t="s">
        <v>3607</v>
      </c>
      <c r="E2408" s="9" t="s">
        <v>3608</v>
      </c>
      <c r="F2408" s="109" t="str">
        <f t="shared" ref="F2408:G2408" si="2407">TRANSLATE(D2408,"lzh","vi")</f>
        <v>#NAME?</v>
      </c>
      <c r="G2408" s="109" t="str">
        <f t="shared" si="2407"/>
        <v>#NAME?</v>
      </c>
      <c r="X2408" s="110"/>
    </row>
    <row r="2409" ht="21.0" customHeight="1">
      <c r="A2409" s="6">
        <v>1.0</v>
      </c>
      <c r="B2409" s="6">
        <v>183.0</v>
      </c>
      <c r="C2409" s="6">
        <v>12.0</v>
      </c>
      <c r="D2409" s="151" t="s">
        <v>3609</v>
      </c>
      <c r="E2409" s="9" t="s">
        <v>3610</v>
      </c>
      <c r="F2409" s="109" t="str">
        <f t="shared" ref="F2409:G2409" si="2408">TRANSLATE(D2409,"lzh","vi")</f>
        <v>#NAME?</v>
      </c>
      <c r="G2409" s="109" t="str">
        <f t="shared" si="2408"/>
        <v>#NAME?</v>
      </c>
      <c r="X2409" s="110"/>
    </row>
    <row r="2410" ht="21.0" customHeight="1">
      <c r="A2410" s="6">
        <v>1.0</v>
      </c>
      <c r="B2410" s="6">
        <v>183.0</v>
      </c>
      <c r="C2410" s="6">
        <v>13.0</v>
      </c>
      <c r="D2410" s="151" t="s">
        <v>3611</v>
      </c>
      <c r="E2410" s="9" t="s">
        <v>3612</v>
      </c>
      <c r="F2410" s="109" t="str">
        <f t="shared" ref="F2410:G2410" si="2409">TRANSLATE(D2410,"lzh","vi")</f>
        <v>#NAME?</v>
      </c>
      <c r="G2410" s="109" t="str">
        <f t="shared" si="2409"/>
        <v>#NAME?</v>
      </c>
      <c r="X2410" s="110"/>
    </row>
    <row r="2411" ht="21.0" customHeight="1">
      <c r="A2411" s="6">
        <v>11.0</v>
      </c>
      <c r="B2411" s="6">
        <v>1042.0</v>
      </c>
      <c r="C2411" s="6">
        <v>1.0</v>
      </c>
      <c r="D2411" s="161" t="s">
        <v>3613</v>
      </c>
      <c r="E2411" s="9" t="s">
        <v>3614</v>
      </c>
      <c r="F2411" s="109" t="str">
        <f t="shared" ref="F2411:G2411" si="2410">TRANSLATE(D2411,"lzh","vi")</f>
        <v>#NAME?</v>
      </c>
      <c r="G2411" s="109" t="str">
        <f t="shared" si="2410"/>
        <v>#NAME?</v>
      </c>
      <c r="X2411" s="110"/>
    </row>
    <row r="2412" ht="21.0" customHeight="1">
      <c r="A2412" s="6">
        <v>11.0</v>
      </c>
      <c r="B2412" s="6">
        <v>1042.0</v>
      </c>
      <c r="C2412" s="6">
        <v>2.0</v>
      </c>
      <c r="D2412" s="161" t="s">
        <v>3615</v>
      </c>
      <c r="E2412" s="9" t="s">
        <v>3616</v>
      </c>
      <c r="F2412" s="109" t="str">
        <f t="shared" ref="F2412:G2412" si="2411">TRANSLATE(D2412,"lzh","vi")</f>
        <v>#NAME?</v>
      </c>
      <c r="G2412" s="109" t="str">
        <f t="shared" si="2411"/>
        <v>#NAME?</v>
      </c>
      <c r="X2412" s="110"/>
    </row>
    <row r="2413" ht="21.0" customHeight="1">
      <c r="A2413" s="6">
        <v>11.0</v>
      </c>
      <c r="B2413" s="6">
        <v>1042.0</v>
      </c>
      <c r="C2413" s="6">
        <v>3.0</v>
      </c>
      <c r="D2413" s="161" t="s">
        <v>3617</v>
      </c>
      <c r="E2413" s="9" t="s">
        <v>3618</v>
      </c>
      <c r="F2413" s="109" t="str">
        <f t="shared" ref="F2413:G2413" si="2412">TRANSLATE(D2413,"lzh","vi")</f>
        <v>#NAME?</v>
      </c>
      <c r="G2413" s="109" t="str">
        <f t="shared" si="2412"/>
        <v>#NAME?</v>
      </c>
      <c r="X2413" s="110"/>
    </row>
    <row r="2414" ht="21.0" customHeight="1">
      <c r="A2414" s="6">
        <v>11.0</v>
      </c>
      <c r="B2414" s="6">
        <v>1042.0</v>
      </c>
      <c r="C2414" s="6">
        <v>4.0</v>
      </c>
      <c r="D2414" s="161" t="s">
        <v>3619</v>
      </c>
      <c r="E2414" s="9" t="s">
        <v>3620</v>
      </c>
      <c r="F2414" s="109" t="str">
        <f t="shared" ref="F2414:G2414" si="2413">TRANSLATE(D2414,"lzh","vi")</f>
        <v>#NAME?</v>
      </c>
      <c r="G2414" s="109" t="str">
        <f t="shared" si="2413"/>
        <v>#NAME?</v>
      </c>
      <c r="X2414" s="110"/>
    </row>
    <row r="2415" ht="21.0" customHeight="1">
      <c r="A2415" s="6">
        <v>10.0</v>
      </c>
      <c r="B2415" s="6">
        <v>1042.0</v>
      </c>
      <c r="C2415" s="6">
        <v>5.0</v>
      </c>
      <c r="D2415" s="161" t="s">
        <v>3621</v>
      </c>
      <c r="E2415" s="9" t="s">
        <v>3622</v>
      </c>
      <c r="F2415" s="109" t="str">
        <f t="shared" ref="F2415:G2415" si="2414">TRANSLATE(D2415,"lzh","vi")</f>
        <v>#NAME?</v>
      </c>
      <c r="G2415" s="109" t="str">
        <f t="shared" si="2414"/>
        <v>#NAME?</v>
      </c>
      <c r="X2415" s="110"/>
    </row>
    <row r="2416" ht="21.0" customHeight="1">
      <c r="A2416" s="6">
        <v>10.0</v>
      </c>
      <c r="B2416" s="6">
        <v>1042.0</v>
      </c>
      <c r="C2416" s="6">
        <v>6.0</v>
      </c>
      <c r="D2416" s="161" t="s">
        <v>3623</v>
      </c>
      <c r="E2416" s="9" t="s">
        <v>3624</v>
      </c>
      <c r="F2416" s="109" t="str">
        <f t="shared" ref="F2416:G2416" si="2415">TRANSLATE(D2416,"lzh","vi")</f>
        <v>#NAME?</v>
      </c>
      <c r="G2416" s="109" t="str">
        <f t="shared" si="2415"/>
        <v>#NAME?</v>
      </c>
      <c r="X2416" s="110"/>
    </row>
    <row r="2417" ht="21.0" customHeight="1">
      <c r="A2417" s="6">
        <v>10.0</v>
      </c>
      <c r="B2417" s="6">
        <v>1042.0</v>
      </c>
      <c r="C2417" s="6">
        <v>7.0</v>
      </c>
      <c r="D2417" s="161" t="s">
        <v>3625</v>
      </c>
      <c r="E2417" s="9" t="s">
        <v>3626</v>
      </c>
      <c r="F2417" s="109" t="str">
        <f t="shared" ref="F2417:G2417" si="2416">TRANSLATE(D2417,"lzh","vi")</f>
        <v>#NAME?</v>
      </c>
      <c r="G2417" s="109" t="str">
        <f t="shared" si="2416"/>
        <v>#NAME?</v>
      </c>
      <c r="X2417" s="110"/>
    </row>
    <row r="2418" ht="21.0" customHeight="1">
      <c r="A2418" s="6">
        <v>10.0</v>
      </c>
      <c r="B2418" s="6">
        <v>1042.0</v>
      </c>
      <c r="C2418" s="6">
        <v>8.0</v>
      </c>
      <c r="D2418" s="161" t="s">
        <v>3627</v>
      </c>
      <c r="E2418" s="9" t="s">
        <v>3628</v>
      </c>
      <c r="F2418" s="109" t="str">
        <f t="shared" ref="F2418:G2418" si="2417">TRANSLATE(D2418,"lzh","vi")</f>
        <v>#NAME?</v>
      </c>
      <c r="G2418" s="109" t="str">
        <f t="shared" si="2417"/>
        <v>#NAME?</v>
      </c>
      <c r="X2418" s="110"/>
    </row>
    <row r="2419" ht="21.0" customHeight="1">
      <c r="A2419" s="6">
        <v>10.0</v>
      </c>
      <c r="B2419" s="6">
        <v>1042.0</v>
      </c>
      <c r="C2419" s="6">
        <v>9.0</v>
      </c>
      <c r="D2419" s="161" t="s">
        <v>3629</v>
      </c>
      <c r="E2419" s="9" t="s">
        <v>3630</v>
      </c>
      <c r="F2419" s="109" t="str">
        <f t="shared" ref="F2419:G2419" si="2418">TRANSLATE(D2419,"lzh","vi")</f>
        <v>#NAME?</v>
      </c>
      <c r="G2419" s="109" t="str">
        <f t="shared" si="2418"/>
        <v>#NAME?</v>
      </c>
      <c r="X2419" s="110"/>
    </row>
    <row r="2420" ht="21.0" customHeight="1">
      <c r="A2420" s="6">
        <v>10.0</v>
      </c>
      <c r="B2420" s="6">
        <v>1042.0</v>
      </c>
      <c r="C2420" s="6">
        <v>10.0</v>
      </c>
      <c r="D2420" s="161" t="s">
        <v>3631</v>
      </c>
      <c r="E2420" s="9" t="s">
        <v>3632</v>
      </c>
      <c r="F2420" s="109" t="str">
        <f t="shared" ref="F2420:G2420" si="2419">TRANSLATE(D2420,"lzh","vi")</f>
        <v>#NAME?</v>
      </c>
      <c r="G2420" s="109" t="str">
        <f t="shared" si="2419"/>
        <v>#NAME?</v>
      </c>
      <c r="X2420" s="110"/>
    </row>
    <row r="2421" ht="21.0" customHeight="1">
      <c r="A2421" s="6">
        <v>11.0</v>
      </c>
      <c r="B2421" s="6">
        <v>1043.0</v>
      </c>
      <c r="C2421" s="6">
        <v>1.0</v>
      </c>
      <c r="D2421" s="161" t="s">
        <v>3633</v>
      </c>
      <c r="E2421" s="9" t="s">
        <v>3634</v>
      </c>
      <c r="F2421" s="109" t="str">
        <f t="shared" ref="F2421:G2421" si="2420">TRANSLATE(D2421,"lzh","vi")</f>
        <v>#NAME?</v>
      </c>
      <c r="G2421" s="109" t="str">
        <f t="shared" si="2420"/>
        <v>#NAME?</v>
      </c>
      <c r="X2421" s="110"/>
    </row>
    <row r="2422" ht="21.0" customHeight="1">
      <c r="A2422" s="6">
        <v>11.0</v>
      </c>
      <c r="B2422" s="6">
        <v>1043.0</v>
      </c>
      <c r="C2422" s="6">
        <v>2.0</v>
      </c>
      <c r="D2422" s="161" t="s">
        <v>3635</v>
      </c>
      <c r="E2422" s="9" t="s">
        <v>3636</v>
      </c>
      <c r="F2422" s="109" t="str">
        <f t="shared" ref="F2422:G2422" si="2421">TRANSLATE(D2422,"lzh","vi")</f>
        <v>#NAME?</v>
      </c>
      <c r="G2422" s="109" t="str">
        <f t="shared" si="2421"/>
        <v>#NAME?</v>
      </c>
      <c r="X2422" s="110"/>
    </row>
    <row r="2423" ht="21.0" customHeight="1">
      <c r="A2423" s="6">
        <v>11.0</v>
      </c>
      <c r="B2423" s="6">
        <v>1043.0</v>
      </c>
      <c r="C2423" s="6">
        <v>3.0</v>
      </c>
      <c r="D2423" s="161" t="s">
        <v>3637</v>
      </c>
      <c r="E2423" s="9" t="s">
        <v>3638</v>
      </c>
      <c r="F2423" s="109" t="str">
        <f t="shared" ref="F2423:G2423" si="2422">TRANSLATE(D2423,"lzh","vi")</f>
        <v>#NAME?</v>
      </c>
      <c r="G2423" s="109" t="str">
        <f t="shared" si="2422"/>
        <v>#NAME?</v>
      </c>
      <c r="X2423" s="110"/>
    </row>
    <row r="2424" ht="21.0" customHeight="1">
      <c r="A2424" s="6">
        <v>11.0</v>
      </c>
      <c r="B2424" s="6">
        <v>1043.0</v>
      </c>
      <c r="C2424" s="6">
        <v>4.0</v>
      </c>
      <c r="D2424" s="161" t="s">
        <v>3639</v>
      </c>
      <c r="E2424" s="9" t="s">
        <v>3640</v>
      </c>
      <c r="F2424" s="109" t="str">
        <f t="shared" ref="F2424:G2424" si="2423">TRANSLATE(D2424,"lzh","vi")</f>
        <v>#NAME?</v>
      </c>
      <c r="G2424" s="109" t="str">
        <f t="shared" si="2423"/>
        <v>#NAME?</v>
      </c>
      <c r="X2424" s="110"/>
    </row>
    <row r="2425" ht="21.0" customHeight="1">
      <c r="A2425" s="6">
        <v>10.0</v>
      </c>
      <c r="B2425" s="6">
        <v>1043.0</v>
      </c>
      <c r="C2425" s="6">
        <v>5.0</v>
      </c>
      <c r="D2425" s="161" t="s">
        <v>3641</v>
      </c>
      <c r="E2425" s="9" t="s">
        <v>3642</v>
      </c>
      <c r="F2425" s="109" t="str">
        <f t="shared" ref="F2425:G2425" si="2424">TRANSLATE(D2425,"lzh","vi")</f>
        <v>#NAME?</v>
      </c>
      <c r="G2425" s="109" t="str">
        <f t="shared" si="2424"/>
        <v>#NAME?</v>
      </c>
      <c r="X2425" s="110"/>
    </row>
    <row r="2426" ht="21.0" customHeight="1">
      <c r="A2426" s="6">
        <v>10.0</v>
      </c>
      <c r="B2426" s="6">
        <v>1043.0</v>
      </c>
      <c r="C2426" s="6">
        <v>6.0</v>
      </c>
      <c r="D2426" s="161" t="s">
        <v>3643</v>
      </c>
      <c r="E2426" s="9" t="s">
        <v>3644</v>
      </c>
      <c r="F2426" s="109" t="str">
        <f t="shared" ref="F2426:G2426" si="2425">TRANSLATE(D2426,"lzh","vi")</f>
        <v>#NAME?</v>
      </c>
      <c r="G2426" s="109" t="str">
        <f t="shared" si="2425"/>
        <v>#NAME?</v>
      </c>
      <c r="X2426" s="110"/>
    </row>
    <row r="2427" ht="21.0" customHeight="1">
      <c r="A2427" s="6">
        <v>10.0</v>
      </c>
      <c r="B2427" s="6">
        <v>1043.0</v>
      </c>
      <c r="C2427" s="6">
        <v>7.0</v>
      </c>
      <c r="D2427" s="161" t="s">
        <v>3645</v>
      </c>
      <c r="E2427" s="9" t="s">
        <v>3646</v>
      </c>
      <c r="F2427" s="109" t="str">
        <f t="shared" ref="F2427:G2427" si="2426">TRANSLATE(D2427,"lzh","vi")</f>
        <v>#NAME?</v>
      </c>
      <c r="G2427" s="109" t="str">
        <f t="shared" si="2426"/>
        <v>#NAME?</v>
      </c>
      <c r="X2427" s="110"/>
    </row>
    <row r="2428" ht="21.0" customHeight="1">
      <c r="A2428" s="6">
        <v>10.0</v>
      </c>
      <c r="B2428" s="6">
        <v>1043.0</v>
      </c>
      <c r="C2428" s="6">
        <v>8.0</v>
      </c>
      <c r="D2428" s="161" t="s">
        <v>3647</v>
      </c>
      <c r="E2428" s="9" t="s">
        <v>3648</v>
      </c>
      <c r="F2428" s="109" t="str">
        <f t="shared" ref="F2428:G2428" si="2427">TRANSLATE(D2428,"lzh","vi")</f>
        <v>#NAME?</v>
      </c>
      <c r="G2428" s="109" t="str">
        <f t="shared" si="2427"/>
        <v>#NAME?</v>
      </c>
      <c r="X2428" s="110"/>
    </row>
    <row r="2429" ht="21.0" customHeight="1">
      <c r="A2429" s="6">
        <v>10.0</v>
      </c>
      <c r="B2429" s="6">
        <v>1043.0</v>
      </c>
      <c r="C2429" s="6">
        <v>9.0</v>
      </c>
      <c r="D2429" s="161" t="s">
        <v>3649</v>
      </c>
      <c r="E2429" s="9" t="s">
        <v>3650</v>
      </c>
      <c r="F2429" s="109" t="str">
        <f t="shared" ref="F2429:G2429" si="2428">TRANSLATE(D2429,"lzh","vi")</f>
        <v>#NAME?</v>
      </c>
      <c r="G2429" s="109" t="str">
        <f t="shared" si="2428"/>
        <v>#NAME?</v>
      </c>
      <c r="X2429" s="110"/>
    </row>
    <row r="2430" ht="21.0" customHeight="1">
      <c r="A2430" s="6">
        <v>10.0</v>
      </c>
      <c r="B2430" s="6">
        <v>1043.0</v>
      </c>
      <c r="C2430" s="6">
        <v>10.0</v>
      </c>
      <c r="D2430" s="161" t="s">
        <v>3651</v>
      </c>
      <c r="E2430" s="9" t="s">
        <v>3632</v>
      </c>
      <c r="F2430" s="109" t="str">
        <f t="shared" ref="F2430:G2430" si="2429">TRANSLATE(D2430,"lzh","vi")</f>
        <v>#NAME?</v>
      </c>
      <c r="G2430" s="109" t="str">
        <f t="shared" si="2429"/>
        <v>#NAME?</v>
      </c>
      <c r="X2430" s="110"/>
    </row>
    <row r="2431" ht="21.0" customHeight="1">
      <c r="A2431" s="6">
        <v>1.0</v>
      </c>
      <c r="B2431" s="6">
        <v>184.0</v>
      </c>
      <c r="C2431" s="6">
        <v>1.0</v>
      </c>
      <c r="D2431" s="162" t="s">
        <v>3652</v>
      </c>
      <c r="E2431" s="9" t="s">
        <v>3653</v>
      </c>
      <c r="F2431" s="109" t="str">
        <f t="shared" ref="F2431:G2431" si="2430">TRANSLATE(D2431,"lzh","vi")</f>
        <v>#NAME?</v>
      </c>
      <c r="G2431" s="109" t="str">
        <f t="shared" si="2430"/>
        <v>#NAME?</v>
      </c>
      <c r="X2431" s="110"/>
    </row>
    <row r="2432" ht="21.0" customHeight="1">
      <c r="A2432" s="6">
        <v>1.0</v>
      </c>
      <c r="B2432" s="6">
        <v>184.0</v>
      </c>
      <c r="C2432" s="6">
        <v>2.0</v>
      </c>
      <c r="D2432" s="162" t="s">
        <v>3654</v>
      </c>
      <c r="E2432" s="9" t="s">
        <v>3655</v>
      </c>
      <c r="F2432" s="109" t="str">
        <f t="shared" ref="F2432:G2432" si="2431">TRANSLATE(D2432,"lzh","vi")</f>
        <v>#NAME?</v>
      </c>
      <c r="G2432" s="109" t="str">
        <f t="shared" si="2431"/>
        <v>#NAME?</v>
      </c>
      <c r="X2432" s="110"/>
    </row>
    <row r="2433" ht="21.0" customHeight="1">
      <c r="A2433" s="6">
        <v>1.0</v>
      </c>
      <c r="B2433" s="6">
        <v>184.0</v>
      </c>
      <c r="C2433" s="6">
        <v>3.0</v>
      </c>
      <c r="D2433" s="162" t="s">
        <v>3656</v>
      </c>
      <c r="E2433" s="9" t="s">
        <v>3657</v>
      </c>
      <c r="F2433" s="109" t="str">
        <f t="shared" ref="F2433:G2433" si="2432">TRANSLATE(D2433,"lzh","vi")</f>
        <v>#NAME?</v>
      </c>
      <c r="G2433" s="109" t="str">
        <f t="shared" si="2432"/>
        <v>#NAME?</v>
      </c>
      <c r="X2433" s="110"/>
    </row>
    <row r="2434" ht="21.0" customHeight="1">
      <c r="A2434" s="6">
        <v>1.0</v>
      </c>
      <c r="B2434" s="6">
        <v>184.0</v>
      </c>
      <c r="C2434" s="6">
        <v>4.0</v>
      </c>
      <c r="D2434" s="162" t="s">
        <v>3658</v>
      </c>
      <c r="E2434" s="9" t="s">
        <v>3659</v>
      </c>
      <c r="F2434" s="109" t="str">
        <f t="shared" ref="F2434:G2434" si="2433">TRANSLATE(D2434,"lzh","vi")</f>
        <v>#NAME?</v>
      </c>
      <c r="G2434" s="109" t="str">
        <f t="shared" si="2433"/>
        <v>#NAME?</v>
      </c>
      <c r="X2434" s="110"/>
    </row>
    <row r="2435" ht="21.0" customHeight="1">
      <c r="A2435" s="6">
        <v>1.0</v>
      </c>
      <c r="B2435" s="6">
        <v>184.0</v>
      </c>
      <c r="C2435" s="6">
        <v>5.0</v>
      </c>
      <c r="D2435" s="162" t="s">
        <v>3660</v>
      </c>
      <c r="E2435" s="9" t="s">
        <v>3661</v>
      </c>
      <c r="F2435" s="109" t="str">
        <f t="shared" ref="F2435:G2435" si="2434">TRANSLATE(D2435,"lzh","vi")</f>
        <v>#NAME?</v>
      </c>
      <c r="G2435" s="109" t="str">
        <f t="shared" si="2434"/>
        <v>#NAME?</v>
      </c>
      <c r="X2435" s="110"/>
    </row>
    <row r="2436" ht="21.0" customHeight="1">
      <c r="A2436" s="6">
        <v>1.0</v>
      </c>
      <c r="B2436" s="6">
        <v>184.0</v>
      </c>
      <c r="C2436" s="6">
        <v>6.0</v>
      </c>
      <c r="D2436" s="162" t="s">
        <v>3662</v>
      </c>
      <c r="E2436" s="9" t="s">
        <v>3663</v>
      </c>
      <c r="F2436" s="109" t="str">
        <f t="shared" ref="F2436:G2436" si="2435">TRANSLATE(D2436,"lzh","vi")</f>
        <v>#NAME?</v>
      </c>
      <c r="G2436" s="109" t="str">
        <f t="shared" si="2435"/>
        <v>#NAME?</v>
      </c>
      <c r="X2436" s="110"/>
    </row>
    <row r="2437" ht="21.0" customHeight="1">
      <c r="A2437" s="6">
        <v>1.0</v>
      </c>
      <c r="B2437" s="6">
        <v>184.0</v>
      </c>
      <c r="C2437" s="6">
        <v>7.0</v>
      </c>
      <c r="D2437" s="162" t="s">
        <v>3664</v>
      </c>
      <c r="E2437" s="9" t="s">
        <v>3665</v>
      </c>
      <c r="F2437" s="109" t="str">
        <f t="shared" ref="F2437:G2437" si="2436">TRANSLATE(D2437,"lzh","vi")</f>
        <v>#NAME?</v>
      </c>
      <c r="G2437" s="109" t="str">
        <f t="shared" si="2436"/>
        <v>#NAME?</v>
      </c>
      <c r="X2437" s="110"/>
    </row>
    <row r="2438" ht="21.0" customHeight="1">
      <c r="A2438" s="6">
        <v>1.0</v>
      </c>
      <c r="B2438" s="6">
        <v>184.0</v>
      </c>
      <c r="C2438" s="6">
        <v>8.0</v>
      </c>
      <c r="D2438" s="162" t="s">
        <v>3666</v>
      </c>
      <c r="E2438" s="9" t="s">
        <v>3667</v>
      </c>
      <c r="F2438" s="109" t="str">
        <f t="shared" ref="F2438:G2438" si="2437">TRANSLATE(D2438,"lzh","vi")</f>
        <v>#NAME?</v>
      </c>
      <c r="G2438" s="109" t="str">
        <f t="shared" si="2437"/>
        <v>#NAME?</v>
      </c>
      <c r="X2438" s="110"/>
    </row>
    <row r="2439" ht="21.0" customHeight="1">
      <c r="A2439" s="6">
        <v>1.0</v>
      </c>
      <c r="B2439" s="6">
        <v>184.0</v>
      </c>
      <c r="C2439" s="6">
        <v>9.0</v>
      </c>
      <c r="D2439" s="162" t="s">
        <v>3668</v>
      </c>
      <c r="E2439" s="9" t="s">
        <v>3669</v>
      </c>
      <c r="F2439" s="109" t="str">
        <f t="shared" ref="F2439:G2439" si="2438">TRANSLATE(D2439,"lzh","vi")</f>
        <v>#NAME?</v>
      </c>
      <c r="G2439" s="109" t="str">
        <f t="shared" si="2438"/>
        <v>#NAME?</v>
      </c>
      <c r="X2439" s="110"/>
    </row>
    <row r="2440" ht="21.0" customHeight="1">
      <c r="A2440" s="6">
        <v>1.0</v>
      </c>
      <c r="B2440" s="6">
        <v>184.0</v>
      </c>
      <c r="C2440" s="6">
        <v>10.0</v>
      </c>
      <c r="D2440" s="162" t="s">
        <v>3670</v>
      </c>
      <c r="E2440" s="9" t="s">
        <v>3671</v>
      </c>
      <c r="F2440" s="109" t="str">
        <f t="shared" ref="F2440:G2440" si="2439">TRANSLATE(D2440,"lzh","vi")</f>
        <v>#NAME?</v>
      </c>
      <c r="G2440" s="109" t="str">
        <f t="shared" si="2439"/>
        <v>#NAME?</v>
      </c>
      <c r="X2440" s="110"/>
    </row>
    <row r="2441" ht="21.0" customHeight="1">
      <c r="A2441" s="6">
        <v>1.0</v>
      </c>
      <c r="B2441" s="6">
        <v>184.0</v>
      </c>
      <c r="C2441" s="6">
        <v>11.0</v>
      </c>
      <c r="D2441" s="162" t="s">
        <v>3672</v>
      </c>
      <c r="E2441" s="9" t="s">
        <v>3673</v>
      </c>
      <c r="F2441" s="109" t="str">
        <f t="shared" ref="F2441:G2441" si="2440">TRANSLATE(D2441,"lzh","vi")</f>
        <v>#NAME?</v>
      </c>
      <c r="G2441" s="109" t="str">
        <f t="shared" si="2440"/>
        <v>#NAME?</v>
      </c>
      <c r="X2441" s="110"/>
    </row>
    <row r="2442" ht="21.0" customHeight="1">
      <c r="A2442" s="6">
        <v>1.0</v>
      </c>
      <c r="B2442" s="6">
        <v>184.0</v>
      </c>
      <c r="C2442" s="6">
        <v>12.0</v>
      </c>
      <c r="D2442" s="162" t="s">
        <v>3674</v>
      </c>
      <c r="E2442" s="9" t="s">
        <v>3675</v>
      </c>
      <c r="F2442" s="109" t="str">
        <f t="shared" ref="F2442:G2442" si="2441">TRANSLATE(D2442,"lzh","vi")</f>
        <v>#NAME?</v>
      </c>
      <c r="G2442" s="109" t="str">
        <f t="shared" si="2441"/>
        <v>#NAME?</v>
      </c>
      <c r="X2442" s="110"/>
    </row>
    <row r="2443" ht="21.0" customHeight="1">
      <c r="A2443" s="6">
        <v>1.0</v>
      </c>
      <c r="B2443" s="6">
        <v>184.0</v>
      </c>
      <c r="C2443" s="6">
        <v>13.0</v>
      </c>
      <c r="D2443" s="162" t="s">
        <v>3676</v>
      </c>
      <c r="E2443" s="9" t="s">
        <v>3677</v>
      </c>
      <c r="F2443" s="109" t="str">
        <f t="shared" ref="F2443:G2443" si="2442">TRANSLATE(D2443,"lzh","vi")</f>
        <v>#NAME?</v>
      </c>
      <c r="G2443" s="109" t="str">
        <f t="shared" si="2442"/>
        <v>#NAME?</v>
      </c>
      <c r="X2443" s="110"/>
    </row>
    <row r="2444" ht="21.0" customHeight="1">
      <c r="A2444" s="6">
        <v>1.0</v>
      </c>
      <c r="B2444" s="6">
        <v>185.0</v>
      </c>
      <c r="C2444" s="6">
        <v>1.0</v>
      </c>
      <c r="D2444" s="161" t="s">
        <v>3678</v>
      </c>
      <c r="E2444" s="9" t="s">
        <v>3679</v>
      </c>
      <c r="F2444" s="109" t="str">
        <f t="shared" ref="F2444:G2444" si="2443">TRANSLATE(D2444,"lzh","vi")</f>
        <v>#NAME?</v>
      </c>
      <c r="G2444" s="109" t="str">
        <f t="shared" si="2443"/>
        <v>#NAME?</v>
      </c>
      <c r="X2444" s="110"/>
    </row>
    <row r="2445" ht="21.0" customHeight="1">
      <c r="A2445" s="6">
        <v>1.0</v>
      </c>
      <c r="B2445" s="6">
        <v>185.0</v>
      </c>
      <c r="C2445" s="6">
        <v>2.0</v>
      </c>
      <c r="D2445" s="113" t="s">
        <v>3680</v>
      </c>
      <c r="E2445" s="9" t="s">
        <v>3681</v>
      </c>
      <c r="F2445" s="109" t="str">
        <f t="shared" ref="F2445:G2445" si="2444">TRANSLATE(D2445,"lzh","vi")</f>
        <v>#NAME?</v>
      </c>
      <c r="G2445" s="109" t="str">
        <f t="shared" si="2444"/>
        <v>#NAME?</v>
      </c>
      <c r="X2445" s="110"/>
    </row>
    <row r="2446" ht="21.0" customHeight="1">
      <c r="A2446" s="6">
        <v>1.0</v>
      </c>
      <c r="B2446" s="6">
        <v>185.0</v>
      </c>
      <c r="C2446" s="6">
        <v>3.0</v>
      </c>
      <c r="D2446" s="113" t="s">
        <v>3682</v>
      </c>
      <c r="E2446" s="9" t="s">
        <v>3683</v>
      </c>
      <c r="F2446" s="109" t="str">
        <f t="shared" ref="F2446:G2446" si="2445">TRANSLATE(D2446,"lzh","vi")</f>
        <v>#NAME?</v>
      </c>
      <c r="G2446" s="109" t="str">
        <f t="shared" si="2445"/>
        <v>#NAME?</v>
      </c>
      <c r="X2446" s="110"/>
    </row>
    <row r="2447" ht="21.0" customHeight="1">
      <c r="A2447" s="6">
        <v>1.0</v>
      </c>
      <c r="B2447" s="6">
        <v>185.0</v>
      </c>
      <c r="C2447" s="6">
        <v>4.0</v>
      </c>
      <c r="D2447" s="161" t="s">
        <v>3684</v>
      </c>
      <c r="E2447" s="9" t="s">
        <v>3685</v>
      </c>
      <c r="F2447" s="109" t="str">
        <f t="shared" ref="F2447:G2447" si="2446">TRANSLATE(D2447,"lzh","vi")</f>
        <v>#NAME?</v>
      </c>
      <c r="G2447" s="109" t="str">
        <f t="shared" si="2446"/>
        <v>#NAME?</v>
      </c>
      <c r="X2447" s="110"/>
    </row>
    <row r="2448" ht="21.0" customHeight="1">
      <c r="A2448" s="6">
        <v>1.0</v>
      </c>
      <c r="B2448" s="6">
        <v>185.0</v>
      </c>
      <c r="C2448" s="6">
        <v>5.0</v>
      </c>
      <c r="D2448" s="161" t="s">
        <v>3686</v>
      </c>
      <c r="E2448" s="9" t="s">
        <v>3687</v>
      </c>
      <c r="F2448" s="109" t="str">
        <f t="shared" ref="F2448:G2448" si="2447">TRANSLATE(D2448,"lzh","vi")</f>
        <v>#NAME?</v>
      </c>
      <c r="G2448" s="109" t="str">
        <f t="shared" si="2447"/>
        <v>#NAME?</v>
      </c>
      <c r="X2448" s="110"/>
    </row>
    <row r="2449" ht="21.0" customHeight="1">
      <c r="A2449" s="6">
        <v>1.0</v>
      </c>
      <c r="B2449" s="6">
        <v>185.0</v>
      </c>
      <c r="C2449" s="6">
        <v>6.0</v>
      </c>
      <c r="D2449" s="161" t="s">
        <v>3688</v>
      </c>
      <c r="E2449" s="9" t="s">
        <v>3689</v>
      </c>
      <c r="F2449" s="109" t="str">
        <f t="shared" ref="F2449:G2449" si="2448">TRANSLATE(D2449,"lzh","vi")</f>
        <v>#NAME?</v>
      </c>
      <c r="G2449" s="109" t="str">
        <f t="shared" si="2448"/>
        <v>#NAME?</v>
      </c>
      <c r="X2449" s="110"/>
    </row>
    <row r="2450" ht="21.0" customHeight="1">
      <c r="A2450" s="6">
        <v>1.0</v>
      </c>
      <c r="B2450" s="6">
        <v>185.0</v>
      </c>
      <c r="C2450" s="6">
        <v>7.0</v>
      </c>
      <c r="D2450" s="161" t="s">
        <v>3690</v>
      </c>
      <c r="E2450" s="9" t="s">
        <v>3691</v>
      </c>
      <c r="F2450" s="109" t="str">
        <f t="shared" ref="F2450:G2450" si="2449">TRANSLATE(D2450,"lzh","vi")</f>
        <v>#NAME?</v>
      </c>
      <c r="G2450" s="109" t="str">
        <f t="shared" si="2449"/>
        <v>#NAME?</v>
      </c>
      <c r="X2450" s="110"/>
    </row>
    <row r="2451" ht="21.0" customHeight="1">
      <c r="A2451" s="6">
        <v>1.0</v>
      </c>
      <c r="B2451" s="6">
        <v>185.0</v>
      </c>
      <c r="C2451" s="6">
        <v>8.0</v>
      </c>
      <c r="D2451" s="161" t="s">
        <v>3692</v>
      </c>
      <c r="E2451" s="72" t="s">
        <v>3693</v>
      </c>
      <c r="F2451" s="109" t="str">
        <f t="shared" ref="F2451:G2451" si="2450">TRANSLATE(D2451,"lzh","vi")</f>
        <v>#NAME?</v>
      </c>
      <c r="G2451" s="109" t="str">
        <f t="shared" si="2450"/>
        <v>#NAME?</v>
      </c>
      <c r="X2451" s="110"/>
    </row>
    <row r="2452" ht="21.0" customHeight="1">
      <c r="A2452" s="6">
        <v>1.0</v>
      </c>
      <c r="B2452" s="6">
        <v>185.0</v>
      </c>
      <c r="C2452" s="6">
        <v>9.0</v>
      </c>
      <c r="D2452" s="161" t="s">
        <v>3694</v>
      </c>
      <c r="E2452" s="9" t="s">
        <v>3695</v>
      </c>
      <c r="F2452" s="109" t="str">
        <f t="shared" ref="F2452:G2452" si="2451">TRANSLATE(D2452,"lzh","vi")</f>
        <v>#NAME?</v>
      </c>
      <c r="G2452" s="109" t="str">
        <f t="shared" si="2451"/>
        <v>#NAME?</v>
      </c>
      <c r="X2452" s="110"/>
    </row>
    <row r="2453" ht="21.0" customHeight="1">
      <c r="A2453" s="6">
        <v>1.0</v>
      </c>
      <c r="B2453" s="6">
        <v>185.0</v>
      </c>
      <c r="C2453" s="6">
        <v>10.0</v>
      </c>
      <c r="D2453" s="161" t="s">
        <v>3696</v>
      </c>
      <c r="E2453" s="9" t="s">
        <v>3697</v>
      </c>
      <c r="F2453" s="109" t="str">
        <f t="shared" ref="F2453:G2453" si="2452">TRANSLATE(D2453,"lzh","vi")</f>
        <v>#NAME?</v>
      </c>
      <c r="G2453" s="109" t="str">
        <f t="shared" si="2452"/>
        <v>#NAME?</v>
      </c>
      <c r="X2453" s="110"/>
    </row>
    <row r="2454" ht="21.0" customHeight="1">
      <c r="A2454" s="6">
        <v>1.0</v>
      </c>
      <c r="B2454" s="6">
        <v>185.0</v>
      </c>
      <c r="C2454" s="6">
        <v>11.0</v>
      </c>
      <c r="D2454" s="161" t="s">
        <v>3698</v>
      </c>
      <c r="E2454" s="9" t="s">
        <v>3699</v>
      </c>
      <c r="F2454" s="109" t="str">
        <f t="shared" ref="F2454:G2454" si="2453">TRANSLATE(D2454,"lzh","vi")</f>
        <v>#NAME?</v>
      </c>
      <c r="G2454" s="109" t="str">
        <f t="shared" si="2453"/>
        <v>#NAME?</v>
      </c>
      <c r="X2454" s="110"/>
    </row>
    <row r="2455" ht="21.0" customHeight="1">
      <c r="A2455" s="6">
        <v>1.0</v>
      </c>
      <c r="B2455" s="6">
        <v>185.0</v>
      </c>
      <c r="C2455" s="6">
        <v>12.0</v>
      </c>
      <c r="D2455" s="161" t="s">
        <v>3700</v>
      </c>
      <c r="E2455" s="9" t="s">
        <v>3701</v>
      </c>
      <c r="F2455" s="109" t="str">
        <f t="shared" ref="F2455:G2455" si="2454">TRANSLATE(D2455,"lzh","vi")</f>
        <v>#NAME?</v>
      </c>
      <c r="G2455" s="109" t="str">
        <f t="shared" si="2454"/>
        <v>#NAME?</v>
      </c>
      <c r="X2455" s="110"/>
    </row>
    <row r="2456" ht="21.0" customHeight="1">
      <c r="A2456" s="6">
        <v>1.0</v>
      </c>
      <c r="B2456" s="6">
        <v>185.0</v>
      </c>
      <c r="C2456" s="6">
        <v>13.0</v>
      </c>
      <c r="D2456" s="161" t="s">
        <v>3702</v>
      </c>
      <c r="E2456" s="9" t="s">
        <v>3703</v>
      </c>
      <c r="F2456" s="109" t="str">
        <f t="shared" ref="F2456:G2456" si="2455">TRANSLATE(D2456,"lzh","vi")</f>
        <v>#NAME?</v>
      </c>
      <c r="G2456" s="109" t="str">
        <f t="shared" si="2455"/>
        <v>#NAME?</v>
      </c>
      <c r="X2456" s="110"/>
    </row>
    <row r="2457" ht="21.0" customHeight="1">
      <c r="A2457" s="6">
        <v>1.0</v>
      </c>
      <c r="B2457" s="6">
        <v>186.0</v>
      </c>
      <c r="C2457" s="6">
        <v>1.0</v>
      </c>
      <c r="D2457" s="151" t="s">
        <v>3704</v>
      </c>
      <c r="E2457" s="9" t="s">
        <v>3705</v>
      </c>
      <c r="F2457" s="109" t="str">
        <f t="shared" ref="F2457:G2457" si="2456">TRANSLATE(D2457,"lzh","vi")</f>
        <v>#NAME?</v>
      </c>
      <c r="G2457" s="109" t="str">
        <f t="shared" si="2456"/>
        <v>#NAME?</v>
      </c>
      <c r="X2457" s="110"/>
    </row>
    <row r="2458" ht="21.0" customHeight="1">
      <c r="A2458" s="6">
        <v>1.0</v>
      </c>
      <c r="B2458" s="6">
        <v>186.0</v>
      </c>
      <c r="C2458" s="6">
        <v>2.0</v>
      </c>
      <c r="D2458" s="151" t="s">
        <v>3706</v>
      </c>
      <c r="E2458" s="9" t="s">
        <v>3707</v>
      </c>
      <c r="F2458" s="109" t="str">
        <f t="shared" ref="F2458:G2458" si="2457">TRANSLATE(D2458,"lzh","vi")</f>
        <v>#NAME?</v>
      </c>
      <c r="G2458" s="109" t="str">
        <f t="shared" si="2457"/>
        <v>#NAME?</v>
      </c>
      <c r="X2458" s="110"/>
    </row>
    <row r="2459" ht="21.0" customHeight="1">
      <c r="A2459" s="6">
        <v>1.0</v>
      </c>
      <c r="B2459" s="6">
        <v>186.0</v>
      </c>
      <c r="C2459" s="6">
        <v>3.0</v>
      </c>
      <c r="D2459" s="151" t="s">
        <v>3708</v>
      </c>
      <c r="E2459" s="9" t="s">
        <v>3709</v>
      </c>
      <c r="F2459" s="109" t="str">
        <f t="shared" ref="F2459:G2459" si="2458">TRANSLATE(D2459,"lzh","vi")</f>
        <v>#NAME?</v>
      </c>
      <c r="G2459" s="109" t="str">
        <f t="shared" si="2458"/>
        <v>#NAME?</v>
      </c>
      <c r="X2459" s="110"/>
    </row>
    <row r="2460" ht="21.0" customHeight="1">
      <c r="A2460" s="6">
        <v>1.0</v>
      </c>
      <c r="B2460" s="6">
        <v>186.0</v>
      </c>
      <c r="C2460" s="6">
        <v>4.0</v>
      </c>
      <c r="D2460" s="151" t="s">
        <v>3710</v>
      </c>
      <c r="E2460" s="9" t="s">
        <v>3711</v>
      </c>
      <c r="F2460" s="109" t="str">
        <f t="shared" ref="F2460:G2460" si="2459">TRANSLATE(D2460,"lzh","vi")</f>
        <v>#NAME?</v>
      </c>
      <c r="G2460" s="109" t="str">
        <f t="shared" si="2459"/>
        <v>#NAME?</v>
      </c>
      <c r="X2460" s="110"/>
    </row>
    <row r="2461" ht="21.0" customHeight="1">
      <c r="A2461" s="6">
        <v>1.0</v>
      </c>
      <c r="B2461" s="6">
        <v>186.0</v>
      </c>
      <c r="C2461" s="6">
        <v>5.0</v>
      </c>
      <c r="D2461" s="151" t="s">
        <v>3712</v>
      </c>
      <c r="E2461" s="9" t="s">
        <v>3713</v>
      </c>
      <c r="F2461" s="109" t="str">
        <f t="shared" ref="F2461:G2461" si="2460">TRANSLATE(D2461,"lzh","vi")</f>
        <v>#NAME?</v>
      </c>
      <c r="G2461" s="109" t="str">
        <f t="shared" si="2460"/>
        <v>#NAME?</v>
      </c>
      <c r="X2461" s="110"/>
    </row>
    <row r="2462" ht="21.0" customHeight="1">
      <c r="A2462" s="6">
        <v>1.0</v>
      </c>
      <c r="B2462" s="6">
        <v>186.0</v>
      </c>
      <c r="C2462" s="6">
        <v>6.0</v>
      </c>
      <c r="D2462" s="151" t="s">
        <v>3714</v>
      </c>
      <c r="E2462" s="9" t="s">
        <v>3715</v>
      </c>
      <c r="F2462" s="109" t="str">
        <f t="shared" ref="F2462:G2462" si="2461">TRANSLATE(D2462,"lzh","vi")</f>
        <v>#NAME?</v>
      </c>
      <c r="G2462" s="109" t="str">
        <f t="shared" si="2461"/>
        <v>#NAME?</v>
      </c>
      <c r="X2462" s="110"/>
    </row>
    <row r="2463" ht="21.0" customHeight="1">
      <c r="A2463" s="6">
        <v>1.0</v>
      </c>
      <c r="B2463" s="6">
        <v>186.0</v>
      </c>
      <c r="C2463" s="6">
        <v>7.0</v>
      </c>
      <c r="D2463" s="151" t="s">
        <v>3716</v>
      </c>
      <c r="E2463" s="72" t="s">
        <v>3717</v>
      </c>
      <c r="F2463" s="109" t="str">
        <f t="shared" ref="F2463:G2463" si="2462">TRANSLATE(D2463,"lzh","vi")</f>
        <v>#NAME?</v>
      </c>
      <c r="G2463" s="109" t="str">
        <f t="shared" si="2462"/>
        <v>#NAME?</v>
      </c>
      <c r="X2463" s="110"/>
    </row>
    <row r="2464" ht="21.0" customHeight="1">
      <c r="A2464" s="6">
        <v>1.0</v>
      </c>
      <c r="B2464" s="6">
        <v>186.0</v>
      </c>
      <c r="C2464" s="6">
        <v>8.0</v>
      </c>
      <c r="D2464" s="151" t="s">
        <v>3718</v>
      </c>
      <c r="E2464" s="9" t="s">
        <v>3719</v>
      </c>
      <c r="F2464" s="109" t="str">
        <f t="shared" ref="F2464:G2464" si="2463">TRANSLATE(D2464,"lzh","vi")</f>
        <v>#NAME?</v>
      </c>
      <c r="G2464" s="109" t="str">
        <f t="shared" si="2463"/>
        <v>#NAME?</v>
      </c>
      <c r="X2464" s="110"/>
    </row>
    <row r="2465" ht="21.0" customHeight="1">
      <c r="A2465" s="6">
        <v>1.0</v>
      </c>
      <c r="B2465" s="6">
        <v>186.0</v>
      </c>
      <c r="C2465" s="6">
        <v>9.0</v>
      </c>
      <c r="D2465" s="151" t="s">
        <v>3720</v>
      </c>
      <c r="E2465" s="9" t="s">
        <v>3721</v>
      </c>
      <c r="F2465" s="109" t="str">
        <f t="shared" ref="F2465:G2465" si="2464">TRANSLATE(D2465,"lzh","vi")</f>
        <v>#NAME?</v>
      </c>
      <c r="G2465" s="109" t="str">
        <f t="shared" si="2464"/>
        <v>#NAME?</v>
      </c>
      <c r="X2465" s="110"/>
    </row>
    <row r="2466" ht="21.0" customHeight="1">
      <c r="A2466" s="6">
        <v>1.0</v>
      </c>
      <c r="B2466" s="6">
        <v>186.0</v>
      </c>
      <c r="C2466" s="6">
        <v>10.0</v>
      </c>
      <c r="D2466" s="151" t="s">
        <v>3722</v>
      </c>
      <c r="E2466" s="9" t="s">
        <v>3723</v>
      </c>
      <c r="F2466" s="109" t="str">
        <f t="shared" ref="F2466:G2466" si="2465">TRANSLATE(D2466,"lzh","vi")</f>
        <v>#NAME?</v>
      </c>
      <c r="G2466" s="109" t="str">
        <f t="shared" si="2465"/>
        <v>#NAME?</v>
      </c>
      <c r="X2466" s="110"/>
    </row>
    <row r="2467" ht="21.0" customHeight="1">
      <c r="A2467" s="6">
        <v>1.0</v>
      </c>
      <c r="B2467" s="6">
        <v>186.0</v>
      </c>
      <c r="C2467" s="6">
        <v>11.0</v>
      </c>
      <c r="D2467" s="151" t="s">
        <v>3724</v>
      </c>
      <c r="E2467" s="9" t="s">
        <v>3725</v>
      </c>
      <c r="F2467" s="109" t="str">
        <f t="shared" ref="F2467:G2467" si="2466">TRANSLATE(D2467,"lzh","vi")</f>
        <v>#NAME?</v>
      </c>
      <c r="G2467" s="109" t="str">
        <f t="shared" si="2466"/>
        <v>#NAME?</v>
      </c>
      <c r="X2467" s="110"/>
    </row>
    <row r="2468" ht="21.0" customHeight="1">
      <c r="A2468" s="6">
        <v>1.0</v>
      </c>
      <c r="B2468" s="6">
        <v>186.0</v>
      </c>
      <c r="C2468" s="6">
        <v>12.0</v>
      </c>
      <c r="D2468" s="151" t="s">
        <v>3726</v>
      </c>
      <c r="E2468" s="9" t="s">
        <v>3727</v>
      </c>
      <c r="F2468" s="109" t="str">
        <f t="shared" ref="F2468:G2468" si="2467">TRANSLATE(D2468,"lzh","vi")</f>
        <v>#NAME?</v>
      </c>
      <c r="G2468" s="109" t="str">
        <f t="shared" si="2467"/>
        <v>#NAME?</v>
      </c>
      <c r="X2468" s="110"/>
    </row>
    <row r="2469" ht="21.0" customHeight="1">
      <c r="A2469" s="6">
        <v>1.0</v>
      </c>
      <c r="B2469" s="6">
        <v>186.0</v>
      </c>
      <c r="C2469" s="6">
        <v>13.0</v>
      </c>
      <c r="D2469" s="161" t="s">
        <v>3728</v>
      </c>
      <c r="E2469" s="9" t="s">
        <v>3729</v>
      </c>
      <c r="F2469" s="109" t="str">
        <f t="shared" ref="F2469:G2469" si="2468">TRANSLATE(D2469,"lzh","vi")</f>
        <v>#NAME?</v>
      </c>
      <c r="G2469" s="109" t="str">
        <f t="shared" si="2468"/>
        <v>#NAME?</v>
      </c>
      <c r="X2469" s="110"/>
    </row>
    <row r="2470" ht="21.0" customHeight="1">
      <c r="A2470" s="6">
        <v>11.0</v>
      </c>
      <c r="B2470" s="6">
        <v>1044.0</v>
      </c>
      <c r="C2470" s="6">
        <v>1.0</v>
      </c>
      <c r="D2470" s="161" t="s">
        <v>3730</v>
      </c>
      <c r="E2470" s="9" t="s">
        <v>3731</v>
      </c>
      <c r="F2470" s="109" t="str">
        <f t="shared" ref="F2470:G2470" si="2469">TRANSLATE(D2470,"lzh","vi")</f>
        <v>#NAME?</v>
      </c>
      <c r="G2470" s="109" t="str">
        <f t="shared" si="2469"/>
        <v>#NAME?</v>
      </c>
      <c r="X2470" s="110"/>
    </row>
    <row r="2471" ht="21.0" customHeight="1">
      <c r="A2471" s="6">
        <v>11.0</v>
      </c>
      <c r="B2471" s="6">
        <v>1044.0</v>
      </c>
      <c r="C2471" s="6">
        <v>2.0</v>
      </c>
      <c r="D2471" s="161" t="s">
        <v>3732</v>
      </c>
      <c r="E2471" s="9" t="s">
        <v>3733</v>
      </c>
      <c r="F2471" s="109" t="str">
        <f t="shared" ref="F2471:G2471" si="2470">TRANSLATE(D2471,"lzh","vi")</f>
        <v>#NAME?</v>
      </c>
      <c r="G2471" s="109" t="str">
        <f t="shared" si="2470"/>
        <v>#NAME?</v>
      </c>
      <c r="X2471" s="110"/>
    </row>
    <row r="2472" ht="21.0" customHeight="1">
      <c r="A2472" s="6">
        <v>11.0</v>
      </c>
      <c r="B2472" s="6">
        <v>1044.0</v>
      </c>
      <c r="C2472" s="6">
        <v>3.0</v>
      </c>
      <c r="D2472" s="161" t="s">
        <v>3734</v>
      </c>
      <c r="E2472" s="9" t="s">
        <v>3735</v>
      </c>
      <c r="F2472" s="109" t="str">
        <f t="shared" ref="F2472:G2472" si="2471">TRANSLATE(D2472,"lzh","vi")</f>
        <v>#NAME?</v>
      </c>
      <c r="G2472" s="109" t="str">
        <f t="shared" si="2471"/>
        <v>#NAME?</v>
      </c>
      <c r="X2472" s="110"/>
    </row>
    <row r="2473" ht="21.0" customHeight="1">
      <c r="A2473" s="6">
        <v>11.0</v>
      </c>
      <c r="B2473" s="6">
        <v>1044.0</v>
      </c>
      <c r="C2473" s="6">
        <v>4.0</v>
      </c>
      <c r="D2473" s="161" t="s">
        <v>3736</v>
      </c>
      <c r="E2473" s="9" t="s">
        <v>3737</v>
      </c>
      <c r="F2473" s="109" t="str">
        <f t="shared" ref="F2473:G2473" si="2472">TRANSLATE(D2473,"lzh","vi")</f>
        <v>#NAME?</v>
      </c>
      <c r="G2473" s="109" t="str">
        <f t="shared" si="2472"/>
        <v>#NAME?</v>
      </c>
      <c r="X2473" s="110"/>
    </row>
    <row r="2474" ht="21.0" customHeight="1">
      <c r="A2474" s="6">
        <v>10.0</v>
      </c>
      <c r="B2474" s="6">
        <v>1044.0</v>
      </c>
      <c r="C2474" s="6">
        <v>5.0</v>
      </c>
      <c r="D2474" s="161" t="s">
        <v>3738</v>
      </c>
      <c r="E2474" s="9" t="s">
        <v>3739</v>
      </c>
      <c r="F2474" s="109" t="str">
        <f t="shared" ref="F2474:G2474" si="2473">TRANSLATE(D2474,"lzh","vi")</f>
        <v>#NAME?</v>
      </c>
      <c r="G2474" s="109" t="str">
        <f t="shared" si="2473"/>
        <v>#NAME?</v>
      </c>
      <c r="X2474" s="110"/>
    </row>
    <row r="2475" ht="21.0" customHeight="1">
      <c r="A2475" s="6">
        <v>10.0</v>
      </c>
      <c r="B2475" s="6">
        <v>1044.0</v>
      </c>
      <c r="C2475" s="6">
        <v>6.0</v>
      </c>
      <c r="D2475" s="161" t="s">
        <v>3740</v>
      </c>
      <c r="E2475" s="9" t="s">
        <v>3741</v>
      </c>
      <c r="F2475" s="109" t="str">
        <f t="shared" ref="F2475:G2475" si="2474">TRANSLATE(D2475,"lzh","vi")</f>
        <v>#NAME?</v>
      </c>
      <c r="G2475" s="109" t="str">
        <f t="shared" si="2474"/>
        <v>#NAME?</v>
      </c>
      <c r="X2475" s="110"/>
    </row>
    <row r="2476" ht="21.0" customHeight="1">
      <c r="A2476" s="6">
        <v>10.0</v>
      </c>
      <c r="B2476" s="6">
        <v>1044.0</v>
      </c>
      <c r="C2476" s="6">
        <v>7.0</v>
      </c>
      <c r="D2476" s="161" t="s">
        <v>3742</v>
      </c>
      <c r="E2476" s="9" t="s">
        <v>3743</v>
      </c>
      <c r="F2476" s="109" t="str">
        <f t="shared" ref="F2476:G2476" si="2475">TRANSLATE(D2476,"lzh","vi")</f>
        <v>#NAME?</v>
      </c>
      <c r="G2476" s="109" t="str">
        <f t="shared" si="2475"/>
        <v>#NAME?</v>
      </c>
      <c r="X2476" s="110"/>
    </row>
    <row r="2477" ht="21.0" customHeight="1">
      <c r="A2477" s="6">
        <v>10.0</v>
      </c>
      <c r="B2477" s="6">
        <v>1044.0</v>
      </c>
      <c r="C2477" s="6">
        <v>8.0</v>
      </c>
      <c r="D2477" s="161" t="s">
        <v>3744</v>
      </c>
      <c r="E2477" s="9" t="s">
        <v>3745</v>
      </c>
      <c r="F2477" s="109" t="str">
        <f t="shared" ref="F2477:G2477" si="2476">TRANSLATE(D2477,"lzh","vi")</f>
        <v>#NAME?</v>
      </c>
      <c r="G2477" s="109" t="str">
        <f t="shared" si="2476"/>
        <v>#NAME?</v>
      </c>
      <c r="X2477" s="110"/>
    </row>
    <row r="2478" ht="21.0" customHeight="1">
      <c r="A2478" s="6">
        <v>10.0</v>
      </c>
      <c r="B2478" s="6">
        <v>1044.0</v>
      </c>
      <c r="C2478" s="6">
        <v>9.0</v>
      </c>
      <c r="D2478" s="161" t="s">
        <v>3746</v>
      </c>
      <c r="E2478" s="9" t="s">
        <v>3747</v>
      </c>
      <c r="F2478" s="109" t="str">
        <f t="shared" ref="F2478:G2478" si="2477">TRANSLATE(D2478,"lzh","vi")</f>
        <v>#NAME?</v>
      </c>
      <c r="G2478" s="109" t="str">
        <f t="shared" si="2477"/>
        <v>#NAME?</v>
      </c>
      <c r="X2478" s="110"/>
    </row>
    <row r="2479" ht="21.0" customHeight="1">
      <c r="A2479" s="6">
        <v>10.0</v>
      </c>
      <c r="B2479" s="6">
        <v>1044.0</v>
      </c>
      <c r="C2479" s="6">
        <v>10.0</v>
      </c>
      <c r="D2479" s="161" t="s">
        <v>3748</v>
      </c>
      <c r="E2479" s="9" t="s">
        <v>3749</v>
      </c>
      <c r="F2479" s="109" t="str">
        <f t="shared" ref="F2479:G2479" si="2478">TRANSLATE(D2479,"lzh","vi")</f>
        <v>#NAME?</v>
      </c>
      <c r="G2479" s="109" t="str">
        <f t="shared" si="2478"/>
        <v>#NAME?</v>
      </c>
      <c r="X2479" s="110"/>
    </row>
    <row r="2480" ht="21.0" customHeight="1">
      <c r="A2480" s="6">
        <v>11.0</v>
      </c>
      <c r="B2480" s="6">
        <v>1045.0</v>
      </c>
      <c r="C2480" s="6">
        <v>1.0</v>
      </c>
      <c r="D2480" s="161" t="s">
        <v>3750</v>
      </c>
      <c r="E2480" s="9" t="s">
        <v>3751</v>
      </c>
      <c r="F2480" s="109" t="str">
        <f t="shared" ref="F2480:G2480" si="2479">TRANSLATE(D2480,"lzh","vi")</f>
        <v>#NAME?</v>
      </c>
      <c r="G2480" s="109" t="str">
        <f t="shared" si="2479"/>
        <v>#NAME?</v>
      </c>
      <c r="X2480" s="110"/>
    </row>
    <row r="2481" ht="21.0" customHeight="1">
      <c r="A2481" s="6">
        <v>11.0</v>
      </c>
      <c r="B2481" s="6">
        <v>1045.0</v>
      </c>
      <c r="C2481" s="6">
        <v>2.0</v>
      </c>
      <c r="D2481" s="161" t="s">
        <v>3752</v>
      </c>
      <c r="E2481" s="9" t="s">
        <v>3753</v>
      </c>
      <c r="F2481" s="109" t="str">
        <f t="shared" ref="F2481:G2481" si="2480">TRANSLATE(D2481,"lzh","vi")</f>
        <v>#NAME?</v>
      </c>
      <c r="G2481" s="109" t="str">
        <f t="shared" si="2480"/>
        <v>#NAME?</v>
      </c>
      <c r="X2481" s="110"/>
    </row>
    <row r="2482" ht="21.0" customHeight="1">
      <c r="A2482" s="6">
        <v>11.0</v>
      </c>
      <c r="B2482" s="6">
        <v>1045.0</v>
      </c>
      <c r="C2482" s="6">
        <v>3.0</v>
      </c>
      <c r="D2482" s="161" t="s">
        <v>3754</v>
      </c>
      <c r="E2482" s="9" t="s">
        <v>3755</v>
      </c>
      <c r="F2482" s="109" t="str">
        <f t="shared" ref="F2482:G2482" si="2481">TRANSLATE(D2482,"lzh","vi")</f>
        <v>#NAME?</v>
      </c>
      <c r="G2482" s="109" t="str">
        <f t="shared" si="2481"/>
        <v>#NAME?</v>
      </c>
      <c r="X2482" s="110"/>
    </row>
    <row r="2483" ht="21.0" customHeight="1">
      <c r="A2483" s="6">
        <v>11.0</v>
      </c>
      <c r="B2483" s="6">
        <v>1045.0</v>
      </c>
      <c r="C2483" s="6">
        <v>4.0</v>
      </c>
      <c r="D2483" s="161" t="s">
        <v>3756</v>
      </c>
      <c r="E2483" s="9" t="s">
        <v>3757</v>
      </c>
      <c r="F2483" s="109" t="str">
        <f t="shared" ref="F2483:G2483" si="2482">TRANSLATE(D2483,"lzh","vi")</f>
        <v>#NAME?</v>
      </c>
      <c r="G2483" s="109" t="str">
        <f t="shared" si="2482"/>
        <v>#NAME?</v>
      </c>
      <c r="X2483" s="110"/>
    </row>
    <row r="2484" ht="21.0" customHeight="1">
      <c r="A2484" s="6">
        <v>10.0</v>
      </c>
      <c r="B2484" s="6">
        <v>1045.0</v>
      </c>
      <c r="C2484" s="6">
        <v>5.0</v>
      </c>
      <c r="D2484" s="161" t="s">
        <v>3758</v>
      </c>
      <c r="E2484" s="9" t="s">
        <v>3759</v>
      </c>
      <c r="F2484" s="109" t="str">
        <f t="shared" ref="F2484:G2484" si="2483">TRANSLATE(D2484,"lzh","vi")</f>
        <v>#NAME?</v>
      </c>
      <c r="G2484" s="109" t="str">
        <f t="shared" si="2483"/>
        <v>#NAME?</v>
      </c>
      <c r="X2484" s="110"/>
    </row>
    <row r="2485" ht="21.0" customHeight="1">
      <c r="A2485" s="6">
        <v>10.0</v>
      </c>
      <c r="B2485" s="6">
        <v>1045.0</v>
      </c>
      <c r="C2485" s="6">
        <v>6.0</v>
      </c>
      <c r="D2485" s="161" t="s">
        <v>3760</v>
      </c>
      <c r="E2485" s="9" t="s">
        <v>3761</v>
      </c>
      <c r="F2485" s="109" t="str">
        <f t="shared" ref="F2485:G2485" si="2484">TRANSLATE(D2485,"lzh","vi")</f>
        <v>#NAME?</v>
      </c>
      <c r="G2485" s="109" t="str">
        <f t="shared" si="2484"/>
        <v>#NAME?</v>
      </c>
      <c r="X2485" s="110"/>
    </row>
    <row r="2486" ht="21.0" customHeight="1">
      <c r="A2486" s="6">
        <v>10.0</v>
      </c>
      <c r="B2486" s="6">
        <v>1045.0</v>
      </c>
      <c r="C2486" s="6">
        <v>7.0</v>
      </c>
      <c r="D2486" s="161" t="s">
        <v>3762</v>
      </c>
      <c r="E2486" s="9" t="s">
        <v>3763</v>
      </c>
      <c r="F2486" s="109" t="str">
        <f t="shared" ref="F2486:G2486" si="2485">TRANSLATE(D2486,"lzh","vi")</f>
        <v>#NAME?</v>
      </c>
      <c r="G2486" s="109" t="str">
        <f t="shared" si="2485"/>
        <v>#NAME?</v>
      </c>
      <c r="X2486" s="110"/>
    </row>
    <row r="2487" ht="21.0" customHeight="1">
      <c r="A2487" s="6">
        <v>10.0</v>
      </c>
      <c r="B2487" s="6">
        <v>1045.0</v>
      </c>
      <c r="C2487" s="6">
        <v>8.0</v>
      </c>
      <c r="D2487" s="161" t="s">
        <v>3764</v>
      </c>
      <c r="E2487" s="9" t="s">
        <v>3765</v>
      </c>
      <c r="F2487" s="109" t="str">
        <f t="shared" ref="F2487:G2487" si="2486">TRANSLATE(D2487,"lzh","vi")</f>
        <v>#NAME?</v>
      </c>
      <c r="G2487" s="109" t="str">
        <f t="shared" si="2486"/>
        <v>#NAME?</v>
      </c>
      <c r="X2487" s="110"/>
    </row>
    <row r="2488" ht="21.0" customHeight="1">
      <c r="A2488" s="6">
        <v>10.0</v>
      </c>
      <c r="B2488" s="6">
        <v>1045.0</v>
      </c>
      <c r="C2488" s="6">
        <v>9.0</v>
      </c>
      <c r="D2488" s="161" t="s">
        <v>3766</v>
      </c>
      <c r="E2488" s="9" t="s">
        <v>3767</v>
      </c>
      <c r="F2488" s="109" t="str">
        <f t="shared" ref="F2488:G2488" si="2487">TRANSLATE(D2488,"lzh","vi")</f>
        <v>#NAME?</v>
      </c>
      <c r="G2488" s="109" t="str">
        <f t="shared" si="2487"/>
        <v>#NAME?</v>
      </c>
      <c r="X2488" s="110"/>
    </row>
    <row r="2489" ht="21.0" customHeight="1">
      <c r="A2489" s="6">
        <v>10.0</v>
      </c>
      <c r="B2489" s="6">
        <v>1045.0</v>
      </c>
      <c r="C2489" s="6">
        <v>10.0</v>
      </c>
      <c r="D2489" s="161" t="s">
        <v>3768</v>
      </c>
      <c r="E2489" s="9" t="s">
        <v>3749</v>
      </c>
      <c r="F2489" s="109" t="str">
        <f t="shared" ref="F2489:G2489" si="2488">TRANSLATE(D2489,"lzh","vi")</f>
        <v>#NAME?</v>
      </c>
      <c r="G2489" s="109" t="str">
        <f t="shared" si="2488"/>
        <v>#NAME?</v>
      </c>
      <c r="X2489" s="110"/>
    </row>
    <row r="2490" ht="21.0" customHeight="1">
      <c r="A2490" s="6">
        <v>1.0</v>
      </c>
      <c r="B2490" s="6">
        <v>187.0</v>
      </c>
      <c r="C2490" s="6">
        <v>1.0</v>
      </c>
      <c r="D2490" s="162" t="s">
        <v>3769</v>
      </c>
      <c r="E2490" s="9" t="s">
        <v>3770</v>
      </c>
      <c r="F2490" s="109" t="str">
        <f t="shared" ref="F2490:G2490" si="2489">TRANSLATE(D2490,"lzh","vi")</f>
        <v>#NAME?</v>
      </c>
      <c r="G2490" s="109" t="str">
        <f t="shared" si="2489"/>
        <v>#NAME?</v>
      </c>
      <c r="X2490" s="110"/>
    </row>
    <row r="2491" ht="21.0" customHeight="1">
      <c r="A2491" s="6">
        <v>1.0</v>
      </c>
      <c r="B2491" s="6">
        <v>187.0</v>
      </c>
      <c r="C2491" s="6">
        <v>2.0</v>
      </c>
      <c r="D2491" s="162" t="s">
        <v>3771</v>
      </c>
      <c r="E2491" s="9" t="s">
        <v>3772</v>
      </c>
      <c r="F2491" s="109" t="str">
        <f t="shared" ref="F2491:G2491" si="2490">TRANSLATE(D2491,"lzh","vi")</f>
        <v>#NAME?</v>
      </c>
      <c r="G2491" s="109" t="str">
        <f t="shared" si="2490"/>
        <v>#NAME?</v>
      </c>
      <c r="X2491" s="110"/>
    </row>
    <row r="2492" ht="21.0" customHeight="1">
      <c r="A2492" s="6">
        <v>1.0</v>
      </c>
      <c r="B2492" s="6">
        <v>187.0</v>
      </c>
      <c r="C2492" s="6">
        <v>3.0</v>
      </c>
      <c r="D2492" s="162" t="s">
        <v>3773</v>
      </c>
      <c r="E2492" s="9" t="s">
        <v>3774</v>
      </c>
      <c r="F2492" s="109" t="str">
        <f t="shared" ref="F2492:G2492" si="2491">TRANSLATE(D2492,"lzh","vi")</f>
        <v>#NAME?</v>
      </c>
      <c r="G2492" s="109" t="str">
        <f t="shared" si="2491"/>
        <v>#NAME?</v>
      </c>
      <c r="X2492" s="110"/>
    </row>
    <row r="2493" ht="21.0" customHeight="1">
      <c r="A2493" s="6">
        <v>1.0</v>
      </c>
      <c r="B2493" s="6">
        <v>187.0</v>
      </c>
      <c r="C2493" s="6">
        <v>4.0</v>
      </c>
      <c r="D2493" s="162" t="s">
        <v>3775</v>
      </c>
      <c r="E2493" s="9" t="s">
        <v>3776</v>
      </c>
      <c r="F2493" s="109" t="str">
        <f t="shared" ref="F2493:G2493" si="2492">TRANSLATE(D2493,"lzh","vi")</f>
        <v>#NAME?</v>
      </c>
      <c r="G2493" s="109" t="str">
        <f t="shared" si="2492"/>
        <v>#NAME?</v>
      </c>
      <c r="X2493" s="110"/>
    </row>
    <row r="2494" ht="21.0" customHeight="1">
      <c r="A2494" s="6">
        <v>1.0</v>
      </c>
      <c r="B2494" s="6">
        <v>187.0</v>
      </c>
      <c r="C2494" s="6">
        <v>5.0</v>
      </c>
      <c r="D2494" s="162" t="s">
        <v>3777</v>
      </c>
      <c r="E2494" s="9" t="s">
        <v>3778</v>
      </c>
      <c r="F2494" s="109" t="str">
        <f t="shared" ref="F2494:G2494" si="2493">TRANSLATE(D2494,"lzh","vi")</f>
        <v>#NAME?</v>
      </c>
      <c r="G2494" s="109" t="str">
        <f t="shared" si="2493"/>
        <v>#NAME?</v>
      </c>
      <c r="X2494" s="110"/>
    </row>
    <row r="2495" ht="21.0" customHeight="1">
      <c r="A2495" s="6">
        <v>1.0</v>
      </c>
      <c r="B2495" s="6">
        <v>187.0</v>
      </c>
      <c r="C2495" s="6">
        <v>6.0</v>
      </c>
      <c r="D2495" s="162" t="s">
        <v>3779</v>
      </c>
      <c r="E2495" s="9" t="s">
        <v>3780</v>
      </c>
      <c r="F2495" s="109" t="str">
        <f t="shared" ref="F2495:G2495" si="2494">TRANSLATE(D2495,"lzh","vi")</f>
        <v>#NAME?</v>
      </c>
      <c r="G2495" s="109" t="str">
        <f t="shared" si="2494"/>
        <v>#NAME?</v>
      </c>
      <c r="X2495" s="110"/>
    </row>
    <row r="2496" ht="21.0" customHeight="1">
      <c r="A2496" s="6">
        <v>1.0</v>
      </c>
      <c r="B2496" s="6">
        <v>187.0</v>
      </c>
      <c r="C2496" s="6">
        <v>7.0</v>
      </c>
      <c r="D2496" s="162" t="s">
        <v>3781</v>
      </c>
      <c r="E2496" s="9" t="s">
        <v>3782</v>
      </c>
      <c r="F2496" s="109" t="str">
        <f t="shared" ref="F2496:G2496" si="2495">TRANSLATE(D2496,"lzh","vi")</f>
        <v>#NAME?</v>
      </c>
      <c r="G2496" s="109" t="str">
        <f t="shared" si="2495"/>
        <v>#NAME?</v>
      </c>
      <c r="X2496" s="110"/>
    </row>
    <row r="2497" ht="21.0" customHeight="1">
      <c r="A2497" s="6">
        <v>1.0</v>
      </c>
      <c r="B2497" s="6">
        <v>187.0</v>
      </c>
      <c r="C2497" s="6">
        <v>8.0</v>
      </c>
      <c r="D2497" s="162" t="s">
        <v>3783</v>
      </c>
      <c r="E2497" s="9" t="s">
        <v>3784</v>
      </c>
      <c r="F2497" s="109" t="str">
        <f t="shared" ref="F2497:G2497" si="2496">TRANSLATE(D2497,"lzh","vi")</f>
        <v>#NAME?</v>
      </c>
      <c r="G2497" s="109" t="str">
        <f t="shared" si="2496"/>
        <v>#NAME?</v>
      </c>
      <c r="X2497" s="110"/>
    </row>
    <row r="2498" ht="21.0" customHeight="1">
      <c r="A2498" s="6">
        <v>1.0</v>
      </c>
      <c r="B2498" s="6">
        <v>187.0</v>
      </c>
      <c r="C2498" s="6">
        <v>9.0</v>
      </c>
      <c r="D2498" s="162" t="s">
        <v>3785</v>
      </c>
      <c r="E2498" s="9" t="s">
        <v>3786</v>
      </c>
      <c r="F2498" s="109" t="str">
        <f t="shared" ref="F2498:G2498" si="2497">TRANSLATE(D2498,"lzh","vi")</f>
        <v>#NAME?</v>
      </c>
      <c r="G2498" s="109" t="str">
        <f t="shared" si="2497"/>
        <v>#NAME?</v>
      </c>
      <c r="X2498" s="110"/>
    </row>
    <row r="2499" ht="21.0" customHeight="1">
      <c r="A2499" s="6">
        <v>1.0</v>
      </c>
      <c r="B2499" s="6">
        <v>187.0</v>
      </c>
      <c r="C2499" s="6">
        <v>10.0</v>
      </c>
      <c r="D2499" s="162" t="s">
        <v>3787</v>
      </c>
      <c r="E2499" s="9" t="s">
        <v>3788</v>
      </c>
      <c r="F2499" s="109" t="str">
        <f t="shared" ref="F2499:G2499" si="2498">TRANSLATE(D2499,"lzh","vi")</f>
        <v>#NAME?</v>
      </c>
      <c r="G2499" s="109" t="str">
        <f t="shared" si="2498"/>
        <v>#NAME?</v>
      </c>
      <c r="X2499" s="110"/>
    </row>
    <row r="2500" ht="21.0" customHeight="1">
      <c r="A2500" s="6">
        <v>1.0</v>
      </c>
      <c r="B2500" s="6">
        <v>187.0</v>
      </c>
      <c r="C2500" s="6">
        <v>11.0</v>
      </c>
      <c r="D2500" s="162" t="s">
        <v>3789</v>
      </c>
      <c r="E2500" s="9" t="s">
        <v>3790</v>
      </c>
      <c r="F2500" s="109" t="str">
        <f t="shared" ref="F2500:G2500" si="2499">TRANSLATE(D2500,"lzh","vi")</f>
        <v>#NAME?</v>
      </c>
      <c r="G2500" s="109" t="str">
        <f t="shared" si="2499"/>
        <v>#NAME?</v>
      </c>
      <c r="X2500" s="110"/>
    </row>
    <row r="2501" ht="21.0" customHeight="1">
      <c r="A2501" s="6">
        <v>1.0</v>
      </c>
      <c r="B2501" s="6">
        <v>187.0</v>
      </c>
      <c r="C2501" s="6">
        <v>12.0</v>
      </c>
      <c r="D2501" s="162" t="s">
        <v>3791</v>
      </c>
      <c r="E2501" s="9" t="s">
        <v>3792</v>
      </c>
      <c r="F2501" s="109" t="str">
        <f t="shared" ref="F2501:G2501" si="2500">TRANSLATE(D2501,"lzh","vi")</f>
        <v>#NAME?</v>
      </c>
      <c r="G2501" s="109" t="str">
        <f t="shared" si="2500"/>
        <v>#NAME?</v>
      </c>
      <c r="X2501" s="110"/>
    </row>
    <row r="2502" ht="21.0" customHeight="1">
      <c r="A2502" s="6">
        <v>1.0</v>
      </c>
      <c r="B2502" s="6">
        <v>187.0</v>
      </c>
      <c r="C2502" s="6">
        <v>13.0</v>
      </c>
      <c r="D2502" s="162" t="s">
        <v>3793</v>
      </c>
      <c r="E2502" s="9" t="s">
        <v>3794</v>
      </c>
      <c r="F2502" s="109" t="str">
        <f t="shared" ref="F2502:G2502" si="2501">TRANSLATE(D2502,"lzh","vi")</f>
        <v>#NAME?</v>
      </c>
      <c r="G2502" s="109" t="str">
        <f t="shared" si="2501"/>
        <v>#NAME?</v>
      </c>
      <c r="X2502" s="110"/>
    </row>
    <row r="2503" ht="21.0" customHeight="1">
      <c r="A2503" s="6">
        <v>1.0</v>
      </c>
      <c r="B2503" s="6">
        <v>188.0</v>
      </c>
      <c r="C2503" s="6">
        <v>1.0</v>
      </c>
      <c r="D2503" s="162" t="s">
        <v>3795</v>
      </c>
      <c r="E2503" s="9" t="s">
        <v>3796</v>
      </c>
      <c r="F2503" s="109" t="str">
        <f t="shared" ref="F2503:G2503" si="2502">TRANSLATE(D2503,"lzh","vi")</f>
        <v>#NAME?</v>
      </c>
      <c r="G2503" s="109" t="str">
        <f t="shared" si="2502"/>
        <v>#NAME?</v>
      </c>
      <c r="X2503" s="110"/>
    </row>
    <row r="2504" ht="21.0" customHeight="1">
      <c r="A2504" s="6">
        <v>1.0</v>
      </c>
      <c r="B2504" s="6">
        <v>188.0</v>
      </c>
      <c r="C2504" s="6">
        <v>2.0</v>
      </c>
      <c r="D2504" s="162" t="s">
        <v>3797</v>
      </c>
      <c r="E2504" s="9" t="s">
        <v>3798</v>
      </c>
      <c r="F2504" s="109" t="str">
        <f t="shared" ref="F2504:G2504" si="2503">TRANSLATE(D2504,"lzh","vi")</f>
        <v>#NAME?</v>
      </c>
      <c r="G2504" s="109" t="str">
        <f t="shared" si="2503"/>
        <v>#NAME?</v>
      </c>
      <c r="X2504" s="110"/>
    </row>
    <row r="2505" ht="21.0" customHeight="1">
      <c r="A2505" s="6">
        <v>1.0</v>
      </c>
      <c r="B2505" s="6">
        <v>188.0</v>
      </c>
      <c r="C2505" s="6">
        <v>3.0</v>
      </c>
      <c r="D2505" s="162" t="s">
        <v>3799</v>
      </c>
      <c r="E2505" s="9" t="s">
        <v>3800</v>
      </c>
      <c r="F2505" s="109" t="str">
        <f t="shared" ref="F2505:G2505" si="2504">TRANSLATE(D2505,"lzh","vi")</f>
        <v>#NAME?</v>
      </c>
      <c r="G2505" s="109" t="str">
        <f t="shared" si="2504"/>
        <v>#NAME?</v>
      </c>
      <c r="X2505" s="110"/>
    </row>
    <row r="2506" ht="21.0" customHeight="1">
      <c r="A2506" s="6">
        <v>1.0</v>
      </c>
      <c r="B2506" s="6">
        <v>188.0</v>
      </c>
      <c r="C2506" s="6">
        <v>4.0</v>
      </c>
      <c r="D2506" s="162" t="s">
        <v>3801</v>
      </c>
      <c r="E2506" s="9" t="s">
        <v>3802</v>
      </c>
      <c r="F2506" s="109" t="str">
        <f t="shared" ref="F2506:G2506" si="2505">TRANSLATE(D2506,"lzh","vi")</f>
        <v>#NAME?</v>
      </c>
      <c r="G2506" s="109" t="str">
        <f t="shared" si="2505"/>
        <v>#NAME?</v>
      </c>
      <c r="X2506" s="110"/>
    </row>
    <row r="2507" ht="21.0" customHeight="1">
      <c r="A2507" s="6">
        <v>1.0</v>
      </c>
      <c r="B2507" s="6">
        <v>188.0</v>
      </c>
      <c r="C2507" s="6">
        <v>5.0</v>
      </c>
      <c r="D2507" s="162" t="s">
        <v>3803</v>
      </c>
      <c r="E2507" s="9" t="s">
        <v>3804</v>
      </c>
      <c r="F2507" s="109" t="str">
        <f t="shared" ref="F2507:G2507" si="2506">TRANSLATE(D2507,"lzh","vi")</f>
        <v>#NAME?</v>
      </c>
      <c r="G2507" s="109" t="str">
        <f t="shared" si="2506"/>
        <v>#NAME?</v>
      </c>
      <c r="X2507" s="110"/>
    </row>
    <row r="2508" ht="21.0" customHeight="1">
      <c r="A2508" s="6">
        <v>1.0</v>
      </c>
      <c r="B2508" s="6">
        <v>188.0</v>
      </c>
      <c r="C2508" s="6">
        <v>6.0</v>
      </c>
      <c r="D2508" s="162" t="s">
        <v>3805</v>
      </c>
      <c r="E2508" s="9" t="s">
        <v>3806</v>
      </c>
      <c r="F2508" s="109" t="str">
        <f t="shared" ref="F2508:G2508" si="2507">TRANSLATE(D2508,"lzh","vi")</f>
        <v>#NAME?</v>
      </c>
      <c r="G2508" s="109" t="str">
        <f t="shared" si="2507"/>
        <v>#NAME?</v>
      </c>
      <c r="X2508" s="110"/>
    </row>
    <row r="2509" ht="21.0" customHeight="1">
      <c r="A2509" s="6">
        <v>1.0</v>
      </c>
      <c r="B2509" s="6">
        <v>188.0</v>
      </c>
      <c r="C2509" s="6">
        <v>7.0</v>
      </c>
      <c r="D2509" s="162" t="s">
        <v>3807</v>
      </c>
      <c r="E2509" s="9" t="s">
        <v>3808</v>
      </c>
      <c r="F2509" s="109" t="str">
        <f t="shared" ref="F2509:G2509" si="2508">TRANSLATE(D2509,"lzh","vi")</f>
        <v>#NAME?</v>
      </c>
      <c r="G2509" s="109" t="str">
        <f t="shared" si="2508"/>
        <v>#NAME?</v>
      </c>
      <c r="X2509" s="110"/>
    </row>
    <row r="2510" ht="21.0" customHeight="1">
      <c r="A2510" s="6">
        <v>1.0</v>
      </c>
      <c r="B2510" s="6">
        <v>188.0</v>
      </c>
      <c r="C2510" s="6">
        <v>8.0</v>
      </c>
      <c r="D2510" s="162" t="s">
        <v>3809</v>
      </c>
      <c r="E2510" s="9" t="s">
        <v>3810</v>
      </c>
      <c r="F2510" s="109" t="str">
        <f t="shared" ref="F2510:G2510" si="2509">TRANSLATE(D2510,"lzh","vi")</f>
        <v>#NAME?</v>
      </c>
      <c r="G2510" s="109" t="str">
        <f t="shared" si="2509"/>
        <v>#NAME?</v>
      </c>
      <c r="X2510" s="110"/>
    </row>
    <row r="2511" ht="21.0" customHeight="1">
      <c r="A2511" s="6">
        <v>1.0</v>
      </c>
      <c r="B2511" s="6">
        <v>188.0</v>
      </c>
      <c r="C2511" s="6">
        <v>9.0</v>
      </c>
      <c r="D2511" s="162" t="s">
        <v>3811</v>
      </c>
      <c r="E2511" s="9" t="s">
        <v>3812</v>
      </c>
      <c r="F2511" s="109" t="str">
        <f t="shared" ref="F2511:G2511" si="2510">TRANSLATE(D2511,"lzh","vi")</f>
        <v>#NAME?</v>
      </c>
      <c r="G2511" s="109" t="str">
        <f t="shared" si="2510"/>
        <v>#NAME?</v>
      </c>
      <c r="X2511" s="110"/>
    </row>
    <row r="2512" ht="21.0" customHeight="1">
      <c r="A2512" s="6">
        <v>1.0</v>
      </c>
      <c r="B2512" s="6">
        <v>188.0</v>
      </c>
      <c r="C2512" s="6">
        <v>10.0</v>
      </c>
      <c r="D2512" s="162" t="s">
        <v>3813</v>
      </c>
      <c r="E2512" s="9" t="s">
        <v>3814</v>
      </c>
      <c r="F2512" s="109" t="str">
        <f t="shared" ref="F2512:G2512" si="2511">TRANSLATE(D2512,"lzh","vi")</f>
        <v>#NAME?</v>
      </c>
      <c r="G2512" s="109" t="str">
        <f t="shared" si="2511"/>
        <v>#NAME?</v>
      </c>
      <c r="X2512" s="110"/>
    </row>
    <row r="2513" ht="21.0" customHeight="1">
      <c r="A2513" s="6">
        <v>1.0</v>
      </c>
      <c r="B2513" s="6">
        <v>188.0</v>
      </c>
      <c r="C2513" s="6">
        <v>11.0</v>
      </c>
      <c r="D2513" s="162" t="s">
        <v>3815</v>
      </c>
      <c r="E2513" s="9" t="s">
        <v>3816</v>
      </c>
      <c r="F2513" s="109" t="str">
        <f t="shared" ref="F2513:G2513" si="2512">TRANSLATE(D2513,"lzh","vi")</f>
        <v>#NAME?</v>
      </c>
      <c r="G2513" s="109" t="str">
        <f t="shared" si="2512"/>
        <v>#NAME?</v>
      </c>
      <c r="X2513" s="110"/>
    </row>
    <row r="2514" ht="21.0" customHeight="1">
      <c r="A2514" s="6">
        <v>1.0</v>
      </c>
      <c r="B2514" s="6">
        <v>188.0</v>
      </c>
      <c r="C2514" s="6">
        <v>12.0</v>
      </c>
      <c r="D2514" s="162" t="s">
        <v>3817</v>
      </c>
      <c r="E2514" s="9" t="s">
        <v>3818</v>
      </c>
      <c r="F2514" s="109" t="str">
        <f t="shared" ref="F2514:G2514" si="2513">TRANSLATE(D2514,"lzh","vi")</f>
        <v>#NAME?</v>
      </c>
      <c r="G2514" s="109" t="str">
        <f t="shared" si="2513"/>
        <v>#NAME?</v>
      </c>
      <c r="X2514" s="110"/>
    </row>
    <row r="2515" ht="21.0" customHeight="1">
      <c r="A2515" s="6">
        <v>1.0</v>
      </c>
      <c r="B2515" s="6">
        <v>188.0</v>
      </c>
      <c r="C2515" s="6">
        <v>13.0</v>
      </c>
      <c r="D2515" s="162" t="s">
        <v>3819</v>
      </c>
      <c r="E2515" s="9" t="s">
        <v>3820</v>
      </c>
      <c r="F2515" s="109" t="str">
        <f t="shared" ref="F2515:G2515" si="2514">TRANSLATE(D2515,"lzh","vi")</f>
        <v>#NAME?</v>
      </c>
      <c r="G2515" s="109" t="str">
        <f t="shared" si="2514"/>
        <v>#NAME?</v>
      </c>
      <c r="X2515" s="110"/>
    </row>
    <row r="2516" ht="21.0" customHeight="1">
      <c r="A2516" s="6">
        <v>1.0</v>
      </c>
      <c r="B2516" s="6">
        <v>189.0</v>
      </c>
      <c r="C2516" s="6">
        <v>1.0</v>
      </c>
      <c r="D2516" s="162" t="s">
        <v>3821</v>
      </c>
      <c r="E2516" s="9" t="s">
        <v>3822</v>
      </c>
      <c r="F2516" s="109" t="str">
        <f t="shared" ref="F2516:G2516" si="2515">TRANSLATE(D2516,"lzh","vi")</f>
        <v>#NAME?</v>
      </c>
      <c r="G2516" s="109" t="str">
        <f t="shared" si="2515"/>
        <v>#NAME?</v>
      </c>
      <c r="X2516" s="110"/>
    </row>
    <row r="2517" ht="21.0" customHeight="1">
      <c r="A2517" s="6">
        <v>1.0</v>
      </c>
      <c r="B2517" s="6">
        <v>189.0</v>
      </c>
      <c r="C2517" s="6">
        <v>2.0</v>
      </c>
      <c r="D2517" s="162" t="s">
        <v>3823</v>
      </c>
      <c r="E2517" s="9" t="s">
        <v>3824</v>
      </c>
      <c r="F2517" s="109" t="str">
        <f t="shared" ref="F2517:G2517" si="2516">TRANSLATE(D2517,"lzh","vi")</f>
        <v>#NAME?</v>
      </c>
      <c r="G2517" s="109" t="str">
        <f t="shared" si="2516"/>
        <v>#NAME?</v>
      </c>
      <c r="X2517" s="110"/>
    </row>
    <row r="2518" ht="21.0" customHeight="1">
      <c r="A2518" s="6">
        <v>1.0</v>
      </c>
      <c r="B2518" s="6">
        <v>189.0</v>
      </c>
      <c r="C2518" s="6">
        <v>3.0</v>
      </c>
      <c r="D2518" s="162" t="s">
        <v>3825</v>
      </c>
      <c r="E2518" s="9" t="s">
        <v>3826</v>
      </c>
      <c r="F2518" s="109" t="str">
        <f t="shared" ref="F2518:G2518" si="2517">TRANSLATE(D2518,"lzh","vi")</f>
        <v>#NAME?</v>
      </c>
      <c r="G2518" s="109" t="str">
        <f t="shared" si="2517"/>
        <v>#NAME?</v>
      </c>
      <c r="X2518" s="110"/>
    </row>
    <row r="2519" ht="21.0" customHeight="1">
      <c r="A2519" s="6">
        <v>1.0</v>
      </c>
      <c r="B2519" s="6">
        <v>189.0</v>
      </c>
      <c r="C2519" s="6">
        <v>4.0</v>
      </c>
      <c r="D2519" s="162" t="s">
        <v>3827</v>
      </c>
      <c r="E2519" s="9" t="s">
        <v>3828</v>
      </c>
      <c r="F2519" s="109" t="str">
        <f t="shared" ref="F2519:G2519" si="2518">TRANSLATE(D2519,"lzh","vi")</f>
        <v>#NAME?</v>
      </c>
      <c r="G2519" s="109" t="str">
        <f t="shared" si="2518"/>
        <v>#NAME?</v>
      </c>
      <c r="X2519" s="110"/>
    </row>
    <row r="2520" ht="21.0" customHeight="1">
      <c r="A2520" s="6">
        <v>1.0</v>
      </c>
      <c r="B2520" s="6">
        <v>189.0</v>
      </c>
      <c r="C2520" s="6">
        <v>5.0</v>
      </c>
      <c r="D2520" s="162" t="s">
        <v>3829</v>
      </c>
      <c r="E2520" s="9" t="s">
        <v>3830</v>
      </c>
      <c r="F2520" s="109" t="str">
        <f t="shared" ref="F2520:G2520" si="2519">TRANSLATE(D2520,"lzh","vi")</f>
        <v>#NAME?</v>
      </c>
      <c r="G2520" s="109" t="str">
        <f t="shared" si="2519"/>
        <v>#NAME?</v>
      </c>
      <c r="X2520" s="110"/>
    </row>
    <row r="2521" ht="21.0" customHeight="1">
      <c r="A2521" s="6">
        <v>1.0</v>
      </c>
      <c r="B2521" s="6">
        <v>189.0</v>
      </c>
      <c r="C2521" s="6">
        <v>6.0</v>
      </c>
      <c r="D2521" s="162" t="s">
        <v>3831</v>
      </c>
      <c r="E2521" s="9" t="s">
        <v>3832</v>
      </c>
      <c r="F2521" s="109" t="str">
        <f t="shared" ref="F2521:G2521" si="2520">TRANSLATE(D2521,"lzh","vi")</f>
        <v>#NAME?</v>
      </c>
      <c r="G2521" s="109" t="str">
        <f t="shared" si="2520"/>
        <v>#NAME?</v>
      </c>
      <c r="X2521" s="110"/>
    </row>
    <row r="2522" ht="21.0" customHeight="1">
      <c r="A2522" s="6">
        <v>1.0</v>
      </c>
      <c r="B2522" s="6">
        <v>189.0</v>
      </c>
      <c r="C2522" s="6">
        <v>7.0</v>
      </c>
      <c r="D2522" s="162" t="s">
        <v>3833</v>
      </c>
      <c r="E2522" s="9" t="s">
        <v>3834</v>
      </c>
      <c r="F2522" s="109" t="str">
        <f t="shared" ref="F2522:G2522" si="2521">TRANSLATE(D2522,"lzh","vi")</f>
        <v>#NAME?</v>
      </c>
      <c r="G2522" s="109" t="str">
        <f t="shared" si="2521"/>
        <v>#NAME?</v>
      </c>
      <c r="X2522" s="110"/>
    </row>
    <row r="2523" ht="21.0" customHeight="1">
      <c r="A2523" s="6">
        <v>1.0</v>
      </c>
      <c r="B2523" s="6">
        <v>189.0</v>
      </c>
      <c r="C2523" s="6">
        <v>8.0</v>
      </c>
      <c r="D2523" s="162" t="s">
        <v>3835</v>
      </c>
      <c r="E2523" s="9" t="s">
        <v>3836</v>
      </c>
      <c r="F2523" s="109" t="str">
        <f t="shared" ref="F2523:G2523" si="2522">TRANSLATE(D2523,"lzh","vi")</f>
        <v>#NAME?</v>
      </c>
      <c r="G2523" s="109" t="str">
        <f t="shared" si="2522"/>
        <v>#NAME?</v>
      </c>
      <c r="X2523" s="110"/>
    </row>
    <row r="2524" ht="21.0" customHeight="1">
      <c r="A2524" s="6">
        <v>1.0</v>
      </c>
      <c r="B2524" s="6">
        <v>189.0</v>
      </c>
      <c r="C2524" s="6">
        <v>9.0</v>
      </c>
      <c r="D2524" s="162" t="s">
        <v>3837</v>
      </c>
      <c r="E2524" s="9" t="s">
        <v>3838</v>
      </c>
      <c r="F2524" s="109" t="str">
        <f t="shared" ref="F2524:G2524" si="2523">TRANSLATE(D2524,"lzh","vi")</f>
        <v>#NAME?</v>
      </c>
      <c r="G2524" s="109" t="str">
        <f t="shared" si="2523"/>
        <v>#NAME?</v>
      </c>
      <c r="X2524" s="110"/>
    </row>
    <row r="2525" ht="21.0" customHeight="1">
      <c r="A2525" s="6">
        <v>1.0</v>
      </c>
      <c r="B2525" s="6">
        <v>189.0</v>
      </c>
      <c r="C2525" s="6">
        <v>10.0</v>
      </c>
      <c r="D2525" s="162" t="s">
        <v>3839</v>
      </c>
      <c r="E2525" s="9" t="s">
        <v>3840</v>
      </c>
      <c r="F2525" s="109" t="str">
        <f t="shared" ref="F2525:G2525" si="2524">TRANSLATE(D2525,"lzh","vi")</f>
        <v>#NAME?</v>
      </c>
      <c r="G2525" s="109" t="str">
        <f t="shared" si="2524"/>
        <v>#NAME?</v>
      </c>
      <c r="X2525" s="110"/>
    </row>
    <row r="2526" ht="21.0" customHeight="1">
      <c r="A2526" s="6">
        <v>1.0</v>
      </c>
      <c r="B2526" s="6">
        <v>189.0</v>
      </c>
      <c r="C2526" s="6">
        <v>11.0</v>
      </c>
      <c r="D2526" s="162" t="s">
        <v>3841</v>
      </c>
      <c r="E2526" s="9" t="s">
        <v>3842</v>
      </c>
      <c r="F2526" s="109" t="str">
        <f t="shared" ref="F2526:G2526" si="2525">TRANSLATE(D2526,"lzh","vi")</f>
        <v>#NAME?</v>
      </c>
      <c r="G2526" s="109" t="str">
        <f t="shared" si="2525"/>
        <v>#NAME?</v>
      </c>
      <c r="X2526" s="110"/>
    </row>
    <row r="2527" ht="21.0" customHeight="1">
      <c r="A2527" s="6">
        <v>1.0</v>
      </c>
      <c r="B2527" s="6">
        <v>189.0</v>
      </c>
      <c r="C2527" s="6">
        <v>12.0</v>
      </c>
      <c r="D2527" s="162" t="s">
        <v>3843</v>
      </c>
      <c r="E2527" s="9" t="s">
        <v>3844</v>
      </c>
      <c r="F2527" s="109" t="str">
        <f t="shared" ref="F2527:G2527" si="2526">TRANSLATE(D2527,"lzh","vi")</f>
        <v>#NAME?</v>
      </c>
      <c r="G2527" s="109" t="str">
        <f t="shared" si="2526"/>
        <v>#NAME?</v>
      </c>
      <c r="X2527" s="110"/>
    </row>
    <row r="2528" ht="21.0" customHeight="1">
      <c r="A2528" s="6">
        <v>1.0</v>
      </c>
      <c r="B2528" s="6">
        <v>189.0</v>
      </c>
      <c r="C2528" s="6">
        <v>13.0</v>
      </c>
      <c r="D2528" s="162" t="s">
        <v>3845</v>
      </c>
      <c r="E2528" s="9" t="s">
        <v>3846</v>
      </c>
      <c r="F2528" s="109" t="str">
        <f t="shared" ref="F2528:G2528" si="2527">TRANSLATE(D2528,"lzh","vi")</f>
        <v>#NAME?</v>
      </c>
      <c r="G2528" s="109" t="str">
        <f t="shared" si="2527"/>
        <v>#NAME?</v>
      </c>
      <c r="X2528" s="110"/>
    </row>
    <row r="2529" ht="21.0" customHeight="1">
      <c r="A2529" s="6">
        <v>11.0</v>
      </c>
      <c r="B2529" s="6">
        <v>1046.0</v>
      </c>
      <c r="C2529" s="6">
        <v>1.0</v>
      </c>
      <c r="D2529" s="161" t="s">
        <v>3847</v>
      </c>
      <c r="E2529" s="9" t="s">
        <v>3848</v>
      </c>
      <c r="F2529" s="109" t="str">
        <f t="shared" ref="F2529:G2529" si="2528">TRANSLATE(D2529,"lzh","vi")</f>
        <v>#NAME?</v>
      </c>
      <c r="G2529" s="109" t="str">
        <f t="shared" si="2528"/>
        <v>#NAME?</v>
      </c>
      <c r="X2529" s="110"/>
    </row>
    <row r="2530" ht="21.0" customHeight="1">
      <c r="A2530" s="6">
        <v>11.0</v>
      </c>
      <c r="B2530" s="6">
        <v>1046.0</v>
      </c>
      <c r="C2530" s="6">
        <v>2.0</v>
      </c>
      <c r="D2530" s="161" t="s">
        <v>3849</v>
      </c>
      <c r="E2530" s="9" t="s">
        <v>3850</v>
      </c>
      <c r="F2530" s="109" t="str">
        <f t="shared" ref="F2530:G2530" si="2529">TRANSLATE(D2530,"lzh","vi")</f>
        <v>#NAME?</v>
      </c>
      <c r="G2530" s="109" t="str">
        <f t="shared" si="2529"/>
        <v>#NAME?</v>
      </c>
      <c r="X2530" s="110"/>
    </row>
    <row r="2531" ht="21.0" customHeight="1">
      <c r="A2531" s="6">
        <v>11.0</v>
      </c>
      <c r="B2531" s="6">
        <v>1046.0</v>
      </c>
      <c r="C2531" s="6">
        <v>3.0</v>
      </c>
      <c r="D2531" s="161" t="s">
        <v>3851</v>
      </c>
      <c r="E2531" s="9" t="s">
        <v>3852</v>
      </c>
      <c r="F2531" s="109" t="str">
        <f t="shared" ref="F2531:G2531" si="2530">TRANSLATE(D2531,"lzh","vi")</f>
        <v>#NAME?</v>
      </c>
      <c r="G2531" s="109" t="str">
        <f t="shared" si="2530"/>
        <v>#NAME?</v>
      </c>
      <c r="X2531" s="110"/>
    </row>
    <row r="2532" ht="21.0" customHeight="1">
      <c r="A2532" s="6">
        <v>11.0</v>
      </c>
      <c r="B2532" s="6">
        <v>1046.0</v>
      </c>
      <c r="C2532" s="6">
        <v>4.0</v>
      </c>
      <c r="D2532" s="161" t="s">
        <v>3853</v>
      </c>
      <c r="E2532" s="9" t="s">
        <v>3854</v>
      </c>
      <c r="F2532" s="109" t="str">
        <f t="shared" ref="F2532:G2532" si="2531">TRANSLATE(D2532,"lzh","vi")</f>
        <v>#NAME?</v>
      </c>
      <c r="G2532" s="109" t="str">
        <f t="shared" si="2531"/>
        <v>#NAME?</v>
      </c>
      <c r="X2532" s="110"/>
    </row>
    <row r="2533" ht="21.0" customHeight="1">
      <c r="A2533" s="6">
        <v>10.0</v>
      </c>
      <c r="B2533" s="6">
        <v>1046.0</v>
      </c>
      <c r="C2533" s="6">
        <v>5.0</v>
      </c>
      <c r="D2533" s="161" t="s">
        <v>3855</v>
      </c>
      <c r="E2533" s="9" t="s">
        <v>3856</v>
      </c>
      <c r="F2533" s="109" t="str">
        <f t="shared" ref="F2533:G2533" si="2532">TRANSLATE(D2533,"lzh","vi")</f>
        <v>#NAME?</v>
      </c>
      <c r="G2533" s="109" t="str">
        <f t="shared" si="2532"/>
        <v>#NAME?</v>
      </c>
      <c r="X2533" s="110"/>
    </row>
    <row r="2534" ht="21.0" customHeight="1">
      <c r="A2534" s="6">
        <v>10.0</v>
      </c>
      <c r="B2534" s="6">
        <v>1046.0</v>
      </c>
      <c r="C2534" s="6">
        <v>6.0</v>
      </c>
      <c r="D2534" s="161" t="s">
        <v>3857</v>
      </c>
      <c r="E2534" s="9" t="s">
        <v>3858</v>
      </c>
      <c r="F2534" s="109" t="str">
        <f t="shared" ref="F2534:G2534" si="2533">TRANSLATE(D2534,"lzh","vi")</f>
        <v>#NAME?</v>
      </c>
      <c r="G2534" s="109" t="str">
        <f t="shared" si="2533"/>
        <v>#NAME?</v>
      </c>
      <c r="X2534" s="110"/>
    </row>
    <row r="2535" ht="21.0" customHeight="1">
      <c r="A2535" s="6">
        <v>10.0</v>
      </c>
      <c r="B2535" s="6">
        <v>1046.0</v>
      </c>
      <c r="C2535" s="6">
        <v>7.0</v>
      </c>
      <c r="D2535" s="161" t="s">
        <v>3859</v>
      </c>
      <c r="E2535" s="9" t="s">
        <v>3860</v>
      </c>
      <c r="F2535" s="109" t="str">
        <f t="shared" ref="F2535:G2535" si="2534">TRANSLATE(D2535,"lzh","vi")</f>
        <v>#NAME?</v>
      </c>
      <c r="G2535" s="109" t="str">
        <f t="shared" si="2534"/>
        <v>#NAME?</v>
      </c>
      <c r="X2535" s="110"/>
    </row>
    <row r="2536" ht="21.0" customHeight="1">
      <c r="A2536" s="6">
        <v>10.0</v>
      </c>
      <c r="B2536" s="6">
        <v>1046.0</v>
      </c>
      <c r="C2536" s="6">
        <v>8.0</v>
      </c>
      <c r="D2536" s="161" t="s">
        <v>3861</v>
      </c>
      <c r="E2536" s="9" t="s">
        <v>3862</v>
      </c>
      <c r="F2536" s="109" t="str">
        <f t="shared" ref="F2536:G2536" si="2535">TRANSLATE(D2536,"lzh","vi")</f>
        <v>#NAME?</v>
      </c>
      <c r="G2536" s="109" t="str">
        <f t="shared" si="2535"/>
        <v>#NAME?</v>
      </c>
      <c r="X2536" s="110"/>
    </row>
    <row r="2537" ht="21.0" customHeight="1">
      <c r="A2537" s="6">
        <v>10.0</v>
      </c>
      <c r="B2537" s="6">
        <v>1046.0</v>
      </c>
      <c r="C2537" s="6">
        <v>9.0</v>
      </c>
      <c r="D2537" s="161" t="s">
        <v>3863</v>
      </c>
      <c r="E2537" s="9" t="s">
        <v>3864</v>
      </c>
      <c r="F2537" s="109" t="str">
        <f t="shared" ref="F2537:G2537" si="2536">TRANSLATE(D2537,"lzh","vi")</f>
        <v>#NAME?</v>
      </c>
      <c r="G2537" s="109" t="str">
        <f t="shared" si="2536"/>
        <v>#NAME?</v>
      </c>
      <c r="X2537" s="110"/>
    </row>
    <row r="2538" ht="21.0" customHeight="1">
      <c r="A2538" s="6">
        <v>10.0</v>
      </c>
      <c r="B2538" s="6">
        <v>1046.0</v>
      </c>
      <c r="C2538" s="6">
        <v>10.0</v>
      </c>
      <c r="D2538" s="161" t="s">
        <v>3865</v>
      </c>
      <c r="E2538" s="9" t="s">
        <v>3866</v>
      </c>
      <c r="F2538" s="109" t="str">
        <f t="shared" ref="F2538:G2538" si="2537">TRANSLATE(D2538,"lzh","vi")</f>
        <v>#NAME?</v>
      </c>
      <c r="G2538" s="109" t="str">
        <f t="shared" si="2537"/>
        <v>#NAME?</v>
      </c>
      <c r="X2538" s="110"/>
    </row>
    <row r="2539" ht="21.0" customHeight="1">
      <c r="A2539" s="6">
        <v>1.0</v>
      </c>
      <c r="B2539" s="6">
        <v>190.0</v>
      </c>
      <c r="C2539" s="6">
        <v>1.0</v>
      </c>
      <c r="D2539" s="162" t="s">
        <v>3867</v>
      </c>
      <c r="E2539" s="9" t="s">
        <v>3868</v>
      </c>
      <c r="F2539" s="109" t="str">
        <f t="shared" ref="F2539:G2539" si="2538">TRANSLATE(D2539,"lzh","vi")</f>
        <v>#NAME?</v>
      </c>
      <c r="G2539" s="109" t="str">
        <f t="shared" si="2538"/>
        <v>#NAME?</v>
      </c>
      <c r="X2539" s="110"/>
    </row>
    <row r="2540" ht="21.0" customHeight="1">
      <c r="A2540" s="6">
        <v>1.0</v>
      </c>
      <c r="B2540" s="6">
        <v>190.0</v>
      </c>
      <c r="C2540" s="6">
        <v>2.0</v>
      </c>
      <c r="D2540" s="162" t="s">
        <v>3869</v>
      </c>
      <c r="E2540" s="9" t="s">
        <v>3870</v>
      </c>
      <c r="F2540" s="109" t="str">
        <f t="shared" ref="F2540:G2540" si="2539">TRANSLATE(D2540,"lzh","vi")</f>
        <v>#NAME?</v>
      </c>
      <c r="G2540" s="109" t="str">
        <f t="shared" si="2539"/>
        <v>#NAME?</v>
      </c>
      <c r="X2540" s="110"/>
    </row>
    <row r="2541" ht="21.0" customHeight="1">
      <c r="A2541" s="6">
        <v>1.0</v>
      </c>
      <c r="B2541" s="6">
        <v>190.0</v>
      </c>
      <c r="C2541" s="6">
        <v>3.0</v>
      </c>
      <c r="D2541" s="162" t="s">
        <v>3871</v>
      </c>
      <c r="E2541" s="9" t="s">
        <v>3872</v>
      </c>
      <c r="F2541" s="109" t="str">
        <f t="shared" ref="F2541:G2541" si="2540">TRANSLATE(D2541,"lzh","vi")</f>
        <v>#NAME?</v>
      </c>
      <c r="G2541" s="109" t="str">
        <f t="shared" si="2540"/>
        <v>#NAME?</v>
      </c>
      <c r="X2541" s="110"/>
    </row>
    <row r="2542" ht="21.0" customHeight="1">
      <c r="A2542" s="6">
        <v>1.0</v>
      </c>
      <c r="B2542" s="6">
        <v>190.0</v>
      </c>
      <c r="C2542" s="6">
        <v>4.0</v>
      </c>
      <c r="D2542" s="162" t="s">
        <v>3873</v>
      </c>
      <c r="E2542" s="9" t="s">
        <v>3874</v>
      </c>
      <c r="F2542" s="109" t="str">
        <f t="shared" ref="F2542:G2542" si="2541">TRANSLATE(D2542,"lzh","vi")</f>
        <v>#NAME?</v>
      </c>
      <c r="G2542" s="109" t="str">
        <f t="shared" si="2541"/>
        <v>#NAME?</v>
      </c>
      <c r="X2542" s="110"/>
    </row>
    <row r="2543" ht="21.0" customHeight="1">
      <c r="A2543" s="6">
        <v>1.0</v>
      </c>
      <c r="B2543" s="6">
        <v>190.0</v>
      </c>
      <c r="C2543" s="6">
        <v>5.0</v>
      </c>
      <c r="D2543" s="162" t="s">
        <v>3875</v>
      </c>
      <c r="E2543" s="9" t="s">
        <v>3876</v>
      </c>
      <c r="F2543" s="109" t="str">
        <f t="shared" ref="F2543:G2543" si="2542">TRANSLATE(D2543,"lzh","vi")</f>
        <v>#NAME?</v>
      </c>
      <c r="G2543" s="109" t="str">
        <f t="shared" si="2542"/>
        <v>#NAME?</v>
      </c>
      <c r="X2543" s="110"/>
    </row>
    <row r="2544" ht="21.0" customHeight="1">
      <c r="A2544" s="6">
        <v>1.0</v>
      </c>
      <c r="B2544" s="6">
        <v>190.0</v>
      </c>
      <c r="C2544" s="6">
        <v>6.0</v>
      </c>
      <c r="D2544" s="162" t="s">
        <v>3877</v>
      </c>
      <c r="E2544" s="9" t="s">
        <v>3878</v>
      </c>
      <c r="F2544" s="109" t="str">
        <f t="shared" ref="F2544:G2544" si="2543">TRANSLATE(D2544,"lzh","vi")</f>
        <v>#NAME?</v>
      </c>
      <c r="G2544" s="109" t="str">
        <f t="shared" si="2543"/>
        <v>#NAME?</v>
      </c>
      <c r="X2544" s="110"/>
    </row>
    <row r="2545" ht="21.0" customHeight="1">
      <c r="A2545" s="6">
        <v>1.0</v>
      </c>
      <c r="B2545" s="6">
        <v>190.0</v>
      </c>
      <c r="C2545" s="6">
        <v>7.0</v>
      </c>
      <c r="D2545" s="162" t="s">
        <v>3879</v>
      </c>
      <c r="E2545" s="9" t="s">
        <v>3880</v>
      </c>
      <c r="F2545" s="109" t="str">
        <f t="shared" ref="F2545:G2545" si="2544">TRANSLATE(D2545,"lzh","vi")</f>
        <v>#NAME?</v>
      </c>
      <c r="G2545" s="109" t="str">
        <f t="shared" si="2544"/>
        <v>#NAME?</v>
      </c>
      <c r="X2545" s="110"/>
    </row>
    <row r="2546" ht="21.0" customHeight="1">
      <c r="A2546" s="6">
        <v>1.0</v>
      </c>
      <c r="B2546" s="6">
        <v>190.0</v>
      </c>
      <c r="C2546" s="6">
        <v>8.0</v>
      </c>
      <c r="D2546" s="162" t="s">
        <v>3881</v>
      </c>
      <c r="E2546" s="9" t="s">
        <v>3882</v>
      </c>
      <c r="F2546" s="109" t="str">
        <f t="shared" ref="F2546:G2546" si="2545">TRANSLATE(D2546,"lzh","vi")</f>
        <v>#NAME?</v>
      </c>
      <c r="G2546" s="109" t="str">
        <f t="shared" si="2545"/>
        <v>#NAME?</v>
      </c>
      <c r="X2546" s="110"/>
    </row>
    <row r="2547" ht="21.0" customHeight="1">
      <c r="A2547" s="6">
        <v>1.0</v>
      </c>
      <c r="B2547" s="6">
        <v>190.0</v>
      </c>
      <c r="C2547" s="6">
        <v>9.0</v>
      </c>
      <c r="D2547" s="162" t="s">
        <v>3883</v>
      </c>
      <c r="E2547" s="9" t="s">
        <v>3884</v>
      </c>
      <c r="F2547" s="109" t="str">
        <f t="shared" ref="F2547:G2547" si="2546">TRANSLATE(D2547,"lzh","vi")</f>
        <v>#NAME?</v>
      </c>
      <c r="G2547" s="109" t="str">
        <f t="shared" si="2546"/>
        <v>#NAME?</v>
      </c>
      <c r="X2547" s="110"/>
    </row>
    <row r="2548" ht="21.0" customHeight="1">
      <c r="A2548" s="6">
        <v>1.0</v>
      </c>
      <c r="B2548" s="6">
        <v>190.0</v>
      </c>
      <c r="C2548" s="6">
        <v>10.0</v>
      </c>
      <c r="D2548" s="162" t="s">
        <v>3885</v>
      </c>
      <c r="E2548" s="9" t="s">
        <v>3886</v>
      </c>
      <c r="F2548" s="109" t="str">
        <f t="shared" ref="F2548:G2548" si="2547">TRANSLATE(D2548,"lzh","vi")</f>
        <v>#NAME?</v>
      </c>
      <c r="G2548" s="109" t="str">
        <f t="shared" si="2547"/>
        <v>#NAME?</v>
      </c>
      <c r="X2548" s="110"/>
    </row>
    <row r="2549" ht="21.0" customHeight="1">
      <c r="A2549" s="6">
        <v>1.0</v>
      </c>
      <c r="B2549" s="6">
        <v>190.0</v>
      </c>
      <c r="C2549" s="6">
        <v>11.0</v>
      </c>
      <c r="D2549" s="162" t="s">
        <v>3887</v>
      </c>
      <c r="E2549" s="9" t="s">
        <v>3888</v>
      </c>
      <c r="F2549" s="109" t="str">
        <f t="shared" ref="F2549:G2549" si="2548">TRANSLATE(D2549,"lzh","vi")</f>
        <v>#NAME?</v>
      </c>
      <c r="G2549" s="109" t="str">
        <f t="shared" si="2548"/>
        <v>#NAME?</v>
      </c>
      <c r="X2549" s="110"/>
    </row>
    <row r="2550" ht="21.0" customHeight="1">
      <c r="A2550" s="6">
        <v>1.0</v>
      </c>
      <c r="B2550" s="6">
        <v>190.0</v>
      </c>
      <c r="C2550" s="6">
        <v>12.0</v>
      </c>
      <c r="D2550" s="162" t="s">
        <v>3889</v>
      </c>
      <c r="E2550" s="9" t="s">
        <v>3890</v>
      </c>
      <c r="F2550" s="109" t="str">
        <f t="shared" ref="F2550:G2550" si="2549">TRANSLATE(D2550,"lzh","vi")</f>
        <v>#NAME?</v>
      </c>
      <c r="G2550" s="109" t="str">
        <f t="shared" si="2549"/>
        <v>#NAME?</v>
      </c>
      <c r="X2550" s="110"/>
    </row>
    <row r="2551" ht="21.0" customHeight="1">
      <c r="A2551" s="6">
        <v>1.0</v>
      </c>
      <c r="B2551" s="6">
        <v>190.0</v>
      </c>
      <c r="C2551" s="6">
        <v>13.0</v>
      </c>
      <c r="D2551" s="162" t="s">
        <v>3891</v>
      </c>
      <c r="E2551" s="9" t="s">
        <v>3892</v>
      </c>
      <c r="F2551" s="109" t="str">
        <f t="shared" ref="F2551:G2551" si="2550">TRANSLATE(D2551,"lzh","vi")</f>
        <v>#NAME?</v>
      </c>
      <c r="G2551" s="109" t="str">
        <f t="shared" si="2550"/>
        <v>#NAME?</v>
      </c>
      <c r="X2551" s="110"/>
    </row>
    <row r="2552" ht="21.0" customHeight="1">
      <c r="A2552" s="6">
        <v>1.0</v>
      </c>
      <c r="B2552" s="6">
        <v>191.0</v>
      </c>
      <c r="C2552" s="6">
        <v>1.0</v>
      </c>
      <c r="D2552" s="162" t="s">
        <v>3893</v>
      </c>
      <c r="E2552" s="9" t="s">
        <v>3894</v>
      </c>
      <c r="F2552" s="109" t="str">
        <f t="shared" ref="F2552:G2552" si="2551">TRANSLATE(D2552,"lzh","vi")</f>
        <v>#NAME?</v>
      </c>
      <c r="G2552" s="109" t="str">
        <f t="shared" si="2551"/>
        <v>#NAME?</v>
      </c>
      <c r="X2552" s="110"/>
    </row>
    <row r="2553" ht="21.0" customHeight="1">
      <c r="A2553" s="6">
        <v>1.0</v>
      </c>
      <c r="B2553" s="6">
        <v>191.0</v>
      </c>
      <c r="C2553" s="6">
        <v>2.0</v>
      </c>
      <c r="D2553" s="162" t="s">
        <v>3895</v>
      </c>
      <c r="E2553" s="9" t="s">
        <v>3896</v>
      </c>
      <c r="F2553" s="109" t="str">
        <f t="shared" ref="F2553:G2553" si="2552">TRANSLATE(D2553,"lzh","vi")</f>
        <v>#NAME?</v>
      </c>
      <c r="G2553" s="109" t="str">
        <f t="shared" si="2552"/>
        <v>#NAME?</v>
      </c>
      <c r="X2553" s="110"/>
    </row>
    <row r="2554" ht="21.0" customHeight="1">
      <c r="A2554" s="6">
        <v>1.0</v>
      </c>
      <c r="B2554" s="6">
        <v>191.0</v>
      </c>
      <c r="C2554" s="6">
        <v>3.0</v>
      </c>
      <c r="D2554" s="162" t="s">
        <v>3897</v>
      </c>
      <c r="E2554" s="9" t="s">
        <v>3898</v>
      </c>
      <c r="F2554" s="109" t="str">
        <f t="shared" ref="F2554:G2554" si="2553">TRANSLATE(D2554,"lzh","vi")</f>
        <v>#NAME?</v>
      </c>
      <c r="G2554" s="109" t="str">
        <f t="shared" si="2553"/>
        <v>#NAME?</v>
      </c>
      <c r="X2554" s="110"/>
    </row>
    <row r="2555" ht="21.0" customHeight="1">
      <c r="A2555" s="6">
        <v>1.0</v>
      </c>
      <c r="B2555" s="6">
        <v>191.0</v>
      </c>
      <c r="C2555" s="6">
        <v>4.0</v>
      </c>
      <c r="D2555" s="162" t="s">
        <v>3899</v>
      </c>
      <c r="E2555" s="9" t="s">
        <v>3900</v>
      </c>
      <c r="F2555" s="109" t="str">
        <f t="shared" ref="F2555:G2555" si="2554">TRANSLATE(D2555,"lzh","vi")</f>
        <v>#NAME?</v>
      </c>
      <c r="G2555" s="109" t="str">
        <f t="shared" si="2554"/>
        <v>#NAME?</v>
      </c>
      <c r="X2555" s="110"/>
    </row>
    <row r="2556" ht="21.0" customHeight="1">
      <c r="A2556" s="6">
        <v>1.0</v>
      </c>
      <c r="B2556" s="6">
        <v>191.0</v>
      </c>
      <c r="C2556" s="6">
        <v>5.0</v>
      </c>
      <c r="D2556" s="162" t="s">
        <v>3901</v>
      </c>
      <c r="E2556" s="9" t="s">
        <v>3902</v>
      </c>
      <c r="F2556" s="109" t="str">
        <f t="shared" ref="F2556:G2556" si="2555">TRANSLATE(D2556,"lzh","vi")</f>
        <v>#NAME?</v>
      </c>
      <c r="G2556" s="109" t="str">
        <f t="shared" si="2555"/>
        <v>#NAME?</v>
      </c>
      <c r="X2556" s="110"/>
    </row>
    <row r="2557" ht="21.0" customHeight="1">
      <c r="A2557" s="6">
        <v>1.0</v>
      </c>
      <c r="B2557" s="6">
        <v>191.0</v>
      </c>
      <c r="C2557" s="6">
        <v>6.0</v>
      </c>
      <c r="D2557" s="162" t="s">
        <v>3903</v>
      </c>
      <c r="E2557" s="9" t="s">
        <v>3904</v>
      </c>
      <c r="F2557" s="109" t="str">
        <f t="shared" ref="F2557:G2557" si="2556">TRANSLATE(D2557,"lzh","vi")</f>
        <v>#NAME?</v>
      </c>
      <c r="G2557" s="109" t="str">
        <f t="shared" si="2556"/>
        <v>#NAME?</v>
      </c>
      <c r="X2557" s="110"/>
    </row>
    <row r="2558" ht="21.0" customHeight="1">
      <c r="A2558" s="6">
        <v>1.0</v>
      </c>
      <c r="B2558" s="6">
        <v>191.0</v>
      </c>
      <c r="C2558" s="6">
        <v>7.0</v>
      </c>
      <c r="D2558" s="162" t="s">
        <v>3905</v>
      </c>
      <c r="E2558" s="9" t="s">
        <v>3906</v>
      </c>
      <c r="F2558" s="109" t="str">
        <f t="shared" ref="F2558:G2558" si="2557">TRANSLATE(D2558,"lzh","vi")</f>
        <v>#NAME?</v>
      </c>
      <c r="G2558" s="109" t="str">
        <f t="shared" si="2557"/>
        <v>#NAME?</v>
      </c>
      <c r="X2558" s="110"/>
    </row>
    <row r="2559" ht="21.0" customHeight="1">
      <c r="A2559" s="6">
        <v>1.0</v>
      </c>
      <c r="B2559" s="6">
        <v>191.0</v>
      </c>
      <c r="C2559" s="6">
        <v>8.0</v>
      </c>
      <c r="D2559" s="162" t="s">
        <v>3907</v>
      </c>
      <c r="E2559" s="9" t="s">
        <v>3908</v>
      </c>
      <c r="F2559" s="109" t="str">
        <f t="shared" ref="F2559:G2559" si="2558">TRANSLATE(D2559,"lzh","vi")</f>
        <v>#NAME?</v>
      </c>
      <c r="G2559" s="109" t="str">
        <f t="shared" si="2558"/>
        <v>#NAME?</v>
      </c>
      <c r="X2559" s="110"/>
    </row>
    <row r="2560" ht="21.0" customHeight="1">
      <c r="A2560" s="6">
        <v>1.0</v>
      </c>
      <c r="B2560" s="6">
        <v>191.0</v>
      </c>
      <c r="C2560" s="6">
        <v>9.0</v>
      </c>
      <c r="D2560" s="162" t="s">
        <v>3909</v>
      </c>
      <c r="E2560" s="9" t="s">
        <v>3910</v>
      </c>
      <c r="F2560" s="109" t="str">
        <f t="shared" ref="F2560:G2560" si="2559">TRANSLATE(D2560,"lzh","vi")</f>
        <v>#NAME?</v>
      </c>
      <c r="G2560" s="109" t="str">
        <f t="shared" si="2559"/>
        <v>#NAME?</v>
      </c>
      <c r="X2560" s="110"/>
    </row>
    <row r="2561" ht="21.0" customHeight="1">
      <c r="A2561" s="6">
        <v>1.0</v>
      </c>
      <c r="B2561" s="6">
        <v>191.0</v>
      </c>
      <c r="C2561" s="6">
        <v>10.0</v>
      </c>
      <c r="D2561" s="162" t="s">
        <v>3911</v>
      </c>
      <c r="E2561" s="9" t="s">
        <v>3912</v>
      </c>
      <c r="F2561" s="109" t="str">
        <f t="shared" ref="F2561:G2561" si="2560">TRANSLATE(D2561,"lzh","vi")</f>
        <v>#NAME?</v>
      </c>
      <c r="G2561" s="109" t="str">
        <f t="shared" si="2560"/>
        <v>#NAME?</v>
      </c>
      <c r="X2561" s="110"/>
    </row>
    <row r="2562" ht="21.0" customHeight="1">
      <c r="A2562" s="6">
        <v>1.0</v>
      </c>
      <c r="B2562" s="6">
        <v>191.0</v>
      </c>
      <c r="C2562" s="6">
        <v>11.0</v>
      </c>
      <c r="D2562" s="162" t="s">
        <v>3913</v>
      </c>
      <c r="E2562" s="9" t="s">
        <v>3914</v>
      </c>
      <c r="F2562" s="109" t="str">
        <f t="shared" ref="F2562:G2562" si="2561">TRANSLATE(D2562,"lzh","vi")</f>
        <v>#NAME?</v>
      </c>
      <c r="G2562" s="109" t="str">
        <f t="shared" si="2561"/>
        <v>#NAME?</v>
      </c>
      <c r="X2562" s="110"/>
    </row>
    <row r="2563" ht="21.0" customHeight="1">
      <c r="A2563" s="6">
        <v>1.0</v>
      </c>
      <c r="B2563" s="6">
        <v>191.0</v>
      </c>
      <c r="C2563" s="6">
        <v>12.0</v>
      </c>
      <c r="D2563" s="162" t="s">
        <v>3915</v>
      </c>
      <c r="E2563" s="9" t="s">
        <v>3916</v>
      </c>
      <c r="F2563" s="109" t="str">
        <f t="shared" ref="F2563:G2563" si="2562">TRANSLATE(D2563,"lzh","vi")</f>
        <v>#NAME?</v>
      </c>
      <c r="G2563" s="109" t="str">
        <f t="shared" si="2562"/>
        <v>#NAME?</v>
      </c>
      <c r="X2563" s="110"/>
    </row>
    <row r="2564" ht="21.0" customHeight="1">
      <c r="A2564" s="6">
        <v>1.0</v>
      </c>
      <c r="B2564" s="6">
        <v>191.0</v>
      </c>
      <c r="C2564" s="6">
        <v>13.0</v>
      </c>
      <c r="D2564" s="162" t="s">
        <v>3917</v>
      </c>
      <c r="E2564" s="9" t="s">
        <v>3918</v>
      </c>
      <c r="F2564" s="109" t="str">
        <f t="shared" ref="F2564:G2564" si="2563">TRANSLATE(D2564,"lzh","vi")</f>
        <v>#NAME?</v>
      </c>
      <c r="G2564" s="109" t="str">
        <f t="shared" si="2563"/>
        <v>#NAME?</v>
      </c>
      <c r="X2564" s="110"/>
    </row>
    <row r="2565" ht="21.0" customHeight="1">
      <c r="A2565" s="6">
        <v>11.0</v>
      </c>
      <c r="B2565" s="6">
        <v>1047.0</v>
      </c>
      <c r="C2565" s="6">
        <v>1.0</v>
      </c>
      <c r="D2565" s="161" t="s">
        <v>3919</v>
      </c>
      <c r="E2565" s="9" t="s">
        <v>3920</v>
      </c>
      <c r="F2565" s="109" t="str">
        <f t="shared" ref="F2565:G2565" si="2564">TRANSLATE(D2565,"lzh","vi")</f>
        <v>#NAME?</v>
      </c>
      <c r="G2565" s="109" t="str">
        <f t="shared" si="2564"/>
        <v>#NAME?</v>
      </c>
      <c r="X2565" s="110"/>
    </row>
    <row r="2566" ht="21.0" customHeight="1">
      <c r="A2566" s="6">
        <v>11.0</v>
      </c>
      <c r="B2566" s="6">
        <v>1047.0</v>
      </c>
      <c r="C2566" s="6">
        <v>2.0</v>
      </c>
      <c r="D2566" s="161" t="s">
        <v>3921</v>
      </c>
      <c r="E2566" s="9" t="s">
        <v>3922</v>
      </c>
      <c r="F2566" s="109" t="str">
        <f t="shared" ref="F2566:G2566" si="2565">TRANSLATE(D2566,"lzh","vi")</f>
        <v>#NAME?</v>
      </c>
      <c r="G2566" s="109" t="str">
        <f t="shared" si="2565"/>
        <v>#NAME?</v>
      </c>
      <c r="X2566" s="110"/>
    </row>
    <row r="2567" ht="21.0" customHeight="1">
      <c r="A2567" s="6">
        <v>11.0</v>
      </c>
      <c r="B2567" s="6">
        <v>1047.0</v>
      </c>
      <c r="C2567" s="6">
        <v>3.0</v>
      </c>
      <c r="D2567" s="161" t="s">
        <v>3923</v>
      </c>
      <c r="E2567" s="9" t="s">
        <v>3924</v>
      </c>
      <c r="F2567" s="109" t="str">
        <f t="shared" ref="F2567:G2567" si="2566">TRANSLATE(D2567,"lzh","vi")</f>
        <v>#NAME?</v>
      </c>
      <c r="G2567" s="109" t="str">
        <f t="shared" si="2566"/>
        <v>#NAME?</v>
      </c>
      <c r="X2567" s="110"/>
    </row>
    <row r="2568" ht="21.0" customHeight="1">
      <c r="A2568" s="6">
        <v>11.0</v>
      </c>
      <c r="B2568" s="6">
        <v>1047.0</v>
      </c>
      <c r="C2568" s="6">
        <v>4.0</v>
      </c>
      <c r="D2568" s="161" t="s">
        <v>3925</v>
      </c>
      <c r="E2568" s="9" t="s">
        <v>3926</v>
      </c>
      <c r="F2568" s="109" t="str">
        <f t="shared" ref="F2568:G2568" si="2567">TRANSLATE(D2568,"lzh","vi")</f>
        <v>#NAME?</v>
      </c>
      <c r="G2568" s="109" t="str">
        <f t="shared" si="2567"/>
        <v>#NAME?</v>
      </c>
      <c r="X2568" s="110"/>
    </row>
    <row r="2569" ht="21.0" customHeight="1">
      <c r="A2569" s="6">
        <v>10.0</v>
      </c>
      <c r="B2569" s="6">
        <v>1047.0</v>
      </c>
      <c r="C2569" s="6">
        <v>5.0</v>
      </c>
      <c r="D2569" s="161" t="s">
        <v>3927</v>
      </c>
      <c r="E2569" s="9" t="s">
        <v>3928</v>
      </c>
      <c r="F2569" s="109" t="str">
        <f t="shared" ref="F2569:G2569" si="2568">TRANSLATE(D2569,"lzh","vi")</f>
        <v>#NAME?</v>
      </c>
      <c r="G2569" s="109" t="str">
        <f t="shared" si="2568"/>
        <v>#NAME?</v>
      </c>
      <c r="X2569" s="110"/>
    </row>
    <row r="2570" ht="21.0" customHeight="1">
      <c r="A2570" s="6">
        <v>10.0</v>
      </c>
      <c r="B2570" s="6">
        <v>1047.0</v>
      </c>
      <c r="C2570" s="6">
        <v>6.0</v>
      </c>
      <c r="D2570" s="161" t="s">
        <v>3929</v>
      </c>
      <c r="E2570" s="9" t="s">
        <v>3930</v>
      </c>
      <c r="F2570" s="109" t="str">
        <f t="shared" ref="F2570:G2570" si="2569">TRANSLATE(D2570,"lzh","vi")</f>
        <v>#NAME?</v>
      </c>
      <c r="G2570" s="109" t="str">
        <f t="shared" si="2569"/>
        <v>#NAME?</v>
      </c>
      <c r="X2570" s="110"/>
    </row>
    <row r="2571" ht="21.0" customHeight="1">
      <c r="A2571" s="6">
        <v>10.0</v>
      </c>
      <c r="B2571" s="6">
        <v>1047.0</v>
      </c>
      <c r="C2571" s="6">
        <v>7.0</v>
      </c>
      <c r="D2571" s="161" t="s">
        <v>3931</v>
      </c>
      <c r="E2571" s="9" t="s">
        <v>3932</v>
      </c>
      <c r="F2571" s="109" t="str">
        <f t="shared" ref="F2571:G2571" si="2570">TRANSLATE(D2571,"lzh","vi")</f>
        <v>#NAME?</v>
      </c>
      <c r="G2571" s="109" t="str">
        <f t="shared" si="2570"/>
        <v>#NAME?</v>
      </c>
      <c r="X2571" s="110"/>
    </row>
    <row r="2572" ht="21.0" customHeight="1">
      <c r="A2572" s="6">
        <v>10.0</v>
      </c>
      <c r="B2572" s="6">
        <v>1047.0</v>
      </c>
      <c r="C2572" s="6">
        <v>8.0</v>
      </c>
      <c r="D2572" s="161" t="s">
        <v>3933</v>
      </c>
      <c r="E2572" s="9" t="s">
        <v>3934</v>
      </c>
      <c r="F2572" s="109" t="str">
        <f t="shared" ref="F2572:G2572" si="2571">TRANSLATE(D2572,"lzh","vi")</f>
        <v>#NAME?</v>
      </c>
      <c r="G2572" s="109" t="str">
        <f t="shared" si="2571"/>
        <v>#NAME?</v>
      </c>
      <c r="X2572" s="110"/>
    </row>
    <row r="2573" ht="21.0" customHeight="1">
      <c r="A2573" s="6">
        <v>10.0</v>
      </c>
      <c r="B2573" s="6">
        <v>1047.0</v>
      </c>
      <c r="C2573" s="6">
        <v>9.0</v>
      </c>
      <c r="D2573" s="161" t="s">
        <v>3935</v>
      </c>
      <c r="E2573" s="9" t="s">
        <v>3936</v>
      </c>
      <c r="F2573" s="109" t="str">
        <f t="shared" ref="F2573:G2573" si="2572">TRANSLATE(D2573,"lzh","vi")</f>
        <v>#NAME?</v>
      </c>
      <c r="G2573" s="109" t="str">
        <f t="shared" si="2572"/>
        <v>#NAME?</v>
      </c>
      <c r="X2573" s="110"/>
    </row>
    <row r="2574" ht="21.0" customHeight="1">
      <c r="A2574" s="6">
        <v>10.0</v>
      </c>
      <c r="B2574" s="6">
        <v>1047.0</v>
      </c>
      <c r="C2574" s="6">
        <v>10.0</v>
      </c>
      <c r="D2574" s="161" t="s">
        <v>3937</v>
      </c>
      <c r="E2574" s="9" t="s">
        <v>3938</v>
      </c>
      <c r="F2574" s="109" t="str">
        <f t="shared" ref="F2574:G2574" si="2573">TRANSLATE(D2574,"lzh","vi")</f>
        <v>#NAME?</v>
      </c>
      <c r="G2574" s="109" t="str">
        <f t="shared" si="2573"/>
        <v>#NAME?</v>
      </c>
      <c r="X2574" s="110"/>
    </row>
    <row r="2575" ht="21.0" customHeight="1">
      <c r="A2575" s="6">
        <v>11.0</v>
      </c>
      <c r="B2575" s="6">
        <v>1048.0</v>
      </c>
      <c r="C2575" s="6">
        <v>1.0</v>
      </c>
      <c r="D2575" s="161" t="s">
        <v>3939</v>
      </c>
      <c r="E2575" s="9" t="s">
        <v>3940</v>
      </c>
      <c r="F2575" s="109" t="str">
        <f t="shared" ref="F2575:G2575" si="2574">TRANSLATE(D2575,"lzh","vi")</f>
        <v>#NAME?</v>
      </c>
      <c r="G2575" s="109" t="str">
        <f t="shared" si="2574"/>
        <v>#NAME?</v>
      </c>
      <c r="X2575" s="110"/>
    </row>
    <row r="2576" ht="21.0" customHeight="1">
      <c r="A2576" s="6">
        <v>11.0</v>
      </c>
      <c r="B2576" s="6">
        <v>1048.0</v>
      </c>
      <c r="C2576" s="6">
        <v>2.0</v>
      </c>
      <c r="D2576" s="161" t="s">
        <v>3941</v>
      </c>
      <c r="E2576" s="9" t="s">
        <v>3942</v>
      </c>
      <c r="F2576" s="109" t="str">
        <f t="shared" ref="F2576:G2576" si="2575">TRANSLATE(D2576,"lzh","vi")</f>
        <v>#NAME?</v>
      </c>
      <c r="G2576" s="109" t="str">
        <f t="shared" si="2575"/>
        <v>#NAME?</v>
      </c>
      <c r="X2576" s="110"/>
    </row>
    <row r="2577" ht="21.0" customHeight="1">
      <c r="A2577" s="6">
        <v>11.0</v>
      </c>
      <c r="B2577" s="6">
        <v>1048.0</v>
      </c>
      <c r="C2577" s="6">
        <v>3.0</v>
      </c>
      <c r="D2577" s="161" t="s">
        <v>3943</v>
      </c>
      <c r="E2577" s="9" t="s">
        <v>3944</v>
      </c>
      <c r="F2577" s="109" t="str">
        <f t="shared" ref="F2577:G2577" si="2576">TRANSLATE(D2577,"lzh","vi")</f>
        <v>#NAME?</v>
      </c>
      <c r="G2577" s="109" t="str">
        <f t="shared" si="2576"/>
        <v>#NAME?</v>
      </c>
      <c r="X2577" s="110"/>
    </row>
    <row r="2578" ht="21.0" customHeight="1">
      <c r="A2578" s="6">
        <v>11.0</v>
      </c>
      <c r="B2578" s="6">
        <v>1048.0</v>
      </c>
      <c r="C2578" s="6">
        <v>4.0</v>
      </c>
      <c r="D2578" s="161" t="s">
        <v>3945</v>
      </c>
      <c r="E2578" s="9" t="s">
        <v>3946</v>
      </c>
      <c r="F2578" s="109" t="str">
        <f t="shared" ref="F2578:G2578" si="2577">TRANSLATE(D2578,"lzh","vi")</f>
        <v>#NAME?</v>
      </c>
      <c r="G2578" s="109" t="str">
        <f t="shared" si="2577"/>
        <v>#NAME?</v>
      </c>
      <c r="X2578" s="110"/>
    </row>
    <row r="2579" ht="21.0" customHeight="1">
      <c r="A2579" s="6">
        <v>10.0</v>
      </c>
      <c r="B2579" s="6">
        <v>1048.0</v>
      </c>
      <c r="C2579" s="6">
        <v>5.0</v>
      </c>
      <c r="D2579" s="161" t="s">
        <v>3947</v>
      </c>
      <c r="E2579" s="9" t="s">
        <v>3948</v>
      </c>
      <c r="F2579" s="109" t="str">
        <f t="shared" ref="F2579:G2579" si="2578">TRANSLATE(D2579,"lzh","vi")</f>
        <v>#NAME?</v>
      </c>
      <c r="G2579" s="109" t="str">
        <f t="shared" si="2578"/>
        <v>#NAME?</v>
      </c>
      <c r="X2579" s="110"/>
    </row>
    <row r="2580" ht="21.0" customHeight="1">
      <c r="A2580" s="6">
        <v>10.0</v>
      </c>
      <c r="B2580" s="6">
        <v>1048.0</v>
      </c>
      <c r="C2580" s="6">
        <v>6.0</v>
      </c>
      <c r="D2580" s="161" t="s">
        <v>3949</v>
      </c>
      <c r="E2580" s="9" t="s">
        <v>3950</v>
      </c>
      <c r="F2580" s="109" t="str">
        <f t="shared" ref="F2580:G2580" si="2579">TRANSLATE(D2580,"lzh","vi")</f>
        <v>#NAME?</v>
      </c>
      <c r="G2580" s="109" t="str">
        <f t="shared" si="2579"/>
        <v>#NAME?</v>
      </c>
      <c r="X2580" s="110"/>
    </row>
    <row r="2581" ht="21.0" customHeight="1">
      <c r="A2581" s="6">
        <v>10.0</v>
      </c>
      <c r="B2581" s="6">
        <v>1048.0</v>
      </c>
      <c r="C2581" s="6">
        <v>7.0</v>
      </c>
      <c r="D2581" s="161" t="s">
        <v>3951</v>
      </c>
      <c r="E2581" s="9" t="s">
        <v>3952</v>
      </c>
      <c r="F2581" s="109" t="str">
        <f t="shared" ref="F2581:G2581" si="2580">TRANSLATE(D2581,"lzh","vi")</f>
        <v>#NAME?</v>
      </c>
      <c r="G2581" s="109" t="str">
        <f t="shared" si="2580"/>
        <v>#NAME?</v>
      </c>
      <c r="X2581" s="110"/>
    </row>
    <row r="2582" ht="21.0" customHeight="1">
      <c r="A2582" s="6">
        <v>10.0</v>
      </c>
      <c r="B2582" s="6">
        <v>1048.0</v>
      </c>
      <c r="C2582" s="6">
        <v>8.0</v>
      </c>
      <c r="D2582" s="161" t="s">
        <v>3953</v>
      </c>
      <c r="E2582" s="9" t="s">
        <v>3954</v>
      </c>
      <c r="F2582" s="109" t="str">
        <f t="shared" ref="F2582:G2582" si="2581">TRANSLATE(D2582,"lzh","vi")</f>
        <v>#NAME?</v>
      </c>
      <c r="G2582" s="109" t="str">
        <f t="shared" si="2581"/>
        <v>#NAME?</v>
      </c>
      <c r="X2582" s="110"/>
    </row>
    <row r="2583" ht="21.0" customHeight="1">
      <c r="A2583" s="6">
        <v>10.0</v>
      </c>
      <c r="B2583" s="6">
        <v>1048.0</v>
      </c>
      <c r="C2583" s="6">
        <v>9.0</v>
      </c>
      <c r="D2583" s="161" t="s">
        <v>3955</v>
      </c>
      <c r="E2583" s="9" t="s">
        <v>3956</v>
      </c>
      <c r="F2583" s="109" t="str">
        <f t="shared" ref="F2583:G2583" si="2582">TRANSLATE(D2583,"lzh","vi")</f>
        <v>#NAME?</v>
      </c>
      <c r="G2583" s="109" t="str">
        <f t="shared" si="2582"/>
        <v>#NAME?</v>
      </c>
      <c r="X2583" s="110"/>
    </row>
    <row r="2584" ht="21.0" customHeight="1">
      <c r="A2584" s="6">
        <v>10.0</v>
      </c>
      <c r="B2584" s="6">
        <v>1048.0</v>
      </c>
      <c r="C2584" s="6">
        <v>10.0</v>
      </c>
      <c r="D2584" s="161" t="s">
        <v>3957</v>
      </c>
      <c r="E2584" s="9" t="s">
        <v>3938</v>
      </c>
      <c r="F2584" s="109" t="str">
        <f t="shared" ref="F2584:G2584" si="2583">TRANSLATE(D2584,"lzh","vi")</f>
        <v>#NAME?</v>
      </c>
      <c r="G2584" s="109" t="str">
        <f t="shared" si="2583"/>
        <v>#NAME?</v>
      </c>
      <c r="X2584" s="110"/>
    </row>
    <row r="2585" ht="21.0" customHeight="1">
      <c r="A2585" s="6">
        <v>1.0</v>
      </c>
      <c r="B2585" s="6">
        <v>192.0</v>
      </c>
      <c r="C2585" s="6">
        <v>1.0</v>
      </c>
      <c r="D2585" s="162" t="s">
        <v>3958</v>
      </c>
      <c r="E2585" s="9" t="s">
        <v>3959</v>
      </c>
      <c r="F2585" s="109" t="str">
        <f t="shared" ref="F2585:G2585" si="2584">TRANSLATE(D2585,"lzh","vi")</f>
        <v>#NAME?</v>
      </c>
      <c r="G2585" s="109" t="str">
        <f t="shared" si="2584"/>
        <v>#NAME?</v>
      </c>
      <c r="X2585" s="110"/>
    </row>
    <row r="2586" ht="21.0" customHeight="1">
      <c r="A2586" s="6">
        <v>1.0</v>
      </c>
      <c r="B2586" s="6">
        <v>192.0</v>
      </c>
      <c r="C2586" s="6">
        <v>2.0</v>
      </c>
      <c r="D2586" s="162" t="s">
        <v>3960</v>
      </c>
      <c r="E2586" s="9" t="s">
        <v>3961</v>
      </c>
      <c r="F2586" s="109" t="str">
        <f t="shared" ref="F2586:G2586" si="2585">TRANSLATE(D2586,"lzh","vi")</f>
        <v>#NAME?</v>
      </c>
      <c r="G2586" s="109" t="str">
        <f t="shared" si="2585"/>
        <v>#NAME?</v>
      </c>
      <c r="X2586" s="110"/>
    </row>
    <row r="2587" ht="21.0" customHeight="1">
      <c r="A2587" s="6">
        <v>1.0</v>
      </c>
      <c r="B2587" s="6">
        <v>192.0</v>
      </c>
      <c r="C2587" s="6">
        <v>3.0</v>
      </c>
      <c r="D2587" s="162" t="s">
        <v>3962</v>
      </c>
      <c r="E2587" s="9" t="s">
        <v>3963</v>
      </c>
      <c r="F2587" s="109" t="str">
        <f t="shared" ref="F2587:G2587" si="2586">TRANSLATE(D2587,"lzh","vi")</f>
        <v>#NAME?</v>
      </c>
      <c r="G2587" s="109" t="str">
        <f t="shared" si="2586"/>
        <v>#NAME?</v>
      </c>
      <c r="X2587" s="110"/>
    </row>
    <row r="2588" ht="21.0" customHeight="1">
      <c r="A2588" s="6">
        <v>1.0</v>
      </c>
      <c r="B2588" s="6">
        <v>192.0</v>
      </c>
      <c r="C2588" s="6">
        <v>4.0</v>
      </c>
      <c r="D2588" s="162" t="s">
        <v>3964</v>
      </c>
      <c r="E2588" s="9" t="s">
        <v>3965</v>
      </c>
      <c r="F2588" s="109" t="str">
        <f t="shared" ref="F2588:G2588" si="2587">TRANSLATE(D2588,"lzh","vi")</f>
        <v>#NAME?</v>
      </c>
      <c r="G2588" s="109" t="str">
        <f t="shared" si="2587"/>
        <v>#NAME?</v>
      </c>
      <c r="X2588" s="110"/>
    </row>
    <row r="2589" ht="21.0" customHeight="1">
      <c r="A2589" s="6">
        <v>1.0</v>
      </c>
      <c r="B2589" s="6">
        <v>192.0</v>
      </c>
      <c r="C2589" s="6">
        <v>5.0</v>
      </c>
      <c r="D2589" s="162" t="s">
        <v>3966</v>
      </c>
      <c r="E2589" s="9" t="s">
        <v>3967</v>
      </c>
      <c r="F2589" s="109" t="str">
        <f t="shared" ref="F2589:G2589" si="2588">TRANSLATE(D2589,"lzh","vi")</f>
        <v>#NAME?</v>
      </c>
      <c r="G2589" s="109" t="str">
        <f t="shared" si="2588"/>
        <v>#NAME?</v>
      </c>
      <c r="X2589" s="110"/>
    </row>
    <row r="2590" ht="21.0" customHeight="1">
      <c r="A2590" s="6">
        <v>1.0</v>
      </c>
      <c r="B2590" s="6">
        <v>192.0</v>
      </c>
      <c r="C2590" s="6">
        <v>6.0</v>
      </c>
      <c r="D2590" s="162" t="s">
        <v>3968</v>
      </c>
      <c r="E2590" s="9" t="s">
        <v>3969</v>
      </c>
      <c r="F2590" s="109" t="str">
        <f t="shared" ref="F2590:G2590" si="2589">TRANSLATE(D2590,"lzh","vi")</f>
        <v>#NAME?</v>
      </c>
      <c r="G2590" s="109" t="str">
        <f t="shared" si="2589"/>
        <v>#NAME?</v>
      </c>
      <c r="X2590" s="110"/>
    </row>
    <row r="2591" ht="21.0" customHeight="1">
      <c r="A2591" s="6">
        <v>1.0</v>
      </c>
      <c r="B2591" s="6">
        <v>192.0</v>
      </c>
      <c r="C2591" s="6">
        <v>7.0</v>
      </c>
      <c r="D2591" s="162" t="s">
        <v>3970</v>
      </c>
      <c r="E2591" s="9" t="s">
        <v>3971</v>
      </c>
      <c r="F2591" s="109" t="str">
        <f t="shared" ref="F2591:G2591" si="2590">TRANSLATE(D2591,"lzh","vi")</f>
        <v>#NAME?</v>
      </c>
      <c r="G2591" s="109" t="str">
        <f t="shared" si="2590"/>
        <v>#NAME?</v>
      </c>
      <c r="X2591" s="110"/>
    </row>
    <row r="2592" ht="21.0" customHeight="1">
      <c r="A2592" s="6">
        <v>1.0</v>
      </c>
      <c r="B2592" s="6">
        <v>192.0</v>
      </c>
      <c r="C2592" s="6">
        <v>8.0</v>
      </c>
      <c r="D2592" s="162" t="s">
        <v>3972</v>
      </c>
      <c r="E2592" s="9" t="s">
        <v>3973</v>
      </c>
      <c r="F2592" s="109" t="str">
        <f t="shared" ref="F2592:G2592" si="2591">TRANSLATE(D2592,"lzh","vi")</f>
        <v>#NAME?</v>
      </c>
      <c r="G2592" s="109" t="str">
        <f t="shared" si="2591"/>
        <v>#NAME?</v>
      </c>
      <c r="X2592" s="110"/>
    </row>
    <row r="2593" ht="21.0" customHeight="1">
      <c r="A2593" s="6">
        <v>1.0</v>
      </c>
      <c r="B2593" s="6">
        <v>192.0</v>
      </c>
      <c r="C2593" s="6">
        <v>9.0</v>
      </c>
      <c r="D2593" s="162" t="s">
        <v>3974</v>
      </c>
      <c r="E2593" s="9" t="s">
        <v>3975</v>
      </c>
      <c r="F2593" s="109" t="str">
        <f t="shared" ref="F2593:G2593" si="2592">TRANSLATE(D2593,"lzh","vi")</f>
        <v>#NAME?</v>
      </c>
      <c r="G2593" s="109" t="str">
        <f t="shared" si="2592"/>
        <v>#NAME?</v>
      </c>
      <c r="X2593" s="110"/>
    </row>
    <row r="2594" ht="21.0" customHeight="1">
      <c r="A2594" s="6">
        <v>1.0</v>
      </c>
      <c r="B2594" s="6">
        <v>192.0</v>
      </c>
      <c r="C2594" s="6">
        <v>10.0</v>
      </c>
      <c r="D2594" s="162" t="s">
        <v>3976</v>
      </c>
      <c r="E2594" s="9" t="s">
        <v>3977</v>
      </c>
      <c r="F2594" s="109" t="str">
        <f t="shared" ref="F2594:G2594" si="2593">TRANSLATE(D2594,"lzh","vi")</f>
        <v>#NAME?</v>
      </c>
      <c r="G2594" s="109" t="str">
        <f t="shared" si="2593"/>
        <v>#NAME?</v>
      </c>
      <c r="X2594" s="110"/>
    </row>
    <row r="2595" ht="21.0" customHeight="1">
      <c r="A2595" s="6">
        <v>1.0</v>
      </c>
      <c r="B2595" s="6">
        <v>192.0</v>
      </c>
      <c r="C2595" s="6">
        <v>11.0</v>
      </c>
      <c r="D2595" s="162" t="s">
        <v>3978</v>
      </c>
      <c r="E2595" s="9" t="s">
        <v>3979</v>
      </c>
      <c r="F2595" s="109" t="str">
        <f t="shared" ref="F2595:G2595" si="2594">TRANSLATE(D2595,"lzh","vi")</f>
        <v>#NAME?</v>
      </c>
      <c r="G2595" s="109" t="str">
        <f t="shared" si="2594"/>
        <v>#NAME?</v>
      </c>
      <c r="X2595" s="110"/>
    </row>
    <row r="2596" ht="21.0" customHeight="1">
      <c r="A2596" s="6">
        <v>1.0</v>
      </c>
      <c r="B2596" s="6">
        <v>192.0</v>
      </c>
      <c r="C2596" s="6">
        <v>12.0</v>
      </c>
      <c r="D2596" s="162" t="s">
        <v>3980</v>
      </c>
      <c r="E2596" s="9" t="s">
        <v>3981</v>
      </c>
      <c r="F2596" s="109" t="str">
        <f t="shared" ref="F2596:G2596" si="2595">TRANSLATE(D2596,"lzh","vi")</f>
        <v>#NAME?</v>
      </c>
      <c r="G2596" s="109" t="str">
        <f t="shared" si="2595"/>
        <v>#NAME?</v>
      </c>
      <c r="X2596" s="110"/>
    </row>
    <row r="2597" ht="21.0" customHeight="1">
      <c r="A2597" s="6">
        <v>1.0</v>
      </c>
      <c r="B2597" s="6">
        <v>192.0</v>
      </c>
      <c r="C2597" s="6">
        <v>13.0</v>
      </c>
      <c r="D2597" s="162" t="s">
        <v>3982</v>
      </c>
      <c r="E2597" s="9" t="s">
        <v>3983</v>
      </c>
      <c r="F2597" s="109" t="str">
        <f t="shared" ref="F2597:G2597" si="2596">TRANSLATE(D2597,"lzh","vi")</f>
        <v>#NAME?</v>
      </c>
      <c r="G2597" s="109" t="str">
        <f t="shared" si="2596"/>
        <v>#NAME?</v>
      </c>
      <c r="X2597" s="110"/>
    </row>
    <row r="2598" ht="21.0" customHeight="1">
      <c r="A2598" s="6">
        <v>1.0</v>
      </c>
      <c r="B2598" s="6">
        <v>193.0</v>
      </c>
      <c r="C2598" s="6">
        <v>1.0</v>
      </c>
      <c r="D2598" s="162" t="s">
        <v>3984</v>
      </c>
      <c r="E2598" s="9" t="s">
        <v>3985</v>
      </c>
      <c r="F2598" s="109" t="str">
        <f t="shared" ref="F2598:G2598" si="2597">TRANSLATE(D2598,"lzh","vi")</f>
        <v>#NAME?</v>
      </c>
      <c r="G2598" s="109" t="str">
        <f t="shared" si="2597"/>
        <v>#NAME?</v>
      </c>
      <c r="X2598" s="110"/>
    </row>
    <row r="2599" ht="21.0" customHeight="1">
      <c r="A2599" s="6">
        <v>1.0</v>
      </c>
      <c r="B2599" s="6">
        <v>193.0</v>
      </c>
      <c r="C2599" s="6">
        <v>2.0</v>
      </c>
      <c r="D2599" s="162" t="s">
        <v>3986</v>
      </c>
      <c r="E2599" s="9" t="s">
        <v>3987</v>
      </c>
      <c r="F2599" s="109" t="str">
        <f t="shared" ref="F2599:G2599" si="2598">TRANSLATE(D2599,"lzh","vi")</f>
        <v>#NAME?</v>
      </c>
      <c r="G2599" s="109" t="str">
        <f t="shared" si="2598"/>
        <v>#NAME?</v>
      </c>
      <c r="X2599" s="110"/>
    </row>
    <row r="2600" ht="21.0" customHeight="1">
      <c r="A2600" s="6">
        <v>1.0</v>
      </c>
      <c r="B2600" s="6">
        <v>193.0</v>
      </c>
      <c r="C2600" s="6">
        <v>3.0</v>
      </c>
      <c r="D2600" s="162" t="s">
        <v>3988</v>
      </c>
      <c r="E2600" s="9" t="s">
        <v>3989</v>
      </c>
      <c r="F2600" s="109" t="str">
        <f t="shared" ref="F2600:G2600" si="2599">TRANSLATE(D2600,"lzh","vi")</f>
        <v>#NAME?</v>
      </c>
      <c r="G2600" s="109" t="str">
        <f t="shared" si="2599"/>
        <v>#NAME?</v>
      </c>
      <c r="X2600" s="110"/>
    </row>
    <row r="2601" ht="21.0" customHeight="1">
      <c r="A2601" s="6">
        <v>1.0</v>
      </c>
      <c r="B2601" s="6">
        <v>193.0</v>
      </c>
      <c r="C2601" s="6">
        <v>4.0</v>
      </c>
      <c r="D2601" s="162" t="s">
        <v>3990</v>
      </c>
      <c r="E2601" s="9" t="s">
        <v>3991</v>
      </c>
      <c r="F2601" s="109" t="str">
        <f t="shared" ref="F2601:G2601" si="2600">TRANSLATE(D2601,"lzh","vi")</f>
        <v>#NAME?</v>
      </c>
      <c r="G2601" s="109" t="str">
        <f t="shared" si="2600"/>
        <v>#NAME?</v>
      </c>
      <c r="X2601" s="110"/>
    </row>
    <row r="2602" ht="21.0" customHeight="1">
      <c r="A2602" s="6">
        <v>1.0</v>
      </c>
      <c r="B2602" s="6">
        <v>193.0</v>
      </c>
      <c r="C2602" s="6">
        <v>5.0</v>
      </c>
      <c r="D2602" s="162" t="s">
        <v>3992</v>
      </c>
      <c r="E2602" s="9" t="s">
        <v>3993</v>
      </c>
      <c r="F2602" s="109" t="str">
        <f t="shared" ref="F2602:G2602" si="2601">TRANSLATE(D2602,"lzh","vi")</f>
        <v>#NAME?</v>
      </c>
      <c r="G2602" s="109" t="str">
        <f t="shared" si="2601"/>
        <v>#NAME?</v>
      </c>
      <c r="X2602" s="110"/>
    </row>
    <row r="2603" ht="21.0" customHeight="1">
      <c r="A2603" s="6">
        <v>1.0</v>
      </c>
      <c r="B2603" s="6">
        <v>193.0</v>
      </c>
      <c r="C2603" s="6">
        <v>6.0</v>
      </c>
      <c r="D2603" s="162" t="s">
        <v>3994</v>
      </c>
      <c r="E2603" s="9" t="s">
        <v>3995</v>
      </c>
      <c r="F2603" s="109" t="str">
        <f t="shared" ref="F2603:G2603" si="2602">TRANSLATE(D2603,"lzh","vi")</f>
        <v>#NAME?</v>
      </c>
      <c r="G2603" s="109" t="str">
        <f t="shared" si="2602"/>
        <v>#NAME?</v>
      </c>
      <c r="X2603" s="110"/>
    </row>
    <row r="2604" ht="21.0" customHeight="1">
      <c r="A2604" s="6">
        <v>1.0</v>
      </c>
      <c r="B2604" s="6">
        <v>193.0</v>
      </c>
      <c r="C2604" s="6">
        <v>7.0</v>
      </c>
      <c r="D2604" s="162" t="s">
        <v>3996</v>
      </c>
      <c r="E2604" s="9" t="s">
        <v>3997</v>
      </c>
      <c r="F2604" s="109" t="str">
        <f t="shared" ref="F2604:G2604" si="2603">TRANSLATE(D2604,"lzh","vi")</f>
        <v>#NAME?</v>
      </c>
      <c r="G2604" s="109" t="str">
        <f t="shared" si="2603"/>
        <v>#NAME?</v>
      </c>
      <c r="X2604" s="110"/>
    </row>
    <row r="2605" ht="21.0" customHeight="1">
      <c r="A2605" s="6">
        <v>1.0</v>
      </c>
      <c r="B2605" s="6">
        <v>193.0</v>
      </c>
      <c r="C2605" s="6">
        <v>8.0</v>
      </c>
      <c r="D2605" s="162" t="s">
        <v>3998</v>
      </c>
      <c r="E2605" s="9" t="s">
        <v>3999</v>
      </c>
      <c r="F2605" s="109" t="str">
        <f t="shared" ref="F2605:G2605" si="2604">TRANSLATE(D2605,"lzh","vi")</f>
        <v>#NAME?</v>
      </c>
      <c r="G2605" s="109" t="str">
        <f t="shared" si="2604"/>
        <v>#NAME?</v>
      </c>
      <c r="X2605" s="110"/>
    </row>
    <row r="2606" ht="21.0" customHeight="1">
      <c r="A2606" s="6">
        <v>1.0</v>
      </c>
      <c r="B2606" s="6">
        <v>193.0</v>
      </c>
      <c r="C2606" s="6">
        <v>9.0</v>
      </c>
      <c r="D2606" s="162" t="s">
        <v>4000</v>
      </c>
      <c r="E2606" s="9" t="s">
        <v>4001</v>
      </c>
      <c r="F2606" s="109" t="str">
        <f t="shared" ref="F2606:G2606" si="2605">TRANSLATE(D2606,"lzh","vi")</f>
        <v>#NAME?</v>
      </c>
      <c r="G2606" s="109" t="str">
        <f t="shared" si="2605"/>
        <v>#NAME?</v>
      </c>
      <c r="X2606" s="110"/>
    </row>
    <row r="2607" ht="21.0" customHeight="1">
      <c r="A2607" s="6">
        <v>1.0</v>
      </c>
      <c r="B2607" s="6">
        <v>193.0</v>
      </c>
      <c r="C2607" s="6">
        <v>10.0</v>
      </c>
      <c r="D2607" s="162" t="s">
        <v>4002</v>
      </c>
      <c r="E2607" s="9" t="s">
        <v>4003</v>
      </c>
      <c r="F2607" s="109" t="str">
        <f t="shared" ref="F2607:G2607" si="2606">TRANSLATE(D2607,"lzh","vi")</f>
        <v>#NAME?</v>
      </c>
      <c r="G2607" s="109" t="str">
        <f t="shared" si="2606"/>
        <v>#NAME?</v>
      </c>
      <c r="X2607" s="110"/>
    </row>
    <row r="2608" ht="21.0" customHeight="1">
      <c r="A2608" s="6">
        <v>1.0</v>
      </c>
      <c r="B2608" s="6">
        <v>193.0</v>
      </c>
      <c r="C2608" s="6">
        <v>11.0</v>
      </c>
      <c r="D2608" s="162" t="s">
        <v>4004</v>
      </c>
      <c r="E2608" s="9" t="s">
        <v>4005</v>
      </c>
      <c r="F2608" s="109" t="str">
        <f t="shared" ref="F2608:G2608" si="2607">TRANSLATE(D2608,"lzh","vi")</f>
        <v>#NAME?</v>
      </c>
      <c r="G2608" s="109" t="str">
        <f t="shared" si="2607"/>
        <v>#NAME?</v>
      </c>
      <c r="X2608" s="110"/>
    </row>
    <row r="2609" ht="21.0" customHeight="1">
      <c r="A2609" s="6">
        <v>1.0</v>
      </c>
      <c r="B2609" s="6">
        <v>193.0</v>
      </c>
      <c r="C2609" s="6">
        <v>12.0</v>
      </c>
      <c r="D2609" s="162" t="s">
        <v>4006</v>
      </c>
      <c r="E2609" s="9" t="s">
        <v>4007</v>
      </c>
      <c r="F2609" s="109" t="str">
        <f t="shared" ref="F2609:G2609" si="2608">TRANSLATE(D2609,"lzh","vi")</f>
        <v>#NAME?</v>
      </c>
      <c r="G2609" s="109" t="str">
        <f t="shared" si="2608"/>
        <v>#NAME?</v>
      </c>
      <c r="X2609" s="110"/>
    </row>
    <row r="2610" ht="21.0" customHeight="1">
      <c r="A2610" s="6">
        <v>1.0</v>
      </c>
      <c r="B2610" s="6">
        <v>193.0</v>
      </c>
      <c r="C2610" s="6">
        <v>13.0</v>
      </c>
      <c r="D2610" s="162" t="s">
        <v>4008</v>
      </c>
      <c r="E2610" s="9" t="s">
        <v>4009</v>
      </c>
      <c r="F2610" s="109" t="str">
        <f t="shared" ref="F2610:G2610" si="2609">TRANSLATE(D2610,"lzh","vi")</f>
        <v>#NAME?</v>
      </c>
      <c r="G2610" s="109" t="str">
        <f t="shared" si="2609"/>
        <v>#NAME?</v>
      </c>
      <c r="X2610" s="110"/>
    </row>
    <row r="2611" ht="21.0" customHeight="1">
      <c r="A2611" s="6">
        <v>1.0</v>
      </c>
      <c r="B2611" s="6">
        <v>194.0</v>
      </c>
      <c r="C2611" s="6">
        <v>1.0</v>
      </c>
      <c r="D2611" s="162" t="s">
        <v>4010</v>
      </c>
      <c r="E2611" s="9" t="s">
        <v>4011</v>
      </c>
      <c r="F2611" s="109" t="str">
        <f t="shared" ref="F2611:G2611" si="2610">TRANSLATE(D2611,"lzh","vi")</f>
        <v>#NAME?</v>
      </c>
      <c r="G2611" s="109" t="str">
        <f t="shared" si="2610"/>
        <v>#NAME?</v>
      </c>
      <c r="X2611" s="110"/>
    </row>
    <row r="2612" ht="21.0" customHeight="1">
      <c r="A2612" s="6">
        <v>1.0</v>
      </c>
      <c r="B2612" s="6">
        <v>194.0</v>
      </c>
      <c r="C2612" s="6">
        <v>2.0</v>
      </c>
      <c r="D2612" s="162" t="s">
        <v>4012</v>
      </c>
      <c r="E2612" s="9" t="s">
        <v>4013</v>
      </c>
      <c r="F2612" s="109" t="str">
        <f t="shared" ref="F2612:G2612" si="2611">TRANSLATE(D2612,"lzh","vi")</f>
        <v>#NAME?</v>
      </c>
      <c r="G2612" s="109" t="str">
        <f t="shared" si="2611"/>
        <v>#NAME?</v>
      </c>
      <c r="X2612" s="110"/>
    </row>
    <row r="2613" ht="21.0" customHeight="1">
      <c r="A2613" s="6">
        <v>1.0</v>
      </c>
      <c r="B2613" s="6">
        <v>194.0</v>
      </c>
      <c r="C2613" s="6">
        <v>3.0</v>
      </c>
      <c r="D2613" s="162" t="s">
        <v>4014</v>
      </c>
      <c r="E2613" s="9" t="s">
        <v>4015</v>
      </c>
      <c r="F2613" s="109" t="str">
        <f t="shared" ref="F2613:G2613" si="2612">TRANSLATE(D2613,"lzh","vi")</f>
        <v>#NAME?</v>
      </c>
      <c r="G2613" s="109" t="str">
        <f t="shared" si="2612"/>
        <v>#NAME?</v>
      </c>
      <c r="X2613" s="110"/>
    </row>
    <row r="2614" ht="21.0" customHeight="1">
      <c r="A2614" s="6">
        <v>1.0</v>
      </c>
      <c r="B2614" s="6">
        <v>194.0</v>
      </c>
      <c r="C2614" s="6">
        <v>4.0</v>
      </c>
      <c r="D2614" s="162" t="s">
        <v>4016</v>
      </c>
      <c r="E2614" s="9" t="s">
        <v>4017</v>
      </c>
      <c r="F2614" s="109" t="str">
        <f t="shared" ref="F2614:G2614" si="2613">TRANSLATE(D2614,"lzh","vi")</f>
        <v>#NAME?</v>
      </c>
      <c r="G2614" s="109" t="str">
        <f t="shared" si="2613"/>
        <v>#NAME?</v>
      </c>
      <c r="X2614" s="110"/>
    </row>
    <row r="2615" ht="21.0" customHeight="1">
      <c r="A2615" s="6">
        <v>1.0</v>
      </c>
      <c r="B2615" s="6">
        <v>194.0</v>
      </c>
      <c r="C2615" s="6">
        <v>5.0</v>
      </c>
      <c r="D2615" s="162" t="s">
        <v>4018</v>
      </c>
      <c r="E2615" s="9" t="s">
        <v>4019</v>
      </c>
      <c r="F2615" s="109" t="str">
        <f t="shared" ref="F2615:G2615" si="2614">TRANSLATE(D2615,"lzh","vi")</f>
        <v>#NAME?</v>
      </c>
      <c r="G2615" s="109" t="str">
        <f t="shared" si="2614"/>
        <v>#NAME?</v>
      </c>
      <c r="X2615" s="110"/>
    </row>
    <row r="2616" ht="21.0" customHeight="1">
      <c r="A2616" s="6">
        <v>1.0</v>
      </c>
      <c r="B2616" s="6">
        <v>194.0</v>
      </c>
      <c r="C2616" s="6">
        <v>6.0</v>
      </c>
      <c r="D2616" s="162" t="s">
        <v>4020</v>
      </c>
      <c r="E2616" s="9" t="s">
        <v>4021</v>
      </c>
      <c r="F2616" s="109" t="str">
        <f t="shared" ref="F2616:G2616" si="2615">TRANSLATE(D2616,"lzh","vi")</f>
        <v>#NAME?</v>
      </c>
      <c r="G2616" s="109" t="str">
        <f t="shared" si="2615"/>
        <v>#NAME?</v>
      </c>
      <c r="X2616" s="110"/>
    </row>
    <row r="2617" ht="21.0" customHeight="1">
      <c r="A2617" s="6">
        <v>1.0</v>
      </c>
      <c r="B2617" s="6">
        <v>194.0</v>
      </c>
      <c r="C2617" s="6">
        <v>7.0</v>
      </c>
      <c r="D2617" s="162" t="s">
        <v>4022</v>
      </c>
      <c r="E2617" s="9" t="s">
        <v>4023</v>
      </c>
      <c r="F2617" s="109" t="str">
        <f t="shared" ref="F2617:G2617" si="2616">TRANSLATE(D2617,"lzh","vi")</f>
        <v>#NAME?</v>
      </c>
      <c r="G2617" s="109" t="str">
        <f t="shared" si="2616"/>
        <v>#NAME?</v>
      </c>
      <c r="X2617" s="110"/>
    </row>
    <row r="2618" ht="21.0" customHeight="1">
      <c r="A2618" s="6">
        <v>1.0</v>
      </c>
      <c r="B2618" s="6">
        <v>194.0</v>
      </c>
      <c r="C2618" s="6">
        <v>8.0</v>
      </c>
      <c r="D2618" s="162" t="s">
        <v>4024</v>
      </c>
      <c r="E2618" s="9" t="s">
        <v>4025</v>
      </c>
      <c r="F2618" s="109" t="str">
        <f t="shared" ref="F2618:G2618" si="2617">TRANSLATE(D2618,"lzh","vi")</f>
        <v>#NAME?</v>
      </c>
      <c r="G2618" s="109" t="str">
        <f t="shared" si="2617"/>
        <v>#NAME?</v>
      </c>
      <c r="X2618" s="110"/>
    </row>
    <row r="2619" ht="21.0" customHeight="1">
      <c r="A2619" s="6">
        <v>1.0</v>
      </c>
      <c r="B2619" s="6">
        <v>194.0</v>
      </c>
      <c r="C2619" s="6">
        <v>9.0</v>
      </c>
      <c r="D2619" s="162" t="s">
        <v>4026</v>
      </c>
      <c r="E2619" s="9" t="s">
        <v>4027</v>
      </c>
      <c r="F2619" s="109" t="str">
        <f t="shared" ref="F2619:G2619" si="2618">TRANSLATE(D2619,"lzh","vi")</f>
        <v>#NAME?</v>
      </c>
      <c r="G2619" s="109" t="str">
        <f t="shared" si="2618"/>
        <v>#NAME?</v>
      </c>
      <c r="X2619" s="110"/>
    </row>
    <row r="2620" ht="21.0" customHeight="1">
      <c r="A2620" s="6">
        <v>1.0</v>
      </c>
      <c r="B2620" s="6">
        <v>194.0</v>
      </c>
      <c r="C2620" s="6">
        <v>10.0</v>
      </c>
      <c r="D2620" s="162" t="s">
        <v>4028</v>
      </c>
      <c r="E2620" s="9" t="s">
        <v>4029</v>
      </c>
      <c r="F2620" s="109" t="str">
        <f t="shared" ref="F2620:G2620" si="2619">TRANSLATE(D2620,"lzh","vi")</f>
        <v>#NAME?</v>
      </c>
      <c r="G2620" s="109" t="str">
        <f t="shared" si="2619"/>
        <v>#NAME?</v>
      </c>
      <c r="X2620" s="110"/>
    </row>
    <row r="2621" ht="21.0" customHeight="1">
      <c r="A2621" s="6">
        <v>1.0</v>
      </c>
      <c r="B2621" s="6">
        <v>194.0</v>
      </c>
      <c r="C2621" s="6">
        <v>11.0</v>
      </c>
      <c r="D2621" s="162" t="s">
        <v>4030</v>
      </c>
      <c r="E2621" s="9" t="s">
        <v>4031</v>
      </c>
      <c r="F2621" s="109" t="str">
        <f t="shared" ref="F2621:G2621" si="2620">TRANSLATE(D2621,"lzh","vi")</f>
        <v>#NAME?</v>
      </c>
      <c r="G2621" s="109" t="str">
        <f t="shared" si="2620"/>
        <v>#NAME?</v>
      </c>
      <c r="X2621" s="110"/>
    </row>
    <row r="2622" ht="21.0" customHeight="1">
      <c r="A2622" s="6">
        <v>1.0</v>
      </c>
      <c r="B2622" s="6">
        <v>194.0</v>
      </c>
      <c r="C2622" s="6">
        <v>12.0</v>
      </c>
      <c r="D2622" s="162" t="s">
        <v>4032</v>
      </c>
      <c r="E2622" s="9" t="s">
        <v>4033</v>
      </c>
      <c r="F2622" s="109" t="str">
        <f t="shared" ref="F2622:G2622" si="2621">TRANSLATE(D2622,"lzh","vi")</f>
        <v>#NAME?</v>
      </c>
      <c r="G2622" s="109" t="str">
        <f t="shared" si="2621"/>
        <v>#NAME?</v>
      </c>
      <c r="X2622" s="110"/>
    </row>
    <row r="2623" ht="21.0" customHeight="1">
      <c r="A2623" s="6">
        <v>1.0</v>
      </c>
      <c r="B2623" s="6">
        <v>194.0</v>
      </c>
      <c r="C2623" s="6">
        <v>13.0</v>
      </c>
      <c r="D2623" s="162" t="s">
        <v>4034</v>
      </c>
      <c r="E2623" s="9" t="s">
        <v>4035</v>
      </c>
      <c r="F2623" s="109" t="str">
        <f t="shared" ref="F2623:G2623" si="2622">TRANSLATE(D2623,"lzh","vi")</f>
        <v>#NAME?</v>
      </c>
      <c r="G2623" s="109" t="str">
        <f t="shared" si="2622"/>
        <v>#NAME?</v>
      </c>
      <c r="X2623" s="110"/>
    </row>
    <row r="2624" ht="21.0" customHeight="1">
      <c r="A2624" s="6">
        <v>11.0</v>
      </c>
      <c r="B2624" s="6">
        <v>1049.0</v>
      </c>
      <c r="C2624" s="6">
        <v>1.0</v>
      </c>
      <c r="D2624" s="161" t="s">
        <v>4036</v>
      </c>
      <c r="E2624" s="9" t="s">
        <v>4037</v>
      </c>
      <c r="F2624" s="109" t="str">
        <f t="shared" ref="F2624:G2624" si="2623">TRANSLATE(D2624,"lzh","vi")</f>
        <v>#NAME?</v>
      </c>
      <c r="G2624" s="109" t="str">
        <f t="shared" si="2623"/>
        <v>#NAME?</v>
      </c>
      <c r="X2624" s="110"/>
    </row>
    <row r="2625" ht="21.0" customHeight="1">
      <c r="A2625" s="6">
        <v>11.0</v>
      </c>
      <c r="B2625" s="6">
        <v>1049.0</v>
      </c>
      <c r="C2625" s="6">
        <v>2.0</v>
      </c>
      <c r="D2625" s="161" t="s">
        <v>4038</v>
      </c>
      <c r="E2625" s="9" t="s">
        <v>4039</v>
      </c>
      <c r="F2625" s="109" t="str">
        <f t="shared" ref="F2625:G2625" si="2624">TRANSLATE(D2625,"lzh","vi")</f>
        <v>#NAME?</v>
      </c>
      <c r="G2625" s="109" t="str">
        <f t="shared" si="2624"/>
        <v>#NAME?</v>
      </c>
      <c r="X2625" s="110"/>
    </row>
    <row r="2626" ht="21.0" customHeight="1">
      <c r="A2626" s="6">
        <v>11.0</v>
      </c>
      <c r="B2626" s="6">
        <v>1049.0</v>
      </c>
      <c r="C2626" s="6">
        <v>3.0</v>
      </c>
      <c r="D2626" s="161" t="s">
        <v>4040</v>
      </c>
      <c r="E2626" s="9" t="s">
        <v>4041</v>
      </c>
      <c r="F2626" s="109" t="str">
        <f t="shared" ref="F2626:G2626" si="2625">TRANSLATE(D2626,"lzh","vi")</f>
        <v>#NAME?</v>
      </c>
      <c r="G2626" s="109" t="str">
        <f t="shared" si="2625"/>
        <v>#NAME?</v>
      </c>
      <c r="X2626" s="110"/>
    </row>
    <row r="2627" ht="21.0" customHeight="1">
      <c r="A2627" s="6">
        <v>11.0</v>
      </c>
      <c r="B2627" s="6">
        <v>1049.0</v>
      </c>
      <c r="C2627" s="6">
        <v>4.0</v>
      </c>
      <c r="D2627" s="161" t="s">
        <v>4042</v>
      </c>
      <c r="E2627" s="9" t="s">
        <v>4043</v>
      </c>
      <c r="F2627" s="109" t="str">
        <f t="shared" ref="F2627:G2627" si="2626">TRANSLATE(D2627,"lzh","vi")</f>
        <v>#NAME?</v>
      </c>
      <c r="G2627" s="109" t="str">
        <f t="shared" si="2626"/>
        <v>#NAME?</v>
      </c>
      <c r="X2627" s="110"/>
    </row>
    <row r="2628" ht="21.0" customHeight="1">
      <c r="A2628" s="6">
        <v>10.0</v>
      </c>
      <c r="B2628" s="6">
        <v>1049.0</v>
      </c>
      <c r="C2628" s="6">
        <v>5.0</v>
      </c>
      <c r="D2628" s="161" t="s">
        <v>4044</v>
      </c>
      <c r="E2628" s="9" t="s">
        <v>4045</v>
      </c>
      <c r="F2628" s="109" t="str">
        <f t="shared" ref="F2628:G2628" si="2627">TRANSLATE(D2628,"lzh","vi")</f>
        <v>#NAME?</v>
      </c>
      <c r="G2628" s="109" t="str">
        <f t="shared" si="2627"/>
        <v>#NAME?</v>
      </c>
      <c r="X2628" s="110"/>
    </row>
    <row r="2629" ht="21.0" customHeight="1">
      <c r="A2629" s="6">
        <v>10.0</v>
      </c>
      <c r="B2629" s="6">
        <v>1049.0</v>
      </c>
      <c r="C2629" s="6">
        <v>6.0</v>
      </c>
      <c r="D2629" s="161" t="s">
        <v>4046</v>
      </c>
      <c r="E2629" s="9" t="s">
        <v>4047</v>
      </c>
      <c r="F2629" s="109" t="str">
        <f t="shared" ref="F2629:G2629" si="2628">TRANSLATE(D2629,"lzh","vi")</f>
        <v>#NAME?</v>
      </c>
      <c r="G2629" s="109" t="str">
        <f t="shared" si="2628"/>
        <v>#NAME?</v>
      </c>
      <c r="X2629" s="110"/>
    </row>
    <row r="2630" ht="21.0" customHeight="1">
      <c r="A2630" s="6">
        <v>10.0</v>
      </c>
      <c r="B2630" s="6">
        <v>1049.0</v>
      </c>
      <c r="C2630" s="6">
        <v>7.0</v>
      </c>
      <c r="D2630" s="161" t="s">
        <v>4048</v>
      </c>
      <c r="E2630" s="9" t="s">
        <v>4049</v>
      </c>
      <c r="F2630" s="109" t="str">
        <f t="shared" ref="F2630:G2630" si="2629">TRANSLATE(D2630,"lzh","vi")</f>
        <v>#NAME?</v>
      </c>
      <c r="G2630" s="109" t="str">
        <f t="shared" si="2629"/>
        <v>#NAME?</v>
      </c>
      <c r="X2630" s="110"/>
    </row>
    <row r="2631" ht="21.0" customHeight="1">
      <c r="A2631" s="6">
        <v>10.0</v>
      </c>
      <c r="B2631" s="6">
        <v>1049.0</v>
      </c>
      <c r="C2631" s="6">
        <v>8.0</v>
      </c>
      <c r="D2631" s="161" t="s">
        <v>4050</v>
      </c>
      <c r="E2631" s="9" t="s">
        <v>4051</v>
      </c>
      <c r="F2631" s="109" t="str">
        <f t="shared" ref="F2631:G2631" si="2630">TRANSLATE(D2631,"lzh","vi")</f>
        <v>#NAME?</v>
      </c>
      <c r="G2631" s="109" t="str">
        <f t="shared" si="2630"/>
        <v>#NAME?</v>
      </c>
      <c r="X2631" s="110"/>
    </row>
    <row r="2632" ht="21.0" customHeight="1">
      <c r="A2632" s="6">
        <v>10.0</v>
      </c>
      <c r="B2632" s="6">
        <v>1049.0</v>
      </c>
      <c r="C2632" s="6">
        <v>9.0</v>
      </c>
      <c r="D2632" s="161" t="s">
        <v>4052</v>
      </c>
      <c r="E2632" s="9" t="s">
        <v>4053</v>
      </c>
      <c r="F2632" s="109" t="str">
        <f t="shared" ref="F2632:G2632" si="2631">TRANSLATE(D2632,"lzh","vi")</f>
        <v>#NAME?</v>
      </c>
      <c r="G2632" s="109" t="str">
        <f t="shared" si="2631"/>
        <v>#NAME?</v>
      </c>
      <c r="X2632" s="110"/>
    </row>
    <row r="2633" ht="21.0" customHeight="1">
      <c r="A2633" s="6">
        <v>10.0</v>
      </c>
      <c r="B2633" s="6">
        <v>1049.0</v>
      </c>
      <c r="C2633" s="6">
        <v>10.0</v>
      </c>
      <c r="D2633" s="161" t="s">
        <v>4054</v>
      </c>
      <c r="E2633" s="9" t="s">
        <v>4055</v>
      </c>
      <c r="F2633" s="109" t="str">
        <f t="shared" ref="F2633:G2633" si="2632">TRANSLATE(D2633,"lzh","vi")</f>
        <v>#NAME?</v>
      </c>
      <c r="G2633" s="109" t="str">
        <f t="shared" si="2632"/>
        <v>#NAME?</v>
      </c>
      <c r="X2633" s="110"/>
    </row>
    <row r="2634" ht="21.0" customHeight="1">
      <c r="A2634" s="6">
        <v>10.0</v>
      </c>
      <c r="B2634" s="6">
        <v>1049.0</v>
      </c>
      <c r="C2634" s="6">
        <v>11.0</v>
      </c>
      <c r="D2634" s="161" t="s">
        <v>4056</v>
      </c>
      <c r="E2634" s="9" t="s">
        <v>4057</v>
      </c>
      <c r="F2634" s="109" t="str">
        <f t="shared" ref="F2634:G2634" si="2633">TRANSLATE(D2634,"lzh","vi")</f>
        <v>#NAME?</v>
      </c>
      <c r="G2634" s="109" t="str">
        <f t="shared" si="2633"/>
        <v>#NAME?</v>
      </c>
      <c r="X2634" s="110"/>
    </row>
    <row r="2635" ht="21.0" customHeight="1">
      <c r="A2635" s="6">
        <v>10.0</v>
      </c>
      <c r="B2635" s="6">
        <v>1049.0</v>
      </c>
      <c r="C2635" s="6">
        <v>12.0</v>
      </c>
      <c r="D2635" s="161" t="s">
        <v>4058</v>
      </c>
      <c r="E2635" s="9" t="s">
        <v>4059</v>
      </c>
      <c r="F2635" s="109" t="str">
        <f t="shared" ref="F2635:G2635" si="2634">TRANSLATE(D2635,"lzh","vi")</f>
        <v>#NAME?</v>
      </c>
      <c r="G2635" s="109" t="str">
        <f t="shared" si="2634"/>
        <v>#NAME?</v>
      </c>
      <c r="X2635" s="110"/>
    </row>
    <row r="2636" ht="21.0" customHeight="1">
      <c r="A2636" s="6">
        <v>11.0</v>
      </c>
      <c r="B2636" s="6">
        <v>1050.0</v>
      </c>
      <c r="C2636" s="6">
        <v>1.0</v>
      </c>
      <c r="D2636" s="161" t="s">
        <v>4060</v>
      </c>
      <c r="E2636" s="9" t="s">
        <v>4061</v>
      </c>
      <c r="F2636" s="109" t="str">
        <f t="shared" ref="F2636:G2636" si="2635">TRANSLATE(D2636,"lzh","vi")</f>
        <v>#NAME?</v>
      </c>
      <c r="G2636" s="109" t="str">
        <f t="shared" si="2635"/>
        <v>#NAME?</v>
      </c>
      <c r="X2636" s="110"/>
    </row>
    <row r="2637" ht="21.0" customHeight="1">
      <c r="A2637" s="6">
        <v>11.0</v>
      </c>
      <c r="B2637" s="6">
        <v>1050.0</v>
      </c>
      <c r="C2637" s="6">
        <v>2.0</v>
      </c>
      <c r="D2637" s="161" t="s">
        <v>4062</v>
      </c>
      <c r="E2637" s="9" t="s">
        <v>4063</v>
      </c>
      <c r="F2637" s="109" t="str">
        <f t="shared" ref="F2637:G2637" si="2636">TRANSLATE(D2637,"lzh","vi")</f>
        <v>#NAME?</v>
      </c>
      <c r="G2637" s="109" t="str">
        <f t="shared" si="2636"/>
        <v>#NAME?</v>
      </c>
      <c r="X2637" s="110"/>
    </row>
    <row r="2638" ht="21.0" customHeight="1">
      <c r="A2638" s="6">
        <v>11.0</v>
      </c>
      <c r="B2638" s="6">
        <v>1050.0</v>
      </c>
      <c r="C2638" s="6">
        <v>3.0</v>
      </c>
      <c r="D2638" s="161" t="s">
        <v>4064</v>
      </c>
      <c r="E2638" s="9" t="s">
        <v>4065</v>
      </c>
      <c r="F2638" s="109" t="str">
        <f t="shared" ref="F2638:G2638" si="2637">TRANSLATE(D2638,"lzh","vi")</f>
        <v>#NAME?</v>
      </c>
      <c r="G2638" s="109" t="str">
        <f t="shared" si="2637"/>
        <v>#NAME?</v>
      </c>
      <c r="X2638" s="110"/>
    </row>
    <row r="2639" ht="21.0" customHeight="1">
      <c r="A2639" s="6">
        <v>11.0</v>
      </c>
      <c r="B2639" s="6">
        <v>1050.0</v>
      </c>
      <c r="C2639" s="6">
        <v>4.0</v>
      </c>
      <c r="D2639" s="161" t="s">
        <v>4066</v>
      </c>
      <c r="E2639" s="9" t="s">
        <v>4067</v>
      </c>
      <c r="F2639" s="109" t="str">
        <f t="shared" ref="F2639:G2639" si="2638">TRANSLATE(D2639,"lzh","vi")</f>
        <v>#NAME?</v>
      </c>
      <c r="G2639" s="109" t="str">
        <f t="shared" si="2638"/>
        <v>#NAME?</v>
      </c>
      <c r="X2639" s="110"/>
    </row>
    <row r="2640" ht="21.0" customHeight="1">
      <c r="A2640" s="6">
        <v>10.0</v>
      </c>
      <c r="B2640" s="6">
        <v>1050.0</v>
      </c>
      <c r="C2640" s="6">
        <v>5.0</v>
      </c>
      <c r="D2640" s="161" t="s">
        <v>4068</v>
      </c>
      <c r="E2640" s="9" t="s">
        <v>4069</v>
      </c>
      <c r="F2640" s="109" t="str">
        <f t="shared" ref="F2640:G2640" si="2639">TRANSLATE(D2640,"lzh","vi")</f>
        <v>#NAME?</v>
      </c>
      <c r="G2640" s="109" t="str">
        <f t="shared" si="2639"/>
        <v>#NAME?</v>
      </c>
      <c r="X2640" s="110"/>
    </row>
    <row r="2641" ht="21.0" customHeight="1">
      <c r="A2641" s="6">
        <v>10.0</v>
      </c>
      <c r="B2641" s="6">
        <v>1050.0</v>
      </c>
      <c r="C2641" s="6">
        <v>6.0</v>
      </c>
      <c r="D2641" s="161" t="s">
        <v>4070</v>
      </c>
      <c r="E2641" s="9" t="s">
        <v>4071</v>
      </c>
      <c r="F2641" s="109" t="str">
        <f t="shared" ref="F2641:G2641" si="2640">TRANSLATE(D2641,"lzh","vi")</f>
        <v>#NAME?</v>
      </c>
      <c r="G2641" s="109" t="str">
        <f t="shared" si="2640"/>
        <v>#NAME?</v>
      </c>
      <c r="X2641" s="110"/>
    </row>
    <row r="2642" ht="21.0" customHeight="1">
      <c r="A2642" s="6">
        <v>10.0</v>
      </c>
      <c r="B2642" s="6">
        <v>1050.0</v>
      </c>
      <c r="C2642" s="6">
        <v>7.0</v>
      </c>
      <c r="D2642" s="161" t="s">
        <v>4072</v>
      </c>
      <c r="E2642" s="9" t="s">
        <v>4073</v>
      </c>
      <c r="F2642" s="109" t="str">
        <f t="shared" ref="F2642:G2642" si="2641">TRANSLATE(D2642,"lzh","vi")</f>
        <v>#NAME?</v>
      </c>
      <c r="G2642" s="109" t="str">
        <f t="shared" si="2641"/>
        <v>#NAME?</v>
      </c>
      <c r="X2642" s="110"/>
    </row>
    <row r="2643" ht="21.0" customHeight="1">
      <c r="A2643" s="6">
        <v>10.0</v>
      </c>
      <c r="B2643" s="6">
        <v>1050.0</v>
      </c>
      <c r="C2643" s="6">
        <v>8.0</v>
      </c>
      <c r="D2643" s="161" t="s">
        <v>4074</v>
      </c>
      <c r="E2643" s="9" t="s">
        <v>4075</v>
      </c>
      <c r="F2643" s="109" t="str">
        <f t="shared" ref="F2643:G2643" si="2642">TRANSLATE(D2643,"lzh","vi")</f>
        <v>#NAME?</v>
      </c>
      <c r="G2643" s="109" t="str">
        <f t="shared" si="2642"/>
        <v>#NAME?</v>
      </c>
      <c r="X2643" s="110"/>
    </row>
    <row r="2644" ht="21.0" customHeight="1">
      <c r="A2644" s="6">
        <v>10.0</v>
      </c>
      <c r="B2644" s="6">
        <v>1050.0</v>
      </c>
      <c r="C2644" s="6">
        <v>9.0</v>
      </c>
      <c r="D2644" s="161" t="s">
        <v>4076</v>
      </c>
      <c r="E2644" s="9" t="s">
        <v>4077</v>
      </c>
      <c r="F2644" s="109" t="str">
        <f t="shared" ref="F2644:G2644" si="2643">TRANSLATE(D2644,"lzh","vi")</f>
        <v>#NAME?</v>
      </c>
      <c r="G2644" s="109" t="str">
        <f t="shared" si="2643"/>
        <v>#NAME?</v>
      </c>
      <c r="X2644" s="110"/>
    </row>
    <row r="2645" ht="21.0" customHeight="1">
      <c r="A2645" s="6">
        <v>10.0</v>
      </c>
      <c r="B2645" s="6">
        <v>1050.0</v>
      </c>
      <c r="C2645" s="6">
        <v>10.0</v>
      </c>
      <c r="D2645" s="161" t="s">
        <v>4078</v>
      </c>
      <c r="E2645" s="9" t="s">
        <v>4079</v>
      </c>
      <c r="F2645" s="109" t="str">
        <f t="shared" ref="F2645:G2645" si="2644">TRANSLATE(D2645,"lzh","vi")</f>
        <v>#NAME?</v>
      </c>
      <c r="G2645" s="109" t="str">
        <f t="shared" si="2644"/>
        <v>#NAME?</v>
      </c>
      <c r="X2645" s="110"/>
    </row>
    <row r="2646" ht="21.0" customHeight="1">
      <c r="A2646" s="6">
        <v>10.0</v>
      </c>
      <c r="B2646" s="6">
        <v>1050.0</v>
      </c>
      <c r="C2646" s="6">
        <v>11.0</v>
      </c>
      <c r="D2646" s="161" t="s">
        <v>4080</v>
      </c>
      <c r="E2646" s="9" t="s">
        <v>4081</v>
      </c>
      <c r="F2646" s="109" t="str">
        <f t="shared" ref="F2646:G2646" si="2645">TRANSLATE(D2646,"lzh","vi")</f>
        <v>#NAME?</v>
      </c>
      <c r="G2646" s="109" t="str">
        <f t="shared" si="2645"/>
        <v>#NAME?</v>
      </c>
      <c r="X2646" s="110"/>
    </row>
    <row r="2647" ht="21.0" customHeight="1">
      <c r="A2647" s="6">
        <v>10.0</v>
      </c>
      <c r="B2647" s="6">
        <v>1050.0</v>
      </c>
      <c r="C2647" s="6">
        <v>12.0</v>
      </c>
      <c r="D2647" s="161" t="s">
        <v>4082</v>
      </c>
      <c r="E2647" s="9" t="s">
        <v>4059</v>
      </c>
      <c r="F2647" s="109" t="str">
        <f t="shared" ref="F2647:G2647" si="2646">TRANSLATE(D2647,"lzh","vi")</f>
        <v>#NAME?</v>
      </c>
      <c r="G2647" s="109" t="str">
        <f t="shared" si="2646"/>
        <v>#NAME?</v>
      </c>
      <c r="X2647" s="110"/>
    </row>
    <row r="2648" ht="21.0" customHeight="1">
      <c r="A2648" s="6">
        <v>1.0</v>
      </c>
      <c r="B2648" s="6">
        <v>195.0</v>
      </c>
      <c r="C2648" s="6">
        <v>1.0</v>
      </c>
      <c r="D2648" s="162" t="s">
        <v>4083</v>
      </c>
      <c r="E2648" s="9" t="s">
        <v>4084</v>
      </c>
      <c r="F2648" s="109" t="str">
        <f t="shared" ref="F2648:G2648" si="2647">TRANSLATE(D2648,"lzh","vi")</f>
        <v>#NAME?</v>
      </c>
      <c r="G2648" s="109" t="str">
        <f t="shared" si="2647"/>
        <v>#NAME?</v>
      </c>
      <c r="X2648" s="110"/>
    </row>
    <row r="2649" ht="21.0" customHeight="1">
      <c r="A2649" s="6">
        <v>1.0</v>
      </c>
      <c r="B2649" s="6">
        <v>195.0</v>
      </c>
      <c r="C2649" s="6">
        <v>2.0</v>
      </c>
      <c r="D2649" s="162" t="s">
        <v>4085</v>
      </c>
      <c r="E2649" s="9" t="s">
        <v>4086</v>
      </c>
      <c r="F2649" s="109" t="str">
        <f t="shared" ref="F2649:G2649" si="2648">TRANSLATE(D2649,"lzh","vi")</f>
        <v>#NAME?</v>
      </c>
      <c r="G2649" s="109" t="str">
        <f t="shared" si="2648"/>
        <v>#NAME?</v>
      </c>
      <c r="X2649" s="110"/>
    </row>
    <row r="2650" ht="21.0" customHeight="1">
      <c r="A2650" s="6">
        <v>1.0</v>
      </c>
      <c r="B2650" s="6">
        <v>195.0</v>
      </c>
      <c r="C2650" s="6">
        <v>3.0</v>
      </c>
      <c r="D2650" s="162" t="s">
        <v>4087</v>
      </c>
      <c r="E2650" s="9" t="s">
        <v>4088</v>
      </c>
      <c r="F2650" s="109" t="str">
        <f t="shared" ref="F2650:G2650" si="2649">TRANSLATE(D2650,"lzh","vi")</f>
        <v>#NAME?</v>
      </c>
      <c r="G2650" s="109" t="str">
        <f t="shared" si="2649"/>
        <v>#NAME?</v>
      </c>
      <c r="X2650" s="110"/>
    </row>
    <row r="2651" ht="21.0" customHeight="1">
      <c r="A2651" s="6">
        <v>1.0</v>
      </c>
      <c r="B2651" s="6">
        <v>195.0</v>
      </c>
      <c r="C2651" s="6">
        <v>4.0</v>
      </c>
      <c r="D2651" s="162" t="s">
        <v>4089</v>
      </c>
      <c r="E2651" s="9" t="s">
        <v>4090</v>
      </c>
      <c r="F2651" s="109" t="str">
        <f t="shared" ref="F2651:G2651" si="2650">TRANSLATE(D2651,"lzh","vi")</f>
        <v>#NAME?</v>
      </c>
      <c r="G2651" s="109" t="str">
        <f t="shared" si="2650"/>
        <v>#NAME?</v>
      </c>
      <c r="X2651" s="110"/>
    </row>
    <row r="2652" ht="21.0" customHeight="1">
      <c r="A2652" s="6">
        <v>1.0</v>
      </c>
      <c r="B2652" s="6">
        <v>195.0</v>
      </c>
      <c r="C2652" s="6">
        <v>5.0</v>
      </c>
      <c r="D2652" s="162" t="s">
        <v>4091</v>
      </c>
      <c r="E2652" s="9" t="s">
        <v>4092</v>
      </c>
      <c r="F2652" s="109" t="str">
        <f t="shared" ref="F2652:G2652" si="2651">TRANSLATE(D2652,"lzh","vi")</f>
        <v>#NAME?</v>
      </c>
      <c r="G2652" s="109" t="str">
        <f t="shared" si="2651"/>
        <v>#NAME?</v>
      </c>
      <c r="X2652" s="110"/>
    </row>
    <row r="2653" ht="21.0" customHeight="1">
      <c r="A2653" s="6">
        <v>1.0</v>
      </c>
      <c r="B2653" s="6">
        <v>195.0</v>
      </c>
      <c r="C2653" s="6">
        <v>6.0</v>
      </c>
      <c r="D2653" s="162" t="s">
        <v>4093</v>
      </c>
      <c r="E2653" s="9" t="s">
        <v>4094</v>
      </c>
      <c r="F2653" s="109" t="str">
        <f t="shared" ref="F2653:G2653" si="2652">TRANSLATE(D2653,"lzh","vi")</f>
        <v>#NAME?</v>
      </c>
      <c r="G2653" s="109" t="str">
        <f t="shared" si="2652"/>
        <v>#NAME?</v>
      </c>
      <c r="X2653" s="110"/>
    </row>
    <row r="2654" ht="21.0" customHeight="1">
      <c r="A2654" s="6">
        <v>1.0</v>
      </c>
      <c r="B2654" s="6">
        <v>195.0</v>
      </c>
      <c r="C2654" s="6">
        <v>7.0</v>
      </c>
      <c r="D2654" s="162" t="s">
        <v>4095</v>
      </c>
      <c r="E2654" s="9" t="s">
        <v>4096</v>
      </c>
      <c r="F2654" s="109" t="str">
        <f t="shared" ref="F2654:G2654" si="2653">TRANSLATE(D2654,"lzh","vi")</f>
        <v>#NAME?</v>
      </c>
      <c r="G2654" s="109" t="str">
        <f t="shared" si="2653"/>
        <v>#NAME?</v>
      </c>
      <c r="X2654" s="110"/>
    </row>
    <row r="2655" ht="21.0" customHeight="1">
      <c r="A2655" s="6">
        <v>1.0</v>
      </c>
      <c r="B2655" s="6">
        <v>195.0</v>
      </c>
      <c r="C2655" s="6">
        <v>8.0</v>
      </c>
      <c r="D2655" s="162" t="s">
        <v>4097</v>
      </c>
      <c r="E2655" s="9" t="s">
        <v>4098</v>
      </c>
      <c r="F2655" s="109" t="str">
        <f t="shared" ref="F2655:G2655" si="2654">TRANSLATE(D2655,"lzh","vi")</f>
        <v>#NAME?</v>
      </c>
      <c r="G2655" s="109" t="str">
        <f t="shared" si="2654"/>
        <v>#NAME?</v>
      </c>
      <c r="X2655" s="110"/>
    </row>
    <row r="2656" ht="21.0" customHeight="1">
      <c r="A2656" s="6">
        <v>1.0</v>
      </c>
      <c r="B2656" s="6">
        <v>195.0</v>
      </c>
      <c r="C2656" s="6">
        <v>9.0</v>
      </c>
      <c r="D2656" s="162" t="s">
        <v>4099</v>
      </c>
      <c r="E2656" s="9" t="s">
        <v>4100</v>
      </c>
      <c r="F2656" s="109" t="str">
        <f t="shared" ref="F2656:G2656" si="2655">TRANSLATE(D2656,"lzh","vi")</f>
        <v>#NAME?</v>
      </c>
      <c r="G2656" s="109" t="str">
        <f t="shared" si="2655"/>
        <v>#NAME?</v>
      </c>
      <c r="X2656" s="110"/>
    </row>
    <row r="2657" ht="21.0" customHeight="1">
      <c r="A2657" s="6">
        <v>1.0</v>
      </c>
      <c r="B2657" s="6">
        <v>195.0</v>
      </c>
      <c r="C2657" s="6">
        <v>10.0</v>
      </c>
      <c r="D2657" s="162" t="s">
        <v>4101</v>
      </c>
      <c r="E2657" s="9" t="s">
        <v>4102</v>
      </c>
      <c r="F2657" s="109" t="str">
        <f t="shared" ref="F2657:G2657" si="2656">TRANSLATE(D2657,"lzh","vi")</f>
        <v>#NAME?</v>
      </c>
      <c r="G2657" s="109" t="str">
        <f t="shared" si="2656"/>
        <v>#NAME?</v>
      </c>
      <c r="X2657" s="110"/>
    </row>
    <row r="2658" ht="21.0" customHeight="1">
      <c r="A2658" s="6">
        <v>1.0</v>
      </c>
      <c r="B2658" s="6">
        <v>195.0</v>
      </c>
      <c r="C2658" s="6">
        <v>11.0</v>
      </c>
      <c r="D2658" s="162" t="s">
        <v>4103</v>
      </c>
      <c r="E2658" s="9" t="s">
        <v>4104</v>
      </c>
      <c r="F2658" s="109" t="str">
        <f t="shared" ref="F2658:G2658" si="2657">TRANSLATE(D2658,"lzh","vi")</f>
        <v>#NAME?</v>
      </c>
      <c r="G2658" s="109" t="str">
        <f t="shared" si="2657"/>
        <v>#NAME?</v>
      </c>
      <c r="X2658" s="110"/>
    </row>
    <row r="2659" ht="21.0" customHeight="1">
      <c r="A2659" s="6">
        <v>1.0</v>
      </c>
      <c r="B2659" s="6">
        <v>195.0</v>
      </c>
      <c r="C2659" s="6">
        <v>12.0</v>
      </c>
      <c r="D2659" s="162" t="s">
        <v>4105</v>
      </c>
      <c r="E2659" s="9" t="s">
        <v>4106</v>
      </c>
      <c r="F2659" s="109" t="str">
        <f t="shared" ref="F2659:G2659" si="2658">TRANSLATE(D2659,"lzh","vi")</f>
        <v>#NAME?</v>
      </c>
      <c r="G2659" s="109" t="str">
        <f t="shared" si="2658"/>
        <v>#NAME?</v>
      </c>
      <c r="X2659" s="110"/>
    </row>
    <row r="2660" ht="21.0" customHeight="1">
      <c r="A2660" s="6">
        <v>1.0</v>
      </c>
      <c r="B2660" s="6">
        <v>195.0</v>
      </c>
      <c r="C2660" s="6">
        <v>13.0</v>
      </c>
      <c r="D2660" s="162" t="s">
        <v>4107</v>
      </c>
      <c r="E2660" s="9" t="s">
        <v>4108</v>
      </c>
      <c r="F2660" s="109" t="str">
        <f t="shared" ref="F2660:G2660" si="2659">TRANSLATE(D2660,"lzh","vi")</f>
        <v>#NAME?</v>
      </c>
      <c r="G2660" s="109" t="str">
        <f t="shared" si="2659"/>
        <v>#NAME?</v>
      </c>
      <c r="X2660" s="110"/>
    </row>
    <row r="2661" ht="21.0" customHeight="1">
      <c r="A2661" s="6">
        <v>1.0</v>
      </c>
      <c r="B2661" s="6">
        <v>195.0</v>
      </c>
      <c r="C2661" s="6">
        <v>14.0</v>
      </c>
      <c r="D2661" s="162" t="s">
        <v>4109</v>
      </c>
      <c r="E2661" s="9" t="s">
        <v>4110</v>
      </c>
      <c r="F2661" s="109" t="str">
        <f t="shared" ref="F2661:G2661" si="2660">TRANSLATE(D2661,"lzh","vi")</f>
        <v>#NAME?</v>
      </c>
      <c r="G2661" s="109" t="str">
        <f t="shared" si="2660"/>
        <v>#NAME?</v>
      </c>
      <c r="X2661" s="110"/>
    </row>
    <row r="2662" ht="21.0" customHeight="1">
      <c r="A2662" s="6">
        <v>1.0</v>
      </c>
      <c r="B2662" s="6">
        <v>195.0</v>
      </c>
      <c r="C2662" s="6">
        <v>15.0</v>
      </c>
      <c r="D2662" s="162" t="s">
        <v>4111</v>
      </c>
      <c r="E2662" s="9" t="s">
        <v>4112</v>
      </c>
      <c r="F2662" s="109" t="str">
        <f t="shared" ref="F2662:G2662" si="2661">TRANSLATE(D2662,"lzh","vi")</f>
        <v>#NAME?</v>
      </c>
      <c r="G2662" s="109" t="str">
        <f t="shared" si="2661"/>
        <v>#NAME?</v>
      </c>
      <c r="X2662" s="110"/>
    </row>
    <row r="2663" ht="21.0" customHeight="1">
      <c r="A2663" s="6">
        <v>1.0</v>
      </c>
      <c r="B2663" s="6">
        <v>196.0</v>
      </c>
      <c r="C2663" s="6">
        <v>1.0</v>
      </c>
      <c r="D2663" s="162" t="s">
        <v>4113</v>
      </c>
      <c r="E2663" s="9" t="s">
        <v>4114</v>
      </c>
      <c r="F2663" s="109" t="str">
        <f t="shared" ref="F2663:G2663" si="2662">TRANSLATE(D2663,"lzh","vi")</f>
        <v>#NAME?</v>
      </c>
      <c r="G2663" s="109" t="str">
        <f t="shared" si="2662"/>
        <v>#NAME?</v>
      </c>
      <c r="X2663" s="110"/>
    </row>
    <row r="2664" ht="21.0" customHeight="1">
      <c r="A2664" s="6">
        <v>1.0</v>
      </c>
      <c r="B2664" s="6">
        <v>196.0</v>
      </c>
      <c r="C2664" s="6">
        <v>2.0</v>
      </c>
      <c r="D2664" s="162" t="s">
        <v>4115</v>
      </c>
      <c r="E2664" s="9" t="s">
        <v>4116</v>
      </c>
      <c r="F2664" s="109" t="str">
        <f t="shared" ref="F2664:G2664" si="2663">TRANSLATE(D2664,"lzh","vi")</f>
        <v>#NAME?</v>
      </c>
      <c r="G2664" s="109" t="str">
        <f t="shared" si="2663"/>
        <v>#NAME?</v>
      </c>
      <c r="X2664" s="110"/>
    </row>
    <row r="2665" ht="21.0" customHeight="1">
      <c r="A2665" s="6">
        <v>1.0</v>
      </c>
      <c r="B2665" s="6">
        <v>196.0</v>
      </c>
      <c r="C2665" s="6">
        <v>3.0</v>
      </c>
      <c r="D2665" s="162" t="s">
        <v>4117</v>
      </c>
      <c r="E2665" s="9" t="s">
        <v>4118</v>
      </c>
      <c r="F2665" s="109" t="str">
        <f t="shared" ref="F2665:G2665" si="2664">TRANSLATE(D2665,"lzh","vi")</f>
        <v>#NAME?</v>
      </c>
      <c r="G2665" s="109" t="str">
        <f t="shared" si="2664"/>
        <v>#NAME?</v>
      </c>
      <c r="X2665" s="110"/>
    </row>
    <row r="2666" ht="21.0" customHeight="1">
      <c r="A2666" s="6">
        <v>1.0</v>
      </c>
      <c r="B2666" s="6">
        <v>196.0</v>
      </c>
      <c r="C2666" s="6">
        <v>4.0</v>
      </c>
      <c r="D2666" s="162" t="s">
        <v>4119</v>
      </c>
      <c r="E2666" s="9" t="s">
        <v>4120</v>
      </c>
      <c r="F2666" s="109" t="str">
        <f t="shared" ref="F2666:G2666" si="2665">TRANSLATE(D2666,"lzh","vi")</f>
        <v>#NAME?</v>
      </c>
      <c r="G2666" s="109" t="str">
        <f t="shared" si="2665"/>
        <v>#NAME?</v>
      </c>
      <c r="X2666" s="110"/>
    </row>
    <row r="2667" ht="21.0" customHeight="1">
      <c r="A2667" s="6">
        <v>1.0</v>
      </c>
      <c r="B2667" s="6">
        <v>196.0</v>
      </c>
      <c r="C2667" s="6">
        <v>5.0</v>
      </c>
      <c r="D2667" s="162" t="s">
        <v>4121</v>
      </c>
      <c r="E2667" s="9" t="s">
        <v>4122</v>
      </c>
      <c r="F2667" s="109" t="str">
        <f t="shared" ref="F2667:G2667" si="2666">TRANSLATE(D2667,"lzh","vi")</f>
        <v>#NAME?</v>
      </c>
      <c r="G2667" s="109" t="str">
        <f t="shared" si="2666"/>
        <v>#NAME?</v>
      </c>
      <c r="X2667" s="110"/>
    </row>
    <row r="2668" ht="21.0" customHeight="1">
      <c r="A2668" s="6">
        <v>1.0</v>
      </c>
      <c r="B2668" s="6">
        <v>196.0</v>
      </c>
      <c r="C2668" s="6">
        <v>6.0</v>
      </c>
      <c r="D2668" s="162" t="s">
        <v>4123</v>
      </c>
      <c r="E2668" s="9" t="s">
        <v>4124</v>
      </c>
      <c r="F2668" s="109" t="str">
        <f t="shared" ref="F2668:G2668" si="2667">TRANSLATE(D2668,"lzh","vi")</f>
        <v>#NAME?</v>
      </c>
      <c r="G2668" s="109" t="str">
        <f t="shared" si="2667"/>
        <v>#NAME?</v>
      </c>
      <c r="X2668" s="110"/>
    </row>
    <row r="2669" ht="21.0" customHeight="1">
      <c r="A2669" s="6">
        <v>1.0</v>
      </c>
      <c r="B2669" s="6">
        <v>196.0</v>
      </c>
      <c r="C2669" s="6">
        <v>7.0</v>
      </c>
      <c r="D2669" s="162" t="s">
        <v>4125</v>
      </c>
      <c r="E2669" s="9" t="s">
        <v>4126</v>
      </c>
      <c r="F2669" s="109" t="str">
        <f t="shared" ref="F2669:G2669" si="2668">TRANSLATE(D2669,"lzh","vi")</f>
        <v>#NAME?</v>
      </c>
      <c r="G2669" s="109" t="str">
        <f t="shared" si="2668"/>
        <v>#NAME?</v>
      </c>
      <c r="X2669" s="110"/>
    </row>
    <row r="2670" ht="21.0" customHeight="1">
      <c r="A2670" s="6">
        <v>1.0</v>
      </c>
      <c r="B2670" s="6">
        <v>196.0</v>
      </c>
      <c r="C2670" s="6">
        <v>8.0</v>
      </c>
      <c r="D2670" s="162" t="s">
        <v>4127</v>
      </c>
      <c r="E2670" s="9" t="s">
        <v>4128</v>
      </c>
      <c r="F2670" s="109" t="str">
        <f t="shared" ref="F2670:G2670" si="2669">TRANSLATE(D2670,"lzh","vi")</f>
        <v>#NAME?</v>
      </c>
      <c r="G2670" s="109" t="str">
        <f t="shared" si="2669"/>
        <v>#NAME?</v>
      </c>
      <c r="X2670" s="110"/>
    </row>
    <row r="2671" ht="21.0" customHeight="1">
      <c r="A2671" s="6">
        <v>1.0</v>
      </c>
      <c r="B2671" s="6">
        <v>196.0</v>
      </c>
      <c r="C2671" s="6">
        <v>9.0</v>
      </c>
      <c r="D2671" s="162" t="s">
        <v>4129</v>
      </c>
      <c r="E2671" s="9" t="s">
        <v>4130</v>
      </c>
      <c r="F2671" s="109" t="str">
        <f t="shared" ref="F2671:G2671" si="2670">TRANSLATE(D2671,"lzh","vi")</f>
        <v>#NAME?</v>
      </c>
      <c r="G2671" s="109" t="str">
        <f t="shared" si="2670"/>
        <v>#NAME?</v>
      </c>
      <c r="X2671" s="110"/>
    </row>
    <row r="2672" ht="21.0" customHeight="1">
      <c r="A2672" s="6">
        <v>1.0</v>
      </c>
      <c r="B2672" s="6">
        <v>196.0</v>
      </c>
      <c r="C2672" s="6">
        <v>10.0</v>
      </c>
      <c r="D2672" s="162" t="s">
        <v>4131</v>
      </c>
      <c r="E2672" s="9" t="s">
        <v>4132</v>
      </c>
      <c r="F2672" s="109" t="str">
        <f t="shared" ref="F2672:G2672" si="2671">TRANSLATE(D2672,"lzh","vi")</f>
        <v>#NAME?</v>
      </c>
      <c r="G2672" s="109" t="str">
        <f t="shared" si="2671"/>
        <v>#NAME?</v>
      </c>
      <c r="X2672" s="110"/>
    </row>
    <row r="2673" ht="21.0" customHeight="1">
      <c r="A2673" s="6">
        <v>1.0</v>
      </c>
      <c r="B2673" s="6">
        <v>196.0</v>
      </c>
      <c r="C2673" s="6">
        <v>11.0</v>
      </c>
      <c r="D2673" s="162" t="s">
        <v>4133</v>
      </c>
      <c r="E2673" s="9" t="s">
        <v>4134</v>
      </c>
      <c r="F2673" s="109" t="str">
        <f t="shared" ref="F2673:G2673" si="2672">TRANSLATE(D2673,"lzh","vi")</f>
        <v>#NAME?</v>
      </c>
      <c r="G2673" s="109" t="str">
        <f t="shared" si="2672"/>
        <v>#NAME?</v>
      </c>
      <c r="X2673" s="110"/>
    </row>
    <row r="2674" ht="21.0" customHeight="1">
      <c r="A2674" s="6">
        <v>1.0</v>
      </c>
      <c r="B2674" s="6">
        <v>196.0</v>
      </c>
      <c r="C2674" s="6">
        <v>12.0</v>
      </c>
      <c r="D2674" s="162" t="s">
        <v>4135</v>
      </c>
      <c r="E2674" s="9" t="s">
        <v>4136</v>
      </c>
      <c r="F2674" s="109" t="str">
        <f t="shared" ref="F2674:G2674" si="2673">TRANSLATE(D2674,"lzh","vi")</f>
        <v>#NAME?</v>
      </c>
      <c r="G2674" s="109" t="str">
        <f t="shared" si="2673"/>
        <v>#NAME?</v>
      </c>
      <c r="X2674" s="110"/>
    </row>
    <row r="2675" ht="21.0" customHeight="1">
      <c r="A2675" s="6">
        <v>1.0</v>
      </c>
      <c r="B2675" s="6">
        <v>196.0</v>
      </c>
      <c r="C2675" s="6">
        <v>13.0</v>
      </c>
      <c r="D2675" s="162" t="s">
        <v>4137</v>
      </c>
      <c r="E2675" s="9" t="s">
        <v>4138</v>
      </c>
      <c r="F2675" s="109" t="str">
        <f t="shared" ref="F2675:G2675" si="2674">TRANSLATE(D2675,"lzh","vi")</f>
        <v>#NAME?</v>
      </c>
      <c r="G2675" s="109" t="str">
        <f t="shared" si="2674"/>
        <v>#NAME?</v>
      </c>
      <c r="X2675" s="110"/>
    </row>
    <row r="2676" ht="21.0" customHeight="1">
      <c r="A2676" s="6">
        <v>1.0</v>
      </c>
      <c r="B2676" s="6">
        <v>196.0</v>
      </c>
      <c r="C2676" s="6">
        <v>14.0</v>
      </c>
      <c r="D2676" s="162" t="s">
        <v>4139</v>
      </c>
      <c r="E2676" s="9" t="s">
        <v>4140</v>
      </c>
      <c r="F2676" s="109" t="str">
        <f t="shared" ref="F2676:G2676" si="2675">TRANSLATE(D2676,"lzh","vi")</f>
        <v>#NAME?</v>
      </c>
      <c r="G2676" s="109" t="str">
        <f t="shared" si="2675"/>
        <v>#NAME?</v>
      </c>
      <c r="X2676" s="110"/>
    </row>
    <row r="2677" ht="21.0" customHeight="1">
      <c r="A2677" s="6">
        <v>1.0</v>
      </c>
      <c r="B2677" s="6">
        <v>196.0</v>
      </c>
      <c r="C2677" s="6">
        <v>15.0</v>
      </c>
      <c r="D2677" s="162" t="s">
        <v>4141</v>
      </c>
      <c r="E2677" s="9" t="s">
        <v>4142</v>
      </c>
      <c r="F2677" s="109" t="str">
        <f t="shared" ref="F2677:G2677" si="2676">TRANSLATE(D2677,"lzh","vi")</f>
        <v>#NAME?</v>
      </c>
      <c r="G2677" s="109" t="str">
        <f t="shared" si="2676"/>
        <v>#NAME?</v>
      </c>
      <c r="X2677" s="110"/>
    </row>
    <row r="2678" ht="21.0" customHeight="1">
      <c r="A2678" s="6">
        <v>1.0</v>
      </c>
      <c r="B2678" s="6">
        <v>197.0</v>
      </c>
      <c r="C2678" s="6">
        <v>1.0</v>
      </c>
      <c r="D2678" s="162" t="s">
        <v>4143</v>
      </c>
      <c r="E2678" s="9" t="s">
        <v>4144</v>
      </c>
      <c r="F2678" s="109" t="str">
        <f t="shared" ref="F2678:G2678" si="2677">TRANSLATE(D2678,"lzh","vi")</f>
        <v>#NAME?</v>
      </c>
      <c r="G2678" s="109" t="str">
        <f t="shared" si="2677"/>
        <v>#NAME?</v>
      </c>
      <c r="X2678" s="110"/>
    </row>
    <row r="2679" ht="21.0" customHeight="1">
      <c r="A2679" s="6">
        <v>1.0</v>
      </c>
      <c r="B2679" s="6">
        <v>197.0</v>
      </c>
      <c r="C2679" s="6">
        <v>2.0</v>
      </c>
      <c r="D2679" s="162" t="s">
        <v>4145</v>
      </c>
      <c r="E2679" s="9" t="s">
        <v>4146</v>
      </c>
      <c r="F2679" s="109" t="str">
        <f t="shared" ref="F2679:G2679" si="2678">TRANSLATE(D2679,"lzh","vi")</f>
        <v>#NAME?</v>
      </c>
      <c r="G2679" s="109" t="str">
        <f t="shared" si="2678"/>
        <v>#NAME?</v>
      </c>
      <c r="X2679" s="110"/>
    </row>
    <row r="2680" ht="21.0" customHeight="1">
      <c r="A2680" s="6">
        <v>1.0</v>
      </c>
      <c r="B2680" s="6">
        <v>197.0</v>
      </c>
      <c r="C2680" s="6">
        <v>3.0</v>
      </c>
      <c r="D2680" s="162" t="s">
        <v>4147</v>
      </c>
      <c r="E2680" s="9" t="s">
        <v>4148</v>
      </c>
      <c r="F2680" s="109" t="str">
        <f t="shared" ref="F2680:G2680" si="2679">TRANSLATE(D2680,"lzh","vi")</f>
        <v>#NAME?</v>
      </c>
      <c r="G2680" s="109" t="str">
        <f t="shared" si="2679"/>
        <v>#NAME?</v>
      </c>
      <c r="X2680" s="110"/>
    </row>
    <row r="2681" ht="21.0" customHeight="1">
      <c r="A2681" s="6">
        <v>1.0</v>
      </c>
      <c r="B2681" s="6">
        <v>197.0</v>
      </c>
      <c r="C2681" s="6">
        <v>4.0</v>
      </c>
      <c r="D2681" s="162" t="s">
        <v>4149</v>
      </c>
      <c r="E2681" s="9" t="s">
        <v>4150</v>
      </c>
      <c r="F2681" s="109" t="str">
        <f t="shared" ref="F2681:G2681" si="2680">TRANSLATE(D2681,"lzh","vi")</f>
        <v>#NAME?</v>
      </c>
      <c r="G2681" s="109" t="str">
        <f t="shared" si="2680"/>
        <v>#NAME?</v>
      </c>
      <c r="X2681" s="110"/>
    </row>
    <row r="2682" ht="21.0" customHeight="1">
      <c r="A2682" s="6">
        <v>1.0</v>
      </c>
      <c r="B2682" s="6">
        <v>197.0</v>
      </c>
      <c r="C2682" s="6">
        <v>5.0</v>
      </c>
      <c r="D2682" s="162" t="s">
        <v>4151</v>
      </c>
      <c r="E2682" s="9" t="s">
        <v>4152</v>
      </c>
      <c r="F2682" s="109" t="str">
        <f t="shared" ref="F2682:G2682" si="2681">TRANSLATE(D2682,"lzh","vi")</f>
        <v>#NAME?</v>
      </c>
      <c r="G2682" s="109" t="str">
        <f t="shared" si="2681"/>
        <v>#NAME?</v>
      </c>
      <c r="X2682" s="110"/>
    </row>
    <row r="2683" ht="21.0" customHeight="1">
      <c r="A2683" s="6">
        <v>1.0</v>
      </c>
      <c r="B2683" s="6">
        <v>197.0</v>
      </c>
      <c r="C2683" s="6">
        <v>6.0</v>
      </c>
      <c r="D2683" s="162" t="s">
        <v>4153</v>
      </c>
      <c r="E2683" s="9" t="s">
        <v>4154</v>
      </c>
      <c r="F2683" s="109" t="str">
        <f t="shared" ref="F2683:G2683" si="2682">TRANSLATE(D2683,"lzh","vi")</f>
        <v>#NAME?</v>
      </c>
      <c r="G2683" s="109" t="str">
        <f t="shared" si="2682"/>
        <v>#NAME?</v>
      </c>
      <c r="X2683" s="110"/>
    </row>
    <row r="2684" ht="21.0" customHeight="1">
      <c r="A2684" s="6">
        <v>1.0</v>
      </c>
      <c r="B2684" s="6">
        <v>197.0</v>
      </c>
      <c r="C2684" s="6">
        <v>7.0</v>
      </c>
      <c r="D2684" s="162" t="s">
        <v>4155</v>
      </c>
      <c r="E2684" s="9" t="s">
        <v>4156</v>
      </c>
      <c r="F2684" s="109" t="str">
        <f t="shared" ref="F2684:G2684" si="2683">TRANSLATE(D2684,"lzh","vi")</f>
        <v>#NAME?</v>
      </c>
      <c r="G2684" s="109" t="str">
        <f t="shared" si="2683"/>
        <v>#NAME?</v>
      </c>
      <c r="X2684" s="110"/>
    </row>
    <row r="2685" ht="21.0" customHeight="1">
      <c r="A2685" s="6">
        <v>1.0</v>
      </c>
      <c r="B2685" s="6">
        <v>197.0</v>
      </c>
      <c r="C2685" s="6">
        <v>8.0</v>
      </c>
      <c r="D2685" s="162" t="s">
        <v>4157</v>
      </c>
      <c r="E2685" s="9" t="s">
        <v>4158</v>
      </c>
      <c r="F2685" s="109" t="str">
        <f t="shared" ref="F2685:G2685" si="2684">TRANSLATE(D2685,"lzh","vi")</f>
        <v>#NAME?</v>
      </c>
      <c r="G2685" s="109" t="str">
        <f t="shared" si="2684"/>
        <v>#NAME?</v>
      </c>
      <c r="X2685" s="110"/>
    </row>
    <row r="2686" ht="21.0" customHeight="1">
      <c r="A2686" s="6">
        <v>1.0</v>
      </c>
      <c r="B2686" s="6">
        <v>197.0</v>
      </c>
      <c r="C2686" s="6">
        <v>9.0</v>
      </c>
      <c r="D2686" s="162" t="s">
        <v>4159</v>
      </c>
      <c r="E2686" s="9" t="s">
        <v>4160</v>
      </c>
      <c r="F2686" s="109" t="str">
        <f t="shared" ref="F2686:G2686" si="2685">TRANSLATE(D2686,"lzh","vi")</f>
        <v>#NAME?</v>
      </c>
      <c r="G2686" s="109" t="str">
        <f t="shared" si="2685"/>
        <v>#NAME?</v>
      </c>
      <c r="X2686" s="110"/>
    </row>
    <row r="2687" ht="21.0" customHeight="1">
      <c r="A2687" s="6">
        <v>1.0</v>
      </c>
      <c r="B2687" s="6">
        <v>197.0</v>
      </c>
      <c r="C2687" s="6">
        <v>10.0</v>
      </c>
      <c r="D2687" s="162" t="s">
        <v>4161</v>
      </c>
      <c r="E2687" s="9" t="s">
        <v>4162</v>
      </c>
      <c r="F2687" s="109" t="str">
        <f t="shared" ref="F2687:G2687" si="2686">TRANSLATE(D2687,"lzh","vi")</f>
        <v>#NAME?</v>
      </c>
      <c r="G2687" s="109" t="str">
        <f t="shared" si="2686"/>
        <v>#NAME?</v>
      </c>
      <c r="X2687" s="110"/>
    </row>
    <row r="2688" ht="21.0" customHeight="1">
      <c r="A2688" s="6">
        <v>1.0</v>
      </c>
      <c r="B2688" s="6">
        <v>197.0</v>
      </c>
      <c r="C2688" s="6">
        <v>11.0</v>
      </c>
      <c r="D2688" s="162" t="s">
        <v>4163</v>
      </c>
      <c r="E2688" s="9" t="s">
        <v>4164</v>
      </c>
      <c r="F2688" s="109" t="str">
        <f t="shared" ref="F2688:G2688" si="2687">TRANSLATE(D2688,"lzh","vi")</f>
        <v>#NAME?</v>
      </c>
      <c r="G2688" s="109" t="str">
        <f t="shared" si="2687"/>
        <v>#NAME?</v>
      </c>
      <c r="X2688" s="110"/>
    </row>
    <row r="2689" ht="21.0" customHeight="1">
      <c r="A2689" s="6">
        <v>1.0</v>
      </c>
      <c r="B2689" s="6">
        <v>197.0</v>
      </c>
      <c r="C2689" s="6">
        <v>12.0</v>
      </c>
      <c r="D2689" s="162" t="s">
        <v>4165</v>
      </c>
      <c r="E2689" s="9" t="s">
        <v>4166</v>
      </c>
      <c r="F2689" s="109" t="str">
        <f t="shared" ref="F2689:G2689" si="2688">TRANSLATE(D2689,"lzh","vi")</f>
        <v>#NAME?</v>
      </c>
      <c r="G2689" s="109" t="str">
        <f t="shared" si="2688"/>
        <v>#NAME?</v>
      </c>
      <c r="X2689" s="110"/>
    </row>
    <row r="2690" ht="21.0" customHeight="1">
      <c r="A2690" s="6">
        <v>1.0</v>
      </c>
      <c r="B2690" s="6">
        <v>197.0</v>
      </c>
      <c r="C2690" s="6">
        <v>13.0</v>
      </c>
      <c r="D2690" s="162" t="s">
        <v>4167</v>
      </c>
      <c r="E2690" s="9" t="s">
        <v>4168</v>
      </c>
      <c r="F2690" s="109" t="str">
        <f t="shared" ref="F2690:G2690" si="2689">TRANSLATE(D2690,"lzh","vi")</f>
        <v>#NAME?</v>
      </c>
      <c r="G2690" s="109" t="str">
        <f t="shared" si="2689"/>
        <v>#NAME?</v>
      </c>
      <c r="X2690" s="110"/>
    </row>
    <row r="2691" ht="21.0" customHeight="1">
      <c r="A2691" s="6">
        <v>1.0</v>
      </c>
      <c r="B2691" s="6">
        <v>197.0</v>
      </c>
      <c r="C2691" s="6">
        <v>14.0</v>
      </c>
      <c r="D2691" s="4" t="s">
        <v>4169</v>
      </c>
      <c r="E2691" s="9" t="s">
        <v>4170</v>
      </c>
      <c r="F2691" s="109" t="str">
        <f t="shared" ref="F2691:G2691" si="2690">TRANSLATE(D2691,"lzh","vi")</f>
        <v>#NAME?</v>
      </c>
      <c r="G2691" s="109" t="str">
        <f t="shared" si="2690"/>
        <v>#NAME?</v>
      </c>
      <c r="X2691" s="110"/>
    </row>
    <row r="2692" ht="21.0" customHeight="1">
      <c r="A2692" s="6">
        <v>1.0</v>
      </c>
      <c r="B2692" s="6">
        <v>197.0</v>
      </c>
      <c r="C2692" s="6">
        <v>15.0</v>
      </c>
      <c r="D2692" s="4" t="s">
        <v>4171</v>
      </c>
      <c r="E2692" s="9" t="s">
        <v>4172</v>
      </c>
      <c r="F2692" s="109" t="str">
        <f t="shared" ref="F2692:G2692" si="2691">TRANSLATE(D2692,"lzh","vi")</f>
        <v>#NAME?</v>
      </c>
      <c r="G2692" s="109" t="str">
        <f t="shared" si="2691"/>
        <v>#NAME?</v>
      </c>
      <c r="X2692" s="110"/>
    </row>
    <row r="2693" ht="21.0" customHeight="1">
      <c r="A2693" s="6">
        <v>11.0</v>
      </c>
      <c r="B2693" s="6">
        <v>1051.0</v>
      </c>
      <c r="C2693" s="6">
        <v>1.0</v>
      </c>
      <c r="D2693" s="161" t="s">
        <v>4173</v>
      </c>
      <c r="E2693" s="9" t="s">
        <v>4174</v>
      </c>
      <c r="F2693" s="109" t="str">
        <f t="shared" ref="F2693:G2693" si="2692">TRANSLATE(D2693,"lzh","vi")</f>
        <v>#NAME?</v>
      </c>
      <c r="G2693" s="109" t="str">
        <f t="shared" si="2692"/>
        <v>#NAME?</v>
      </c>
      <c r="X2693" s="110"/>
    </row>
    <row r="2694" ht="21.0" customHeight="1">
      <c r="A2694" s="6">
        <v>11.0</v>
      </c>
      <c r="B2694" s="6">
        <v>1051.0</v>
      </c>
      <c r="C2694" s="6">
        <v>2.0</v>
      </c>
      <c r="D2694" s="161" t="s">
        <v>4175</v>
      </c>
      <c r="E2694" s="9" t="s">
        <v>4176</v>
      </c>
      <c r="F2694" s="109" t="str">
        <f t="shared" ref="F2694:G2694" si="2693">TRANSLATE(D2694,"lzh","vi")</f>
        <v>#NAME?</v>
      </c>
      <c r="G2694" s="109" t="str">
        <f t="shared" si="2693"/>
        <v>#NAME?</v>
      </c>
      <c r="X2694" s="110"/>
    </row>
    <row r="2695" ht="21.0" customHeight="1">
      <c r="A2695" s="6">
        <v>11.0</v>
      </c>
      <c r="B2695" s="6">
        <v>1051.0</v>
      </c>
      <c r="C2695" s="6">
        <v>3.0</v>
      </c>
      <c r="D2695" s="161" t="s">
        <v>4177</v>
      </c>
      <c r="E2695" s="9" t="s">
        <v>4178</v>
      </c>
      <c r="F2695" s="109" t="str">
        <f t="shared" ref="F2695:G2695" si="2694">TRANSLATE(D2695,"lzh","vi")</f>
        <v>#NAME?</v>
      </c>
      <c r="G2695" s="109" t="str">
        <f t="shared" si="2694"/>
        <v>#NAME?</v>
      </c>
      <c r="X2695" s="110"/>
    </row>
    <row r="2696" ht="21.0" customHeight="1">
      <c r="A2696" s="6">
        <v>11.0</v>
      </c>
      <c r="B2696" s="6">
        <v>1051.0</v>
      </c>
      <c r="C2696" s="6">
        <v>4.0</v>
      </c>
      <c r="D2696" s="163" t="s">
        <v>4179</v>
      </c>
      <c r="E2696" s="9" t="s">
        <v>4180</v>
      </c>
      <c r="F2696" s="109" t="str">
        <f t="shared" ref="F2696:G2696" si="2695">TRANSLATE(D2696,"lzh","vi")</f>
        <v>#NAME?</v>
      </c>
      <c r="G2696" s="109" t="str">
        <f t="shared" si="2695"/>
        <v>#NAME?</v>
      </c>
      <c r="X2696" s="110"/>
    </row>
    <row r="2697" ht="21.0" customHeight="1">
      <c r="A2697" s="6">
        <v>10.0</v>
      </c>
      <c r="B2697" s="6">
        <v>1051.0</v>
      </c>
      <c r="C2697" s="6">
        <v>5.0</v>
      </c>
      <c r="D2697" s="161" t="s">
        <v>4181</v>
      </c>
      <c r="E2697" s="9" t="s">
        <v>4182</v>
      </c>
      <c r="F2697" s="109" t="str">
        <f t="shared" ref="F2697:G2697" si="2696">TRANSLATE(D2697,"lzh","vi")</f>
        <v>#NAME?</v>
      </c>
      <c r="G2697" s="109" t="str">
        <f t="shared" si="2696"/>
        <v>#NAME?</v>
      </c>
      <c r="X2697" s="110"/>
    </row>
    <row r="2698" ht="21.0" customHeight="1">
      <c r="A2698" s="6">
        <v>10.0</v>
      </c>
      <c r="B2698" s="6">
        <v>1051.0</v>
      </c>
      <c r="C2698" s="6">
        <v>6.0</v>
      </c>
      <c r="D2698" s="161" t="s">
        <v>4183</v>
      </c>
      <c r="E2698" s="9" t="s">
        <v>4184</v>
      </c>
      <c r="F2698" s="109" t="str">
        <f t="shared" ref="F2698:G2698" si="2697">TRANSLATE(D2698,"lzh","vi")</f>
        <v>#NAME?</v>
      </c>
      <c r="G2698" s="109" t="str">
        <f t="shared" si="2697"/>
        <v>#NAME?</v>
      </c>
      <c r="X2698" s="110"/>
    </row>
    <row r="2699" ht="21.0" customHeight="1">
      <c r="A2699" s="6">
        <v>10.0</v>
      </c>
      <c r="B2699" s="6">
        <v>1051.0</v>
      </c>
      <c r="C2699" s="6">
        <v>7.0</v>
      </c>
      <c r="D2699" s="161" t="s">
        <v>4185</v>
      </c>
      <c r="E2699" s="9" t="s">
        <v>4186</v>
      </c>
      <c r="F2699" s="109" t="str">
        <f t="shared" ref="F2699:G2699" si="2698">TRANSLATE(D2699,"lzh","vi")</f>
        <v>#NAME?</v>
      </c>
      <c r="G2699" s="109" t="str">
        <f t="shared" si="2698"/>
        <v>#NAME?</v>
      </c>
      <c r="X2699" s="110"/>
    </row>
    <row r="2700" ht="21.0" customHeight="1">
      <c r="A2700" s="6">
        <v>10.0</v>
      </c>
      <c r="B2700" s="6">
        <v>1051.0</v>
      </c>
      <c r="C2700" s="6">
        <v>8.0</v>
      </c>
      <c r="D2700" s="161" t="s">
        <v>4187</v>
      </c>
      <c r="E2700" s="9" t="s">
        <v>4188</v>
      </c>
      <c r="F2700" s="109" t="str">
        <f t="shared" ref="F2700:G2700" si="2699">TRANSLATE(D2700,"lzh","vi")</f>
        <v>#NAME?</v>
      </c>
      <c r="G2700" s="109" t="str">
        <f t="shared" si="2699"/>
        <v>#NAME?</v>
      </c>
      <c r="X2700" s="110"/>
    </row>
    <row r="2701" ht="21.0" customHeight="1">
      <c r="A2701" s="6">
        <v>10.0</v>
      </c>
      <c r="B2701" s="6">
        <v>1051.0</v>
      </c>
      <c r="C2701" s="6">
        <v>9.0</v>
      </c>
      <c r="D2701" s="161" t="s">
        <v>4189</v>
      </c>
      <c r="E2701" s="9" t="s">
        <v>4190</v>
      </c>
      <c r="F2701" s="109" t="str">
        <f t="shared" ref="F2701:G2701" si="2700">TRANSLATE(D2701,"lzh","vi")</f>
        <v>#NAME?</v>
      </c>
      <c r="G2701" s="109" t="str">
        <f t="shared" si="2700"/>
        <v>#NAME?</v>
      </c>
      <c r="X2701" s="110"/>
    </row>
    <row r="2702" ht="21.0" customHeight="1">
      <c r="A2702" s="6">
        <v>10.0</v>
      </c>
      <c r="B2702" s="6">
        <v>1051.0</v>
      </c>
      <c r="C2702" s="6">
        <v>10.0</v>
      </c>
      <c r="D2702" s="161" t="s">
        <v>4191</v>
      </c>
      <c r="E2702" s="9" t="s">
        <v>4192</v>
      </c>
      <c r="F2702" s="109" t="str">
        <f t="shared" ref="F2702:G2702" si="2701">TRANSLATE(D2702,"lzh","vi")</f>
        <v>#NAME?</v>
      </c>
      <c r="G2702" s="109" t="str">
        <f t="shared" si="2701"/>
        <v>#NAME?</v>
      </c>
      <c r="X2702" s="110"/>
    </row>
    <row r="2703" ht="21.0" customHeight="1">
      <c r="A2703" s="6">
        <v>11.0</v>
      </c>
      <c r="B2703" s="6">
        <v>1052.0</v>
      </c>
      <c r="C2703" s="6">
        <v>1.0</v>
      </c>
      <c r="D2703" s="161" t="s">
        <v>4193</v>
      </c>
      <c r="E2703" s="9" t="s">
        <v>4194</v>
      </c>
      <c r="F2703" s="109" t="str">
        <f t="shared" ref="F2703:G2703" si="2702">TRANSLATE(D2703,"lzh","vi")</f>
        <v>#NAME?</v>
      </c>
      <c r="G2703" s="109" t="str">
        <f t="shared" si="2702"/>
        <v>#NAME?</v>
      </c>
      <c r="X2703" s="110"/>
    </row>
    <row r="2704" ht="21.0" customHeight="1">
      <c r="A2704" s="6">
        <v>11.0</v>
      </c>
      <c r="B2704" s="6">
        <v>1052.0</v>
      </c>
      <c r="C2704" s="6">
        <v>2.0</v>
      </c>
      <c r="D2704" s="161" t="s">
        <v>4195</v>
      </c>
      <c r="E2704" s="9" t="s">
        <v>4196</v>
      </c>
      <c r="F2704" s="109" t="str">
        <f t="shared" ref="F2704:G2704" si="2703">TRANSLATE(D2704,"lzh","vi")</f>
        <v>#NAME?</v>
      </c>
      <c r="G2704" s="109" t="str">
        <f t="shared" si="2703"/>
        <v>#NAME?</v>
      </c>
      <c r="X2704" s="110"/>
    </row>
    <row r="2705" ht="21.0" customHeight="1">
      <c r="A2705" s="6">
        <v>11.0</v>
      </c>
      <c r="B2705" s="6">
        <v>1052.0</v>
      </c>
      <c r="C2705" s="6">
        <v>3.0</v>
      </c>
      <c r="D2705" s="161" t="s">
        <v>4197</v>
      </c>
      <c r="E2705" s="9" t="s">
        <v>4198</v>
      </c>
      <c r="F2705" s="109" t="str">
        <f t="shared" ref="F2705:G2705" si="2704">TRANSLATE(D2705,"lzh","vi")</f>
        <v>#NAME?</v>
      </c>
      <c r="G2705" s="109" t="str">
        <f t="shared" si="2704"/>
        <v>#NAME?</v>
      </c>
      <c r="X2705" s="110"/>
    </row>
    <row r="2706" ht="21.0" customHeight="1">
      <c r="A2706" s="6">
        <v>11.0</v>
      </c>
      <c r="B2706" s="6">
        <v>1052.0</v>
      </c>
      <c r="C2706" s="6">
        <v>4.0</v>
      </c>
      <c r="D2706" s="161" t="s">
        <v>4199</v>
      </c>
      <c r="E2706" s="9" t="s">
        <v>4200</v>
      </c>
      <c r="F2706" s="109" t="str">
        <f t="shared" ref="F2706:G2706" si="2705">TRANSLATE(D2706,"lzh","vi")</f>
        <v>#NAME?</v>
      </c>
      <c r="G2706" s="109" t="str">
        <f t="shared" si="2705"/>
        <v>#NAME?</v>
      </c>
      <c r="X2706" s="110"/>
    </row>
    <row r="2707" ht="21.0" customHeight="1">
      <c r="A2707" s="6">
        <v>10.0</v>
      </c>
      <c r="B2707" s="6">
        <v>1052.0</v>
      </c>
      <c r="C2707" s="6">
        <v>5.0</v>
      </c>
      <c r="D2707" s="161" t="s">
        <v>4201</v>
      </c>
      <c r="E2707" s="9" t="s">
        <v>4202</v>
      </c>
      <c r="F2707" s="109" t="str">
        <f t="shared" ref="F2707:G2707" si="2706">TRANSLATE(D2707,"lzh","vi")</f>
        <v>#NAME?</v>
      </c>
      <c r="G2707" s="109" t="str">
        <f t="shared" si="2706"/>
        <v>#NAME?</v>
      </c>
      <c r="X2707" s="110"/>
    </row>
    <row r="2708" ht="21.0" customHeight="1">
      <c r="A2708" s="6">
        <v>10.0</v>
      </c>
      <c r="B2708" s="6">
        <v>1052.0</v>
      </c>
      <c r="C2708" s="6">
        <v>6.0</v>
      </c>
      <c r="D2708" s="161" t="s">
        <v>4203</v>
      </c>
      <c r="E2708" s="9" t="s">
        <v>4204</v>
      </c>
      <c r="F2708" s="109" t="str">
        <f t="shared" ref="F2708:G2708" si="2707">TRANSLATE(D2708,"lzh","vi")</f>
        <v>#NAME?</v>
      </c>
      <c r="G2708" s="109" t="str">
        <f t="shared" si="2707"/>
        <v>#NAME?</v>
      </c>
      <c r="X2708" s="110"/>
    </row>
    <row r="2709" ht="21.0" customHeight="1">
      <c r="A2709" s="6">
        <v>10.0</v>
      </c>
      <c r="B2709" s="6">
        <v>1052.0</v>
      </c>
      <c r="C2709" s="6">
        <v>7.0</v>
      </c>
      <c r="D2709" s="161" t="s">
        <v>4205</v>
      </c>
      <c r="E2709" s="9" t="s">
        <v>4206</v>
      </c>
      <c r="F2709" s="109" t="str">
        <f t="shared" ref="F2709:G2709" si="2708">TRANSLATE(D2709,"lzh","vi")</f>
        <v>#NAME?</v>
      </c>
      <c r="G2709" s="109" t="str">
        <f t="shared" si="2708"/>
        <v>#NAME?</v>
      </c>
      <c r="X2709" s="110"/>
    </row>
    <row r="2710" ht="21.0" customHeight="1">
      <c r="A2710" s="6">
        <v>10.0</v>
      </c>
      <c r="B2710" s="6">
        <v>1052.0</v>
      </c>
      <c r="C2710" s="6">
        <v>8.0</v>
      </c>
      <c r="D2710" s="161" t="s">
        <v>4207</v>
      </c>
      <c r="E2710" s="9" t="s">
        <v>4208</v>
      </c>
      <c r="F2710" s="109" t="str">
        <f t="shared" ref="F2710:G2710" si="2709">TRANSLATE(D2710,"lzh","vi")</f>
        <v>#NAME?</v>
      </c>
      <c r="G2710" s="109" t="str">
        <f t="shared" si="2709"/>
        <v>#NAME?</v>
      </c>
      <c r="X2710" s="110"/>
    </row>
    <row r="2711" ht="21.0" customHeight="1">
      <c r="A2711" s="6">
        <v>10.0</v>
      </c>
      <c r="B2711" s="6">
        <v>1052.0</v>
      </c>
      <c r="C2711" s="6">
        <v>9.0</v>
      </c>
      <c r="D2711" s="161" t="s">
        <v>4209</v>
      </c>
      <c r="E2711" s="9" t="s">
        <v>4210</v>
      </c>
      <c r="F2711" s="109" t="str">
        <f t="shared" ref="F2711:G2711" si="2710">TRANSLATE(D2711,"lzh","vi")</f>
        <v>#NAME?</v>
      </c>
      <c r="G2711" s="109" t="str">
        <f t="shared" si="2710"/>
        <v>#NAME?</v>
      </c>
      <c r="X2711" s="110"/>
    </row>
    <row r="2712" ht="21.0" customHeight="1">
      <c r="A2712" s="6">
        <v>10.0</v>
      </c>
      <c r="B2712" s="6">
        <v>1052.0</v>
      </c>
      <c r="C2712" s="6">
        <v>10.0</v>
      </c>
      <c r="D2712" s="161" t="s">
        <v>4211</v>
      </c>
      <c r="E2712" s="9" t="s">
        <v>4192</v>
      </c>
      <c r="F2712" s="109" t="str">
        <f t="shared" ref="F2712:G2712" si="2711">TRANSLATE(D2712,"lzh","vi")</f>
        <v>#NAME?</v>
      </c>
      <c r="G2712" s="109" t="str">
        <f t="shared" si="2711"/>
        <v>#NAME?</v>
      </c>
      <c r="X2712" s="110"/>
    </row>
    <row r="2713" ht="21.0" customHeight="1">
      <c r="A2713" s="6">
        <v>1.0</v>
      </c>
      <c r="B2713" s="6">
        <v>198.0</v>
      </c>
      <c r="C2713" s="6">
        <v>1.0</v>
      </c>
      <c r="D2713" s="162" t="s">
        <v>4212</v>
      </c>
      <c r="E2713" s="9" t="s">
        <v>4213</v>
      </c>
      <c r="F2713" s="109" t="str">
        <f t="shared" ref="F2713:G2713" si="2712">TRANSLATE(D2713,"lzh","vi")</f>
        <v>#NAME?</v>
      </c>
      <c r="G2713" s="109" t="str">
        <f t="shared" si="2712"/>
        <v>#NAME?</v>
      </c>
      <c r="X2713" s="110"/>
    </row>
    <row r="2714" ht="21.0" customHeight="1">
      <c r="A2714" s="6">
        <v>1.0</v>
      </c>
      <c r="B2714" s="6">
        <v>198.0</v>
      </c>
      <c r="C2714" s="6">
        <v>2.0</v>
      </c>
      <c r="D2714" s="162" t="s">
        <v>4214</v>
      </c>
      <c r="E2714" s="9" t="s">
        <v>4215</v>
      </c>
      <c r="F2714" s="109" t="str">
        <f t="shared" ref="F2714:G2714" si="2713">TRANSLATE(D2714,"lzh","vi")</f>
        <v>#NAME?</v>
      </c>
      <c r="G2714" s="109" t="str">
        <f t="shared" si="2713"/>
        <v>#NAME?</v>
      </c>
      <c r="X2714" s="110"/>
    </row>
    <row r="2715" ht="21.0" customHeight="1">
      <c r="A2715" s="6">
        <v>1.0</v>
      </c>
      <c r="B2715" s="6">
        <v>198.0</v>
      </c>
      <c r="C2715" s="6">
        <v>3.0</v>
      </c>
      <c r="D2715" s="162" t="s">
        <v>4216</v>
      </c>
      <c r="E2715" s="9" t="s">
        <v>4217</v>
      </c>
      <c r="F2715" s="109" t="str">
        <f t="shared" ref="F2715:G2715" si="2714">TRANSLATE(D2715,"lzh","vi")</f>
        <v>#NAME?</v>
      </c>
      <c r="G2715" s="109" t="str">
        <f t="shared" si="2714"/>
        <v>#NAME?</v>
      </c>
      <c r="X2715" s="110"/>
    </row>
    <row r="2716" ht="21.0" customHeight="1">
      <c r="A2716" s="6">
        <v>1.0</v>
      </c>
      <c r="B2716" s="6">
        <v>198.0</v>
      </c>
      <c r="C2716" s="6">
        <v>4.0</v>
      </c>
      <c r="D2716" s="162" t="s">
        <v>4218</v>
      </c>
      <c r="E2716" s="9" t="s">
        <v>4219</v>
      </c>
      <c r="F2716" s="109" t="str">
        <f t="shared" ref="F2716:G2716" si="2715">TRANSLATE(D2716,"lzh","vi")</f>
        <v>#NAME?</v>
      </c>
      <c r="G2716" s="109" t="str">
        <f t="shared" si="2715"/>
        <v>#NAME?</v>
      </c>
      <c r="X2716" s="110"/>
    </row>
    <row r="2717" ht="21.0" customHeight="1">
      <c r="A2717" s="6">
        <v>1.0</v>
      </c>
      <c r="B2717" s="6">
        <v>198.0</v>
      </c>
      <c r="C2717" s="6">
        <v>5.0</v>
      </c>
      <c r="D2717" s="162" t="s">
        <v>4220</v>
      </c>
      <c r="E2717" s="9" t="s">
        <v>4221</v>
      </c>
      <c r="F2717" s="109" t="str">
        <f t="shared" ref="F2717:G2717" si="2716">TRANSLATE(D2717,"lzh","vi")</f>
        <v>#NAME?</v>
      </c>
      <c r="G2717" s="109" t="str">
        <f t="shared" si="2716"/>
        <v>#NAME?</v>
      </c>
      <c r="X2717" s="110"/>
    </row>
    <row r="2718" ht="21.0" customHeight="1">
      <c r="A2718" s="6">
        <v>1.0</v>
      </c>
      <c r="B2718" s="6">
        <v>198.0</v>
      </c>
      <c r="C2718" s="6">
        <v>6.0</v>
      </c>
      <c r="D2718" s="162" t="s">
        <v>4222</v>
      </c>
      <c r="E2718" s="9" t="s">
        <v>4223</v>
      </c>
      <c r="F2718" s="109" t="str">
        <f t="shared" ref="F2718:G2718" si="2717">TRANSLATE(D2718,"lzh","vi")</f>
        <v>#NAME?</v>
      </c>
      <c r="G2718" s="109" t="str">
        <f t="shared" si="2717"/>
        <v>#NAME?</v>
      </c>
      <c r="X2718" s="110"/>
    </row>
    <row r="2719" ht="21.0" customHeight="1">
      <c r="A2719" s="6">
        <v>1.0</v>
      </c>
      <c r="B2719" s="6">
        <v>198.0</v>
      </c>
      <c r="C2719" s="6">
        <v>7.0</v>
      </c>
      <c r="D2719" s="162" t="s">
        <v>4224</v>
      </c>
      <c r="E2719" s="9" t="s">
        <v>4225</v>
      </c>
      <c r="F2719" s="109" t="str">
        <f t="shared" ref="F2719:G2719" si="2718">TRANSLATE(D2719,"lzh","vi")</f>
        <v>#NAME?</v>
      </c>
      <c r="G2719" s="109" t="str">
        <f t="shared" si="2718"/>
        <v>#NAME?</v>
      </c>
      <c r="X2719" s="110"/>
    </row>
    <row r="2720" ht="21.0" customHeight="1">
      <c r="A2720" s="6">
        <v>1.0</v>
      </c>
      <c r="B2720" s="6">
        <v>198.0</v>
      </c>
      <c r="C2720" s="6">
        <v>8.0</v>
      </c>
      <c r="D2720" s="162" t="s">
        <v>4226</v>
      </c>
      <c r="E2720" s="9" t="s">
        <v>4227</v>
      </c>
      <c r="F2720" s="109" t="str">
        <f t="shared" ref="F2720:G2720" si="2719">TRANSLATE(D2720,"lzh","vi")</f>
        <v>#NAME?</v>
      </c>
      <c r="G2720" s="109" t="str">
        <f t="shared" si="2719"/>
        <v>#NAME?</v>
      </c>
      <c r="X2720" s="110"/>
    </row>
    <row r="2721" ht="21.0" customHeight="1">
      <c r="A2721" s="6">
        <v>1.0</v>
      </c>
      <c r="B2721" s="6">
        <v>198.0</v>
      </c>
      <c r="C2721" s="6">
        <v>9.0</v>
      </c>
      <c r="D2721" s="162" t="s">
        <v>4228</v>
      </c>
      <c r="E2721" s="9" t="s">
        <v>4229</v>
      </c>
      <c r="F2721" s="109" t="str">
        <f t="shared" ref="F2721:G2721" si="2720">TRANSLATE(D2721,"lzh","vi")</f>
        <v>#NAME?</v>
      </c>
      <c r="G2721" s="109" t="str">
        <f t="shared" si="2720"/>
        <v>#NAME?</v>
      </c>
      <c r="X2721" s="110"/>
    </row>
    <row r="2722" ht="21.0" customHeight="1">
      <c r="A2722" s="6">
        <v>1.0</v>
      </c>
      <c r="B2722" s="6">
        <v>198.0</v>
      </c>
      <c r="C2722" s="6">
        <v>10.0</v>
      </c>
      <c r="D2722" s="162" t="s">
        <v>4230</v>
      </c>
      <c r="E2722" s="9" t="s">
        <v>4231</v>
      </c>
      <c r="F2722" s="109" t="str">
        <f t="shared" ref="F2722:G2722" si="2721">TRANSLATE(D2722,"lzh","vi")</f>
        <v>#NAME?</v>
      </c>
      <c r="G2722" s="109" t="str">
        <f t="shared" si="2721"/>
        <v>#NAME?</v>
      </c>
      <c r="X2722" s="110"/>
    </row>
    <row r="2723" ht="21.0" customHeight="1">
      <c r="A2723" s="6">
        <v>1.0</v>
      </c>
      <c r="B2723" s="6">
        <v>198.0</v>
      </c>
      <c r="C2723" s="6">
        <v>11.0</v>
      </c>
      <c r="D2723" s="162" t="s">
        <v>4232</v>
      </c>
      <c r="E2723" s="9" t="s">
        <v>4233</v>
      </c>
      <c r="F2723" s="109" t="str">
        <f t="shared" ref="F2723:G2723" si="2722">TRANSLATE(D2723,"lzh","vi")</f>
        <v>#NAME?</v>
      </c>
      <c r="G2723" s="109" t="str">
        <f t="shared" si="2722"/>
        <v>#NAME?</v>
      </c>
      <c r="X2723" s="110"/>
    </row>
    <row r="2724" ht="21.0" customHeight="1">
      <c r="A2724" s="6">
        <v>1.0</v>
      </c>
      <c r="B2724" s="6">
        <v>198.0</v>
      </c>
      <c r="C2724" s="6">
        <v>12.0</v>
      </c>
      <c r="D2724" s="162" t="s">
        <v>4234</v>
      </c>
      <c r="E2724" s="9" t="s">
        <v>4235</v>
      </c>
      <c r="F2724" s="109" t="str">
        <f t="shared" ref="F2724:G2724" si="2723">TRANSLATE(D2724,"lzh","vi")</f>
        <v>#NAME?</v>
      </c>
      <c r="G2724" s="109" t="str">
        <f t="shared" si="2723"/>
        <v>#NAME?</v>
      </c>
      <c r="X2724" s="110"/>
    </row>
    <row r="2725" ht="21.0" customHeight="1">
      <c r="A2725" s="6">
        <v>1.0</v>
      </c>
      <c r="B2725" s="6">
        <v>198.0</v>
      </c>
      <c r="C2725" s="6">
        <v>13.0</v>
      </c>
      <c r="D2725" s="162" t="s">
        <v>4236</v>
      </c>
      <c r="E2725" s="9" t="s">
        <v>4237</v>
      </c>
      <c r="F2725" s="109" t="str">
        <f t="shared" ref="F2725:G2725" si="2724">TRANSLATE(D2725,"lzh","vi")</f>
        <v>#NAME?</v>
      </c>
      <c r="G2725" s="109" t="str">
        <f t="shared" si="2724"/>
        <v>#NAME?</v>
      </c>
      <c r="X2725" s="110"/>
    </row>
    <row r="2726" ht="21.0" customHeight="1">
      <c r="A2726" s="6">
        <v>1.0</v>
      </c>
      <c r="B2726" s="6">
        <v>199.0</v>
      </c>
      <c r="C2726" s="6">
        <v>1.0</v>
      </c>
      <c r="D2726" s="162" t="s">
        <v>4238</v>
      </c>
      <c r="E2726" s="9" t="s">
        <v>4239</v>
      </c>
      <c r="F2726" s="109" t="str">
        <f t="shared" ref="F2726:G2726" si="2725">TRANSLATE(D2726,"lzh","vi")</f>
        <v>#NAME?</v>
      </c>
      <c r="G2726" s="109" t="str">
        <f t="shared" si="2725"/>
        <v>#NAME?</v>
      </c>
      <c r="X2726" s="110"/>
    </row>
    <row r="2727" ht="21.0" customHeight="1">
      <c r="A2727" s="6">
        <v>1.0</v>
      </c>
      <c r="B2727" s="6">
        <v>199.0</v>
      </c>
      <c r="C2727" s="6">
        <v>2.0</v>
      </c>
      <c r="D2727" s="162" t="s">
        <v>4240</v>
      </c>
      <c r="E2727" s="9" t="s">
        <v>4241</v>
      </c>
      <c r="F2727" s="109" t="str">
        <f t="shared" ref="F2727:G2727" si="2726">TRANSLATE(D2727,"lzh","vi")</f>
        <v>#NAME?</v>
      </c>
      <c r="G2727" s="109" t="str">
        <f t="shared" si="2726"/>
        <v>#NAME?</v>
      </c>
      <c r="X2727" s="110"/>
    </row>
    <row r="2728" ht="21.0" customHeight="1">
      <c r="A2728" s="6">
        <v>1.0</v>
      </c>
      <c r="B2728" s="6">
        <v>199.0</v>
      </c>
      <c r="C2728" s="6">
        <v>3.0</v>
      </c>
      <c r="D2728" s="162" t="s">
        <v>4242</v>
      </c>
      <c r="E2728" s="9" t="s">
        <v>4243</v>
      </c>
      <c r="F2728" s="109" t="str">
        <f t="shared" ref="F2728:G2728" si="2727">TRANSLATE(D2728,"lzh","vi")</f>
        <v>#NAME?</v>
      </c>
      <c r="G2728" s="109" t="str">
        <f t="shared" si="2727"/>
        <v>#NAME?</v>
      </c>
      <c r="X2728" s="110"/>
    </row>
    <row r="2729" ht="21.0" customHeight="1">
      <c r="A2729" s="6">
        <v>1.0</v>
      </c>
      <c r="B2729" s="6">
        <v>199.0</v>
      </c>
      <c r="C2729" s="6">
        <v>4.0</v>
      </c>
      <c r="D2729" s="162" t="s">
        <v>4244</v>
      </c>
      <c r="E2729" s="9" t="s">
        <v>4245</v>
      </c>
      <c r="F2729" s="109" t="str">
        <f t="shared" ref="F2729:G2729" si="2728">TRANSLATE(D2729,"lzh","vi")</f>
        <v>#NAME?</v>
      </c>
      <c r="G2729" s="109" t="str">
        <f t="shared" si="2728"/>
        <v>#NAME?</v>
      </c>
      <c r="X2729" s="110"/>
    </row>
    <row r="2730" ht="21.0" customHeight="1">
      <c r="A2730" s="6">
        <v>1.0</v>
      </c>
      <c r="B2730" s="6">
        <v>199.0</v>
      </c>
      <c r="C2730" s="6">
        <v>5.0</v>
      </c>
      <c r="D2730" s="162" t="s">
        <v>4246</v>
      </c>
      <c r="E2730" s="9" t="s">
        <v>4247</v>
      </c>
      <c r="F2730" s="109" t="str">
        <f t="shared" ref="F2730:G2730" si="2729">TRANSLATE(D2730,"lzh","vi")</f>
        <v>#NAME?</v>
      </c>
      <c r="G2730" s="109" t="str">
        <f t="shared" si="2729"/>
        <v>#NAME?</v>
      </c>
      <c r="X2730" s="110"/>
    </row>
    <row r="2731" ht="21.0" customHeight="1">
      <c r="A2731" s="6">
        <v>1.0</v>
      </c>
      <c r="B2731" s="6">
        <v>199.0</v>
      </c>
      <c r="C2731" s="6">
        <v>6.0</v>
      </c>
      <c r="D2731" s="162" t="s">
        <v>4248</v>
      </c>
      <c r="E2731" s="9" t="s">
        <v>4249</v>
      </c>
      <c r="F2731" s="109" t="str">
        <f t="shared" ref="F2731:G2731" si="2730">TRANSLATE(D2731,"lzh","vi")</f>
        <v>#NAME?</v>
      </c>
      <c r="G2731" s="109" t="str">
        <f t="shared" si="2730"/>
        <v>#NAME?</v>
      </c>
      <c r="X2731" s="110"/>
    </row>
    <row r="2732" ht="21.0" customHeight="1">
      <c r="A2732" s="6">
        <v>1.0</v>
      </c>
      <c r="B2732" s="6">
        <v>199.0</v>
      </c>
      <c r="C2732" s="6">
        <v>7.0</v>
      </c>
      <c r="D2732" s="162" t="s">
        <v>4250</v>
      </c>
      <c r="E2732" s="9" t="s">
        <v>4251</v>
      </c>
      <c r="F2732" s="109" t="str">
        <f t="shared" ref="F2732:G2732" si="2731">TRANSLATE(D2732,"lzh","vi")</f>
        <v>#NAME?</v>
      </c>
      <c r="G2732" s="109" t="str">
        <f t="shared" si="2731"/>
        <v>#NAME?</v>
      </c>
      <c r="X2732" s="110"/>
    </row>
    <row r="2733" ht="21.0" customHeight="1">
      <c r="A2733" s="6">
        <v>1.0</v>
      </c>
      <c r="B2733" s="6">
        <v>199.0</v>
      </c>
      <c r="C2733" s="6">
        <v>8.0</v>
      </c>
      <c r="D2733" s="162" t="s">
        <v>4252</v>
      </c>
      <c r="E2733" s="9" t="s">
        <v>4253</v>
      </c>
      <c r="F2733" s="109" t="str">
        <f t="shared" ref="F2733:G2733" si="2732">TRANSLATE(D2733,"lzh","vi")</f>
        <v>#NAME?</v>
      </c>
      <c r="G2733" s="109" t="str">
        <f t="shared" si="2732"/>
        <v>#NAME?</v>
      </c>
      <c r="X2733" s="110"/>
    </row>
    <row r="2734" ht="21.0" customHeight="1">
      <c r="A2734" s="6">
        <v>1.0</v>
      </c>
      <c r="B2734" s="6">
        <v>199.0</v>
      </c>
      <c r="C2734" s="6">
        <v>9.0</v>
      </c>
      <c r="D2734" s="162" t="s">
        <v>4254</v>
      </c>
      <c r="E2734" s="9" t="s">
        <v>4255</v>
      </c>
      <c r="F2734" s="109" t="str">
        <f t="shared" ref="F2734:G2734" si="2733">TRANSLATE(D2734,"lzh","vi")</f>
        <v>#NAME?</v>
      </c>
      <c r="G2734" s="109" t="str">
        <f t="shared" si="2733"/>
        <v>#NAME?</v>
      </c>
      <c r="X2734" s="110"/>
    </row>
    <row r="2735" ht="21.0" customHeight="1">
      <c r="A2735" s="6">
        <v>1.0</v>
      </c>
      <c r="B2735" s="6">
        <v>199.0</v>
      </c>
      <c r="C2735" s="6">
        <v>10.0</v>
      </c>
      <c r="D2735" s="162" t="s">
        <v>4256</v>
      </c>
      <c r="E2735" s="9" t="s">
        <v>4257</v>
      </c>
      <c r="F2735" s="109" t="str">
        <f t="shared" ref="F2735:G2735" si="2734">TRANSLATE(D2735,"lzh","vi")</f>
        <v>#NAME?</v>
      </c>
      <c r="G2735" s="109" t="str">
        <f t="shared" si="2734"/>
        <v>#NAME?</v>
      </c>
      <c r="X2735" s="110"/>
    </row>
    <row r="2736" ht="21.0" customHeight="1">
      <c r="A2736" s="6">
        <v>1.0</v>
      </c>
      <c r="B2736" s="6">
        <v>199.0</v>
      </c>
      <c r="C2736" s="6">
        <v>11.0</v>
      </c>
      <c r="D2736" s="162" t="s">
        <v>4258</v>
      </c>
      <c r="E2736" s="9" t="s">
        <v>4259</v>
      </c>
      <c r="F2736" s="109" t="str">
        <f t="shared" ref="F2736:G2736" si="2735">TRANSLATE(D2736,"lzh","vi")</f>
        <v>#NAME?</v>
      </c>
      <c r="G2736" s="109" t="str">
        <f t="shared" si="2735"/>
        <v>#NAME?</v>
      </c>
      <c r="X2736" s="110"/>
    </row>
    <row r="2737" ht="21.0" customHeight="1">
      <c r="A2737" s="6">
        <v>1.0</v>
      </c>
      <c r="B2737" s="6">
        <v>199.0</v>
      </c>
      <c r="C2737" s="6">
        <v>12.0</v>
      </c>
      <c r="D2737" s="162" t="s">
        <v>4260</v>
      </c>
      <c r="E2737" s="9" t="s">
        <v>4261</v>
      </c>
      <c r="F2737" s="109" t="str">
        <f t="shared" ref="F2737:G2737" si="2736">TRANSLATE(D2737,"lzh","vi")</f>
        <v>#NAME?</v>
      </c>
      <c r="G2737" s="109" t="str">
        <f t="shared" si="2736"/>
        <v>#NAME?</v>
      </c>
      <c r="X2737" s="110"/>
    </row>
    <row r="2738" ht="21.0" customHeight="1">
      <c r="A2738" s="6">
        <v>1.0</v>
      </c>
      <c r="B2738" s="6">
        <v>199.0</v>
      </c>
      <c r="C2738" s="6">
        <v>13.0</v>
      </c>
      <c r="D2738" s="162" t="s">
        <v>4262</v>
      </c>
      <c r="E2738" s="9" t="s">
        <v>4263</v>
      </c>
      <c r="F2738" s="109" t="str">
        <f t="shared" ref="F2738:G2738" si="2737">TRANSLATE(D2738,"lzh","vi")</f>
        <v>#NAME?</v>
      </c>
      <c r="G2738" s="109" t="str">
        <f t="shared" si="2737"/>
        <v>#NAME?</v>
      </c>
      <c r="X2738" s="110"/>
    </row>
    <row r="2739" ht="21.0" customHeight="1">
      <c r="A2739" s="6">
        <v>1.0</v>
      </c>
      <c r="B2739" s="6">
        <v>200.0</v>
      </c>
      <c r="C2739" s="6">
        <v>1.0</v>
      </c>
      <c r="D2739" s="164" t="s">
        <v>4264</v>
      </c>
      <c r="E2739" s="9" t="s">
        <v>4265</v>
      </c>
      <c r="F2739" s="109" t="str">
        <f t="shared" ref="F2739:G2739" si="2738">TRANSLATE(D2739,"lzh","vi")</f>
        <v>#NAME?</v>
      </c>
      <c r="G2739" s="109" t="str">
        <f t="shared" si="2738"/>
        <v>#NAME?</v>
      </c>
      <c r="X2739" s="110"/>
    </row>
    <row r="2740" ht="21.0" customHeight="1">
      <c r="A2740" s="6">
        <v>1.0</v>
      </c>
      <c r="B2740" s="6">
        <v>200.0</v>
      </c>
      <c r="C2740" s="6">
        <v>2.0</v>
      </c>
      <c r="D2740" s="162" t="s">
        <v>4266</v>
      </c>
      <c r="E2740" s="9" t="s">
        <v>4267</v>
      </c>
      <c r="F2740" s="109" t="str">
        <f t="shared" ref="F2740:G2740" si="2739">TRANSLATE(D2740,"lzh","vi")</f>
        <v>#NAME?</v>
      </c>
      <c r="G2740" s="109" t="str">
        <f t="shared" si="2739"/>
        <v>#NAME?</v>
      </c>
      <c r="X2740" s="110"/>
    </row>
    <row r="2741" ht="21.0" customHeight="1">
      <c r="A2741" s="6">
        <v>1.0</v>
      </c>
      <c r="B2741" s="6">
        <v>200.0</v>
      </c>
      <c r="C2741" s="6">
        <v>3.0</v>
      </c>
      <c r="D2741" s="162" t="s">
        <v>4268</v>
      </c>
      <c r="E2741" s="9" t="s">
        <v>4269</v>
      </c>
      <c r="F2741" s="109" t="str">
        <f t="shared" ref="F2741:G2741" si="2740">TRANSLATE(D2741,"lzh","vi")</f>
        <v>#NAME?</v>
      </c>
      <c r="G2741" s="109" t="str">
        <f t="shared" si="2740"/>
        <v>#NAME?</v>
      </c>
      <c r="X2741" s="110"/>
    </row>
    <row r="2742" ht="21.0" customHeight="1">
      <c r="A2742" s="6">
        <v>1.0</v>
      </c>
      <c r="B2742" s="6">
        <v>200.0</v>
      </c>
      <c r="C2742" s="6">
        <v>4.0</v>
      </c>
      <c r="D2742" s="162" t="s">
        <v>4270</v>
      </c>
      <c r="E2742" s="9" t="s">
        <v>4271</v>
      </c>
      <c r="F2742" s="109" t="str">
        <f t="shared" ref="F2742:G2742" si="2741">TRANSLATE(D2742,"lzh","vi")</f>
        <v>#NAME?</v>
      </c>
      <c r="G2742" s="109" t="str">
        <f t="shared" si="2741"/>
        <v>#NAME?</v>
      </c>
      <c r="X2742" s="110"/>
    </row>
    <row r="2743" ht="21.0" customHeight="1">
      <c r="A2743" s="6">
        <v>1.0</v>
      </c>
      <c r="B2743" s="6">
        <v>200.0</v>
      </c>
      <c r="C2743" s="6">
        <v>5.0</v>
      </c>
      <c r="D2743" s="162" t="s">
        <v>4272</v>
      </c>
      <c r="E2743" s="9" t="s">
        <v>4273</v>
      </c>
      <c r="F2743" s="109" t="str">
        <f t="shared" ref="F2743:G2743" si="2742">TRANSLATE(D2743,"lzh","vi")</f>
        <v>#NAME?</v>
      </c>
      <c r="G2743" s="109" t="str">
        <f t="shared" si="2742"/>
        <v>#NAME?</v>
      </c>
      <c r="X2743" s="110"/>
    </row>
    <row r="2744" ht="21.0" customHeight="1">
      <c r="A2744" s="6">
        <v>1.0</v>
      </c>
      <c r="B2744" s="6">
        <v>200.0</v>
      </c>
      <c r="C2744" s="6">
        <v>6.0</v>
      </c>
      <c r="D2744" s="165" t="s">
        <v>4274</v>
      </c>
      <c r="E2744" s="9" t="s">
        <v>4275</v>
      </c>
      <c r="F2744" s="109" t="str">
        <f t="shared" ref="F2744:G2744" si="2743">TRANSLATE(D2744,"lzh","vi")</f>
        <v>#NAME?</v>
      </c>
      <c r="G2744" s="109" t="str">
        <f t="shared" si="2743"/>
        <v>#NAME?</v>
      </c>
      <c r="X2744" s="110"/>
    </row>
    <row r="2745" ht="21.0" customHeight="1">
      <c r="A2745" s="6">
        <v>1.0</v>
      </c>
      <c r="B2745" s="6">
        <v>200.0</v>
      </c>
      <c r="C2745" s="6">
        <v>7.0</v>
      </c>
      <c r="D2745" s="162" t="s">
        <v>4276</v>
      </c>
      <c r="E2745" s="9" t="s">
        <v>4277</v>
      </c>
      <c r="F2745" s="109" t="str">
        <f t="shared" ref="F2745:G2745" si="2744">TRANSLATE(D2745,"lzh","vi")</f>
        <v>#NAME?</v>
      </c>
      <c r="G2745" s="109" t="str">
        <f t="shared" si="2744"/>
        <v>#NAME?</v>
      </c>
      <c r="X2745" s="110"/>
    </row>
    <row r="2746" ht="21.0" customHeight="1">
      <c r="A2746" s="6">
        <v>1.0</v>
      </c>
      <c r="B2746" s="6">
        <v>200.0</v>
      </c>
      <c r="C2746" s="6">
        <v>8.0</v>
      </c>
      <c r="D2746" s="162" t="s">
        <v>4278</v>
      </c>
      <c r="E2746" s="9" t="s">
        <v>4279</v>
      </c>
      <c r="F2746" s="109" t="str">
        <f t="shared" ref="F2746:G2746" si="2745">TRANSLATE(D2746,"lzh","vi")</f>
        <v>#NAME?</v>
      </c>
      <c r="G2746" s="109" t="str">
        <f t="shared" si="2745"/>
        <v>#NAME?</v>
      </c>
      <c r="X2746" s="110"/>
    </row>
    <row r="2747" ht="21.0" customHeight="1">
      <c r="A2747" s="6">
        <v>1.0</v>
      </c>
      <c r="B2747" s="6">
        <v>200.0</v>
      </c>
      <c r="C2747" s="6">
        <v>9.0</v>
      </c>
      <c r="D2747" s="162" t="s">
        <v>4280</v>
      </c>
      <c r="E2747" s="9" t="s">
        <v>4281</v>
      </c>
      <c r="F2747" s="109" t="str">
        <f t="shared" ref="F2747:G2747" si="2746">TRANSLATE(D2747,"lzh","vi")</f>
        <v>#NAME?</v>
      </c>
      <c r="G2747" s="109" t="str">
        <f t="shared" si="2746"/>
        <v>#NAME?</v>
      </c>
      <c r="X2747" s="110"/>
    </row>
    <row r="2748" ht="21.0" customHeight="1">
      <c r="A2748" s="6">
        <v>1.0</v>
      </c>
      <c r="B2748" s="6">
        <v>200.0</v>
      </c>
      <c r="C2748" s="6">
        <v>10.0</v>
      </c>
      <c r="D2748" s="162" t="s">
        <v>4282</v>
      </c>
      <c r="E2748" s="9" t="s">
        <v>4283</v>
      </c>
      <c r="F2748" s="109" t="str">
        <f t="shared" ref="F2748:G2748" si="2747">TRANSLATE(D2748,"lzh","vi")</f>
        <v>#NAME?</v>
      </c>
      <c r="G2748" s="109" t="str">
        <f t="shared" si="2747"/>
        <v>#NAME?</v>
      </c>
      <c r="X2748" s="110"/>
    </row>
    <row r="2749" ht="21.0" customHeight="1">
      <c r="A2749" s="6">
        <v>1.0</v>
      </c>
      <c r="B2749" s="6">
        <v>200.0</v>
      </c>
      <c r="C2749" s="6">
        <v>11.0</v>
      </c>
      <c r="D2749" s="162" t="s">
        <v>4284</v>
      </c>
      <c r="E2749" s="9" t="s">
        <v>4285</v>
      </c>
      <c r="F2749" s="109" t="str">
        <f t="shared" ref="F2749:G2749" si="2748">TRANSLATE(D2749,"lzh","vi")</f>
        <v>#NAME?</v>
      </c>
      <c r="G2749" s="109" t="str">
        <f t="shared" si="2748"/>
        <v>#NAME?</v>
      </c>
      <c r="X2749" s="110"/>
    </row>
    <row r="2750" ht="21.0" customHeight="1">
      <c r="A2750" s="6">
        <v>1.0</v>
      </c>
      <c r="B2750" s="6">
        <v>200.0</v>
      </c>
      <c r="C2750" s="6">
        <v>12.0</v>
      </c>
      <c r="D2750" s="162" t="s">
        <v>4286</v>
      </c>
      <c r="E2750" s="9" t="s">
        <v>4287</v>
      </c>
      <c r="F2750" s="109" t="str">
        <f t="shared" ref="F2750:G2750" si="2749">TRANSLATE(D2750,"lzh","vi")</f>
        <v>#NAME?</v>
      </c>
      <c r="G2750" s="109" t="str">
        <f t="shared" si="2749"/>
        <v>#NAME?</v>
      </c>
      <c r="X2750" s="110"/>
    </row>
    <row r="2751" ht="21.0" customHeight="1">
      <c r="A2751" s="6">
        <v>1.0</v>
      </c>
      <c r="B2751" s="6">
        <v>200.0</v>
      </c>
      <c r="C2751" s="6">
        <v>13.0</v>
      </c>
      <c r="D2751" s="162" t="s">
        <v>4288</v>
      </c>
      <c r="E2751" s="9" t="s">
        <v>4289</v>
      </c>
      <c r="F2751" s="109" t="str">
        <f t="shared" ref="F2751:G2751" si="2750">TRANSLATE(D2751,"lzh","vi")</f>
        <v>#NAME?</v>
      </c>
      <c r="G2751" s="109" t="str">
        <f t="shared" si="2750"/>
        <v>#NAME?</v>
      </c>
      <c r="X2751" s="110"/>
    </row>
    <row r="2752" ht="21.0" customHeight="1">
      <c r="A2752" s="6">
        <v>11.0</v>
      </c>
      <c r="B2752" s="6">
        <v>1053.0</v>
      </c>
      <c r="C2752" s="6">
        <v>1.0</v>
      </c>
      <c r="D2752" s="161" t="s">
        <v>4290</v>
      </c>
      <c r="E2752" s="9" t="s">
        <v>4291</v>
      </c>
      <c r="F2752" s="109" t="str">
        <f t="shared" ref="F2752:G2752" si="2751">TRANSLATE(D2752,"lzh","vi")</f>
        <v>#NAME?</v>
      </c>
      <c r="G2752" s="109" t="str">
        <f t="shared" si="2751"/>
        <v>#NAME?</v>
      </c>
      <c r="X2752" s="110"/>
    </row>
    <row r="2753" ht="21.0" customHeight="1">
      <c r="A2753" s="6">
        <v>11.0</v>
      </c>
      <c r="B2753" s="6">
        <v>1053.0</v>
      </c>
      <c r="C2753" s="6">
        <v>2.0</v>
      </c>
      <c r="D2753" s="161" t="s">
        <v>4292</v>
      </c>
      <c r="E2753" s="9" t="s">
        <v>4293</v>
      </c>
      <c r="F2753" s="109" t="str">
        <f t="shared" ref="F2753:G2753" si="2752">TRANSLATE(D2753,"lzh","vi")</f>
        <v>#NAME?</v>
      </c>
      <c r="G2753" s="109" t="str">
        <f t="shared" si="2752"/>
        <v>#NAME?</v>
      </c>
      <c r="X2753" s="110"/>
    </row>
    <row r="2754" ht="21.0" customHeight="1">
      <c r="A2754" s="6">
        <v>11.0</v>
      </c>
      <c r="B2754" s="6">
        <v>1053.0</v>
      </c>
      <c r="C2754" s="6">
        <v>3.0</v>
      </c>
      <c r="D2754" s="161" t="s">
        <v>4294</v>
      </c>
      <c r="E2754" s="9" t="s">
        <v>4295</v>
      </c>
      <c r="F2754" s="109" t="str">
        <f t="shared" ref="F2754:G2754" si="2753">TRANSLATE(D2754,"lzh","vi")</f>
        <v>#NAME?</v>
      </c>
      <c r="G2754" s="109" t="str">
        <f t="shared" si="2753"/>
        <v>#NAME?</v>
      </c>
      <c r="X2754" s="110"/>
    </row>
    <row r="2755" ht="21.0" customHeight="1">
      <c r="A2755" s="6">
        <v>11.0</v>
      </c>
      <c r="B2755" s="6">
        <v>1053.0</v>
      </c>
      <c r="C2755" s="6">
        <v>4.0</v>
      </c>
      <c r="D2755" s="161" t="s">
        <v>4296</v>
      </c>
      <c r="E2755" s="9" t="s">
        <v>4297</v>
      </c>
      <c r="F2755" s="109" t="str">
        <f t="shared" ref="F2755:G2755" si="2754">TRANSLATE(D2755,"lzh","vi")</f>
        <v>#NAME?</v>
      </c>
      <c r="G2755" s="109" t="str">
        <f t="shared" si="2754"/>
        <v>#NAME?</v>
      </c>
      <c r="X2755" s="110"/>
    </row>
    <row r="2756" ht="21.0" customHeight="1">
      <c r="A2756" s="6">
        <v>10.0</v>
      </c>
      <c r="B2756" s="6">
        <v>1053.0</v>
      </c>
      <c r="C2756" s="6">
        <v>5.0</v>
      </c>
      <c r="D2756" s="161" t="s">
        <v>4298</v>
      </c>
      <c r="E2756" s="9" t="s">
        <v>4299</v>
      </c>
      <c r="F2756" s="109" t="str">
        <f t="shared" ref="F2756:G2756" si="2755">TRANSLATE(D2756,"lzh","vi")</f>
        <v>#NAME?</v>
      </c>
      <c r="G2756" s="109" t="str">
        <f t="shared" si="2755"/>
        <v>#NAME?</v>
      </c>
      <c r="X2756" s="110"/>
    </row>
    <row r="2757" ht="21.0" customHeight="1">
      <c r="A2757" s="6">
        <v>10.0</v>
      </c>
      <c r="B2757" s="6">
        <v>1053.0</v>
      </c>
      <c r="C2757" s="6">
        <v>6.0</v>
      </c>
      <c r="D2757" s="161" t="s">
        <v>4300</v>
      </c>
      <c r="E2757" s="9" t="s">
        <v>4301</v>
      </c>
      <c r="F2757" s="109" t="str">
        <f t="shared" ref="F2757:G2757" si="2756">TRANSLATE(D2757,"lzh","vi")</f>
        <v>#NAME?</v>
      </c>
      <c r="G2757" s="109" t="str">
        <f t="shared" si="2756"/>
        <v>#NAME?</v>
      </c>
      <c r="X2757" s="110"/>
    </row>
    <row r="2758" ht="21.0" customHeight="1">
      <c r="A2758" s="6">
        <v>10.0</v>
      </c>
      <c r="B2758" s="6">
        <v>1053.0</v>
      </c>
      <c r="C2758" s="6">
        <v>7.0</v>
      </c>
      <c r="D2758" s="161" t="s">
        <v>4302</v>
      </c>
      <c r="E2758" s="9" t="s">
        <v>4303</v>
      </c>
      <c r="F2758" s="109" t="str">
        <f t="shared" ref="F2758:G2758" si="2757">TRANSLATE(D2758,"lzh","vi")</f>
        <v>#NAME?</v>
      </c>
      <c r="G2758" s="109" t="str">
        <f t="shared" si="2757"/>
        <v>#NAME?</v>
      </c>
      <c r="X2758" s="110"/>
    </row>
    <row r="2759" ht="21.0" customHeight="1">
      <c r="A2759" s="6">
        <v>10.0</v>
      </c>
      <c r="B2759" s="6">
        <v>1053.0</v>
      </c>
      <c r="C2759" s="6">
        <v>8.0</v>
      </c>
      <c r="D2759" s="161" t="s">
        <v>4304</v>
      </c>
      <c r="E2759" s="9" t="s">
        <v>4305</v>
      </c>
      <c r="F2759" s="109" t="str">
        <f t="shared" ref="F2759:G2759" si="2758">TRANSLATE(D2759,"lzh","vi")</f>
        <v>#NAME?</v>
      </c>
      <c r="G2759" s="109" t="str">
        <f t="shared" si="2758"/>
        <v>#NAME?</v>
      </c>
      <c r="X2759" s="110"/>
    </row>
    <row r="2760" ht="21.0" customHeight="1">
      <c r="A2760" s="6">
        <v>10.0</v>
      </c>
      <c r="B2760" s="6">
        <v>1053.0</v>
      </c>
      <c r="C2760" s="6">
        <v>9.0</v>
      </c>
      <c r="D2760" s="161" t="s">
        <v>4306</v>
      </c>
      <c r="E2760" s="9" t="s">
        <v>4307</v>
      </c>
      <c r="F2760" s="109" t="str">
        <f t="shared" ref="F2760:G2760" si="2759">TRANSLATE(D2760,"lzh","vi")</f>
        <v>#NAME?</v>
      </c>
      <c r="G2760" s="109" t="str">
        <f t="shared" si="2759"/>
        <v>#NAME?</v>
      </c>
      <c r="X2760" s="110"/>
    </row>
    <row r="2761" ht="21.0" customHeight="1">
      <c r="A2761" s="6">
        <v>10.0</v>
      </c>
      <c r="B2761" s="6">
        <v>1053.0</v>
      </c>
      <c r="C2761" s="6">
        <v>10.0</v>
      </c>
      <c r="D2761" s="161" t="s">
        <v>4308</v>
      </c>
      <c r="E2761" s="9" t="s">
        <v>4309</v>
      </c>
      <c r="F2761" s="109" t="str">
        <f t="shared" ref="F2761:G2761" si="2760">TRANSLATE(D2761,"lzh","vi")</f>
        <v>#NAME?</v>
      </c>
      <c r="G2761" s="109" t="str">
        <f t="shared" si="2760"/>
        <v>#NAME?</v>
      </c>
      <c r="X2761" s="110"/>
    </row>
    <row r="2762" ht="21.0" customHeight="1">
      <c r="A2762" s="6">
        <v>11.0</v>
      </c>
      <c r="B2762" s="6">
        <v>1054.0</v>
      </c>
      <c r="C2762" s="6">
        <v>1.0</v>
      </c>
      <c r="D2762" s="161" t="s">
        <v>4310</v>
      </c>
      <c r="E2762" s="9" t="s">
        <v>4311</v>
      </c>
      <c r="F2762" s="109" t="str">
        <f t="shared" ref="F2762:G2762" si="2761">TRANSLATE(D2762,"lzh","vi")</f>
        <v>#NAME?</v>
      </c>
      <c r="G2762" s="109" t="str">
        <f t="shared" si="2761"/>
        <v>#NAME?</v>
      </c>
      <c r="X2762" s="110"/>
    </row>
    <row r="2763" ht="21.0" customHeight="1">
      <c r="A2763" s="6">
        <v>11.0</v>
      </c>
      <c r="B2763" s="6">
        <v>1054.0</v>
      </c>
      <c r="C2763" s="6">
        <v>2.0</v>
      </c>
      <c r="D2763" s="161" t="s">
        <v>4312</v>
      </c>
      <c r="E2763" s="9" t="s">
        <v>4313</v>
      </c>
      <c r="F2763" s="109" t="str">
        <f t="shared" ref="F2763:G2763" si="2762">TRANSLATE(D2763,"lzh","vi")</f>
        <v>#NAME?</v>
      </c>
      <c r="G2763" s="109" t="str">
        <f t="shared" si="2762"/>
        <v>#NAME?</v>
      </c>
      <c r="X2763" s="110"/>
    </row>
    <row r="2764" ht="21.0" customHeight="1">
      <c r="A2764" s="6">
        <v>11.0</v>
      </c>
      <c r="B2764" s="6">
        <v>1054.0</v>
      </c>
      <c r="C2764" s="6">
        <v>3.0</v>
      </c>
      <c r="D2764" s="161" t="s">
        <v>4314</v>
      </c>
      <c r="E2764" s="9" t="s">
        <v>4315</v>
      </c>
      <c r="F2764" s="109" t="str">
        <f t="shared" ref="F2764:G2764" si="2763">TRANSLATE(D2764,"lzh","vi")</f>
        <v>#NAME?</v>
      </c>
      <c r="G2764" s="109" t="str">
        <f t="shared" si="2763"/>
        <v>#NAME?</v>
      </c>
      <c r="X2764" s="110"/>
    </row>
    <row r="2765" ht="21.0" customHeight="1">
      <c r="A2765" s="6">
        <v>11.0</v>
      </c>
      <c r="B2765" s="6">
        <v>1054.0</v>
      </c>
      <c r="C2765" s="6">
        <v>4.0</v>
      </c>
      <c r="D2765" s="161" t="s">
        <v>4316</v>
      </c>
      <c r="E2765" s="9" t="s">
        <v>4317</v>
      </c>
      <c r="F2765" s="109" t="str">
        <f t="shared" ref="F2765:G2765" si="2764">TRANSLATE(D2765,"lzh","vi")</f>
        <v>#NAME?</v>
      </c>
      <c r="G2765" s="109" t="str">
        <f t="shared" si="2764"/>
        <v>#NAME?</v>
      </c>
      <c r="X2765" s="110"/>
    </row>
    <row r="2766" ht="21.0" customHeight="1">
      <c r="A2766" s="6">
        <v>10.0</v>
      </c>
      <c r="B2766" s="6">
        <v>1054.0</v>
      </c>
      <c r="C2766" s="6">
        <v>5.0</v>
      </c>
      <c r="D2766" s="161" t="s">
        <v>4318</v>
      </c>
      <c r="E2766" s="9" t="s">
        <v>4319</v>
      </c>
      <c r="F2766" s="109" t="str">
        <f t="shared" ref="F2766:G2766" si="2765">TRANSLATE(D2766,"lzh","vi")</f>
        <v>#NAME?</v>
      </c>
      <c r="G2766" s="109" t="str">
        <f t="shared" si="2765"/>
        <v>#NAME?</v>
      </c>
      <c r="X2766" s="110"/>
    </row>
    <row r="2767" ht="21.0" customHeight="1">
      <c r="A2767" s="6">
        <v>10.0</v>
      </c>
      <c r="B2767" s="6">
        <v>1054.0</v>
      </c>
      <c r="C2767" s="6">
        <v>6.0</v>
      </c>
      <c r="D2767" s="161" t="s">
        <v>4320</v>
      </c>
      <c r="E2767" s="9" t="s">
        <v>4321</v>
      </c>
      <c r="F2767" s="109" t="str">
        <f t="shared" ref="F2767:G2767" si="2766">TRANSLATE(D2767,"lzh","vi")</f>
        <v>#NAME?</v>
      </c>
      <c r="G2767" s="109" t="str">
        <f t="shared" si="2766"/>
        <v>#NAME?</v>
      </c>
      <c r="X2767" s="110"/>
    </row>
    <row r="2768" ht="21.0" customHeight="1">
      <c r="A2768" s="6">
        <v>10.0</v>
      </c>
      <c r="B2768" s="6">
        <v>1054.0</v>
      </c>
      <c r="C2768" s="6">
        <v>7.0</v>
      </c>
      <c r="D2768" s="161" t="s">
        <v>4322</v>
      </c>
      <c r="E2768" s="9" t="s">
        <v>4323</v>
      </c>
      <c r="F2768" s="109" t="str">
        <f t="shared" ref="F2768:G2768" si="2767">TRANSLATE(D2768,"lzh","vi")</f>
        <v>#NAME?</v>
      </c>
      <c r="G2768" s="109" t="str">
        <f t="shared" si="2767"/>
        <v>#NAME?</v>
      </c>
      <c r="X2768" s="110"/>
    </row>
    <row r="2769" ht="21.0" customHeight="1">
      <c r="A2769" s="6">
        <v>10.0</v>
      </c>
      <c r="B2769" s="6">
        <v>1054.0</v>
      </c>
      <c r="C2769" s="6">
        <v>8.0</v>
      </c>
      <c r="D2769" s="161" t="s">
        <v>4324</v>
      </c>
      <c r="E2769" s="9" t="s">
        <v>4325</v>
      </c>
      <c r="F2769" s="109" t="str">
        <f t="shared" ref="F2769:G2769" si="2768">TRANSLATE(D2769,"lzh","vi")</f>
        <v>#NAME?</v>
      </c>
      <c r="G2769" s="109" t="str">
        <f t="shared" si="2768"/>
        <v>#NAME?</v>
      </c>
      <c r="X2769" s="110"/>
    </row>
    <row r="2770" ht="21.0" customHeight="1">
      <c r="A2770" s="6">
        <v>10.0</v>
      </c>
      <c r="B2770" s="6">
        <v>1054.0</v>
      </c>
      <c r="C2770" s="6">
        <v>9.0</v>
      </c>
      <c r="D2770" s="161" t="s">
        <v>4326</v>
      </c>
      <c r="E2770" s="9" t="s">
        <v>4327</v>
      </c>
      <c r="F2770" s="109" t="str">
        <f t="shared" ref="F2770:G2770" si="2769">TRANSLATE(D2770,"lzh","vi")</f>
        <v>#NAME?</v>
      </c>
      <c r="G2770" s="109" t="str">
        <f t="shared" si="2769"/>
        <v>#NAME?</v>
      </c>
      <c r="X2770" s="110"/>
    </row>
    <row r="2771" ht="21.0" customHeight="1">
      <c r="A2771" s="6">
        <v>10.0</v>
      </c>
      <c r="B2771" s="6">
        <v>1054.0</v>
      </c>
      <c r="C2771" s="6">
        <v>10.0</v>
      </c>
      <c r="D2771" s="161" t="s">
        <v>4328</v>
      </c>
      <c r="E2771" s="9" t="s">
        <v>4309</v>
      </c>
      <c r="F2771" s="109" t="str">
        <f t="shared" ref="F2771:G2771" si="2770">TRANSLATE(D2771,"lzh","vi")</f>
        <v>#NAME?</v>
      </c>
      <c r="G2771" s="109" t="str">
        <f t="shared" si="2770"/>
        <v>#NAME?</v>
      </c>
      <c r="X2771" s="110"/>
    </row>
    <row r="2772" ht="21.0" customHeight="1">
      <c r="A2772" s="6">
        <v>1.0</v>
      </c>
      <c r="B2772" s="6">
        <v>223.0</v>
      </c>
      <c r="C2772" s="6">
        <v>1.0</v>
      </c>
      <c r="D2772" s="162" t="s">
        <v>4329</v>
      </c>
      <c r="E2772" s="9" t="s">
        <v>4330</v>
      </c>
      <c r="F2772" s="109" t="str">
        <f t="shared" ref="F2772:G2772" si="2771">TRANSLATE(D2772,"lzh","vi")</f>
        <v>#NAME?</v>
      </c>
      <c r="G2772" s="109" t="str">
        <f t="shared" si="2771"/>
        <v>#NAME?</v>
      </c>
      <c r="X2772" s="110"/>
    </row>
    <row r="2773" ht="21.0" customHeight="1">
      <c r="A2773" s="6">
        <v>1.0</v>
      </c>
      <c r="B2773" s="6">
        <v>223.0</v>
      </c>
      <c r="C2773" s="6">
        <v>2.0</v>
      </c>
      <c r="D2773" s="162" t="s">
        <v>4331</v>
      </c>
      <c r="E2773" s="9" t="s">
        <v>4332</v>
      </c>
      <c r="F2773" s="109" t="str">
        <f t="shared" ref="F2773:G2773" si="2772">TRANSLATE(D2773,"lzh","vi")</f>
        <v>#NAME?</v>
      </c>
      <c r="G2773" s="109" t="str">
        <f t="shared" si="2772"/>
        <v>#NAME?</v>
      </c>
      <c r="X2773" s="110"/>
    </row>
    <row r="2774" ht="21.0" customHeight="1">
      <c r="A2774" s="6">
        <v>1.0</v>
      </c>
      <c r="B2774" s="6">
        <v>223.0</v>
      </c>
      <c r="C2774" s="6">
        <v>3.0</v>
      </c>
      <c r="D2774" s="162" t="s">
        <v>4333</v>
      </c>
      <c r="E2774" s="9" t="s">
        <v>4334</v>
      </c>
      <c r="F2774" s="109" t="str">
        <f t="shared" ref="F2774:G2774" si="2773">TRANSLATE(D2774,"lzh","vi")</f>
        <v>#NAME?</v>
      </c>
      <c r="G2774" s="109" t="str">
        <f t="shared" si="2773"/>
        <v>#NAME?</v>
      </c>
      <c r="X2774" s="110"/>
    </row>
    <row r="2775" ht="21.0" customHeight="1">
      <c r="A2775" s="6">
        <v>1.0</v>
      </c>
      <c r="B2775" s="6">
        <v>223.0</v>
      </c>
      <c r="C2775" s="6">
        <v>4.0</v>
      </c>
      <c r="D2775" s="162" t="s">
        <v>4335</v>
      </c>
      <c r="E2775" s="9" t="s">
        <v>4336</v>
      </c>
      <c r="F2775" s="109" t="str">
        <f t="shared" ref="F2775:G2775" si="2774">TRANSLATE(D2775,"lzh","vi")</f>
        <v>#NAME?</v>
      </c>
      <c r="G2775" s="109" t="str">
        <f t="shared" si="2774"/>
        <v>#NAME?</v>
      </c>
      <c r="X2775" s="110"/>
    </row>
    <row r="2776" ht="21.0" customHeight="1">
      <c r="A2776" s="6">
        <v>1.0</v>
      </c>
      <c r="B2776" s="6">
        <v>223.0</v>
      </c>
      <c r="C2776" s="6">
        <v>5.0</v>
      </c>
      <c r="D2776" s="162" t="s">
        <v>4337</v>
      </c>
      <c r="E2776" s="9" t="s">
        <v>4338</v>
      </c>
      <c r="F2776" s="109" t="str">
        <f t="shared" ref="F2776:G2776" si="2775">TRANSLATE(D2776,"lzh","vi")</f>
        <v>#NAME?</v>
      </c>
      <c r="G2776" s="109" t="str">
        <f t="shared" si="2775"/>
        <v>#NAME?</v>
      </c>
      <c r="X2776" s="110"/>
    </row>
    <row r="2777" ht="21.0" customHeight="1">
      <c r="A2777" s="6">
        <v>1.0</v>
      </c>
      <c r="B2777" s="6">
        <v>223.0</v>
      </c>
      <c r="C2777" s="6">
        <v>6.0</v>
      </c>
      <c r="D2777" s="162" t="s">
        <v>4339</v>
      </c>
      <c r="E2777" s="9" t="s">
        <v>4340</v>
      </c>
      <c r="F2777" s="109" t="str">
        <f t="shared" ref="F2777:G2777" si="2776">TRANSLATE(D2777,"lzh","vi")</f>
        <v>#NAME?</v>
      </c>
      <c r="G2777" s="109" t="str">
        <f t="shared" si="2776"/>
        <v>#NAME?</v>
      </c>
      <c r="X2777" s="110"/>
    </row>
    <row r="2778" ht="21.0" customHeight="1">
      <c r="A2778" s="6">
        <v>1.0</v>
      </c>
      <c r="B2778" s="6">
        <v>223.0</v>
      </c>
      <c r="C2778" s="6">
        <v>7.0</v>
      </c>
      <c r="D2778" s="162" t="s">
        <v>4341</v>
      </c>
      <c r="E2778" s="9" t="s">
        <v>4342</v>
      </c>
      <c r="F2778" s="109" t="str">
        <f t="shared" ref="F2778:G2778" si="2777">TRANSLATE(D2778,"lzh","vi")</f>
        <v>#NAME?</v>
      </c>
      <c r="G2778" s="109" t="str">
        <f t="shared" si="2777"/>
        <v>#NAME?</v>
      </c>
      <c r="X2778" s="110"/>
    </row>
    <row r="2779" ht="21.0" customHeight="1">
      <c r="A2779" s="6">
        <v>1.0</v>
      </c>
      <c r="B2779" s="6">
        <v>223.0</v>
      </c>
      <c r="C2779" s="6">
        <v>8.0</v>
      </c>
      <c r="D2779" s="162" t="s">
        <v>4343</v>
      </c>
      <c r="E2779" s="9" t="s">
        <v>4344</v>
      </c>
      <c r="F2779" s="109" t="str">
        <f t="shared" ref="F2779:G2779" si="2778">TRANSLATE(D2779,"lzh","vi")</f>
        <v>#NAME?</v>
      </c>
      <c r="G2779" s="109" t="str">
        <f t="shared" si="2778"/>
        <v>#NAME?</v>
      </c>
      <c r="X2779" s="110"/>
    </row>
    <row r="2780" ht="21.0" customHeight="1">
      <c r="A2780" s="6">
        <v>1.0</v>
      </c>
      <c r="B2780" s="6">
        <v>223.0</v>
      </c>
      <c r="C2780" s="6">
        <v>9.0</v>
      </c>
      <c r="D2780" s="162" t="s">
        <v>4345</v>
      </c>
      <c r="E2780" s="9" t="s">
        <v>4346</v>
      </c>
      <c r="F2780" s="109" t="str">
        <f t="shared" ref="F2780:G2780" si="2779">TRANSLATE(D2780,"lzh","vi")</f>
        <v>#NAME?</v>
      </c>
      <c r="G2780" s="109" t="str">
        <f t="shared" si="2779"/>
        <v>#NAME?</v>
      </c>
      <c r="X2780" s="110"/>
    </row>
    <row r="2781" ht="21.0" customHeight="1">
      <c r="A2781" s="6">
        <v>1.0</v>
      </c>
      <c r="B2781" s="6">
        <v>223.0</v>
      </c>
      <c r="C2781" s="6">
        <v>10.0</v>
      </c>
      <c r="D2781" s="162" t="s">
        <v>4347</v>
      </c>
      <c r="E2781" s="9" t="s">
        <v>4348</v>
      </c>
      <c r="F2781" s="109" t="str">
        <f t="shared" ref="F2781:G2781" si="2780">TRANSLATE(D2781,"lzh","vi")</f>
        <v>#NAME?</v>
      </c>
      <c r="G2781" s="109" t="str">
        <f t="shared" si="2780"/>
        <v>#NAME?</v>
      </c>
      <c r="X2781" s="110"/>
    </row>
    <row r="2782" ht="21.0" customHeight="1">
      <c r="A2782" s="6">
        <v>1.0</v>
      </c>
      <c r="B2782" s="6">
        <v>223.0</v>
      </c>
      <c r="C2782" s="6">
        <v>11.0</v>
      </c>
      <c r="D2782" s="162" t="s">
        <v>4349</v>
      </c>
      <c r="E2782" s="9" t="s">
        <v>4350</v>
      </c>
      <c r="F2782" s="109" t="str">
        <f t="shared" ref="F2782:G2782" si="2781">TRANSLATE(D2782,"lzh","vi")</f>
        <v>#NAME?</v>
      </c>
      <c r="G2782" s="109" t="str">
        <f t="shared" si="2781"/>
        <v>#NAME?</v>
      </c>
      <c r="X2782" s="110"/>
    </row>
    <row r="2783" ht="21.0" customHeight="1">
      <c r="A2783" s="6">
        <v>1.0</v>
      </c>
      <c r="B2783" s="6">
        <v>223.0</v>
      </c>
      <c r="C2783" s="6">
        <v>12.0</v>
      </c>
      <c r="D2783" s="162" t="s">
        <v>4351</v>
      </c>
      <c r="E2783" s="9" t="s">
        <v>4352</v>
      </c>
      <c r="F2783" s="109" t="str">
        <f t="shared" ref="F2783:G2783" si="2782">TRANSLATE(D2783,"lzh","vi")</f>
        <v>#NAME?</v>
      </c>
      <c r="G2783" s="109" t="str">
        <f t="shared" si="2782"/>
        <v>#NAME?</v>
      </c>
      <c r="X2783" s="110"/>
    </row>
    <row r="2784" ht="21.0" customHeight="1">
      <c r="A2784" s="6">
        <v>1.0</v>
      </c>
      <c r="B2784" s="6">
        <v>223.0</v>
      </c>
      <c r="C2784" s="6">
        <v>13.0</v>
      </c>
      <c r="D2784" s="162" t="s">
        <v>4353</v>
      </c>
      <c r="E2784" s="9" t="s">
        <v>4354</v>
      </c>
      <c r="F2784" s="109" t="str">
        <f t="shared" ref="F2784:G2784" si="2783">TRANSLATE(D2784,"lzh","vi")</f>
        <v>#NAME?</v>
      </c>
      <c r="G2784" s="109" t="str">
        <f t="shared" si="2783"/>
        <v>#NAME?</v>
      </c>
      <c r="X2784" s="110"/>
    </row>
    <row r="2785" ht="21.0" customHeight="1">
      <c r="A2785" s="6">
        <v>1.0</v>
      </c>
      <c r="B2785" s="6">
        <v>224.0</v>
      </c>
      <c r="C2785" s="6">
        <v>1.0</v>
      </c>
      <c r="D2785" s="162" t="s">
        <v>4355</v>
      </c>
      <c r="E2785" s="9" t="s">
        <v>4356</v>
      </c>
      <c r="F2785" s="109" t="str">
        <f t="shared" ref="F2785:G2785" si="2784">TRANSLATE(D2785,"lzh","vi")</f>
        <v>#NAME?</v>
      </c>
      <c r="G2785" s="109" t="str">
        <f t="shared" si="2784"/>
        <v>#NAME?</v>
      </c>
      <c r="X2785" s="110"/>
    </row>
    <row r="2786" ht="21.0" customHeight="1">
      <c r="A2786" s="6">
        <v>1.0</v>
      </c>
      <c r="B2786" s="6">
        <v>224.0</v>
      </c>
      <c r="C2786" s="6">
        <v>2.0</v>
      </c>
      <c r="D2786" s="162" t="s">
        <v>4357</v>
      </c>
      <c r="E2786" s="9" t="s">
        <v>4358</v>
      </c>
      <c r="F2786" s="109" t="str">
        <f t="shared" ref="F2786:G2786" si="2785">TRANSLATE(D2786,"lzh","vi")</f>
        <v>#NAME?</v>
      </c>
      <c r="G2786" s="109" t="str">
        <f t="shared" si="2785"/>
        <v>#NAME?</v>
      </c>
      <c r="X2786" s="110"/>
    </row>
    <row r="2787" ht="21.0" customHeight="1">
      <c r="A2787" s="6">
        <v>1.0</v>
      </c>
      <c r="B2787" s="6">
        <v>224.0</v>
      </c>
      <c r="C2787" s="6">
        <v>3.0</v>
      </c>
      <c r="D2787" s="162" t="s">
        <v>4359</v>
      </c>
      <c r="E2787" s="9" t="s">
        <v>4360</v>
      </c>
      <c r="F2787" s="109" t="str">
        <f t="shared" ref="F2787:G2787" si="2786">TRANSLATE(D2787,"lzh","vi")</f>
        <v>#NAME?</v>
      </c>
      <c r="G2787" s="109" t="str">
        <f t="shared" si="2786"/>
        <v>#NAME?</v>
      </c>
      <c r="X2787" s="110"/>
    </row>
    <row r="2788" ht="21.0" customHeight="1">
      <c r="A2788" s="6">
        <v>1.0</v>
      </c>
      <c r="B2788" s="6">
        <v>224.0</v>
      </c>
      <c r="C2788" s="6">
        <v>4.0</v>
      </c>
      <c r="D2788" s="162" t="s">
        <v>4361</v>
      </c>
      <c r="E2788" s="9" t="s">
        <v>4362</v>
      </c>
      <c r="F2788" s="109" t="str">
        <f t="shared" ref="F2788:G2788" si="2787">TRANSLATE(D2788,"lzh","vi")</f>
        <v>#NAME?</v>
      </c>
      <c r="G2788" s="109" t="str">
        <f t="shared" si="2787"/>
        <v>#NAME?</v>
      </c>
      <c r="X2788" s="110"/>
    </row>
    <row r="2789" ht="21.0" customHeight="1">
      <c r="A2789" s="6">
        <v>1.0</v>
      </c>
      <c r="B2789" s="6">
        <v>224.0</v>
      </c>
      <c r="C2789" s="6">
        <v>5.0</v>
      </c>
      <c r="D2789" s="162" t="s">
        <v>4363</v>
      </c>
      <c r="E2789" s="9" t="s">
        <v>4364</v>
      </c>
      <c r="F2789" s="109" t="str">
        <f t="shared" ref="F2789:G2789" si="2788">TRANSLATE(D2789,"lzh","vi")</f>
        <v>#NAME?</v>
      </c>
      <c r="G2789" s="109" t="str">
        <f t="shared" si="2788"/>
        <v>#NAME?</v>
      </c>
      <c r="X2789" s="110"/>
    </row>
    <row r="2790" ht="21.0" customHeight="1">
      <c r="A2790" s="6">
        <v>1.0</v>
      </c>
      <c r="B2790" s="6">
        <v>224.0</v>
      </c>
      <c r="C2790" s="6">
        <v>6.0</v>
      </c>
      <c r="D2790" s="162" t="s">
        <v>4365</v>
      </c>
      <c r="E2790" s="9" t="s">
        <v>4366</v>
      </c>
      <c r="F2790" s="109" t="str">
        <f t="shared" ref="F2790:G2790" si="2789">TRANSLATE(D2790,"lzh","vi")</f>
        <v>#NAME?</v>
      </c>
      <c r="G2790" s="109" t="str">
        <f t="shared" si="2789"/>
        <v>#NAME?</v>
      </c>
      <c r="X2790" s="110"/>
    </row>
    <row r="2791" ht="21.0" customHeight="1">
      <c r="A2791" s="6">
        <v>1.0</v>
      </c>
      <c r="B2791" s="6">
        <v>224.0</v>
      </c>
      <c r="C2791" s="6">
        <v>7.0</v>
      </c>
      <c r="D2791" s="162" t="s">
        <v>4367</v>
      </c>
      <c r="E2791" s="9" t="s">
        <v>4368</v>
      </c>
      <c r="F2791" s="109" t="str">
        <f t="shared" ref="F2791:G2791" si="2790">TRANSLATE(D2791,"lzh","vi")</f>
        <v>#NAME?</v>
      </c>
      <c r="G2791" s="109" t="str">
        <f t="shared" si="2790"/>
        <v>#NAME?</v>
      </c>
      <c r="X2791" s="110"/>
    </row>
    <row r="2792" ht="21.0" customHeight="1">
      <c r="A2792" s="6">
        <v>1.0</v>
      </c>
      <c r="B2792" s="6">
        <v>224.0</v>
      </c>
      <c r="C2792" s="6">
        <v>8.0</v>
      </c>
      <c r="D2792" s="162" t="s">
        <v>4369</v>
      </c>
      <c r="E2792" s="9" t="s">
        <v>4370</v>
      </c>
      <c r="F2792" s="109" t="str">
        <f t="shared" ref="F2792:G2792" si="2791">TRANSLATE(D2792,"lzh","vi")</f>
        <v>#NAME?</v>
      </c>
      <c r="G2792" s="109" t="str">
        <f t="shared" si="2791"/>
        <v>#NAME?</v>
      </c>
      <c r="X2792" s="110"/>
    </row>
    <row r="2793" ht="21.0" customHeight="1">
      <c r="A2793" s="6">
        <v>1.0</v>
      </c>
      <c r="B2793" s="6">
        <v>224.0</v>
      </c>
      <c r="C2793" s="6">
        <v>9.0</v>
      </c>
      <c r="D2793" s="162" t="s">
        <v>4371</v>
      </c>
      <c r="E2793" s="9" t="s">
        <v>4372</v>
      </c>
      <c r="F2793" s="109" t="str">
        <f t="shared" ref="F2793:G2793" si="2792">TRANSLATE(D2793,"lzh","vi")</f>
        <v>#NAME?</v>
      </c>
      <c r="G2793" s="109" t="str">
        <f t="shared" si="2792"/>
        <v>#NAME?</v>
      </c>
      <c r="X2793" s="110"/>
    </row>
    <row r="2794" ht="21.0" customHeight="1">
      <c r="A2794" s="6">
        <v>1.0</v>
      </c>
      <c r="B2794" s="6">
        <v>224.0</v>
      </c>
      <c r="C2794" s="6">
        <v>10.0</v>
      </c>
      <c r="D2794" s="162" t="s">
        <v>4373</v>
      </c>
      <c r="E2794" s="9" t="s">
        <v>4374</v>
      </c>
      <c r="F2794" s="109" t="str">
        <f t="shared" ref="F2794:G2794" si="2793">TRANSLATE(D2794,"lzh","vi")</f>
        <v>#NAME?</v>
      </c>
      <c r="G2794" s="109" t="str">
        <f t="shared" si="2793"/>
        <v>#NAME?</v>
      </c>
      <c r="X2794" s="110"/>
    </row>
    <row r="2795" ht="21.0" customHeight="1">
      <c r="A2795" s="6">
        <v>1.0</v>
      </c>
      <c r="B2795" s="6">
        <v>224.0</v>
      </c>
      <c r="C2795" s="6">
        <v>11.0</v>
      </c>
      <c r="D2795" s="162" t="s">
        <v>4375</v>
      </c>
      <c r="E2795" s="9" t="s">
        <v>4376</v>
      </c>
      <c r="F2795" s="109" t="str">
        <f t="shared" ref="F2795:G2795" si="2794">TRANSLATE(D2795,"lzh","vi")</f>
        <v>#NAME?</v>
      </c>
      <c r="G2795" s="109" t="str">
        <f t="shared" si="2794"/>
        <v>#NAME?</v>
      </c>
      <c r="X2795" s="110"/>
    </row>
    <row r="2796" ht="21.0" customHeight="1">
      <c r="A2796" s="6">
        <v>1.0</v>
      </c>
      <c r="B2796" s="6">
        <v>224.0</v>
      </c>
      <c r="C2796" s="6">
        <v>12.0</v>
      </c>
      <c r="D2796" s="162" t="s">
        <v>4377</v>
      </c>
      <c r="E2796" s="9" t="s">
        <v>4378</v>
      </c>
      <c r="F2796" s="109" t="str">
        <f t="shared" ref="F2796:G2796" si="2795">TRANSLATE(D2796,"lzh","vi")</f>
        <v>#NAME?</v>
      </c>
      <c r="G2796" s="109" t="str">
        <f t="shared" si="2795"/>
        <v>#NAME?</v>
      </c>
      <c r="X2796" s="110"/>
    </row>
    <row r="2797" ht="21.0" customHeight="1">
      <c r="A2797" s="6">
        <v>1.0</v>
      </c>
      <c r="B2797" s="6">
        <v>224.0</v>
      </c>
      <c r="C2797" s="6">
        <v>13.0</v>
      </c>
      <c r="D2797" s="166" t="s">
        <v>4379</v>
      </c>
      <c r="E2797" s="19" t="s">
        <v>4380</v>
      </c>
      <c r="F2797" s="109" t="str">
        <f t="shared" ref="F2797:G2797" si="2796">TRANSLATE(D2797,"lzh","vi")</f>
        <v>#NAME?</v>
      </c>
      <c r="G2797" s="109" t="str">
        <f t="shared" si="2796"/>
        <v>#NAME?</v>
      </c>
      <c r="X2797" s="110"/>
    </row>
    <row r="2798" ht="21.0" customHeight="1">
      <c r="A2798" s="6">
        <v>1.0</v>
      </c>
      <c r="B2798" s="6">
        <v>225.0</v>
      </c>
      <c r="C2798" s="6">
        <v>1.0</v>
      </c>
      <c r="D2798" s="162" t="s">
        <v>4381</v>
      </c>
      <c r="E2798" s="9" t="s">
        <v>4382</v>
      </c>
      <c r="F2798" s="109" t="str">
        <f t="shared" ref="F2798:G2798" si="2797">TRANSLATE(D2798,"lzh","vi")</f>
        <v>#NAME?</v>
      </c>
      <c r="G2798" s="109" t="str">
        <f t="shared" si="2797"/>
        <v>#NAME?</v>
      </c>
      <c r="X2798" s="110"/>
    </row>
    <row r="2799" ht="21.0" customHeight="1">
      <c r="A2799" s="6">
        <v>1.0</v>
      </c>
      <c r="B2799" s="6">
        <v>225.0</v>
      </c>
      <c r="C2799" s="6">
        <v>2.0</v>
      </c>
      <c r="D2799" s="162" t="s">
        <v>4383</v>
      </c>
      <c r="E2799" s="9" t="s">
        <v>4384</v>
      </c>
      <c r="F2799" s="109" t="str">
        <f t="shared" ref="F2799:G2799" si="2798">TRANSLATE(D2799,"lzh","vi")</f>
        <v>#NAME?</v>
      </c>
      <c r="G2799" s="109" t="str">
        <f t="shared" si="2798"/>
        <v>#NAME?</v>
      </c>
      <c r="X2799" s="110"/>
    </row>
    <row r="2800" ht="21.0" customHeight="1">
      <c r="A2800" s="6">
        <v>1.0</v>
      </c>
      <c r="B2800" s="6">
        <v>225.0</v>
      </c>
      <c r="C2800" s="6">
        <v>3.0</v>
      </c>
      <c r="D2800" s="162" t="s">
        <v>4385</v>
      </c>
      <c r="E2800" s="9" t="s">
        <v>4386</v>
      </c>
      <c r="F2800" s="109" t="str">
        <f t="shared" ref="F2800:G2800" si="2799">TRANSLATE(D2800,"lzh","vi")</f>
        <v>#NAME?</v>
      </c>
      <c r="G2800" s="109" t="str">
        <f t="shared" si="2799"/>
        <v>#NAME?</v>
      </c>
      <c r="X2800" s="110"/>
    </row>
    <row r="2801" ht="21.0" customHeight="1">
      <c r="A2801" s="6">
        <v>1.0</v>
      </c>
      <c r="B2801" s="6">
        <v>225.0</v>
      </c>
      <c r="C2801" s="6">
        <v>4.0</v>
      </c>
      <c r="D2801" s="162" t="s">
        <v>4387</v>
      </c>
      <c r="E2801" s="9" t="s">
        <v>4388</v>
      </c>
      <c r="F2801" s="109" t="str">
        <f t="shared" ref="F2801:G2801" si="2800">TRANSLATE(D2801,"lzh","vi")</f>
        <v>#NAME?</v>
      </c>
      <c r="G2801" s="109" t="str">
        <f t="shared" si="2800"/>
        <v>#NAME?</v>
      </c>
      <c r="X2801" s="110"/>
    </row>
    <row r="2802" ht="21.0" customHeight="1">
      <c r="A2802" s="6">
        <v>1.0</v>
      </c>
      <c r="B2802" s="6">
        <v>225.0</v>
      </c>
      <c r="C2802" s="6">
        <v>5.0</v>
      </c>
      <c r="D2802" s="162" t="s">
        <v>4389</v>
      </c>
      <c r="E2802" s="9" t="s">
        <v>4390</v>
      </c>
      <c r="F2802" s="109" t="str">
        <f t="shared" ref="F2802:G2802" si="2801">TRANSLATE(D2802,"lzh","vi")</f>
        <v>#NAME?</v>
      </c>
      <c r="G2802" s="109" t="str">
        <f t="shared" si="2801"/>
        <v>#NAME?</v>
      </c>
      <c r="X2802" s="110"/>
    </row>
    <row r="2803" ht="21.0" customHeight="1">
      <c r="A2803" s="6">
        <v>1.0</v>
      </c>
      <c r="B2803" s="6">
        <v>225.0</v>
      </c>
      <c r="C2803" s="6">
        <v>6.0</v>
      </c>
      <c r="D2803" s="162" t="s">
        <v>4391</v>
      </c>
      <c r="E2803" s="9" t="s">
        <v>4392</v>
      </c>
      <c r="F2803" s="109" t="str">
        <f t="shared" ref="F2803:G2803" si="2802">TRANSLATE(D2803,"lzh","vi")</f>
        <v>#NAME?</v>
      </c>
      <c r="G2803" s="109" t="str">
        <f t="shared" si="2802"/>
        <v>#NAME?</v>
      </c>
      <c r="X2803" s="110"/>
    </row>
    <row r="2804" ht="21.0" customHeight="1">
      <c r="A2804" s="6">
        <v>1.0</v>
      </c>
      <c r="B2804" s="6">
        <v>225.0</v>
      </c>
      <c r="C2804" s="6">
        <v>7.0</v>
      </c>
      <c r="D2804" s="162" t="s">
        <v>4393</v>
      </c>
      <c r="E2804" s="9" t="s">
        <v>4394</v>
      </c>
      <c r="F2804" s="109" t="str">
        <f t="shared" ref="F2804:G2804" si="2803">TRANSLATE(D2804,"lzh","vi")</f>
        <v>#NAME?</v>
      </c>
      <c r="G2804" s="109" t="str">
        <f t="shared" si="2803"/>
        <v>#NAME?</v>
      </c>
      <c r="X2804" s="110"/>
    </row>
    <row r="2805" ht="21.0" customHeight="1">
      <c r="A2805" s="6">
        <v>1.0</v>
      </c>
      <c r="B2805" s="6">
        <v>225.0</v>
      </c>
      <c r="C2805" s="6">
        <v>8.0</v>
      </c>
      <c r="D2805" s="162" t="s">
        <v>4395</v>
      </c>
      <c r="E2805" s="9" t="s">
        <v>4396</v>
      </c>
      <c r="F2805" s="109" t="str">
        <f t="shared" ref="F2805:G2805" si="2804">TRANSLATE(D2805,"lzh","vi")</f>
        <v>#NAME?</v>
      </c>
      <c r="G2805" s="109" t="str">
        <f t="shared" si="2804"/>
        <v>#NAME?</v>
      </c>
      <c r="X2805" s="110"/>
    </row>
    <row r="2806" ht="21.0" customHeight="1">
      <c r="A2806" s="6">
        <v>1.0</v>
      </c>
      <c r="B2806" s="6">
        <v>225.0</v>
      </c>
      <c r="C2806" s="6">
        <v>9.0</v>
      </c>
      <c r="D2806" s="162" t="s">
        <v>4397</v>
      </c>
      <c r="E2806" s="9" t="s">
        <v>4398</v>
      </c>
      <c r="F2806" s="109" t="str">
        <f t="shared" ref="F2806:G2806" si="2805">TRANSLATE(D2806,"lzh","vi")</f>
        <v>#NAME?</v>
      </c>
      <c r="G2806" s="109" t="str">
        <f t="shared" si="2805"/>
        <v>#NAME?</v>
      </c>
      <c r="X2806" s="110"/>
    </row>
    <row r="2807" ht="21.0" customHeight="1">
      <c r="A2807" s="6">
        <v>1.0</v>
      </c>
      <c r="B2807" s="6">
        <v>225.0</v>
      </c>
      <c r="C2807" s="6">
        <v>10.0</v>
      </c>
      <c r="D2807" s="162" t="s">
        <v>4399</v>
      </c>
      <c r="E2807" s="9" t="s">
        <v>4400</v>
      </c>
      <c r="F2807" s="109" t="str">
        <f t="shared" ref="F2807:G2807" si="2806">TRANSLATE(D2807,"lzh","vi")</f>
        <v>#NAME?</v>
      </c>
      <c r="G2807" s="109" t="str">
        <f t="shared" si="2806"/>
        <v>#NAME?</v>
      </c>
      <c r="X2807" s="110"/>
    </row>
    <row r="2808" ht="21.0" customHeight="1">
      <c r="A2808" s="6">
        <v>1.0</v>
      </c>
      <c r="B2808" s="6">
        <v>225.0</v>
      </c>
      <c r="C2808" s="6">
        <v>11.0</v>
      </c>
      <c r="D2808" s="162" t="s">
        <v>4401</v>
      </c>
      <c r="E2808" s="9" t="s">
        <v>4402</v>
      </c>
      <c r="F2808" s="109" t="str">
        <f t="shared" ref="F2808:G2808" si="2807">TRANSLATE(D2808,"lzh","vi")</f>
        <v>#NAME?</v>
      </c>
      <c r="G2808" s="109" t="str">
        <f t="shared" si="2807"/>
        <v>#NAME?</v>
      </c>
      <c r="X2808" s="110"/>
    </row>
    <row r="2809" ht="21.0" customHeight="1">
      <c r="A2809" s="6">
        <v>1.0</v>
      </c>
      <c r="B2809" s="6">
        <v>225.0</v>
      </c>
      <c r="C2809" s="6">
        <v>12.0</v>
      </c>
      <c r="D2809" s="162" t="s">
        <v>4403</v>
      </c>
      <c r="E2809" s="9" t="s">
        <v>4404</v>
      </c>
      <c r="F2809" s="109" t="str">
        <f t="shared" ref="F2809:G2809" si="2808">TRANSLATE(D2809,"lzh","vi")</f>
        <v>#NAME?</v>
      </c>
      <c r="G2809" s="109" t="str">
        <f t="shared" si="2808"/>
        <v>#NAME?</v>
      </c>
      <c r="X2809" s="110"/>
    </row>
    <row r="2810" ht="21.0" customHeight="1">
      <c r="A2810" s="6">
        <v>1.0</v>
      </c>
      <c r="B2810" s="6">
        <v>225.0</v>
      </c>
      <c r="C2810" s="6">
        <v>13.0</v>
      </c>
      <c r="D2810" s="162" t="s">
        <v>4405</v>
      </c>
      <c r="E2810" s="9" t="s">
        <v>4406</v>
      </c>
      <c r="F2810" s="109" t="str">
        <f t="shared" ref="F2810:G2810" si="2809">TRANSLATE(D2810,"lzh","vi")</f>
        <v>#NAME?</v>
      </c>
      <c r="G2810" s="109" t="str">
        <f t="shared" si="2809"/>
        <v>#NAME?</v>
      </c>
      <c r="X2810" s="110"/>
    </row>
    <row r="2811" ht="21.0" customHeight="1">
      <c r="A2811" s="6">
        <v>11.0</v>
      </c>
      <c r="B2811" s="6">
        <v>1056.0</v>
      </c>
      <c r="C2811" s="6">
        <v>1.0</v>
      </c>
      <c r="D2811" s="161" t="s">
        <v>4407</v>
      </c>
      <c r="E2811" s="9" t="s">
        <v>4408</v>
      </c>
      <c r="F2811" s="109" t="str">
        <f t="shared" ref="F2811:G2811" si="2810">TRANSLATE(D2811,"lzh","vi")</f>
        <v>#NAME?</v>
      </c>
      <c r="G2811" s="109" t="str">
        <f t="shared" si="2810"/>
        <v>#NAME?</v>
      </c>
      <c r="X2811" s="110"/>
    </row>
    <row r="2812" ht="21.0" customHeight="1">
      <c r="A2812" s="6">
        <v>11.0</v>
      </c>
      <c r="B2812" s="6">
        <v>1056.0</v>
      </c>
      <c r="C2812" s="6">
        <v>2.0</v>
      </c>
      <c r="D2812" s="161" t="s">
        <v>4409</v>
      </c>
      <c r="E2812" s="9" t="s">
        <v>4410</v>
      </c>
      <c r="F2812" s="109" t="str">
        <f t="shared" ref="F2812:G2812" si="2811">TRANSLATE(D2812,"lzh","vi")</f>
        <v>#NAME?</v>
      </c>
      <c r="G2812" s="109" t="str">
        <f t="shared" si="2811"/>
        <v>#NAME?</v>
      </c>
      <c r="X2812" s="110"/>
    </row>
    <row r="2813" ht="21.0" customHeight="1">
      <c r="A2813" s="6">
        <v>11.0</v>
      </c>
      <c r="B2813" s="6">
        <v>1056.0</v>
      </c>
      <c r="C2813" s="6">
        <v>3.0</v>
      </c>
      <c r="D2813" s="161" t="s">
        <v>4411</v>
      </c>
      <c r="E2813" s="9" t="s">
        <v>4412</v>
      </c>
      <c r="F2813" s="109" t="str">
        <f t="shared" ref="F2813:G2813" si="2812">TRANSLATE(D2813,"lzh","vi")</f>
        <v>#NAME?</v>
      </c>
      <c r="G2813" s="109" t="str">
        <f t="shared" si="2812"/>
        <v>#NAME?</v>
      </c>
      <c r="X2813" s="110"/>
    </row>
    <row r="2814" ht="21.0" customHeight="1">
      <c r="A2814" s="6">
        <v>11.0</v>
      </c>
      <c r="B2814" s="6">
        <v>1056.0</v>
      </c>
      <c r="C2814" s="6">
        <v>4.0</v>
      </c>
      <c r="D2814" s="161" t="s">
        <v>4413</v>
      </c>
      <c r="E2814" s="9" t="s">
        <v>4414</v>
      </c>
      <c r="F2814" s="109" t="str">
        <f t="shared" ref="F2814:G2814" si="2813">TRANSLATE(D2814,"lzh","vi")</f>
        <v>#NAME?</v>
      </c>
      <c r="G2814" s="109" t="str">
        <f t="shared" si="2813"/>
        <v>#NAME?</v>
      </c>
      <c r="X2814" s="110"/>
    </row>
    <row r="2815" ht="21.0" customHeight="1">
      <c r="A2815" s="6">
        <v>10.0</v>
      </c>
      <c r="B2815" s="6">
        <v>1056.0</v>
      </c>
      <c r="C2815" s="6">
        <v>5.0</v>
      </c>
      <c r="D2815" s="161" t="s">
        <v>4415</v>
      </c>
      <c r="E2815" s="9" t="s">
        <v>4416</v>
      </c>
      <c r="F2815" s="109" t="str">
        <f t="shared" ref="F2815:G2815" si="2814">TRANSLATE(D2815,"lzh","vi")</f>
        <v>#NAME?</v>
      </c>
      <c r="G2815" s="109" t="str">
        <f t="shared" si="2814"/>
        <v>#NAME?</v>
      </c>
      <c r="X2815" s="110"/>
    </row>
    <row r="2816" ht="21.0" customHeight="1">
      <c r="A2816" s="6">
        <v>10.0</v>
      </c>
      <c r="B2816" s="6">
        <v>1056.0</v>
      </c>
      <c r="C2816" s="6">
        <v>6.0</v>
      </c>
      <c r="D2816" s="161" t="s">
        <v>4417</v>
      </c>
      <c r="E2816" s="9" t="s">
        <v>4418</v>
      </c>
      <c r="F2816" s="109" t="str">
        <f t="shared" ref="F2816:G2816" si="2815">TRANSLATE(D2816,"lzh","vi")</f>
        <v>#NAME?</v>
      </c>
      <c r="G2816" s="109" t="str">
        <f t="shared" si="2815"/>
        <v>#NAME?</v>
      </c>
      <c r="X2816" s="110"/>
    </row>
    <row r="2817" ht="21.0" customHeight="1">
      <c r="A2817" s="6">
        <v>10.0</v>
      </c>
      <c r="B2817" s="6">
        <v>1056.0</v>
      </c>
      <c r="C2817" s="6">
        <v>7.0</v>
      </c>
      <c r="D2817" s="161" t="s">
        <v>4419</v>
      </c>
      <c r="E2817" s="9" t="s">
        <v>4420</v>
      </c>
      <c r="F2817" s="109" t="str">
        <f t="shared" ref="F2817:G2817" si="2816">TRANSLATE(D2817,"lzh","vi")</f>
        <v>#NAME?</v>
      </c>
      <c r="G2817" s="109" t="str">
        <f t="shared" si="2816"/>
        <v>#NAME?</v>
      </c>
      <c r="X2817" s="110"/>
    </row>
    <row r="2818" ht="21.0" customHeight="1">
      <c r="A2818" s="6">
        <v>10.0</v>
      </c>
      <c r="B2818" s="6">
        <v>1056.0</v>
      </c>
      <c r="C2818" s="6">
        <v>8.0</v>
      </c>
      <c r="D2818" s="161" t="s">
        <v>4421</v>
      </c>
      <c r="E2818" s="9" t="s">
        <v>4422</v>
      </c>
      <c r="F2818" s="109" t="str">
        <f t="shared" ref="F2818:G2818" si="2817">TRANSLATE(D2818,"lzh","vi")</f>
        <v>#NAME?</v>
      </c>
      <c r="G2818" s="109" t="str">
        <f t="shared" si="2817"/>
        <v>#NAME?</v>
      </c>
      <c r="X2818" s="110"/>
    </row>
    <row r="2819" ht="21.0" customHeight="1">
      <c r="A2819" s="6">
        <v>10.0</v>
      </c>
      <c r="B2819" s="6">
        <v>1056.0</v>
      </c>
      <c r="C2819" s="6">
        <v>9.0</v>
      </c>
      <c r="D2819" s="161" t="s">
        <v>4423</v>
      </c>
      <c r="E2819" s="9" t="s">
        <v>4424</v>
      </c>
      <c r="F2819" s="109" t="str">
        <f t="shared" ref="F2819:G2819" si="2818">TRANSLATE(D2819,"lzh","vi")</f>
        <v>#NAME?</v>
      </c>
      <c r="G2819" s="109" t="str">
        <f t="shared" si="2818"/>
        <v>#NAME?</v>
      </c>
      <c r="X2819" s="110"/>
    </row>
    <row r="2820" ht="21.0" customHeight="1">
      <c r="A2820" s="6">
        <v>10.0</v>
      </c>
      <c r="B2820" s="6">
        <v>1056.0</v>
      </c>
      <c r="C2820" s="6">
        <v>10.0</v>
      </c>
      <c r="D2820" s="161" t="s">
        <v>4425</v>
      </c>
      <c r="E2820" s="9" t="s">
        <v>4426</v>
      </c>
      <c r="F2820" s="109" t="str">
        <f t="shared" ref="F2820:G2820" si="2819">TRANSLATE(D2820,"lzh","vi")</f>
        <v>#NAME?</v>
      </c>
      <c r="G2820" s="109" t="str">
        <f t="shared" si="2819"/>
        <v>#NAME?</v>
      </c>
      <c r="X2820" s="110"/>
    </row>
    <row r="2821" ht="21.0" customHeight="1">
      <c r="A2821" s="6">
        <v>11.0</v>
      </c>
      <c r="B2821" s="6">
        <v>1057.0</v>
      </c>
      <c r="C2821" s="6">
        <v>1.0</v>
      </c>
      <c r="D2821" s="161" t="s">
        <v>4427</v>
      </c>
      <c r="E2821" s="9" t="s">
        <v>4428</v>
      </c>
      <c r="F2821" s="109" t="str">
        <f t="shared" ref="F2821:G2821" si="2820">TRANSLATE(D2821,"lzh","vi")</f>
        <v>#NAME?</v>
      </c>
      <c r="G2821" s="109" t="str">
        <f t="shared" si="2820"/>
        <v>#NAME?</v>
      </c>
      <c r="X2821" s="110"/>
    </row>
    <row r="2822" ht="21.0" customHeight="1">
      <c r="A2822" s="6">
        <v>11.0</v>
      </c>
      <c r="B2822" s="6">
        <v>1057.0</v>
      </c>
      <c r="C2822" s="6">
        <v>2.0</v>
      </c>
      <c r="D2822" s="161" t="s">
        <v>4429</v>
      </c>
      <c r="E2822" s="9" t="s">
        <v>4430</v>
      </c>
      <c r="F2822" s="109" t="str">
        <f t="shared" ref="F2822:G2822" si="2821">TRANSLATE(D2822,"lzh","vi")</f>
        <v>#NAME?</v>
      </c>
      <c r="G2822" s="109" t="str">
        <f t="shared" si="2821"/>
        <v>#NAME?</v>
      </c>
      <c r="X2822" s="110"/>
    </row>
    <row r="2823" ht="21.0" customHeight="1">
      <c r="A2823" s="6">
        <v>11.0</v>
      </c>
      <c r="B2823" s="6">
        <v>1057.0</v>
      </c>
      <c r="C2823" s="6">
        <v>3.0</v>
      </c>
      <c r="D2823" s="161" t="s">
        <v>4431</v>
      </c>
      <c r="E2823" s="9" t="s">
        <v>4432</v>
      </c>
      <c r="F2823" s="109" t="str">
        <f t="shared" ref="F2823:G2823" si="2822">TRANSLATE(D2823,"lzh","vi")</f>
        <v>#NAME?</v>
      </c>
      <c r="G2823" s="109" t="str">
        <f t="shared" si="2822"/>
        <v>#NAME?</v>
      </c>
      <c r="X2823" s="110"/>
    </row>
    <row r="2824" ht="21.0" customHeight="1">
      <c r="A2824" s="6">
        <v>11.0</v>
      </c>
      <c r="B2824" s="6">
        <v>1057.0</v>
      </c>
      <c r="C2824" s="6">
        <v>4.0</v>
      </c>
      <c r="D2824" s="161" t="s">
        <v>4433</v>
      </c>
      <c r="E2824" s="9" t="s">
        <v>4434</v>
      </c>
      <c r="F2824" s="109" t="str">
        <f t="shared" ref="F2824:G2824" si="2823">TRANSLATE(D2824,"lzh","vi")</f>
        <v>#NAME?</v>
      </c>
      <c r="G2824" s="109" t="str">
        <f t="shared" si="2823"/>
        <v>#NAME?</v>
      </c>
      <c r="X2824" s="110"/>
    </row>
    <row r="2825" ht="21.0" customHeight="1">
      <c r="A2825" s="6">
        <v>10.0</v>
      </c>
      <c r="B2825" s="6">
        <v>1057.0</v>
      </c>
      <c r="C2825" s="6">
        <v>5.0</v>
      </c>
      <c r="D2825" s="161" t="s">
        <v>4435</v>
      </c>
      <c r="E2825" s="9" t="s">
        <v>4436</v>
      </c>
      <c r="F2825" s="109" t="str">
        <f t="shared" ref="F2825:G2825" si="2824">TRANSLATE(D2825,"lzh","vi")</f>
        <v>#NAME?</v>
      </c>
      <c r="G2825" s="109" t="str">
        <f t="shared" si="2824"/>
        <v>#NAME?</v>
      </c>
      <c r="X2825" s="110"/>
    </row>
    <row r="2826" ht="21.0" customHeight="1">
      <c r="A2826" s="6">
        <v>10.0</v>
      </c>
      <c r="B2826" s="6">
        <v>1057.0</v>
      </c>
      <c r="C2826" s="6">
        <v>6.0</v>
      </c>
      <c r="D2826" s="161" t="s">
        <v>4437</v>
      </c>
      <c r="E2826" s="9" t="s">
        <v>4438</v>
      </c>
      <c r="F2826" s="109" t="str">
        <f t="shared" ref="F2826:G2826" si="2825">TRANSLATE(D2826,"lzh","vi")</f>
        <v>#NAME?</v>
      </c>
      <c r="G2826" s="109" t="str">
        <f t="shared" si="2825"/>
        <v>#NAME?</v>
      </c>
      <c r="X2826" s="110"/>
    </row>
    <row r="2827" ht="21.0" customHeight="1">
      <c r="A2827" s="6">
        <v>10.0</v>
      </c>
      <c r="B2827" s="6">
        <v>1057.0</v>
      </c>
      <c r="C2827" s="6">
        <v>7.0</v>
      </c>
      <c r="D2827" s="161" t="s">
        <v>4439</v>
      </c>
      <c r="E2827" s="9" t="s">
        <v>4440</v>
      </c>
      <c r="F2827" s="109" t="str">
        <f t="shared" ref="F2827:G2827" si="2826">TRANSLATE(D2827,"lzh","vi")</f>
        <v>#NAME?</v>
      </c>
      <c r="G2827" s="109" t="str">
        <f t="shared" si="2826"/>
        <v>#NAME?</v>
      </c>
      <c r="X2827" s="110"/>
    </row>
    <row r="2828" ht="21.0" customHeight="1">
      <c r="A2828" s="6">
        <v>10.0</v>
      </c>
      <c r="B2828" s="6">
        <v>1057.0</v>
      </c>
      <c r="C2828" s="6">
        <v>8.0</v>
      </c>
      <c r="D2828" s="161" t="s">
        <v>4441</v>
      </c>
      <c r="E2828" s="9" t="s">
        <v>4442</v>
      </c>
      <c r="F2828" s="109" t="str">
        <f t="shared" ref="F2828:G2828" si="2827">TRANSLATE(D2828,"lzh","vi")</f>
        <v>#NAME?</v>
      </c>
      <c r="G2828" s="109" t="str">
        <f t="shared" si="2827"/>
        <v>#NAME?</v>
      </c>
      <c r="X2828" s="110"/>
    </row>
    <row r="2829" ht="21.0" customHeight="1">
      <c r="A2829" s="6">
        <v>10.0</v>
      </c>
      <c r="B2829" s="6">
        <v>1057.0</v>
      </c>
      <c r="C2829" s="6">
        <v>9.0</v>
      </c>
      <c r="D2829" s="161" t="s">
        <v>4443</v>
      </c>
      <c r="E2829" s="9" t="s">
        <v>4444</v>
      </c>
      <c r="F2829" s="109" t="str">
        <f t="shared" ref="F2829:G2829" si="2828">TRANSLATE(D2829,"lzh","vi")</f>
        <v>#NAME?</v>
      </c>
      <c r="G2829" s="109" t="str">
        <f t="shared" si="2828"/>
        <v>#NAME?</v>
      </c>
      <c r="X2829" s="110"/>
    </row>
    <row r="2830" ht="21.0" customHeight="1">
      <c r="A2830" s="6">
        <v>10.0</v>
      </c>
      <c r="B2830" s="6">
        <v>1057.0</v>
      </c>
      <c r="C2830" s="6">
        <v>10.0</v>
      </c>
      <c r="D2830" s="161" t="s">
        <v>4445</v>
      </c>
      <c r="E2830" s="9" t="s">
        <v>4426</v>
      </c>
      <c r="F2830" s="109" t="str">
        <f t="shared" ref="F2830:G2830" si="2829">TRANSLATE(D2830,"lzh","vi")</f>
        <v>#NAME?</v>
      </c>
      <c r="G2830" s="109" t="str">
        <f t="shared" si="2829"/>
        <v>#NAME?</v>
      </c>
      <c r="X2830" s="110"/>
    </row>
    <row r="2831" ht="21.0" customHeight="1">
      <c r="A2831" s="6">
        <v>1.0</v>
      </c>
      <c r="B2831" s="6">
        <v>228.0</v>
      </c>
      <c r="C2831" s="6">
        <v>1.0</v>
      </c>
      <c r="D2831" s="164" t="s">
        <v>4446</v>
      </c>
      <c r="E2831" s="9" t="s">
        <v>4447</v>
      </c>
      <c r="F2831" s="109" t="str">
        <f t="shared" ref="F2831:G2831" si="2830">TRANSLATE(D2831,"lzh","vi")</f>
        <v>#NAME?</v>
      </c>
      <c r="G2831" s="109" t="str">
        <f t="shared" si="2830"/>
        <v>#NAME?</v>
      </c>
      <c r="X2831" s="110"/>
    </row>
    <row r="2832" ht="21.0" customHeight="1">
      <c r="A2832" s="6">
        <v>1.0</v>
      </c>
      <c r="B2832" s="6">
        <v>228.0</v>
      </c>
      <c r="C2832" s="6">
        <v>2.0</v>
      </c>
      <c r="D2832" s="162" t="s">
        <v>4448</v>
      </c>
      <c r="E2832" s="9" t="s">
        <v>4449</v>
      </c>
      <c r="F2832" s="109" t="str">
        <f t="shared" ref="F2832:G2832" si="2831">TRANSLATE(D2832,"lzh","vi")</f>
        <v>#NAME?</v>
      </c>
      <c r="G2832" s="109" t="str">
        <f t="shared" si="2831"/>
        <v>#NAME?</v>
      </c>
      <c r="X2832" s="110"/>
    </row>
    <row r="2833" ht="21.0" customHeight="1">
      <c r="A2833" s="6">
        <v>1.0</v>
      </c>
      <c r="B2833" s="6">
        <v>228.0</v>
      </c>
      <c r="C2833" s="6">
        <v>3.0</v>
      </c>
      <c r="D2833" s="162" t="s">
        <v>4450</v>
      </c>
      <c r="E2833" s="9" t="s">
        <v>4451</v>
      </c>
      <c r="F2833" s="109" t="str">
        <f t="shared" ref="F2833:G2833" si="2832">TRANSLATE(D2833,"lzh","vi")</f>
        <v>#NAME?</v>
      </c>
      <c r="G2833" s="109" t="str">
        <f t="shared" si="2832"/>
        <v>#NAME?</v>
      </c>
      <c r="X2833" s="110"/>
    </row>
    <row r="2834" ht="21.0" customHeight="1">
      <c r="A2834" s="6">
        <v>1.0</v>
      </c>
      <c r="B2834" s="6">
        <v>228.0</v>
      </c>
      <c r="C2834" s="6">
        <v>4.0</v>
      </c>
      <c r="D2834" s="162" t="s">
        <v>4452</v>
      </c>
      <c r="E2834" s="9" t="s">
        <v>4453</v>
      </c>
      <c r="F2834" s="109" t="str">
        <f t="shared" ref="F2834:G2834" si="2833">TRANSLATE(D2834,"lzh","vi")</f>
        <v>#NAME?</v>
      </c>
      <c r="G2834" s="109" t="str">
        <f t="shared" si="2833"/>
        <v>#NAME?</v>
      </c>
      <c r="X2834" s="110"/>
    </row>
    <row r="2835" ht="21.0" customHeight="1">
      <c r="A2835" s="6">
        <v>1.0</v>
      </c>
      <c r="B2835" s="6">
        <v>228.0</v>
      </c>
      <c r="C2835" s="6">
        <v>5.0</v>
      </c>
      <c r="D2835" s="162" t="s">
        <v>4454</v>
      </c>
      <c r="E2835" s="9" t="s">
        <v>4455</v>
      </c>
      <c r="F2835" s="109" t="str">
        <f t="shared" ref="F2835:G2835" si="2834">TRANSLATE(D2835,"lzh","vi")</f>
        <v>#NAME?</v>
      </c>
      <c r="G2835" s="109" t="str">
        <f t="shared" si="2834"/>
        <v>#NAME?</v>
      </c>
      <c r="X2835" s="110"/>
    </row>
    <row r="2836" ht="21.0" customHeight="1">
      <c r="A2836" s="6">
        <v>1.0</v>
      </c>
      <c r="B2836" s="6">
        <v>228.0</v>
      </c>
      <c r="C2836" s="6">
        <v>6.0</v>
      </c>
      <c r="D2836" s="162" t="s">
        <v>4456</v>
      </c>
      <c r="E2836" s="9" t="s">
        <v>4457</v>
      </c>
      <c r="F2836" s="109" t="str">
        <f t="shared" ref="F2836:G2836" si="2835">TRANSLATE(D2836,"lzh","vi")</f>
        <v>#NAME?</v>
      </c>
      <c r="G2836" s="109" t="str">
        <f t="shared" si="2835"/>
        <v>#NAME?</v>
      </c>
      <c r="X2836" s="110"/>
    </row>
    <row r="2837" ht="21.0" customHeight="1">
      <c r="A2837" s="6">
        <v>1.0</v>
      </c>
      <c r="B2837" s="6">
        <v>228.0</v>
      </c>
      <c r="C2837" s="6">
        <v>7.0</v>
      </c>
      <c r="D2837" s="162" t="s">
        <v>4458</v>
      </c>
      <c r="E2837" s="9" t="s">
        <v>4459</v>
      </c>
      <c r="F2837" s="109" t="str">
        <f t="shared" ref="F2837:G2837" si="2836">TRANSLATE(D2837,"lzh","vi")</f>
        <v>#NAME?</v>
      </c>
      <c r="G2837" s="109" t="str">
        <f t="shared" si="2836"/>
        <v>#NAME?</v>
      </c>
      <c r="X2837" s="110"/>
    </row>
    <row r="2838" ht="21.0" customHeight="1">
      <c r="A2838" s="6">
        <v>1.0</v>
      </c>
      <c r="B2838" s="6">
        <v>228.0</v>
      </c>
      <c r="C2838" s="6">
        <v>8.0</v>
      </c>
      <c r="D2838" s="162" t="s">
        <v>4460</v>
      </c>
      <c r="E2838" s="9" t="s">
        <v>4461</v>
      </c>
      <c r="F2838" s="109" t="str">
        <f t="shared" ref="F2838:G2838" si="2837">TRANSLATE(D2838,"lzh","vi")</f>
        <v>#NAME?</v>
      </c>
      <c r="G2838" s="109" t="str">
        <f t="shared" si="2837"/>
        <v>#NAME?</v>
      </c>
      <c r="X2838" s="110"/>
    </row>
    <row r="2839" ht="21.0" customHeight="1">
      <c r="A2839" s="6">
        <v>1.0</v>
      </c>
      <c r="B2839" s="6">
        <v>228.0</v>
      </c>
      <c r="C2839" s="6">
        <v>9.0</v>
      </c>
      <c r="D2839" s="162" t="s">
        <v>4462</v>
      </c>
      <c r="E2839" s="9" t="s">
        <v>4463</v>
      </c>
      <c r="F2839" s="109" t="str">
        <f t="shared" ref="F2839:G2839" si="2838">TRANSLATE(D2839,"lzh","vi")</f>
        <v>#NAME?</v>
      </c>
      <c r="G2839" s="109" t="str">
        <f t="shared" si="2838"/>
        <v>#NAME?</v>
      </c>
      <c r="X2839" s="110"/>
    </row>
    <row r="2840" ht="21.0" customHeight="1">
      <c r="A2840" s="6">
        <v>1.0</v>
      </c>
      <c r="B2840" s="6">
        <v>228.0</v>
      </c>
      <c r="C2840" s="6">
        <v>10.0</v>
      </c>
      <c r="D2840" s="162" t="s">
        <v>4464</v>
      </c>
      <c r="E2840" s="9" t="s">
        <v>4465</v>
      </c>
      <c r="F2840" s="109" t="str">
        <f t="shared" ref="F2840:G2840" si="2839">TRANSLATE(D2840,"lzh","vi")</f>
        <v>#NAME?</v>
      </c>
      <c r="G2840" s="109" t="str">
        <f t="shared" si="2839"/>
        <v>#NAME?</v>
      </c>
      <c r="X2840" s="110"/>
    </row>
    <row r="2841" ht="21.0" customHeight="1">
      <c r="A2841" s="6">
        <v>1.0</v>
      </c>
      <c r="B2841" s="6">
        <v>228.0</v>
      </c>
      <c r="C2841" s="6">
        <v>11.0</v>
      </c>
      <c r="D2841" s="162" t="s">
        <v>4466</v>
      </c>
      <c r="E2841" s="9" t="s">
        <v>4467</v>
      </c>
      <c r="F2841" s="109" t="str">
        <f t="shared" ref="F2841:G2841" si="2840">TRANSLATE(D2841,"lzh","vi")</f>
        <v>#NAME?</v>
      </c>
      <c r="G2841" s="109" t="str">
        <f t="shared" si="2840"/>
        <v>#NAME?</v>
      </c>
      <c r="X2841" s="110"/>
    </row>
    <row r="2842" ht="21.0" customHeight="1">
      <c r="A2842" s="6">
        <v>1.0</v>
      </c>
      <c r="B2842" s="6">
        <v>228.0</v>
      </c>
      <c r="C2842" s="6">
        <v>12.0</v>
      </c>
      <c r="D2842" s="162" t="s">
        <v>4468</v>
      </c>
      <c r="E2842" s="9" t="s">
        <v>4469</v>
      </c>
      <c r="F2842" s="109" t="str">
        <f t="shared" ref="F2842:G2842" si="2841">TRANSLATE(D2842,"lzh","vi")</f>
        <v>#NAME?</v>
      </c>
      <c r="G2842" s="109" t="str">
        <f t="shared" si="2841"/>
        <v>#NAME?</v>
      </c>
      <c r="X2842" s="110"/>
    </row>
    <row r="2843" ht="21.0" customHeight="1">
      <c r="A2843" s="6">
        <v>1.0</v>
      </c>
      <c r="B2843" s="6">
        <v>228.0</v>
      </c>
      <c r="C2843" s="6">
        <v>13.0</v>
      </c>
      <c r="D2843" s="162" t="s">
        <v>4470</v>
      </c>
      <c r="E2843" s="9" t="s">
        <v>4471</v>
      </c>
      <c r="F2843" s="109" t="str">
        <f t="shared" ref="F2843:G2843" si="2842">TRANSLATE(D2843,"lzh","vi")</f>
        <v>#NAME?</v>
      </c>
      <c r="G2843" s="109" t="str">
        <f t="shared" si="2842"/>
        <v>#NAME?</v>
      </c>
      <c r="X2843" s="110"/>
    </row>
    <row r="2844" ht="21.0" customHeight="1">
      <c r="A2844" s="6">
        <v>1.0</v>
      </c>
      <c r="B2844" s="6">
        <v>229.0</v>
      </c>
      <c r="C2844" s="6">
        <v>1.0</v>
      </c>
      <c r="D2844" s="162" t="s">
        <v>4472</v>
      </c>
      <c r="E2844" s="9" t="s">
        <v>4473</v>
      </c>
      <c r="F2844" s="109" t="str">
        <f t="shared" ref="F2844:G2844" si="2843">TRANSLATE(D2844,"lzh","vi")</f>
        <v>#NAME?</v>
      </c>
      <c r="G2844" s="109" t="str">
        <f t="shared" si="2843"/>
        <v>#NAME?</v>
      </c>
      <c r="X2844" s="110"/>
    </row>
    <row r="2845" ht="21.0" customHeight="1">
      <c r="A2845" s="6">
        <v>1.0</v>
      </c>
      <c r="B2845" s="6">
        <v>229.0</v>
      </c>
      <c r="C2845" s="6">
        <v>2.0</v>
      </c>
      <c r="D2845" s="162" t="s">
        <v>4474</v>
      </c>
      <c r="E2845" s="9" t="s">
        <v>4475</v>
      </c>
      <c r="F2845" s="109" t="str">
        <f t="shared" ref="F2845:G2845" si="2844">TRANSLATE(D2845,"lzh","vi")</f>
        <v>#NAME?</v>
      </c>
      <c r="G2845" s="109" t="str">
        <f t="shared" si="2844"/>
        <v>#NAME?</v>
      </c>
      <c r="X2845" s="110"/>
    </row>
    <row r="2846" ht="21.0" customHeight="1">
      <c r="A2846" s="6">
        <v>1.0</v>
      </c>
      <c r="B2846" s="6">
        <v>229.0</v>
      </c>
      <c r="C2846" s="6">
        <v>3.0</v>
      </c>
      <c r="D2846" s="162" t="s">
        <v>4476</v>
      </c>
      <c r="E2846" s="9" t="s">
        <v>4477</v>
      </c>
      <c r="F2846" s="109" t="str">
        <f t="shared" ref="F2846:G2846" si="2845">TRANSLATE(D2846,"lzh","vi")</f>
        <v>#NAME?</v>
      </c>
      <c r="G2846" s="109" t="str">
        <f t="shared" si="2845"/>
        <v>#NAME?</v>
      </c>
      <c r="X2846" s="110"/>
    </row>
    <row r="2847" ht="21.0" customHeight="1">
      <c r="A2847" s="6">
        <v>1.0</v>
      </c>
      <c r="B2847" s="6">
        <v>229.0</v>
      </c>
      <c r="C2847" s="6">
        <v>4.0</v>
      </c>
      <c r="D2847" s="162" t="s">
        <v>4478</v>
      </c>
      <c r="E2847" s="9" t="s">
        <v>4479</v>
      </c>
      <c r="F2847" s="109" t="str">
        <f t="shared" ref="F2847:G2847" si="2846">TRANSLATE(D2847,"lzh","vi")</f>
        <v>#NAME?</v>
      </c>
      <c r="G2847" s="109" t="str">
        <f t="shared" si="2846"/>
        <v>#NAME?</v>
      </c>
      <c r="X2847" s="110"/>
    </row>
    <row r="2848" ht="21.0" customHeight="1">
      <c r="A2848" s="6">
        <v>1.0</v>
      </c>
      <c r="B2848" s="6">
        <v>229.0</v>
      </c>
      <c r="C2848" s="6">
        <v>5.0</v>
      </c>
      <c r="D2848" s="162" t="s">
        <v>4480</v>
      </c>
      <c r="E2848" s="9" t="s">
        <v>4481</v>
      </c>
      <c r="F2848" s="109" t="str">
        <f t="shared" ref="F2848:G2848" si="2847">TRANSLATE(D2848,"lzh","vi")</f>
        <v>#NAME?</v>
      </c>
      <c r="G2848" s="109" t="str">
        <f t="shared" si="2847"/>
        <v>#NAME?</v>
      </c>
      <c r="X2848" s="110"/>
    </row>
    <row r="2849" ht="21.0" customHeight="1">
      <c r="A2849" s="6">
        <v>1.0</v>
      </c>
      <c r="B2849" s="6">
        <v>229.0</v>
      </c>
      <c r="C2849" s="6">
        <v>6.0</v>
      </c>
      <c r="D2849" s="162" t="s">
        <v>4482</v>
      </c>
      <c r="E2849" s="9" t="s">
        <v>4483</v>
      </c>
      <c r="F2849" s="109" t="str">
        <f t="shared" ref="F2849:G2849" si="2848">TRANSLATE(D2849,"lzh","vi")</f>
        <v>#NAME?</v>
      </c>
      <c r="G2849" s="109" t="str">
        <f t="shared" si="2848"/>
        <v>#NAME?</v>
      </c>
      <c r="X2849" s="110"/>
    </row>
    <row r="2850" ht="21.0" customHeight="1">
      <c r="A2850" s="6">
        <v>1.0</v>
      </c>
      <c r="B2850" s="6">
        <v>229.0</v>
      </c>
      <c r="C2850" s="6">
        <v>7.0</v>
      </c>
      <c r="D2850" s="162" t="s">
        <v>4484</v>
      </c>
      <c r="E2850" s="9" t="s">
        <v>4485</v>
      </c>
      <c r="F2850" s="109" t="str">
        <f t="shared" ref="F2850:G2850" si="2849">TRANSLATE(D2850,"lzh","vi")</f>
        <v>#NAME?</v>
      </c>
      <c r="G2850" s="109" t="str">
        <f t="shared" si="2849"/>
        <v>#NAME?</v>
      </c>
      <c r="X2850" s="110"/>
    </row>
    <row r="2851" ht="21.0" customHeight="1">
      <c r="A2851" s="6">
        <v>1.0</v>
      </c>
      <c r="B2851" s="6">
        <v>229.0</v>
      </c>
      <c r="C2851" s="6">
        <v>8.0</v>
      </c>
      <c r="D2851" s="162" t="s">
        <v>4486</v>
      </c>
      <c r="E2851" s="9" t="s">
        <v>4487</v>
      </c>
      <c r="F2851" s="109" t="str">
        <f t="shared" ref="F2851:G2851" si="2850">TRANSLATE(D2851,"lzh","vi")</f>
        <v>#NAME?</v>
      </c>
      <c r="G2851" s="109" t="str">
        <f t="shared" si="2850"/>
        <v>#NAME?</v>
      </c>
      <c r="X2851" s="110"/>
    </row>
    <row r="2852" ht="21.0" customHeight="1">
      <c r="A2852" s="6">
        <v>1.0</v>
      </c>
      <c r="B2852" s="6">
        <v>229.0</v>
      </c>
      <c r="C2852" s="6">
        <v>9.0</v>
      </c>
      <c r="D2852" s="162" t="s">
        <v>4488</v>
      </c>
      <c r="E2852" s="9" t="s">
        <v>4489</v>
      </c>
      <c r="F2852" s="109" t="str">
        <f t="shared" ref="F2852:G2852" si="2851">TRANSLATE(D2852,"lzh","vi")</f>
        <v>#NAME?</v>
      </c>
      <c r="G2852" s="109" t="str">
        <f t="shared" si="2851"/>
        <v>#NAME?</v>
      </c>
      <c r="X2852" s="110"/>
    </row>
    <row r="2853" ht="21.0" customHeight="1">
      <c r="A2853" s="6">
        <v>1.0</v>
      </c>
      <c r="B2853" s="6">
        <v>229.0</v>
      </c>
      <c r="C2853" s="6">
        <v>10.0</v>
      </c>
      <c r="D2853" s="162" t="s">
        <v>4490</v>
      </c>
      <c r="E2853" s="9" t="s">
        <v>4491</v>
      </c>
      <c r="F2853" s="109" t="str">
        <f t="shared" ref="F2853:G2853" si="2852">TRANSLATE(D2853,"lzh","vi")</f>
        <v>#NAME?</v>
      </c>
      <c r="G2853" s="109" t="str">
        <f t="shared" si="2852"/>
        <v>#NAME?</v>
      </c>
      <c r="X2853" s="110"/>
    </row>
    <row r="2854" ht="21.0" customHeight="1">
      <c r="A2854" s="6">
        <v>1.0</v>
      </c>
      <c r="B2854" s="6">
        <v>229.0</v>
      </c>
      <c r="C2854" s="6">
        <v>11.0</v>
      </c>
      <c r="D2854" s="162" t="s">
        <v>4492</v>
      </c>
      <c r="E2854" s="9" t="s">
        <v>4493</v>
      </c>
      <c r="F2854" s="109" t="str">
        <f t="shared" ref="F2854:G2854" si="2853">TRANSLATE(D2854,"lzh","vi")</f>
        <v>#NAME?</v>
      </c>
      <c r="G2854" s="109" t="str">
        <f t="shared" si="2853"/>
        <v>#NAME?</v>
      </c>
      <c r="X2854" s="110"/>
    </row>
    <row r="2855" ht="21.0" customHeight="1">
      <c r="A2855" s="6">
        <v>1.0</v>
      </c>
      <c r="B2855" s="6">
        <v>229.0</v>
      </c>
      <c r="C2855" s="6">
        <v>12.0</v>
      </c>
      <c r="D2855" s="162" t="s">
        <v>4494</v>
      </c>
      <c r="E2855" s="9" t="s">
        <v>4495</v>
      </c>
      <c r="F2855" s="109" t="str">
        <f t="shared" ref="F2855:G2855" si="2854">TRANSLATE(D2855,"lzh","vi")</f>
        <v>#NAME?</v>
      </c>
      <c r="G2855" s="109" t="str">
        <f t="shared" si="2854"/>
        <v>#NAME?</v>
      </c>
      <c r="X2855" s="110"/>
    </row>
    <row r="2856" ht="21.0" customHeight="1">
      <c r="A2856" s="6">
        <v>1.0</v>
      </c>
      <c r="B2856" s="6">
        <v>229.0</v>
      </c>
      <c r="C2856" s="6">
        <v>13.0</v>
      </c>
      <c r="D2856" s="162" t="s">
        <v>4496</v>
      </c>
      <c r="E2856" s="9" t="s">
        <v>4497</v>
      </c>
      <c r="F2856" s="109" t="str">
        <f t="shared" ref="F2856:G2856" si="2855">TRANSLATE(D2856,"lzh","vi")</f>
        <v>#NAME?</v>
      </c>
      <c r="G2856" s="109" t="str">
        <f t="shared" si="2855"/>
        <v>#NAME?</v>
      </c>
      <c r="X2856" s="110"/>
    </row>
    <row r="2857" ht="21.0" customHeight="1">
      <c r="A2857" s="6">
        <v>1.0</v>
      </c>
      <c r="B2857" s="6">
        <v>230.0</v>
      </c>
      <c r="C2857" s="6">
        <v>1.0</v>
      </c>
      <c r="D2857" s="162" t="s">
        <v>4498</v>
      </c>
      <c r="E2857" s="9" t="s">
        <v>4499</v>
      </c>
      <c r="F2857" s="109" t="str">
        <f t="shared" ref="F2857:G2857" si="2856">TRANSLATE(D2857,"lzh","vi")</f>
        <v>#NAME?</v>
      </c>
      <c r="G2857" s="109" t="str">
        <f t="shared" si="2856"/>
        <v>#NAME?</v>
      </c>
      <c r="X2857" s="110"/>
    </row>
    <row r="2858" ht="21.0" customHeight="1">
      <c r="A2858" s="6">
        <v>1.0</v>
      </c>
      <c r="B2858" s="6">
        <v>230.0</v>
      </c>
      <c r="C2858" s="6">
        <v>2.0</v>
      </c>
      <c r="D2858" s="162" t="s">
        <v>4500</v>
      </c>
      <c r="E2858" s="9" t="s">
        <v>4501</v>
      </c>
      <c r="F2858" s="109" t="str">
        <f t="shared" ref="F2858:G2858" si="2857">TRANSLATE(D2858,"lzh","vi")</f>
        <v>#NAME?</v>
      </c>
      <c r="G2858" s="109" t="str">
        <f t="shared" si="2857"/>
        <v>#NAME?</v>
      </c>
      <c r="X2858" s="110"/>
    </row>
    <row r="2859" ht="21.0" customHeight="1">
      <c r="A2859" s="6">
        <v>1.0</v>
      </c>
      <c r="B2859" s="6">
        <v>230.0</v>
      </c>
      <c r="C2859" s="6">
        <v>3.0</v>
      </c>
      <c r="D2859" s="162" t="s">
        <v>4502</v>
      </c>
      <c r="E2859" s="9" t="s">
        <v>4503</v>
      </c>
      <c r="F2859" s="109" t="str">
        <f t="shared" ref="F2859:G2859" si="2858">TRANSLATE(D2859,"lzh","vi")</f>
        <v>#NAME?</v>
      </c>
      <c r="G2859" s="109" t="str">
        <f t="shared" si="2858"/>
        <v>#NAME?</v>
      </c>
      <c r="X2859" s="110"/>
    </row>
    <row r="2860" ht="21.0" customHeight="1">
      <c r="A2860" s="6">
        <v>1.0</v>
      </c>
      <c r="B2860" s="6">
        <v>230.0</v>
      </c>
      <c r="C2860" s="6">
        <v>4.0</v>
      </c>
      <c r="D2860" s="162" t="s">
        <v>4504</v>
      </c>
      <c r="E2860" s="9" t="s">
        <v>4505</v>
      </c>
      <c r="F2860" s="109" t="str">
        <f t="shared" ref="F2860:G2860" si="2859">TRANSLATE(D2860,"lzh","vi")</f>
        <v>#NAME?</v>
      </c>
      <c r="G2860" s="109" t="str">
        <f t="shared" si="2859"/>
        <v>#NAME?</v>
      </c>
      <c r="X2860" s="110"/>
    </row>
    <row r="2861" ht="21.0" customHeight="1">
      <c r="A2861" s="6">
        <v>1.0</v>
      </c>
      <c r="B2861" s="6">
        <v>230.0</v>
      </c>
      <c r="C2861" s="6">
        <v>5.0</v>
      </c>
      <c r="D2861" s="162" t="s">
        <v>4506</v>
      </c>
      <c r="E2861" s="9" t="s">
        <v>4507</v>
      </c>
      <c r="F2861" s="109" t="str">
        <f t="shared" ref="F2861:G2861" si="2860">TRANSLATE(D2861,"lzh","vi")</f>
        <v>#NAME?</v>
      </c>
      <c r="G2861" s="109" t="str">
        <f t="shared" si="2860"/>
        <v>#NAME?</v>
      </c>
      <c r="X2861" s="110"/>
    </row>
    <row r="2862" ht="21.0" customHeight="1">
      <c r="A2862" s="6">
        <v>1.0</v>
      </c>
      <c r="B2862" s="6">
        <v>230.0</v>
      </c>
      <c r="C2862" s="6">
        <v>6.0</v>
      </c>
      <c r="D2862" s="162" t="s">
        <v>4508</v>
      </c>
      <c r="E2862" s="9" t="s">
        <v>4509</v>
      </c>
      <c r="F2862" s="109" t="str">
        <f t="shared" ref="F2862:G2862" si="2861">TRANSLATE(D2862,"lzh","vi")</f>
        <v>#NAME?</v>
      </c>
      <c r="G2862" s="109" t="str">
        <f t="shared" si="2861"/>
        <v>#NAME?</v>
      </c>
      <c r="X2862" s="110"/>
    </row>
    <row r="2863" ht="21.0" customHeight="1">
      <c r="A2863" s="6">
        <v>1.0</v>
      </c>
      <c r="B2863" s="6">
        <v>230.0</v>
      </c>
      <c r="C2863" s="6">
        <v>7.0</v>
      </c>
      <c r="D2863" s="162" t="s">
        <v>4510</v>
      </c>
      <c r="E2863" s="9" t="s">
        <v>4511</v>
      </c>
      <c r="F2863" s="109" t="str">
        <f t="shared" ref="F2863:G2863" si="2862">TRANSLATE(D2863,"lzh","vi")</f>
        <v>#NAME?</v>
      </c>
      <c r="G2863" s="109" t="str">
        <f t="shared" si="2862"/>
        <v>#NAME?</v>
      </c>
      <c r="X2863" s="110"/>
    </row>
    <row r="2864" ht="21.0" customHeight="1">
      <c r="A2864" s="6">
        <v>1.0</v>
      </c>
      <c r="B2864" s="6">
        <v>230.0</v>
      </c>
      <c r="C2864" s="6">
        <v>8.0</v>
      </c>
      <c r="D2864" s="162" t="s">
        <v>4512</v>
      </c>
      <c r="E2864" s="9" t="s">
        <v>4513</v>
      </c>
      <c r="F2864" s="109" t="str">
        <f t="shared" ref="F2864:G2864" si="2863">TRANSLATE(D2864,"lzh","vi")</f>
        <v>#NAME?</v>
      </c>
      <c r="G2864" s="109" t="str">
        <f t="shared" si="2863"/>
        <v>#NAME?</v>
      </c>
      <c r="X2864" s="110"/>
    </row>
    <row r="2865" ht="21.0" customHeight="1">
      <c r="A2865" s="6">
        <v>1.0</v>
      </c>
      <c r="B2865" s="6">
        <v>230.0</v>
      </c>
      <c r="C2865" s="6">
        <v>9.0</v>
      </c>
      <c r="D2865" s="162" t="s">
        <v>4514</v>
      </c>
      <c r="E2865" s="9" t="s">
        <v>4515</v>
      </c>
      <c r="F2865" s="109" t="str">
        <f t="shared" ref="F2865:G2865" si="2864">TRANSLATE(D2865,"lzh","vi")</f>
        <v>#NAME?</v>
      </c>
      <c r="G2865" s="109" t="str">
        <f t="shared" si="2864"/>
        <v>#NAME?</v>
      </c>
      <c r="X2865" s="110"/>
    </row>
    <row r="2866" ht="21.0" customHeight="1">
      <c r="A2866" s="6">
        <v>1.0</v>
      </c>
      <c r="B2866" s="6">
        <v>230.0</v>
      </c>
      <c r="C2866" s="6">
        <v>10.0</v>
      </c>
      <c r="D2866" s="162" t="s">
        <v>4516</v>
      </c>
      <c r="E2866" s="9" t="s">
        <v>4517</v>
      </c>
      <c r="F2866" s="109" t="str">
        <f t="shared" ref="F2866:G2866" si="2865">TRANSLATE(D2866,"lzh","vi")</f>
        <v>#NAME?</v>
      </c>
      <c r="G2866" s="109" t="str">
        <f t="shared" si="2865"/>
        <v>#NAME?</v>
      </c>
      <c r="X2866" s="110"/>
    </row>
    <row r="2867" ht="21.0" customHeight="1">
      <c r="A2867" s="6">
        <v>1.0</v>
      </c>
      <c r="B2867" s="6">
        <v>230.0</v>
      </c>
      <c r="C2867" s="6">
        <v>11.0</v>
      </c>
      <c r="D2867" s="162" t="s">
        <v>4518</v>
      </c>
      <c r="E2867" s="9" t="s">
        <v>4519</v>
      </c>
      <c r="F2867" s="109" t="str">
        <f t="shared" ref="F2867:G2867" si="2866">TRANSLATE(D2867,"lzh","vi")</f>
        <v>#NAME?</v>
      </c>
      <c r="G2867" s="109" t="str">
        <f t="shared" si="2866"/>
        <v>#NAME?</v>
      </c>
      <c r="X2867" s="110"/>
    </row>
    <row r="2868" ht="21.0" customHeight="1">
      <c r="A2868" s="6">
        <v>1.0</v>
      </c>
      <c r="B2868" s="6">
        <v>230.0</v>
      </c>
      <c r="C2868" s="6">
        <v>12.0</v>
      </c>
      <c r="D2868" s="162" t="s">
        <v>4520</v>
      </c>
      <c r="E2868" s="9" t="s">
        <v>4521</v>
      </c>
      <c r="F2868" s="109" t="str">
        <f t="shared" ref="F2868:G2868" si="2867">TRANSLATE(D2868,"lzh","vi")</f>
        <v>#NAME?</v>
      </c>
      <c r="G2868" s="109" t="str">
        <f t="shared" si="2867"/>
        <v>#NAME?</v>
      </c>
      <c r="X2868" s="110"/>
    </row>
    <row r="2869" ht="21.0" customHeight="1">
      <c r="A2869" s="6">
        <v>1.0</v>
      </c>
      <c r="B2869" s="6">
        <v>230.0</v>
      </c>
      <c r="C2869" s="6">
        <v>13.0</v>
      </c>
      <c r="D2869" s="162" t="s">
        <v>4522</v>
      </c>
      <c r="E2869" s="9" t="s">
        <v>4523</v>
      </c>
      <c r="F2869" s="109" t="str">
        <f t="shared" ref="F2869:G2869" si="2868">TRANSLATE(D2869,"lzh","vi")</f>
        <v>#NAME?</v>
      </c>
      <c r="G2869" s="109" t="str">
        <f t="shared" si="2868"/>
        <v>#NAME?</v>
      </c>
      <c r="X2869" s="110"/>
    </row>
    <row r="2870" ht="21.0" customHeight="1">
      <c r="A2870" s="6">
        <v>11.0</v>
      </c>
      <c r="B2870" s="6">
        <v>1058.0</v>
      </c>
      <c r="C2870" s="6">
        <v>1.0</v>
      </c>
      <c r="D2870" s="161" t="s">
        <v>4524</v>
      </c>
      <c r="E2870" s="9" t="s">
        <v>4525</v>
      </c>
      <c r="F2870" s="109" t="str">
        <f t="shared" ref="F2870:G2870" si="2869">TRANSLATE(D2870,"lzh","vi")</f>
        <v>#NAME?</v>
      </c>
      <c r="G2870" s="109" t="str">
        <f t="shared" si="2869"/>
        <v>#NAME?</v>
      </c>
      <c r="X2870" s="110"/>
    </row>
    <row r="2871" ht="21.0" customHeight="1">
      <c r="A2871" s="6">
        <v>11.0</v>
      </c>
      <c r="B2871" s="6">
        <v>1058.0</v>
      </c>
      <c r="C2871" s="6">
        <v>2.0</v>
      </c>
      <c r="D2871" s="161" t="s">
        <v>4526</v>
      </c>
      <c r="E2871" s="9" t="s">
        <v>4527</v>
      </c>
      <c r="F2871" s="109" t="str">
        <f t="shared" ref="F2871:G2871" si="2870">TRANSLATE(D2871,"lzh","vi")</f>
        <v>#NAME?</v>
      </c>
      <c r="G2871" s="109" t="str">
        <f t="shared" si="2870"/>
        <v>#NAME?</v>
      </c>
      <c r="X2871" s="110"/>
    </row>
    <row r="2872" ht="21.0" customHeight="1">
      <c r="A2872" s="6">
        <v>11.0</v>
      </c>
      <c r="B2872" s="6">
        <v>1058.0</v>
      </c>
      <c r="C2872" s="6">
        <v>3.0</v>
      </c>
      <c r="D2872" s="161" t="s">
        <v>4528</v>
      </c>
      <c r="E2872" s="9" t="s">
        <v>4529</v>
      </c>
      <c r="F2872" s="109" t="str">
        <f t="shared" ref="F2872:G2872" si="2871">TRANSLATE(D2872,"lzh","vi")</f>
        <v>#NAME?</v>
      </c>
      <c r="G2872" s="109" t="str">
        <f t="shared" si="2871"/>
        <v>#NAME?</v>
      </c>
      <c r="X2872" s="110"/>
    </row>
    <row r="2873" ht="21.0" customHeight="1">
      <c r="A2873" s="6">
        <v>11.0</v>
      </c>
      <c r="B2873" s="6">
        <v>1058.0</v>
      </c>
      <c r="C2873" s="6">
        <v>4.0</v>
      </c>
      <c r="D2873" s="161" t="s">
        <v>4530</v>
      </c>
      <c r="E2873" s="9" t="s">
        <v>4531</v>
      </c>
      <c r="F2873" s="109" t="str">
        <f t="shared" ref="F2873:G2873" si="2872">TRANSLATE(D2873,"lzh","vi")</f>
        <v>#NAME?</v>
      </c>
      <c r="G2873" s="109" t="str">
        <f t="shared" si="2872"/>
        <v>#NAME?</v>
      </c>
      <c r="X2873" s="110"/>
    </row>
    <row r="2874" ht="21.0" customHeight="1">
      <c r="A2874" s="6">
        <v>10.0</v>
      </c>
      <c r="B2874" s="6">
        <v>1058.0</v>
      </c>
      <c r="C2874" s="6">
        <v>5.0</v>
      </c>
      <c r="D2874" s="122" t="s">
        <v>4532</v>
      </c>
      <c r="E2874" s="9" t="s">
        <v>4533</v>
      </c>
      <c r="F2874" s="109" t="str">
        <f t="shared" ref="F2874:G2874" si="2873">TRANSLATE(D2874,"lzh","vi")</f>
        <v>#NAME?</v>
      </c>
      <c r="G2874" s="109" t="str">
        <f t="shared" si="2873"/>
        <v>#NAME?</v>
      </c>
      <c r="X2874" s="110"/>
    </row>
    <row r="2875" ht="21.0" customHeight="1">
      <c r="A2875" s="6">
        <v>10.0</v>
      </c>
      <c r="B2875" s="6">
        <v>1058.0</v>
      </c>
      <c r="C2875" s="6">
        <v>6.0</v>
      </c>
      <c r="D2875" s="161" t="s">
        <v>4534</v>
      </c>
      <c r="E2875" s="9" t="s">
        <v>4535</v>
      </c>
      <c r="F2875" s="109" t="str">
        <f t="shared" ref="F2875:G2875" si="2874">TRANSLATE(D2875,"lzh","vi")</f>
        <v>#NAME?</v>
      </c>
      <c r="G2875" s="109" t="str">
        <f t="shared" si="2874"/>
        <v>#NAME?</v>
      </c>
      <c r="X2875" s="110"/>
    </row>
    <row r="2876" ht="21.0" customHeight="1">
      <c r="A2876" s="6">
        <v>10.0</v>
      </c>
      <c r="B2876" s="6">
        <v>1058.0</v>
      </c>
      <c r="C2876" s="6">
        <v>7.0</v>
      </c>
      <c r="D2876" s="161" t="s">
        <v>4536</v>
      </c>
      <c r="E2876" s="9" t="s">
        <v>4537</v>
      </c>
      <c r="F2876" s="109" t="str">
        <f t="shared" ref="F2876:G2876" si="2875">TRANSLATE(D2876,"lzh","vi")</f>
        <v>#NAME?</v>
      </c>
      <c r="G2876" s="109" t="str">
        <f t="shared" si="2875"/>
        <v>#NAME?</v>
      </c>
      <c r="X2876" s="110"/>
    </row>
    <row r="2877" ht="21.0" customHeight="1">
      <c r="A2877" s="6">
        <v>10.0</v>
      </c>
      <c r="B2877" s="6">
        <v>1058.0</v>
      </c>
      <c r="C2877" s="6">
        <v>8.0</v>
      </c>
      <c r="D2877" s="161" t="s">
        <v>4538</v>
      </c>
      <c r="E2877" s="9" t="s">
        <v>4539</v>
      </c>
      <c r="F2877" s="109" t="str">
        <f t="shared" ref="F2877:G2877" si="2876">TRANSLATE(D2877,"lzh","vi")</f>
        <v>#NAME?</v>
      </c>
      <c r="G2877" s="109" t="str">
        <f t="shared" si="2876"/>
        <v>#NAME?</v>
      </c>
      <c r="X2877" s="110"/>
    </row>
    <row r="2878" ht="21.0" customHeight="1">
      <c r="A2878" s="6">
        <v>10.0</v>
      </c>
      <c r="B2878" s="6">
        <v>1058.0</v>
      </c>
      <c r="C2878" s="6">
        <v>9.0</v>
      </c>
      <c r="D2878" s="161" t="s">
        <v>4540</v>
      </c>
      <c r="E2878" s="9" t="s">
        <v>4541</v>
      </c>
      <c r="F2878" s="109" t="str">
        <f t="shared" ref="F2878:G2878" si="2877">TRANSLATE(D2878,"lzh","vi")</f>
        <v>#NAME?</v>
      </c>
      <c r="G2878" s="109" t="str">
        <f t="shared" si="2877"/>
        <v>#NAME?</v>
      </c>
      <c r="X2878" s="110"/>
    </row>
    <row r="2879" ht="21.0" customHeight="1">
      <c r="A2879" s="6">
        <v>10.0</v>
      </c>
      <c r="B2879" s="6">
        <v>1058.0</v>
      </c>
      <c r="C2879" s="6">
        <v>10.0</v>
      </c>
      <c r="D2879" s="161" t="s">
        <v>4542</v>
      </c>
      <c r="E2879" s="9" t="s">
        <v>4543</v>
      </c>
      <c r="F2879" s="109" t="str">
        <f t="shared" ref="F2879:G2879" si="2878">TRANSLATE(D2879,"lzh","vi")</f>
        <v>#NAME?</v>
      </c>
      <c r="G2879" s="109" t="str">
        <f t="shared" si="2878"/>
        <v>#NAME?</v>
      </c>
      <c r="X2879" s="110"/>
    </row>
    <row r="2880" ht="21.0" customHeight="1">
      <c r="A2880" s="6">
        <v>11.0</v>
      </c>
      <c r="B2880" s="6">
        <v>1059.0</v>
      </c>
      <c r="C2880" s="6">
        <v>1.0</v>
      </c>
      <c r="D2880" s="161" t="s">
        <v>4544</v>
      </c>
      <c r="E2880" s="9" t="s">
        <v>4545</v>
      </c>
      <c r="F2880" s="109" t="str">
        <f t="shared" ref="F2880:G2880" si="2879">TRANSLATE(D2880,"lzh","vi")</f>
        <v>#NAME?</v>
      </c>
      <c r="G2880" s="109" t="str">
        <f t="shared" si="2879"/>
        <v>#NAME?</v>
      </c>
      <c r="X2880" s="110"/>
    </row>
    <row r="2881" ht="21.0" customHeight="1">
      <c r="A2881" s="6">
        <v>11.0</v>
      </c>
      <c r="B2881" s="6">
        <v>1059.0</v>
      </c>
      <c r="C2881" s="6">
        <v>2.0</v>
      </c>
      <c r="D2881" s="161" t="s">
        <v>4546</v>
      </c>
      <c r="E2881" s="9" t="s">
        <v>4547</v>
      </c>
      <c r="F2881" s="109" t="str">
        <f t="shared" ref="F2881:G2881" si="2880">TRANSLATE(D2881,"lzh","vi")</f>
        <v>#NAME?</v>
      </c>
      <c r="G2881" s="109" t="str">
        <f t="shared" si="2880"/>
        <v>#NAME?</v>
      </c>
      <c r="X2881" s="110"/>
    </row>
    <row r="2882" ht="21.0" customHeight="1">
      <c r="A2882" s="6">
        <v>11.0</v>
      </c>
      <c r="B2882" s="6">
        <v>1059.0</v>
      </c>
      <c r="C2882" s="6">
        <v>3.0</v>
      </c>
      <c r="D2882" s="161" t="s">
        <v>4548</v>
      </c>
      <c r="E2882" s="9" t="s">
        <v>4549</v>
      </c>
      <c r="F2882" s="109" t="str">
        <f t="shared" ref="F2882:G2882" si="2881">TRANSLATE(D2882,"lzh","vi")</f>
        <v>#NAME?</v>
      </c>
      <c r="G2882" s="109" t="str">
        <f t="shared" si="2881"/>
        <v>#NAME?</v>
      </c>
      <c r="X2882" s="110"/>
    </row>
    <row r="2883" ht="21.0" customHeight="1">
      <c r="A2883" s="6">
        <v>11.0</v>
      </c>
      <c r="B2883" s="6">
        <v>1059.0</v>
      </c>
      <c r="C2883" s="6">
        <v>4.0</v>
      </c>
      <c r="D2883" s="161" t="s">
        <v>4550</v>
      </c>
      <c r="E2883" s="9" t="s">
        <v>4551</v>
      </c>
      <c r="F2883" s="109" t="str">
        <f t="shared" ref="F2883:G2883" si="2882">TRANSLATE(D2883,"lzh","vi")</f>
        <v>#NAME?</v>
      </c>
      <c r="G2883" s="109" t="str">
        <f t="shared" si="2882"/>
        <v>#NAME?</v>
      </c>
      <c r="X2883" s="110"/>
    </row>
    <row r="2884" ht="21.0" customHeight="1">
      <c r="A2884" s="6">
        <v>10.0</v>
      </c>
      <c r="B2884" s="6">
        <v>1059.0</v>
      </c>
      <c r="C2884" s="6">
        <v>5.0</v>
      </c>
      <c r="D2884" s="122" t="s">
        <v>4552</v>
      </c>
      <c r="E2884" s="9" t="s">
        <v>4553</v>
      </c>
      <c r="F2884" s="109" t="str">
        <f t="shared" ref="F2884:G2884" si="2883">TRANSLATE(D2884,"lzh","vi")</f>
        <v>#NAME?</v>
      </c>
      <c r="G2884" s="109" t="str">
        <f t="shared" si="2883"/>
        <v>#NAME?</v>
      </c>
      <c r="X2884" s="110"/>
    </row>
    <row r="2885" ht="21.0" customHeight="1">
      <c r="A2885" s="6">
        <v>10.0</v>
      </c>
      <c r="B2885" s="6">
        <v>1059.0</v>
      </c>
      <c r="C2885" s="6">
        <v>6.0</v>
      </c>
      <c r="D2885" s="161" t="s">
        <v>4554</v>
      </c>
      <c r="E2885" s="9" t="s">
        <v>4555</v>
      </c>
      <c r="F2885" s="109" t="str">
        <f t="shared" ref="F2885:G2885" si="2884">TRANSLATE(D2885,"lzh","vi")</f>
        <v>#NAME?</v>
      </c>
      <c r="G2885" s="109" t="str">
        <f t="shared" si="2884"/>
        <v>#NAME?</v>
      </c>
      <c r="X2885" s="110"/>
    </row>
    <row r="2886" ht="21.0" customHeight="1">
      <c r="A2886" s="6">
        <v>10.0</v>
      </c>
      <c r="B2886" s="6">
        <v>1059.0</v>
      </c>
      <c r="C2886" s="6">
        <v>7.0</v>
      </c>
      <c r="D2886" s="161" t="s">
        <v>4556</v>
      </c>
      <c r="E2886" s="9" t="s">
        <v>4557</v>
      </c>
      <c r="F2886" s="109" t="str">
        <f t="shared" ref="F2886:G2886" si="2885">TRANSLATE(D2886,"lzh","vi")</f>
        <v>#NAME?</v>
      </c>
      <c r="G2886" s="109" t="str">
        <f t="shared" si="2885"/>
        <v>#NAME?</v>
      </c>
      <c r="X2886" s="110"/>
    </row>
    <row r="2887" ht="21.0" customHeight="1">
      <c r="A2887" s="6">
        <v>10.0</v>
      </c>
      <c r="B2887" s="6">
        <v>1059.0</v>
      </c>
      <c r="C2887" s="6">
        <v>8.0</v>
      </c>
      <c r="D2887" s="161" t="s">
        <v>4558</v>
      </c>
      <c r="E2887" s="9" t="s">
        <v>4559</v>
      </c>
      <c r="F2887" s="109" t="str">
        <f t="shared" ref="F2887:G2887" si="2886">TRANSLATE(D2887,"lzh","vi")</f>
        <v>#NAME?</v>
      </c>
      <c r="G2887" s="109" t="str">
        <f t="shared" si="2886"/>
        <v>#NAME?</v>
      </c>
      <c r="X2887" s="110"/>
    </row>
    <row r="2888" ht="21.0" customHeight="1">
      <c r="A2888" s="6">
        <v>10.0</v>
      </c>
      <c r="B2888" s="6">
        <v>1059.0</v>
      </c>
      <c r="C2888" s="6">
        <v>9.0</v>
      </c>
      <c r="D2888" s="161" t="s">
        <v>4560</v>
      </c>
      <c r="E2888" s="9" t="s">
        <v>4561</v>
      </c>
      <c r="F2888" s="109" t="str">
        <f t="shared" ref="F2888:G2888" si="2887">TRANSLATE(D2888,"lzh","vi")</f>
        <v>#NAME?</v>
      </c>
      <c r="G2888" s="109" t="str">
        <f t="shared" si="2887"/>
        <v>#NAME?</v>
      </c>
      <c r="X2888" s="110"/>
    </row>
    <row r="2889" ht="21.0" customHeight="1">
      <c r="A2889" s="6">
        <v>10.0</v>
      </c>
      <c r="B2889" s="6">
        <v>1059.0</v>
      </c>
      <c r="C2889" s="6">
        <v>10.0</v>
      </c>
      <c r="D2889" s="161" t="s">
        <v>4562</v>
      </c>
      <c r="E2889" s="9" t="s">
        <v>4543</v>
      </c>
      <c r="F2889" s="109" t="str">
        <f t="shared" ref="F2889:G2889" si="2888">TRANSLATE(D2889,"lzh","vi")</f>
        <v>#NAME?</v>
      </c>
      <c r="G2889" s="109" t="str">
        <f t="shared" si="2888"/>
        <v>#NAME?</v>
      </c>
      <c r="X2889" s="110"/>
    </row>
    <row r="2890" ht="21.0" customHeight="1">
      <c r="A2890" s="6">
        <v>1.0</v>
      </c>
      <c r="B2890" s="6">
        <v>231.0</v>
      </c>
      <c r="C2890" s="6">
        <v>1.0</v>
      </c>
      <c r="D2890" s="162" t="s">
        <v>4563</v>
      </c>
      <c r="E2890" s="9" t="s">
        <v>4564</v>
      </c>
      <c r="F2890" s="109" t="str">
        <f t="shared" ref="F2890:G2890" si="2889">TRANSLATE(D2890,"lzh","vi")</f>
        <v>#NAME?</v>
      </c>
      <c r="G2890" s="109" t="str">
        <f t="shared" si="2889"/>
        <v>#NAME?</v>
      </c>
      <c r="X2890" s="110"/>
    </row>
    <row r="2891" ht="21.0" customHeight="1">
      <c r="A2891" s="6">
        <v>1.0</v>
      </c>
      <c r="B2891" s="6">
        <v>231.0</v>
      </c>
      <c r="C2891" s="6">
        <v>2.0</v>
      </c>
      <c r="D2891" s="162" t="s">
        <v>4565</v>
      </c>
      <c r="E2891" s="9" t="s">
        <v>4566</v>
      </c>
      <c r="F2891" s="109" t="str">
        <f t="shared" ref="F2891:G2891" si="2890">TRANSLATE(D2891,"lzh","vi")</f>
        <v>#NAME?</v>
      </c>
      <c r="G2891" s="109" t="str">
        <f t="shared" si="2890"/>
        <v>#NAME?</v>
      </c>
      <c r="X2891" s="110"/>
    </row>
    <row r="2892" ht="21.0" customHeight="1">
      <c r="A2892" s="6">
        <v>1.0</v>
      </c>
      <c r="B2892" s="6">
        <v>231.0</v>
      </c>
      <c r="C2892" s="6">
        <v>3.0</v>
      </c>
      <c r="D2892" s="162" t="s">
        <v>4567</v>
      </c>
      <c r="E2892" s="9" t="s">
        <v>4568</v>
      </c>
      <c r="F2892" s="109" t="str">
        <f t="shared" ref="F2892:G2892" si="2891">TRANSLATE(D2892,"lzh","vi")</f>
        <v>#NAME?</v>
      </c>
      <c r="G2892" s="109" t="str">
        <f t="shared" si="2891"/>
        <v>#NAME?</v>
      </c>
      <c r="X2892" s="110"/>
    </row>
    <row r="2893" ht="21.0" customHeight="1">
      <c r="A2893" s="6">
        <v>1.0</v>
      </c>
      <c r="B2893" s="6">
        <v>231.0</v>
      </c>
      <c r="C2893" s="6">
        <v>4.0</v>
      </c>
      <c r="D2893" s="162" t="s">
        <v>4569</v>
      </c>
      <c r="E2893" s="9" t="s">
        <v>4570</v>
      </c>
      <c r="F2893" s="109" t="str">
        <f t="shared" ref="F2893:G2893" si="2892">TRANSLATE(D2893,"lzh","vi")</f>
        <v>#NAME?</v>
      </c>
      <c r="G2893" s="109" t="str">
        <f t="shared" si="2892"/>
        <v>#NAME?</v>
      </c>
      <c r="X2893" s="110"/>
    </row>
    <row r="2894" ht="21.0" customHeight="1">
      <c r="A2894" s="6">
        <v>1.0</v>
      </c>
      <c r="B2894" s="6">
        <v>231.0</v>
      </c>
      <c r="C2894" s="6">
        <v>5.0</v>
      </c>
      <c r="D2894" s="162" t="s">
        <v>4571</v>
      </c>
      <c r="E2894" s="9" t="s">
        <v>4572</v>
      </c>
      <c r="F2894" s="109" t="str">
        <f t="shared" ref="F2894:G2894" si="2893">TRANSLATE(D2894,"lzh","vi")</f>
        <v>#NAME?</v>
      </c>
      <c r="G2894" s="109" t="str">
        <f t="shared" si="2893"/>
        <v>#NAME?</v>
      </c>
      <c r="X2894" s="110"/>
    </row>
    <row r="2895" ht="21.0" customHeight="1">
      <c r="A2895" s="6">
        <v>1.0</v>
      </c>
      <c r="B2895" s="6">
        <v>231.0</v>
      </c>
      <c r="C2895" s="6">
        <v>6.0</v>
      </c>
      <c r="D2895" s="162" t="s">
        <v>4573</v>
      </c>
      <c r="E2895" s="9" t="s">
        <v>4574</v>
      </c>
      <c r="F2895" s="109" t="str">
        <f t="shared" ref="F2895:G2895" si="2894">TRANSLATE(D2895,"lzh","vi")</f>
        <v>#NAME?</v>
      </c>
      <c r="G2895" s="109" t="str">
        <f t="shared" si="2894"/>
        <v>#NAME?</v>
      </c>
      <c r="X2895" s="110"/>
    </row>
    <row r="2896" ht="21.0" customHeight="1">
      <c r="A2896" s="6">
        <v>1.0</v>
      </c>
      <c r="B2896" s="6">
        <v>231.0</v>
      </c>
      <c r="C2896" s="6">
        <v>7.0</v>
      </c>
      <c r="D2896" s="162" t="s">
        <v>4575</v>
      </c>
      <c r="E2896" s="9" t="s">
        <v>4576</v>
      </c>
      <c r="F2896" s="109" t="str">
        <f t="shared" ref="F2896:G2896" si="2895">TRANSLATE(D2896,"lzh","vi")</f>
        <v>#NAME?</v>
      </c>
      <c r="G2896" s="109" t="str">
        <f t="shared" si="2895"/>
        <v>#NAME?</v>
      </c>
      <c r="X2896" s="110"/>
    </row>
    <row r="2897" ht="21.0" customHeight="1">
      <c r="A2897" s="6">
        <v>1.0</v>
      </c>
      <c r="B2897" s="6">
        <v>231.0</v>
      </c>
      <c r="C2897" s="6">
        <v>8.0</v>
      </c>
      <c r="D2897" s="162" t="s">
        <v>4577</v>
      </c>
      <c r="E2897" s="9" t="s">
        <v>4578</v>
      </c>
      <c r="F2897" s="109" t="str">
        <f t="shared" ref="F2897:G2897" si="2896">TRANSLATE(D2897,"lzh","vi")</f>
        <v>#NAME?</v>
      </c>
      <c r="G2897" s="109" t="str">
        <f t="shared" si="2896"/>
        <v>#NAME?</v>
      </c>
      <c r="X2897" s="110"/>
    </row>
    <row r="2898" ht="21.0" customHeight="1">
      <c r="A2898" s="6">
        <v>1.0</v>
      </c>
      <c r="B2898" s="6">
        <v>231.0</v>
      </c>
      <c r="C2898" s="6">
        <v>9.0</v>
      </c>
      <c r="D2898" s="162" t="s">
        <v>4579</v>
      </c>
      <c r="E2898" s="9" t="s">
        <v>4580</v>
      </c>
      <c r="F2898" s="109" t="str">
        <f t="shared" ref="F2898:G2898" si="2897">TRANSLATE(D2898,"lzh","vi")</f>
        <v>#NAME?</v>
      </c>
      <c r="G2898" s="109" t="str">
        <f t="shared" si="2897"/>
        <v>#NAME?</v>
      </c>
      <c r="X2898" s="110"/>
    </row>
    <row r="2899" ht="21.0" customHeight="1">
      <c r="A2899" s="6">
        <v>1.0</v>
      </c>
      <c r="B2899" s="6">
        <v>231.0</v>
      </c>
      <c r="C2899" s="6">
        <v>10.0</v>
      </c>
      <c r="D2899" s="162" t="s">
        <v>4581</v>
      </c>
      <c r="E2899" s="9" t="s">
        <v>4582</v>
      </c>
      <c r="F2899" s="109" t="str">
        <f t="shared" ref="F2899:G2899" si="2898">TRANSLATE(D2899,"lzh","vi")</f>
        <v>#NAME?</v>
      </c>
      <c r="G2899" s="109" t="str">
        <f t="shared" si="2898"/>
        <v>#NAME?</v>
      </c>
      <c r="X2899" s="110"/>
    </row>
    <row r="2900" ht="21.0" customHeight="1">
      <c r="A2900" s="6">
        <v>1.0</v>
      </c>
      <c r="B2900" s="6">
        <v>231.0</v>
      </c>
      <c r="C2900" s="6">
        <v>11.0</v>
      </c>
      <c r="D2900" s="162" t="s">
        <v>4583</v>
      </c>
      <c r="E2900" s="9" t="s">
        <v>4584</v>
      </c>
      <c r="F2900" s="109" t="str">
        <f t="shared" ref="F2900:G2900" si="2899">TRANSLATE(D2900,"lzh","vi")</f>
        <v>#NAME?</v>
      </c>
      <c r="G2900" s="109" t="str">
        <f t="shared" si="2899"/>
        <v>#NAME?</v>
      </c>
      <c r="X2900" s="110"/>
    </row>
    <row r="2901" ht="21.0" customHeight="1">
      <c r="A2901" s="6">
        <v>1.0</v>
      </c>
      <c r="B2901" s="6">
        <v>231.0</v>
      </c>
      <c r="C2901" s="6">
        <v>12.0</v>
      </c>
      <c r="D2901" s="162" t="s">
        <v>4585</v>
      </c>
      <c r="E2901" s="9" t="s">
        <v>4586</v>
      </c>
      <c r="F2901" s="109" t="str">
        <f t="shared" ref="F2901:G2901" si="2900">TRANSLATE(D2901,"lzh","vi")</f>
        <v>#NAME?</v>
      </c>
      <c r="G2901" s="109" t="str">
        <f t="shared" si="2900"/>
        <v>#NAME?</v>
      </c>
      <c r="X2901" s="110"/>
    </row>
    <row r="2902" ht="21.0" customHeight="1">
      <c r="A2902" s="6">
        <v>1.0</v>
      </c>
      <c r="B2902" s="6">
        <v>231.0</v>
      </c>
      <c r="C2902" s="6">
        <v>13.0</v>
      </c>
      <c r="D2902" s="162" t="s">
        <v>4587</v>
      </c>
      <c r="E2902" s="9" t="s">
        <v>4588</v>
      </c>
      <c r="F2902" s="109" t="str">
        <f t="shared" ref="F2902:G2902" si="2901">TRANSLATE(D2902,"lzh","vi")</f>
        <v>#NAME?</v>
      </c>
      <c r="G2902" s="109" t="str">
        <f t="shared" si="2901"/>
        <v>#NAME?</v>
      </c>
      <c r="X2902" s="110"/>
    </row>
    <row r="2903" ht="21.0" customHeight="1">
      <c r="A2903" s="6">
        <v>1.0</v>
      </c>
      <c r="B2903" s="6">
        <v>232.0</v>
      </c>
      <c r="C2903" s="6">
        <v>1.0</v>
      </c>
      <c r="D2903" s="162" t="s">
        <v>4589</v>
      </c>
      <c r="E2903" s="9" t="s">
        <v>4590</v>
      </c>
      <c r="F2903" s="109" t="str">
        <f t="shared" ref="F2903:G2903" si="2902">TRANSLATE(D2903,"lzh","vi")</f>
        <v>#NAME?</v>
      </c>
      <c r="G2903" s="109" t="str">
        <f t="shared" si="2902"/>
        <v>#NAME?</v>
      </c>
      <c r="X2903" s="110"/>
    </row>
    <row r="2904" ht="21.0" customHeight="1">
      <c r="A2904" s="6">
        <v>1.0</v>
      </c>
      <c r="B2904" s="6">
        <v>232.0</v>
      </c>
      <c r="C2904" s="6">
        <v>2.0</v>
      </c>
      <c r="D2904" s="162" t="s">
        <v>4591</v>
      </c>
      <c r="E2904" s="9" t="s">
        <v>4592</v>
      </c>
      <c r="F2904" s="109" t="str">
        <f t="shared" ref="F2904:G2904" si="2903">TRANSLATE(D2904,"lzh","vi")</f>
        <v>#NAME?</v>
      </c>
      <c r="G2904" s="109" t="str">
        <f t="shared" si="2903"/>
        <v>#NAME?</v>
      </c>
      <c r="X2904" s="110"/>
    </row>
    <row r="2905" ht="21.0" customHeight="1">
      <c r="A2905" s="6">
        <v>1.0</v>
      </c>
      <c r="B2905" s="6">
        <v>232.0</v>
      </c>
      <c r="C2905" s="6">
        <v>3.0</v>
      </c>
      <c r="D2905" s="162" t="s">
        <v>4593</v>
      </c>
      <c r="E2905" s="9" t="s">
        <v>4594</v>
      </c>
      <c r="F2905" s="109" t="str">
        <f t="shared" ref="F2905:G2905" si="2904">TRANSLATE(D2905,"lzh","vi")</f>
        <v>#NAME?</v>
      </c>
      <c r="G2905" s="109" t="str">
        <f t="shared" si="2904"/>
        <v>#NAME?</v>
      </c>
      <c r="X2905" s="110"/>
    </row>
    <row r="2906" ht="21.0" customHeight="1">
      <c r="A2906" s="6">
        <v>1.0</v>
      </c>
      <c r="B2906" s="6">
        <v>232.0</v>
      </c>
      <c r="C2906" s="6">
        <v>4.0</v>
      </c>
      <c r="D2906" s="162" t="s">
        <v>4595</v>
      </c>
      <c r="E2906" s="9" t="s">
        <v>4596</v>
      </c>
      <c r="F2906" s="109" t="str">
        <f t="shared" ref="F2906:G2906" si="2905">TRANSLATE(D2906,"lzh","vi")</f>
        <v>#NAME?</v>
      </c>
      <c r="G2906" s="109" t="str">
        <f t="shared" si="2905"/>
        <v>#NAME?</v>
      </c>
      <c r="X2906" s="110"/>
    </row>
    <row r="2907" ht="21.0" customHeight="1">
      <c r="A2907" s="6">
        <v>1.0</v>
      </c>
      <c r="B2907" s="6">
        <v>232.0</v>
      </c>
      <c r="C2907" s="6">
        <v>5.0</v>
      </c>
      <c r="D2907" s="162" t="s">
        <v>4597</v>
      </c>
      <c r="E2907" s="9" t="s">
        <v>4598</v>
      </c>
      <c r="F2907" s="109" t="str">
        <f t="shared" ref="F2907:G2907" si="2906">TRANSLATE(D2907,"lzh","vi")</f>
        <v>#NAME?</v>
      </c>
      <c r="G2907" s="109" t="str">
        <f t="shared" si="2906"/>
        <v>#NAME?</v>
      </c>
      <c r="X2907" s="110"/>
    </row>
    <row r="2908" ht="21.0" customHeight="1">
      <c r="A2908" s="6">
        <v>1.0</v>
      </c>
      <c r="B2908" s="6">
        <v>232.0</v>
      </c>
      <c r="C2908" s="6">
        <v>6.0</v>
      </c>
      <c r="D2908" s="162" t="s">
        <v>4599</v>
      </c>
      <c r="E2908" s="9" t="s">
        <v>4600</v>
      </c>
      <c r="F2908" s="109" t="str">
        <f t="shared" ref="F2908:G2908" si="2907">TRANSLATE(D2908,"lzh","vi")</f>
        <v>#NAME?</v>
      </c>
      <c r="G2908" s="109" t="str">
        <f t="shared" si="2907"/>
        <v>#NAME?</v>
      </c>
      <c r="X2908" s="110"/>
    </row>
    <row r="2909" ht="21.0" customHeight="1">
      <c r="A2909" s="6">
        <v>1.0</v>
      </c>
      <c r="B2909" s="6">
        <v>232.0</v>
      </c>
      <c r="C2909" s="6">
        <v>7.0</v>
      </c>
      <c r="D2909" s="162" t="s">
        <v>4601</v>
      </c>
      <c r="E2909" s="9" t="s">
        <v>4602</v>
      </c>
      <c r="F2909" s="109" t="str">
        <f t="shared" ref="F2909:G2909" si="2908">TRANSLATE(D2909,"lzh","vi")</f>
        <v>#NAME?</v>
      </c>
      <c r="G2909" s="109" t="str">
        <f t="shared" si="2908"/>
        <v>#NAME?</v>
      </c>
      <c r="X2909" s="110"/>
    </row>
    <row r="2910" ht="21.0" customHeight="1">
      <c r="A2910" s="6">
        <v>1.0</v>
      </c>
      <c r="B2910" s="6">
        <v>232.0</v>
      </c>
      <c r="C2910" s="6">
        <v>8.0</v>
      </c>
      <c r="D2910" s="162" t="s">
        <v>4603</v>
      </c>
      <c r="E2910" s="9" t="s">
        <v>4604</v>
      </c>
      <c r="F2910" s="109" t="str">
        <f t="shared" ref="F2910:G2910" si="2909">TRANSLATE(D2910,"lzh","vi")</f>
        <v>#NAME?</v>
      </c>
      <c r="G2910" s="109" t="str">
        <f t="shared" si="2909"/>
        <v>#NAME?</v>
      </c>
      <c r="X2910" s="110"/>
    </row>
    <row r="2911" ht="21.0" customHeight="1">
      <c r="A2911" s="6">
        <v>1.0</v>
      </c>
      <c r="B2911" s="6">
        <v>232.0</v>
      </c>
      <c r="C2911" s="6">
        <v>9.0</v>
      </c>
      <c r="D2911" s="162" t="s">
        <v>4605</v>
      </c>
      <c r="E2911" s="9" t="s">
        <v>4606</v>
      </c>
      <c r="F2911" s="109" t="str">
        <f t="shared" ref="F2911:G2911" si="2910">TRANSLATE(D2911,"lzh","vi")</f>
        <v>#NAME?</v>
      </c>
      <c r="G2911" s="109" t="str">
        <f t="shared" si="2910"/>
        <v>#NAME?</v>
      </c>
      <c r="X2911" s="110"/>
    </row>
    <row r="2912" ht="21.0" customHeight="1">
      <c r="A2912" s="6">
        <v>1.0</v>
      </c>
      <c r="B2912" s="6">
        <v>232.0</v>
      </c>
      <c r="C2912" s="6">
        <v>10.0</v>
      </c>
      <c r="D2912" s="162" t="s">
        <v>4607</v>
      </c>
      <c r="E2912" s="9" t="s">
        <v>4608</v>
      </c>
      <c r="F2912" s="109" t="str">
        <f t="shared" ref="F2912:G2912" si="2911">TRANSLATE(D2912,"lzh","vi")</f>
        <v>#NAME?</v>
      </c>
      <c r="G2912" s="109" t="str">
        <f t="shared" si="2911"/>
        <v>#NAME?</v>
      </c>
      <c r="X2912" s="110"/>
    </row>
    <row r="2913" ht="21.0" customHeight="1">
      <c r="A2913" s="6">
        <v>1.0</v>
      </c>
      <c r="B2913" s="6">
        <v>232.0</v>
      </c>
      <c r="C2913" s="6">
        <v>11.0</v>
      </c>
      <c r="D2913" s="162" t="s">
        <v>4609</v>
      </c>
      <c r="E2913" s="9" t="s">
        <v>4610</v>
      </c>
      <c r="F2913" s="109" t="str">
        <f t="shared" ref="F2913:G2913" si="2912">TRANSLATE(D2913,"lzh","vi")</f>
        <v>#NAME?</v>
      </c>
      <c r="G2913" s="109" t="str">
        <f t="shared" si="2912"/>
        <v>#NAME?</v>
      </c>
      <c r="X2913" s="110"/>
    </row>
    <row r="2914" ht="21.0" customHeight="1">
      <c r="A2914" s="6">
        <v>1.0</v>
      </c>
      <c r="B2914" s="6">
        <v>232.0</v>
      </c>
      <c r="C2914" s="6">
        <v>12.0</v>
      </c>
      <c r="D2914" s="162" t="s">
        <v>4611</v>
      </c>
      <c r="E2914" s="9" t="s">
        <v>4612</v>
      </c>
      <c r="F2914" s="109" t="str">
        <f t="shared" ref="F2914:G2914" si="2913">TRANSLATE(D2914,"lzh","vi")</f>
        <v>#NAME?</v>
      </c>
      <c r="G2914" s="109" t="str">
        <f t="shared" si="2913"/>
        <v>#NAME?</v>
      </c>
      <c r="X2914" s="110"/>
    </row>
    <row r="2915" ht="21.0" customHeight="1">
      <c r="A2915" s="6">
        <v>1.0</v>
      </c>
      <c r="B2915" s="6">
        <v>232.0</v>
      </c>
      <c r="C2915" s="6">
        <v>13.0</v>
      </c>
      <c r="D2915" s="162" t="s">
        <v>4613</v>
      </c>
      <c r="E2915" s="9" t="s">
        <v>4614</v>
      </c>
      <c r="F2915" s="109" t="str">
        <f t="shared" ref="F2915:G2915" si="2914">TRANSLATE(D2915,"lzh","vi")</f>
        <v>#NAME?</v>
      </c>
      <c r="G2915" s="109" t="str">
        <f t="shared" si="2914"/>
        <v>#NAME?</v>
      </c>
      <c r="X2915" s="110"/>
    </row>
    <row r="2916" ht="21.0" customHeight="1">
      <c r="A2916" s="6">
        <v>1.0</v>
      </c>
      <c r="B2916" s="6">
        <v>233.0</v>
      </c>
      <c r="C2916" s="6">
        <v>1.0</v>
      </c>
      <c r="D2916" s="162" t="s">
        <v>4615</v>
      </c>
      <c r="E2916" s="9" t="s">
        <v>4616</v>
      </c>
      <c r="F2916" s="109" t="str">
        <f t="shared" ref="F2916:G2916" si="2915">TRANSLATE(D2916,"lzh","vi")</f>
        <v>#NAME?</v>
      </c>
      <c r="G2916" s="109" t="str">
        <f t="shared" si="2915"/>
        <v>#NAME?</v>
      </c>
      <c r="X2916" s="110"/>
    </row>
    <row r="2917" ht="21.0" customHeight="1">
      <c r="A2917" s="6">
        <v>1.0</v>
      </c>
      <c r="B2917" s="6">
        <v>233.0</v>
      </c>
      <c r="C2917" s="6">
        <v>2.0</v>
      </c>
      <c r="D2917" s="162" t="s">
        <v>4617</v>
      </c>
      <c r="E2917" s="9" t="s">
        <v>4618</v>
      </c>
      <c r="F2917" s="109" t="str">
        <f t="shared" ref="F2917:G2917" si="2916">TRANSLATE(D2917,"lzh","vi")</f>
        <v>#NAME?</v>
      </c>
      <c r="G2917" s="109" t="str">
        <f t="shared" si="2916"/>
        <v>#NAME?</v>
      </c>
      <c r="X2917" s="110"/>
    </row>
    <row r="2918" ht="21.0" customHeight="1">
      <c r="A2918" s="6">
        <v>1.0</v>
      </c>
      <c r="B2918" s="6">
        <v>233.0</v>
      </c>
      <c r="C2918" s="6">
        <v>3.0</v>
      </c>
      <c r="D2918" s="162" t="s">
        <v>4619</v>
      </c>
      <c r="E2918" s="9" t="s">
        <v>4620</v>
      </c>
      <c r="F2918" s="109" t="str">
        <f t="shared" ref="F2918:G2918" si="2917">TRANSLATE(D2918,"lzh","vi")</f>
        <v>#NAME?</v>
      </c>
      <c r="G2918" s="109" t="str">
        <f t="shared" si="2917"/>
        <v>#NAME?</v>
      </c>
      <c r="X2918" s="110"/>
    </row>
    <row r="2919" ht="21.0" customHeight="1">
      <c r="A2919" s="6">
        <v>1.0</v>
      </c>
      <c r="B2919" s="6">
        <v>233.0</v>
      </c>
      <c r="C2919" s="6">
        <v>4.0</v>
      </c>
      <c r="D2919" s="162" t="s">
        <v>4621</v>
      </c>
      <c r="E2919" s="9" t="s">
        <v>4622</v>
      </c>
      <c r="F2919" s="109" t="str">
        <f t="shared" ref="F2919:G2919" si="2918">TRANSLATE(D2919,"lzh","vi")</f>
        <v>#NAME?</v>
      </c>
      <c r="G2919" s="109" t="str">
        <f t="shared" si="2918"/>
        <v>#NAME?</v>
      </c>
      <c r="X2919" s="110"/>
    </row>
    <row r="2920" ht="21.0" customHeight="1">
      <c r="A2920" s="6">
        <v>1.0</v>
      </c>
      <c r="B2920" s="6">
        <v>233.0</v>
      </c>
      <c r="C2920" s="6">
        <v>5.0</v>
      </c>
      <c r="D2920" s="162" t="s">
        <v>4623</v>
      </c>
      <c r="E2920" s="9" t="s">
        <v>4624</v>
      </c>
      <c r="F2920" s="109" t="str">
        <f t="shared" ref="F2920:G2920" si="2919">TRANSLATE(D2920,"lzh","vi")</f>
        <v>#NAME?</v>
      </c>
      <c r="G2920" s="109" t="str">
        <f t="shared" si="2919"/>
        <v>#NAME?</v>
      </c>
      <c r="X2920" s="110"/>
    </row>
    <row r="2921" ht="21.0" customHeight="1">
      <c r="A2921" s="6">
        <v>1.0</v>
      </c>
      <c r="B2921" s="6">
        <v>233.0</v>
      </c>
      <c r="C2921" s="6">
        <v>6.0</v>
      </c>
      <c r="D2921" s="162" t="s">
        <v>4625</v>
      </c>
      <c r="E2921" s="9" t="s">
        <v>4626</v>
      </c>
      <c r="F2921" s="109" t="str">
        <f t="shared" ref="F2921:G2921" si="2920">TRANSLATE(D2921,"lzh","vi")</f>
        <v>#NAME?</v>
      </c>
      <c r="G2921" s="109" t="str">
        <f t="shared" si="2920"/>
        <v>#NAME?</v>
      </c>
      <c r="X2921" s="110"/>
    </row>
    <row r="2922" ht="21.0" customHeight="1">
      <c r="A2922" s="6">
        <v>1.0</v>
      </c>
      <c r="B2922" s="6">
        <v>233.0</v>
      </c>
      <c r="C2922" s="6">
        <v>7.0</v>
      </c>
      <c r="D2922" s="162" t="s">
        <v>4627</v>
      </c>
      <c r="E2922" s="9" t="s">
        <v>4628</v>
      </c>
      <c r="F2922" s="109" t="str">
        <f t="shared" ref="F2922:G2922" si="2921">TRANSLATE(D2922,"lzh","vi")</f>
        <v>#NAME?</v>
      </c>
      <c r="G2922" s="109" t="str">
        <f t="shared" si="2921"/>
        <v>#NAME?</v>
      </c>
      <c r="X2922" s="110"/>
    </row>
    <row r="2923" ht="21.0" customHeight="1">
      <c r="A2923" s="6">
        <v>1.0</v>
      </c>
      <c r="B2923" s="6">
        <v>233.0</v>
      </c>
      <c r="C2923" s="6">
        <v>8.0</v>
      </c>
      <c r="D2923" s="162" t="s">
        <v>4629</v>
      </c>
      <c r="E2923" s="9" t="s">
        <v>4630</v>
      </c>
      <c r="F2923" s="109" t="str">
        <f t="shared" ref="F2923:G2923" si="2922">TRANSLATE(D2923,"lzh","vi")</f>
        <v>#NAME?</v>
      </c>
      <c r="G2923" s="109" t="str">
        <f t="shared" si="2922"/>
        <v>#NAME?</v>
      </c>
      <c r="X2923" s="110"/>
    </row>
    <row r="2924" ht="21.0" customHeight="1">
      <c r="A2924" s="6">
        <v>1.0</v>
      </c>
      <c r="B2924" s="6">
        <v>233.0</v>
      </c>
      <c r="C2924" s="6">
        <v>9.0</v>
      </c>
      <c r="D2924" s="162" t="s">
        <v>4631</v>
      </c>
      <c r="E2924" s="9" t="s">
        <v>4632</v>
      </c>
      <c r="F2924" s="109" t="str">
        <f t="shared" ref="F2924:G2924" si="2923">TRANSLATE(D2924,"lzh","vi")</f>
        <v>#NAME?</v>
      </c>
      <c r="G2924" s="109" t="str">
        <f t="shared" si="2923"/>
        <v>#NAME?</v>
      </c>
      <c r="X2924" s="110"/>
    </row>
    <row r="2925" ht="21.0" customHeight="1">
      <c r="A2925" s="6">
        <v>1.0</v>
      </c>
      <c r="B2925" s="6">
        <v>233.0</v>
      </c>
      <c r="C2925" s="6">
        <v>10.0</v>
      </c>
      <c r="D2925" s="162" t="s">
        <v>4633</v>
      </c>
      <c r="E2925" s="9" t="s">
        <v>4634</v>
      </c>
      <c r="F2925" s="109" t="str">
        <f t="shared" ref="F2925:G2925" si="2924">TRANSLATE(D2925,"lzh","vi")</f>
        <v>#NAME?</v>
      </c>
      <c r="G2925" s="109" t="str">
        <f t="shared" si="2924"/>
        <v>#NAME?</v>
      </c>
      <c r="X2925" s="110"/>
    </row>
    <row r="2926" ht="21.0" customHeight="1">
      <c r="A2926" s="6">
        <v>1.0</v>
      </c>
      <c r="B2926" s="6">
        <v>233.0</v>
      </c>
      <c r="C2926" s="6">
        <v>11.0</v>
      </c>
      <c r="D2926" s="162" t="s">
        <v>4635</v>
      </c>
      <c r="E2926" s="9" t="s">
        <v>4636</v>
      </c>
      <c r="F2926" s="109" t="str">
        <f t="shared" ref="F2926:G2926" si="2925">TRANSLATE(D2926,"lzh","vi")</f>
        <v>#NAME?</v>
      </c>
      <c r="G2926" s="109" t="str">
        <f t="shared" si="2925"/>
        <v>#NAME?</v>
      </c>
      <c r="X2926" s="110"/>
    </row>
    <row r="2927" ht="21.0" customHeight="1">
      <c r="A2927" s="6">
        <v>1.0</v>
      </c>
      <c r="B2927" s="6">
        <v>233.0</v>
      </c>
      <c r="C2927" s="6">
        <v>12.0</v>
      </c>
      <c r="D2927" s="162" t="s">
        <v>4637</v>
      </c>
      <c r="E2927" s="9" t="s">
        <v>4638</v>
      </c>
      <c r="F2927" s="109" t="str">
        <f t="shared" ref="F2927:G2927" si="2926">TRANSLATE(D2927,"lzh","vi")</f>
        <v>#NAME?</v>
      </c>
      <c r="G2927" s="109" t="str">
        <f t="shared" si="2926"/>
        <v>#NAME?</v>
      </c>
      <c r="X2927" s="110"/>
    </row>
    <row r="2928" ht="21.0" customHeight="1">
      <c r="A2928" s="6">
        <v>1.0</v>
      </c>
      <c r="B2928" s="6">
        <v>233.0</v>
      </c>
      <c r="C2928" s="6">
        <v>13.0</v>
      </c>
      <c r="D2928" s="162" t="s">
        <v>4639</v>
      </c>
      <c r="E2928" s="9" t="s">
        <v>4640</v>
      </c>
      <c r="F2928" s="109" t="str">
        <f t="shared" ref="F2928:G2928" si="2927">TRANSLATE(D2928,"lzh","vi")</f>
        <v>#NAME?</v>
      </c>
      <c r="G2928" s="109" t="str">
        <f t="shared" si="2927"/>
        <v>#NAME?</v>
      </c>
      <c r="X2928" s="110"/>
    </row>
    <row r="2929" ht="21.0" customHeight="1">
      <c r="A2929" s="6">
        <v>11.0</v>
      </c>
      <c r="B2929" s="6">
        <v>1060.0</v>
      </c>
      <c r="C2929" s="6">
        <v>1.0</v>
      </c>
      <c r="D2929" s="161" t="s">
        <v>4641</v>
      </c>
      <c r="E2929" s="9" t="s">
        <v>4642</v>
      </c>
      <c r="F2929" s="109" t="str">
        <f t="shared" ref="F2929:G2929" si="2928">TRANSLATE(D2929,"lzh","vi")</f>
        <v>#NAME?</v>
      </c>
      <c r="G2929" s="109" t="str">
        <f t="shared" si="2928"/>
        <v>#NAME?</v>
      </c>
      <c r="X2929" s="110"/>
    </row>
    <row r="2930" ht="21.0" customHeight="1">
      <c r="A2930" s="6">
        <v>11.0</v>
      </c>
      <c r="B2930" s="6">
        <v>1060.0</v>
      </c>
      <c r="C2930" s="6">
        <v>2.0</v>
      </c>
      <c r="D2930" s="161" t="s">
        <v>4643</v>
      </c>
      <c r="E2930" s="9" t="s">
        <v>4644</v>
      </c>
      <c r="F2930" s="109" t="str">
        <f t="shared" ref="F2930:G2930" si="2929">TRANSLATE(D2930,"lzh","vi")</f>
        <v>#NAME?</v>
      </c>
      <c r="G2930" s="109" t="str">
        <f t="shared" si="2929"/>
        <v>#NAME?</v>
      </c>
      <c r="X2930" s="110"/>
    </row>
    <row r="2931" ht="21.0" customHeight="1">
      <c r="A2931" s="6">
        <v>11.0</v>
      </c>
      <c r="B2931" s="6">
        <v>1060.0</v>
      </c>
      <c r="C2931" s="6">
        <v>3.0</v>
      </c>
      <c r="D2931" s="161" t="s">
        <v>4645</v>
      </c>
      <c r="E2931" s="9" t="s">
        <v>4646</v>
      </c>
      <c r="F2931" s="109" t="str">
        <f t="shared" ref="F2931:G2931" si="2930">TRANSLATE(D2931,"lzh","vi")</f>
        <v>#NAME?</v>
      </c>
      <c r="G2931" s="109" t="str">
        <f t="shared" si="2930"/>
        <v>#NAME?</v>
      </c>
      <c r="X2931" s="110"/>
    </row>
    <row r="2932" ht="21.0" customHeight="1">
      <c r="A2932" s="6">
        <v>11.0</v>
      </c>
      <c r="B2932" s="6">
        <v>1060.0</v>
      </c>
      <c r="C2932" s="6">
        <v>4.0</v>
      </c>
      <c r="D2932" s="161" t="s">
        <v>4647</v>
      </c>
      <c r="E2932" s="9" t="s">
        <v>4648</v>
      </c>
      <c r="F2932" s="109" t="str">
        <f t="shared" ref="F2932:G2932" si="2931">TRANSLATE(D2932,"lzh","vi")</f>
        <v>#NAME?</v>
      </c>
      <c r="G2932" s="109" t="str">
        <f t="shared" si="2931"/>
        <v>#NAME?</v>
      </c>
      <c r="X2932" s="110"/>
    </row>
    <row r="2933" ht="21.0" customHeight="1">
      <c r="A2933" s="6">
        <v>10.0</v>
      </c>
      <c r="B2933" s="6">
        <v>1060.0</v>
      </c>
      <c r="C2933" s="6">
        <v>5.0</v>
      </c>
      <c r="D2933" s="122" t="s">
        <v>4649</v>
      </c>
      <c r="E2933" s="9" t="s">
        <v>4650</v>
      </c>
      <c r="F2933" s="109" t="str">
        <f t="shared" ref="F2933:G2933" si="2932">TRANSLATE(D2933,"lzh","vi")</f>
        <v>#NAME?</v>
      </c>
      <c r="G2933" s="109" t="str">
        <f t="shared" si="2932"/>
        <v>#NAME?</v>
      </c>
      <c r="X2933" s="110"/>
    </row>
    <row r="2934" ht="21.0" customHeight="1">
      <c r="A2934" s="6">
        <v>10.0</v>
      </c>
      <c r="B2934" s="6">
        <v>1060.0</v>
      </c>
      <c r="C2934" s="6">
        <v>6.0</v>
      </c>
      <c r="D2934" s="161" t="s">
        <v>4651</v>
      </c>
      <c r="E2934" s="9" t="s">
        <v>4652</v>
      </c>
      <c r="F2934" s="109" t="str">
        <f t="shared" ref="F2934:G2934" si="2933">TRANSLATE(D2934,"lzh","vi")</f>
        <v>#NAME?</v>
      </c>
      <c r="G2934" s="109" t="str">
        <f t="shared" si="2933"/>
        <v>#NAME?</v>
      </c>
      <c r="X2934" s="110"/>
    </row>
    <row r="2935" ht="21.0" customHeight="1">
      <c r="A2935" s="6">
        <v>10.0</v>
      </c>
      <c r="B2935" s="6">
        <v>1060.0</v>
      </c>
      <c r="C2935" s="6">
        <v>7.0</v>
      </c>
      <c r="D2935" s="161" t="s">
        <v>4653</v>
      </c>
      <c r="E2935" s="9" t="s">
        <v>4654</v>
      </c>
      <c r="F2935" s="109" t="str">
        <f t="shared" ref="F2935:G2935" si="2934">TRANSLATE(D2935,"lzh","vi")</f>
        <v>#NAME?</v>
      </c>
      <c r="G2935" s="109" t="str">
        <f t="shared" si="2934"/>
        <v>#NAME?</v>
      </c>
      <c r="X2935" s="110"/>
    </row>
    <row r="2936" ht="21.0" customHeight="1">
      <c r="A2936" s="6">
        <v>10.0</v>
      </c>
      <c r="B2936" s="6">
        <v>1060.0</v>
      </c>
      <c r="C2936" s="6">
        <v>8.0</v>
      </c>
      <c r="D2936" s="161" t="s">
        <v>4655</v>
      </c>
      <c r="E2936" s="9" t="s">
        <v>4656</v>
      </c>
      <c r="F2936" s="109" t="str">
        <f t="shared" ref="F2936:G2936" si="2935">TRANSLATE(D2936,"lzh","vi")</f>
        <v>#NAME?</v>
      </c>
      <c r="G2936" s="109" t="str">
        <f t="shared" si="2935"/>
        <v>#NAME?</v>
      </c>
      <c r="X2936" s="110"/>
    </row>
    <row r="2937" ht="21.0" customHeight="1">
      <c r="A2937" s="6">
        <v>10.0</v>
      </c>
      <c r="B2937" s="6">
        <v>1060.0</v>
      </c>
      <c r="C2937" s="6">
        <v>9.0</v>
      </c>
      <c r="D2937" s="161" t="s">
        <v>4657</v>
      </c>
      <c r="E2937" s="9" t="s">
        <v>4658</v>
      </c>
      <c r="F2937" s="109" t="str">
        <f t="shared" ref="F2937:G2937" si="2936">TRANSLATE(D2937,"lzh","vi")</f>
        <v>#NAME?</v>
      </c>
      <c r="G2937" s="109" t="str">
        <f t="shared" si="2936"/>
        <v>#NAME?</v>
      </c>
      <c r="X2937" s="110"/>
    </row>
    <row r="2938" ht="21.0" customHeight="1">
      <c r="A2938" s="6">
        <v>10.0</v>
      </c>
      <c r="B2938" s="6">
        <v>1060.0</v>
      </c>
      <c r="C2938" s="6">
        <v>10.0</v>
      </c>
      <c r="D2938" s="161" t="s">
        <v>4659</v>
      </c>
      <c r="E2938" s="9" t="s">
        <v>4660</v>
      </c>
      <c r="F2938" s="109" t="str">
        <f t="shared" ref="F2938:G2938" si="2937">TRANSLATE(D2938,"lzh","vi")</f>
        <v>#NAME?</v>
      </c>
      <c r="G2938" s="109" t="str">
        <f t="shared" si="2937"/>
        <v>#NAME?</v>
      </c>
      <c r="X2938" s="110"/>
    </row>
    <row r="2939" ht="21.0" customHeight="1">
      <c r="A2939" s="6">
        <v>11.0</v>
      </c>
      <c r="B2939" s="6">
        <v>1061.0</v>
      </c>
      <c r="C2939" s="6">
        <v>1.0</v>
      </c>
      <c r="D2939" s="161" t="s">
        <v>4661</v>
      </c>
      <c r="E2939" s="9" t="s">
        <v>4662</v>
      </c>
      <c r="F2939" s="109" t="str">
        <f t="shared" ref="F2939:G2939" si="2938">TRANSLATE(D2939,"lzh","vi")</f>
        <v>#NAME?</v>
      </c>
      <c r="G2939" s="109" t="str">
        <f t="shared" si="2938"/>
        <v>#NAME?</v>
      </c>
      <c r="X2939" s="110"/>
    </row>
    <row r="2940" ht="21.0" customHeight="1">
      <c r="A2940" s="6">
        <v>11.0</v>
      </c>
      <c r="B2940" s="6">
        <v>1061.0</v>
      </c>
      <c r="C2940" s="6">
        <v>2.0</v>
      </c>
      <c r="D2940" s="161" t="s">
        <v>4663</v>
      </c>
      <c r="E2940" s="9" t="s">
        <v>4664</v>
      </c>
      <c r="F2940" s="109" t="str">
        <f t="shared" ref="F2940:G2940" si="2939">TRANSLATE(D2940,"lzh","vi")</f>
        <v>#NAME?</v>
      </c>
      <c r="G2940" s="109" t="str">
        <f t="shared" si="2939"/>
        <v>#NAME?</v>
      </c>
      <c r="X2940" s="110"/>
    </row>
    <row r="2941" ht="21.0" customHeight="1">
      <c r="A2941" s="6">
        <v>11.0</v>
      </c>
      <c r="B2941" s="6">
        <v>1061.0</v>
      </c>
      <c r="C2941" s="6">
        <v>3.0</v>
      </c>
      <c r="D2941" s="161" t="s">
        <v>4665</v>
      </c>
      <c r="E2941" s="9" t="s">
        <v>4666</v>
      </c>
      <c r="F2941" s="109" t="str">
        <f t="shared" ref="F2941:G2941" si="2940">TRANSLATE(D2941,"lzh","vi")</f>
        <v>#NAME?</v>
      </c>
      <c r="G2941" s="109" t="str">
        <f t="shared" si="2940"/>
        <v>#NAME?</v>
      </c>
      <c r="X2941" s="110"/>
    </row>
    <row r="2942" ht="21.0" customHeight="1">
      <c r="A2942" s="6">
        <v>11.0</v>
      </c>
      <c r="B2942" s="6">
        <v>1061.0</v>
      </c>
      <c r="C2942" s="6">
        <v>4.0</v>
      </c>
      <c r="D2942" s="161" t="s">
        <v>4667</v>
      </c>
      <c r="E2942" s="9" t="s">
        <v>4668</v>
      </c>
      <c r="F2942" s="109" t="str">
        <f t="shared" ref="F2942:G2942" si="2941">TRANSLATE(D2942,"lzh","vi")</f>
        <v>#NAME?</v>
      </c>
      <c r="G2942" s="109" t="str">
        <f t="shared" si="2941"/>
        <v>#NAME?</v>
      </c>
      <c r="X2942" s="110"/>
    </row>
    <row r="2943" ht="21.0" customHeight="1">
      <c r="A2943" s="6">
        <v>10.0</v>
      </c>
      <c r="B2943" s="6">
        <v>1061.0</v>
      </c>
      <c r="C2943" s="6">
        <v>5.0</v>
      </c>
      <c r="D2943" s="122" t="s">
        <v>4669</v>
      </c>
      <c r="E2943" s="9" t="s">
        <v>4670</v>
      </c>
      <c r="F2943" s="109" t="str">
        <f t="shared" ref="F2943:G2943" si="2942">TRANSLATE(D2943,"lzh","vi")</f>
        <v>#NAME?</v>
      </c>
      <c r="G2943" s="109" t="str">
        <f t="shared" si="2942"/>
        <v>#NAME?</v>
      </c>
      <c r="X2943" s="110"/>
    </row>
    <row r="2944" ht="21.0" customHeight="1">
      <c r="A2944" s="6">
        <v>10.0</v>
      </c>
      <c r="B2944" s="6">
        <v>1061.0</v>
      </c>
      <c r="C2944" s="6">
        <v>6.0</v>
      </c>
      <c r="D2944" s="161" t="s">
        <v>4671</v>
      </c>
      <c r="E2944" s="9" t="s">
        <v>4672</v>
      </c>
      <c r="F2944" s="109" t="str">
        <f t="shared" ref="F2944:G2944" si="2943">TRANSLATE(D2944,"lzh","vi")</f>
        <v>#NAME?</v>
      </c>
      <c r="G2944" s="109" t="str">
        <f t="shared" si="2943"/>
        <v>#NAME?</v>
      </c>
      <c r="X2944" s="110"/>
    </row>
    <row r="2945" ht="21.0" customHeight="1">
      <c r="A2945" s="6">
        <v>10.0</v>
      </c>
      <c r="B2945" s="6">
        <v>1061.0</v>
      </c>
      <c r="C2945" s="6">
        <v>7.0</v>
      </c>
      <c r="D2945" s="161" t="s">
        <v>4673</v>
      </c>
      <c r="E2945" s="9" t="s">
        <v>4674</v>
      </c>
      <c r="F2945" s="109" t="str">
        <f t="shared" ref="F2945:G2945" si="2944">TRANSLATE(D2945,"lzh","vi")</f>
        <v>#NAME?</v>
      </c>
      <c r="G2945" s="109" t="str">
        <f t="shared" si="2944"/>
        <v>#NAME?</v>
      </c>
      <c r="X2945" s="110"/>
    </row>
    <row r="2946" ht="21.0" customHeight="1">
      <c r="A2946" s="6">
        <v>10.0</v>
      </c>
      <c r="B2946" s="6">
        <v>1061.0</v>
      </c>
      <c r="C2946" s="6">
        <v>8.0</v>
      </c>
      <c r="D2946" s="161" t="s">
        <v>4675</v>
      </c>
      <c r="E2946" s="9" t="s">
        <v>4676</v>
      </c>
      <c r="F2946" s="109" t="str">
        <f t="shared" ref="F2946:G2946" si="2945">TRANSLATE(D2946,"lzh","vi")</f>
        <v>#NAME?</v>
      </c>
      <c r="G2946" s="109" t="str">
        <f t="shared" si="2945"/>
        <v>#NAME?</v>
      </c>
      <c r="X2946" s="110"/>
    </row>
    <row r="2947" ht="21.0" customHeight="1">
      <c r="A2947" s="6">
        <v>10.0</v>
      </c>
      <c r="B2947" s="6">
        <v>1061.0</v>
      </c>
      <c r="C2947" s="6">
        <v>9.0</v>
      </c>
      <c r="D2947" s="161" t="s">
        <v>4677</v>
      </c>
      <c r="E2947" s="9" t="s">
        <v>4678</v>
      </c>
      <c r="F2947" s="109" t="str">
        <f t="shared" ref="F2947:G2947" si="2946">TRANSLATE(D2947,"lzh","vi")</f>
        <v>#NAME?</v>
      </c>
      <c r="G2947" s="109" t="str">
        <f t="shared" si="2946"/>
        <v>#NAME?</v>
      </c>
      <c r="X2947" s="110"/>
    </row>
    <row r="2948" ht="21.0" customHeight="1">
      <c r="A2948" s="6">
        <v>10.0</v>
      </c>
      <c r="B2948" s="6">
        <v>1061.0</v>
      </c>
      <c r="C2948" s="6">
        <v>10.0</v>
      </c>
      <c r="D2948" s="161" t="s">
        <v>4679</v>
      </c>
      <c r="E2948" s="9" t="s">
        <v>4660</v>
      </c>
      <c r="F2948" s="109" t="str">
        <f t="shared" ref="F2948:G2948" si="2947">TRANSLATE(D2948,"lzh","vi")</f>
        <v>#NAME?</v>
      </c>
      <c r="G2948" s="109" t="str">
        <f t="shared" si="2947"/>
        <v>#NAME?</v>
      </c>
      <c r="X2948" s="110"/>
    </row>
    <row r="2949" ht="21.0" customHeight="1">
      <c r="A2949" s="6">
        <v>1.0</v>
      </c>
      <c r="B2949" s="6">
        <v>234.0</v>
      </c>
      <c r="C2949" s="6">
        <v>1.0</v>
      </c>
      <c r="D2949" s="162" t="s">
        <v>4680</v>
      </c>
      <c r="E2949" s="9" t="s">
        <v>4681</v>
      </c>
      <c r="F2949" s="109" t="str">
        <f t="shared" ref="F2949:G2949" si="2948">TRANSLATE(D2949,"lzh","vi")</f>
        <v>#NAME?</v>
      </c>
      <c r="G2949" s="109" t="str">
        <f t="shared" si="2948"/>
        <v>#NAME?</v>
      </c>
      <c r="X2949" s="110"/>
    </row>
    <row r="2950" ht="21.0" customHeight="1">
      <c r="A2950" s="6">
        <v>1.0</v>
      </c>
      <c r="B2950" s="6">
        <v>234.0</v>
      </c>
      <c r="C2950" s="6">
        <v>2.0</v>
      </c>
      <c r="D2950" s="162" t="s">
        <v>4682</v>
      </c>
      <c r="E2950" s="9" t="s">
        <v>4683</v>
      </c>
      <c r="F2950" s="109" t="str">
        <f t="shared" ref="F2950:G2950" si="2949">TRANSLATE(D2950,"lzh","vi")</f>
        <v>#NAME?</v>
      </c>
      <c r="G2950" s="109" t="str">
        <f t="shared" si="2949"/>
        <v>#NAME?</v>
      </c>
      <c r="X2950" s="110"/>
    </row>
    <row r="2951" ht="21.0" customHeight="1">
      <c r="A2951" s="6">
        <v>1.0</v>
      </c>
      <c r="B2951" s="6">
        <v>234.0</v>
      </c>
      <c r="C2951" s="6">
        <v>3.0</v>
      </c>
      <c r="D2951" s="162" t="s">
        <v>4684</v>
      </c>
      <c r="E2951" s="9" t="s">
        <v>4685</v>
      </c>
      <c r="F2951" s="109" t="str">
        <f t="shared" ref="F2951:G2951" si="2950">TRANSLATE(D2951,"lzh","vi")</f>
        <v>#NAME?</v>
      </c>
      <c r="G2951" s="109" t="str">
        <f t="shared" si="2950"/>
        <v>#NAME?</v>
      </c>
      <c r="X2951" s="110"/>
    </row>
    <row r="2952" ht="21.0" customHeight="1">
      <c r="A2952" s="6">
        <v>1.0</v>
      </c>
      <c r="B2952" s="6">
        <v>234.0</v>
      </c>
      <c r="C2952" s="6">
        <v>4.0</v>
      </c>
      <c r="D2952" s="162" t="s">
        <v>4686</v>
      </c>
      <c r="E2952" s="9" t="s">
        <v>4687</v>
      </c>
      <c r="F2952" s="109" t="str">
        <f t="shared" ref="F2952:G2952" si="2951">TRANSLATE(D2952,"lzh","vi")</f>
        <v>#NAME?</v>
      </c>
      <c r="G2952" s="109" t="str">
        <f t="shared" si="2951"/>
        <v>#NAME?</v>
      </c>
      <c r="X2952" s="110"/>
    </row>
    <row r="2953" ht="21.0" customHeight="1">
      <c r="A2953" s="6">
        <v>1.0</v>
      </c>
      <c r="B2953" s="6">
        <v>234.0</v>
      </c>
      <c r="C2953" s="6">
        <v>5.0</v>
      </c>
      <c r="D2953" s="162" t="s">
        <v>4688</v>
      </c>
      <c r="E2953" s="9" t="s">
        <v>4689</v>
      </c>
      <c r="F2953" s="109" t="str">
        <f t="shared" ref="F2953:G2953" si="2952">TRANSLATE(D2953,"lzh","vi")</f>
        <v>#NAME?</v>
      </c>
      <c r="G2953" s="109" t="str">
        <f t="shared" si="2952"/>
        <v>#NAME?</v>
      </c>
      <c r="X2953" s="110"/>
    </row>
    <row r="2954" ht="21.0" customHeight="1">
      <c r="A2954" s="6">
        <v>1.0</v>
      </c>
      <c r="B2954" s="6">
        <v>234.0</v>
      </c>
      <c r="C2954" s="6">
        <v>6.0</v>
      </c>
      <c r="D2954" s="162" t="s">
        <v>4690</v>
      </c>
      <c r="E2954" s="9" t="s">
        <v>4691</v>
      </c>
      <c r="F2954" s="109" t="str">
        <f t="shared" ref="F2954:G2954" si="2953">TRANSLATE(D2954,"lzh","vi")</f>
        <v>#NAME?</v>
      </c>
      <c r="G2954" s="109" t="str">
        <f t="shared" si="2953"/>
        <v>#NAME?</v>
      </c>
      <c r="X2954" s="110"/>
    </row>
    <row r="2955" ht="21.0" customHeight="1">
      <c r="A2955" s="6">
        <v>1.0</v>
      </c>
      <c r="B2955" s="6">
        <v>234.0</v>
      </c>
      <c r="C2955" s="6">
        <v>7.0</v>
      </c>
      <c r="D2955" s="162" t="s">
        <v>4692</v>
      </c>
      <c r="E2955" s="9" t="s">
        <v>4693</v>
      </c>
      <c r="F2955" s="109" t="str">
        <f t="shared" ref="F2955:G2955" si="2954">TRANSLATE(D2955,"lzh","vi")</f>
        <v>#NAME?</v>
      </c>
      <c r="G2955" s="109" t="str">
        <f t="shared" si="2954"/>
        <v>#NAME?</v>
      </c>
      <c r="X2955" s="110"/>
    </row>
    <row r="2956" ht="21.0" customHeight="1">
      <c r="A2956" s="6">
        <v>1.0</v>
      </c>
      <c r="B2956" s="6">
        <v>234.0</v>
      </c>
      <c r="C2956" s="6">
        <v>8.0</v>
      </c>
      <c r="D2956" s="162" t="s">
        <v>4694</v>
      </c>
      <c r="E2956" s="9" t="s">
        <v>4695</v>
      </c>
      <c r="F2956" s="109" t="str">
        <f t="shared" ref="F2956:G2956" si="2955">TRANSLATE(D2956,"lzh","vi")</f>
        <v>#NAME?</v>
      </c>
      <c r="G2956" s="109" t="str">
        <f t="shared" si="2955"/>
        <v>#NAME?</v>
      </c>
      <c r="X2956" s="110"/>
    </row>
    <row r="2957" ht="21.0" customHeight="1">
      <c r="A2957" s="6">
        <v>1.0</v>
      </c>
      <c r="B2957" s="6">
        <v>234.0</v>
      </c>
      <c r="C2957" s="6">
        <v>9.0</v>
      </c>
      <c r="D2957" s="162" t="s">
        <v>4696</v>
      </c>
      <c r="E2957" s="9" t="s">
        <v>4697</v>
      </c>
      <c r="F2957" s="109" t="str">
        <f t="shared" ref="F2957:G2957" si="2956">TRANSLATE(D2957,"lzh","vi")</f>
        <v>#NAME?</v>
      </c>
      <c r="G2957" s="109" t="str">
        <f t="shared" si="2956"/>
        <v>#NAME?</v>
      </c>
      <c r="X2957" s="110"/>
    </row>
    <row r="2958" ht="21.0" customHeight="1">
      <c r="A2958" s="6">
        <v>1.0</v>
      </c>
      <c r="B2958" s="6">
        <v>234.0</v>
      </c>
      <c r="C2958" s="6">
        <v>10.0</v>
      </c>
      <c r="D2958" s="162" t="s">
        <v>4698</v>
      </c>
      <c r="E2958" s="9" t="s">
        <v>4699</v>
      </c>
      <c r="F2958" s="109" t="str">
        <f t="shared" ref="F2958:G2958" si="2957">TRANSLATE(D2958,"lzh","vi")</f>
        <v>#NAME?</v>
      </c>
      <c r="G2958" s="109" t="str">
        <f t="shared" si="2957"/>
        <v>#NAME?</v>
      </c>
      <c r="X2958" s="110"/>
    </row>
    <row r="2959" ht="21.0" customHeight="1">
      <c r="A2959" s="6">
        <v>1.0</v>
      </c>
      <c r="B2959" s="6">
        <v>234.0</v>
      </c>
      <c r="C2959" s="6">
        <v>11.0</v>
      </c>
      <c r="D2959" s="162" t="s">
        <v>4700</v>
      </c>
      <c r="E2959" s="9" t="s">
        <v>4701</v>
      </c>
      <c r="F2959" s="109" t="str">
        <f t="shared" ref="F2959:G2959" si="2958">TRANSLATE(D2959,"lzh","vi")</f>
        <v>#NAME?</v>
      </c>
      <c r="G2959" s="109" t="str">
        <f t="shared" si="2958"/>
        <v>#NAME?</v>
      </c>
      <c r="X2959" s="110"/>
    </row>
    <row r="2960" ht="21.0" customHeight="1">
      <c r="A2960" s="6">
        <v>1.0</v>
      </c>
      <c r="B2960" s="6">
        <v>234.0</v>
      </c>
      <c r="C2960" s="6">
        <v>12.0</v>
      </c>
      <c r="D2960" s="162" t="s">
        <v>4702</v>
      </c>
      <c r="E2960" s="9" t="s">
        <v>4703</v>
      </c>
      <c r="F2960" s="109" t="str">
        <f t="shared" ref="F2960:G2960" si="2959">TRANSLATE(D2960,"lzh","vi")</f>
        <v>#NAME?</v>
      </c>
      <c r="G2960" s="109" t="str">
        <f t="shared" si="2959"/>
        <v>#NAME?</v>
      </c>
      <c r="X2960" s="110"/>
    </row>
    <row r="2961" ht="21.0" customHeight="1">
      <c r="A2961" s="6">
        <v>1.0</v>
      </c>
      <c r="B2961" s="6">
        <v>234.0</v>
      </c>
      <c r="C2961" s="6">
        <v>13.0</v>
      </c>
      <c r="D2961" s="162" t="s">
        <v>4704</v>
      </c>
      <c r="E2961" s="9" t="s">
        <v>4705</v>
      </c>
      <c r="F2961" s="109" t="str">
        <f t="shared" ref="F2961:G2961" si="2960">TRANSLATE(D2961,"lzh","vi")</f>
        <v>#NAME?</v>
      </c>
      <c r="G2961" s="109" t="str">
        <f t="shared" si="2960"/>
        <v>#NAME?</v>
      </c>
      <c r="X2961" s="110"/>
    </row>
    <row r="2962" ht="21.0" customHeight="1">
      <c r="A2962" s="6">
        <v>1.0</v>
      </c>
      <c r="B2962" s="6">
        <v>235.0</v>
      </c>
      <c r="C2962" s="6">
        <v>1.0</v>
      </c>
      <c r="D2962" s="162" t="s">
        <v>4706</v>
      </c>
      <c r="E2962" s="9" t="s">
        <v>4707</v>
      </c>
      <c r="F2962" s="109" t="str">
        <f t="shared" ref="F2962:G2962" si="2961">TRANSLATE(D2962,"lzh","vi")</f>
        <v>#NAME?</v>
      </c>
      <c r="G2962" s="109" t="str">
        <f t="shared" si="2961"/>
        <v>#NAME?</v>
      </c>
      <c r="X2962" s="110"/>
    </row>
    <row r="2963" ht="21.0" customHeight="1">
      <c r="A2963" s="6">
        <v>1.0</v>
      </c>
      <c r="B2963" s="6">
        <v>235.0</v>
      </c>
      <c r="C2963" s="6">
        <v>2.0</v>
      </c>
      <c r="D2963" s="162" t="s">
        <v>4708</v>
      </c>
      <c r="E2963" s="9" t="s">
        <v>4709</v>
      </c>
      <c r="F2963" s="109" t="str">
        <f t="shared" ref="F2963:G2963" si="2962">TRANSLATE(D2963,"lzh","vi")</f>
        <v>#NAME?</v>
      </c>
      <c r="G2963" s="109" t="str">
        <f t="shared" si="2962"/>
        <v>#NAME?</v>
      </c>
      <c r="X2963" s="110"/>
    </row>
    <row r="2964" ht="21.0" customHeight="1">
      <c r="A2964" s="6">
        <v>1.0</v>
      </c>
      <c r="B2964" s="6">
        <v>235.0</v>
      </c>
      <c r="C2964" s="6">
        <v>3.0</v>
      </c>
      <c r="D2964" s="162" t="s">
        <v>4710</v>
      </c>
      <c r="E2964" s="9" t="s">
        <v>4711</v>
      </c>
      <c r="F2964" s="109" t="str">
        <f t="shared" ref="F2964:G2964" si="2963">TRANSLATE(D2964,"lzh","vi")</f>
        <v>#NAME?</v>
      </c>
      <c r="G2964" s="109" t="str">
        <f t="shared" si="2963"/>
        <v>#NAME?</v>
      </c>
      <c r="X2964" s="110"/>
    </row>
    <row r="2965" ht="21.0" customHeight="1">
      <c r="A2965" s="6">
        <v>1.0</v>
      </c>
      <c r="B2965" s="6">
        <v>235.0</v>
      </c>
      <c r="C2965" s="6">
        <v>4.0</v>
      </c>
      <c r="D2965" s="162" t="s">
        <v>4712</v>
      </c>
      <c r="E2965" s="9" t="s">
        <v>4713</v>
      </c>
      <c r="F2965" s="109" t="str">
        <f t="shared" ref="F2965:G2965" si="2964">TRANSLATE(D2965,"lzh","vi")</f>
        <v>#NAME?</v>
      </c>
      <c r="G2965" s="109" t="str">
        <f t="shared" si="2964"/>
        <v>#NAME?</v>
      </c>
      <c r="X2965" s="110"/>
    </row>
    <row r="2966" ht="21.0" customHeight="1">
      <c r="A2966" s="6">
        <v>1.0</v>
      </c>
      <c r="B2966" s="6">
        <v>235.0</v>
      </c>
      <c r="C2966" s="6">
        <v>5.0</v>
      </c>
      <c r="D2966" s="162" t="s">
        <v>4714</v>
      </c>
      <c r="E2966" s="9" t="s">
        <v>4715</v>
      </c>
      <c r="F2966" s="109" t="str">
        <f t="shared" ref="F2966:G2966" si="2965">TRANSLATE(D2966,"lzh","vi")</f>
        <v>#NAME?</v>
      </c>
      <c r="G2966" s="109" t="str">
        <f t="shared" si="2965"/>
        <v>#NAME?</v>
      </c>
      <c r="X2966" s="110"/>
    </row>
    <row r="2967" ht="21.0" customHeight="1">
      <c r="A2967" s="6">
        <v>1.0</v>
      </c>
      <c r="B2967" s="6">
        <v>235.0</v>
      </c>
      <c r="C2967" s="6">
        <v>6.0</v>
      </c>
      <c r="D2967" s="162" t="s">
        <v>4716</v>
      </c>
      <c r="E2967" s="9" t="s">
        <v>4717</v>
      </c>
      <c r="F2967" s="109" t="str">
        <f t="shared" ref="F2967:G2967" si="2966">TRANSLATE(D2967,"lzh","vi")</f>
        <v>#NAME?</v>
      </c>
      <c r="G2967" s="109" t="str">
        <f t="shared" si="2966"/>
        <v>#NAME?</v>
      </c>
      <c r="X2967" s="110"/>
    </row>
    <row r="2968" ht="21.0" customHeight="1">
      <c r="A2968" s="6">
        <v>1.0</v>
      </c>
      <c r="B2968" s="6">
        <v>235.0</v>
      </c>
      <c r="C2968" s="6">
        <v>7.0</v>
      </c>
      <c r="D2968" s="162" t="s">
        <v>4718</v>
      </c>
      <c r="E2968" s="9" t="s">
        <v>4719</v>
      </c>
      <c r="F2968" s="109" t="str">
        <f t="shared" ref="F2968:G2968" si="2967">TRANSLATE(D2968,"lzh","vi")</f>
        <v>#NAME?</v>
      </c>
      <c r="G2968" s="109" t="str">
        <f t="shared" si="2967"/>
        <v>#NAME?</v>
      </c>
      <c r="X2968" s="110"/>
    </row>
    <row r="2969" ht="21.0" customHeight="1">
      <c r="A2969" s="6">
        <v>1.0</v>
      </c>
      <c r="B2969" s="6">
        <v>235.0</v>
      </c>
      <c r="C2969" s="6">
        <v>8.0</v>
      </c>
      <c r="D2969" s="162" t="s">
        <v>4720</v>
      </c>
      <c r="E2969" s="9" t="s">
        <v>4721</v>
      </c>
      <c r="F2969" s="109" t="str">
        <f t="shared" ref="F2969:G2969" si="2968">TRANSLATE(D2969,"lzh","vi")</f>
        <v>#NAME?</v>
      </c>
      <c r="G2969" s="109" t="str">
        <f t="shared" si="2968"/>
        <v>#NAME?</v>
      </c>
      <c r="X2969" s="110"/>
    </row>
    <row r="2970" ht="21.0" customHeight="1">
      <c r="A2970" s="6">
        <v>1.0</v>
      </c>
      <c r="B2970" s="6">
        <v>235.0</v>
      </c>
      <c r="C2970" s="6">
        <v>9.0</v>
      </c>
      <c r="D2970" s="162" t="s">
        <v>4722</v>
      </c>
      <c r="E2970" s="9" t="s">
        <v>4723</v>
      </c>
      <c r="F2970" s="109" t="str">
        <f t="shared" ref="F2970:G2970" si="2969">TRANSLATE(D2970,"lzh","vi")</f>
        <v>#NAME?</v>
      </c>
      <c r="G2970" s="109" t="str">
        <f t="shared" si="2969"/>
        <v>#NAME?</v>
      </c>
      <c r="X2970" s="110"/>
    </row>
    <row r="2971" ht="21.0" customHeight="1">
      <c r="A2971" s="6">
        <v>1.0</v>
      </c>
      <c r="B2971" s="6">
        <v>235.0</v>
      </c>
      <c r="C2971" s="6">
        <v>10.0</v>
      </c>
      <c r="D2971" s="162" t="s">
        <v>4724</v>
      </c>
      <c r="E2971" s="9" t="s">
        <v>4725</v>
      </c>
      <c r="F2971" s="109" t="str">
        <f t="shared" ref="F2971:G2971" si="2970">TRANSLATE(D2971,"lzh","vi")</f>
        <v>#NAME?</v>
      </c>
      <c r="G2971" s="109" t="str">
        <f t="shared" si="2970"/>
        <v>#NAME?</v>
      </c>
      <c r="X2971" s="110"/>
    </row>
    <row r="2972" ht="21.0" customHeight="1">
      <c r="A2972" s="6">
        <v>1.0</v>
      </c>
      <c r="B2972" s="6">
        <v>235.0</v>
      </c>
      <c r="C2972" s="6">
        <v>11.0</v>
      </c>
      <c r="D2972" s="162" t="s">
        <v>4726</v>
      </c>
      <c r="E2972" s="9" t="s">
        <v>4727</v>
      </c>
      <c r="F2972" s="109" t="str">
        <f t="shared" ref="F2972:G2972" si="2971">TRANSLATE(D2972,"lzh","vi")</f>
        <v>#NAME?</v>
      </c>
      <c r="G2972" s="109" t="str">
        <f t="shared" si="2971"/>
        <v>#NAME?</v>
      </c>
      <c r="X2972" s="110"/>
    </row>
    <row r="2973" ht="21.0" customHeight="1">
      <c r="A2973" s="6">
        <v>1.0</v>
      </c>
      <c r="B2973" s="6">
        <v>235.0</v>
      </c>
      <c r="C2973" s="6">
        <v>12.0</v>
      </c>
      <c r="D2973" s="162" t="s">
        <v>4728</v>
      </c>
      <c r="E2973" s="9" t="s">
        <v>4729</v>
      </c>
      <c r="F2973" s="109" t="str">
        <f t="shared" ref="F2973:G2973" si="2972">TRANSLATE(D2973,"lzh","vi")</f>
        <v>#NAME?</v>
      </c>
      <c r="G2973" s="109" t="str">
        <f t="shared" si="2972"/>
        <v>#NAME?</v>
      </c>
      <c r="X2973" s="110"/>
    </row>
    <row r="2974" ht="21.0" customHeight="1">
      <c r="A2974" s="6">
        <v>1.0</v>
      </c>
      <c r="B2974" s="6">
        <v>235.0</v>
      </c>
      <c r="C2974" s="6">
        <v>13.0</v>
      </c>
      <c r="D2974" s="162" t="s">
        <v>4730</v>
      </c>
      <c r="E2974" s="9" t="s">
        <v>4731</v>
      </c>
      <c r="F2974" s="109" t="str">
        <f t="shared" ref="F2974:G2974" si="2973">TRANSLATE(D2974,"lzh","vi")</f>
        <v>#NAME?</v>
      </c>
      <c r="G2974" s="109" t="str">
        <f t="shared" si="2973"/>
        <v>#NAME?</v>
      </c>
      <c r="X2974" s="110"/>
    </row>
    <row r="2975" ht="21.0" customHeight="1">
      <c r="A2975" s="6">
        <v>1.0</v>
      </c>
      <c r="B2975" s="6">
        <v>236.0</v>
      </c>
      <c r="C2975" s="6">
        <v>1.0</v>
      </c>
      <c r="D2975" s="162" t="s">
        <v>4732</v>
      </c>
      <c r="E2975" s="9" t="s">
        <v>4733</v>
      </c>
      <c r="F2975" s="109" t="str">
        <f t="shared" ref="F2975:G2975" si="2974">TRANSLATE(D2975,"lzh","vi")</f>
        <v>#NAME?</v>
      </c>
      <c r="G2975" s="109" t="str">
        <f t="shared" si="2974"/>
        <v>#NAME?</v>
      </c>
      <c r="X2975" s="110"/>
    </row>
    <row r="2976" ht="21.0" customHeight="1">
      <c r="A2976" s="6">
        <v>1.0</v>
      </c>
      <c r="B2976" s="6">
        <v>236.0</v>
      </c>
      <c r="C2976" s="6">
        <v>2.0</v>
      </c>
      <c r="D2976" s="162" t="s">
        <v>4734</v>
      </c>
      <c r="E2976" s="9" t="s">
        <v>4735</v>
      </c>
      <c r="F2976" s="109" t="str">
        <f t="shared" ref="F2976:G2976" si="2975">TRANSLATE(D2976,"lzh","vi")</f>
        <v>#NAME?</v>
      </c>
      <c r="G2976" s="109" t="str">
        <f t="shared" si="2975"/>
        <v>#NAME?</v>
      </c>
      <c r="X2976" s="110"/>
    </row>
    <row r="2977" ht="21.0" customHeight="1">
      <c r="A2977" s="6">
        <v>1.0</v>
      </c>
      <c r="B2977" s="6">
        <v>236.0</v>
      </c>
      <c r="C2977" s="6">
        <v>3.0</v>
      </c>
      <c r="D2977" s="162" t="s">
        <v>4736</v>
      </c>
      <c r="E2977" s="9" t="s">
        <v>4737</v>
      </c>
      <c r="F2977" s="109" t="str">
        <f t="shared" ref="F2977:G2977" si="2976">TRANSLATE(D2977,"lzh","vi")</f>
        <v>#NAME?</v>
      </c>
      <c r="G2977" s="109" t="str">
        <f t="shared" si="2976"/>
        <v>#NAME?</v>
      </c>
      <c r="X2977" s="110"/>
    </row>
    <row r="2978" ht="21.0" customHeight="1">
      <c r="A2978" s="6">
        <v>1.0</v>
      </c>
      <c r="B2978" s="6">
        <v>236.0</v>
      </c>
      <c r="C2978" s="6">
        <v>4.0</v>
      </c>
      <c r="D2978" s="162" t="s">
        <v>4738</v>
      </c>
      <c r="E2978" s="9" t="s">
        <v>4739</v>
      </c>
      <c r="F2978" s="109" t="str">
        <f t="shared" ref="F2978:G2978" si="2977">TRANSLATE(D2978,"lzh","vi")</f>
        <v>#NAME?</v>
      </c>
      <c r="G2978" s="109" t="str">
        <f t="shared" si="2977"/>
        <v>#NAME?</v>
      </c>
      <c r="X2978" s="110"/>
    </row>
    <row r="2979" ht="21.0" customHeight="1">
      <c r="A2979" s="6">
        <v>1.0</v>
      </c>
      <c r="B2979" s="6">
        <v>236.0</v>
      </c>
      <c r="C2979" s="6">
        <v>5.0</v>
      </c>
      <c r="D2979" s="162" t="s">
        <v>4740</v>
      </c>
      <c r="E2979" s="9" t="s">
        <v>4741</v>
      </c>
      <c r="F2979" s="109" t="str">
        <f t="shared" ref="F2979:G2979" si="2978">TRANSLATE(D2979,"lzh","vi")</f>
        <v>#NAME?</v>
      </c>
      <c r="G2979" s="109" t="str">
        <f t="shared" si="2978"/>
        <v>#NAME?</v>
      </c>
      <c r="X2979" s="110"/>
    </row>
    <row r="2980" ht="21.0" customHeight="1">
      <c r="A2980" s="6">
        <v>1.0</v>
      </c>
      <c r="B2980" s="6">
        <v>236.0</v>
      </c>
      <c r="C2980" s="6">
        <v>6.0</v>
      </c>
      <c r="D2980" s="162" t="s">
        <v>4742</v>
      </c>
      <c r="E2980" s="9" t="s">
        <v>4743</v>
      </c>
      <c r="F2980" s="109" t="str">
        <f t="shared" ref="F2980:G2980" si="2979">TRANSLATE(D2980,"lzh","vi")</f>
        <v>#NAME?</v>
      </c>
      <c r="G2980" s="109" t="str">
        <f t="shared" si="2979"/>
        <v>#NAME?</v>
      </c>
      <c r="X2980" s="110"/>
    </row>
    <row r="2981" ht="21.0" customHeight="1">
      <c r="A2981" s="6">
        <v>1.0</v>
      </c>
      <c r="B2981" s="6">
        <v>236.0</v>
      </c>
      <c r="C2981" s="6">
        <v>7.0</v>
      </c>
      <c r="D2981" s="162" t="s">
        <v>4744</v>
      </c>
      <c r="E2981" s="9" t="s">
        <v>4745</v>
      </c>
      <c r="F2981" s="109" t="str">
        <f t="shared" ref="F2981:G2981" si="2980">TRANSLATE(D2981,"lzh","vi")</f>
        <v>#NAME?</v>
      </c>
      <c r="G2981" s="109" t="str">
        <f t="shared" si="2980"/>
        <v>#NAME?</v>
      </c>
      <c r="X2981" s="110"/>
    </row>
    <row r="2982" ht="21.0" customHeight="1">
      <c r="A2982" s="6">
        <v>1.0</v>
      </c>
      <c r="B2982" s="6">
        <v>236.0</v>
      </c>
      <c r="C2982" s="6">
        <v>8.0</v>
      </c>
      <c r="D2982" s="162" t="s">
        <v>4746</v>
      </c>
      <c r="E2982" s="9" t="s">
        <v>4747</v>
      </c>
      <c r="F2982" s="109" t="str">
        <f t="shared" ref="F2982:G2982" si="2981">TRANSLATE(D2982,"lzh","vi")</f>
        <v>#NAME?</v>
      </c>
      <c r="G2982" s="109" t="str">
        <f t="shared" si="2981"/>
        <v>#NAME?</v>
      </c>
      <c r="X2982" s="110"/>
    </row>
    <row r="2983" ht="21.0" customHeight="1">
      <c r="A2983" s="6">
        <v>1.0</v>
      </c>
      <c r="B2983" s="6">
        <v>236.0</v>
      </c>
      <c r="C2983" s="6">
        <v>9.0</v>
      </c>
      <c r="D2983" s="162" t="s">
        <v>4748</v>
      </c>
      <c r="E2983" s="9" t="s">
        <v>4749</v>
      </c>
      <c r="F2983" s="109" t="str">
        <f t="shared" ref="F2983:G2983" si="2982">TRANSLATE(D2983,"lzh","vi")</f>
        <v>#NAME?</v>
      </c>
      <c r="G2983" s="109" t="str">
        <f t="shared" si="2982"/>
        <v>#NAME?</v>
      </c>
      <c r="X2983" s="110"/>
    </row>
    <row r="2984" ht="21.0" customHeight="1">
      <c r="A2984" s="6">
        <v>1.0</v>
      </c>
      <c r="B2984" s="6">
        <v>236.0</v>
      </c>
      <c r="C2984" s="6">
        <v>10.0</v>
      </c>
      <c r="D2984" s="162" t="s">
        <v>4750</v>
      </c>
      <c r="E2984" s="9" t="s">
        <v>4751</v>
      </c>
      <c r="F2984" s="109" t="str">
        <f t="shared" ref="F2984:G2984" si="2983">TRANSLATE(D2984,"lzh","vi")</f>
        <v>#NAME?</v>
      </c>
      <c r="G2984" s="109" t="str">
        <f t="shared" si="2983"/>
        <v>#NAME?</v>
      </c>
      <c r="X2984" s="110"/>
    </row>
    <row r="2985" ht="21.0" customHeight="1">
      <c r="A2985" s="6">
        <v>1.0</v>
      </c>
      <c r="B2985" s="6">
        <v>236.0</v>
      </c>
      <c r="C2985" s="6">
        <v>11.0</v>
      </c>
      <c r="D2985" s="162" t="s">
        <v>4752</v>
      </c>
      <c r="E2985" s="9" t="s">
        <v>4753</v>
      </c>
      <c r="F2985" s="109" t="str">
        <f t="shared" ref="F2985:G2985" si="2984">TRANSLATE(D2985,"lzh","vi")</f>
        <v>#NAME?</v>
      </c>
      <c r="G2985" s="109" t="str">
        <f t="shared" si="2984"/>
        <v>#NAME?</v>
      </c>
      <c r="X2985" s="110"/>
    </row>
    <row r="2986" ht="21.0" customHeight="1">
      <c r="A2986" s="6">
        <v>1.0</v>
      </c>
      <c r="B2986" s="6">
        <v>236.0</v>
      </c>
      <c r="C2986" s="6">
        <v>12.0</v>
      </c>
      <c r="D2986" s="162" t="s">
        <v>4754</v>
      </c>
      <c r="E2986" s="9" t="s">
        <v>4755</v>
      </c>
      <c r="F2986" s="109" t="str">
        <f t="shared" ref="F2986:G2986" si="2985">TRANSLATE(D2986,"lzh","vi")</f>
        <v>#NAME?</v>
      </c>
      <c r="G2986" s="109" t="str">
        <f t="shared" si="2985"/>
        <v>#NAME?</v>
      </c>
      <c r="X2986" s="110"/>
    </row>
    <row r="2987" ht="21.0" customHeight="1">
      <c r="A2987" s="6">
        <v>1.0</v>
      </c>
      <c r="B2987" s="6">
        <v>236.0</v>
      </c>
      <c r="C2987" s="6">
        <v>13.0</v>
      </c>
      <c r="D2987" s="162" t="s">
        <v>4756</v>
      </c>
      <c r="E2987" s="9" t="s">
        <v>4757</v>
      </c>
      <c r="F2987" s="109" t="str">
        <f t="shared" ref="F2987:G2987" si="2986">TRANSLATE(D2987,"lzh","vi")</f>
        <v>#NAME?</v>
      </c>
      <c r="G2987" s="109" t="str">
        <f t="shared" si="2986"/>
        <v>#NAME?</v>
      </c>
      <c r="X2987" s="110"/>
    </row>
    <row r="2988" ht="21.0" customHeight="1">
      <c r="A2988" s="6">
        <v>11.0</v>
      </c>
      <c r="B2988" s="6">
        <v>1062.0</v>
      </c>
      <c r="C2988" s="6">
        <v>1.0</v>
      </c>
      <c r="D2988" s="161" t="s">
        <v>4758</v>
      </c>
      <c r="E2988" s="9" t="s">
        <v>4759</v>
      </c>
      <c r="F2988" s="109" t="str">
        <f t="shared" ref="F2988:G2988" si="2987">TRANSLATE(D2988,"lzh","vi")</f>
        <v>#NAME?</v>
      </c>
      <c r="G2988" s="109" t="str">
        <f t="shared" si="2987"/>
        <v>#NAME?</v>
      </c>
      <c r="X2988" s="110"/>
    </row>
    <row r="2989" ht="21.0" customHeight="1">
      <c r="A2989" s="6">
        <v>11.0</v>
      </c>
      <c r="B2989" s="6">
        <v>1062.0</v>
      </c>
      <c r="C2989" s="6">
        <v>2.0</v>
      </c>
      <c r="D2989" s="161" t="s">
        <v>4760</v>
      </c>
      <c r="E2989" s="9" t="s">
        <v>4761</v>
      </c>
      <c r="F2989" s="109" t="str">
        <f t="shared" ref="F2989:G2989" si="2988">TRANSLATE(D2989,"lzh","vi")</f>
        <v>#NAME?</v>
      </c>
      <c r="G2989" s="109" t="str">
        <f t="shared" si="2988"/>
        <v>#NAME?</v>
      </c>
      <c r="X2989" s="110"/>
    </row>
    <row r="2990" ht="21.0" customHeight="1">
      <c r="A2990" s="6">
        <v>11.0</v>
      </c>
      <c r="B2990" s="6">
        <v>1062.0</v>
      </c>
      <c r="C2990" s="6">
        <v>3.0</v>
      </c>
      <c r="D2990" s="161" t="s">
        <v>4762</v>
      </c>
      <c r="E2990" s="9" t="s">
        <v>4763</v>
      </c>
      <c r="F2990" s="109" t="str">
        <f t="shared" ref="F2990:G2990" si="2989">TRANSLATE(D2990,"lzh","vi")</f>
        <v>#NAME?</v>
      </c>
      <c r="G2990" s="109" t="str">
        <f t="shared" si="2989"/>
        <v>#NAME?</v>
      </c>
      <c r="X2990" s="110"/>
    </row>
    <row r="2991" ht="21.0" customHeight="1">
      <c r="A2991" s="6">
        <v>11.0</v>
      </c>
      <c r="B2991" s="6">
        <v>1062.0</v>
      </c>
      <c r="C2991" s="6">
        <v>4.0</v>
      </c>
      <c r="D2991" s="161" t="s">
        <v>4764</v>
      </c>
      <c r="E2991" s="9" t="s">
        <v>4765</v>
      </c>
      <c r="F2991" s="109" t="str">
        <f t="shared" ref="F2991:G2991" si="2990">TRANSLATE(D2991,"lzh","vi")</f>
        <v>#NAME?</v>
      </c>
      <c r="G2991" s="109" t="str">
        <f t="shared" si="2990"/>
        <v>#NAME?</v>
      </c>
      <c r="X2991" s="110"/>
    </row>
    <row r="2992" ht="21.0" customHeight="1">
      <c r="A2992" s="6">
        <v>10.0</v>
      </c>
      <c r="B2992" s="6">
        <v>1062.0</v>
      </c>
      <c r="C2992" s="6">
        <v>5.0</v>
      </c>
      <c r="D2992" s="122" t="s">
        <v>4766</v>
      </c>
      <c r="E2992" s="9" t="s">
        <v>4767</v>
      </c>
      <c r="F2992" s="109" t="str">
        <f t="shared" ref="F2992:G2992" si="2991">TRANSLATE(D2992,"lzh","vi")</f>
        <v>#NAME?</v>
      </c>
      <c r="G2992" s="109" t="str">
        <f t="shared" si="2991"/>
        <v>#NAME?</v>
      </c>
      <c r="X2992" s="110"/>
    </row>
    <row r="2993" ht="21.0" customHeight="1">
      <c r="A2993" s="6">
        <v>10.0</v>
      </c>
      <c r="B2993" s="6">
        <v>1062.0</v>
      </c>
      <c r="C2993" s="6">
        <v>6.0</v>
      </c>
      <c r="D2993" s="161" t="s">
        <v>4768</v>
      </c>
      <c r="E2993" s="9" t="s">
        <v>4769</v>
      </c>
      <c r="F2993" s="109" t="str">
        <f t="shared" ref="F2993:G2993" si="2992">TRANSLATE(D2993,"lzh","vi")</f>
        <v>#NAME?</v>
      </c>
      <c r="G2993" s="109" t="str">
        <f t="shared" si="2992"/>
        <v>#NAME?</v>
      </c>
      <c r="X2993" s="110"/>
    </row>
    <row r="2994" ht="21.0" customHeight="1">
      <c r="A2994" s="6">
        <v>10.0</v>
      </c>
      <c r="B2994" s="6">
        <v>1062.0</v>
      </c>
      <c r="C2994" s="6">
        <v>7.0</v>
      </c>
      <c r="D2994" s="161" t="s">
        <v>4770</v>
      </c>
      <c r="E2994" s="9" t="s">
        <v>4771</v>
      </c>
      <c r="F2994" s="109" t="str">
        <f t="shared" ref="F2994:G2994" si="2993">TRANSLATE(D2994,"lzh","vi")</f>
        <v>#NAME?</v>
      </c>
      <c r="G2994" s="109" t="str">
        <f t="shared" si="2993"/>
        <v>#NAME?</v>
      </c>
      <c r="X2994" s="110"/>
    </row>
    <row r="2995" ht="21.0" customHeight="1">
      <c r="A2995" s="6">
        <v>10.0</v>
      </c>
      <c r="B2995" s="6">
        <v>1062.0</v>
      </c>
      <c r="C2995" s="6">
        <v>8.0</v>
      </c>
      <c r="D2995" s="161" t="s">
        <v>4772</v>
      </c>
      <c r="E2995" s="9" t="s">
        <v>4773</v>
      </c>
      <c r="F2995" s="109" t="str">
        <f t="shared" ref="F2995:G2995" si="2994">TRANSLATE(D2995,"lzh","vi")</f>
        <v>#NAME?</v>
      </c>
      <c r="G2995" s="109" t="str">
        <f t="shared" si="2994"/>
        <v>#NAME?</v>
      </c>
      <c r="X2995" s="110"/>
    </row>
    <row r="2996" ht="21.0" customHeight="1">
      <c r="A2996" s="6">
        <v>10.0</v>
      </c>
      <c r="B2996" s="6">
        <v>1062.0</v>
      </c>
      <c r="C2996" s="6">
        <v>9.0</v>
      </c>
      <c r="D2996" s="161" t="s">
        <v>4774</v>
      </c>
      <c r="E2996" s="9" t="s">
        <v>4775</v>
      </c>
      <c r="F2996" s="109" t="str">
        <f t="shared" ref="F2996:G2996" si="2995">TRANSLATE(D2996,"lzh","vi")</f>
        <v>#NAME?</v>
      </c>
      <c r="G2996" s="109" t="str">
        <f t="shared" si="2995"/>
        <v>#NAME?</v>
      </c>
      <c r="X2996" s="110"/>
    </row>
    <row r="2997" ht="21.0" customHeight="1">
      <c r="A2997" s="6">
        <v>10.0</v>
      </c>
      <c r="B2997" s="6">
        <v>1062.0</v>
      </c>
      <c r="C2997" s="6">
        <v>10.0</v>
      </c>
      <c r="D2997" s="161" t="s">
        <v>4776</v>
      </c>
      <c r="E2997" s="9" t="s">
        <v>4777</v>
      </c>
      <c r="F2997" s="109" t="str">
        <f t="shared" ref="F2997:G2997" si="2996">TRANSLATE(D2997,"lzh","vi")</f>
        <v>#NAME?</v>
      </c>
      <c r="G2997" s="109" t="str">
        <f t="shared" si="2996"/>
        <v>#NAME?</v>
      </c>
      <c r="X2997" s="110"/>
    </row>
    <row r="2998" ht="21.0" customHeight="1">
      <c r="A2998" s="6">
        <v>11.0</v>
      </c>
      <c r="B2998" s="6">
        <v>1063.0</v>
      </c>
      <c r="C2998" s="6">
        <v>1.0</v>
      </c>
      <c r="D2998" s="161" t="s">
        <v>4778</v>
      </c>
      <c r="E2998" s="9" t="s">
        <v>4779</v>
      </c>
      <c r="F2998" s="109" t="str">
        <f t="shared" ref="F2998:G2998" si="2997">TRANSLATE(D2998,"lzh","vi")</f>
        <v>#NAME?</v>
      </c>
      <c r="G2998" s="109" t="str">
        <f t="shared" si="2997"/>
        <v>#NAME?</v>
      </c>
      <c r="X2998" s="110"/>
    </row>
    <row r="2999" ht="21.0" customHeight="1">
      <c r="A2999" s="6">
        <v>11.0</v>
      </c>
      <c r="B2999" s="6">
        <v>1063.0</v>
      </c>
      <c r="C2999" s="6">
        <v>2.0</v>
      </c>
      <c r="D2999" s="161" t="s">
        <v>4780</v>
      </c>
      <c r="E2999" s="9" t="s">
        <v>4781</v>
      </c>
      <c r="F2999" s="109" t="str">
        <f t="shared" ref="F2999:G2999" si="2998">TRANSLATE(D2999,"lzh","vi")</f>
        <v>#NAME?</v>
      </c>
      <c r="G2999" s="109" t="str">
        <f t="shared" si="2998"/>
        <v>#NAME?</v>
      </c>
      <c r="X2999" s="110"/>
    </row>
    <row r="3000" ht="21.0" customHeight="1">
      <c r="A3000" s="6">
        <v>11.0</v>
      </c>
      <c r="B3000" s="6">
        <v>1063.0</v>
      </c>
      <c r="C3000" s="6">
        <v>3.0</v>
      </c>
      <c r="D3000" s="161" t="s">
        <v>4782</v>
      </c>
      <c r="E3000" s="9" t="s">
        <v>4783</v>
      </c>
      <c r="F3000" s="109" t="str">
        <f t="shared" ref="F3000:G3000" si="2999">TRANSLATE(D3000,"lzh","vi")</f>
        <v>#NAME?</v>
      </c>
      <c r="G3000" s="109" t="str">
        <f t="shared" si="2999"/>
        <v>#NAME?</v>
      </c>
      <c r="X3000" s="110"/>
    </row>
    <row r="3001" ht="21.0" customHeight="1">
      <c r="A3001" s="6">
        <v>11.0</v>
      </c>
      <c r="B3001" s="6">
        <v>1063.0</v>
      </c>
      <c r="C3001" s="6">
        <v>4.0</v>
      </c>
      <c r="D3001" s="161" t="s">
        <v>4784</v>
      </c>
      <c r="E3001" s="9" t="s">
        <v>4785</v>
      </c>
      <c r="F3001" s="109" t="str">
        <f t="shared" ref="F3001:G3001" si="3000">TRANSLATE(D3001,"lzh","vi")</f>
        <v>#NAME?</v>
      </c>
      <c r="G3001" s="109" t="str">
        <f t="shared" si="3000"/>
        <v>#NAME?</v>
      </c>
      <c r="X3001" s="110"/>
    </row>
    <row r="3002" ht="21.0" customHeight="1">
      <c r="A3002" s="6">
        <v>10.0</v>
      </c>
      <c r="B3002" s="6">
        <v>1063.0</v>
      </c>
      <c r="C3002" s="6">
        <v>5.0</v>
      </c>
      <c r="D3002" s="122" t="s">
        <v>4786</v>
      </c>
      <c r="E3002" s="9" t="s">
        <v>4787</v>
      </c>
      <c r="F3002" s="109" t="str">
        <f t="shared" ref="F3002:G3002" si="3001">TRANSLATE(D3002,"lzh","vi")</f>
        <v>#NAME?</v>
      </c>
      <c r="G3002" s="109" t="str">
        <f t="shared" si="3001"/>
        <v>#NAME?</v>
      </c>
      <c r="X3002" s="110"/>
    </row>
    <row r="3003" ht="21.0" customHeight="1">
      <c r="A3003" s="6">
        <v>10.0</v>
      </c>
      <c r="B3003" s="6">
        <v>1063.0</v>
      </c>
      <c r="C3003" s="6">
        <v>6.0</v>
      </c>
      <c r="D3003" s="161" t="s">
        <v>4788</v>
      </c>
      <c r="E3003" s="9" t="s">
        <v>4789</v>
      </c>
      <c r="F3003" s="109" t="str">
        <f t="shared" ref="F3003:G3003" si="3002">TRANSLATE(D3003,"lzh","vi")</f>
        <v>#NAME?</v>
      </c>
      <c r="G3003" s="109" t="str">
        <f t="shared" si="3002"/>
        <v>#NAME?</v>
      </c>
      <c r="X3003" s="110"/>
    </row>
    <row r="3004" ht="21.0" customHeight="1">
      <c r="A3004" s="6">
        <v>10.0</v>
      </c>
      <c r="B3004" s="6">
        <v>1063.0</v>
      </c>
      <c r="C3004" s="6">
        <v>7.0</v>
      </c>
      <c r="D3004" s="161" t="s">
        <v>4790</v>
      </c>
      <c r="E3004" s="9" t="s">
        <v>4791</v>
      </c>
      <c r="F3004" s="109" t="str">
        <f t="shared" ref="F3004:G3004" si="3003">TRANSLATE(D3004,"lzh","vi")</f>
        <v>#NAME?</v>
      </c>
      <c r="G3004" s="109" t="str">
        <f t="shared" si="3003"/>
        <v>#NAME?</v>
      </c>
      <c r="X3004" s="110"/>
    </row>
    <row r="3005" ht="21.0" customHeight="1">
      <c r="A3005" s="6">
        <v>10.0</v>
      </c>
      <c r="B3005" s="6">
        <v>1063.0</v>
      </c>
      <c r="C3005" s="6">
        <v>8.0</v>
      </c>
      <c r="D3005" s="161" t="s">
        <v>4792</v>
      </c>
      <c r="E3005" s="9" t="s">
        <v>4793</v>
      </c>
      <c r="F3005" s="109" t="str">
        <f t="shared" ref="F3005:G3005" si="3004">TRANSLATE(D3005,"lzh","vi")</f>
        <v>#NAME?</v>
      </c>
      <c r="G3005" s="109" t="str">
        <f t="shared" si="3004"/>
        <v>#NAME?</v>
      </c>
      <c r="X3005" s="110"/>
    </row>
    <row r="3006" ht="21.0" customHeight="1">
      <c r="A3006" s="6">
        <v>10.0</v>
      </c>
      <c r="B3006" s="6">
        <v>1063.0</v>
      </c>
      <c r="C3006" s="6">
        <v>9.0</v>
      </c>
      <c r="D3006" s="161" t="s">
        <v>4794</v>
      </c>
      <c r="E3006" s="9" t="s">
        <v>4795</v>
      </c>
      <c r="F3006" s="109" t="str">
        <f t="shared" ref="F3006:G3006" si="3005">TRANSLATE(D3006,"lzh","vi")</f>
        <v>#NAME?</v>
      </c>
      <c r="G3006" s="109" t="str">
        <f t="shared" si="3005"/>
        <v>#NAME?</v>
      </c>
      <c r="X3006" s="110"/>
    </row>
    <row r="3007" ht="21.0" customHeight="1">
      <c r="A3007" s="6">
        <v>10.0</v>
      </c>
      <c r="B3007" s="6">
        <v>1063.0</v>
      </c>
      <c r="C3007" s="6">
        <v>10.0</v>
      </c>
      <c r="D3007" s="161" t="s">
        <v>4796</v>
      </c>
      <c r="E3007" s="9" t="s">
        <v>4777</v>
      </c>
      <c r="F3007" s="109" t="str">
        <f t="shared" ref="F3007:G3007" si="3006">TRANSLATE(D3007,"lzh","vi")</f>
        <v>#NAME?</v>
      </c>
      <c r="G3007" s="109" t="str">
        <f t="shared" si="3006"/>
        <v>#NAME?</v>
      </c>
      <c r="X3007" s="110"/>
    </row>
    <row r="3008" ht="21.0" customHeight="1">
      <c r="A3008" s="6">
        <v>1.0</v>
      </c>
      <c r="B3008" s="6">
        <v>237.0</v>
      </c>
      <c r="C3008" s="6">
        <v>1.0</v>
      </c>
      <c r="D3008" s="161" t="s">
        <v>4797</v>
      </c>
      <c r="E3008" s="9" t="s">
        <v>4798</v>
      </c>
      <c r="F3008" s="109" t="str">
        <f t="shared" ref="F3008:G3008" si="3007">TRANSLATE(D3008,"lzh","vi")</f>
        <v>#NAME?</v>
      </c>
      <c r="G3008" s="109" t="str">
        <f t="shared" si="3007"/>
        <v>#NAME?</v>
      </c>
      <c r="X3008" s="110"/>
    </row>
    <row r="3009" ht="21.0" customHeight="1">
      <c r="A3009" s="6">
        <v>1.0</v>
      </c>
      <c r="B3009" s="6">
        <v>237.0</v>
      </c>
      <c r="C3009" s="6">
        <v>2.0</v>
      </c>
      <c r="D3009" s="161" t="s">
        <v>4799</v>
      </c>
      <c r="E3009" s="9" t="s">
        <v>4800</v>
      </c>
      <c r="F3009" s="109" t="str">
        <f t="shared" ref="F3009:G3009" si="3008">TRANSLATE(D3009,"lzh","vi")</f>
        <v>#NAME?</v>
      </c>
      <c r="G3009" s="109" t="str">
        <f t="shared" si="3008"/>
        <v>#NAME?</v>
      </c>
      <c r="X3009" s="110"/>
    </row>
    <row r="3010" ht="21.0" customHeight="1">
      <c r="A3010" s="6">
        <v>1.0</v>
      </c>
      <c r="B3010" s="6">
        <v>237.0</v>
      </c>
      <c r="C3010" s="6">
        <v>3.0</v>
      </c>
      <c r="D3010" s="161" t="s">
        <v>4801</v>
      </c>
      <c r="E3010" s="9" t="s">
        <v>4802</v>
      </c>
      <c r="F3010" s="109" t="str">
        <f t="shared" ref="F3010:G3010" si="3009">TRANSLATE(D3010,"lzh","vi")</f>
        <v>#NAME?</v>
      </c>
      <c r="G3010" s="109" t="str">
        <f t="shared" si="3009"/>
        <v>#NAME?</v>
      </c>
      <c r="X3010" s="110"/>
    </row>
    <row r="3011" ht="21.0" customHeight="1">
      <c r="A3011" s="6">
        <v>1.0</v>
      </c>
      <c r="B3011" s="6">
        <v>237.0</v>
      </c>
      <c r="C3011" s="6">
        <v>4.0</v>
      </c>
      <c r="D3011" s="161" t="s">
        <v>4803</v>
      </c>
      <c r="E3011" s="9" t="s">
        <v>4804</v>
      </c>
      <c r="F3011" s="109" t="str">
        <f t="shared" ref="F3011:G3011" si="3010">TRANSLATE(D3011,"lzh","vi")</f>
        <v>#NAME?</v>
      </c>
      <c r="G3011" s="109" t="str">
        <f t="shared" si="3010"/>
        <v>#NAME?</v>
      </c>
      <c r="X3011" s="110"/>
    </row>
    <row r="3012" ht="21.0" customHeight="1">
      <c r="A3012" s="6">
        <v>1.0</v>
      </c>
      <c r="B3012" s="6">
        <v>237.0</v>
      </c>
      <c r="C3012" s="6">
        <v>5.0</v>
      </c>
      <c r="D3012" s="122" t="s">
        <v>4805</v>
      </c>
      <c r="E3012" s="9" t="s">
        <v>4806</v>
      </c>
      <c r="F3012" s="109" t="str">
        <f t="shared" ref="F3012:G3012" si="3011">TRANSLATE(D3012,"lzh","vi")</f>
        <v>#NAME?</v>
      </c>
      <c r="G3012" s="109" t="str">
        <f t="shared" si="3011"/>
        <v>#NAME?</v>
      </c>
      <c r="X3012" s="110"/>
    </row>
    <row r="3013" ht="21.0" customHeight="1">
      <c r="A3013" s="6">
        <v>1.0</v>
      </c>
      <c r="B3013" s="6">
        <v>237.0</v>
      </c>
      <c r="C3013" s="6">
        <v>6.0</v>
      </c>
      <c r="D3013" s="161" t="s">
        <v>4807</v>
      </c>
      <c r="E3013" s="9" t="s">
        <v>4808</v>
      </c>
      <c r="F3013" s="109" t="str">
        <f t="shared" ref="F3013:G3013" si="3012">TRANSLATE(D3013,"lzh","vi")</f>
        <v>#NAME?</v>
      </c>
      <c r="G3013" s="109" t="str">
        <f t="shared" si="3012"/>
        <v>#NAME?</v>
      </c>
      <c r="X3013" s="110"/>
    </row>
    <row r="3014" ht="21.0" customHeight="1">
      <c r="A3014" s="6">
        <v>1.0</v>
      </c>
      <c r="B3014" s="6">
        <v>237.0</v>
      </c>
      <c r="C3014" s="6">
        <v>7.0</v>
      </c>
      <c r="D3014" s="161" t="s">
        <v>4809</v>
      </c>
      <c r="E3014" s="9" t="s">
        <v>4810</v>
      </c>
      <c r="F3014" s="109" t="str">
        <f t="shared" ref="F3014:G3014" si="3013">TRANSLATE(D3014,"lzh","vi")</f>
        <v>#NAME?</v>
      </c>
      <c r="G3014" s="109" t="str">
        <f t="shared" si="3013"/>
        <v>#NAME?</v>
      </c>
      <c r="X3014" s="110"/>
    </row>
    <row r="3015" ht="21.0" customHeight="1">
      <c r="A3015" s="6">
        <v>1.0</v>
      </c>
      <c r="B3015" s="6">
        <v>237.0</v>
      </c>
      <c r="C3015" s="6">
        <v>8.0</v>
      </c>
      <c r="D3015" s="162" t="s">
        <v>4811</v>
      </c>
      <c r="E3015" s="9" t="s">
        <v>4812</v>
      </c>
      <c r="F3015" s="109" t="str">
        <f t="shared" ref="F3015:G3015" si="3014">TRANSLATE(D3015,"lzh","vi")</f>
        <v>#NAME?</v>
      </c>
      <c r="G3015" s="109" t="str">
        <f t="shared" si="3014"/>
        <v>#NAME?</v>
      </c>
      <c r="X3015" s="110"/>
    </row>
    <row r="3016" ht="21.0" customHeight="1">
      <c r="A3016" s="6">
        <v>1.0</v>
      </c>
      <c r="B3016" s="6">
        <v>237.0</v>
      </c>
      <c r="C3016" s="6">
        <v>9.0</v>
      </c>
      <c r="D3016" s="162" t="s">
        <v>4813</v>
      </c>
      <c r="E3016" s="9" t="s">
        <v>4814</v>
      </c>
      <c r="F3016" s="109" t="str">
        <f t="shared" ref="F3016:G3016" si="3015">TRANSLATE(D3016,"lzh","vi")</f>
        <v>#NAME?</v>
      </c>
      <c r="G3016" s="109" t="str">
        <f t="shared" si="3015"/>
        <v>#NAME?</v>
      </c>
      <c r="X3016" s="110"/>
    </row>
    <row r="3017" ht="21.0" customHeight="1">
      <c r="A3017" s="6">
        <v>1.0</v>
      </c>
      <c r="B3017" s="6">
        <v>237.0</v>
      </c>
      <c r="C3017" s="6">
        <v>10.0</v>
      </c>
      <c r="D3017" s="162" t="s">
        <v>4815</v>
      </c>
      <c r="E3017" s="9" t="s">
        <v>4816</v>
      </c>
      <c r="F3017" s="109" t="str">
        <f t="shared" ref="F3017:G3017" si="3016">TRANSLATE(D3017,"lzh","vi")</f>
        <v>#NAME?</v>
      </c>
      <c r="G3017" s="109" t="str">
        <f t="shared" si="3016"/>
        <v>#NAME?</v>
      </c>
      <c r="X3017" s="110"/>
    </row>
    <row r="3018" ht="21.0" customHeight="1">
      <c r="A3018" s="6">
        <v>1.0</v>
      </c>
      <c r="B3018" s="6">
        <v>237.0</v>
      </c>
      <c r="C3018" s="6">
        <v>11.0</v>
      </c>
      <c r="D3018" s="162" t="s">
        <v>4817</v>
      </c>
      <c r="E3018" s="9" t="s">
        <v>4818</v>
      </c>
      <c r="F3018" s="109" t="str">
        <f t="shared" ref="F3018:G3018" si="3017">TRANSLATE(D3018,"lzh","vi")</f>
        <v>#NAME?</v>
      </c>
      <c r="G3018" s="109" t="str">
        <f t="shared" si="3017"/>
        <v>#NAME?</v>
      </c>
      <c r="X3018" s="110"/>
    </row>
    <row r="3019" ht="21.0" customHeight="1">
      <c r="A3019" s="6">
        <v>1.0</v>
      </c>
      <c r="B3019" s="6">
        <v>237.0</v>
      </c>
      <c r="C3019" s="6">
        <v>12.0</v>
      </c>
      <c r="D3019" s="162" t="s">
        <v>4819</v>
      </c>
      <c r="E3019" s="9" t="s">
        <v>4820</v>
      </c>
      <c r="F3019" s="109" t="str">
        <f t="shared" ref="F3019:G3019" si="3018">TRANSLATE(D3019,"lzh","vi")</f>
        <v>#NAME?</v>
      </c>
      <c r="G3019" s="109" t="str">
        <f t="shared" si="3018"/>
        <v>#NAME?</v>
      </c>
      <c r="X3019" s="110"/>
    </row>
    <row r="3020" ht="21.0" customHeight="1">
      <c r="A3020" s="6">
        <v>1.0</v>
      </c>
      <c r="B3020" s="6">
        <v>237.0</v>
      </c>
      <c r="C3020" s="6">
        <v>13.0</v>
      </c>
      <c r="D3020" s="162" t="s">
        <v>4821</v>
      </c>
      <c r="E3020" s="9" t="s">
        <v>4822</v>
      </c>
      <c r="F3020" s="109" t="str">
        <f t="shared" ref="F3020:G3020" si="3019">TRANSLATE(D3020,"lzh","vi")</f>
        <v>#NAME?</v>
      </c>
      <c r="G3020" s="109" t="str">
        <f t="shared" si="3019"/>
        <v>#NAME?</v>
      </c>
      <c r="X3020" s="110"/>
    </row>
    <row r="3021" ht="21.0" customHeight="1">
      <c r="A3021" s="6">
        <v>1.0</v>
      </c>
      <c r="B3021" s="6">
        <v>238.0</v>
      </c>
      <c r="C3021" s="6">
        <v>1.0</v>
      </c>
      <c r="D3021" s="122" t="s">
        <v>4823</v>
      </c>
      <c r="E3021" s="9" t="s">
        <v>4824</v>
      </c>
      <c r="F3021" s="109" t="str">
        <f t="shared" ref="F3021:G3021" si="3020">TRANSLATE(D3021,"lzh","vi")</f>
        <v>#NAME?</v>
      </c>
      <c r="G3021" s="109" t="str">
        <f t="shared" si="3020"/>
        <v>#NAME?</v>
      </c>
      <c r="X3021" s="110"/>
    </row>
    <row r="3022" ht="21.0" customHeight="1">
      <c r="A3022" s="6">
        <v>1.0</v>
      </c>
      <c r="B3022" s="6">
        <v>238.0</v>
      </c>
      <c r="C3022" s="6">
        <v>2.0</v>
      </c>
      <c r="D3022" s="122" t="s">
        <v>4825</v>
      </c>
      <c r="E3022" s="9" t="s">
        <v>4826</v>
      </c>
      <c r="F3022" s="109" t="str">
        <f t="shared" ref="F3022:G3022" si="3021">TRANSLATE(D3022,"lzh","vi")</f>
        <v>#NAME?</v>
      </c>
      <c r="G3022" s="109" t="str">
        <f t="shared" si="3021"/>
        <v>#NAME?</v>
      </c>
      <c r="X3022" s="110"/>
    </row>
    <row r="3023" ht="21.0" customHeight="1">
      <c r="A3023" s="6">
        <v>1.0</v>
      </c>
      <c r="B3023" s="6">
        <v>238.0</v>
      </c>
      <c r="C3023" s="6">
        <v>3.0</v>
      </c>
      <c r="D3023" s="122" t="s">
        <v>4827</v>
      </c>
      <c r="E3023" s="9" t="s">
        <v>4828</v>
      </c>
      <c r="F3023" s="109" t="str">
        <f t="shared" ref="F3023:G3023" si="3022">TRANSLATE(D3023,"lzh","vi")</f>
        <v>#NAME?</v>
      </c>
      <c r="G3023" s="109" t="str">
        <f t="shared" si="3022"/>
        <v>#NAME?</v>
      </c>
      <c r="X3023" s="110"/>
    </row>
    <row r="3024" ht="21.0" customHeight="1">
      <c r="A3024" s="6">
        <v>1.0</v>
      </c>
      <c r="B3024" s="6">
        <v>238.0</v>
      </c>
      <c r="C3024" s="6">
        <v>4.0</v>
      </c>
      <c r="D3024" s="122" t="s">
        <v>4829</v>
      </c>
      <c r="E3024" s="9" t="s">
        <v>4830</v>
      </c>
      <c r="F3024" s="109" t="str">
        <f t="shared" ref="F3024:G3024" si="3023">TRANSLATE(D3024,"lzh","vi")</f>
        <v>#NAME?</v>
      </c>
      <c r="G3024" s="109" t="str">
        <f t="shared" si="3023"/>
        <v>#NAME?</v>
      </c>
      <c r="X3024" s="110"/>
    </row>
    <row r="3025" ht="21.0" customHeight="1">
      <c r="A3025" s="6">
        <v>1.0</v>
      </c>
      <c r="B3025" s="6">
        <v>238.0</v>
      </c>
      <c r="C3025" s="6">
        <v>5.0</v>
      </c>
      <c r="D3025" s="122" t="s">
        <v>4831</v>
      </c>
      <c r="E3025" s="9" t="s">
        <v>4832</v>
      </c>
      <c r="F3025" s="109" t="str">
        <f t="shared" ref="F3025:G3025" si="3024">TRANSLATE(D3025,"lzh","vi")</f>
        <v>#NAME?</v>
      </c>
      <c r="G3025" s="109" t="str">
        <f t="shared" si="3024"/>
        <v>#NAME?</v>
      </c>
      <c r="X3025" s="110"/>
    </row>
    <row r="3026" ht="21.0" customHeight="1">
      <c r="A3026" s="6">
        <v>1.0</v>
      </c>
      <c r="B3026" s="6">
        <v>238.0</v>
      </c>
      <c r="C3026" s="6">
        <v>6.0</v>
      </c>
      <c r="D3026" s="122" t="s">
        <v>4833</v>
      </c>
      <c r="E3026" s="9" t="s">
        <v>4834</v>
      </c>
      <c r="F3026" s="109" t="str">
        <f t="shared" ref="F3026:G3026" si="3025">TRANSLATE(D3026,"lzh","vi")</f>
        <v>#NAME?</v>
      </c>
      <c r="G3026" s="109" t="str">
        <f t="shared" si="3025"/>
        <v>#NAME?</v>
      </c>
      <c r="X3026" s="110"/>
    </row>
    <row r="3027" ht="21.0" customHeight="1">
      <c r="A3027" s="6">
        <v>1.0</v>
      </c>
      <c r="B3027" s="6">
        <v>238.0</v>
      </c>
      <c r="C3027" s="6">
        <v>7.0</v>
      </c>
      <c r="D3027" s="122" t="s">
        <v>4835</v>
      </c>
      <c r="E3027" s="9" t="s">
        <v>4836</v>
      </c>
      <c r="F3027" s="109" t="str">
        <f t="shared" ref="F3027:G3027" si="3026">TRANSLATE(D3027,"lzh","vi")</f>
        <v>#NAME?</v>
      </c>
      <c r="G3027" s="109" t="str">
        <f t="shared" si="3026"/>
        <v>#NAME?</v>
      </c>
      <c r="X3027" s="110"/>
    </row>
    <row r="3028" ht="21.0" customHeight="1">
      <c r="A3028" s="6">
        <v>1.0</v>
      </c>
      <c r="B3028" s="6">
        <v>238.0</v>
      </c>
      <c r="C3028" s="6">
        <v>8.0</v>
      </c>
      <c r="D3028" s="122" t="s">
        <v>4837</v>
      </c>
      <c r="E3028" s="9" t="s">
        <v>4838</v>
      </c>
      <c r="F3028" s="109" t="str">
        <f t="shared" ref="F3028:G3028" si="3027">TRANSLATE(D3028,"lzh","vi")</f>
        <v>#NAME?</v>
      </c>
      <c r="G3028" s="109" t="str">
        <f t="shared" si="3027"/>
        <v>#NAME?</v>
      </c>
      <c r="X3028" s="110"/>
    </row>
    <row r="3029" ht="21.0" customHeight="1">
      <c r="A3029" s="6">
        <v>1.0</v>
      </c>
      <c r="B3029" s="6">
        <v>238.0</v>
      </c>
      <c r="C3029" s="6">
        <v>9.0</v>
      </c>
      <c r="D3029" s="122" t="s">
        <v>4839</v>
      </c>
      <c r="E3029" s="9" t="s">
        <v>4840</v>
      </c>
      <c r="F3029" s="109" t="str">
        <f t="shared" ref="F3029:G3029" si="3028">TRANSLATE(D3029,"lzh","vi")</f>
        <v>#NAME?</v>
      </c>
      <c r="G3029" s="109" t="str">
        <f t="shared" si="3028"/>
        <v>#NAME?</v>
      </c>
      <c r="X3029" s="110"/>
    </row>
    <row r="3030" ht="21.0" customHeight="1">
      <c r="A3030" s="6">
        <v>1.0</v>
      </c>
      <c r="B3030" s="6">
        <v>238.0</v>
      </c>
      <c r="C3030" s="6">
        <v>10.0</v>
      </c>
      <c r="D3030" s="122" t="s">
        <v>4841</v>
      </c>
      <c r="E3030" s="9" t="s">
        <v>4842</v>
      </c>
      <c r="F3030" s="109" t="str">
        <f t="shared" ref="F3030:G3030" si="3029">TRANSLATE(D3030,"lzh","vi")</f>
        <v>#NAME?</v>
      </c>
      <c r="G3030" s="109" t="str">
        <f t="shared" si="3029"/>
        <v>#NAME?</v>
      </c>
      <c r="X3030" s="110"/>
    </row>
    <row r="3031" ht="21.0" customHeight="1">
      <c r="A3031" s="6">
        <v>1.0</v>
      </c>
      <c r="B3031" s="6">
        <v>238.0</v>
      </c>
      <c r="C3031" s="6">
        <v>11.0</v>
      </c>
      <c r="D3031" s="122" t="s">
        <v>4843</v>
      </c>
      <c r="E3031" s="9" t="s">
        <v>4844</v>
      </c>
      <c r="F3031" s="109" t="str">
        <f t="shared" ref="F3031:G3031" si="3030">TRANSLATE(D3031,"lzh","vi")</f>
        <v>#NAME?</v>
      </c>
      <c r="G3031" s="109" t="str">
        <f t="shared" si="3030"/>
        <v>#NAME?</v>
      </c>
      <c r="X3031" s="110"/>
    </row>
    <row r="3032" ht="21.0" customHeight="1">
      <c r="A3032" s="6">
        <v>1.0</v>
      </c>
      <c r="B3032" s="6">
        <v>238.0</v>
      </c>
      <c r="C3032" s="6">
        <v>12.0</v>
      </c>
      <c r="D3032" s="122" t="s">
        <v>4845</v>
      </c>
      <c r="E3032" s="9" t="s">
        <v>4846</v>
      </c>
      <c r="F3032" s="109" t="str">
        <f t="shared" ref="F3032:G3032" si="3031">TRANSLATE(D3032,"lzh","vi")</f>
        <v>#NAME?</v>
      </c>
      <c r="G3032" s="109" t="str">
        <f t="shared" si="3031"/>
        <v>#NAME?</v>
      </c>
      <c r="X3032" s="110"/>
    </row>
    <row r="3033" ht="21.0" customHeight="1">
      <c r="A3033" s="6">
        <v>1.0</v>
      </c>
      <c r="B3033" s="6">
        <v>238.0</v>
      </c>
      <c r="C3033" s="6">
        <v>13.0</v>
      </c>
      <c r="D3033" s="122" t="s">
        <v>4847</v>
      </c>
      <c r="E3033" s="9" t="s">
        <v>4848</v>
      </c>
      <c r="F3033" s="109" t="str">
        <f t="shared" ref="F3033:G3033" si="3032">TRANSLATE(D3033,"lzh","vi")</f>
        <v>#NAME?</v>
      </c>
      <c r="G3033" s="109" t="str">
        <f t="shared" si="3032"/>
        <v>#NAME?</v>
      </c>
      <c r="X3033" s="110"/>
    </row>
    <row r="3034" ht="21.0" customHeight="1">
      <c r="A3034" s="6">
        <v>1.0</v>
      </c>
      <c r="B3034" s="6">
        <v>239.0</v>
      </c>
      <c r="C3034" s="6">
        <v>1.0</v>
      </c>
      <c r="D3034" s="162" t="s">
        <v>4849</v>
      </c>
      <c r="E3034" s="9" t="s">
        <v>4850</v>
      </c>
      <c r="F3034" s="109" t="str">
        <f t="shared" ref="F3034:G3034" si="3033">TRANSLATE(D3034,"lzh","vi")</f>
        <v>#NAME?</v>
      </c>
      <c r="G3034" s="109" t="str">
        <f t="shared" si="3033"/>
        <v>#NAME?</v>
      </c>
      <c r="X3034" s="110"/>
    </row>
    <row r="3035" ht="21.0" customHeight="1">
      <c r="A3035" s="6">
        <v>1.0</v>
      </c>
      <c r="B3035" s="6">
        <v>239.0</v>
      </c>
      <c r="C3035" s="6">
        <v>2.0</v>
      </c>
      <c r="D3035" s="162" t="s">
        <v>4851</v>
      </c>
      <c r="E3035" s="9" t="s">
        <v>4852</v>
      </c>
      <c r="F3035" s="109" t="str">
        <f t="shared" ref="F3035:G3035" si="3034">TRANSLATE(D3035,"lzh","vi")</f>
        <v>#NAME?</v>
      </c>
      <c r="G3035" s="109" t="str">
        <f t="shared" si="3034"/>
        <v>#NAME?</v>
      </c>
      <c r="X3035" s="110"/>
    </row>
    <row r="3036" ht="21.0" customHeight="1">
      <c r="A3036" s="6">
        <v>1.0</v>
      </c>
      <c r="B3036" s="6">
        <v>239.0</v>
      </c>
      <c r="C3036" s="6">
        <v>3.0</v>
      </c>
      <c r="D3036" s="162" t="s">
        <v>4853</v>
      </c>
      <c r="E3036" s="9" t="s">
        <v>4854</v>
      </c>
      <c r="F3036" s="109" t="str">
        <f t="shared" ref="F3036:G3036" si="3035">TRANSLATE(D3036,"lzh","vi")</f>
        <v>#NAME?</v>
      </c>
      <c r="G3036" s="109" t="str">
        <f t="shared" si="3035"/>
        <v>#NAME?</v>
      </c>
      <c r="X3036" s="110"/>
    </row>
    <row r="3037" ht="21.0" customHeight="1">
      <c r="A3037" s="6">
        <v>1.0</v>
      </c>
      <c r="B3037" s="6">
        <v>239.0</v>
      </c>
      <c r="C3037" s="6">
        <v>4.0</v>
      </c>
      <c r="D3037" s="162" t="s">
        <v>4855</v>
      </c>
      <c r="E3037" s="9" t="s">
        <v>4856</v>
      </c>
      <c r="F3037" s="109" t="str">
        <f t="shared" ref="F3037:G3037" si="3036">TRANSLATE(D3037,"lzh","vi")</f>
        <v>#NAME?</v>
      </c>
      <c r="G3037" s="109" t="str">
        <f t="shared" si="3036"/>
        <v>#NAME?</v>
      </c>
      <c r="X3037" s="110"/>
    </row>
    <row r="3038" ht="21.0" customHeight="1">
      <c r="A3038" s="6">
        <v>1.0</v>
      </c>
      <c r="B3038" s="6">
        <v>239.0</v>
      </c>
      <c r="C3038" s="6">
        <v>5.0</v>
      </c>
      <c r="D3038" s="162" t="s">
        <v>4857</v>
      </c>
      <c r="E3038" s="9" t="s">
        <v>4858</v>
      </c>
      <c r="F3038" s="109" t="str">
        <f t="shared" ref="F3038:G3038" si="3037">TRANSLATE(D3038,"lzh","vi")</f>
        <v>#NAME?</v>
      </c>
      <c r="G3038" s="109" t="str">
        <f t="shared" si="3037"/>
        <v>#NAME?</v>
      </c>
      <c r="X3038" s="110"/>
    </row>
    <row r="3039" ht="21.0" customHeight="1">
      <c r="A3039" s="6">
        <v>1.0</v>
      </c>
      <c r="B3039" s="6">
        <v>239.0</v>
      </c>
      <c r="C3039" s="6">
        <v>6.0</v>
      </c>
      <c r="D3039" s="162" t="s">
        <v>4859</v>
      </c>
      <c r="E3039" s="9" t="s">
        <v>4860</v>
      </c>
      <c r="F3039" s="109" t="str">
        <f t="shared" ref="F3039:G3039" si="3038">TRANSLATE(D3039,"lzh","vi")</f>
        <v>#NAME?</v>
      </c>
      <c r="G3039" s="109" t="str">
        <f t="shared" si="3038"/>
        <v>#NAME?</v>
      </c>
      <c r="X3039" s="110"/>
    </row>
    <row r="3040" ht="21.0" customHeight="1">
      <c r="A3040" s="6">
        <v>1.0</v>
      </c>
      <c r="B3040" s="6">
        <v>239.0</v>
      </c>
      <c r="C3040" s="6">
        <v>7.0</v>
      </c>
      <c r="D3040" s="162" t="s">
        <v>4861</v>
      </c>
      <c r="E3040" s="9" t="s">
        <v>4862</v>
      </c>
      <c r="F3040" s="109" t="str">
        <f t="shared" ref="F3040:G3040" si="3039">TRANSLATE(D3040,"lzh","vi")</f>
        <v>#NAME?</v>
      </c>
      <c r="G3040" s="109" t="str">
        <f t="shared" si="3039"/>
        <v>#NAME?</v>
      </c>
      <c r="X3040" s="110"/>
    </row>
    <row r="3041" ht="21.0" customHeight="1">
      <c r="A3041" s="6">
        <v>1.0</v>
      </c>
      <c r="B3041" s="6">
        <v>239.0</v>
      </c>
      <c r="C3041" s="6">
        <v>8.0</v>
      </c>
      <c r="D3041" s="162" t="s">
        <v>4863</v>
      </c>
      <c r="E3041" s="9" t="s">
        <v>4864</v>
      </c>
      <c r="F3041" s="109" t="str">
        <f t="shared" ref="F3041:G3041" si="3040">TRANSLATE(D3041,"lzh","vi")</f>
        <v>#NAME?</v>
      </c>
      <c r="G3041" s="109" t="str">
        <f t="shared" si="3040"/>
        <v>#NAME?</v>
      </c>
      <c r="X3041" s="110"/>
    </row>
    <row r="3042" ht="21.0" customHeight="1">
      <c r="A3042" s="6">
        <v>1.0</v>
      </c>
      <c r="B3042" s="6">
        <v>239.0</v>
      </c>
      <c r="C3042" s="6">
        <v>9.0</v>
      </c>
      <c r="D3042" s="162" t="s">
        <v>4865</v>
      </c>
      <c r="E3042" s="9" t="s">
        <v>4866</v>
      </c>
      <c r="F3042" s="109" t="str">
        <f t="shared" ref="F3042:G3042" si="3041">TRANSLATE(D3042,"lzh","vi")</f>
        <v>#NAME?</v>
      </c>
      <c r="G3042" s="109" t="str">
        <f t="shared" si="3041"/>
        <v>#NAME?</v>
      </c>
      <c r="X3042" s="110"/>
    </row>
    <row r="3043" ht="21.0" customHeight="1">
      <c r="A3043" s="6">
        <v>1.0</v>
      </c>
      <c r="B3043" s="6">
        <v>239.0</v>
      </c>
      <c r="C3043" s="6">
        <v>10.0</v>
      </c>
      <c r="D3043" s="162" t="s">
        <v>4867</v>
      </c>
      <c r="E3043" s="9" t="s">
        <v>4868</v>
      </c>
      <c r="F3043" s="109" t="str">
        <f t="shared" ref="F3043:G3043" si="3042">TRANSLATE(D3043,"lzh","vi")</f>
        <v>#NAME?</v>
      </c>
      <c r="G3043" s="109" t="str">
        <f t="shared" si="3042"/>
        <v>#NAME?</v>
      </c>
      <c r="X3043" s="110"/>
    </row>
    <row r="3044" ht="21.0" customHeight="1">
      <c r="A3044" s="6">
        <v>1.0</v>
      </c>
      <c r="B3044" s="6">
        <v>239.0</v>
      </c>
      <c r="C3044" s="6">
        <v>11.0</v>
      </c>
      <c r="D3044" s="162" t="s">
        <v>4869</v>
      </c>
      <c r="E3044" s="9" t="s">
        <v>4870</v>
      </c>
      <c r="F3044" s="109" t="str">
        <f t="shared" ref="F3044:G3044" si="3043">TRANSLATE(D3044,"lzh","vi")</f>
        <v>#NAME?</v>
      </c>
      <c r="G3044" s="109" t="str">
        <f t="shared" si="3043"/>
        <v>#NAME?</v>
      </c>
      <c r="X3044" s="110"/>
    </row>
    <row r="3045" ht="21.0" customHeight="1">
      <c r="A3045" s="6">
        <v>1.0</v>
      </c>
      <c r="B3045" s="6">
        <v>239.0</v>
      </c>
      <c r="C3045" s="6">
        <v>12.0</v>
      </c>
      <c r="D3045" s="162" t="s">
        <v>4871</v>
      </c>
      <c r="E3045" s="9" t="s">
        <v>4872</v>
      </c>
      <c r="F3045" s="109" t="str">
        <f t="shared" ref="F3045:G3045" si="3044">TRANSLATE(D3045,"lzh","vi")</f>
        <v>#NAME?</v>
      </c>
      <c r="G3045" s="109" t="str">
        <f t="shared" si="3044"/>
        <v>#NAME?</v>
      </c>
      <c r="X3045" s="110"/>
    </row>
    <row r="3046" ht="21.0" customHeight="1">
      <c r="A3046" s="6">
        <v>1.0</v>
      </c>
      <c r="B3046" s="6">
        <v>239.0</v>
      </c>
      <c r="C3046" s="6">
        <v>13.0</v>
      </c>
      <c r="D3046" s="162" t="s">
        <v>4873</v>
      </c>
      <c r="E3046" s="9" t="s">
        <v>4874</v>
      </c>
      <c r="F3046" s="109" t="str">
        <f t="shared" ref="F3046:G3046" si="3045">TRANSLATE(D3046,"lzh","vi")</f>
        <v>#NAME?</v>
      </c>
      <c r="G3046" s="109" t="str">
        <f t="shared" si="3045"/>
        <v>#NAME?</v>
      </c>
      <c r="X3046" s="110"/>
    </row>
    <row r="3047" ht="21.0" customHeight="1">
      <c r="A3047" s="6">
        <v>11.0</v>
      </c>
      <c r="B3047" s="6">
        <v>1065.0</v>
      </c>
      <c r="C3047" s="6">
        <v>1.0</v>
      </c>
      <c r="D3047" s="161" t="s">
        <v>4875</v>
      </c>
      <c r="E3047" s="9" t="s">
        <v>4876</v>
      </c>
      <c r="F3047" s="109" t="str">
        <f t="shared" ref="F3047:G3047" si="3046">TRANSLATE(D3047,"lzh","vi")</f>
        <v>#NAME?</v>
      </c>
      <c r="G3047" s="109" t="str">
        <f t="shared" si="3046"/>
        <v>#NAME?</v>
      </c>
      <c r="X3047" s="110"/>
    </row>
    <row r="3048" ht="21.0" customHeight="1">
      <c r="A3048" s="6">
        <v>11.0</v>
      </c>
      <c r="B3048" s="6">
        <v>1065.0</v>
      </c>
      <c r="C3048" s="6">
        <v>2.0</v>
      </c>
      <c r="D3048" s="161" t="s">
        <v>4877</v>
      </c>
      <c r="E3048" s="9" t="s">
        <v>4878</v>
      </c>
      <c r="F3048" s="109" t="str">
        <f t="shared" ref="F3048:G3048" si="3047">TRANSLATE(D3048,"lzh","vi")</f>
        <v>#NAME?</v>
      </c>
      <c r="G3048" s="109" t="str">
        <f t="shared" si="3047"/>
        <v>#NAME?</v>
      </c>
      <c r="X3048" s="110"/>
    </row>
    <row r="3049" ht="21.0" customHeight="1">
      <c r="A3049" s="6">
        <v>11.0</v>
      </c>
      <c r="B3049" s="6">
        <v>1065.0</v>
      </c>
      <c r="C3049" s="6">
        <v>3.0</v>
      </c>
      <c r="D3049" s="161" t="s">
        <v>4879</v>
      </c>
      <c r="E3049" s="9" t="s">
        <v>4880</v>
      </c>
      <c r="F3049" s="109" t="str">
        <f t="shared" ref="F3049:G3049" si="3048">TRANSLATE(D3049,"lzh","vi")</f>
        <v>#NAME?</v>
      </c>
      <c r="G3049" s="109" t="str">
        <f t="shared" si="3048"/>
        <v>#NAME?</v>
      </c>
      <c r="X3049" s="110"/>
    </row>
    <row r="3050" ht="21.0" customHeight="1">
      <c r="A3050" s="6">
        <v>11.0</v>
      </c>
      <c r="B3050" s="6">
        <v>1065.0</v>
      </c>
      <c r="C3050" s="6">
        <v>4.0</v>
      </c>
      <c r="D3050" s="161" t="s">
        <v>4881</v>
      </c>
      <c r="E3050" s="9" t="s">
        <v>4882</v>
      </c>
      <c r="F3050" s="109" t="str">
        <f t="shared" ref="F3050:G3050" si="3049">TRANSLATE(D3050,"lzh","vi")</f>
        <v>#NAME?</v>
      </c>
      <c r="G3050" s="109" t="str">
        <f t="shared" si="3049"/>
        <v>#NAME?</v>
      </c>
      <c r="X3050" s="110"/>
    </row>
    <row r="3051" ht="21.0" customHeight="1">
      <c r="A3051" s="6">
        <v>10.0</v>
      </c>
      <c r="B3051" s="6">
        <v>1065.0</v>
      </c>
      <c r="C3051" s="6">
        <v>5.0</v>
      </c>
      <c r="D3051" s="161" t="s">
        <v>4883</v>
      </c>
      <c r="E3051" s="9" t="s">
        <v>4884</v>
      </c>
      <c r="F3051" s="109" t="str">
        <f t="shared" ref="F3051:G3051" si="3050">TRANSLATE(D3051,"lzh","vi")</f>
        <v>#NAME?</v>
      </c>
      <c r="G3051" s="109" t="str">
        <f t="shared" si="3050"/>
        <v>#NAME?</v>
      </c>
      <c r="X3051" s="110"/>
    </row>
    <row r="3052" ht="21.0" customHeight="1">
      <c r="A3052" s="6">
        <v>10.0</v>
      </c>
      <c r="B3052" s="6">
        <v>1065.0</v>
      </c>
      <c r="C3052" s="6">
        <v>6.0</v>
      </c>
      <c r="D3052" s="161" t="s">
        <v>4885</v>
      </c>
      <c r="E3052" s="9" t="s">
        <v>4886</v>
      </c>
      <c r="F3052" s="109" t="str">
        <f t="shared" ref="F3052:G3052" si="3051">TRANSLATE(D3052,"lzh","vi")</f>
        <v>#NAME?</v>
      </c>
      <c r="G3052" s="109" t="str">
        <f t="shared" si="3051"/>
        <v>#NAME?</v>
      </c>
      <c r="X3052" s="110"/>
    </row>
    <row r="3053" ht="21.0" customHeight="1">
      <c r="A3053" s="6">
        <v>10.0</v>
      </c>
      <c r="B3053" s="6">
        <v>1065.0</v>
      </c>
      <c r="C3053" s="6">
        <v>7.0</v>
      </c>
      <c r="D3053" s="161" t="s">
        <v>4887</v>
      </c>
      <c r="E3053" s="9" t="s">
        <v>4888</v>
      </c>
      <c r="F3053" s="109" t="str">
        <f t="shared" ref="F3053:G3053" si="3052">TRANSLATE(D3053,"lzh","vi")</f>
        <v>#NAME?</v>
      </c>
      <c r="G3053" s="109" t="str">
        <f t="shared" si="3052"/>
        <v>#NAME?</v>
      </c>
      <c r="X3053" s="110"/>
    </row>
    <row r="3054" ht="21.0" customHeight="1">
      <c r="A3054" s="6">
        <v>10.0</v>
      </c>
      <c r="B3054" s="6">
        <v>1065.0</v>
      </c>
      <c r="C3054" s="6">
        <v>8.0</v>
      </c>
      <c r="D3054" s="161" t="s">
        <v>4889</v>
      </c>
      <c r="E3054" s="9" t="s">
        <v>4890</v>
      </c>
      <c r="F3054" s="109" t="str">
        <f t="shared" ref="F3054:G3054" si="3053">TRANSLATE(D3054,"lzh","vi")</f>
        <v>#NAME?</v>
      </c>
      <c r="G3054" s="109" t="str">
        <f t="shared" si="3053"/>
        <v>#NAME?</v>
      </c>
      <c r="X3054" s="110"/>
    </row>
    <row r="3055" ht="21.0" customHeight="1">
      <c r="A3055" s="6">
        <v>10.0</v>
      </c>
      <c r="B3055" s="6">
        <v>1065.0</v>
      </c>
      <c r="C3055" s="6">
        <v>9.0</v>
      </c>
      <c r="D3055" s="161" t="s">
        <v>4891</v>
      </c>
      <c r="E3055" s="9" t="s">
        <v>4892</v>
      </c>
      <c r="F3055" s="109" t="str">
        <f t="shared" ref="F3055:G3055" si="3054">TRANSLATE(D3055,"lzh","vi")</f>
        <v>#NAME?</v>
      </c>
      <c r="G3055" s="109" t="str">
        <f t="shared" si="3054"/>
        <v>#NAME?</v>
      </c>
      <c r="X3055" s="110"/>
    </row>
    <row r="3056" ht="21.0" customHeight="1">
      <c r="A3056" s="6">
        <v>10.0</v>
      </c>
      <c r="B3056" s="6">
        <v>1065.0</v>
      </c>
      <c r="C3056" s="6">
        <v>10.0</v>
      </c>
      <c r="D3056" s="161" t="s">
        <v>4893</v>
      </c>
      <c r="E3056" s="9" t="s">
        <v>4894</v>
      </c>
      <c r="F3056" s="109" t="str">
        <f t="shared" ref="F3056:G3056" si="3055">TRANSLATE(D3056,"lzh","vi")</f>
        <v>#NAME?</v>
      </c>
      <c r="G3056" s="109" t="str">
        <f t="shared" si="3055"/>
        <v>#NAME?</v>
      </c>
      <c r="X3056" s="110"/>
    </row>
    <row r="3057" ht="21.0" customHeight="1">
      <c r="A3057" s="6">
        <v>11.0</v>
      </c>
      <c r="B3057" s="6">
        <v>1066.0</v>
      </c>
      <c r="C3057" s="6">
        <v>1.0</v>
      </c>
      <c r="D3057" s="161" t="s">
        <v>4895</v>
      </c>
      <c r="E3057" s="9" t="s">
        <v>4896</v>
      </c>
      <c r="F3057" s="109" t="str">
        <f t="shared" ref="F3057:G3057" si="3056">TRANSLATE(D3057,"lzh","vi")</f>
        <v>#NAME?</v>
      </c>
      <c r="G3057" s="109" t="str">
        <f t="shared" si="3056"/>
        <v>#NAME?</v>
      </c>
      <c r="X3057" s="110"/>
    </row>
    <row r="3058" ht="21.0" customHeight="1">
      <c r="A3058" s="6">
        <v>11.0</v>
      </c>
      <c r="B3058" s="6">
        <v>1066.0</v>
      </c>
      <c r="C3058" s="6">
        <v>2.0</v>
      </c>
      <c r="D3058" s="161" t="s">
        <v>4897</v>
      </c>
      <c r="E3058" s="9" t="s">
        <v>4898</v>
      </c>
      <c r="F3058" s="109" t="str">
        <f t="shared" ref="F3058:G3058" si="3057">TRANSLATE(D3058,"lzh","vi")</f>
        <v>#NAME?</v>
      </c>
      <c r="G3058" s="109" t="str">
        <f t="shared" si="3057"/>
        <v>#NAME?</v>
      </c>
      <c r="X3058" s="110"/>
    </row>
    <row r="3059" ht="21.0" customHeight="1">
      <c r="A3059" s="6">
        <v>11.0</v>
      </c>
      <c r="B3059" s="6">
        <v>1066.0</v>
      </c>
      <c r="C3059" s="6">
        <v>3.0</v>
      </c>
      <c r="D3059" s="161" t="s">
        <v>4899</v>
      </c>
      <c r="E3059" s="9" t="s">
        <v>4900</v>
      </c>
      <c r="F3059" s="109" t="str">
        <f t="shared" ref="F3059:G3059" si="3058">TRANSLATE(D3059,"lzh","vi")</f>
        <v>#NAME?</v>
      </c>
      <c r="G3059" s="109" t="str">
        <f t="shared" si="3058"/>
        <v>#NAME?</v>
      </c>
      <c r="X3059" s="110"/>
    </row>
    <row r="3060" ht="21.0" customHeight="1">
      <c r="A3060" s="6">
        <v>11.0</v>
      </c>
      <c r="B3060" s="6">
        <v>1066.0</v>
      </c>
      <c r="C3060" s="6">
        <v>4.0</v>
      </c>
      <c r="D3060" s="161" t="s">
        <v>4901</v>
      </c>
      <c r="E3060" s="9" t="s">
        <v>4902</v>
      </c>
      <c r="F3060" s="109" t="str">
        <f t="shared" ref="F3060:G3060" si="3059">TRANSLATE(D3060,"lzh","vi")</f>
        <v>#NAME?</v>
      </c>
      <c r="G3060" s="109" t="str">
        <f t="shared" si="3059"/>
        <v>#NAME?</v>
      </c>
      <c r="X3060" s="110"/>
    </row>
    <row r="3061" ht="21.0" customHeight="1">
      <c r="A3061" s="6">
        <v>10.0</v>
      </c>
      <c r="B3061" s="6">
        <v>1066.0</v>
      </c>
      <c r="C3061" s="6">
        <v>5.0</v>
      </c>
      <c r="D3061" s="161" t="s">
        <v>4903</v>
      </c>
      <c r="E3061" s="9" t="s">
        <v>4904</v>
      </c>
      <c r="F3061" s="109" t="str">
        <f t="shared" ref="F3061:G3061" si="3060">TRANSLATE(D3061,"lzh","vi")</f>
        <v>#NAME?</v>
      </c>
      <c r="G3061" s="109" t="str">
        <f t="shared" si="3060"/>
        <v>#NAME?</v>
      </c>
      <c r="X3061" s="110"/>
    </row>
    <row r="3062" ht="21.0" customHeight="1">
      <c r="A3062" s="6">
        <v>10.0</v>
      </c>
      <c r="B3062" s="6">
        <v>1066.0</v>
      </c>
      <c r="C3062" s="6">
        <v>6.0</v>
      </c>
      <c r="D3062" s="161" t="s">
        <v>4905</v>
      </c>
      <c r="E3062" s="9" t="s">
        <v>4906</v>
      </c>
      <c r="F3062" s="109" t="str">
        <f t="shared" ref="F3062:G3062" si="3061">TRANSLATE(D3062,"lzh","vi")</f>
        <v>#NAME?</v>
      </c>
      <c r="G3062" s="109" t="str">
        <f t="shared" si="3061"/>
        <v>#NAME?</v>
      </c>
      <c r="X3062" s="110"/>
    </row>
    <row r="3063" ht="21.0" customHeight="1">
      <c r="A3063" s="6">
        <v>10.0</v>
      </c>
      <c r="B3063" s="6">
        <v>1066.0</v>
      </c>
      <c r="C3063" s="6">
        <v>7.0</v>
      </c>
      <c r="D3063" s="161" t="s">
        <v>4907</v>
      </c>
      <c r="E3063" s="9" t="s">
        <v>4908</v>
      </c>
      <c r="F3063" s="109" t="str">
        <f t="shared" ref="F3063:G3063" si="3062">TRANSLATE(D3063,"lzh","vi")</f>
        <v>#NAME?</v>
      </c>
      <c r="G3063" s="109" t="str">
        <f t="shared" si="3062"/>
        <v>#NAME?</v>
      </c>
      <c r="X3063" s="110"/>
    </row>
    <row r="3064" ht="21.0" customHeight="1">
      <c r="A3064" s="6">
        <v>10.0</v>
      </c>
      <c r="B3064" s="6">
        <v>1066.0</v>
      </c>
      <c r="C3064" s="6">
        <v>8.0</v>
      </c>
      <c r="D3064" s="161" t="s">
        <v>4909</v>
      </c>
      <c r="E3064" s="9" t="s">
        <v>4910</v>
      </c>
      <c r="F3064" s="109" t="str">
        <f t="shared" ref="F3064:G3064" si="3063">TRANSLATE(D3064,"lzh","vi")</f>
        <v>#NAME?</v>
      </c>
      <c r="G3064" s="109" t="str">
        <f t="shared" si="3063"/>
        <v>#NAME?</v>
      </c>
      <c r="X3064" s="110"/>
    </row>
    <row r="3065" ht="21.0" customHeight="1">
      <c r="A3065" s="6">
        <v>10.0</v>
      </c>
      <c r="B3065" s="6">
        <v>1066.0</v>
      </c>
      <c r="C3065" s="6">
        <v>9.0</v>
      </c>
      <c r="D3065" s="161" t="s">
        <v>4911</v>
      </c>
      <c r="E3065" s="9" t="s">
        <v>4912</v>
      </c>
      <c r="F3065" s="109" t="str">
        <f t="shared" ref="F3065:G3065" si="3064">TRANSLATE(D3065,"lzh","vi")</f>
        <v>#NAME?</v>
      </c>
      <c r="G3065" s="109" t="str">
        <f t="shared" si="3064"/>
        <v>#NAME?</v>
      </c>
      <c r="X3065" s="110"/>
    </row>
    <row r="3066" ht="21.0" customHeight="1">
      <c r="A3066" s="6">
        <v>10.0</v>
      </c>
      <c r="B3066" s="6">
        <v>1066.0</v>
      </c>
      <c r="C3066" s="6">
        <v>10.0</v>
      </c>
      <c r="D3066" s="161" t="s">
        <v>4913</v>
      </c>
      <c r="E3066" s="9" t="s">
        <v>4894</v>
      </c>
      <c r="F3066" s="109" t="str">
        <f t="shared" ref="F3066:G3066" si="3065">TRANSLATE(D3066,"lzh","vi")</f>
        <v>#NAME?</v>
      </c>
      <c r="G3066" s="109" t="str">
        <f t="shared" si="3065"/>
        <v>#NAME?</v>
      </c>
      <c r="X3066" s="110"/>
    </row>
    <row r="3067" ht="21.0" customHeight="1">
      <c r="A3067" s="6">
        <v>1.0</v>
      </c>
      <c r="B3067" s="6">
        <v>242.0</v>
      </c>
      <c r="C3067" s="6">
        <v>1.0</v>
      </c>
      <c r="D3067" s="161" t="s">
        <v>4914</v>
      </c>
      <c r="E3067" s="9" t="s">
        <v>4915</v>
      </c>
      <c r="F3067" s="109" t="str">
        <f t="shared" ref="F3067:G3067" si="3066">TRANSLATE(D3067,"lzh","vi")</f>
        <v>#NAME?</v>
      </c>
      <c r="G3067" s="109" t="str">
        <f t="shared" si="3066"/>
        <v>#NAME?</v>
      </c>
      <c r="X3067" s="110"/>
    </row>
    <row r="3068" ht="21.0" customHeight="1">
      <c r="A3068" s="6">
        <v>1.0</v>
      </c>
      <c r="B3068" s="6">
        <v>242.0</v>
      </c>
      <c r="C3068" s="6">
        <v>2.0</v>
      </c>
      <c r="D3068" s="161" t="s">
        <v>4916</v>
      </c>
      <c r="E3068" s="9" t="s">
        <v>4917</v>
      </c>
      <c r="F3068" s="109" t="str">
        <f t="shared" ref="F3068:G3068" si="3067">TRANSLATE(D3068,"lzh","vi")</f>
        <v>#NAME?</v>
      </c>
      <c r="G3068" s="109" t="str">
        <f t="shared" si="3067"/>
        <v>#NAME?</v>
      </c>
      <c r="X3068" s="110"/>
    </row>
    <row r="3069" ht="21.0" customHeight="1">
      <c r="A3069" s="6">
        <v>1.0</v>
      </c>
      <c r="B3069" s="6">
        <v>242.0</v>
      </c>
      <c r="C3069" s="6">
        <v>3.0</v>
      </c>
      <c r="D3069" s="161" t="s">
        <v>4918</v>
      </c>
      <c r="E3069" s="9" t="s">
        <v>4919</v>
      </c>
      <c r="F3069" s="109" t="str">
        <f t="shared" ref="F3069:G3069" si="3068">TRANSLATE(D3069,"lzh","vi")</f>
        <v>#NAME?</v>
      </c>
      <c r="G3069" s="109" t="str">
        <f t="shared" si="3068"/>
        <v>#NAME?</v>
      </c>
      <c r="X3069" s="110"/>
    </row>
    <row r="3070" ht="21.0" customHeight="1">
      <c r="A3070" s="6">
        <v>1.0</v>
      </c>
      <c r="B3070" s="6">
        <v>242.0</v>
      </c>
      <c r="C3070" s="6">
        <v>4.0</v>
      </c>
      <c r="D3070" s="161" t="s">
        <v>4920</v>
      </c>
      <c r="E3070" s="9" t="s">
        <v>4921</v>
      </c>
      <c r="F3070" s="109" t="str">
        <f t="shared" ref="F3070:G3070" si="3069">TRANSLATE(D3070,"lzh","vi")</f>
        <v>#NAME?</v>
      </c>
      <c r="G3070" s="109" t="str">
        <f t="shared" si="3069"/>
        <v>#NAME?</v>
      </c>
      <c r="X3070" s="110"/>
    </row>
    <row r="3071" ht="21.0" customHeight="1">
      <c r="A3071" s="6">
        <v>1.0</v>
      </c>
      <c r="B3071" s="6">
        <v>242.0</v>
      </c>
      <c r="C3071" s="6">
        <v>5.0</v>
      </c>
      <c r="D3071" s="161" t="s">
        <v>4922</v>
      </c>
      <c r="E3071" s="9" t="s">
        <v>4923</v>
      </c>
      <c r="F3071" s="109" t="str">
        <f t="shared" ref="F3071:G3071" si="3070">TRANSLATE(D3071,"lzh","vi")</f>
        <v>#NAME?</v>
      </c>
      <c r="G3071" s="109" t="str">
        <f t="shared" si="3070"/>
        <v>#NAME?</v>
      </c>
      <c r="X3071" s="110"/>
    </row>
    <row r="3072" ht="21.0" customHeight="1">
      <c r="A3072" s="6">
        <v>1.0</v>
      </c>
      <c r="B3072" s="6">
        <v>242.0</v>
      </c>
      <c r="C3072" s="6">
        <v>6.0</v>
      </c>
      <c r="D3072" s="161" t="s">
        <v>4924</v>
      </c>
      <c r="E3072" s="9" t="s">
        <v>4925</v>
      </c>
      <c r="F3072" s="109" t="str">
        <f t="shared" ref="F3072:G3072" si="3071">TRANSLATE(D3072,"lzh","vi")</f>
        <v>#NAME?</v>
      </c>
      <c r="G3072" s="109" t="str">
        <f t="shared" si="3071"/>
        <v>#NAME?</v>
      </c>
      <c r="X3072" s="110"/>
    </row>
    <row r="3073" ht="21.0" customHeight="1">
      <c r="A3073" s="6">
        <v>1.0</v>
      </c>
      <c r="B3073" s="6">
        <v>242.0</v>
      </c>
      <c r="C3073" s="6">
        <v>7.0</v>
      </c>
      <c r="D3073" s="161" t="s">
        <v>4926</v>
      </c>
      <c r="E3073" s="9" t="s">
        <v>4927</v>
      </c>
      <c r="F3073" s="109" t="str">
        <f t="shared" ref="F3073:G3073" si="3072">TRANSLATE(D3073,"lzh","vi")</f>
        <v>#NAME?</v>
      </c>
      <c r="G3073" s="109" t="str">
        <f t="shared" si="3072"/>
        <v>#NAME?</v>
      </c>
      <c r="X3073" s="110"/>
    </row>
    <row r="3074" ht="21.0" customHeight="1">
      <c r="A3074" s="6">
        <v>1.0</v>
      </c>
      <c r="B3074" s="6">
        <v>242.0</v>
      </c>
      <c r="C3074" s="6">
        <v>8.0</v>
      </c>
      <c r="D3074" s="161" t="s">
        <v>4928</v>
      </c>
      <c r="E3074" s="9" t="s">
        <v>4929</v>
      </c>
      <c r="F3074" s="109" t="str">
        <f t="shared" ref="F3074:G3074" si="3073">TRANSLATE(D3074,"lzh","vi")</f>
        <v>#NAME?</v>
      </c>
      <c r="G3074" s="109" t="str">
        <f t="shared" si="3073"/>
        <v>#NAME?</v>
      </c>
      <c r="X3074" s="110"/>
    </row>
    <row r="3075" ht="21.0" customHeight="1">
      <c r="A3075" s="6">
        <v>1.0</v>
      </c>
      <c r="B3075" s="6">
        <v>242.0</v>
      </c>
      <c r="C3075" s="6">
        <v>9.0</v>
      </c>
      <c r="D3075" s="161" t="s">
        <v>4930</v>
      </c>
      <c r="E3075" s="9" t="s">
        <v>4931</v>
      </c>
      <c r="F3075" s="109" t="str">
        <f t="shared" ref="F3075:G3075" si="3074">TRANSLATE(D3075,"lzh","vi")</f>
        <v>#NAME?</v>
      </c>
      <c r="G3075" s="109" t="str">
        <f t="shared" si="3074"/>
        <v>#NAME?</v>
      </c>
      <c r="X3075" s="110"/>
    </row>
    <row r="3076" ht="21.0" customHeight="1">
      <c r="A3076" s="6">
        <v>1.0</v>
      </c>
      <c r="B3076" s="6">
        <v>242.0</v>
      </c>
      <c r="C3076" s="6">
        <v>10.0</v>
      </c>
      <c r="D3076" s="161" t="s">
        <v>4932</v>
      </c>
      <c r="E3076" s="9" t="s">
        <v>4933</v>
      </c>
      <c r="F3076" s="109" t="str">
        <f t="shared" ref="F3076:G3076" si="3075">TRANSLATE(D3076,"lzh","vi")</f>
        <v>#NAME?</v>
      </c>
      <c r="G3076" s="109" t="str">
        <f t="shared" si="3075"/>
        <v>#NAME?</v>
      </c>
      <c r="X3076" s="110"/>
    </row>
    <row r="3077" ht="21.0" customHeight="1">
      <c r="A3077" s="6">
        <v>1.0</v>
      </c>
      <c r="B3077" s="6">
        <v>242.0</v>
      </c>
      <c r="C3077" s="6">
        <v>11.0</v>
      </c>
      <c r="D3077" s="161" t="s">
        <v>4934</v>
      </c>
      <c r="E3077" s="9" t="s">
        <v>4935</v>
      </c>
      <c r="F3077" s="109" t="str">
        <f t="shared" ref="F3077:G3077" si="3076">TRANSLATE(D3077,"lzh","vi")</f>
        <v>#NAME?</v>
      </c>
      <c r="G3077" s="109" t="str">
        <f t="shared" si="3076"/>
        <v>#NAME?</v>
      </c>
      <c r="X3077" s="110"/>
    </row>
    <row r="3078" ht="21.0" customHeight="1">
      <c r="A3078" s="6">
        <v>1.0</v>
      </c>
      <c r="B3078" s="6">
        <v>242.0</v>
      </c>
      <c r="C3078" s="6">
        <v>12.0</v>
      </c>
      <c r="D3078" s="161" t="s">
        <v>4936</v>
      </c>
      <c r="E3078" s="9" t="s">
        <v>4937</v>
      </c>
      <c r="F3078" s="109" t="str">
        <f t="shared" ref="F3078:G3078" si="3077">TRANSLATE(D3078,"lzh","vi")</f>
        <v>#NAME?</v>
      </c>
      <c r="G3078" s="109" t="str">
        <f t="shared" si="3077"/>
        <v>#NAME?</v>
      </c>
      <c r="X3078" s="110"/>
    </row>
    <row r="3079" ht="21.0" customHeight="1">
      <c r="A3079" s="6">
        <v>1.0</v>
      </c>
      <c r="B3079" s="6">
        <v>242.0</v>
      </c>
      <c r="C3079" s="6">
        <v>13.0</v>
      </c>
      <c r="D3079" s="161" t="s">
        <v>4938</v>
      </c>
      <c r="E3079" s="9" t="s">
        <v>4939</v>
      </c>
      <c r="F3079" s="109" t="str">
        <f t="shared" ref="F3079:G3079" si="3078">TRANSLATE(D3079,"lzh","vi")</f>
        <v>#NAME?</v>
      </c>
      <c r="G3079" s="109" t="str">
        <f t="shared" si="3078"/>
        <v>#NAME?</v>
      </c>
      <c r="X3079" s="110"/>
    </row>
    <row r="3080" ht="21.0" customHeight="1">
      <c r="A3080" s="6">
        <v>1.0</v>
      </c>
      <c r="B3080" s="6">
        <v>243.0</v>
      </c>
      <c r="C3080" s="6">
        <v>1.0</v>
      </c>
      <c r="D3080" s="122" t="s">
        <v>4940</v>
      </c>
      <c r="E3080" s="9" t="s">
        <v>4941</v>
      </c>
      <c r="F3080" s="109" t="str">
        <f t="shared" ref="F3080:G3080" si="3079">TRANSLATE(D3080,"lzh","vi")</f>
        <v>#NAME?</v>
      </c>
      <c r="G3080" s="109" t="str">
        <f t="shared" si="3079"/>
        <v>#NAME?</v>
      </c>
      <c r="X3080" s="110"/>
    </row>
    <row r="3081" ht="21.0" customHeight="1">
      <c r="A3081" s="6">
        <v>1.0</v>
      </c>
      <c r="B3081" s="6">
        <v>243.0</v>
      </c>
      <c r="C3081" s="6">
        <v>2.0</v>
      </c>
      <c r="D3081" s="122" t="s">
        <v>4942</v>
      </c>
      <c r="E3081" s="9" t="s">
        <v>4943</v>
      </c>
      <c r="F3081" s="109" t="str">
        <f t="shared" ref="F3081:G3081" si="3080">TRANSLATE(D3081,"lzh","vi")</f>
        <v>#NAME?</v>
      </c>
      <c r="G3081" s="109" t="str">
        <f t="shared" si="3080"/>
        <v>#NAME?</v>
      </c>
      <c r="X3081" s="110"/>
    </row>
    <row r="3082" ht="21.0" customHeight="1">
      <c r="A3082" s="6">
        <v>1.0</v>
      </c>
      <c r="B3082" s="6">
        <v>243.0</v>
      </c>
      <c r="C3082" s="6">
        <v>3.0</v>
      </c>
      <c r="D3082" s="122" t="s">
        <v>4944</v>
      </c>
      <c r="E3082" s="9" t="s">
        <v>4945</v>
      </c>
      <c r="F3082" s="109" t="str">
        <f t="shared" ref="F3082:G3082" si="3081">TRANSLATE(D3082,"lzh","vi")</f>
        <v>#NAME?</v>
      </c>
      <c r="G3082" s="109" t="str">
        <f t="shared" si="3081"/>
        <v>#NAME?</v>
      </c>
      <c r="X3082" s="110"/>
    </row>
    <row r="3083" ht="21.0" customHeight="1">
      <c r="A3083" s="6">
        <v>1.0</v>
      </c>
      <c r="B3083" s="6">
        <v>243.0</v>
      </c>
      <c r="C3083" s="6">
        <v>4.0</v>
      </c>
      <c r="D3083" s="122" t="s">
        <v>4946</v>
      </c>
      <c r="E3083" s="9" t="s">
        <v>4947</v>
      </c>
      <c r="F3083" s="109" t="str">
        <f t="shared" ref="F3083:G3083" si="3082">TRANSLATE(D3083,"lzh","vi")</f>
        <v>#NAME?</v>
      </c>
      <c r="G3083" s="109" t="str">
        <f t="shared" si="3082"/>
        <v>#NAME?</v>
      </c>
      <c r="X3083" s="110"/>
    </row>
    <row r="3084" ht="21.0" customHeight="1">
      <c r="A3084" s="6">
        <v>1.0</v>
      </c>
      <c r="B3084" s="6">
        <v>243.0</v>
      </c>
      <c r="C3084" s="6">
        <v>5.0</v>
      </c>
      <c r="D3084" s="122" t="s">
        <v>4948</v>
      </c>
      <c r="E3084" s="9" t="s">
        <v>4949</v>
      </c>
      <c r="F3084" s="109" t="str">
        <f t="shared" ref="F3084:G3084" si="3083">TRANSLATE(D3084,"lzh","vi")</f>
        <v>#NAME?</v>
      </c>
      <c r="G3084" s="109" t="str">
        <f t="shared" si="3083"/>
        <v>#NAME?</v>
      </c>
      <c r="X3084" s="110"/>
    </row>
    <row r="3085" ht="21.0" customHeight="1">
      <c r="A3085" s="6">
        <v>1.0</v>
      </c>
      <c r="B3085" s="6">
        <v>243.0</v>
      </c>
      <c r="C3085" s="6">
        <v>6.0</v>
      </c>
      <c r="D3085" s="122" t="s">
        <v>4950</v>
      </c>
      <c r="E3085" s="9" t="s">
        <v>4951</v>
      </c>
      <c r="F3085" s="109" t="str">
        <f t="shared" ref="F3085:G3085" si="3084">TRANSLATE(D3085,"lzh","vi")</f>
        <v>#NAME?</v>
      </c>
      <c r="G3085" s="109" t="str">
        <f t="shared" si="3084"/>
        <v>#NAME?</v>
      </c>
      <c r="X3085" s="110"/>
    </row>
    <row r="3086" ht="21.0" customHeight="1">
      <c r="A3086" s="6">
        <v>1.0</v>
      </c>
      <c r="B3086" s="6">
        <v>243.0</v>
      </c>
      <c r="C3086" s="6">
        <v>7.0</v>
      </c>
      <c r="D3086" s="122" t="s">
        <v>4952</v>
      </c>
      <c r="E3086" s="9" t="s">
        <v>4953</v>
      </c>
      <c r="F3086" s="109" t="str">
        <f t="shared" ref="F3086:G3086" si="3085">TRANSLATE(D3086,"lzh","vi")</f>
        <v>#NAME?</v>
      </c>
      <c r="G3086" s="109" t="str">
        <f t="shared" si="3085"/>
        <v>#NAME?</v>
      </c>
      <c r="X3086" s="110"/>
    </row>
    <row r="3087" ht="21.0" customHeight="1">
      <c r="A3087" s="6">
        <v>1.0</v>
      </c>
      <c r="B3087" s="6">
        <v>243.0</v>
      </c>
      <c r="C3087" s="6">
        <v>8.0</v>
      </c>
      <c r="D3087" s="122" t="s">
        <v>4954</v>
      </c>
      <c r="E3087" s="9" t="s">
        <v>4955</v>
      </c>
      <c r="F3087" s="109" t="str">
        <f t="shared" ref="F3087:G3087" si="3086">TRANSLATE(D3087,"lzh","vi")</f>
        <v>#NAME?</v>
      </c>
      <c r="G3087" s="109" t="str">
        <f t="shared" si="3086"/>
        <v>#NAME?</v>
      </c>
      <c r="X3087" s="110"/>
    </row>
    <row r="3088" ht="21.0" customHeight="1">
      <c r="A3088" s="6">
        <v>1.0</v>
      </c>
      <c r="B3088" s="6">
        <v>243.0</v>
      </c>
      <c r="C3088" s="6">
        <v>9.0</v>
      </c>
      <c r="D3088" s="122" t="s">
        <v>4956</v>
      </c>
      <c r="E3088" s="9" t="s">
        <v>4957</v>
      </c>
      <c r="F3088" s="109" t="str">
        <f t="shared" ref="F3088:G3088" si="3087">TRANSLATE(D3088,"lzh","vi")</f>
        <v>#NAME?</v>
      </c>
      <c r="G3088" s="109" t="str">
        <f t="shared" si="3087"/>
        <v>#NAME?</v>
      </c>
      <c r="X3088" s="110"/>
    </row>
    <row r="3089" ht="21.0" customHeight="1">
      <c r="A3089" s="6">
        <v>1.0</v>
      </c>
      <c r="B3089" s="6">
        <v>243.0</v>
      </c>
      <c r="C3089" s="6">
        <v>10.0</v>
      </c>
      <c r="D3089" s="122" t="s">
        <v>4958</v>
      </c>
      <c r="E3089" s="9" t="s">
        <v>4959</v>
      </c>
      <c r="F3089" s="109" t="str">
        <f t="shared" ref="F3089:G3089" si="3088">TRANSLATE(D3089,"lzh","vi")</f>
        <v>#NAME?</v>
      </c>
      <c r="G3089" s="109" t="str">
        <f t="shared" si="3088"/>
        <v>#NAME?</v>
      </c>
      <c r="X3089" s="110"/>
    </row>
    <row r="3090" ht="21.0" customHeight="1">
      <c r="A3090" s="6">
        <v>1.0</v>
      </c>
      <c r="B3090" s="6">
        <v>243.0</v>
      </c>
      <c r="C3090" s="6">
        <v>11.0</v>
      </c>
      <c r="D3090" s="122" t="s">
        <v>4960</v>
      </c>
      <c r="E3090" s="9" t="s">
        <v>4961</v>
      </c>
      <c r="F3090" s="109" t="str">
        <f t="shared" ref="F3090:G3090" si="3089">TRANSLATE(D3090,"lzh","vi")</f>
        <v>#NAME?</v>
      </c>
      <c r="G3090" s="109" t="str">
        <f t="shared" si="3089"/>
        <v>#NAME?</v>
      </c>
      <c r="X3090" s="110"/>
    </row>
    <row r="3091" ht="21.0" customHeight="1">
      <c r="A3091" s="6">
        <v>1.0</v>
      </c>
      <c r="B3091" s="6">
        <v>243.0</v>
      </c>
      <c r="C3091" s="6">
        <v>12.0</v>
      </c>
      <c r="D3091" s="122" t="s">
        <v>4962</v>
      </c>
      <c r="E3091" s="9" t="s">
        <v>4963</v>
      </c>
      <c r="F3091" s="109" t="str">
        <f t="shared" ref="F3091:G3091" si="3090">TRANSLATE(D3091,"lzh","vi")</f>
        <v>#NAME?</v>
      </c>
      <c r="G3091" s="109" t="str">
        <f t="shared" si="3090"/>
        <v>#NAME?</v>
      </c>
      <c r="X3091" s="110"/>
    </row>
    <row r="3092" ht="21.0" customHeight="1">
      <c r="A3092" s="6">
        <v>1.0</v>
      </c>
      <c r="B3092" s="6">
        <v>243.0</v>
      </c>
      <c r="C3092" s="6">
        <v>13.0</v>
      </c>
      <c r="D3092" s="122" t="s">
        <v>4964</v>
      </c>
      <c r="E3092" s="9" t="s">
        <v>4965</v>
      </c>
      <c r="F3092" s="109" t="str">
        <f t="shared" ref="F3092:G3092" si="3091">TRANSLATE(D3092,"lzh","vi")</f>
        <v>#NAME?</v>
      </c>
      <c r="G3092" s="109" t="str">
        <f t="shared" si="3091"/>
        <v>#NAME?</v>
      </c>
      <c r="X3092" s="110"/>
    </row>
    <row r="3093" ht="21.0" customHeight="1">
      <c r="A3093" s="6">
        <v>1.0</v>
      </c>
      <c r="B3093" s="6">
        <v>244.0</v>
      </c>
      <c r="C3093" s="6">
        <v>1.0</v>
      </c>
      <c r="D3093" s="162" t="s">
        <v>4966</v>
      </c>
      <c r="E3093" s="9" t="s">
        <v>4967</v>
      </c>
      <c r="F3093" s="109" t="str">
        <f t="shared" ref="F3093:G3093" si="3092">TRANSLATE(D3093,"lzh","vi")</f>
        <v>#NAME?</v>
      </c>
      <c r="G3093" s="109" t="str">
        <f t="shared" si="3092"/>
        <v>#NAME?</v>
      </c>
      <c r="X3093" s="110"/>
    </row>
    <row r="3094" ht="21.0" customHeight="1">
      <c r="A3094" s="6">
        <v>1.0</v>
      </c>
      <c r="B3094" s="6">
        <v>244.0</v>
      </c>
      <c r="C3094" s="6">
        <v>2.0</v>
      </c>
      <c r="D3094" s="162" t="s">
        <v>4968</v>
      </c>
      <c r="E3094" s="9" t="s">
        <v>4969</v>
      </c>
      <c r="F3094" s="109" t="str">
        <f t="shared" ref="F3094:G3094" si="3093">TRANSLATE(D3094,"lzh","vi")</f>
        <v>#NAME?</v>
      </c>
      <c r="G3094" s="109" t="str">
        <f t="shared" si="3093"/>
        <v>#NAME?</v>
      </c>
      <c r="X3094" s="110"/>
    </row>
    <row r="3095" ht="21.0" customHeight="1">
      <c r="A3095" s="6">
        <v>1.0</v>
      </c>
      <c r="B3095" s="6">
        <v>244.0</v>
      </c>
      <c r="C3095" s="6">
        <v>3.0</v>
      </c>
      <c r="D3095" s="162" t="s">
        <v>4970</v>
      </c>
      <c r="E3095" s="9" t="s">
        <v>4971</v>
      </c>
      <c r="F3095" s="109" t="str">
        <f t="shared" ref="F3095:G3095" si="3094">TRANSLATE(D3095,"lzh","vi")</f>
        <v>#NAME?</v>
      </c>
      <c r="G3095" s="109" t="str">
        <f t="shared" si="3094"/>
        <v>#NAME?</v>
      </c>
      <c r="X3095" s="110"/>
    </row>
    <row r="3096" ht="21.0" customHeight="1">
      <c r="A3096" s="6">
        <v>1.0</v>
      </c>
      <c r="B3096" s="6">
        <v>244.0</v>
      </c>
      <c r="C3096" s="6">
        <v>4.0</v>
      </c>
      <c r="D3096" s="162" t="s">
        <v>4972</v>
      </c>
      <c r="E3096" s="9" t="s">
        <v>4973</v>
      </c>
      <c r="F3096" s="109" t="str">
        <f t="shared" ref="F3096:G3096" si="3095">TRANSLATE(D3096,"lzh","vi")</f>
        <v>#NAME?</v>
      </c>
      <c r="G3096" s="109" t="str">
        <f t="shared" si="3095"/>
        <v>#NAME?</v>
      </c>
      <c r="X3096" s="110"/>
    </row>
    <row r="3097" ht="21.0" customHeight="1">
      <c r="A3097" s="6">
        <v>1.0</v>
      </c>
      <c r="B3097" s="6">
        <v>244.0</v>
      </c>
      <c r="C3097" s="6">
        <v>5.0</v>
      </c>
      <c r="D3097" s="162" t="s">
        <v>4974</v>
      </c>
      <c r="E3097" s="9" t="s">
        <v>4975</v>
      </c>
      <c r="F3097" s="109" t="str">
        <f t="shared" ref="F3097:G3097" si="3096">TRANSLATE(D3097,"lzh","vi")</f>
        <v>#NAME?</v>
      </c>
      <c r="G3097" s="109" t="str">
        <f t="shared" si="3096"/>
        <v>#NAME?</v>
      </c>
      <c r="X3097" s="110"/>
    </row>
    <row r="3098" ht="21.0" customHeight="1">
      <c r="A3098" s="6">
        <v>1.0</v>
      </c>
      <c r="B3098" s="6">
        <v>244.0</v>
      </c>
      <c r="C3098" s="6">
        <v>6.0</v>
      </c>
      <c r="D3098" s="162" t="s">
        <v>4976</v>
      </c>
      <c r="E3098" s="9" t="s">
        <v>4977</v>
      </c>
      <c r="F3098" s="109" t="str">
        <f t="shared" ref="F3098:G3098" si="3097">TRANSLATE(D3098,"lzh","vi")</f>
        <v>#NAME?</v>
      </c>
      <c r="G3098" s="109" t="str">
        <f t="shared" si="3097"/>
        <v>#NAME?</v>
      </c>
      <c r="X3098" s="110"/>
    </row>
    <row r="3099" ht="21.0" customHeight="1">
      <c r="A3099" s="6">
        <v>1.0</v>
      </c>
      <c r="B3099" s="6">
        <v>244.0</v>
      </c>
      <c r="C3099" s="6">
        <v>7.0</v>
      </c>
      <c r="D3099" s="162" t="s">
        <v>4978</v>
      </c>
      <c r="E3099" s="9" t="s">
        <v>4979</v>
      </c>
      <c r="F3099" s="109" t="str">
        <f t="shared" ref="F3099:G3099" si="3098">TRANSLATE(D3099,"lzh","vi")</f>
        <v>#NAME?</v>
      </c>
      <c r="G3099" s="109" t="str">
        <f t="shared" si="3098"/>
        <v>#NAME?</v>
      </c>
      <c r="X3099" s="110"/>
    </row>
    <row r="3100" ht="21.0" customHeight="1">
      <c r="A3100" s="6">
        <v>1.0</v>
      </c>
      <c r="B3100" s="6">
        <v>244.0</v>
      </c>
      <c r="C3100" s="6">
        <v>8.0</v>
      </c>
      <c r="D3100" s="162" t="s">
        <v>4980</v>
      </c>
      <c r="E3100" s="9" t="s">
        <v>4981</v>
      </c>
      <c r="F3100" s="109" t="str">
        <f t="shared" ref="F3100:G3100" si="3099">TRANSLATE(D3100,"lzh","vi")</f>
        <v>#NAME?</v>
      </c>
      <c r="G3100" s="109" t="str">
        <f t="shared" si="3099"/>
        <v>#NAME?</v>
      </c>
      <c r="X3100" s="110"/>
    </row>
    <row r="3101" ht="21.0" customHeight="1">
      <c r="A3101" s="6">
        <v>1.0</v>
      </c>
      <c r="B3101" s="6">
        <v>244.0</v>
      </c>
      <c r="C3101" s="6">
        <v>9.0</v>
      </c>
      <c r="D3101" s="162" t="s">
        <v>4982</v>
      </c>
      <c r="E3101" s="9" t="s">
        <v>4983</v>
      </c>
      <c r="F3101" s="109" t="str">
        <f t="shared" ref="F3101:G3101" si="3100">TRANSLATE(D3101,"lzh","vi")</f>
        <v>#NAME?</v>
      </c>
      <c r="G3101" s="109" t="str">
        <f t="shared" si="3100"/>
        <v>#NAME?</v>
      </c>
      <c r="X3101" s="110"/>
    </row>
    <row r="3102" ht="21.0" customHeight="1">
      <c r="A3102" s="6">
        <v>1.0</v>
      </c>
      <c r="B3102" s="6">
        <v>244.0</v>
      </c>
      <c r="C3102" s="6">
        <v>10.0</v>
      </c>
      <c r="D3102" s="162" t="s">
        <v>4984</v>
      </c>
      <c r="E3102" s="9" t="s">
        <v>4985</v>
      </c>
      <c r="F3102" s="109" t="str">
        <f t="shared" ref="F3102:G3102" si="3101">TRANSLATE(D3102,"lzh","vi")</f>
        <v>#NAME?</v>
      </c>
      <c r="G3102" s="109" t="str">
        <f t="shared" si="3101"/>
        <v>#NAME?</v>
      </c>
      <c r="X3102" s="110"/>
    </row>
    <row r="3103" ht="21.0" customHeight="1">
      <c r="A3103" s="6">
        <v>1.0</v>
      </c>
      <c r="B3103" s="6">
        <v>244.0</v>
      </c>
      <c r="C3103" s="6">
        <v>11.0</v>
      </c>
      <c r="D3103" s="162" t="s">
        <v>4986</v>
      </c>
      <c r="E3103" s="9" t="s">
        <v>4987</v>
      </c>
      <c r="F3103" s="109" t="str">
        <f t="shared" ref="F3103:G3103" si="3102">TRANSLATE(D3103,"lzh","vi")</f>
        <v>#NAME?</v>
      </c>
      <c r="G3103" s="109" t="str">
        <f t="shared" si="3102"/>
        <v>#NAME?</v>
      </c>
      <c r="X3103" s="110"/>
    </row>
    <row r="3104" ht="21.0" customHeight="1">
      <c r="A3104" s="6">
        <v>1.0</v>
      </c>
      <c r="B3104" s="6">
        <v>244.0</v>
      </c>
      <c r="C3104" s="6">
        <v>12.0</v>
      </c>
      <c r="D3104" s="162" t="s">
        <v>4988</v>
      </c>
      <c r="E3104" s="9" t="s">
        <v>4989</v>
      </c>
      <c r="F3104" s="109" t="str">
        <f t="shared" ref="F3104:G3104" si="3103">TRANSLATE(D3104,"lzh","vi")</f>
        <v>#NAME?</v>
      </c>
      <c r="G3104" s="109" t="str">
        <f t="shared" si="3103"/>
        <v>#NAME?</v>
      </c>
      <c r="X3104" s="110"/>
    </row>
    <row r="3105" ht="21.0" customHeight="1">
      <c r="A3105" s="6">
        <v>1.0</v>
      </c>
      <c r="B3105" s="6">
        <v>244.0</v>
      </c>
      <c r="C3105" s="6">
        <v>13.0</v>
      </c>
      <c r="D3105" s="162" t="s">
        <v>4990</v>
      </c>
      <c r="E3105" s="9" t="s">
        <v>4991</v>
      </c>
      <c r="F3105" s="109" t="str">
        <f t="shared" ref="F3105:G3105" si="3104">TRANSLATE(D3105,"lzh","vi")</f>
        <v>#NAME?</v>
      </c>
      <c r="G3105" s="109" t="str">
        <f t="shared" si="3104"/>
        <v>#NAME?</v>
      </c>
      <c r="X3105" s="110"/>
    </row>
    <row r="3106" ht="21.0" customHeight="1">
      <c r="A3106" s="6">
        <v>11.0</v>
      </c>
      <c r="B3106" s="6">
        <v>1067.0</v>
      </c>
      <c r="C3106" s="6">
        <v>1.0</v>
      </c>
      <c r="D3106" s="161" t="s">
        <v>4992</v>
      </c>
      <c r="E3106" s="9" t="s">
        <v>4993</v>
      </c>
      <c r="F3106" s="109" t="str">
        <f t="shared" ref="F3106:G3106" si="3105">TRANSLATE(D3106,"lzh","vi")</f>
        <v>#NAME?</v>
      </c>
      <c r="G3106" s="109" t="str">
        <f t="shared" si="3105"/>
        <v>#NAME?</v>
      </c>
      <c r="X3106" s="110"/>
    </row>
    <row r="3107" ht="21.0" customHeight="1">
      <c r="A3107" s="6">
        <v>11.0</v>
      </c>
      <c r="B3107" s="6">
        <v>1067.0</v>
      </c>
      <c r="C3107" s="6">
        <v>2.0</v>
      </c>
      <c r="D3107" s="161" t="s">
        <v>4994</v>
      </c>
      <c r="E3107" s="9" t="s">
        <v>4995</v>
      </c>
      <c r="F3107" s="109" t="str">
        <f t="shared" ref="F3107:G3107" si="3106">TRANSLATE(D3107,"lzh","vi")</f>
        <v>#NAME?</v>
      </c>
      <c r="G3107" s="109" t="str">
        <f t="shared" si="3106"/>
        <v>#NAME?</v>
      </c>
      <c r="X3107" s="110"/>
    </row>
    <row r="3108" ht="21.0" customHeight="1">
      <c r="A3108" s="6">
        <v>11.0</v>
      </c>
      <c r="B3108" s="6">
        <v>1067.0</v>
      </c>
      <c r="C3108" s="6">
        <v>3.0</v>
      </c>
      <c r="D3108" s="161" t="s">
        <v>4996</v>
      </c>
      <c r="E3108" s="9" t="s">
        <v>4997</v>
      </c>
      <c r="F3108" s="109" t="str">
        <f t="shared" ref="F3108:G3108" si="3107">TRANSLATE(D3108,"lzh","vi")</f>
        <v>#NAME?</v>
      </c>
      <c r="G3108" s="109" t="str">
        <f t="shared" si="3107"/>
        <v>#NAME?</v>
      </c>
      <c r="X3108" s="110"/>
    </row>
    <row r="3109" ht="21.0" customHeight="1">
      <c r="A3109" s="6">
        <v>11.0</v>
      </c>
      <c r="B3109" s="6">
        <v>1067.0</v>
      </c>
      <c r="C3109" s="6">
        <v>4.0</v>
      </c>
      <c r="D3109" s="161" t="s">
        <v>4998</v>
      </c>
      <c r="E3109" s="9" t="s">
        <v>4999</v>
      </c>
      <c r="F3109" s="109" t="str">
        <f t="shared" ref="F3109:G3109" si="3108">TRANSLATE(D3109,"lzh","vi")</f>
        <v>#NAME?</v>
      </c>
      <c r="G3109" s="109" t="str">
        <f t="shared" si="3108"/>
        <v>#NAME?</v>
      </c>
      <c r="X3109" s="110"/>
    </row>
    <row r="3110" ht="21.0" customHeight="1">
      <c r="A3110" s="6">
        <v>10.0</v>
      </c>
      <c r="B3110" s="6">
        <v>1067.0</v>
      </c>
      <c r="C3110" s="6">
        <v>5.0</v>
      </c>
      <c r="D3110" s="161" t="s">
        <v>5000</v>
      </c>
      <c r="E3110" s="9" t="s">
        <v>5001</v>
      </c>
      <c r="F3110" s="109" t="str">
        <f t="shared" ref="F3110:G3110" si="3109">TRANSLATE(D3110,"lzh","vi")</f>
        <v>#NAME?</v>
      </c>
      <c r="G3110" s="109" t="str">
        <f t="shared" si="3109"/>
        <v>#NAME?</v>
      </c>
      <c r="X3110" s="110"/>
    </row>
    <row r="3111" ht="21.0" customHeight="1">
      <c r="A3111" s="6">
        <v>10.0</v>
      </c>
      <c r="B3111" s="6">
        <v>1067.0</v>
      </c>
      <c r="C3111" s="6">
        <v>6.0</v>
      </c>
      <c r="D3111" s="161" t="s">
        <v>5002</v>
      </c>
      <c r="E3111" s="9" t="s">
        <v>5003</v>
      </c>
      <c r="F3111" s="109" t="str">
        <f t="shared" ref="F3111:G3111" si="3110">TRANSLATE(D3111,"lzh","vi")</f>
        <v>#NAME?</v>
      </c>
      <c r="G3111" s="109" t="str">
        <f t="shared" si="3110"/>
        <v>#NAME?</v>
      </c>
      <c r="X3111" s="110"/>
    </row>
    <row r="3112" ht="21.0" customHeight="1">
      <c r="A3112" s="6">
        <v>10.0</v>
      </c>
      <c r="B3112" s="6">
        <v>1067.0</v>
      </c>
      <c r="C3112" s="6">
        <v>7.0</v>
      </c>
      <c r="D3112" s="161" t="s">
        <v>5004</v>
      </c>
      <c r="E3112" s="9" t="s">
        <v>5005</v>
      </c>
      <c r="F3112" s="109" t="str">
        <f t="shared" ref="F3112:G3112" si="3111">TRANSLATE(D3112,"lzh","vi")</f>
        <v>#NAME?</v>
      </c>
      <c r="G3112" s="109" t="str">
        <f t="shared" si="3111"/>
        <v>#NAME?</v>
      </c>
      <c r="X3112" s="110"/>
    </row>
    <row r="3113" ht="21.0" customHeight="1">
      <c r="A3113" s="6">
        <v>10.0</v>
      </c>
      <c r="B3113" s="6">
        <v>1067.0</v>
      </c>
      <c r="C3113" s="6">
        <v>8.0</v>
      </c>
      <c r="D3113" s="161" t="s">
        <v>5006</v>
      </c>
      <c r="E3113" s="9" t="s">
        <v>5007</v>
      </c>
      <c r="F3113" s="109" t="str">
        <f t="shared" ref="F3113:G3113" si="3112">TRANSLATE(D3113,"lzh","vi")</f>
        <v>#NAME?</v>
      </c>
      <c r="G3113" s="109" t="str">
        <f t="shared" si="3112"/>
        <v>#NAME?</v>
      </c>
      <c r="X3113" s="110"/>
    </row>
    <row r="3114" ht="21.0" customHeight="1">
      <c r="A3114" s="6">
        <v>10.0</v>
      </c>
      <c r="B3114" s="6">
        <v>1067.0</v>
      </c>
      <c r="C3114" s="6">
        <v>9.0</v>
      </c>
      <c r="D3114" s="161" t="s">
        <v>5008</v>
      </c>
      <c r="E3114" s="9" t="s">
        <v>5009</v>
      </c>
      <c r="F3114" s="109" t="str">
        <f t="shared" ref="F3114:G3114" si="3113">TRANSLATE(D3114,"lzh","vi")</f>
        <v>#NAME?</v>
      </c>
      <c r="G3114" s="109" t="str">
        <f t="shared" si="3113"/>
        <v>#NAME?</v>
      </c>
      <c r="X3114" s="110"/>
    </row>
    <row r="3115" ht="21.0" customHeight="1">
      <c r="A3115" s="6">
        <v>10.0</v>
      </c>
      <c r="B3115" s="6">
        <v>1067.0</v>
      </c>
      <c r="C3115" s="6">
        <v>10.0</v>
      </c>
      <c r="D3115" s="161" t="s">
        <v>5010</v>
      </c>
      <c r="E3115" s="9" t="s">
        <v>5011</v>
      </c>
      <c r="F3115" s="109" t="str">
        <f t="shared" ref="F3115:G3115" si="3114">TRANSLATE(D3115,"lzh","vi")</f>
        <v>#NAME?</v>
      </c>
      <c r="G3115" s="109" t="str">
        <f t="shared" si="3114"/>
        <v>#NAME?</v>
      </c>
      <c r="X3115" s="110"/>
    </row>
    <row r="3116" ht="21.0" customHeight="1">
      <c r="A3116" s="6">
        <v>11.0</v>
      </c>
      <c r="B3116" s="6">
        <v>1068.0</v>
      </c>
      <c r="C3116" s="6">
        <v>1.0</v>
      </c>
      <c r="D3116" s="161" t="s">
        <v>5012</v>
      </c>
      <c r="E3116" s="9" t="s">
        <v>5013</v>
      </c>
      <c r="F3116" s="109" t="str">
        <f t="shared" ref="F3116:G3116" si="3115">TRANSLATE(D3116,"lzh","vi")</f>
        <v>#NAME?</v>
      </c>
      <c r="G3116" s="109" t="str">
        <f t="shared" si="3115"/>
        <v>#NAME?</v>
      </c>
      <c r="X3116" s="110"/>
    </row>
    <row r="3117" ht="21.0" customHeight="1">
      <c r="A3117" s="6">
        <v>11.0</v>
      </c>
      <c r="B3117" s="6">
        <v>1068.0</v>
      </c>
      <c r="C3117" s="6">
        <v>2.0</v>
      </c>
      <c r="D3117" s="161" t="s">
        <v>5014</v>
      </c>
      <c r="E3117" s="9" t="s">
        <v>5015</v>
      </c>
      <c r="F3117" s="109" t="str">
        <f t="shared" ref="F3117:G3117" si="3116">TRANSLATE(D3117,"lzh","vi")</f>
        <v>#NAME?</v>
      </c>
      <c r="G3117" s="109" t="str">
        <f t="shared" si="3116"/>
        <v>#NAME?</v>
      </c>
      <c r="X3117" s="110"/>
    </row>
    <row r="3118" ht="21.0" customHeight="1">
      <c r="A3118" s="6">
        <v>11.0</v>
      </c>
      <c r="B3118" s="6">
        <v>1068.0</v>
      </c>
      <c r="C3118" s="6">
        <v>3.0</v>
      </c>
      <c r="D3118" s="161" t="s">
        <v>5016</v>
      </c>
      <c r="E3118" s="9" t="s">
        <v>5017</v>
      </c>
      <c r="F3118" s="109" t="str">
        <f t="shared" ref="F3118:G3118" si="3117">TRANSLATE(D3118,"lzh","vi")</f>
        <v>#NAME?</v>
      </c>
      <c r="G3118" s="109" t="str">
        <f t="shared" si="3117"/>
        <v>#NAME?</v>
      </c>
      <c r="X3118" s="110"/>
    </row>
    <row r="3119" ht="21.0" customHeight="1">
      <c r="A3119" s="6">
        <v>11.0</v>
      </c>
      <c r="B3119" s="6">
        <v>1068.0</v>
      </c>
      <c r="C3119" s="6">
        <v>4.0</v>
      </c>
      <c r="D3119" s="161" t="s">
        <v>5018</v>
      </c>
      <c r="E3119" s="9" t="s">
        <v>5019</v>
      </c>
      <c r="F3119" s="109" t="str">
        <f t="shared" ref="F3119:G3119" si="3118">TRANSLATE(D3119,"lzh","vi")</f>
        <v>#NAME?</v>
      </c>
      <c r="G3119" s="109" t="str">
        <f t="shared" si="3118"/>
        <v>#NAME?</v>
      </c>
      <c r="X3119" s="110"/>
    </row>
    <row r="3120" ht="21.0" customHeight="1">
      <c r="A3120" s="6">
        <v>10.0</v>
      </c>
      <c r="B3120" s="6">
        <v>1068.0</v>
      </c>
      <c r="C3120" s="6">
        <v>5.0</v>
      </c>
      <c r="D3120" s="161" t="s">
        <v>5020</v>
      </c>
      <c r="E3120" s="9" t="s">
        <v>5021</v>
      </c>
      <c r="F3120" s="109" t="str">
        <f t="shared" ref="F3120:G3120" si="3119">TRANSLATE(D3120,"lzh","vi")</f>
        <v>#NAME?</v>
      </c>
      <c r="G3120" s="109" t="str">
        <f t="shared" si="3119"/>
        <v>#NAME?</v>
      </c>
      <c r="X3120" s="110"/>
    </row>
    <row r="3121" ht="21.0" customHeight="1">
      <c r="A3121" s="6">
        <v>10.0</v>
      </c>
      <c r="B3121" s="6">
        <v>1068.0</v>
      </c>
      <c r="C3121" s="6">
        <v>6.0</v>
      </c>
      <c r="D3121" s="161" t="s">
        <v>5022</v>
      </c>
      <c r="E3121" s="9" t="s">
        <v>5023</v>
      </c>
      <c r="F3121" s="109" t="str">
        <f t="shared" ref="F3121:G3121" si="3120">TRANSLATE(D3121,"lzh","vi")</f>
        <v>#NAME?</v>
      </c>
      <c r="G3121" s="109" t="str">
        <f t="shared" si="3120"/>
        <v>#NAME?</v>
      </c>
      <c r="X3121" s="110"/>
    </row>
    <row r="3122" ht="21.0" customHeight="1">
      <c r="A3122" s="6">
        <v>10.0</v>
      </c>
      <c r="B3122" s="6">
        <v>1068.0</v>
      </c>
      <c r="C3122" s="6">
        <v>7.0</v>
      </c>
      <c r="D3122" s="161" t="s">
        <v>5024</v>
      </c>
      <c r="E3122" s="9" t="s">
        <v>5025</v>
      </c>
      <c r="F3122" s="109" t="str">
        <f t="shared" ref="F3122:G3122" si="3121">TRANSLATE(D3122,"lzh","vi")</f>
        <v>#NAME?</v>
      </c>
      <c r="G3122" s="109" t="str">
        <f t="shared" si="3121"/>
        <v>#NAME?</v>
      </c>
      <c r="X3122" s="110"/>
    </row>
    <row r="3123" ht="21.0" customHeight="1">
      <c r="A3123" s="6">
        <v>10.0</v>
      </c>
      <c r="B3123" s="6">
        <v>1068.0</v>
      </c>
      <c r="C3123" s="6">
        <v>8.0</v>
      </c>
      <c r="D3123" s="161" t="s">
        <v>5026</v>
      </c>
      <c r="E3123" s="9" t="s">
        <v>5027</v>
      </c>
      <c r="F3123" s="109" t="str">
        <f t="shared" ref="F3123:G3123" si="3122">TRANSLATE(D3123,"lzh","vi")</f>
        <v>#NAME?</v>
      </c>
      <c r="G3123" s="109" t="str">
        <f t="shared" si="3122"/>
        <v>#NAME?</v>
      </c>
      <c r="X3123" s="110"/>
    </row>
    <row r="3124" ht="21.0" customHeight="1">
      <c r="A3124" s="6">
        <v>10.0</v>
      </c>
      <c r="B3124" s="6">
        <v>1068.0</v>
      </c>
      <c r="C3124" s="6">
        <v>9.0</v>
      </c>
      <c r="D3124" s="161" t="s">
        <v>5028</v>
      </c>
      <c r="E3124" s="9" t="s">
        <v>5029</v>
      </c>
      <c r="F3124" s="109" t="str">
        <f t="shared" ref="F3124:G3124" si="3123">TRANSLATE(D3124,"lzh","vi")</f>
        <v>#NAME?</v>
      </c>
      <c r="G3124" s="109" t="str">
        <f t="shared" si="3123"/>
        <v>#NAME?</v>
      </c>
      <c r="X3124" s="110"/>
    </row>
    <row r="3125" ht="21.0" customHeight="1">
      <c r="A3125" s="6">
        <v>10.0</v>
      </c>
      <c r="B3125" s="6">
        <v>1068.0</v>
      </c>
      <c r="C3125" s="6">
        <v>10.0</v>
      </c>
      <c r="D3125" s="161" t="s">
        <v>5030</v>
      </c>
      <c r="E3125" s="9" t="s">
        <v>5011</v>
      </c>
      <c r="F3125" s="109" t="str">
        <f t="shared" ref="F3125:G3125" si="3124">TRANSLATE(D3125,"lzh","vi")</f>
        <v>#NAME?</v>
      </c>
      <c r="G3125" s="109" t="str">
        <f t="shared" si="3124"/>
        <v>#NAME?</v>
      </c>
      <c r="X3125" s="110"/>
    </row>
    <row r="3126" ht="21.0" customHeight="1">
      <c r="A3126" s="6">
        <v>1.0</v>
      </c>
      <c r="B3126" s="6">
        <v>245.0</v>
      </c>
      <c r="C3126" s="6">
        <v>1.0</v>
      </c>
      <c r="D3126" s="167" t="s">
        <v>5031</v>
      </c>
      <c r="E3126" s="9" t="s">
        <v>5032</v>
      </c>
      <c r="F3126" s="109" t="str">
        <f t="shared" ref="F3126:G3126" si="3125">TRANSLATE(D3126,"lzh","vi")</f>
        <v>#NAME?</v>
      </c>
      <c r="G3126" s="109" t="str">
        <f t="shared" si="3125"/>
        <v>#NAME?</v>
      </c>
      <c r="X3126" s="110"/>
    </row>
    <row r="3127" ht="21.0" customHeight="1">
      <c r="A3127" s="6">
        <v>1.0</v>
      </c>
      <c r="B3127" s="6">
        <v>245.0</v>
      </c>
      <c r="C3127" s="6">
        <v>2.0</v>
      </c>
      <c r="D3127" s="167" t="s">
        <v>5033</v>
      </c>
      <c r="E3127" s="9" t="s">
        <v>5034</v>
      </c>
      <c r="F3127" s="109" t="str">
        <f t="shared" ref="F3127:G3127" si="3126">TRANSLATE(D3127,"lzh","vi")</f>
        <v>#NAME?</v>
      </c>
      <c r="G3127" s="109" t="str">
        <f t="shared" si="3126"/>
        <v>#NAME?</v>
      </c>
      <c r="X3127" s="110"/>
    </row>
    <row r="3128" ht="21.0" customHeight="1">
      <c r="A3128" s="6">
        <v>1.0</v>
      </c>
      <c r="B3128" s="6">
        <v>245.0</v>
      </c>
      <c r="C3128" s="6">
        <v>3.0</v>
      </c>
      <c r="D3128" s="167" t="s">
        <v>5035</v>
      </c>
      <c r="E3128" s="9" t="s">
        <v>5036</v>
      </c>
      <c r="F3128" s="109" t="str">
        <f t="shared" ref="F3128:G3128" si="3127">TRANSLATE(D3128,"lzh","vi")</f>
        <v>#NAME?</v>
      </c>
      <c r="G3128" s="109" t="str">
        <f t="shared" si="3127"/>
        <v>#NAME?</v>
      </c>
      <c r="X3128" s="110"/>
    </row>
    <row r="3129" ht="21.0" customHeight="1">
      <c r="A3129" s="6">
        <v>1.0</v>
      </c>
      <c r="B3129" s="6">
        <v>245.0</v>
      </c>
      <c r="C3129" s="6">
        <v>4.0</v>
      </c>
      <c r="D3129" s="167" t="s">
        <v>5037</v>
      </c>
      <c r="E3129" s="9" t="s">
        <v>5038</v>
      </c>
      <c r="F3129" s="109" t="str">
        <f t="shared" ref="F3129:G3129" si="3128">TRANSLATE(D3129,"lzh","vi")</f>
        <v>#NAME?</v>
      </c>
      <c r="G3129" s="109" t="str">
        <f t="shared" si="3128"/>
        <v>#NAME?</v>
      </c>
      <c r="X3129" s="110"/>
    </row>
    <row r="3130" ht="21.0" customHeight="1">
      <c r="A3130" s="6">
        <v>1.0</v>
      </c>
      <c r="B3130" s="6">
        <v>245.0</v>
      </c>
      <c r="C3130" s="6">
        <v>5.0</v>
      </c>
      <c r="D3130" s="167" t="s">
        <v>5039</v>
      </c>
      <c r="E3130" s="9" t="s">
        <v>5040</v>
      </c>
      <c r="F3130" s="109" t="str">
        <f t="shared" ref="F3130:G3130" si="3129">TRANSLATE(D3130,"lzh","vi")</f>
        <v>#NAME?</v>
      </c>
      <c r="G3130" s="109" t="str">
        <f t="shared" si="3129"/>
        <v>#NAME?</v>
      </c>
      <c r="X3130" s="110"/>
    </row>
    <row r="3131" ht="21.0" customHeight="1">
      <c r="A3131" s="6">
        <v>1.0</v>
      </c>
      <c r="B3131" s="6">
        <v>245.0</v>
      </c>
      <c r="C3131" s="6">
        <v>6.0</v>
      </c>
      <c r="D3131" s="167" t="s">
        <v>5041</v>
      </c>
      <c r="E3131" s="9" t="s">
        <v>5042</v>
      </c>
      <c r="F3131" s="109" t="str">
        <f t="shared" ref="F3131:G3131" si="3130">TRANSLATE(D3131,"lzh","vi")</f>
        <v>#NAME?</v>
      </c>
      <c r="G3131" s="109" t="str">
        <f t="shared" si="3130"/>
        <v>#NAME?</v>
      </c>
      <c r="X3131" s="110"/>
    </row>
    <row r="3132" ht="21.0" customHeight="1">
      <c r="A3132" s="6">
        <v>1.0</v>
      </c>
      <c r="B3132" s="6">
        <v>245.0</v>
      </c>
      <c r="C3132" s="6">
        <v>7.0</v>
      </c>
      <c r="D3132" s="167" t="s">
        <v>5043</v>
      </c>
      <c r="E3132" s="9" t="s">
        <v>5044</v>
      </c>
      <c r="F3132" s="109" t="str">
        <f t="shared" ref="F3132:G3132" si="3131">TRANSLATE(D3132,"lzh","vi")</f>
        <v>#NAME?</v>
      </c>
      <c r="G3132" s="109" t="str">
        <f t="shared" si="3131"/>
        <v>#NAME?</v>
      </c>
      <c r="X3132" s="110"/>
    </row>
    <row r="3133" ht="21.0" customHeight="1">
      <c r="A3133" s="6">
        <v>1.0</v>
      </c>
      <c r="B3133" s="6">
        <v>245.0</v>
      </c>
      <c r="C3133" s="6">
        <v>8.0</v>
      </c>
      <c r="D3133" s="167" t="s">
        <v>5045</v>
      </c>
      <c r="E3133" s="9" t="s">
        <v>5046</v>
      </c>
      <c r="F3133" s="109" t="str">
        <f t="shared" ref="F3133:G3133" si="3132">TRANSLATE(D3133,"lzh","vi")</f>
        <v>#NAME?</v>
      </c>
      <c r="G3133" s="109" t="str">
        <f t="shared" si="3132"/>
        <v>#NAME?</v>
      </c>
      <c r="X3133" s="110"/>
    </row>
    <row r="3134" ht="21.0" customHeight="1">
      <c r="A3134" s="6">
        <v>1.0</v>
      </c>
      <c r="B3134" s="6">
        <v>245.0</v>
      </c>
      <c r="C3134" s="6">
        <v>9.0</v>
      </c>
      <c r="D3134" s="167" t="s">
        <v>5047</v>
      </c>
      <c r="E3134" s="9" t="s">
        <v>5048</v>
      </c>
      <c r="F3134" s="109" t="str">
        <f t="shared" ref="F3134:G3134" si="3133">TRANSLATE(D3134,"lzh","vi")</f>
        <v>#NAME?</v>
      </c>
      <c r="G3134" s="109" t="str">
        <f t="shared" si="3133"/>
        <v>#NAME?</v>
      </c>
      <c r="X3134" s="110"/>
    </row>
    <row r="3135" ht="21.0" customHeight="1">
      <c r="A3135" s="6">
        <v>1.0</v>
      </c>
      <c r="B3135" s="6">
        <v>245.0</v>
      </c>
      <c r="C3135" s="6">
        <v>10.0</v>
      </c>
      <c r="D3135" s="167" t="s">
        <v>5049</v>
      </c>
      <c r="E3135" s="9" t="s">
        <v>5050</v>
      </c>
      <c r="F3135" s="109" t="str">
        <f t="shared" ref="F3135:G3135" si="3134">TRANSLATE(D3135,"lzh","vi")</f>
        <v>#NAME?</v>
      </c>
      <c r="G3135" s="109" t="str">
        <f t="shared" si="3134"/>
        <v>#NAME?</v>
      </c>
      <c r="X3135" s="110"/>
    </row>
    <row r="3136" ht="21.0" customHeight="1">
      <c r="A3136" s="6">
        <v>1.0</v>
      </c>
      <c r="B3136" s="6">
        <v>245.0</v>
      </c>
      <c r="C3136" s="6">
        <v>11.0</v>
      </c>
      <c r="D3136" s="167" t="s">
        <v>5051</v>
      </c>
      <c r="E3136" s="9" t="s">
        <v>5052</v>
      </c>
      <c r="F3136" s="109" t="str">
        <f t="shared" ref="F3136:G3136" si="3135">TRANSLATE(D3136,"lzh","vi")</f>
        <v>#NAME?</v>
      </c>
      <c r="G3136" s="109" t="str">
        <f t="shared" si="3135"/>
        <v>#NAME?</v>
      </c>
      <c r="X3136" s="110"/>
    </row>
    <row r="3137" ht="21.0" customHeight="1">
      <c r="A3137" s="6">
        <v>1.0</v>
      </c>
      <c r="B3137" s="6">
        <v>245.0</v>
      </c>
      <c r="C3137" s="6">
        <v>12.0</v>
      </c>
      <c r="D3137" s="167" t="s">
        <v>5053</v>
      </c>
      <c r="E3137" s="9" t="s">
        <v>5054</v>
      </c>
      <c r="F3137" s="109" t="str">
        <f t="shared" ref="F3137:G3137" si="3136">TRANSLATE(D3137,"lzh","vi")</f>
        <v>#NAME?</v>
      </c>
      <c r="G3137" s="109" t="str">
        <f t="shared" si="3136"/>
        <v>#NAME?</v>
      </c>
      <c r="X3137" s="110"/>
    </row>
    <row r="3138" ht="21.0" customHeight="1">
      <c r="A3138" s="6">
        <v>1.0</v>
      </c>
      <c r="B3138" s="6">
        <v>245.0</v>
      </c>
      <c r="C3138" s="6">
        <v>13.0</v>
      </c>
      <c r="D3138" s="167" t="s">
        <v>5055</v>
      </c>
      <c r="E3138" s="9" t="s">
        <v>5056</v>
      </c>
      <c r="F3138" s="109" t="str">
        <f t="shared" ref="F3138:G3138" si="3137">TRANSLATE(D3138,"lzh","vi")</f>
        <v>#NAME?</v>
      </c>
      <c r="G3138" s="109" t="str">
        <f t="shared" si="3137"/>
        <v>#NAME?</v>
      </c>
      <c r="X3138" s="110"/>
    </row>
    <row r="3139" ht="21.0" customHeight="1">
      <c r="A3139" s="6">
        <v>1.0</v>
      </c>
      <c r="B3139" s="6">
        <v>246.0</v>
      </c>
      <c r="C3139" s="6">
        <v>1.0</v>
      </c>
      <c r="D3139" s="122" t="s">
        <v>5057</v>
      </c>
      <c r="E3139" s="9" t="s">
        <v>5058</v>
      </c>
      <c r="F3139" s="109" t="str">
        <f t="shared" ref="F3139:G3139" si="3138">TRANSLATE(D3139,"lzh","vi")</f>
        <v>#NAME?</v>
      </c>
      <c r="G3139" s="109" t="str">
        <f t="shared" si="3138"/>
        <v>#NAME?</v>
      </c>
      <c r="X3139" s="110"/>
    </row>
    <row r="3140" ht="21.0" customHeight="1">
      <c r="A3140" s="6">
        <v>1.0</v>
      </c>
      <c r="B3140" s="6">
        <v>246.0</v>
      </c>
      <c r="C3140" s="6">
        <v>2.0</v>
      </c>
      <c r="D3140" s="122" t="s">
        <v>5059</v>
      </c>
      <c r="E3140" s="9" t="s">
        <v>5060</v>
      </c>
      <c r="F3140" s="109" t="str">
        <f t="shared" ref="F3140:G3140" si="3139">TRANSLATE(D3140,"lzh","vi")</f>
        <v>#NAME?</v>
      </c>
      <c r="G3140" s="109" t="str">
        <f t="shared" si="3139"/>
        <v>#NAME?</v>
      </c>
      <c r="X3140" s="110"/>
    </row>
    <row r="3141" ht="21.0" customHeight="1">
      <c r="A3141" s="6">
        <v>1.0</v>
      </c>
      <c r="B3141" s="6">
        <v>246.0</v>
      </c>
      <c r="C3141" s="6">
        <v>3.0</v>
      </c>
      <c r="D3141" s="122" t="s">
        <v>5061</v>
      </c>
      <c r="E3141" s="9" t="s">
        <v>5062</v>
      </c>
      <c r="F3141" s="109" t="str">
        <f t="shared" ref="F3141:G3141" si="3140">TRANSLATE(D3141,"lzh","vi")</f>
        <v>#NAME?</v>
      </c>
      <c r="G3141" s="109" t="str">
        <f t="shared" si="3140"/>
        <v>#NAME?</v>
      </c>
      <c r="X3141" s="110"/>
    </row>
    <row r="3142" ht="21.0" customHeight="1">
      <c r="A3142" s="6">
        <v>1.0</v>
      </c>
      <c r="B3142" s="6">
        <v>246.0</v>
      </c>
      <c r="C3142" s="6">
        <v>4.0</v>
      </c>
      <c r="D3142" s="122" t="s">
        <v>5063</v>
      </c>
      <c r="E3142" s="9" t="s">
        <v>5064</v>
      </c>
      <c r="F3142" s="109" t="str">
        <f t="shared" ref="F3142:G3142" si="3141">TRANSLATE(D3142,"lzh","vi")</f>
        <v>#NAME?</v>
      </c>
      <c r="G3142" s="109" t="str">
        <f t="shared" si="3141"/>
        <v>#NAME?</v>
      </c>
      <c r="X3142" s="110"/>
    </row>
    <row r="3143" ht="21.0" customHeight="1">
      <c r="A3143" s="6">
        <v>1.0</v>
      </c>
      <c r="B3143" s="6">
        <v>246.0</v>
      </c>
      <c r="C3143" s="6">
        <v>5.0</v>
      </c>
      <c r="D3143" s="122" t="s">
        <v>5065</v>
      </c>
      <c r="E3143" s="9" t="s">
        <v>5066</v>
      </c>
      <c r="F3143" s="109" t="str">
        <f t="shared" ref="F3143:G3143" si="3142">TRANSLATE(D3143,"lzh","vi")</f>
        <v>#NAME?</v>
      </c>
      <c r="G3143" s="109" t="str">
        <f t="shared" si="3142"/>
        <v>#NAME?</v>
      </c>
      <c r="X3143" s="110"/>
    </row>
    <row r="3144" ht="21.0" customHeight="1">
      <c r="A3144" s="6">
        <v>1.0</v>
      </c>
      <c r="B3144" s="6">
        <v>246.0</v>
      </c>
      <c r="C3144" s="6">
        <v>6.0</v>
      </c>
      <c r="D3144" s="122" t="s">
        <v>5067</v>
      </c>
      <c r="E3144" s="9" t="s">
        <v>5068</v>
      </c>
      <c r="F3144" s="109" t="str">
        <f t="shared" ref="F3144:G3144" si="3143">TRANSLATE(D3144,"lzh","vi")</f>
        <v>#NAME?</v>
      </c>
      <c r="G3144" s="109" t="str">
        <f t="shared" si="3143"/>
        <v>#NAME?</v>
      </c>
      <c r="X3144" s="110"/>
    </row>
    <row r="3145" ht="21.0" customHeight="1">
      <c r="A3145" s="6">
        <v>1.0</v>
      </c>
      <c r="B3145" s="6">
        <v>246.0</v>
      </c>
      <c r="C3145" s="6">
        <v>7.0</v>
      </c>
      <c r="D3145" s="122" t="s">
        <v>5069</v>
      </c>
      <c r="E3145" s="9" t="s">
        <v>5070</v>
      </c>
      <c r="F3145" s="109" t="str">
        <f t="shared" ref="F3145:G3145" si="3144">TRANSLATE(D3145,"lzh","vi")</f>
        <v>#NAME?</v>
      </c>
      <c r="G3145" s="109" t="str">
        <f t="shared" si="3144"/>
        <v>#NAME?</v>
      </c>
      <c r="X3145" s="110"/>
    </row>
    <row r="3146" ht="21.0" customHeight="1">
      <c r="A3146" s="6">
        <v>1.0</v>
      </c>
      <c r="B3146" s="6">
        <v>246.0</v>
      </c>
      <c r="C3146" s="6">
        <v>8.0</v>
      </c>
      <c r="D3146" s="122" t="s">
        <v>5071</v>
      </c>
      <c r="E3146" s="9" t="s">
        <v>5072</v>
      </c>
      <c r="F3146" s="109" t="str">
        <f t="shared" ref="F3146:G3146" si="3145">TRANSLATE(D3146,"lzh","vi")</f>
        <v>#NAME?</v>
      </c>
      <c r="G3146" s="109" t="str">
        <f t="shared" si="3145"/>
        <v>#NAME?</v>
      </c>
      <c r="X3146" s="110"/>
    </row>
    <row r="3147" ht="21.0" customHeight="1">
      <c r="A3147" s="6">
        <v>1.0</v>
      </c>
      <c r="B3147" s="6">
        <v>246.0</v>
      </c>
      <c r="C3147" s="6">
        <v>9.0</v>
      </c>
      <c r="D3147" s="122" t="s">
        <v>5073</v>
      </c>
      <c r="E3147" s="9" t="s">
        <v>5074</v>
      </c>
      <c r="F3147" s="109" t="str">
        <f t="shared" ref="F3147:G3147" si="3146">TRANSLATE(D3147,"lzh","vi")</f>
        <v>#NAME?</v>
      </c>
      <c r="G3147" s="109" t="str">
        <f t="shared" si="3146"/>
        <v>#NAME?</v>
      </c>
      <c r="X3147" s="110"/>
    </row>
    <row r="3148" ht="21.0" customHeight="1">
      <c r="A3148" s="6">
        <v>1.0</v>
      </c>
      <c r="B3148" s="6">
        <v>246.0</v>
      </c>
      <c r="C3148" s="6">
        <v>10.0</v>
      </c>
      <c r="D3148" s="122" t="s">
        <v>5075</v>
      </c>
      <c r="E3148" s="9" t="s">
        <v>5076</v>
      </c>
      <c r="F3148" s="109" t="str">
        <f t="shared" ref="F3148:G3148" si="3147">TRANSLATE(D3148,"lzh","vi")</f>
        <v>#NAME?</v>
      </c>
      <c r="G3148" s="109" t="str">
        <f t="shared" si="3147"/>
        <v>#NAME?</v>
      </c>
      <c r="X3148" s="110"/>
    </row>
    <row r="3149" ht="21.0" customHeight="1">
      <c r="A3149" s="6">
        <v>1.0</v>
      </c>
      <c r="B3149" s="6">
        <v>246.0</v>
      </c>
      <c r="C3149" s="6">
        <v>11.0</v>
      </c>
      <c r="D3149" s="122" t="s">
        <v>5077</v>
      </c>
      <c r="E3149" s="9" t="s">
        <v>5078</v>
      </c>
      <c r="F3149" s="109" t="str">
        <f t="shared" ref="F3149:G3149" si="3148">TRANSLATE(D3149,"lzh","vi")</f>
        <v>#NAME?</v>
      </c>
      <c r="G3149" s="109" t="str">
        <f t="shared" si="3148"/>
        <v>#NAME?</v>
      </c>
      <c r="X3149" s="110"/>
    </row>
    <row r="3150" ht="21.0" customHeight="1">
      <c r="A3150" s="6">
        <v>1.0</v>
      </c>
      <c r="B3150" s="6">
        <v>246.0</v>
      </c>
      <c r="C3150" s="6">
        <v>12.0</v>
      </c>
      <c r="D3150" s="122" t="s">
        <v>5079</v>
      </c>
      <c r="E3150" s="9" t="s">
        <v>5080</v>
      </c>
      <c r="F3150" s="109" t="str">
        <f t="shared" ref="F3150:G3150" si="3149">TRANSLATE(D3150,"lzh","vi")</f>
        <v>#NAME?</v>
      </c>
      <c r="G3150" s="109" t="str">
        <f t="shared" si="3149"/>
        <v>#NAME?</v>
      </c>
      <c r="X3150" s="110"/>
    </row>
    <row r="3151" ht="21.0" customHeight="1">
      <c r="A3151" s="6">
        <v>1.0</v>
      </c>
      <c r="B3151" s="6">
        <v>246.0</v>
      </c>
      <c r="C3151" s="6">
        <v>13.0</v>
      </c>
      <c r="D3151" s="122" t="s">
        <v>5081</v>
      </c>
      <c r="E3151" s="9" t="s">
        <v>5082</v>
      </c>
      <c r="F3151" s="109" t="str">
        <f t="shared" ref="F3151:G3151" si="3150">TRANSLATE(D3151,"lzh","vi")</f>
        <v>#NAME?</v>
      </c>
      <c r="G3151" s="109" t="str">
        <f t="shared" si="3150"/>
        <v>#NAME?</v>
      </c>
      <c r="X3151" s="110"/>
    </row>
    <row r="3152" ht="21.0" customHeight="1">
      <c r="A3152" s="6">
        <v>1.0</v>
      </c>
      <c r="B3152" s="6">
        <v>247.0</v>
      </c>
      <c r="C3152" s="6">
        <v>1.0</v>
      </c>
      <c r="D3152" s="162" t="s">
        <v>5083</v>
      </c>
      <c r="E3152" s="9" t="s">
        <v>5084</v>
      </c>
      <c r="F3152" s="109" t="str">
        <f t="shared" ref="F3152:G3152" si="3151">TRANSLATE(D3152,"lzh","vi")</f>
        <v>#NAME?</v>
      </c>
      <c r="G3152" s="109" t="str">
        <f t="shared" si="3151"/>
        <v>#NAME?</v>
      </c>
      <c r="X3152" s="110"/>
    </row>
    <row r="3153" ht="21.0" customHeight="1">
      <c r="A3153" s="6">
        <v>1.0</v>
      </c>
      <c r="B3153" s="6">
        <v>247.0</v>
      </c>
      <c r="C3153" s="6">
        <v>2.0</v>
      </c>
      <c r="D3153" s="113" t="s">
        <v>5085</v>
      </c>
      <c r="E3153" s="9" t="s">
        <v>5086</v>
      </c>
      <c r="F3153" s="109" t="str">
        <f t="shared" ref="F3153:G3153" si="3152">TRANSLATE(D3153,"lzh","vi")</f>
        <v>#NAME?</v>
      </c>
      <c r="G3153" s="109" t="str">
        <f t="shared" si="3152"/>
        <v>#NAME?</v>
      </c>
      <c r="X3153" s="110"/>
    </row>
    <row r="3154" ht="21.0" customHeight="1">
      <c r="A3154" s="6">
        <v>1.0</v>
      </c>
      <c r="B3154" s="6">
        <v>247.0</v>
      </c>
      <c r="C3154" s="6">
        <v>3.0</v>
      </c>
      <c r="D3154" s="162" t="s">
        <v>5087</v>
      </c>
      <c r="E3154" s="9" t="s">
        <v>5088</v>
      </c>
      <c r="F3154" s="109" t="str">
        <f t="shared" ref="F3154:G3154" si="3153">TRANSLATE(D3154,"lzh","vi")</f>
        <v>#NAME?</v>
      </c>
      <c r="G3154" s="109" t="str">
        <f t="shared" si="3153"/>
        <v>#NAME?</v>
      </c>
      <c r="X3154" s="110"/>
    </row>
    <row r="3155" ht="21.0" customHeight="1">
      <c r="A3155" s="6">
        <v>1.0</v>
      </c>
      <c r="B3155" s="6">
        <v>247.0</v>
      </c>
      <c r="C3155" s="6">
        <v>4.0</v>
      </c>
      <c r="D3155" s="162" t="s">
        <v>5089</v>
      </c>
      <c r="E3155" s="9" t="s">
        <v>5090</v>
      </c>
      <c r="F3155" s="109" t="str">
        <f t="shared" ref="F3155:G3155" si="3154">TRANSLATE(D3155,"lzh","vi")</f>
        <v>#NAME?</v>
      </c>
      <c r="G3155" s="109" t="str">
        <f t="shared" si="3154"/>
        <v>#NAME?</v>
      </c>
      <c r="X3155" s="110"/>
    </row>
    <row r="3156" ht="21.0" customHeight="1">
      <c r="A3156" s="6">
        <v>1.0</v>
      </c>
      <c r="B3156" s="6">
        <v>247.0</v>
      </c>
      <c r="C3156" s="6">
        <v>5.0</v>
      </c>
      <c r="D3156" s="162" t="s">
        <v>5091</v>
      </c>
      <c r="E3156" s="9" t="s">
        <v>5092</v>
      </c>
      <c r="F3156" s="109" t="str">
        <f t="shared" ref="F3156:G3156" si="3155">TRANSLATE(D3156,"lzh","vi")</f>
        <v>#NAME?</v>
      </c>
      <c r="G3156" s="109" t="str">
        <f t="shared" si="3155"/>
        <v>#NAME?</v>
      </c>
      <c r="X3156" s="110"/>
    </row>
    <row r="3157" ht="21.0" customHeight="1">
      <c r="A3157" s="6">
        <v>1.0</v>
      </c>
      <c r="B3157" s="6">
        <v>247.0</v>
      </c>
      <c r="C3157" s="6">
        <v>6.0</v>
      </c>
      <c r="D3157" s="162" t="s">
        <v>5093</v>
      </c>
      <c r="E3157" s="9" t="s">
        <v>5094</v>
      </c>
      <c r="F3157" s="109" t="str">
        <f t="shared" ref="F3157:G3157" si="3156">TRANSLATE(D3157,"lzh","vi")</f>
        <v>#NAME?</v>
      </c>
      <c r="G3157" s="109" t="str">
        <f t="shared" si="3156"/>
        <v>#NAME?</v>
      </c>
      <c r="X3157" s="110"/>
    </row>
    <row r="3158" ht="21.0" customHeight="1">
      <c r="A3158" s="6">
        <v>1.0</v>
      </c>
      <c r="B3158" s="6">
        <v>247.0</v>
      </c>
      <c r="C3158" s="6">
        <v>7.0</v>
      </c>
      <c r="D3158" s="162" t="s">
        <v>5095</v>
      </c>
      <c r="E3158" s="9" t="s">
        <v>5096</v>
      </c>
      <c r="F3158" s="109" t="str">
        <f t="shared" ref="F3158:G3158" si="3157">TRANSLATE(D3158,"lzh","vi")</f>
        <v>#NAME?</v>
      </c>
      <c r="G3158" s="109" t="str">
        <f t="shared" si="3157"/>
        <v>#NAME?</v>
      </c>
      <c r="X3158" s="110"/>
    </row>
    <row r="3159" ht="21.0" customHeight="1">
      <c r="A3159" s="6">
        <v>1.0</v>
      </c>
      <c r="B3159" s="6">
        <v>247.0</v>
      </c>
      <c r="C3159" s="6">
        <v>8.0</v>
      </c>
      <c r="D3159" s="162" t="s">
        <v>5097</v>
      </c>
      <c r="E3159" s="9" t="s">
        <v>5098</v>
      </c>
      <c r="F3159" s="109" t="str">
        <f t="shared" ref="F3159:G3159" si="3158">TRANSLATE(D3159,"lzh","vi")</f>
        <v>#NAME?</v>
      </c>
      <c r="G3159" s="109" t="str">
        <f t="shared" si="3158"/>
        <v>#NAME?</v>
      </c>
      <c r="X3159" s="110"/>
    </row>
    <row r="3160" ht="21.0" customHeight="1">
      <c r="A3160" s="6">
        <v>1.0</v>
      </c>
      <c r="B3160" s="6">
        <v>247.0</v>
      </c>
      <c r="C3160" s="6">
        <v>9.0</v>
      </c>
      <c r="D3160" s="162" t="s">
        <v>5099</v>
      </c>
      <c r="E3160" s="9" t="s">
        <v>5100</v>
      </c>
      <c r="F3160" s="109" t="str">
        <f t="shared" ref="F3160:G3160" si="3159">TRANSLATE(D3160,"lzh","vi")</f>
        <v>#NAME?</v>
      </c>
      <c r="G3160" s="109" t="str">
        <f t="shared" si="3159"/>
        <v>#NAME?</v>
      </c>
      <c r="X3160" s="110"/>
    </row>
    <row r="3161" ht="21.0" customHeight="1">
      <c r="A3161" s="6">
        <v>1.0</v>
      </c>
      <c r="B3161" s="6">
        <v>247.0</v>
      </c>
      <c r="C3161" s="6">
        <v>10.0</v>
      </c>
      <c r="D3161" s="162" t="s">
        <v>5101</v>
      </c>
      <c r="E3161" s="9" t="s">
        <v>5102</v>
      </c>
      <c r="F3161" s="109" t="str">
        <f t="shared" ref="F3161:G3161" si="3160">TRANSLATE(D3161,"lzh","vi")</f>
        <v>#NAME?</v>
      </c>
      <c r="G3161" s="109" t="str">
        <f t="shared" si="3160"/>
        <v>#NAME?</v>
      </c>
      <c r="X3161" s="110"/>
    </row>
    <row r="3162" ht="21.0" customHeight="1">
      <c r="A3162" s="6">
        <v>1.0</v>
      </c>
      <c r="B3162" s="6">
        <v>247.0</v>
      </c>
      <c r="C3162" s="6">
        <v>11.0</v>
      </c>
      <c r="D3162" s="162" t="s">
        <v>5103</v>
      </c>
      <c r="E3162" s="9" t="s">
        <v>5104</v>
      </c>
      <c r="F3162" s="109" t="str">
        <f t="shared" ref="F3162:G3162" si="3161">TRANSLATE(D3162,"lzh","vi")</f>
        <v>#NAME?</v>
      </c>
      <c r="G3162" s="109" t="str">
        <f t="shared" si="3161"/>
        <v>#NAME?</v>
      </c>
      <c r="X3162" s="110"/>
    </row>
    <row r="3163" ht="21.0" customHeight="1">
      <c r="A3163" s="6">
        <v>1.0</v>
      </c>
      <c r="B3163" s="6">
        <v>247.0</v>
      </c>
      <c r="C3163" s="6">
        <v>12.0</v>
      </c>
      <c r="D3163" s="122" t="s">
        <v>5105</v>
      </c>
      <c r="E3163" s="9" t="s">
        <v>5106</v>
      </c>
      <c r="F3163" s="109" t="str">
        <f t="shared" ref="F3163:G3163" si="3162">TRANSLATE(D3163,"lzh","vi")</f>
        <v>#NAME?</v>
      </c>
      <c r="G3163" s="109" t="str">
        <f t="shared" si="3162"/>
        <v>#NAME?</v>
      </c>
      <c r="X3163" s="110"/>
    </row>
    <row r="3164" ht="21.0" customHeight="1">
      <c r="A3164" s="6">
        <v>1.0</v>
      </c>
      <c r="B3164" s="6">
        <v>247.0</v>
      </c>
      <c r="C3164" s="6">
        <v>13.0</v>
      </c>
      <c r="D3164" s="162" t="s">
        <v>5107</v>
      </c>
      <c r="E3164" s="9" t="s">
        <v>5108</v>
      </c>
      <c r="F3164" s="109" t="str">
        <f t="shared" ref="F3164:G3164" si="3163">TRANSLATE(D3164,"lzh","vi")</f>
        <v>#NAME?</v>
      </c>
      <c r="G3164" s="109" t="str">
        <f t="shared" si="3163"/>
        <v>#NAME?</v>
      </c>
      <c r="X3164" s="110"/>
    </row>
    <row r="3165" ht="21.0" customHeight="1">
      <c r="A3165" s="6">
        <v>11.0</v>
      </c>
      <c r="B3165" s="6">
        <v>1069.0</v>
      </c>
      <c r="C3165" s="6">
        <v>1.0</v>
      </c>
      <c r="D3165" s="161" t="s">
        <v>5109</v>
      </c>
      <c r="E3165" s="9" t="s">
        <v>5110</v>
      </c>
      <c r="F3165" s="109" t="str">
        <f t="shared" ref="F3165:G3165" si="3164">TRANSLATE(D3165,"lzh","vi")</f>
        <v>#NAME?</v>
      </c>
      <c r="G3165" s="109" t="str">
        <f t="shared" si="3164"/>
        <v>#NAME?</v>
      </c>
      <c r="X3165" s="110"/>
    </row>
    <row r="3166" ht="21.0" customHeight="1">
      <c r="A3166" s="6">
        <v>11.0</v>
      </c>
      <c r="B3166" s="6">
        <v>1069.0</v>
      </c>
      <c r="C3166" s="6">
        <v>2.0</v>
      </c>
      <c r="D3166" s="161" t="s">
        <v>5111</v>
      </c>
      <c r="E3166" s="9" t="s">
        <v>5112</v>
      </c>
      <c r="F3166" s="109" t="str">
        <f t="shared" ref="F3166:G3166" si="3165">TRANSLATE(D3166,"lzh","vi")</f>
        <v>#NAME?</v>
      </c>
      <c r="G3166" s="109" t="str">
        <f t="shared" si="3165"/>
        <v>#NAME?</v>
      </c>
      <c r="X3166" s="110"/>
    </row>
    <row r="3167" ht="21.0" customHeight="1">
      <c r="A3167" s="6">
        <v>11.0</v>
      </c>
      <c r="B3167" s="6">
        <v>1069.0</v>
      </c>
      <c r="C3167" s="6">
        <v>3.0</v>
      </c>
      <c r="D3167" s="161" t="s">
        <v>5113</v>
      </c>
      <c r="E3167" s="9" t="s">
        <v>5114</v>
      </c>
      <c r="F3167" s="109" t="str">
        <f t="shared" ref="F3167:G3167" si="3166">TRANSLATE(D3167,"lzh","vi")</f>
        <v>#NAME?</v>
      </c>
      <c r="G3167" s="109" t="str">
        <f t="shared" si="3166"/>
        <v>#NAME?</v>
      </c>
      <c r="X3167" s="110"/>
    </row>
    <row r="3168" ht="21.0" customHeight="1">
      <c r="A3168" s="6">
        <v>11.0</v>
      </c>
      <c r="B3168" s="6">
        <v>1069.0</v>
      </c>
      <c r="C3168" s="6">
        <v>4.0</v>
      </c>
      <c r="D3168" s="161" t="s">
        <v>5115</v>
      </c>
      <c r="E3168" s="9" t="s">
        <v>5116</v>
      </c>
      <c r="F3168" s="109" t="str">
        <f t="shared" ref="F3168:G3168" si="3167">TRANSLATE(D3168,"lzh","vi")</f>
        <v>#NAME?</v>
      </c>
      <c r="G3168" s="109" t="str">
        <f t="shared" si="3167"/>
        <v>#NAME?</v>
      </c>
      <c r="X3168" s="110"/>
    </row>
    <row r="3169" ht="21.0" customHeight="1">
      <c r="A3169" s="6">
        <v>10.0</v>
      </c>
      <c r="B3169" s="6">
        <v>1069.0</v>
      </c>
      <c r="C3169" s="6">
        <v>5.0</v>
      </c>
      <c r="D3169" s="161" t="s">
        <v>5117</v>
      </c>
      <c r="E3169" s="9" t="s">
        <v>5118</v>
      </c>
      <c r="F3169" s="109" t="str">
        <f t="shared" ref="F3169:G3169" si="3168">TRANSLATE(D3169,"lzh","vi")</f>
        <v>#NAME?</v>
      </c>
      <c r="G3169" s="109" t="str">
        <f t="shared" si="3168"/>
        <v>#NAME?</v>
      </c>
      <c r="X3169" s="110"/>
    </row>
    <row r="3170" ht="21.0" customHeight="1">
      <c r="A3170" s="6">
        <v>10.0</v>
      </c>
      <c r="B3170" s="6">
        <v>1069.0</v>
      </c>
      <c r="C3170" s="6">
        <v>6.0</v>
      </c>
      <c r="D3170" s="161" t="s">
        <v>5119</v>
      </c>
      <c r="E3170" s="9" t="s">
        <v>5120</v>
      </c>
      <c r="F3170" s="109" t="str">
        <f t="shared" ref="F3170:G3170" si="3169">TRANSLATE(D3170,"lzh","vi")</f>
        <v>#NAME?</v>
      </c>
      <c r="G3170" s="109" t="str">
        <f t="shared" si="3169"/>
        <v>#NAME?</v>
      </c>
      <c r="X3170" s="110"/>
    </row>
    <row r="3171" ht="21.0" customHeight="1">
      <c r="A3171" s="6">
        <v>10.0</v>
      </c>
      <c r="B3171" s="6">
        <v>1069.0</v>
      </c>
      <c r="C3171" s="6">
        <v>7.0</v>
      </c>
      <c r="D3171" s="161" t="s">
        <v>5121</v>
      </c>
      <c r="E3171" s="9" t="s">
        <v>5122</v>
      </c>
      <c r="F3171" s="109" t="str">
        <f t="shared" ref="F3171:G3171" si="3170">TRANSLATE(D3171,"lzh","vi")</f>
        <v>#NAME?</v>
      </c>
      <c r="G3171" s="109" t="str">
        <f t="shared" si="3170"/>
        <v>#NAME?</v>
      </c>
      <c r="X3171" s="110"/>
    </row>
    <row r="3172" ht="21.0" customHeight="1">
      <c r="A3172" s="6">
        <v>10.0</v>
      </c>
      <c r="B3172" s="6">
        <v>1069.0</v>
      </c>
      <c r="C3172" s="6">
        <v>8.0</v>
      </c>
      <c r="D3172" s="161" t="s">
        <v>5123</v>
      </c>
      <c r="E3172" s="9" t="s">
        <v>5124</v>
      </c>
      <c r="F3172" s="109" t="str">
        <f t="shared" ref="F3172:G3172" si="3171">TRANSLATE(D3172,"lzh","vi")</f>
        <v>#NAME?</v>
      </c>
      <c r="G3172" s="109" t="str">
        <f t="shared" si="3171"/>
        <v>#NAME?</v>
      </c>
      <c r="X3172" s="110"/>
    </row>
    <row r="3173" ht="21.0" customHeight="1">
      <c r="A3173" s="6">
        <v>10.0</v>
      </c>
      <c r="B3173" s="6">
        <v>1069.0</v>
      </c>
      <c r="C3173" s="6">
        <v>9.0</v>
      </c>
      <c r="D3173" s="161" t="s">
        <v>5125</v>
      </c>
      <c r="E3173" s="9" t="s">
        <v>5126</v>
      </c>
      <c r="F3173" s="109" t="str">
        <f t="shared" ref="F3173:G3173" si="3172">TRANSLATE(D3173,"lzh","vi")</f>
        <v>#NAME?</v>
      </c>
      <c r="G3173" s="109" t="str">
        <f t="shared" si="3172"/>
        <v>#NAME?</v>
      </c>
      <c r="X3173" s="110"/>
    </row>
    <row r="3174" ht="21.0" customHeight="1">
      <c r="A3174" s="6">
        <v>10.0</v>
      </c>
      <c r="B3174" s="6">
        <v>1069.0</v>
      </c>
      <c r="C3174" s="6">
        <v>10.0</v>
      </c>
      <c r="D3174" s="161" t="s">
        <v>5127</v>
      </c>
      <c r="E3174" s="9" t="s">
        <v>5128</v>
      </c>
      <c r="F3174" s="109" t="str">
        <f t="shared" ref="F3174:G3174" si="3173">TRANSLATE(D3174,"lzh","vi")</f>
        <v>#NAME?</v>
      </c>
      <c r="G3174" s="109" t="str">
        <f t="shared" si="3173"/>
        <v>#NAME?</v>
      </c>
      <c r="X3174" s="110"/>
    </row>
    <row r="3175" ht="21.0" customHeight="1">
      <c r="A3175" s="6">
        <v>11.0</v>
      </c>
      <c r="B3175" s="6">
        <v>1070.0</v>
      </c>
      <c r="C3175" s="6">
        <v>1.0</v>
      </c>
      <c r="D3175" s="161" t="s">
        <v>5129</v>
      </c>
      <c r="E3175" s="9" t="s">
        <v>5130</v>
      </c>
      <c r="F3175" s="109" t="str">
        <f t="shared" ref="F3175:G3175" si="3174">TRANSLATE(D3175,"lzh","vi")</f>
        <v>#NAME?</v>
      </c>
      <c r="G3175" s="109" t="str">
        <f t="shared" si="3174"/>
        <v>#NAME?</v>
      </c>
      <c r="X3175" s="110"/>
    </row>
    <row r="3176" ht="21.0" customHeight="1">
      <c r="A3176" s="6">
        <v>11.0</v>
      </c>
      <c r="B3176" s="6">
        <v>1070.0</v>
      </c>
      <c r="C3176" s="6">
        <v>2.0</v>
      </c>
      <c r="D3176" s="161" t="s">
        <v>5131</v>
      </c>
      <c r="E3176" s="9" t="s">
        <v>5132</v>
      </c>
      <c r="F3176" s="109" t="str">
        <f t="shared" ref="F3176:G3176" si="3175">TRANSLATE(D3176,"lzh","vi")</f>
        <v>#NAME?</v>
      </c>
      <c r="G3176" s="109" t="str">
        <f t="shared" si="3175"/>
        <v>#NAME?</v>
      </c>
      <c r="X3176" s="110"/>
    </row>
    <row r="3177" ht="21.0" customHeight="1">
      <c r="A3177" s="6">
        <v>11.0</v>
      </c>
      <c r="B3177" s="6">
        <v>1070.0</v>
      </c>
      <c r="C3177" s="6">
        <v>3.0</v>
      </c>
      <c r="D3177" s="161" t="s">
        <v>5133</v>
      </c>
      <c r="E3177" s="9" t="s">
        <v>5134</v>
      </c>
      <c r="F3177" s="109" t="str">
        <f t="shared" ref="F3177:G3177" si="3176">TRANSLATE(D3177,"lzh","vi")</f>
        <v>#NAME?</v>
      </c>
      <c r="G3177" s="109" t="str">
        <f t="shared" si="3176"/>
        <v>#NAME?</v>
      </c>
      <c r="X3177" s="110"/>
    </row>
    <row r="3178" ht="21.0" customHeight="1">
      <c r="A3178" s="6">
        <v>11.0</v>
      </c>
      <c r="B3178" s="6">
        <v>1070.0</v>
      </c>
      <c r="C3178" s="6">
        <v>4.0</v>
      </c>
      <c r="D3178" s="161" t="s">
        <v>5135</v>
      </c>
      <c r="E3178" s="9" t="s">
        <v>5136</v>
      </c>
      <c r="F3178" s="109" t="str">
        <f t="shared" ref="F3178:G3178" si="3177">TRANSLATE(D3178,"lzh","vi")</f>
        <v>#NAME?</v>
      </c>
      <c r="G3178" s="109" t="str">
        <f t="shared" si="3177"/>
        <v>#NAME?</v>
      </c>
      <c r="X3178" s="110"/>
    </row>
    <row r="3179" ht="21.0" customHeight="1">
      <c r="A3179" s="6">
        <v>10.0</v>
      </c>
      <c r="B3179" s="6">
        <v>1070.0</v>
      </c>
      <c r="C3179" s="6">
        <v>5.0</v>
      </c>
      <c r="D3179" s="161" t="s">
        <v>5137</v>
      </c>
      <c r="E3179" s="9" t="s">
        <v>5138</v>
      </c>
      <c r="F3179" s="109" t="str">
        <f t="shared" ref="F3179:G3179" si="3178">TRANSLATE(D3179,"lzh","vi")</f>
        <v>#NAME?</v>
      </c>
      <c r="G3179" s="109" t="str">
        <f t="shared" si="3178"/>
        <v>#NAME?</v>
      </c>
      <c r="X3179" s="110"/>
    </row>
    <row r="3180" ht="21.0" customHeight="1">
      <c r="A3180" s="6">
        <v>10.0</v>
      </c>
      <c r="B3180" s="6">
        <v>1070.0</v>
      </c>
      <c r="C3180" s="6">
        <v>6.0</v>
      </c>
      <c r="D3180" s="161" t="s">
        <v>5139</v>
      </c>
      <c r="E3180" s="9" t="s">
        <v>5140</v>
      </c>
      <c r="F3180" s="109" t="str">
        <f t="shared" ref="F3180:G3180" si="3179">TRANSLATE(D3180,"lzh","vi")</f>
        <v>#NAME?</v>
      </c>
      <c r="G3180" s="109" t="str">
        <f t="shared" si="3179"/>
        <v>#NAME?</v>
      </c>
      <c r="X3180" s="110"/>
    </row>
    <row r="3181" ht="21.0" customHeight="1">
      <c r="A3181" s="6">
        <v>10.0</v>
      </c>
      <c r="B3181" s="6">
        <v>1070.0</v>
      </c>
      <c r="C3181" s="6">
        <v>7.0</v>
      </c>
      <c r="D3181" s="161" t="s">
        <v>5141</v>
      </c>
      <c r="E3181" s="9" t="s">
        <v>5142</v>
      </c>
      <c r="F3181" s="109" t="str">
        <f t="shared" ref="F3181:G3181" si="3180">TRANSLATE(D3181,"lzh","vi")</f>
        <v>#NAME?</v>
      </c>
      <c r="G3181" s="109" t="str">
        <f t="shared" si="3180"/>
        <v>#NAME?</v>
      </c>
      <c r="X3181" s="110"/>
    </row>
    <row r="3182" ht="21.0" customHeight="1">
      <c r="A3182" s="6">
        <v>10.0</v>
      </c>
      <c r="B3182" s="6">
        <v>1070.0</v>
      </c>
      <c r="C3182" s="6">
        <v>8.0</v>
      </c>
      <c r="D3182" s="161" t="s">
        <v>5143</v>
      </c>
      <c r="E3182" s="9" t="s">
        <v>5144</v>
      </c>
      <c r="F3182" s="109" t="str">
        <f t="shared" ref="F3182:G3182" si="3181">TRANSLATE(D3182,"lzh","vi")</f>
        <v>#NAME?</v>
      </c>
      <c r="G3182" s="109" t="str">
        <f t="shared" si="3181"/>
        <v>#NAME?</v>
      </c>
      <c r="X3182" s="110"/>
    </row>
    <row r="3183" ht="21.0" customHeight="1">
      <c r="A3183" s="6">
        <v>10.0</v>
      </c>
      <c r="B3183" s="6">
        <v>1070.0</v>
      </c>
      <c r="C3183" s="6">
        <v>9.0</v>
      </c>
      <c r="D3183" s="161" t="s">
        <v>5145</v>
      </c>
      <c r="E3183" s="9" t="s">
        <v>5146</v>
      </c>
      <c r="F3183" s="109" t="str">
        <f t="shared" ref="F3183:G3183" si="3182">TRANSLATE(D3183,"lzh","vi")</f>
        <v>#NAME?</v>
      </c>
      <c r="G3183" s="109" t="str">
        <f t="shared" si="3182"/>
        <v>#NAME?</v>
      </c>
      <c r="X3183" s="110"/>
    </row>
    <row r="3184" ht="21.0" customHeight="1">
      <c r="A3184" s="6">
        <v>10.0</v>
      </c>
      <c r="B3184" s="6">
        <v>1070.0</v>
      </c>
      <c r="C3184" s="6">
        <v>10.0</v>
      </c>
      <c r="D3184" s="161" t="s">
        <v>5147</v>
      </c>
      <c r="E3184" s="9" t="s">
        <v>5148</v>
      </c>
      <c r="F3184" s="109" t="str">
        <f t="shared" ref="F3184:G3184" si="3183">TRANSLATE(D3184,"lzh","vi")</f>
        <v>#NAME?</v>
      </c>
      <c r="G3184" s="109" t="str">
        <f t="shared" si="3183"/>
        <v>#NAME?</v>
      </c>
      <c r="X3184" s="110"/>
    </row>
    <row r="3185" ht="21.0" customHeight="1">
      <c r="A3185" s="6">
        <v>1.0</v>
      </c>
      <c r="B3185" s="6">
        <v>248.0</v>
      </c>
      <c r="C3185" s="6">
        <v>1.0</v>
      </c>
      <c r="D3185" s="167" t="s">
        <v>5149</v>
      </c>
      <c r="E3185" s="9" t="s">
        <v>5150</v>
      </c>
      <c r="F3185" s="109" t="str">
        <f t="shared" ref="F3185:G3185" si="3184">TRANSLATE(D3185,"lzh","vi")</f>
        <v>#NAME?</v>
      </c>
      <c r="G3185" s="109" t="str">
        <f t="shared" si="3184"/>
        <v>#NAME?</v>
      </c>
      <c r="X3185" s="110"/>
    </row>
    <row r="3186" ht="21.0" customHeight="1">
      <c r="A3186" s="6">
        <v>1.0</v>
      </c>
      <c r="B3186" s="6">
        <v>248.0</v>
      </c>
      <c r="C3186" s="6">
        <v>2.0</v>
      </c>
      <c r="D3186" s="167" t="s">
        <v>5151</v>
      </c>
      <c r="E3186" s="9" t="s">
        <v>5152</v>
      </c>
      <c r="F3186" s="109" t="str">
        <f t="shared" ref="F3186:G3186" si="3185">TRANSLATE(D3186,"lzh","vi")</f>
        <v>#NAME?</v>
      </c>
      <c r="G3186" s="109" t="str">
        <f t="shared" si="3185"/>
        <v>#NAME?</v>
      </c>
      <c r="X3186" s="110"/>
    </row>
    <row r="3187" ht="21.0" customHeight="1">
      <c r="A3187" s="6">
        <v>1.0</v>
      </c>
      <c r="B3187" s="6">
        <v>248.0</v>
      </c>
      <c r="C3187" s="6">
        <v>3.0</v>
      </c>
      <c r="D3187" s="167" t="s">
        <v>5153</v>
      </c>
      <c r="E3187" s="9" t="s">
        <v>5154</v>
      </c>
      <c r="F3187" s="109" t="str">
        <f t="shared" ref="F3187:G3187" si="3186">TRANSLATE(D3187,"lzh","vi")</f>
        <v>#NAME?</v>
      </c>
      <c r="G3187" s="109" t="str">
        <f t="shared" si="3186"/>
        <v>#NAME?</v>
      </c>
      <c r="X3187" s="110"/>
    </row>
    <row r="3188" ht="21.0" customHeight="1">
      <c r="A3188" s="6">
        <v>1.0</v>
      </c>
      <c r="B3188" s="6">
        <v>248.0</v>
      </c>
      <c r="C3188" s="6">
        <v>4.0</v>
      </c>
      <c r="D3188" s="167" t="s">
        <v>5155</v>
      </c>
      <c r="E3188" s="9" t="s">
        <v>5156</v>
      </c>
      <c r="F3188" s="109" t="str">
        <f t="shared" ref="F3188:G3188" si="3187">TRANSLATE(D3188,"lzh","vi")</f>
        <v>#NAME?</v>
      </c>
      <c r="G3188" s="109" t="str">
        <f t="shared" si="3187"/>
        <v>#NAME?</v>
      </c>
      <c r="X3188" s="110"/>
    </row>
    <row r="3189" ht="21.0" customHeight="1">
      <c r="A3189" s="6">
        <v>1.0</v>
      </c>
      <c r="B3189" s="6">
        <v>248.0</v>
      </c>
      <c r="C3189" s="6">
        <v>5.0</v>
      </c>
      <c r="D3189" s="167" t="s">
        <v>5157</v>
      </c>
      <c r="E3189" s="9" t="s">
        <v>5158</v>
      </c>
      <c r="F3189" s="109" t="str">
        <f t="shared" ref="F3189:G3189" si="3188">TRANSLATE(D3189,"lzh","vi")</f>
        <v>#NAME?</v>
      </c>
      <c r="G3189" s="109" t="str">
        <f t="shared" si="3188"/>
        <v>#NAME?</v>
      </c>
      <c r="X3189" s="110"/>
    </row>
    <row r="3190" ht="21.0" customHeight="1">
      <c r="A3190" s="6">
        <v>1.0</v>
      </c>
      <c r="B3190" s="6">
        <v>248.0</v>
      </c>
      <c r="C3190" s="6">
        <v>6.0</v>
      </c>
      <c r="D3190" s="167" t="s">
        <v>5159</v>
      </c>
      <c r="E3190" s="9" t="s">
        <v>5160</v>
      </c>
      <c r="F3190" s="109" t="str">
        <f t="shared" ref="F3190:G3190" si="3189">TRANSLATE(D3190,"lzh","vi")</f>
        <v>#NAME?</v>
      </c>
      <c r="G3190" s="109" t="str">
        <f t="shared" si="3189"/>
        <v>#NAME?</v>
      </c>
      <c r="X3190" s="110"/>
    </row>
    <row r="3191" ht="21.0" customHeight="1">
      <c r="A3191" s="6">
        <v>1.0</v>
      </c>
      <c r="B3191" s="6">
        <v>248.0</v>
      </c>
      <c r="C3191" s="6">
        <v>7.0</v>
      </c>
      <c r="D3191" s="167" t="s">
        <v>5161</v>
      </c>
      <c r="E3191" s="9" t="s">
        <v>5162</v>
      </c>
      <c r="F3191" s="109" t="str">
        <f t="shared" ref="F3191:G3191" si="3190">TRANSLATE(D3191,"lzh","vi")</f>
        <v>#NAME?</v>
      </c>
      <c r="G3191" s="109" t="str">
        <f t="shared" si="3190"/>
        <v>#NAME?</v>
      </c>
      <c r="X3191" s="110"/>
    </row>
    <row r="3192" ht="21.0" customHeight="1">
      <c r="A3192" s="6">
        <v>1.0</v>
      </c>
      <c r="B3192" s="6">
        <v>248.0</v>
      </c>
      <c r="C3192" s="6">
        <v>8.0</v>
      </c>
      <c r="D3192" s="167" t="s">
        <v>5163</v>
      </c>
      <c r="E3192" s="9" t="s">
        <v>5164</v>
      </c>
      <c r="F3192" s="109" t="str">
        <f t="shared" ref="F3192:G3192" si="3191">TRANSLATE(D3192,"lzh","vi")</f>
        <v>#NAME?</v>
      </c>
      <c r="G3192" s="109" t="str">
        <f t="shared" si="3191"/>
        <v>#NAME?</v>
      </c>
      <c r="X3192" s="110"/>
    </row>
    <row r="3193" ht="21.0" customHeight="1">
      <c r="A3193" s="6">
        <v>1.0</v>
      </c>
      <c r="B3193" s="6">
        <v>248.0</v>
      </c>
      <c r="C3193" s="6">
        <v>9.0</v>
      </c>
      <c r="D3193" s="167" t="s">
        <v>5165</v>
      </c>
      <c r="E3193" s="9" t="s">
        <v>5166</v>
      </c>
      <c r="F3193" s="109" t="str">
        <f t="shared" ref="F3193:G3193" si="3192">TRANSLATE(D3193,"lzh","vi")</f>
        <v>#NAME?</v>
      </c>
      <c r="G3193" s="109" t="str">
        <f t="shared" si="3192"/>
        <v>#NAME?</v>
      </c>
      <c r="X3193" s="110"/>
    </row>
    <row r="3194" ht="21.0" customHeight="1">
      <c r="A3194" s="6">
        <v>1.0</v>
      </c>
      <c r="B3194" s="6">
        <v>248.0</v>
      </c>
      <c r="C3194" s="6">
        <v>10.0</v>
      </c>
      <c r="D3194" s="167" t="s">
        <v>5167</v>
      </c>
      <c r="E3194" s="9" t="s">
        <v>5168</v>
      </c>
      <c r="F3194" s="109" t="str">
        <f t="shared" ref="F3194:G3194" si="3193">TRANSLATE(D3194,"lzh","vi")</f>
        <v>#NAME?</v>
      </c>
      <c r="G3194" s="109" t="str">
        <f t="shared" si="3193"/>
        <v>#NAME?</v>
      </c>
      <c r="X3194" s="110"/>
    </row>
    <row r="3195" ht="21.0" customHeight="1">
      <c r="A3195" s="6">
        <v>1.0</v>
      </c>
      <c r="B3195" s="6">
        <v>248.0</v>
      </c>
      <c r="C3195" s="6">
        <v>11.0</v>
      </c>
      <c r="D3195" s="167" t="s">
        <v>5169</v>
      </c>
      <c r="E3195" s="9" t="s">
        <v>5170</v>
      </c>
      <c r="F3195" s="109" t="str">
        <f t="shared" ref="F3195:G3195" si="3194">TRANSLATE(D3195,"lzh","vi")</f>
        <v>#NAME?</v>
      </c>
      <c r="G3195" s="109" t="str">
        <f t="shared" si="3194"/>
        <v>#NAME?</v>
      </c>
      <c r="X3195" s="110"/>
    </row>
    <row r="3196" ht="21.0" customHeight="1">
      <c r="A3196" s="6">
        <v>1.0</v>
      </c>
      <c r="B3196" s="6">
        <v>248.0</v>
      </c>
      <c r="C3196" s="6">
        <v>12.0</v>
      </c>
      <c r="D3196" s="167" t="s">
        <v>5171</v>
      </c>
      <c r="E3196" s="9" t="s">
        <v>5172</v>
      </c>
      <c r="F3196" s="109" t="str">
        <f t="shared" ref="F3196:G3196" si="3195">TRANSLATE(D3196,"lzh","vi")</f>
        <v>#NAME?</v>
      </c>
      <c r="G3196" s="109" t="str">
        <f t="shared" si="3195"/>
        <v>#NAME?</v>
      </c>
      <c r="X3196" s="110"/>
    </row>
    <row r="3197" ht="21.0" customHeight="1">
      <c r="A3197" s="6">
        <v>1.0</v>
      </c>
      <c r="B3197" s="6">
        <v>248.0</v>
      </c>
      <c r="C3197" s="6">
        <v>13.0</v>
      </c>
      <c r="D3197" s="167" t="s">
        <v>5173</v>
      </c>
      <c r="E3197" s="9" t="s">
        <v>5174</v>
      </c>
      <c r="F3197" s="109" t="str">
        <f t="shared" ref="F3197:G3197" si="3196">TRANSLATE(D3197,"lzh","vi")</f>
        <v>#NAME?</v>
      </c>
      <c r="G3197" s="109" t="str">
        <f t="shared" si="3196"/>
        <v>#NAME?</v>
      </c>
      <c r="X3197" s="110"/>
    </row>
    <row r="3198" ht="21.0" customHeight="1">
      <c r="A3198" s="6">
        <v>1.0</v>
      </c>
      <c r="B3198" s="6">
        <v>249.0</v>
      </c>
      <c r="C3198" s="6">
        <v>1.0</v>
      </c>
      <c r="D3198" s="122" t="s">
        <v>5175</v>
      </c>
      <c r="E3198" s="9" t="s">
        <v>5176</v>
      </c>
      <c r="F3198" s="109" t="str">
        <f t="shared" ref="F3198:G3198" si="3197">TRANSLATE(D3198,"lzh","vi")</f>
        <v>#NAME?</v>
      </c>
      <c r="G3198" s="109" t="str">
        <f t="shared" si="3197"/>
        <v>#NAME?</v>
      </c>
      <c r="X3198" s="110"/>
    </row>
    <row r="3199" ht="21.0" customHeight="1">
      <c r="A3199" s="6">
        <v>1.0</v>
      </c>
      <c r="B3199" s="6">
        <v>249.0</v>
      </c>
      <c r="C3199" s="6">
        <v>2.0</v>
      </c>
      <c r="D3199" s="122" t="s">
        <v>5177</v>
      </c>
      <c r="E3199" s="9" t="s">
        <v>5178</v>
      </c>
      <c r="F3199" s="109" t="str">
        <f t="shared" ref="F3199:G3199" si="3198">TRANSLATE(D3199,"lzh","vi")</f>
        <v>#NAME?</v>
      </c>
      <c r="G3199" s="109" t="str">
        <f t="shared" si="3198"/>
        <v>#NAME?</v>
      </c>
      <c r="X3199" s="110"/>
    </row>
    <row r="3200" ht="21.0" customHeight="1">
      <c r="A3200" s="6">
        <v>1.0</v>
      </c>
      <c r="B3200" s="6">
        <v>249.0</v>
      </c>
      <c r="C3200" s="6">
        <v>3.0</v>
      </c>
      <c r="D3200" s="122" t="s">
        <v>5179</v>
      </c>
      <c r="E3200" s="9" t="s">
        <v>5180</v>
      </c>
      <c r="F3200" s="109" t="str">
        <f t="shared" ref="F3200:G3200" si="3199">TRANSLATE(D3200,"lzh","vi")</f>
        <v>#NAME?</v>
      </c>
      <c r="G3200" s="109" t="str">
        <f t="shared" si="3199"/>
        <v>#NAME?</v>
      </c>
      <c r="X3200" s="110"/>
    </row>
    <row r="3201" ht="21.0" customHeight="1">
      <c r="A3201" s="6">
        <v>1.0</v>
      </c>
      <c r="B3201" s="6">
        <v>249.0</v>
      </c>
      <c r="C3201" s="6">
        <v>4.0</v>
      </c>
      <c r="D3201" s="122" t="s">
        <v>5181</v>
      </c>
      <c r="E3201" s="9" t="s">
        <v>5182</v>
      </c>
      <c r="F3201" s="109" t="str">
        <f t="shared" ref="F3201:G3201" si="3200">TRANSLATE(D3201,"lzh","vi")</f>
        <v>#NAME?</v>
      </c>
      <c r="G3201" s="109" t="str">
        <f t="shared" si="3200"/>
        <v>#NAME?</v>
      </c>
      <c r="X3201" s="110"/>
    </row>
    <row r="3202" ht="21.0" customHeight="1">
      <c r="A3202" s="6">
        <v>1.0</v>
      </c>
      <c r="B3202" s="6">
        <v>249.0</v>
      </c>
      <c r="C3202" s="6">
        <v>5.0</v>
      </c>
      <c r="D3202" s="122" t="s">
        <v>5183</v>
      </c>
      <c r="E3202" s="9" t="s">
        <v>5184</v>
      </c>
      <c r="F3202" s="109" t="str">
        <f t="shared" ref="F3202:G3202" si="3201">TRANSLATE(D3202,"lzh","vi")</f>
        <v>#NAME?</v>
      </c>
      <c r="G3202" s="109" t="str">
        <f t="shared" si="3201"/>
        <v>#NAME?</v>
      </c>
      <c r="X3202" s="110"/>
    </row>
    <row r="3203" ht="21.0" customHeight="1">
      <c r="A3203" s="6">
        <v>1.0</v>
      </c>
      <c r="B3203" s="6">
        <v>249.0</v>
      </c>
      <c r="C3203" s="6">
        <v>6.0</v>
      </c>
      <c r="D3203" s="122" t="s">
        <v>5185</v>
      </c>
      <c r="E3203" s="9" t="s">
        <v>5186</v>
      </c>
      <c r="F3203" s="109" t="str">
        <f t="shared" ref="F3203:G3203" si="3202">TRANSLATE(D3203,"lzh","vi")</f>
        <v>#NAME?</v>
      </c>
      <c r="G3203" s="109" t="str">
        <f t="shared" si="3202"/>
        <v>#NAME?</v>
      </c>
      <c r="X3203" s="110"/>
    </row>
    <row r="3204" ht="21.0" customHeight="1">
      <c r="A3204" s="6">
        <v>1.0</v>
      </c>
      <c r="B3204" s="6">
        <v>249.0</v>
      </c>
      <c r="C3204" s="6">
        <v>7.0</v>
      </c>
      <c r="D3204" s="122" t="s">
        <v>5187</v>
      </c>
      <c r="E3204" s="9" t="s">
        <v>5188</v>
      </c>
      <c r="F3204" s="109" t="str">
        <f t="shared" ref="F3204:G3204" si="3203">TRANSLATE(D3204,"lzh","vi")</f>
        <v>#NAME?</v>
      </c>
      <c r="G3204" s="109" t="str">
        <f t="shared" si="3203"/>
        <v>#NAME?</v>
      </c>
      <c r="X3204" s="110"/>
    </row>
    <row r="3205" ht="21.0" customHeight="1">
      <c r="A3205" s="6">
        <v>1.0</v>
      </c>
      <c r="B3205" s="6">
        <v>249.0</v>
      </c>
      <c r="C3205" s="6">
        <v>8.0</v>
      </c>
      <c r="D3205" s="122" t="s">
        <v>5189</v>
      </c>
      <c r="E3205" s="9" t="s">
        <v>5190</v>
      </c>
      <c r="F3205" s="109" t="str">
        <f t="shared" ref="F3205:G3205" si="3204">TRANSLATE(D3205,"lzh","vi")</f>
        <v>#NAME?</v>
      </c>
      <c r="G3205" s="109" t="str">
        <f t="shared" si="3204"/>
        <v>#NAME?</v>
      </c>
      <c r="X3205" s="110"/>
    </row>
    <row r="3206" ht="21.0" customHeight="1">
      <c r="A3206" s="6">
        <v>1.0</v>
      </c>
      <c r="B3206" s="6">
        <v>249.0</v>
      </c>
      <c r="C3206" s="6">
        <v>9.0</v>
      </c>
      <c r="D3206" s="122" t="s">
        <v>5191</v>
      </c>
      <c r="E3206" s="9" t="s">
        <v>5192</v>
      </c>
      <c r="F3206" s="109" t="str">
        <f t="shared" ref="F3206:G3206" si="3205">TRANSLATE(D3206,"lzh","vi")</f>
        <v>#NAME?</v>
      </c>
      <c r="G3206" s="109" t="str">
        <f t="shared" si="3205"/>
        <v>#NAME?</v>
      </c>
      <c r="X3206" s="110"/>
    </row>
    <row r="3207" ht="21.0" customHeight="1">
      <c r="A3207" s="6">
        <v>1.0</v>
      </c>
      <c r="B3207" s="6">
        <v>249.0</v>
      </c>
      <c r="C3207" s="6">
        <v>10.0</v>
      </c>
      <c r="D3207" s="122" t="s">
        <v>5193</v>
      </c>
      <c r="E3207" s="9" t="s">
        <v>5194</v>
      </c>
      <c r="F3207" s="109" t="str">
        <f t="shared" ref="F3207:G3207" si="3206">TRANSLATE(D3207,"lzh","vi")</f>
        <v>#NAME?</v>
      </c>
      <c r="G3207" s="109" t="str">
        <f t="shared" si="3206"/>
        <v>#NAME?</v>
      </c>
      <c r="X3207" s="110"/>
    </row>
    <row r="3208" ht="21.0" customHeight="1">
      <c r="A3208" s="6">
        <v>1.0</v>
      </c>
      <c r="B3208" s="6">
        <v>249.0</v>
      </c>
      <c r="C3208" s="6">
        <v>11.0</v>
      </c>
      <c r="D3208" s="122" t="s">
        <v>5195</v>
      </c>
      <c r="E3208" s="9" t="s">
        <v>5196</v>
      </c>
      <c r="F3208" s="109" t="str">
        <f t="shared" ref="F3208:G3208" si="3207">TRANSLATE(D3208,"lzh","vi")</f>
        <v>#NAME?</v>
      </c>
      <c r="G3208" s="109" t="str">
        <f t="shared" si="3207"/>
        <v>#NAME?</v>
      </c>
      <c r="X3208" s="110"/>
    </row>
    <row r="3209" ht="21.0" customHeight="1">
      <c r="A3209" s="6">
        <v>1.0</v>
      </c>
      <c r="B3209" s="6">
        <v>249.0</v>
      </c>
      <c r="C3209" s="6">
        <v>12.0</v>
      </c>
      <c r="D3209" s="122" t="s">
        <v>5197</v>
      </c>
      <c r="E3209" s="9" t="s">
        <v>5198</v>
      </c>
      <c r="F3209" s="109" t="str">
        <f t="shared" ref="F3209:G3209" si="3208">TRANSLATE(D3209,"lzh","vi")</f>
        <v>#NAME?</v>
      </c>
      <c r="G3209" s="109" t="str">
        <f t="shared" si="3208"/>
        <v>#NAME?</v>
      </c>
      <c r="X3209" s="110"/>
    </row>
    <row r="3210" ht="21.0" customHeight="1">
      <c r="A3210" s="6">
        <v>1.0</v>
      </c>
      <c r="B3210" s="6">
        <v>249.0</v>
      </c>
      <c r="C3210" s="6">
        <v>13.0</v>
      </c>
      <c r="D3210" s="122" t="s">
        <v>5199</v>
      </c>
      <c r="E3210" s="9" t="s">
        <v>5200</v>
      </c>
      <c r="F3210" s="109" t="str">
        <f t="shared" ref="F3210:G3210" si="3209">TRANSLATE(D3210,"lzh","vi")</f>
        <v>#NAME?</v>
      </c>
      <c r="G3210" s="109" t="str">
        <f t="shared" si="3209"/>
        <v>#NAME?</v>
      </c>
      <c r="X3210" s="110"/>
    </row>
    <row r="3211" ht="21.0" customHeight="1">
      <c r="A3211" s="6">
        <v>1.0</v>
      </c>
      <c r="B3211" s="6">
        <v>250.0</v>
      </c>
      <c r="C3211" s="6">
        <v>1.0</v>
      </c>
      <c r="D3211" s="162" t="s">
        <v>5201</v>
      </c>
      <c r="E3211" s="9" t="s">
        <v>5202</v>
      </c>
      <c r="F3211" s="109" t="str">
        <f t="shared" ref="F3211:G3211" si="3210">TRANSLATE(D3211,"lzh","vi")</f>
        <v>#NAME?</v>
      </c>
      <c r="G3211" s="109" t="str">
        <f t="shared" si="3210"/>
        <v>#NAME?</v>
      </c>
      <c r="X3211" s="110"/>
    </row>
    <row r="3212" ht="21.0" customHeight="1">
      <c r="A3212" s="6">
        <v>1.0</v>
      </c>
      <c r="B3212" s="6">
        <v>250.0</v>
      </c>
      <c r="C3212" s="6">
        <v>2.0</v>
      </c>
      <c r="D3212" s="162" t="s">
        <v>5203</v>
      </c>
      <c r="E3212" s="9" t="s">
        <v>5204</v>
      </c>
      <c r="F3212" s="109" t="str">
        <f t="shared" ref="F3212:G3212" si="3211">TRANSLATE(D3212,"lzh","vi")</f>
        <v>#NAME?</v>
      </c>
      <c r="G3212" s="109" t="str">
        <f t="shared" si="3211"/>
        <v>#NAME?</v>
      </c>
      <c r="X3212" s="110"/>
    </row>
    <row r="3213" ht="21.0" customHeight="1">
      <c r="A3213" s="6">
        <v>1.0</v>
      </c>
      <c r="B3213" s="6">
        <v>250.0</v>
      </c>
      <c r="C3213" s="6">
        <v>3.0</v>
      </c>
      <c r="D3213" s="162" t="s">
        <v>5205</v>
      </c>
      <c r="E3213" s="9" t="s">
        <v>5206</v>
      </c>
      <c r="F3213" s="109" t="str">
        <f t="shared" ref="F3213:G3213" si="3212">TRANSLATE(D3213,"lzh","vi")</f>
        <v>#NAME?</v>
      </c>
      <c r="G3213" s="109" t="str">
        <f t="shared" si="3212"/>
        <v>#NAME?</v>
      </c>
      <c r="X3213" s="110"/>
    </row>
    <row r="3214" ht="21.0" customHeight="1">
      <c r="A3214" s="6">
        <v>1.0</v>
      </c>
      <c r="B3214" s="6">
        <v>250.0</v>
      </c>
      <c r="C3214" s="6">
        <v>4.0</v>
      </c>
      <c r="D3214" s="162" t="s">
        <v>5207</v>
      </c>
      <c r="E3214" s="9" t="s">
        <v>5208</v>
      </c>
      <c r="F3214" s="109" t="str">
        <f t="shared" ref="F3214:G3214" si="3213">TRANSLATE(D3214,"lzh","vi")</f>
        <v>#NAME?</v>
      </c>
      <c r="G3214" s="109" t="str">
        <f t="shared" si="3213"/>
        <v>#NAME?</v>
      </c>
      <c r="X3214" s="110"/>
    </row>
    <row r="3215" ht="21.0" customHeight="1">
      <c r="A3215" s="6">
        <v>1.0</v>
      </c>
      <c r="B3215" s="6">
        <v>250.0</v>
      </c>
      <c r="C3215" s="6">
        <v>5.0</v>
      </c>
      <c r="D3215" s="162" t="s">
        <v>5209</v>
      </c>
      <c r="E3215" s="9" t="s">
        <v>5210</v>
      </c>
      <c r="F3215" s="109" t="str">
        <f t="shared" ref="F3215:G3215" si="3214">TRANSLATE(D3215,"lzh","vi")</f>
        <v>#NAME?</v>
      </c>
      <c r="G3215" s="109" t="str">
        <f t="shared" si="3214"/>
        <v>#NAME?</v>
      </c>
      <c r="X3215" s="110"/>
    </row>
    <row r="3216" ht="21.0" customHeight="1">
      <c r="A3216" s="6">
        <v>1.0</v>
      </c>
      <c r="B3216" s="6">
        <v>250.0</v>
      </c>
      <c r="C3216" s="6">
        <v>6.0</v>
      </c>
      <c r="D3216" s="162" t="s">
        <v>5211</v>
      </c>
      <c r="E3216" s="9" t="s">
        <v>5212</v>
      </c>
      <c r="F3216" s="109" t="str">
        <f t="shared" ref="F3216:G3216" si="3215">TRANSLATE(D3216,"lzh","vi")</f>
        <v>#NAME?</v>
      </c>
      <c r="G3216" s="109" t="str">
        <f t="shared" si="3215"/>
        <v>#NAME?</v>
      </c>
      <c r="X3216" s="110"/>
    </row>
    <row r="3217" ht="21.0" customHeight="1">
      <c r="A3217" s="6">
        <v>1.0</v>
      </c>
      <c r="B3217" s="6">
        <v>250.0</v>
      </c>
      <c r="C3217" s="6">
        <v>7.0</v>
      </c>
      <c r="D3217" s="162" t="s">
        <v>5213</v>
      </c>
      <c r="E3217" s="9" t="s">
        <v>5214</v>
      </c>
      <c r="F3217" s="109" t="str">
        <f t="shared" ref="F3217:G3217" si="3216">TRANSLATE(D3217,"lzh","vi")</f>
        <v>#NAME?</v>
      </c>
      <c r="G3217" s="109" t="str">
        <f t="shared" si="3216"/>
        <v>#NAME?</v>
      </c>
      <c r="X3217" s="110"/>
    </row>
    <row r="3218" ht="21.0" customHeight="1">
      <c r="A3218" s="6">
        <v>1.0</v>
      </c>
      <c r="B3218" s="6">
        <v>250.0</v>
      </c>
      <c r="C3218" s="6">
        <v>8.0</v>
      </c>
      <c r="D3218" s="162" t="s">
        <v>5215</v>
      </c>
      <c r="E3218" s="9" t="s">
        <v>5216</v>
      </c>
      <c r="F3218" s="109" t="str">
        <f t="shared" ref="F3218:G3218" si="3217">TRANSLATE(D3218,"lzh","vi")</f>
        <v>#NAME?</v>
      </c>
      <c r="G3218" s="109" t="str">
        <f t="shared" si="3217"/>
        <v>#NAME?</v>
      </c>
      <c r="X3218" s="110"/>
    </row>
    <row r="3219" ht="21.0" customHeight="1">
      <c r="A3219" s="6">
        <v>1.0</v>
      </c>
      <c r="B3219" s="6">
        <v>250.0</v>
      </c>
      <c r="C3219" s="6">
        <v>9.0</v>
      </c>
      <c r="D3219" s="162" t="s">
        <v>5217</v>
      </c>
      <c r="E3219" s="9" t="s">
        <v>5218</v>
      </c>
      <c r="F3219" s="109" t="str">
        <f t="shared" ref="F3219:G3219" si="3218">TRANSLATE(D3219,"lzh","vi")</f>
        <v>#NAME?</v>
      </c>
      <c r="G3219" s="109" t="str">
        <f t="shared" si="3218"/>
        <v>#NAME?</v>
      </c>
      <c r="X3219" s="110"/>
    </row>
    <row r="3220" ht="21.0" customHeight="1">
      <c r="A3220" s="6">
        <v>1.0</v>
      </c>
      <c r="B3220" s="6">
        <v>250.0</v>
      </c>
      <c r="C3220" s="6">
        <v>10.0</v>
      </c>
      <c r="D3220" s="162" t="s">
        <v>5219</v>
      </c>
      <c r="E3220" s="9" t="s">
        <v>5220</v>
      </c>
      <c r="F3220" s="109" t="str">
        <f t="shared" ref="F3220:G3220" si="3219">TRANSLATE(D3220,"lzh","vi")</f>
        <v>#NAME?</v>
      </c>
      <c r="G3220" s="109" t="str">
        <f t="shared" si="3219"/>
        <v>#NAME?</v>
      </c>
      <c r="X3220" s="110"/>
    </row>
    <row r="3221" ht="21.0" customHeight="1">
      <c r="A3221" s="6">
        <v>1.0</v>
      </c>
      <c r="B3221" s="6">
        <v>250.0</v>
      </c>
      <c r="C3221" s="6">
        <v>11.0</v>
      </c>
      <c r="D3221" s="162" t="s">
        <v>5221</v>
      </c>
      <c r="E3221" s="9" t="s">
        <v>5222</v>
      </c>
      <c r="F3221" s="109" t="str">
        <f t="shared" ref="F3221:G3221" si="3220">TRANSLATE(D3221,"lzh","vi")</f>
        <v>#NAME?</v>
      </c>
      <c r="G3221" s="109" t="str">
        <f t="shared" si="3220"/>
        <v>#NAME?</v>
      </c>
      <c r="X3221" s="110"/>
    </row>
    <row r="3222" ht="21.0" customHeight="1">
      <c r="A3222" s="6">
        <v>1.0</v>
      </c>
      <c r="B3222" s="6">
        <v>250.0</v>
      </c>
      <c r="C3222" s="6">
        <v>12.0</v>
      </c>
      <c r="D3222" s="162" t="s">
        <v>5223</v>
      </c>
      <c r="E3222" s="9" t="s">
        <v>5224</v>
      </c>
      <c r="F3222" s="109" t="str">
        <f t="shared" ref="F3222:G3222" si="3221">TRANSLATE(D3222,"lzh","vi")</f>
        <v>#NAME?</v>
      </c>
      <c r="G3222" s="109" t="str">
        <f t="shared" si="3221"/>
        <v>#NAME?</v>
      </c>
      <c r="X3222" s="110"/>
    </row>
    <row r="3223" ht="21.0" customHeight="1">
      <c r="A3223" s="6">
        <v>1.0</v>
      </c>
      <c r="B3223" s="6">
        <v>250.0</v>
      </c>
      <c r="C3223" s="6">
        <v>13.0</v>
      </c>
      <c r="D3223" s="162" t="s">
        <v>5225</v>
      </c>
      <c r="E3223" s="9" t="s">
        <v>5226</v>
      </c>
      <c r="F3223" s="109" t="str">
        <f t="shared" ref="F3223:G3223" si="3222">TRANSLATE(D3223,"lzh","vi")</f>
        <v>#NAME?</v>
      </c>
      <c r="G3223" s="109" t="str">
        <f t="shared" si="3222"/>
        <v>#NAME?</v>
      </c>
      <c r="X3223" s="110"/>
    </row>
    <row r="3224" ht="21.0" customHeight="1">
      <c r="A3224" s="6">
        <v>11.0</v>
      </c>
      <c r="B3224" s="6">
        <v>1071.0</v>
      </c>
      <c r="C3224" s="6">
        <v>1.0</v>
      </c>
      <c r="D3224" s="161" t="s">
        <v>5227</v>
      </c>
      <c r="E3224" s="9" t="s">
        <v>5228</v>
      </c>
      <c r="F3224" s="109" t="str">
        <f t="shared" ref="F3224:G3224" si="3223">TRANSLATE(D3224,"lzh","vi")</f>
        <v>#NAME?</v>
      </c>
      <c r="G3224" s="109" t="str">
        <f t="shared" si="3223"/>
        <v>#NAME?</v>
      </c>
      <c r="X3224" s="110"/>
    </row>
    <row r="3225" ht="21.0" customHeight="1">
      <c r="A3225" s="6">
        <v>11.0</v>
      </c>
      <c r="B3225" s="6">
        <v>1071.0</v>
      </c>
      <c r="C3225" s="6">
        <v>2.0</v>
      </c>
      <c r="D3225" s="161" t="s">
        <v>5229</v>
      </c>
      <c r="E3225" s="9" t="s">
        <v>5230</v>
      </c>
      <c r="F3225" s="109" t="str">
        <f t="shared" ref="F3225:G3225" si="3224">TRANSLATE(D3225,"lzh","vi")</f>
        <v>#NAME?</v>
      </c>
      <c r="G3225" s="109" t="str">
        <f t="shared" si="3224"/>
        <v>#NAME?</v>
      </c>
      <c r="X3225" s="110"/>
    </row>
    <row r="3226" ht="21.0" customHeight="1">
      <c r="A3226" s="6">
        <v>11.0</v>
      </c>
      <c r="B3226" s="6">
        <v>1071.0</v>
      </c>
      <c r="C3226" s="6">
        <v>3.0</v>
      </c>
      <c r="D3226" s="161" t="s">
        <v>5231</v>
      </c>
      <c r="E3226" s="9" t="s">
        <v>5232</v>
      </c>
      <c r="F3226" s="109" t="str">
        <f t="shared" ref="F3226:G3226" si="3225">TRANSLATE(D3226,"lzh","vi")</f>
        <v>#NAME?</v>
      </c>
      <c r="G3226" s="109" t="str">
        <f t="shared" si="3225"/>
        <v>#NAME?</v>
      </c>
      <c r="X3226" s="110"/>
    </row>
    <row r="3227" ht="21.0" customHeight="1">
      <c r="A3227" s="6">
        <v>11.0</v>
      </c>
      <c r="B3227" s="6">
        <v>1071.0</v>
      </c>
      <c r="C3227" s="6">
        <v>4.0</v>
      </c>
      <c r="D3227" s="161" t="s">
        <v>5233</v>
      </c>
      <c r="E3227" s="9" t="s">
        <v>5234</v>
      </c>
      <c r="F3227" s="109" t="str">
        <f t="shared" ref="F3227:G3227" si="3226">TRANSLATE(D3227,"lzh","vi")</f>
        <v>#NAME?</v>
      </c>
      <c r="G3227" s="109" t="str">
        <f t="shared" si="3226"/>
        <v>#NAME?</v>
      </c>
      <c r="X3227" s="110"/>
    </row>
    <row r="3228" ht="21.0" customHeight="1">
      <c r="A3228" s="6">
        <v>10.0</v>
      </c>
      <c r="B3228" s="6">
        <v>1071.0</v>
      </c>
      <c r="C3228" s="6">
        <v>5.0</v>
      </c>
      <c r="D3228" s="161" t="s">
        <v>5235</v>
      </c>
      <c r="E3228" s="9" t="s">
        <v>5236</v>
      </c>
      <c r="F3228" s="109" t="str">
        <f t="shared" ref="F3228:G3228" si="3227">TRANSLATE(D3228,"lzh","vi")</f>
        <v>#NAME?</v>
      </c>
      <c r="G3228" s="109" t="str">
        <f t="shared" si="3227"/>
        <v>#NAME?</v>
      </c>
      <c r="X3228" s="110"/>
    </row>
    <row r="3229" ht="21.0" customHeight="1">
      <c r="A3229" s="6">
        <v>10.0</v>
      </c>
      <c r="B3229" s="6">
        <v>1071.0</v>
      </c>
      <c r="C3229" s="6">
        <v>6.0</v>
      </c>
      <c r="D3229" s="161" t="s">
        <v>5237</v>
      </c>
      <c r="E3229" s="9" t="s">
        <v>5238</v>
      </c>
      <c r="F3229" s="109" t="str">
        <f t="shared" ref="F3229:G3229" si="3228">TRANSLATE(D3229,"lzh","vi")</f>
        <v>#NAME?</v>
      </c>
      <c r="G3229" s="109" t="str">
        <f t="shared" si="3228"/>
        <v>#NAME?</v>
      </c>
      <c r="X3229" s="110"/>
    </row>
    <row r="3230" ht="21.0" customHeight="1">
      <c r="A3230" s="6">
        <v>10.0</v>
      </c>
      <c r="B3230" s="6">
        <v>1071.0</v>
      </c>
      <c r="C3230" s="6">
        <v>7.0</v>
      </c>
      <c r="D3230" s="161" t="s">
        <v>5239</v>
      </c>
      <c r="E3230" s="9" t="s">
        <v>5240</v>
      </c>
      <c r="F3230" s="109" t="str">
        <f t="shared" ref="F3230:G3230" si="3229">TRANSLATE(D3230,"lzh","vi")</f>
        <v>#NAME?</v>
      </c>
      <c r="G3230" s="109" t="str">
        <f t="shared" si="3229"/>
        <v>#NAME?</v>
      </c>
      <c r="X3230" s="110"/>
    </row>
    <row r="3231" ht="21.0" customHeight="1">
      <c r="A3231" s="6">
        <v>10.0</v>
      </c>
      <c r="B3231" s="6">
        <v>1071.0</v>
      </c>
      <c r="C3231" s="6">
        <v>8.0</v>
      </c>
      <c r="D3231" s="161" t="s">
        <v>5241</v>
      </c>
      <c r="E3231" s="9" t="s">
        <v>5242</v>
      </c>
      <c r="F3231" s="109" t="str">
        <f t="shared" ref="F3231:G3231" si="3230">TRANSLATE(D3231,"lzh","vi")</f>
        <v>#NAME?</v>
      </c>
      <c r="G3231" s="109" t="str">
        <f t="shared" si="3230"/>
        <v>#NAME?</v>
      </c>
      <c r="X3231" s="110"/>
    </row>
    <row r="3232" ht="21.0" customHeight="1">
      <c r="A3232" s="6">
        <v>10.0</v>
      </c>
      <c r="B3232" s="6">
        <v>1071.0</v>
      </c>
      <c r="C3232" s="6">
        <v>9.0</v>
      </c>
      <c r="D3232" s="161" t="s">
        <v>5243</v>
      </c>
      <c r="E3232" s="9" t="s">
        <v>5244</v>
      </c>
      <c r="F3232" s="109" t="str">
        <f t="shared" ref="F3232:G3232" si="3231">TRANSLATE(D3232,"lzh","vi")</f>
        <v>#NAME?</v>
      </c>
      <c r="G3232" s="109" t="str">
        <f t="shared" si="3231"/>
        <v>#NAME?</v>
      </c>
      <c r="X3232" s="110"/>
    </row>
    <row r="3233" ht="21.0" customHeight="1">
      <c r="A3233" s="6">
        <v>10.0</v>
      </c>
      <c r="B3233" s="6">
        <v>1071.0</v>
      </c>
      <c r="C3233" s="6">
        <v>10.0</v>
      </c>
      <c r="D3233" s="161" t="s">
        <v>5245</v>
      </c>
      <c r="E3233" s="9" t="s">
        <v>5246</v>
      </c>
      <c r="F3233" s="109" t="str">
        <f t="shared" ref="F3233:G3233" si="3232">TRANSLATE(D3233,"lzh","vi")</f>
        <v>#NAME?</v>
      </c>
      <c r="G3233" s="109" t="str">
        <f t="shared" si="3232"/>
        <v>#NAME?</v>
      </c>
      <c r="X3233" s="110"/>
    </row>
    <row r="3234" ht="21.0" customHeight="1">
      <c r="A3234" s="6">
        <v>11.0</v>
      </c>
      <c r="B3234" s="6">
        <v>1072.0</v>
      </c>
      <c r="C3234" s="6">
        <v>1.0</v>
      </c>
      <c r="D3234" s="161" t="s">
        <v>5247</v>
      </c>
      <c r="E3234" s="9" t="s">
        <v>5248</v>
      </c>
      <c r="F3234" s="109" t="str">
        <f t="shared" ref="F3234:G3234" si="3233">TRANSLATE(D3234,"lzh","vi")</f>
        <v>#NAME?</v>
      </c>
      <c r="G3234" s="109" t="str">
        <f t="shared" si="3233"/>
        <v>#NAME?</v>
      </c>
      <c r="X3234" s="110"/>
    </row>
    <row r="3235" ht="21.0" customHeight="1">
      <c r="A3235" s="6">
        <v>11.0</v>
      </c>
      <c r="B3235" s="6">
        <v>1072.0</v>
      </c>
      <c r="C3235" s="6">
        <v>2.0</v>
      </c>
      <c r="D3235" s="161" t="s">
        <v>5249</v>
      </c>
      <c r="E3235" s="9" t="s">
        <v>5250</v>
      </c>
      <c r="F3235" s="109" t="str">
        <f t="shared" ref="F3235:G3235" si="3234">TRANSLATE(D3235,"lzh","vi")</f>
        <v>#NAME?</v>
      </c>
      <c r="G3235" s="109" t="str">
        <f t="shared" si="3234"/>
        <v>#NAME?</v>
      </c>
      <c r="X3235" s="110"/>
    </row>
    <row r="3236" ht="21.0" customHeight="1">
      <c r="A3236" s="6">
        <v>11.0</v>
      </c>
      <c r="B3236" s="6">
        <v>1072.0</v>
      </c>
      <c r="C3236" s="6">
        <v>3.0</v>
      </c>
      <c r="D3236" s="161" t="s">
        <v>5251</v>
      </c>
      <c r="E3236" s="9" t="s">
        <v>5252</v>
      </c>
      <c r="F3236" s="109" t="str">
        <f t="shared" ref="F3236:G3236" si="3235">TRANSLATE(D3236,"lzh","vi")</f>
        <v>#NAME?</v>
      </c>
      <c r="G3236" s="109" t="str">
        <f t="shared" si="3235"/>
        <v>#NAME?</v>
      </c>
      <c r="X3236" s="110"/>
    </row>
    <row r="3237" ht="21.0" customHeight="1">
      <c r="A3237" s="6">
        <v>11.0</v>
      </c>
      <c r="B3237" s="6">
        <v>1072.0</v>
      </c>
      <c r="C3237" s="6">
        <v>4.0</v>
      </c>
      <c r="D3237" s="161" t="s">
        <v>5253</v>
      </c>
      <c r="E3237" s="9" t="s">
        <v>5254</v>
      </c>
      <c r="F3237" s="109" t="str">
        <f t="shared" ref="F3237:G3237" si="3236">TRANSLATE(D3237,"lzh","vi")</f>
        <v>#NAME?</v>
      </c>
      <c r="G3237" s="109" t="str">
        <f t="shared" si="3236"/>
        <v>#NAME?</v>
      </c>
      <c r="X3237" s="110"/>
    </row>
    <row r="3238" ht="21.0" customHeight="1">
      <c r="A3238" s="6">
        <v>10.0</v>
      </c>
      <c r="B3238" s="6">
        <v>1072.0</v>
      </c>
      <c r="C3238" s="6">
        <v>5.0</v>
      </c>
      <c r="D3238" s="161" t="s">
        <v>5255</v>
      </c>
      <c r="E3238" s="9" t="s">
        <v>5256</v>
      </c>
      <c r="F3238" s="109" t="str">
        <f t="shared" ref="F3238:G3238" si="3237">TRANSLATE(D3238,"lzh","vi")</f>
        <v>#NAME?</v>
      </c>
      <c r="G3238" s="109" t="str">
        <f t="shared" si="3237"/>
        <v>#NAME?</v>
      </c>
      <c r="X3238" s="110"/>
    </row>
    <row r="3239" ht="21.0" customHeight="1">
      <c r="A3239" s="6">
        <v>10.0</v>
      </c>
      <c r="B3239" s="6">
        <v>1072.0</v>
      </c>
      <c r="C3239" s="6">
        <v>6.0</v>
      </c>
      <c r="D3239" s="161" t="s">
        <v>5257</v>
      </c>
      <c r="E3239" s="9" t="s">
        <v>5258</v>
      </c>
      <c r="F3239" s="109" t="str">
        <f t="shared" ref="F3239:G3239" si="3238">TRANSLATE(D3239,"lzh","vi")</f>
        <v>#NAME?</v>
      </c>
      <c r="G3239" s="109" t="str">
        <f t="shared" si="3238"/>
        <v>#NAME?</v>
      </c>
      <c r="X3239" s="110"/>
    </row>
    <row r="3240" ht="21.0" customHeight="1">
      <c r="A3240" s="6">
        <v>10.0</v>
      </c>
      <c r="B3240" s="6">
        <v>1072.0</v>
      </c>
      <c r="C3240" s="6">
        <v>7.0</v>
      </c>
      <c r="D3240" s="161" t="s">
        <v>5259</v>
      </c>
      <c r="E3240" s="9" t="s">
        <v>5260</v>
      </c>
      <c r="F3240" s="109" t="str">
        <f t="shared" ref="F3240:G3240" si="3239">TRANSLATE(D3240,"lzh","vi")</f>
        <v>#NAME?</v>
      </c>
      <c r="G3240" s="109" t="str">
        <f t="shared" si="3239"/>
        <v>#NAME?</v>
      </c>
      <c r="X3240" s="110"/>
    </row>
    <row r="3241" ht="21.0" customHeight="1">
      <c r="A3241" s="6">
        <v>10.0</v>
      </c>
      <c r="B3241" s="6">
        <v>1072.0</v>
      </c>
      <c r="C3241" s="6">
        <v>8.0</v>
      </c>
      <c r="D3241" s="161" t="s">
        <v>5261</v>
      </c>
      <c r="E3241" s="9" t="s">
        <v>5262</v>
      </c>
      <c r="F3241" s="109" t="str">
        <f t="shared" ref="F3241:G3241" si="3240">TRANSLATE(D3241,"lzh","vi")</f>
        <v>#NAME?</v>
      </c>
      <c r="G3241" s="109" t="str">
        <f t="shared" si="3240"/>
        <v>#NAME?</v>
      </c>
      <c r="X3241" s="110"/>
    </row>
    <row r="3242" ht="21.0" customHeight="1">
      <c r="A3242" s="6">
        <v>10.0</v>
      </c>
      <c r="B3242" s="6">
        <v>1072.0</v>
      </c>
      <c r="C3242" s="6">
        <v>9.0</v>
      </c>
      <c r="D3242" s="161" t="s">
        <v>5263</v>
      </c>
      <c r="E3242" s="9" t="s">
        <v>5264</v>
      </c>
      <c r="F3242" s="109" t="str">
        <f t="shared" ref="F3242:G3242" si="3241">TRANSLATE(D3242,"lzh","vi")</f>
        <v>#NAME?</v>
      </c>
      <c r="G3242" s="109" t="str">
        <f t="shared" si="3241"/>
        <v>#NAME?</v>
      </c>
      <c r="X3242" s="110"/>
    </row>
    <row r="3243" ht="21.0" customHeight="1">
      <c r="A3243" s="6">
        <v>10.0</v>
      </c>
      <c r="B3243" s="6">
        <v>1072.0</v>
      </c>
      <c r="C3243" s="6">
        <v>10.0</v>
      </c>
      <c r="D3243" s="161" t="s">
        <v>5265</v>
      </c>
      <c r="E3243" s="9" t="s">
        <v>5266</v>
      </c>
      <c r="F3243" s="109" t="str">
        <f t="shared" ref="F3243:G3243" si="3242">TRANSLATE(D3243,"lzh","vi")</f>
        <v>#NAME?</v>
      </c>
      <c r="G3243" s="109" t="str">
        <f t="shared" si="3242"/>
        <v>#NAME?</v>
      </c>
      <c r="X3243" s="110"/>
    </row>
    <row r="3244" ht="21.0" customHeight="1">
      <c r="A3244" s="6">
        <v>1.0</v>
      </c>
      <c r="B3244" s="6">
        <v>251.0</v>
      </c>
      <c r="C3244" s="6">
        <v>1.0</v>
      </c>
      <c r="D3244" s="161" t="s">
        <v>5267</v>
      </c>
      <c r="E3244" s="9" t="s">
        <v>5268</v>
      </c>
      <c r="F3244" s="109" t="str">
        <f t="shared" ref="F3244:G3244" si="3243">TRANSLATE(D3244,"lzh","vi")</f>
        <v>#NAME?</v>
      </c>
      <c r="G3244" s="109" t="str">
        <f t="shared" si="3243"/>
        <v>#NAME?</v>
      </c>
      <c r="X3244" s="110"/>
    </row>
    <row r="3245" ht="21.0" customHeight="1">
      <c r="A3245" s="6">
        <v>1.0</v>
      </c>
      <c r="B3245" s="6">
        <v>251.0</v>
      </c>
      <c r="C3245" s="6">
        <v>2.0</v>
      </c>
      <c r="D3245" s="161" t="s">
        <v>5269</v>
      </c>
      <c r="E3245" s="9" t="s">
        <v>5270</v>
      </c>
      <c r="F3245" s="109" t="str">
        <f t="shared" ref="F3245:G3245" si="3244">TRANSLATE(D3245,"lzh","vi")</f>
        <v>#NAME?</v>
      </c>
      <c r="G3245" s="109" t="str">
        <f t="shared" si="3244"/>
        <v>#NAME?</v>
      </c>
      <c r="X3245" s="110"/>
    </row>
    <row r="3246" ht="21.0" customHeight="1">
      <c r="A3246" s="6">
        <v>1.0</v>
      </c>
      <c r="B3246" s="6">
        <v>251.0</v>
      </c>
      <c r="C3246" s="6">
        <v>3.0</v>
      </c>
      <c r="D3246" s="161" t="s">
        <v>5271</v>
      </c>
      <c r="E3246" s="9" t="s">
        <v>5272</v>
      </c>
      <c r="F3246" s="109" t="str">
        <f t="shared" ref="F3246:G3246" si="3245">TRANSLATE(D3246,"lzh","vi")</f>
        <v>#NAME?</v>
      </c>
      <c r="G3246" s="109" t="str">
        <f t="shared" si="3245"/>
        <v>#NAME?</v>
      </c>
      <c r="X3246" s="110"/>
    </row>
    <row r="3247" ht="21.0" customHeight="1">
      <c r="A3247" s="6">
        <v>1.0</v>
      </c>
      <c r="B3247" s="6">
        <v>251.0</v>
      </c>
      <c r="C3247" s="6">
        <v>4.0</v>
      </c>
      <c r="D3247" s="161" t="s">
        <v>5273</v>
      </c>
      <c r="E3247" s="9" t="s">
        <v>5274</v>
      </c>
      <c r="F3247" s="109" t="str">
        <f t="shared" ref="F3247:G3247" si="3246">TRANSLATE(D3247,"lzh","vi")</f>
        <v>#NAME?</v>
      </c>
      <c r="G3247" s="109" t="str">
        <f t="shared" si="3246"/>
        <v>#NAME?</v>
      </c>
      <c r="X3247" s="110"/>
    </row>
    <row r="3248" ht="21.0" customHeight="1">
      <c r="A3248" s="6">
        <v>1.0</v>
      </c>
      <c r="B3248" s="6">
        <v>251.0</v>
      </c>
      <c r="C3248" s="6">
        <v>5.0</v>
      </c>
      <c r="D3248" s="161" t="s">
        <v>5275</v>
      </c>
      <c r="E3248" s="9" t="s">
        <v>5276</v>
      </c>
      <c r="F3248" s="109" t="str">
        <f t="shared" ref="F3248:G3248" si="3247">TRANSLATE(D3248,"lzh","vi")</f>
        <v>#NAME?</v>
      </c>
      <c r="G3248" s="109" t="str">
        <f t="shared" si="3247"/>
        <v>#NAME?</v>
      </c>
      <c r="X3248" s="110"/>
    </row>
    <row r="3249" ht="21.0" customHeight="1">
      <c r="A3249" s="6">
        <v>1.0</v>
      </c>
      <c r="B3249" s="6">
        <v>251.0</v>
      </c>
      <c r="C3249" s="6">
        <v>6.0</v>
      </c>
      <c r="D3249" s="161" t="s">
        <v>5277</v>
      </c>
      <c r="E3249" s="9" t="s">
        <v>5278</v>
      </c>
      <c r="F3249" s="109" t="str">
        <f t="shared" ref="F3249:G3249" si="3248">TRANSLATE(D3249,"lzh","vi")</f>
        <v>#NAME?</v>
      </c>
      <c r="G3249" s="109" t="str">
        <f t="shared" si="3248"/>
        <v>#NAME?</v>
      </c>
      <c r="X3249" s="110"/>
    </row>
    <row r="3250" ht="21.0" customHeight="1">
      <c r="A3250" s="6">
        <v>1.0</v>
      </c>
      <c r="B3250" s="6">
        <v>251.0</v>
      </c>
      <c r="C3250" s="6">
        <v>7.0</v>
      </c>
      <c r="D3250" s="161" t="s">
        <v>5279</v>
      </c>
      <c r="E3250" s="9" t="s">
        <v>5280</v>
      </c>
      <c r="F3250" s="109" t="str">
        <f t="shared" ref="F3250:G3250" si="3249">TRANSLATE(D3250,"lzh","vi")</f>
        <v>#NAME?</v>
      </c>
      <c r="G3250" s="109" t="str">
        <f t="shared" si="3249"/>
        <v>#NAME?</v>
      </c>
      <c r="X3250" s="110"/>
    </row>
    <row r="3251" ht="21.0" customHeight="1">
      <c r="A3251" s="6">
        <v>1.0</v>
      </c>
      <c r="B3251" s="6">
        <v>251.0</v>
      </c>
      <c r="C3251" s="6">
        <v>8.0</v>
      </c>
      <c r="D3251" s="161" t="s">
        <v>5281</v>
      </c>
      <c r="E3251" s="9" t="s">
        <v>5282</v>
      </c>
      <c r="F3251" s="109" t="str">
        <f t="shared" ref="F3251:G3251" si="3250">TRANSLATE(D3251,"lzh","vi")</f>
        <v>#NAME?</v>
      </c>
      <c r="G3251" s="109" t="str">
        <f t="shared" si="3250"/>
        <v>#NAME?</v>
      </c>
      <c r="X3251" s="110"/>
    </row>
    <row r="3252" ht="21.0" customHeight="1">
      <c r="A3252" s="6">
        <v>1.0</v>
      </c>
      <c r="B3252" s="6">
        <v>251.0</v>
      </c>
      <c r="C3252" s="6">
        <v>9.0</v>
      </c>
      <c r="D3252" s="161" t="s">
        <v>5283</v>
      </c>
      <c r="E3252" s="9" t="s">
        <v>5284</v>
      </c>
      <c r="F3252" s="109" t="str">
        <f t="shared" ref="F3252:G3252" si="3251">TRANSLATE(D3252,"lzh","vi")</f>
        <v>#NAME?</v>
      </c>
      <c r="G3252" s="109" t="str">
        <f t="shared" si="3251"/>
        <v>#NAME?</v>
      </c>
      <c r="X3252" s="110"/>
    </row>
    <row r="3253" ht="21.0" customHeight="1">
      <c r="A3253" s="6">
        <v>1.0</v>
      </c>
      <c r="B3253" s="6">
        <v>251.0</v>
      </c>
      <c r="C3253" s="6">
        <v>10.0</v>
      </c>
      <c r="D3253" s="161" t="s">
        <v>5285</v>
      </c>
      <c r="E3253" s="9" t="s">
        <v>5286</v>
      </c>
      <c r="F3253" s="109" t="str">
        <f t="shared" ref="F3253:G3253" si="3252">TRANSLATE(D3253,"lzh","vi")</f>
        <v>#NAME?</v>
      </c>
      <c r="G3253" s="109" t="str">
        <f t="shared" si="3252"/>
        <v>#NAME?</v>
      </c>
      <c r="X3253" s="110"/>
    </row>
    <row r="3254" ht="21.0" customHeight="1">
      <c r="A3254" s="6">
        <v>1.0</v>
      </c>
      <c r="B3254" s="6">
        <v>251.0</v>
      </c>
      <c r="C3254" s="6">
        <v>11.0</v>
      </c>
      <c r="D3254" s="161" t="s">
        <v>5287</v>
      </c>
      <c r="E3254" s="9" t="s">
        <v>5288</v>
      </c>
      <c r="F3254" s="109" t="str">
        <f t="shared" ref="F3254:G3254" si="3253">TRANSLATE(D3254,"lzh","vi")</f>
        <v>#NAME?</v>
      </c>
      <c r="G3254" s="109" t="str">
        <f t="shared" si="3253"/>
        <v>#NAME?</v>
      </c>
      <c r="X3254" s="110"/>
    </row>
    <row r="3255" ht="21.0" customHeight="1">
      <c r="A3255" s="6">
        <v>1.0</v>
      </c>
      <c r="B3255" s="6">
        <v>251.0</v>
      </c>
      <c r="C3255" s="6">
        <v>12.0</v>
      </c>
      <c r="D3255" s="161" t="s">
        <v>5289</v>
      </c>
      <c r="E3255" s="9" t="s">
        <v>5290</v>
      </c>
      <c r="F3255" s="109" t="str">
        <f t="shared" ref="F3255:G3255" si="3254">TRANSLATE(D3255,"lzh","vi")</f>
        <v>#NAME?</v>
      </c>
      <c r="G3255" s="109" t="str">
        <f t="shared" si="3254"/>
        <v>#NAME?</v>
      </c>
      <c r="X3255" s="110"/>
    </row>
    <row r="3256" ht="21.0" customHeight="1">
      <c r="A3256" s="6">
        <v>1.0</v>
      </c>
      <c r="B3256" s="6">
        <v>251.0</v>
      </c>
      <c r="C3256" s="6">
        <v>13.0</v>
      </c>
      <c r="D3256" s="161" t="s">
        <v>5291</v>
      </c>
      <c r="E3256" s="9" t="s">
        <v>5292</v>
      </c>
      <c r="F3256" s="109" t="str">
        <f t="shared" ref="F3256:G3256" si="3255">TRANSLATE(D3256,"lzh","vi")</f>
        <v>#NAME?</v>
      </c>
      <c r="G3256" s="109" t="str">
        <f t="shared" si="3255"/>
        <v>#NAME?</v>
      </c>
      <c r="X3256" s="110"/>
    </row>
    <row r="3257" ht="21.0" customHeight="1">
      <c r="A3257" s="6">
        <v>1.0</v>
      </c>
      <c r="B3257" s="6">
        <v>252.0</v>
      </c>
      <c r="C3257" s="6">
        <v>1.0</v>
      </c>
      <c r="D3257" s="161" t="s">
        <v>5293</v>
      </c>
      <c r="E3257" s="9" t="s">
        <v>5294</v>
      </c>
      <c r="F3257" s="109" t="str">
        <f t="shared" ref="F3257:G3257" si="3256">TRANSLATE(D3257,"lzh","vi")</f>
        <v>#NAME?</v>
      </c>
      <c r="G3257" s="109" t="str">
        <f t="shared" si="3256"/>
        <v>#NAME?</v>
      </c>
      <c r="X3257" s="110"/>
    </row>
    <row r="3258" ht="21.0" customHeight="1">
      <c r="A3258" s="6">
        <v>1.0</v>
      </c>
      <c r="B3258" s="6">
        <v>252.0</v>
      </c>
      <c r="C3258" s="6">
        <v>2.0</v>
      </c>
      <c r="D3258" s="161" t="s">
        <v>5295</v>
      </c>
      <c r="E3258" s="9" t="s">
        <v>5296</v>
      </c>
      <c r="F3258" s="109" t="str">
        <f t="shared" ref="F3258:G3258" si="3257">TRANSLATE(D3258,"lzh","vi")</f>
        <v>#NAME?</v>
      </c>
      <c r="G3258" s="109" t="str">
        <f t="shared" si="3257"/>
        <v>#NAME?</v>
      </c>
      <c r="X3258" s="110"/>
    </row>
    <row r="3259" ht="21.0" customHeight="1">
      <c r="A3259" s="6">
        <v>1.0</v>
      </c>
      <c r="B3259" s="6">
        <v>252.0</v>
      </c>
      <c r="C3259" s="6">
        <v>3.0</v>
      </c>
      <c r="D3259" s="122" t="s">
        <v>5297</v>
      </c>
      <c r="E3259" s="9" t="s">
        <v>5298</v>
      </c>
      <c r="F3259" s="109" t="str">
        <f t="shared" ref="F3259:G3259" si="3258">TRANSLATE(D3259,"lzh","vi")</f>
        <v>#NAME?</v>
      </c>
      <c r="G3259" s="109" t="str">
        <f t="shared" si="3258"/>
        <v>#NAME?</v>
      </c>
      <c r="X3259" s="110"/>
    </row>
    <row r="3260" ht="21.0" customHeight="1">
      <c r="A3260" s="6">
        <v>1.0</v>
      </c>
      <c r="B3260" s="6">
        <v>252.0</v>
      </c>
      <c r="C3260" s="6">
        <v>4.0</v>
      </c>
      <c r="D3260" s="161" t="s">
        <v>5299</v>
      </c>
      <c r="E3260" s="9" t="s">
        <v>5300</v>
      </c>
      <c r="F3260" s="109" t="str">
        <f t="shared" ref="F3260:G3260" si="3259">TRANSLATE(D3260,"lzh","vi")</f>
        <v>#NAME?</v>
      </c>
      <c r="G3260" s="109" t="str">
        <f t="shared" si="3259"/>
        <v>#NAME?</v>
      </c>
      <c r="X3260" s="110"/>
    </row>
    <row r="3261" ht="21.0" customHeight="1">
      <c r="A3261" s="6">
        <v>1.0</v>
      </c>
      <c r="B3261" s="6">
        <v>252.0</v>
      </c>
      <c r="C3261" s="6">
        <v>5.0</v>
      </c>
      <c r="D3261" s="161" t="s">
        <v>5301</v>
      </c>
      <c r="E3261" s="9" t="s">
        <v>5302</v>
      </c>
      <c r="F3261" s="109" t="str">
        <f t="shared" ref="F3261:G3261" si="3260">TRANSLATE(D3261,"lzh","vi")</f>
        <v>#NAME?</v>
      </c>
      <c r="G3261" s="109" t="str">
        <f t="shared" si="3260"/>
        <v>#NAME?</v>
      </c>
      <c r="X3261" s="110"/>
    </row>
    <row r="3262" ht="21.0" customHeight="1">
      <c r="A3262" s="6">
        <v>1.0</v>
      </c>
      <c r="B3262" s="6">
        <v>252.0</v>
      </c>
      <c r="C3262" s="6">
        <v>6.0</v>
      </c>
      <c r="D3262" s="161" t="s">
        <v>5303</v>
      </c>
      <c r="E3262" s="9" t="s">
        <v>5304</v>
      </c>
      <c r="F3262" s="109" t="str">
        <f t="shared" ref="F3262:G3262" si="3261">TRANSLATE(D3262,"lzh","vi")</f>
        <v>#NAME?</v>
      </c>
      <c r="G3262" s="109" t="str">
        <f t="shared" si="3261"/>
        <v>#NAME?</v>
      </c>
      <c r="X3262" s="110"/>
    </row>
    <row r="3263" ht="21.0" customHeight="1">
      <c r="A3263" s="6">
        <v>1.0</v>
      </c>
      <c r="B3263" s="6">
        <v>252.0</v>
      </c>
      <c r="C3263" s="6">
        <v>7.0</v>
      </c>
      <c r="D3263" s="161" t="s">
        <v>5305</v>
      </c>
      <c r="E3263" s="9" t="s">
        <v>5306</v>
      </c>
      <c r="F3263" s="109" t="str">
        <f t="shared" ref="F3263:G3263" si="3262">TRANSLATE(D3263,"lzh","vi")</f>
        <v>#NAME?</v>
      </c>
      <c r="G3263" s="109" t="str">
        <f t="shared" si="3262"/>
        <v>#NAME?</v>
      </c>
      <c r="X3263" s="110"/>
    </row>
    <row r="3264" ht="21.0" customHeight="1">
      <c r="A3264" s="6">
        <v>1.0</v>
      </c>
      <c r="B3264" s="6">
        <v>252.0</v>
      </c>
      <c r="C3264" s="6">
        <v>8.0</v>
      </c>
      <c r="D3264" s="161" t="s">
        <v>5307</v>
      </c>
      <c r="E3264" s="9" t="s">
        <v>5308</v>
      </c>
      <c r="F3264" s="109" t="str">
        <f t="shared" ref="F3264:G3264" si="3263">TRANSLATE(D3264,"lzh","vi")</f>
        <v>#NAME?</v>
      </c>
      <c r="G3264" s="109" t="str">
        <f t="shared" si="3263"/>
        <v>#NAME?</v>
      </c>
      <c r="X3264" s="110"/>
    </row>
    <row r="3265" ht="21.0" customHeight="1">
      <c r="A3265" s="6">
        <v>1.0</v>
      </c>
      <c r="B3265" s="6">
        <v>252.0</v>
      </c>
      <c r="C3265" s="6">
        <v>9.0</v>
      </c>
      <c r="D3265" s="161" t="s">
        <v>5309</v>
      </c>
      <c r="E3265" s="9" t="s">
        <v>5310</v>
      </c>
      <c r="F3265" s="109" t="str">
        <f t="shared" ref="F3265:G3265" si="3264">TRANSLATE(D3265,"lzh","vi")</f>
        <v>#NAME?</v>
      </c>
      <c r="G3265" s="109" t="str">
        <f t="shared" si="3264"/>
        <v>#NAME?</v>
      </c>
      <c r="X3265" s="110"/>
    </row>
    <row r="3266" ht="21.0" customHeight="1">
      <c r="A3266" s="6">
        <v>1.0</v>
      </c>
      <c r="B3266" s="6">
        <v>252.0</v>
      </c>
      <c r="C3266" s="6">
        <v>10.0</v>
      </c>
      <c r="D3266" s="161" t="s">
        <v>5311</v>
      </c>
      <c r="E3266" s="9" t="s">
        <v>5312</v>
      </c>
      <c r="F3266" s="109" t="str">
        <f t="shared" ref="F3266:G3266" si="3265">TRANSLATE(D3266,"lzh","vi")</f>
        <v>#NAME?</v>
      </c>
      <c r="G3266" s="109" t="str">
        <f t="shared" si="3265"/>
        <v>#NAME?</v>
      </c>
      <c r="X3266" s="110"/>
    </row>
    <row r="3267" ht="21.0" customHeight="1">
      <c r="A3267" s="6">
        <v>1.0</v>
      </c>
      <c r="B3267" s="6">
        <v>252.0</v>
      </c>
      <c r="C3267" s="6">
        <v>11.0</v>
      </c>
      <c r="D3267" s="161" t="s">
        <v>5313</v>
      </c>
      <c r="E3267" s="9" t="s">
        <v>5314</v>
      </c>
      <c r="F3267" s="109" t="str">
        <f t="shared" ref="F3267:G3267" si="3266">TRANSLATE(D3267,"lzh","vi")</f>
        <v>#NAME?</v>
      </c>
      <c r="G3267" s="109" t="str">
        <f t="shared" si="3266"/>
        <v>#NAME?</v>
      </c>
      <c r="X3267" s="110"/>
    </row>
    <row r="3268" ht="21.0" customHeight="1">
      <c r="A3268" s="6">
        <v>1.0</v>
      </c>
      <c r="B3268" s="6">
        <v>252.0</v>
      </c>
      <c r="C3268" s="6">
        <v>12.0</v>
      </c>
      <c r="D3268" s="161" t="s">
        <v>5315</v>
      </c>
      <c r="E3268" s="9" t="s">
        <v>5316</v>
      </c>
      <c r="F3268" s="109" t="str">
        <f t="shared" ref="F3268:G3268" si="3267">TRANSLATE(D3268,"lzh","vi")</f>
        <v>#NAME?</v>
      </c>
      <c r="G3268" s="109" t="str">
        <f t="shared" si="3267"/>
        <v>#NAME?</v>
      </c>
      <c r="X3268" s="110"/>
    </row>
    <row r="3269" ht="21.0" customHeight="1">
      <c r="A3269" s="6">
        <v>1.0</v>
      </c>
      <c r="B3269" s="6">
        <v>252.0</v>
      </c>
      <c r="C3269" s="6">
        <v>13.0</v>
      </c>
      <c r="D3269" s="161" t="s">
        <v>5317</v>
      </c>
      <c r="E3269" s="9" t="s">
        <v>5318</v>
      </c>
      <c r="F3269" s="109" t="str">
        <f t="shared" ref="F3269:G3269" si="3268">TRANSLATE(D3269,"lzh","vi")</f>
        <v>#NAME?</v>
      </c>
      <c r="G3269" s="109" t="str">
        <f t="shared" si="3268"/>
        <v>#NAME?</v>
      </c>
      <c r="X3269" s="110"/>
    </row>
    <row r="3270" ht="21.0" customHeight="1">
      <c r="A3270" s="6">
        <v>1.0</v>
      </c>
      <c r="B3270" s="6">
        <v>253.0</v>
      </c>
      <c r="C3270" s="6">
        <v>1.0</v>
      </c>
      <c r="D3270" s="161" t="s">
        <v>5319</v>
      </c>
      <c r="E3270" s="9" t="s">
        <v>5320</v>
      </c>
      <c r="F3270" s="109" t="str">
        <f t="shared" ref="F3270:G3270" si="3269">TRANSLATE(D3270,"lzh","vi")</f>
        <v>#NAME?</v>
      </c>
      <c r="G3270" s="109" t="str">
        <f t="shared" si="3269"/>
        <v>#NAME?</v>
      </c>
      <c r="X3270" s="110"/>
    </row>
    <row r="3271" ht="21.0" customHeight="1">
      <c r="A3271" s="6">
        <v>1.0</v>
      </c>
      <c r="B3271" s="6">
        <v>253.0</v>
      </c>
      <c r="C3271" s="6">
        <v>2.0</v>
      </c>
      <c r="D3271" s="161" t="s">
        <v>5321</v>
      </c>
      <c r="E3271" s="9" t="s">
        <v>5322</v>
      </c>
      <c r="F3271" s="109" t="str">
        <f t="shared" ref="F3271:G3271" si="3270">TRANSLATE(D3271,"lzh","vi")</f>
        <v>#NAME?</v>
      </c>
      <c r="G3271" s="109" t="str">
        <f t="shared" si="3270"/>
        <v>#NAME?</v>
      </c>
      <c r="X3271" s="110"/>
    </row>
    <row r="3272" ht="21.0" customHeight="1">
      <c r="A3272" s="6">
        <v>1.0</v>
      </c>
      <c r="B3272" s="6">
        <v>253.0</v>
      </c>
      <c r="C3272" s="6">
        <v>3.0</v>
      </c>
      <c r="D3272" s="161" t="s">
        <v>5323</v>
      </c>
      <c r="E3272" s="9" t="s">
        <v>5324</v>
      </c>
      <c r="F3272" s="109" t="str">
        <f t="shared" ref="F3272:G3272" si="3271">TRANSLATE(D3272,"lzh","vi")</f>
        <v>#NAME?</v>
      </c>
      <c r="G3272" s="109" t="str">
        <f t="shared" si="3271"/>
        <v>#NAME?</v>
      </c>
      <c r="X3272" s="110"/>
    </row>
    <row r="3273" ht="21.0" customHeight="1">
      <c r="A3273" s="6">
        <v>1.0</v>
      </c>
      <c r="B3273" s="6">
        <v>253.0</v>
      </c>
      <c r="C3273" s="6">
        <v>4.0</v>
      </c>
      <c r="D3273" s="161" t="s">
        <v>5325</v>
      </c>
      <c r="E3273" s="9" t="s">
        <v>5326</v>
      </c>
      <c r="F3273" s="109" t="str">
        <f t="shared" ref="F3273:G3273" si="3272">TRANSLATE(D3273,"lzh","vi")</f>
        <v>#NAME?</v>
      </c>
      <c r="G3273" s="109" t="str">
        <f t="shared" si="3272"/>
        <v>#NAME?</v>
      </c>
      <c r="X3273" s="110"/>
    </row>
    <row r="3274" ht="21.0" customHeight="1">
      <c r="A3274" s="6">
        <v>1.0</v>
      </c>
      <c r="B3274" s="6">
        <v>253.0</v>
      </c>
      <c r="C3274" s="6">
        <v>5.0</v>
      </c>
      <c r="D3274" s="161" t="s">
        <v>5327</v>
      </c>
      <c r="E3274" s="9" t="s">
        <v>5328</v>
      </c>
      <c r="F3274" s="109" t="str">
        <f t="shared" ref="F3274:G3274" si="3273">TRANSLATE(D3274,"lzh","vi")</f>
        <v>#NAME?</v>
      </c>
      <c r="G3274" s="109" t="str">
        <f t="shared" si="3273"/>
        <v>#NAME?</v>
      </c>
      <c r="X3274" s="110"/>
    </row>
    <row r="3275" ht="21.0" customHeight="1">
      <c r="A3275" s="6">
        <v>1.0</v>
      </c>
      <c r="B3275" s="6">
        <v>253.0</v>
      </c>
      <c r="C3275" s="6">
        <v>6.0</v>
      </c>
      <c r="D3275" s="161" t="s">
        <v>5329</v>
      </c>
      <c r="E3275" s="9" t="s">
        <v>5330</v>
      </c>
      <c r="F3275" s="109" t="str">
        <f t="shared" ref="F3275:G3275" si="3274">TRANSLATE(D3275,"lzh","vi")</f>
        <v>#NAME?</v>
      </c>
      <c r="G3275" s="109" t="str">
        <f t="shared" si="3274"/>
        <v>#NAME?</v>
      </c>
      <c r="X3275" s="110"/>
    </row>
    <row r="3276" ht="21.0" customHeight="1">
      <c r="A3276" s="6">
        <v>1.0</v>
      </c>
      <c r="B3276" s="6">
        <v>253.0</v>
      </c>
      <c r="C3276" s="6">
        <v>7.0</v>
      </c>
      <c r="D3276" s="161" t="s">
        <v>5331</v>
      </c>
      <c r="E3276" s="9" t="s">
        <v>5332</v>
      </c>
      <c r="F3276" s="109" t="str">
        <f t="shared" ref="F3276:G3276" si="3275">TRANSLATE(D3276,"lzh","vi")</f>
        <v>#NAME?</v>
      </c>
      <c r="G3276" s="109" t="str">
        <f t="shared" si="3275"/>
        <v>#NAME?</v>
      </c>
      <c r="X3276" s="110"/>
    </row>
    <row r="3277" ht="21.0" customHeight="1">
      <c r="A3277" s="6">
        <v>1.0</v>
      </c>
      <c r="B3277" s="6">
        <v>253.0</v>
      </c>
      <c r="C3277" s="6">
        <v>8.0</v>
      </c>
      <c r="D3277" s="161" t="s">
        <v>5333</v>
      </c>
      <c r="E3277" s="9" t="s">
        <v>5334</v>
      </c>
      <c r="F3277" s="109" t="str">
        <f t="shared" ref="F3277:G3277" si="3276">TRANSLATE(D3277,"lzh","vi")</f>
        <v>#NAME?</v>
      </c>
      <c r="G3277" s="109" t="str">
        <f t="shared" si="3276"/>
        <v>#NAME?</v>
      </c>
      <c r="X3277" s="110"/>
    </row>
    <row r="3278" ht="21.0" customHeight="1">
      <c r="A3278" s="6">
        <v>1.0</v>
      </c>
      <c r="B3278" s="6">
        <v>253.0</v>
      </c>
      <c r="C3278" s="6">
        <v>9.0</v>
      </c>
      <c r="D3278" s="161" t="s">
        <v>5335</v>
      </c>
      <c r="E3278" s="9" t="s">
        <v>5336</v>
      </c>
      <c r="F3278" s="109" t="str">
        <f t="shared" ref="F3278:G3278" si="3277">TRANSLATE(D3278,"lzh","vi")</f>
        <v>#NAME?</v>
      </c>
      <c r="G3278" s="109" t="str">
        <f t="shared" si="3277"/>
        <v>#NAME?</v>
      </c>
      <c r="X3278" s="110"/>
    </row>
    <row r="3279" ht="21.0" customHeight="1">
      <c r="A3279" s="6">
        <v>1.0</v>
      </c>
      <c r="B3279" s="6">
        <v>253.0</v>
      </c>
      <c r="C3279" s="6">
        <v>10.0</v>
      </c>
      <c r="D3279" s="161" t="s">
        <v>5337</v>
      </c>
      <c r="E3279" s="9" t="s">
        <v>5338</v>
      </c>
      <c r="F3279" s="109" t="str">
        <f t="shared" ref="F3279:G3279" si="3278">TRANSLATE(D3279,"lzh","vi")</f>
        <v>#NAME?</v>
      </c>
      <c r="G3279" s="109" t="str">
        <f t="shared" si="3278"/>
        <v>#NAME?</v>
      </c>
      <c r="X3279" s="110"/>
    </row>
    <row r="3280" ht="21.0" customHeight="1">
      <c r="A3280" s="6">
        <v>1.0</v>
      </c>
      <c r="B3280" s="6">
        <v>253.0</v>
      </c>
      <c r="C3280" s="6">
        <v>11.0</v>
      </c>
      <c r="D3280" s="161" t="s">
        <v>5339</v>
      </c>
      <c r="E3280" s="9" t="s">
        <v>5340</v>
      </c>
      <c r="F3280" s="109" t="str">
        <f t="shared" ref="F3280:G3280" si="3279">TRANSLATE(D3280,"lzh","vi")</f>
        <v>#NAME?</v>
      </c>
      <c r="G3280" s="109" t="str">
        <f t="shared" si="3279"/>
        <v>#NAME?</v>
      </c>
      <c r="X3280" s="110"/>
    </row>
    <row r="3281" ht="21.0" customHeight="1">
      <c r="A3281" s="6">
        <v>1.0</v>
      </c>
      <c r="B3281" s="6">
        <v>253.0</v>
      </c>
      <c r="C3281" s="6">
        <v>12.0</v>
      </c>
      <c r="D3281" s="161" t="s">
        <v>5341</v>
      </c>
      <c r="E3281" s="9" t="s">
        <v>5342</v>
      </c>
      <c r="F3281" s="109" t="str">
        <f t="shared" ref="F3281:G3281" si="3280">TRANSLATE(D3281,"lzh","vi")</f>
        <v>#NAME?</v>
      </c>
      <c r="G3281" s="109" t="str">
        <f t="shared" si="3280"/>
        <v>#NAME?</v>
      </c>
      <c r="X3281" s="110"/>
    </row>
    <row r="3282" ht="21.0" customHeight="1">
      <c r="A3282" s="6">
        <v>1.0</v>
      </c>
      <c r="B3282" s="6">
        <v>253.0</v>
      </c>
      <c r="C3282" s="6">
        <v>13.0</v>
      </c>
      <c r="D3282" s="161" t="s">
        <v>5343</v>
      </c>
      <c r="E3282" s="9" t="s">
        <v>5344</v>
      </c>
      <c r="F3282" s="109" t="str">
        <f t="shared" ref="F3282:G3282" si="3281">TRANSLATE(D3282,"lzh","vi")</f>
        <v>#NAME?</v>
      </c>
      <c r="G3282" s="109" t="str">
        <f t="shared" si="3281"/>
        <v>#NAME?</v>
      </c>
      <c r="X3282" s="110"/>
    </row>
    <row r="3283" ht="21.0" customHeight="1">
      <c r="A3283" s="6">
        <v>11.0</v>
      </c>
      <c r="B3283" s="58">
        <v>1073.0</v>
      </c>
      <c r="C3283" s="6">
        <v>1.0</v>
      </c>
      <c r="D3283" s="161" t="s">
        <v>5345</v>
      </c>
      <c r="E3283" s="9" t="s">
        <v>5346</v>
      </c>
      <c r="F3283" s="109" t="str">
        <f t="shared" ref="F3283:G3283" si="3282">TRANSLATE(D3283,"lzh","vi")</f>
        <v>#NAME?</v>
      </c>
      <c r="G3283" s="109" t="str">
        <f t="shared" si="3282"/>
        <v>#NAME?</v>
      </c>
      <c r="X3283" s="110"/>
    </row>
    <row r="3284" ht="21.0" customHeight="1">
      <c r="A3284" s="6">
        <v>11.0</v>
      </c>
      <c r="B3284" s="58">
        <v>1073.0</v>
      </c>
      <c r="C3284" s="6">
        <v>2.0</v>
      </c>
      <c r="D3284" s="161" t="s">
        <v>5347</v>
      </c>
      <c r="E3284" s="9" t="s">
        <v>5348</v>
      </c>
      <c r="F3284" s="109" t="str">
        <f t="shared" ref="F3284:G3284" si="3283">TRANSLATE(D3284,"lzh","vi")</f>
        <v>#NAME?</v>
      </c>
      <c r="G3284" s="109" t="str">
        <f t="shared" si="3283"/>
        <v>#NAME?</v>
      </c>
      <c r="X3284" s="110"/>
    </row>
    <row r="3285" ht="21.0" customHeight="1">
      <c r="A3285" s="6">
        <v>11.0</v>
      </c>
      <c r="B3285" s="58">
        <v>1073.0</v>
      </c>
      <c r="C3285" s="6">
        <v>3.0</v>
      </c>
      <c r="D3285" s="161" t="s">
        <v>5349</v>
      </c>
      <c r="E3285" s="9" t="s">
        <v>5350</v>
      </c>
      <c r="F3285" s="109" t="str">
        <f t="shared" ref="F3285:G3285" si="3284">TRANSLATE(D3285,"lzh","vi")</f>
        <v>#NAME?</v>
      </c>
      <c r="G3285" s="109" t="str">
        <f t="shared" si="3284"/>
        <v>#NAME?</v>
      </c>
      <c r="X3285" s="110"/>
    </row>
    <row r="3286" ht="21.0" customHeight="1">
      <c r="A3286" s="6">
        <v>11.0</v>
      </c>
      <c r="B3286" s="58">
        <v>1073.0</v>
      </c>
      <c r="C3286" s="6">
        <v>4.0</v>
      </c>
      <c r="D3286" s="161" t="s">
        <v>5351</v>
      </c>
      <c r="E3286" s="9" t="s">
        <v>5352</v>
      </c>
      <c r="F3286" s="109" t="str">
        <f t="shared" ref="F3286:G3286" si="3285">TRANSLATE(D3286,"lzh","vi")</f>
        <v>#NAME?</v>
      </c>
      <c r="G3286" s="109" t="str">
        <f t="shared" si="3285"/>
        <v>#NAME?</v>
      </c>
      <c r="X3286" s="110"/>
    </row>
    <row r="3287" ht="21.0" customHeight="1">
      <c r="A3287" s="6">
        <v>10.0</v>
      </c>
      <c r="B3287" s="58">
        <v>1073.0</v>
      </c>
      <c r="C3287" s="6">
        <v>5.0</v>
      </c>
      <c r="D3287" s="161" t="s">
        <v>5353</v>
      </c>
      <c r="E3287" s="9" t="s">
        <v>5354</v>
      </c>
      <c r="F3287" s="109" t="str">
        <f t="shared" ref="F3287:G3287" si="3286">TRANSLATE(D3287,"lzh","vi")</f>
        <v>#NAME?</v>
      </c>
      <c r="G3287" s="109" t="str">
        <f t="shared" si="3286"/>
        <v>#NAME?</v>
      </c>
      <c r="X3287" s="110"/>
    </row>
    <row r="3288" ht="21.0" customHeight="1">
      <c r="A3288" s="6">
        <v>10.0</v>
      </c>
      <c r="B3288" s="58">
        <v>1073.0</v>
      </c>
      <c r="C3288" s="6">
        <v>6.0</v>
      </c>
      <c r="D3288" s="161" t="s">
        <v>5355</v>
      </c>
      <c r="E3288" s="9" t="s">
        <v>5356</v>
      </c>
      <c r="F3288" s="109" t="str">
        <f t="shared" ref="F3288:G3288" si="3287">TRANSLATE(D3288,"lzh","vi")</f>
        <v>#NAME?</v>
      </c>
      <c r="G3288" s="109" t="str">
        <f t="shared" si="3287"/>
        <v>#NAME?</v>
      </c>
      <c r="X3288" s="110"/>
    </row>
    <row r="3289" ht="21.0" customHeight="1">
      <c r="A3289" s="6">
        <v>10.0</v>
      </c>
      <c r="B3289" s="58">
        <v>1073.0</v>
      </c>
      <c r="C3289" s="6">
        <v>7.0</v>
      </c>
      <c r="D3289" s="161" t="s">
        <v>5357</v>
      </c>
      <c r="E3289" s="9" t="s">
        <v>5358</v>
      </c>
      <c r="F3289" s="109" t="str">
        <f t="shared" ref="F3289:G3289" si="3288">TRANSLATE(D3289,"lzh","vi")</f>
        <v>#NAME?</v>
      </c>
      <c r="G3289" s="109" t="str">
        <f t="shared" si="3288"/>
        <v>#NAME?</v>
      </c>
      <c r="X3289" s="110"/>
    </row>
    <row r="3290" ht="21.0" customHeight="1">
      <c r="A3290" s="6">
        <v>10.0</v>
      </c>
      <c r="B3290" s="58">
        <v>1073.0</v>
      </c>
      <c r="C3290" s="6">
        <v>8.0</v>
      </c>
      <c r="D3290" s="161" t="s">
        <v>5359</v>
      </c>
      <c r="E3290" s="9" t="s">
        <v>5360</v>
      </c>
      <c r="F3290" s="109" t="str">
        <f t="shared" ref="F3290:G3290" si="3289">TRANSLATE(D3290,"lzh","vi")</f>
        <v>#NAME?</v>
      </c>
      <c r="G3290" s="109" t="str">
        <f t="shared" si="3289"/>
        <v>#NAME?</v>
      </c>
      <c r="X3290" s="110"/>
    </row>
    <row r="3291" ht="21.0" customHeight="1">
      <c r="A3291" s="6">
        <v>10.0</v>
      </c>
      <c r="B3291" s="58">
        <v>1073.0</v>
      </c>
      <c r="C3291" s="6">
        <v>9.0</v>
      </c>
      <c r="D3291" s="161" t="s">
        <v>5361</v>
      </c>
      <c r="E3291" s="9" t="s">
        <v>5362</v>
      </c>
      <c r="F3291" s="109" t="str">
        <f t="shared" ref="F3291:G3291" si="3290">TRANSLATE(D3291,"lzh","vi")</f>
        <v>#NAME?</v>
      </c>
      <c r="G3291" s="109" t="str">
        <f t="shared" si="3290"/>
        <v>#NAME?</v>
      </c>
      <c r="X3291" s="110"/>
    </row>
    <row r="3292" ht="21.0" customHeight="1">
      <c r="A3292" s="6">
        <v>10.0</v>
      </c>
      <c r="B3292" s="58">
        <v>1073.0</v>
      </c>
      <c r="C3292" s="6">
        <v>10.0</v>
      </c>
      <c r="D3292" s="161" t="s">
        <v>5363</v>
      </c>
      <c r="E3292" s="9" t="s">
        <v>5364</v>
      </c>
      <c r="F3292" s="109" t="str">
        <f t="shared" ref="F3292:G3292" si="3291">TRANSLATE(D3292,"lzh","vi")</f>
        <v>#NAME?</v>
      </c>
      <c r="G3292" s="109" t="str">
        <f t="shared" si="3291"/>
        <v>#NAME?</v>
      </c>
      <c r="X3292" s="110"/>
    </row>
    <row r="3293" ht="21.0" customHeight="1">
      <c r="A3293" s="6">
        <v>1.0</v>
      </c>
      <c r="B3293" s="6">
        <v>254.0</v>
      </c>
      <c r="C3293" s="6">
        <v>1.0</v>
      </c>
      <c r="D3293" s="161" t="s">
        <v>5365</v>
      </c>
      <c r="E3293" s="9" t="s">
        <v>5366</v>
      </c>
      <c r="F3293" s="109" t="str">
        <f t="shared" ref="F3293:G3293" si="3292">TRANSLATE(D3293,"lzh","vi")</f>
        <v>#NAME?</v>
      </c>
      <c r="G3293" s="109" t="str">
        <f t="shared" si="3292"/>
        <v>#NAME?</v>
      </c>
      <c r="X3293" s="110"/>
    </row>
    <row r="3294" ht="21.0" customHeight="1">
      <c r="A3294" s="6">
        <v>1.0</v>
      </c>
      <c r="B3294" s="6">
        <v>254.0</v>
      </c>
      <c r="C3294" s="6">
        <v>2.0</v>
      </c>
      <c r="D3294" s="161" t="s">
        <v>5367</v>
      </c>
      <c r="E3294" s="9" t="s">
        <v>5368</v>
      </c>
      <c r="F3294" s="109" t="str">
        <f t="shared" ref="F3294:G3294" si="3293">TRANSLATE(D3294,"lzh","vi")</f>
        <v>#NAME?</v>
      </c>
      <c r="G3294" s="109" t="str">
        <f t="shared" si="3293"/>
        <v>#NAME?</v>
      </c>
      <c r="X3294" s="110"/>
    </row>
    <row r="3295" ht="21.0" customHeight="1">
      <c r="A3295" s="6">
        <v>1.0</v>
      </c>
      <c r="B3295" s="6">
        <v>254.0</v>
      </c>
      <c r="C3295" s="6">
        <v>3.0</v>
      </c>
      <c r="D3295" s="161" t="s">
        <v>5369</v>
      </c>
      <c r="E3295" s="9" t="s">
        <v>5370</v>
      </c>
      <c r="F3295" s="109" t="str">
        <f t="shared" ref="F3295:G3295" si="3294">TRANSLATE(D3295,"lzh","vi")</f>
        <v>#NAME?</v>
      </c>
      <c r="G3295" s="109" t="str">
        <f t="shared" si="3294"/>
        <v>#NAME?</v>
      </c>
      <c r="X3295" s="110"/>
    </row>
    <row r="3296" ht="21.0" customHeight="1">
      <c r="A3296" s="6">
        <v>1.0</v>
      </c>
      <c r="B3296" s="6">
        <v>254.0</v>
      </c>
      <c r="C3296" s="6">
        <v>4.0</v>
      </c>
      <c r="D3296" s="161" t="s">
        <v>5371</v>
      </c>
      <c r="E3296" s="9" t="s">
        <v>5372</v>
      </c>
      <c r="F3296" s="109" t="str">
        <f t="shared" ref="F3296:G3296" si="3295">TRANSLATE(D3296,"lzh","vi")</f>
        <v>#NAME?</v>
      </c>
      <c r="G3296" s="109" t="str">
        <f t="shared" si="3295"/>
        <v>#NAME?</v>
      </c>
      <c r="X3296" s="110"/>
    </row>
    <row r="3297" ht="21.0" customHeight="1">
      <c r="A3297" s="6">
        <v>1.0</v>
      </c>
      <c r="B3297" s="6">
        <v>254.0</v>
      </c>
      <c r="C3297" s="6">
        <v>5.0</v>
      </c>
      <c r="D3297" s="161" t="s">
        <v>5373</v>
      </c>
      <c r="E3297" s="9" t="s">
        <v>5374</v>
      </c>
      <c r="F3297" s="109" t="str">
        <f t="shared" ref="F3297:G3297" si="3296">TRANSLATE(D3297,"lzh","vi")</f>
        <v>#NAME?</v>
      </c>
      <c r="G3297" s="109" t="str">
        <f t="shared" si="3296"/>
        <v>#NAME?</v>
      </c>
      <c r="X3297" s="110"/>
    </row>
    <row r="3298" ht="21.0" customHeight="1">
      <c r="A3298" s="6">
        <v>1.0</v>
      </c>
      <c r="B3298" s="6">
        <v>254.0</v>
      </c>
      <c r="C3298" s="6">
        <v>6.0</v>
      </c>
      <c r="D3298" s="161" t="s">
        <v>5375</v>
      </c>
      <c r="E3298" s="9" t="s">
        <v>5376</v>
      </c>
      <c r="F3298" s="109" t="str">
        <f t="shared" ref="F3298:G3298" si="3297">TRANSLATE(D3298,"lzh","vi")</f>
        <v>#NAME?</v>
      </c>
      <c r="G3298" s="109" t="str">
        <f t="shared" si="3297"/>
        <v>#NAME?</v>
      </c>
      <c r="X3298" s="110"/>
    </row>
    <row r="3299" ht="21.0" customHeight="1">
      <c r="A3299" s="6">
        <v>1.0</v>
      </c>
      <c r="B3299" s="6">
        <v>254.0</v>
      </c>
      <c r="C3299" s="6">
        <v>7.0</v>
      </c>
      <c r="D3299" s="161" t="s">
        <v>5377</v>
      </c>
      <c r="E3299" s="9" t="s">
        <v>5378</v>
      </c>
      <c r="F3299" s="109" t="str">
        <f t="shared" ref="F3299:G3299" si="3298">TRANSLATE(D3299,"lzh","vi")</f>
        <v>#NAME?</v>
      </c>
      <c r="G3299" s="109" t="str">
        <f t="shared" si="3298"/>
        <v>#NAME?</v>
      </c>
      <c r="X3299" s="110"/>
    </row>
    <row r="3300" ht="21.0" customHeight="1">
      <c r="A3300" s="6">
        <v>1.0</v>
      </c>
      <c r="B3300" s="6">
        <v>254.0</v>
      </c>
      <c r="C3300" s="6">
        <v>8.0</v>
      </c>
      <c r="D3300" s="161" t="s">
        <v>5379</v>
      </c>
      <c r="E3300" s="9" t="s">
        <v>5380</v>
      </c>
      <c r="F3300" s="109" t="str">
        <f t="shared" ref="F3300:G3300" si="3299">TRANSLATE(D3300,"lzh","vi")</f>
        <v>#NAME?</v>
      </c>
      <c r="G3300" s="109" t="str">
        <f t="shared" si="3299"/>
        <v>#NAME?</v>
      </c>
      <c r="X3300" s="110"/>
    </row>
    <row r="3301" ht="21.0" customHeight="1">
      <c r="A3301" s="6">
        <v>1.0</v>
      </c>
      <c r="B3301" s="6">
        <v>254.0</v>
      </c>
      <c r="C3301" s="6">
        <v>9.0</v>
      </c>
      <c r="D3301" s="161" t="s">
        <v>5381</v>
      </c>
      <c r="E3301" s="9" t="s">
        <v>5382</v>
      </c>
      <c r="F3301" s="109" t="str">
        <f t="shared" ref="F3301:G3301" si="3300">TRANSLATE(D3301,"lzh","vi")</f>
        <v>#NAME?</v>
      </c>
      <c r="G3301" s="109" t="str">
        <f t="shared" si="3300"/>
        <v>#NAME?</v>
      </c>
      <c r="X3301" s="110"/>
    </row>
    <row r="3302" ht="21.0" customHeight="1">
      <c r="A3302" s="6">
        <v>1.0</v>
      </c>
      <c r="B3302" s="6">
        <v>254.0</v>
      </c>
      <c r="C3302" s="6">
        <v>10.0</v>
      </c>
      <c r="D3302" s="161" t="s">
        <v>5383</v>
      </c>
      <c r="E3302" s="9" t="s">
        <v>5384</v>
      </c>
      <c r="F3302" s="109" t="str">
        <f t="shared" ref="F3302:G3302" si="3301">TRANSLATE(D3302,"lzh","vi")</f>
        <v>#NAME?</v>
      </c>
      <c r="G3302" s="109" t="str">
        <f t="shared" si="3301"/>
        <v>#NAME?</v>
      </c>
      <c r="X3302" s="110"/>
    </row>
    <row r="3303" ht="21.0" customHeight="1">
      <c r="A3303" s="6">
        <v>1.0</v>
      </c>
      <c r="B3303" s="6">
        <v>254.0</v>
      </c>
      <c r="C3303" s="6">
        <v>11.0</v>
      </c>
      <c r="D3303" s="161" t="s">
        <v>5385</v>
      </c>
      <c r="E3303" s="9" t="s">
        <v>5386</v>
      </c>
      <c r="F3303" s="109" t="str">
        <f t="shared" ref="F3303:G3303" si="3302">TRANSLATE(D3303,"lzh","vi")</f>
        <v>#NAME?</v>
      </c>
      <c r="G3303" s="109" t="str">
        <f t="shared" si="3302"/>
        <v>#NAME?</v>
      </c>
      <c r="X3303" s="110"/>
    </row>
    <row r="3304" ht="21.0" customHeight="1">
      <c r="A3304" s="6">
        <v>1.0</v>
      </c>
      <c r="B3304" s="6">
        <v>254.0</v>
      </c>
      <c r="C3304" s="6">
        <v>12.0</v>
      </c>
      <c r="D3304" s="161" t="s">
        <v>5387</v>
      </c>
      <c r="E3304" s="9" t="s">
        <v>5388</v>
      </c>
      <c r="F3304" s="109" t="str">
        <f t="shared" ref="F3304:G3304" si="3303">TRANSLATE(D3304,"lzh","vi")</f>
        <v>#NAME?</v>
      </c>
      <c r="G3304" s="109" t="str">
        <f t="shared" si="3303"/>
        <v>#NAME?</v>
      </c>
      <c r="X3304" s="110"/>
    </row>
    <row r="3305" ht="21.0" customHeight="1">
      <c r="A3305" s="6">
        <v>1.0</v>
      </c>
      <c r="B3305" s="6">
        <v>254.0</v>
      </c>
      <c r="C3305" s="6">
        <v>13.0</v>
      </c>
      <c r="D3305" s="122" t="s">
        <v>5389</v>
      </c>
      <c r="E3305" s="9" t="s">
        <v>5390</v>
      </c>
      <c r="F3305" s="109" t="str">
        <f t="shared" ref="F3305:G3305" si="3304">TRANSLATE(D3305,"lzh","vi")</f>
        <v>#NAME?</v>
      </c>
      <c r="G3305" s="109" t="str">
        <f t="shared" si="3304"/>
        <v>#NAME?</v>
      </c>
      <c r="X3305" s="110"/>
    </row>
    <row r="3306" ht="21.0" customHeight="1">
      <c r="A3306" s="6">
        <v>1.0</v>
      </c>
      <c r="B3306" s="6">
        <v>255.0</v>
      </c>
      <c r="C3306" s="6">
        <v>1.0</v>
      </c>
      <c r="D3306" s="161" t="s">
        <v>5391</v>
      </c>
      <c r="E3306" s="9" t="s">
        <v>5392</v>
      </c>
      <c r="F3306" s="109" t="str">
        <f t="shared" ref="F3306:G3306" si="3305">TRANSLATE(D3306,"lzh","vi")</f>
        <v>#NAME?</v>
      </c>
      <c r="G3306" s="109" t="str">
        <f t="shared" si="3305"/>
        <v>#NAME?</v>
      </c>
      <c r="X3306" s="110"/>
    </row>
    <row r="3307" ht="21.0" customHeight="1">
      <c r="A3307" s="6">
        <v>1.0</v>
      </c>
      <c r="B3307" s="6">
        <v>255.0</v>
      </c>
      <c r="C3307" s="6">
        <v>2.0</v>
      </c>
      <c r="D3307" s="161" t="s">
        <v>5393</v>
      </c>
      <c r="E3307" s="9" t="s">
        <v>5394</v>
      </c>
      <c r="F3307" s="109" t="str">
        <f t="shared" ref="F3307:G3307" si="3306">TRANSLATE(D3307,"lzh","vi")</f>
        <v>#NAME?</v>
      </c>
      <c r="G3307" s="109" t="str">
        <f t="shared" si="3306"/>
        <v>#NAME?</v>
      </c>
      <c r="X3307" s="110"/>
    </row>
    <row r="3308" ht="21.0" customHeight="1">
      <c r="A3308" s="6">
        <v>1.0</v>
      </c>
      <c r="B3308" s="6">
        <v>255.0</v>
      </c>
      <c r="C3308" s="6">
        <v>3.0</v>
      </c>
      <c r="D3308" s="161" t="s">
        <v>5395</v>
      </c>
      <c r="E3308" s="9" t="s">
        <v>5396</v>
      </c>
      <c r="F3308" s="109" t="str">
        <f t="shared" ref="F3308:G3308" si="3307">TRANSLATE(D3308,"lzh","vi")</f>
        <v>#NAME?</v>
      </c>
      <c r="G3308" s="109" t="str">
        <f t="shared" si="3307"/>
        <v>#NAME?</v>
      </c>
      <c r="X3308" s="110"/>
    </row>
    <row r="3309" ht="21.0" customHeight="1">
      <c r="A3309" s="6">
        <v>1.0</v>
      </c>
      <c r="B3309" s="6">
        <v>255.0</v>
      </c>
      <c r="C3309" s="6">
        <v>4.0</v>
      </c>
      <c r="D3309" s="161" t="s">
        <v>5397</v>
      </c>
      <c r="E3309" s="9" t="s">
        <v>5398</v>
      </c>
      <c r="F3309" s="109" t="str">
        <f t="shared" ref="F3309:G3309" si="3308">TRANSLATE(D3309,"lzh","vi")</f>
        <v>#NAME?</v>
      </c>
      <c r="G3309" s="109" t="str">
        <f t="shared" si="3308"/>
        <v>#NAME?</v>
      </c>
      <c r="X3309" s="110"/>
    </row>
    <row r="3310" ht="21.0" customHeight="1">
      <c r="A3310" s="6">
        <v>1.0</v>
      </c>
      <c r="B3310" s="6">
        <v>255.0</v>
      </c>
      <c r="C3310" s="6">
        <v>5.0</v>
      </c>
      <c r="D3310" s="161" t="s">
        <v>5399</v>
      </c>
      <c r="E3310" s="9" t="s">
        <v>5400</v>
      </c>
      <c r="F3310" s="109" t="str">
        <f t="shared" ref="F3310:G3310" si="3309">TRANSLATE(D3310,"lzh","vi")</f>
        <v>#NAME?</v>
      </c>
      <c r="G3310" s="109" t="str">
        <f t="shared" si="3309"/>
        <v>#NAME?</v>
      </c>
      <c r="X3310" s="110"/>
    </row>
    <row r="3311" ht="21.0" customHeight="1">
      <c r="A3311" s="6">
        <v>1.0</v>
      </c>
      <c r="B3311" s="6">
        <v>255.0</v>
      </c>
      <c r="C3311" s="6">
        <v>6.0</v>
      </c>
      <c r="D3311" s="161" t="s">
        <v>5401</v>
      </c>
      <c r="E3311" s="9" t="s">
        <v>5402</v>
      </c>
      <c r="F3311" s="109" t="str">
        <f t="shared" ref="F3311:G3311" si="3310">TRANSLATE(D3311,"lzh","vi")</f>
        <v>#NAME?</v>
      </c>
      <c r="G3311" s="109" t="str">
        <f t="shared" si="3310"/>
        <v>#NAME?</v>
      </c>
      <c r="X3311" s="110"/>
    </row>
    <row r="3312" ht="21.0" customHeight="1">
      <c r="A3312" s="6">
        <v>1.0</v>
      </c>
      <c r="B3312" s="6">
        <v>255.0</v>
      </c>
      <c r="C3312" s="6">
        <v>7.0</v>
      </c>
      <c r="D3312" s="161" t="s">
        <v>5403</v>
      </c>
      <c r="E3312" s="9" t="s">
        <v>5404</v>
      </c>
      <c r="F3312" s="109" t="str">
        <f t="shared" ref="F3312:G3312" si="3311">TRANSLATE(D3312,"lzh","vi")</f>
        <v>#NAME?</v>
      </c>
      <c r="G3312" s="109" t="str">
        <f t="shared" si="3311"/>
        <v>#NAME?</v>
      </c>
      <c r="X3312" s="110"/>
    </row>
    <row r="3313" ht="21.0" customHeight="1">
      <c r="A3313" s="6">
        <v>1.0</v>
      </c>
      <c r="B3313" s="6">
        <v>255.0</v>
      </c>
      <c r="C3313" s="6">
        <v>8.0</v>
      </c>
      <c r="D3313" s="161" t="s">
        <v>5405</v>
      </c>
      <c r="E3313" s="9" t="s">
        <v>5406</v>
      </c>
      <c r="F3313" s="109" t="str">
        <f t="shared" ref="F3313:G3313" si="3312">TRANSLATE(D3313,"lzh","vi")</f>
        <v>#NAME?</v>
      </c>
      <c r="G3313" s="109" t="str">
        <f t="shared" si="3312"/>
        <v>#NAME?</v>
      </c>
      <c r="X3313" s="110"/>
    </row>
    <row r="3314" ht="21.0" customHeight="1">
      <c r="A3314" s="6">
        <v>1.0</v>
      </c>
      <c r="B3314" s="6">
        <v>255.0</v>
      </c>
      <c r="C3314" s="6">
        <v>9.0</v>
      </c>
      <c r="D3314" s="161" t="s">
        <v>5407</v>
      </c>
      <c r="E3314" s="9" t="s">
        <v>5408</v>
      </c>
      <c r="F3314" s="109" t="str">
        <f t="shared" ref="F3314:G3314" si="3313">TRANSLATE(D3314,"lzh","vi")</f>
        <v>#NAME?</v>
      </c>
      <c r="G3314" s="109" t="str">
        <f t="shared" si="3313"/>
        <v>#NAME?</v>
      </c>
      <c r="X3314" s="110"/>
    </row>
    <row r="3315" ht="21.0" customHeight="1">
      <c r="A3315" s="6">
        <v>1.0</v>
      </c>
      <c r="B3315" s="6">
        <v>255.0</v>
      </c>
      <c r="C3315" s="6">
        <v>10.0</v>
      </c>
      <c r="D3315" s="161" t="s">
        <v>5409</v>
      </c>
      <c r="E3315" s="9" t="s">
        <v>5410</v>
      </c>
      <c r="F3315" s="109" t="str">
        <f t="shared" ref="F3315:G3315" si="3314">TRANSLATE(D3315,"lzh","vi")</f>
        <v>#NAME?</v>
      </c>
      <c r="G3315" s="109" t="str">
        <f t="shared" si="3314"/>
        <v>#NAME?</v>
      </c>
      <c r="X3315" s="110"/>
    </row>
    <row r="3316" ht="21.0" customHeight="1">
      <c r="A3316" s="6">
        <v>1.0</v>
      </c>
      <c r="B3316" s="6">
        <v>255.0</v>
      </c>
      <c r="C3316" s="6">
        <v>11.0</v>
      </c>
      <c r="D3316" s="161" t="s">
        <v>5411</v>
      </c>
      <c r="E3316" s="9" t="s">
        <v>5412</v>
      </c>
      <c r="F3316" s="109" t="str">
        <f t="shared" ref="F3316:G3316" si="3315">TRANSLATE(D3316,"lzh","vi")</f>
        <v>#NAME?</v>
      </c>
      <c r="G3316" s="109" t="str">
        <f t="shared" si="3315"/>
        <v>#NAME?</v>
      </c>
      <c r="X3316" s="110"/>
    </row>
    <row r="3317" ht="21.0" customHeight="1">
      <c r="A3317" s="6">
        <v>1.0</v>
      </c>
      <c r="B3317" s="6">
        <v>255.0</v>
      </c>
      <c r="C3317" s="6">
        <v>12.0</v>
      </c>
      <c r="D3317" s="161" t="s">
        <v>5413</v>
      </c>
      <c r="E3317" s="9" t="s">
        <v>5414</v>
      </c>
      <c r="F3317" s="109" t="str">
        <f t="shared" ref="F3317:G3317" si="3316">TRANSLATE(D3317,"lzh","vi")</f>
        <v>#NAME?</v>
      </c>
      <c r="G3317" s="109" t="str">
        <f t="shared" si="3316"/>
        <v>#NAME?</v>
      </c>
      <c r="X3317" s="110"/>
    </row>
    <row r="3318" ht="21.0" customHeight="1">
      <c r="A3318" s="6">
        <v>1.0</v>
      </c>
      <c r="B3318" s="6">
        <v>255.0</v>
      </c>
      <c r="C3318" s="6">
        <v>13.0</v>
      </c>
      <c r="D3318" s="161" t="s">
        <v>5415</v>
      </c>
      <c r="E3318" s="9" t="s">
        <v>5416</v>
      </c>
      <c r="F3318" s="109" t="str">
        <f t="shared" ref="F3318:G3318" si="3317">TRANSLATE(D3318,"lzh","vi")</f>
        <v>#NAME?</v>
      </c>
      <c r="G3318" s="109" t="str">
        <f t="shared" si="3317"/>
        <v>#NAME?</v>
      </c>
      <c r="X3318" s="110"/>
    </row>
    <row r="3319" ht="21.0" customHeight="1">
      <c r="A3319" s="6">
        <v>1.0</v>
      </c>
      <c r="B3319" s="6">
        <v>256.0</v>
      </c>
      <c r="C3319" s="6">
        <v>1.0</v>
      </c>
      <c r="D3319" s="161" t="s">
        <v>5417</v>
      </c>
      <c r="E3319" s="9" t="s">
        <v>5418</v>
      </c>
      <c r="F3319" s="109" t="str">
        <f t="shared" ref="F3319:G3319" si="3318">TRANSLATE(D3319,"lzh","vi")</f>
        <v>#NAME?</v>
      </c>
      <c r="G3319" s="109" t="str">
        <f t="shared" si="3318"/>
        <v>#NAME?</v>
      </c>
      <c r="X3319" s="110"/>
    </row>
    <row r="3320" ht="21.0" customHeight="1">
      <c r="A3320" s="6">
        <v>1.0</v>
      </c>
      <c r="B3320" s="6">
        <v>256.0</v>
      </c>
      <c r="C3320" s="6">
        <v>2.0</v>
      </c>
      <c r="D3320" s="161" t="s">
        <v>5419</v>
      </c>
      <c r="E3320" s="9" t="s">
        <v>5420</v>
      </c>
      <c r="F3320" s="109" t="str">
        <f t="shared" ref="F3320:G3320" si="3319">TRANSLATE(D3320,"lzh","vi")</f>
        <v>#NAME?</v>
      </c>
      <c r="G3320" s="109" t="str">
        <f t="shared" si="3319"/>
        <v>#NAME?</v>
      </c>
      <c r="X3320" s="110"/>
    </row>
    <row r="3321" ht="21.0" customHeight="1">
      <c r="A3321" s="6">
        <v>1.0</v>
      </c>
      <c r="B3321" s="6">
        <v>256.0</v>
      </c>
      <c r="C3321" s="6">
        <v>3.0</v>
      </c>
      <c r="D3321" s="161" t="s">
        <v>5421</v>
      </c>
      <c r="E3321" s="9" t="s">
        <v>5422</v>
      </c>
      <c r="F3321" s="109" t="str">
        <f t="shared" ref="F3321:G3321" si="3320">TRANSLATE(D3321,"lzh","vi")</f>
        <v>#NAME?</v>
      </c>
      <c r="G3321" s="109" t="str">
        <f t="shared" si="3320"/>
        <v>#NAME?</v>
      </c>
      <c r="X3321" s="110"/>
    </row>
    <row r="3322" ht="21.0" customHeight="1">
      <c r="A3322" s="6">
        <v>1.0</v>
      </c>
      <c r="B3322" s="6">
        <v>256.0</v>
      </c>
      <c r="C3322" s="6">
        <v>4.0</v>
      </c>
      <c r="D3322" s="161" t="s">
        <v>5423</v>
      </c>
      <c r="E3322" s="9" t="s">
        <v>5424</v>
      </c>
      <c r="F3322" s="109" t="str">
        <f t="shared" ref="F3322:G3322" si="3321">TRANSLATE(D3322,"lzh","vi")</f>
        <v>#NAME?</v>
      </c>
      <c r="G3322" s="109" t="str">
        <f t="shared" si="3321"/>
        <v>#NAME?</v>
      </c>
      <c r="X3322" s="110"/>
    </row>
    <row r="3323" ht="21.0" customHeight="1">
      <c r="A3323" s="6">
        <v>1.0</v>
      </c>
      <c r="B3323" s="6">
        <v>256.0</v>
      </c>
      <c r="C3323" s="6">
        <v>5.0</v>
      </c>
      <c r="D3323" s="161" t="s">
        <v>5425</v>
      </c>
      <c r="E3323" s="9" t="s">
        <v>5426</v>
      </c>
      <c r="F3323" s="109" t="str">
        <f t="shared" ref="F3323:G3323" si="3322">TRANSLATE(D3323,"lzh","vi")</f>
        <v>#NAME?</v>
      </c>
      <c r="G3323" s="109" t="str">
        <f t="shared" si="3322"/>
        <v>#NAME?</v>
      </c>
      <c r="X3323" s="110"/>
    </row>
    <row r="3324" ht="21.0" customHeight="1">
      <c r="A3324" s="6">
        <v>1.0</v>
      </c>
      <c r="B3324" s="6">
        <v>256.0</v>
      </c>
      <c r="C3324" s="6">
        <v>6.0</v>
      </c>
      <c r="D3324" s="161" t="s">
        <v>5427</v>
      </c>
      <c r="E3324" s="9" t="s">
        <v>5428</v>
      </c>
      <c r="F3324" s="109" t="str">
        <f t="shared" ref="F3324:G3324" si="3323">TRANSLATE(D3324,"lzh","vi")</f>
        <v>#NAME?</v>
      </c>
      <c r="G3324" s="109" t="str">
        <f t="shared" si="3323"/>
        <v>#NAME?</v>
      </c>
      <c r="X3324" s="110"/>
    </row>
    <row r="3325" ht="21.0" customHeight="1">
      <c r="A3325" s="6">
        <v>1.0</v>
      </c>
      <c r="B3325" s="6">
        <v>256.0</v>
      </c>
      <c r="C3325" s="6">
        <v>7.0</v>
      </c>
      <c r="D3325" s="161" t="s">
        <v>5429</v>
      </c>
      <c r="E3325" s="9" t="s">
        <v>5430</v>
      </c>
      <c r="F3325" s="109" t="str">
        <f t="shared" ref="F3325:G3325" si="3324">TRANSLATE(D3325,"lzh","vi")</f>
        <v>#NAME?</v>
      </c>
      <c r="G3325" s="109" t="str">
        <f t="shared" si="3324"/>
        <v>#NAME?</v>
      </c>
      <c r="X3325" s="110"/>
    </row>
    <row r="3326" ht="21.0" customHeight="1">
      <c r="A3326" s="6">
        <v>1.0</v>
      </c>
      <c r="B3326" s="6">
        <v>256.0</v>
      </c>
      <c r="C3326" s="6">
        <v>8.0</v>
      </c>
      <c r="D3326" s="161" t="s">
        <v>5431</v>
      </c>
      <c r="E3326" s="9" t="s">
        <v>5432</v>
      </c>
      <c r="F3326" s="109" t="str">
        <f t="shared" ref="F3326:G3326" si="3325">TRANSLATE(D3326,"lzh","vi")</f>
        <v>#NAME?</v>
      </c>
      <c r="G3326" s="109" t="str">
        <f t="shared" si="3325"/>
        <v>#NAME?</v>
      </c>
      <c r="X3326" s="110"/>
    </row>
    <row r="3327" ht="21.0" customHeight="1">
      <c r="A3327" s="6">
        <v>1.0</v>
      </c>
      <c r="B3327" s="6">
        <v>256.0</v>
      </c>
      <c r="C3327" s="6">
        <v>9.0</v>
      </c>
      <c r="D3327" s="161" t="s">
        <v>5433</v>
      </c>
      <c r="E3327" s="9" t="s">
        <v>5434</v>
      </c>
      <c r="F3327" s="109" t="str">
        <f t="shared" ref="F3327:G3327" si="3326">TRANSLATE(D3327,"lzh","vi")</f>
        <v>#NAME?</v>
      </c>
      <c r="G3327" s="109" t="str">
        <f t="shared" si="3326"/>
        <v>#NAME?</v>
      </c>
      <c r="X3327" s="110"/>
    </row>
    <row r="3328" ht="21.0" customHeight="1">
      <c r="A3328" s="6">
        <v>1.0</v>
      </c>
      <c r="B3328" s="6">
        <v>256.0</v>
      </c>
      <c r="C3328" s="6">
        <v>10.0</v>
      </c>
      <c r="D3328" s="161" t="s">
        <v>5435</v>
      </c>
      <c r="E3328" s="9" t="s">
        <v>5436</v>
      </c>
      <c r="F3328" s="109" t="str">
        <f t="shared" ref="F3328:G3328" si="3327">TRANSLATE(D3328,"lzh","vi")</f>
        <v>#NAME?</v>
      </c>
      <c r="G3328" s="109" t="str">
        <f t="shared" si="3327"/>
        <v>#NAME?</v>
      </c>
      <c r="X3328" s="110"/>
    </row>
    <row r="3329" ht="21.0" customHeight="1">
      <c r="A3329" s="6">
        <v>1.0</v>
      </c>
      <c r="B3329" s="6">
        <v>256.0</v>
      </c>
      <c r="C3329" s="6">
        <v>11.0</v>
      </c>
      <c r="D3329" s="161" t="s">
        <v>5437</v>
      </c>
      <c r="E3329" s="9" t="s">
        <v>5438</v>
      </c>
      <c r="F3329" s="109" t="str">
        <f t="shared" ref="F3329:G3329" si="3328">TRANSLATE(D3329,"lzh","vi")</f>
        <v>#NAME?</v>
      </c>
      <c r="G3329" s="109" t="str">
        <f t="shared" si="3328"/>
        <v>#NAME?</v>
      </c>
      <c r="X3329" s="110"/>
    </row>
    <row r="3330" ht="21.0" customHeight="1">
      <c r="A3330" s="6">
        <v>1.0</v>
      </c>
      <c r="B3330" s="6">
        <v>256.0</v>
      </c>
      <c r="C3330" s="6">
        <v>12.0</v>
      </c>
      <c r="D3330" s="161" t="s">
        <v>5439</v>
      </c>
      <c r="E3330" s="9" t="s">
        <v>5440</v>
      </c>
      <c r="F3330" s="109" t="str">
        <f t="shared" ref="F3330:G3330" si="3329">TRANSLATE(D3330,"lzh","vi")</f>
        <v>#NAME?</v>
      </c>
      <c r="G3330" s="109" t="str">
        <f t="shared" si="3329"/>
        <v>#NAME?</v>
      </c>
      <c r="X3330" s="110"/>
    </row>
    <row r="3331" ht="21.0" customHeight="1">
      <c r="A3331" s="6">
        <v>1.0</v>
      </c>
      <c r="B3331" s="6">
        <v>256.0</v>
      </c>
      <c r="C3331" s="6">
        <v>13.0</v>
      </c>
      <c r="D3331" s="161" t="s">
        <v>5441</v>
      </c>
      <c r="E3331" s="9" t="s">
        <v>5442</v>
      </c>
      <c r="F3331" s="109" t="str">
        <f t="shared" ref="F3331:G3331" si="3330">TRANSLATE(D3331,"lzh","vi")</f>
        <v>#NAME?</v>
      </c>
      <c r="G3331" s="109" t="str">
        <f t="shared" si="3330"/>
        <v>#NAME?</v>
      </c>
      <c r="X3331" s="110"/>
    </row>
    <row r="3332" ht="21.0" customHeight="1">
      <c r="A3332" s="6">
        <v>11.0</v>
      </c>
      <c r="B3332" s="6">
        <v>1074.0</v>
      </c>
      <c r="C3332" s="6">
        <v>1.0</v>
      </c>
      <c r="D3332" s="161" t="s">
        <v>5443</v>
      </c>
      <c r="E3332" s="9" t="s">
        <v>5444</v>
      </c>
      <c r="F3332" s="109" t="str">
        <f t="shared" ref="F3332:G3332" si="3331">TRANSLATE(D3332,"lzh","vi")</f>
        <v>#NAME?</v>
      </c>
      <c r="G3332" s="109" t="str">
        <f t="shared" si="3331"/>
        <v>#NAME?</v>
      </c>
      <c r="X3332" s="110"/>
    </row>
    <row r="3333" ht="21.0" customHeight="1">
      <c r="A3333" s="6">
        <v>11.0</v>
      </c>
      <c r="B3333" s="6">
        <v>1074.0</v>
      </c>
      <c r="C3333" s="6">
        <v>2.0</v>
      </c>
      <c r="D3333" s="161" t="s">
        <v>5445</v>
      </c>
      <c r="E3333" s="9" t="s">
        <v>5446</v>
      </c>
      <c r="F3333" s="109" t="str">
        <f t="shared" ref="F3333:G3333" si="3332">TRANSLATE(D3333,"lzh","vi")</f>
        <v>#NAME?</v>
      </c>
      <c r="G3333" s="109" t="str">
        <f t="shared" si="3332"/>
        <v>#NAME?</v>
      </c>
      <c r="X3333" s="110"/>
    </row>
    <row r="3334" ht="21.0" customHeight="1">
      <c r="A3334" s="6">
        <v>11.0</v>
      </c>
      <c r="B3334" s="6">
        <v>1074.0</v>
      </c>
      <c r="C3334" s="6">
        <v>3.0</v>
      </c>
      <c r="D3334" s="161" t="s">
        <v>5447</v>
      </c>
      <c r="E3334" s="9" t="s">
        <v>5448</v>
      </c>
      <c r="F3334" s="109" t="str">
        <f t="shared" ref="F3334:G3334" si="3333">TRANSLATE(D3334,"lzh","vi")</f>
        <v>#NAME?</v>
      </c>
      <c r="G3334" s="109" t="str">
        <f t="shared" si="3333"/>
        <v>#NAME?</v>
      </c>
      <c r="X3334" s="110"/>
    </row>
    <row r="3335" ht="21.0" customHeight="1">
      <c r="A3335" s="6">
        <v>11.0</v>
      </c>
      <c r="B3335" s="6">
        <v>1074.0</v>
      </c>
      <c r="C3335" s="6">
        <v>4.0</v>
      </c>
      <c r="D3335" s="161" t="s">
        <v>5449</v>
      </c>
      <c r="E3335" s="9" t="s">
        <v>5450</v>
      </c>
      <c r="F3335" s="109" t="str">
        <f t="shared" ref="F3335:G3335" si="3334">TRANSLATE(D3335,"lzh","vi")</f>
        <v>#NAME?</v>
      </c>
      <c r="G3335" s="109" t="str">
        <f t="shared" si="3334"/>
        <v>#NAME?</v>
      </c>
      <c r="X3335" s="110"/>
    </row>
    <row r="3336" ht="21.0" customHeight="1">
      <c r="A3336" s="6">
        <v>10.0</v>
      </c>
      <c r="B3336" s="6">
        <v>1074.0</v>
      </c>
      <c r="C3336" s="6">
        <v>5.0</v>
      </c>
      <c r="D3336" s="161" t="s">
        <v>5451</v>
      </c>
      <c r="E3336" s="9" t="s">
        <v>5452</v>
      </c>
      <c r="F3336" s="109" t="str">
        <f t="shared" ref="F3336:G3336" si="3335">TRANSLATE(D3336,"lzh","vi")</f>
        <v>#NAME?</v>
      </c>
      <c r="G3336" s="109" t="str">
        <f t="shared" si="3335"/>
        <v>#NAME?</v>
      </c>
      <c r="X3336" s="110"/>
    </row>
    <row r="3337" ht="21.0" customHeight="1">
      <c r="A3337" s="6">
        <v>10.0</v>
      </c>
      <c r="B3337" s="6">
        <v>1074.0</v>
      </c>
      <c r="C3337" s="6">
        <v>6.0</v>
      </c>
      <c r="D3337" s="161" t="s">
        <v>5453</v>
      </c>
      <c r="E3337" s="9" t="s">
        <v>5454</v>
      </c>
      <c r="F3337" s="109" t="str">
        <f t="shared" ref="F3337:G3337" si="3336">TRANSLATE(D3337,"lzh","vi")</f>
        <v>#NAME?</v>
      </c>
      <c r="G3337" s="109" t="str">
        <f t="shared" si="3336"/>
        <v>#NAME?</v>
      </c>
      <c r="X3337" s="110"/>
    </row>
    <row r="3338" ht="21.0" customHeight="1">
      <c r="A3338" s="6">
        <v>10.0</v>
      </c>
      <c r="B3338" s="6">
        <v>1074.0</v>
      </c>
      <c r="C3338" s="6">
        <v>7.0</v>
      </c>
      <c r="D3338" s="161" t="s">
        <v>5455</v>
      </c>
      <c r="E3338" s="9" t="s">
        <v>5456</v>
      </c>
      <c r="F3338" s="109" t="str">
        <f t="shared" ref="F3338:G3338" si="3337">TRANSLATE(D3338,"lzh","vi")</f>
        <v>#NAME?</v>
      </c>
      <c r="G3338" s="109" t="str">
        <f t="shared" si="3337"/>
        <v>#NAME?</v>
      </c>
      <c r="X3338" s="110"/>
    </row>
    <row r="3339" ht="21.0" customHeight="1">
      <c r="A3339" s="6">
        <v>10.0</v>
      </c>
      <c r="B3339" s="6">
        <v>1074.0</v>
      </c>
      <c r="C3339" s="6">
        <v>8.0</v>
      </c>
      <c r="D3339" s="161" t="s">
        <v>5457</v>
      </c>
      <c r="E3339" s="9" t="s">
        <v>5458</v>
      </c>
      <c r="F3339" s="109" t="str">
        <f t="shared" ref="F3339:G3339" si="3338">TRANSLATE(D3339,"lzh","vi")</f>
        <v>#NAME?</v>
      </c>
      <c r="G3339" s="109" t="str">
        <f t="shared" si="3338"/>
        <v>#NAME?</v>
      </c>
      <c r="X3339" s="110"/>
    </row>
    <row r="3340" ht="21.0" customHeight="1">
      <c r="A3340" s="6">
        <v>10.0</v>
      </c>
      <c r="B3340" s="6">
        <v>1074.0</v>
      </c>
      <c r="C3340" s="6">
        <v>9.0</v>
      </c>
      <c r="D3340" s="161" t="s">
        <v>5459</v>
      </c>
      <c r="E3340" s="9" t="s">
        <v>5460</v>
      </c>
      <c r="F3340" s="109" t="str">
        <f t="shared" ref="F3340:G3340" si="3339">TRANSLATE(D3340,"lzh","vi")</f>
        <v>#NAME?</v>
      </c>
      <c r="G3340" s="109" t="str">
        <f t="shared" si="3339"/>
        <v>#NAME?</v>
      </c>
      <c r="X3340" s="110"/>
    </row>
    <row r="3341" ht="21.0" customHeight="1">
      <c r="A3341" s="6">
        <v>10.0</v>
      </c>
      <c r="B3341" s="6">
        <v>1074.0</v>
      </c>
      <c r="C3341" s="6">
        <v>10.0</v>
      </c>
      <c r="D3341" s="161" t="s">
        <v>5461</v>
      </c>
      <c r="E3341" s="76" t="s">
        <v>5462</v>
      </c>
      <c r="F3341" s="109" t="str">
        <f t="shared" ref="F3341:G3341" si="3340">TRANSLATE(D3341,"lzh","vi")</f>
        <v>#NAME?</v>
      </c>
      <c r="G3341" s="109" t="str">
        <f t="shared" si="3340"/>
        <v>#NAME?</v>
      </c>
      <c r="X3341" s="110"/>
    </row>
    <row r="3342" ht="21.0" customHeight="1">
      <c r="A3342" s="6">
        <v>11.0</v>
      </c>
      <c r="B3342" s="6">
        <v>1075.0</v>
      </c>
      <c r="C3342" s="6">
        <v>1.0</v>
      </c>
      <c r="D3342" s="161" t="s">
        <v>5463</v>
      </c>
      <c r="E3342" s="9" t="s">
        <v>5464</v>
      </c>
      <c r="F3342" s="109" t="str">
        <f t="shared" ref="F3342:G3342" si="3341">TRANSLATE(D3342,"lzh","vi")</f>
        <v>#NAME?</v>
      </c>
      <c r="G3342" s="109" t="str">
        <f t="shared" si="3341"/>
        <v>#NAME?</v>
      </c>
      <c r="X3342" s="110"/>
    </row>
    <row r="3343" ht="21.0" customHeight="1">
      <c r="A3343" s="6">
        <v>11.0</v>
      </c>
      <c r="B3343" s="6">
        <v>1075.0</v>
      </c>
      <c r="C3343" s="6">
        <v>2.0</v>
      </c>
      <c r="D3343" s="161" t="s">
        <v>5465</v>
      </c>
      <c r="E3343" s="9" t="s">
        <v>5466</v>
      </c>
      <c r="F3343" s="109" t="str">
        <f t="shared" ref="F3343:G3343" si="3342">TRANSLATE(D3343,"lzh","vi")</f>
        <v>#NAME?</v>
      </c>
      <c r="G3343" s="109" t="str">
        <f t="shared" si="3342"/>
        <v>#NAME?</v>
      </c>
      <c r="X3343" s="110"/>
    </row>
    <row r="3344" ht="21.0" customHeight="1">
      <c r="A3344" s="6">
        <v>11.0</v>
      </c>
      <c r="B3344" s="6">
        <v>1075.0</v>
      </c>
      <c r="C3344" s="6">
        <v>3.0</v>
      </c>
      <c r="D3344" s="161" t="s">
        <v>5467</v>
      </c>
      <c r="E3344" s="9" t="s">
        <v>5468</v>
      </c>
      <c r="F3344" s="109" t="str">
        <f t="shared" ref="F3344:G3344" si="3343">TRANSLATE(D3344,"lzh","vi")</f>
        <v>#NAME?</v>
      </c>
      <c r="G3344" s="109" t="str">
        <f t="shared" si="3343"/>
        <v>#NAME?</v>
      </c>
      <c r="X3344" s="110"/>
    </row>
    <row r="3345" ht="21.0" customHeight="1">
      <c r="A3345" s="6">
        <v>11.0</v>
      </c>
      <c r="B3345" s="6">
        <v>1075.0</v>
      </c>
      <c r="C3345" s="6">
        <v>4.0</v>
      </c>
      <c r="D3345" s="161" t="s">
        <v>5469</v>
      </c>
      <c r="E3345" s="9" t="s">
        <v>5470</v>
      </c>
      <c r="F3345" s="109" t="str">
        <f t="shared" ref="F3345:G3345" si="3344">TRANSLATE(D3345,"lzh","vi")</f>
        <v>#NAME?</v>
      </c>
      <c r="G3345" s="109" t="str">
        <f t="shared" si="3344"/>
        <v>#NAME?</v>
      </c>
      <c r="X3345" s="110"/>
    </row>
    <row r="3346" ht="21.0" customHeight="1">
      <c r="A3346" s="6">
        <v>10.0</v>
      </c>
      <c r="B3346" s="6">
        <v>1075.0</v>
      </c>
      <c r="C3346" s="6">
        <v>5.0</v>
      </c>
      <c r="D3346" s="161" t="s">
        <v>5471</v>
      </c>
      <c r="E3346" s="9" t="s">
        <v>5472</v>
      </c>
      <c r="F3346" s="109" t="str">
        <f t="shared" ref="F3346:G3346" si="3345">TRANSLATE(D3346,"lzh","vi")</f>
        <v>#NAME?</v>
      </c>
      <c r="G3346" s="109" t="str">
        <f t="shared" si="3345"/>
        <v>#NAME?</v>
      </c>
      <c r="X3346" s="110"/>
    </row>
    <row r="3347" ht="21.0" customHeight="1">
      <c r="A3347" s="6">
        <v>10.0</v>
      </c>
      <c r="B3347" s="6">
        <v>1075.0</v>
      </c>
      <c r="C3347" s="6">
        <v>6.0</v>
      </c>
      <c r="D3347" s="161" t="s">
        <v>5473</v>
      </c>
      <c r="E3347" s="9" t="s">
        <v>5474</v>
      </c>
      <c r="F3347" s="109" t="str">
        <f t="shared" ref="F3347:G3347" si="3346">TRANSLATE(D3347,"lzh","vi")</f>
        <v>#NAME?</v>
      </c>
      <c r="G3347" s="109" t="str">
        <f t="shared" si="3346"/>
        <v>#NAME?</v>
      </c>
      <c r="X3347" s="110"/>
    </row>
    <row r="3348" ht="21.0" customHeight="1">
      <c r="A3348" s="6">
        <v>10.0</v>
      </c>
      <c r="B3348" s="6">
        <v>1075.0</v>
      </c>
      <c r="C3348" s="6">
        <v>7.0</v>
      </c>
      <c r="D3348" s="161" t="s">
        <v>5475</v>
      </c>
      <c r="E3348" s="9" t="s">
        <v>5476</v>
      </c>
      <c r="F3348" s="109" t="str">
        <f t="shared" ref="F3348:G3348" si="3347">TRANSLATE(D3348,"lzh","vi")</f>
        <v>#NAME?</v>
      </c>
      <c r="G3348" s="109" t="str">
        <f t="shared" si="3347"/>
        <v>#NAME?</v>
      </c>
      <c r="X3348" s="110"/>
    </row>
    <row r="3349" ht="21.0" customHeight="1">
      <c r="A3349" s="6">
        <v>10.0</v>
      </c>
      <c r="B3349" s="6">
        <v>1075.0</v>
      </c>
      <c r="C3349" s="6">
        <v>8.0</v>
      </c>
      <c r="D3349" s="161" t="s">
        <v>5477</v>
      </c>
      <c r="E3349" s="9" t="s">
        <v>5478</v>
      </c>
      <c r="F3349" s="109" t="str">
        <f t="shared" ref="F3349:G3349" si="3348">TRANSLATE(D3349,"lzh","vi")</f>
        <v>#NAME?</v>
      </c>
      <c r="G3349" s="109" t="str">
        <f t="shared" si="3348"/>
        <v>#NAME?</v>
      </c>
      <c r="X3349" s="110"/>
    </row>
    <row r="3350" ht="21.0" customHeight="1">
      <c r="A3350" s="6">
        <v>10.0</v>
      </c>
      <c r="B3350" s="6">
        <v>1075.0</v>
      </c>
      <c r="C3350" s="6">
        <v>9.0</v>
      </c>
      <c r="D3350" s="161" t="s">
        <v>5479</v>
      </c>
      <c r="E3350" s="9" t="s">
        <v>5480</v>
      </c>
      <c r="F3350" s="109" t="str">
        <f t="shared" ref="F3350:G3350" si="3349">TRANSLATE(D3350,"lzh","vi")</f>
        <v>#NAME?</v>
      </c>
      <c r="G3350" s="109" t="str">
        <f t="shared" si="3349"/>
        <v>#NAME?</v>
      </c>
      <c r="X3350" s="110"/>
    </row>
    <row r="3351" ht="21.0" customHeight="1">
      <c r="A3351" s="6">
        <v>10.0</v>
      </c>
      <c r="B3351" s="6">
        <v>1075.0</v>
      </c>
      <c r="C3351" s="6">
        <v>10.0</v>
      </c>
      <c r="D3351" s="161" t="s">
        <v>5481</v>
      </c>
      <c r="E3351" s="76" t="s">
        <v>5462</v>
      </c>
      <c r="F3351" s="109" t="str">
        <f t="shared" ref="F3351:G3351" si="3350">TRANSLATE(D3351,"lzh","vi")</f>
        <v>#NAME?</v>
      </c>
      <c r="G3351" s="109" t="str">
        <f t="shared" si="3350"/>
        <v>#NAME?</v>
      </c>
      <c r="X3351" s="110"/>
    </row>
    <row r="3352" ht="21.0" customHeight="1">
      <c r="A3352" s="6">
        <v>1.0</v>
      </c>
      <c r="B3352" s="6">
        <v>257.0</v>
      </c>
      <c r="C3352" s="6">
        <v>1.0</v>
      </c>
      <c r="D3352" s="122" t="s">
        <v>5482</v>
      </c>
      <c r="E3352" s="9" t="s">
        <v>5483</v>
      </c>
      <c r="F3352" s="109" t="str">
        <f t="shared" ref="F3352:G3352" si="3351">TRANSLATE(D3352,"lzh","vi")</f>
        <v>#NAME?</v>
      </c>
      <c r="G3352" s="109" t="str">
        <f t="shared" si="3351"/>
        <v>#NAME?</v>
      </c>
      <c r="X3352" s="110"/>
    </row>
    <row r="3353" ht="21.0" customHeight="1">
      <c r="A3353" s="6">
        <v>1.0</v>
      </c>
      <c r="B3353" s="6">
        <v>257.0</v>
      </c>
      <c r="C3353" s="6">
        <v>2.0</v>
      </c>
      <c r="D3353" s="122" t="s">
        <v>5484</v>
      </c>
      <c r="E3353" s="9" t="s">
        <v>5485</v>
      </c>
      <c r="F3353" s="109" t="str">
        <f t="shared" ref="F3353:G3353" si="3352">TRANSLATE(D3353,"lzh","vi")</f>
        <v>#NAME?</v>
      </c>
      <c r="G3353" s="109" t="str">
        <f t="shared" si="3352"/>
        <v>#NAME?</v>
      </c>
      <c r="X3353" s="110"/>
    </row>
    <row r="3354" ht="21.0" customHeight="1">
      <c r="A3354" s="6">
        <v>1.0</v>
      </c>
      <c r="B3354" s="6">
        <v>257.0</v>
      </c>
      <c r="C3354" s="6">
        <v>3.0</v>
      </c>
      <c r="D3354" s="122" t="s">
        <v>5486</v>
      </c>
      <c r="E3354" s="9" t="s">
        <v>5487</v>
      </c>
      <c r="F3354" s="109" t="str">
        <f t="shared" ref="F3354:G3354" si="3353">TRANSLATE(D3354,"lzh","vi")</f>
        <v>#NAME?</v>
      </c>
      <c r="G3354" s="109" t="str">
        <f t="shared" si="3353"/>
        <v>#NAME?</v>
      </c>
      <c r="X3354" s="110"/>
    </row>
    <row r="3355" ht="21.0" customHeight="1">
      <c r="A3355" s="6">
        <v>1.0</v>
      </c>
      <c r="B3355" s="6">
        <v>257.0</v>
      </c>
      <c r="C3355" s="6">
        <v>4.0</v>
      </c>
      <c r="D3355" s="122" t="s">
        <v>5488</v>
      </c>
      <c r="E3355" s="9" t="s">
        <v>5489</v>
      </c>
      <c r="F3355" s="109" t="str">
        <f t="shared" ref="F3355:G3355" si="3354">TRANSLATE(D3355,"lzh","vi")</f>
        <v>#NAME?</v>
      </c>
      <c r="G3355" s="109" t="str">
        <f t="shared" si="3354"/>
        <v>#NAME?</v>
      </c>
      <c r="X3355" s="110"/>
    </row>
    <row r="3356" ht="21.0" customHeight="1">
      <c r="A3356" s="6">
        <v>1.0</v>
      </c>
      <c r="B3356" s="6">
        <v>257.0</v>
      </c>
      <c r="C3356" s="6">
        <v>5.0</v>
      </c>
      <c r="D3356" s="122" t="s">
        <v>5490</v>
      </c>
      <c r="E3356" s="9" t="s">
        <v>5491</v>
      </c>
      <c r="F3356" s="109" t="str">
        <f t="shared" ref="F3356:G3356" si="3355">TRANSLATE(D3356,"lzh","vi")</f>
        <v>#NAME?</v>
      </c>
      <c r="G3356" s="109" t="str">
        <f t="shared" si="3355"/>
        <v>#NAME?</v>
      </c>
      <c r="X3356" s="110"/>
    </row>
    <row r="3357" ht="21.0" customHeight="1">
      <c r="A3357" s="6">
        <v>1.0</v>
      </c>
      <c r="B3357" s="6">
        <v>257.0</v>
      </c>
      <c r="C3357" s="6">
        <v>6.0</v>
      </c>
      <c r="D3357" s="122" t="s">
        <v>5492</v>
      </c>
      <c r="E3357" s="9" t="s">
        <v>5493</v>
      </c>
      <c r="F3357" s="109" t="str">
        <f t="shared" ref="F3357:G3357" si="3356">TRANSLATE(D3357,"lzh","vi")</f>
        <v>#NAME?</v>
      </c>
      <c r="G3357" s="109" t="str">
        <f t="shared" si="3356"/>
        <v>#NAME?</v>
      </c>
      <c r="X3357" s="110"/>
    </row>
    <row r="3358" ht="21.0" customHeight="1">
      <c r="A3358" s="6">
        <v>1.0</v>
      </c>
      <c r="B3358" s="6">
        <v>257.0</v>
      </c>
      <c r="C3358" s="6">
        <v>7.0</v>
      </c>
      <c r="D3358" s="122" t="s">
        <v>5494</v>
      </c>
      <c r="E3358" s="9" t="s">
        <v>5495</v>
      </c>
      <c r="F3358" s="109" t="str">
        <f t="shared" ref="F3358:G3358" si="3357">TRANSLATE(D3358,"lzh","vi")</f>
        <v>#NAME?</v>
      </c>
      <c r="G3358" s="109" t="str">
        <f t="shared" si="3357"/>
        <v>#NAME?</v>
      </c>
      <c r="X3358" s="110"/>
    </row>
    <row r="3359" ht="21.0" customHeight="1">
      <c r="A3359" s="6">
        <v>1.0</v>
      </c>
      <c r="B3359" s="6">
        <v>257.0</v>
      </c>
      <c r="C3359" s="6">
        <v>8.0</v>
      </c>
      <c r="D3359" s="168" t="s">
        <v>5496</v>
      </c>
      <c r="E3359" s="9" t="s">
        <v>5497</v>
      </c>
      <c r="F3359" s="109" t="str">
        <f t="shared" ref="F3359:G3359" si="3358">TRANSLATE(D3359,"lzh","vi")</f>
        <v>#NAME?</v>
      </c>
      <c r="G3359" s="109" t="str">
        <f t="shared" si="3358"/>
        <v>#NAME?</v>
      </c>
      <c r="X3359" s="110"/>
    </row>
    <row r="3360" ht="21.0" customHeight="1">
      <c r="A3360" s="6">
        <v>1.0</v>
      </c>
      <c r="B3360" s="6">
        <v>257.0</v>
      </c>
      <c r="C3360" s="6">
        <v>9.0</v>
      </c>
      <c r="D3360" s="122" t="s">
        <v>5498</v>
      </c>
      <c r="E3360" s="9" t="s">
        <v>5499</v>
      </c>
      <c r="F3360" s="109" t="str">
        <f t="shared" ref="F3360:G3360" si="3359">TRANSLATE(D3360,"lzh","vi")</f>
        <v>#NAME?</v>
      </c>
      <c r="G3360" s="109" t="str">
        <f t="shared" si="3359"/>
        <v>#NAME?</v>
      </c>
      <c r="X3360" s="110"/>
    </row>
    <row r="3361" ht="21.0" customHeight="1">
      <c r="A3361" s="6">
        <v>1.0</v>
      </c>
      <c r="B3361" s="6">
        <v>257.0</v>
      </c>
      <c r="C3361" s="6">
        <v>10.0</v>
      </c>
      <c r="D3361" s="122" t="s">
        <v>5500</v>
      </c>
      <c r="E3361" s="9" t="s">
        <v>5501</v>
      </c>
      <c r="F3361" s="109" t="str">
        <f t="shared" ref="F3361:G3361" si="3360">TRANSLATE(D3361,"lzh","vi")</f>
        <v>#NAME?</v>
      </c>
      <c r="G3361" s="109" t="str">
        <f t="shared" si="3360"/>
        <v>#NAME?</v>
      </c>
      <c r="X3361" s="110"/>
    </row>
    <row r="3362" ht="21.0" customHeight="1">
      <c r="A3362" s="6">
        <v>1.0</v>
      </c>
      <c r="B3362" s="6">
        <v>257.0</v>
      </c>
      <c r="C3362" s="6">
        <v>11.0</v>
      </c>
      <c r="D3362" s="122" t="s">
        <v>5502</v>
      </c>
      <c r="E3362" s="9" t="s">
        <v>5503</v>
      </c>
      <c r="F3362" s="109" t="str">
        <f t="shared" ref="F3362:G3362" si="3361">TRANSLATE(D3362,"lzh","vi")</f>
        <v>#NAME?</v>
      </c>
      <c r="G3362" s="109" t="str">
        <f t="shared" si="3361"/>
        <v>#NAME?</v>
      </c>
      <c r="X3362" s="110"/>
    </row>
    <row r="3363" ht="21.0" customHeight="1">
      <c r="A3363" s="6">
        <v>1.0</v>
      </c>
      <c r="B3363" s="6">
        <v>257.0</v>
      </c>
      <c r="C3363" s="6">
        <v>12.0</v>
      </c>
      <c r="D3363" s="122" t="s">
        <v>5504</v>
      </c>
      <c r="E3363" s="9" t="s">
        <v>5505</v>
      </c>
      <c r="F3363" s="109" t="str">
        <f t="shared" ref="F3363:G3363" si="3362">TRANSLATE(D3363,"lzh","vi")</f>
        <v>#NAME?</v>
      </c>
      <c r="G3363" s="109" t="str">
        <f t="shared" si="3362"/>
        <v>#NAME?</v>
      </c>
      <c r="X3363" s="110"/>
    </row>
    <row r="3364" ht="21.0" customHeight="1">
      <c r="A3364" s="6">
        <v>1.0</v>
      </c>
      <c r="B3364" s="6">
        <v>257.0</v>
      </c>
      <c r="C3364" s="6">
        <v>13.0</v>
      </c>
      <c r="D3364" s="122" t="s">
        <v>5506</v>
      </c>
      <c r="E3364" s="9" t="s">
        <v>5507</v>
      </c>
      <c r="F3364" s="109" t="str">
        <f t="shared" ref="F3364:G3364" si="3363">TRANSLATE(D3364,"lzh","vi")</f>
        <v>#NAME?</v>
      </c>
      <c r="G3364" s="109" t="str">
        <f t="shared" si="3363"/>
        <v>#NAME?</v>
      </c>
      <c r="X3364" s="110"/>
    </row>
    <row r="3365" ht="21.0" customHeight="1">
      <c r="A3365" s="6">
        <v>1.0</v>
      </c>
      <c r="B3365" s="6">
        <v>258.0</v>
      </c>
      <c r="C3365" s="6">
        <v>1.0</v>
      </c>
      <c r="D3365" s="161" t="s">
        <v>5508</v>
      </c>
      <c r="E3365" s="9" t="s">
        <v>5509</v>
      </c>
      <c r="F3365" s="109" t="str">
        <f t="shared" ref="F3365:G3365" si="3364">TRANSLATE(D3365,"lzh","vi")</f>
        <v>#NAME?</v>
      </c>
      <c r="G3365" s="109" t="str">
        <f t="shared" si="3364"/>
        <v>#NAME?</v>
      </c>
      <c r="X3365" s="110"/>
    </row>
    <row r="3366" ht="21.0" customHeight="1">
      <c r="A3366" s="6">
        <v>1.0</v>
      </c>
      <c r="B3366" s="6">
        <v>258.0</v>
      </c>
      <c r="C3366" s="6">
        <v>2.0</v>
      </c>
      <c r="D3366" s="161" t="s">
        <v>5510</v>
      </c>
      <c r="E3366" s="9" t="s">
        <v>5511</v>
      </c>
      <c r="F3366" s="109" t="str">
        <f t="shared" ref="F3366:G3366" si="3365">TRANSLATE(D3366,"lzh","vi")</f>
        <v>#NAME?</v>
      </c>
      <c r="G3366" s="109" t="str">
        <f t="shared" si="3365"/>
        <v>#NAME?</v>
      </c>
      <c r="X3366" s="110"/>
    </row>
    <row r="3367" ht="21.0" customHeight="1">
      <c r="A3367" s="6">
        <v>1.0</v>
      </c>
      <c r="B3367" s="6">
        <v>258.0</v>
      </c>
      <c r="C3367" s="6">
        <v>3.0</v>
      </c>
      <c r="D3367" s="161" t="s">
        <v>5512</v>
      </c>
      <c r="E3367" s="9" t="s">
        <v>5513</v>
      </c>
      <c r="F3367" s="109" t="str">
        <f t="shared" ref="F3367:G3367" si="3366">TRANSLATE(D3367,"lzh","vi")</f>
        <v>#NAME?</v>
      </c>
      <c r="G3367" s="109" t="str">
        <f t="shared" si="3366"/>
        <v>#NAME?</v>
      </c>
      <c r="X3367" s="110"/>
    </row>
    <row r="3368" ht="21.0" customHeight="1">
      <c r="A3368" s="6">
        <v>1.0</v>
      </c>
      <c r="B3368" s="6">
        <v>258.0</v>
      </c>
      <c r="C3368" s="6">
        <v>4.0</v>
      </c>
      <c r="D3368" s="161" t="s">
        <v>5514</v>
      </c>
      <c r="E3368" s="9" t="s">
        <v>5515</v>
      </c>
      <c r="F3368" s="109" t="str">
        <f t="shared" ref="F3368:G3368" si="3367">TRANSLATE(D3368,"lzh","vi")</f>
        <v>#NAME?</v>
      </c>
      <c r="G3368" s="109" t="str">
        <f t="shared" si="3367"/>
        <v>#NAME?</v>
      </c>
      <c r="X3368" s="110"/>
    </row>
    <row r="3369" ht="21.0" customHeight="1">
      <c r="A3369" s="6">
        <v>1.0</v>
      </c>
      <c r="B3369" s="6">
        <v>258.0</v>
      </c>
      <c r="C3369" s="6">
        <v>5.0</v>
      </c>
      <c r="D3369" s="161" t="s">
        <v>5516</v>
      </c>
      <c r="E3369" s="9" t="s">
        <v>5517</v>
      </c>
      <c r="F3369" s="109" t="str">
        <f t="shared" ref="F3369:G3369" si="3368">TRANSLATE(D3369,"lzh","vi")</f>
        <v>#NAME?</v>
      </c>
      <c r="G3369" s="109" t="str">
        <f t="shared" si="3368"/>
        <v>#NAME?</v>
      </c>
      <c r="X3369" s="110"/>
    </row>
    <row r="3370" ht="21.0" customHeight="1">
      <c r="A3370" s="6">
        <v>1.0</v>
      </c>
      <c r="B3370" s="6">
        <v>258.0</v>
      </c>
      <c r="C3370" s="6">
        <v>6.0</v>
      </c>
      <c r="D3370" s="161" t="s">
        <v>5518</v>
      </c>
      <c r="E3370" s="9" t="s">
        <v>5519</v>
      </c>
      <c r="F3370" s="109" t="str">
        <f t="shared" ref="F3370:G3370" si="3369">TRANSLATE(D3370,"lzh","vi")</f>
        <v>#NAME?</v>
      </c>
      <c r="G3370" s="109" t="str">
        <f t="shared" si="3369"/>
        <v>#NAME?</v>
      </c>
      <c r="X3370" s="110"/>
    </row>
    <row r="3371" ht="21.0" customHeight="1">
      <c r="A3371" s="6">
        <v>1.0</v>
      </c>
      <c r="B3371" s="6">
        <v>258.0</v>
      </c>
      <c r="C3371" s="6">
        <v>7.0</v>
      </c>
      <c r="D3371" s="161" t="s">
        <v>5520</v>
      </c>
      <c r="E3371" s="9" t="s">
        <v>5521</v>
      </c>
      <c r="F3371" s="109" t="str">
        <f t="shared" ref="F3371:G3371" si="3370">TRANSLATE(D3371,"lzh","vi")</f>
        <v>#NAME?</v>
      </c>
      <c r="G3371" s="109" t="str">
        <f t="shared" si="3370"/>
        <v>#NAME?</v>
      </c>
      <c r="X3371" s="110"/>
    </row>
    <row r="3372" ht="21.0" customHeight="1">
      <c r="A3372" s="6">
        <v>1.0</v>
      </c>
      <c r="B3372" s="6">
        <v>258.0</v>
      </c>
      <c r="C3372" s="6">
        <v>8.0</v>
      </c>
      <c r="D3372" s="161" t="s">
        <v>5522</v>
      </c>
      <c r="E3372" s="9" t="s">
        <v>5523</v>
      </c>
      <c r="F3372" s="109" t="str">
        <f t="shared" ref="F3372:G3372" si="3371">TRANSLATE(D3372,"lzh","vi")</f>
        <v>#NAME?</v>
      </c>
      <c r="G3372" s="109" t="str">
        <f t="shared" si="3371"/>
        <v>#NAME?</v>
      </c>
      <c r="X3372" s="110"/>
    </row>
    <row r="3373" ht="21.0" customHeight="1">
      <c r="A3373" s="6">
        <v>1.0</v>
      </c>
      <c r="B3373" s="6">
        <v>258.0</v>
      </c>
      <c r="C3373" s="6">
        <v>9.0</v>
      </c>
      <c r="D3373" s="161" t="s">
        <v>5524</v>
      </c>
      <c r="E3373" s="9" t="s">
        <v>5525</v>
      </c>
      <c r="F3373" s="109" t="str">
        <f t="shared" ref="F3373:G3373" si="3372">TRANSLATE(D3373,"lzh","vi")</f>
        <v>#NAME?</v>
      </c>
      <c r="G3373" s="109" t="str">
        <f t="shared" si="3372"/>
        <v>#NAME?</v>
      </c>
      <c r="X3373" s="110"/>
    </row>
    <row r="3374" ht="21.0" customHeight="1">
      <c r="A3374" s="6">
        <v>1.0</v>
      </c>
      <c r="B3374" s="6">
        <v>258.0</v>
      </c>
      <c r="C3374" s="6">
        <v>10.0</v>
      </c>
      <c r="D3374" s="161" t="s">
        <v>5526</v>
      </c>
      <c r="E3374" s="9" t="s">
        <v>5527</v>
      </c>
      <c r="F3374" s="109" t="str">
        <f t="shared" ref="F3374:G3374" si="3373">TRANSLATE(D3374,"lzh","vi")</f>
        <v>#NAME?</v>
      </c>
      <c r="G3374" s="109" t="str">
        <f t="shared" si="3373"/>
        <v>#NAME?</v>
      </c>
      <c r="X3374" s="110"/>
    </row>
    <row r="3375" ht="21.0" customHeight="1">
      <c r="A3375" s="6">
        <v>1.0</v>
      </c>
      <c r="B3375" s="6">
        <v>258.0</v>
      </c>
      <c r="C3375" s="6">
        <v>11.0</v>
      </c>
      <c r="D3375" s="161" t="s">
        <v>5528</v>
      </c>
      <c r="E3375" s="9" t="s">
        <v>5529</v>
      </c>
      <c r="F3375" s="109" t="str">
        <f t="shared" ref="F3375:G3375" si="3374">TRANSLATE(D3375,"lzh","vi")</f>
        <v>#NAME?</v>
      </c>
      <c r="G3375" s="109" t="str">
        <f t="shared" si="3374"/>
        <v>#NAME?</v>
      </c>
      <c r="X3375" s="110"/>
    </row>
    <row r="3376" ht="21.0" customHeight="1">
      <c r="A3376" s="6">
        <v>1.0</v>
      </c>
      <c r="B3376" s="6">
        <v>258.0</v>
      </c>
      <c r="C3376" s="6">
        <v>12.0</v>
      </c>
      <c r="D3376" s="161" t="s">
        <v>5530</v>
      </c>
      <c r="E3376" s="9" t="s">
        <v>5531</v>
      </c>
      <c r="F3376" s="109" t="str">
        <f t="shared" ref="F3376:G3376" si="3375">TRANSLATE(D3376,"lzh","vi")</f>
        <v>#NAME?</v>
      </c>
      <c r="G3376" s="109" t="str">
        <f t="shared" si="3375"/>
        <v>#NAME?</v>
      </c>
      <c r="X3376" s="110"/>
    </row>
    <row r="3377" ht="21.0" customHeight="1">
      <c r="A3377" s="6">
        <v>1.0</v>
      </c>
      <c r="B3377" s="6">
        <v>258.0</v>
      </c>
      <c r="C3377" s="6">
        <v>13.0</v>
      </c>
      <c r="D3377" s="161" t="s">
        <v>5532</v>
      </c>
      <c r="E3377" s="9" t="s">
        <v>5533</v>
      </c>
      <c r="F3377" s="109" t="str">
        <f t="shared" ref="F3377:G3377" si="3376">TRANSLATE(D3377,"lzh","vi")</f>
        <v>#NAME?</v>
      </c>
      <c r="G3377" s="109" t="str">
        <f t="shared" si="3376"/>
        <v>#NAME?</v>
      </c>
      <c r="X3377" s="110"/>
    </row>
    <row r="3378" ht="21.0" customHeight="1">
      <c r="A3378" s="6">
        <v>1.0</v>
      </c>
      <c r="B3378" s="6">
        <v>259.0</v>
      </c>
      <c r="C3378" s="6">
        <v>1.0</v>
      </c>
      <c r="D3378" s="161" t="s">
        <v>5534</v>
      </c>
      <c r="E3378" s="9" t="s">
        <v>5535</v>
      </c>
      <c r="F3378" s="109" t="str">
        <f t="shared" ref="F3378:G3378" si="3377">TRANSLATE(D3378,"lzh","vi")</f>
        <v>#NAME?</v>
      </c>
      <c r="G3378" s="109" t="str">
        <f t="shared" si="3377"/>
        <v>#NAME?</v>
      </c>
      <c r="X3378" s="110"/>
    </row>
    <row r="3379" ht="21.0" customHeight="1">
      <c r="A3379" s="6">
        <v>1.0</v>
      </c>
      <c r="B3379" s="6">
        <v>259.0</v>
      </c>
      <c r="C3379" s="6">
        <v>2.0</v>
      </c>
      <c r="D3379" s="169" t="s">
        <v>5536</v>
      </c>
      <c r="E3379" s="9" t="s">
        <v>5537</v>
      </c>
      <c r="F3379" s="109" t="str">
        <f t="shared" ref="F3379:G3379" si="3378">TRANSLATE(D3379,"lzh","vi")</f>
        <v>#NAME?</v>
      </c>
      <c r="G3379" s="109" t="str">
        <f t="shared" si="3378"/>
        <v>#NAME?</v>
      </c>
      <c r="X3379" s="110"/>
    </row>
    <row r="3380" ht="21.0" customHeight="1">
      <c r="A3380" s="6">
        <v>1.0</v>
      </c>
      <c r="B3380" s="6">
        <v>259.0</v>
      </c>
      <c r="C3380" s="6">
        <v>3.0</v>
      </c>
      <c r="D3380" s="161" t="s">
        <v>5538</v>
      </c>
      <c r="E3380" s="9" t="s">
        <v>5539</v>
      </c>
      <c r="F3380" s="109" t="str">
        <f t="shared" ref="F3380:G3380" si="3379">TRANSLATE(D3380,"lzh","vi")</f>
        <v>#NAME?</v>
      </c>
      <c r="G3380" s="109" t="str">
        <f t="shared" si="3379"/>
        <v>#NAME?</v>
      </c>
      <c r="X3380" s="110"/>
    </row>
    <row r="3381" ht="21.0" customHeight="1">
      <c r="A3381" s="6">
        <v>1.0</v>
      </c>
      <c r="B3381" s="6">
        <v>259.0</v>
      </c>
      <c r="C3381" s="6">
        <v>4.0</v>
      </c>
      <c r="D3381" s="161" t="s">
        <v>5540</v>
      </c>
      <c r="E3381" s="9" t="s">
        <v>5541</v>
      </c>
      <c r="F3381" s="109" t="str">
        <f t="shared" ref="F3381:G3381" si="3380">TRANSLATE(D3381,"lzh","vi")</f>
        <v>#NAME?</v>
      </c>
      <c r="G3381" s="109" t="str">
        <f t="shared" si="3380"/>
        <v>#NAME?</v>
      </c>
      <c r="X3381" s="110"/>
    </row>
    <row r="3382" ht="21.0" customHeight="1">
      <c r="A3382" s="6">
        <v>1.0</v>
      </c>
      <c r="B3382" s="6">
        <v>259.0</v>
      </c>
      <c r="C3382" s="6">
        <v>5.0</v>
      </c>
      <c r="D3382" s="161" t="s">
        <v>5542</v>
      </c>
      <c r="E3382" s="9" t="s">
        <v>5543</v>
      </c>
      <c r="F3382" s="109" t="str">
        <f t="shared" ref="F3382:G3382" si="3381">TRANSLATE(D3382,"lzh","vi")</f>
        <v>#NAME?</v>
      </c>
      <c r="G3382" s="109" t="str">
        <f t="shared" si="3381"/>
        <v>#NAME?</v>
      </c>
      <c r="X3382" s="110"/>
    </row>
    <row r="3383" ht="21.0" customHeight="1">
      <c r="A3383" s="6">
        <v>1.0</v>
      </c>
      <c r="B3383" s="6">
        <v>259.0</v>
      </c>
      <c r="C3383" s="6">
        <v>6.0</v>
      </c>
      <c r="D3383" s="170" t="s">
        <v>5544</v>
      </c>
      <c r="E3383" s="9" t="s">
        <v>5545</v>
      </c>
      <c r="F3383" s="109" t="str">
        <f t="shared" ref="F3383:G3383" si="3382">TRANSLATE(D3383,"lzh","vi")</f>
        <v>#NAME?</v>
      </c>
      <c r="G3383" s="109" t="str">
        <f t="shared" si="3382"/>
        <v>#NAME?</v>
      </c>
      <c r="X3383" s="110"/>
    </row>
    <row r="3384" ht="21.0" customHeight="1">
      <c r="A3384" s="6">
        <v>1.0</v>
      </c>
      <c r="B3384" s="6">
        <v>259.0</v>
      </c>
      <c r="C3384" s="6">
        <v>7.0</v>
      </c>
      <c r="D3384" s="169" t="s">
        <v>5546</v>
      </c>
      <c r="E3384" s="9" t="s">
        <v>5547</v>
      </c>
      <c r="F3384" s="109" t="str">
        <f t="shared" ref="F3384:G3384" si="3383">TRANSLATE(D3384,"lzh","vi")</f>
        <v>#NAME?</v>
      </c>
      <c r="G3384" s="109" t="str">
        <f t="shared" si="3383"/>
        <v>#NAME?</v>
      </c>
      <c r="X3384" s="110"/>
    </row>
    <row r="3385" ht="21.0" customHeight="1">
      <c r="A3385" s="6">
        <v>1.0</v>
      </c>
      <c r="B3385" s="6">
        <v>259.0</v>
      </c>
      <c r="C3385" s="6">
        <v>8.0</v>
      </c>
      <c r="D3385" s="169" t="s">
        <v>5548</v>
      </c>
      <c r="E3385" s="9" t="s">
        <v>5549</v>
      </c>
      <c r="F3385" s="109" t="str">
        <f t="shared" ref="F3385:G3385" si="3384">TRANSLATE(D3385,"lzh","vi")</f>
        <v>#NAME?</v>
      </c>
      <c r="G3385" s="109" t="str">
        <f t="shared" si="3384"/>
        <v>#NAME?</v>
      </c>
      <c r="X3385" s="110"/>
    </row>
    <row r="3386" ht="21.0" customHeight="1">
      <c r="A3386" s="6">
        <v>1.0</v>
      </c>
      <c r="B3386" s="6">
        <v>259.0</v>
      </c>
      <c r="C3386" s="6">
        <v>9.0</v>
      </c>
      <c r="D3386" s="169" t="s">
        <v>5550</v>
      </c>
      <c r="E3386" s="9" t="s">
        <v>5551</v>
      </c>
      <c r="F3386" s="109" t="str">
        <f t="shared" ref="F3386:G3386" si="3385">TRANSLATE(D3386,"lzh","vi")</f>
        <v>#NAME?</v>
      </c>
      <c r="G3386" s="109" t="str">
        <f t="shared" si="3385"/>
        <v>#NAME?</v>
      </c>
      <c r="X3386" s="110"/>
    </row>
    <row r="3387" ht="21.0" customHeight="1">
      <c r="A3387" s="6">
        <v>1.0</v>
      </c>
      <c r="B3387" s="6">
        <v>259.0</v>
      </c>
      <c r="C3387" s="6">
        <v>10.0</v>
      </c>
      <c r="D3387" s="169" t="s">
        <v>5552</v>
      </c>
      <c r="E3387" s="9" t="s">
        <v>5553</v>
      </c>
      <c r="F3387" s="109" t="str">
        <f t="shared" ref="F3387:G3387" si="3386">TRANSLATE(D3387,"lzh","vi")</f>
        <v>#NAME?</v>
      </c>
      <c r="G3387" s="109" t="str">
        <f t="shared" si="3386"/>
        <v>#NAME?</v>
      </c>
      <c r="X3387" s="110"/>
    </row>
    <row r="3388" ht="21.0" customHeight="1">
      <c r="A3388" s="6">
        <v>1.0</v>
      </c>
      <c r="B3388" s="6">
        <v>259.0</v>
      </c>
      <c r="C3388" s="6">
        <v>11.0</v>
      </c>
      <c r="D3388" s="169" t="s">
        <v>5554</v>
      </c>
      <c r="E3388" s="9" t="s">
        <v>5555</v>
      </c>
      <c r="F3388" s="109" t="str">
        <f t="shared" ref="F3388:G3388" si="3387">TRANSLATE(D3388,"lzh","vi")</f>
        <v>#NAME?</v>
      </c>
      <c r="G3388" s="109" t="str">
        <f t="shared" si="3387"/>
        <v>#NAME?</v>
      </c>
      <c r="X3388" s="110"/>
    </row>
    <row r="3389" ht="21.0" customHeight="1">
      <c r="A3389" s="6">
        <v>1.0</v>
      </c>
      <c r="B3389" s="6">
        <v>259.0</v>
      </c>
      <c r="C3389" s="6">
        <v>12.0</v>
      </c>
      <c r="D3389" s="169" t="s">
        <v>5556</v>
      </c>
      <c r="E3389" s="9" t="s">
        <v>5557</v>
      </c>
      <c r="F3389" s="109" t="str">
        <f t="shared" ref="F3389:G3389" si="3388">TRANSLATE(D3389,"lzh","vi")</f>
        <v>#NAME?</v>
      </c>
      <c r="G3389" s="109" t="str">
        <f t="shared" si="3388"/>
        <v>#NAME?</v>
      </c>
      <c r="X3389" s="110"/>
    </row>
    <row r="3390" ht="21.0" customHeight="1">
      <c r="A3390" s="6">
        <v>1.0</v>
      </c>
      <c r="B3390" s="6">
        <v>259.0</v>
      </c>
      <c r="C3390" s="6">
        <v>13.0</v>
      </c>
      <c r="D3390" s="169" t="s">
        <v>5558</v>
      </c>
      <c r="E3390" s="9" t="s">
        <v>5559</v>
      </c>
      <c r="F3390" s="109" t="str">
        <f t="shared" ref="F3390:G3390" si="3389">TRANSLATE(D3390,"lzh","vi")</f>
        <v>#NAME?</v>
      </c>
      <c r="G3390" s="109" t="str">
        <f t="shared" si="3389"/>
        <v>#NAME?</v>
      </c>
      <c r="X3390" s="110"/>
    </row>
    <row r="3391" ht="21.0" customHeight="1">
      <c r="A3391" s="6">
        <v>11.0</v>
      </c>
      <c r="B3391" s="6">
        <v>1076.0</v>
      </c>
      <c r="C3391" s="6">
        <v>1.0</v>
      </c>
      <c r="D3391" s="161" t="s">
        <v>5560</v>
      </c>
      <c r="E3391" s="9" t="s">
        <v>5561</v>
      </c>
      <c r="F3391" s="109" t="str">
        <f t="shared" ref="F3391:G3391" si="3390">TRANSLATE(D3391,"lzh","vi")</f>
        <v>#NAME?</v>
      </c>
      <c r="G3391" s="109" t="str">
        <f t="shared" si="3390"/>
        <v>#NAME?</v>
      </c>
      <c r="X3391" s="110"/>
    </row>
    <row r="3392" ht="21.0" customHeight="1">
      <c r="A3392" s="6">
        <v>11.0</v>
      </c>
      <c r="B3392" s="6">
        <v>1076.0</v>
      </c>
      <c r="C3392" s="6">
        <v>2.0</v>
      </c>
      <c r="D3392" s="161" t="s">
        <v>5562</v>
      </c>
      <c r="E3392" s="9" t="s">
        <v>5563</v>
      </c>
      <c r="F3392" s="109" t="str">
        <f t="shared" ref="F3392:G3392" si="3391">TRANSLATE(D3392,"lzh","vi")</f>
        <v>#NAME?</v>
      </c>
      <c r="G3392" s="109" t="str">
        <f t="shared" si="3391"/>
        <v>#NAME?</v>
      </c>
      <c r="X3392" s="110"/>
    </row>
    <row r="3393" ht="21.0" customHeight="1">
      <c r="A3393" s="6">
        <v>11.0</v>
      </c>
      <c r="B3393" s="6">
        <v>1076.0</v>
      </c>
      <c r="C3393" s="6">
        <v>3.0</v>
      </c>
      <c r="D3393" s="161" t="s">
        <v>5564</v>
      </c>
      <c r="E3393" s="9" t="s">
        <v>5565</v>
      </c>
      <c r="F3393" s="109" t="str">
        <f t="shared" ref="F3393:G3393" si="3392">TRANSLATE(D3393,"lzh","vi")</f>
        <v>#NAME?</v>
      </c>
      <c r="G3393" s="109" t="str">
        <f t="shared" si="3392"/>
        <v>#NAME?</v>
      </c>
      <c r="X3393" s="110"/>
    </row>
    <row r="3394" ht="21.0" customHeight="1">
      <c r="A3394" s="6">
        <v>11.0</v>
      </c>
      <c r="B3394" s="6">
        <v>1076.0</v>
      </c>
      <c r="C3394" s="6">
        <v>4.0</v>
      </c>
      <c r="D3394" s="161" t="s">
        <v>5566</v>
      </c>
      <c r="E3394" s="9" t="s">
        <v>5567</v>
      </c>
      <c r="F3394" s="109" t="str">
        <f t="shared" ref="F3394:G3394" si="3393">TRANSLATE(D3394,"lzh","vi")</f>
        <v>#NAME?</v>
      </c>
      <c r="G3394" s="109" t="str">
        <f t="shared" si="3393"/>
        <v>#NAME?</v>
      </c>
      <c r="X3394" s="110"/>
    </row>
    <row r="3395" ht="21.0" customHeight="1">
      <c r="A3395" s="6">
        <v>10.0</v>
      </c>
      <c r="B3395" s="6">
        <v>1076.0</v>
      </c>
      <c r="C3395" s="6">
        <v>5.0</v>
      </c>
      <c r="D3395" s="161" t="s">
        <v>5568</v>
      </c>
      <c r="E3395" s="9" t="s">
        <v>5569</v>
      </c>
      <c r="F3395" s="109" t="str">
        <f t="shared" ref="F3395:G3395" si="3394">TRANSLATE(D3395,"lzh","vi")</f>
        <v>#NAME?</v>
      </c>
      <c r="G3395" s="109" t="str">
        <f t="shared" si="3394"/>
        <v>#NAME?</v>
      </c>
      <c r="X3395" s="110"/>
    </row>
    <row r="3396" ht="21.0" customHeight="1">
      <c r="A3396" s="6">
        <v>10.0</v>
      </c>
      <c r="B3396" s="6">
        <v>1076.0</v>
      </c>
      <c r="C3396" s="6">
        <v>6.0</v>
      </c>
      <c r="D3396" s="161" t="s">
        <v>5570</v>
      </c>
      <c r="E3396" s="9" t="s">
        <v>5571</v>
      </c>
      <c r="F3396" s="109" t="str">
        <f t="shared" ref="F3396:G3396" si="3395">TRANSLATE(D3396,"lzh","vi")</f>
        <v>#NAME?</v>
      </c>
      <c r="G3396" s="109" t="str">
        <f t="shared" si="3395"/>
        <v>#NAME?</v>
      </c>
      <c r="X3396" s="110"/>
    </row>
    <row r="3397" ht="21.0" customHeight="1">
      <c r="A3397" s="6">
        <v>10.0</v>
      </c>
      <c r="B3397" s="6">
        <v>1076.0</v>
      </c>
      <c r="C3397" s="6">
        <v>7.0</v>
      </c>
      <c r="D3397" s="161" t="s">
        <v>5572</v>
      </c>
      <c r="E3397" s="9" t="s">
        <v>5573</v>
      </c>
      <c r="F3397" s="109" t="str">
        <f t="shared" ref="F3397:G3397" si="3396">TRANSLATE(D3397,"lzh","vi")</f>
        <v>#NAME?</v>
      </c>
      <c r="G3397" s="109" t="str">
        <f t="shared" si="3396"/>
        <v>#NAME?</v>
      </c>
      <c r="X3397" s="110"/>
    </row>
    <row r="3398" ht="21.0" customHeight="1">
      <c r="A3398" s="6">
        <v>10.0</v>
      </c>
      <c r="B3398" s="6">
        <v>1076.0</v>
      </c>
      <c r="C3398" s="6">
        <v>8.0</v>
      </c>
      <c r="D3398" s="161" t="s">
        <v>5574</v>
      </c>
      <c r="E3398" s="9" t="s">
        <v>5575</v>
      </c>
      <c r="F3398" s="109" t="str">
        <f t="shared" ref="F3398:G3398" si="3397">TRANSLATE(D3398,"lzh","vi")</f>
        <v>#NAME?</v>
      </c>
      <c r="G3398" s="109" t="str">
        <f t="shared" si="3397"/>
        <v>#NAME?</v>
      </c>
      <c r="X3398" s="110"/>
    </row>
    <row r="3399" ht="21.0" customHeight="1">
      <c r="A3399" s="6">
        <v>10.0</v>
      </c>
      <c r="B3399" s="6">
        <v>1076.0</v>
      </c>
      <c r="C3399" s="6">
        <v>9.0</v>
      </c>
      <c r="D3399" s="161" t="s">
        <v>5576</v>
      </c>
      <c r="E3399" s="9" t="s">
        <v>5577</v>
      </c>
      <c r="F3399" s="109" t="str">
        <f t="shared" ref="F3399:G3399" si="3398">TRANSLATE(D3399,"lzh","vi")</f>
        <v>#NAME?</v>
      </c>
      <c r="G3399" s="109" t="str">
        <f t="shared" si="3398"/>
        <v>#NAME?</v>
      </c>
      <c r="X3399" s="110"/>
    </row>
    <row r="3400" ht="21.0" customHeight="1">
      <c r="A3400" s="6">
        <v>10.0</v>
      </c>
      <c r="B3400" s="6">
        <v>1076.0</v>
      </c>
      <c r="C3400" s="6">
        <v>10.0</v>
      </c>
      <c r="D3400" s="161" t="s">
        <v>5578</v>
      </c>
      <c r="E3400" s="76" t="s">
        <v>5579</v>
      </c>
      <c r="F3400" s="109" t="str">
        <f t="shared" ref="F3400:G3400" si="3399">TRANSLATE(D3400,"lzh","vi")</f>
        <v>#NAME?</v>
      </c>
      <c r="G3400" s="109" t="str">
        <f t="shared" si="3399"/>
        <v>#NAME?</v>
      </c>
      <c r="X3400" s="110"/>
    </row>
    <row r="3401" ht="21.0" customHeight="1">
      <c r="A3401" s="6">
        <v>11.0</v>
      </c>
      <c r="B3401" s="6">
        <v>1077.0</v>
      </c>
      <c r="C3401" s="6">
        <v>1.0</v>
      </c>
      <c r="D3401" s="161" t="s">
        <v>5580</v>
      </c>
      <c r="E3401" s="9" t="s">
        <v>5581</v>
      </c>
      <c r="F3401" s="109" t="str">
        <f t="shared" ref="F3401:G3401" si="3400">TRANSLATE(D3401,"lzh","vi")</f>
        <v>#NAME?</v>
      </c>
      <c r="G3401" s="109" t="str">
        <f t="shared" si="3400"/>
        <v>#NAME?</v>
      </c>
      <c r="X3401" s="110"/>
    </row>
    <row r="3402" ht="21.0" customHeight="1">
      <c r="A3402" s="6">
        <v>11.0</v>
      </c>
      <c r="B3402" s="6">
        <v>1077.0</v>
      </c>
      <c r="C3402" s="6">
        <v>2.0</v>
      </c>
      <c r="D3402" s="161" t="s">
        <v>5582</v>
      </c>
      <c r="E3402" s="9" t="s">
        <v>5583</v>
      </c>
      <c r="F3402" s="109" t="str">
        <f t="shared" ref="F3402:G3402" si="3401">TRANSLATE(D3402,"lzh","vi")</f>
        <v>#NAME?</v>
      </c>
      <c r="G3402" s="109" t="str">
        <f t="shared" si="3401"/>
        <v>#NAME?</v>
      </c>
      <c r="X3402" s="110"/>
    </row>
    <row r="3403" ht="21.0" customHeight="1">
      <c r="A3403" s="6">
        <v>11.0</v>
      </c>
      <c r="B3403" s="6">
        <v>1077.0</v>
      </c>
      <c r="C3403" s="6">
        <v>3.0</v>
      </c>
      <c r="D3403" s="161" t="s">
        <v>5584</v>
      </c>
      <c r="E3403" s="9" t="s">
        <v>5585</v>
      </c>
      <c r="F3403" s="109" t="str">
        <f t="shared" ref="F3403:G3403" si="3402">TRANSLATE(D3403,"lzh","vi")</f>
        <v>#NAME?</v>
      </c>
      <c r="G3403" s="109" t="str">
        <f t="shared" si="3402"/>
        <v>#NAME?</v>
      </c>
      <c r="X3403" s="110"/>
    </row>
    <row r="3404" ht="21.0" customHeight="1">
      <c r="A3404" s="6">
        <v>11.0</v>
      </c>
      <c r="B3404" s="6">
        <v>1077.0</v>
      </c>
      <c r="C3404" s="6">
        <v>4.0</v>
      </c>
      <c r="D3404" s="161" t="s">
        <v>5586</v>
      </c>
      <c r="E3404" s="9" t="s">
        <v>5587</v>
      </c>
      <c r="F3404" s="109" t="str">
        <f t="shared" ref="F3404:G3404" si="3403">TRANSLATE(D3404,"lzh","vi")</f>
        <v>#NAME?</v>
      </c>
      <c r="G3404" s="109" t="str">
        <f t="shared" si="3403"/>
        <v>#NAME?</v>
      </c>
      <c r="X3404" s="110"/>
    </row>
    <row r="3405" ht="21.0" customHeight="1">
      <c r="A3405" s="6">
        <v>10.0</v>
      </c>
      <c r="B3405" s="6">
        <v>1077.0</v>
      </c>
      <c r="C3405" s="6">
        <v>5.0</v>
      </c>
      <c r="D3405" s="161" t="s">
        <v>5588</v>
      </c>
      <c r="E3405" s="9" t="s">
        <v>5589</v>
      </c>
      <c r="F3405" s="109" t="str">
        <f t="shared" ref="F3405:G3405" si="3404">TRANSLATE(D3405,"lzh","vi")</f>
        <v>#NAME?</v>
      </c>
      <c r="G3405" s="109" t="str">
        <f t="shared" si="3404"/>
        <v>#NAME?</v>
      </c>
      <c r="X3405" s="110"/>
    </row>
    <row r="3406" ht="21.0" customHeight="1">
      <c r="A3406" s="6">
        <v>10.0</v>
      </c>
      <c r="B3406" s="6">
        <v>1077.0</v>
      </c>
      <c r="C3406" s="6">
        <v>6.0</v>
      </c>
      <c r="D3406" s="161" t="s">
        <v>5590</v>
      </c>
      <c r="E3406" s="9" t="s">
        <v>5591</v>
      </c>
      <c r="F3406" s="109" t="str">
        <f t="shared" ref="F3406:G3406" si="3405">TRANSLATE(D3406,"lzh","vi")</f>
        <v>#NAME?</v>
      </c>
      <c r="G3406" s="109" t="str">
        <f t="shared" si="3405"/>
        <v>#NAME?</v>
      </c>
      <c r="X3406" s="110"/>
    </row>
    <row r="3407" ht="21.0" customHeight="1">
      <c r="A3407" s="6">
        <v>10.0</v>
      </c>
      <c r="B3407" s="6">
        <v>1077.0</v>
      </c>
      <c r="C3407" s="6">
        <v>7.0</v>
      </c>
      <c r="D3407" s="161" t="s">
        <v>5592</v>
      </c>
      <c r="E3407" s="9" t="s">
        <v>5593</v>
      </c>
      <c r="F3407" s="109" t="str">
        <f t="shared" ref="F3407:G3407" si="3406">TRANSLATE(D3407,"lzh","vi")</f>
        <v>#NAME?</v>
      </c>
      <c r="G3407" s="109" t="str">
        <f t="shared" si="3406"/>
        <v>#NAME?</v>
      </c>
      <c r="X3407" s="110"/>
    </row>
    <row r="3408" ht="21.0" customHeight="1">
      <c r="A3408" s="6">
        <v>10.0</v>
      </c>
      <c r="B3408" s="6">
        <v>1077.0</v>
      </c>
      <c r="C3408" s="6">
        <v>8.0</v>
      </c>
      <c r="D3408" s="161" t="s">
        <v>5594</v>
      </c>
      <c r="E3408" s="9" t="s">
        <v>5595</v>
      </c>
      <c r="F3408" s="109" t="str">
        <f t="shared" ref="F3408:G3408" si="3407">TRANSLATE(D3408,"lzh","vi")</f>
        <v>#NAME?</v>
      </c>
      <c r="G3408" s="109" t="str">
        <f t="shared" si="3407"/>
        <v>#NAME?</v>
      </c>
      <c r="X3408" s="110"/>
    </row>
    <row r="3409" ht="21.0" customHeight="1">
      <c r="A3409" s="6">
        <v>10.0</v>
      </c>
      <c r="B3409" s="6">
        <v>1077.0</v>
      </c>
      <c r="C3409" s="6">
        <v>9.0</v>
      </c>
      <c r="D3409" s="161" t="s">
        <v>5596</v>
      </c>
      <c r="E3409" s="9" t="s">
        <v>5597</v>
      </c>
      <c r="F3409" s="109" t="str">
        <f t="shared" ref="F3409:G3409" si="3408">TRANSLATE(D3409,"lzh","vi")</f>
        <v>#NAME?</v>
      </c>
      <c r="G3409" s="109" t="str">
        <f t="shared" si="3408"/>
        <v>#NAME?</v>
      </c>
      <c r="X3409" s="110"/>
    </row>
    <row r="3410" ht="21.0" customHeight="1">
      <c r="A3410" s="6">
        <v>10.0</v>
      </c>
      <c r="B3410" s="6">
        <v>1077.0</v>
      </c>
      <c r="C3410" s="6">
        <v>10.0</v>
      </c>
      <c r="D3410" s="161" t="s">
        <v>5598</v>
      </c>
      <c r="E3410" s="76" t="s">
        <v>5579</v>
      </c>
      <c r="F3410" s="109" t="str">
        <f t="shared" ref="F3410:G3410" si="3409">TRANSLATE(D3410,"lzh","vi")</f>
        <v>#NAME?</v>
      </c>
      <c r="G3410" s="109" t="str">
        <f t="shared" si="3409"/>
        <v>#NAME?</v>
      </c>
      <c r="X3410" s="110"/>
    </row>
    <row r="3411" ht="21.0" customHeight="1">
      <c r="A3411" s="6">
        <v>1.0</v>
      </c>
      <c r="B3411" s="6">
        <v>260.0</v>
      </c>
      <c r="C3411" s="6">
        <v>1.0</v>
      </c>
      <c r="D3411" s="122" t="s">
        <v>5599</v>
      </c>
      <c r="E3411" s="9" t="s">
        <v>5600</v>
      </c>
      <c r="F3411" s="109" t="str">
        <f t="shared" ref="F3411:G3411" si="3410">TRANSLATE(D3411,"lzh","vi")</f>
        <v>#NAME?</v>
      </c>
      <c r="G3411" s="109" t="str">
        <f t="shared" si="3410"/>
        <v>#NAME?</v>
      </c>
      <c r="X3411" s="110"/>
    </row>
    <row r="3412" ht="21.0" customHeight="1">
      <c r="A3412" s="6">
        <v>1.0</v>
      </c>
      <c r="B3412" s="6">
        <v>260.0</v>
      </c>
      <c r="C3412" s="6">
        <v>2.0</v>
      </c>
      <c r="D3412" s="122" t="s">
        <v>5601</v>
      </c>
      <c r="E3412" s="9" t="s">
        <v>5602</v>
      </c>
      <c r="F3412" s="109" t="str">
        <f t="shared" ref="F3412:G3412" si="3411">TRANSLATE(D3412,"lzh","vi")</f>
        <v>#NAME?</v>
      </c>
      <c r="G3412" s="109" t="str">
        <f t="shared" si="3411"/>
        <v>#NAME?</v>
      </c>
      <c r="X3412" s="110"/>
    </row>
    <row r="3413" ht="21.0" customHeight="1">
      <c r="A3413" s="6">
        <v>1.0</v>
      </c>
      <c r="B3413" s="6">
        <v>260.0</v>
      </c>
      <c r="C3413" s="6">
        <v>3.0</v>
      </c>
      <c r="D3413" s="122" t="s">
        <v>5603</v>
      </c>
      <c r="E3413" s="9" t="s">
        <v>5604</v>
      </c>
      <c r="F3413" s="109" t="str">
        <f t="shared" ref="F3413:G3413" si="3412">TRANSLATE(D3413,"lzh","vi")</f>
        <v>#NAME?</v>
      </c>
      <c r="G3413" s="109" t="str">
        <f t="shared" si="3412"/>
        <v>#NAME?</v>
      </c>
      <c r="X3413" s="110"/>
    </row>
    <row r="3414" ht="21.0" customHeight="1">
      <c r="A3414" s="6">
        <v>1.0</v>
      </c>
      <c r="B3414" s="6">
        <v>260.0</v>
      </c>
      <c r="C3414" s="6">
        <v>4.0</v>
      </c>
      <c r="D3414" s="122" t="s">
        <v>5605</v>
      </c>
      <c r="E3414" s="9" t="s">
        <v>5606</v>
      </c>
      <c r="F3414" s="109" t="str">
        <f t="shared" ref="F3414:G3414" si="3413">TRANSLATE(D3414,"lzh","vi")</f>
        <v>#NAME?</v>
      </c>
      <c r="G3414" s="109" t="str">
        <f t="shared" si="3413"/>
        <v>#NAME?</v>
      </c>
      <c r="X3414" s="110"/>
    </row>
    <row r="3415" ht="21.0" customHeight="1">
      <c r="A3415" s="6">
        <v>1.0</v>
      </c>
      <c r="B3415" s="6">
        <v>260.0</v>
      </c>
      <c r="C3415" s="6">
        <v>5.0</v>
      </c>
      <c r="D3415" s="122" t="s">
        <v>5607</v>
      </c>
      <c r="E3415" s="9" t="s">
        <v>5608</v>
      </c>
      <c r="F3415" s="109" t="str">
        <f t="shared" ref="F3415:G3415" si="3414">TRANSLATE(D3415,"lzh","vi")</f>
        <v>#NAME?</v>
      </c>
      <c r="G3415" s="109" t="str">
        <f t="shared" si="3414"/>
        <v>#NAME?</v>
      </c>
      <c r="X3415" s="110"/>
    </row>
    <row r="3416" ht="21.0" customHeight="1">
      <c r="A3416" s="6">
        <v>1.0</v>
      </c>
      <c r="B3416" s="6">
        <v>260.0</v>
      </c>
      <c r="C3416" s="6">
        <v>6.0</v>
      </c>
      <c r="D3416" s="122" t="s">
        <v>5609</v>
      </c>
      <c r="E3416" s="9" t="s">
        <v>5610</v>
      </c>
      <c r="F3416" s="109" t="str">
        <f t="shared" ref="F3416:G3416" si="3415">TRANSLATE(D3416,"lzh","vi")</f>
        <v>#NAME?</v>
      </c>
      <c r="G3416" s="109" t="str">
        <f t="shared" si="3415"/>
        <v>#NAME?</v>
      </c>
      <c r="X3416" s="110"/>
    </row>
    <row r="3417" ht="21.0" customHeight="1">
      <c r="A3417" s="6">
        <v>1.0</v>
      </c>
      <c r="B3417" s="6">
        <v>260.0</v>
      </c>
      <c r="C3417" s="6">
        <v>7.0</v>
      </c>
      <c r="D3417" s="122" t="s">
        <v>5611</v>
      </c>
      <c r="E3417" s="9" t="s">
        <v>5612</v>
      </c>
      <c r="F3417" s="109" t="str">
        <f t="shared" ref="F3417:G3417" si="3416">TRANSLATE(D3417,"lzh","vi")</f>
        <v>#NAME?</v>
      </c>
      <c r="G3417" s="109" t="str">
        <f t="shared" si="3416"/>
        <v>#NAME?</v>
      </c>
      <c r="X3417" s="110"/>
    </row>
    <row r="3418" ht="21.0" customHeight="1">
      <c r="A3418" s="6">
        <v>1.0</v>
      </c>
      <c r="B3418" s="6">
        <v>260.0</v>
      </c>
      <c r="C3418" s="6">
        <v>8.0</v>
      </c>
      <c r="D3418" s="122" t="s">
        <v>5613</v>
      </c>
      <c r="E3418" s="9" t="s">
        <v>5614</v>
      </c>
      <c r="F3418" s="109" t="str">
        <f t="shared" ref="F3418:G3418" si="3417">TRANSLATE(D3418,"lzh","vi")</f>
        <v>#NAME?</v>
      </c>
      <c r="G3418" s="109" t="str">
        <f t="shared" si="3417"/>
        <v>#NAME?</v>
      </c>
      <c r="X3418" s="110"/>
    </row>
    <row r="3419" ht="21.0" customHeight="1">
      <c r="A3419" s="6">
        <v>1.0</v>
      </c>
      <c r="B3419" s="6">
        <v>260.0</v>
      </c>
      <c r="C3419" s="6">
        <v>9.0</v>
      </c>
      <c r="D3419" s="122" t="s">
        <v>5615</v>
      </c>
      <c r="E3419" s="9" t="s">
        <v>5616</v>
      </c>
      <c r="F3419" s="109" t="str">
        <f t="shared" ref="F3419:G3419" si="3418">TRANSLATE(D3419,"lzh","vi")</f>
        <v>#NAME?</v>
      </c>
      <c r="G3419" s="109" t="str">
        <f t="shared" si="3418"/>
        <v>#NAME?</v>
      </c>
      <c r="X3419" s="110"/>
    </row>
    <row r="3420" ht="21.0" customHeight="1">
      <c r="A3420" s="6">
        <v>1.0</v>
      </c>
      <c r="B3420" s="6">
        <v>260.0</v>
      </c>
      <c r="C3420" s="6">
        <v>10.0</v>
      </c>
      <c r="D3420" s="122" t="s">
        <v>5617</v>
      </c>
      <c r="E3420" s="9" t="s">
        <v>5618</v>
      </c>
      <c r="F3420" s="109" t="str">
        <f t="shared" ref="F3420:G3420" si="3419">TRANSLATE(D3420,"lzh","vi")</f>
        <v>#NAME?</v>
      </c>
      <c r="G3420" s="109" t="str">
        <f t="shared" si="3419"/>
        <v>#NAME?</v>
      </c>
      <c r="X3420" s="110"/>
    </row>
    <row r="3421" ht="21.0" customHeight="1">
      <c r="A3421" s="6">
        <v>1.0</v>
      </c>
      <c r="B3421" s="6">
        <v>260.0</v>
      </c>
      <c r="C3421" s="6">
        <v>11.0</v>
      </c>
      <c r="D3421" s="122" t="s">
        <v>5619</v>
      </c>
      <c r="E3421" s="9" t="s">
        <v>5620</v>
      </c>
      <c r="F3421" s="109" t="str">
        <f t="shared" ref="F3421:G3421" si="3420">TRANSLATE(D3421,"lzh","vi")</f>
        <v>#NAME?</v>
      </c>
      <c r="G3421" s="109" t="str">
        <f t="shared" si="3420"/>
        <v>#NAME?</v>
      </c>
      <c r="X3421" s="110"/>
    </row>
    <row r="3422" ht="21.0" customHeight="1">
      <c r="A3422" s="6">
        <v>1.0</v>
      </c>
      <c r="B3422" s="6">
        <v>260.0</v>
      </c>
      <c r="C3422" s="6">
        <v>12.0</v>
      </c>
      <c r="D3422" s="122" t="s">
        <v>5621</v>
      </c>
      <c r="E3422" s="9" t="s">
        <v>5622</v>
      </c>
      <c r="F3422" s="109" t="str">
        <f t="shared" ref="F3422:G3422" si="3421">TRANSLATE(D3422,"lzh","vi")</f>
        <v>#NAME?</v>
      </c>
      <c r="G3422" s="109" t="str">
        <f t="shared" si="3421"/>
        <v>#NAME?</v>
      </c>
      <c r="X3422" s="110"/>
    </row>
    <row r="3423" ht="21.0" customHeight="1">
      <c r="A3423" s="6">
        <v>1.0</v>
      </c>
      <c r="B3423" s="6">
        <v>260.0</v>
      </c>
      <c r="C3423" s="6">
        <v>13.0</v>
      </c>
      <c r="D3423" s="122" t="s">
        <v>5623</v>
      </c>
      <c r="E3423" s="9" t="s">
        <v>5624</v>
      </c>
      <c r="F3423" s="109" t="str">
        <f t="shared" ref="F3423:G3423" si="3422">TRANSLATE(D3423,"lzh","vi")</f>
        <v>#NAME?</v>
      </c>
      <c r="G3423" s="109" t="str">
        <f t="shared" si="3422"/>
        <v>#NAME?</v>
      </c>
      <c r="X3423" s="110"/>
    </row>
    <row r="3424" ht="21.0" customHeight="1">
      <c r="A3424" s="6">
        <v>1.0</v>
      </c>
      <c r="B3424" s="6">
        <v>261.0</v>
      </c>
      <c r="C3424" s="6">
        <v>1.0</v>
      </c>
      <c r="D3424" s="161" t="s">
        <v>5625</v>
      </c>
      <c r="E3424" s="9" t="s">
        <v>5626</v>
      </c>
      <c r="F3424" s="109" t="str">
        <f t="shared" ref="F3424:G3424" si="3423">TRANSLATE(D3424,"lzh","vi")</f>
        <v>#NAME?</v>
      </c>
      <c r="G3424" s="109" t="str">
        <f t="shared" si="3423"/>
        <v>#NAME?</v>
      </c>
      <c r="X3424" s="110"/>
    </row>
    <row r="3425" ht="21.0" customHeight="1">
      <c r="A3425" s="6">
        <v>1.0</v>
      </c>
      <c r="B3425" s="6">
        <v>261.0</v>
      </c>
      <c r="C3425" s="6">
        <v>2.0</v>
      </c>
      <c r="D3425" s="161" t="s">
        <v>5627</v>
      </c>
      <c r="E3425" s="9" t="s">
        <v>5628</v>
      </c>
      <c r="F3425" s="109" t="str">
        <f t="shared" ref="F3425:G3425" si="3424">TRANSLATE(D3425,"lzh","vi")</f>
        <v>#NAME?</v>
      </c>
      <c r="G3425" s="109" t="str">
        <f t="shared" si="3424"/>
        <v>#NAME?</v>
      </c>
      <c r="X3425" s="110"/>
    </row>
    <row r="3426" ht="21.0" customHeight="1">
      <c r="A3426" s="6">
        <v>1.0</v>
      </c>
      <c r="B3426" s="6">
        <v>261.0</v>
      </c>
      <c r="C3426" s="6">
        <v>3.0</v>
      </c>
      <c r="D3426" s="161" t="s">
        <v>5629</v>
      </c>
      <c r="E3426" s="9" t="s">
        <v>5630</v>
      </c>
      <c r="F3426" s="109" t="str">
        <f t="shared" ref="F3426:G3426" si="3425">TRANSLATE(D3426,"lzh","vi")</f>
        <v>#NAME?</v>
      </c>
      <c r="G3426" s="109" t="str">
        <f t="shared" si="3425"/>
        <v>#NAME?</v>
      </c>
      <c r="X3426" s="110"/>
    </row>
    <row r="3427" ht="21.0" customHeight="1">
      <c r="A3427" s="6">
        <v>1.0</v>
      </c>
      <c r="B3427" s="6">
        <v>261.0</v>
      </c>
      <c r="C3427" s="6">
        <v>4.0</v>
      </c>
      <c r="D3427" s="161" t="s">
        <v>5631</v>
      </c>
      <c r="E3427" s="9" t="s">
        <v>5632</v>
      </c>
      <c r="F3427" s="109" t="str">
        <f t="shared" ref="F3427:G3427" si="3426">TRANSLATE(D3427,"lzh","vi")</f>
        <v>#NAME?</v>
      </c>
      <c r="G3427" s="109" t="str">
        <f t="shared" si="3426"/>
        <v>#NAME?</v>
      </c>
      <c r="X3427" s="110"/>
    </row>
    <row r="3428" ht="21.0" customHeight="1">
      <c r="A3428" s="6">
        <v>1.0</v>
      </c>
      <c r="B3428" s="6">
        <v>261.0</v>
      </c>
      <c r="C3428" s="6">
        <v>5.0</v>
      </c>
      <c r="D3428" s="161" t="s">
        <v>5633</v>
      </c>
      <c r="E3428" s="9" t="s">
        <v>5634</v>
      </c>
      <c r="F3428" s="109" t="str">
        <f t="shared" ref="F3428:G3428" si="3427">TRANSLATE(D3428,"lzh","vi")</f>
        <v>#NAME?</v>
      </c>
      <c r="G3428" s="109" t="str">
        <f t="shared" si="3427"/>
        <v>#NAME?</v>
      </c>
      <c r="X3428" s="110"/>
    </row>
    <row r="3429" ht="21.0" customHeight="1">
      <c r="A3429" s="6">
        <v>1.0</v>
      </c>
      <c r="B3429" s="6">
        <v>261.0</v>
      </c>
      <c r="C3429" s="6">
        <v>6.0</v>
      </c>
      <c r="D3429" s="161" t="s">
        <v>5635</v>
      </c>
      <c r="E3429" s="9" t="s">
        <v>5636</v>
      </c>
      <c r="F3429" s="109" t="str">
        <f t="shared" ref="F3429:G3429" si="3428">TRANSLATE(D3429,"lzh","vi")</f>
        <v>#NAME?</v>
      </c>
      <c r="G3429" s="109" t="str">
        <f t="shared" si="3428"/>
        <v>#NAME?</v>
      </c>
      <c r="X3429" s="110"/>
    </row>
    <row r="3430" ht="21.0" customHeight="1">
      <c r="A3430" s="6">
        <v>1.0</v>
      </c>
      <c r="B3430" s="6">
        <v>261.0</v>
      </c>
      <c r="C3430" s="6">
        <v>7.0</v>
      </c>
      <c r="D3430" s="161" t="s">
        <v>5637</v>
      </c>
      <c r="E3430" s="9" t="s">
        <v>5638</v>
      </c>
      <c r="F3430" s="109" t="str">
        <f t="shared" ref="F3430:G3430" si="3429">TRANSLATE(D3430,"lzh","vi")</f>
        <v>#NAME?</v>
      </c>
      <c r="G3430" s="109" t="str">
        <f t="shared" si="3429"/>
        <v>#NAME?</v>
      </c>
      <c r="X3430" s="110"/>
    </row>
    <row r="3431" ht="21.0" customHeight="1">
      <c r="A3431" s="6">
        <v>1.0</v>
      </c>
      <c r="B3431" s="6">
        <v>261.0</v>
      </c>
      <c r="C3431" s="6">
        <v>8.0</v>
      </c>
      <c r="D3431" s="161" t="s">
        <v>5639</v>
      </c>
      <c r="E3431" s="9" t="s">
        <v>5640</v>
      </c>
      <c r="F3431" s="109" t="str">
        <f t="shared" ref="F3431:G3431" si="3430">TRANSLATE(D3431,"lzh","vi")</f>
        <v>#NAME?</v>
      </c>
      <c r="G3431" s="109" t="str">
        <f t="shared" si="3430"/>
        <v>#NAME?</v>
      </c>
      <c r="X3431" s="110"/>
    </row>
    <row r="3432" ht="21.0" customHeight="1">
      <c r="A3432" s="6">
        <v>1.0</v>
      </c>
      <c r="B3432" s="6">
        <v>261.0</v>
      </c>
      <c r="C3432" s="6">
        <v>9.0</v>
      </c>
      <c r="D3432" s="161" t="s">
        <v>5641</v>
      </c>
      <c r="E3432" s="9" t="s">
        <v>5642</v>
      </c>
      <c r="F3432" s="109" t="str">
        <f t="shared" ref="F3432:G3432" si="3431">TRANSLATE(D3432,"lzh","vi")</f>
        <v>#NAME?</v>
      </c>
      <c r="G3432" s="109" t="str">
        <f t="shared" si="3431"/>
        <v>#NAME?</v>
      </c>
      <c r="X3432" s="110"/>
    </row>
    <row r="3433" ht="21.0" customHeight="1">
      <c r="A3433" s="6">
        <v>1.0</v>
      </c>
      <c r="B3433" s="6">
        <v>261.0</v>
      </c>
      <c r="C3433" s="6">
        <v>10.0</v>
      </c>
      <c r="D3433" s="161" t="s">
        <v>5643</v>
      </c>
      <c r="E3433" s="9" t="s">
        <v>5644</v>
      </c>
      <c r="F3433" s="109" t="str">
        <f t="shared" ref="F3433:G3433" si="3432">TRANSLATE(D3433,"lzh","vi")</f>
        <v>#NAME?</v>
      </c>
      <c r="G3433" s="109" t="str">
        <f t="shared" si="3432"/>
        <v>#NAME?</v>
      </c>
      <c r="X3433" s="110"/>
    </row>
    <row r="3434" ht="21.0" customHeight="1">
      <c r="A3434" s="6">
        <v>1.0</v>
      </c>
      <c r="B3434" s="6">
        <v>261.0</v>
      </c>
      <c r="C3434" s="6">
        <v>11.0</v>
      </c>
      <c r="D3434" s="161" t="s">
        <v>5645</v>
      </c>
      <c r="E3434" s="9" t="s">
        <v>5646</v>
      </c>
      <c r="F3434" s="109" t="str">
        <f t="shared" ref="F3434:G3434" si="3433">TRANSLATE(D3434,"lzh","vi")</f>
        <v>#NAME?</v>
      </c>
      <c r="G3434" s="109" t="str">
        <f t="shared" si="3433"/>
        <v>#NAME?</v>
      </c>
      <c r="X3434" s="110"/>
    </row>
    <row r="3435" ht="21.0" customHeight="1">
      <c r="A3435" s="6">
        <v>1.0</v>
      </c>
      <c r="B3435" s="6">
        <v>261.0</v>
      </c>
      <c r="C3435" s="6">
        <v>12.0</v>
      </c>
      <c r="D3435" s="161" t="s">
        <v>5647</v>
      </c>
      <c r="E3435" s="9" t="s">
        <v>5648</v>
      </c>
      <c r="F3435" s="109" t="str">
        <f t="shared" ref="F3435:G3435" si="3434">TRANSLATE(D3435,"lzh","vi")</f>
        <v>#NAME?</v>
      </c>
      <c r="G3435" s="109" t="str">
        <f t="shared" si="3434"/>
        <v>#NAME?</v>
      </c>
      <c r="X3435" s="110"/>
    </row>
    <row r="3436" ht="21.0" customHeight="1">
      <c r="A3436" s="6">
        <v>1.0</v>
      </c>
      <c r="B3436" s="6">
        <v>261.0</v>
      </c>
      <c r="C3436" s="6">
        <v>13.0</v>
      </c>
      <c r="D3436" s="161" t="s">
        <v>5649</v>
      </c>
      <c r="E3436" s="9" t="s">
        <v>5650</v>
      </c>
      <c r="F3436" s="109" t="str">
        <f t="shared" ref="F3436:G3436" si="3435">TRANSLATE(D3436,"lzh","vi")</f>
        <v>#NAME?</v>
      </c>
      <c r="G3436" s="109" t="str">
        <f t="shared" si="3435"/>
        <v>#NAME?</v>
      </c>
      <c r="X3436" s="110"/>
    </row>
    <row r="3437" ht="21.0" customHeight="1">
      <c r="A3437" s="6">
        <v>1.0</v>
      </c>
      <c r="B3437" s="6">
        <v>262.0</v>
      </c>
      <c r="C3437" s="6">
        <v>1.0</v>
      </c>
      <c r="D3437" s="161" t="s">
        <v>5651</v>
      </c>
      <c r="E3437" s="9" t="s">
        <v>5652</v>
      </c>
      <c r="F3437" s="109" t="str">
        <f t="shared" ref="F3437:G3437" si="3436">TRANSLATE(D3437,"lzh","vi")</f>
        <v>#NAME?</v>
      </c>
      <c r="G3437" s="109" t="str">
        <f t="shared" si="3436"/>
        <v>#NAME?</v>
      </c>
      <c r="X3437" s="110"/>
    </row>
    <row r="3438" ht="21.0" customHeight="1">
      <c r="A3438" s="6">
        <v>1.0</v>
      </c>
      <c r="B3438" s="6">
        <v>262.0</v>
      </c>
      <c r="C3438" s="6">
        <v>2.0</v>
      </c>
      <c r="D3438" s="161" t="s">
        <v>5653</v>
      </c>
      <c r="E3438" s="9" t="s">
        <v>5654</v>
      </c>
      <c r="F3438" s="109" t="str">
        <f t="shared" ref="F3438:G3438" si="3437">TRANSLATE(D3438,"lzh","vi")</f>
        <v>#NAME?</v>
      </c>
      <c r="G3438" s="109" t="str">
        <f t="shared" si="3437"/>
        <v>#NAME?</v>
      </c>
      <c r="X3438" s="110"/>
    </row>
    <row r="3439" ht="21.0" customHeight="1">
      <c r="A3439" s="6">
        <v>1.0</v>
      </c>
      <c r="B3439" s="6">
        <v>262.0</v>
      </c>
      <c r="C3439" s="6">
        <v>3.0</v>
      </c>
      <c r="D3439" s="161" t="s">
        <v>5655</v>
      </c>
      <c r="E3439" s="9" t="s">
        <v>5656</v>
      </c>
      <c r="F3439" s="109" t="str">
        <f t="shared" ref="F3439:G3439" si="3438">TRANSLATE(D3439,"lzh","vi")</f>
        <v>#NAME?</v>
      </c>
      <c r="G3439" s="109" t="str">
        <f t="shared" si="3438"/>
        <v>#NAME?</v>
      </c>
      <c r="X3439" s="110"/>
    </row>
    <row r="3440" ht="21.0" customHeight="1">
      <c r="A3440" s="6">
        <v>1.0</v>
      </c>
      <c r="B3440" s="6">
        <v>262.0</v>
      </c>
      <c r="C3440" s="6">
        <v>4.0</v>
      </c>
      <c r="D3440" s="161" t="s">
        <v>5657</v>
      </c>
      <c r="E3440" s="9" t="s">
        <v>5658</v>
      </c>
      <c r="F3440" s="109" t="str">
        <f t="shared" ref="F3440:G3440" si="3439">TRANSLATE(D3440,"lzh","vi")</f>
        <v>#NAME?</v>
      </c>
      <c r="G3440" s="109" t="str">
        <f t="shared" si="3439"/>
        <v>#NAME?</v>
      </c>
      <c r="X3440" s="110"/>
    </row>
    <row r="3441" ht="21.0" customHeight="1">
      <c r="A3441" s="6">
        <v>1.0</v>
      </c>
      <c r="B3441" s="6">
        <v>262.0</v>
      </c>
      <c r="C3441" s="6">
        <v>5.0</v>
      </c>
      <c r="D3441" s="161" t="s">
        <v>5659</v>
      </c>
      <c r="E3441" s="9" t="s">
        <v>5660</v>
      </c>
      <c r="F3441" s="109" t="str">
        <f t="shared" ref="F3441:G3441" si="3440">TRANSLATE(D3441,"lzh","vi")</f>
        <v>#NAME?</v>
      </c>
      <c r="G3441" s="109" t="str">
        <f t="shared" si="3440"/>
        <v>#NAME?</v>
      </c>
      <c r="X3441" s="110"/>
    </row>
    <row r="3442" ht="21.0" customHeight="1">
      <c r="A3442" s="6">
        <v>1.0</v>
      </c>
      <c r="B3442" s="6">
        <v>262.0</v>
      </c>
      <c r="C3442" s="6">
        <v>6.0</v>
      </c>
      <c r="D3442" s="161" t="s">
        <v>5661</v>
      </c>
      <c r="E3442" s="9" t="s">
        <v>5662</v>
      </c>
      <c r="F3442" s="109" t="str">
        <f t="shared" ref="F3442:G3442" si="3441">TRANSLATE(D3442,"lzh","vi")</f>
        <v>#NAME?</v>
      </c>
      <c r="G3442" s="109" t="str">
        <f t="shared" si="3441"/>
        <v>#NAME?</v>
      </c>
      <c r="X3442" s="110"/>
    </row>
    <row r="3443" ht="21.0" customHeight="1">
      <c r="A3443" s="6">
        <v>1.0</v>
      </c>
      <c r="B3443" s="6">
        <v>262.0</v>
      </c>
      <c r="C3443" s="6">
        <v>7.0</v>
      </c>
      <c r="D3443" s="161" t="s">
        <v>5663</v>
      </c>
      <c r="E3443" s="9" t="s">
        <v>5664</v>
      </c>
      <c r="F3443" s="109" t="str">
        <f t="shared" ref="F3443:G3443" si="3442">TRANSLATE(D3443,"lzh","vi")</f>
        <v>#NAME?</v>
      </c>
      <c r="G3443" s="109" t="str">
        <f t="shared" si="3442"/>
        <v>#NAME?</v>
      </c>
      <c r="X3443" s="110"/>
    </row>
    <row r="3444" ht="21.0" customHeight="1">
      <c r="A3444" s="6">
        <v>1.0</v>
      </c>
      <c r="B3444" s="6">
        <v>262.0</v>
      </c>
      <c r="C3444" s="6">
        <v>8.0</v>
      </c>
      <c r="D3444" s="161" t="s">
        <v>5665</v>
      </c>
      <c r="E3444" s="9" t="s">
        <v>5666</v>
      </c>
      <c r="F3444" s="109" t="str">
        <f t="shared" ref="F3444:G3444" si="3443">TRANSLATE(D3444,"lzh","vi")</f>
        <v>#NAME?</v>
      </c>
      <c r="G3444" s="109" t="str">
        <f t="shared" si="3443"/>
        <v>#NAME?</v>
      </c>
      <c r="X3444" s="110"/>
    </row>
    <row r="3445" ht="21.0" customHeight="1">
      <c r="A3445" s="6">
        <v>1.0</v>
      </c>
      <c r="B3445" s="6">
        <v>262.0</v>
      </c>
      <c r="C3445" s="6">
        <v>9.0</v>
      </c>
      <c r="D3445" s="161" t="s">
        <v>5667</v>
      </c>
      <c r="E3445" s="9" t="s">
        <v>5668</v>
      </c>
      <c r="F3445" s="109" t="str">
        <f t="shared" ref="F3445:G3445" si="3444">TRANSLATE(D3445,"lzh","vi")</f>
        <v>#NAME?</v>
      </c>
      <c r="G3445" s="109" t="str">
        <f t="shared" si="3444"/>
        <v>#NAME?</v>
      </c>
      <c r="X3445" s="110"/>
    </row>
    <row r="3446" ht="21.0" customHeight="1">
      <c r="A3446" s="6">
        <v>1.0</v>
      </c>
      <c r="B3446" s="6">
        <v>262.0</v>
      </c>
      <c r="C3446" s="6">
        <v>10.0</v>
      </c>
      <c r="D3446" s="161" t="s">
        <v>5669</v>
      </c>
      <c r="E3446" s="9" t="s">
        <v>5670</v>
      </c>
      <c r="F3446" s="109" t="str">
        <f t="shared" ref="F3446:G3446" si="3445">TRANSLATE(D3446,"lzh","vi")</f>
        <v>#NAME?</v>
      </c>
      <c r="G3446" s="109" t="str">
        <f t="shared" si="3445"/>
        <v>#NAME?</v>
      </c>
      <c r="X3446" s="110"/>
    </row>
    <row r="3447" ht="21.0" customHeight="1">
      <c r="A3447" s="6">
        <v>1.0</v>
      </c>
      <c r="B3447" s="6">
        <v>262.0</v>
      </c>
      <c r="C3447" s="6">
        <v>11.0</v>
      </c>
      <c r="D3447" s="161" t="s">
        <v>5671</v>
      </c>
      <c r="E3447" s="9" t="s">
        <v>5672</v>
      </c>
      <c r="F3447" s="109" t="str">
        <f t="shared" ref="F3447:G3447" si="3446">TRANSLATE(D3447,"lzh","vi")</f>
        <v>#NAME?</v>
      </c>
      <c r="G3447" s="109" t="str">
        <f t="shared" si="3446"/>
        <v>#NAME?</v>
      </c>
      <c r="X3447" s="110"/>
    </row>
    <row r="3448" ht="21.0" customHeight="1">
      <c r="A3448" s="6">
        <v>1.0</v>
      </c>
      <c r="B3448" s="6">
        <v>262.0</v>
      </c>
      <c r="C3448" s="6">
        <v>12.0</v>
      </c>
      <c r="D3448" s="161" t="s">
        <v>5673</v>
      </c>
      <c r="E3448" s="9" t="s">
        <v>5674</v>
      </c>
      <c r="F3448" s="109" t="str">
        <f t="shared" ref="F3448:G3448" si="3447">TRANSLATE(D3448,"lzh","vi")</f>
        <v>#NAME?</v>
      </c>
      <c r="G3448" s="109" t="str">
        <f t="shared" si="3447"/>
        <v>#NAME?</v>
      </c>
      <c r="X3448" s="110"/>
    </row>
    <row r="3449" ht="21.0" customHeight="1">
      <c r="A3449" s="6">
        <v>1.0</v>
      </c>
      <c r="B3449" s="6">
        <v>262.0</v>
      </c>
      <c r="C3449" s="6">
        <v>13.0</v>
      </c>
      <c r="D3449" s="161" t="s">
        <v>5675</v>
      </c>
      <c r="E3449" s="9" t="s">
        <v>5676</v>
      </c>
      <c r="F3449" s="109" t="str">
        <f t="shared" ref="F3449:G3449" si="3448">TRANSLATE(D3449,"lzh","vi")</f>
        <v>#NAME?</v>
      </c>
      <c r="G3449" s="109" t="str">
        <f t="shared" si="3448"/>
        <v>#NAME?</v>
      </c>
      <c r="X3449" s="110"/>
    </row>
    <row r="3450" ht="21.0" customHeight="1">
      <c r="A3450" s="6">
        <v>11.0</v>
      </c>
      <c r="B3450" s="6">
        <v>1078.0</v>
      </c>
      <c r="C3450" s="6">
        <v>1.0</v>
      </c>
      <c r="D3450" s="161" t="s">
        <v>5677</v>
      </c>
      <c r="E3450" s="9" t="s">
        <v>5678</v>
      </c>
      <c r="F3450" s="109" t="str">
        <f t="shared" ref="F3450:G3450" si="3449">TRANSLATE(D3450,"lzh","vi")</f>
        <v>#NAME?</v>
      </c>
      <c r="G3450" s="109" t="str">
        <f t="shared" si="3449"/>
        <v>#NAME?</v>
      </c>
      <c r="X3450" s="110"/>
    </row>
    <row r="3451" ht="21.0" customHeight="1">
      <c r="A3451" s="6">
        <v>11.0</v>
      </c>
      <c r="B3451" s="6">
        <v>1078.0</v>
      </c>
      <c r="C3451" s="6">
        <v>2.0</v>
      </c>
      <c r="D3451" s="161" t="s">
        <v>5679</v>
      </c>
      <c r="E3451" s="9" t="s">
        <v>5680</v>
      </c>
      <c r="F3451" s="109" t="str">
        <f t="shared" ref="F3451:G3451" si="3450">TRANSLATE(D3451,"lzh","vi")</f>
        <v>#NAME?</v>
      </c>
      <c r="G3451" s="109" t="str">
        <f t="shared" si="3450"/>
        <v>#NAME?</v>
      </c>
      <c r="X3451" s="110"/>
    </row>
    <row r="3452" ht="21.0" customHeight="1">
      <c r="A3452" s="6">
        <v>11.0</v>
      </c>
      <c r="B3452" s="6">
        <v>1078.0</v>
      </c>
      <c r="C3452" s="6">
        <v>3.0</v>
      </c>
      <c r="D3452" s="161" t="s">
        <v>5681</v>
      </c>
      <c r="E3452" s="9" t="s">
        <v>5682</v>
      </c>
      <c r="F3452" s="109" t="str">
        <f t="shared" ref="F3452:G3452" si="3451">TRANSLATE(D3452,"lzh","vi")</f>
        <v>#NAME?</v>
      </c>
      <c r="G3452" s="109" t="str">
        <f t="shared" si="3451"/>
        <v>#NAME?</v>
      </c>
      <c r="X3452" s="110"/>
    </row>
    <row r="3453" ht="21.0" customHeight="1">
      <c r="A3453" s="6">
        <v>11.0</v>
      </c>
      <c r="B3453" s="6">
        <v>1078.0</v>
      </c>
      <c r="C3453" s="6">
        <v>4.0</v>
      </c>
      <c r="D3453" s="161" t="s">
        <v>5683</v>
      </c>
      <c r="E3453" s="9" t="s">
        <v>5684</v>
      </c>
      <c r="F3453" s="109" t="str">
        <f t="shared" ref="F3453:G3453" si="3452">TRANSLATE(D3453,"lzh","vi")</f>
        <v>#NAME?</v>
      </c>
      <c r="G3453" s="109" t="str">
        <f t="shared" si="3452"/>
        <v>#NAME?</v>
      </c>
      <c r="X3453" s="110"/>
    </row>
    <row r="3454" ht="21.0" customHeight="1">
      <c r="A3454" s="6">
        <v>10.0</v>
      </c>
      <c r="B3454" s="6">
        <v>1078.0</v>
      </c>
      <c r="C3454" s="6">
        <v>5.0</v>
      </c>
      <c r="D3454" s="161" t="s">
        <v>5685</v>
      </c>
      <c r="E3454" s="9" t="s">
        <v>5686</v>
      </c>
      <c r="F3454" s="109" t="str">
        <f t="shared" ref="F3454:G3454" si="3453">TRANSLATE(D3454,"lzh","vi")</f>
        <v>#NAME?</v>
      </c>
      <c r="G3454" s="109" t="str">
        <f t="shared" si="3453"/>
        <v>#NAME?</v>
      </c>
      <c r="X3454" s="110"/>
    </row>
    <row r="3455" ht="21.0" customHeight="1">
      <c r="A3455" s="6">
        <v>10.0</v>
      </c>
      <c r="B3455" s="6">
        <v>1078.0</v>
      </c>
      <c r="C3455" s="6">
        <v>6.0</v>
      </c>
      <c r="D3455" s="161" t="s">
        <v>5687</v>
      </c>
      <c r="E3455" s="9" t="s">
        <v>5688</v>
      </c>
      <c r="F3455" s="109" t="str">
        <f t="shared" ref="F3455:G3455" si="3454">TRANSLATE(D3455,"lzh","vi")</f>
        <v>#NAME?</v>
      </c>
      <c r="G3455" s="109" t="str">
        <f t="shared" si="3454"/>
        <v>#NAME?</v>
      </c>
      <c r="X3455" s="110"/>
    </row>
    <row r="3456" ht="21.0" customHeight="1">
      <c r="A3456" s="6">
        <v>10.0</v>
      </c>
      <c r="B3456" s="6">
        <v>1078.0</v>
      </c>
      <c r="C3456" s="6">
        <v>7.0</v>
      </c>
      <c r="D3456" s="161" t="s">
        <v>5689</v>
      </c>
      <c r="E3456" s="9" t="s">
        <v>5690</v>
      </c>
      <c r="F3456" s="109" t="str">
        <f t="shared" ref="F3456:G3456" si="3455">TRANSLATE(D3456,"lzh","vi")</f>
        <v>#NAME?</v>
      </c>
      <c r="G3456" s="109" t="str">
        <f t="shared" si="3455"/>
        <v>#NAME?</v>
      </c>
      <c r="X3456" s="110"/>
    </row>
    <row r="3457" ht="21.0" customHeight="1">
      <c r="A3457" s="6">
        <v>10.0</v>
      </c>
      <c r="B3457" s="6">
        <v>1078.0</v>
      </c>
      <c r="C3457" s="6">
        <v>8.0</v>
      </c>
      <c r="D3457" s="161" t="s">
        <v>5691</v>
      </c>
      <c r="E3457" s="9" t="s">
        <v>5692</v>
      </c>
      <c r="F3457" s="109" t="str">
        <f t="shared" ref="F3457:G3457" si="3456">TRANSLATE(D3457,"lzh","vi")</f>
        <v>#NAME?</v>
      </c>
      <c r="G3457" s="109" t="str">
        <f t="shared" si="3456"/>
        <v>#NAME?</v>
      </c>
      <c r="X3457" s="110"/>
    </row>
    <row r="3458" ht="21.0" customHeight="1">
      <c r="A3458" s="6">
        <v>10.0</v>
      </c>
      <c r="B3458" s="6">
        <v>1078.0</v>
      </c>
      <c r="C3458" s="6">
        <v>9.0</v>
      </c>
      <c r="D3458" s="161" t="s">
        <v>5693</v>
      </c>
      <c r="E3458" s="9" t="s">
        <v>5694</v>
      </c>
      <c r="F3458" s="109" t="str">
        <f t="shared" ref="F3458:G3458" si="3457">TRANSLATE(D3458,"lzh","vi")</f>
        <v>#NAME?</v>
      </c>
      <c r="G3458" s="109" t="str">
        <f t="shared" si="3457"/>
        <v>#NAME?</v>
      </c>
      <c r="X3458" s="110"/>
    </row>
    <row r="3459" ht="21.0" customHeight="1">
      <c r="A3459" s="6">
        <v>10.0</v>
      </c>
      <c r="B3459" s="6">
        <v>1078.0</v>
      </c>
      <c r="C3459" s="6">
        <v>10.0</v>
      </c>
      <c r="D3459" s="161" t="s">
        <v>5695</v>
      </c>
      <c r="E3459" s="76" t="s">
        <v>5696</v>
      </c>
      <c r="F3459" s="109" t="str">
        <f t="shared" ref="F3459:G3459" si="3458">TRANSLATE(D3459,"lzh","vi")</f>
        <v>#NAME?</v>
      </c>
      <c r="G3459" s="109" t="str">
        <f t="shared" si="3458"/>
        <v>#NAME?</v>
      </c>
      <c r="X3459" s="110"/>
    </row>
    <row r="3460" ht="21.0" customHeight="1">
      <c r="A3460" s="6">
        <v>11.0</v>
      </c>
      <c r="B3460" s="6">
        <v>1079.0</v>
      </c>
      <c r="C3460" s="6">
        <v>1.0</v>
      </c>
      <c r="D3460" s="161" t="s">
        <v>5697</v>
      </c>
      <c r="E3460" s="9" t="s">
        <v>5698</v>
      </c>
      <c r="F3460" s="109" t="str">
        <f t="shared" ref="F3460:G3460" si="3459">TRANSLATE(D3460,"lzh","vi")</f>
        <v>#NAME?</v>
      </c>
      <c r="G3460" s="109" t="str">
        <f t="shared" si="3459"/>
        <v>#NAME?</v>
      </c>
      <c r="X3460" s="110"/>
    </row>
    <row r="3461" ht="21.0" customHeight="1">
      <c r="A3461" s="6">
        <v>11.0</v>
      </c>
      <c r="B3461" s="6">
        <v>1079.0</v>
      </c>
      <c r="C3461" s="6">
        <v>2.0</v>
      </c>
      <c r="D3461" s="161" t="s">
        <v>5699</v>
      </c>
      <c r="E3461" s="9" t="s">
        <v>5700</v>
      </c>
      <c r="F3461" s="109" t="str">
        <f t="shared" ref="F3461:G3461" si="3460">TRANSLATE(D3461,"lzh","vi")</f>
        <v>#NAME?</v>
      </c>
      <c r="G3461" s="109" t="str">
        <f t="shared" si="3460"/>
        <v>#NAME?</v>
      </c>
      <c r="X3461" s="110"/>
    </row>
    <row r="3462" ht="21.0" customHeight="1">
      <c r="A3462" s="6">
        <v>11.0</v>
      </c>
      <c r="B3462" s="6">
        <v>1079.0</v>
      </c>
      <c r="C3462" s="6">
        <v>3.0</v>
      </c>
      <c r="D3462" s="161" t="s">
        <v>5701</v>
      </c>
      <c r="E3462" s="9" t="s">
        <v>5702</v>
      </c>
      <c r="F3462" s="109" t="str">
        <f t="shared" ref="F3462:G3462" si="3461">TRANSLATE(D3462,"lzh","vi")</f>
        <v>#NAME?</v>
      </c>
      <c r="G3462" s="109" t="str">
        <f t="shared" si="3461"/>
        <v>#NAME?</v>
      </c>
      <c r="X3462" s="110"/>
    </row>
    <row r="3463" ht="21.0" customHeight="1">
      <c r="A3463" s="6">
        <v>11.0</v>
      </c>
      <c r="B3463" s="6">
        <v>1079.0</v>
      </c>
      <c r="C3463" s="6">
        <v>4.0</v>
      </c>
      <c r="D3463" s="161" t="s">
        <v>5703</v>
      </c>
      <c r="E3463" s="9" t="s">
        <v>5704</v>
      </c>
      <c r="F3463" s="109" t="str">
        <f t="shared" ref="F3463:G3463" si="3462">TRANSLATE(D3463,"lzh","vi")</f>
        <v>#NAME?</v>
      </c>
      <c r="G3463" s="109" t="str">
        <f t="shared" si="3462"/>
        <v>#NAME?</v>
      </c>
      <c r="X3463" s="110"/>
    </row>
    <row r="3464" ht="21.0" customHeight="1">
      <c r="A3464" s="6">
        <v>10.0</v>
      </c>
      <c r="B3464" s="6">
        <v>1079.0</v>
      </c>
      <c r="C3464" s="6">
        <v>5.0</v>
      </c>
      <c r="D3464" s="161" t="s">
        <v>5705</v>
      </c>
      <c r="E3464" s="9" t="s">
        <v>5706</v>
      </c>
      <c r="F3464" s="109" t="str">
        <f t="shared" ref="F3464:G3464" si="3463">TRANSLATE(D3464,"lzh","vi")</f>
        <v>#NAME?</v>
      </c>
      <c r="G3464" s="109" t="str">
        <f t="shared" si="3463"/>
        <v>#NAME?</v>
      </c>
      <c r="X3464" s="110"/>
    </row>
    <row r="3465" ht="21.0" customHeight="1">
      <c r="A3465" s="6">
        <v>10.0</v>
      </c>
      <c r="B3465" s="6">
        <v>1079.0</v>
      </c>
      <c r="C3465" s="6">
        <v>6.0</v>
      </c>
      <c r="D3465" s="161" t="s">
        <v>5707</v>
      </c>
      <c r="E3465" s="9" t="s">
        <v>5708</v>
      </c>
      <c r="F3465" s="109" t="str">
        <f t="shared" ref="F3465:G3465" si="3464">TRANSLATE(D3465,"lzh","vi")</f>
        <v>#NAME?</v>
      </c>
      <c r="G3465" s="109" t="str">
        <f t="shared" si="3464"/>
        <v>#NAME?</v>
      </c>
      <c r="X3465" s="110"/>
    </row>
    <row r="3466" ht="21.0" customHeight="1">
      <c r="A3466" s="6">
        <v>10.0</v>
      </c>
      <c r="B3466" s="6">
        <v>1079.0</v>
      </c>
      <c r="C3466" s="6">
        <v>7.0</v>
      </c>
      <c r="D3466" s="161" t="s">
        <v>5709</v>
      </c>
      <c r="E3466" s="9" t="s">
        <v>5710</v>
      </c>
      <c r="F3466" s="109" t="str">
        <f t="shared" ref="F3466:G3466" si="3465">TRANSLATE(D3466,"lzh","vi")</f>
        <v>#NAME?</v>
      </c>
      <c r="G3466" s="109" t="str">
        <f t="shared" si="3465"/>
        <v>#NAME?</v>
      </c>
      <c r="X3466" s="110"/>
    </row>
    <row r="3467" ht="21.0" customHeight="1">
      <c r="A3467" s="6">
        <v>10.0</v>
      </c>
      <c r="B3467" s="6">
        <v>1079.0</v>
      </c>
      <c r="C3467" s="6">
        <v>8.0</v>
      </c>
      <c r="D3467" s="161" t="s">
        <v>5711</v>
      </c>
      <c r="E3467" s="9" t="s">
        <v>5712</v>
      </c>
      <c r="F3467" s="109" t="str">
        <f t="shared" ref="F3467:G3467" si="3466">TRANSLATE(D3467,"lzh","vi")</f>
        <v>#NAME?</v>
      </c>
      <c r="G3467" s="109" t="str">
        <f t="shared" si="3466"/>
        <v>#NAME?</v>
      </c>
      <c r="X3467" s="110"/>
    </row>
    <row r="3468" ht="21.0" customHeight="1">
      <c r="A3468" s="6">
        <v>10.0</v>
      </c>
      <c r="B3468" s="6">
        <v>1079.0</v>
      </c>
      <c r="C3468" s="6">
        <v>9.0</v>
      </c>
      <c r="D3468" s="161" t="s">
        <v>5713</v>
      </c>
      <c r="E3468" s="9" t="s">
        <v>5714</v>
      </c>
      <c r="F3468" s="109" t="str">
        <f t="shared" ref="F3468:G3468" si="3467">TRANSLATE(D3468,"lzh","vi")</f>
        <v>#NAME?</v>
      </c>
      <c r="G3468" s="109" t="str">
        <f t="shared" si="3467"/>
        <v>#NAME?</v>
      </c>
      <c r="X3468" s="110"/>
    </row>
    <row r="3469" ht="21.0" customHeight="1">
      <c r="A3469" s="6">
        <v>10.0</v>
      </c>
      <c r="B3469" s="6">
        <v>1079.0</v>
      </c>
      <c r="C3469" s="6">
        <v>10.0</v>
      </c>
      <c r="D3469" s="161" t="s">
        <v>5715</v>
      </c>
      <c r="E3469" s="76" t="s">
        <v>5696</v>
      </c>
      <c r="F3469" s="109" t="str">
        <f t="shared" ref="F3469:G3469" si="3468">TRANSLATE(D3469,"lzh","vi")</f>
        <v>#NAME?</v>
      </c>
      <c r="G3469" s="109" t="str">
        <f t="shared" si="3468"/>
        <v>#NAME?</v>
      </c>
      <c r="X3469" s="110"/>
    </row>
    <row r="3470" ht="21.0" customHeight="1">
      <c r="A3470" s="6">
        <v>1.0</v>
      </c>
      <c r="B3470" s="6">
        <v>263.0</v>
      </c>
      <c r="C3470" s="6">
        <v>1.0</v>
      </c>
      <c r="D3470" s="161" t="s">
        <v>5716</v>
      </c>
      <c r="E3470" s="9" t="s">
        <v>5717</v>
      </c>
      <c r="F3470" s="109" t="str">
        <f t="shared" ref="F3470:G3470" si="3469">TRANSLATE(D3470,"lzh","vi")</f>
        <v>#NAME?</v>
      </c>
      <c r="G3470" s="109" t="str">
        <f t="shared" si="3469"/>
        <v>#NAME?</v>
      </c>
      <c r="X3470" s="110"/>
    </row>
    <row r="3471" ht="21.0" customHeight="1">
      <c r="A3471" s="6">
        <v>1.0</v>
      </c>
      <c r="B3471" s="6">
        <v>263.0</v>
      </c>
      <c r="C3471" s="6">
        <v>2.0</v>
      </c>
      <c r="D3471" s="161" t="s">
        <v>5718</v>
      </c>
      <c r="E3471" s="9" t="s">
        <v>5719</v>
      </c>
      <c r="F3471" s="109" t="str">
        <f t="shared" ref="F3471:G3471" si="3470">TRANSLATE(D3471,"lzh","vi")</f>
        <v>#NAME?</v>
      </c>
      <c r="G3471" s="109" t="str">
        <f t="shared" si="3470"/>
        <v>#NAME?</v>
      </c>
      <c r="X3471" s="110"/>
    </row>
    <row r="3472" ht="21.0" customHeight="1">
      <c r="A3472" s="6">
        <v>1.0</v>
      </c>
      <c r="B3472" s="6">
        <v>263.0</v>
      </c>
      <c r="C3472" s="6">
        <v>3.0</v>
      </c>
      <c r="D3472" s="161" t="s">
        <v>5720</v>
      </c>
      <c r="E3472" s="9" t="s">
        <v>5721</v>
      </c>
      <c r="F3472" s="109" t="str">
        <f t="shared" ref="F3472:G3472" si="3471">TRANSLATE(D3472,"lzh","vi")</f>
        <v>#NAME?</v>
      </c>
      <c r="G3472" s="109" t="str">
        <f t="shared" si="3471"/>
        <v>#NAME?</v>
      </c>
      <c r="X3472" s="110"/>
    </row>
    <row r="3473" ht="21.0" customHeight="1">
      <c r="A3473" s="6">
        <v>1.0</v>
      </c>
      <c r="B3473" s="6">
        <v>263.0</v>
      </c>
      <c r="C3473" s="6">
        <v>4.0</v>
      </c>
      <c r="D3473" s="161" t="s">
        <v>5722</v>
      </c>
      <c r="E3473" s="9" t="s">
        <v>5723</v>
      </c>
      <c r="F3473" s="109" t="str">
        <f t="shared" ref="F3473:G3473" si="3472">TRANSLATE(D3473,"lzh","vi")</f>
        <v>#NAME?</v>
      </c>
      <c r="G3473" s="109" t="str">
        <f t="shared" si="3472"/>
        <v>#NAME?</v>
      </c>
      <c r="X3473" s="110"/>
    </row>
    <row r="3474" ht="21.0" customHeight="1">
      <c r="A3474" s="6">
        <v>1.0</v>
      </c>
      <c r="B3474" s="6">
        <v>263.0</v>
      </c>
      <c r="C3474" s="6">
        <v>5.0</v>
      </c>
      <c r="D3474" s="161" t="s">
        <v>5724</v>
      </c>
      <c r="E3474" s="9" t="s">
        <v>5725</v>
      </c>
      <c r="F3474" s="109" t="str">
        <f t="shared" ref="F3474:G3474" si="3473">TRANSLATE(D3474,"lzh","vi")</f>
        <v>#NAME?</v>
      </c>
      <c r="G3474" s="109" t="str">
        <f t="shared" si="3473"/>
        <v>#NAME?</v>
      </c>
      <c r="X3474" s="110"/>
    </row>
    <row r="3475" ht="21.0" customHeight="1">
      <c r="A3475" s="6">
        <v>1.0</v>
      </c>
      <c r="B3475" s="6">
        <v>263.0</v>
      </c>
      <c r="C3475" s="6">
        <v>6.0</v>
      </c>
      <c r="D3475" s="161" t="s">
        <v>5726</v>
      </c>
      <c r="E3475" s="9" t="s">
        <v>5727</v>
      </c>
      <c r="F3475" s="109" t="str">
        <f t="shared" ref="F3475:G3475" si="3474">TRANSLATE(D3475,"lzh","vi")</f>
        <v>#NAME?</v>
      </c>
      <c r="G3475" s="109" t="str">
        <f t="shared" si="3474"/>
        <v>#NAME?</v>
      </c>
      <c r="X3475" s="110"/>
    </row>
    <row r="3476" ht="21.0" customHeight="1">
      <c r="A3476" s="6">
        <v>1.0</v>
      </c>
      <c r="B3476" s="6">
        <v>263.0</v>
      </c>
      <c r="C3476" s="6">
        <v>7.0</v>
      </c>
      <c r="D3476" s="122" t="s">
        <v>5728</v>
      </c>
      <c r="E3476" s="9" t="s">
        <v>5729</v>
      </c>
      <c r="F3476" s="109" t="str">
        <f t="shared" ref="F3476:G3476" si="3475">TRANSLATE(D3476,"lzh","vi")</f>
        <v>#NAME?</v>
      </c>
      <c r="G3476" s="109" t="str">
        <f t="shared" si="3475"/>
        <v>#NAME?</v>
      </c>
      <c r="X3476" s="110"/>
    </row>
    <row r="3477" ht="21.0" customHeight="1">
      <c r="A3477" s="6">
        <v>1.0</v>
      </c>
      <c r="B3477" s="6">
        <v>263.0</v>
      </c>
      <c r="C3477" s="6">
        <v>8.0</v>
      </c>
      <c r="D3477" s="122" t="s">
        <v>5730</v>
      </c>
      <c r="E3477" s="9" t="s">
        <v>5731</v>
      </c>
      <c r="F3477" s="109" t="str">
        <f t="shared" ref="F3477:G3477" si="3476">TRANSLATE(D3477,"lzh","vi")</f>
        <v>#NAME?</v>
      </c>
      <c r="G3477" s="109" t="str">
        <f t="shared" si="3476"/>
        <v>#NAME?</v>
      </c>
      <c r="X3477" s="110"/>
    </row>
    <row r="3478" ht="21.0" customHeight="1">
      <c r="A3478" s="6">
        <v>1.0</v>
      </c>
      <c r="B3478" s="6">
        <v>263.0</v>
      </c>
      <c r="C3478" s="6">
        <v>9.0</v>
      </c>
      <c r="D3478" s="122" t="s">
        <v>5732</v>
      </c>
      <c r="E3478" s="9" t="s">
        <v>5733</v>
      </c>
      <c r="F3478" s="109" t="str">
        <f t="shared" ref="F3478:G3478" si="3477">TRANSLATE(D3478,"lzh","vi")</f>
        <v>#NAME?</v>
      </c>
      <c r="G3478" s="109" t="str">
        <f t="shared" si="3477"/>
        <v>#NAME?</v>
      </c>
      <c r="X3478" s="110"/>
    </row>
    <row r="3479" ht="21.0" customHeight="1">
      <c r="A3479" s="6">
        <v>1.0</v>
      </c>
      <c r="B3479" s="6">
        <v>263.0</v>
      </c>
      <c r="C3479" s="6">
        <v>10.0</v>
      </c>
      <c r="D3479" s="122" t="s">
        <v>5734</v>
      </c>
      <c r="E3479" s="9" t="s">
        <v>5735</v>
      </c>
      <c r="F3479" s="109" t="str">
        <f t="shared" ref="F3479:G3479" si="3478">TRANSLATE(D3479,"lzh","vi")</f>
        <v>#NAME?</v>
      </c>
      <c r="G3479" s="109" t="str">
        <f t="shared" si="3478"/>
        <v>#NAME?</v>
      </c>
      <c r="X3479" s="110"/>
    </row>
    <row r="3480" ht="21.0" customHeight="1">
      <c r="A3480" s="6">
        <v>1.0</v>
      </c>
      <c r="B3480" s="6">
        <v>263.0</v>
      </c>
      <c r="C3480" s="6">
        <v>11.0</v>
      </c>
      <c r="D3480" s="122" t="s">
        <v>5736</v>
      </c>
      <c r="E3480" s="9" t="s">
        <v>5737</v>
      </c>
      <c r="F3480" s="109" t="str">
        <f t="shared" ref="F3480:G3480" si="3479">TRANSLATE(D3480,"lzh","vi")</f>
        <v>#NAME?</v>
      </c>
      <c r="G3480" s="109" t="str">
        <f t="shared" si="3479"/>
        <v>#NAME?</v>
      </c>
      <c r="X3480" s="110"/>
    </row>
    <row r="3481" ht="21.0" customHeight="1">
      <c r="A3481" s="6">
        <v>1.0</v>
      </c>
      <c r="B3481" s="6">
        <v>263.0</v>
      </c>
      <c r="C3481" s="6">
        <v>12.0</v>
      </c>
      <c r="D3481" s="122" t="s">
        <v>5738</v>
      </c>
      <c r="E3481" s="9" t="s">
        <v>5739</v>
      </c>
      <c r="F3481" s="109" t="str">
        <f t="shared" ref="F3481:G3481" si="3480">TRANSLATE(D3481,"lzh","vi")</f>
        <v>#NAME?</v>
      </c>
      <c r="G3481" s="109" t="str">
        <f t="shared" si="3480"/>
        <v>#NAME?</v>
      </c>
      <c r="X3481" s="110"/>
    </row>
    <row r="3482" ht="21.0" customHeight="1">
      <c r="A3482" s="6">
        <v>1.0</v>
      </c>
      <c r="B3482" s="6">
        <v>263.0</v>
      </c>
      <c r="C3482" s="6">
        <v>13.0</v>
      </c>
      <c r="D3482" s="122" t="s">
        <v>5740</v>
      </c>
      <c r="E3482" s="9" t="s">
        <v>5741</v>
      </c>
      <c r="F3482" s="109" t="str">
        <f t="shared" ref="F3482:G3482" si="3481">TRANSLATE(D3482,"lzh","vi")</f>
        <v>#NAME?</v>
      </c>
      <c r="G3482" s="109" t="str">
        <f t="shared" si="3481"/>
        <v>#NAME?</v>
      </c>
      <c r="X3482" s="110"/>
    </row>
    <row r="3483" ht="21.0" customHeight="1">
      <c r="A3483" s="6">
        <v>1.0</v>
      </c>
      <c r="B3483" s="6">
        <v>264.0</v>
      </c>
      <c r="C3483" s="6">
        <v>1.0</v>
      </c>
      <c r="D3483" s="161" t="s">
        <v>5742</v>
      </c>
      <c r="E3483" s="9" t="s">
        <v>5743</v>
      </c>
      <c r="F3483" s="109" t="str">
        <f t="shared" ref="F3483:G3483" si="3482">TRANSLATE(D3483,"lzh","vi")</f>
        <v>#NAME?</v>
      </c>
      <c r="G3483" s="109" t="str">
        <f t="shared" si="3482"/>
        <v>#NAME?</v>
      </c>
      <c r="X3483" s="110"/>
    </row>
    <row r="3484" ht="21.0" customHeight="1">
      <c r="A3484" s="6">
        <v>1.0</v>
      </c>
      <c r="B3484" s="6">
        <v>264.0</v>
      </c>
      <c r="C3484" s="6">
        <v>2.0</v>
      </c>
      <c r="D3484" s="161" t="s">
        <v>5744</v>
      </c>
      <c r="E3484" s="9" t="s">
        <v>5745</v>
      </c>
      <c r="F3484" s="109" t="str">
        <f t="shared" ref="F3484:G3484" si="3483">TRANSLATE(D3484,"lzh","vi")</f>
        <v>#NAME?</v>
      </c>
      <c r="G3484" s="109" t="str">
        <f t="shared" si="3483"/>
        <v>#NAME?</v>
      </c>
      <c r="X3484" s="110"/>
    </row>
    <row r="3485" ht="21.0" customHeight="1">
      <c r="A3485" s="6">
        <v>1.0</v>
      </c>
      <c r="B3485" s="6">
        <v>264.0</v>
      </c>
      <c r="C3485" s="6">
        <v>3.0</v>
      </c>
      <c r="D3485" s="161" t="s">
        <v>5746</v>
      </c>
      <c r="E3485" s="9" t="s">
        <v>5747</v>
      </c>
      <c r="F3485" s="109" t="str">
        <f t="shared" ref="F3485:G3485" si="3484">TRANSLATE(D3485,"lzh","vi")</f>
        <v>#NAME?</v>
      </c>
      <c r="G3485" s="109" t="str">
        <f t="shared" si="3484"/>
        <v>#NAME?</v>
      </c>
      <c r="X3485" s="110"/>
    </row>
    <row r="3486" ht="21.0" customHeight="1">
      <c r="A3486" s="6">
        <v>1.0</v>
      </c>
      <c r="B3486" s="6">
        <v>264.0</v>
      </c>
      <c r="C3486" s="6">
        <v>4.0</v>
      </c>
      <c r="D3486" s="161" t="s">
        <v>5748</v>
      </c>
      <c r="E3486" s="9" t="s">
        <v>5749</v>
      </c>
      <c r="F3486" s="109" t="str">
        <f t="shared" ref="F3486:G3486" si="3485">TRANSLATE(D3486,"lzh","vi")</f>
        <v>#NAME?</v>
      </c>
      <c r="G3486" s="109" t="str">
        <f t="shared" si="3485"/>
        <v>#NAME?</v>
      </c>
      <c r="X3486" s="110"/>
    </row>
    <row r="3487" ht="21.0" customHeight="1">
      <c r="A3487" s="6">
        <v>1.0</v>
      </c>
      <c r="B3487" s="6">
        <v>264.0</v>
      </c>
      <c r="C3487" s="6">
        <v>5.0</v>
      </c>
      <c r="D3487" s="161" t="s">
        <v>5750</v>
      </c>
      <c r="E3487" s="9" t="s">
        <v>5751</v>
      </c>
      <c r="F3487" s="109" t="str">
        <f t="shared" ref="F3487:G3487" si="3486">TRANSLATE(D3487,"lzh","vi")</f>
        <v>#NAME?</v>
      </c>
      <c r="G3487" s="109" t="str">
        <f t="shared" si="3486"/>
        <v>#NAME?</v>
      </c>
      <c r="X3487" s="110"/>
    </row>
    <row r="3488" ht="21.0" customHeight="1">
      <c r="A3488" s="6">
        <v>1.0</v>
      </c>
      <c r="B3488" s="6">
        <v>264.0</v>
      </c>
      <c r="C3488" s="6">
        <v>6.0</v>
      </c>
      <c r="D3488" s="161" t="s">
        <v>5752</v>
      </c>
      <c r="E3488" s="9" t="s">
        <v>5753</v>
      </c>
      <c r="F3488" s="109" t="str">
        <f t="shared" ref="F3488:G3488" si="3487">TRANSLATE(D3488,"lzh","vi")</f>
        <v>#NAME?</v>
      </c>
      <c r="G3488" s="109" t="str">
        <f t="shared" si="3487"/>
        <v>#NAME?</v>
      </c>
      <c r="X3488" s="110"/>
    </row>
    <row r="3489" ht="21.0" customHeight="1">
      <c r="A3489" s="6">
        <v>1.0</v>
      </c>
      <c r="B3489" s="6">
        <v>264.0</v>
      </c>
      <c r="C3489" s="6">
        <v>7.0</v>
      </c>
      <c r="D3489" s="161" t="s">
        <v>5754</v>
      </c>
      <c r="E3489" s="9" t="s">
        <v>5755</v>
      </c>
      <c r="F3489" s="109" t="str">
        <f t="shared" ref="F3489:G3489" si="3488">TRANSLATE(D3489,"lzh","vi")</f>
        <v>#NAME?</v>
      </c>
      <c r="G3489" s="109" t="str">
        <f t="shared" si="3488"/>
        <v>#NAME?</v>
      </c>
      <c r="X3489" s="110"/>
    </row>
    <row r="3490" ht="21.0" customHeight="1">
      <c r="A3490" s="6">
        <v>1.0</v>
      </c>
      <c r="B3490" s="6">
        <v>264.0</v>
      </c>
      <c r="C3490" s="6">
        <v>8.0</v>
      </c>
      <c r="D3490" s="161" t="s">
        <v>5756</v>
      </c>
      <c r="E3490" s="9" t="s">
        <v>5757</v>
      </c>
      <c r="F3490" s="109" t="str">
        <f t="shared" ref="F3490:G3490" si="3489">TRANSLATE(D3490,"lzh","vi")</f>
        <v>#NAME?</v>
      </c>
      <c r="G3490" s="109" t="str">
        <f t="shared" si="3489"/>
        <v>#NAME?</v>
      </c>
      <c r="X3490" s="110"/>
    </row>
    <row r="3491" ht="21.0" customHeight="1">
      <c r="A3491" s="6">
        <v>1.0</v>
      </c>
      <c r="B3491" s="6">
        <v>264.0</v>
      </c>
      <c r="C3491" s="6">
        <v>9.0</v>
      </c>
      <c r="D3491" s="161" t="s">
        <v>5758</v>
      </c>
      <c r="E3491" s="9" t="s">
        <v>5759</v>
      </c>
      <c r="F3491" s="109" t="str">
        <f t="shared" ref="F3491:G3491" si="3490">TRANSLATE(D3491,"lzh","vi")</f>
        <v>#NAME?</v>
      </c>
      <c r="G3491" s="109" t="str">
        <f t="shared" si="3490"/>
        <v>#NAME?</v>
      </c>
      <c r="X3491" s="110"/>
    </row>
    <row r="3492" ht="21.0" customHeight="1">
      <c r="A3492" s="6">
        <v>1.0</v>
      </c>
      <c r="B3492" s="6">
        <v>264.0</v>
      </c>
      <c r="C3492" s="6">
        <v>10.0</v>
      </c>
      <c r="D3492" s="161" t="s">
        <v>5760</v>
      </c>
      <c r="E3492" s="9" t="s">
        <v>5761</v>
      </c>
      <c r="F3492" s="109" t="str">
        <f t="shared" ref="F3492:G3492" si="3491">TRANSLATE(D3492,"lzh","vi")</f>
        <v>#NAME?</v>
      </c>
      <c r="G3492" s="109" t="str">
        <f t="shared" si="3491"/>
        <v>#NAME?</v>
      </c>
      <c r="X3492" s="110"/>
    </row>
    <row r="3493" ht="21.0" customHeight="1">
      <c r="A3493" s="6">
        <v>1.0</v>
      </c>
      <c r="B3493" s="6">
        <v>264.0</v>
      </c>
      <c r="C3493" s="6">
        <v>11.0</v>
      </c>
      <c r="D3493" s="161" t="s">
        <v>5762</v>
      </c>
      <c r="E3493" s="9" t="s">
        <v>5763</v>
      </c>
      <c r="F3493" s="109" t="str">
        <f t="shared" ref="F3493:G3493" si="3492">TRANSLATE(D3493,"lzh","vi")</f>
        <v>#NAME?</v>
      </c>
      <c r="G3493" s="109" t="str">
        <f t="shared" si="3492"/>
        <v>#NAME?</v>
      </c>
      <c r="X3493" s="110"/>
    </row>
    <row r="3494" ht="21.0" customHeight="1">
      <c r="A3494" s="6">
        <v>1.0</v>
      </c>
      <c r="B3494" s="6">
        <v>264.0</v>
      </c>
      <c r="C3494" s="6">
        <v>12.0</v>
      </c>
      <c r="D3494" s="161" t="s">
        <v>5764</v>
      </c>
      <c r="E3494" s="9" t="s">
        <v>5765</v>
      </c>
      <c r="F3494" s="109" t="str">
        <f t="shared" ref="F3494:G3494" si="3493">TRANSLATE(D3494,"lzh","vi")</f>
        <v>#NAME?</v>
      </c>
      <c r="G3494" s="109" t="str">
        <f t="shared" si="3493"/>
        <v>#NAME?</v>
      </c>
      <c r="X3494" s="110"/>
    </row>
    <row r="3495" ht="21.0" customHeight="1">
      <c r="A3495" s="6">
        <v>1.0</v>
      </c>
      <c r="B3495" s="6">
        <v>264.0</v>
      </c>
      <c r="C3495" s="6">
        <v>13.0</v>
      </c>
      <c r="D3495" s="161" t="s">
        <v>5766</v>
      </c>
      <c r="E3495" s="9" t="s">
        <v>5767</v>
      </c>
      <c r="F3495" s="109" t="str">
        <f t="shared" ref="F3495:G3495" si="3494">TRANSLATE(D3495,"lzh","vi")</f>
        <v>#NAME?</v>
      </c>
      <c r="G3495" s="109" t="str">
        <f t="shared" si="3494"/>
        <v>#NAME?</v>
      </c>
      <c r="X3495" s="110"/>
    </row>
    <row r="3496" ht="21.0" customHeight="1">
      <c r="A3496" s="6">
        <v>1.0</v>
      </c>
      <c r="B3496" s="6">
        <v>265.0</v>
      </c>
      <c r="C3496" s="6">
        <v>1.0</v>
      </c>
      <c r="D3496" s="161" t="s">
        <v>5768</v>
      </c>
      <c r="E3496" s="9" t="s">
        <v>5769</v>
      </c>
      <c r="F3496" s="109" t="str">
        <f t="shared" ref="F3496:G3496" si="3495">TRANSLATE(D3496,"lzh","vi")</f>
        <v>#NAME?</v>
      </c>
      <c r="G3496" s="109" t="str">
        <f t="shared" si="3495"/>
        <v>#NAME?</v>
      </c>
      <c r="X3496" s="110"/>
    </row>
    <row r="3497" ht="21.0" customHeight="1">
      <c r="A3497" s="6">
        <v>1.0</v>
      </c>
      <c r="B3497" s="6">
        <v>265.0</v>
      </c>
      <c r="C3497" s="6">
        <v>2.0</v>
      </c>
      <c r="D3497" s="161" t="s">
        <v>5770</v>
      </c>
      <c r="E3497" s="9" t="s">
        <v>5771</v>
      </c>
      <c r="F3497" s="109" t="str">
        <f t="shared" ref="F3497:G3497" si="3496">TRANSLATE(D3497,"lzh","vi")</f>
        <v>#NAME?</v>
      </c>
      <c r="G3497" s="109" t="str">
        <f t="shared" si="3496"/>
        <v>#NAME?</v>
      </c>
      <c r="X3497" s="110"/>
    </row>
    <row r="3498" ht="21.0" customHeight="1">
      <c r="A3498" s="6">
        <v>1.0</v>
      </c>
      <c r="B3498" s="6">
        <v>265.0</v>
      </c>
      <c r="C3498" s="6">
        <v>3.0</v>
      </c>
      <c r="D3498" s="161" t="s">
        <v>5772</v>
      </c>
      <c r="E3498" s="9" t="s">
        <v>5773</v>
      </c>
      <c r="F3498" s="109" t="str">
        <f t="shared" ref="F3498:G3498" si="3497">TRANSLATE(D3498,"lzh","vi")</f>
        <v>#NAME?</v>
      </c>
      <c r="G3498" s="109" t="str">
        <f t="shared" si="3497"/>
        <v>#NAME?</v>
      </c>
      <c r="X3498" s="110"/>
    </row>
    <row r="3499" ht="21.0" customHeight="1">
      <c r="A3499" s="6">
        <v>1.0</v>
      </c>
      <c r="B3499" s="6">
        <v>265.0</v>
      </c>
      <c r="C3499" s="6">
        <v>4.0</v>
      </c>
      <c r="D3499" s="161" t="s">
        <v>5774</v>
      </c>
      <c r="E3499" s="9" t="s">
        <v>5775</v>
      </c>
      <c r="F3499" s="109" t="str">
        <f t="shared" ref="F3499:G3499" si="3498">TRANSLATE(D3499,"lzh","vi")</f>
        <v>#NAME?</v>
      </c>
      <c r="G3499" s="109" t="str">
        <f t="shared" si="3498"/>
        <v>#NAME?</v>
      </c>
      <c r="X3499" s="110"/>
    </row>
    <row r="3500" ht="21.0" customHeight="1">
      <c r="A3500" s="6">
        <v>1.0</v>
      </c>
      <c r="B3500" s="6">
        <v>265.0</v>
      </c>
      <c r="C3500" s="6">
        <v>5.0</v>
      </c>
      <c r="D3500" s="161" t="s">
        <v>5776</v>
      </c>
      <c r="E3500" s="9" t="s">
        <v>5777</v>
      </c>
      <c r="F3500" s="109" t="str">
        <f t="shared" ref="F3500:G3500" si="3499">TRANSLATE(D3500,"lzh","vi")</f>
        <v>#NAME?</v>
      </c>
      <c r="G3500" s="109" t="str">
        <f t="shared" si="3499"/>
        <v>#NAME?</v>
      </c>
      <c r="X3500" s="110"/>
    </row>
    <row r="3501" ht="21.0" customHeight="1">
      <c r="A3501" s="6">
        <v>1.0</v>
      </c>
      <c r="B3501" s="6">
        <v>265.0</v>
      </c>
      <c r="C3501" s="6">
        <v>6.0</v>
      </c>
      <c r="D3501" s="161" t="s">
        <v>5778</v>
      </c>
      <c r="E3501" s="9" t="s">
        <v>5779</v>
      </c>
      <c r="F3501" s="109" t="str">
        <f t="shared" ref="F3501:G3501" si="3500">TRANSLATE(D3501,"lzh","vi")</f>
        <v>#NAME?</v>
      </c>
      <c r="G3501" s="109" t="str">
        <f t="shared" si="3500"/>
        <v>#NAME?</v>
      </c>
      <c r="X3501" s="110"/>
    </row>
    <row r="3502" ht="21.0" customHeight="1">
      <c r="A3502" s="6">
        <v>1.0</v>
      </c>
      <c r="B3502" s="6">
        <v>265.0</v>
      </c>
      <c r="C3502" s="6">
        <v>7.0</v>
      </c>
      <c r="D3502" s="161" t="s">
        <v>5780</v>
      </c>
      <c r="E3502" s="9" t="s">
        <v>5781</v>
      </c>
      <c r="F3502" s="109" t="str">
        <f t="shared" ref="F3502:G3502" si="3501">TRANSLATE(D3502,"lzh","vi")</f>
        <v>#NAME?</v>
      </c>
      <c r="G3502" s="109" t="str">
        <f t="shared" si="3501"/>
        <v>#NAME?</v>
      </c>
      <c r="X3502" s="110"/>
    </row>
    <row r="3503" ht="21.0" customHeight="1">
      <c r="A3503" s="6">
        <v>1.0</v>
      </c>
      <c r="B3503" s="6">
        <v>265.0</v>
      </c>
      <c r="C3503" s="6">
        <v>8.0</v>
      </c>
      <c r="D3503" s="161" t="s">
        <v>5782</v>
      </c>
      <c r="E3503" s="9" t="s">
        <v>5783</v>
      </c>
      <c r="F3503" s="109" t="str">
        <f t="shared" ref="F3503:G3503" si="3502">TRANSLATE(D3503,"lzh","vi")</f>
        <v>#NAME?</v>
      </c>
      <c r="G3503" s="109" t="str">
        <f t="shared" si="3502"/>
        <v>#NAME?</v>
      </c>
      <c r="X3503" s="110"/>
    </row>
    <row r="3504" ht="21.0" customHeight="1">
      <c r="A3504" s="6">
        <v>1.0</v>
      </c>
      <c r="B3504" s="6">
        <v>265.0</v>
      </c>
      <c r="C3504" s="6">
        <v>9.0</v>
      </c>
      <c r="D3504" s="161" t="s">
        <v>5784</v>
      </c>
      <c r="E3504" s="9" t="s">
        <v>5785</v>
      </c>
      <c r="F3504" s="109" t="str">
        <f t="shared" ref="F3504:G3504" si="3503">TRANSLATE(D3504,"lzh","vi")</f>
        <v>#NAME?</v>
      </c>
      <c r="G3504" s="109" t="str">
        <f t="shared" si="3503"/>
        <v>#NAME?</v>
      </c>
      <c r="X3504" s="110"/>
    </row>
    <row r="3505" ht="21.0" customHeight="1">
      <c r="A3505" s="6">
        <v>1.0</v>
      </c>
      <c r="B3505" s="6">
        <v>265.0</v>
      </c>
      <c r="C3505" s="6">
        <v>10.0</v>
      </c>
      <c r="D3505" s="161" t="s">
        <v>5786</v>
      </c>
      <c r="E3505" s="9" t="s">
        <v>5787</v>
      </c>
      <c r="F3505" s="109" t="str">
        <f t="shared" ref="F3505:G3505" si="3504">TRANSLATE(D3505,"lzh","vi")</f>
        <v>#NAME?</v>
      </c>
      <c r="G3505" s="109" t="str">
        <f t="shared" si="3504"/>
        <v>#NAME?</v>
      </c>
      <c r="X3505" s="110"/>
    </row>
    <row r="3506" ht="21.0" customHeight="1">
      <c r="A3506" s="6">
        <v>1.0</v>
      </c>
      <c r="B3506" s="6">
        <v>265.0</v>
      </c>
      <c r="C3506" s="6">
        <v>11.0</v>
      </c>
      <c r="D3506" s="161" t="s">
        <v>5788</v>
      </c>
      <c r="E3506" s="9" t="s">
        <v>5789</v>
      </c>
      <c r="F3506" s="109" t="str">
        <f t="shared" ref="F3506:G3506" si="3505">TRANSLATE(D3506,"lzh","vi")</f>
        <v>#NAME?</v>
      </c>
      <c r="G3506" s="109" t="str">
        <f t="shared" si="3505"/>
        <v>#NAME?</v>
      </c>
      <c r="X3506" s="110"/>
    </row>
    <row r="3507" ht="21.0" customHeight="1">
      <c r="A3507" s="6">
        <v>1.0</v>
      </c>
      <c r="B3507" s="6">
        <v>265.0</v>
      </c>
      <c r="C3507" s="6">
        <v>12.0</v>
      </c>
      <c r="D3507" s="161" t="s">
        <v>5790</v>
      </c>
      <c r="E3507" s="9" t="s">
        <v>5791</v>
      </c>
      <c r="F3507" s="109" t="str">
        <f t="shared" ref="F3507:G3507" si="3506">TRANSLATE(D3507,"lzh","vi")</f>
        <v>#NAME?</v>
      </c>
      <c r="G3507" s="109" t="str">
        <f t="shared" si="3506"/>
        <v>#NAME?</v>
      </c>
      <c r="X3507" s="110"/>
    </row>
    <row r="3508" ht="21.0" customHeight="1">
      <c r="A3508" s="6">
        <v>1.0</v>
      </c>
      <c r="B3508" s="6">
        <v>265.0</v>
      </c>
      <c r="C3508" s="6">
        <v>13.0</v>
      </c>
      <c r="D3508" s="161" t="s">
        <v>5792</v>
      </c>
      <c r="E3508" s="9" t="s">
        <v>5793</v>
      </c>
      <c r="F3508" s="109" t="str">
        <f t="shared" ref="F3508:G3508" si="3507">TRANSLATE(D3508,"lzh","vi")</f>
        <v>#NAME?</v>
      </c>
      <c r="G3508" s="109" t="str">
        <f t="shared" si="3507"/>
        <v>#NAME?</v>
      </c>
      <c r="X3508" s="110"/>
    </row>
    <row r="3509" ht="21.0" customHeight="1">
      <c r="A3509" s="6">
        <v>11.0</v>
      </c>
      <c r="B3509" s="6">
        <v>1080.0</v>
      </c>
      <c r="C3509" s="6">
        <v>1.0</v>
      </c>
      <c r="D3509" s="161" t="s">
        <v>5794</v>
      </c>
      <c r="E3509" s="9" t="s">
        <v>5795</v>
      </c>
      <c r="F3509" s="109" t="str">
        <f t="shared" ref="F3509:G3509" si="3508">TRANSLATE(D3509,"lzh","vi")</f>
        <v>#NAME?</v>
      </c>
      <c r="G3509" s="109" t="str">
        <f t="shared" si="3508"/>
        <v>#NAME?</v>
      </c>
      <c r="X3509" s="110"/>
    </row>
    <row r="3510" ht="21.0" customHeight="1">
      <c r="A3510" s="6">
        <v>11.0</v>
      </c>
      <c r="B3510" s="6">
        <v>1080.0</v>
      </c>
      <c r="C3510" s="6">
        <v>2.0</v>
      </c>
      <c r="D3510" s="161" t="s">
        <v>5796</v>
      </c>
      <c r="E3510" s="9" t="s">
        <v>5797</v>
      </c>
      <c r="F3510" s="109" t="str">
        <f t="shared" ref="F3510:G3510" si="3509">TRANSLATE(D3510,"lzh","vi")</f>
        <v>#NAME?</v>
      </c>
      <c r="G3510" s="109" t="str">
        <f t="shared" si="3509"/>
        <v>#NAME?</v>
      </c>
      <c r="X3510" s="110"/>
    </row>
    <row r="3511" ht="21.0" customHeight="1">
      <c r="A3511" s="6">
        <v>11.0</v>
      </c>
      <c r="B3511" s="6">
        <v>1080.0</v>
      </c>
      <c r="C3511" s="6">
        <v>3.0</v>
      </c>
      <c r="D3511" s="161" t="s">
        <v>5798</v>
      </c>
      <c r="E3511" s="9" t="s">
        <v>5799</v>
      </c>
      <c r="F3511" s="109" t="str">
        <f t="shared" ref="F3511:G3511" si="3510">TRANSLATE(D3511,"lzh","vi")</f>
        <v>#NAME?</v>
      </c>
      <c r="G3511" s="109" t="str">
        <f t="shared" si="3510"/>
        <v>#NAME?</v>
      </c>
      <c r="X3511" s="110"/>
    </row>
    <row r="3512" ht="21.0" customHeight="1">
      <c r="A3512" s="6">
        <v>11.0</v>
      </c>
      <c r="B3512" s="6">
        <v>1080.0</v>
      </c>
      <c r="C3512" s="6">
        <v>4.0</v>
      </c>
      <c r="D3512" s="161" t="s">
        <v>5800</v>
      </c>
      <c r="E3512" s="9" t="s">
        <v>5801</v>
      </c>
      <c r="F3512" s="109" t="str">
        <f t="shared" ref="F3512:G3512" si="3511">TRANSLATE(D3512,"lzh","vi")</f>
        <v>#NAME?</v>
      </c>
      <c r="G3512" s="109" t="str">
        <f t="shared" si="3511"/>
        <v>#NAME?</v>
      </c>
      <c r="X3512" s="110"/>
    </row>
    <row r="3513" ht="21.0" customHeight="1">
      <c r="A3513" s="6">
        <v>10.0</v>
      </c>
      <c r="B3513" s="6">
        <v>1080.0</v>
      </c>
      <c r="C3513" s="6">
        <v>5.0</v>
      </c>
      <c r="D3513" s="161" t="s">
        <v>5802</v>
      </c>
      <c r="E3513" s="9" t="s">
        <v>5803</v>
      </c>
      <c r="F3513" s="109" t="str">
        <f t="shared" ref="F3513:G3513" si="3512">TRANSLATE(D3513,"lzh","vi")</f>
        <v>#NAME?</v>
      </c>
      <c r="G3513" s="109" t="str">
        <f t="shared" si="3512"/>
        <v>#NAME?</v>
      </c>
      <c r="X3513" s="110"/>
    </row>
    <row r="3514" ht="21.0" customHeight="1">
      <c r="A3514" s="6">
        <v>10.0</v>
      </c>
      <c r="B3514" s="6">
        <v>1080.0</v>
      </c>
      <c r="C3514" s="6">
        <v>6.0</v>
      </c>
      <c r="D3514" s="161" t="s">
        <v>5804</v>
      </c>
      <c r="E3514" s="9" t="s">
        <v>5805</v>
      </c>
      <c r="F3514" s="109" t="str">
        <f t="shared" ref="F3514:G3514" si="3513">TRANSLATE(D3514,"lzh","vi")</f>
        <v>#NAME?</v>
      </c>
      <c r="G3514" s="109" t="str">
        <f t="shared" si="3513"/>
        <v>#NAME?</v>
      </c>
      <c r="X3514" s="110"/>
    </row>
    <row r="3515" ht="21.0" customHeight="1">
      <c r="A3515" s="6">
        <v>10.0</v>
      </c>
      <c r="B3515" s="6">
        <v>1080.0</v>
      </c>
      <c r="C3515" s="6">
        <v>7.0</v>
      </c>
      <c r="D3515" s="161" t="s">
        <v>5806</v>
      </c>
      <c r="E3515" s="9" t="s">
        <v>5807</v>
      </c>
      <c r="F3515" s="109" t="str">
        <f t="shared" ref="F3515:G3515" si="3514">TRANSLATE(D3515,"lzh","vi")</f>
        <v>#NAME?</v>
      </c>
      <c r="G3515" s="109" t="str">
        <f t="shared" si="3514"/>
        <v>#NAME?</v>
      </c>
      <c r="X3515" s="110"/>
    </row>
    <row r="3516" ht="21.0" customHeight="1">
      <c r="A3516" s="6">
        <v>10.0</v>
      </c>
      <c r="B3516" s="6">
        <v>1080.0</v>
      </c>
      <c r="C3516" s="6">
        <v>8.0</v>
      </c>
      <c r="D3516" s="161" t="s">
        <v>5808</v>
      </c>
      <c r="E3516" s="9" t="s">
        <v>5809</v>
      </c>
      <c r="F3516" s="109" t="str">
        <f t="shared" ref="F3516:G3516" si="3515">TRANSLATE(D3516,"lzh","vi")</f>
        <v>#NAME?</v>
      </c>
      <c r="G3516" s="109" t="str">
        <f t="shared" si="3515"/>
        <v>#NAME?</v>
      </c>
      <c r="X3516" s="110"/>
    </row>
    <row r="3517" ht="21.0" customHeight="1">
      <c r="A3517" s="6">
        <v>10.0</v>
      </c>
      <c r="B3517" s="6">
        <v>1080.0</v>
      </c>
      <c r="C3517" s="6">
        <v>9.0</v>
      </c>
      <c r="D3517" s="161" t="s">
        <v>5810</v>
      </c>
      <c r="E3517" s="9" t="s">
        <v>5811</v>
      </c>
      <c r="F3517" s="109" t="str">
        <f t="shared" ref="F3517:G3517" si="3516">TRANSLATE(D3517,"lzh","vi")</f>
        <v>#NAME?</v>
      </c>
      <c r="G3517" s="109" t="str">
        <f t="shared" si="3516"/>
        <v>#NAME?</v>
      </c>
      <c r="X3517" s="110"/>
    </row>
    <row r="3518" ht="21.0" customHeight="1">
      <c r="A3518" s="6">
        <v>10.0</v>
      </c>
      <c r="B3518" s="6">
        <v>1080.0</v>
      </c>
      <c r="C3518" s="6">
        <v>10.0</v>
      </c>
      <c r="D3518" s="161" t="s">
        <v>5812</v>
      </c>
      <c r="E3518" s="9" t="s">
        <v>5813</v>
      </c>
      <c r="F3518" s="109" t="str">
        <f t="shared" ref="F3518:G3518" si="3517">TRANSLATE(D3518,"lzh","vi")</f>
        <v>#NAME?</v>
      </c>
      <c r="G3518" s="109" t="str">
        <f t="shared" si="3517"/>
        <v>#NAME?</v>
      </c>
      <c r="X3518" s="110"/>
    </row>
    <row r="3519" ht="21.0" customHeight="1">
      <c r="A3519" s="6">
        <v>11.0</v>
      </c>
      <c r="B3519" s="6">
        <v>1081.0</v>
      </c>
      <c r="C3519" s="6">
        <v>1.0</v>
      </c>
      <c r="D3519" s="161" t="s">
        <v>5814</v>
      </c>
      <c r="E3519" s="9" t="s">
        <v>5815</v>
      </c>
      <c r="F3519" s="109" t="str">
        <f t="shared" ref="F3519:G3519" si="3518">TRANSLATE(D3519,"lzh","vi")</f>
        <v>#NAME?</v>
      </c>
      <c r="G3519" s="109" t="str">
        <f t="shared" si="3518"/>
        <v>#NAME?</v>
      </c>
      <c r="X3519" s="110"/>
    </row>
    <row r="3520" ht="21.0" customHeight="1">
      <c r="A3520" s="6">
        <v>11.0</v>
      </c>
      <c r="B3520" s="6">
        <v>1081.0</v>
      </c>
      <c r="C3520" s="6">
        <v>2.0</v>
      </c>
      <c r="D3520" s="161" t="s">
        <v>5816</v>
      </c>
      <c r="E3520" s="9" t="s">
        <v>5817</v>
      </c>
      <c r="F3520" s="109" t="str">
        <f t="shared" ref="F3520:G3520" si="3519">TRANSLATE(D3520,"lzh","vi")</f>
        <v>#NAME?</v>
      </c>
      <c r="G3520" s="109" t="str">
        <f t="shared" si="3519"/>
        <v>#NAME?</v>
      </c>
      <c r="X3520" s="110"/>
    </row>
    <row r="3521" ht="21.0" customHeight="1">
      <c r="A3521" s="6">
        <v>11.0</v>
      </c>
      <c r="B3521" s="6">
        <v>1081.0</v>
      </c>
      <c r="C3521" s="6">
        <v>3.0</v>
      </c>
      <c r="D3521" s="161" t="s">
        <v>5818</v>
      </c>
      <c r="E3521" s="9" t="s">
        <v>5819</v>
      </c>
      <c r="F3521" s="109" t="str">
        <f t="shared" ref="F3521:G3521" si="3520">TRANSLATE(D3521,"lzh","vi")</f>
        <v>#NAME?</v>
      </c>
      <c r="G3521" s="109" t="str">
        <f t="shared" si="3520"/>
        <v>#NAME?</v>
      </c>
      <c r="X3521" s="110"/>
    </row>
    <row r="3522" ht="21.0" customHeight="1">
      <c r="A3522" s="6">
        <v>11.0</v>
      </c>
      <c r="B3522" s="6">
        <v>1081.0</v>
      </c>
      <c r="C3522" s="6">
        <v>4.0</v>
      </c>
      <c r="D3522" s="161" t="s">
        <v>5820</v>
      </c>
      <c r="E3522" s="9" t="s">
        <v>5821</v>
      </c>
      <c r="F3522" s="109" t="str">
        <f t="shared" ref="F3522:G3522" si="3521">TRANSLATE(D3522,"lzh","vi")</f>
        <v>#NAME?</v>
      </c>
      <c r="G3522" s="109" t="str">
        <f t="shared" si="3521"/>
        <v>#NAME?</v>
      </c>
      <c r="X3522" s="110"/>
    </row>
    <row r="3523" ht="21.0" customHeight="1">
      <c r="A3523" s="6">
        <v>10.0</v>
      </c>
      <c r="B3523" s="6">
        <v>1081.0</v>
      </c>
      <c r="C3523" s="6">
        <v>5.0</v>
      </c>
      <c r="D3523" s="161" t="s">
        <v>5822</v>
      </c>
      <c r="E3523" s="9" t="s">
        <v>5823</v>
      </c>
      <c r="F3523" s="109" t="str">
        <f t="shared" ref="F3523:G3523" si="3522">TRANSLATE(D3523,"lzh","vi")</f>
        <v>#NAME?</v>
      </c>
      <c r="G3523" s="109" t="str">
        <f t="shared" si="3522"/>
        <v>#NAME?</v>
      </c>
      <c r="X3523" s="110"/>
    </row>
    <row r="3524" ht="21.0" customHeight="1">
      <c r="A3524" s="6">
        <v>10.0</v>
      </c>
      <c r="B3524" s="6">
        <v>1081.0</v>
      </c>
      <c r="C3524" s="6">
        <v>6.0</v>
      </c>
      <c r="D3524" s="161" t="s">
        <v>5824</v>
      </c>
      <c r="E3524" s="9" t="s">
        <v>5825</v>
      </c>
      <c r="F3524" s="109" t="str">
        <f t="shared" ref="F3524:G3524" si="3523">TRANSLATE(D3524,"lzh","vi")</f>
        <v>#NAME?</v>
      </c>
      <c r="G3524" s="109" t="str">
        <f t="shared" si="3523"/>
        <v>#NAME?</v>
      </c>
      <c r="X3524" s="110"/>
    </row>
    <row r="3525" ht="21.0" customHeight="1">
      <c r="A3525" s="6">
        <v>10.0</v>
      </c>
      <c r="B3525" s="6">
        <v>1081.0</v>
      </c>
      <c r="C3525" s="6">
        <v>7.0</v>
      </c>
      <c r="D3525" s="161" t="s">
        <v>5826</v>
      </c>
      <c r="E3525" s="9" t="s">
        <v>5827</v>
      </c>
      <c r="F3525" s="109" t="str">
        <f t="shared" ref="F3525:G3525" si="3524">TRANSLATE(D3525,"lzh","vi")</f>
        <v>#NAME?</v>
      </c>
      <c r="G3525" s="109" t="str">
        <f t="shared" si="3524"/>
        <v>#NAME?</v>
      </c>
      <c r="X3525" s="110"/>
    </row>
    <row r="3526" ht="21.0" customHeight="1">
      <c r="A3526" s="6">
        <v>10.0</v>
      </c>
      <c r="B3526" s="6">
        <v>1081.0</v>
      </c>
      <c r="C3526" s="6">
        <v>8.0</v>
      </c>
      <c r="D3526" s="161" t="s">
        <v>5828</v>
      </c>
      <c r="E3526" s="9" t="s">
        <v>5829</v>
      </c>
      <c r="F3526" s="109" t="str">
        <f t="shared" ref="F3526:G3526" si="3525">TRANSLATE(D3526,"lzh","vi")</f>
        <v>#NAME?</v>
      </c>
      <c r="G3526" s="109" t="str">
        <f t="shared" si="3525"/>
        <v>#NAME?</v>
      </c>
      <c r="X3526" s="110"/>
    </row>
    <row r="3527" ht="21.0" customHeight="1">
      <c r="A3527" s="6">
        <v>10.0</v>
      </c>
      <c r="B3527" s="6">
        <v>1081.0</v>
      </c>
      <c r="C3527" s="6">
        <v>9.0</v>
      </c>
      <c r="D3527" s="161" t="s">
        <v>5830</v>
      </c>
      <c r="E3527" s="9" t="s">
        <v>5831</v>
      </c>
      <c r="F3527" s="109" t="str">
        <f t="shared" ref="F3527:G3527" si="3526">TRANSLATE(D3527,"lzh","vi")</f>
        <v>#NAME?</v>
      </c>
      <c r="G3527" s="109" t="str">
        <f t="shared" si="3526"/>
        <v>#NAME?</v>
      </c>
      <c r="X3527" s="110"/>
    </row>
    <row r="3528" ht="21.0" customHeight="1">
      <c r="A3528" s="6">
        <v>10.0</v>
      </c>
      <c r="B3528" s="6">
        <v>1081.0</v>
      </c>
      <c r="C3528" s="6">
        <v>10.0</v>
      </c>
      <c r="D3528" s="161" t="s">
        <v>5832</v>
      </c>
      <c r="E3528" s="9" t="s">
        <v>5813</v>
      </c>
      <c r="F3528" s="109" t="str">
        <f t="shared" ref="F3528:G3528" si="3527">TRANSLATE(D3528,"lzh","vi")</f>
        <v>#NAME?</v>
      </c>
      <c r="G3528" s="109" t="str">
        <f t="shared" si="3527"/>
        <v>#NAME?</v>
      </c>
      <c r="X3528" s="110"/>
    </row>
    <row r="3529" ht="21.0" customHeight="1">
      <c r="A3529" s="6">
        <v>1.0</v>
      </c>
      <c r="B3529" s="6">
        <v>266.0</v>
      </c>
      <c r="C3529" s="6">
        <v>1.0</v>
      </c>
      <c r="D3529" s="161" t="s">
        <v>5833</v>
      </c>
      <c r="E3529" s="9" t="s">
        <v>5834</v>
      </c>
      <c r="F3529" s="109" t="str">
        <f t="shared" ref="F3529:G3529" si="3528">TRANSLATE(D3529,"lzh","vi")</f>
        <v>#NAME?</v>
      </c>
      <c r="G3529" s="109" t="str">
        <f t="shared" si="3528"/>
        <v>#NAME?</v>
      </c>
      <c r="X3529" s="110"/>
    </row>
    <row r="3530" ht="21.0" customHeight="1">
      <c r="A3530" s="6">
        <v>1.0</v>
      </c>
      <c r="B3530" s="6">
        <v>266.0</v>
      </c>
      <c r="C3530" s="6">
        <v>2.0</v>
      </c>
      <c r="D3530" s="161" t="s">
        <v>5835</v>
      </c>
      <c r="E3530" s="9" t="s">
        <v>5836</v>
      </c>
      <c r="F3530" s="109" t="str">
        <f t="shared" ref="F3530:G3530" si="3529">TRANSLATE(D3530,"lzh","vi")</f>
        <v>#NAME?</v>
      </c>
      <c r="G3530" s="109" t="str">
        <f t="shared" si="3529"/>
        <v>#NAME?</v>
      </c>
      <c r="X3530" s="110"/>
    </row>
    <row r="3531" ht="21.0" customHeight="1">
      <c r="A3531" s="6">
        <v>1.0</v>
      </c>
      <c r="B3531" s="6">
        <v>266.0</v>
      </c>
      <c r="C3531" s="6">
        <v>3.0</v>
      </c>
      <c r="D3531" s="161" t="s">
        <v>5837</v>
      </c>
      <c r="E3531" s="9" t="s">
        <v>5838</v>
      </c>
      <c r="F3531" s="109" t="str">
        <f t="shared" ref="F3531:G3531" si="3530">TRANSLATE(D3531,"lzh","vi")</f>
        <v>#NAME?</v>
      </c>
      <c r="G3531" s="109" t="str">
        <f t="shared" si="3530"/>
        <v>#NAME?</v>
      </c>
      <c r="X3531" s="110"/>
    </row>
    <row r="3532" ht="21.0" customHeight="1">
      <c r="A3532" s="6">
        <v>1.0</v>
      </c>
      <c r="B3532" s="6">
        <v>266.0</v>
      </c>
      <c r="C3532" s="6">
        <v>4.0</v>
      </c>
      <c r="D3532" s="161" t="s">
        <v>5839</v>
      </c>
      <c r="E3532" s="9" t="s">
        <v>5840</v>
      </c>
      <c r="F3532" s="109" t="str">
        <f t="shared" ref="F3532:G3532" si="3531">TRANSLATE(D3532,"lzh","vi")</f>
        <v>#NAME?</v>
      </c>
      <c r="G3532" s="109" t="str">
        <f t="shared" si="3531"/>
        <v>#NAME?</v>
      </c>
      <c r="X3532" s="110"/>
    </row>
    <row r="3533" ht="21.0" customHeight="1">
      <c r="A3533" s="6">
        <v>1.0</v>
      </c>
      <c r="B3533" s="6">
        <v>266.0</v>
      </c>
      <c r="C3533" s="6">
        <v>5.0</v>
      </c>
      <c r="D3533" s="161" t="s">
        <v>5841</v>
      </c>
      <c r="E3533" s="9" t="s">
        <v>5842</v>
      </c>
      <c r="F3533" s="109" t="str">
        <f t="shared" ref="F3533:G3533" si="3532">TRANSLATE(D3533,"lzh","vi")</f>
        <v>#NAME?</v>
      </c>
      <c r="G3533" s="109" t="str">
        <f t="shared" si="3532"/>
        <v>#NAME?</v>
      </c>
      <c r="X3533" s="110"/>
    </row>
    <row r="3534" ht="21.0" customHeight="1">
      <c r="A3534" s="6">
        <v>1.0</v>
      </c>
      <c r="B3534" s="6">
        <v>266.0</v>
      </c>
      <c r="C3534" s="6">
        <v>6.0</v>
      </c>
      <c r="D3534" s="161" t="s">
        <v>5843</v>
      </c>
      <c r="E3534" s="9" t="s">
        <v>5844</v>
      </c>
      <c r="F3534" s="109" t="str">
        <f t="shared" ref="F3534:G3534" si="3533">TRANSLATE(D3534,"lzh","vi")</f>
        <v>#NAME?</v>
      </c>
      <c r="G3534" s="109" t="str">
        <f t="shared" si="3533"/>
        <v>#NAME?</v>
      </c>
      <c r="X3534" s="110"/>
    </row>
    <row r="3535" ht="21.0" customHeight="1">
      <c r="A3535" s="6">
        <v>1.0</v>
      </c>
      <c r="B3535" s="6">
        <v>266.0</v>
      </c>
      <c r="C3535" s="6">
        <v>7.0</v>
      </c>
      <c r="D3535" s="122" t="s">
        <v>5845</v>
      </c>
      <c r="E3535" s="9" t="s">
        <v>5846</v>
      </c>
      <c r="F3535" s="109" t="str">
        <f t="shared" ref="F3535:G3535" si="3534">TRANSLATE(D3535,"lzh","vi")</f>
        <v>#NAME?</v>
      </c>
      <c r="G3535" s="109" t="str">
        <f t="shared" si="3534"/>
        <v>#NAME?</v>
      </c>
      <c r="X3535" s="110"/>
    </row>
    <row r="3536" ht="21.0" customHeight="1">
      <c r="A3536" s="6">
        <v>1.0</v>
      </c>
      <c r="B3536" s="6">
        <v>266.0</v>
      </c>
      <c r="C3536" s="6">
        <v>8.0</v>
      </c>
      <c r="D3536" s="122" t="s">
        <v>5847</v>
      </c>
      <c r="E3536" s="9" t="s">
        <v>5848</v>
      </c>
      <c r="F3536" s="109" t="str">
        <f t="shared" ref="F3536:G3536" si="3535">TRANSLATE(D3536,"lzh","vi")</f>
        <v>#NAME?</v>
      </c>
      <c r="G3536" s="109" t="str">
        <f t="shared" si="3535"/>
        <v>#NAME?</v>
      </c>
      <c r="X3536" s="110"/>
    </row>
    <row r="3537" ht="21.0" customHeight="1">
      <c r="A3537" s="6">
        <v>1.0</v>
      </c>
      <c r="B3537" s="6">
        <v>266.0</v>
      </c>
      <c r="C3537" s="6">
        <v>9.0</v>
      </c>
      <c r="D3537" s="122" t="s">
        <v>5849</v>
      </c>
      <c r="E3537" s="9" t="s">
        <v>5850</v>
      </c>
      <c r="F3537" s="109" t="str">
        <f t="shared" ref="F3537:G3537" si="3536">TRANSLATE(D3537,"lzh","vi")</f>
        <v>#NAME?</v>
      </c>
      <c r="G3537" s="109" t="str">
        <f t="shared" si="3536"/>
        <v>#NAME?</v>
      </c>
      <c r="X3537" s="110"/>
    </row>
    <row r="3538" ht="21.0" customHeight="1">
      <c r="A3538" s="6">
        <v>1.0</v>
      </c>
      <c r="B3538" s="6">
        <v>266.0</v>
      </c>
      <c r="C3538" s="6">
        <v>10.0</v>
      </c>
      <c r="D3538" s="122" t="s">
        <v>5851</v>
      </c>
      <c r="E3538" s="9" t="s">
        <v>5852</v>
      </c>
      <c r="F3538" s="109" t="str">
        <f t="shared" ref="F3538:G3538" si="3537">TRANSLATE(D3538,"lzh","vi")</f>
        <v>#NAME?</v>
      </c>
      <c r="G3538" s="109" t="str">
        <f t="shared" si="3537"/>
        <v>#NAME?</v>
      </c>
      <c r="X3538" s="110"/>
    </row>
    <row r="3539" ht="21.0" customHeight="1">
      <c r="A3539" s="6">
        <v>1.0</v>
      </c>
      <c r="B3539" s="6">
        <v>266.0</v>
      </c>
      <c r="C3539" s="6">
        <v>11.0</v>
      </c>
      <c r="D3539" s="122" t="s">
        <v>5853</v>
      </c>
      <c r="E3539" s="9" t="s">
        <v>5854</v>
      </c>
      <c r="F3539" s="109" t="str">
        <f t="shared" ref="F3539:G3539" si="3538">TRANSLATE(D3539,"lzh","vi")</f>
        <v>#NAME?</v>
      </c>
      <c r="G3539" s="109" t="str">
        <f t="shared" si="3538"/>
        <v>#NAME?</v>
      </c>
      <c r="X3539" s="110"/>
    </row>
    <row r="3540" ht="21.0" customHeight="1">
      <c r="A3540" s="6">
        <v>1.0</v>
      </c>
      <c r="B3540" s="6">
        <v>266.0</v>
      </c>
      <c r="C3540" s="6">
        <v>12.0</v>
      </c>
      <c r="D3540" s="122" t="s">
        <v>5855</v>
      </c>
      <c r="E3540" s="9" t="s">
        <v>5856</v>
      </c>
      <c r="F3540" s="109" t="str">
        <f t="shared" ref="F3540:G3540" si="3539">TRANSLATE(D3540,"lzh","vi")</f>
        <v>#NAME?</v>
      </c>
      <c r="G3540" s="109" t="str">
        <f t="shared" si="3539"/>
        <v>#NAME?</v>
      </c>
      <c r="X3540" s="110"/>
    </row>
    <row r="3541" ht="21.0" customHeight="1">
      <c r="A3541" s="6">
        <v>1.0</v>
      </c>
      <c r="B3541" s="6">
        <v>266.0</v>
      </c>
      <c r="C3541" s="6">
        <v>13.0</v>
      </c>
      <c r="D3541" s="122" t="s">
        <v>5857</v>
      </c>
      <c r="E3541" s="9" t="s">
        <v>5858</v>
      </c>
      <c r="F3541" s="109" t="str">
        <f t="shared" ref="F3541:G3541" si="3540">TRANSLATE(D3541,"lzh","vi")</f>
        <v>#NAME?</v>
      </c>
      <c r="G3541" s="109" t="str">
        <f t="shared" si="3540"/>
        <v>#NAME?</v>
      </c>
      <c r="X3541" s="110"/>
    </row>
    <row r="3542" ht="21.0" customHeight="1">
      <c r="A3542" s="6">
        <v>1.0</v>
      </c>
      <c r="B3542" s="6">
        <v>267.0</v>
      </c>
      <c r="C3542" s="6">
        <v>1.0</v>
      </c>
      <c r="D3542" s="161" t="s">
        <v>5859</v>
      </c>
      <c r="E3542" s="9" t="s">
        <v>5860</v>
      </c>
      <c r="F3542" s="109" t="str">
        <f t="shared" ref="F3542:G3542" si="3541">TRANSLATE(D3542,"lzh","vi")</f>
        <v>#NAME?</v>
      </c>
      <c r="G3542" s="109" t="str">
        <f t="shared" si="3541"/>
        <v>#NAME?</v>
      </c>
      <c r="X3542" s="110"/>
    </row>
    <row r="3543" ht="21.0" customHeight="1">
      <c r="A3543" s="6">
        <v>1.0</v>
      </c>
      <c r="B3543" s="6">
        <v>267.0</v>
      </c>
      <c r="C3543" s="6">
        <v>2.0</v>
      </c>
      <c r="D3543" s="161" t="s">
        <v>5861</v>
      </c>
      <c r="E3543" s="9" t="s">
        <v>5862</v>
      </c>
      <c r="F3543" s="109" t="str">
        <f t="shared" ref="F3543:G3543" si="3542">TRANSLATE(D3543,"lzh","vi")</f>
        <v>#NAME?</v>
      </c>
      <c r="G3543" s="109" t="str">
        <f t="shared" si="3542"/>
        <v>#NAME?</v>
      </c>
      <c r="X3543" s="110"/>
    </row>
    <row r="3544" ht="21.0" customHeight="1">
      <c r="A3544" s="6">
        <v>1.0</v>
      </c>
      <c r="B3544" s="6">
        <v>267.0</v>
      </c>
      <c r="C3544" s="6">
        <v>3.0</v>
      </c>
      <c r="D3544" s="161" t="s">
        <v>5863</v>
      </c>
      <c r="E3544" s="9" t="s">
        <v>5864</v>
      </c>
      <c r="F3544" s="109" t="str">
        <f t="shared" ref="F3544:G3544" si="3543">TRANSLATE(D3544,"lzh","vi")</f>
        <v>#NAME?</v>
      </c>
      <c r="G3544" s="109" t="str">
        <f t="shared" si="3543"/>
        <v>#NAME?</v>
      </c>
      <c r="X3544" s="110"/>
    </row>
    <row r="3545" ht="21.0" customHeight="1">
      <c r="A3545" s="6">
        <v>1.0</v>
      </c>
      <c r="B3545" s="6">
        <v>267.0</v>
      </c>
      <c r="C3545" s="6">
        <v>4.0</v>
      </c>
      <c r="D3545" s="161" t="s">
        <v>5865</v>
      </c>
      <c r="E3545" s="9" t="s">
        <v>5866</v>
      </c>
      <c r="F3545" s="109" t="str">
        <f t="shared" ref="F3545:G3545" si="3544">TRANSLATE(D3545,"lzh","vi")</f>
        <v>#NAME?</v>
      </c>
      <c r="G3545" s="109" t="str">
        <f t="shared" si="3544"/>
        <v>#NAME?</v>
      </c>
      <c r="X3545" s="110"/>
    </row>
    <row r="3546" ht="21.0" customHeight="1">
      <c r="A3546" s="6">
        <v>1.0</v>
      </c>
      <c r="B3546" s="6">
        <v>267.0</v>
      </c>
      <c r="C3546" s="6">
        <v>5.0</v>
      </c>
      <c r="D3546" s="161" t="s">
        <v>5867</v>
      </c>
      <c r="E3546" s="9" t="s">
        <v>5868</v>
      </c>
      <c r="F3546" s="109" t="str">
        <f t="shared" ref="F3546:G3546" si="3545">TRANSLATE(D3546,"lzh","vi")</f>
        <v>#NAME?</v>
      </c>
      <c r="G3546" s="109" t="str">
        <f t="shared" si="3545"/>
        <v>#NAME?</v>
      </c>
      <c r="X3546" s="110"/>
    </row>
    <row r="3547" ht="21.0" customHeight="1">
      <c r="A3547" s="6">
        <v>1.0</v>
      </c>
      <c r="B3547" s="6">
        <v>267.0</v>
      </c>
      <c r="C3547" s="6">
        <v>6.0</v>
      </c>
      <c r="D3547" s="161" t="s">
        <v>5869</v>
      </c>
      <c r="E3547" s="9" t="s">
        <v>5870</v>
      </c>
      <c r="F3547" s="109" t="str">
        <f t="shared" ref="F3547:G3547" si="3546">TRANSLATE(D3547,"lzh","vi")</f>
        <v>#NAME?</v>
      </c>
      <c r="G3547" s="109" t="str">
        <f t="shared" si="3546"/>
        <v>#NAME?</v>
      </c>
      <c r="X3547" s="110"/>
    </row>
    <row r="3548" ht="21.0" customHeight="1">
      <c r="A3548" s="6">
        <v>1.0</v>
      </c>
      <c r="B3548" s="6">
        <v>267.0</v>
      </c>
      <c r="C3548" s="6">
        <v>7.0</v>
      </c>
      <c r="D3548" s="161" t="s">
        <v>5871</v>
      </c>
      <c r="E3548" s="9" t="s">
        <v>5872</v>
      </c>
      <c r="F3548" s="109" t="str">
        <f t="shared" ref="F3548:G3548" si="3547">TRANSLATE(D3548,"lzh","vi")</f>
        <v>#NAME?</v>
      </c>
      <c r="G3548" s="109" t="str">
        <f t="shared" si="3547"/>
        <v>#NAME?</v>
      </c>
      <c r="X3548" s="110"/>
    </row>
    <row r="3549" ht="21.0" customHeight="1">
      <c r="A3549" s="6">
        <v>1.0</v>
      </c>
      <c r="B3549" s="6">
        <v>267.0</v>
      </c>
      <c r="C3549" s="6">
        <v>8.0</v>
      </c>
      <c r="D3549" s="161" t="s">
        <v>5873</v>
      </c>
      <c r="E3549" s="9" t="s">
        <v>5874</v>
      </c>
      <c r="F3549" s="109" t="str">
        <f t="shared" ref="F3549:G3549" si="3548">TRANSLATE(D3549,"lzh","vi")</f>
        <v>#NAME?</v>
      </c>
      <c r="G3549" s="109" t="str">
        <f t="shared" si="3548"/>
        <v>#NAME?</v>
      </c>
      <c r="X3549" s="110"/>
    </row>
    <row r="3550" ht="21.0" customHeight="1">
      <c r="A3550" s="6">
        <v>1.0</v>
      </c>
      <c r="B3550" s="6">
        <v>267.0</v>
      </c>
      <c r="C3550" s="6">
        <v>9.0</v>
      </c>
      <c r="D3550" s="161" t="s">
        <v>5875</v>
      </c>
      <c r="E3550" s="9" t="s">
        <v>5876</v>
      </c>
      <c r="F3550" s="109" t="str">
        <f t="shared" ref="F3550:G3550" si="3549">TRANSLATE(D3550,"lzh","vi")</f>
        <v>#NAME?</v>
      </c>
      <c r="G3550" s="109" t="str">
        <f t="shared" si="3549"/>
        <v>#NAME?</v>
      </c>
      <c r="X3550" s="110"/>
    </row>
    <row r="3551" ht="21.0" customHeight="1">
      <c r="A3551" s="6">
        <v>1.0</v>
      </c>
      <c r="B3551" s="6">
        <v>267.0</v>
      </c>
      <c r="C3551" s="6">
        <v>10.0</v>
      </c>
      <c r="D3551" s="161" t="s">
        <v>5877</v>
      </c>
      <c r="E3551" s="9" t="s">
        <v>5878</v>
      </c>
      <c r="F3551" s="109" t="str">
        <f t="shared" ref="F3551:G3551" si="3550">TRANSLATE(D3551,"lzh","vi")</f>
        <v>#NAME?</v>
      </c>
      <c r="G3551" s="109" t="str">
        <f t="shared" si="3550"/>
        <v>#NAME?</v>
      </c>
      <c r="X3551" s="110"/>
    </row>
    <row r="3552" ht="21.0" customHeight="1">
      <c r="A3552" s="6">
        <v>1.0</v>
      </c>
      <c r="B3552" s="6">
        <v>267.0</v>
      </c>
      <c r="C3552" s="6">
        <v>11.0</v>
      </c>
      <c r="D3552" s="161" t="s">
        <v>5879</v>
      </c>
      <c r="E3552" s="9" t="s">
        <v>5880</v>
      </c>
      <c r="F3552" s="109" t="str">
        <f t="shared" ref="F3552:G3552" si="3551">TRANSLATE(D3552,"lzh","vi")</f>
        <v>#NAME?</v>
      </c>
      <c r="G3552" s="109" t="str">
        <f t="shared" si="3551"/>
        <v>#NAME?</v>
      </c>
      <c r="X3552" s="110"/>
    </row>
    <row r="3553" ht="21.0" customHeight="1">
      <c r="A3553" s="6">
        <v>1.0</v>
      </c>
      <c r="B3553" s="6">
        <v>267.0</v>
      </c>
      <c r="C3553" s="6">
        <v>12.0</v>
      </c>
      <c r="D3553" s="161" t="s">
        <v>5881</v>
      </c>
      <c r="E3553" s="9" t="s">
        <v>5882</v>
      </c>
      <c r="F3553" s="109" t="str">
        <f t="shared" ref="F3553:G3553" si="3552">TRANSLATE(D3553,"lzh","vi")</f>
        <v>#NAME?</v>
      </c>
      <c r="G3553" s="109" t="str">
        <f t="shared" si="3552"/>
        <v>#NAME?</v>
      </c>
      <c r="X3553" s="110"/>
    </row>
    <row r="3554" ht="21.0" customHeight="1">
      <c r="A3554" s="6">
        <v>1.0</v>
      </c>
      <c r="B3554" s="6">
        <v>267.0</v>
      </c>
      <c r="C3554" s="6">
        <v>13.0</v>
      </c>
      <c r="D3554" s="161" t="s">
        <v>5883</v>
      </c>
      <c r="E3554" s="9" t="s">
        <v>5884</v>
      </c>
      <c r="F3554" s="109" t="str">
        <f t="shared" ref="F3554:G3554" si="3553">TRANSLATE(D3554,"lzh","vi")</f>
        <v>#NAME?</v>
      </c>
      <c r="G3554" s="109" t="str">
        <f t="shared" si="3553"/>
        <v>#NAME?</v>
      </c>
      <c r="X3554" s="110"/>
    </row>
    <row r="3555" ht="21.0" customHeight="1">
      <c r="A3555" s="6">
        <v>1.0</v>
      </c>
      <c r="B3555" s="6">
        <v>268.0</v>
      </c>
      <c r="C3555" s="6">
        <v>1.0</v>
      </c>
      <c r="D3555" s="161" t="s">
        <v>5885</v>
      </c>
      <c r="E3555" s="9" t="s">
        <v>5886</v>
      </c>
      <c r="F3555" s="109" t="str">
        <f t="shared" ref="F3555:G3555" si="3554">TRANSLATE(D3555,"lzh","vi")</f>
        <v>#NAME?</v>
      </c>
      <c r="G3555" s="109" t="str">
        <f t="shared" si="3554"/>
        <v>#NAME?</v>
      </c>
      <c r="X3555" s="110"/>
    </row>
    <row r="3556" ht="21.0" customHeight="1">
      <c r="A3556" s="6">
        <v>1.0</v>
      </c>
      <c r="B3556" s="6">
        <v>268.0</v>
      </c>
      <c r="C3556" s="6">
        <v>2.0</v>
      </c>
      <c r="D3556" s="161" t="s">
        <v>5887</v>
      </c>
      <c r="E3556" s="9" t="s">
        <v>5888</v>
      </c>
      <c r="F3556" s="109" t="str">
        <f t="shared" ref="F3556:G3556" si="3555">TRANSLATE(D3556,"lzh","vi")</f>
        <v>#NAME?</v>
      </c>
      <c r="G3556" s="109" t="str">
        <f t="shared" si="3555"/>
        <v>#NAME?</v>
      </c>
      <c r="X3556" s="110"/>
    </row>
    <row r="3557" ht="21.0" customHeight="1">
      <c r="A3557" s="6">
        <v>1.0</v>
      </c>
      <c r="B3557" s="6">
        <v>268.0</v>
      </c>
      <c r="C3557" s="6">
        <v>3.0</v>
      </c>
      <c r="D3557" s="161" t="s">
        <v>5889</v>
      </c>
      <c r="E3557" s="9" t="s">
        <v>5890</v>
      </c>
      <c r="F3557" s="109" t="str">
        <f t="shared" ref="F3557:G3557" si="3556">TRANSLATE(D3557,"lzh","vi")</f>
        <v>#NAME?</v>
      </c>
      <c r="G3557" s="109" t="str">
        <f t="shared" si="3556"/>
        <v>#NAME?</v>
      </c>
      <c r="X3557" s="110"/>
    </row>
    <row r="3558" ht="21.0" customHeight="1">
      <c r="A3558" s="6">
        <v>1.0</v>
      </c>
      <c r="B3558" s="6">
        <v>268.0</v>
      </c>
      <c r="C3558" s="6">
        <v>4.0</v>
      </c>
      <c r="D3558" s="161" t="s">
        <v>5891</v>
      </c>
      <c r="E3558" s="9" t="s">
        <v>5892</v>
      </c>
      <c r="F3558" s="109" t="str">
        <f t="shared" ref="F3558:G3558" si="3557">TRANSLATE(D3558,"lzh","vi")</f>
        <v>#NAME?</v>
      </c>
      <c r="G3558" s="109" t="str">
        <f t="shared" si="3557"/>
        <v>#NAME?</v>
      </c>
      <c r="X3558" s="110"/>
    </row>
    <row r="3559" ht="21.0" customHeight="1">
      <c r="A3559" s="6">
        <v>1.0</v>
      </c>
      <c r="B3559" s="6">
        <v>268.0</v>
      </c>
      <c r="C3559" s="6">
        <v>5.0</v>
      </c>
      <c r="D3559" s="161" t="s">
        <v>5893</v>
      </c>
      <c r="E3559" s="9" t="s">
        <v>5894</v>
      </c>
      <c r="F3559" s="109" t="str">
        <f t="shared" ref="F3559:G3559" si="3558">TRANSLATE(D3559,"lzh","vi")</f>
        <v>#NAME?</v>
      </c>
      <c r="G3559" s="109" t="str">
        <f t="shared" si="3558"/>
        <v>#NAME?</v>
      </c>
      <c r="X3559" s="110"/>
    </row>
    <row r="3560" ht="21.0" customHeight="1">
      <c r="A3560" s="6">
        <v>1.0</v>
      </c>
      <c r="B3560" s="6">
        <v>268.0</v>
      </c>
      <c r="C3560" s="6">
        <v>6.0</v>
      </c>
      <c r="D3560" s="161" t="s">
        <v>5895</v>
      </c>
      <c r="E3560" s="9" t="s">
        <v>5896</v>
      </c>
      <c r="F3560" s="109" t="str">
        <f t="shared" ref="F3560:G3560" si="3559">TRANSLATE(D3560,"lzh","vi")</f>
        <v>#NAME?</v>
      </c>
      <c r="G3560" s="109" t="str">
        <f t="shared" si="3559"/>
        <v>#NAME?</v>
      </c>
      <c r="X3560" s="110"/>
    </row>
    <row r="3561" ht="21.0" customHeight="1">
      <c r="A3561" s="6">
        <v>1.0</v>
      </c>
      <c r="B3561" s="6">
        <v>268.0</v>
      </c>
      <c r="C3561" s="6">
        <v>7.0</v>
      </c>
      <c r="D3561" s="161" t="s">
        <v>5897</v>
      </c>
      <c r="E3561" s="9" t="s">
        <v>5898</v>
      </c>
      <c r="F3561" s="109" t="str">
        <f t="shared" ref="F3561:G3561" si="3560">TRANSLATE(D3561,"lzh","vi")</f>
        <v>#NAME?</v>
      </c>
      <c r="G3561" s="109" t="str">
        <f t="shared" si="3560"/>
        <v>#NAME?</v>
      </c>
      <c r="X3561" s="110"/>
    </row>
    <row r="3562" ht="21.0" customHeight="1">
      <c r="A3562" s="6">
        <v>1.0</v>
      </c>
      <c r="B3562" s="6">
        <v>268.0</v>
      </c>
      <c r="C3562" s="6">
        <v>8.0</v>
      </c>
      <c r="D3562" s="161" t="s">
        <v>5899</v>
      </c>
      <c r="E3562" s="9" t="s">
        <v>5900</v>
      </c>
      <c r="F3562" s="109" t="str">
        <f t="shared" ref="F3562:G3562" si="3561">TRANSLATE(D3562,"lzh","vi")</f>
        <v>#NAME?</v>
      </c>
      <c r="G3562" s="109" t="str">
        <f t="shared" si="3561"/>
        <v>#NAME?</v>
      </c>
      <c r="X3562" s="110"/>
    </row>
    <row r="3563" ht="21.0" customHeight="1">
      <c r="A3563" s="6">
        <v>1.0</v>
      </c>
      <c r="B3563" s="6">
        <v>268.0</v>
      </c>
      <c r="C3563" s="6">
        <v>9.0</v>
      </c>
      <c r="D3563" s="161" t="s">
        <v>5901</v>
      </c>
      <c r="E3563" s="9" t="s">
        <v>5902</v>
      </c>
      <c r="F3563" s="109" t="str">
        <f t="shared" ref="F3563:G3563" si="3562">TRANSLATE(D3563,"lzh","vi")</f>
        <v>#NAME?</v>
      </c>
      <c r="G3563" s="109" t="str">
        <f t="shared" si="3562"/>
        <v>#NAME?</v>
      </c>
      <c r="X3563" s="110"/>
    </row>
    <row r="3564" ht="21.0" customHeight="1">
      <c r="A3564" s="6">
        <v>1.0</v>
      </c>
      <c r="B3564" s="6">
        <v>268.0</v>
      </c>
      <c r="C3564" s="6">
        <v>10.0</v>
      </c>
      <c r="D3564" s="161" t="s">
        <v>5903</v>
      </c>
      <c r="E3564" s="9" t="s">
        <v>5904</v>
      </c>
      <c r="F3564" s="109" t="str">
        <f t="shared" ref="F3564:G3564" si="3563">TRANSLATE(D3564,"lzh","vi")</f>
        <v>#NAME?</v>
      </c>
      <c r="G3564" s="109" t="str">
        <f t="shared" si="3563"/>
        <v>#NAME?</v>
      </c>
      <c r="X3564" s="110"/>
    </row>
    <row r="3565" ht="21.0" customHeight="1">
      <c r="A3565" s="6">
        <v>1.0</v>
      </c>
      <c r="B3565" s="6">
        <v>268.0</v>
      </c>
      <c r="C3565" s="6">
        <v>11.0</v>
      </c>
      <c r="D3565" s="161" t="s">
        <v>5905</v>
      </c>
      <c r="E3565" s="9" t="s">
        <v>5906</v>
      </c>
      <c r="F3565" s="109" t="str">
        <f t="shared" ref="F3565:G3565" si="3564">TRANSLATE(D3565,"lzh","vi")</f>
        <v>#NAME?</v>
      </c>
      <c r="G3565" s="109" t="str">
        <f t="shared" si="3564"/>
        <v>#NAME?</v>
      </c>
      <c r="X3565" s="110"/>
    </row>
    <row r="3566" ht="21.0" customHeight="1">
      <c r="A3566" s="6">
        <v>1.0</v>
      </c>
      <c r="B3566" s="6">
        <v>268.0</v>
      </c>
      <c r="C3566" s="6">
        <v>12.0</v>
      </c>
      <c r="D3566" s="161" t="s">
        <v>5907</v>
      </c>
      <c r="E3566" s="9" t="s">
        <v>5908</v>
      </c>
      <c r="F3566" s="109" t="str">
        <f t="shared" ref="F3566:G3566" si="3565">TRANSLATE(D3566,"lzh","vi")</f>
        <v>#NAME?</v>
      </c>
      <c r="G3566" s="109" t="str">
        <f t="shared" si="3565"/>
        <v>#NAME?</v>
      </c>
      <c r="X3566" s="110"/>
    </row>
    <row r="3567" ht="21.0" customHeight="1">
      <c r="A3567" s="6">
        <v>1.0</v>
      </c>
      <c r="B3567" s="6">
        <v>268.0</v>
      </c>
      <c r="C3567" s="6">
        <v>13.0</v>
      </c>
      <c r="D3567" s="161" t="s">
        <v>5909</v>
      </c>
      <c r="E3567" s="9" t="s">
        <v>5910</v>
      </c>
      <c r="F3567" s="109" t="str">
        <f t="shared" ref="F3567:G3567" si="3566">TRANSLATE(D3567,"lzh","vi")</f>
        <v>#NAME?</v>
      </c>
      <c r="G3567" s="109" t="str">
        <f t="shared" si="3566"/>
        <v>#NAME?</v>
      </c>
      <c r="X3567" s="110"/>
    </row>
    <row r="3568" ht="21.0" customHeight="1">
      <c r="A3568" s="6">
        <v>11.0</v>
      </c>
      <c r="B3568" s="6">
        <v>1082.0</v>
      </c>
      <c r="C3568" s="6">
        <v>1.0</v>
      </c>
      <c r="D3568" s="161" t="s">
        <v>5911</v>
      </c>
      <c r="E3568" s="9" t="s">
        <v>5912</v>
      </c>
      <c r="F3568" s="109" t="str">
        <f t="shared" ref="F3568:G3568" si="3567">TRANSLATE(D3568,"lzh","vi")</f>
        <v>#NAME?</v>
      </c>
      <c r="G3568" s="109" t="str">
        <f t="shared" si="3567"/>
        <v>#NAME?</v>
      </c>
      <c r="X3568" s="110"/>
    </row>
    <row r="3569" ht="21.0" customHeight="1">
      <c r="A3569" s="6">
        <v>11.0</v>
      </c>
      <c r="B3569" s="6">
        <v>1082.0</v>
      </c>
      <c r="C3569" s="6">
        <v>2.0</v>
      </c>
      <c r="D3569" s="163" t="s">
        <v>5913</v>
      </c>
      <c r="E3569" s="9" t="s">
        <v>5914</v>
      </c>
      <c r="F3569" s="109" t="str">
        <f t="shared" ref="F3569:G3569" si="3568">TRANSLATE(D3569,"lzh","vi")</f>
        <v>#NAME?</v>
      </c>
      <c r="G3569" s="109" t="str">
        <f t="shared" si="3568"/>
        <v>#NAME?</v>
      </c>
      <c r="X3569" s="110"/>
    </row>
    <row r="3570" ht="21.0" customHeight="1">
      <c r="A3570" s="6">
        <v>11.0</v>
      </c>
      <c r="B3570" s="6">
        <v>1082.0</v>
      </c>
      <c r="C3570" s="6">
        <v>3.0</v>
      </c>
      <c r="D3570" s="161" t="s">
        <v>5915</v>
      </c>
      <c r="E3570" s="9" t="s">
        <v>5916</v>
      </c>
      <c r="F3570" s="109" t="str">
        <f t="shared" ref="F3570:G3570" si="3569">TRANSLATE(D3570,"lzh","vi")</f>
        <v>#NAME?</v>
      </c>
      <c r="G3570" s="109" t="str">
        <f t="shared" si="3569"/>
        <v>#NAME?</v>
      </c>
      <c r="X3570" s="110"/>
    </row>
    <row r="3571" ht="21.0" customHeight="1">
      <c r="A3571" s="6">
        <v>11.0</v>
      </c>
      <c r="B3571" s="6">
        <v>1082.0</v>
      </c>
      <c r="C3571" s="6">
        <v>4.0</v>
      </c>
      <c r="D3571" s="161" t="s">
        <v>5917</v>
      </c>
      <c r="E3571" s="9" t="s">
        <v>5918</v>
      </c>
      <c r="F3571" s="109" t="str">
        <f t="shared" ref="F3571:G3571" si="3570">TRANSLATE(D3571,"lzh","vi")</f>
        <v>#NAME?</v>
      </c>
      <c r="G3571" s="109" t="str">
        <f t="shared" si="3570"/>
        <v>#NAME?</v>
      </c>
      <c r="X3571" s="110"/>
    </row>
    <row r="3572" ht="21.0" customHeight="1">
      <c r="A3572" s="6">
        <v>10.0</v>
      </c>
      <c r="B3572" s="6">
        <v>1082.0</v>
      </c>
      <c r="C3572" s="6">
        <v>5.0</v>
      </c>
      <c r="D3572" s="161" t="s">
        <v>5919</v>
      </c>
      <c r="E3572" s="9" t="s">
        <v>5920</v>
      </c>
      <c r="F3572" s="109" t="str">
        <f t="shared" ref="F3572:G3572" si="3571">TRANSLATE(D3572,"lzh","vi")</f>
        <v>#NAME?</v>
      </c>
      <c r="G3572" s="109" t="str">
        <f t="shared" si="3571"/>
        <v>#NAME?</v>
      </c>
      <c r="X3572" s="110"/>
    </row>
    <row r="3573" ht="21.0" customHeight="1">
      <c r="A3573" s="6">
        <v>10.0</v>
      </c>
      <c r="B3573" s="6">
        <v>1082.0</v>
      </c>
      <c r="C3573" s="6">
        <v>6.0</v>
      </c>
      <c r="D3573" s="161" t="s">
        <v>5921</v>
      </c>
      <c r="E3573" s="9" t="s">
        <v>5922</v>
      </c>
      <c r="F3573" s="109" t="str">
        <f t="shared" ref="F3573:G3573" si="3572">TRANSLATE(D3573,"lzh","vi")</f>
        <v>#NAME?</v>
      </c>
      <c r="G3573" s="109" t="str">
        <f t="shared" si="3572"/>
        <v>#NAME?</v>
      </c>
      <c r="X3573" s="110"/>
    </row>
    <row r="3574" ht="21.0" customHeight="1">
      <c r="A3574" s="6">
        <v>10.0</v>
      </c>
      <c r="B3574" s="6">
        <v>1082.0</v>
      </c>
      <c r="C3574" s="6">
        <v>7.0</v>
      </c>
      <c r="D3574" s="161" t="s">
        <v>5923</v>
      </c>
      <c r="E3574" s="9" t="s">
        <v>5924</v>
      </c>
      <c r="F3574" s="109" t="str">
        <f t="shared" ref="F3574:G3574" si="3573">TRANSLATE(D3574,"lzh","vi")</f>
        <v>#NAME?</v>
      </c>
      <c r="G3574" s="109" t="str">
        <f t="shared" si="3573"/>
        <v>#NAME?</v>
      </c>
      <c r="X3574" s="110"/>
    </row>
    <row r="3575" ht="21.0" customHeight="1">
      <c r="A3575" s="6">
        <v>10.0</v>
      </c>
      <c r="B3575" s="6">
        <v>1082.0</v>
      </c>
      <c r="C3575" s="6">
        <v>8.0</v>
      </c>
      <c r="D3575" s="161" t="s">
        <v>5925</v>
      </c>
      <c r="E3575" s="9" t="s">
        <v>5926</v>
      </c>
      <c r="F3575" s="109" t="str">
        <f t="shared" ref="F3575:G3575" si="3574">TRANSLATE(D3575,"lzh","vi")</f>
        <v>#NAME?</v>
      </c>
      <c r="G3575" s="109" t="str">
        <f t="shared" si="3574"/>
        <v>#NAME?</v>
      </c>
      <c r="X3575" s="110"/>
    </row>
    <row r="3576" ht="21.0" customHeight="1">
      <c r="A3576" s="6">
        <v>10.0</v>
      </c>
      <c r="B3576" s="6">
        <v>1082.0</v>
      </c>
      <c r="C3576" s="6">
        <v>9.0</v>
      </c>
      <c r="D3576" s="161" t="s">
        <v>5927</v>
      </c>
      <c r="E3576" s="9" t="s">
        <v>5928</v>
      </c>
      <c r="F3576" s="109" t="str">
        <f t="shared" ref="F3576:G3576" si="3575">TRANSLATE(D3576,"lzh","vi")</f>
        <v>#NAME?</v>
      </c>
      <c r="G3576" s="109" t="str">
        <f t="shared" si="3575"/>
        <v>#NAME?</v>
      </c>
      <c r="X3576" s="110"/>
    </row>
    <row r="3577" ht="21.0" customHeight="1">
      <c r="A3577" s="6">
        <v>10.0</v>
      </c>
      <c r="B3577" s="6">
        <v>1082.0</v>
      </c>
      <c r="C3577" s="6">
        <v>10.0</v>
      </c>
      <c r="D3577" s="161" t="s">
        <v>258</v>
      </c>
      <c r="E3577" s="9" t="s">
        <v>5929</v>
      </c>
      <c r="F3577" s="109" t="str">
        <f t="shared" ref="F3577:G3577" si="3576">TRANSLATE(D3577,"lzh","vi")</f>
        <v>#NAME?</v>
      </c>
      <c r="G3577" s="109" t="str">
        <f t="shared" si="3576"/>
        <v>#NAME?</v>
      </c>
      <c r="X3577" s="110"/>
    </row>
    <row r="3578" ht="21.0" customHeight="1">
      <c r="A3578" s="6">
        <v>11.0</v>
      </c>
      <c r="B3578" s="6">
        <v>1083.0</v>
      </c>
      <c r="C3578" s="6">
        <v>1.0</v>
      </c>
      <c r="D3578" s="161" t="s">
        <v>5930</v>
      </c>
      <c r="E3578" s="9" t="s">
        <v>5931</v>
      </c>
      <c r="F3578" s="109" t="str">
        <f t="shared" ref="F3578:G3578" si="3577">TRANSLATE(D3578,"lzh","vi")</f>
        <v>#NAME?</v>
      </c>
      <c r="G3578" s="109" t="str">
        <f t="shared" si="3577"/>
        <v>#NAME?</v>
      </c>
      <c r="X3578" s="110"/>
    </row>
    <row r="3579" ht="21.0" customHeight="1">
      <c r="A3579" s="6">
        <v>11.0</v>
      </c>
      <c r="B3579" s="6">
        <v>1083.0</v>
      </c>
      <c r="C3579" s="6">
        <v>2.0</v>
      </c>
      <c r="D3579" s="161" t="s">
        <v>5932</v>
      </c>
      <c r="E3579" s="9" t="s">
        <v>5933</v>
      </c>
      <c r="F3579" s="109" t="str">
        <f t="shared" ref="F3579:G3579" si="3578">TRANSLATE(D3579,"lzh","vi")</f>
        <v>#NAME?</v>
      </c>
      <c r="G3579" s="109" t="str">
        <f t="shared" si="3578"/>
        <v>#NAME?</v>
      </c>
      <c r="X3579" s="110"/>
    </row>
    <row r="3580" ht="21.0" customHeight="1">
      <c r="A3580" s="6">
        <v>11.0</v>
      </c>
      <c r="B3580" s="6">
        <v>1083.0</v>
      </c>
      <c r="C3580" s="6">
        <v>3.0</v>
      </c>
      <c r="D3580" s="161" t="s">
        <v>5934</v>
      </c>
      <c r="E3580" s="9" t="s">
        <v>5935</v>
      </c>
      <c r="F3580" s="109" t="str">
        <f t="shared" ref="F3580:G3580" si="3579">TRANSLATE(D3580,"lzh","vi")</f>
        <v>#NAME?</v>
      </c>
      <c r="G3580" s="109" t="str">
        <f t="shared" si="3579"/>
        <v>#NAME?</v>
      </c>
      <c r="X3580" s="110"/>
    </row>
    <row r="3581" ht="21.0" customHeight="1">
      <c r="A3581" s="6">
        <v>11.0</v>
      </c>
      <c r="B3581" s="6">
        <v>1083.0</v>
      </c>
      <c r="C3581" s="6">
        <v>4.0</v>
      </c>
      <c r="D3581" s="161" t="s">
        <v>5936</v>
      </c>
      <c r="E3581" s="9" t="s">
        <v>5937</v>
      </c>
      <c r="F3581" s="109" t="str">
        <f t="shared" ref="F3581:G3581" si="3580">TRANSLATE(D3581,"lzh","vi")</f>
        <v>#NAME?</v>
      </c>
      <c r="G3581" s="109" t="str">
        <f t="shared" si="3580"/>
        <v>#NAME?</v>
      </c>
      <c r="X3581" s="110"/>
    </row>
    <row r="3582" ht="21.0" customHeight="1">
      <c r="A3582" s="6">
        <v>10.0</v>
      </c>
      <c r="B3582" s="6">
        <v>1083.0</v>
      </c>
      <c r="C3582" s="6">
        <v>5.0</v>
      </c>
      <c r="D3582" s="161" t="s">
        <v>5938</v>
      </c>
      <c r="E3582" s="9" t="s">
        <v>5939</v>
      </c>
      <c r="F3582" s="109" t="str">
        <f t="shared" ref="F3582:G3582" si="3581">TRANSLATE(D3582,"lzh","vi")</f>
        <v>#NAME?</v>
      </c>
      <c r="G3582" s="109" t="str">
        <f t="shared" si="3581"/>
        <v>#NAME?</v>
      </c>
      <c r="X3582" s="110"/>
    </row>
    <row r="3583" ht="21.0" customHeight="1">
      <c r="A3583" s="6">
        <v>10.0</v>
      </c>
      <c r="B3583" s="6">
        <v>1083.0</v>
      </c>
      <c r="C3583" s="6">
        <v>6.0</v>
      </c>
      <c r="D3583" s="161" t="s">
        <v>5940</v>
      </c>
      <c r="E3583" s="9" t="s">
        <v>5941</v>
      </c>
      <c r="F3583" s="109" t="str">
        <f t="shared" ref="F3583:G3583" si="3582">TRANSLATE(D3583,"lzh","vi")</f>
        <v>#NAME?</v>
      </c>
      <c r="G3583" s="109" t="str">
        <f t="shared" si="3582"/>
        <v>#NAME?</v>
      </c>
      <c r="X3583" s="110"/>
    </row>
    <row r="3584" ht="21.0" customHeight="1">
      <c r="A3584" s="6">
        <v>10.0</v>
      </c>
      <c r="B3584" s="6">
        <v>1083.0</v>
      </c>
      <c r="C3584" s="6">
        <v>7.0</v>
      </c>
      <c r="D3584" s="161" t="s">
        <v>5942</v>
      </c>
      <c r="E3584" s="9" t="s">
        <v>5943</v>
      </c>
      <c r="F3584" s="109" t="str">
        <f t="shared" ref="F3584:G3584" si="3583">TRANSLATE(D3584,"lzh","vi")</f>
        <v>#NAME?</v>
      </c>
      <c r="G3584" s="109" t="str">
        <f t="shared" si="3583"/>
        <v>#NAME?</v>
      </c>
      <c r="X3584" s="110"/>
    </row>
    <row r="3585" ht="21.0" customHeight="1">
      <c r="A3585" s="6">
        <v>10.0</v>
      </c>
      <c r="B3585" s="6">
        <v>1083.0</v>
      </c>
      <c r="C3585" s="6">
        <v>8.0</v>
      </c>
      <c r="D3585" s="161" t="s">
        <v>5944</v>
      </c>
      <c r="E3585" s="9" t="s">
        <v>5945</v>
      </c>
      <c r="F3585" s="109" t="str">
        <f t="shared" ref="F3585:G3585" si="3584">TRANSLATE(D3585,"lzh","vi")</f>
        <v>#NAME?</v>
      </c>
      <c r="G3585" s="109" t="str">
        <f t="shared" si="3584"/>
        <v>#NAME?</v>
      </c>
      <c r="X3585" s="110"/>
    </row>
    <row r="3586" ht="21.0" customHeight="1">
      <c r="A3586" s="6">
        <v>10.0</v>
      </c>
      <c r="B3586" s="6">
        <v>1083.0</v>
      </c>
      <c r="C3586" s="6">
        <v>9.0</v>
      </c>
      <c r="D3586" s="161" t="s">
        <v>5946</v>
      </c>
      <c r="E3586" s="9" t="s">
        <v>5947</v>
      </c>
      <c r="F3586" s="109" t="str">
        <f t="shared" ref="F3586:G3586" si="3585">TRANSLATE(D3586,"lzh","vi")</f>
        <v>#NAME?</v>
      </c>
      <c r="G3586" s="109" t="str">
        <f t="shared" si="3585"/>
        <v>#NAME?</v>
      </c>
      <c r="X3586" s="110"/>
    </row>
    <row r="3587" ht="21.0" customHeight="1">
      <c r="A3587" s="6">
        <v>10.0</v>
      </c>
      <c r="B3587" s="6">
        <v>1083.0</v>
      </c>
      <c r="C3587" s="6">
        <v>10.0</v>
      </c>
      <c r="D3587" s="161" t="s">
        <v>5948</v>
      </c>
      <c r="E3587" s="9" t="s">
        <v>5929</v>
      </c>
      <c r="F3587" s="109" t="str">
        <f t="shared" ref="F3587:G3587" si="3586">TRANSLATE(D3587,"lzh","vi")</f>
        <v>#NAME?</v>
      </c>
      <c r="G3587" s="109" t="str">
        <f t="shared" si="3586"/>
        <v>#NAME?</v>
      </c>
      <c r="X3587" s="110"/>
    </row>
    <row r="3588" ht="21.0" customHeight="1">
      <c r="A3588" s="6">
        <v>1.0</v>
      </c>
      <c r="B3588" s="6">
        <v>269.0</v>
      </c>
      <c r="C3588" s="6">
        <v>1.0</v>
      </c>
      <c r="D3588" s="161" t="s">
        <v>5949</v>
      </c>
      <c r="E3588" s="9" t="s">
        <v>5950</v>
      </c>
      <c r="F3588" s="109" t="str">
        <f t="shared" ref="F3588:G3588" si="3587">TRANSLATE(D3588,"lzh","vi")</f>
        <v>#NAME?</v>
      </c>
      <c r="G3588" s="109" t="str">
        <f t="shared" si="3587"/>
        <v>#NAME?</v>
      </c>
      <c r="X3588" s="110"/>
    </row>
    <row r="3589" ht="21.0" customHeight="1">
      <c r="A3589" s="6">
        <v>1.0</v>
      </c>
      <c r="B3589" s="6">
        <v>269.0</v>
      </c>
      <c r="C3589" s="6">
        <v>2.0</v>
      </c>
      <c r="D3589" s="161" t="s">
        <v>5951</v>
      </c>
      <c r="E3589" s="9" t="s">
        <v>5952</v>
      </c>
      <c r="F3589" s="109" t="str">
        <f t="shared" ref="F3589:G3589" si="3588">TRANSLATE(D3589,"lzh","vi")</f>
        <v>#NAME?</v>
      </c>
      <c r="G3589" s="109" t="str">
        <f t="shared" si="3588"/>
        <v>#NAME?</v>
      </c>
      <c r="X3589" s="110"/>
    </row>
    <row r="3590" ht="21.0" customHeight="1">
      <c r="A3590" s="6">
        <v>1.0</v>
      </c>
      <c r="B3590" s="6">
        <v>269.0</v>
      </c>
      <c r="C3590" s="6">
        <v>3.0</v>
      </c>
      <c r="D3590" s="161" t="s">
        <v>5953</v>
      </c>
      <c r="E3590" s="9" t="s">
        <v>5954</v>
      </c>
      <c r="F3590" s="109" t="str">
        <f t="shared" ref="F3590:G3590" si="3589">TRANSLATE(D3590,"lzh","vi")</f>
        <v>#NAME?</v>
      </c>
      <c r="G3590" s="109" t="str">
        <f t="shared" si="3589"/>
        <v>#NAME?</v>
      </c>
      <c r="X3590" s="110"/>
    </row>
    <row r="3591" ht="21.0" customHeight="1">
      <c r="A3591" s="6">
        <v>1.0</v>
      </c>
      <c r="B3591" s="6">
        <v>269.0</v>
      </c>
      <c r="C3591" s="6">
        <v>4.0</v>
      </c>
      <c r="D3591" s="161" t="s">
        <v>5955</v>
      </c>
      <c r="E3591" s="9" t="s">
        <v>5956</v>
      </c>
      <c r="F3591" s="109" t="str">
        <f t="shared" ref="F3591:G3591" si="3590">TRANSLATE(D3591,"lzh","vi")</f>
        <v>#NAME?</v>
      </c>
      <c r="G3591" s="109" t="str">
        <f t="shared" si="3590"/>
        <v>#NAME?</v>
      </c>
      <c r="X3591" s="110"/>
    </row>
    <row r="3592" ht="21.0" customHeight="1">
      <c r="A3592" s="6">
        <v>1.0</v>
      </c>
      <c r="B3592" s="6">
        <v>269.0</v>
      </c>
      <c r="C3592" s="6">
        <v>5.0</v>
      </c>
      <c r="D3592" s="161" t="s">
        <v>5957</v>
      </c>
      <c r="E3592" s="9" t="s">
        <v>5958</v>
      </c>
      <c r="F3592" s="109" t="str">
        <f t="shared" ref="F3592:G3592" si="3591">TRANSLATE(D3592,"lzh","vi")</f>
        <v>#NAME?</v>
      </c>
      <c r="G3592" s="109" t="str">
        <f t="shared" si="3591"/>
        <v>#NAME?</v>
      </c>
      <c r="X3592" s="110"/>
    </row>
    <row r="3593" ht="21.0" customHeight="1">
      <c r="A3593" s="6">
        <v>1.0</v>
      </c>
      <c r="B3593" s="6">
        <v>269.0</v>
      </c>
      <c r="C3593" s="6">
        <v>6.0</v>
      </c>
      <c r="D3593" s="171" t="s">
        <v>5959</v>
      </c>
      <c r="E3593" s="9" t="s">
        <v>5960</v>
      </c>
      <c r="F3593" s="109" t="str">
        <f t="shared" ref="F3593:G3593" si="3592">TRANSLATE(D3593,"lzh","vi")</f>
        <v>#NAME?</v>
      </c>
      <c r="G3593" s="109" t="str">
        <f t="shared" si="3592"/>
        <v>#NAME?</v>
      </c>
      <c r="X3593" s="110"/>
    </row>
    <row r="3594" ht="21.0" customHeight="1">
      <c r="A3594" s="6">
        <v>1.0</v>
      </c>
      <c r="B3594" s="6">
        <v>269.0</v>
      </c>
      <c r="C3594" s="6">
        <v>7.0</v>
      </c>
      <c r="D3594" s="161" t="s">
        <v>5961</v>
      </c>
      <c r="E3594" s="9" t="s">
        <v>5962</v>
      </c>
      <c r="F3594" s="109" t="str">
        <f t="shared" ref="F3594:G3594" si="3593">TRANSLATE(D3594,"lzh","vi")</f>
        <v>#NAME?</v>
      </c>
      <c r="G3594" s="109" t="str">
        <f t="shared" si="3593"/>
        <v>#NAME?</v>
      </c>
      <c r="X3594" s="110"/>
    </row>
    <row r="3595" ht="21.0" customHeight="1">
      <c r="A3595" s="6">
        <v>1.0</v>
      </c>
      <c r="B3595" s="6">
        <v>269.0</v>
      </c>
      <c r="C3595" s="6">
        <v>8.0</v>
      </c>
      <c r="D3595" s="161" t="s">
        <v>5963</v>
      </c>
      <c r="E3595" s="9" t="s">
        <v>5964</v>
      </c>
      <c r="F3595" s="109" t="str">
        <f t="shared" ref="F3595:G3595" si="3594">TRANSLATE(D3595,"lzh","vi")</f>
        <v>#NAME?</v>
      </c>
      <c r="G3595" s="109" t="str">
        <f t="shared" si="3594"/>
        <v>#NAME?</v>
      </c>
      <c r="X3595" s="110"/>
    </row>
    <row r="3596" ht="21.0" customHeight="1">
      <c r="A3596" s="6">
        <v>1.0</v>
      </c>
      <c r="B3596" s="6">
        <v>269.0</v>
      </c>
      <c r="C3596" s="6">
        <v>9.0</v>
      </c>
      <c r="D3596" s="161" t="s">
        <v>5965</v>
      </c>
      <c r="E3596" s="9" t="s">
        <v>5966</v>
      </c>
      <c r="F3596" s="109" t="str">
        <f t="shared" ref="F3596:G3596" si="3595">TRANSLATE(D3596,"lzh","vi")</f>
        <v>#NAME?</v>
      </c>
      <c r="G3596" s="109" t="str">
        <f t="shared" si="3595"/>
        <v>#NAME?</v>
      </c>
      <c r="X3596" s="110"/>
    </row>
    <row r="3597" ht="21.0" customHeight="1">
      <c r="A3597" s="6">
        <v>1.0</v>
      </c>
      <c r="B3597" s="6">
        <v>269.0</v>
      </c>
      <c r="C3597" s="6">
        <v>10.0</v>
      </c>
      <c r="D3597" s="161" t="s">
        <v>5967</v>
      </c>
      <c r="E3597" s="9" t="s">
        <v>5968</v>
      </c>
      <c r="F3597" s="109" t="str">
        <f t="shared" ref="F3597:G3597" si="3596">TRANSLATE(D3597,"lzh","vi")</f>
        <v>#NAME?</v>
      </c>
      <c r="G3597" s="109" t="str">
        <f t="shared" si="3596"/>
        <v>#NAME?</v>
      </c>
      <c r="X3597" s="110"/>
    </row>
    <row r="3598" ht="21.0" customHeight="1">
      <c r="A3598" s="6">
        <v>1.0</v>
      </c>
      <c r="B3598" s="6">
        <v>269.0</v>
      </c>
      <c r="C3598" s="6">
        <v>11.0</v>
      </c>
      <c r="D3598" s="161" t="s">
        <v>5969</v>
      </c>
      <c r="E3598" s="9" t="s">
        <v>5970</v>
      </c>
      <c r="F3598" s="109" t="str">
        <f t="shared" ref="F3598:G3598" si="3597">TRANSLATE(D3598,"lzh","vi")</f>
        <v>#NAME?</v>
      </c>
      <c r="G3598" s="109" t="str">
        <f t="shared" si="3597"/>
        <v>#NAME?</v>
      </c>
      <c r="X3598" s="110"/>
    </row>
    <row r="3599" ht="21.0" customHeight="1">
      <c r="A3599" s="6">
        <v>1.0</v>
      </c>
      <c r="B3599" s="6">
        <v>269.0</v>
      </c>
      <c r="C3599" s="6">
        <v>12.0</v>
      </c>
      <c r="D3599" s="161" t="s">
        <v>5971</v>
      </c>
      <c r="E3599" s="9" t="s">
        <v>5972</v>
      </c>
      <c r="F3599" s="109" t="str">
        <f t="shared" ref="F3599:G3599" si="3598">TRANSLATE(D3599,"lzh","vi")</f>
        <v>#NAME?</v>
      </c>
      <c r="G3599" s="109" t="str">
        <f t="shared" si="3598"/>
        <v>#NAME?</v>
      </c>
      <c r="X3599" s="110"/>
    </row>
    <row r="3600" ht="21.0" customHeight="1">
      <c r="A3600" s="6">
        <v>1.0</v>
      </c>
      <c r="B3600" s="6">
        <v>269.0</v>
      </c>
      <c r="C3600" s="6">
        <v>13.0</v>
      </c>
      <c r="D3600" s="161" t="s">
        <v>5973</v>
      </c>
      <c r="E3600" s="9" t="s">
        <v>5974</v>
      </c>
      <c r="F3600" s="109" t="str">
        <f t="shared" ref="F3600:G3600" si="3599">TRANSLATE(D3600,"lzh","vi")</f>
        <v>#NAME?</v>
      </c>
      <c r="G3600" s="109" t="str">
        <f t="shared" si="3599"/>
        <v>#NAME?</v>
      </c>
      <c r="X3600" s="110"/>
    </row>
    <row r="3601" ht="21.0" customHeight="1">
      <c r="A3601" s="6">
        <v>1.0</v>
      </c>
      <c r="B3601" s="6">
        <v>270.0</v>
      </c>
      <c r="C3601" s="6">
        <v>1.0</v>
      </c>
      <c r="D3601" s="161" t="s">
        <v>5975</v>
      </c>
      <c r="E3601" s="9" t="s">
        <v>5976</v>
      </c>
      <c r="F3601" s="109" t="str">
        <f t="shared" ref="F3601:G3601" si="3600">TRANSLATE(D3601,"lzh","vi")</f>
        <v>#NAME?</v>
      </c>
      <c r="G3601" s="109" t="str">
        <f t="shared" si="3600"/>
        <v>#NAME?</v>
      </c>
      <c r="X3601" s="110"/>
    </row>
    <row r="3602" ht="21.0" customHeight="1">
      <c r="A3602" s="6">
        <v>1.0</v>
      </c>
      <c r="B3602" s="6">
        <v>270.0</v>
      </c>
      <c r="C3602" s="6">
        <v>2.0</v>
      </c>
      <c r="D3602" s="161" t="s">
        <v>5977</v>
      </c>
      <c r="E3602" s="9" t="s">
        <v>5978</v>
      </c>
      <c r="F3602" s="109" t="str">
        <f t="shared" ref="F3602:G3602" si="3601">TRANSLATE(D3602,"lzh","vi")</f>
        <v>#NAME?</v>
      </c>
      <c r="G3602" s="109" t="str">
        <f t="shared" si="3601"/>
        <v>#NAME?</v>
      </c>
      <c r="X3602" s="110"/>
    </row>
    <row r="3603" ht="21.0" customHeight="1">
      <c r="A3603" s="6">
        <v>1.0</v>
      </c>
      <c r="B3603" s="6">
        <v>270.0</v>
      </c>
      <c r="C3603" s="6">
        <v>3.0</v>
      </c>
      <c r="D3603" s="161" t="s">
        <v>5979</v>
      </c>
      <c r="E3603" s="9" t="s">
        <v>5980</v>
      </c>
      <c r="F3603" s="109" t="str">
        <f t="shared" ref="F3603:G3603" si="3602">TRANSLATE(D3603,"lzh","vi")</f>
        <v>#NAME?</v>
      </c>
      <c r="G3603" s="109" t="str">
        <f t="shared" si="3602"/>
        <v>#NAME?</v>
      </c>
      <c r="X3603" s="110"/>
    </row>
    <row r="3604" ht="21.0" customHeight="1">
      <c r="A3604" s="6">
        <v>1.0</v>
      </c>
      <c r="B3604" s="6">
        <v>270.0</v>
      </c>
      <c r="C3604" s="6">
        <v>4.0</v>
      </c>
      <c r="D3604" s="161" t="s">
        <v>5981</v>
      </c>
      <c r="E3604" s="9" t="s">
        <v>5982</v>
      </c>
      <c r="F3604" s="109" t="str">
        <f t="shared" ref="F3604:G3604" si="3603">TRANSLATE(D3604,"lzh","vi")</f>
        <v>#NAME?</v>
      </c>
      <c r="G3604" s="109" t="str">
        <f t="shared" si="3603"/>
        <v>#NAME?</v>
      </c>
      <c r="X3604" s="110"/>
    </row>
    <row r="3605" ht="21.0" customHeight="1">
      <c r="A3605" s="6">
        <v>1.0</v>
      </c>
      <c r="B3605" s="6">
        <v>270.0</v>
      </c>
      <c r="C3605" s="6">
        <v>5.0</v>
      </c>
      <c r="D3605" s="161" t="s">
        <v>5983</v>
      </c>
      <c r="E3605" s="9" t="s">
        <v>5984</v>
      </c>
      <c r="F3605" s="109" t="str">
        <f t="shared" ref="F3605:G3605" si="3604">TRANSLATE(D3605,"lzh","vi")</f>
        <v>#NAME?</v>
      </c>
      <c r="G3605" s="109" t="str">
        <f t="shared" si="3604"/>
        <v>#NAME?</v>
      </c>
      <c r="X3605" s="110"/>
    </row>
    <row r="3606" ht="21.0" customHeight="1">
      <c r="A3606" s="6">
        <v>1.0</v>
      </c>
      <c r="B3606" s="6">
        <v>270.0</v>
      </c>
      <c r="C3606" s="6">
        <v>6.0</v>
      </c>
      <c r="D3606" s="161" t="s">
        <v>5985</v>
      </c>
      <c r="E3606" s="9" t="s">
        <v>5986</v>
      </c>
      <c r="F3606" s="109" t="str">
        <f t="shared" ref="F3606:G3606" si="3605">TRANSLATE(D3606,"lzh","vi")</f>
        <v>#NAME?</v>
      </c>
      <c r="G3606" s="109" t="str">
        <f t="shared" si="3605"/>
        <v>#NAME?</v>
      </c>
      <c r="X3606" s="110"/>
    </row>
    <row r="3607" ht="21.0" customHeight="1">
      <c r="A3607" s="6">
        <v>1.0</v>
      </c>
      <c r="B3607" s="6">
        <v>270.0</v>
      </c>
      <c r="C3607" s="6">
        <v>7.0</v>
      </c>
      <c r="D3607" s="161" t="s">
        <v>5987</v>
      </c>
      <c r="E3607" s="9" t="s">
        <v>5988</v>
      </c>
      <c r="F3607" s="109" t="str">
        <f t="shared" ref="F3607:G3607" si="3606">TRANSLATE(D3607,"lzh","vi")</f>
        <v>#NAME?</v>
      </c>
      <c r="G3607" s="109" t="str">
        <f t="shared" si="3606"/>
        <v>#NAME?</v>
      </c>
      <c r="X3607" s="110"/>
    </row>
    <row r="3608" ht="21.0" customHeight="1">
      <c r="A3608" s="6">
        <v>1.0</v>
      </c>
      <c r="B3608" s="6">
        <v>270.0</v>
      </c>
      <c r="C3608" s="6">
        <v>8.0</v>
      </c>
      <c r="D3608" s="161" t="s">
        <v>5989</v>
      </c>
      <c r="E3608" s="9" t="s">
        <v>5990</v>
      </c>
      <c r="F3608" s="109" t="str">
        <f t="shared" ref="F3608:G3608" si="3607">TRANSLATE(D3608,"lzh","vi")</f>
        <v>#NAME?</v>
      </c>
      <c r="G3608" s="109" t="str">
        <f t="shared" si="3607"/>
        <v>#NAME?</v>
      </c>
      <c r="X3608" s="110"/>
    </row>
    <row r="3609" ht="21.0" customHeight="1">
      <c r="A3609" s="6">
        <v>1.0</v>
      </c>
      <c r="B3609" s="6">
        <v>270.0</v>
      </c>
      <c r="C3609" s="6">
        <v>9.0</v>
      </c>
      <c r="D3609" s="161" t="s">
        <v>5991</v>
      </c>
      <c r="E3609" s="9" t="s">
        <v>5992</v>
      </c>
      <c r="F3609" s="109" t="str">
        <f t="shared" ref="F3609:G3609" si="3608">TRANSLATE(D3609,"lzh","vi")</f>
        <v>#NAME?</v>
      </c>
      <c r="G3609" s="109" t="str">
        <f t="shared" si="3608"/>
        <v>#NAME?</v>
      </c>
      <c r="X3609" s="110"/>
    </row>
    <row r="3610" ht="21.0" customHeight="1">
      <c r="A3610" s="6">
        <v>1.0</v>
      </c>
      <c r="B3610" s="6">
        <v>270.0</v>
      </c>
      <c r="C3610" s="6">
        <v>10.0</v>
      </c>
      <c r="D3610" s="161" t="s">
        <v>5993</v>
      </c>
      <c r="E3610" s="9" t="s">
        <v>5994</v>
      </c>
      <c r="F3610" s="109" t="str">
        <f t="shared" ref="F3610:G3610" si="3609">TRANSLATE(D3610,"lzh","vi")</f>
        <v>#NAME?</v>
      </c>
      <c r="G3610" s="109" t="str">
        <f t="shared" si="3609"/>
        <v>#NAME?</v>
      </c>
      <c r="X3610" s="110"/>
    </row>
    <row r="3611" ht="21.0" customHeight="1">
      <c r="A3611" s="6">
        <v>1.0</v>
      </c>
      <c r="B3611" s="6">
        <v>270.0</v>
      </c>
      <c r="C3611" s="6">
        <v>11.0</v>
      </c>
      <c r="D3611" s="161" t="s">
        <v>5995</v>
      </c>
      <c r="E3611" s="9" t="s">
        <v>5996</v>
      </c>
      <c r="F3611" s="109" t="str">
        <f t="shared" ref="F3611:G3611" si="3610">TRANSLATE(D3611,"lzh","vi")</f>
        <v>#NAME?</v>
      </c>
      <c r="G3611" s="109" t="str">
        <f t="shared" si="3610"/>
        <v>#NAME?</v>
      </c>
      <c r="X3611" s="110"/>
    </row>
    <row r="3612" ht="21.0" customHeight="1">
      <c r="A3612" s="6">
        <v>1.0</v>
      </c>
      <c r="B3612" s="6">
        <v>270.0</v>
      </c>
      <c r="C3612" s="6">
        <v>12.0</v>
      </c>
      <c r="D3612" s="161" t="s">
        <v>5997</v>
      </c>
      <c r="E3612" s="9" t="s">
        <v>5998</v>
      </c>
      <c r="F3612" s="109" t="str">
        <f t="shared" ref="F3612:G3612" si="3611">TRANSLATE(D3612,"lzh","vi")</f>
        <v>#NAME?</v>
      </c>
      <c r="G3612" s="109" t="str">
        <f t="shared" si="3611"/>
        <v>#NAME?</v>
      </c>
      <c r="X3612" s="110"/>
    </row>
    <row r="3613" ht="21.0" customHeight="1">
      <c r="A3613" s="6">
        <v>1.0</v>
      </c>
      <c r="B3613" s="6">
        <v>270.0</v>
      </c>
      <c r="C3613" s="6">
        <v>13.0</v>
      </c>
      <c r="D3613" s="161" t="s">
        <v>5999</v>
      </c>
      <c r="E3613" s="9" t="s">
        <v>6000</v>
      </c>
      <c r="F3613" s="109" t="str">
        <f t="shared" ref="F3613:G3613" si="3612">TRANSLATE(D3613,"lzh","vi")</f>
        <v>#NAME?</v>
      </c>
      <c r="G3613" s="109" t="str">
        <f t="shared" si="3612"/>
        <v>#NAME?</v>
      </c>
      <c r="X3613" s="110"/>
    </row>
    <row r="3614" ht="21.0" customHeight="1">
      <c r="A3614" s="6">
        <v>1.0</v>
      </c>
      <c r="B3614" s="6">
        <v>271.0</v>
      </c>
      <c r="C3614" s="6">
        <v>1.0</v>
      </c>
      <c r="D3614" s="161" t="s">
        <v>6001</v>
      </c>
      <c r="E3614" s="9" t="s">
        <v>6002</v>
      </c>
      <c r="F3614" s="109" t="str">
        <f t="shared" ref="F3614:G3614" si="3613">TRANSLATE(D3614,"lzh","vi")</f>
        <v>#NAME?</v>
      </c>
      <c r="G3614" s="109" t="str">
        <f t="shared" si="3613"/>
        <v>#NAME?</v>
      </c>
      <c r="X3614" s="110"/>
    </row>
    <row r="3615" ht="21.0" customHeight="1">
      <c r="A3615" s="6">
        <v>1.0</v>
      </c>
      <c r="B3615" s="6">
        <v>271.0</v>
      </c>
      <c r="C3615" s="6">
        <v>2.0</v>
      </c>
      <c r="D3615" s="161" t="s">
        <v>6003</v>
      </c>
      <c r="E3615" s="9" t="s">
        <v>6004</v>
      </c>
      <c r="F3615" s="109" t="str">
        <f t="shared" ref="F3615:G3615" si="3614">TRANSLATE(D3615,"lzh","vi")</f>
        <v>#NAME?</v>
      </c>
      <c r="G3615" s="109" t="str">
        <f t="shared" si="3614"/>
        <v>#NAME?</v>
      </c>
      <c r="X3615" s="110"/>
    </row>
    <row r="3616" ht="21.0" customHeight="1">
      <c r="A3616" s="6">
        <v>1.0</v>
      </c>
      <c r="B3616" s="6">
        <v>271.0</v>
      </c>
      <c r="C3616" s="6">
        <v>3.0</v>
      </c>
      <c r="D3616" s="161" t="s">
        <v>6005</v>
      </c>
      <c r="E3616" s="9" t="s">
        <v>6006</v>
      </c>
      <c r="F3616" s="109" t="str">
        <f t="shared" ref="F3616:G3616" si="3615">TRANSLATE(D3616,"lzh","vi")</f>
        <v>#NAME?</v>
      </c>
      <c r="G3616" s="109" t="str">
        <f t="shared" si="3615"/>
        <v>#NAME?</v>
      </c>
      <c r="X3616" s="110"/>
    </row>
    <row r="3617" ht="21.0" customHeight="1">
      <c r="A3617" s="6">
        <v>1.0</v>
      </c>
      <c r="B3617" s="6">
        <v>271.0</v>
      </c>
      <c r="C3617" s="6">
        <v>4.0</v>
      </c>
      <c r="D3617" s="161" t="s">
        <v>6007</v>
      </c>
      <c r="E3617" s="9" t="s">
        <v>6008</v>
      </c>
      <c r="F3617" s="109" t="str">
        <f t="shared" ref="F3617:G3617" si="3616">TRANSLATE(D3617,"lzh","vi")</f>
        <v>#NAME?</v>
      </c>
      <c r="G3617" s="109" t="str">
        <f t="shared" si="3616"/>
        <v>#NAME?</v>
      </c>
      <c r="X3617" s="110"/>
    </row>
    <row r="3618" ht="21.0" customHeight="1">
      <c r="A3618" s="6">
        <v>1.0</v>
      </c>
      <c r="B3618" s="6">
        <v>271.0</v>
      </c>
      <c r="C3618" s="6">
        <v>5.0</v>
      </c>
      <c r="D3618" s="161" t="s">
        <v>6009</v>
      </c>
      <c r="E3618" s="9" t="s">
        <v>6010</v>
      </c>
      <c r="F3618" s="109" t="str">
        <f t="shared" ref="F3618:G3618" si="3617">TRANSLATE(D3618,"lzh","vi")</f>
        <v>#NAME?</v>
      </c>
      <c r="G3618" s="109" t="str">
        <f t="shared" si="3617"/>
        <v>#NAME?</v>
      </c>
      <c r="X3618" s="110"/>
    </row>
    <row r="3619" ht="21.0" customHeight="1">
      <c r="A3619" s="6">
        <v>1.0</v>
      </c>
      <c r="B3619" s="6">
        <v>271.0</v>
      </c>
      <c r="C3619" s="6">
        <v>6.0</v>
      </c>
      <c r="D3619" s="161" t="s">
        <v>6011</v>
      </c>
      <c r="E3619" s="9" t="s">
        <v>6012</v>
      </c>
      <c r="F3619" s="109" t="str">
        <f t="shared" ref="F3619:G3619" si="3618">TRANSLATE(D3619,"lzh","vi")</f>
        <v>#NAME?</v>
      </c>
      <c r="G3619" s="109" t="str">
        <f t="shared" si="3618"/>
        <v>#NAME?</v>
      </c>
      <c r="X3619" s="110"/>
    </row>
    <row r="3620" ht="21.0" customHeight="1">
      <c r="A3620" s="6">
        <v>1.0</v>
      </c>
      <c r="B3620" s="6">
        <v>271.0</v>
      </c>
      <c r="C3620" s="6">
        <v>7.0</v>
      </c>
      <c r="D3620" s="161" t="s">
        <v>6013</v>
      </c>
      <c r="E3620" s="9" t="s">
        <v>6014</v>
      </c>
      <c r="F3620" s="109" t="str">
        <f t="shared" ref="F3620:G3620" si="3619">TRANSLATE(D3620,"lzh","vi")</f>
        <v>#NAME?</v>
      </c>
      <c r="G3620" s="109" t="str">
        <f t="shared" si="3619"/>
        <v>#NAME?</v>
      </c>
      <c r="X3620" s="110"/>
    </row>
    <row r="3621" ht="21.0" customHeight="1">
      <c r="A3621" s="6">
        <v>1.0</v>
      </c>
      <c r="B3621" s="6">
        <v>271.0</v>
      </c>
      <c r="C3621" s="6">
        <v>8.0</v>
      </c>
      <c r="D3621" s="161" t="s">
        <v>6015</v>
      </c>
      <c r="E3621" s="9" t="s">
        <v>6016</v>
      </c>
      <c r="F3621" s="109" t="str">
        <f t="shared" ref="F3621:G3621" si="3620">TRANSLATE(D3621,"lzh","vi")</f>
        <v>#NAME?</v>
      </c>
      <c r="G3621" s="109" t="str">
        <f t="shared" si="3620"/>
        <v>#NAME?</v>
      </c>
      <c r="X3621" s="110"/>
    </row>
    <row r="3622" ht="21.0" customHeight="1">
      <c r="A3622" s="6">
        <v>1.0</v>
      </c>
      <c r="B3622" s="6">
        <v>271.0</v>
      </c>
      <c r="C3622" s="6">
        <v>9.0</v>
      </c>
      <c r="D3622" s="161" t="s">
        <v>6017</v>
      </c>
      <c r="E3622" s="9" t="s">
        <v>6018</v>
      </c>
      <c r="F3622" s="109" t="str">
        <f t="shared" ref="F3622:G3622" si="3621">TRANSLATE(D3622,"lzh","vi")</f>
        <v>#NAME?</v>
      </c>
      <c r="G3622" s="109" t="str">
        <f t="shared" si="3621"/>
        <v>#NAME?</v>
      </c>
      <c r="X3622" s="110"/>
    </row>
    <row r="3623" ht="21.0" customHeight="1">
      <c r="A3623" s="6">
        <v>1.0</v>
      </c>
      <c r="B3623" s="6">
        <v>271.0</v>
      </c>
      <c r="C3623" s="6">
        <v>10.0</v>
      </c>
      <c r="D3623" s="161" t="s">
        <v>6019</v>
      </c>
      <c r="E3623" s="9" t="s">
        <v>6020</v>
      </c>
      <c r="F3623" s="109" t="str">
        <f t="shared" ref="F3623:G3623" si="3622">TRANSLATE(D3623,"lzh","vi")</f>
        <v>#NAME?</v>
      </c>
      <c r="G3623" s="109" t="str">
        <f t="shared" si="3622"/>
        <v>#NAME?</v>
      </c>
      <c r="X3623" s="110"/>
    </row>
    <row r="3624" ht="21.0" customHeight="1">
      <c r="A3624" s="6">
        <v>1.0</v>
      </c>
      <c r="B3624" s="6">
        <v>271.0</v>
      </c>
      <c r="C3624" s="6">
        <v>11.0</v>
      </c>
      <c r="D3624" s="161" t="s">
        <v>6021</v>
      </c>
      <c r="E3624" s="9" t="s">
        <v>6022</v>
      </c>
      <c r="F3624" s="109" t="str">
        <f t="shared" ref="F3624:G3624" si="3623">TRANSLATE(D3624,"lzh","vi")</f>
        <v>#NAME?</v>
      </c>
      <c r="G3624" s="109" t="str">
        <f t="shared" si="3623"/>
        <v>#NAME?</v>
      </c>
      <c r="X3624" s="110"/>
    </row>
    <row r="3625" ht="21.0" customHeight="1">
      <c r="A3625" s="6">
        <v>1.0</v>
      </c>
      <c r="B3625" s="6">
        <v>271.0</v>
      </c>
      <c r="C3625" s="6">
        <v>12.0</v>
      </c>
      <c r="D3625" s="161" t="s">
        <v>6023</v>
      </c>
      <c r="E3625" s="9" t="s">
        <v>6024</v>
      </c>
      <c r="F3625" s="109" t="str">
        <f t="shared" ref="F3625:G3625" si="3624">TRANSLATE(D3625,"lzh","vi")</f>
        <v>#NAME?</v>
      </c>
      <c r="G3625" s="109" t="str">
        <f t="shared" si="3624"/>
        <v>#NAME?</v>
      </c>
      <c r="X3625" s="110"/>
    </row>
    <row r="3626" ht="21.0" customHeight="1">
      <c r="A3626" s="6">
        <v>1.0</v>
      </c>
      <c r="B3626" s="6">
        <v>271.0</v>
      </c>
      <c r="C3626" s="6">
        <v>13.0</v>
      </c>
      <c r="D3626" s="161" t="s">
        <v>6025</v>
      </c>
      <c r="E3626" s="9" t="s">
        <v>6026</v>
      </c>
      <c r="F3626" s="109" t="str">
        <f t="shared" ref="F3626:G3626" si="3625">TRANSLATE(D3626,"lzh","vi")</f>
        <v>#NAME?</v>
      </c>
      <c r="G3626" s="109" t="str">
        <f t="shared" si="3625"/>
        <v>#NAME?</v>
      </c>
      <c r="X3626" s="110"/>
    </row>
    <row r="3627" ht="21.0" customHeight="1">
      <c r="A3627" s="6">
        <v>11.0</v>
      </c>
      <c r="B3627" s="6">
        <v>1084.0</v>
      </c>
      <c r="C3627" s="6">
        <v>1.0</v>
      </c>
      <c r="D3627" s="161" t="s">
        <v>6027</v>
      </c>
      <c r="E3627" s="9" t="s">
        <v>6028</v>
      </c>
      <c r="F3627" s="109" t="str">
        <f t="shared" ref="F3627:G3627" si="3626">TRANSLATE(D3627,"lzh","vi")</f>
        <v>#NAME?</v>
      </c>
      <c r="G3627" s="109" t="str">
        <f t="shared" si="3626"/>
        <v>#NAME?</v>
      </c>
      <c r="X3627" s="110"/>
    </row>
    <row r="3628" ht="21.0" customHeight="1">
      <c r="A3628" s="6">
        <v>11.0</v>
      </c>
      <c r="B3628" s="6">
        <v>1084.0</v>
      </c>
      <c r="C3628" s="6">
        <v>2.0</v>
      </c>
      <c r="D3628" s="161" t="s">
        <v>6029</v>
      </c>
      <c r="E3628" s="9" t="s">
        <v>6030</v>
      </c>
      <c r="F3628" s="109" t="str">
        <f t="shared" ref="F3628:G3628" si="3627">TRANSLATE(D3628,"lzh","vi")</f>
        <v>#NAME?</v>
      </c>
      <c r="G3628" s="109" t="str">
        <f t="shared" si="3627"/>
        <v>#NAME?</v>
      </c>
      <c r="X3628" s="110"/>
    </row>
    <row r="3629" ht="21.0" customHeight="1">
      <c r="A3629" s="6">
        <v>11.0</v>
      </c>
      <c r="B3629" s="6">
        <v>1084.0</v>
      </c>
      <c r="C3629" s="6">
        <v>3.0</v>
      </c>
      <c r="D3629" s="161" t="s">
        <v>6031</v>
      </c>
      <c r="E3629" s="9" t="s">
        <v>6032</v>
      </c>
      <c r="F3629" s="109" t="str">
        <f t="shared" ref="F3629:G3629" si="3628">TRANSLATE(D3629,"lzh","vi")</f>
        <v>#NAME?</v>
      </c>
      <c r="G3629" s="109" t="str">
        <f t="shared" si="3628"/>
        <v>#NAME?</v>
      </c>
      <c r="X3629" s="110"/>
    </row>
    <row r="3630" ht="21.0" customHeight="1">
      <c r="A3630" s="6">
        <v>11.0</v>
      </c>
      <c r="B3630" s="6">
        <v>1084.0</v>
      </c>
      <c r="C3630" s="6">
        <v>4.0</v>
      </c>
      <c r="D3630" s="161" t="s">
        <v>6033</v>
      </c>
      <c r="E3630" s="9" t="s">
        <v>6034</v>
      </c>
      <c r="F3630" s="109" t="str">
        <f t="shared" ref="F3630:G3630" si="3629">TRANSLATE(D3630,"lzh","vi")</f>
        <v>#NAME?</v>
      </c>
      <c r="G3630" s="109" t="str">
        <f t="shared" si="3629"/>
        <v>#NAME?</v>
      </c>
      <c r="X3630" s="110"/>
    </row>
    <row r="3631" ht="21.0" customHeight="1">
      <c r="A3631" s="6">
        <v>10.0</v>
      </c>
      <c r="B3631" s="6">
        <v>1084.0</v>
      </c>
      <c r="C3631" s="6">
        <v>5.0</v>
      </c>
      <c r="D3631" s="161" t="s">
        <v>6035</v>
      </c>
      <c r="E3631" s="9" t="s">
        <v>6036</v>
      </c>
      <c r="F3631" s="109" t="str">
        <f t="shared" ref="F3631:G3631" si="3630">TRANSLATE(D3631,"lzh","vi")</f>
        <v>#NAME?</v>
      </c>
      <c r="G3631" s="109" t="str">
        <f t="shared" si="3630"/>
        <v>#NAME?</v>
      </c>
      <c r="X3631" s="110"/>
    </row>
    <row r="3632" ht="21.0" customHeight="1">
      <c r="A3632" s="6">
        <v>10.0</v>
      </c>
      <c r="B3632" s="6">
        <v>1084.0</v>
      </c>
      <c r="C3632" s="6">
        <v>6.0</v>
      </c>
      <c r="D3632" s="161" t="s">
        <v>6037</v>
      </c>
      <c r="E3632" s="9" t="s">
        <v>6038</v>
      </c>
      <c r="F3632" s="109" t="str">
        <f t="shared" ref="F3632:G3632" si="3631">TRANSLATE(D3632,"lzh","vi")</f>
        <v>#NAME?</v>
      </c>
      <c r="G3632" s="109" t="str">
        <f t="shared" si="3631"/>
        <v>#NAME?</v>
      </c>
      <c r="X3632" s="110"/>
    </row>
    <row r="3633" ht="21.0" customHeight="1">
      <c r="A3633" s="6">
        <v>10.0</v>
      </c>
      <c r="B3633" s="6">
        <v>1084.0</v>
      </c>
      <c r="C3633" s="6">
        <v>7.0</v>
      </c>
      <c r="D3633" s="161" t="s">
        <v>6039</v>
      </c>
      <c r="E3633" s="9" t="s">
        <v>6040</v>
      </c>
      <c r="F3633" s="109" t="str">
        <f t="shared" ref="F3633:G3633" si="3632">TRANSLATE(D3633,"lzh","vi")</f>
        <v>#NAME?</v>
      </c>
      <c r="G3633" s="109" t="str">
        <f t="shared" si="3632"/>
        <v>#NAME?</v>
      </c>
      <c r="X3633" s="110"/>
    </row>
    <row r="3634" ht="21.0" customHeight="1">
      <c r="A3634" s="6">
        <v>10.0</v>
      </c>
      <c r="B3634" s="6">
        <v>1084.0</v>
      </c>
      <c r="C3634" s="6">
        <v>8.0</v>
      </c>
      <c r="D3634" s="161" t="s">
        <v>6041</v>
      </c>
      <c r="E3634" s="9" t="s">
        <v>6042</v>
      </c>
      <c r="F3634" s="109" t="str">
        <f t="shared" ref="F3634:G3634" si="3633">TRANSLATE(D3634,"lzh","vi")</f>
        <v>#NAME?</v>
      </c>
      <c r="G3634" s="109" t="str">
        <f t="shared" si="3633"/>
        <v>#NAME?</v>
      </c>
      <c r="X3634" s="110"/>
    </row>
    <row r="3635" ht="21.0" customHeight="1">
      <c r="A3635" s="6">
        <v>10.0</v>
      </c>
      <c r="B3635" s="6">
        <v>1084.0</v>
      </c>
      <c r="C3635" s="6">
        <v>9.0</v>
      </c>
      <c r="D3635" s="161" t="s">
        <v>6043</v>
      </c>
      <c r="E3635" s="9" t="s">
        <v>6044</v>
      </c>
      <c r="F3635" s="109" t="str">
        <f t="shared" ref="F3635:G3635" si="3634">TRANSLATE(D3635,"lzh","vi")</f>
        <v>#NAME?</v>
      </c>
      <c r="G3635" s="109" t="str">
        <f t="shared" si="3634"/>
        <v>#NAME?</v>
      </c>
      <c r="X3635" s="110"/>
    </row>
    <row r="3636" ht="21.0" customHeight="1">
      <c r="A3636" s="6">
        <v>10.0</v>
      </c>
      <c r="B3636" s="6">
        <v>1084.0</v>
      </c>
      <c r="C3636" s="6">
        <v>10.0</v>
      </c>
      <c r="D3636" s="161" t="s">
        <v>6045</v>
      </c>
      <c r="E3636" s="9" t="s">
        <v>6046</v>
      </c>
      <c r="F3636" s="109" t="str">
        <f t="shared" ref="F3636:G3636" si="3635">TRANSLATE(D3636,"lzh","vi")</f>
        <v>#NAME?</v>
      </c>
      <c r="G3636" s="109" t="str">
        <f t="shared" si="3635"/>
        <v>#NAME?</v>
      </c>
      <c r="X3636" s="110"/>
    </row>
    <row r="3637" ht="21.0" customHeight="1">
      <c r="A3637" s="6">
        <v>11.0</v>
      </c>
      <c r="B3637" s="6">
        <v>1085.0</v>
      </c>
      <c r="C3637" s="6">
        <v>1.0</v>
      </c>
      <c r="D3637" s="161" t="s">
        <v>6047</v>
      </c>
      <c r="E3637" s="9" t="s">
        <v>6048</v>
      </c>
      <c r="F3637" s="109" t="str">
        <f t="shared" ref="F3637:G3637" si="3636">TRANSLATE(D3637,"lzh","vi")</f>
        <v>#NAME?</v>
      </c>
      <c r="G3637" s="109" t="str">
        <f t="shared" si="3636"/>
        <v>#NAME?</v>
      </c>
      <c r="X3637" s="110"/>
    </row>
    <row r="3638" ht="21.0" customHeight="1">
      <c r="A3638" s="6">
        <v>11.0</v>
      </c>
      <c r="B3638" s="6">
        <v>1085.0</v>
      </c>
      <c r="C3638" s="6">
        <v>2.0</v>
      </c>
      <c r="D3638" s="161" t="s">
        <v>6049</v>
      </c>
      <c r="E3638" s="9" t="s">
        <v>6050</v>
      </c>
      <c r="F3638" s="109" t="str">
        <f t="shared" ref="F3638:G3638" si="3637">TRANSLATE(D3638,"lzh","vi")</f>
        <v>#NAME?</v>
      </c>
      <c r="G3638" s="109" t="str">
        <f t="shared" si="3637"/>
        <v>#NAME?</v>
      </c>
      <c r="X3638" s="110"/>
    </row>
    <row r="3639" ht="21.0" customHeight="1">
      <c r="A3639" s="6">
        <v>11.0</v>
      </c>
      <c r="B3639" s="6">
        <v>1085.0</v>
      </c>
      <c r="C3639" s="6">
        <v>3.0</v>
      </c>
      <c r="D3639" s="161" t="s">
        <v>6051</v>
      </c>
      <c r="E3639" s="9" t="s">
        <v>6052</v>
      </c>
      <c r="F3639" s="109" t="str">
        <f t="shared" ref="F3639:G3639" si="3638">TRANSLATE(D3639,"lzh","vi")</f>
        <v>#NAME?</v>
      </c>
      <c r="G3639" s="109" t="str">
        <f t="shared" si="3638"/>
        <v>#NAME?</v>
      </c>
      <c r="X3639" s="110"/>
    </row>
    <row r="3640" ht="21.0" customHeight="1">
      <c r="A3640" s="6">
        <v>11.0</v>
      </c>
      <c r="B3640" s="6">
        <v>1085.0</v>
      </c>
      <c r="C3640" s="6">
        <v>4.0</v>
      </c>
      <c r="D3640" s="161" t="s">
        <v>6053</v>
      </c>
      <c r="E3640" s="9" t="s">
        <v>6054</v>
      </c>
      <c r="F3640" s="109" t="str">
        <f t="shared" ref="F3640:G3640" si="3639">TRANSLATE(D3640,"lzh","vi")</f>
        <v>#NAME?</v>
      </c>
      <c r="G3640" s="109" t="str">
        <f t="shared" si="3639"/>
        <v>#NAME?</v>
      </c>
      <c r="X3640" s="110"/>
    </row>
    <row r="3641" ht="21.0" customHeight="1">
      <c r="A3641" s="6">
        <v>10.0</v>
      </c>
      <c r="B3641" s="6">
        <v>1085.0</v>
      </c>
      <c r="C3641" s="6">
        <v>5.0</v>
      </c>
      <c r="D3641" s="161" t="s">
        <v>6055</v>
      </c>
      <c r="E3641" s="9" t="s">
        <v>6056</v>
      </c>
      <c r="F3641" s="109" t="str">
        <f t="shared" ref="F3641:G3641" si="3640">TRANSLATE(D3641,"lzh","vi")</f>
        <v>#NAME?</v>
      </c>
      <c r="G3641" s="109" t="str">
        <f t="shared" si="3640"/>
        <v>#NAME?</v>
      </c>
      <c r="X3641" s="110"/>
    </row>
    <row r="3642" ht="21.0" customHeight="1">
      <c r="A3642" s="6">
        <v>10.0</v>
      </c>
      <c r="B3642" s="6">
        <v>1085.0</v>
      </c>
      <c r="C3642" s="6">
        <v>6.0</v>
      </c>
      <c r="D3642" s="161" t="s">
        <v>6057</v>
      </c>
      <c r="E3642" s="9" t="s">
        <v>6058</v>
      </c>
      <c r="F3642" s="109" t="str">
        <f t="shared" ref="F3642:G3642" si="3641">TRANSLATE(D3642,"lzh","vi")</f>
        <v>#NAME?</v>
      </c>
      <c r="G3642" s="109" t="str">
        <f t="shared" si="3641"/>
        <v>#NAME?</v>
      </c>
      <c r="X3642" s="110"/>
    </row>
    <row r="3643" ht="21.0" customHeight="1">
      <c r="A3643" s="6">
        <v>10.0</v>
      </c>
      <c r="B3643" s="6">
        <v>1085.0</v>
      </c>
      <c r="C3643" s="6">
        <v>7.0</v>
      </c>
      <c r="D3643" s="161" t="s">
        <v>6059</v>
      </c>
      <c r="E3643" s="9" t="s">
        <v>6060</v>
      </c>
      <c r="F3643" s="109" t="str">
        <f t="shared" ref="F3643:G3643" si="3642">TRANSLATE(D3643,"lzh","vi")</f>
        <v>#NAME?</v>
      </c>
      <c r="G3643" s="109" t="str">
        <f t="shared" si="3642"/>
        <v>#NAME?</v>
      </c>
      <c r="X3643" s="110"/>
    </row>
    <row r="3644" ht="21.0" customHeight="1">
      <c r="A3644" s="6">
        <v>10.0</v>
      </c>
      <c r="B3644" s="6">
        <v>1085.0</v>
      </c>
      <c r="C3644" s="6">
        <v>8.0</v>
      </c>
      <c r="D3644" s="161" t="s">
        <v>6061</v>
      </c>
      <c r="E3644" s="9" t="s">
        <v>6062</v>
      </c>
      <c r="F3644" s="109" t="str">
        <f t="shared" ref="F3644:G3644" si="3643">TRANSLATE(D3644,"lzh","vi")</f>
        <v>#NAME?</v>
      </c>
      <c r="G3644" s="109" t="str">
        <f t="shared" si="3643"/>
        <v>#NAME?</v>
      </c>
      <c r="X3644" s="110"/>
    </row>
    <row r="3645" ht="21.0" customHeight="1">
      <c r="A3645" s="6">
        <v>10.0</v>
      </c>
      <c r="B3645" s="6">
        <v>1085.0</v>
      </c>
      <c r="C3645" s="6">
        <v>9.0</v>
      </c>
      <c r="D3645" s="161" t="s">
        <v>6063</v>
      </c>
      <c r="E3645" s="9" t="s">
        <v>6064</v>
      </c>
      <c r="F3645" s="109" t="str">
        <f t="shared" ref="F3645:G3645" si="3644">TRANSLATE(D3645,"lzh","vi")</f>
        <v>#NAME?</v>
      </c>
      <c r="G3645" s="109" t="str">
        <f t="shared" si="3644"/>
        <v>#NAME?</v>
      </c>
      <c r="X3645" s="110"/>
    </row>
    <row r="3646" ht="21.0" customHeight="1">
      <c r="A3646" s="6">
        <v>10.0</v>
      </c>
      <c r="B3646" s="6">
        <v>1085.0</v>
      </c>
      <c r="C3646" s="6">
        <v>10.0</v>
      </c>
      <c r="D3646" s="161" t="s">
        <v>6065</v>
      </c>
      <c r="E3646" s="9" t="s">
        <v>6046</v>
      </c>
      <c r="F3646" s="109" t="str">
        <f t="shared" ref="F3646:G3646" si="3645">TRANSLATE(D3646,"lzh","vi")</f>
        <v>#NAME?</v>
      </c>
      <c r="G3646" s="109" t="str">
        <f t="shared" si="3645"/>
        <v>#NAME?</v>
      </c>
      <c r="X3646" s="110"/>
    </row>
    <row r="3647" ht="21.0" customHeight="1">
      <c r="A3647" s="6">
        <v>1.0</v>
      </c>
      <c r="B3647" s="6">
        <v>272.0</v>
      </c>
      <c r="C3647" s="6">
        <v>1.0</v>
      </c>
      <c r="D3647" s="161" t="s">
        <v>6066</v>
      </c>
      <c r="E3647" s="9" t="s">
        <v>6067</v>
      </c>
      <c r="F3647" s="109" t="str">
        <f t="shared" ref="F3647:G3647" si="3646">TRANSLATE(D3647,"lzh","vi")</f>
        <v>#NAME?</v>
      </c>
      <c r="G3647" s="109" t="str">
        <f t="shared" si="3646"/>
        <v>#NAME?</v>
      </c>
      <c r="X3647" s="110"/>
    </row>
    <row r="3648" ht="21.0" customHeight="1">
      <c r="A3648" s="6">
        <v>1.0</v>
      </c>
      <c r="B3648" s="6">
        <v>272.0</v>
      </c>
      <c r="C3648" s="6">
        <v>2.0</v>
      </c>
      <c r="D3648" s="161" t="s">
        <v>6068</v>
      </c>
      <c r="E3648" s="9" t="s">
        <v>6069</v>
      </c>
      <c r="F3648" s="109" t="str">
        <f t="shared" ref="F3648:G3648" si="3647">TRANSLATE(D3648,"lzh","vi")</f>
        <v>#NAME?</v>
      </c>
      <c r="G3648" s="109" t="str">
        <f t="shared" si="3647"/>
        <v>#NAME?</v>
      </c>
      <c r="X3648" s="110"/>
    </row>
    <row r="3649" ht="21.0" customHeight="1">
      <c r="A3649" s="6">
        <v>1.0</v>
      </c>
      <c r="B3649" s="6">
        <v>272.0</v>
      </c>
      <c r="C3649" s="6">
        <v>3.0</v>
      </c>
      <c r="D3649" s="161" t="s">
        <v>6070</v>
      </c>
      <c r="E3649" s="9" t="s">
        <v>6071</v>
      </c>
      <c r="F3649" s="109" t="str">
        <f t="shared" ref="F3649:G3649" si="3648">TRANSLATE(D3649,"lzh","vi")</f>
        <v>#NAME?</v>
      </c>
      <c r="G3649" s="109" t="str">
        <f t="shared" si="3648"/>
        <v>#NAME?</v>
      </c>
      <c r="X3649" s="110"/>
    </row>
    <row r="3650" ht="21.0" customHeight="1">
      <c r="A3650" s="6">
        <v>1.0</v>
      </c>
      <c r="B3650" s="6">
        <v>272.0</v>
      </c>
      <c r="C3650" s="6">
        <v>4.0</v>
      </c>
      <c r="D3650" s="161" t="s">
        <v>6072</v>
      </c>
      <c r="E3650" s="9" t="s">
        <v>6073</v>
      </c>
      <c r="F3650" s="109" t="str">
        <f t="shared" ref="F3650:G3650" si="3649">TRANSLATE(D3650,"lzh","vi")</f>
        <v>#NAME?</v>
      </c>
      <c r="G3650" s="109" t="str">
        <f t="shared" si="3649"/>
        <v>#NAME?</v>
      </c>
      <c r="X3650" s="110"/>
    </row>
    <row r="3651" ht="21.0" customHeight="1">
      <c r="A3651" s="6">
        <v>1.0</v>
      </c>
      <c r="B3651" s="6">
        <v>272.0</v>
      </c>
      <c r="C3651" s="6">
        <v>5.0</v>
      </c>
      <c r="D3651" s="161" t="s">
        <v>6074</v>
      </c>
      <c r="E3651" s="9" t="s">
        <v>6075</v>
      </c>
      <c r="F3651" s="109" t="str">
        <f t="shared" ref="F3651:G3651" si="3650">TRANSLATE(D3651,"lzh","vi")</f>
        <v>#NAME?</v>
      </c>
      <c r="G3651" s="109" t="str">
        <f t="shared" si="3650"/>
        <v>#NAME?</v>
      </c>
      <c r="X3651" s="110"/>
    </row>
    <row r="3652" ht="21.0" customHeight="1">
      <c r="A3652" s="6">
        <v>1.0</v>
      </c>
      <c r="B3652" s="6">
        <v>272.0</v>
      </c>
      <c r="C3652" s="6">
        <v>6.0</v>
      </c>
      <c r="D3652" s="171" t="s">
        <v>6076</v>
      </c>
      <c r="E3652" s="9" t="s">
        <v>6077</v>
      </c>
      <c r="F3652" s="109" t="str">
        <f t="shared" ref="F3652:G3652" si="3651">TRANSLATE(D3652,"lzh","vi")</f>
        <v>#NAME?</v>
      </c>
      <c r="G3652" s="109" t="str">
        <f t="shared" si="3651"/>
        <v>#NAME?</v>
      </c>
      <c r="X3652" s="110"/>
    </row>
    <row r="3653" ht="21.0" customHeight="1">
      <c r="A3653" s="6">
        <v>1.0</v>
      </c>
      <c r="B3653" s="6">
        <v>272.0</v>
      </c>
      <c r="C3653" s="6">
        <v>7.0</v>
      </c>
      <c r="D3653" s="161" t="s">
        <v>6078</v>
      </c>
      <c r="E3653" s="9" t="s">
        <v>6079</v>
      </c>
      <c r="F3653" s="109" t="str">
        <f t="shared" ref="F3653:G3653" si="3652">TRANSLATE(D3653,"lzh","vi")</f>
        <v>#NAME?</v>
      </c>
      <c r="G3653" s="109" t="str">
        <f t="shared" si="3652"/>
        <v>#NAME?</v>
      </c>
      <c r="X3653" s="110"/>
    </row>
    <row r="3654" ht="21.0" customHeight="1">
      <c r="A3654" s="6">
        <v>1.0</v>
      </c>
      <c r="B3654" s="6">
        <v>272.0</v>
      </c>
      <c r="C3654" s="6">
        <v>8.0</v>
      </c>
      <c r="D3654" s="161" t="s">
        <v>6080</v>
      </c>
      <c r="E3654" s="9" t="s">
        <v>6081</v>
      </c>
      <c r="F3654" s="109" t="str">
        <f t="shared" ref="F3654:G3654" si="3653">TRANSLATE(D3654,"lzh","vi")</f>
        <v>#NAME?</v>
      </c>
      <c r="G3654" s="109" t="str">
        <f t="shared" si="3653"/>
        <v>#NAME?</v>
      </c>
      <c r="X3654" s="110"/>
    </row>
    <row r="3655" ht="21.0" customHeight="1">
      <c r="A3655" s="6">
        <v>1.0</v>
      </c>
      <c r="B3655" s="6">
        <v>272.0</v>
      </c>
      <c r="C3655" s="6">
        <v>9.0</v>
      </c>
      <c r="D3655" s="161" t="s">
        <v>6082</v>
      </c>
      <c r="E3655" s="9" t="s">
        <v>6083</v>
      </c>
      <c r="F3655" s="109" t="str">
        <f t="shared" ref="F3655:G3655" si="3654">TRANSLATE(D3655,"lzh","vi")</f>
        <v>#NAME?</v>
      </c>
      <c r="G3655" s="109" t="str">
        <f t="shared" si="3654"/>
        <v>#NAME?</v>
      </c>
      <c r="X3655" s="110"/>
    </row>
    <row r="3656" ht="21.0" customHeight="1">
      <c r="A3656" s="6">
        <v>1.0</v>
      </c>
      <c r="B3656" s="6">
        <v>272.0</v>
      </c>
      <c r="C3656" s="6">
        <v>10.0</v>
      </c>
      <c r="D3656" s="161" t="s">
        <v>6084</v>
      </c>
      <c r="E3656" s="9" t="s">
        <v>6085</v>
      </c>
      <c r="F3656" s="109" t="str">
        <f t="shared" ref="F3656:G3656" si="3655">TRANSLATE(D3656,"lzh","vi")</f>
        <v>#NAME?</v>
      </c>
      <c r="G3656" s="109" t="str">
        <f t="shared" si="3655"/>
        <v>#NAME?</v>
      </c>
      <c r="X3656" s="110"/>
    </row>
    <row r="3657" ht="21.0" customHeight="1">
      <c r="A3657" s="6">
        <v>1.0</v>
      </c>
      <c r="B3657" s="6">
        <v>272.0</v>
      </c>
      <c r="C3657" s="6">
        <v>11.0</v>
      </c>
      <c r="D3657" s="161" t="s">
        <v>6086</v>
      </c>
      <c r="E3657" s="9" t="s">
        <v>6087</v>
      </c>
      <c r="F3657" s="109" t="str">
        <f t="shared" ref="F3657:G3657" si="3656">TRANSLATE(D3657,"lzh","vi")</f>
        <v>#NAME?</v>
      </c>
      <c r="G3657" s="109" t="str">
        <f t="shared" si="3656"/>
        <v>#NAME?</v>
      </c>
      <c r="X3657" s="110"/>
    </row>
    <row r="3658" ht="21.0" customHeight="1">
      <c r="A3658" s="6">
        <v>1.0</v>
      </c>
      <c r="B3658" s="6">
        <v>272.0</v>
      </c>
      <c r="C3658" s="6">
        <v>12.0</v>
      </c>
      <c r="D3658" s="161" t="s">
        <v>6088</v>
      </c>
      <c r="E3658" s="9" t="s">
        <v>6089</v>
      </c>
      <c r="F3658" s="109" t="str">
        <f t="shared" ref="F3658:G3658" si="3657">TRANSLATE(D3658,"lzh","vi")</f>
        <v>#NAME?</v>
      </c>
      <c r="G3658" s="109" t="str">
        <f t="shared" si="3657"/>
        <v>#NAME?</v>
      </c>
      <c r="X3658" s="110"/>
    </row>
    <row r="3659" ht="21.0" customHeight="1">
      <c r="A3659" s="6">
        <v>1.0</v>
      </c>
      <c r="B3659" s="6">
        <v>272.0</v>
      </c>
      <c r="C3659" s="6">
        <v>13.0</v>
      </c>
      <c r="D3659" s="161" t="s">
        <v>6090</v>
      </c>
      <c r="E3659" s="9" t="s">
        <v>6091</v>
      </c>
      <c r="F3659" s="109" t="str">
        <f t="shared" ref="F3659:G3659" si="3658">TRANSLATE(D3659,"lzh","vi")</f>
        <v>#NAME?</v>
      </c>
      <c r="G3659" s="109" t="str">
        <f t="shared" si="3658"/>
        <v>#NAME?</v>
      </c>
      <c r="X3659" s="110"/>
    </row>
    <row r="3660" ht="21.0" customHeight="1">
      <c r="A3660" s="6">
        <v>1.0</v>
      </c>
      <c r="B3660" s="6">
        <v>273.0</v>
      </c>
      <c r="C3660" s="6">
        <v>1.0</v>
      </c>
      <c r="D3660" s="161" t="s">
        <v>6092</v>
      </c>
      <c r="E3660" s="9" t="s">
        <v>6093</v>
      </c>
      <c r="F3660" s="109" t="str">
        <f t="shared" ref="F3660:G3660" si="3659">TRANSLATE(D3660,"lzh","vi")</f>
        <v>#NAME?</v>
      </c>
      <c r="G3660" s="109" t="str">
        <f t="shared" si="3659"/>
        <v>#NAME?</v>
      </c>
      <c r="X3660" s="110"/>
    </row>
    <row r="3661" ht="21.0" customHeight="1">
      <c r="A3661" s="6">
        <v>1.0</v>
      </c>
      <c r="B3661" s="6">
        <v>273.0</v>
      </c>
      <c r="C3661" s="6">
        <v>2.0</v>
      </c>
      <c r="D3661" s="161" t="s">
        <v>6094</v>
      </c>
      <c r="E3661" s="9" t="s">
        <v>6095</v>
      </c>
      <c r="F3661" s="109" t="str">
        <f t="shared" ref="F3661:G3661" si="3660">TRANSLATE(D3661,"lzh","vi")</f>
        <v>#NAME?</v>
      </c>
      <c r="G3661" s="109" t="str">
        <f t="shared" si="3660"/>
        <v>#NAME?</v>
      </c>
      <c r="X3661" s="110"/>
    </row>
    <row r="3662" ht="21.0" customHeight="1">
      <c r="A3662" s="6">
        <v>1.0</v>
      </c>
      <c r="B3662" s="6">
        <v>273.0</v>
      </c>
      <c r="C3662" s="6">
        <v>3.0</v>
      </c>
      <c r="D3662" s="161" t="s">
        <v>6096</v>
      </c>
      <c r="E3662" s="9" t="s">
        <v>6097</v>
      </c>
      <c r="F3662" s="109" t="str">
        <f t="shared" ref="F3662:G3662" si="3661">TRANSLATE(D3662,"lzh","vi")</f>
        <v>#NAME?</v>
      </c>
      <c r="G3662" s="109" t="str">
        <f t="shared" si="3661"/>
        <v>#NAME?</v>
      </c>
      <c r="X3662" s="110"/>
    </row>
    <row r="3663" ht="21.0" customHeight="1">
      <c r="A3663" s="6">
        <v>1.0</v>
      </c>
      <c r="B3663" s="6">
        <v>273.0</v>
      </c>
      <c r="C3663" s="6">
        <v>4.0</v>
      </c>
      <c r="D3663" s="161" t="s">
        <v>6098</v>
      </c>
      <c r="E3663" s="9" t="s">
        <v>6099</v>
      </c>
      <c r="F3663" s="109" t="str">
        <f t="shared" ref="F3663:G3663" si="3662">TRANSLATE(D3663,"lzh","vi")</f>
        <v>#NAME?</v>
      </c>
      <c r="G3663" s="109" t="str">
        <f t="shared" si="3662"/>
        <v>#NAME?</v>
      </c>
      <c r="X3663" s="110"/>
    </row>
    <row r="3664" ht="21.0" customHeight="1">
      <c r="A3664" s="6">
        <v>1.0</v>
      </c>
      <c r="B3664" s="6">
        <v>273.0</v>
      </c>
      <c r="C3664" s="6">
        <v>5.0</v>
      </c>
      <c r="D3664" s="161" t="s">
        <v>6100</v>
      </c>
      <c r="E3664" s="9" t="s">
        <v>6101</v>
      </c>
      <c r="F3664" s="109" t="str">
        <f t="shared" ref="F3664:G3664" si="3663">TRANSLATE(D3664,"lzh","vi")</f>
        <v>#NAME?</v>
      </c>
      <c r="G3664" s="109" t="str">
        <f t="shared" si="3663"/>
        <v>#NAME?</v>
      </c>
      <c r="X3664" s="110"/>
    </row>
    <row r="3665" ht="21.0" customHeight="1">
      <c r="A3665" s="6">
        <v>1.0</v>
      </c>
      <c r="B3665" s="6">
        <v>273.0</v>
      </c>
      <c r="C3665" s="6">
        <v>6.0</v>
      </c>
      <c r="D3665" s="161" t="s">
        <v>6102</v>
      </c>
      <c r="E3665" s="9" t="s">
        <v>6103</v>
      </c>
      <c r="F3665" s="109" t="str">
        <f t="shared" ref="F3665:G3665" si="3664">TRANSLATE(D3665,"lzh","vi")</f>
        <v>#NAME?</v>
      </c>
      <c r="G3665" s="109" t="str">
        <f t="shared" si="3664"/>
        <v>#NAME?</v>
      </c>
      <c r="X3665" s="110"/>
    </row>
    <row r="3666" ht="21.0" customHeight="1">
      <c r="A3666" s="6">
        <v>1.0</v>
      </c>
      <c r="B3666" s="6">
        <v>273.0</v>
      </c>
      <c r="C3666" s="6">
        <v>7.0</v>
      </c>
      <c r="D3666" s="161" t="s">
        <v>6104</v>
      </c>
      <c r="E3666" s="9" t="s">
        <v>6105</v>
      </c>
      <c r="F3666" s="109" t="str">
        <f t="shared" ref="F3666:G3666" si="3665">TRANSLATE(D3666,"lzh","vi")</f>
        <v>#NAME?</v>
      </c>
      <c r="G3666" s="109" t="str">
        <f t="shared" si="3665"/>
        <v>#NAME?</v>
      </c>
      <c r="X3666" s="110"/>
    </row>
    <row r="3667" ht="21.0" customHeight="1">
      <c r="A3667" s="6">
        <v>1.0</v>
      </c>
      <c r="B3667" s="6">
        <v>273.0</v>
      </c>
      <c r="C3667" s="6">
        <v>8.0</v>
      </c>
      <c r="D3667" s="161" t="s">
        <v>6106</v>
      </c>
      <c r="E3667" s="9" t="s">
        <v>6107</v>
      </c>
      <c r="F3667" s="109" t="str">
        <f t="shared" ref="F3667:G3667" si="3666">TRANSLATE(D3667,"lzh","vi")</f>
        <v>#NAME?</v>
      </c>
      <c r="G3667" s="109" t="str">
        <f t="shared" si="3666"/>
        <v>#NAME?</v>
      </c>
      <c r="X3667" s="110"/>
    </row>
    <row r="3668" ht="21.0" customHeight="1">
      <c r="A3668" s="6">
        <v>1.0</v>
      </c>
      <c r="B3668" s="6">
        <v>273.0</v>
      </c>
      <c r="C3668" s="6">
        <v>9.0</v>
      </c>
      <c r="D3668" s="161" t="s">
        <v>6108</v>
      </c>
      <c r="E3668" s="9" t="s">
        <v>6109</v>
      </c>
      <c r="F3668" s="109" t="str">
        <f t="shared" ref="F3668:G3668" si="3667">TRANSLATE(D3668,"lzh","vi")</f>
        <v>#NAME?</v>
      </c>
      <c r="G3668" s="109" t="str">
        <f t="shared" si="3667"/>
        <v>#NAME?</v>
      </c>
      <c r="X3668" s="110"/>
    </row>
    <row r="3669" ht="21.0" customHeight="1">
      <c r="A3669" s="6">
        <v>1.0</v>
      </c>
      <c r="B3669" s="6">
        <v>273.0</v>
      </c>
      <c r="C3669" s="6">
        <v>10.0</v>
      </c>
      <c r="D3669" s="161" t="s">
        <v>6110</v>
      </c>
      <c r="E3669" s="9" t="s">
        <v>6111</v>
      </c>
      <c r="F3669" s="109" t="str">
        <f t="shared" ref="F3669:G3669" si="3668">TRANSLATE(D3669,"lzh","vi")</f>
        <v>#NAME?</v>
      </c>
      <c r="G3669" s="109" t="str">
        <f t="shared" si="3668"/>
        <v>#NAME?</v>
      </c>
      <c r="X3669" s="110"/>
    </row>
    <row r="3670" ht="21.0" customHeight="1">
      <c r="A3670" s="6">
        <v>1.0</v>
      </c>
      <c r="B3670" s="6">
        <v>273.0</v>
      </c>
      <c r="C3670" s="6">
        <v>11.0</v>
      </c>
      <c r="D3670" s="161" t="s">
        <v>6112</v>
      </c>
      <c r="E3670" s="9" t="s">
        <v>6113</v>
      </c>
      <c r="F3670" s="109" t="str">
        <f t="shared" ref="F3670:G3670" si="3669">TRANSLATE(D3670,"lzh","vi")</f>
        <v>#NAME?</v>
      </c>
      <c r="G3670" s="109" t="str">
        <f t="shared" si="3669"/>
        <v>#NAME?</v>
      </c>
      <c r="X3670" s="110"/>
    </row>
    <row r="3671" ht="21.0" customHeight="1">
      <c r="A3671" s="6">
        <v>1.0</v>
      </c>
      <c r="B3671" s="6">
        <v>273.0</v>
      </c>
      <c r="C3671" s="6">
        <v>12.0</v>
      </c>
      <c r="D3671" s="122" t="s">
        <v>6114</v>
      </c>
      <c r="E3671" s="9" t="s">
        <v>6115</v>
      </c>
      <c r="F3671" s="109" t="str">
        <f t="shared" ref="F3671:G3671" si="3670">TRANSLATE(D3671,"lzh","vi")</f>
        <v>#NAME?</v>
      </c>
      <c r="G3671" s="109" t="str">
        <f t="shared" si="3670"/>
        <v>#NAME?</v>
      </c>
      <c r="X3671" s="110"/>
    </row>
    <row r="3672" ht="21.0" customHeight="1">
      <c r="A3672" s="6">
        <v>1.0</v>
      </c>
      <c r="B3672" s="6">
        <v>273.0</v>
      </c>
      <c r="C3672" s="6">
        <v>13.0</v>
      </c>
      <c r="D3672" s="161" t="s">
        <v>6116</v>
      </c>
      <c r="E3672" s="9" t="s">
        <v>6117</v>
      </c>
      <c r="F3672" s="109" t="str">
        <f t="shared" ref="F3672:G3672" si="3671">TRANSLATE(D3672,"lzh","vi")</f>
        <v>#NAME?</v>
      </c>
      <c r="G3672" s="109" t="str">
        <f t="shared" si="3671"/>
        <v>#NAME?</v>
      </c>
      <c r="X3672" s="110"/>
    </row>
    <row r="3673" ht="21.0" customHeight="1">
      <c r="A3673" s="6">
        <v>1.0</v>
      </c>
      <c r="B3673" s="6">
        <v>274.0</v>
      </c>
      <c r="C3673" s="6">
        <v>1.0</v>
      </c>
      <c r="D3673" s="161" t="s">
        <v>6118</v>
      </c>
      <c r="E3673" s="9" t="s">
        <v>6119</v>
      </c>
      <c r="F3673" s="109" t="str">
        <f t="shared" ref="F3673:G3673" si="3672">TRANSLATE(D3673,"lzh","vi")</f>
        <v>#NAME?</v>
      </c>
      <c r="G3673" s="109" t="str">
        <f t="shared" si="3672"/>
        <v>#NAME?</v>
      </c>
      <c r="X3673" s="110"/>
    </row>
    <row r="3674" ht="21.0" customHeight="1">
      <c r="A3674" s="6">
        <v>1.0</v>
      </c>
      <c r="B3674" s="6">
        <v>274.0</v>
      </c>
      <c r="C3674" s="6">
        <v>2.0</v>
      </c>
      <c r="D3674" s="161" t="s">
        <v>6120</v>
      </c>
      <c r="E3674" s="9" t="s">
        <v>6121</v>
      </c>
      <c r="F3674" s="109" t="str">
        <f t="shared" ref="F3674:G3674" si="3673">TRANSLATE(D3674,"lzh","vi")</f>
        <v>#NAME?</v>
      </c>
      <c r="G3674" s="109" t="str">
        <f t="shared" si="3673"/>
        <v>#NAME?</v>
      </c>
      <c r="X3674" s="110"/>
    </row>
    <row r="3675" ht="21.0" customHeight="1">
      <c r="A3675" s="6">
        <v>1.0</v>
      </c>
      <c r="B3675" s="6">
        <v>274.0</v>
      </c>
      <c r="C3675" s="6">
        <v>3.0</v>
      </c>
      <c r="D3675" s="161" t="s">
        <v>6122</v>
      </c>
      <c r="E3675" s="9" t="s">
        <v>6123</v>
      </c>
      <c r="F3675" s="109" t="str">
        <f t="shared" ref="F3675:G3675" si="3674">TRANSLATE(D3675,"lzh","vi")</f>
        <v>#NAME?</v>
      </c>
      <c r="G3675" s="109" t="str">
        <f t="shared" si="3674"/>
        <v>#NAME?</v>
      </c>
      <c r="X3675" s="110"/>
    </row>
    <row r="3676" ht="21.0" customHeight="1">
      <c r="A3676" s="6">
        <v>1.0</v>
      </c>
      <c r="B3676" s="6">
        <v>274.0</v>
      </c>
      <c r="C3676" s="6">
        <v>4.0</v>
      </c>
      <c r="D3676" s="161" t="s">
        <v>6124</v>
      </c>
      <c r="E3676" s="9" t="s">
        <v>6125</v>
      </c>
      <c r="F3676" s="109" t="str">
        <f t="shared" ref="F3676:G3676" si="3675">TRANSLATE(D3676,"lzh","vi")</f>
        <v>#NAME?</v>
      </c>
      <c r="G3676" s="109" t="str">
        <f t="shared" si="3675"/>
        <v>#NAME?</v>
      </c>
      <c r="X3676" s="110"/>
    </row>
    <row r="3677" ht="21.0" customHeight="1">
      <c r="A3677" s="6">
        <v>1.0</v>
      </c>
      <c r="B3677" s="6">
        <v>274.0</v>
      </c>
      <c r="C3677" s="6">
        <v>5.0</v>
      </c>
      <c r="D3677" s="122" t="s">
        <v>6126</v>
      </c>
      <c r="E3677" s="9" t="s">
        <v>6127</v>
      </c>
      <c r="F3677" s="109" t="str">
        <f t="shared" ref="F3677:G3677" si="3676">TRANSLATE(D3677,"lzh","vi")</f>
        <v>#NAME?</v>
      </c>
      <c r="G3677" s="109" t="str">
        <f t="shared" si="3676"/>
        <v>#NAME?</v>
      </c>
      <c r="X3677" s="110"/>
    </row>
    <row r="3678" ht="21.0" customHeight="1">
      <c r="A3678" s="6">
        <v>1.0</v>
      </c>
      <c r="B3678" s="6">
        <v>274.0</v>
      </c>
      <c r="C3678" s="6">
        <v>6.0</v>
      </c>
      <c r="D3678" s="161" t="s">
        <v>6128</v>
      </c>
      <c r="E3678" s="9" t="s">
        <v>6129</v>
      </c>
      <c r="F3678" s="109" t="str">
        <f t="shared" ref="F3678:G3678" si="3677">TRANSLATE(D3678,"lzh","vi")</f>
        <v>#NAME?</v>
      </c>
      <c r="G3678" s="109" t="str">
        <f t="shared" si="3677"/>
        <v>#NAME?</v>
      </c>
      <c r="X3678" s="110"/>
    </row>
    <row r="3679" ht="21.0" customHeight="1">
      <c r="A3679" s="6">
        <v>1.0</v>
      </c>
      <c r="B3679" s="6">
        <v>274.0</v>
      </c>
      <c r="C3679" s="6">
        <v>7.0</v>
      </c>
      <c r="D3679" s="169" t="s">
        <v>6130</v>
      </c>
      <c r="E3679" s="9" t="s">
        <v>6131</v>
      </c>
      <c r="F3679" s="109" t="str">
        <f t="shared" ref="F3679:G3679" si="3678">TRANSLATE(D3679,"lzh","vi")</f>
        <v>#NAME?</v>
      </c>
      <c r="G3679" s="109" t="str">
        <f t="shared" si="3678"/>
        <v>#NAME?</v>
      </c>
      <c r="X3679" s="110"/>
    </row>
    <row r="3680" ht="21.0" customHeight="1">
      <c r="A3680" s="6">
        <v>1.0</v>
      </c>
      <c r="B3680" s="6">
        <v>274.0</v>
      </c>
      <c r="C3680" s="6">
        <v>8.0</v>
      </c>
      <c r="D3680" s="161" t="s">
        <v>6132</v>
      </c>
      <c r="E3680" s="9" t="s">
        <v>6133</v>
      </c>
      <c r="F3680" s="109" t="str">
        <f t="shared" ref="F3680:G3680" si="3679">TRANSLATE(D3680,"lzh","vi")</f>
        <v>#NAME?</v>
      </c>
      <c r="G3680" s="109" t="str">
        <f t="shared" si="3679"/>
        <v>#NAME?</v>
      </c>
      <c r="X3680" s="110"/>
    </row>
    <row r="3681" ht="21.0" customHeight="1">
      <c r="A3681" s="6">
        <v>1.0</v>
      </c>
      <c r="B3681" s="6">
        <v>274.0</v>
      </c>
      <c r="C3681" s="6">
        <v>9.0</v>
      </c>
      <c r="D3681" s="161" t="s">
        <v>6134</v>
      </c>
      <c r="E3681" s="9" t="s">
        <v>6135</v>
      </c>
      <c r="F3681" s="109" t="str">
        <f t="shared" ref="F3681:G3681" si="3680">TRANSLATE(D3681,"lzh","vi")</f>
        <v>#NAME?</v>
      </c>
      <c r="G3681" s="109" t="str">
        <f t="shared" si="3680"/>
        <v>#NAME?</v>
      </c>
      <c r="X3681" s="110"/>
    </row>
    <row r="3682" ht="21.0" customHeight="1">
      <c r="A3682" s="6">
        <v>1.0</v>
      </c>
      <c r="B3682" s="6">
        <v>274.0</v>
      </c>
      <c r="C3682" s="6">
        <v>10.0</v>
      </c>
      <c r="D3682" s="161" t="s">
        <v>6136</v>
      </c>
      <c r="E3682" s="9" t="s">
        <v>6137</v>
      </c>
      <c r="F3682" s="109" t="str">
        <f t="shared" ref="F3682:G3682" si="3681">TRANSLATE(D3682,"lzh","vi")</f>
        <v>#NAME?</v>
      </c>
      <c r="G3682" s="109" t="str">
        <f t="shared" si="3681"/>
        <v>#NAME?</v>
      </c>
      <c r="X3682" s="110"/>
    </row>
    <row r="3683" ht="21.0" customHeight="1">
      <c r="A3683" s="6">
        <v>1.0</v>
      </c>
      <c r="B3683" s="6">
        <v>274.0</v>
      </c>
      <c r="C3683" s="6">
        <v>11.0</v>
      </c>
      <c r="D3683" s="161" t="s">
        <v>6138</v>
      </c>
      <c r="E3683" s="9" t="s">
        <v>6139</v>
      </c>
      <c r="F3683" s="109" t="str">
        <f t="shared" ref="F3683:G3683" si="3682">TRANSLATE(D3683,"lzh","vi")</f>
        <v>#NAME?</v>
      </c>
      <c r="G3683" s="109" t="str">
        <f t="shared" si="3682"/>
        <v>#NAME?</v>
      </c>
      <c r="X3683" s="110"/>
    </row>
    <row r="3684" ht="21.0" customHeight="1">
      <c r="A3684" s="6">
        <v>1.0</v>
      </c>
      <c r="B3684" s="6">
        <v>274.0</v>
      </c>
      <c r="C3684" s="6">
        <v>12.0</v>
      </c>
      <c r="D3684" s="161" t="s">
        <v>6140</v>
      </c>
      <c r="E3684" s="9" t="s">
        <v>6141</v>
      </c>
      <c r="F3684" s="109" t="str">
        <f t="shared" ref="F3684:G3684" si="3683">TRANSLATE(D3684,"lzh","vi")</f>
        <v>#NAME?</v>
      </c>
      <c r="G3684" s="109" t="str">
        <f t="shared" si="3683"/>
        <v>#NAME?</v>
      </c>
      <c r="X3684" s="110"/>
    </row>
    <row r="3685" ht="21.0" customHeight="1">
      <c r="A3685" s="6">
        <v>1.0</v>
      </c>
      <c r="B3685" s="6">
        <v>274.0</v>
      </c>
      <c r="C3685" s="6">
        <v>13.0</v>
      </c>
      <c r="D3685" s="161" t="s">
        <v>6142</v>
      </c>
      <c r="E3685" s="9" t="s">
        <v>6143</v>
      </c>
      <c r="F3685" s="109" t="str">
        <f t="shared" ref="F3685:G3685" si="3684">TRANSLATE(D3685,"lzh","vi")</f>
        <v>#NAME?</v>
      </c>
      <c r="G3685" s="109" t="str">
        <f t="shared" si="3684"/>
        <v>#NAME?</v>
      </c>
      <c r="X3685" s="110"/>
    </row>
    <row r="3686" ht="21.0" customHeight="1">
      <c r="A3686" s="6">
        <v>11.0</v>
      </c>
      <c r="B3686" s="6">
        <v>1086.0</v>
      </c>
      <c r="C3686" s="6">
        <v>1.0</v>
      </c>
      <c r="D3686" s="113" t="s">
        <v>6144</v>
      </c>
      <c r="E3686" s="9" t="s">
        <v>6145</v>
      </c>
      <c r="F3686" s="109" t="str">
        <f t="shared" ref="F3686:G3686" si="3685">TRANSLATE(D3686,"lzh","vi")</f>
        <v>#NAME?</v>
      </c>
      <c r="G3686" s="109" t="str">
        <f t="shared" si="3685"/>
        <v>#NAME?</v>
      </c>
      <c r="X3686" s="110"/>
    </row>
    <row r="3687" ht="21.0" customHeight="1">
      <c r="A3687" s="6">
        <v>11.0</v>
      </c>
      <c r="B3687" s="6">
        <v>1086.0</v>
      </c>
      <c r="C3687" s="6">
        <v>2.0</v>
      </c>
      <c r="D3687" s="161" t="s">
        <v>6146</v>
      </c>
      <c r="E3687" s="9" t="s">
        <v>6147</v>
      </c>
      <c r="F3687" s="109" t="str">
        <f t="shared" ref="F3687:G3687" si="3686">TRANSLATE(D3687,"lzh","vi")</f>
        <v>#NAME?</v>
      </c>
      <c r="G3687" s="109" t="str">
        <f t="shared" si="3686"/>
        <v>#NAME?</v>
      </c>
      <c r="X3687" s="110"/>
    </row>
    <row r="3688" ht="21.0" customHeight="1">
      <c r="A3688" s="6">
        <v>11.0</v>
      </c>
      <c r="B3688" s="6">
        <v>1086.0</v>
      </c>
      <c r="C3688" s="6">
        <v>3.0</v>
      </c>
      <c r="D3688" s="161" t="s">
        <v>6148</v>
      </c>
      <c r="E3688" s="9" t="s">
        <v>6149</v>
      </c>
      <c r="F3688" s="109" t="str">
        <f t="shared" ref="F3688:G3688" si="3687">TRANSLATE(D3688,"lzh","vi")</f>
        <v>#NAME?</v>
      </c>
      <c r="G3688" s="109" t="str">
        <f t="shared" si="3687"/>
        <v>#NAME?</v>
      </c>
      <c r="X3688" s="110"/>
    </row>
    <row r="3689" ht="21.0" customHeight="1">
      <c r="A3689" s="6">
        <v>11.0</v>
      </c>
      <c r="B3689" s="6">
        <v>1086.0</v>
      </c>
      <c r="C3689" s="6">
        <v>4.0</v>
      </c>
      <c r="D3689" s="161" t="s">
        <v>6150</v>
      </c>
      <c r="E3689" s="9" t="s">
        <v>6151</v>
      </c>
      <c r="F3689" s="109" t="str">
        <f t="shared" ref="F3689:G3689" si="3688">TRANSLATE(D3689,"lzh","vi")</f>
        <v>#NAME?</v>
      </c>
      <c r="G3689" s="109" t="str">
        <f t="shared" si="3688"/>
        <v>#NAME?</v>
      </c>
      <c r="X3689" s="110"/>
    </row>
    <row r="3690" ht="21.0" customHeight="1">
      <c r="A3690" s="6">
        <v>10.0</v>
      </c>
      <c r="B3690" s="6">
        <v>1086.0</v>
      </c>
      <c r="C3690" s="6">
        <v>5.0</v>
      </c>
      <c r="D3690" s="161" t="s">
        <v>6152</v>
      </c>
      <c r="E3690" s="9" t="s">
        <v>6153</v>
      </c>
      <c r="F3690" s="109" t="str">
        <f t="shared" ref="F3690:G3690" si="3689">TRANSLATE(D3690,"lzh","vi")</f>
        <v>#NAME?</v>
      </c>
      <c r="G3690" s="109" t="str">
        <f t="shared" si="3689"/>
        <v>#NAME?</v>
      </c>
      <c r="X3690" s="110"/>
    </row>
    <row r="3691" ht="21.0" customHeight="1">
      <c r="A3691" s="6">
        <v>10.0</v>
      </c>
      <c r="B3691" s="6">
        <v>1086.0</v>
      </c>
      <c r="C3691" s="6">
        <v>6.0</v>
      </c>
      <c r="D3691" s="161" t="s">
        <v>6154</v>
      </c>
      <c r="E3691" s="9" t="s">
        <v>6155</v>
      </c>
      <c r="F3691" s="109" t="str">
        <f t="shared" ref="F3691:G3691" si="3690">TRANSLATE(D3691,"lzh","vi")</f>
        <v>#NAME?</v>
      </c>
      <c r="G3691" s="109" t="str">
        <f t="shared" si="3690"/>
        <v>#NAME?</v>
      </c>
      <c r="X3691" s="110"/>
    </row>
    <row r="3692" ht="21.0" customHeight="1">
      <c r="A3692" s="6">
        <v>10.0</v>
      </c>
      <c r="B3692" s="6">
        <v>1086.0</v>
      </c>
      <c r="C3692" s="6">
        <v>7.0</v>
      </c>
      <c r="D3692" s="161" t="s">
        <v>6156</v>
      </c>
      <c r="E3692" s="9" t="s">
        <v>6157</v>
      </c>
      <c r="F3692" s="109" t="str">
        <f t="shared" ref="F3692:G3692" si="3691">TRANSLATE(D3692,"lzh","vi")</f>
        <v>#NAME?</v>
      </c>
      <c r="G3692" s="109" t="str">
        <f t="shared" si="3691"/>
        <v>#NAME?</v>
      </c>
      <c r="X3692" s="110"/>
    </row>
    <row r="3693" ht="21.0" customHeight="1">
      <c r="A3693" s="6">
        <v>10.0</v>
      </c>
      <c r="B3693" s="6">
        <v>1086.0</v>
      </c>
      <c r="C3693" s="6">
        <v>8.0</v>
      </c>
      <c r="D3693" s="161" t="s">
        <v>274</v>
      </c>
      <c r="E3693" s="9" t="s">
        <v>6158</v>
      </c>
      <c r="F3693" s="109" t="str">
        <f t="shared" ref="F3693:G3693" si="3692">TRANSLATE(D3693,"lzh","vi")</f>
        <v>#NAME?</v>
      </c>
      <c r="G3693" s="109" t="str">
        <f t="shared" si="3692"/>
        <v>#NAME?</v>
      </c>
      <c r="X3693" s="110"/>
    </row>
    <row r="3694" ht="21.0" customHeight="1">
      <c r="A3694" s="6">
        <v>10.0</v>
      </c>
      <c r="B3694" s="6">
        <v>1086.0</v>
      </c>
      <c r="C3694" s="6">
        <v>9.0</v>
      </c>
      <c r="D3694" s="161" t="s">
        <v>6159</v>
      </c>
      <c r="E3694" s="9" t="s">
        <v>6160</v>
      </c>
      <c r="F3694" s="109" t="str">
        <f t="shared" ref="F3694:G3694" si="3693">TRANSLATE(D3694,"lzh","vi")</f>
        <v>#NAME?</v>
      </c>
      <c r="G3694" s="109" t="str">
        <f t="shared" si="3693"/>
        <v>#NAME?</v>
      </c>
      <c r="X3694" s="110"/>
    </row>
    <row r="3695" ht="21.0" customHeight="1">
      <c r="A3695" s="6">
        <v>10.0</v>
      </c>
      <c r="B3695" s="6">
        <v>1086.0</v>
      </c>
      <c r="C3695" s="6">
        <v>10.0</v>
      </c>
      <c r="D3695" s="161" t="s">
        <v>6161</v>
      </c>
      <c r="E3695" s="9" t="s">
        <v>6162</v>
      </c>
      <c r="F3695" s="109" t="str">
        <f t="shared" ref="F3695:G3695" si="3694">TRANSLATE(D3695,"lzh","vi")</f>
        <v>#NAME?</v>
      </c>
      <c r="G3695" s="109" t="str">
        <f t="shared" si="3694"/>
        <v>#NAME?</v>
      </c>
      <c r="X3695" s="110"/>
    </row>
    <row r="3696" ht="21.0" customHeight="1">
      <c r="A3696" s="6">
        <v>11.0</v>
      </c>
      <c r="B3696" s="6">
        <v>1087.0</v>
      </c>
      <c r="C3696" s="6">
        <v>1.0</v>
      </c>
      <c r="D3696" s="113" t="s">
        <v>6163</v>
      </c>
      <c r="E3696" s="9" t="s">
        <v>6164</v>
      </c>
      <c r="F3696" s="109" t="str">
        <f t="shared" ref="F3696:G3696" si="3695">TRANSLATE(D3696,"lzh","vi")</f>
        <v>#NAME?</v>
      </c>
      <c r="G3696" s="109" t="str">
        <f t="shared" si="3695"/>
        <v>#NAME?</v>
      </c>
      <c r="X3696" s="110"/>
    </row>
    <row r="3697" ht="21.0" customHeight="1">
      <c r="A3697" s="6">
        <v>11.0</v>
      </c>
      <c r="B3697" s="6">
        <v>1087.0</v>
      </c>
      <c r="C3697" s="6">
        <v>2.0</v>
      </c>
      <c r="D3697" s="161" t="s">
        <v>6165</v>
      </c>
      <c r="E3697" s="9" t="s">
        <v>6166</v>
      </c>
      <c r="F3697" s="109" t="str">
        <f t="shared" ref="F3697:G3697" si="3696">TRANSLATE(D3697,"lzh","vi")</f>
        <v>#NAME?</v>
      </c>
      <c r="G3697" s="109" t="str">
        <f t="shared" si="3696"/>
        <v>#NAME?</v>
      </c>
      <c r="X3697" s="110"/>
    </row>
    <row r="3698" ht="21.0" customHeight="1">
      <c r="A3698" s="6">
        <v>11.0</v>
      </c>
      <c r="B3698" s="6">
        <v>1087.0</v>
      </c>
      <c r="C3698" s="6">
        <v>3.0</v>
      </c>
      <c r="D3698" s="161" t="s">
        <v>6167</v>
      </c>
      <c r="E3698" s="9" t="s">
        <v>6168</v>
      </c>
      <c r="F3698" s="109" t="str">
        <f t="shared" ref="F3698:G3698" si="3697">TRANSLATE(D3698,"lzh","vi")</f>
        <v>#NAME?</v>
      </c>
      <c r="G3698" s="109" t="str">
        <f t="shared" si="3697"/>
        <v>#NAME?</v>
      </c>
      <c r="X3698" s="110"/>
    </row>
    <row r="3699" ht="21.0" customHeight="1">
      <c r="A3699" s="6">
        <v>11.0</v>
      </c>
      <c r="B3699" s="6">
        <v>1087.0</v>
      </c>
      <c r="C3699" s="6">
        <v>4.0</v>
      </c>
      <c r="D3699" s="161" t="s">
        <v>6169</v>
      </c>
      <c r="E3699" s="9" t="s">
        <v>6170</v>
      </c>
      <c r="F3699" s="109" t="str">
        <f t="shared" ref="F3699:G3699" si="3698">TRANSLATE(D3699,"lzh","vi")</f>
        <v>#NAME?</v>
      </c>
      <c r="G3699" s="109" t="str">
        <f t="shared" si="3698"/>
        <v>#NAME?</v>
      </c>
      <c r="X3699" s="110"/>
    </row>
    <row r="3700" ht="21.0" customHeight="1">
      <c r="A3700" s="6">
        <v>10.0</v>
      </c>
      <c r="B3700" s="6">
        <v>1087.0</v>
      </c>
      <c r="C3700" s="6">
        <v>5.0</v>
      </c>
      <c r="D3700" s="161" t="s">
        <v>6171</v>
      </c>
      <c r="E3700" s="9" t="s">
        <v>6172</v>
      </c>
      <c r="F3700" s="109" t="str">
        <f t="shared" ref="F3700:G3700" si="3699">TRANSLATE(D3700,"lzh","vi")</f>
        <v>#NAME?</v>
      </c>
      <c r="G3700" s="109" t="str">
        <f t="shared" si="3699"/>
        <v>#NAME?</v>
      </c>
      <c r="X3700" s="110"/>
    </row>
    <row r="3701" ht="21.0" customHeight="1">
      <c r="A3701" s="6">
        <v>10.0</v>
      </c>
      <c r="B3701" s="6">
        <v>1087.0</v>
      </c>
      <c r="C3701" s="6">
        <v>6.0</v>
      </c>
      <c r="D3701" s="161" t="s">
        <v>6173</v>
      </c>
      <c r="E3701" s="9" t="s">
        <v>6174</v>
      </c>
      <c r="F3701" s="109" t="str">
        <f t="shared" ref="F3701:G3701" si="3700">TRANSLATE(D3701,"lzh","vi")</f>
        <v>#NAME?</v>
      </c>
      <c r="G3701" s="109" t="str">
        <f t="shared" si="3700"/>
        <v>#NAME?</v>
      </c>
      <c r="X3701" s="110"/>
    </row>
    <row r="3702" ht="21.0" customHeight="1">
      <c r="A3702" s="6">
        <v>10.0</v>
      </c>
      <c r="B3702" s="6">
        <v>1087.0</v>
      </c>
      <c r="C3702" s="6">
        <v>7.0</v>
      </c>
      <c r="D3702" s="161" t="s">
        <v>6175</v>
      </c>
      <c r="E3702" s="9" t="s">
        <v>6176</v>
      </c>
      <c r="F3702" s="109" t="str">
        <f t="shared" ref="F3702:G3702" si="3701">TRANSLATE(D3702,"lzh","vi")</f>
        <v>#NAME?</v>
      </c>
      <c r="G3702" s="109" t="str">
        <f t="shared" si="3701"/>
        <v>#NAME?</v>
      </c>
      <c r="X3702" s="110"/>
    </row>
    <row r="3703" ht="21.0" customHeight="1">
      <c r="A3703" s="6">
        <v>10.0</v>
      </c>
      <c r="B3703" s="6">
        <v>1087.0</v>
      </c>
      <c r="C3703" s="6">
        <v>8.0</v>
      </c>
      <c r="D3703" s="161" t="s">
        <v>6177</v>
      </c>
      <c r="E3703" s="9" t="s">
        <v>6178</v>
      </c>
      <c r="F3703" s="109" t="str">
        <f t="shared" ref="F3703:G3703" si="3702">TRANSLATE(D3703,"lzh","vi")</f>
        <v>#NAME?</v>
      </c>
      <c r="G3703" s="109" t="str">
        <f t="shared" si="3702"/>
        <v>#NAME?</v>
      </c>
      <c r="X3703" s="110"/>
    </row>
    <row r="3704" ht="21.0" customHeight="1">
      <c r="A3704" s="6">
        <v>10.0</v>
      </c>
      <c r="B3704" s="6">
        <v>1087.0</v>
      </c>
      <c r="C3704" s="6">
        <v>9.0</v>
      </c>
      <c r="D3704" s="161" t="s">
        <v>6179</v>
      </c>
      <c r="E3704" s="9" t="s">
        <v>6180</v>
      </c>
      <c r="F3704" s="109" t="str">
        <f t="shared" ref="F3704:G3704" si="3703">TRANSLATE(D3704,"lzh","vi")</f>
        <v>#NAME?</v>
      </c>
      <c r="G3704" s="109" t="str">
        <f t="shared" si="3703"/>
        <v>#NAME?</v>
      </c>
      <c r="X3704" s="110"/>
    </row>
    <row r="3705" ht="21.0" customHeight="1">
      <c r="A3705" s="6">
        <v>10.0</v>
      </c>
      <c r="B3705" s="6">
        <v>1087.0</v>
      </c>
      <c r="C3705" s="6">
        <v>10.0</v>
      </c>
      <c r="D3705" s="161" t="s">
        <v>6181</v>
      </c>
      <c r="E3705" s="9" t="s">
        <v>6162</v>
      </c>
      <c r="F3705" s="109" t="str">
        <f t="shared" ref="F3705:G3705" si="3704">TRANSLATE(D3705,"lzh","vi")</f>
        <v>#NAME?</v>
      </c>
      <c r="G3705" s="109" t="str">
        <f t="shared" si="3704"/>
        <v>#NAME?</v>
      </c>
      <c r="X3705" s="110"/>
    </row>
    <row r="3706" ht="21.0" customHeight="1">
      <c r="A3706" s="6">
        <v>1.0</v>
      </c>
      <c r="B3706" s="6">
        <v>275.0</v>
      </c>
      <c r="C3706" s="6">
        <v>1.0</v>
      </c>
      <c r="D3706" s="161" t="s">
        <v>6182</v>
      </c>
      <c r="E3706" s="9" t="s">
        <v>6183</v>
      </c>
      <c r="F3706" s="109" t="str">
        <f t="shared" ref="F3706:G3706" si="3705">TRANSLATE(D3706,"lzh","vi")</f>
        <v>#NAME?</v>
      </c>
      <c r="G3706" s="109" t="str">
        <f t="shared" si="3705"/>
        <v>#NAME?</v>
      </c>
      <c r="X3706" s="110"/>
    </row>
    <row r="3707" ht="21.0" customHeight="1">
      <c r="A3707" s="6">
        <v>1.0</v>
      </c>
      <c r="B3707" s="6">
        <v>275.0</v>
      </c>
      <c r="C3707" s="6">
        <v>2.0</v>
      </c>
      <c r="D3707" s="161" t="s">
        <v>6184</v>
      </c>
      <c r="E3707" s="9" t="s">
        <v>6185</v>
      </c>
      <c r="F3707" s="109" t="str">
        <f t="shared" ref="F3707:G3707" si="3706">TRANSLATE(D3707,"lzh","vi")</f>
        <v>#NAME?</v>
      </c>
      <c r="G3707" s="109" t="str">
        <f t="shared" si="3706"/>
        <v>#NAME?</v>
      </c>
      <c r="X3707" s="110"/>
    </row>
    <row r="3708" ht="21.0" customHeight="1">
      <c r="A3708" s="6">
        <v>1.0</v>
      </c>
      <c r="B3708" s="6">
        <v>275.0</v>
      </c>
      <c r="C3708" s="6">
        <v>3.0</v>
      </c>
      <c r="D3708" s="161" t="s">
        <v>6186</v>
      </c>
      <c r="E3708" s="9" t="s">
        <v>6187</v>
      </c>
      <c r="F3708" s="109" t="str">
        <f t="shared" ref="F3708:G3708" si="3707">TRANSLATE(D3708,"lzh","vi")</f>
        <v>#NAME?</v>
      </c>
      <c r="G3708" s="109" t="str">
        <f t="shared" si="3707"/>
        <v>#NAME?</v>
      </c>
      <c r="X3708" s="110"/>
    </row>
    <row r="3709" ht="21.0" customHeight="1">
      <c r="A3709" s="6">
        <v>1.0</v>
      </c>
      <c r="B3709" s="6">
        <v>275.0</v>
      </c>
      <c r="C3709" s="6">
        <v>4.0</v>
      </c>
      <c r="D3709" s="161" t="s">
        <v>6188</v>
      </c>
      <c r="E3709" s="9" t="s">
        <v>6189</v>
      </c>
      <c r="F3709" s="109" t="str">
        <f t="shared" ref="F3709:G3709" si="3708">TRANSLATE(D3709,"lzh","vi")</f>
        <v>#NAME?</v>
      </c>
      <c r="G3709" s="109" t="str">
        <f t="shared" si="3708"/>
        <v>#NAME?</v>
      </c>
      <c r="X3709" s="110"/>
    </row>
    <row r="3710" ht="21.0" customHeight="1">
      <c r="A3710" s="6">
        <v>1.0</v>
      </c>
      <c r="B3710" s="6">
        <v>275.0</v>
      </c>
      <c r="C3710" s="6">
        <v>5.0</v>
      </c>
      <c r="D3710" s="161" t="s">
        <v>6190</v>
      </c>
      <c r="E3710" s="9" t="s">
        <v>6191</v>
      </c>
      <c r="F3710" s="109" t="str">
        <f t="shared" ref="F3710:G3710" si="3709">TRANSLATE(D3710,"lzh","vi")</f>
        <v>#NAME?</v>
      </c>
      <c r="G3710" s="109" t="str">
        <f t="shared" si="3709"/>
        <v>#NAME?</v>
      </c>
      <c r="X3710" s="110"/>
    </row>
    <row r="3711" ht="21.0" customHeight="1">
      <c r="A3711" s="6">
        <v>1.0</v>
      </c>
      <c r="B3711" s="6">
        <v>275.0</v>
      </c>
      <c r="C3711" s="6">
        <v>6.0</v>
      </c>
      <c r="D3711" s="161" t="s">
        <v>6192</v>
      </c>
      <c r="E3711" s="9" t="s">
        <v>6193</v>
      </c>
      <c r="F3711" s="109" t="str">
        <f t="shared" ref="F3711:G3711" si="3710">TRANSLATE(D3711,"lzh","vi")</f>
        <v>#NAME?</v>
      </c>
      <c r="G3711" s="109" t="str">
        <f t="shared" si="3710"/>
        <v>#NAME?</v>
      </c>
      <c r="X3711" s="110"/>
    </row>
    <row r="3712" ht="21.0" customHeight="1">
      <c r="A3712" s="6">
        <v>1.0</v>
      </c>
      <c r="B3712" s="6">
        <v>275.0</v>
      </c>
      <c r="C3712" s="6">
        <v>7.0</v>
      </c>
      <c r="D3712" s="161" t="s">
        <v>6194</v>
      </c>
      <c r="E3712" s="9" t="s">
        <v>6195</v>
      </c>
      <c r="F3712" s="109" t="str">
        <f t="shared" ref="F3712:G3712" si="3711">TRANSLATE(D3712,"lzh","vi")</f>
        <v>#NAME?</v>
      </c>
      <c r="G3712" s="109" t="str">
        <f t="shared" si="3711"/>
        <v>#NAME?</v>
      </c>
      <c r="X3712" s="110"/>
    </row>
    <row r="3713" ht="21.0" customHeight="1">
      <c r="A3713" s="6">
        <v>1.0</v>
      </c>
      <c r="B3713" s="6">
        <v>275.0</v>
      </c>
      <c r="C3713" s="6">
        <v>8.0</v>
      </c>
      <c r="D3713" s="161" t="s">
        <v>6196</v>
      </c>
      <c r="E3713" s="9" t="s">
        <v>6197</v>
      </c>
      <c r="F3713" s="109" t="str">
        <f t="shared" ref="F3713:G3713" si="3712">TRANSLATE(D3713,"lzh","vi")</f>
        <v>#NAME?</v>
      </c>
      <c r="G3713" s="109" t="str">
        <f t="shared" si="3712"/>
        <v>#NAME?</v>
      </c>
      <c r="X3713" s="110"/>
    </row>
    <row r="3714" ht="21.0" customHeight="1">
      <c r="A3714" s="6">
        <v>1.0</v>
      </c>
      <c r="B3714" s="6">
        <v>275.0</v>
      </c>
      <c r="C3714" s="6">
        <v>9.0</v>
      </c>
      <c r="D3714" s="161" t="s">
        <v>6198</v>
      </c>
      <c r="E3714" s="9" t="s">
        <v>6199</v>
      </c>
      <c r="F3714" s="109" t="str">
        <f t="shared" ref="F3714:G3714" si="3713">TRANSLATE(D3714,"lzh","vi")</f>
        <v>#NAME?</v>
      </c>
      <c r="G3714" s="109" t="str">
        <f t="shared" si="3713"/>
        <v>#NAME?</v>
      </c>
      <c r="X3714" s="110"/>
    </row>
    <row r="3715" ht="21.0" customHeight="1">
      <c r="A3715" s="6">
        <v>1.0</v>
      </c>
      <c r="B3715" s="6">
        <v>275.0</v>
      </c>
      <c r="C3715" s="6">
        <v>10.0</v>
      </c>
      <c r="D3715" s="161" t="s">
        <v>6200</v>
      </c>
      <c r="E3715" s="9" t="s">
        <v>6201</v>
      </c>
      <c r="F3715" s="109" t="str">
        <f t="shared" ref="F3715:G3715" si="3714">TRANSLATE(D3715,"lzh","vi")</f>
        <v>#NAME?</v>
      </c>
      <c r="G3715" s="109" t="str">
        <f t="shared" si="3714"/>
        <v>#NAME?</v>
      </c>
      <c r="X3715" s="110"/>
    </row>
    <row r="3716" ht="21.0" customHeight="1">
      <c r="A3716" s="6">
        <v>1.0</v>
      </c>
      <c r="B3716" s="6">
        <v>275.0</v>
      </c>
      <c r="C3716" s="6">
        <v>11.0</v>
      </c>
      <c r="D3716" s="161" t="s">
        <v>6202</v>
      </c>
      <c r="E3716" s="9" t="s">
        <v>6203</v>
      </c>
      <c r="F3716" s="109" t="str">
        <f t="shared" ref="F3716:G3716" si="3715">TRANSLATE(D3716,"lzh","vi")</f>
        <v>#NAME?</v>
      </c>
      <c r="G3716" s="109" t="str">
        <f t="shared" si="3715"/>
        <v>#NAME?</v>
      </c>
      <c r="X3716" s="110"/>
    </row>
    <row r="3717" ht="21.0" customHeight="1">
      <c r="A3717" s="6">
        <v>1.0</v>
      </c>
      <c r="B3717" s="6">
        <v>275.0</v>
      </c>
      <c r="C3717" s="6">
        <v>12.0</v>
      </c>
      <c r="D3717" s="161" t="s">
        <v>6204</v>
      </c>
      <c r="E3717" s="9" t="s">
        <v>6205</v>
      </c>
      <c r="F3717" s="109" t="str">
        <f t="shared" ref="F3717:G3717" si="3716">TRANSLATE(D3717,"lzh","vi")</f>
        <v>#NAME?</v>
      </c>
      <c r="G3717" s="109" t="str">
        <f t="shared" si="3716"/>
        <v>#NAME?</v>
      </c>
      <c r="X3717" s="110"/>
    </row>
    <row r="3718" ht="21.0" customHeight="1">
      <c r="A3718" s="6">
        <v>1.0</v>
      </c>
      <c r="B3718" s="6">
        <v>275.0</v>
      </c>
      <c r="C3718" s="6">
        <v>13.0</v>
      </c>
      <c r="D3718" s="161" t="s">
        <v>6206</v>
      </c>
      <c r="E3718" s="9" t="s">
        <v>6207</v>
      </c>
      <c r="F3718" s="109" t="str">
        <f t="shared" ref="F3718:G3718" si="3717">TRANSLATE(D3718,"lzh","vi")</f>
        <v>#NAME?</v>
      </c>
      <c r="G3718" s="109" t="str">
        <f t="shared" si="3717"/>
        <v>#NAME?</v>
      </c>
      <c r="X3718" s="110"/>
    </row>
    <row r="3719" ht="21.0" customHeight="1">
      <c r="A3719" s="6">
        <v>1.0</v>
      </c>
      <c r="B3719" s="6">
        <v>276.0</v>
      </c>
      <c r="C3719" s="6">
        <v>1.0</v>
      </c>
      <c r="D3719" s="161" t="s">
        <v>6208</v>
      </c>
      <c r="E3719" s="9" t="s">
        <v>6209</v>
      </c>
      <c r="F3719" s="109" t="str">
        <f t="shared" ref="F3719:G3719" si="3718">TRANSLATE(D3719,"lzh","vi")</f>
        <v>#NAME?</v>
      </c>
      <c r="G3719" s="109" t="str">
        <f t="shared" si="3718"/>
        <v>#NAME?</v>
      </c>
      <c r="X3719" s="110"/>
    </row>
    <row r="3720" ht="21.0" customHeight="1">
      <c r="A3720" s="6">
        <v>1.0</v>
      </c>
      <c r="B3720" s="6">
        <v>276.0</v>
      </c>
      <c r="C3720" s="6">
        <v>2.0</v>
      </c>
      <c r="D3720" s="161" t="s">
        <v>6210</v>
      </c>
      <c r="E3720" s="9" t="s">
        <v>6211</v>
      </c>
      <c r="F3720" s="109" t="str">
        <f t="shared" ref="F3720:G3720" si="3719">TRANSLATE(D3720,"lzh","vi")</f>
        <v>#NAME?</v>
      </c>
      <c r="G3720" s="109" t="str">
        <f t="shared" si="3719"/>
        <v>#NAME?</v>
      </c>
      <c r="X3720" s="110"/>
    </row>
    <row r="3721" ht="21.0" customHeight="1">
      <c r="A3721" s="6">
        <v>1.0</v>
      </c>
      <c r="B3721" s="6">
        <v>276.0</v>
      </c>
      <c r="C3721" s="6">
        <v>3.0</v>
      </c>
      <c r="D3721" s="161" t="s">
        <v>6212</v>
      </c>
      <c r="E3721" s="9" t="s">
        <v>6213</v>
      </c>
      <c r="F3721" s="109" t="str">
        <f t="shared" ref="F3721:G3721" si="3720">TRANSLATE(D3721,"lzh","vi")</f>
        <v>#NAME?</v>
      </c>
      <c r="G3721" s="109" t="str">
        <f t="shared" si="3720"/>
        <v>#NAME?</v>
      </c>
      <c r="X3721" s="110"/>
    </row>
    <row r="3722" ht="21.0" customHeight="1">
      <c r="A3722" s="6">
        <v>1.0</v>
      </c>
      <c r="B3722" s="6">
        <v>276.0</v>
      </c>
      <c r="C3722" s="6">
        <v>4.0</v>
      </c>
      <c r="D3722" s="161" t="s">
        <v>6214</v>
      </c>
      <c r="E3722" s="9" t="s">
        <v>6215</v>
      </c>
      <c r="F3722" s="109" t="str">
        <f t="shared" ref="F3722:G3722" si="3721">TRANSLATE(D3722,"lzh","vi")</f>
        <v>#NAME?</v>
      </c>
      <c r="G3722" s="109" t="str">
        <f t="shared" si="3721"/>
        <v>#NAME?</v>
      </c>
      <c r="X3722" s="110"/>
    </row>
    <row r="3723" ht="21.0" customHeight="1">
      <c r="A3723" s="6">
        <v>1.0</v>
      </c>
      <c r="B3723" s="6">
        <v>276.0</v>
      </c>
      <c r="C3723" s="6">
        <v>5.0</v>
      </c>
      <c r="D3723" s="161" t="s">
        <v>6216</v>
      </c>
      <c r="E3723" s="9" t="s">
        <v>6217</v>
      </c>
      <c r="F3723" s="109" t="str">
        <f t="shared" ref="F3723:G3723" si="3722">TRANSLATE(D3723,"lzh","vi")</f>
        <v>#NAME?</v>
      </c>
      <c r="G3723" s="109" t="str">
        <f t="shared" si="3722"/>
        <v>#NAME?</v>
      </c>
      <c r="X3723" s="110"/>
    </row>
    <row r="3724" ht="21.0" customHeight="1">
      <c r="A3724" s="6">
        <v>1.0</v>
      </c>
      <c r="B3724" s="6">
        <v>276.0</v>
      </c>
      <c r="C3724" s="6">
        <v>6.0</v>
      </c>
      <c r="D3724" s="161" t="s">
        <v>6218</v>
      </c>
      <c r="E3724" s="9" t="s">
        <v>6219</v>
      </c>
      <c r="F3724" s="109" t="str">
        <f t="shared" ref="F3724:G3724" si="3723">TRANSLATE(D3724,"lzh","vi")</f>
        <v>#NAME?</v>
      </c>
      <c r="G3724" s="109" t="str">
        <f t="shared" si="3723"/>
        <v>#NAME?</v>
      </c>
      <c r="X3724" s="110"/>
    </row>
    <row r="3725" ht="21.0" customHeight="1">
      <c r="A3725" s="6">
        <v>1.0</v>
      </c>
      <c r="B3725" s="6">
        <v>276.0</v>
      </c>
      <c r="C3725" s="6">
        <v>7.0</v>
      </c>
      <c r="D3725" s="168" t="s">
        <v>6220</v>
      </c>
      <c r="E3725" s="9" t="s">
        <v>6221</v>
      </c>
      <c r="F3725" s="109" t="str">
        <f t="shared" ref="F3725:G3725" si="3724">TRANSLATE(D3725,"lzh","vi")</f>
        <v>#NAME?</v>
      </c>
      <c r="G3725" s="109" t="str">
        <f t="shared" si="3724"/>
        <v>#NAME?</v>
      </c>
      <c r="X3725" s="110"/>
    </row>
    <row r="3726" ht="21.0" customHeight="1">
      <c r="A3726" s="6">
        <v>1.0</v>
      </c>
      <c r="B3726" s="6">
        <v>276.0</v>
      </c>
      <c r="C3726" s="6">
        <v>8.0</v>
      </c>
      <c r="D3726" s="161" t="s">
        <v>6222</v>
      </c>
      <c r="E3726" s="9" t="s">
        <v>6223</v>
      </c>
      <c r="F3726" s="109" t="str">
        <f t="shared" ref="F3726:G3726" si="3725">TRANSLATE(D3726,"lzh","vi")</f>
        <v>#NAME?</v>
      </c>
      <c r="G3726" s="109" t="str">
        <f t="shared" si="3725"/>
        <v>#NAME?</v>
      </c>
      <c r="X3726" s="110"/>
    </row>
    <row r="3727" ht="21.0" customHeight="1">
      <c r="A3727" s="6">
        <v>1.0</v>
      </c>
      <c r="B3727" s="6">
        <v>276.0</v>
      </c>
      <c r="C3727" s="6">
        <v>9.0</v>
      </c>
      <c r="D3727" s="168" t="s">
        <v>6224</v>
      </c>
      <c r="E3727" s="9" t="s">
        <v>6225</v>
      </c>
      <c r="F3727" s="109" t="str">
        <f t="shared" ref="F3727:G3727" si="3726">TRANSLATE(D3727,"lzh","vi")</f>
        <v>#NAME?</v>
      </c>
      <c r="G3727" s="109" t="str">
        <f t="shared" si="3726"/>
        <v>#NAME?</v>
      </c>
      <c r="X3727" s="110"/>
    </row>
    <row r="3728" ht="21.0" customHeight="1">
      <c r="A3728" s="6">
        <v>1.0</v>
      </c>
      <c r="B3728" s="6">
        <v>276.0</v>
      </c>
      <c r="C3728" s="6">
        <v>10.0</v>
      </c>
      <c r="D3728" s="168" t="s">
        <v>6226</v>
      </c>
      <c r="E3728" s="9" t="s">
        <v>6227</v>
      </c>
      <c r="F3728" s="109" t="str">
        <f t="shared" ref="F3728:G3728" si="3727">TRANSLATE(D3728,"lzh","vi")</f>
        <v>#NAME?</v>
      </c>
      <c r="G3728" s="109" t="str">
        <f t="shared" si="3727"/>
        <v>#NAME?</v>
      </c>
      <c r="X3728" s="110"/>
    </row>
    <row r="3729" ht="21.0" customHeight="1">
      <c r="A3729" s="6">
        <v>1.0</v>
      </c>
      <c r="B3729" s="6">
        <v>276.0</v>
      </c>
      <c r="C3729" s="6">
        <v>11.0</v>
      </c>
      <c r="D3729" s="168" t="s">
        <v>6228</v>
      </c>
      <c r="E3729" s="9" t="s">
        <v>6229</v>
      </c>
      <c r="F3729" s="109" t="str">
        <f t="shared" ref="F3729:G3729" si="3728">TRANSLATE(D3729,"lzh","vi")</f>
        <v>#NAME?</v>
      </c>
      <c r="G3729" s="109" t="str">
        <f t="shared" si="3728"/>
        <v>#NAME?</v>
      </c>
      <c r="X3729" s="110"/>
    </row>
    <row r="3730" ht="21.0" customHeight="1">
      <c r="A3730" s="6">
        <v>1.0</v>
      </c>
      <c r="B3730" s="6">
        <v>276.0</v>
      </c>
      <c r="C3730" s="6">
        <v>12.0</v>
      </c>
      <c r="D3730" s="161" t="s">
        <v>6230</v>
      </c>
      <c r="E3730" s="9" t="s">
        <v>6231</v>
      </c>
      <c r="F3730" s="109" t="str">
        <f t="shared" ref="F3730:G3730" si="3729">TRANSLATE(D3730,"lzh","vi")</f>
        <v>#NAME?</v>
      </c>
      <c r="G3730" s="109" t="str">
        <f t="shared" si="3729"/>
        <v>#NAME?</v>
      </c>
      <c r="X3730" s="110"/>
    </row>
    <row r="3731" ht="21.0" customHeight="1">
      <c r="A3731" s="6">
        <v>1.0</v>
      </c>
      <c r="B3731" s="6">
        <v>276.0</v>
      </c>
      <c r="C3731" s="6">
        <v>13.0</v>
      </c>
      <c r="D3731" s="161" t="s">
        <v>6232</v>
      </c>
      <c r="E3731" s="9" t="s">
        <v>6233</v>
      </c>
      <c r="F3731" s="109" t="str">
        <f t="shared" ref="F3731:G3731" si="3730">TRANSLATE(D3731,"lzh","vi")</f>
        <v>#NAME?</v>
      </c>
      <c r="G3731" s="109" t="str">
        <f t="shared" si="3730"/>
        <v>#NAME?</v>
      </c>
      <c r="X3731" s="110"/>
    </row>
    <row r="3732" ht="21.0" customHeight="1">
      <c r="A3732" s="6">
        <v>1.0</v>
      </c>
      <c r="B3732" s="6">
        <v>277.0</v>
      </c>
      <c r="C3732" s="6">
        <v>1.0</v>
      </c>
      <c r="D3732" s="161" t="s">
        <v>6234</v>
      </c>
      <c r="E3732" s="9" t="s">
        <v>6235</v>
      </c>
      <c r="F3732" s="109" t="str">
        <f t="shared" ref="F3732:G3732" si="3731">TRANSLATE(D3732,"lzh","vi")</f>
        <v>#NAME?</v>
      </c>
      <c r="G3732" s="109" t="str">
        <f t="shared" si="3731"/>
        <v>#NAME?</v>
      </c>
      <c r="X3732" s="110"/>
    </row>
    <row r="3733" ht="21.0" customHeight="1">
      <c r="A3733" s="6">
        <v>1.0</v>
      </c>
      <c r="B3733" s="6">
        <v>277.0</v>
      </c>
      <c r="C3733" s="6">
        <v>2.0</v>
      </c>
      <c r="D3733" s="161" t="s">
        <v>6236</v>
      </c>
      <c r="E3733" s="9" t="s">
        <v>6237</v>
      </c>
      <c r="F3733" s="109" t="str">
        <f t="shared" ref="F3733:G3733" si="3732">TRANSLATE(D3733,"lzh","vi")</f>
        <v>#NAME?</v>
      </c>
      <c r="G3733" s="109" t="str">
        <f t="shared" si="3732"/>
        <v>#NAME?</v>
      </c>
      <c r="X3733" s="110"/>
    </row>
    <row r="3734" ht="21.0" customHeight="1">
      <c r="A3734" s="6">
        <v>1.0</v>
      </c>
      <c r="B3734" s="6">
        <v>277.0</v>
      </c>
      <c r="C3734" s="6">
        <v>3.0</v>
      </c>
      <c r="D3734" s="161" t="s">
        <v>6238</v>
      </c>
      <c r="E3734" s="9" t="s">
        <v>6239</v>
      </c>
      <c r="F3734" s="109" t="str">
        <f t="shared" ref="F3734:G3734" si="3733">TRANSLATE(D3734,"lzh","vi")</f>
        <v>#NAME?</v>
      </c>
      <c r="G3734" s="109" t="str">
        <f t="shared" si="3733"/>
        <v>#NAME?</v>
      </c>
      <c r="X3734" s="110"/>
    </row>
    <row r="3735" ht="21.0" customHeight="1">
      <c r="A3735" s="6">
        <v>1.0</v>
      </c>
      <c r="B3735" s="6">
        <v>277.0</v>
      </c>
      <c r="C3735" s="6">
        <v>4.0</v>
      </c>
      <c r="D3735" s="161" t="s">
        <v>6240</v>
      </c>
      <c r="E3735" s="9" t="s">
        <v>6241</v>
      </c>
      <c r="F3735" s="109" t="str">
        <f t="shared" ref="F3735:G3735" si="3734">TRANSLATE(D3735,"lzh","vi")</f>
        <v>#NAME?</v>
      </c>
      <c r="G3735" s="109" t="str">
        <f t="shared" si="3734"/>
        <v>#NAME?</v>
      </c>
      <c r="X3735" s="110"/>
    </row>
    <row r="3736" ht="21.0" customHeight="1">
      <c r="A3736" s="6">
        <v>1.0</v>
      </c>
      <c r="B3736" s="6">
        <v>277.0</v>
      </c>
      <c r="C3736" s="6">
        <v>5.0</v>
      </c>
      <c r="D3736" s="161" t="s">
        <v>6242</v>
      </c>
      <c r="E3736" s="9" t="s">
        <v>6243</v>
      </c>
      <c r="F3736" s="109" t="str">
        <f t="shared" ref="F3736:G3736" si="3735">TRANSLATE(D3736,"lzh","vi")</f>
        <v>#NAME?</v>
      </c>
      <c r="G3736" s="109" t="str">
        <f t="shared" si="3735"/>
        <v>#NAME?</v>
      </c>
      <c r="X3736" s="110"/>
    </row>
    <row r="3737" ht="21.0" customHeight="1">
      <c r="A3737" s="6">
        <v>1.0</v>
      </c>
      <c r="B3737" s="6">
        <v>277.0</v>
      </c>
      <c r="C3737" s="6">
        <v>6.0</v>
      </c>
      <c r="D3737" s="161" t="s">
        <v>6244</v>
      </c>
      <c r="E3737" s="9" t="s">
        <v>6245</v>
      </c>
      <c r="F3737" s="109" t="str">
        <f t="shared" ref="F3737:G3737" si="3736">TRANSLATE(D3737,"lzh","vi")</f>
        <v>#NAME?</v>
      </c>
      <c r="G3737" s="109" t="str">
        <f t="shared" si="3736"/>
        <v>#NAME?</v>
      </c>
      <c r="X3737" s="110"/>
    </row>
    <row r="3738" ht="21.0" customHeight="1">
      <c r="A3738" s="6">
        <v>1.0</v>
      </c>
      <c r="B3738" s="6">
        <v>277.0</v>
      </c>
      <c r="C3738" s="6">
        <v>7.0</v>
      </c>
      <c r="D3738" s="161" t="s">
        <v>6246</v>
      </c>
      <c r="E3738" s="9" t="s">
        <v>6247</v>
      </c>
      <c r="F3738" s="109" t="str">
        <f t="shared" ref="F3738:G3738" si="3737">TRANSLATE(D3738,"lzh","vi")</f>
        <v>#NAME?</v>
      </c>
      <c r="G3738" s="109" t="str">
        <f t="shared" si="3737"/>
        <v>#NAME?</v>
      </c>
      <c r="X3738" s="110"/>
    </row>
    <row r="3739" ht="21.0" customHeight="1">
      <c r="A3739" s="6">
        <v>1.0</v>
      </c>
      <c r="B3739" s="6">
        <v>277.0</v>
      </c>
      <c r="C3739" s="6">
        <v>8.0</v>
      </c>
      <c r="D3739" s="161" t="s">
        <v>6248</v>
      </c>
      <c r="E3739" s="9" t="s">
        <v>6249</v>
      </c>
      <c r="F3739" s="109" t="str">
        <f t="shared" ref="F3739:G3739" si="3738">TRANSLATE(D3739,"lzh","vi")</f>
        <v>#NAME?</v>
      </c>
      <c r="G3739" s="109" t="str">
        <f t="shared" si="3738"/>
        <v>#NAME?</v>
      </c>
      <c r="X3739" s="110"/>
    </row>
    <row r="3740" ht="21.0" customHeight="1">
      <c r="A3740" s="6">
        <v>1.0</v>
      </c>
      <c r="B3740" s="6">
        <v>277.0</v>
      </c>
      <c r="C3740" s="6">
        <v>9.0</v>
      </c>
      <c r="D3740" s="161" t="s">
        <v>6250</v>
      </c>
      <c r="E3740" s="9" t="s">
        <v>6251</v>
      </c>
      <c r="F3740" s="109" t="str">
        <f t="shared" ref="F3740:G3740" si="3739">TRANSLATE(D3740,"lzh","vi")</f>
        <v>#NAME?</v>
      </c>
      <c r="G3740" s="109" t="str">
        <f t="shared" si="3739"/>
        <v>#NAME?</v>
      </c>
      <c r="X3740" s="110"/>
    </row>
    <row r="3741" ht="21.0" customHeight="1">
      <c r="A3741" s="6">
        <v>1.0</v>
      </c>
      <c r="B3741" s="6">
        <v>277.0</v>
      </c>
      <c r="C3741" s="6">
        <v>10.0</v>
      </c>
      <c r="D3741" s="161" t="s">
        <v>6252</v>
      </c>
      <c r="E3741" s="9" t="s">
        <v>6253</v>
      </c>
      <c r="F3741" s="109" t="str">
        <f t="shared" ref="F3741:G3741" si="3740">TRANSLATE(D3741,"lzh","vi")</f>
        <v>#NAME?</v>
      </c>
      <c r="G3741" s="109" t="str">
        <f t="shared" si="3740"/>
        <v>#NAME?</v>
      </c>
      <c r="X3741" s="110"/>
    </row>
    <row r="3742" ht="21.0" customHeight="1">
      <c r="A3742" s="6">
        <v>1.0</v>
      </c>
      <c r="B3742" s="6">
        <v>277.0</v>
      </c>
      <c r="C3742" s="6">
        <v>11.0</v>
      </c>
      <c r="D3742" s="161" t="s">
        <v>6254</v>
      </c>
      <c r="E3742" s="9" t="s">
        <v>6255</v>
      </c>
      <c r="F3742" s="109" t="str">
        <f t="shared" ref="F3742:G3742" si="3741">TRANSLATE(D3742,"lzh","vi")</f>
        <v>#NAME?</v>
      </c>
      <c r="G3742" s="109" t="str">
        <f t="shared" si="3741"/>
        <v>#NAME?</v>
      </c>
      <c r="X3742" s="110"/>
    </row>
    <row r="3743" ht="21.0" customHeight="1">
      <c r="A3743" s="6">
        <v>1.0</v>
      </c>
      <c r="B3743" s="6">
        <v>277.0</v>
      </c>
      <c r="C3743" s="6">
        <v>12.0</v>
      </c>
      <c r="D3743" s="161" t="s">
        <v>6256</v>
      </c>
      <c r="E3743" s="9" t="s">
        <v>6257</v>
      </c>
      <c r="F3743" s="109" t="str">
        <f t="shared" ref="F3743:G3743" si="3742">TRANSLATE(D3743,"lzh","vi")</f>
        <v>#NAME?</v>
      </c>
      <c r="G3743" s="109" t="str">
        <f t="shared" si="3742"/>
        <v>#NAME?</v>
      </c>
      <c r="X3743" s="110"/>
    </row>
    <row r="3744" ht="21.0" customHeight="1">
      <c r="A3744" s="6">
        <v>1.0</v>
      </c>
      <c r="B3744" s="6">
        <v>277.0</v>
      </c>
      <c r="C3744" s="6">
        <v>13.0</v>
      </c>
      <c r="D3744" s="161" t="s">
        <v>6258</v>
      </c>
      <c r="E3744" s="9" t="s">
        <v>6259</v>
      </c>
      <c r="F3744" s="109" t="str">
        <f t="shared" ref="F3744:G3744" si="3743">TRANSLATE(D3744,"lzh","vi")</f>
        <v>#NAME?</v>
      </c>
      <c r="G3744" s="109" t="str">
        <f t="shared" si="3743"/>
        <v>#NAME?</v>
      </c>
      <c r="X3744" s="110"/>
    </row>
    <row r="3745" ht="21.0" customHeight="1">
      <c r="A3745" s="6">
        <v>11.0</v>
      </c>
      <c r="B3745" s="6">
        <v>1088.0</v>
      </c>
      <c r="C3745" s="6">
        <v>1.0</v>
      </c>
      <c r="D3745" s="172" t="s">
        <v>6260</v>
      </c>
      <c r="E3745" s="9" t="s">
        <v>6261</v>
      </c>
      <c r="F3745" s="109" t="str">
        <f t="shared" ref="F3745:G3745" si="3744">TRANSLATE(D3745,"lzh","vi")</f>
        <v>#NAME?</v>
      </c>
      <c r="G3745" s="109" t="str">
        <f t="shared" si="3744"/>
        <v>#NAME?</v>
      </c>
      <c r="X3745" s="110"/>
    </row>
    <row r="3746" ht="21.0" customHeight="1">
      <c r="A3746" s="6">
        <v>11.0</v>
      </c>
      <c r="B3746" s="6">
        <v>1088.0</v>
      </c>
      <c r="C3746" s="6">
        <v>2.0</v>
      </c>
      <c r="D3746" s="172" t="s">
        <v>6262</v>
      </c>
      <c r="E3746" s="9" t="s">
        <v>6263</v>
      </c>
      <c r="F3746" s="109" t="str">
        <f t="shared" ref="F3746:G3746" si="3745">TRANSLATE(D3746,"lzh","vi")</f>
        <v>#NAME?</v>
      </c>
      <c r="G3746" s="109" t="str">
        <f t="shared" si="3745"/>
        <v>#NAME?</v>
      </c>
      <c r="X3746" s="110"/>
    </row>
    <row r="3747" ht="21.0" customHeight="1">
      <c r="A3747" s="6">
        <v>11.0</v>
      </c>
      <c r="B3747" s="6">
        <v>1088.0</v>
      </c>
      <c r="C3747" s="6">
        <v>3.0</v>
      </c>
      <c r="D3747" s="172" t="s">
        <v>6264</v>
      </c>
      <c r="E3747" s="9" t="s">
        <v>6265</v>
      </c>
      <c r="F3747" s="109" t="str">
        <f t="shared" ref="F3747:G3747" si="3746">TRANSLATE(D3747,"lzh","vi")</f>
        <v>#NAME?</v>
      </c>
      <c r="G3747" s="109" t="str">
        <f t="shared" si="3746"/>
        <v>#NAME?</v>
      </c>
      <c r="X3747" s="110"/>
    </row>
    <row r="3748" ht="21.0" customHeight="1">
      <c r="A3748" s="6">
        <v>11.0</v>
      </c>
      <c r="B3748" s="6">
        <v>1088.0</v>
      </c>
      <c r="C3748" s="6">
        <v>4.0</v>
      </c>
      <c r="D3748" s="171" t="s">
        <v>6266</v>
      </c>
      <c r="E3748" s="9" t="s">
        <v>6267</v>
      </c>
      <c r="F3748" s="109" t="str">
        <f t="shared" ref="F3748:G3748" si="3747">TRANSLATE(D3748,"lzh","vi")</f>
        <v>#NAME?</v>
      </c>
      <c r="G3748" s="109" t="str">
        <f t="shared" si="3747"/>
        <v>#NAME?</v>
      </c>
      <c r="X3748" s="110"/>
    </row>
    <row r="3749" ht="21.0" customHeight="1">
      <c r="A3749" s="6">
        <v>10.0</v>
      </c>
      <c r="B3749" s="6">
        <v>1088.0</v>
      </c>
      <c r="C3749" s="6">
        <v>5.0</v>
      </c>
      <c r="D3749" s="171" t="s">
        <v>6268</v>
      </c>
      <c r="E3749" s="9" t="s">
        <v>6269</v>
      </c>
      <c r="F3749" s="109" t="str">
        <f t="shared" ref="F3749:G3749" si="3748">TRANSLATE(D3749,"lzh","vi")</f>
        <v>#NAME?</v>
      </c>
      <c r="G3749" s="109" t="str">
        <f t="shared" si="3748"/>
        <v>#NAME?</v>
      </c>
      <c r="X3749" s="110"/>
    </row>
    <row r="3750" ht="21.0" customHeight="1">
      <c r="A3750" s="6">
        <v>10.0</v>
      </c>
      <c r="B3750" s="6">
        <v>1088.0</v>
      </c>
      <c r="C3750" s="6">
        <v>6.0</v>
      </c>
      <c r="D3750" s="171" t="s">
        <v>6270</v>
      </c>
      <c r="E3750" s="9" t="s">
        <v>6271</v>
      </c>
      <c r="F3750" s="109" t="str">
        <f t="shared" ref="F3750:G3750" si="3749">TRANSLATE(D3750,"lzh","vi")</f>
        <v>#NAME?</v>
      </c>
      <c r="G3750" s="109" t="str">
        <f t="shared" si="3749"/>
        <v>#NAME?</v>
      </c>
      <c r="X3750" s="110"/>
    </row>
    <row r="3751" ht="21.0" customHeight="1">
      <c r="A3751" s="6">
        <v>10.0</v>
      </c>
      <c r="B3751" s="6">
        <v>1088.0</v>
      </c>
      <c r="C3751" s="6">
        <v>7.0</v>
      </c>
      <c r="D3751" s="171" t="s">
        <v>6272</v>
      </c>
      <c r="E3751" s="9" t="s">
        <v>6273</v>
      </c>
      <c r="F3751" s="109" t="str">
        <f t="shared" ref="F3751:G3751" si="3750">TRANSLATE(D3751,"lzh","vi")</f>
        <v>#NAME?</v>
      </c>
      <c r="G3751" s="109" t="str">
        <f t="shared" si="3750"/>
        <v>#NAME?</v>
      </c>
      <c r="X3751" s="110"/>
    </row>
    <row r="3752" ht="21.0" customHeight="1">
      <c r="A3752" s="6">
        <v>10.0</v>
      </c>
      <c r="B3752" s="6">
        <v>1088.0</v>
      </c>
      <c r="C3752" s="6">
        <v>8.0</v>
      </c>
      <c r="D3752" s="171" t="s">
        <v>6274</v>
      </c>
      <c r="E3752" s="9" t="s">
        <v>6275</v>
      </c>
      <c r="F3752" s="109" t="str">
        <f t="shared" ref="F3752:G3752" si="3751">TRANSLATE(D3752,"lzh","vi")</f>
        <v>#NAME?</v>
      </c>
      <c r="G3752" s="109" t="str">
        <f t="shared" si="3751"/>
        <v>#NAME?</v>
      </c>
      <c r="X3752" s="110"/>
    </row>
    <row r="3753" ht="21.0" customHeight="1">
      <c r="A3753" s="6">
        <v>10.0</v>
      </c>
      <c r="B3753" s="6">
        <v>1088.0</v>
      </c>
      <c r="C3753" s="6">
        <v>9.0</v>
      </c>
      <c r="D3753" s="171" t="s">
        <v>6276</v>
      </c>
      <c r="E3753" s="9" t="s">
        <v>6277</v>
      </c>
      <c r="F3753" s="109" t="str">
        <f t="shared" ref="F3753:G3753" si="3752">TRANSLATE(D3753,"lzh","vi")</f>
        <v>#NAME?</v>
      </c>
      <c r="G3753" s="109" t="str">
        <f t="shared" si="3752"/>
        <v>#NAME?</v>
      </c>
      <c r="X3753" s="110"/>
    </row>
    <row r="3754" ht="21.0" customHeight="1">
      <c r="A3754" s="6">
        <v>10.0</v>
      </c>
      <c r="B3754" s="6">
        <v>1088.0</v>
      </c>
      <c r="C3754" s="6">
        <v>10.0</v>
      </c>
      <c r="D3754" s="171" t="s">
        <v>6278</v>
      </c>
      <c r="E3754" s="9" t="s">
        <v>6279</v>
      </c>
      <c r="F3754" s="109" t="str">
        <f t="shared" ref="F3754:G3754" si="3753">TRANSLATE(D3754,"lzh","vi")</f>
        <v>#NAME?</v>
      </c>
      <c r="G3754" s="109" t="str">
        <f t="shared" si="3753"/>
        <v>#NAME?</v>
      </c>
      <c r="X3754" s="110"/>
    </row>
    <row r="3755" ht="21.0" customHeight="1">
      <c r="A3755" s="6">
        <v>11.0</v>
      </c>
      <c r="B3755" s="6">
        <v>1089.0</v>
      </c>
      <c r="C3755" s="6">
        <v>1.0</v>
      </c>
      <c r="D3755" s="172" t="s">
        <v>6280</v>
      </c>
      <c r="E3755" s="9" t="s">
        <v>6281</v>
      </c>
      <c r="F3755" s="109" t="str">
        <f t="shared" ref="F3755:G3755" si="3754">TRANSLATE(D3755,"lzh","vi")</f>
        <v>#NAME?</v>
      </c>
      <c r="G3755" s="109" t="str">
        <f t="shared" si="3754"/>
        <v>#NAME?</v>
      </c>
      <c r="X3755" s="110"/>
    </row>
    <row r="3756" ht="21.0" customHeight="1">
      <c r="A3756" s="6">
        <v>11.0</v>
      </c>
      <c r="B3756" s="6">
        <v>1089.0</v>
      </c>
      <c r="C3756" s="6">
        <v>2.0</v>
      </c>
      <c r="D3756" s="172" t="s">
        <v>6282</v>
      </c>
      <c r="E3756" s="9" t="s">
        <v>6283</v>
      </c>
      <c r="F3756" s="109" t="str">
        <f t="shared" ref="F3756:G3756" si="3755">TRANSLATE(D3756,"lzh","vi")</f>
        <v>#NAME?</v>
      </c>
      <c r="G3756" s="109" t="str">
        <f t="shared" si="3755"/>
        <v>#NAME?</v>
      </c>
      <c r="X3756" s="110"/>
    </row>
    <row r="3757" ht="21.0" customHeight="1">
      <c r="A3757" s="6">
        <v>11.0</v>
      </c>
      <c r="B3757" s="6">
        <v>1089.0</v>
      </c>
      <c r="C3757" s="6">
        <v>3.0</v>
      </c>
      <c r="D3757" s="172" t="s">
        <v>6284</v>
      </c>
      <c r="E3757" s="9" t="s">
        <v>6285</v>
      </c>
      <c r="F3757" s="109" t="str">
        <f t="shared" ref="F3757:G3757" si="3756">TRANSLATE(D3757,"lzh","vi")</f>
        <v>#NAME?</v>
      </c>
      <c r="G3757" s="109" t="str">
        <f t="shared" si="3756"/>
        <v>#NAME?</v>
      </c>
      <c r="X3757" s="110"/>
    </row>
    <row r="3758" ht="21.0" customHeight="1">
      <c r="A3758" s="6">
        <v>11.0</v>
      </c>
      <c r="B3758" s="6">
        <v>1089.0</v>
      </c>
      <c r="C3758" s="6">
        <v>4.0</v>
      </c>
      <c r="D3758" s="171" t="s">
        <v>6286</v>
      </c>
      <c r="E3758" s="9" t="s">
        <v>6287</v>
      </c>
      <c r="F3758" s="109" t="str">
        <f t="shared" ref="F3758:G3758" si="3757">TRANSLATE(D3758,"lzh","vi")</f>
        <v>#NAME?</v>
      </c>
      <c r="G3758" s="109" t="str">
        <f t="shared" si="3757"/>
        <v>#NAME?</v>
      </c>
      <c r="X3758" s="110"/>
    </row>
    <row r="3759" ht="21.0" customHeight="1">
      <c r="A3759" s="6">
        <v>10.0</v>
      </c>
      <c r="B3759" s="6">
        <v>1089.0</v>
      </c>
      <c r="C3759" s="6">
        <v>5.0</v>
      </c>
      <c r="D3759" s="171" t="s">
        <v>6288</v>
      </c>
      <c r="E3759" s="9" t="s">
        <v>6289</v>
      </c>
      <c r="F3759" s="109" t="str">
        <f t="shared" ref="F3759:G3759" si="3758">TRANSLATE(D3759,"lzh","vi")</f>
        <v>#NAME?</v>
      </c>
      <c r="G3759" s="109" t="str">
        <f t="shared" si="3758"/>
        <v>#NAME?</v>
      </c>
      <c r="X3759" s="110"/>
    </row>
    <row r="3760" ht="21.0" customHeight="1">
      <c r="A3760" s="6">
        <v>10.0</v>
      </c>
      <c r="B3760" s="6">
        <v>1089.0</v>
      </c>
      <c r="C3760" s="6">
        <v>6.0</v>
      </c>
      <c r="D3760" s="171" t="s">
        <v>6290</v>
      </c>
      <c r="E3760" s="9" t="s">
        <v>6291</v>
      </c>
      <c r="F3760" s="109" t="str">
        <f t="shared" ref="F3760:G3760" si="3759">TRANSLATE(D3760,"lzh","vi")</f>
        <v>#NAME?</v>
      </c>
      <c r="G3760" s="109" t="str">
        <f t="shared" si="3759"/>
        <v>#NAME?</v>
      </c>
      <c r="X3760" s="110"/>
    </row>
    <row r="3761" ht="21.0" customHeight="1">
      <c r="A3761" s="6">
        <v>10.0</v>
      </c>
      <c r="B3761" s="6">
        <v>1089.0</v>
      </c>
      <c r="C3761" s="6">
        <v>7.0</v>
      </c>
      <c r="D3761" s="171" t="s">
        <v>6292</v>
      </c>
      <c r="E3761" s="9" t="s">
        <v>6293</v>
      </c>
      <c r="F3761" s="109" t="str">
        <f t="shared" ref="F3761:G3761" si="3760">TRANSLATE(D3761,"lzh","vi")</f>
        <v>#NAME?</v>
      </c>
      <c r="G3761" s="109" t="str">
        <f t="shared" si="3760"/>
        <v>#NAME?</v>
      </c>
      <c r="X3761" s="110"/>
    </row>
    <row r="3762" ht="21.0" customHeight="1">
      <c r="A3762" s="6">
        <v>10.0</v>
      </c>
      <c r="B3762" s="6">
        <v>1089.0</v>
      </c>
      <c r="C3762" s="6">
        <v>8.0</v>
      </c>
      <c r="D3762" s="171" t="s">
        <v>6294</v>
      </c>
      <c r="E3762" s="9" t="s">
        <v>6295</v>
      </c>
      <c r="F3762" s="109" t="str">
        <f t="shared" ref="F3762:G3762" si="3761">TRANSLATE(D3762,"lzh","vi")</f>
        <v>#NAME?</v>
      </c>
      <c r="G3762" s="109" t="str">
        <f t="shared" si="3761"/>
        <v>#NAME?</v>
      </c>
      <c r="X3762" s="110"/>
    </row>
    <row r="3763" ht="21.0" customHeight="1">
      <c r="A3763" s="6">
        <v>10.0</v>
      </c>
      <c r="B3763" s="6">
        <v>1089.0</v>
      </c>
      <c r="C3763" s="6">
        <v>9.0</v>
      </c>
      <c r="D3763" s="173" t="s">
        <v>6296</v>
      </c>
      <c r="E3763" s="9" t="s">
        <v>6297</v>
      </c>
      <c r="F3763" s="109" t="str">
        <f t="shared" ref="F3763:G3763" si="3762">TRANSLATE(D3763,"lzh","vi")</f>
        <v>#NAME?</v>
      </c>
      <c r="G3763" s="109" t="str">
        <f t="shared" si="3762"/>
        <v>#NAME?</v>
      </c>
      <c r="X3763" s="110"/>
    </row>
    <row r="3764" ht="21.0" customHeight="1">
      <c r="A3764" s="6">
        <v>10.0</v>
      </c>
      <c r="B3764" s="6">
        <v>1089.0</v>
      </c>
      <c r="C3764" s="6">
        <v>10.0</v>
      </c>
      <c r="D3764" s="173" t="s">
        <v>6298</v>
      </c>
      <c r="E3764" s="9" t="s">
        <v>6279</v>
      </c>
      <c r="F3764" s="109" t="str">
        <f t="shared" ref="F3764:G3764" si="3763">TRANSLATE(D3764,"lzh","vi")</f>
        <v>#NAME?</v>
      </c>
      <c r="G3764" s="109" t="str">
        <f t="shared" si="3763"/>
        <v>#NAME?</v>
      </c>
      <c r="X3764" s="110"/>
    </row>
    <row r="3765" ht="21.0" customHeight="1">
      <c r="A3765" s="6">
        <v>1.0</v>
      </c>
      <c r="B3765" s="6">
        <v>278.0</v>
      </c>
      <c r="C3765" s="6">
        <v>1.0</v>
      </c>
      <c r="D3765" s="172" t="s">
        <v>6299</v>
      </c>
      <c r="E3765" s="9" t="s">
        <v>6300</v>
      </c>
      <c r="F3765" s="109" t="str">
        <f t="shared" ref="F3765:G3765" si="3764">TRANSLATE(D3765,"lzh","vi")</f>
        <v>#NAME?</v>
      </c>
      <c r="G3765" s="109" t="str">
        <f t="shared" si="3764"/>
        <v>#NAME?</v>
      </c>
      <c r="X3765" s="110"/>
    </row>
    <row r="3766" ht="21.0" customHeight="1">
      <c r="A3766" s="6">
        <v>1.0</v>
      </c>
      <c r="B3766" s="6">
        <v>278.0</v>
      </c>
      <c r="C3766" s="6">
        <v>2.0</v>
      </c>
      <c r="D3766" s="172" t="s">
        <v>6301</v>
      </c>
      <c r="E3766" s="9" t="s">
        <v>6302</v>
      </c>
      <c r="F3766" s="109" t="str">
        <f t="shared" ref="F3766:G3766" si="3765">TRANSLATE(D3766,"lzh","vi")</f>
        <v>#NAME?</v>
      </c>
      <c r="G3766" s="109" t="str">
        <f t="shared" si="3765"/>
        <v>#NAME?</v>
      </c>
      <c r="X3766" s="110"/>
    </row>
    <row r="3767" ht="21.0" customHeight="1">
      <c r="A3767" s="6">
        <v>1.0</v>
      </c>
      <c r="B3767" s="6">
        <v>278.0</v>
      </c>
      <c r="C3767" s="6">
        <v>3.0</v>
      </c>
      <c r="D3767" s="172" t="s">
        <v>6303</v>
      </c>
      <c r="E3767" s="9" t="s">
        <v>6304</v>
      </c>
      <c r="F3767" s="109" t="str">
        <f t="shared" ref="F3767:G3767" si="3766">TRANSLATE(D3767,"lzh","vi")</f>
        <v>#NAME?</v>
      </c>
      <c r="G3767" s="109" t="str">
        <f t="shared" si="3766"/>
        <v>#NAME?</v>
      </c>
      <c r="X3767" s="110"/>
    </row>
    <row r="3768" ht="21.0" customHeight="1">
      <c r="A3768" s="6">
        <v>1.0</v>
      </c>
      <c r="B3768" s="6">
        <v>278.0</v>
      </c>
      <c r="C3768" s="6">
        <v>4.0</v>
      </c>
      <c r="D3768" s="172" t="s">
        <v>6305</v>
      </c>
      <c r="E3768" s="9" t="s">
        <v>6306</v>
      </c>
      <c r="F3768" s="109" t="str">
        <f t="shared" ref="F3768:G3768" si="3767">TRANSLATE(D3768,"lzh","vi")</f>
        <v>#NAME?</v>
      </c>
      <c r="G3768" s="109" t="str">
        <f t="shared" si="3767"/>
        <v>#NAME?</v>
      </c>
      <c r="X3768" s="110"/>
    </row>
    <row r="3769" ht="21.0" customHeight="1">
      <c r="A3769" s="6">
        <v>1.0</v>
      </c>
      <c r="B3769" s="6">
        <v>278.0</v>
      </c>
      <c r="C3769" s="6">
        <v>5.0</v>
      </c>
      <c r="D3769" s="174" t="s">
        <v>6307</v>
      </c>
      <c r="E3769" s="9" t="s">
        <v>6308</v>
      </c>
      <c r="F3769" s="109" t="str">
        <f t="shared" ref="F3769:G3769" si="3768">TRANSLATE(D3769,"lzh","vi")</f>
        <v>#NAME?</v>
      </c>
      <c r="G3769" s="109" t="str">
        <f t="shared" si="3768"/>
        <v>#NAME?</v>
      </c>
      <c r="X3769" s="110"/>
    </row>
    <row r="3770" ht="21.0" customHeight="1">
      <c r="A3770" s="6">
        <v>1.0</v>
      </c>
      <c r="B3770" s="6">
        <v>278.0</v>
      </c>
      <c r="C3770" s="6">
        <v>6.0</v>
      </c>
      <c r="D3770" s="172" t="s">
        <v>6309</v>
      </c>
      <c r="E3770" s="9" t="s">
        <v>6310</v>
      </c>
      <c r="F3770" s="109" t="str">
        <f t="shared" ref="F3770:G3770" si="3769">TRANSLATE(D3770,"lzh","vi")</f>
        <v>#NAME?</v>
      </c>
      <c r="G3770" s="109" t="str">
        <f t="shared" si="3769"/>
        <v>#NAME?</v>
      </c>
      <c r="X3770" s="110"/>
    </row>
    <row r="3771" ht="21.0" customHeight="1">
      <c r="A3771" s="6">
        <v>1.0</v>
      </c>
      <c r="B3771" s="6">
        <v>278.0</v>
      </c>
      <c r="C3771" s="6">
        <v>7.0</v>
      </c>
      <c r="D3771" s="172" t="s">
        <v>6311</v>
      </c>
      <c r="E3771" s="9" t="s">
        <v>6312</v>
      </c>
      <c r="F3771" s="109" t="str">
        <f t="shared" ref="F3771:G3771" si="3770">TRANSLATE(D3771,"lzh","vi")</f>
        <v>#NAME?</v>
      </c>
      <c r="G3771" s="109" t="str">
        <f t="shared" si="3770"/>
        <v>#NAME?</v>
      </c>
      <c r="X3771" s="110"/>
    </row>
    <row r="3772" ht="21.0" customHeight="1">
      <c r="A3772" s="6">
        <v>1.0</v>
      </c>
      <c r="B3772" s="6">
        <v>278.0</v>
      </c>
      <c r="C3772" s="6">
        <v>8.0</v>
      </c>
      <c r="D3772" s="172" t="s">
        <v>6313</v>
      </c>
      <c r="E3772" s="9" t="s">
        <v>6314</v>
      </c>
      <c r="F3772" s="109" t="str">
        <f t="shared" ref="F3772:G3772" si="3771">TRANSLATE(D3772,"lzh","vi")</f>
        <v>#NAME?</v>
      </c>
      <c r="G3772" s="109" t="str">
        <f t="shared" si="3771"/>
        <v>#NAME?</v>
      </c>
      <c r="X3772" s="110"/>
    </row>
    <row r="3773" ht="21.0" customHeight="1">
      <c r="A3773" s="6">
        <v>1.0</v>
      </c>
      <c r="B3773" s="6">
        <v>278.0</v>
      </c>
      <c r="C3773" s="6">
        <v>9.0</v>
      </c>
      <c r="D3773" s="173" t="s">
        <v>6315</v>
      </c>
      <c r="E3773" s="9" t="s">
        <v>6316</v>
      </c>
      <c r="F3773" s="109" t="str">
        <f t="shared" ref="F3773:G3773" si="3772">TRANSLATE(D3773,"lzh","vi")</f>
        <v>#NAME?</v>
      </c>
      <c r="G3773" s="109" t="str">
        <f t="shared" si="3772"/>
        <v>#NAME?</v>
      </c>
      <c r="X3773" s="110"/>
    </row>
    <row r="3774" ht="21.0" customHeight="1">
      <c r="A3774" s="6">
        <v>1.0</v>
      </c>
      <c r="B3774" s="6">
        <v>278.0</v>
      </c>
      <c r="C3774" s="6">
        <v>10.0</v>
      </c>
      <c r="D3774" s="172" t="s">
        <v>6317</v>
      </c>
      <c r="E3774" s="9" t="s">
        <v>6318</v>
      </c>
      <c r="F3774" s="109" t="str">
        <f t="shared" ref="F3774:G3774" si="3773">TRANSLATE(D3774,"lzh","vi")</f>
        <v>#NAME?</v>
      </c>
      <c r="G3774" s="109" t="str">
        <f t="shared" si="3773"/>
        <v>#NAME?</v>
      </c>
      <c r="X3774" s="110"/>
    </row>
    <row r="3775" ht="21.0" customHeight="1">
      <c r="A3775" s="6">
        <v>1.0</v>
      </c>
      <c r="B3775" s="6">
        <v>278.0</v>
      </c>
      <c r="C3775" s="6">
        <v>11.0</v>
      </c>
      <c r="D3775" s="171" t="s">
        <v>6319</v>
      </c>
      <c r="E3775" s="9" t="s">
        <v>6320</v>
      </c>
      <c r="F3775" s="109" t="str">
        <f t="shared" ref="F3775:G3775" si="3774">TRANSLATE(D3775,"lzh","vi")</f>
        <v>#NAME?</v>
      </c>
      <c r="G3775" s="109" t="str">
        <f t="shared" si="3774"/>
        <v>#NAME?</v>
      </c>
      <c r="X3775" s="110"/>
    </row>
    <row r="3776" ht="21.0" customHeight="1">
      <c r="A3776" s="6">
        <v>1.0</v>
      </c>
      <c r="B3776" s="6">
        <v>278.0</v>
      </c>
      <c r="C3776" s="6">
        <v>12.0</v>
      </c>
      <c r="D3776" s="172" t="s">
        <v>6321</v>
      </c>
      <c r="E3776" s="9" t="s">
        <v>6322</v>
      </c>
      <c r="F3776" s="109" t="str">
        <f t="shared" ref="F3776:G3776" si="3775">TRANSLATE(D3776,"lzh","vi")</f>
        <v>#NAME?</v>
      </c>
      <c r="G3776" s="109" t="str">
        <f t="shared" si="3775"/>
        <v>#NAME?</v>
      </c>
      <c r="X3776" s="110"/>
    </row>
    <row r="3777" ht="21.0" customHeight="1">
      <c r="A3777" s="6">
        <v>1.0</v>
      </c>
      <c r="B3777" s="6">
        <v>278.0</v>
      </c>
      <c r="C3777" s="6">
        <v>13.0</v>
      </c>
      <c r="D3777" s="172" t="s">
        <v>6323</v>
      </c>
      <c r="E3777" s="9" t="s">
        <v>6324</v>
      </c>
      <c r="F3777" s="109" t="str">
        <f t="shared" ref="F3777:G3777" si="3776">TRANSLATE(D3777,"lzh","vi")</f>
        <v>#NAME?</v>
      </c>
      <c r="G3777" s="109" t="str">
        <f t="shared" si="3776"/>
        <v>#NAME?</v>
      </c>
      <c r="X3777" s="110"/>
    </row>
    <row r="3778" ht="21.0" customHeight="1">
      <c r="A3778" s="6">
        <v>1.0</v>
      </c>
      <c r="B3778" s="6">
        <v>279.0</v>
      </c>
      <c r="C3778" s="6">
        <v>1.0</v>
      </c>
      <c r="D3778" s="172" t="s">
        <v>6325</v>
      </c>
      <c r="E3778" s="9" t="s">
        <v>6326</v>
      </c>
      <c r="F3778" s="109" t="str">
        <f t="shared" ref="F3778:G3778" si="3777">TRANSLATE(D3778,"lzh","vi")</f>
        <v>#NAME?</v>
      </c>
      <c r="G3778" s="109" t="str">
        <f t="shared" si="3777"/>
        <v>#NAME?</v>
      </c>
      <c r="X3778" s="110"/>
    </row>
    <row r="3779" ht="21.0" customHeight="1">
      <c r="A3779" s="6">
        <v>1.0</v>
      </c>
      <c r="B3779" s="6">
        <v>279.0</v>
      </c>
      <c r="C3779" s="6">
        <v>2.0</v>
      </c>
      <c r="D3779" s="172" t="s">
        <v>6327</v>
      </c>
      <c r="E3779" s="9" t="s">
        <v>6328</v>
      </c>
      <c r="F3779" s="109" t="str">
        <f t="shared" ref="F3779:G3779" si="3778">TRANSLATE(D3779,"lzh","vi")</f>
        <v>#NAME?</v>
      </c>
      <c r="G3779" s="109" t="str">
        <f t="shared" si="3778"/>
        <v>#NAME?</v>
      </c>
      <c r="X3779" s="110"/>
    </row>
    <row r="3780" ht="21.0" customHeight="1">
      <c r="A3780" s="6">
        <v>1.0</v>
      </c>
      <c r="B3780" s="6">
        <v>279.0</v>
      </c>
      <c r="C3780" s="6">
        <v>3.0</v>
      </c>
      <c r="D3780" s="172" t="s">
        <v>6329</v>
      </c>
      <c r="E3780" s="9" t="s">
        <v>6330</v>
      </c>
      <c r="F3780" s="109" t="str">
        <f t="shared" ref="F3780:G3780" si="3779">TRANSLATE(D3780,"lzh","vi")</f>
        <v>#NAME?</v>
      </c>
      <c r="G3780" s="109" t="str">
        <f t="shared" si="3779"/>
        <v>#NAME?</v>
      </c>
      <c r="X3780" s="110"/>
    </row>
    <row r="3781" ht="21.0" customHeight="1">
      <c r="A3781" s="6">
        <v>1.0</v>
      </c>
      <c r="B3781" s="6">
        <v>279.0</v>
      </c>
      <c r="C3781" s="6">
        <v>4.0</v>
      </c>
      <c r="D3781" s="174" t="s">
        <v>6331</v>
      </c>
      <c r="E3781" s="9" t="s">
        <v>6332</v>
      </c>
      <c r="F3781" s="109" t="str">
        <f t="shared" ref="F3781:G3781" si="3780">TRANSLATE(D3781,"lzh","vi")</f>
        <v>#NAME?</v>
      </c>
      <c r="G3781" s="109" t="str">
        <f t="shared" si="3780"/>
        <v>#NAME?</v>
      </c>
      <c r="X3781" s="110"/>
    </row>
    <row r="3782" ht="21.0" customHeight="1">
      <c r="A3782" s="6">
        <v>1.0</v>
      </c>
      <c r="B3782" s="6">
        <v>279.0</v>
      </c>
      <c r="C3782" s="6">
        <v>5.0</v>
      </c>
      <c r="D3782" s="175" t="s">
        <v>6333</v>
      </c>
      <c r="E3782" s="9" t="s">
        <v>6334</v>
      </c>
      <c r="F3782" s="109" t="str">
        <f t="shared" ref="F3782:G3782" si="3781">TRANSLATE(D3782,"lzh","vi")</f>
        <v>#NAME?</v>
      </c>
      <c r="G3782" s="109" t="str">
        <f t="shared" si="3781"/>
        <v>#NAME?</v>
      </c>
      <c r="X3782" s="110"/>
    </row>
    <row r="3783" ht="21.0" customHeight="1">
      <c r="A3783" s="6">
        <v>1.0</v>
      </c>
      <c r="B3783" s="6">
        <v>279.0</v>
      </c>
      <c r="C3783" s="6">
        <v>6.0</v>
      </c>
      <c r="D3783" s="174" t="s">
        <v>6335</v>
      </c>
      <c r="E3783" s="9" t="s">
        <v>6336</v>
      </c>
      <c r="F3783" s="109" t="str">
        <f t="shared" ref="F3783:G3783" si="3782">TRANSLATE(D3783,"lzh","vi")</f>
        <v>#NAME?</v>
      </c>
      <c r="G3783" s="109" t="str">
        <f t="shared" si="3782"/>
        <v>#NAME?</v>
      </c>
      <c r="X3783" s="110"/>
    </row>
    <row r="3784" ht="21.0" customHeight="1">
      <c r="A3784" s="6">
        <v>1.0</v>
      </c>
      <c r="B3784" s="6">
        <v>279.0</v>
      </c>
      <c r="C3784" s="6">
        <v>7.0</v>
      </c>
      <c r="D3784" s="172" t="s">
        <v>6337</v>
      </c>
      <c r="E3784" s="9" t="s">
        <v>6338</v>
      </c>
      <c r="F3784" s="109" t="str">
        <f t="shared" ref="F3784:G3784" si="3783">TRANSLATE(D3784,"lzh","vi")</f>
        <v>#NAME?</v>
      </c>
      <c r="G3784" s="109" t="str">
        <f t="shared" si="3783"/>
        <v>#NAME?</v>
      </c>
      <c r="X3784" s="110"/>
    </row>
    <row r="3785" ht="21.0" customHeight="1">
      <c r="A3785" s="6">
        <v>1.0</v>
      </c>
      <c r="B3785" s="6">
        <v>279.0</v>
      </c>
      <c r="C3785" s="6">
        <v>8.0</v>
      </c>
      <c r="D3785" s="175" t="s">
        <v>6339</v>
      </c>
      <c r="E3785" s="9" t="s">
        <v>6340</v>
      </c>
      <c r="F3785" s="109" t="str">
        <f t="shared" ref="F3785:G3785" si="3784">TRANSLATE(D3785,"lzh","vi")</f>
        <v>#NAME?</v>
      </c>
      <c r="G3785" s="109" t="str">
        <f t="shared" si="3784"/>
        <v>#NAME?</v>
      </c>
      <c r="X3785" s="110"/>
    </row>
    <row r="3786" ht="21.0" customHeight="1">
      <c r="A3786" s="6">
        <v>1.0</v>
      </c>
      <c r="B3786" s="6">
        <v>279.0</v>
      </c>
      <c r="C3786" s="6">
        <v>9.0</v>
      </c>
      <c r="D3786" s="172" t="s">
        <v>6341</v>
      </c>
      <c r="E3786" s="9" t="s">
        <v>6342</v>
      </c>
      <c r="F3786" s="109" t="str">
        <f t="shared" ref="F3786:G3786" si="3785">TRANSLATE(D3786,"lzh","vi")</f>
        <v>#NAME?</v>
      </c>
      <c r="G3786" s="109" t="str">
        <f t="shared" si="3785"/>
        <v>#NAME?</v>
      </c>
      <c r="X3786" s="110"/>
    </row>
    <row r="3787" ht="21.0" customHeight="1">
      <c r="A3787" s="6">
        <v>1.0</v>
      </c>
      <c r="B3787" s="6">
        <v>279.0</v>
      </c>
      <c r="C3787" s="6">
        <v>10.0</v>
      </c>
      <c r="D3787" s="172" t="s">
        <v>6343</v>
      </c>
      <c r="E3787" s="9" t="s">
        <v>6344</v>
      </c>
      <c r="F3787" s="109" t="str">
        <f t="shared" ref="F3787:G3787" si="3786">TRANSLATE(D3787,"lzh","vi")</f>
        <v>#NAME?</v>
      </c>
      <c r="G3787" s="109" t="str">
        <f t="shared" si="3786"/>
        <v>#NAME?</v>
      </c>
      <c r="X3787" s="110"/>
    </row>
    <row r="3788" ht="21.0" customHeight="1">
      <c r="A3788" s="6">
        <v>1.0</v>
      </c>
      <c r="B3788" s="6">
        <v>279.0</v>
      </c>
      <c r="C3788" s="6">
        <v>11.0</v>
      </c>
      <c r="D3788" s="172" t="s">
        <v>6345</v>
      </c>
      <c r="E3788" s="9" t="s">
        <v>6346</v>
      </c>
      <c r="F3788" s="109" t="str">
        <f t="shared" ref="F3788:G3788" si="3787">TRANSLATE(D3788,"lzh","vi")</f>
        <v>#NAME?</v>
      </c>
      <c r="G3788" s="109" t="str">
        <f t="shared" si="3787"/>
        <v>#NAME?</v>
      </c>
      <c r="X3788" s="110"/>
    </row>
    <row r="3789" ht="21.0" customHeight="1">
      <c r="A3789" s="6">
        <v>1.0</v>
      </c>
      <c r="B3789" s="6">
        <v>279.0</v>
      </c>
      <c r="C3789" s="6">
        <v>12.0</v>
      </c>
      <c r="D3789" s="175" t="s">
        <v>6347</v>
      </c>
      <c r="E3789" s="9" t="s">
        <v>6348</v>
      </c>
      <c r="F3789" s="109" t="str">
        <f t="shared" ref="F3789:G3789" si="3788">TRANSLATE(D3789,"lzh","vi")</f>
        <v>#NAME?</v>
      </c>
      <c r="G3789" s="109" t="str">
        <f t="shared" si="3788"/>
        <v>#NAME?</v>
      </c>
      <c r="X3789" s="110"/>
    </row>
    <row r="3790" ht="21.0" customHeight="1">
      <c r="A3790" s="6">
        <v>1.0</v>
      </c>
      <c r="B3790" s="6">
        <v>279.0</v>
      </c>
      <c r="C3790" s="6">
        <v>13.0</v>
      </c>
      <c r="D3790" s="175" t="s">
        <v>6349</v>
      </c>
      <c r="E3790" s="9" t="s">
        <v>6350</v>
      </c>
      <c r="F3790" s="109" t="str">
        <f t="shared" ref="F3790:G3790" si="3789">TRANSLATE(D3790,"lzh","vi")</f>
        <v>#NAME?</v>
      </c>
      <c r="G3790" s="109" t="str">
        <f t="shared" si="3789"/>
        <v>#NAME?</v>
      </c>
      <c r="X3790" s="110"/>
    </row>
    <row r="3791" ht="21.0" customHeight="1">
      <c r="A3791" s="6">
        <v>1.0</v>
      </c>
      <c r="B3791" s="6">
        <v>280.0</v>
      </c>
      <c r="C3791" s="6">
        <v>1.0</v>
      </c>
      <c r="D3791" s="176" t="s">
        <v>6351</v>
      </c>
      <c r="E3791" s="9" t="s">
        <v>6352</v>
      </c>
      <c r="F3791" s="109" t="str">
        <f t="shared" ref="F3791:G3791" si="3790">TRANSLATE(D3791,"lzh","vi")</f>
        <v>#NAME?</v>
      </c>
      <c r="G3791" s="109" t="str">
        <f t="shared" si="3790"/>
        <v>#NAME?</v>
      </c>
      <c r="X3791" s="110"/>
    </row>
    <row r="3792" ht="21.0" customHeight="1">
      <c r="A3792" s="6">
        <v>1.0</v>
      </c>
      <c r="B3792" s="6">
        <v>280.0</v>
      </c>
      <c r="C3792" s="6">
        <v>2.0</v>
      </c>
      <c r="D3792" s="173" t="s">
        <v>6353</v>
      </c>
      <c r="E3792" s="9" t="s">
        <v>6354</v>
      </c>
      <c r="F3792" s="109" t="str">
        <f t="shared" ref="F3792:G3792" si="3791">TRANSLATE(D3792,"lzh","vi")</f>
        <v>#NAME?</v>
      </c>
      <c r="G3792" s="109" t="str">
        <f t="shared" si="3791"/>
        <v>#NAME?</v>
      </c>
      <c r="X3792" s="110"/>
    </row>
    <row r="3793" ht="21.0" customHeight="1">
      <c r="A3793" s="6">
        <v>1.0</v>
      </c>
      <c r="B3793" s="6">
        <v>280.0</v>
      </c>
      <c r="C3793" s="6">
        <v>3.0</v>
      </c>
      <c r="D3793" s="171" t="s">
        <v>6355</v>
      </c>
      <c r="E3793" s="9" t="s">
        <v>6356</v>
      </c>
      <c r="F3793" s="109" t="str">
        <f t="shared" ref="F3793:G3793" si="3792">TRANSLATE(D3793,"lzh","vi")</f>
        <v>#NAME?</v>
      </c>
      <c r="G3793" s="109" t="str">
        <f t="shared" si="3792"/>
        <v>#NAME?</v>
      </c>
      <c r="X3793" s="110"/>
    </row>
    <row r="3794" ht="21.0" customHeight="1">
      <c r="A3794" s="6">
        <v>1.0</v>
      </c>
      <c r="B3794" s="6">
        <v>280.0</v>
      </c>
      <c r="C3794" s="6">
        <v>4.0</v>
      </c>
      <c r="D3794" s="171" t="s">
        <v>6357</v>
      </c>
      <c r="E3794" s="9" t="s">
        <v>6358</v>
      </c>
      <c r="F3794" s="109" t="str">
        <f t="shared" ref="F3794:G3794" si="3793">TRANSLATE(D3794,"lzh","vi")</f>
        <v>#NAME?</v>
      </c>
      <c r="G3794" s="109" t="str">
        <f t="shared" si="3793"/>
        <v>#NAME?</v>
      </c>
      <c r="X3794" s="110"/>
    </row>
    <row r="3795" ht="21.0" customHeight="1">
      <c r="A3795" s="6">
        <v>1.0</v>
      </c>
      <c r="B3795" s="6">
        <v>280.0</v>
      </c>
      <c r="C3795" s="6">
        <v>5.0</v>
      </c>
      <c r="D3795" s="172" t="s">
        <v>6359</v>
      </c>
      <c r="E3795" s="9" t="s">
        <v>6360</v>
      </c>
      <c r="F3795" s="109" t="str">
        <f t="shared" ref="F3795:G3795" si="3794">TRANSLATE(D3795,"lzh","vi")</f>
        <v>#NAME?</v>
      </c>
      <c r="G3795" s="109" t="str">
        <f t="shared" si="3794"/>
        <v>#NAME?</v>
      </c>
      <c r="X3795" s="110"/>
    </row>
    <row r="3796" ht="21.0" customHeight="1">
      <c r="A3796" s="6">
        <v>1.0</v>
      </c>
      <c r="B3796" s="6">
        <v>280.0</v>
      </c>
      <c r="C3796" s="6">
        <v>6.0</v>
      </c>
      <c r="D3796" s="172" t="s">
        <v>6361</v>
      </c>
      <c r="E3796" s="9" t="s">
        <v>6362</v>
      </c>
      <c r="F3796" s="109" t="str">
        <f t="shared" ref="F3796:G3796" si="3795">TRANSLATE(D3796,"lzh","vi")</f>
        <v>#NAME?</v>
      </c>
      <c r="G3796" s="109" t="str">
        <f t="shared" si="3795"/>
        <v>#NAME?</v>
      </c>
      <c r="X3796" s="110"/>
    </row>
    <row r="3797" ht="21.0" customHeight="1">
      <c r="A3797" s="6">
        <v>1.0</v>
      </c>
      <c r="B3797" s="6">
        <v>280.0</v>
      </c>
      <c r="C3797" s="6">
        <v>7.0</v>
      </c>
      <c r="D3797" s="173" t="s">
        <v>6363</v>
      </c>
      <c r="E3797" s="9" t="s">
        <v>6364</v>
      </c>
      <c r="F3797" s="109" t="str">
        <f t="shared" ref="F3797:G3797" si="3796">TRANSLATE(D3797,"lzh","vi")</f>
        <v>#NAME?</v>
      </c>
      <c r="G3797" s="109" t="str">
        <f t="shared" si="3796"/>
        <v>#NAME?</v>
      </c>
      <c r="X3797" s="110"/>
    </row>
    <row r="3798" ht="21.0" customHeight="1">
      <c r="A3798" s="6">
        <v>1.0</v>
      </c>
      <c r="B3798" s="6">
        <v>280.0</v>
      </c>
      <c r="C3798" s="6">
        <v>8.0</v>
      </c>
      <c r="D3798" s="172" t="s">
        <v>6365</v>
      </c>
      <c r="E3798" s="9" t="s">
        <v>6366</v>
      </c>
      <c r="F3798" s="109" t="str">
        <f t="shared" ref="F3798:G3798" si="3797">TRANSLATE(D3798,"lzh","vi")</f>
        <v>#NAME?</v>
      </c>
      <c r="G3798" s="109" t="str">
        <f t="shared" si="3797"/>
        <v>#NAME?</v>
      </c>
      <c r="X3798" s="110"/>
    </row>
    <row r="3799" ht="21.0" customHeight="1">
      <c r="A3799" s="6">
        <v>1.0</v>
      </c>
      <c r="B3799" s="6">
        <v>280.0</v>
      </c>
      <c r="C3799" s="6">
        <v>9.0</v>
      </c>
      <c r="D3799" s="173" t="s">
        <v>6367</v>
      </c>
      <c r="E3799" s="9" t="s">
        <v>6368</v>
      </c>
      <c r="F3799" s="109" t="str">
        <f t="shared" ref="F3799:G3799" si="3798">TRANSLATE(D3799,"lzh","vi")</f>
        <v>#NAME?</v>
      </c>
      <c r="G3799" s="109" t="str">
        <f t="shared" si="3798"/>
        <v>#NAME?</v>
      </c>
      <c r="X3799" s="110"/>
    </row>
    <row r="3800" ht="21.0" customHeight="1">
      <c r="A3800" s="6">
        <v>1.0</v>
      </c>
      <c r="B3800" s="6">
        <v>280.0</v>
      </c>
      <c r="C3800" s="6">
        <v>10.0</v>
      </c>
      <c r="D3800" s="172" t="s">
        <v>6369</v>
      </c>
      <c r="E3800" s="9" t="s">
        <v>6370</v>
      </c>
      <c r="F3800" s="109" t="str">
        <f t="shared" ref="F3800:G3800" si="3799">TRANSLATE(D3800,"lzh","vi")</f>
        <v>#NAME?</v>
      </c>
      <c r="G3800" s="109" t="str">
        <f t="shared" si="3799"/>
        <v>#NAME?</v>
      </c>
      <c r="X3800" s="110"/>
    </row>
    <row r="3801" ht="21.0" customHeight="1">
      <c r="A3801" s="6">
        <v>1.0</v>
      </c>
      <c r="B3801" s="6">
        <v>280.0</v>
      </c>
      <c r="C3801" s="6">
        <v>11.0</v>
      </c>
      <c r="D3801" s="171" t="s">
        <v>6371</v>
      </c>
      <c r="E3801" s="9" t="s">
        <v>6372</v>
      </c>
      <c r="F3801" s="109" t="str">
        <f t="shared" ref="F3801:G3801" si="3800">TRANSLATE(D3801,"lzh","vi")</f>
        <v>#NAME?</v>
      </c>
      <c r="G3801" s="109" t="str">
        <f t="shared" si="3800"/>
        <v>#NAME?</v>
      </c>
      <c r="X3801" s="110"/>
    </row>
    <row r="3802" ht="21.0" customHeight="1">
      <c r="A3802" s="6">
        <v>1.0</v>
      </c>
      <c r="B3802" s="6">
        <v>280.0</v>
      </c>
      <c r="C3802" s="6">
        <v>12.0</v>
      </c>
      <c r="D3802" s="172" t="s">
        <v>6373</v>
      </c>
      <c r="E3802" s="9" t="s">
        <v>6374</v>
      </c>
      <c r="F3802" s="109" t="str">
        <f t="shared" ref="F3802:G3802" si="3801">TRANSLATE(D3802,"lzh","vi")</f>
        <v>#NAME?</v>
      </c>
      <c r="G3802" s="109" t="str">
        <f t="shared" si="3801"/>
        <v>#NAME?</v>
      </c>
      <c r="X3802" s="110"/>
    </row>
    <row r="3803" ht="21.0" customHeight="1">
      <c r="A3803" s="6">
        <v>1.0</v>
      </c>
      <c r="B3803" s="6">
        <v>280.0</v>
      </c>
      <c r="C3803" s="6">
        <v>13.0</v>
      </c>
      <c r="D3803" s="172" t="s">
        <v>6375</v>
      </c>
      <c r="E3803" s="9" t="s">
        <v>6376</v>
      </c>
      <c r="F3803" s="109" t="str">
        <f t="shared" ref="F3803:G3803" si="3802">TRANSLATE(D3803,"lzh","vi")</f>
        <v>#NAME?</v>
      </c>
      <c r="G3803" s="109" t="str">
        <f t="shared" si="3802"/>
        <v>#NAME?</v>
      </c>
      <c r="X3803" s="110"/>
    </row>
    <row r="3804" ht="21.0" customHeight="1">
      <c r="A3804" s="6">
        <v>11.0</v>
      </c>
      <c r="B3804" s="6">
        <v>1090.0</v>
      </c>
      <c r="C3804" s="6">
        <v>1.0</v>
      </c>
      <c r="D3804" s="177" t="s">
        <v>6377</v>
      </c>
      <c r="E3804" s="9" t="s">
        <v>6378</v>
      </c>
      <c r="F3804" s="109" t="str">
        <f t="shared" ref="F3804:G3804" si="3803">TRANSLATE(D3804,"lzh","vi")</f>
        <v>#NAME?</v>
      </c>
      <c r="G3804" s="109" t="str">
        <f t="shared" si="3803"/>
        <v>#NAME?</v>
      </c>
      <c r="X3804" s="110"/>
    </row>
    <row r="3805" ht="21.0" customHeight="1">
      <c r="A3805" s="6">
        <v>11.0</v>
      </c>
      <c r="B3805" s="6">
        <v>1090.0</v>
      </c>
      <c r="C3805" s="6">
        <v>2.0</v>
      </c>
      <c r="D3805" s="177" t="s">
        <v>6379</v>
      </c>
      <c r="E3805" s="9" t="s">
        <v>6380</v>
      </c>
      <c r="F3805" s="109" t="str">
        <f t="shared" ref="F3805:G3805" si="3804">TRANSLATE(D3805,"lzh","vi")</f>
        <v>#NAME?</v>
      </c>
      <c r="G3805" s="109" t="str">
        <f t="shared" si="3804"/>
        <v>#NAME?</v>
      </c>
      <c r="X3805" s="110"/>
    </row>
    <row r="3806" ht="21.0" customHeight="1">
      <c r="A3806" s="6">
        <v>11.0</v>
      </c>
      <c r="B3806" s="6">
        <v>1090.0</v>
      </c>
      <c r="C3806" s="6">
        <v>3.0</v>
      </c>
      <c r="D3806" s="177" t="s">
        <v>6381</v>
      </c>
      <c r="E3806" s="9" t="s">
        <v>6382</v>
      </c>
      <c r="F3806" s="109" t="str">
        <f t="shared" ref="F3806:G3806" si="3805">TRANSLATE(D3806,"lzh","vi")</f>
        <v>#NAME?</v>
      </c>
      <c r="G3806" s="109" t="str">
        <f t="shared" si="3805"/>
        <v>#NAME?</v>
      </c>
      <c r="X3806" s="110"/>
    </row>
    <row r="3807" ht="21.0" customHeight="1">
      <c r="A3807" s="6">
        <v>11.0</v>
      </c>
      <c r="B3807" s="6">
        <v>1090.0</v>
      </c>
      <c r="C3807" s="6">
        <v>4.0</v>
      </c>
      <c r="D3807" s="173" t="s">
        <v>6383</v>
      </c>
      <c r="E3807" s="9" t="s">
        <v>6384</v>
      </c>
      <c r="F3807" s="109" t="str">
        <f t="shared" ref="F3807:G3807" si="3806">TRANSLATE(D3807,"lzh","vi")</f>
        <v>#NAME?</v>
      </c>
      <c r="G3807" s="109" t="str">
        <f t="shared" si="3806"/>
        <v>#NAME?</v>
      </c>
      <c r="X3807" s="110"/>
    </row>
    <row r="3808" ht="21.0" customHeight="1">
      <c r="A3808" s="6">
        <v>10.0</v>
      </c>
      <c r="B3808" s="6">
        <v>1090.0</v>
      </c>
      <c r="C3808" s="6">
        <v>5.0</v>
      </c>
      <c r="D3808" s="173" t="s">
        <v>6385</v>
      </c>
      <c r="E3808" s="9" t="s">
        <v>6386</v>
      </c>
      <c r="F3808" s="109" t="str">
        <f t="shared" ref="F3808:G3808" si="3807">TRANSLATE(D3808,"lzh","vi")</f>
        <v>#NAME?</v>
      </c>
      <c r="G3808" s="109" t="str">
        <f t="shared" si="3807"/>
        <v>#NAME?</v>
      </c>
      <c r="X3808" s="110"/>
    </row>
    <row r="3809" ht="21.0" customHeight="1">
      <c r="A3809" s="6">
        <v>10.0</v>
      </c>
      <c r="B3809" s="6">
        <v>1090.0</v>
      </c>
      <c r="C3809" s="6">
        <v>6.0</v>
      </c>
      <c r="D3809" s="173" t="s">
        <v>6387</v>
      </c>
      <c r="E3809" s="9" t="s">
        <v>6388</v>
      </c>
      <c r="F3809" s="109" t="str">
        <f t="shared" ref="F3809:G3809" si="3808">TRANSLATE(D3809,"lzh","vi")</f>
        <v>#NAME?</v>
      </c>
      <c r="G3809" s="109" t="str">
        <f t="shared" si="3808"/>
        <v>#NAME?</v>
      </c>
      <c r="X3809" s="110"/>
    </row>
    <row r="3810" ht="21.0" customHeight="1">
      <c r="A3810" s="6">
        <v>10.0</v>
      </c>
      <c r="B3810" s="6">
        <v>1090.0</v>
      </c>
      <c r="C3810" s="6">
        <v>7.0</v>
      </c>
      <c r="D3810" s="173" t="s">
        <v>6389</v>
      </c>
      <c r="E3810" s="9" t="s">
        <v>6390</v>
      </c>
      <c r="F3810" s="109" t="str">
        <f t="shared" ref="F3810:G3810" si="3809">TRANSLATE(D3810,"lzh","vi")</f>
        <v>#NAME?</v>
      </c>
      <c r="G3810" s="109" t="str">
        <f t="shared" si="3809"/>
        <v>#NAME?</v>
      </c>
      <c r="X3810" s="110"/>
    </row>
    <row r="3811" ht="21.0" customHeight="1">
      <c r="A3811" s="6">
        <v>10.0</v>
      </c>
      <c r="B3811" s="6">
        <v>1090.0</v>
      </c>
      <c r="C3811" s="6">
        <v>8.0</v>
      </c>
      <c r="D3811" s="173" t="s">
        <v>6391</v>
      </c>
      <c r="E3811" s="9" t="s">
        <v>6392</v>
      </c>
      <c r="F3811" s="109" t="str">
        <f t="shared" ref="F3811:G3811" si="3810">TRANSLATE(D3811,"lzh","vi")</f>
        <v>#NAME?</v>
      </c>
      <c r="G3811" s="109" t="str">
        <f t="shared" si="3810"/>
        <v>#NAME?</v>
      </c>
      <c r="X3811" s="110"/>
    </row>
    <row r="3812" ht="21.0" customHeight="1">
      <c r="A3812" s="6">
        <v>10.0</v>
      </c>
      <c r="B3812" s="6">
        <v>1090.0</v>
      </c>
      <c r="C3812" s="6">
        <v>9.0</v>
      </c>
      <c r="D3812" s="173" t="s">
        <v>6393</v>
      </c>
      <c r="E3812" s="9" t="s">
        <v>6394</v>
      </c>
      <c r="F3812" s="109" t="str">
        <f t="shared" ref="F3812:G3812" si="3811">TRANSLATE(D3812,"lzh","vi")</f>
        <v>#NAME?</v>
      </c>
      <c r="G3812" s="109" t="str">
        <f t="shared" si="3811"/>
        <v>#NAME?</v>
      </c>
      <c r="X3812" s="110"/>
    </row>
    <row r="3813" ht="21.0" customHeight="1">
      <c r="A3813" s="6">
        <v>10.0</v>
      </c>
      <c r="B3813" s="6">
        <v>1090.0</v>
      </c>
      <c r="C3813" s="6">
        <v>10.0</v>
      </c>
      <c r="D3813" s="173" t="s">
        <v>6395</v>
      </c>
      <c r="E3813" s="9" t="s">
        <v>6396</v>
      </c>
      <c r="F3813" s="109" t="str">
        <f t="shared" ref="F3813:G3813" si="3812">TRANSLATE(D3813,"lzh","vi")</f>
        <v>#NAME?</v>
      </c>
      <c r="G3813" s="109" t="str">
        <f t="shared" si="3812"/>
        <v>#NAME?</v>
      </c>
      <c r="X3813" s="110"/>
    </row>
    <row r="3814" ht="21.0" customHeight="1">
      <c r="A3814" s="6">
        <v>11.0</v>
      </c>
      <c r="B3814" s="6">
        <v>1091.0</v>
      </c>
      <c r="C3814" s="6">
        <v>1.0</v>
      </c>
      <c r="D3814" s="177" t="s">
        <v>6397</v>
      </c>
      <c r="E3814" s="9" t="s">
        <v>6398</v>
      </c>
      <c r="F3814" s="109" t="str">
        <f t="shared" ref="F3814:G3814" si="3813">TRANSLATE(D3814,"lzh","vi")</f>
        <v>#NAME?</v>
      </c>
      <c r="G3814" s="109" t="str">
        <f t="shared" si="3813"/>
        <v>#NAME?</v>
      </c>
      <c r="X3814" s="110"/>
    </row>
    <row r="3815" ht="21.0" customHeight="1">
      <c r="A3815" s="6">
        <v>11.0</v>
      </c>
      <c r="B3815" s="6">
        <v>1091.0</v>
      </c>
      <c r="C3815" s="6">
        <v>2.0</v>
      </c>
      <c r="D3815" s="177" t="s">
        <v>6399</v>
      </c>
      <c r="E3815" s="9" t="s">
        <v>6400</v>
      </c>
      <c r="F3815" s="109" t="str">
        <f t="shared" ref="F3815:G3815" si="3814">TRANSLATE(D3815,"lzh","vi")</f>
        <v>#NAME?</v>
      </c>
      <c r="G3815" s="109" t="str">
        <f t="shared" si="3814"/>
        <v>#NAME?</v>
      </c>
      <c r="X3815" s="110"/>
    </row>
    <row r="3816" ht="21.0" customHeight="1">
      <c r="A3816" s="6">
        <v>11.0</v>
      </c>
      <c r="B3816" s="6">
        <v>1091.0</v>
      </c>
      <c r="C3816" s="6">
        <v>3.0</v>
      </c>
      <c r="D3816" s="177" t="s">
        <v>6401</v>
      </c>
      <c r="E3816" s="9" t="s">
        <v>6402</v>
      </c>
      <c r="F3816" s="109" t="str">
        <f t="shared" ref="F3816:G3816" si="3815">TRANSLATE(D3816,"lzh","vi")</f>
        <v>#NAME?</v>
      </c>
      <c r="G3816" s="109" t="str">
        <f t="shared" si="3815"/>
        <v>#NAME?</v>
      </c>
      <c r="X3816" s="110"/>
    </row>
    <row r="3817" ht="21.0" customHeight="1">
      <c r="A3817" s="6">
        <v>11.0</v>
      </c>
      <c r="B3817" s="6">
        <v>1091.0</v>
      </c>
      <c r="C3817" s="6">
        <v>4.0</v>
      </c>
      <c r="D3817" s="173" t="s">
        <v>6403</v>
      </c>
      <c r="E3817" s="9" t="s">
        <v>6404</v>
      </c>
      <c r="F3817" s="109" t="str">
        <f t="shared" ref="F3817:G3817" si="3816">TRANSLATE(D3817,"lzh","vi")</f>
        <v>#NAME?</v>
      </c>
      <c r="G3817" s="109" t="str">
        <f t="shared" si="3816"/>
        <v>#NAME?</v>
      </c>
      <c r="X3817" s="110"/>
    </row>
    <row r="3818" ht="21.0" customHeight="1">
      <c r="A3818" s="6">
        <v>10.0</v>
      </c>
      <c r="B3818" s="6">
        <v>1091.0</v>
      </c>
      <c r="C3818" s="6">
        <v>5.0</v>
      </c>
      <c r="D3818" s="173" t="s">
        <v>6405</v>
      </c>
      <c r="E3818" s="9" t="s">
        <v>6406</v>
      </c>
      <c r="F3818" s="109" t="str">
        <f t="shared" ref="F3818:G3818" si="3817">TRANSLATE(D3818,"lzh","vi")</f>
        <v>#NAME?</v>
      </c>
      <c r="G3818" s="109" t="str">
        <f t="shared" si="3817"/>
        <v>#NAME?</v>
      </c>
      <c r="X3818" s="110"/>
    </row>
    <row r="3819" ht="21.0" customHeight="1">
      <c r="A3819" s="6">
        <v>10.0</v>
      </c>
      <c r="B3819" s="6">
        <v>1091.0</v>
      </c>
      <c r="C3819" s="6">
        <v>6.0</v>
      </c>
      <c r="D3819" s="173" t="s">
        <v>6407</v>
      </c>
      <c r="E3819" s="9" t="s">
        <v>6408</v>
      </c>
      <c r="F3819" s="109" t="str">
        <f t="shared" ref="F3819:G3819" si="3818">TRANSLATE(D3819,"lzh","vi")</f>
        <v>#NAME?</v>
      </c>
      <c r="G3819" s="109" t="str">
        <f t="shared" si="3818"/>
        <v>#NAME?</v>
      </c>
      <c r="X3819" s="110"/>
    </row>
    <row r="3820" ht="21.0" customHeight="1">
      <c r="A3820" s="6">
        <v>10.0</v>
      </c>
      <c r="B3820" s="6">
        <v>1091.0</v>
      </c>
      <c r="C3820" s="6">
        <v>7.0</v>
      </c>
      <c r="D3820" s="173" t="s">
        <v>6409</v>
      </c>
      <c r="E3820" s="9" t="s">
        <v>6410</v>
      </c>
      <c r="F3820" s="109" t="str">
        <f t="shared" ref="F3820:G3820" si="3819">TRANSLATE(D3820,"lzh","vi")</f>
        <v>#NAME?</v>
      </c>
      <c r="G3820" s="109" t="str">
        <f t="shared" si="3819"/>
        <v>#NAME?</v>
      </c>
      <c r="X3820" s="110"/>
    </row>
    <row r="3821" ht="21.0" customHeight="1">
      <c r="A3821" s="6">
        <v>10.0</v>
      </c>
      <c r="B3821" s="6">
        <v>1091.0</v>
      </c>
      <c r="C3821" s="6">
        <v>8.0</v>
      </c>
      <c r="D3821" s="173" t="s">
        <v>6411</v>
      </c>
      <c r="E3821" s="9" t="s">
        <v>6412</v>
      </c>
      <c r="F3821" s="109" t="str">
        <f t="shared" ref="F3821:G3821" si="3820">TRANSLATE(D3821,"lzh","vi")</f>
        <v>#NAME?</v>
      </c>
      <c r="G3821" s="109" t="str">
        <f t="shared" si="3820"/>
        <v>#NAME?</v>
      </c>
      <c r="X3821" s="110"/>
    </row>
    <row r="3822" ht="21.0" customHeight="1">
      <c r="A3822" s="6">
        <v>10.0</v>
      </c>
      <c r="B3822" s="6">
        <v>1091.0</v>
      </c>
      <c r="C3822" s="6">
        <v>9.0</v>
      </c>
      <c r="D3822" s="173" t="s">
        <v>6413</v>
      </c>
      <c r="E3822" s="9" t="s">
        <v>6414</v>
      </c>
      <c r="F3822" s="109" t="str">
        <f t="shared" ref="F3822:G3822" si="3821">TRANSLATE(D3822,"lzh","vi")</f>
        <v>#NAME?</v>
      </c>
      <c r="G3822" s="109" t="str">
        <f t="shared" si="3821"/>
        <v>#NAME?</v>
      </c>
      <c r="X3822" s="110"/>
    </row>
    <row r="3823" ht="21.0" customHeight="1">
      <c r="A3823" s="6">
        <v>10.0</v>
      </c>
      <c r="B3823" s="6">
        <v>1091.0</v>
      </c>
      <c r="C3823" s="6">
        <v>10.0</v>
      </c>
      <c r="D3823" s="173" t="s">
        <v>6415</v>
      </c>
      <c r="E3823" s="9" t="s">
        <v>6396</v>
      </c>
      <c r="F3823" s="109" t="str">
        <f t="shared" ref="F3823:G3823" si="3822">TRANSLATE(D3823,"lzh","vi")</f>
        <v>#NAME?</v>
      </c>
      <c r="G3823" s="109" t="str">
        <f t="shared" si="3822"/>
        <v>#NAME?</v>
      </c>
      <c r="X3823" s="110"/>
    </row>
    <row r="3824" ht="21.0" customHeight="1">
      <c r="A3824" s="6">
        <v>1.0</v>
      </c>
      <c r="B3824" s="6">
        <v>281.0</v>
      </c>
      <c r="C3824" s="6">
        <v>1.0</v>
      </c>
      <c r="D3824" s="177" t="s">
        <v>6416</v>
      </c>
      <c r="E3824" s="9" t="s">
        <v>6417</v>
      </c>
      <c r="F3824" s="109" t="str">
        <f t="shared" ref="F3824:G3824" si="3823">TRANSLATE(D3824,"lzh","vi")</f>
        <v>#NAME?</v>
      </c>
      <c r="G3824" s="109" t="str">
        <f t="shared" si="3823"/>
        <v>#NAME?</v>
      </c>
      <c r="X3824" s="110"/>
    </row>
    <row r="3825" ht="21.0" customHeight="1">
      <c r="A3825" s="6">
        <v>1.0</v>
      </c>
      <c r="B3825" s="6">
        <v>281.0</v>
      </c>
      <c r="C3825" s="6">
        <v>2.0</v>
      </c>
      <c r="D3825" s="177" t="s">
        <v>6418</v>
      </c>
      <c r="E3825" s="9" t="s">
        <v>6419</v>
      </c>
      <c r="F3825" s="109" t="str">
        <f t="shared" ref="F3825:G3825" si="3824">TRANSLATE(D3825,"lzh","vi")</f>
        <v>#NAME?</v>
      </c>
      <c r="G3825" s="109" t="str">
        <f t="shared" si="3824"/>
        <v>#NAME?</v>
      </c>
      <c r="X3825" s="110"/>
    </row>
    <row r="3826" ht="21.0" customHeight="1">
      <c r="A3826" s="6">
        <v>1.0</v>
      </c>
      <c r="B3826" s="6">
        <v>281.0</v>
      </c>
      <c r="C3826" s="6">
        <v>3.0</v>
      </c>
      <c r="D3826" s="177" t="s">
        <v>6420</v>
      </c>
      <c r="E3826" s="9" t="s">
        <v>6421</v>
      </c>
      <c r="F3826" s="109" t="str">
        <f t="shared" ref="F3826:G3826" si="3825">TRANSLATE(D3826,"lzh","vi")</f>
        <v>#NAME?</v>
      </c>
      <c r="G3826" s="109" t="str">
        <f t="shared" si="3825"/>
        <v>#NAME?</v>
      </c>
      <c r="X3826" s="110"/>
    </row>
    <row r="3827" ht="21.0" customHeight="1">
      <c r="A3827" s="6">
        <v>1.0</v>
      </c>
      <c r="B3827" s="6">
        <v>281.0</v>
      </c>
      <c r="C3827" s="6">
        <v>4.0</v>
      </c>
      <c r="D3827" s="178" t="s">
        <v>6422</v>
      </c>
      <c r="E3827" s="9" t="s">
        <v>6423</v>
      </c>
      <c r="F3827" s="109" t="str">
        <f t="shared" ref="F3827:G3827" si="3826">TRANSLATE(D3827,"lzh","vi")</f>
        <v>#NAME?</v>
      </c>
      <c r="G3827" s="109" t="str">
        <f t="shared" si="3826"/>
        <v>#NAME?</v>
      </c>
      <c r="X3827" s="110"/>
    </row>
    <row r="3828" ht="21.0" customHeight="1">
      <c r="A3828" s="6">
        <v>1.0</v>
      </c>
      <c r="B3828" s="6">
        <v>281.0</v>
      </c>
      <c r="C3828" s="6">
        <v>5.0</v>
      </c>
      <c r="D3828" s="177" t="s">
        <v>6424</v>
      </c>
      <c r="E3828" s="9" t="s">
        <v>6425</v>
      </c>
      <c r="F3828" s="109" t="str">
        <f t="shared" ref="F3828:G3828" si="3827">TRANSLATE(D3828,"lzh","vi")</f>
        <v>#NAME?</v>
      </c>
      <c r="G3828" s="109" t="str">
        <f t="shared" si="3827"/>
        <v>#NAME?</v>
      </c>
      <c r="X3828" s="110"/>
    </row>
    <row r="3829" ht="21.0" customHeight="1">
      <c r="A3829" s="6">
        <v>1.0</v>
      </c>
      <c r="B3829" s="6">
        <v>281.0</v>
      </c>
      <c r="C3829" s="6">
        <v>6.0</v>
      </c>
      <c r="D3829" s="177" t="s">
        <v>6426</v>
      </c>
      <c r="E3829" s="9" t="s">
        <v>6427</v>
      </c>
      <c r="F3829" s="109" t="str">
        <f t="shared" ref="F3829:G3829" si="3828">TRANSLATE(D3829,"lzh","vi")</f>
        <v>#NAME?</v>
      </c>
      <c r="G3829" s="109" t="str">
        <f t="shared" si="3828"/>
        <v>#NAME?</v>
      </c>
      <c r="X3829" s="110"/>
    </row>
    <row r="3830" ht="21.0" customHeight="1">
      <c r="A3830" s="6">
        <v>1.0</v>
      </c>
      <c r="B3830" s="6">
        <v>281.0</v>
      </c>
      <c r="C3830" s="6">
        <v>7.0</v>
      </c>
      <c r="D3830" s="173" t="s">
        <v>6428</v>
      </c>
      <c r="E3830" s="9" t="s">
        <v>6429</v>
      </c>
      <c r="F3830" s="109" t="str">
        <f t="shared" ref="F3830:G3830" si="3829">TRANSLATE(D3830,"lzh","vi")</f>
        <v>#NAME?</v>
      </c>
      <c r="G3830" s="109" t="str">
        <f t="shared" si="3829"/>
        <v>#NAME?</v>
      </c>
      <c r="X3830" s="110"/>
    </row>
    <row r="3831" ht="21.0" customHeight="1">
      <c r="A3831" s="6">
        <v>1.0</v>
      </c>
      <c r="B3831" s="6">
        <v>281.0</v>
      </c>
      <c r="C3831" s="6">
        <v>8.0</v>
      </c>
      <c r="D3831" s="173" t="s">
        <v>6430</v>
      </c>
      <c r="E3831" s="9" t="s">
        <v>6431</v>
      </c>
      <c r="F3831" s="109" t="str">
        <f t="shared" ref="F3831:G3831" si="3830">TRANSLATE(D3831,"lzh","vi")</f>
        <v>#NAME?</v>
      </c>
      <c r="G3831" s="109" t="str">
        <f t="shared" si="3830"/>
        <v>#NAME?</v>
      </c>
      <c r="X3831" s="110"/>
    </row>
    <row r="3832" ht="21.0" customHeight="1">
      <c r="A3832" s="6">
        <v>1.0</v>
      </c>
      <c r="B3832" s="6">
        <v>281.0</v>
      </c>
      <c r="C3832" s="6">
        <v>9.0</v>
      </c>
      <c r="D3832" s="177" t="s">
        <v>6432</v>
      </c>
      <c r="E3832" s="9" t="s">
        <v>6433</v>
      </c>
      <c r="F3832" s="109" t="str">
        <f t="shared" ref="F3832:G3832" si="3831">TRANSLATE(D3832,"lzh","vi")</f>
        <v>#NAME?</v>
      </c>
      <c r="G3832" s="109" t="str">
        <f t="shared" si="3831"/>
        <v>#NAME?</v>
      </c>
      <c r="X3832" s="110"/>
    </row>
    <row r="3833" ht="21.0" customHeight="1">
      <c r="A3833" s="6">
        <v>1.0</v>
      </c>
      <c r="B3833" s="6">
        <v>281.0</v>
      </c>
      <c r="C3833" s="6">
        <v>10.0</v>
      </c>
      <c r="D3833" s="177" t="s">
        <v>6434</v>
      </c>
      <c r="E3833" s="9" t="s">
        <v>6435</v>
      </c>
      <c r="F3833" s="109" t="str">
        <f t="shared" ref="F3833:G3833" si="3832">TRANSLATE(D3833,"lzh","vi")</f>
        <v>#NAME?</v>
      </c>
      <c r="G3833" s="109" t="str">
        <f t="shared" si="3832"/>
        <v>#NAME?</v>
      </c>
      <c r="X3833" s="110"/>
    </row>
    <row r="3834" ht="21.0" customHeight="1">
      <c r="A3834" s="6">
        <v>1.0</v>
      </c>
      <c r="B3834" s="6">
        <v>281.0</v>
      </c>
      <c r="C3834" s="6">
        <v>11.0</v>
      </c>
      <c r="D3834" s="177" t="s">
        <v>6436</v>
      </c>
      <c r="E3834" s="9" t="s">
        <v>6437</v>
      </c>
      <c r="F3834" s="109" t="str">
        <f t="shared" ref="F3834:G3834" si="3833">TRANSLATE(D3834,"lzh","vi")</f>
        <v>#NAME?</v>
      </c>
      <c r="G3834" s="109" t="str">
        <f t="shared" si="3833"/>
        <v>#NAME?</v>
      </c>
      <c r="X3834" s="110"/>
    </row>
    <row r="3835" ht="21.0" customHeight="1">
      <c r="A3835" s="6">
        <v>1.0</v>
      </c>
      <c r="B3835" s="6">
        <v>281.0</v>
      </c>
      <c r="C3835" s="6">
        <v>12.0</v>
      </c>
      <c r="D3835" s="177" t="s">
        <v>6438</v>
      </c>
      <c r="E3835" s="9" t="s">
        <v>6439</v>
      </c>
      <c r="F3835" s="109" t="str">
        <f t="shared" ref="F3835:G3835" si="3834">TRANSLATE(D3835,"lzh","vi")</f>
        <v>#NAME?</v>
      </c>
      <c r="G3835" s="109" t="str">
        <f t="shared" si="3834"/>
        <v>#NAME?</v>
      </c>
      <c r="X3835" s="110"/>
    </row>
    <row r="3836" ht="21.0" customHeight="1">
      <c r="A3836" s="6">
        <v>1.0</v>
      </c>
      <c r="B3836" s="6">
        <v>281.0</v>
      </c>
      <c r="C3836" s="6">
        <v>13.0</v>
      </c>
      <c r="D3836" s="173" t="s">
        <v>6440</v>
      </c>
      <c r="E3836" s="9" t="s">
        <v>6441</v>
      </c>
      <c r="F3836" s="109" t="str">
        <f t="shared" ref="F3836:G3836" si="3835">TRANSLATE(D3836,"lzh","vi")</f>
        <v>#NAME?</v>
      </c>
      <c r="G3836" s="109" t="str">
        <f t="shared" si="3835"/>
        <v>#NAME?</v>
      </c>
      <c r="X3836" s="110"/>
    </row>
    <row r="3837" ht="21.0" customHeight="1">
      <c r="A3837" s="6">
        <v>1.0</v>
      </c>
      <c r="B3837" s="6">
        <v>282.0</v>
      </c>
      <c r="C3837" s="6">
        <v>1.0</v>
      </c>
      <c r="D3837" s="177" t="s">
        <v>6442</v>
      </c>
      <c r="E3837" s="9" t="s">
        <v>6443</v>
      </c>
      <c r="F3837" s="109" t="str">
        <f t="shared" ref="F3837:G3837" si="3836">TRANSLATE(D3837,"lzh","vi")</f>
        <v>#NAME?</v>
      </c>
      <c r="G3837" s="109" t="str">
        <f t="shared" si="3836"/>
        <v>#NAME?</v>
      </c>
      <c r="X3837" s="110"/>
    </row>
    <row r="3838" ht="21.0" customHeight="1">
      <c r="A3838" s="6">
        <v>1.0</v>
      </c>
      <c r="B3838" s="6">
        <v>282.0</v>
      </c>
      <c r="C3838" s="6">
        <v>2.0</v>
      </c>
      <c r="D3838" s="177" t="s">
        <v>6444</v>
      </c>
      <c r="E3838" s="9" t="s">
        <v>6445</v>
      </c>
      <c r="F3838" s="109" t="str">
        <f t="shared" ref="F3838:G3838" si="3837">TRANSLATE(D3838,"lzh","vi")</f>
        <v>#NAME?</v>
      </c>
      <c r="G3838" s="109" t="str">
        <f t="shared" si="3837"/>
        <v>#NAME?</v>
      </c>
      <c r="X3838" s="110"/>
    </row>
    <row r="3839" ht="21.0" customHeight="1">
      <c r="A3839" s="6">
        <v>1.0</v>
      </c>
      <c r="B3839" s="6">
        <v>282.0</v>
      </c>
      <c r="C3839" s="6">
        <v>3.0</v>
      </c>
      <c r="D3839" s="177" t="s">
        <v>6446</v>
      </c>
      <c r="E3839" s="9" t="s">
        <v>6447</v>
      </c>
      <c r="F3839" s="109" t="str">
        <f t="shared" ref="F3839:G3839" si="3838">TRANSLATE(D3839,"lzh","vi")</f>
        <v>#NAME?</v>
      </c>
      <c r="G3839" s="109" t="str">
        <f t="shared" si="3838"/>
        <v>#NAME?</v>
      </c>
      <c r="X3839" s="110"/>
    </row>
    <row r="3840" ht="21.0" customHeight="1">
      <c r="A3840" s="6">
        <v>1.0</v>
      </c>
      <c r="B3840" s="6">
        <v>282.0</v>
      </c>
      <c r="C3840" s="6">
        <v>4.0</v>
      </c>
      <c r="D3840" s="178" t="s">
        <v>6448</v>
      </c>
      <c r="E3840" s="9" t="s">
        <v>6449</v>
      </c>
      <c r="F3840" s="109" t="str">
        <f t="shared" ref="F3840:G3840" si="3839">TRANSLATE(D3840,"lzh","vi")</f>
        <v>#NAME?</v>
      </c>
      <c r="G3840" s="109" t="str">
        <f t="shared" si="3839"/>
        <v>#NAME?</v>
      </c>
      <c r="X3840" s="110"/>
    </row>
    <row r="3841" ht="21.0" customHeight="1">
      <c r="A3841" s="6">
        <v>1.0</v>
      </c>
      <c r="B3841" s="6">
        <v>282.0</v>
      </c>
      <c r="C3841" s="6">
        <v>5.0</v>
      </c>
      <c r="D3841" s="179" t="s">
        <v>6450</v>
      </c>
      <c r="E3841" s="9" t="s">
        <v>6451</v>
      </c>
      <c r="F3841" s="109" t="str">
        <f t="shared" ref="F3841:G3841" si="3840">TRANSLATE(D3841,"lzh","vi")</f>
        <v>#NAME?</v>
      </c>
      <c r="G3841" s="109" t="str">
        <f t="shared" si="3840"/>
        <v>#NAME?</v>
      </c>
      <c r="X3841" s="110"/>
    </row>
    <row r="3842" ht="21.0" customHeight="1">
      <c r="A3842" s="6">
        <v>1.0</v>
      </c>
      <c r="B3842" s="6">
        <v>282.0</v>
      </c>
      <c r="C3842" s="6">
        <v>6.0</v>
      </c>
      <c r="D3842" s="178" t="s">
        <v>6452</v>
      </c>
      <c r="E3842" s="9" t="s">
        <v>6453</v>
      </c>
      <c r="F3842" s="109" t="str">
        <f t="shared" ref="F3842:G3842" si="3841">TRANSLATE(D3842,"lzh","vi")</f>
        <v>#NAME?</v>
      </c>
      <c r="G3842" s="109" t="str">
        <f t="shared" si="3841"/>
        <v>#NAME?</v>
      </c>
      <c r="X3842" s="110"/>
    </row>
    <row r="3843" ht="21.0" customHeight="1">
      <c r="A3843" s="6">
        <v>1.0</v>
      </c>
      <c r="B3843" s="6">
        <v>282.0</v>
      </c>
      <c r="C3843" s="6">
        <v>7.0</v>
      </c>
      <c r="D3843" s="178" t="s">
        <v>6454</v>
      </c>
      <c r="E3843" s="9" t="s">
        <v>6455</v>
      </c>
      <c r="F3843" s="109" t="str">
        <f t="shared" ref="F3843:G3843" si="3842">TRANSLATE(D3843,"lzh","vi")</f>
        <v>#NAME?</v>
      </c>
      <c r="G3843" s="109" t="str">
        <f t="shared" si="3842"/>
        <v>#NAME?</v>
      </c>
      <c r="X3843" s="110"/>
    </row>
    <row r="3844" ht="21.0" customHeight="1">
      <c r="A3844" s="6">
        <v>1.0</v>
      </c>
      <c r="B3844" s="6">
        <v>282.0</v>
      </c>
      <c r="C3844" s="6">
        <v>8.0</v>
      </c>
      <c r="D3844" s="178" t="s">
        <v>6456</v>
      </c>
      <c r="E3844" s="9" t="s">
        <v>6457</v>
      </c>
      <c r="F3844" s="109" t="str">
        <f t="shared" ref="F3844:G3844" si="3843">TRANSLATE(D3844,"lzh","vi")</f>
        <v>#NAME?</v>
      </c>
      <c r="G3844" s="109" t="str">
        <f t="shared" si="3843"/>
        <v>#NAME?</v>
      </c>
      <c r="X3844" s="110"/>
    </row>
    <row r="3845" ht="21.0" customHeight="1">
      <c r="A3845" s="6">
        <v>1.0</v>
      </c>
      <c r="B3845" s="6">
        <v>282.0</v>
      </c>
      <c r="C3845" s="6">
        <v>9.0</v>
      </c>
      <c r="D3845" s="179" t="s">
        <v>6458</v>
      </c>
      <c r="E3845" s="9" t="s">
        <v>6459</v>
      </c>
      <c r="F3845" s="109" t="str">
        <f t="shared" ref="F3845:G3845" si="3844">TRANSLATE(D3845,"lzh","vi")</f>
        <v>#NAME?</v>
      </c>
      <c r="G3845" s="109" t="str">
        <f t="shared" si="3844"/>
        <v>#NAME?</v>
      </c>
      <c r="X3845" s="110"/>
    </row>
    <row r="3846" ht="21.0" customHeight="1">
      <c r="A3846" s="6">
        <v>1.0</v>
      </c>
      <c r="B3846" s="6">
        <v>282.0</v>
      </c>
      <c r="C3846" s="6">
        <v>10.0</v>
      </c>
      <c r="D3846" s="179" t="s">
        <v>6460</v>
      </c>
      <c r="E3846" s="9" t="s">
        <v>6461</v>
      </c>
      <c r="F3846" s="109" t="str">
        <f t="shared" ref="F3846:G3846" si="3845">TRANSLATE(D3846,"lzh","vi")</f>
        <v>#NAME?</v>
      </c>
      <c r="G3846" s="109" t="str">
        <f t="shared" si="3845"/>
        <v>#NAME?</v>
      </c>
      <c r="X3846" s="110"/>
    </row>
    <row r="3847" ht="21.0" customHeight="1">
      <c r="A3847" s="6">
        <v>1.0</v>
      </c>
      <c r="B3847" s="6">
        <v>282.0</v>
      </c>
      <c r="C3847" s="6">
        <v>11.0</v>
      </c>
      <c r="D3847" s="180" t="s">
        <v>6462</v>
      </c>
      <c r="E3847" s="9" t="s">
        <v>6463</v>
      </c>
      <c r="F3847" s="109" t="str">
        <f t="shared" ref="F3847:G3847" si="3846">TRANSLATE(D3847,"lzh","vi")</f>
        <v>#NAME?</v>
      </c>
      <c r="G3847" s="109" t="str">
        <f t="shared" si="3846"/>
        <v>#NAME?</v>
      </c>
      <c r="X3847" s="110"/>
    </row>
    <row r="3848" ht="21.0" customHeight="1">
      <c r="A3848" s="6">
        <v>1.0</v>
      </c>
      <c r="B3848" s="6">
        <v>282.0</v>
      </c>
      <c r="C3848" s="6">
        <v>12.0</v>
      </c>
      <c r="D3848" s="178" t="s">
        <v>6464</v>
      </c>
      <c r="E3848" s="9" t="s">
        <v>6465</v>
      </c>
      <c r="F3848" s="109" t="str">
        <f t="shared" ref="F3848:G3848" si="3847">TRANSLATE(D3848,"lzh","vi")</f>
        <v>#NAME?</v>
      </c>
      <c r="G3848" s="109" t="str">
        <f t="shared" si="3847"/>
        <v>#NAME?</v>
      </c>
      <c r="X3848" s="110"/>
    </row>
    <row r="3849" ht="21.0" customHeight="1">
      <c r="A3849" s="6">
        <v>1.0</v>
      </c>
      <c r="B3849" s="6">
        <v>282.0</v>
      </c>
      <c r="C3849" s="6">
        <v>13.0</v>
      </c>
      <c r="D3849" s="178" t="s">
        <v>6466</v>
      </c>
      <c r="E3849" s="9" t="s">
        <v>6467</v>
      </c>
      <c r="F3849" s="109" t="str">
        <f t="shared" ref="F3849:G3849" si="3848">TRANSLATE(D3849,"lzh","vi")</f>
        <v>#NAME?</v>
      </c>
      <c r="G3849" s="109" t="str">
        <f t="shared" si="3848"/>
        <v>#NAME?</v>
      </c>
      <c r="X3849" s="110"/>
    </row>
    <row r="3850" ht="21.0" customHeight="1">
      <c r="A3850" s="6">
        <v>1.0</v>
      </c>
      <c r="B3850" s="6">
        <v>283.0</v>
      </c>
      <c r="C3850" s="6">
        <v>1.0</v>
      </c>
      <c r="D3850" s="177" t="s">
        <v>6468</v>
      </c>
      <c r="E3850" s="9" t="s">
        <v>6469</v>
      </c>
      <c r="F3850" s="109" t="str">
        <f t="shared" ref="F3850:G3850" si="3849">TRANSLATE(D3850,"lzh","vi")</f>
        <v>#NAME?</v>
      </c>
      <c r="G3850" s="109" t="str">
        <f t="shared" si="3849"/>
        <v>#NAME?</v>
      </c>
      <c r="X3850" s="110"/>
    </row>
    <row r="3851" ht="21.0" customHeight="1">
      <c r="A3851" s="6">
        <v>1.0</v>
      </c>
      <c r="B3851" s="6">
        <v>283.0</v>
      </c>
      <c r="C3851" s="6">
        <v>2.0</v>
      </c>
      <c r="D3851" s="173" t="s">
        <v>6470</v>
      </c>
      <c r="E3851" s="9" t="s">
        <v>6471</v>
      </c>
      <c r="F3851" s="109" t="str">
        <f t="shared" ref="F3851:G3851" si="3850">TRANSLATE(D3851,"lzh","vi")</f>
        <v>#NAME?</v>
      </c>
      <c r="G3851" s="109" t="str">
        <f t="shared" si="3850"/>
        <v>#NAME?</v>
      </c>
      <c r="X3851" s="110"/>
    </row>
    <row r="3852" ht="21.0" customHeight="1">
      <c r="A3852" s="6">
        <v>1.0</v>
      </c>
      <c r="B3852" s="6">
        <v>283.0</v>
      </c>
      <c r="C3852" s="6">
        <v>3.0</v>
      </c>
      <c r="D3852" s="177" t="s">
        <v>6472</v>
      </c>
      <c r="E3852" s="9" t="s">
        <v>6473</v>
      </c>
      <c r="F3852" s="109" t="str">
        <f t="shared" ref="F3852:G3852" si="3851">TRANSLATE(D3852,"lzh","vi")</f>
        <v>#NAME?</v>
      </c>
      <c r="G3852" s="109" t="str">
        <f t="shared" si="3851"/>
        <v>#NAME?</v>
      </c>
      <c r="X3852" s="110"/>
    </row>
    <row r="3853" ht="21.0" customHeight="1">
      <c r="A3853" s="6">
        <v>1.0</v>
      </c>
      <c r="B3853" s="6">
        <v>283.0</v>
      </c>
      <c r="C3853" s="6">
        <v>4.0</v>
      </c>
      <c r="D3853" s="173" t="s">
        <v>6474</v>
      </c>
      <c r="E3853" s="9" t="s">
        <v>6475</v>
      </c>
      <c r="F3853" s="109" t="str">
        <f t="shared" ref="F3853:G3853" si="3852">TRANSLATE(D3853,"lzh","vi")</f>
        <v>#NAME?</v>
      </c>
      <c r="G3853" s="109" t="str">
        <f t="shared" si="3852"/>
        <v>#NAME?</v>
      </c>
      <c r="X3853" s="110"/>
    </row>
    <row r="3854" ht="21.0" customHeight="1">
      <c r="A3854" s="6">
        <v>1.0</v>
      </c>
      <c r="B3854" s="6">
        <v>283.0</v>
      </c>
      <c r="C3854" s="6">
        <v>5.0</v>
      </c>
      <c r="D3854" s="177" t="s">
        <v>6476</v>
      </c>
      <c r="E3854" s="9" t="s">
        <v>6477</v>
      </c>
      <c r="F3854" s="109" t="str">
        <f t="shared" ref="F3854:G3854" si="3853">TRANSLATE(D3854,"lzh","vi")</f>
        <v>#NAME?</v>
      </c>
      <c r="G3854" s="109" t="str">
        <f t="shared" si="3853"/>
        <v>#NAME?</v>
      </c>
      <c r="X3854" s="110"/>
    </row>
    <row r="3855" ht="21.0" customHeight="1">
      <c r="A3855" s="6">
        <v>1.0</v>
      </c>
      <c r="B3855" s="6">
        <v>283.0</v>
      </c>
      <c r="C3855" s="6">
        <v>6.0</v>
      </c>
      <c r="D3855" s="177" t="s">
        <v>6478</v>
      </c>
      <c r="E3855" s="9" t="s">
        <v>6479</v>
      </c>
      <c r="F3855" s="109" t="str">
        <f t="shared" ref="F3855:G3855" si="3854">TRANSLATE(D3855,"lzh","vi")</f>
        <v>#NAME?</v>
      </c>
      <c r="G3855" s="109" t="str">
        <f t="shared" si="3854"/>
        <v>#NAME?</v>
      </c>
      <c r="X3855" s="110"/>
    </row>
    <row r="3856" ht="21.0" customHeight="1">
      <c r="A3856" s="6">
        <v>1.0</v>
      </c>
      <c r="B3856" s="6">
        <v>283.0</v>
      </c>
      <c r="C3856" s="6">
        <v>7.0</v>
      </c>
      <c r="D3856" s="173" t="s">
        <v>6480</v>
      </c>
      <c r="E3856" s="9" t="s">
        <v>6481</v>
      </c>
      <c r="F3856" s="109" t="str">
        <f t="shared" ref="F3856:G3856" si="3855">TRANSLATE(D3856,"lzh","vi")</f>
        <v>#NAME?</v>
      </c>
      <c r="G3856" s="109" t="str">
        <f t="shared" si="3855"/>
        <v>#NAME?</v>
      </c>
      <c r="X3856" s="110"/>
    </row>
    <row r="3857" ht="21.0" customHeight="1">
      <c r="A3857" s="6">
        <v>1.0</v>
      </c>
      <c r="B3857" s="6">
        <v>283.0</v>
      </c>
      <c r="C3857" s="6">
        <v>8.0</v>
      </c>
      <c r="D3857" s="177" t="s">
        <v>6482</v>
      </c>
      <c r="E3857" s="9" t="s">
        <v>6483</v>
      </c>
      <c r="F3857" s="109" t="str">
        <f t="shared" ref="F3857:G3857" si="3856">TRANSLATE(D3857,"lzh","vi")</f>
        <v>#NAME?</v>
      </c>
      <c r="G3857" s="109" t="str">
        <f t="shared" si="3856"/>
        <v>#NAME?</v>
      </c>
      <c r="X3857" s="110"/>
    </row>
    <row r="3858" ht="21.0" customHeight="1">
      <c r="A3858" s="6">
        <v>1.0</v>
      </c>
      <c r="B3858" s="6">
        <v>283.0</v>
      </c>
      <c r="C3858" s="6">
        <v>9.0</v>
      </c>
      <c r="D3858" s="181" t="s">
        <v>6484</v>
      </c>
      <c r="E3858" s="9" t="s">
        <v>6485</v>
      </c>
      <c r="F3858" s="109" t="str">
        <f t="shared" ref="F3858:G3858" si="3857">TRANSLATE(D3858,"lzh","vi")</f>
        <v>#NAME?</v>
      </c>
      <c r="G3858" s="109" t="str">
        <f t="shared" si="3857"/>
        <v>#NAME?</v>
      </c>
      <c r="X3858" s="110"/>
    </row>
    <row r="3859" ht="21.0" customHeight="1">
      <c r="A3859" s="6">
        <v>1.0</v>
      </c>
      <c r="B3859" s="6">
        <v>283.0</v>
      </c>
      <c r="C3859" s="6">
        <v>10.0</v>
      </c>
      <c r="D3859" s="173" t="s">
        <v>6486</v>
      </c>
      <c r="E3859" s="9" t="s">
        <v>6487</v>
      </c>
      <c r="F3859" s="109" t="str">
        <f t="shared" ref="F3859:G3859" si="3858">TRANSLATE(D3859,"lzh","vi")</f>
        <v>#NAME?</v>
      </c>
      <c r="G3859" s="109" t="str">
        <f t="shared" si="3858"/>
        <v>#NAME?</v>
      </c>
      <c r="X3859" s="110"/>
    </row>
    <row r="3860" ht="21.0" customHeight="1">
      <c r="A3860" s="6">
        <v>1.0</v>
      </c>
      <c r="B3860" s="6">
        <v>283.0</v>
      </c>
      <c r="C3860" s="6">
        <v>11.0</v>
      </c>
      <c r="D3860" s="173" t="s">
        <v>6488</v>
      </c>
      <c r="E3860" s="9" t="s">
        <v>6489</v>
      </c>
      <c r="F3860" s="109" t="str">
        <f t="shared" ref="F3860:G3860" si="3859">TRANSLATE(D3860,"lzh","vi")</f>
        <v>#NAME?</v>
      </c>
      <c r="G3860" s="109" t="str">
        <f t="shared" si="3859"/>
        <v>#NAME?</v>
      </c>
      <c r="X3860" s="110"/>
    </row>
    <row r="3861" ht="21.0" customHeight="1">
      <c r="A3861" s="6">
        <v>1.0</v>
      </c>
      <c r="B3861" s="6">
        <v>283.0</v>
      </c>
      <c r="C3861" s="6">
        <v>12.0</v>
      </c>
      <c r="D3861" s="173" t="s">
        <v>6490</v>
      </c>
      <c r="E3861" s="9" t="s">
        <v>6491</v>
      </c>
      <c r="F3861" s="109" t="str">
        <f t="shared" ref="F3861:G3861" si="3860">TRANSLATE(D3861,"lzh","vi")</f>
        <v>#NAME?</v>
      </c>
      <c r="G3861" s="109" t="str">
        <f t="shared" si="3860"/>
        <v>#NAME?</v>
      </c>
      <c r="X3861" s="110"/>
    </row>
    <row r="3862" ht="21.0" customHeight="1">
      <c r="A3862" s="6">
        <v>1.0</v>
      </c>
      <c r="B3862" s="6">
        <v>283.0</v>
      </c>
      <c r="C3862" s="6">
        <v>13.0</v>
      </c>
      <c r="D3862" s="177" t="s">
        <v>6492</v>
      </c>
      <c r="E3862" s="9" t="s">
        <v>6493</v>
      </c>
      <c r="F3862" s="109" t="str">
        <f t="shared" ref="F3862:G3862" si="3861">TRANSLATE(D3862,"lzh","vi")</f>
        <v>#NAME?</v>
      </c>
      <c r="G3862" s="109" t="str">
        <f t="shared" si="3861"/>
        <v>#NAME?</v>
      </c>
      <c r="X3862" s="110"/>
    </row>
    <row r="3863" ht="21.0" customHeight="1">
      <c r="A3863" s="6">
        <v>11.0</v>
      </c>
      <c r="B3863" s="6">
        <v>1092.0</v>
      </c>
      <c r="C3863" s="6">
        <v>1.0</v>
      </c>
      <c r="D3863" s="182" t="s">
        <v>6494</v>
      </c>
      <c r="E3863" s="9" t="s">
        <v>6495</v>
      </c>
      <c r="F3863" s="109" t="str">
        <f t="shared" ref="F3863:G3863" si="3862">TRANSLATE(D3863,"lzh","vi")</f>
        <v>#NAME?</v>
      </c>
      <c r="G3863" s="109" t="str">
        <f t="shared" si="3862"/>
        <v>#NAME?</v>
      </c>
      <c r="X3863" s="110"/>
    </row>
    <row r="3864" ht="21.0" customHeight="1">
      <c r="A3864" s="6">
        <v>11.0</v>
      </c>
      <c r="B3864" s="6">
        <v>1092.0</v>
      </c>
      <c r="C3864" s="6">
        <v>2.0</v>
      </c>
      <c r="D3864" s="172" t="s">
        <v>411</v>
      </c>
      <c r="E3864" s="9" t="s">
        <v>6496</v>
      </c>
      <c r="F3864" s="109" t="str">
        <f t="shared" ref="F3864:G3864" si="3863">TRANSLATE(D3864,"lzh","vi")</f>
        <v>#NAME?</v>
      </c>
      <c r="G3864" s="109" t="str">
        <f t="shared" si="3863"/>
        <v>#NAME?</v>
      </c>
      <c r="X3864" s="110"/>
    </row>
    <row r="3865" ht="21.0" customHeight="1">
      <c r="A3865" s="6">
        <v>11.0</v>
      </c>
      <c r="B3865" s="6">
        <v>1092.0</v>
      </c>
      <c r="C3865" s="6">
        <v>3.0</v>
      </c>
      <c r="D3865" s="177" t="s">
        <v>6497</v>
      </c>
      <c r="E3865" s="9" t="s">
        <v>6498</v>
      </c>
      <c r="F3865" s="109" t="str">
        <f t="shared" ref="F3865:G3865" si="3864">TRANSLATE(D3865,"lzh","vi")</f>
        <v>#NAME?</v>
      </c>
      <c r="G3865" s="109" t="str">
        <f t="shared" si="3864"/>
        <v>#NAME?</v>
      </c>
      <c r="X3865" s="110"/>
    </row>
    <row r="3866" ht="21.0" customHeight="1">
      <c r="A3866" s="6">
        <v>11.0</v>
      </c>
      <c r="B3866" s="6">
        <v>1092.0</v>
      </c>
      <c r="C3866" s="6">
        <v>4.0</v>
      </c>
      <c r="D3866" s="183" t="s">
        <v>6499</v>
      </c>
      <c r="E3866" s="9" t="s">
        <v>6500</v>
      </c>
      <c r="F3866" s="109" t="str">
        <f t="shared" ref="F3866:G3866" si="3865">TRANSLATE(D3866,"lzh","vi")</f>
        <v>#NAME?</v>
      </c>
      <c r="G3866" s="109" t="str">
        <f t="shared" si="3865"/>
        <v>#NAME?</v>
      </c>
      <c r="X3866" s="110"/>
    </row>
    <row r="3867" ht="21.0" customHeight="1">
      <c r="A3867" s="6">
        <v>10.0</v>
      </c>
      <c r="B3867" s="6">
        <v>1092.0</v>
      </c>
      <c r="C3867" s="6">
        <v>5.0</v>
      </c>
      <c r="D3867" s="177" t="s">
        <v>6501</v>
      </c>
      <c r="E3867" s="9" t="s">
        <v>6502</v>
      </c>
      <c r="F3867" s="109" t="str">
        <f t="shared" ref="F3867:G3867" si="3866">TRANSLATE(D3867,"lzh","vi")</f>
        <v>#NAME?</v>
      </c>
      <c r="G3867" s="109" t="str">
        <f t="shared" si="3866"/>
        <v>#NAME?</v>
      </c>
      <c r="X3867" s="110"/>
    </row>
    <row r="3868" ht="21.0" customHeight="1">
      <c r="A3868" s="6">
        <v>10.0</v>
      </c>
      <c r="B3868" s="6">
        <v>1092.0</v>
      </c>
      <c r="C3868" s="6">
        <v>6.0</v>
      </c>
      <c r="D3868" s="177" t="s">
        <v>6503</v>
      </c>
      <c r="E3868" s="9" t="s">
        <v>6504</v>
      </c>
      <c r="F3868" s="109" t="str">
        <f t="shared" ref="F3868:G3868" si="3867">TRANSLATE(D3868,"lzh","vi")</f>
        <v>#NAME?</v>
      </c>
      <c r="G3868" s="109" t="str">
        <f t="shared" si="3867"/>
        <v>#NAME?</v>
      </c>
      <c r="X3868" s="110"/>
    </row>
    <row r="3869" ht="21.0" customHeight="1">
      <c r="A3869" s="6">
        <v>10.0</v>
      </c>
      <c r="B3869" s="6">
        <v>1092.0</v>
      </c>
      <c r="C3869" s="6">
        <v>7.0</v>
      </c>
      <c r="D3869" s="183" t="s">
        <v>6505</v>
      </c>
      <c r="E3869" s="9" t="s">
        <v>6506</v>
      </c>
      <c r="F3869" s="109" t="str">
        <f t="shared" ref="F3869:G3869" si="3868">TRANSLATE(D3869,"lzh","vi")</f>
        <v>#NAME?</v>
      </c>
      <c r="G3869" s="109" t="str">
        <f t="shared" si="3868"/>
        <v>#NAME?</v>
      </c>
      <c r="X3869" s="110"/>
    </row>
    <row r="3870" ht="21.0" customHeight="1">
      <c r="A3870" s="6">
        <v>10.0</v>
      </c>
      <c r="B3870" s="6">
        <v>1092.0</v>
      </c>
      <c r="C3870" s="6">
        <v>8.0</v>
      </c>
      <c r="D3870" s="177" t="s">
        <v>6507</v>
      </c>
      <c r="E3870" s="9" t="s">
        <v>6508</v>
      </c>
      <c r="F3870" s="109" t="str">
        <f t="shared" ref="F3870:G3870" si="3869">TRANSLATE(D3870,"lzh","vi")</f>
        <v>#NAME?</v>
      </c>
      <c r="G3870" s="109" t="str">
        <f t="shared" si="3869"/>
        <v>#NAME?</v>
      </c>
      <c r="X3870" s="110"/>
    </row>
    <row r="3871" ht="21.0" customHeight="1">
      <c r="A3871" s="6">
        <v>10.0</v>
      </c>
      <c r="B3871" s="6">
        <v>1092.0</v>
      </c>
      <c r="C3871" s="6">
        <v>9.0</v>
      </c>
      <c r="D3871" s="177" t="s">
        <v>6509</v>
      </c>
      <c r="E3871" s="9" t="s">
        <v>6510</v>
      </c>
      <c r="F3871" s="109" t="str">
        <f t="shared" ref="F3871:G3871" si="3870">TRANSLATE(D3871,"lzh","vi")</f>
        <v>#NAME?</v>
      </c>
      <c r="G3871" s="109" t="str">
        <f t="shared" si="3870"/>
        <v>#NAME?</v>
      </c>
      <c r="X3871" s="110"/>
    </row>
    <row r="3872" ht="21.0" customHeight="1">
      <c r="A3872" s="6">
        <v>10.0</v>
      </c>
      <c r="B3872" s="6">
        <v>1092.0</v>
      </c>
      <c r="C3872" s="6">
        <v>10.0</v>
      </c>
      <c r="D3872" s="177" t="s">
        <v>6511</v>
      </c>
      <c r="E3872" s="9" t="s">
        <v>6512</v>
      </c>
      <c r="F3872" s="109" t="str">
        <f t="shared" ref="F3872:G3872" si="3871">TRANSLATE(D3872,"lzh","vi")</f>
        <v>#NAME?</v>
      </c>
      <c r="G3872" s="109" t="str">
        <f t="shared" si="3871"/>
        <v>#NAME?</v>
      </c>
      <c r="X3872" s="110"/>
    </row>
    <row r="3873" ht="21.0" customHeight="1">
      <c r="A3873" s="6">
        <v>11.0</v>
      </c>
      <c r="B3873" s="6">
        <v>1093.0</v>
      </c>
      <c r="C3873" s="6">
        <v>1.0</v>
      </c>
      <c r="D3873" s="182" t="s">
        <v>6513</v>
      </c>
      <c r="E3873" s="9" t="s">
        <v>6514</v>
      </c>
      <c r="F3873" s="109" t="str">
        <f t="shared" ref="F3873:G3873" si="3872">TRANSLATE(D3873,"lzh","vi")</f>
        <v>#NAME?</v>
      </c>
      <c r="G3873" s="109" t="str">
        <f t="shared" si="3872"/>
        <v>#NAME?</v>
      </c>
      <c r="X3873" s="110"/>
    </row>
    <row r="3874" ht="21.0" customHeight="1">
      <c r="A3874" s="6">
        <v>11.0</v>
      </c>
      <c r="B3874" s="6">
        <v>1093.0</v>
      </c>
      <c r="C3874" s="6">
        <v>2.0</v>
      </c>
      <c r="D3874" s="172" t="s">
        <v>6515</v>
      </c>
      <c r="E3874" s="9" t="s">
        <v>6516</v>
      </c>
      <c r="F3874" s="109" t="str">
        <f t="shared" ref="F3874:G3874" si="3873">TRANSLATE(D3874,"lzh","vi")</f>
        <v>#NAME?</v>
      </c>
      <c r="G3874" s="109" t="str">
        <f t="shared" si="3873"/>
        <v>#NAME?</v>
      </c>
      <c r="X3874" s="110"/>
    </row>
    <row r="3875" ht="21.0" customHeight="1">
      <c r="A3875" s="6">
        <v>11.0</v>
      </c>
      <c r="B3875" s="6">
        <v>1093.0</v>
      </c>
      <c r="C3875" s="6">
        <v>3.0</v>
      </c>
      <c r="D3875" s="177" t="s">
        <v>6517</v>
      </c>
      <c r="E3875" s="9" t="s">
        <v>6518</v>
      </c>
      <c r="F3875" s="109" t="str">
        <f t="shared" ref="F3875:G3875" si="3874">TRANSLATE(D3875,"lzh","vi")</f>
        <v>#NAME?</v>
      </c>
      <c r="G3875" s="109" t="str">
        <f t="shared" si="3874"/>
        <v>#NAME?</v>
      </c>
      <c r="X3875" s="110"/>
    </row>
    <row r="3876" ht="21.0" customHeight="1">
      <c r="A3876" s="6">
        <v>11.0</v>
      </c>
      <c r="B3876" s="6">
        <v>1093.0</v>
      </c>
      <c r="C3876" s="6">
        <v>4.0</v>
      </c>
      <c r="D3876" s="183" t="s">
        <v>6519</v>
      </c>
      <c r="E3876" s="9" t="s">
        <v>6520</v>
      </c>
      <c r="F3876" s="109" t="str">
        <f t="shared" ref="F3876:G3876" si="3875">TRANSLATE(D3876,"lzh","vi")</f>
        <v>#NAME?</v>
      </c>
      <c r="G3876" s="109" t="str">
        <f t="shared" si="3875"/>
        <v>#NAME?</v>
      </c>
      <c r="X3876" s="110"/>
    </row>
    <row r="3877" ht="21.0" customHeight="1">
      <c r="A3877" s="6">
        <v>10.0</v>
      </c>
      <c r="B3877" s="6">
        <v>1093.0</v>
      </c>
      <c r="C3877" s="6">
        <v>5.0</v>
      </c>
      <c r="D3877" s="177" t="s">
        <v>6521</v>
      </c>
      <c r="E3877" s="9" t="s">
        <v>6522</v>
      </c>
      <c r="F3877" s="109" t="str">
        <f t="shared" ref="F3877:G3877" si="3876">TRANSLATE(D3877,"lzh","vi")</f>
        <v>#NAME?</v>
      </c>
      <c r="G3877" s="109" t="str">
        <f t="shared" si="3876"/>
        <v>#NAME?</v>
      </c>
      <c r="X3877" s="110"/>
    </row>
    <row r="3878" ht="21.0" customHeight="1">
      <c r="A3878" s="6">
        <v>10.0</v>
      </c>
      <c r="B3878" s="6">
        <v>1093.0</v>
      </c>
      <c r="C3878" s="6">
        <v>6.0</v>
      </c>
      <c r="D3878" s="177" t="s">
        <v>6523</v>
      </c>
      <c r="E3878" s="9" t="s">
        <v>6524</v>
      </c>
      <c r="F3878" s="109" t="str">
        <f t="shared" ref="F3878:G3878" si="3877">TRANSLATE(D3878,"lzh","vi")</f>
        <v>#NAME?</v>
      </c>
      <c r="G3878" s="109" t="str">
        <f t="shared" si="3877"/>
        <v>#NAME?</v>
      </c>
      <c r="X3878" s="110"/>
    </row>
    <row r="3879" ht="21.0" customHeight="1">
      <c r="A3879" s="6">
        <v>10.0</v>
      </c>
      <c r="B3879" s="6">
        <v>1093.0</v>
      </c>
      <c r="C3879" s="6">
        <v>7.0</v>
      </c>
      <c r="D3879" s="183" t="s">
        <v>6525</v>
      </c>
      <c r="E3879" s="9" t="s">
        <v>6526</v>
      </c>
      <c r="F3879" s="109" t="str">
        <f t="shared" ref="F3879:G3879" si="3878">TRANSLATE(D3879,"lzh","vi")</f>
        <v>#NAME?</v>
      </c>
      <c r="G3879" s="109" t="str">
        <f t="shared" si="3878"/>
        <v>#NAME?</v>
      </c>
      <c r="X3879" s="110"/>
    </row>
    <row r="3880" ht="21.0" customHeight="1">
      <c r="A3880" s="6">
        <v>10.0</v>
      </c>
      <c r="B3880" s="6">
        <v>1093.0</v>
      </c>
      <c r="C3880" s="6">
        <v>8.0</v>
      </c>
      <c r="D3880" s="177" t="s">
        <v>6527</v>
      </c>
      <c r="E3880" s="9" t="s">
        <v>6528</v>
      </c>
      <c r="F3880" s="109" t="str">
        <f t="shared" ref="F3880:G3880" si="3879">TRANSLATE(D3880,"lzh","vi")</f>
        <v>#NAME?</v>
      </c>
      <c r="G3880" s="109" t="str">
        <f t="shared" si="3879"/>
        <v>#NAME?</v>
      </c>
      <c r="X3880" s="110"/>
    </row>
    <row r="3881" ht="21.0" customHeight="1">
      <c r="A3881" s="6">
        <v>10.0</v>
      </c>
      <c r="B3881" s="6">
        <v>1093.0</v>
      </c>
      <c r="C3881" s="6">
        <v>9.0</v>
      </c>
      <c r="D3881" s="177" t="s">
        <v>6529</v>
      </c>
      <c r="E3881" s="9" t="s">
        <v>6530</v>
      </c>
      <c r="F3881" s="109" t="str">
        <f t="shared" ref="F3881:G3881" si="3880">TRANSLATE(D3881,"lzh","vi")</f>
        <v>#NAME?</v>
      </c>
      <c r="G3881" s="109" t="str">
        <f t="shared" si="3880"/>
        <v>#NAME?</v>
      </c>
      <c r="X3881" s="110"/>
    </row>
    <row r="3882" ht="21.0" customHeight="1">
      <c r="A3882" s="6">
        <v>10.0</v>
      </c>
      <c r="B3882" s="6">
        <v>1093.0</v>
      </c>
      <c r="C3882" s="6">
        <v>10.0</v>
      </c>
      <c r="D3882" s="177" t="s">
        <v>6531</v>
      </c>
      <c r="E3882" s="9" t="s">
        <v>6512</v>
      </c>
      <c r="F3882" s="109" t="str">
        <f t="shared" ref="F3882:G3882" si="3881">TRANSLATE(D3882,"lzh","vi")</f>
        <v>#NAME?</v>
      </c>
      <c r="G3882" s="109" t="str">
        <f t="shared" si="3881"/>
        <v>#NAME?</v>
      </c>
      <c r="X3882" s="110"/>
    </row>
    <row r="3883" ht="21.0" customHeight="1">
      <c r="A3883" s="6">
        <v>1.0</v>
      </c>
      <c r="B3883" s="6">
        <v>284.0</v>
      </c>
      <c r="C3883" s="6">
        <v>1.0</v>
      </c>
      <c r="D3883" s="177" t="s">
        <v>6532</v>
      </c>
      <c r="E3883" s="9" t="s">
        <v>6533</v>
      </c>
      <c r="F3883" s="109" t="str">
        <f t="shared" ref="F3883:G3883" si="3882">TRANSLATE(D3883,"lzh","vi")</f>
        <v>#NAME?</v>
      </c>
      <c r="G3883" s="109" t="str">
        <f t="shared" si="3882"/>
        <v>#NAME?</v>
      </c>
      <c r="X3883" s="110"/>
    </row>
    <row r="3884" ht="21.0" customHeight="1">
      <c r="A3884" s="6">
        <v>1.0</v>
      </c>
      <c r="B3884" s="6">
        <v>284.0</v>
      </c>
      <c r="C3884" s="6">
        <v>2.0</v>
      </c>
      <c r="D3884" s="177" t="s">
        <v>6534</v>
      </c>
      <c r="E3884" s="9" t="s">
        <v>6535</v>
      </c>
      <c r="F3884" s="109" t="str">
        <f t="shared" ref="F3884:G3884" si="3883">TRANSLATE(D3884,"lzh","vi")</f>
        <v>#NAME?</v>
      </c>
      <c r="G3884" s="109" t="str">
        <f t="shared" si="3883"/>
        <v>#NAME?</v>
      </c>
      <c r="X3884" s="110"/>
    </row>
    <row r="3885" ht="21.0" customHeight="1">
      <c r="A3885" s="6">
        <v>1.0</v>
      </c>
      <c r="B3885" s="6">
        <v>284.0</v>
      </c>
      <c r="C3885" s="6">
        <v>3.0</v>
      </c>
      <c r="D3885" s="172" t="s">
        <v>6536</v>
      </c>
      <c r="E3885" s="9" t="s">
        <v>6537</v>
      </c>
      <c r="F3885" s="109" t="str">
        <f t="shared" ref="F3885:G3885" si="3884">TRANSLATE(D3885,"lzh","vi")</f>
        <v>#NAME?</v>
      </c>
      <c r="G3885" s="109" t="str">
        <f t="shared" si="3884"/>
        <v>#NAME?</v>
      </c>
      <c r="X3885" s="110"/>
    </row>
    <row r="3886" ht="21.0" customHeight="1">
      <c r="A3886" s="6">
        <v>1.0</v>
      </c>
      <c r="B3886" s="6">
        <v>284.0</v>
      </c>
      <c r="C3886" s="6">
        <v>4.0</v>
      </c>
      <c r="D3886" s="177" t="s">
        <v>6538</v>
      </c>
      <c r="E3886" s="9" t="s">
        <v>6539</v>
      </c>
      <c r="F3886" s="109" t="str">
        <f t="shared" ref="F3886:G3886" si="3885">TRANSLATE(D3886,"lzh","vi")</f>
        <v>#NAME?</v>
      </c>
      <c r="G3886" s="109" t="str">
        <f t="shared" si="3885"/>
        <v>#NAME?</v>
      </c>
      <c r="X3886" s="110"/>
    </row>
    <row r="3887" ht="21.0" customHeight="1">
      <c r="A3887" s="6">
        <v>1.0</v>
      </c>
      <c r="B3887" s="6">
        <v>284.0</v>
      </c>
      <c r="C3887" s="6">
        <v>5.0</v>
      </c>
      <c r="D3887" s="177" t="s">
        <v>6540</v>
      </c>
      <c r="E3887" s="9" t="s">
        <v>6541</v>
      </c>
      <c r="F3887" s="109" t="str">
        <f t="shared" ref="F3887:G3887" si="3886">TRANSLATE(D3887,"lzh","vi")</f>
        <v>#NAME?</v>
      </c>
      <c r="G3887" s="109" t="str">
        <f t="shared" si="3886"/>
        <v>#NAME?</v>
      </c>
      <c r="X3887" s="110"/>
    </row>
    <row r="3888" ht="21.0" customHeight="1">
      <c r="A3888" s="6">
        <v>1.0</v>
      </c>
      <c r="B3888" s="6">
        <v>284.0</v>
      </c>
      <c r="C3888" s="6">
        <v>6.0</v>
      </c>
      <c r="D3888" s="172" t="s">
        <v>6542</v>
      </c>
      <c r="E3888" s="9" t="s">
        <v>6543</v>
      </c>
      <c r="F3888" s="109" t="str">
        <f t="shared" ref="F3888:G3888" si="3887">TRANSLATE(D3888,"lzh","vi")</f>
        <v>#NAME?</v>
      </c>
      <c r="G3888" s="109" t="str">
        <f t="shared" si="3887"/>
        <v>#NAME?</v>
      </c>
      <c r="X3888" s="110"/>
    </row>
    <row r="3889" ht="21.0" customHeight="1">
      <c r="A3889" s="6">
        <v>1.0</v>
      </c>
      <c r="B3889" s="6">
        <v>284.0</v>
      </c>
      <c r="C3889" s="6">
        <v>7.0</v>
      </c>
      <c r="D3889" s="177" t="s">
        <v>6544</v>
      </c>
      <c r="E3889" s="9" t="s">
        <v>6545</v>
      </c>
      <c r="F3889" s="109" t="str">
        <f t="shared" ref="F3889:G3889" si="3888">TRANSLATE(D3889,"lzh","vi")</f>
        <v>#NAME?</v>
      </c>
      <c r="G3889" s="109" t="str">
        <f t="shared" si="3888"/>
        <v>#NAME?</v>
      </c>
      <c r="X3889" s="110"/>
    </row>
    <row r="3890" ht="21.0" customHeight="1">
      <c r="A3890" s="6">
        <v>1.0</v>
      </c>
      <c r="B3890" s="6">
        <v>284.0</v>
      </c>
      <c r="C3890" s="6">
        <v>8.0</v>
      </c>
      <c r="D3890" s="184" t="s">
        <v>6546</v>
      </c>
      <c r="E3890" s="9" t="s">
        <v>6547</v>
      </c>
      <c r="F3890" s="109" t="str">
        <f t="shared" ref="F3890:G3890" si="3889">TRANSLATE(D3890,"lzh","vi")</f>
        <v>#NAME?</v>
      </c>
      <c r="G3890" s="109" t="str">
        <f t="shared" si="3889"/>
        <v>#NAME?</v>
      </c>
      <c r="X3890" s="110"/>
    </row>
    <row r="3891" ht="21.0" customHeight="1">
      <c r="A3891" s="6">
        <v>1.0</v>
      </c>
      <c r="B3891" s="6">
        <v>284.0</v>
      </c>
      <c r="C3891" s="6">
        <v>9.0</v>
      </c>
      <c r="D3891" s="177" t="s">
        <v>6548</v>
      </c>
      <c r="E3891" s="9" t="s">
        <v>6549</v>
      </c>
      <c r="F3891" s="109" t="str">
        <f t="shared" ref="F3891:G3891" si="3890">TRANSLATE(D3891,"lzh","vi")</f>
        <v>#NAME?</v>
      </c>
      <c r="G3891" s="109" t="str">
        <f t="shared" si="3890"/>
        <v>#NAME?</v>
      </c>
      <c r="X3891" s="110"/>
    </row>
    <row r="3892" ht="21.0" customHeight="1">
      <c r="A3892" s="6">
        <v>1.0</v>
      </c>
      <c r="B3892" s="6">
        <v>284.0</v>
      </c>
      <c r="C3892" s="6">
        <v>10.0</v>
      </c>
      <c r="D3892" s="177" t="s">
        <v>6550</v>
      </c>
      <c r="E3892" s="9" t="s">
        <v>6551</v>
      </c>
      <c r="F3892" s="109" t="str">
        <f t="shared" ref="F3892:G3892" si="3891">TRANSLATE(D3892,"lzh","vi")</f>
        <v>#NAME?</v>
      </c>
      <c r="G3892" s="109" t="str">
        <f t="shared" si="3891"/>
        <v>#NAME?</v>
      </c>
      <c r="X3892" s="110"/>
    </row>
    <row r="3893" ht="21.0" customHeight="1">
      <c r="A3893" s="6">
        <v>1.0</v>
      </c>
      <c r="B3893" s="6">
        <v>284.0</v>
      </c>
      <c r="C3893" s="6">
        <v>11.0</v>
      </c>
      <c r="D3893" s="177" t="s">
        <v>6552</v>
      </c>
      <c r="E3893" s="9" t="s">
        <v>6553</v>
      </c>
      <c r="F3893" s="109" t="str">
        <f t="shared" ref="F3893:G3893" si="3892">TRANSLATE(D3893,"lzh","vi")</f>
        <v>#NAME?</v>
      </c>
      <c r="G3893" s="109" t="str">
        <f t="shared" si="3892"/>
        <v>#NAME?</v>
      </c>
      <c r="X3893" s="110"/>
    </row>
    <row r="3894" ht="21.0" customHeight="1">
      <c r="A3894" s="6">
        <v>1.0</v>
      </c>
      <c r="B3894" s="6">
        <v>284.0</v>
      </c>
      <c r="C3894" s="6">
        <v>12.0</v>
      </c>
      <c r="D3894" s="177" t="s">
        <v>6554</v>
      </c>
      <c r="E3894" s="9" t="s">
        <v>6555</v>
      </c>
      <c r="F3894" s="109" t="str">
        <f t="shared" ref="F3894:G3894" si="3893">TRANSLATE(D3894,"lzh","vi")</f>
        <v>#NAME?</v>
      </c>
      <c r="G3894" s="109" t="str">
        <f t="shared" si="3893"/>
        <v>#NAME?</v>
      </c>
      <c r="X3894" s="110"/>
    </row>
    <row r="3895" ht="21.0" customHeight="1">
      <c r="A3895" s="6">
        <v>1.0</v>
      </c>
      <c r="B3895" s="6">
        <v>284.0</v>
      </c>
      <c r="C3895" s="6">
        <v>13.0</v>
      </c>
      <c r="D3895" s="177" t="s">
        <v>6556</v>
      </c>
      <c r="E3895" s="9" t="s">
        <v>6557</v>
      </c>
      <c r="F3895" s="109" t="str">
        <f t="shared" ref="F3895:G3895" si="3894">TRANSLATE(D3895,"lzh","vi")</f>
        <v>#NAME?</v>
      </c>
      <c r="G3895" s="109" t="str">
        <f t="shared" si="3894"/>
        <v>#NAME?</v>
      </c>
      <c r="X3895" s="110"/>
    </row>
    <row r="3896" ht="21.0" customHeight="1">
      <c r="A3896" s="6">
        <v>1.0</v>
      </c>
      <c r="B3896" s="6">
        <v>285.0</v>
      </c>
      <c r="C3896" s="6">
        <v>1.0</v>
      </c>
      <c r="D3896" s="177" t="s">
        <v>6558</v>
      </c>
      <c r="E3896" s="9" t="s">
        <v>6559</v>
      </c>
      <c r="F3896" s="109" t="str">
        <f t="shared" ref="F3896:G3896" si="3895">TRANSLATE(D3896,"lzh","vi")</f>
        <v>#NAME?</v>
      </c>
      <c r="G3896" s="109" t="str">
        <f t="shared" si="3895"/>
        <v>#NAME?</v>
      </c>
      <c r="X3896" s="110"/>
    </row>
    <row r="3897" ht="21.0" customHeight="1">
      <c r="A3897" s="6">
        <v>1.0</v>
      </c>
      <c r="B3897" s="6">
        <v>285.0</v>
      </c>
      <c r="C3897" s="6">
        <v>2.0</v>
      </c>
      <c r="D3897" s="177" t="s">
        <v>6560</v>
      </c>
      <c r="E3897" s="9" t="s">
        <v>6561</v>
      </c>
      <c r="F3897" s="109" t="str">
        <f t="shared" ref="F3897:G3897" si="3896">TRANSLATE(D3897,"lzh","vi")</f>
        <v>#NAME?</v>
      </c>
      <c r="G3897" s="109" t="str">
        <f t="shared" si="3896"/>
        <v>#NAME?</v>
      </c>
      <c r="X3897" s="110"/>
    </row>
    <row r="3898" ht="21.0" customHeight="1">
      <c r="A3898" s="6">
        <v>1.0</v>
      </c>
      <c r="B3898" s="6">
        <v>285.0</v>
      </c>
      <c r="C3898" s="6">
        <v>3.0</v>
      </c>
      <c r="D3898" s="172" t="s">
        <v>6562</v>
      </c>
      <c r="E3898" s="9" t="s">
        <v>6563</v>
      </c>
      <c r="F3898" s="109" t="str">
        <f t="shared" ref="F3898:G3898" si="3897">TRANSLATE(D3898,"lzh","vi")</f>
        <v>#NAME?</v>
      </c>
      <c r="G3898" s="109" t="str">
        <f t="shared" si="3897"/>
        <v>#NAME?</v>
      </c>
      <c r="X3898" s="110"/>
    </row>
    <row r="3899" ht="21.0" customHeight="1">
      <c r="A3899" s="6">
        <v>1.0</v>
      </c>
      <c r="B3899" s="6">
        <v>285.0</v>
      </c>
      <c r="C3899" s="6">
        <v>4.0</v>
      </c>
      <c r="D3899" s="172" t="s">
        <v>6564</v>
      </c>
      <c r="E3899" s="9" t="s">
        <v>6565</v>
      </c>
      <c r="F3899" s="109" t="str">
        <f t="shared" ref="F3899:G3899" si="3898">TRANSLATE(D3899,"lzh","vi")</f>
        <v>#NAME?</v>
      </c>
      <c r="G3899" s="109" t="str">
        <f t="shared" si="3898"/>
        <v>#NAME?</v>
      </c>
      <c r="X3899" s="110"/>
    </row>
    <row r="3900" ht="21.0" customHeight="1">
      <c r="A3900" s="6">
        <v>1.0</v>
      </c>
      <c r="B3900" s="6">
        <v>285.0</v>
      </c>
      <c r="C3900" s="6">
        <v>5.0</v>
      </c>
      <c r="D3900" s="182" t="s">
        <v>6566</v>
      </c>
      <c r="E3900" s="9" t="s">
        <v>6567</v>
      </c>
      <c r="F3900" s="109" t="str">
        <f t="shared" ref="F3900:G3900" si="3899">TRANSLATE(D3900,"lzh","vi")</f>
        <v>#NAME?</v>
      </c>
      <c r="G3900" s="109" t="str">
        <f t="shared" si="3899"/>
        <v>#NAME?</v>
      </c>
      <c r="X3900" s="110"/>
    </row>
    <row r="3901" ht="21.0" customHeight="1">
      <c r="A3901" s="6">
        <v>1.0</v>
      </c>
      <c r="B3901" s="6">
        <v>285.0</v>
      </c>
      <c r="C3901" s="6">
        <v>6.0</v>
      </c>
      <c r="D3901" s="172" t="s">
        <v>6568</v>
      </c>
      <c r="E3901" s="9" t="s">
        <v>6569</v>
      </c>
      <c r="F3901" s="109" t="str">
        <f t="shared" ref="F3901:G3901" si="3900">TRANSLATE(D3901,"lzh","vi")</f>
        <v>#NAME?</v>
      </c>
      <c r="G3901" s="109" t="str">
        <f t="shared" si="3900"/>
        <v>#NAME?</v>
      </c>
      <c r="X3901" s="110"/>
    </row>
    <row r="3902" ht="21.0" customHeight="1">
      <c r="A3902" s="6">
        <v>1.0</v>
      </c>
      <c r="B3902" s="6">
        <v>285.0</v>
      </c>
      <c r="C3902" s="6">
        <v>7.0</v>
      </c>
      <c r="D3902" s="172" t="s">
        <v>6570</v>
      </c>
      <c r="E3902" s="9" t="s">
        <v>6571</v>
      </c>
      <c r="F3902" s="109" t="str">
        <f t="shared" ref="F3902:G3902" si="3901">TRANSLATE(D3902,"lzh","vi")</f>
        <v>#NAME?</v>
      </c>
      <c r="G3902" s="109" t="str">
        <f t="shared" si="3901"/>
        <v>#NAME?</v>
      </c>
      <c r="X3902" s="110"/>
    </row>
    <row r="3903" ht="21.0" customHeight="1">
      <c r="A3903" s="6">
        <v>1.0</v>
      </c>
      <c r="B3903" s="6">
        <v>285.0</v>
      </c>
      <c r="C3903" s="6">
        <v>8.0</v>
      </c>
      <c r="D3903" s="172" t="s">
        <v>6572</v>
      </c>
      <c r="E3903" s="9" t="s">
        <v>6573</v>
      </c>
      <c r="F3903" s="109" t="str">
        <f t="shared" ref="F3903:G3903" si="3902">TRANSLATE(D3903,"lzh","vi")</f>
        <v>#NAME?</v>
      </c>
      <c r="G3903" s="109" t="str">
        <f t="shared" si="3902"/>
        <v>#NAME?</v>
      </c>
      <c r="X3903" s="110"/>
    </row>
    <row r="3904" ht="21.0" customHeight="1">
      <c r="A3904" s="6">
        <v>1.0</v>
      </c>
      <c r="B3904" s="6">
        <v>285.0</v>
      </c>
      <c r="C3904" s="6">
        <v>9.0</v>
      </c>
      <c r="D3904" s="172" t="s">
        <v>6574</v>
      </c>
      <c r="E3904" s="9" t="s">
        <v>6575</v>
      </c>
      <c r="F3904" s="109" t="str">
        <f t="shared" ref="F3904:G3904" si="3903">TRANSLATE(D3904,"lzh","vi")</f>
        <v>#NAME?</v>
      </c>
      <c r="G3904" s="109" t="str">
        <f t="shared" si="3903"/>
        <v>#NAME?</v>
      </c>
      <c r="X3904" s="110"/>
    </row>
    <row r="3905" ht="21.0" customHeight="1">
      <c r="A3905" s="6">
        <v>1.0</v>
      </c>
      <c r="B3905" s="6">
        <v>285.0</v>
      </c>
      <c r="C3905" s="6">
        <v>10.0</v>
      </c>
      <c r="D3905" s="177" t="s">
        <v>6576</v>
      </c>
      <c r="E3905" s="9" t="s">
        <v>6577</v>
      </c>
      <c r="F3905" s="109" t="str">
        <f t="shared" ref="F3905:G3905" si="3904">TRANSLATE(D3905,"lzh","vi")</f>
        <v>#NAME?</v>
      </c>
      <c r="G3905" s="109" t="str">
        <f t="shared" si="3904"/>
        <v>#NAME?</v>
      </c>
      <c r="X3905" s="110"/>
    </row>
    <row r="3906" ht="21.0" customHeight="1">
      <c r="A3906" s="6">
        <v>1.0</v>
      </c>
      <c r="B3906" s="6">
        <v>285.0</v>
      </c>
      <c r="C3906" s="6">
        <v>11.0</v>
      </c>
      <c r="D3906" s="177" t="s">
        <v>6578</v>
      </c>
      <c r="E3906" s="9" t="s">
        <v>6579</v>
      </c>
      <c r="F3906" s="109" t="str">
        <f t="shared" ref="F3906:G3906" si="3905">TRANSLATE(D3906,"lzh","vi")</f>
        <v>#NAME?</v>
      </c>
      <c r="G3906" s="109" t="str">
        <f t="shared" si="3905"/>
        <v>#NAME?</v>
      </c>
      <c r="X3906" s="110"/>
    </row>
    <row r="3907" ht="21.0" customHeight="1">
      <c r="A3907" s="6">
        <v>1.0</v>
      </c>
      <c r="B3907" s="6">
        <v>285.0</v>
      </c>
      <c r="C3907" s="6">
        <v>12.0</v>
      </c>
      <c r="D3907" s="177" t="s">
        <v>6580</v>
      </c>
      <c r="E3907" s="9" t="s">
        <v>6581</v>
      </c>
      <c r="F3907" s="109" t="str">
        <f t="shared" ref="F3907:G3907" si="3906">TRANSLATE(D3907,"lzh","vi")</f>
        <v>#NAME?</v>
      </c>
      <c r="G3907" s="109" t="str">
        <f t="shared" si="3906"/>
        <v>#NAME?</v>
      </c>
      <c r="X3907" s="110"/>
    </row>
    <row r="3908" ht="21.0" customHeight="1">
      <c r="A3908" s="6">
        <v>1.0</v>
      </c>
      <c r="B3908" s="6">
        <v>285.0</v>
      </c>
      <c r="C3908" s="6">
        <v>13.0</v>
      </c>
      <c r="D3908" s="177" t="s">
        <v>6582</v>
      </c>
      <c r="E3908" s="9" t="s">
        <v>6583</v>
      </c>
      <c r="F3908" s="109" t="str">
        <f t="shared" ref="F3908:G3908" si="3907">TRANSLATE(D3908,"lzh","vi")</f>
        <v>#NAME?</v>
      </c>
      <c r="G3908" s="109" t="str">
        <f t="shared" si="3907"/>
        <v>#NAME?</v>
      </c>
      <c r="X3908" s="110"/>
    </row>
    <row r="3909" ht="21.0" customHeight="1">
      <c r="A3909" s="6">
        <v>1.0</v>
      </c>
      <c r="B3909" s="6">
        <v>286.0</v>
      </c>
      <c r="C3909" s="6">
        <v>1.0</v>
      </c>
      <c r="D3909" s="184" t="s">
        <v>6584</v>
      </c>
      <c r="E3909" s="92" t="s">
        <v>6585</v>
      </c>
      <c r="F3909" s="109" t="str">
        <f t="shared" ref="F3909:G3909" si="3908">TRANSLATE(D3909,"lzh","vi")</f>
        <v>#NAME?</v>
      </c>
      <c r="G3909" s="109" t="str">
        <f t="shared" si="3908"/>
        <v>#NAME?</v>
      </c>
      <c r="X3909" s="110"/>
    </row>
    <row r="3910" ht="21.0" customHeight="1">
      <c r="A3910" s="6">
        <v>1.0</v>
      </c>
      <c r="B3910" s="6">
        <v>286.0</v>
      </c>
      <c r="C3910" s="6">
        <v>2.0</v>
      </c>
      <c r="D3910" s="184" t="s">
        <v>6586</v>
      </c>
      <c r="E3910" s="9" t="s">
        <v>6587</v>
      </c>
      <c r="F3910" s="109" t="str">
        <f t="shared" ref="F3910:G3910" si="3909">TRANSLATE(D3910,"lzh","vi")</f>
        <v>#NAME?</v>
      </c>
      <c r="G3910" s="109" t="str">
        <f t="shared" si="3909"/>
        <v>#NAME?</v>
      </c>
      <c r="X3910" s="110"/>
    </row>
    <row r="3911" ht="21.0" customHeight="1">
      <c r="A3911" s="6">
        <v>1.0</v>
      </c>
      <c r="B3911" s="6">
        <v>286.0</v>
      </c>
      <c r="C3911" s="6">
        <v>3.0</v>
      </c>
      <c r="D3911" s="184" t="s">
        <v>6588</v>
      </c>
      <c r="E3911" s="9" t="s">
        <v>6589</v>
      </c>
      <c r="F3911" s="109" t="str">
        <f t="shared" ref="F3911:G3911" si="3910">TRANSLATE(D3911,"lzh","vi")</f>
        <v>#NAME?</v>
      </c>
      <c r="G3911" s="109" t="str">
        <f t="shared" si="3910"/>
        <v>#NAME?</v>
      </c>
      <c r="X3911" s="110"/>
    </row>
    <row r="3912" ht="21.0" customHeight="1">
      <c r="A3912" s="6">
        <v>1.0</v>
      </c>
      <c r="B3912" s="6">
        <v>286.0</v>
      </c>
      <c r="C3912" s="6">
        <v>4.0</v>
      </c>
      <c r="D3912" s="172" t="s">
        <v>6590</v>
      </c>
      <c r="E3912" s="9" t="s">
        <v>6591</v>
      </c>
      <c r="F3912" s="109" t="str">
        <f t="shared" ref="F3912:G3912" si="3911">TRANSLATE(D3912,"lzh","vi")</f>
        <v>#NAME?</v>
      </c>
      <c r="G3912" s="109" t="str">
        <f t="shared" si="3911"/>
        <v>#NAME?</v>
      </c>
      <c r="X3912" s="110"/>
    </row>
    <row r="3913" ht="21.0" customHeight="1">
      <c r="A3913" s="6">
        <v>1.0</v>
      </c>
      <c r="B3913" s="6">
        <v>286.0</v>
      </c>
      <c r="C3913" s="6">
        <v>5.0</v>
      </c>
      <c r="D3913" s="172" t="s">
        <v>6592</v>
      </c>
      <c r="E3913" s="9" t="s">
        <v>6593</v>
      </c>
      <c r="F3913" s="109" t="str">
        <f t="shared" ref="F3913:G3913" si="3912">TRANSLATE(D3913,"lzh","vi")</f>
        <v>#NAME?</v>
      </c>
      <c r="G3913" s="109" t="str">
        <f t="shared" si="3912"/>
        <v>#NAME?</v>
      </c>
      <c r="X3913" s="110"/>
    </row>
    <row r="3914" ht="21.0" customHeight="1">
      <c r="A3914" s="6">
        <v>1.0</v>
      </c>
      <c r="B3914" s="6">
        <v>286.0</v>
      </c>
      <c r="C3914" s="6">
        <v>6.0</v>
      </c>
      <c r="D3914" s="172" t="s">
        <v>6594</v>
      </c>
      <c r="E3914" s="9" t="s">
        <v>6595</v>
      </c>
      <c r="F3914" s="109" t="str">
        <f t="shared" ref="F3914:G3914" si="3913">TRANSLATE(D3914,"lzh","vi")</f>
        <v>#NAME?</v>
      </c>
      <c r="G3914" s="109" t="str">
        <f t="shared" si="3913"/>
        <v>#NAME?</v>
      </c>
      <c r="X3914" s="110"/>
    </row>
    <row r="3915" ht="21.0" customHeight="1">
      <c r="A3915" s="6">
        <v>1.0</v>
      </c>
      <c r="B3915" s="6">
        <v>286.0</v>
      </c>
      <c r="C3915" s="6">
        <v>7.0</v>
      </c>
      <c r="D3915" s="184" t="s">
        <v>6596</v>
      </c>
      <c r="E3915" s="9" t="s">
        <v>6597</v>
      </c>
      <c r="F3915" s="109" t="str">
        <f t="shared" ref="F3915:G3915" si="3914">TRANSLATE(D3915,"lzh","vi")</f>
        <v>#NAME?</v>
      </c>
      <c r="G3915" s="109" t="str">
        <f t="shared" si="3914"/>
        <v>#NAME?</v>
      </c>
      <c r="X3915" s="110"/>
    </row>
    <row r="3916" ht="21.0" customHeight="1">
      <c r="A3916" s="6">
        <v>1.0</v>
      </c>
      <c r="B3916" s="6">
        <v>286.0</v>
      </c>
      <c r="C3916" s="6">
        <v>8.0</v>
      </c>
      <c r="D3916" s="184" t="s">
        <v>6598</v>
      </c>
      <c r="E3916" s="9" t="s">
        <v>6599</v>
      </c>
      <c r="F3916" s="109" t="str">
        <f t="shared" ref="F3916:G3916" si="3915">TRANSLATE(D3916,"lzh","vi")</f>
        <v>#NAME?</v>
      </c>
      <c r="G3916" s="109" t="str">
        <f t="shared" si="3915"/>
        <v>#NAME?</v>
      </c>
      <c r="X3916" s="110"/>
    </row>
    <row r="3917" ht="21.0" customHeight="1">
      <c r="A3917" s="6">
        <v>1.0</v>
      </c>
      <c r="B3917" s="6">
        <v>286.0</v>
      </c>
      <c r="C3917" s="6">
        <v>9.0</v>
      </c>
      <c r="D3917" s="184" t="s">
        <v>6600</v>
      </c>
      <c r="E3917" s="9" t="s">
        <v>6601</v>
      </c>
      <c r="F3917" s="109" t="str">
        <f t="shared" ref="F3917:G3917" si="3916">TRANSLATE(D3917,"lzh","vi")</f>
        <v>#NAME?</v>
      </c>
      <c r="G3917" s="109" t="str">
        <f t="shared" si="3916"/>
        <v>#NAME?</v>
      </c>
      <c r="X3917" s="110"/>
    </row>
    <row r="3918" ht="21.0" customHeight="1">
      <c r="A3918" s="6">
        <v>1.0</v>
      </c>
      <c r="B3918" s="6">
        <v>286.0</v>
      </c>
      <c r="C3918" s="6">
        <v>10.0</v>
      </c>
      <c r="D3918" s="184" t="s">
        <v>6602</v>
      </c>
      <c r="E3918" s="9" t="s">
        <v>6603</v>
      </c>
      <c r="F3918" s="109" t="str">
        <f t="shared" ref="F3918:G3918" si="3917">TRANSLATE(D3918,"lzh","vi")</f>
        <v>#NAME?</v>
      </c>
      <c r="G3918" s="109" t="str">
        <f t="shared" si="3917"/>
        <v>#NAME?</v>
      </c>
      <c r="X3918" s="110"/>
    </row>
    <row r="3919" ht="21.0" customHeight="1">
      <c r="A3919" s="6">
        <v>1.0</v>
      </c>
      <c r="B3919" s="6">
        <v>286.0</v>
      </c>
      <c r="C3919" s="6">
        <v>11.0</v>
      </c>
      <c r="D3919" s="184" t="s">
        <v>6604</v>
      </c>
      <c r="E3919" s="9" t="s">
        <v>6605</v>
      </c>
      <c r="F3919" s="109" t="str">
        <f t="shared" ref="F3919:G3919" si="3918">TRANSLATE(D3919,"lzh","vi")</f>
        <v>#NAME?</v>
      </c>
      <c r="G3919" s="109" t="str">
        <f t="shared" si="3918"/>
        <v>#NAME?</v>
      </c>
      <c r="X3919" s="110"/>
    </row>
    <row r="3920" ht="21.0" customHeight="1">
      <c r="A3920" s="6">
        <v>1.0</v>
      </c>
      <c r="B3920" s="6">
        <v>286.0</v>
      </c>
      <c r="C3920" s="6">
        <v>12.0</v>
      </c>
      <c r="D3920" s="184" t="s">
        <v>6606</v>
      </c>
      <c r="E3920" s="9" t="s">
        <v>6607</v>
      </c>
      <c r="F3920" s="109" t="str">
        <f t="shared" ref="F3920:G3920" si="3919">TRANSLATE(D3920,"lzh","vi")</f>
        <v>#NAME?</v>
      </c>
      <c r="G3920" s="109" t="str">
        <f t="shared" si="3919"/>
        <v>#NAME?</v>
      </c>
      <c r="X3920" s="110"/>
    </row>
    <row r="3921" ht="21.0" customHeight="1">
      <c r="A3921" s="6">
        <v>1.0</v>
      </c>
      <c r="B3921" s="6">
        <v>286.0</v>
      </c>
      <c r="C3921" s="6">
        <v>13.0</v>
      </c>
      <c r="D3921" s="184" t="s">
        <v>6608</v>
      </c>
      <c r="E3921" s="9" t="s">
        <v>6609</v>
      </c>
      <c r="F3921" s="109" t="str">
        <f t="shared" ref="F3921:G3921" si="3920">TRANSLATE(D3921,"lzh","vi")</f>
        <v>#NAME?</v>
      </c>
      <c r="G3921" s="109" t="str">
        <f t="shared" si="3920"/>
        <v>#NAME?</v>
      </c>
      <c r="X3921" s="110"/>
    </row>
    <row r="3922" ht="21.0" customHeight="1">
      <c r="A3922" s="6">
        <v>11.0</v>
      </c>
      <c r="B3922" s="6">
        <v>1094.0</v>
      </c>
      <c r="C3922" s="6">
        <v>1.0</v>
      </c>
      <c r="D3922" s="177" t="s">
        <v>6610</v>
      </c>
      <c r="E3922" s="9" t="s">
        <v>6611</v>
      </c>
      <c r="F3922" s="109" t="str">
        <f t="shared" ref="F3922:G3922" si="3921">TRANSLATE(D3922,"lzh","vi")</f>
        <v>#NAME?</v>
      </c>
      <c r="G3922" s="109" t="str">
        <f t="shared" si="3921"/>
        <v>#NAME?</v>
      </c>
      <c r="X3922" s="110"/>
    </row>
    <row r="3923" ht="21.0" customHeight="1">
      <c r="A3923" s="6">
        <v>11.0</v>
      </c>
      <c r="B3923" s="6">
        <v>1094.0</v>
      </c>
      <c r="C3923" s="6">
        <v>2.0</v>
      </c>
      <c r="D3923" s="177" t="s">
        <v>6612</v>
      </c>
      <c r="E3923" s="9" t="s">
        <v>6613</v>
      </c>
      <c r="F3923" s="109" t="str">
        <f t="shared" ref="F3923:G3923" si="3922">TRANSLATE(D3923,"lzh","vi")</f>
        <v>#NAME?</v>
      </c>
      <c r="G3923" s="109" t="str">
        <f t="shared" si="3922"/>
        <v>#NAME?</v>
      </c>
      <c r="X3923" s="110"/>
    </row>
    <row r="3924" ht="21.0" customHeight="1">
      <c r="A3924" s="6">
        <v>11.0</v>
      </c>
      <c r="B3924" s="6">
        <v>1094.0</v>
      </c>
      <c r="C3924" s="6">
        <v>3.0</v>
      </c>
      <c r="D3924" s="177" t="s">
        <v>6614</v>
      </c>
      <c r="E3924" s="9" t="s">
        <v>6615</v>
      </c>
      <c r="F3924" s="109" t="str">
        <f t="shared" ref="F3924:G3924" si="3923">TRANSLATE(D3924,"lzh","vi")</f>
        <v>#NAME?</v>
      </c>
      <c r="G3924" s="109" t="str">
        <f t="shared" si="3923"/>
        <v>#NAME?</v>
      </c>
      <c r="X3924" s="110"/>
    </row>
    <row r="3925" ht="21.0" customHeight="1">
      <c r="A3925" s="6">
        <v>11.0</v>
      </c>
      <c r="B3925" s="6">
        <v>1094.0</v>
      </c>
      <c r="C3925" s="6">
        <v>4.0</v>
      </c>
      <c r="D3925" s="177" t="s">
        <v>6616</v>
      </c>
      <c r="E3925" s="9" t="s">
        <v>6617</v>
      </c>
      <c r="F3925" s="109" t="str">
        <f t="shared" ref="F3925:G3925" si="3924">TRANSLATE(D3925,"lzh","vi")</f>
        <v>#NAME?</v>
      </c>
      <c r="G3925" s="109" t="str">
        <f t="shared" si="3924"/>
        <v>#NAME?</v>
      </c>
      <c r="X3925" s="110"/>
    </row>
    <row r="3926" ht="21.0" customHeight="1">
      <c r="A3926" s="6">
        <v>10.0</v>
      </c>
      <c r="B3926" s="6">
        <v>1094.0</v>
      </c>
      <c r="C3926" s="6">
        <v>5.0</v>
      </c>
      <c r="D3926" s="177" t="s">
        <v>6618</v>
      </c>
      <c r="E3926" s="9" t="s">
        <v>6619</v>
      </c>
      <c r="F3926" s="109" t="str">
        <f t="shared" ref="F3926:G3926" si="3925">TRANSLATE(D3926,"lzh","vi")</f>
        <v>#NAME?</v>
      </c>
      <c r="G3926" s="109" t="str">
        <f t="shared" si="3925"/>
        <v>#NAME?</v>
      </c>
      <c r="X3926" s="110"/>
    </row>
    <row r="3927" ht="21.0" customHeight="1">
      <c r="A3927" s="6">
        <v>10.0</v>
      </c>
      <c r="B3927" s="6">
        <v>1094.0</v>
      </c>
      <c r="C3927" s="6">
        <v>6.0</v>
      </c>
      <c r="D3927" s="177" t="s">
        <v>6620</v>
      </c>
      <c r="E3927" s="9" t="s">
        <v>6621</v>
      </c>
      <c r="F3927" s="109" t="str">
        <f t="shared" ref="F3927:G3927" si="3926">TRANSLATE(D3927,"lzh","vi")</f>
        <v>#NAME?</v>
      </c>
      <c r="G3927" s="109" t="str">
        <f t="shared" si="3926"/>
        <v>#NAME?</v>
      </c>
      <c r="X3927" s="110"/>
    </row>
    <row r="3928" ht="21.0" customHeight="1">
      <c r="A3928" s="6">
        <v>10.0</v>
      </c>
      <c r="B3928" s="6">
        <v>1094.0</v>
      </c>
      <c r="C3928" s="6">
        <v>7.0</v>
      </c>
      <c r="D3928" s="177" t="s">
        <v>6622</v>
      </c>
      <c r="E3928" s="9" t="s">
        <v>6623</v>
      </c>
      <c r="F3928" s="109" t="str">
        <f t="shared" ref="F3928:G3928" si="3927">TRANSLATE(D3928,"lzh","vi")</f>
        <v>#NAME?</v>
      </c>
      <c r="G3928" s="109" t="str">
        <f t="shared" si="3927"/>
        <v>#NAME?</v>
      </c>
      <c r="X3928" s="110"/>
    </row>
    <row r="3929" ht="21.0" customHeight="1">
      <c r="A3929" s="6">
        <v>10.0</v>
      </c>
      <c r="B3929" s="6">
        <v>1094.0</v>
      </c>
      <c r="C3929" s="6">
        <v>8.0</v>
      </c>
      <c r="D3929" s="177" t="s">
        <v>6624</v>
      </c>
      <c r="E3929" s="9" t="s">
        <v>6625</v>
      </c>
      <c r="F3929" s="109" t="str">
        <f t="shared" ref="F3929:G3929" si="3928">TRANSLATE(D3929,"lzh","vi")</f>
        <v>#NAME?</v>
      </c>
      <c r="G3929" s="109" t="str">
        <f t="shared" si="3928"/>
        <v>#NAME?</v>
      </c>
      <c r="X3929" s="110"/>
    </row>
    <row r="3930" ht="21.0" customHeight="1">
      <c r="A3930" s="6">
        <v>10.0</v>
      </c>
      <c r="B3930" s="6">
        <v>1094.0</v>
      </c>
      <c r="C3930" s="6">
        <v>9.0</v>
      </c>
      <c r="D3930" s="177" t="s">
        <v>6626</v>
      </c>
      <c r="E3930" s="9" t="s">
        <v>6627</v>
      </c>
      <c r="F3930" s="109" t="str">
        <f t="shared" ref="F3930:G3930" si="3929">TRANSLATE(D3930,"lzh","vi")</f>
        <v>#NAME?</v>
      </c>
      <c r="G3930" s="109" t="str">
        <f t="shared" si="3929"/>
        <v>#NAME?</v>
      </c>
      <c r="X3930" s="110"/>
    </row>
    <row r="3931" ht="21.0" customHeight="1">
      <c r="A3931" s="6">
        <v>10.0</v>
      </c>
      <c r="B3931" s="6">
        <v>1094.0</v>
      </c>
      <c r="C3931" s="6">
        <v>10.0</v>
      </c>
      <c r="D3931" s="177" t="s">
        <v>6628</v>
      </c>
      <c r="E3931" s="9" t="s">
        <v>6629</v>
      </c>
      <c r="F3931" s="109" t="str">
        <f t="shared" ref="F3931:G3931" si="3930">TRANSLATE(D3931,"lzh","vi")</f>
        <v>#NAME?</v>
      </c>
      <c r="G3931" s="109" t="str">
        <f t="shared" si="3930"/>
        <v>#NAME?</v>
      </c>
      <c r="X3931" s="110"/>
    </row>
    <row r="3932" ht="21.0" customHeight="1">
      <c r="A3932" s="6">
        <v>11.0</v>
      </c>
      <c r="B3932" s="6">
        <v>1095.0</v>
      </c>
      <c r="C3932" s="6">
        <v>1.0</v>
      </c>
      <c r="D3932" s="177" t="s">
        <v>6630</v>
      </c>
      <c r="E3932" s="9" t="s">
        <v>6631</v>
      </c>
      <c r="F3932" s="109" t="str">
        <f t="shared" ref="F3932:G3932" si="3931">TRANSLATE(D3932,"lzh","vi")</f>
        <v>#NAME?</v>
      </c>
      <c r="G3932" s="109" t="str">
        <f t="shared" si="3931"/>
        <v>#NAME?</v>
      </c>
      <c r="X3932" s="110"/>
    </row>
    <row r="3933" ht="21.0" customHeight="1">
      <c r="A3933" s="6">
        <v>11.0</v>
      </c>
      <c r="B3933" s="6">
        <v>1095.0</v>
      </c>
      <c r="C3933" s="6">
        <v>2.0</v>
      </c>
      <c r="D3933" s="177" t="s">
        <v>6632</v>
      </c>
      <c r="E3933" s="9" t="s">
        <v>6633</v>
      </c>
      <c r="F3933" s="109" t="str">
        <f t="shared" ref="F3933:G3933" si="3932">TRANSLATE(D3933,"lzh","vi")</f>
        <v>#NAME?</v>
      </c>
      <c r="G3933" s="109" t="str">
        <f t="shared" si="3932"/>
        <v>#NAME?</v>
      </c>
      <c r="X3933" s="110"/>
    </row>
    <row r="3934" ht="21.0" customHeight="1">
      <c r="A3934" s="6">
        <v>11.0</v>
      </c>
      <c r="B3934" s="6">
        <v>1095.0</v>
      </c>
      <c r="C3934" s="6">
        <v>3.0</v>
      </c>
      <c r="D3934" s="177" t="s">
        <v>6634</v>
      </c>
      <c r="E3934" s="9" t="s">
        <v>6635</v>
      </c>
      <c r="F3934" s="109" t="str">
        <f t="shared" ref="F3934:G3934" si="3933">TRANSLATE(D3934,"lzh","vi")</f>
        <v>#NAME?</v>
      </c>
      <c r="G3934" s="109" t="str">
        <f t="shared" si="3933"/>
        <v>#NAME?</v>
      </c>
      <c r="X3934" s="110"/>
    </row>
    <row r="3935" ht="21.0" customHeight="1">
      <c r="A3935" s="6">
        <v>11.0</v>
      </c>
      <c r="B3935" s="6">
        <v>1095.0</v>
      </c>
      <c r="C3935" s="6">
        <v>4.0</v>
      </c>
      <c r="D3935" s="177" t="s">
        <v>6636</v>
      </c>
      <c r="E3935" s="9" t="s">
        <v>6637</v>
      </c>
      <c r="F3935" s="109" t="str">
        <f t="shared" ref="F3935:G3935" si="3934">TRANSLATE(D3935,"lzh","vi")</f>
        <v>#NAME?</v>
      </c>
      <c r="G3935" s="109" t="str">
        <f t="shared" si="3934"/>
        <v>#NAME?</v>
      </c>
      <c r="X3935" s="110"/>
    </row>
    <row r="3936" ht="21.0" customHeight="1">
      <c r="A3936" s="6">
        <v>10.0</v>
      </c>
      <c r="B3936" s="6">
        <v>1095.0</v>
      </c>
      <c r="C3936" s="6">
        <v>5.0</v>
      </c>
      <c r="D3936" s="177" t="s">
        <v>6638</v>
      </c>
      <c r="E3936" s="9" t="s">
        <v>6639</v>
      </c>
      <c r="F3936" s="109" t="str">
        <f t="shared" ref="F3936:G3936" si="3935">TRANSLATE(D3936,"lzh","vi")</f>
        <v>#NAME?</v>
      </c>
      <c r="G3936" s="109" t="str">
        <f t="shared" si="3935"/>
        <v>#NAME?</v>
      </c>
      <c r="X3936" s="110"/>
    </row>
    <row r="3937" ht="21.0" customHeight="1">
      <c r="A3937" s="6">
        <v>10.0</v>
      </c>
      <c r="B3937" s="6">
        <v>1095.0</v>
      </c>
      <c r="C3937" s="6">
        <v>6.0</v>
      </c>
      <c r="D3937" s="177" t="s">
        <v>6640</v>
      </c>
      <c r="E3937" s="9" t="s">
        <v>6641</v>
      </c>
      <c r="F3937" s="109" t="str">
        <f t="shared" ref="F3937:G3937" si="3936">TRANSLATE(D3937,"lzh","vi")</f>
        <v>#NAME?</v>
      </c>
      <c r="G3937" s="109" t="str">
        <f t="shared" si="3936"/>
        <v>#NAME?</v>
      </c>
      <c r="X3937" s="110"/>
    </row>
    <row r="3938" ht="21.0" customHeight="1">
      <c r="A3938" s="6">
        <v>10.0</v>
      </c>
      <c r="B3938" s="6">
        <v>1095.0</v>
      </c>
      <c r="C3938" s="6">
        <v>7.0</v>
      </c>
      <c r="D3938" s="177" t="s">
        <v>6642</v>
      </c>
      <c r="E3938" s="9" t="s">
        <v>6643</v>
      </c>
      <c r="F3938" s="109" t="str">
        <f t="shared" ref="F3938:G3938" si="3937">TRANSLATE(D3938,"lzh","vi")</f>
        <v>#NAME?</v>
      </c>
      <c r="G3938" s="109" t="str">
        <f t="shared" si="3937"/>
        <v>#NAME?</v>
      </c>
      <c r="X3938" s="110"/>
    </row>
    <row r="3939" ht="21.0" customHeight="1">
      <c r="A3939" s="6">
        <v>10.0</v>
      </c>
      <c r="B3939" s="6">
        <v>1095.0</v>
      </c>
      <c r="C3939" s="6">
        <v>8.0</v>
      </c>
      <c r="D3939" s="177" t="s">
        <v>6644</v>
      </c>
      <c r="E3939" s="9" t="s">
        <v>6645</v>
      </c>
      <c r="F3939" s="109" t="str">
        <f t="shared" ref="F3939:G3939" si="3938">TRANSLATE(D3939,"lzh","vi")</f>
        <v>#NAME?</v>
      </c>
      <c r="G3939" s="109" t="str">
        <f t="shared" si="3938"/>
        <v>#NAME?</v>
      </c>
      <c r="X3939" s="110"/>
    </row>
    <row r="3940" ht="21.0" customHeight="1">
      <c r="A3940" s="6">
        <v>10.0</v>
      </c>
      <c r="B3940" s="6">
        <v>1095.0</v>
      </c>
      <c r="C3940" s="6">
        <v>9.0</v>
      </c>
      <c r="D3940" s="177" t="s">
        <v>6646</v>
      </c>
      <c r="E3940" s="9" t="s">
        <v>6647</v>
      </c>
      <c r="F3940" s="109" t="str">
        <f t="shared" ref="F3940:G3940" si="3939">TRANSLATE(D3940,"lzh","vi")</f>
        <v>#NAME?</v>
      </c>
      <c r="G3940" s="109" t="str">
        <f t="shared" si="3939"/>
        <v>#NAME?</v>
      </c>
      <c r="X3940" s="110"/>
    </row>
    <row r="3941" ht="21.0" customHeight="1">
      <c r="A3941" s="6">
        <v>10.0</v>
      </c>
      <c r="B3941" s="6">
        <v>1095.0</v>
      </c>
      <c r="C3941" s="6">
        <v>10.0</v>
      </c>
      <c r="D3941" s="177" t="s">
        <v>6648</v>
      </c>
      <c r="E3941" s="9" t="s">
        <v>6629</v>
      </c>
      <c r="F3941" s="109" t="str">
        <f t="shared" ref="F3941:G3941" si="3940">TRANSLATE(D3941,"lzh","vi")</f>
        <v>#NAME?</v>
      </c>
      <c r="G3941" s="109" t="str">
        <f t="shared" si="3940"/>
        <v>#NAME?</v>
      </c>
      <c r="X3941" s="110"/>
    </row>
    <row r="3942" ht="21.0" customHeight="1">
      <c r="A3942" s="6">
        <v>1.0</v>
      </c>
      <c r="B3942" s="6">
        <v>287.0</v>
      </c>
      <c r="C3942" s="6">
        <v>1.0</v>
      </c>
      <c r="D3942" s="177" t="s">
        <v>6649</v>
      </c>
      <c r="E3942" s="9" t="s">
        <v>6650</v>
      </c>
      <c r="F3942" s="109" t="str">
        <f t="shared" ref="F3942:G3942" si="3941">TRANSLATE(D3942,"lzh","vi")</f>
        <v>#NAME?</v>
      </c>
      <c r="G3942" s="109" t="str">
        <f t="shared" si="3941"/>
        <v>#NAME?</v>
      </c>
      <c r="X3942" s="110"/>
    </row>
    <row r="3943" ht="21.0" customHeight="1">
      <c r="A3943" s="6">
        <v>1.0</v>
      </c>
      <c r="B3943" s="6">
        <v>287.0</v>
      </c>
      <c r="C3943" s="6">
        <v>2.0</v>
      </c>
      <c r="D3943" s="177" t="s">
        <v>5951</v>
      </c>
      <c r="E3943" s="9" t="s">
        <v>6651</v>
      </c>
      <c r="F3943" s="109" t="str">
        <f t="shared" ref="F3943:G3943" si="3942">TRANSLATE(D3943,"lzh","vi")</f>
        <v>#NAME?</v>
      </c>
      <c r="G3943" s="109" t="str">
        <f t="shared" si="3942"/>
        <v>#NAME?</v>
      </c>
      <c r="X3943" s="110"/>
    </row>
    <row r="3944" ht="21.0" customHeight="1">
      <c r="A3944" s="6">
        <v>1.0</v>
      </c>
      <c r="B3944" s="6">
        <v>287.0</v>
      </c>
      <c r="C3944" s="6">
        <v>3.0</v>
      </c>
      <c r="D3944" s="177" t="s">
        <v>6652</v>
      </c>
      <c r="E3944" s="9" t="s">
        <v>6653</v>
      </c>
      <c r="F3944" s="109" t="str">
        <f t="shared" ref="F3944:G3944" si="3943">TRANSLATE(D3944,"lzh","vi")</f>
        <v>#NAME?</v>
      </c>
      <c r="G3944" s="109" t="str">
        <f t="shared" si="3943"/>
        <v>#NAME?</v>
      </c>
      <c r="X3944" s="110"/>
    </row>
    <row r="3945" ht="21.0" customHeight="1">
      <c r="A3945" s="6">
        <v>1.0</v>
      </c>
      <c r="B3945" s="6">
        <v>287.0</v>
      </c>
      <c r="C3945" s="6">
        <v>4.0</v>
      </c>
      <c r="D3945" s="177" t="s">
        <v>6654</v>
      </c>
      <c r="E3945" s="9" t="s">
        <v>6655</v>
      </c>
      <c r="F3945" s="109" t="str">
        <f t="shared" ref="F3945:G3945" si="3944">TRANSLATE(D3945,"lzh","vi")</f>
        <v>#NAME?</v>
      </c>
      <c r="G3945" s="109" t="str">
        <f t="shared" si="3944"/>
        <v>#NAME?</v>
      </c>
      <c r="X3945" s="110"/>
    </row>
    <row r="3946" ht="21.0" customHeight="1">
      <c r="A3946" s="6">
        <v>1.0</v>
      </c>
      <c r="B3946" s="6">
        <v>287.0</v>
      </c>
      <c r="C3946" s="6">
        <v>5.0</v>
      </c>
      <c r="D3946" s="179" t="s">
        <v>6656</v>
      </c>
      <c r="E3946" s="9" t="s">
        <v>6657</v>
      </c>
      <c r="F3946" s="109" t="str">
        <f t="shared" ref="F3946:G3946" si="3945">TRANSLATE(D3946,"lzh","vi")</f>
        <v>#NAME?</v>
      </c>
      <c r="G3946" s="109" t="str">
        <f t="shared" si="3945"/>
        <v>#NAME?</v>
      </c>
      <c r="X3946" s="110"/>
    </row>
    <row r="3947" ht="21.0" customHeight="1">
      <c r="A3947" s="6">
        <v>1.0</v>
      </c>
      <c r="B3947" s="6">
        <v>287.0</v>
      </c>
      <c r="C3947" s="6">
        <v>6.0</v>
      </c>
      <c r="D3947" s="177" t="s">
        <v>6658</v>
      </c>
      <c r="E3947" s="9" t="s">
        <v>6659</v>
      </c>
      <c r="F3947" s="109" t="str">
        <f t="shared" ref="F3947:G3947" si="3946">TRANSLATE(D3947,"lzh","vi")</f>
        <v>#NAME?</v>
      </c>
      <c r="G3947" s="109" t="str">
        <f t="shared" si="3946"/>
        <v>#NAME?</v>
      </c>
      <c r="X3947" s="110"/>
    </row>
    <row r="3948" ht="21.0" customHeight="1">
      <c r="A3948" s="6">
        <v>1.0</v>
      </c>
      <c r="B3948" s="6">
        <v>287.0</v>
      </c>
      <c r="C3948" s="6">
        <v>7.0</v>
      </c>
      <c r="D3948" s="177" t="s">
        <v>6660</v>
      </c>
      <c r="E3948" s="9" t="s">
        <v>6661</v>
      </c>
      <c r="F3948" s="109" t="str">
        <f t="shared" ref="F3948:G3948" si="3947">TRANSLATE(D3948,"lzh","vi")</f>
        <v>#NAME?</v>
      </c>
      <c r="G3948" s="109" t="str">
        <f t="shared" si="3947"/>
        <v>#NAME?</v>
      </c>
      <c r="X3948" s="110"/>
    </row>
    <row r="3949" ht="21.0" customHeight="1">
      <c r="A3949" s="6">
        <v>1.0</v>
      </c>
      <c r="B3949" s="6">
        <v>287.0</v>
      </c>
      <c r="C3949" s="6">
        <v>8.0</v>
      </c>
      <c r="D3949" s="177" t="s">
        <v>6662</v>
      </c>
      <c r="E3949" s="9" t="s">
        <v>6663</v>
      </c>
      <c r="F3949" s="109" t="str">
        <f t="shared" ref="F3949:G3949" si="3948">TRANSLATE(D3949,"lzh","vi")</f>
        <v>#NAME?</v>
      </c>
      <c r="G3949" s="109" t="str">
        <f t="shared" si="3948"/>
        <v>#NAME?</v>
      </c>
      <c r="X3949" s="110"/>
    </row>
    <row r="3950" ht="21.0" customHeight="1">
      <c r="A3950" s="6">
        <v>1.0</v>
      </c>
      <c r="B3950" s="6">
        <v>287.0</v>
      </c>
      <c r="C3950" s="6">
        <v>9.0</v>
      </c>
      <c r="D3950" s="177" t="s">
        <v>6664</v>
      </c>
      <c r="E3950" s="9" t="s">
        <v>6665</v>
      </c>
      <c r="F3950" s="109" t="str">
        <f t="shared" ref="F3950:G3950" si="3949">TRANSLATE(D3950,"lzh","vi")</f>
        <v>#NAME?</v>
      </c>
      <c r="G3950" s="109" t="str">
        <f t="shared" si="3949"/>
        <v>#NAME?</v>
      </c>
      <c r="X3950" s="110"/>
    </row>
    <row r="3951" ht="21.0" customHeight="1">
      <c r="A3951" s="6">
        <v>1.0</v>
      </c>
      <c r="B3951" s="6">
        <v>287.0</v>
      </c>
      <c r="C3951" s="6">
        <v>10.0</v>
      </c>
      <c r="D3951" s="177" t="s">
        <v>6666</v>
      </c>
      <c r="E3951" s="9" t="s">
        <v>6667</v>
      </c>
      <c r="F3951" s="109" t="str">
        <f t="shared" ref="F3951:G3951" si="3950">TRANSLATE(D3951,"lzh","vi")</f>
        <v>#NAME?</v>
      </c>
      <c r="G3951" s="109" t="str">
        <f t="shared" si="3950"/>
        <v>#NAME?</v>
      </c>
      <c r="X3951" s="110"/>
    </row>
    <row r="3952" ht="21.0" customHeight="1">
      <c r="A3952" s="6">
        <v>1.0</v>
      </c>
      <c r="B3952" s="6">
        <v>287.0</v>
      </c>
      <c r="C3952" s="6">
        <v>11.0</v>
      </c>
      <c r="D3952" s="185" t="s">
        <v>6668</v>
      </c>
      <c r="E3952" s="9" t="s">
        <v>6669</v>
      </c>
      <c r="F3952" s="109" t="str">
        <f t="shared" ref="F3952:G3952" si="3951">TRANSLATE(D3952,"lzh","vi")</f>
        <v>#NAME?</v>
      </c>
      <c r="G3952" s="109" t="str">
        <f t="shared" si="3951"/>
        <v>#NAME?</v>
      </c>
      <c r="X3952" s="110"/>
    </row>
    <row r="3953" ht="21.0" customHeight="1">
      <c r="A3953" s="6">
        <v>1.0</v>
      </c>
      <c r="B3953" s="6">
        <v>287.0</v>
      </c>
      <c r="C3953" s="6">
        <v>12.0</v>
      </c>
      <c r="D3953" s="177" t="s">
        <v>6670</v>
      </c>
      <c r="E3953" s="9" t="s">
        <v>6671</v>
      </c>
      <c r="F3953" s="109" t="str">
        <f t="shared" ref="F3953:G3953" si="3952">TRANSLATE(D3953,"lzh","vi")</f>
        <v>#NAME?</v>
      </c>
      <c r="G3953" s="109" t="str">
        <f t="shared" si="3952"/>
        <v>#NAME?</v>
      </c>
      <c r="X3953" s="110"/>
    </row>
    <row r="3954" ht="21.0" customHeight="1">
      <c r="A3954" s="6">
        <v>1.0</v>
      </c>
      <c r="B3954" s="6">
        <v>287.0</v>
      </c>
      <c r="C3954" s="6">
        <v>13.0</v>
      </c>
      <c r="D3954" s="177" t="s">
        <v>6672</v>
      </c>
      <c r="E3954" s="9" t="s">
        <v>6673</v>
      </c>
      <c r="F3954" s="109" t="str">
        <f t="shared" ref="F3954:G3954" si="3953">TRANSLATE(D3954,"lzh","vi")</f>
        <v>#NAME?</v>
      </c>
      <c r="G3954" s="109" t="str">
        <f t="shared" si="3953"/>
        <v>#NAME?</v>
      </c>
      <c r="X3954" s="110"/>
    </row>
    <row r="3955" ht="21.0" customHeight="1">
      <c r="A3955" s="6">
        <v>1.0</v>
      </c>
      <c r="B3955" s="6">
        <v>288.0</v>
      </c>
      <c r="C3955" s="6">
        <v>1.0</v>
      </c>
      <c r="D3955" s="177" t="s">
        <v>6674</v>
      </c>
      <c r="E3955" s="9" t="s">
        <v>6675</v>
      </c>
      <c r="F3955" s="109" t="str">
        <f t="shared" ref="F3955:G3955" si="3954">TRANSLATE(D3955,"lzh","vi")</f>
        <v>#NAME?</v>
      </c>
      <c r="G3955" s="109" t="str">
        <f t="shared" si="3954"/>
        <v>#NAME?</v>
      </c>
      <c r="X3955" s="110"/>
    </row>
    <row r="3956" ht="21.0" customHeight="1">
      <c r="A3956" s="6">
        <v>1.0</v>
      </c>
      <c r="B3956" s="6">
        <v>288.0</v>
      </c>
      <c r="C3956" s="6">
        <v>2.0</v>
      </c>
      <c r="D3956" s="177" t="s">
        <v>6676</v>
      </c>
      <c r="E3956" s="9" t="s">
        <v>6677</v>
      </c>
      <c r="F3956" s="109" t="str">
        <f t="shared" ref="F3956:G3956" si="3955">TRANSLATE(D3956,"lzh","vi")</f>
        <v>#NAME?</v>
      </c>
      <c r="G3956" s="109" t="str">
        <f t="shared" si="3955"/>
        <v>#NAME?</v>
      </c>
      <c r="X3956" s="110"/>
    </row>
    <row r="3957" ht="21.0" customHeight="1">
      <c r="A3957" s="6">
        <v>1.0</v>
      </c>
      <c r="B3957" s="6">
        <v>288.0</v>
      </c>
      <c r="C3957" s="6">
        <v>3.0</v>
      </c>
      <c r="D3957" s="177" t="s">
        <v>6678</v>
      </c>
      <c r="E3957" s="9" t="s">
        <v>6679</v>
      </c>
      <c r="F3957" s="109" t="str">
        <f t="shared" ref="F3957:G3957" si="3956">TRANSLATE(D3957,"lzh","vi")</f>
        <v>#NAME?</v>
      </c>
      <c r="G3957" s="109" t="str">
        <f t="shared" si="3956"/>
        <v>#NAME?</v>
      </c>
      <c r="X3957" s="110"/>
    </row>
    <row r="3958" ht="21.0" customHeight="1">
      <c r="A3958" s="6">
        <v>1.0</v>
      </c>
      <c r="B3958" s="6">
        <v>288.0</v>
      </c>
      <c r="C3958" s="6">
        <v>4.0</v>
      </c>
      <c r="D3958" s="179" t="s">
        <v>6680</v>
      </c>
      <c r="E3958" s="9" t="s">
        <v>6681</v>
      </c>
      <c r="F3958" s="109" t="str">
        <f t="shared" ref="F3958:G3958" si="3957">TRANSLATE(D3958,"lzh","vi")</f>
        <v>#NAME?</v>
      </c>
      <c r="G3958" s="109" t="str">
        <f t="shared" si="3957"/>
        <v>#NAME?</v>
      </c>
      <c r="X3958" s="110"/>
    </row>
    <row r="3959" ht="21.0" customHeight="1">
      <c r="A3959" s="6">
        <v>1.0</v>
      </c>
      <c r="B3959" s="6">
        <v>288.0</v>
      </c>
      <c r="C3959" s="6">
        <v>5.0</v>
      </c>
      <c r="D3959" s="179" t="s">
        <v>6682</v>
      </c>
      <c r="E3959" s="9" t="s">
        <v>6683</v>
      </c>
      <c r="F3959" s="109" t="str">
        <f t="shared" ref="F3959:G3959" si="3958">TRANSLATE(D3959,"lzh","vi")</f>
        <v>#NAME?</v>
      </c>
      <c r="G3959" s="109" t="str">
        <f t="shared" si="3958"/>
        <v>#NAME?</v>
      </c>
      <c r="X3959" s="110"/>
    </row>
    <row r="3960" ht="21.0" customHeight="1">
      <c r="A3960" s="6">
        <v>1.0</v>
      </c>
      <c r="B3960" s="6">
        <v>288.0</v>
      </c>
      <c r="C3960" s="6">
        <v>6.0</v>
      </c>
      <c r="D3960" s="179" t="s">
        <v>6684</v>
      </c>
      <c r="E3960" s="9" t="s">
        <v>6685</v>
      </c>
      <c r="F3960" s="109" t="str">
        <f t="shared" ref="F3960:G3960" si="3959">TRANSLATE(D3960,"lzh","vi")</f>
        <v>#NAME?</v>
      </c>
      <c r="G3960" s="109" t="str">
        <f t="shared" si="3959"/>
        <v>#NAME?</v>
      </c>
      <c r="X3960" s="110"/>
    </row>
    <row r="3961" ht="21.0" customHeight="1">
      <c r="A3961" s="6">
        <v>1.0</v>
      </c>
      <c r="B3961" s="6">
        <v>288.0</v>
      </c>
      <c r="C3961" s="6">
        <v>7.0</v>
      </c>
      <c r="D3961" s="179" t="s">
        <v>6686</v>
      </c>
      <c r="E3961" s="9" t="s">
        <v>6687</v>
      </c>
      <c r="F3961" s="109" t="str">
        <f t="shared" ref="F3961:G3961" si="3960">TRANSLATE(D3961,"lzh","vi")</f>
        <v>#NAME?</v>
      </c>
      <c r="G3961" s="109" t="str">
        <f t="shared" si="3960"/>
        <v>#NAME?</v>
      </c>
      <c r="X3961" s="110"/>
    </row>
    <row r="3962" ht="21.0" customHeight="1">
      <c r="A3962" s="6">
        <v>1.0</v>
      </c>
      <c r="B3962" s="6">
        <v>288.0</v>
      </c>
      <c r="C3962" s="6">
        <v>8.0</v>
      </c>
      <c r="D3962" s="179" t="s">
        <v>6688</v>
      </c>
      <c r="E3962" s="9" t="s">
        <v>6689</v>
      </c>
      <c r="F3962" s="109" t="str">
        <f t="shared" ref="F3962:G3962" si="3961">TRANSLATE(D3962,"lzh","vi")</f>
        <v>#NAME?</v>
      </c>
      <c r="G3962" s="109" t="str">
        <f t="shared" si="3961"/>
        <v>#NAME?</v>
      </c>
      <c r="X3962" s="110"/>
    </row>
    <row r="3963" ht="21.0" customHeight="1">
      <c r="A3963" s="6">
        <v>1.0</v>
      </c>
      <c r="B3963" s="6">
        <v>288.0</v>
      </c>
      <c r="C3963" s="6">
        <v>9.0</v>
      </c>
      <c r="D3963" s="179" t="s">
        <v>6690</v>
      </c>
      <c r="E3963" s="9" t="s">
        <v>6691</v>
      </c>
      <c r="F3963" s="109" t="str">
        <f t="shared" ref="F3963:G3963" si="3962">TRANSLATE(D3963,"lzh","vi")</f>
        <v>#NAME?</v>
      </c>
      <c r="G3963" s="109" t="str">
        <f t="shared" si="3962"/>
        <v>#NAME?</v>
      </c>
      <c r="X3963" s="110"/>
    </row>
    <row r="3964" ht="21.0" customHeight="1">
      <c r="A3964" s="6">
        <v>1.0</v>
      </c>
      <c r="B3964" s="6">
        <v>288.0</v>
      </c>
      <c r="C3964" s="6">
        <v>10.0</v>
      </c>
      <c r="D3964" s="179" t="s">
        <v>6692</v>
      </c>
      <c r="E3964" s="9" t="s">
        <v>6693</v>
      </c>
      <c r="F3964" s="109" t="str">
        <f t="shared" ref="F3964:G3964" si="3963">TRANSLATE(D3964,"lzh","vi")</f>
        <v>#NAME?</v>
      </c>
      <c r="G3964" s="109" t="str">
        <f t="shared" si="3963"/>
        <v>#NAME?</v>
      </c>
      <c r="X3964" s="110"/>
    </row>
    <row r="3965" ht="21.0" customHeight="1">
      <c r="A3965" s="6">
        <v>1.0</v>
      </c>
      <c r="B3965" s="6">
        <v>288.0</v>
      </c>
      <c r="C3965" s="6">
        <v>11.0</v>
      </c>
      <c r="D3965" s="180" t="s">
        <v>6694</v>
      </c>
      <c r="E3965" s="9" t="s">
        <v>6695</v>
      </c>
      <c r="F3965" s="109" t="str">
        <f t="shared" ref="F3965:G3965" si="3964">TRANSLATE(D3965,"lzh","vi")</f>
        <v>#NAME?</v>
      </c>
      <c r="G3965" s="109" t="str">
        <f t="shared" si="3964"/>
        <v>#NAME?</v>
      </c>
      <c r="X3965" s="110"/>
    </row>
    <row r="3966" ht="21.0" customHeight="1">
      <c r="A3966" s="6">
        <v>1.0</v>
      </c>
      <c r="B3966" s="6">
        <v>288.0</v>
      </c>
      <c r="C3966" s="6">
        <v>12.0</v>
      </c>
      <c r="D3966" s="179" t="s">
        <v>6696</v>
      </c>
      <c r="E3966" s="9" t="s">
        <v>6697</v>
      </c>
      <c r="F3966" s="109" t="str">
        <f t="shared" ref="F3966:G3966" si="3965">TRANSLATE(D3966,"lzh","vi")</f>
        <v>#NAME?</v>
      </c>
      <c r="G3966" s="109" t="str">
        <f t="shared" si="3965"/>
        <v>#NAME?</v>
      </c>
      <c r="X3966" s="110"/>
    </row>
    <row r="3967" ht="21.0" customHeight="1">
      <c r="A3967" s="6">
        <v>1.0</v>
      </c>
      <c r="B3967" s="6">
        <v>288.0</v>
      </c>
      <c r="C3967" s="6">
        <v>13.0</v>
      </c>
      <c r="D3967" s="179" t="s">
        <v>6698</v>
      </c>
      <c r="E3967" s="9" t="s">
        <v>6699</v>
      </c>
      <c r="F3967" s="109" t="str">
        <f t="shared" ref="F3967:G3967" si="3966">TRANSLATE(D3967,"lzh","vi")</f>
        <v>#NAME?</v>
      </c>
      <c r="G3967" s="109" t="str">
        <f t="shared" si="3966"/>
        <v>#NAME?</v>
      </c>
      <c r="X3967" s="110"/>
    </row>
    <row r="3968" ht="21.0" customHeight="1">
      <c r="A3968" s="6">
        <v>1.0</v>
      </c>
      <c r="B3968" s="6">
        <v>289.0</v>
      </c>
      <c r="C3968" s="6">
        <v>1.0</v>
      </c>
      <c r="D3968" s="177" t="s">
        <v>6700</v>
      </c>
      <c r="E3968" s="92" t="s">
        <v>6701</v>
      </c>
      <c r="F3968" s="109" t="str">
        <f t="shared" ref="F3968:G3968" si="3967">TRANSLATE(D3968,"lzh","vi")</f>
        <v>#NAME?</v>
      </c>
      <c r="G3968" s="109" t="str">
        <f t="shared" si="3967"/>
        <v>#NAME?</v>
      </c>
      <c r="X3968" s="110"/>
    </row>
    <row r="3969" ht="21.0" customHeight="1">
      <c r="A3969" s="6">
        <v>1.0</v>
      </c>
      <c r="B3969" s="6">
        <v>289.0</v>
      </c>
      <c r="C3969" s="6">
        <v>2.0</v>
      </c>
      <c r="D3969" s="177" t="s">
        <v>6702</v>
      </c>
      <c r="E3969" s="9" t="s">
        <v>6703</v>
      </c>
      <c r="F3969" s="109" t="str">
        <f t="shared" ref="F3969:G3969" si="3968">TRANSLATE(D3969,"lzh","vi")</f>
        <v>#NAME?</v>
      </c>
      <c r="G3969" s="109" t="str">
        <f t="shared" si="3968"/>
        <v>#NAME?</v>
      </c>
      <c r="X3969" s="110"/>
    </row>
    <row r="3970" ht="21.0" customHeight="1">
      <c r="A3970" s="6">
        <v>1.0</v>
      </c>
      <c r="B3970" s="6">
        <v>289.0</v>
      </c>
      <c r="C3970" s="6">
        <v>3.0</v>
      </c>
      <c r="D3970" s="177" t="s">
        <v>6704</v>
      </c>
      <c r="E3970" s="9" t="s">
        <v>6705</v>
      </c>
      <c r="F3970" s="109" t="str">
        <f t="shared" ref="F3970:G3970" si="3969">TRANSLATE(D3970,"lzh","vi")</f>
        <v>#NAME?</v>
      </c>
      <c r="G3970" s="109" t="str">
        <f t="shared" si="3969"/>
        <v>#NAME?</v>
      </c>
      <c r="X3970" s="110"/>
    </row>
    <row r="3971" ht="21.0" customHeight="1">
      <c r="A3971" s="6">
        <v>1.0</v>
      </c>
      <c r="B3971" s="6">
        <v>289.0</v>
      </c>
      <c r="C3971" s="6">
        <v>4.0</v>
      </c>
      <c r="D3971" s="177" t="s">
        <v>6706</v>
      </c>
      <c r="E3971" s="9" t="s">
        <v>6707</v>
      </c>
      <c r="F3971" s="109" t="str">
        <f t="shared" ref="F3971:G3971" si="3970">TRANSLATE(D3971,"lzh","vi")</f>
        <v>#NAME?</v>
      </c>
      <c r="G3971" s="109" t="str">
        <f t="shared" si="3970"/>
        <v>#NAME?</v>
      </c>
      <c r="X3971" s="110"/>
    </row>
    <row r="3972" ht="21.0" customHeight="1">
      <c r="A3972" s="6">
        <v>1.0</v>
      </c>
      <c r="B3972" s="6">
        <v>289.0</v>
      </c>
      <c r="C3972" s="6">
        <v>5.0</v>
      </c>
      <c r="D3972" s="181" t="s">
        <v>6708</v>
      </c>
      <c r="E3972" s="9" t="s">
        <v>6709</v>
      </c>
      <c r="F3972" s="109" t="str">
        <f t="shared" ref="F3972:G3972" si="3971">TRANSLATE(D3972,"lzh","vi")</f>
        <v>#NAME?</v>
      </c>
      <c r="G3972" s="109" t="str">
        <f t="shared" si="3971"/>
        <v>#NAME?</v>
      </c>
      <c r="X3972" s="110"/>
    </row>
    <row r="3973" ht="21.0" customHeight="1">
      <c r="A3973" s="6">
        <v>1.0</v>
      </c>
      <c r="B3973" s="6">
        <v>289.0</v>
      </c>
      <c r="C3973" s="6">
        <v>6.0</v>
      </c>
      <c r="D3973" s="177" t="s">
        <v>6710</v>
      </c>
      <c r="E3973" s="9" t="s">
        <v>6711</v>
      </c>
      <c r="F3973" s="109" t="str">
        <f t="shared" ref="F3973:G3973" si="3972">TRANSLATE(D3973,"lzh","vi")</f>
        <v>#NAME?</v>
      </c>
      <c r="G3973" s="109" t="str">
        <f t="shared" si="3972"/>
        <v>#NAME?</v>
      </c>
      <c r="X3973" s="110"/>
    </row>
    <row r="3974" ht="21.0" customHeight="1">
      <c r="A3974" s="6">
        <v>1.0</v>
      </c>
      <c r="B3974" s="6">
        <v>289.0</v>
      </c>
      <c r="C3974" s="6">
        <v>7.0</v>
      </c>
      <c r="D3974" s="177" t="s">
        <v>6712</v>
      </c>
      <c r="E3974" s="9" t="s">
        <v>6713</v>
      </c>
      <c r="F3974" s="109" t="str">
        <f t="shared" ref="F3974:G3974" si="3973">TRANSLATE(D3974,"lzh","vi")</f>
        <v>#NAME?</v>
      </c>
      <c r="G3974" s="109" t="str">
        <f t="shared" si="3973"/>
        <v>#NAME?</v>
      </c>
      <c r="X3974" s="110"/>
    </row>
    <row r="3975" ht="21.0" customHeight="1">
      <c r="A3975" s="6">
        <v>1.0</v>
      </c>
      <c r="B3975" s="6">
        <v>289.0</v>
      </c>
      <c r="C3975" s="6">
        <v>8.0</v>
      </c>
      <c r="D3975" s="177" t="s">
        <v>6714</v>
      </c>
      <c r="E3975" s="9" t="s">
        <v>6715</v>
      </c>
      <c r="F3975" s="109" t="str">
        <f t="shared" ref="F3975:G3975" si="3974">TRANSLATE(D3975,"lzh","vi")</f>
        <v>#NAME?</v>
      </c>
      <c r="G3975" s="109" t="str">
        <f t="shared" si="3974"/>
        <v>#NAME?</v>
      </c>
      <c r="X3975" s="110"/>
    </row>
    <row r="3976" ht="21.0" customHeight="1">
      <c r="A3976" s="6">
        <v>1.0</v>
      </c>
      <c r="B3976" s="6">
        <v>289.0</v>
      </c>
      <c r="C3976" s="6">
        <v>9.0</v>
      </c>
      <c r="D3976" s="177" t="s">
        <v>6716</v>
      </c>
      <c r="E3976" s="9" t="s">
        <v>6717</v>
      </c>
      <c r="F3976" s="109" t="str">
        <f t="shared" ref="F3976:G3976" si="3975">TRANSLATE(D3976,"lzh","vi")</f>
        <v>#NAME?</v>
      </c>
      <c r="G3976" s="109" t="str">
        <f t="shared" si="3975"/>
        <v>#NAME?</v>
      </c>
      <c r="X3976" s="110"/>
    </row>
    <row r="3977" ht="21.0" customHeight="1">
      <c r="A3977" s="6">
        <v>1.0</v>
      </c>
      <c r="B3977" s="6">
        <v>289.0</v>
      </c>
      <c r="C3977" s="6">
        <v>10.0</v>
      </c>
      <c r="D3977" s="177" t="s">
        <v>6718</v>
      </c>
      <c r="E3977" s="9" t="s">
        <v>6719</v>
      </c>
      <c r="F3977" s="109" t="str">
        <f t="shared" ref="F3977:G3977" si="3976">TRANSLATE(D3977,"lzh","vi")</f>
        <v>#NAME?</v>
      </c>
      <c r="G3977" s="109" t="str">
        <f t="shared" si="3976"/>
        <v>#NAME?</v>
      </c>
      <c r="X3977" s="110"/>
    </row>
    <row r="3978" ht="21.0" customHeight="1">
      <c r="A3978" s="6">
        <v>1.0</v>
      </c>
      <c r="B3978" s="6">
        <v>289.0</v>
      </c>
      <c r="C3978" s="6">
        <v>11.0</v>
      </c>
      <c r="D3978" s="177" t="s">
        <v>6720</v>
      </c>
      <c r="E3978" s="9" t="s">
        <v>6721</v>
      </c>
      <c r="F3978" s="109" t="str">
        <f t="shared" ref="F3978:G3978" si="3977">TRANSLATE(D3978,"lzh","vi")</f>
        <v>#NAME?</v>
      </c>
      <c r="G3978" s="109" t="str">
        <f t="shared" si="3977"/>
        <v>#NAME?</v>
      </c>
      <c r="X3978" s="110"/>
    </row>
    <row r="3979" ht="21.0" customHeight="1">
      <c r="A3979" s="6">
        <v>1.0</v>
      </c>
      <c r="B3979" s="6">
        <v>289.0</v>
      </c>
      <c r="C3979" s="6">
        <v>12.0</v>
      </c>
      <c r="D3979" s="177" t="s">
        <v>6722</v>
      </c>
      <c r="E3979" s="9" t="s">
        <v>6723</v>
      </c>
      <c r="F3979" s="109" t="str">
        <f t="shared" ref="F3979:G3979" si="3978">TRANSLATE(D3979,"lzh","vi")</f>
        <v>#NAME?</v>
      </c>
      <c r="G3979" s="109" t="str">
        <f t="shared" si="3978"/>
        <v>#NAME?</v>
      </c>
      <c r="X3979" s="110"/>
    </row>
    <row r="3980" ht="21.0" customHeight="1">
      <c r="A3980" s="6">
        <v>1.0</v>
      </c>
      <c r="B3980" s="6">
        <v>289.0</v>
      </c>
      <c r="C3980" s="6">
        <v>13.0</v>
      </c>
      <c r="D3980" s="177" t="s">
        <v>6724</v>
      </c>
      <c r="E3980" s="9" t="s">
        <v>6725</v>
      </c>
      <c r="F3980" s="109" t="str">
        <f t="shared" ref="F3980:G3980" si="3979">TRANSLATE(D3980,"lzh","vi")</f>
        <v>#NAME?</v>
      </c>
      <c r="G3980" s="109" t="str">
        <f t="shared" si="3979"/>
        <v>#NAME?</v>
      </c>
      <c r="X3980" s="110"/>
    </row>
    <row r="3981" ht="21.0" customHeight="1">
      <c r="A3981" s="6">
        <v>11.0</v>
      </c>
      <c r="B3981" s="6">
        <v>1096.0</v>
      </c>
      <c r="C3981" s="6">
        <v>1.0</v>
      </c>
      <c r="D3981" s="184" t="s">
        <v>6726</v>
      </c>
      <c r="E3981" s="9" t="s">
        <v>6727</v>
      </c>
      <c r="F3981" s="109" t="str">
        <f t="shared" ref="F3981:G3981" si="3980">TRANSLATE(D3981,"lzh","vi")</f>
        <v>#NAME?</v>
      </c>
      <c r="G3981" s="109" t="str">
        <f t="shared" si="3980"/>
        <v>#NAME?</v>
      </c>
      <c r="X3981" s="110"/>
    </row>
    <row r="3982" ht="21.0" customHeight="1">
      <c r="A3982" s="6">
        <v>11.0</v>
      </c>
      <c r="B3982" s="6">
        <v>1096.0</v>
      </c>
      <c r="C3982" s="6">
        <v>2.0</v>
      </c>
      <c r="D3982" s="184" t="s">
        <v>6728</v>
      </c>
      <c r="E3982" s="9" t="s">
        <v>6729</v>
      </c>
      <c r="F3982" s="109" t="str">
        <f t="shared" ref="F3982:G3982" si="3981">TRANSLATE(D3982,"lzh","vi")</f>
        <v>#NAME?</v>
      </c>
      <c r="G3982" s="109" t="str">
        <f t="shared" si="3981"/>
        <v>#NAME?</v>
      </c>
      <c r="X3982" s="110"/>
    </row>
    <row r="3983" ht="21.0" customHeight="1">
      <c r="A3983" s="6">
        <v>11.0</v>
      </c>
      <c r="B3983" s="6">
        <v>1096.0</v>
      </c>
      <c r="C3983" s="6">
        <v>3.0</v>
      </c>
      <c r="D3983" s="184" t="s">
        <v>6730</v>
      </c>
      <c r="E3983" s="9" t="s">
        <v>6731</v>
      </c>
      <c r="F3983" s="109" t="str">
        <f t="shared" ref="F3983:G3983" si="3982">TRANSLATE(D3983,"lzh","vi")</f>
        <v>#NAME?</v>
      </c>
      <c r="G3983" s="109" t="str">
        <f t="shared" si="3982"/>
        <v>#NAME?</v>
      </c>
      <c r="X3983" s="110"/>
    </row>
    <row r="3984" ht="21.0" customHeight="1">
      <c r="A3984" s="6">
        <v>11.0</v>
      </c>
      <c r="B3984" s="6">
        <v>1096.0</v>
      </c>
      <c r="C3984" s="6">
        <v>4.0</v>
      </c>
      <c r="D3984" s="184" t="s">
        <v>6732</v>
      </c>
      <c r="E3984" s="9" t="s">
        <v>6733</v>
      </c>
      <c r="F3984" s="109" t="str">
        <f t="shared" ref="F3984:G3984" si="3983">TRANSLATE(D3984,"lzh","vi")</f>
        <v>#NAME?</v>
      </c>
      <c r="G3984" s="109" t="str">
        <f t="shared" si="3983"/>
        <v>#NAME?</v>
      </c>
      <c r="X3984" s="110"/>
    </row>
    <row r="3985" ht="21.0" customHeight="1">
      <c r="A3985" s="6">
        <v>10.0</v>
      </c>
      <c r="B3985" s="6">
        <v>1096.0</v>
      </c>
      <c r="C3985" s="6">
        <v>5.0</v>
      </c>
      <c r="D3985" s="184" t="s">
        <v>6734</v>
      </c>
      <c r="E3985" s="9" t="s">
        <v>6735</v>
      </c>
      <c r="F3985" s="109" t="str">
        <f t="shared" ref="F3985:G3985" si="3984">TRANSLATE(D3985,"lzh","vi")</f>
        <v>#NAME?</v>
      </c>
      <c r="G3985" s="109" t="str">
        <f t="shared" si="3984"/>
        <v>#NAME?</v>
      </c>
      <c r="X3985" s="110"/>
    </row>
    <row r="3986" ht="21.0" customHeight="1">
      <c r="A3986" s="6">
        <v>10.0</v>
      </c>
      <c r="B3986" s="6">
        <v>1096.0</v>
      </c>
      <c r="C3986" s="6">
        <v>6.0</v>
      </c>
      <c r="D3986" s="184" t="s">
        <v>6736</v>
      </c>
      <c r="E3986" s="9" t="s">
        <v>6737</v>
      </c>
      <c r="F3986" s="109" t="str">
        <f t="shared" ref="F3986:G3986" si="3985">TRANSLATE(D3986,"lzh","vi")</f>
        <v>#NAME?</v>
      </c>
      <c r="G3986" s="109" t="str">
        <f t="shared" si="3985"/>
        <v>#NAME?</v>
      </c>
      <c r="X3986" s="110"/>
    </row>
    <row r="3987" ht="21.0" customHeight="1">
      <c r="A3987" s="6">
        <v>10.0</v>
      </c>
      <c r="B3987" s="6">
        <v>1096.0</v>
      </c>
      <c r="C3987" s="6">
        <v>7.0</v>
      </c>
      <c r="D3987" s="184" t="s">
        <v>6738</v>
      </c>
      <c r="E3987" s="9" t="s">
        <v>6739</v>
      </c>
      <c r="F3987" s="109" t="str">
        <f t="shared" ref="F3987:G3987" si="3986">TRANSLATE(D3987,"lzh","vi")</f>
        <v>#NAME?</v>
      </c>
      <c r="G3987" s="109" t="str">
        <f t="shared" si="3986"/>
        <v>#NAME?</v>
      </c>
      <c r="X3987" s="110"/>
    </row>
    <row r="3988" ht="21.0" customHeight="1">
      <c r="A3988" s="6">
        <v>10.0</v>
      </c>
      <c r="B3988" s="6">
        <v>1096.0</v>
      </c>
      <c r="C3988" s="6">
        <v>8.0</v>
      </c>
      <c r="D3988" s="184" t="s">
        <v>6740</v>
      </c>
      <c r="E3988" s="9" t="s">
        <v>6741</v>
      </c>
      <c r="F3988" s="109" t="str">
        <f t="shared" ref="F3988:G3988" si="3987">TRANSLATE(D3988,"lzh","vi")</f>
        <v>#NAME?</v>
      </c>
      <c r="G3988" s="109" t="str">
        <f t="shared" si="3987"/>
        <v>#NAME?</v>
      </c>
      <c r="X3988" s="110"/>
    </row>
    <row r="3989" ht="21.0" customHeight="1">
      <c r="A3989" s="6">
        <v>10.0</v>
      </c>
      <c r="B3989" s="6">
        <v>1096.0</v>
      </c>
      <c r="C3989" s="6">
        <v>9.0</v>
      </c>
      <c r="D3989" s="184" t="s">
        <v>6742</v>
      </c>
      <c r="E3989" s="9" t="s">
        <v>6743</v>
      </c>
      <c r="F3989" s="109" t="str">
        <f t="shared" ref="F3989:G3989" si="3988">TRANSLATE(D3989,"lzh","vi")</f>
        <v>#NAME?</v>
      </c>
      <c r="G3989" s="109" t="str">
        <f t="shared" si="3988"/>
        <v>#NAME?</v>
      </c>
      <c r="X3989" s="110"/>
    </row>
    <row r="3990" ht="21.0" customHeight="1">
      <c r="A3990" s="6">
        <v>10.0</v>
      </c>
      <c r="B3990" s="6">
        <v>1096.0</v>
      </c>
      <c r="C3990" s="6">
        <v>10.0</v>
      </c>
      <c r="D3990" s="184" t="s">
        <v>6744</v>
      </c>
      <c r="E3990" s="9" t="s">
        <v>6745</v>
      </c>
      <c r="F3990" s="109" t="str">
        <f t="shared" ref="F3990:G3990" si="3989">TRANSLATE(D3990,"lzh","vi")</f>
        <v>#NAME?</v>
      </c>
      <c r="G3990" s="109" t="str">
        <f t="shared" si="3989"/>
        <v>#NAME?</v>
      </c>
      <c r="X3990" s="110"/>
    </row>
    <row r="3991" ht="21.0" customHeight="1">
      <c r="A3991" s="6">
        <v>11.0</v>
      </c>
      <c r="B3991" s="6">
        <v>1097.0</v>
      </c>
      <c r="C3991" s="6">
        <v>1.0</v>
      </c>
      <c r="D3991" s="184" t="s">
        <v>6746</v>
      </c>
      <c r="E3991" s="9" t="s">
        <v>6747</v>
      </c>
      <c r="F3991" s="109" t="str">
        <f t="shared" ref="F3991:G3991" si="3990">TRANSLATE(D3991,"lzh","vi")</f>
        <v>#NAME?</v>
      </c>
      <c r="G3991" s="109" t="str">
        <f t="shared" si="3990"/>
        <v>#NAME?</v>
      </c>
      <c r="X3991" s="110"/>
    </row>
    <row r="3992" ht="21.0" customHeight="1">
      <c r="A3992" s="6">
        <v>11.0</v>
      </c>
      <c r="B3992" s="6">
        <v>1097.0</v>
      </c>
      <c r="C3992" s="6">
        <v>2.0</v>
      </c>
      <c r="D3992" s="184" t="s">
        <v>6748</v>
      </c>
      <c r="E3992" s="9" t="s">
        <v>6749</v>
      </c>
      <c r="F3992" s="109" t="str">
        <f t="shared" ref="F3992:G3992" si="3991">TRANSLATE(D3992,"lzh","vi")</f>
        <v>#NAME?</v>
      </c>
      <c r="G3992" s="109" t="str">
        <f t="shared" si="3991"/>
        <v>#NAME?</v>
      </c>
      <c r="X3992" s="110"/>
    </row>
    <row r="3993" ht="21.0" customHeight="1">
      <c r="A3993" s="6">
        <v>11.0</v>
      </c>
      <c r="B3993" s="6">
        <v>1097.0</v>
      </c>
      <c r="C3993" s="6">
        <v>3.0</v>
      </c>
      <c r="D3993" s="184" t="s">
        <v>6750</v>
      </c>
      <c r="E3993" s="9" t="s">
        <v>6751</v>
      </c>
      <c r="F3993" s="109" t="str">
        <f t="shared" ref="F3993:G3993" si="3992">TRANSLATE(D3993,"lzh","vi")</f>
        <v>#NAME?</v>
      </c>
      <c r="G3993" s="109" t="str">
        <f t="shared" si="3992"/>
        <v>#NAME?</v>
      </c>
      <c r="X3993" s="110"/>
    </row>
    <row r="3994" ht="21.0" customHeight="1">
      <c r="A3994" s="6">
        <v>11.0</v>
      </c>
      <c r="B3994" s="6">
        <v>1097.0</v>
      </c>
      <c r="C3994" s="6">
        <v>4.0</v>
      </c>
      <c r="D3994" s="184" t="s">
        <v>6752</v>
      </c>
      <c r="E3994" s="9" t="s">
        <v>6753</v>
      </c>
      <c r="F3994" s="109" t="str">
        <f t="shared" ref="F3994:G3994" si="3993">TRANSLATE(D3994,"lzh","vi")</f>
        <v>#NAME?</v>
      </c>
      <c r="G3994" s="109" t="str">
        <f t="shared" si="3993"/>
        <v>#NAME?</v>
      </c>
      <c r="X3994" s="110"/>
    </row>
    <row r="3995" ht="21.0" customHeight="1">
      <c r="A3995" s="6">
        <v>10.0</v>
      </c>
      <c r="B3995" s="6">
        <v>1097.0</v>
      </c>
      <c r="C3995" s="6">
        <v>5.0</v>
      </c>
      <c r="D3995" s="184" t="s">
        <v>6754</v>
      </c>
      <c r="E3995" s="9" t="s">
        <v>6755</v>
      </c>
      <c r="F3995" s="109" t="str">
        <f t="shared" ref="F3995:G3995" si="3994">TRANSLATE(D3995,"lzh","vi")</f>
        <v>#NAME?</v>
      </c>
      <c r="G3995" s="109" t="str">
        <f t="shared" si="3994"/>
        <v>#NAME?</v>
      </c>
      <c r="X3995" s="110"/>
    </row>
    <row r="3996" ht="21.0" customHeight="1">
      <c r="A3996" s="6">
        <v>10.0</v>
      </c>
      <c r="B3996" s="6">
        <v>1097.0</v>
      </c>
      <c r="C3996" s="6">
        <v>6.0</v>
      </c>
      <c r="D3996" s="184" t="s">
        <v>6756</v>
      </c>
      <c r="E3996" s="9" t="s">
        <v>6757</v>
      </c>
      <c r="F3996" s="109" t="str">
        <f t="shared" ref="F3996:G3996" si="3995">TRANSLATE(D3996,"lzh","vi")</f>
        <v>#NAME?</v>
      </c>
      <c r="G3996" s="109" t="str">
        <f t="shared" si="3995"/>
        <v>#NAME?</v>
      </c>
      <c r="X3996" s="110"/>
    </row>
    <row r="3997" ht="21.0" customHeight="1">
      <c r="A3997" s="6">
        <v>10.0</v>
      </c>
      <c r="B3997" s="6">
        <v>1097.0</v>
      </c>
      <c r="C3997" s="6">
        <v>7.0</v>
      </c>
      <c r="D3997" s="184" t="s">
        <v>6758</v>
      </c>
      <c r="E3997" s="9" t="s">
        <v>6759</v>
      </c>
      <c r="F3997" s="109" t="str">
        <f t="shared" ref="F3997:G3997" si="3996">TRANSLATE(D3997,"lzh","vi")</f>
        <v>#NAME?</v>
      </c>
      <c r="G3997" s="109" t="str">
        <f t="shared" si="3996"/>
        <v>#NAME?</v>
      </c>
      <c r="X3997" s="110"/>
    </row>
    <row r="3998" ht="21.0" customHeight="1">
      <c r="A3998" s="6">
        <v>10.0</v>
      </c>
      <c r="B3998" s="6">
        <v>1097.0</v>
      </c>
      <c r="C3998" s="6">
        <v>8.0</v>
      </c>
      <c r="D3998" s="184" t="s">
        <v>6760</v>
      </c>
      <c r="E3998" s="9" t="s">
        <v>6761</v>
      </c>
      <c r="F3998" s="109" t="str">
        <f t="shared" ref="F3998:G3998" si="3997">TRANSLATE(D3998,"lzh","vi")</f>
        <v>#NAME?</v>
      </c>
      <c r="G3998" s="109" t="str">
        <f t="shared" si="3997"/>
        <v>#NAME?</v>
      </c>
      <c r="X3998" s="110"/>
    </row>
    <row r="3999" ht="21.0" customHeight="1">
      <c r="A3999" s="6">
        <v>10.0</v>
      </c>
      <c r="B3999" s="6">
        <v>1097.0</v>
      </c>
      <c r="C3999" s="6">
        <v>9.0</v>
      </c>
      <c r="D3999" s="184" t="s">
        <v>6762</v>
      </c>
      <c r="E3999" s="9" t="s">
        <v>6763</v>
      </c>
      <c r="F3999" s="109" t="str">
        <f t="shared" ref="F3999:G3999" si="3998">TRANSLATE(D3999,"lzh","vi")</f>
        <v>#NAME?</v>
      </c>
      <c r="G3999" s="109" t="str">
        <f t="shared" si="3998"/>
        <v>#NAME?</v>
      </c>
      <c r="X3999" s="110"/>
    </row>
    <row r="4000" ht="21.0" customHeight="1">
      <c r="A4000" s="6">
        <v>10.0</v>
      </c>
      <c r="B4000" s="6">
        <v>1097.0</v>
      </c>
      <c r="C4000" s="6">
        <v>10.0</v>
      </c>
      <c r="D4000" s="184" t="s">
        <v>6764</v>
      </c>
      <c r="E4000" s="9" t="s">
        <v>6745</v>
      </c>
      <c r="F4000" s="109" t="str">
        <f t="shared" ref="F4000:G4000" si="3999">TRANSLATE(D4000,"lzh","vi")</f>
        <v>#NAME?</v>
      </c>
      <c r="G4000" s="109" t="str">
        <f t="shared" si="3999"/>
        <v>#NAME?</v>
      </c>
      <c r="X4000" s="110"/>
    </row>
    <row r="4001" ht="21.0" customHeight="1">
      <c r="A4001" s="6">
        <v>1.0</v>
      </c>
      <c r="B4001" s="6">
        <v>290.0</v>
      </c>
      <c r="C4001" s="6">
        <v>1.0</v>
      </c>
      <c r="D4001" s="184" t="s">
        <v>6765</v>
      </c>
      <c r="E4001" s="9" t="s">
        <v>6766</v>
      </c>
      <c r="F4001" s="109" t="str">
        <f t="shared" ref="F4001:G4001" si="4000">TRANSLATE(D4001,"lzh","vi")</f>
        <v>#NAME?</v>
      </c>
      <c r="G4001" s="109" t="str">
        <f t="shared" si="4000"/>
        <v>#NAME?</v>
      </c>
      <c r="X4001" s="110"/>
    </row>
    <row r="4002" ht="21.0" customHeight="1">
      <c r="A4002" s="6">
        <v>1.0</v>
      </c>
      <c r="B4002" s="6">
        <v>290.0</v>
      </c>
      <c r="C4002" s="6">
        <v>2.0</v>
      </c>
      <c r="D4002" s="184" t="s">
        <v>6767</v>
      </c>
      <c r="E4002" s="9" t="s">
        <v>6768</v>
      </c>
      <c r="F4002" s="109" t="str">
        <f t="shared" ref="F4002:G4002" si="4001">TRANSLATE(D4002,"lzh","vi")</f>
        <v>#NAME?</v>
      </c>
      <c r="G4002" s="109" t="str">
        <f t="shared" si="4001"/>
        <v>#NAME?</v>
      </c>
      <c r="X4002" s="110"/>
    </row>
    <row r="4003" ht="21.0" customHeight="1">
      <c r="A4003" s="6">
        <v>1.0</v>
      </c>
      <c r="B4003" s="6">
        <v>290.0</v>
      </c>
      <c r="C4003" s="6">
        <v>3.0</v>
      </c>
      <c r="D4003" s="184" t="s">
        <v>6769</v>
      </c>
      <c r="E4003" s="9" t="s">
        <v>6770</v>
      </c>
      <c r="F4003" s="109" t="str">
        <f t="shared" ref="F4003:G4003" si="4002">TRANSLATE(D4003,"lzh","vi")</f>
        <v>#NAME?</v>
      </c>
      <c r="G4003" s="109" t="str">
        <f t="shared" si="4002"/>
        <v>#NAME?</v>
      </c>
      <c r="X4003" s="110"/>
    </row>
    <row r="4004" ht="21.0" customHeight="1">
      <c r="A4004" s="6">
        <v>1.0</v>
      </c>
      <c r="B4004" s="6">
        <v>290.0</v>
      </c>
      <c r="C4004" s="6">
        <v>4.0</v>
      </c>
      <c r="D4004" s="184" t="s">
        <v>6771</v>
      </c>
      <c r="E4004" s="9" t="s">
        <v>6772</v>
      </c>
      <c r="F4004" s="109" t="str">
        <f t="shared" ref="F4004:G4004" si="4003">TRANSLATE(D4004,"lzh","vi")</f>
        <v>#NAME?</v>
      </c>
      <c r="G4004" s="109" t="str">
        <f t="shared" si="4003"/>
        <v>#NAME?</v>
      </c>
      <c r="X4004" s="110"/>
    </row>
    <row r="4005" ht="21.0" customHeight="1">
      <c r="A4005" s="6">
        <v>1.0</v>
      </c>
      <c r="B4005" s="6">
        <v>290.0</v>
      </c>
      <c r="C4005" s="6">
        <v>5.0</v>
      </c>
      <c r="D4005" s="184" t="s">
        <v>6773</v>
      </c>
      <c r="E4005" s="9" t="s">
        <v>6774</v>
      </c>
      <c r="F4005" s="109" t="str">
        <f t="shared" ref="F4005:G4005" si="4004">TRANSLATE(D4005,"lzh","vi")</f>
        <v>#NAME?</v>
      </c>
      <c r="G4005" s="109" t="str">
        <f t="shared" si="4004"/>
        <v>#NAME?</v>
      </c>
      <c r="X4005" s="110"/>
    </row>
    <row r="4006" ht="21.0" customHeight="1">
      <c r="A4006" s="6">
        <v>1.0</v>
      </c>
      <c r="B4006" s="6">
        <v>290.0</v>
      </c>
      <c r="C4006" s="6">
        <v>6.0</v>
      </c>
      <c r="D4006" s="184" t="s">
        <v>6775</v>
      </c>
      <c r="E4006" s="9" t="s">
        <v>6776</v>
      </c>
      <c r="F4006" s="109" t="str">
        <f t="shared" ref="F4006:G4006" si="4005">TRANSLATE(D4006,"lzh","vi")</f>
        <v>#NAME?</v>
      </c>
      <c r="G4006" s="109" t="str">
        <f t="shared" si="4005"/>
        <v>#NAME?</v>
      </c>
      <c r="X4006" s="110"/>
    </row>
    <row r="4007" ht="21.0" customHeight="1">
      <c r="A4007" s="6">
        <v>1.0</v>
      </c>
      <c r="B4007" s="6">
        <v>290.0</v>
      </c>
      <c r="C4007" s="6">
        <v>7.0</v>
      </c>
      <c r="D4007" s="184" t="s">
        <v>6777</v>
      </c>
      <c r="E4007" s="9" t="s">
        <v>6778</v>
      </c>
      <c r="F4007" s="109" t="str">
        <f t="shared" ref="F4007:G4007" si="4006">TRANSLATE(D4007,"lzh","vi")</f>
        <v>#NAME?</v>
      </c>
      <c r="G4007" s="109" t="str">
        <f t="shared" si="4006"/>
        <v>#NAME?</v>
      </c>
      <c r="X4007" s="110"/>
    </row>
    <row r="4008" ht="21.0" customHeight="1">
      <c r="A4008" s="6">
        <v>1.0</v>
      </c>
      <c r="B4008" s="6">
        <v>290.0</v>
      </c>
      <c r="C4008" s="6">
        <v>8.0</v>
      </c>
      <c r="D4008" s="184" t="s">
        <v>6779</v>
      </c>
      <c r="E4008" s="9" t="s">
        <v>6780</v>
      </c>
      <c r="F4008" s="109" t="str">
        <f t="shared" ref="F4008:G4008" si="4007">TRANSLATE(D4008,"lzh","vi")</f>
        <v>#NAME?</v>
      </c>
      <c r="G4008" s="109" t="str">
        <f t="shared" si="4007"/>
        <v>#NAME?</v>
      </c>
      <c r="X4008" s="110"/>
    </row>
    <row r="4009" ht="21.0" customHeight="1">
      <c r="A4009" s="6">
        <v>1.0</v>
      </c>
      <c r="B4009" s="6">
        <v>290.0</v>
      </c>
      <c r="C4009" s="6">
        <v>9.0</v>
      </c>
      <c r="D4009" s="184" t="s">
        <v>6781</v>
      </c>
      <c r="E4009" s="9" t="s">
        <v>6782</v>
      </c>
      <c r="F4009" s="109" t="str">
        <f t="shared" ref="F4009:G4009" si="4008">TRANSLATE(D4009,"lzh","vi")</f>
        <v>#NAME?</v>
      </c>
      <c r="G4009" s="109" t="str">
        <f t="shared" si="4008"/>
        <v>#NAME?</v>
      </c>
      <c r="X4009" s="110"/>
    </row>
    <row r="4010" ht="21.0" customHeight="1">
      <c r="A4010" s="6">
        <v>1.0</v>
      </c>
      <c r="B4010" s="6">
        <v>290.0</v>
      </c>
      <c r="C4010" s="6">
        <v>10.0</v>
      </c>
      <c r="D4010" s="184" t="s">
        <v>6783</v>
      </c>
      <c r="E4010" s="9" t="s">
        <v>6784</v>
      </c>
      <c r="F4010" s="109" t="str">
        <f t="shared" ref="F4010:G4010" si="4009">TRANSLATE(D4010,"lzh","vi")</f>
        <v>#NAME?</v>
      </c>
      <c r="G4010" s="109" t="str">
        <f t="shared" si="4009"/>
        <v>#NAME?</v>
      </c>
      <c r="X4010" s="110"/>
    </row>
    <row r="4011" ht="21.0" customHeight="1">
      <c r="A4011" s="6">
        <v>1.0</v>
      </c>
      <c r="B4011" s="6">
        <v>290.0</v>
      </c>
      <c r="C4011" s="6">
        <v>11.0</v>
      </c>
      <c r="D4011" s="184" t="s">
        <v>6785</v>
      </c>
      <c r="E4011" s="9" t="s">
        <v>6786</v>
      </c>
      <c r="F4011" s="109" t="str">
        <f t="shared" ref="F4011:G4011" si="4010">TRANSLATE(D4011,"lzh","vi")</f>
        <v>#NAME?</v>
      </c>
      <c r="G4011" s="109" t="str">
        <f t="shared" si="4010"/>
        <v>#NAME?</v>
      </c>
      <c r="X4011" s="110"/>
    </row>
    <row r="4012" ht="21.0" customHeight="1">
      <c r="A4012" s="6">
        <v>1.0</v>
      </c>
      <c r="B4012" s="6">
        <v>290.0</v>
      </c>
      <c r="C4012" s="6">
        <v>12.0</v>
      </c>
      <c r="D4012" s="184" t="s">
        <v>6787</v>
      </c>
      <c r="E4012" s="9" t="s">
        <v>6788</v>
      </c>
      <c r="F4012" s="109" t="str">
        <f t="shared" ref="F4012:G4012" si="4011">TRANSLATE(D4012,"lzh","vi")</f>
        <v>#NAME?</v>
      </c>
      <c r="G4012" s="109" t="str">
        <f t="shared" si="4011"/>
        <v>#NAME?</v>
      </c>
      <c r="X4012" s="110"/>
    </row>
    <row r="4013" ht="21.0" customHeight="1">
      <c r="A4013" s="6">
        <v>1.0</v>
      </c>
      <c r="B4013" s="6">
        <v>290.0</v>
      </c>
      <c r="C4013" s="6">
        <v>13.0</v>
      </c>
      <c r="D4013" s="184" t="s">
        <v>6789</v>
      </c>
      <c r="E4013" s="9" t="s">
        <v>6790</v>
      </c>
      <c r="F4013" s="109" t="str">
        <f t="shared" ref="F4013:G4013" si="4012">TRANSLATE(D4013,"lzh","vi")</f>
        <v>#NAME?</v>
      </c>
      <c r="G4013" s="109" t="str">
        <f t="shared" si="4012"/>
        <v>#NAME?</v>
      </c>
      <c r="X4013" s="110"/>
    </row>
    <row r="4014" ht="21.0" customHeight="1">
      <c r="A4014" s="6">
        <v>1.0</v>
      </c>
      <c r="B4014" s="6">
        <v>291.0</v>
      </c>
      <c r="C4014" s="6">
        <v>1.0</v>
      </c>
      <c r="D4014" s="184" t="s">
        <v>6791</v>
      </c>
      <c r="E4014" s="9" t="s">
        <v>6792</v>
      </c>
      <c r="F4014" s="109" t="str">
        <f t="shared" ref="F4014:G4014" si="4013">TRANSLATE(D4014,"lzh","vi")</f>
        <v>#NAME?</v>
      </c>
      <c r="G4014" s="109" t="str">
        <f t="shared" si="4013"/>
        <v>#NAME?</v>
      </c>
      <c r="X4014" s="110"/>
    </row>
    <row r="4015" ht="21.0" customHeight="1">
      <c r="A4015" s="6">
        <v>1.0</v>
      </c>
      <c r="B4015" s="6">
        <v>291.0</v>
      </c>
      <c r="C4015" s="6">
        <v>2.0</v>
      </c>
      <c r="D4015" s="184" t="s">
        <v>6793</v>
      </c>
      <c r="E4015" s="9" t="s">
        <v>6794</v>
      </c>
      <c r="F4015" s="109" t="str">
        <f t="shared" ref="F4015:G4015" si="4014">TRANSLATE(D4015,"lzh","vi")</f>
        <v>#NAME?</v>
      </c>
      <c r="G4015" s="109" t="str">
        <f t="shared" si="4014"/>
        <v>#NAME?</v>
      </c>
      <c r="X4015" s="110"/>
    </row>
    <row r="4016" ht="21.0" customHeight="1">
      <c r="A4016" s="6">
        <v>1.0</v>
      </c>
      <c r="B4016" s="6">
        <v>291.0</v>
      </c>
      <c r="C4016" s="6">
        <v>3.0</v>
      </c>
      <c r="D4016" s="184" t="s">
        <v>6795</v>
      </c>
      <c r="E4016" s="9" t="s">
        <v>6796</v>
      </c>
      <c r="F4016" s="109" t="str">
        <f t="shared" ref="F4016:G4016" si="4015">TRANSLATE(D4016,"lzh","vi")</f>
        <v>#NAME?</v>
      </c>
      <c r="G4016" s="109" t="str">
        <f t="shared" si="4015"/>
        <v>#NAME?</v>
      </c>
      <c r="X4016" s="110"/>
    </row>
    <row r="4017" ht="21.0" customHeight="1">
      <c r="A4017" s="6">
        <v>1.0</v>
      </c>
      <c r="B4017" s="6">
        <v>291.0</v>
      </c>
      <c r="C4017" s="6">
        <v>4.0</v>
      </c>
      <c r="D4017" s="184" t="s">
        <v>6797</v>
      </c>
      <c r="E4017" s="9" t="s">
        <v>6798</v>
      </c>
      <c r="F4017" s="109" t="str">
        <f t="shared" ref="F4017:G4017" si="4016">TRANSLATE(D4017,"lzh","vi")</f>
        <v>#NAME?</v>
      </c>
      <c r="G4017" s="109" t="str">
        <f t="shared" si="4016"/>
        <v>#NAME?</v>
      </c>
      <c r="X4017" s="110"/>
    </row>
    <row r="4018" ht="21.0" customHeight="1">
      <c r="A4018" s="6">
        <v>1.0</v>
      </c>
      <c r="B4018" s="6">
        <v>291.0</v>
      </c>
      <c r="C4018" s="6">
        <v>5.0</v>
      </c>
      <c r="D4018" s="184" t="s">
        <v>6799</v>
      </c>
      <c r="E4018" s="9" t="s">
        <v>6800</v>
      </c>
      <c r="F4018" s="109" t="str">
        <f t="shared" ref="F4018:G4018" si="4017">TRANSLATE(D4018,"lzh","vi")</f>
        <v>#NAME?</v>
      </c>
      <c r="G4018" s="109" t="str">
        <f t="shared" si="4017"/>
        <v>#NAME?</v>
      </c>
      <c r="X4018" s="110"/>
    </row>
    <row r="4019" ht="21.0" customHeight="1">
      <c r="A4019" s="6">
        <v>1.0</v>
      </c>
      <c r="B4019" s="6">
        <v>291.0</v>
      </c>
      <c r="C4019" s="6">
        <v>6.0</v>
      </c>
      <c r="D4019" s="184" t="s">
        <v>6801</v>
      </c>
      <c r="E4019" s="9" t="s">
        <v>6802</v>
      </c>
      <c r="F4019" s="109" t="str">
        <f t="shared" ref="F4019:G4019" si="4018">TRANSLATE(D4019,"lzh","vi")</f>
        <v>#NAME?</v>
      </c>
      <c r="G4019" s="109" t="str">
        <f t="shared" si="4018"/>
        <v>#NAME?</v>
      </c>
      <c r="X4019" s="110"/>
    </row>
    <row r="4020" ht="21.0" customHeight="1">
      <c r="A4020" s="6">
        <v>1.0</v>
      </c>
      <c r="B4020" s="6">
        <v>291.0</v>
      </c>
      <c r="C4020" s="6">
        <v>7.0</v>
      </c>
      <c r="D4020" s="184" t="s">
        <v>6803</v>
      </c>
      <c r="E4020" s="9" t="s">
        <v>6804</v>
      </c>
      <c r="F4020" s="109" t="str">
        <f t="shared" ref="F4020:G4020" si="4019">TRANSLATE(D4020,"lzh","vi")</f>
        <v>#NAME?</v>
      </c>
      <c r="G4020" s="109" t="str">
        <f t="shared" si="4019"/>
        <v>#NAME?</v>
      </c>
      <c r="X4020" s="110"/>
    </row>
    <row r="4021" ht="21.0" customHeight="1">
      <c r="A4021" s="6">
        <v>1.0</v>
      </c>
      <c r="B4021" s="6">
        <v>291.0</v>
      </c>
      <c r="C4021" s="6">
        <v>8.0</v>
      </c>
      <c r="D4021" s="184" t="s">
        <v>6805</v>
      </c>
      <c r="E4021" s="9" t="s">
        <v>6806</v>
      </c>
      <c r="F4021" s="109" t="str">
        <f t="shared" ref="F4021:G4021" si="4020">TRANSLATE(D4021,"lzh","vi")</f>
        <v>#NAME?</v>
      </c>
      <c r="G4021" s="109" t="str">
        <f t="shared" si="4020"/>
        <v>#NAME?</v>
      </c>
      <c r="X4021" s="110"/>
    </row>
    <row r="4022" ht="21.0" customHeight="1">
      <c r="A4022" s="6">
        <v>1.0</v>
      </c>
      <c r="B4022" s="6">
        <v>291.0</v>
      </c>
      <c r="C4022" s="6">
        <v>9.0</v>
      </c>
      <c r="D4022" s="184" t="s">
        <v>6807</v>
      </c>
      <c r="E4022" s="9" t="s">
        <v>6808</v>
      </c>
      <c r="F4022" s="109" t="str">
        <f t="shared" ref="F4022:G4022" si="4021">TRANSLATE(D4022,"lzh","vi")</f>
        <v>#NAME?</v>
      </c>
      <c r="G4022" s="109" t="str">
        <f t="shared" si="4021"/>
        <v>#NAME?</v>
      </c>
      <c r="X4022" s="110"/>
    </row>
    <row r="4023" ht="21.0" customHeight="1">
      <c r="A4023" s="6">
        <v>1.0</v>
      </c>
      <c r="B4023" s="6">
        <v>291.0</v>
      </c>
      <c r="C4023" s="6">
        <v>10.0</v>
      </c>
      <c r="D4023" s="184" t="s">
        <v>6809</v>
      </c>
      <c r="E4023" s="9" t="s">
        <v>6810</v>
      </c>
      <c r="F4023" s="109" t="str">
        <f t="shared" ref="F4023:G4023" si="4022">TRANSLATE(D4023,"lzh","vi")</f>
        <v>#NAME?</v>
      </c>
      <c r="G4023" s="109" t="str">
        <f t="shared" si="4022"/>
        <v>#NAME?</v>
      </c>
      <c r="X4023" s="110"/>
    </row>
    <row r="4024" ht="21.0" customHeight="1">
      <c r="A4024" s="6">
        <v>1.0</v>
      </c>
      <c r="B4024" s="6">
        <v>291.0</v>
      </c>
      <c r="C4024" s="6">
        <v>11.0</v>
      </c>
      <c r="D4024" s="184" t="s">
        <v>6811</v>
      </c>
      <c r="E4024" s="9" t="s">
        <v>6812</v>
      </c>
      <c r="F4024" s="109" t="str">
        <f t="shared" ref="F4024:G4024" si="4023">TRANSLATE(D4024,"lzh","vi")</f>
        <v>#NAME?</v>
      </c>
      <c r="G4024" s="109" t="str">
        <f t="shared" si="4023"/>
        <v>#NAME?</v>
      </c>
      <c r="X4024" s="110"/>
    </row>
    <row r="4025" ht="21.0" customHeight="1">
      <c r="A4025" s="6">
        <v>1.0</v>
      </c>
      <c r="B4025" s="6">
        <v>291.0</v>
      </c>
      <c r="C4025" s="6">
        <v>12.0</v>
      </c>
      <c r="D4025" s="184" t="s">
        <v>6813</v>
      </c>
      <c r="E4025" s="9" t="s">
        <v>6814</v>
      </c>
      <c r="F4025" s="109" t="str">
        <f t="shared" ref="F4025:G4025" si="4024">TRANSLATE(D4025,"lzh","vi")</f>
        <v>#NAME?</v>
      </c>
      <c r="G4025" s="109" t="str">
        <f t="shared" si="4024"/>
        <v>#NAME?</v>
      </c>
      <c r="X4025" s="110"/>
    </row>
    <row r="4026" ht="21.0" customHeight="1">
      <c r="A4026" s="6">
        <v>1.0</v>
      </c>
      <c r="B4026" s="6">
        <v>291.0</v>
      </c>
      <c r="C4026" s="6">
        <v>13.0</v>
      </c>
      <c r="D4026" s="184" t="s">
        <v>6815</v>
      </c>
      <c r="E4026" s="9" t="s">
        <v>6816</v>
      </c>
      <c r="F4026" s="109" t="str">
        <f t="shared" ref="F4026:G4026" si="4025">TRANSLATE(D4026,"lzh","vi")</f>
        <v>#NAME?</v>
      </c>
      <c r="G4026" s="109" t="str">
        <f t="shared" si="4025"/>
        <v>#NAME?</v>
      </c>
      <c r="X4026" s="110"/>
    </row>
    <row r="4027" ht="21.0" customHeight="1">
      <c r="A4027" s="6">
        <v>1.0</v>
      </c>
      <c r="B4027" s="6">
        <v>292.0</v>
      </c>
      <c r="C4027" s="6">
        <v>1.0</v>
      </c>
      <c r="D4027" s="184" t="s">
        <v>6817</v>
      </c>
      <c r="E4027" s="9" t="s">
        <v>6818</v>
      </c>
      <c r="F4027" s="109" t="str">
        <f t="shared" ref="F4027:G4027" si="4026">TRANSLATE(D4027,"lzh","vi")</f>
        <v>#NAME?</v>
      </c>
      <c r="G4027" s="109" t="str">
        <f t="shared" si="4026"/>
        <v>#NAME?</v>
      </c>
      <c r="X4027" s="110"/>
    </row>
    <row r="4028" ht="21.0" customHeight="1">
      <c r="A4028" s="6">
        <v>1.0</v>
      </c>
      <c r="B4028" s="6">
        <v>292.0</v>
      </c>
      <c r="C4028" s="6">
        <v>2.0</v>
      </c>
      <c r="D4028" s="186" t="s">
        <v>6819</v>
      </c>
      <c r="E4028" s="9" t="s">
        <v>6820</v>
      </c>
      <c r="F4028" s="109" t="str">
        <f t="shared" ref="F4028:G4028" si="4027">TRANSLATE(D4028,"lzh","vi")</f>
        <v>#NAME?</v>
      </c>
      <c r="G4028" s="109" t="str">
        <f t="shared" si="4027"/>
        <v>#NAME?</v>
      </c>
      <c r="X4028" s="110"/>
    </row>
    <row r="4029" ht="21.0" customHeight="1">
      <c r="A4029" s="6">
        <v>1.0</v>
      </c>
      <c r="B4029" s="6">
        <v>292.0</v>
      </c>
      <c r="C4029" s="6">
        <v>3.0</v>
      </c>
      <c r="D4029" s="184" t="s">
        <v>6821</v>
      </c>
      <c r="E4029" s="9" t="s">
        <v>6822</v>
      </c>
      <c r="F4029" s="109" t="str">
        <f t="shared" ref="F4029:G4029" si="4028">TRANSLATE(D4029,"lzh","vi")</f>
        <v>#NAME?</v>
      </c>
      <c r="G4029" s="109" t="str">
        <f t="shared" si="4028"/>
        <v>#NAME?</v>
      </c>
      <c r="X4029" s="110"/>
    </row>
    <row r="4030" ht="21.0" customHeight="1">
      <c r="A4030" s="6">
        <v>1.0</v>
      </c>
      <c r="B4030" s="6">
        <v>292.0</v>
      </c>
      <c r="C4030" s="6">
        <v>4.0</v>
      </c>
      <c r="D4030" s="184" t="s">
        <v>6823</v>
      </c>
      <c r="E4030" s="9" t="s">
        <v>6824</v>
      </c>
      <c r="F4030" s="109" t="str">
        <f t="shared" ref="F4030:G4030" si="4029">TRANSLATE(D4030,"lzh","vi")</f>
        <v>#NAME?</v>
      </c>
      <c r="G4030" s="109" t="str">
        <f t="shared" si="4029"/>
        <v>#NAME?</v>
      </c>
      <c r="X4030" s="110"/>
    </row>
    <row r="4031" ht="21.0" customHeight="1">
      <c r="A4031" s="6">
        <v>1.0</v>
      </c>
      <c r="B4031" s="6">
        <v>292.0</v>
      </c>
      <c r="C4031" s="6">
        <v>5.0</v>
      </c>
      <c r="D4031" s="172" t="s">
        <v>6825</v>
      </c>
      <c r="E4031" s="9" t="s">
        <v>6826</v>
      </c>
      <c r="F4031" s="109" t="str">
        <f t="shared" ref="F4031:G4031" si="4030">TRANSLATE(D4031,"lzh","vi")</f>
        <v>#NAME?</v>
      </c>
      <c r="G4031" s="109" t="str">
        <f t="shared" si="4030"/>
        <v>#NAME?</v>
      </c>
      <c r="X4031" s="110"/>
    </row>
    <row r="4032" ht="21.0" customHeight="1">
      <c r="A4032" s="6">
        <v>1.0</v>
      </c>
      <c r="B4032" s="6">
        <v>292.0</v>
      </c>
      <c r="C4032" s="6">
        <v>6.0</v>
      </c>
      <c r="D4032" s="184" t="s">
        <v>6827</v>
      </c>
      <c r="E4032" s="9" t="s">
        <v>6828</v>
      </c>
      <c r="F4032" s="109" t="str">
        <f t="shared" ref="F4032:G4032" si="4031">TRANSLATE(D4032,"lzh","vi")</f>
        <v>#NAME?</v>
      </c>
      <c r="G4032" s="109" t="str">
        <f t="shared" si="4031"/>
        <v>#NAME?</v>
      </c>
      <c r="X4032" s="110"/>
    </row>
    <row r="4033" ht="21.0" customHeight="1">
      <c r="A4033" s="6">
        <v>1.0</v>
      </c>
      <c r="B4033" s="6">
        <v>292.0</v>
      </c>
      <c r="C4033" s="6">
        <v>7.0</v>
      </c>
      <c r="D4033" s="172" t="s">
        <v>6829</v>
      </c>
      <c r="E4033" s="9" t="s">
        <v>6830</v>
      </c>
      <c r="F4033" s="109" t="str">
        <f t="shared" ref="F4033:G4033" si="4032">TRANSLATE(D4033,"lzh","vi")</f>
        <v>#NAME?</v>
      </c>
      <c r="G4033" s="109" t="str">
        <f t="shared" si="4032"/>
        <v>#NAME?</v>
      </c>
      <c r="X4033" s="110"/>
    </row>
    <row r="4034" ht="21.0" customHeight="1">
      <c r="A4034" s="6">
        <v>1.0</v>
      </c>
      <c r="B4034" s="6">
        <v>292.0</v>
      </c>
      <c r="C4034" s="6">
        <v>8.0</v>
      </c>
      <c r="D4034" s="184" t="s">
        <v>6831</v>
      </c>
      <c r="E4034" s="9" t="s">
        <v>6832</v>
      </c>
      <c r="F4034" s="109" t="str">
        <f t="shared" ref="F4034:G4034" si="4033">TRANSLATE(D4034,"lzh","vi")</f>
        <v>#NAME?</v>
      </c>
      <c r="G4034" s="109" t="str">
        <f t="shared" si="4033"/>
        <v>#NAME?</v>
      </c>
      <c r="X4034" s="110"/>
    </row>
    <row r="4035" ht="21.0" customHeight="1">
      <c r="A4035" s="6">
        <v>1.0</v>
      </c>
      <c r="B4035" s="6">
        <v>292.0</v>
      </c>
      <c r="C4035" s="6">
        <v>9.0</v>
      </c>
      <c r="D4035" s="184" t="s">
        <v>6833</v>
      </c>
      <c r="E4035" s="9" t="s">
        <v>6834</v>
      </c>
      <c r="F4035" s="109" t="str">
        <f t="shared" ref="F4035:G4035" si="4034">TRANSLATE(D4035,"lzh","vi")</f>
        <v>#NAME?</v>
      </c>
      <c r="G4035" s="109" t="str">
        <f t="shared" si="4034"/>
        <v>#NAME?</v>
      </c>
      <c r="X4035" s="110"/>
    </row>
    <row r="4036" ht="21.0" customHeight="1">
      <c r="A4036" s="6">
        <v>1.0</v>
      </c>
      <c r="B4036" s="6">
        <v>292.0</v>
      </c>
      <c r="C4036" s="6">
        <v>10.0</v>
      </c>
      <c r="D4036" s="184" t="s">
        <v>6835</v>
      </c>
      <c r="E4036" s="9" t="s">
        <v>6836</v>
      </c>
      <c r="F4036" s="109" t="str">
        <f t="shared" ref="F4036:G4036" si="4035">TRANSLATE(D4036,"lzh","vi")</f>
        <v>#NAME?</v>
      </c>
      <c r="G4036" s="109" t="str">
        <f t="shared" si="4035"/>
        <v>#NAME?</v>
      </c>
      <c r="X4036" s="110"/>
    </row>
    <row r="4037" ht="21.0" customHeight="1">
      <c r="A4037" s="6">
        <v>1.0</v>
      </c>
      <c r="B4037" s="6">
        <v>292.0</v>
      </c>
      <c r="C4037" s="6">
        <v>11.0</v>
      </c>
      <c r="D4037" s="184" t="s">
        <v>6837</v>
      </c>
      <c r="E4037" s="9" t="s">
        <v>6838</v>
      </c>
      <c r="F4037" s="109" t="str">
        <f t="shared" ref="F4037:G4037" si="4036">TRANSLATE(D4037,"lzh","vi")</f>
        <v>#NAME?</v>
      </c>
      <c r="G4037" s="109" t="str">
        <f t="shared" si="4036"/>
        <v>#NAME?</v>
      </c>
      <c r="X4037" s="110"/>
    </row>
    <row r="4038" ht="21.0" customHeight="1">
      <c r="A4038" s="6">
        <v>1.0</v>
      </c>
      <c r="B4038" s="6">
        <v>292.0</v>
      </c>
      <c r="C4038" s="6">
        <v>12.0</v>
      </c>
      <c r="D4038" s="186" t="s">
        <v>6839</v>
      </c>
      <c r="E4038" s="9" t="s">
        <v>6840</v>
      </c>
      <c r="F4038" s="109" t="str">
        <f t="shared" ref="F4038:G4038" si="4037">TRANSLATE(D4038,"lzh","vi")</f>
        <v>#NAME?</v>
      </c>
      <c r="G4038" s="109" t="str">
        <f t="shared" si="4037"/>
        <v>#NAME?</v>
      </c>
      <c r="X4038" s="110"/>
    </row>
    <row r="4039" ht="21.0" customHeight="1">
      <c r="A4039" s="6">
        <v>1.0</v>
      </c>
      <c r="B4039" s="6">
        <v>292.0</v>
      </c>
      <c r="C4039" s="6">
        <v>13.0</v>
      </c>
      <c r="D4039" s="184" t="s">
        <v>6841</v>
      </c>
      <c r="E4039" s="9" t="s">
        <v>6842</v>
      </c>
      <c r="F4039" s="109" t="str">
        <f t="shared" ref="F4039:G4039" si="4038">TRANSLATE(D4039,"lzh","vi")</f>
        <v>#NAME?</v>
      </c>
      <c r="G4039" s="109" t="str">
        <f t="shared" si="4038"/>
        <v>#NAME?</v>
      </c>
      <c r="X4039" s="110"/>
    </row>
    <row r="4040" ht="21.0" customHeight="1">
      <c r="A4040" s="6">
        <v>11.0</v>
      </c>
      <c r="B4040" s="6">
        <v>2001.0</v>
      </c>
      <c r="C4040" s="6">
        <v>1.0</v>
      </c>
      <c r="D4040" s="151" t="s">
        <v>6843</v>
      </c>
      <c r="E4040" s="9" t="s">
        <v>6844</v>
      </c>
      <c r="F4040" s="109" t="str">
        <f t="shared" ref="F4040:G4040" si="4039">TRANSLATE(D4040,"lzh","vi")</f>
        <v>#NAME?</v>
      </c>
      <c r="G4040" s="109" t="str">
        <f t="shared" si="4039"/>
        <v>#NAME?</v>
      </c>
      <c r="X4040" s="110"/>
    </row>
    <row r="4041" ht="21.0" customHeight="1">
      <c r="A4041" s="6">
        <v>11.0</v>
      </c>
      <c r="B4041" s="6">
        <v>2001.0</v>
      </c>
      <c r="C4041" s="6">
        <v>2.0</v>
      </c>
      <c r="D4041" s="151" t="s">
        <v>6845</v>
      </c>
      <c r="E4041" s="9" t="s">
        <v>6846</v>
      </c>
      <c r="F4041" s="109" t="str">
        <f t="shared" ref="F4041:G4041" si="4040">TRANSLATE(D4041,"lzh","vi")</f>
        <v>#NAME?</v>
      </c>
      <c r="G4041" s="109" t="str">
        <f t="shared" si="4040"/>
        <v>#NAME?</v>
      </c>
      <c r="X4041" s="110"/>
    </row>
    <row r="4042" ht="21.0" customHeight="1">
      <c r="A4042" s="6">
        <v>11.0</v>
      </c>
      <c r="B4042" s="6">
        <v>2001.0</v>
      </c>
      <c r="C4042" s="6">
        <v>3.0</v>
      </c>
      <c r="D4042" s="151" t="s">
        <v>6847</v>
      </c>
      <c r="E4042" s="9" t="s">
        <v>6848</v>
      </c>
      <c r="F4042" s="109" t="str">
        <f t="shared" ref="F4042:G4042" si="4041">TRANSLATE(D4042,"lzh","vi")</f>
        <v>#NAME?</v>
      </c>
      <c r="G4042" s="109" t="str">
        <f t="shared" si="4041"/>
        <v>#NAME?</v>
      </c>
      <c r="X4042" s="110"/>
    </row>
    <row r="4043" ht="21.0" customHeight="1">
      <c r="A4043" s="6">
        <v>11.0</v>
      </c>
      <c r="B4043" s="6">
        <v>2001.0</v>
      </c>
      <c r="C4043" s="6">
        <v>4.0</v>
      </c>
      <c r="D4043" s="151" t="s">
        <v>6849</v>
      </c>
      <c r="E4043" s="9" t="s">
        <v>6850</v>
      </c>
      <c r="F4043" s="109" t="str">
        <f t="shared" ref="F4043:G4043" si="4042">TRANSLATE(D4043,"lzh","vi")</f>
        <v>#NAME?</v>
      </c>
      <c r="G4043" s="109" t="str">
        <f t="shared" si="4042"/>
        <v>#NAME?</v>
      </c>
      <c r="X4043" s="110"/>
    </row>
    <row r="4044" ht="21.0" customHeight="1">
      <c r="A4044" s="6">
        <v>10.0</v>
      </c>
      <c r="B4044" s="6">
        <v>2001.0</v>
      </c>
      <c r="C4044" s="6">
        <v>5.0</v>
      </c>
      <c r="D4044" s="151" t="s">
        <v>6851</v>
      </c>
      <c r="E4044" s="9" t="s">
        <v>6852</v>
      </c>
      <c r="F4044" s="109" t="str">
        <f t="shared" ref="F4044:G4044" si="4043">TRANSLATE(D4044,"lzh","vi")</f>
        <v>#NAME?</v>
      </c>
      <c r="G4044" s="109" t="str">
        <f t="shared" si="4043"/>
        <v>#NAME?</v>
      </c>
      <c r="X4044" s="110"/>
    </row>
    <row r="4045" ht="21.0" customHeight="1">
      <c r="A4045" s="6">
        <v>10.0</v>
      </c>
      <c r="B4045" s="6">
        <v>2001.0</v>
      </c>
      <c r="C4045" s="6">
        <v>6.0</v>
      </c>
      <c r="D4045" s="151" t="s">
        <v>6853</v>
      </c>
      <c r="E4045" s="9" t="s">
        <v>6854</v>
      </c>
      <c r="F4045" s="109" t="str">
        <f t="shared" ref="F4045:G4045" si="4044">TRANSLATE(D4045,"lzh","vi")</f>
        <v>#NAME?</v>
      </c>
      <c r="G4045" s="109" t="str">
        <f t="shared" si="4044"/>
        <v>#NAME?</v>
      </c>
      <c r="X4045" s="110"/>
    </row>
    <row r="4046" ht="21.0" customHeight="1">
      <c r="A4046" s="6">
        <v>10.0</v>
      </c>
      <c r="B4046" s="6">
        <v>2001.0</v>
      </c>
      <c r="C4046" s="6">
        <v>7.0</v>
      </c>
      <c r="D4046" s="151" t="s">
        <v>6855</v>
      </c>
      <c r="E4046" s="9" t="s">
        <v>6856</v>
      </c>
      <c r="F4046" s="109" t="str">
        <f t="shared" ref="F4046:G4046" si="4045">TRANSLATE(D4046,"lzh","vi")</f>
        <v>#NAME?</v>
      </c>
      <c r="G4046" s="109" t="str">
        <f t="shared" si="4045"/>
        <v>#NAME?</v>
      </c>
      <c r="X4046" s="110"/>
    </row>
    <row r="4047" ht="21.0" customHeight="1">
      <c r="A4047" s="6">
        <v>10.0</v>
      </c>
      <c r="B4047" s="6">
        <v>2001.0</v>
      </c>
      <c r="C4047" s="6">
        <v>8.0</v>
      </c>
      <c r="D4047" s="151" t="s">
        <v>6857</v>
      </c>
      <c r="E4047" s="9" t="s">
        <v>6858</v>
      </c>
      <c r="F4047" s="109" t="str">
        <f t="shared" ref="F4047:G4047" si="4046">TRANSLATE(D4047,"lzh","vi")</f>
        <v>#NAME?</v>
      </c>
      <c r="G4047" s="109" t="str">
        <f t="shared" si="4046"/>
        <v>#NAME?</v>
      </c>
      <c r="X4047" s="110"/>
    </row>
    <row r="4048" ht="21.0" customHeight="1">
      <c r="A4048" s="6">
        <v>10.0</v>
      </c>
      <c r="B4048" s="6">
        <v>2001.0</v>
      </c>
      <c r="C4048" s="6">
        <v>9.0</v>
      </c>
      <c r="D4048" s="151" t="s">
        <v>6859</v>
      </c>
      <c r="E4048" s="9" t="s">
        <v>6860</v>
      </c>
      <c r="F4048" s="109" t="str">
        <f t="shared" ref="F4048:G4048" si="4047">TRANSLATE(D4048,"lzh","vi")</f>
        <v>#NAME?</v>
      </c>
      <c r="G4048" s="109" t="str">
        <f t="shared" si="4047"/>
        <v>#NAME?</v>
      </c>
      <c r="X4048" s="110"/>
    </row>
    <row r="4049" ht="21.0" customHeight="1">
      <c r="A4049" s="6">
        <v>10.0</v>
      </c>
      <c r="B4049" s="6">
        <v>2001.0</v>
      </c>
      <c r="C4049" s="6">
        <v>10.0</v>
      </c>
      <c r="D4049" s="151" t="s">
        <v>6861</v>
      </c>
      <c r="E4049" s="9" t="s">
        <v>6862</v>
      </c>
      <c r="F4049" s="109" t="str">
        <f t="shared" ref="F4049:G4049" si="4048">TRANSLATE(D4049,"lzh","vi")</f>
        <v>#NAME?</v>
      </c>
      <c r="G4049" s="109" t="str">
        <f t="shared" si="4048"/>
        <v>#NAME?</v>
      </c>
      <c r="X4049" s="110"/>
    </row>
    <row r="4050" ht="21.0" customHeight="1">
      <c r="A4050" s="6">
        <v>11.0</v>
      </c>
      <c r="B4050" s="6">
        <v>2002.0</v>
      </c>
      <c r="C4050" s="6">
        <v>1.0</v>
      </c>
      <c r="D4050" s="151" t="s">
        <v>6863</v>
      </c>
      <c r="E4050" s="9" t="s">
        <v>6864</v>
      </c>
      <c r="F4050" s="109" t="str">
        <f t="shared" ref="F4050:G4050" si="4049">TRANSLATE(D4050,"lzh","vi")</f>
        <v>#NAME?</v>
      </c>
      <c r="G4050" s="109" t="str">
        <f t="shared" si="4049"/>
        <v>#NAME?</v>
      </c>
      <c r="X4050" s="110"/>
    </row>
    <row r="4051" ht="21.0" customHeight="1">
      <c r="A4051" s="6">
        <v>11.0</v>
      </c>
      <c r="B4051" s="6">
        <v>2002.0</v>
      </c>
      <c r="C4051" s="6">
        <v>2.0</v>
      </c>
      <c r="D4051" s="151" t="s">
        <v>6865</v>
      </c>
      <c r="E4051" s="9" t="s">
        <v>6866</v>
      </c>
      <c r="F4051" s="109" t="str">
        <f t="shared" ref="F4051:G4051" si="4050">TRANSLATE(D4051,"lzh","vi")</f>
        <v>#NAME?</v>
      </c>
      <c r="G4051" s="109" t="str">
        <f t="shared" si="4050"/>
        <v>#NAME?</v>
      </c>
      <c r="X4051" s="110"/>
    </row>
    <row r="4052" ht="21.0" customHeight="1">
      <c r="A4052" s="6">
        <v>11.0</v>
      </c>
      <c r="B4052" s="6">
        <v>2002.0</v>
      </c>
      <c r="C4052" s="6">
        <v>3.0</v>
      </c>
      <c r="D4052" s="151" t="s">
        <v>6867</v>
      </c>
      <c r="E4052" s="9" t="s">
        <v>6868</v>
      </c>
      <c r="F4052" s="109" t="str">
        <f t="shared" ref="F4052:G4052" si="4051">TRANSLATE(D4052,"lzh","vi")</f>
        <v>#NAME?</v>
      </c>
      <c r="G4052" s="109" t="str">
        <f t="shared" si="4051"/>
        <v>#NAME?</v>
      </c>
      <c r="X4052" s="110"/>
    </row>
    <row r="4053" ht="21.0" customHeight="1">
      <c r="A4053" s="6">
        <v>11.0</v>
      </c>
      <c r="B4053" s="6">
        <v>2002.0</v>
      </c>
      <c r="C4053" s="6">
        <v>4.0</v>
      </c>
      <c r="D4053" s="151" t="s">
        <v>6869</v>
      </c>
      <c r="E4053" s="9" t="s">
        <v>6870</v>
      </c>
      <c r="F4053" s="109" t="str">
        <f t="shared" ref="F4053:G4053" si="4052">TRANSLATE(D4053,"lzh","vi")</f>
        <v>#NAME?</v>
      </c>
      <c r="G4053" s="109" t="str">
        <f t="shared" si="4052"/>
        <v>#NAME?</v>
      </c>
      <c r="X4053" s="110"/>
    </row>
    <row r="4054" ht="21.0" customHeight="1">
      <c r="A4054" s="6">
        <v>10.0</v>
      </c>
      <c r="B4054" s="6">
        <v>2002.0</v>
      </c>
      <c r="C4054" s="6">
        <v>5.0</v>
      </c>
      <c r="D4054" s="151" t="s">
        <v>6871</v>
      </c>
      <c r="E4054" s="9" t="s">
        <v>6872</v>
      </c>
      <c r="F4054" s="109" t="str">
        <f t="shared" ref="F4054:G4054" si="4053">TRANSLATE(D4054,"lzh","vi")</f>
        <v>#NAME?</v>
      </c>
      <c r="G4054" s="109" t="str">
        <f t="shared" si="4053"/>
        <v>#NAME?</v>
      </c>
      <c r="X4054" s="110"/>
    </row>
    <row r="4055" ht="21.0" customHeight="1">
      <c r="A4055" s="6">
        <v>10.0</v>
      </c>
      <c r="B4055" s="6">
        <v>2002.0</v>
      </c>
      <c r="C4055" s="6">
        <v>6.0</v>
      </c>
      <c r="D4055" s="151" t="s">
        <v>6873</v>
      </c>
      <c r="E4055" s="9" t="s">
        <v>6874</v>
      </c>
      <c r="F4055" s="109" t="str">
        <f t="shared" ref="F4055:G4055" si="4054">TRANSLATE(D4055,"lzh","vi")</f>
        <v>#NAME?</v>
      </c>
      <c r="G4055" s="109" t="str">
        <f t="shared" si="4054"/>
        <v>#NAME?</v>
      </c>
      <c r="X4055" s="110"/>
    </row>
    <row r="4056" ht="21.0" customHeight="1">
      <c r="A4056" s="6">
        <v>10.0</v>
      </c>
      <c r="B4056" s="6">
        <v>2002.0</v>
      </c>
      <c r="C4056" s="6">
        <v>7.0</v>
      </c>
      <c r="D4056" s="151" t="s">
        <v>6875</v>
      </c>
      <c r="E4056" s="9" t="s">
        <v>6876</v>
      </c>
      <c r="F4056" s="109" t="str">
        <f t="shared" ref="F4056:G4056" si="4055">TRANSLATE(D4056,"lzh","vi")</f>
        <v>#NAME?</v>
      </c>
      <c r="G4056" s="109" t="str">
        <f t="shared" si="4055"/>
        <v>#NAME?</v>
      </c>
      <c r="X4056" s="110"/>
    </row>
    <row r="4057" ht="21.0" customHeight="1">
      <c r="A4057" s="6">
        <v>10.0</v>
      </c>
      <c r="B4057" s="6">
        <v>2002.0</v>
      </c>
      <c r="C4057" s="6">
        <v>8.0</v>
      </c>
      <c r="D4057" s="151" t="s">
        <v>6877</v>
      </c>
      <c r="E4057" s="9" t="s">
        <v>6878</v>
      </c>
      <c r="F4057" s="109" t="str">
        <f t="shared" ref="F4057:G4057" si="4056">TRANSLATE(D4057,"lzh","vi")</f>
        <v>#NAME?</v>
      </c>
      <c r="G4057" s="109" t="str">
        <f t="shared" si="4056"/>
        <v>#NAME?</v>
      </c>
      <c r="X4057" s="110"/>
    </row>
    <row r="4058" ht="21.0" customHeight="1">
      <c r="A4058" s="6">
        <v>10.0</v>
      </c>
      <c r="B4058" s="6">
        <v>2002.0</v>
      </c>
      <c r="C4058" s="6">
        <v>9.0</v>
      </c>
      <c r="D4058" s="151" t="s">
        <v>6879</v>
      </c>
      <c r="E4058" s="9" t="s">
        <v>6880</v>
      </c>
      <c r="F4058" s="109" t="str">
        <f t="shared" ref="F4058:G4058" si="4057">TRANSLATE(D4058,"lzh","vi")</f>
        <v>#NAME?</v>
      </c>
      <c r="G4058" s="109" t="str">
        <f t="shared" si="4057"/>
        <v>#NAME?</v>
      </c>
      <c r="X4058" s="110"/>
    </row>
    <row r="4059" ht="21.0" customHeight="1">
      <c r="A4059" s="6">
        <v>10.0</v>
      </c>
      <c r="B4059" s="6">
        <v>2002.0</v>
      </c>
      <c r="C4059" s="6">
        <v>10.0</v>
      </c>
      <c r="D4059" s="151" t="s">
        <v>6881</v>
      </c>
      <c r="E4059" s="9" t="s">
        <v>6862</v>
      </c>
      <c r="F4059" s="109" t="str">
        <f t="shared" ref="F4059:G4059" si="4058">TRANSLATE(D4059,"lzh","vi")</f>
        <v>#NAME?</v>
      </c>
      <c r="G4059" s="109" t="str">
        <f t="shared" si="4058"/>
        <v>#NAME?</v>
      </c>
      <c r="X4059" s="110"/>
    </row>
    <row r="4060" ht="21.0" customHeight="1">
      <c r="A4060" s="6">
        <v>1.0</v>
      </c>
      <c r="B4060" s="6">
        <v>310.0</v>
      </c>
      <c r="C4060" s="6">
        <v>1.0</v>
      </c>
      <c r="D4060" s="151" t="s">
        <v>6882</v>
      </c>
      <c r="E4060" s="9" t="s">
        <v>6883</v>
      </c>
      <c r="F4060" s="109" t="str">
        <f t="shared" ref="F4060:G4060" si="4059">TRANSLATE(D4060,"lzh","vi")</f>
        <v>#NAME?</v>
      </c>
      <c r="G4060" s="109" t="str">
        <f t="shared" si="4059"/>
        <v>#NAME?</v>
      </c>
      <c r="X4060" s="110"/>
    </row>
    <row r="4061" ht="21.0" customHeight="1">
      <c r="A4061" s="6">
        <v>1.0</v>
      </c>
      <c r="B4061" s="6">
        <v>310.0</v>
      </c>
      <c r="C4061" s="6">
        <v>2.0</v>
      </c>
      <c r="D4061" s="151" t="s">
        <v>6884</v>
      </c>
      <c r="E4061" s="9" t="s">
        <v>6885</v>
      </c>
      <c r="F4061" s="109" t="str">
        <f t="shared" ref="F4061:G4061" si="4060">TRANSLATE(D4061,"lzh","vi")</f>
        <v>#NAME?</v>
      </c>
      <c r="G4061" s="109" t="str">
        <f t="shared" si="4060"/>
        <v>#NAME?</v>
      </c>
      <c r="X4061" s="110"/>
    </row>
    <row r="4062" ht="21.0" customHeight="1">
      <c r="A4062" s="6">
        <v>1.0</v>
      </c>
      <c r="B4062" s="6">
        <v>310.0</v>
      </c>
      <c r="C4062" s="6">
        <v>3.0</v>
      </c>
      <c r="D4062" s="151" t="s">
        <v>6886</v>
      </c>
      <c r="E4062" s="9" t="s">
        <v>6887</v>
      </c>
      <c r="F4062" s="109" t="str">
        <f t="shared" ref="F4062:G4062" si="4061">TRANSLATE(D4062,"lzh","vi")</f>
        <v>#NAME?</v>
      </c>
      <c r="G4062" s="109" t="str">
        <f t="shared" si="4061"/>
        <v>#NAME?</v>
      </c>
      <c r="X4062" s="110"/>
    </row>
    <row r="4063" ht="21.0" customHeight="1">
      <c r="A4063" s="6">
        <v>1.0</v>
      </c>
      <c r="B4063" s="6">
        <v>310.0</v>
      </c>
      <c r="C4063" s="6">
        <v>4.0</v>
      </c>
      <c r="D4063" s="151" t="s">
        <v>6888</v>
      </c>
      <c r="E4063" s="9" t="s">
        <v>6889</v>
      </c>
      <c r="F4063" s="109" t="str">
        <f t="shared" ref="F4063:G4063" si="4062">TRANSLATE(D4063,"lzh","vi")</f>
        <v>#NAME?</v>
      </c>
      <c r="G4063" s="109" t="str">
        <f t="shared" si="4062"/>
        <v>#NAME?</v>
      </c>
      <c r="X4063" s="110"/>
    </row>
    <row r="4064" ht="21.0" customHeight="1">
      <c r="A4064" s="6">
        <v>1.0</v>
      </c>
      <c r="B4064" s="6">
        <v>310.0</v>
      </c>
      <c r="C4064" s="6">
        <v>5.0</v>
      </c>
      <c r="D4064" s="151" t="s">
        <v>6890</v>
      </c>
      <c r="E4064" s="9" t="s">
        <v>6891</v>
      </c>
      <c r="F4064" s="109" t="str">
        <f t="shared" ref="F4064:G4064" si="4063">TRANSLATE(D4064,"lzh","vi")</f>
        <v>#NAME?</v>
      </c>
      <c r="G4064" s="109" t="str">
        <f t="shared" si="4063"/>
        <v>#NAME?</v>
      </c>
      <c r="X4064" s="110"/>
    </row>
    <row r="4065" ht="21.0" customHeight="1">
      <c r="A4065" s="6">
        <v>1.0</v>
      </c>
      <c r="B4065" s="6">
        <v>310.0</v>
      </c>
      <c r="C4065" s="6">
        <v>6.0</v>
      </c>
      <c r="D4065" s="151" t="s">
        <v>6892</v>
      </c>
      <c r="E4065" s="9" t="s">
        <v>6893</v>
      </c>
      <c r="F4065" s="109" t="str">
        <f t="shared" ref="F4065:G4065" si="4064">TRANSLATE(D4065,"lzh","vi")</f>
        <v>#NAME?</v>
      </c>
      <c r="G4065" s="109" t="str">
        <f t="shared" si="4064"/>
        <v>#NAME?</v>
      </c>
      <c r="X4065" s="110"/>
    </row>
    <row r="4066" ht="21.0" customHeight="1">
      <c r="A4066" s="6">
        <v>1.0</v>
      </c>
      <c r="B4066" s="6">
        <v>310.0</v>
      </c>
      <c r="C4066" s="6">
        <v>7.0</v>
      </c>
      <c r="D4066" s="151" t="s">
        <v>6894</v>
      </c>
      <c r="E4066" s="9" t="s">
        <v>6895</v>
      </c>
      <c r="F4066" s="109" t="str">
        <f t="shared" ref="F4066:G4066" si="4065">TRANSLATE(D4066,"lzh","vi")</f>
        <v>#NAME?</v>
      </c>
      <c r="G4066" s="109" t="str">
        <f t="shared" si="4065"/>
        <v>#NAME?</v>
      </c>
      <c r="X4066" s="110"/>
    </row>
    <row r="4067" ht="21.0" customHeight="1">
      <c r="A4067" s="6">
        <v>1.0</v>
      </c>
      <c r="B4067" s="6">
        <v>310.0</v>
      </c>
      <c r="C4067" s="6">
        <v>8.0</v>
      </c>
      <c r="D4067" s="151" t="s">
        <v>6896</v>
      </c>
      <c r="E4067" s="9" t="s">
        <v>6897</v>
      </c>
      <c r="F4067" s="109" t="str">
        <f t="shared" ref="F4067:G4067" si="4066">TRANSLATE(D4067,"lzh","vi")</f>
        <v>#NAME?</v>
      </c>
      <c r="G4067" s="109" t="str">
        <f t="shared" si="4066"/>
        <v>#NAME?</v>
      </c>
      <c r="X4067" s="110"/>
    </row>
    <row r="4068" ht="21.0" customHeight="1">
      <c r="A4068" s="6">
        <v>1.0</v>
      </c>
      <c r="B4068" s="6">
        <v>310.0</v>
      </c>
      <c r="C4068" s="6">
        <v>9.0</v>
      </c>
      <c r="D4068" s="151" t="s">
        <v>6898</v>
      </c>
      <c r="E4068" s="9" t="s">
        <v>6899</v>
      </c>
      <c r="F4068" s="109" t="str">
        <f t="shared" ref="F4068:G4068" si="4067">TRANSLATE(D4068,"lzh","vi")</f>
        <v>#NAME?</v>
      </c>
      <c r="G4068" s="109" t="str">
        <f t="shared" si="4067"/>
        <v>#NAME?</v>
      </c>
      <c r="X4068" s="110"/>
    </row>
    <row r="4069" ht="21.0" customHeight="1">
      <c r="A4069" s="6">
        <v>1.0</v>
      </c>
      <c r="B4069" s="6">
        <v>310.0</v>
      </c>
      <c r="C4069" s="6">
        <v>10.0</v>
      </c>
      <c r="D4069" s="151" t="s">
        <v>6900</v>
      </c>
      <c r="E4069" s="9" t="s">
        <v>6901</v>
      </c>
      <c r="F4069" s="109" t="str">
        <f t="shared" ref="F4069:G4069" si="4068">TRANSLATE(D4069,"lzh","vi")</f>
        <v>#NAME?</v>
      </c>
      <c r="G4069" s="109" t="str">
        <f t="shared" si="4068"/>
        <v>#NAME?</v>
      </c>
      <c r="X4069" s="110"/>
    </row>
    <row r="4070" ht="21.0" customHeight="1">
      <c r="A4070" s="6">
        <v>1.0</v>
      </c>
      <c r="B4070" s="6">
        <v>310.0</v>
      </c>
      <c r="C4070" s="6">
        <v>11.0</v>
      </c>
      <c r="D4070" s="151" t="s">
        <v>6902</v>
      </c>
      <c r="E4070" s="9" t="s">
        <v>6903</v>
      </c>
      <c r="F4070" s="109" t="str">
        <f t="shared" ref="F4070:G4070" si="4069">TRANSLATE(D4070,"lzh","vi")</f>
        <v>#NAME?</v>
      </c>
      <c r="G4070" s="109" t="str">
        <f t="shared" si="4069"/>
        <v>#NAME?</v>
      </c>
      <c r="X4070" s="110"/>
    </row>
    <row r="4071" ht="21.0" customHeight="1">
      <c r="A4071" s="6">
        <v>1.0</v>
      </c>
      <c r="B4071" s="6">
        <v>310.0</v>
      </c>
      <c r="C4071" s="6">
        <v>12.0</v>
      </c>
      <c r="D4071" s="151" t="s">
        <v>6904</v>
      </c>
      <c r="E4071" s="9" t="s">
        <v>6905</v>
      </c>
      <c r="F4071" s="109" t="str">
        <f t="shared" ref="F4071:G4071" si="4070">TRANSLATE(D4071,"lzh","vi")</f>
        <v>#NAME?</v>
      </c>
      <c r="G4071" s="109" t="str">
        <f t="shared" si="4070"/>
        <v>#NAME?</v>
      </c>
      <c r="X4071" s="110"/>
    </row>
    <row r="4072" ht="21.0" customHeight="1">
      <c r="A4072" s="6">
        <v>1.0</v>
      </c>
      <c r="B4072" s="6">
        <v>310.0</v>
      </c>
      <c r="C4072" s="6">
        <v>13.0</v>
      </c>
      <c r="D4072" s="151" t="s">
        <v>6906</v>
      </c>
      <c r="E4072" s="9" t="s">
        <v>6907</v>
      </c>
      <c r="F4072" s="109" t="str">
        <f t="shared" ref="F4072:G4072" si="4071">TRANSLATE(D4072,"lzh","vi")</f>
        <v>#NAME?</v>
      </c>
      <c r="G4072" s="109" t="str">
        <f t="shared" si="4071"/>
        <v>#NAME?</v>
      </c>
      <c r="X4072" s="110"/>
    </row>
    <row r="4073" ht="21.0" customHeight="1">
      <c r="A4073" s="6">
        <v>1.0</v>
      </c>
      <c r="B4073" s="6">
        <v>311.0</v>
      </c>
      <c r="C4073" s="6">
        <v>1.0</v>
      </c>
      <c r="D4073" s="151" t="s">
        <v>6908</v>
      </c>
      <c r="E4073" s="9" t="s">
        <v>6909</v>
      </c>
      <c r="F4073" s="109" t="str">
        <f t="shared" ref="F4073:G4073" si="4072">TRANSLATE(D4073,"lzh","vi")</f>
        <v>#NAME?</v>
      </c>
      <c r="G4073" s="109" t="str">
        <f t="shared" si="4072"/>
        <v>#NAME?</v>
      </c>
      <c r="X4073" s="110"/>
    </row>
    <row r="4074" ht="21.0" customHeight="1">
      <c r="A4074" s="6">
        <v>1.0</v>
      </c>
      <c r="B4074" s="6">
        <v>311.0</v>
      </c>
      <c r="C4074" s="6">
        <v>2.0</v>
      </c>
      <c r="D4074" s="151" t="s">
        <v>6910</v>
      </c>
      <c r="E4074" s="9" t="s">
        <v>6911</v>
      </c>
      <c r="F4074" s="109" t="str">
        <f t="shared" ref="F4074:G4074" si="4073">TRANSLATE(D4074,"lzh","vi")</f>
        <v>#NAME?</v>
      </c>
      <c r="G4074" s="109" t="str">
        <f t="shared" si="4073"/>
        <v>#NAME?</v>
      </c>
      <c r="X4074" s="110"/>
    </row>
    <row r="4075" ht="21.0" customHeight="1">
      <c r="A4075" s="6">
        <v>1.0</v>
      </c>
      <c r="B4075" s="6">
        <v>311.0</v>
      </c>
      <c r="C4075" s="6">
        <v>3.0</v>
      </c>
      <c r="D4075" s="151" t="s">
        <v>6912</v>
      </c>
      <c r="E4075" s="9" t="s">
        <v>6913</v>
      </c>
      <c r="F4075" s="109" t="str">
        <f t="shared" ref="F4075:G4075" si="4074">TRANSLATE(D4075,"lzh","vi")</f>
        <v>#NAME?</v>
      </c>
      <c r="G4075" s="109" t="str">
        <f t="shared" si="4074"/>
        <v>#NAME?</v>
      </c>
      <c r="X4075" s="110"/>
    </row>
    <row r="4076" ht="21.0" customHeight="1">
      <c r="A4076" s="6">
        <v>1.0</v>
      </c>
      <c r="B4076" s="6">
        <v>311.0</v>
      </c>
      <c r="C4076" s="6">
        <v>4.0</v>
      </c>
      <c r="D4076" s="151" t="s">
        <v>6914</v>
      </c>
      <c r="E4076" s="9" t="s">
        <v>6915</v>
      </c>
      <c r="F4076" s="109" t="str">
        <f t="shared" ref="F4076:G4076" si="4075">TRANSLATE(D4076,"lzh","vi")</f>
        <v>#NAME?</v>
      </c>
      <c r="G4076" s="109" t="str">
        <f t="shared" si="4075"/>
        <v>#NAME?</v>
      </c>
      <c r="X4076" s="110"/>
    </row>
    <row r="4077" ht="21.0" customHeight="1">
      <c r="A4077" s="6">
        <v>1.0</v>
      </c>
      <c r="B4077" s="6">
        <v>311.0</v>
      </c>
      <c r="C4077" s="6">
        <v>5.0</v>
      </c>
      <c r="D4077" s="151" t="s">
        <v>6916</v>
      </c>
      <c r="E4077" s="9" t="s">
        <v>6917</v>
      </c>
      <c r="F4077" s="109" t="str">
        <f t="shared" ref="F4077:G4077" si="4076">TRANSLATE(D4077,"lzh","vi")</f>
        <v>#NAME?</v>
      </c>
      <c r="G4077" s="109" t="str">
        <f t="shared" si="4076"/>
        <v>#NAME?</v>
      </c>
      <c r="X4077" s="110"/>
    </row>
    <row r="4078" ht="21.0" customHeight="1">
      <c r="A4078" s="6">
        <v>1.0</v>
      </c>
      <c r="B4078" s="6">
        <v>311.0</v>
      </c>
      <c r="C4078" s="6">
        <v>6.0</v>
      </c>
      <c r="D4078" s="151" t="s">
        <v>6918</v>
      </c>
      <c r="E4078" s="9" t="s">
        <v>6919</v>
      </c>
      <c r="F4078" s="109" t="str">
        <f t="shared" ref="F4078:G4078" si="4077">TRANSLATE(D4078,"lzh","vi")</f>
        <v>#NAME?</v>
      </c>
      <c r="G4078" s="109" t="str">
        <f t="shared" si="4077"/>
        <v>#NAME?</v>
      </c>
      <c r="X4078" s="110"/>
    </row>
    <row r="4079" ht="21.0" customHeight="1">
      <c r="A4079" s="6">
        <v>1.0</v>
      </c>
      <c r="B4079" s="6">
        <v>311.0</v>
      </c>
      <c r="C4079" s="6">
        <v>7.0</v>
      </c>
      <c r="D4079" s="151" t="s">
        <v>6920</v>
      </c>
      <c r="E4079" s="9" t="s">
        <v>6921</v>
      </c>
      <c r="F4079" s="109" t="str">
        <f t="shared" ref="F4079:G4079" si="4078">TRANSLATE(D4079,"lzh","vi")</f>
        <v>#NAME?</v>
      </c>
      <c r="G4079" s="109" t="str">
        <f t="shared" si="4078"/>
        <v>#NAME?</v>
      </c>
      <c r="X4079" s="110"/>
    </row>
    <row r="4080" ht="21.0" customHeight="1">
      <c r="A4080" s="6">
        <v>1.0</v>
      </c>
      <c r="B4080" s="6">
        <v>311.0</v>
      </c>
      <c r="C4080" s="6">
        <v>8.0</v>
      </c>
      <c r="D4080" s="151" t="s">
        <v>6922</v>
      </c>
      <c r="E4080" s="72" t="s">
        <v>6923</v>
      </c>
      <c r="F4080" s="109" t="str">
        <f t="shared" ref="F4080:G4080" si="4079">TRANSLATE(D4080,"lzh","vi")</f>
        <v>#NAME?</v>
      </c>
      <c r="G4080" s="109" t="str">
        <f t="shared" si="4079"/>
        <v>#NAME?</v>
      </c>
      <c r="X4080" s="110"/>
    </row>
    <row r="4081" ht="21.0" customHeight="1">
      <c r="A4081" s="6">
        <v>1.0</v>
      </c>
      <c r="B4081" s="6">
        <v>311.0</v>
      </c>
      <c r="C4081" s="6">
        <v>9.0</v>
      </c>
      <c r="D4081" s="151" t="s">
        <v>6924</v>
      </c>
      <c r="E4081" s="9" t="s">
        <v>6925</v>
      </c>
      <c r="F4081" s="109" t="str">
        <f t="shared" ref="F4081:G4081" si="4080">TRANSLATE(D4081,"lzh","vi")</f>
        <v>#NAME?</v>
      </c>
      <c r="G4081" s="109" t="str">
        <f t="shared" si="4080"/>
        <v>#NAME?</v>
      </c>
      <c r="X4081" s="110"/>
    </row>
    <row r="4082" ht="21.0" customHeight="1">
      <c r="A4082" s="6">
        <v>1.0</v>
      </c>
      <c r="B4082" s="6">
        <v>311.0</v>
      </c>
      <c r="C4082" s="6">
        <v>10.0</v>
      </c>
      <c r="D4082" s="151" t="s">
        <v>6926</v>
      </c>
      <c r="E4082" s="9" t="s">
        <v>6927</v>
      </c>
      <c r="F4082" s="109" t="str">
        <f t="shared" ref="F4082:G4082" si="4081">TRANSLATE(D4082,"lzh","vi")</f>
        <v>#NAME?</v>
      </c>
      <c r="G4082" s="109" t="str">
        <f t="shared" si="4081"/>
        <v>#NAME?</v>
      </c>
      <c r="X4082" s="110"/>
    </row>
    <row r="4083" ht="21.0" customHeight="1">
      <c r="A4083" s="6">
        <v>1.0</v>
      </c>
      <c r="B4083" s="6">
        <v>311.0</v>
      </c>
      <c r="C4083" s="6">
        <v>11.0</v>
      </c>
      <c r="D4083" s="151" t="s">
        <v>6928</v>
      </c>
      <c r="E4083" s="9" t="s">
        <v>6929</v>
      </c>
      <c r="F4083" s="109" t="str">
        <f t="shared" ref="F4083:G4083" si="4082">TRANSLATE(D4083,"lzh","vi")</f>
        <v>#NAME?</v>
      </c>
      <c r="G4083" s="109" t="str">
        <f t="shared" si="4082"/>
        <v>#NAME?</v>
      </c>
      <c r="X4083" s="110"/>
    </row>
    <row r="4084" ht="21.0" customHeight="1">
      <c r="A4084" s="6">
        <v>1.0</v>
      </c>
      <c r="B4084" s="6">
        <v>311.0</v>
      </c>
      <c r="C4084" s="6">
        <v>12.0</v>
      </c>
      <c r="D4084" s="151" t="s">
        <v>6930</v>
      </c>
      <c r="E4084" s="9" t="s">
        <v>6931</v>
      </c>
      <c r="F4084" s="109" t="str">
        <f t="shared" ref="F4084:G4084" si="4083">TRANSLATE(D4084,"lzh","vi")</f>
        <v>#NAME?</v>
      </c>
      <c r="G4084" s="109" t="str">
        <f t="shared" si="4083"/>
        <v>#NAME?</v>
      </c>
      <c r="X4084" s="110"/>
    </row>
    <row r="4085" ht="21.0" customHeight="1">
      <c r="A4085" s="6">
        <v>1.0</v>
      </c>
      <c r="B4085" s="6">
        <v>311.0</v>
      </c>
      <c r="C4085" s="6">
        <v>13.0</v>
      </c>
      <c r="D4085" s="151" t="s">
        <v>6932</v>
      </c>
      <c r="E4085" s="9" t="s">
        <v>6933</v>
      </c>
      <c r="F4085" s="109" t="str">
        <f t="shared" ref="F4085:G4085" si="4084">TRANSLATE(D4085,"lzh","vi")</f>
        <v>#NAME?</v>
      </c>
      <c r="G4085" s="109" t="str">
        <f t="shared" si="4084"/>
        <v>#NAME?</v>
      </c>
      <c r="X4085" s="110"/>
    </row>
    <row r="4086" ht="21.0" customHeight="1">
      <c r="A4086" s="6">
        <v>1.0</v>
      </c>
      <c r="B4086" s="6">
        <v>312.0</v>
      </c>
      <c r="C4086" s="6">
        <v>1.0</v>
      </c>
      <c r="D4086" s="151" t="s">
        <v>6934</v>
      </c>
      <c r="E4086" s="9" t="s">
        <v>6935</v>
      </c>
      <c r="F4086" s="109" t="str">
        <f t="shared" ref="F4086:G4086" si="4085">TRANSLATE(D4086,"lzh","vi")</f>
        <v>#NAME?</v>
      </c>
      <c r="G4086" s="109" t="str">
        <f t="shared" si="4085"/>
        <v>#NAME?</v>
      </c>
      <c r="X4086" s="110"/>
    </row>
    <row r="4087" ht="21.0" customHeight="1">
      <c r="A4087" s="6">
        <v>1.0</v>
      </c>
      <c r="B4087" s="6">
        <v>312.0</v>
      </c>
      <c r="C4087" s="6">
        <v>2.0</v>
      </c>
      <c r="D4087" s="151" t="s">
        <v>6936</v>
      </c>
      <c r="E4087" s="9" t="s">
        <v>6937</v>
      </c>
      <c r="F4087" s="109" t="str">
        <f t="shared" ref="F4087:G4087" si="4086">TRANSLATE(D4087,"lzh","vi")</f>
        <v>#NAME?</v>
      </c>
      <c r="G4087" s="109" t="str">
        <f t="shared" si="4086"/>
        <v>#NAME?</v>
      </c>
      <c r="X4087" s="110"/>
    </row>
    <row r="4088" ht="21.0" customHeight="1">
      <c r="A4088" s="6">
        <v>1.0</v>
      </c>
      <c r="B4088" s="6">
        <v>312.0</v>
      </c>
      <c r="C4088" s="6">
        <v>3.0</v>
      </c>
      <c r="D4088" s="151" t="s">
        <v>6938</v>
      </c>
      <c r="E4088" s="9" t="s">
        <v>6939</v>
      </c>
      <c r="F4088" s="109" t="str">
        <f t="shared" ref="F4088:G4088" si="4087">TRANSLATE(D4088,"lzh","vi")</f>
        <v>#NAME?</v>
      </c>
      <c r="G4088" s="109" t="str">
        <f t="shared" si="4087"/>
        <v>#NAME?</v>
      </c>
      <c r="X4088" s="110"/>
    </row>
    <row r="4089" ht="21.0" customHeight="1">
      <c r="A4089" s="6">
        <v>1.0</v>
      </c>
      <c r="B4089" s="6">
        <v>312.0</v>
      </c>
      <c r="C4089" s="6">
        <v>4.0</v>
      </c>
      <c r="D4089" s="151" t="s">
        <v>6940</v>
      </c>
      <c r="E4089" s="9" t="s">
        <v>6941</v>
      </c>
      <c r="F4089" s="109" t="str">
        <f t="shared" ref="F4089:G4089" si="4088">TRANSLATE(D4089,"lzh","vi")</f>
        <v>#NAME?</v>
      </c>
      <c r="G4089" s="109" t="str">
        <f t="shared" si="4088"/>
        <v>#NAME?</v>
      </c>
      <c r="X4089" s="110"/>
    </row>
    <row r="4090" ht="21.0" customHeight="1">
      <c r="A4090" s="6">
        <v>1.0</v>
      </c>
      <c r="B4090" s="6">
        <v>312.0</v>
      </c>
      <c r="C4090" s="6">
        <v>5.0</v>
      </c>
      <c r="D4090" s="151" t="s">
        <v>6942</v>
      </c>
      <c r="E4090" s="9" t="s">
        <v>6943</v>
      </c>
      <c r="F4090" s="109" t="str">
        <f t="shared" ref="F4090:G4090" si="4089">TRANSLATE(D4090,"lzh","vi")</f>
        <v>#NAME?</v>
      </c>
      <c r="G4090" s="109" t="str">
        <f t="shared" si="4089"/>
        <v>#NAME?</v>
      </c>
      <c r="X4090" s="110"/>
    </row>
    <row r="4091" ht="21.0" customHeight="1">
      <c r="A4091" s="6">
        <v>1.0</v>
      </c>
      <c r="B4091" s="6">
        <v>312.0</v>
      </c>
      <c r="C4091" s="6">
        <v>6.0</v>
      </c>
      <c r="D4091" s="151" t="s">
        <v>6944</v>
      </c>
      <c r="E4091" s="9" t="s">
        <v>6945</v>
      </c>
      <c r="F4091" s="109" t="str">
        <f t="shared" ref="F4091:G4091" si="4090">TRANSLATE(D4091,"lzh","vi")</f>
        <v>#NAME?</v>
      </c>
      <c r="G4091" s="109" t="str">
        <f t="shared" si="4090"/>
        <v>#NAME?</v>
      </c>
      <c r="X4091" s="110"/>
    </row>
    <row r="4092" ht="21.0" customHeight="1">
      <c r="A4092" s="6">
        <v>1.0</v>
      </c>
      <c r="B4092" s="6">
        <v>312.0</v>
      </c>
      <c r="C4092" s="6">
        <v>7.0</v>
      </c>
      <c r="D4092" s="151" t="s">
        <v>6946</v>
      </c>
      <c r="E4092" s="72" t="s">
        <v>6947</v>
      </c>
      <c r="F4092" s="109" t="str">
        <f t="shared" ref="F4092:G4092" si="4091">TRANSLATE(D4092,"lzh","vi")</f>
        <v>#NAME?</v>
      </c>
      <c r="G4092" s="109" t="str">
        <f t="shared" si="4091"/>
        <v>#NAME?</v>
      </c>
      <c r="X4092" s="110"/>
    </row>
    <row r="4093" ht="21.0" customHeight="1">
      <c r="A4093" s="6">
        <v>1.0</v>
      </c>
      <c r="B4093" s="6">
        <v>312.0</v>
      </c>
      <c r="C4093" s="6">
        <v>8.0</v>
      </c>
      <c r="D4093" s="151" t="s">
        <v>6948</v>
      </c>
      <c r="E4093" s="9" t="s">
        <v>6949</v>
      </c>
      <c r="F4093" s="109" t="str">
        <f t="shared" ref="F4093:G4093" si="4092">TRANSLATE(D4093,"lzh","vi")</f>
        <v>#NAME?</v>
      </c>
      <c r="G4093" s="109" t="str">
        <f t="shared" si="4092"/>
        <v>#NAME?</v>
      </c>
      <c r="X4093" s="110"/>
    </row>
    <row r="4094" ht="21.0" customHeight="1">
      <c r="A4094" s="6">
        <v>1.0</v>
      </c>
      <c r="B4094" s="6">
        <v>312.0</v>
      </c>
      <c r="C4094" s="6">
        <v>9.0</v>
      </c>
      <c r="D4094" s="151" t="s">
        <v>6950</v>
      </c>
      <c r="E4094" s="9" t="s">
        <v>6951</v>
      </c>
      <c r="F4094" s="109" t="str">
        <f t="shared" ref="F4094:G4094" si="4093">TRANSLATE(D4094,"lzh","vi")</f>
        <v>#NAME?</v>
      </c>
      <c r="G4094" s="109" t="str">
        <f t="shared" si="4093"/>
        <v>#NAME?</v>
      </c>
      <c r="X4094" s="110"/>
    </row>
    <row r="4095" ht="21.0" customHeight="1">
      <c r="A4095" s="6">
        <v>1.0</v>
      </c>
      <c r="B4095" s="6">
        <v>312.0</v>
      </c>
      <c r="C4095" s="6">
        <v>10.0</v>
      </c>
      <c r="D4095" s="151" t="s">
        <v>6952</v>
      </c>
      <c r="E4095" s="9" t="s">
        <v>6953</v>
      </c>
      <c r="F4095" s="109" t="str">
        <f t="shared" ref="F4095:G4095" si="4094">TRANSLATE(D4095,"lzh","vi")</f>
        <v>#NAME?</v>
      </c>
      <c r="G4095" s="109" t="str">
        <f t="shared" si="4094"/>
        <v>#NAME?</v>
      </c>
      <c r="X4095" s="110"/>
    </row>
    <row r="4096" ht="21.0" customHeight="1">
      <c r="A4096" s="6">
        <v>1.0</v>
      </c>
      <c r="B4096" s="6">
        <v>312.0</v>
      </c>
      <c r="C4096" s="6">
        <v>11.0</v>
      </c>
      <c r="D4096" s="151" t="s">
        <v>6954</v>
      </c>
      <c r="E4096" s="9" t="s">
        <v>6955</v>
      </c>
      <c r="F4096" s="109" t="str">
        <f t="shared" ref="F4096:G4096" si="4095">TRANSLATE(D4096,"lzh","vi")</f>
        <v>#NAME?</v>
      </c>
      <c r="G4096" s="109" t="str">
        <f t="shared" si="4095"/>
        <v>#NAME?</v>
      </c>
      <c r="X4096" s="110"/>
    </row>
    <row r="4097" ht="21.0" customHeight="1">
      <c r="A4097" s="6">
        <v>1.0</v>
      </c>
      <c r="B4097" s="6">
        <v>312.0</v>
      </c>
      <c r="C4097" s="6">
        <v>12.0</v>
      </c>
      <c r="D4097" s="151" t="s">
        <v>6956</v>
      </c>
      <c r="E4097" s="9" t="s">
        <v>6957</v>
      </c>
      <c r="F4097" s="109" t="str">
        <f t="shared" ref="F4097:G4097" si="4096">TRANSLATE(D4097,"lzh","vi")</f>
        <v>#NAME?</v>
      </c>
      <c r="G4097" s="109" t="str">
        <f t="shared" si="4096"/>
        <v>#NAME?</v>
      </c>
      <c r="X4097" s="110"/>
    </row>
    <row r="4098" ht="21.0" customHeight="1">
      <c r="A4098" s="6">
        <v>1.0</v>
      </c>
      <c r="B4098" s="6">
        <v>312.0</v>
      </c>
      <c r="C4098" s="6">
        <v>13.0</v>
      </c>
      <c r="D4098" s="151" t="s">
        <v>6958</v>
      </c>
      <c r="E4098" s="9" t="s">
        <v>6959</v>
      </c>
      <c r="F4098" s="109" t="str">
        <f t="shared" ref="F4098:G4098" si="4097">TRANSLATE(D4098,"lzh","vi")</f>
        <v>#NAME?</v>
      </c>
      <c r="G4098" s="109" t="str">
        <f t="shared" si="4097"/>
        <v>#NAME?</v>
      </c>
      <c r="X4098" s="110"/>
    </row>
    <row r="4099" ht="21.0" customHeight="1">
      <c r="A4099" s="6">
        <v>11.0</v>
      </c>
      <c r="B4099" s="6">
        <v>2003.0</v>
      </c>
      <c r="C4099" s="6">
        <v>1.0</v>
      </c>
      <c r="D4099" s="151" t="s">
        <v>6960</v>
      </c>
      <c r="E4099" s="9" t="s">
        <v>6961</v>
      </c>
      <c r="F4099" s="109" t="str">
        <f t="shared" ref="F4099:G4099" si="4098">TRANSLATE(D4099,"lzh","vi")</f>
        <v>#NAME?</v>
      </c>
      <c r="G4099" s="109" t="str">
        <f t="shared" si="4098"/>
        <v>#NAME?</v>
      </c>
      <c r="X4099" s="110"/>
    </row>
    <row r="4100" ht="21.0" customHeight="1">
      <c r="A4100" s="6">
        <v>11.0</v>
      </c>
      <c r="B4100" s="6">
        <v>2003.0</v>
      </c>
      <c r="C4100" s="6">
        <v>2.0</v>
      </c>
      <c r="D4100" s="151" t="s">
        <v>6962</v>
      </c>
      <c r="E4100" s="9" t="s">
        <v>6963</v>
      </c>
      <c r="F4100" s="109" t="str">
        <f t="shared" ref="F4100:G4100" si="4099">TRANSLATE(D4100,"lzh","vi")</f>
        <v>#NAME?</v>
      </c>
      <c r="G4100" s="109" t="str">
        <f t="shared" si="4099"/>
        <v>#NAME?</v>
      </c>
      <c r="X4100" s="110"/>
    </row>
    <row r="4101" ht="21.0" customHeight="1">
      <c r="A4101" s="6">
        <v>11.0</v>
      </c>
      <c r="B4101" s="6">
        <v>2003.0</v>
      </c>
      <c r="C4101" s="6">
        <v>3.0</v>
      </c>
      <c r="D4101" s="151" t="s">
        <v>6964</v>
      </c>
      <c r="E4101" s="9" t="s">
        <v>6965</v>
      </c>
      <c r="F4101" s="109" t="str">
        <f t="shared" ref="F4101:G4101" si="4100">TRANSLATE(D4101,"lzh","vi")</f>
        <v>#NAME?</v>
      </c>
      <c r="G4101" s="109" t="str">
        <f t="shared" si="4100"/>
        <v>#NAME?</v>
      </c>
      <c r="X4101" s="110"/>
    </row>
    <row r="4102" ht="21.0" customHeight="1">
      <c r="A4102" s="6">
        <v>11.0</v>
      </c>
      <c r="B4102" s="6">
        <v>2003.0</v>
      </c>
      <c r="C4102" s="6">
        <v>4.0</v>
      </c>
      <c r="D4102" s="151" t="s">
        <v>6966</v>
      </c>
      <c r="E4102" s="9" t="s">
        <v>6967</v>
      </c>
      <c r="F4102" s="109" t="str">
        <f t="shared" ref="F4102:G4102" si="4101">TRANSLATE(D4102,"lzh","vi")</f>
        <v>#NAME?</v>
      </c>
      <c r="G4102" s="109" t="str">
        <f t="shared" si="4101"/>
        <v>#NAME?</v>
      </c>
      <c r="X4102" s="110"/>
    </row>
    <row r="4103" ht="21.0" customHeight="1">
      <c r="A4103" s="6">
        <v>10.0</v>
      </c>
      <c r="B4103" s="6">
        <v>2003.0</v>
      </c>
      <c r="C4103" s="6">
        <v>5.0</v>
      </c>
      <c r="D4103" s="151" t="s">
        <v>6968</v>
      </c>
      <c r="E4103" s="9" t="s">
        <v>6969</v>
      </c>
      <c r="F4103" s="109" t="str">
        <f t="shared" ref="F4103:G4103" si="4102">TRANSLATE(D4103,"lzh","vi")</f>
        <v>#NAME?</v>
      </c>
      <c r="G4103" s="109" t="str">
        <f t="shared" si="4102"/>
        <v>#NAME?</v>
      </c>
      <c r="X4103" s="110"/>
    </row>
    <row r="4104" ht="21.0" customHeight="1">
      <c r="A4104" s="6">
        <v>10.0</v>
      </c>
      <c r="B4104" s="6">
        <v>2003.0</v>
      </c>
      <c r="C4104" s="6">
        <v>6.0</v>
      </c>
      <c r="D4104" s="151" t="s">
        <v>6970</v>
      </c>
      <c r="E4104" s="9" t="s">
        <v>6971</v>
      </c>
      <c r="F4104" s="109" t="str">
        <f t="shared" ref="F4104:G4104" si="4103">TRANSLATE(D4104,"lzh","vi")</f>
        <v>#NAME?</v>
      </c>
      <c r="G4104" s="109" t="str">
        <f t="shared" si="4103"/>
        <v>#NAME?</v>
      </c>
      <c r="X4104" s="110"/>
    </row>
    <row r="4105" ht="21.0" customHeight="1">
      <c r="A4105" s="6">
        <v>10.0</v>
      </c>
      <c r="B4105" s="6">
        <v>2003.0</v>
      </c>
      <c r="C4105" s="6">
        <v>7.0</v>
      </c>
      <c r="D4105" s="151" t="s">
        <v>6972</v>
      </c>
      <c r="E4105" s="9" t="s">
        <v>6973</v>
      </c>
      <c r="F4105" s="109" t="str">
        <f t="shared" ref="F4105:G4105" si="4104">TRANSLATE(D4105,"lzh","vi")</f>
        <v>#NAME?</v>
      </c>
      <c r="G4105" s="109" t="str">
        <f t="shared" si="4104"/>
        <v>#NAME?</v>
      </c>
      <c r="X4105" s="110"/>
    </row>
    <row r="4106" ht="21.0" customHeight="1">
      <c r="A4106" s="6">
        <v>10.0</v>
      </c>
      <c r="B4106" s="6">
        <v>2003.0</v>
      </c>
      <c r="C4106" s="6">
        <v>8.0</v>
      </c>
      <c r="D4106" s="151" t="s">
        <v>6974</v>
      </c>
      <c r="E4106" s="9" t="s">
        <v>6975</v>
      </c>
      <c r="F4106" s="109" t="str">
        <f t="shared" ref="F4106:G4106" si="4105">TRANSLATE(D4106,"lzh","vi")</f>
        <v>#NAME?</v>
      </c>
      <c r="G4106" s="109" t="str">
        <f t="shared" si="4105"/>
        <v>#NAME?</v>
      </c>
      <c r="X4106" s="110"/>
    </row>
    <row r="4107" ht="21.0" customHeight="1">
      <c r="A4107" s="6">
        <v>10.0</v>
      </c>
      <c r="B4107" s="6">
        <v>2003.0</v>
      </c>
      <c r="C4107" s="6">
        <v>9.0</v>
      </c>
      <c r="D4107" s="151" t="s">
        <v>6976</v>
      </c>
      <c r="E4107" s="9" t="s">
        <v>6977</v>
      </c>
      <c r="F4107" s="109" t="str">
        <f t="shared" ref="F4107:G4107" si="4106">TRANSLATE(D4107,"lzh","vi")</f>
        <v>#NAME?</v>
      </c>
      <c r="G4107" s="109" t="str">
        <f t="shared" si="4106"/>
        <v>#NAME?</v>
      </c>
      <c r="X4107" s="110"/>
    </row>
    <row r="4108" ht="21.0" customHeight="1">
      <c r="A4108" s="6">
        <v>10.0</v>
      </c>
      <c r="B4108" s="6">
        <v>2003.0</v>
      </c>
      <c r="C4108" s="6">
        <v>10.0</v>
      </c>
      <c r="D4108" s="151" t="s">
        <v>6978</v>
      </c>
      <c r="E4108" s="9" t="s">
        <v>6979</v>
      </c>
      <c r="F4108" s="109" t="str">
        <f t="shared" ref="F4108:G4108" si="4107">TRANSLATE(D4108,"lzh","vi")</f>
        <v>#NAME?</v>
      </c>
      <c r="G4108" s="109" t="str">
        <f t="shared" si="4107"/>
        <v>#NAME?</v>
      </c>
      <c r="X4108" s="110"/>
    </row>
    <row r="4109" ht="21.0" customHeight="1">
      <c r="A4109" s="6">
        <v>11.0</v>
      </c>
      <c r="B4109" s="6">
        <v>2004.0</v>
      </c>
      <c r="C4109" s="6">
        <v>1.0</v>
      </c>
      <c r="D4109" s="151" t="s">
        <v>6980</v>
      </c>
      <c r="E4109" s="9" t="s">
        <v>6981</v>
      </c>
      <c r="F4109" s="109" t="str">
        <f t="shared" ref="F4109:G4109" si="4108">TRANSLATE(D4109,"lzh","vi")</f>
        <v>#NAME?</v>
      </c>
      <c r="G4109" s="109" t="str">
        <f t="shared" si="4108"/>
        <v>#NAME?</v>
      </c>
      <c r="X4109" s="110"/>
    </row>
    <row r="4110" ht="21.0" customHeight="1">
      <c r="A4110" s="6">
        <v>11.0</v>
      </c>
      <c r="B4110" s="6">
        <v>2004.0</v>
      </c>
      <c r="C4110" s="6">
        <v>2.0</v>
      </c>
      <c r="D4110" s="151" t="s">
        <v>6982</v>
      </c>
      <c r="E4110" s="9" t="s">
        <v>6983</v>
      </c>
      <c r="F4110" s="109" t="str">
        <f t="shared" ref="F4110:G4110" si="4109">TRANSLATE(D4110,"lzh","vi")</f>
        <v>#NAME?</v>
      </c>
      <c r="G4110" s="109" t="str">
        <f t="shared" si="4109"/>
        <v>#NAME?</v>
      </c>
      <c r="X4110" s="110"/>
    </row>
    <row r="4111" ht="21.0" customHeight="1">
      <c r="A4111" s="6">
        <v>11.0</v>
      </c>
      <c r="B4111" s="6">
        <v>2004.0</v>
      </c>
      <c r="C4111" s="6">
        <v>3.0</v>
      </c>
      <c r="D4111" s="151" t="s">
        <v>6984</v>
      </c>
      <c r="E4111" s="9" t="s">
        <v>6985</v>
      </c>
      <c r="F4111" s="109" t="str">
        <f t="shared" ref="F4111:G4111" si="4110">TRANSLATE(D4111,"lzh","vi")</f>
        <v>#NAME?</v>
      </c>
      <c r="G4111" s="109" t="str">
        <f t="shared" si="4110"/>
        <v>#NAME?</v>
      </c>
      <c r="X4111" s="110"/>
    </row>
    <row r="4112" ht="21.0" customHeight="1">
      <c r="A4112" s="6">
        <v>11.0</v>
      </c>
      <c r="B4112" s="6">
        <v>2004.0</v>
      </c>
      <c r="C4112" s="6">
        <v>4.0</v>
      </c>
      <c r="D4112" s="151" t="s">
        <v>6986</v>
      </c>
      <c r="E4112" s="9" t="s">
        <v>6987</v>
      </c>
      <c r="F4112" s="109" t="str">
        <f t="shared" ref="F4112:G4112" si="4111">TRANSLATE(D4112,"lzh","vi")</f>
        <v>#NAME?</v>
      </c>
      <c r="G4112" s="109" t="str">
        <f t="shared" si="4111"/>
        <v>#NAME?</v>
      </c>
      <c r="X4112" s="110"/>
    </row>
    <row r="4113" ht="21.0" customHeight="1">
      <c r="A4113" s="6">
        <v>10.0</v>
      </c>
      <c r="B4113" s="6">
        <v>2004.0</v>
      </c>
      <c r="C4113" s="6">
        <v>5.0</v>
      </c>
      <c r="D4113" s="151" t="s">
        <v>6988</v>
      </c>
      <c r="E4113" s="9" t="s">
        <v>6989</v>
      </c>
      <c r="F4113" s="109" t="str">
        <f t="shared" ref="F4113:G4113" si="4112">TRANSLATE(D4113,"lzh","vi")</f>
        <v>#NAME?</v>
      </c>
      <c r="G4113" s="109" t="str">
        <f t="shared" si="4112"/>
        <v>#NAME?</v>
      </c>
      <c r="X4113" s="110"/>
    </row>
    <row r="4114" ht="21.0" customHeight="1">
      <c r="A4114" s="6">
        <v>10.0</v>
      </c>
      <c r="B4114" s="6">
        <v>2004.0</v>
      </c>
      <c r="C4114" s="6">
        <v>6.0</v>
      </c>
      <c r="D4114" s="151" t="s">
        <v>6990</v>
      </c>
      <c r="E4114" s="9" t="s">
        <v>6991</v>
      </c>
      <c r="F4114" s="109" t="str">
        <f t="shared" ref="F4114:G4114" si="4113">TRANSLATE(D4114,"lzh","vi")</f>
        <v>#NAME?</v>
      </c>
      <c r="G4114" s="109" t="str">
        <f t="shared" si="4113"/>
        <v>#NAME?</v>
      </c>
      <c r="X4114" s="110"/>
    </row>
    <row r="4115" ht="21.0" customHeight="1">
      <c r="A4115" s="6">
        <v>10.0</v>
      </c>
      <c r="B4115" s="6">
        <v>2004.0</v>
      </c>
      <c r="C4115" s="6">
        <v>7.0</v>
      </c>
      <c r="D4115" s="151" t="s">
        <v>6992</v>
      </c>
      <c r="E4115" s="9" t="s">
        <v>6993</v>
      </c>
      <c r="F4115" s="109" t="str">
        <f t="shared" ref="F4115:G4115" si="4114">TRANSLATE(D4115,"lzh","vi")</f>
        <v>#NAME?</v>
      </c>
      <c r="G4115" s="109" t="str">
        <f t="shared" si="4114"/>
        <v>#NAME?</v>
      </c>
      <c r="X4115" s="110"/>
    </row>
    <row r="4116" ht="21.0" customHeight="1">
      <c r="A4116" s="6">
        <v>10.0</v>
      </c>
      <c r="B4116" s="6">
        <v>2004.0</v>
      </c>
      <c r="C4116" s="6">
        <v>8.0</v>
      </c>
      <c r="D4116" s="151" t="s">
        <v>6994</v>
      </c>
      <c r="E4116" s="9" t="s">
        <v>6995</v>
      </c>
      <c r="F4116" s="109" t="str">
        <f t="shared" ref="F4116:G4116" si="4115">TRANSLATE(D4116,"lzh","vi")</f>
        <v>#NAME?</v>
      </c>
      <c r="G4116" s="109" t="str">
        <f t="shared" si="4115"/>
        <v>#NAME?</v>
      </c>
      <c r="X4116" s="110"/>
    </row>
    <row r="4117" ht="21.0" customHeight="1">
      <c r="A4117" s="6">
        <v>10.0</v>
      </c>
      <c r="B4117" s="6">
        <v>2004.0</v>
      </c>
      <c r="C4117" s="6">
        <v>9.0</v>
      </c>
      <c r="D4117" s="151" t="s">
        <v>6996</v>
      </c>
      <c r="E4117" s="9" t="s">
        <v>6997</v>
      </c>
      <c r="F4117" s="109" t="str">
        <f t="shared" ref="F4117:G4117" si="4116">TRANSLATE(D4117,"lzh","vi")</f>
        <v>#NAME?</v>
      </c>
      <c r="G4117" s="109" t="str">
        <f t="shared" si="4116"/>
        <v>#NAME?</v>
      </c>
      <c r="X4117" s="110"/>
    </row>
    <row r="4118" ht="21.0" customHeight="1">
      <c r="A4118" s="6">
        <v>10.0</v>
      </c>
      <c r="B4118" s="6">
        <v>2004.0</v>
      </c>
      <c r="C4118" s="6">
        <v>10.0</v>
      </c>
      <c r="D4118" s="151" t="s">
        <v>6998</v>
      </c>
      <c r="E4118" s="9" t="s">
        <v>6979</v>
      </c>
      <c r="F4118" s="109" t="str">
        <f t="shared" ref="F4118:G4118" si="4117">TRANSLATE(D4118,"lzh","vi")</f>
        <v>#NAME?</v>
      </c>
      <c r="G4118" s="109" t="str">
        <f t="shared" si="4117"/>
        <v>#NAME?</v>
      </c>
      <c r="X4118" s="110"/>
    </row>
    <row r="4119" ht="21.0" customHeight="1">
      <c r="A4119" s="6">
        <v>1.0</v>
      </c>
      <c r="B4119" s="6">
        <v>313.0</v>
      </c>
      <c r="C4119" s="6">
        <v>1.0</v>
      </c>
      <c r="D4119" s="151" t="s">
        <v>6999</v>
      </c>
      <c r="E4119" s="9" t="s">
        <v>7000</v>
      </c>
      <c r="F4119" s="109" t="str">
        <f t="shared" ref="F4119:G4119" si="4118">TRANSLATE(D4119,"lzh","vi")</f>
        <v>#NAME?</v>
      </c>
      <c r="G4119" s="109" t="str">
        <f t="shared" si="4118"/>
        <v>#NAME?</v>
      </c>
      <c r="X4119" s="110"/>
    </row>
    <row r="4120" ht="21.0" customHeight="1">
      <c r="A4120" s="6">
        <v>1.0</v>
      </c>
      <c r="B4120" s="6">
        <v>313.0</v>
      </c>
      <c r="C4120" s="6">
        <v>2.0</v>
      </c>
      <c r="D4120" s="151" t="s">
        <v>7001</v>
      </c>
      <c r="E4120" s="9" t="s">
        <v>7002</v>
      </c>
      <c r="F4120" s="109" t="str">
        <f t="shared" ref="F4120:G4120" si="4119">TRANSLATE(D4120,"lzh","vi")</f>
        <v>#NAME?</v>
      </c>
      <c r="G4120" s="109" t="str">
        <f t="shared" si="4119"/>
        <v>#NAME?</v>
      </c>
      <c r="X4120" s="110"/>
    </row>
    <row r="4121" ht="21.0" customHeight="1">
      <c r="A4121" s="6">
        <v>1.0</v>
      </c>
      <c r="B4121" s="6">
        <v>313.0</v>
      </c>
      <c r="C4121" s="6">
        <v>3.0</v>
      </c>
      <c r="D4121" s="151" t="s">
        <v>7003</v>
      </c>
      <c r="E4121" s="9" t="s">
        <v>7004</v>
      </c>
      <c r="F4121" s="109" t="str">
        <f t="shared" ref="F4121:G4121" si="4120">TRANSLATE(D4121,"lzh","vi")</f>
        <v>#NAME?</v>
      </c>
      <c r="G4121" s="109" t="str">
        <f t="shared" si="4120"/>
        <v>#NAME?</v>
      </c>
      <c r="X4121" s="110"/>
    </row>
    <row r="4122" ht="21.0" customHeight="1">
      <c r="A4122" s="6">
        <v>1.0</v>
      </c>
      <c r="B4122" s="6">
        <v>313.0</v>
      </c>
      <c r="C4122" s="6">
        <v>4.0</v>
      </c>
      <c r="D4122" s="151" t="s">
        <v>7005</v>
      </c>
      <c r="E4122" s="9" t="s">
        <v>7006</v>
      </c>
      <c r="F4122" s="109" t="str">
        <f t="shared" ref="F4122:G4122" si="4121">TRANSLATE(D4122,"lzh","vi")</f>
        <v>#NAME?</v>
      </c>
      <c r="G4122" s="109" t="str">
        <f t="shared" si="4121"/>
        <v>#NAME?</v>
      </c>
      <c r="X4122" s="110"/>
    </row>
    <row r="4123" ht="21.0" customHeight="1">
      <c r="A4123" s="6">
        <v>1.0</v>
      </c>
      <c r="B4123" s="6">
        <v>313.0</v>
      </c>
      <c r="C4123" s="6">
        <v>5.0</v>
      </c>
      <c r="D4123" s="151" t="s">
        <v>7007</v>
      </c>
      <c r="E4123" s="9" t="s">
        <v>7008</v>
      </c>
      <c r="F4123" s="109" t="str">
        <f t="shared" ref="F4123:G4123" si="4122">TRANSLATE(D4123,"lzh","vi")</f>
        <v>#NAME?</v>
      </c>
      <c r="G4123" s="109" t="str">
        <f t="shared" si="4122"/>
        <v>#NAME?</v>
      </c>
      <c r="X4123" s="110"/>
    </row>
    <row r="4124" ht="21.0" customHeight="1">
      <c r="A4124" s="6">
        <v>1.0</v>
      </c>
      <c r="B4124" s="6">
        <v>313.0</v>
      </c>
      <c r="C4124" s="6">
        <v>6.0</v>
      </c>
      <c r="D4124" s="151" t="s">
        <v>7009</v>
      </c>
      <c r="E4124" s="9" t="s">
        <v>7010</v>
      </c>
      <c r="F4124" s="109" t="str">
        <f t="shared" ref="F4124:G4124" si="4123">TRANSLATE(D4124,"lzh","vi")</f>
        <v>#NAME?</v>
      </c>
      <c r="G4124" s="109" t="str">
        <f t="shared" si="4123"/>
        <v>#NAME?</v>
      </c>
      <c r="X4124" s="110"/>
    </row>
    <row r="4125" ht="21.0" customHeight="1">
      <c r="A4125" s="6">
        <v>1.0</v>
      </c>
      <c r="B4125" s="6">
        <v>313.0</v>
      </c>
      <c r="C4125" s="6">
        <v>7.0</v>
      </c>
      <c r="D4125" s="151" t="s">
        <v>7011</v>
      </c>
      <c r="E4125" s="9" t="s">
        <v>7012</v>
      </c>
      <c r="F4125" s="109" t="str">
        <f t="shared" ref="F4125:G4125" si="4124">TRANSLATE(D4125,"lzh","vi")</f>
        <v>#NAME?</v>
      </c>
      <c r="G4125" s="109" t="str">
        <f t="shared" si="4124"/>
        <v>#NAME?</v>
      </c>
      <c r="X4125" s="110"/>
    </row>
    <row r="4126" ht="21.0" customHeight="1">
      <c r="A4126" s="6">
        <v>1.0</v>
      </c>
      <c r="B4126" s="6">
        <v>313.0</v>
      </c>
      <c r="C4126" s="6">
        <v>8.0</v>
      </c>
      <c r="D4126" s="151" t="s">
        <v>7013</v>
      </c>
      <c r="E4126" s="9" t="s">
        <v>7014</v>
      </c>
      <c r="F4126" s="109" t="str">
        <f t="shared" ref="F4126:G4126" si="4125">TRANSLATE(D4126,"lzh","vi")</f>
        <v>#NAME?</v>
      </c>
      <c r="G4126" s="109" t="str">
        <f t="shared" si="4125"/>
        <v>#NAME?</v>
      </c>
      <c r="X4126" s="110"/>
    </row>
    <row r="4127" ht="21.0" customHeight="1">
      <c r="A4127" s="6">
        <v>1.0</v>
      </c>
      <c r="B4127" s="6">
        <v>313.0</v>
      </c>
      <c r="C4127" s="6">
        <v>9.0</v>
      </c>
      <c r="D4127" s="151" t="s">
        <v>7015</v>
      </c>
      <c r="E4127" s="9" t="s">
        <v>7016</v>
      </c>
      <c r="F4127" s="109" t="str">
        <f t="shared" ref="F4127:G4127" si="4126">TRANSLATE(D4127,"lzh","vi")</f>
        <v>#NAME?</v>
      </c>
      <c r="G4127" s="109" t="str">
        <f t="shared" si="4126"/>
        <v>#NAME?</v>
      </c>
      <c r="X4127" s="110"/>
    </row>
    <row r="4128" ht="21.0" customHeight="1">
      <c r="A4128" s="6">
        <v>1.0</v>
      </c>
      <c r="B4128" s="6">
        <v>313.0</v>
      </c>
      <c r="C4128" s="6">
        <v>10.0</v>
      </c>
      <c r="D4128" s="151" t="s">
        <v>7017</v>
      </c>
      <c r="E4128" s="9" t="s">
        <v>7018</v>
      </c>
      <c r="F4128" s="109" t="str">
        <f t="shared" ref="F4128:G4128" si="4127">TRANSLATE(D4128,"lzh","vi")</f>
        <v>#NAME?</v>
      </c>
      <c r="G4128" s="109" t="str">
        <f t="shared" si="4127"/>
        <v>#NAME?</v>
      </c>
      <c r="X4128" s="110"/>
    </row>
    <row r="4129" ht="21.0" customHeight="1">
      <c r="A4129" s="6">
        <v>1.0</v>
      </c>
      <c r="B4129" s="6">
        <v>313.0</v>
      </c>
      <c r="C4129" s="6">
        <v>11.0</v>
      </c>
      <c r="D4129" s="151" t="s">
        <v>7019</v>
      </c>
      <c r="E4129" s="9" t="s">
        <v>7020</v>
      </c>
      <c r="F4129" s="109" t="str">
        <f t="shared" ref="F4129:G4129" si="4128">TRANSLATE(D4129,"lzh","vi")</f>
        <v>#NAME?</v>
      </c>
      <c r="G4129" s="109" t="str">
        <f t="shared" si="4128"/>
        <v>#NAME?</v>
      </c>
      <c r="X4129" s="110"/>
    </row>
    <row r="4130" ht="21.0" customHeight="1">
      <c r="A4130" s="6">
        <v>1.0</v>
      </c>
      <c r="B4130" s="6">
        <v>313.0</v>
      </c>
      <c r="C4130" s="6">
        <v>12.0</v>
      </c>
      <c r="D4130" s="151" t="s">
        <v>7021</v>
      </c>
      <c r="E4130" s="9" t="s">
        <v>7022</v>
      </c>
      <c r="F4130" s="109" t="str">
        <f t="shared" ref="F4130:G4130" si="4129">TRANSLATE(D4130,"lzh","vi")</f>
        <v>#NAME?</v>
      </c>
      <c r="G4130" s="109" t="str">
        <f t="shared" si="4129"/>
        <v>#NAME?</v>
      </c>
      <c r="X4130" s="110"/>
    </row>
    <row r="4131" ht="21.0" customHeight="1">
      <c r="A4131" s="6">
        <v>1.0</v>
      </c>
      <c r="B4131" s="6">
        <v>313.0</v>
      </c>
      <c r="C4131" s="6">
        <v>13.0</v>
      </c>
      <c r="D4131" s="151" t="s">
        <v>7023</v>
      </c>
      <c r="E4131" s="9" t="s">
        <v>7024</v>
      </c>
      <c r="F4131" s="109" t="str">
        <f t="shared" ref="F4131:G4131" si="4130">TRANSLATE(D4131,"lzh","vi")</f>
        <v>#NAME?</v>
      </c>
      <c r="G4131" s="109" t="str">
        <f t="shared" si="4130"/>
        <v>#NAME?</v>
      </c>
      <c r="X4131" s="110"/>
    </row>
    <row r="4132" ht="21.0" customHeight="1">
      <c r="A4132" s="6">
        <v>1.0</v>
      </c>
      <c r="B4132" s="6">
        <v>314.0</v>
      </c>
      <c r="C4132" s="6">
        <v>1.0</v>
      </c>
      <c r="D4132" s="151" t="s">
        <v>7025</v>
      </c>
      <c r="E4132" s="9" t="s">
        <v>7026</v>
      </c>
      <c r="F4132" s="109" t="str">
        <f t="shared" ref="F4132:G4132" si="4131">TRANSLATE(D4132,"lzh","vi")</f>
        <v>#NAME?</v>
      </c>
      <c r="G4132" s="109" t="str">
        <f t="shared" si="4131"/>
        <v>#NAME?</v>
      </c>
      <c r="X4132" s="110"/>
    </row>
    <row r="4133" ht="21.0" customHeight="1">
      <c r="A4133" s="6">
        <v>1.0</v>
      </c>
      <c r="B4133" s="6">
        <v>314.0</v>
      </c>
      <c r="C4133" s="6">
        <v>2.0</v>
      </c>
      <c r="D4133" s="151" t="s">
        <v>7027</v>
      </c>
      <c r="E4133" s="9" t="s">
        <v>7028</v>
      </c>
      <c r="F4133" s="109" t="str">
        <f t="shared" ref="F4133:G4133" si="4132">TRANSLATE(D4133,"lzh","vi")</f>
        <v>#NAME?</v>
      </c>
      <c r="G4133" s="109" t="str">
        <f t="shared" si="4132"/>
        <v>#NAME?</v>
      </c>
      <c r="X4133" s="110"/>
    </row>
    <row r="4134" ht="21.0" customHeight="1">
      <c r="A4134" s="6">
        <v>1.0</v>
      </c>
      <c r="B4134" s="6">
        <v>314.0</v>
      </c>
      <c r="C4134" s="6">
        <v>3.0</v>
      </c>
      <c r="D4134" s="151" t="s">
        <v>7029</v>
      </c>
      <c r="E4134" s="9" t="s">
        <v>7030</v>
      </c>
      <c r="F4134" s="109" t="str">
        <f t="shared" ref="F4134:G4134" si="4133">TRANSLATE(D4134,"lzh","vi")</f>
        <v>#NAME?</v>
      </c>
      <c r="G4134" s="109" t="str">
        <f t="shared" si="4133"/>
        <v>#NAME?</v>
      </c>
      <c r="X4134" s="110"/>
    </row>
    <row r="4135" ht="21.0" customHeight="1">
      <c r="A4135" s="6">
        <v>1.0</v>
      </c>
      <c r="B4135" s="6">
        <v>314.0</v>
      </c>
      <c r="C4135" s="6">
        <v>4.0</v>
      </c>
      <c r="D4135" s="151" t="s">
        <v>7031</v>
      </c>
      <c r="E4135" s="9" t="s">
        <v>7032</v>
      </c>
      <c r="F4135" s="109" t="str">
        <f t="shared" ref="F4135:G4135" si="4134">TRANSLATE(D4135,"lzh","vi")</f>
        <v>#NAME?</v>
      </c>
      <c r="G4135" s="109" t="str">
        <f t="shared" si="4134"/>
        <v>#NAME?</v>
      </c>
      <c r="X4135" s="110"/>
    </row>
    <row r="4136" ht="21.0" customHeight="1">
      <c r="A4136" s="6">
        <v>1.0</v>
      </c>
      <c r="B4136" s="6">
        <v>314.0</v>
      </c>
      <c r="C4136" s="6">
        <v>5.0</v>
      </c>
      <c r="D4136" s="151" t="s">
        <v>7033</v>
      </c>
      <c r="E4136" s="9" t="s">
        <v>7034</v>
      </c>
      <c r="F4136" s="109" t="str">
        <f t="shared" ref="F4136:G4136" si="4135">TRANSLATE(D4136,"lzh","vi")</f>
        <v>#NAME?</v>
      </c>
      <c r="G4136" s="109" t="str">
        <f t="shared" si="4135"/>
        <v>#NAME?</v>
      </c>
      <c r="X4136" s="110"/>
    </row>
    <row r="4137" ht="21.0" customHeight="1">
      <c r="A4137" s="6">
        <v>1.0</v>
      </c>
      <c r="B4137" s="6">
        <v>314.0</v>
      </c>
      <c r="C4137" s="6">
        <v>6.0</v>
      </c>
      <c r="D4137" s="151" t="s">
        <v>7035</v>
      </c>
      <c r="E4137" s="9" t="s">
        <v>7036</v>
      </c>
      <c r="F4137" s="109" t="str">
        <f t="shared" ref="F4137:G4137" si="4136">TRANSLATE(D4137,"lzh","vi")</f>
        <v>#NAME?</v>
      </c>
      <c r="G4137" s="109" t="str">
        <f t="shared" si="4136"/>
        <v>#NAME?</v>
      </c>
      <c r="X4137" s="110"/>
    </row>
    <row r="4138" ht="21.0" customHeight="1">
      <c r="A4138" s="6">
        <v>1.0</v>
      </c>
      <c r="B4138" s="6">
        <v>314.0</v>
      </c>
      <c r="C4138" s="6">
        <v>7.0</v>
      </c>
      <c r="D4138" s="151" t="s">
        <v>7037</v>
      </c>
      <c r="E4138" s="9" t="s">
        <v>7038</v>
      </c>
      <c r="F4138" s="109" t="str">
        <f t="shared" ref="F4138:G4138" si="4137">TRANSLATE(D4138,"lzh","vi")</f>
        <v>#NAME?</v>
      </c>
      <c r="G4138" s="109" t="str">
        <f t="shared" si="4137"/>
        <v>#NAME?</v>
      </c>
      <c r="X4138" s="110"/>
    </row>
    <row r="4139" ht="21.0" customHeight="1">
      <c r="A4139" s="6">
        <v>1.0</v>
      </c>
      <c r="B4139" s="6">
        <v>314.0</v>
      </c>
      <c r="C4139" s="6">
        <v>8.0</v>
      </c>
      <c r="D4139" s="151" t="s">
        <v>7039</v>
      </c>
      <c r="E4139" s="9" t="s">
        <v>7040</v>
      </c>
      <c r="F4139" s="109" t="str">
        <f t="shared" ref="F4139:G4139" si="4138">TRANSLATE(D4139,"lzh","vi")</f>
        <v>#NAME?</v>
      </c>
      <c r="G4139" s="109" t="str">
        <f t="shared" si="4138"/>
        <v>#NAME?</v>
      </c>
      <c r="X4139" s="110"/>
    </row>
    <row r="4140" ht="21.0" customHeight="1">
      <c r="A4140" s="6">
        <v>1.0</v>
      </c>
      <c r="B4140" s="6">
        <v>314.0</v>
      </c>
      <c r="C4140" s="6">
        <v>9.0</v>
      </c>
      <c r="D4140" s="151" t="s">
        <v>7041</v>
      </c>
      <c r="E4140" s="9" t="s">
        <v>7042</v>
      </c>
      <c r="F4140" s="109" t="str">
        <f t="shared" ref="F4140:G4140" si="4139">TRANSLATE(D4140,"lzh","vi")</f>
        <v>#NAME?</v>
      </c>
      <c r="G4140" s="109" t="str">
        <f t="shared" si="4139"/>
        <v>#NAME?</v>
      </c>
      <c r="X4140" s="110"/>
    </row>
    <row r="4141" ht="21.0" customHeight="1">
      <c r="A4141" s="6">
        <v>1.0</v>
      </c>
      <c r="B4141" s="6">
        <v>314.0</v>
      </c>
      <c r="C4141" s="6">
        <v>10.0</v>
      </c>
      <c r="D4141" s="151" t="s">
        <v>7043</v>
      </c>
      <c r="E4141" s="9" t="s">
        <v>7044</v>
      </c>
      <c r="F4141" s="109" t="str">
        <f t="shared" ref="F4141:G4141" si="4140">TRANSLATE(D4141,"lzh","vi")</f>
        <v>#NAME?</v>
      </c>
      <c r="G4141" s="109" t="str">
        <f t="shared" si="4140"/>
        <v>#NAME?</v>
      </c>
      <c r="X4141" s="110"/>
    </row>
    <row r="4142" ht="21.0" customHeight="1">
      <c r="A4142" s="6">
        <v>1.0</v>
      </c>
      <c r="B4142" s="6">
        <v>314.0</v>
      </c>
      <c r="C4142" s="6">
        <v>11.0</v>
      </c>
      <c r="D4142" s="151" t="s">
        <v>7045</v>
      </c>
      <c r="E4142" s="9" t="s">
        <v>7046</v>
      </c>
      <c r="F4142" s="109" t="str">
        <f t="shared" ref="F4142:G4142" si="4141">TRANSLATE(D4142,"lzh","vi")</f>
        <v>#NAME?</v>
      </c>
      <c r="G4142" s="109" t="str">
        <f t="shared" si="4141"/>
        <v>#NAME?</v>
      </c>
      <c r="X4142" s="110"/>
    </row>
    <row r="4143" ht="21.0" customHeight="1">
      <c r="A4143" s="6">
        <v>1.0</v>
      </c>
      <c r="B4143" s="6">
        <v>314.0</v>
      </c>
      <c r="C4143" s="6">
        <v>12.0</v>
      </c>
      <c r="D4143" s="151" t="s">
        <v>7047</v>
      </c>
      <c r="E4143" s="9" t="s">
        <v>7048</v>
      </c>
      <c r="F4143" s="109" t="str">
        <f t="shared" ref="F4143:G4143" si="4142">TRANSLATE(D4143,"lzh","vi")</f>
        <v>#NAME?</v>
      </c>
      <c r="G4143" s="109" t="str">
        <f t="shared" si="4142"/>
        <v>#NAME?</v>
      </c>
      <c r="X4143" s="110"/>
    </row>
    <row r="4144" ht="21.0" customHeight="1">
      <c r="A4144" s="6">
        <v>1.0</v>
      </c>
      <c r="B4144" s="6">
        <v>314.0</v>
      </c>
      <c r="C4144" s="6">
        <v>13.0</v>
      </c>
      <c r="D4144" s="151" t="s">
        <v>7049</v>
      </c>
      <c r="E4144" s="9" t="s">
        <v>7050</v>
      </c>
      <c r="F4144" s="109" t="str">
        <f t="shared" ref="F4144:G4144" si="4143">TRANSLATE(D4144,"lzh","vi")</f>
        <v>#NAME?</v>
      </c>
      <c r="G4144" s="109" t="str">
        <f t="shared" si="4143"/>
        <v>#NAME?</v>
      </c>
      <c r="X4144" s="110"/>
    </row>
    <row r="4145" ht="21.0" customHeight="1">
      <c r="A4145" s="6">
        <v>1.0</v>
      </c>
      <c r="B4145" s="6">
        <v>315.0</v>
      </c>
      <c r="C4145" s="6">
        <v>1.0</v>
      </c>
      <c r="D4145" s="151" t="s">
        <v>7051</v>
      </c>
      <c r="E4145" s="9" t="s">
        <v>7052</v>
      </c>
      <c r="F4145" s="109" t="str">
        <f t="shared" ref="F4145:G4145" si="4144">TRANSLATE(D4145,"lzh","vi")</f>
        <v>#NAME?</v>
      </c>
      <c r="G4145" s="109" t="str">
        <f t="shared" si="4144"/>
        <v>#NAME?</v>
      </c>
      <c r="X4145" s="110"/>
    </row>
    <row r="4146" ht="21.0" customHeight="1">
      <c r="A4146" s="6">
        <v>1.0</v>
      </c>
      <c r="B4146" s="6">
        <v>315.0</v>
      </c>
      <c r="C4146" s="6">
        <v>2.0</v>
      </c>
      <c r="D4146" s="151" t="s">
        <v>7053</v>
      </c>
      <c r="E4146" s="9" t="s">
        <v>7054</v>
      </c>
      <c r="F4146" s="109" t="str">
        <f t="shared" ref="F4146:G4146" si="4145">TRANSLATE(D4146,"lzh","vi")</f>
        <v>#NAME?</v>
      </c>
      <c r="G4146" s="109" t="str">
        <f t="shared" si="4145"/>
        <v>#NAME?</v>
      </c>
      <c r="X4146" s="110"/>
    </row>
    <row r="4147" ht="21.0" customHeight="1">
      <c r="A4147" s="6">
        <v>1.0</v>
      </c>
      <c r="B4147" s="6">
        <v>315.0</v>
      </c>
      <c r="C4147" s="6">
        <v>3.0</v>
      </c>
      <c r="D4147" s="151" t="s">
        <v>7055</v>
      </c>
      <c r="E4147" s="9" t="s">
        <v>7056</v>
      </c>
      <c r="F4147" s="109" t="str">
        <f t="shared" ref="F4147:G4147" si="4146">TRANSLATE(D4147,"lzh","vi")</f>
        <v>#NAME?</v>
      </c>
      <c r="G4147" s="109" t="str">
        <f t="shared" si="4146"/>
        <v>#NAME?</v>
      </c>
      <c r="X4147" s="110"/>
    </row>
    <row r="4148" ht="21.0" customHeight="1">
      <c r="A4148" s="6">
        <v>1.0</v>
      </c>
      <c r="B4148" s="6">
        <v>315.0</v>
      </c>
      <c r="C4148" s="6">
        <v>4.0</v>
      </c>
      <c r="D4148" s="151" t="s">
        <v>7057</v>
      </c>
      <c r="E4148" s="9" t="s">
        <v>7058</v>
      </c>
      <c r="F4148" s="109" t="str">
        <f t="shared" ref="F4148:G4148" si="4147">TRANSLATE(D4148,"lzh","vi")</f>
        <v>#NAME?</v>
      </c>
      <c r="G4148" s="109" t="str">
        <f t="shared" si="4147"/>
        <v>#NAME?</v>
      </c>
      <c r="X4148" s="110"/>
    </row>
    <row r="4149" ht="21.0" customHeight="1">
      <c r="A4149" s="6">
        <v>1.0</v>
      </c>
      <c r="B4149" s="6">
        <v>315.0</v>
      </c>
      <c r="C4149" s="6">
        <v>5.0</v>
      </c>
      <c r="D4149" s="151" t="s">
        <v>7059</v>
      </c>
      <c r="E4149" s="9" t="s">
        <v>7060</v>
      </c>
      <c r="F4149" s="109" t="str">
        <f t="shared" ref="F4149:G4149" si="4148">TRANSLATE(D4149,"lzh","vi")</f>
        <v>#NAME?</v>
      </c>
      <c r="G4149" s="109" t="str">
        <f t="shared" si="4148"/>
        <v>#NAME?</v>
      </c>
      <c r="X4149" s="110"/>
    </row>
    <row r="4150" ht="21.0" customHeight="1">
      <c r="A4150" s="6">
        <v>1.0</v>
      </c>
      <c r="B4150" s="6">
        <v>315.0</v>
      </c>
      <c r="C4150" s="6">
        <v>6.0</v>
      </c>
      <c r="D4150" s="151" t="s">
        <v>7061</v>
      </c>
      <c r="E4150" s="9" t="s">
        <v>7062</v>
      </c>
      <c r="F4150" s="109" t="str">
        <f t="shared" ref="F4150:G4150" si="4149">TRANSLATE(D4150,"lzh","vi")</f>
        <v>#NAME?</v>
      </c>
      <c r="G4150" s="109" t="str">
        <f t="shared" si="4149"/>
        <v>#NAME?</v>
      </c>
      <c r="X4150" s="110"/>
    </row>
    <row r="4151" ht="21.0" customHeight="1">
      <c r="A4151" s="6">
        <v>1.0</v>
      </c>
      <c r="B4151" s="6">
        <v>315.0</v>
      </c>
      <c r="C4151" s="6">
        <v>7.0</v>
      </c>
      <c r="D4151" s="151" t="s">
        <v>7063</v>
      </c>
      <c r="E4151" s="9" t="s">
        <v>7064</v>
      </c>
      <c r="F4151" s="109" t="str">
        <f t="shared" ref="F4151:G4151" si="4150">TRANSLATE(D4151,"lzh","vi")</f>
        <v>#NAME?</v>
      </c>
      <c r="G4151" s="109" t="str">
        <f t="shared" si="4150"/>
        <v>#NAME?</v>
      </c>
      <c r="X4151" s="110"/>
    </row>
    <row r="4152" ht="21.0" customHeight="1">
      <c r="A4152" s="6">
        <v>1.0</v>
      </c>
      <c r="B4152" s="6">
        <v>315.0</v>
      </c>
      <c r="C4152" s="6">
        <v>8.0</v>
      </c>
      <c r="D4152" s="151" t="s">
        <v>7065</v>
      </c>
      <c r="E4152" s="9" t="s">
        <v>7066</v>
      </c>
      <c r="F4152" s="109" t="str">
        <f t="shared" ref="F4152:G4152" si="4151">TRANSLATE(D4152,"lzh","vi")</f>
        <v>#NAME?</v>
      </c>
      <c r="G4152" s="109" t="str">
        <f t="shared" si="4151"/>
        <v>#NAME?</v>
      </c>
      <c r="X4152" s="110"/>
    </row>
    <row r="4153" ht="21.0" customHeight="1">
      <c r="A4153" s="6">
        <v>1.0</v>
      </c>
      <c r="B4153" s="6">
        <v>315.0</v>
      </c>
      <c r="C4153" s="6">
        <v>9.0</v>
      </c>
      <c r="D4153" s="151" t="s">
        <v>7067</v>
      </c>
      <c r="E4153" s="9" t="s">
        <v>7068</v>
      </c>
      <c r="F4153" s="109" t="str">
        <f t="shared" ref="F4153:G4153" si="4152">TRANSLATE(D4153,"lzh","vi")</f>
        <v>#NAME?</v>
      </c>
      <c r="G4153" s="109" t="str">
        <f t="shared" si="4152"/>
        <v>#NAME?</v>
      </c>
      <c r="X4153" s="110"/>
    </row>
    <row r="4154" ht="21.0" customHeight="1">
      <c r="A4154" s="6">
        <v>1.0</v>
      </c>
      <c r="B4154" s="6">
        <v>315.0</v>
      </c>
      <c r="C4154" s="6">
        <v>10.0</v>
      </c>
      <c r="D4154" s="151" t="s">
        <v>7069</v>
      </c>
      <c r="E4154" s="9" t="s">
        <v>7070</v>
      </c>
      <c r="F4154" s="109" t="str">
        <f t="shared" ref="F4154:G4154" si="4153">TRANSLATE(D4154,"lzh","vi")</f>
        <v>#NAME?</v>
      </c>
      <c r="G4154" s="109" t="str">
        <f t="shared" si="4153"/>
        <v>#NAME?</v>
      </c>
      <c r="X4154" s="110"/>
    </row>
    <row r="4155" ht="21.0" customHeight="1">
      <c r="A4155" s="6">
        <v>1.0</v>
      </c>
      <c r="B4155" s="6">
        <v>315.0</v>
      </c>
      <c r="C4155" s="6">
        <v>11.0</v>
      </c>
      <c r="D4155" s="151" t="s">
        <v>7071</v>
      </c>
      <c r="E4155" s="9" t="s">
        <v>7072</v>
      </c>
      <c r="F4155" s="109" t="str">
        <f t="shared" ref="F4155:G4155" si="4154">TRANSLATE(D4155,"lzh","vi")</f>
        <v>#NAME?</v>
      </c>
      <c r="G4155" s="109" t="str">
        <f t="shared" si="4154"/>
        <v>#NAME?</v>
      </c>
      <c r="X4155" s="110"/>
    </row>
    <row r="4156" ht="21.0" customHeight="1">
      <c r="A4156" s="6">
        <v>1.0</v>
      </c>
      <c r="B4156" s="6">
        <v>315.0</v>
      </c>
      <c r="C4156" s="6">
        <v>12.0</v>
      </c>
      <c r="D4156" s="151" t="s">
        <v>7073</v>
      </c>
      <c r="E4156" s="9" t="s">
        <v>7074</v>
      </c>
      <c r="F4156" s="109" t="str">
        <f t="shared" ref="F4156:G4156" si="4155">TRANSLATE(D4156,"lzh","vi")</f>
        <v>#NAME?</v>
      </c>
      <c r="G4156" s="109" t="str">
        <f t="shared" si="4155"/>
        <v>#NAME?</v>
      </c>
      <c r="X4156" s="110"/>
    </row>
    <row r="4157" ht="21.0" customHeight="1">
      <c r="A4157" s="6">
        <v>1.0</v>
      </c>
      <c r="B4157" s="6">
        <v>315.0</v>
      </c>
      <c r="C4157" s="6">
        <v>13.0</v>
      </c>
      <c r="D4157" s="151" t="s">
        <v>7075</v>
      </c>
      <c r="E4157" s="9" t="s">
        <v>7076</v>
      </c>
      <c r="F4157" s="109" t="str">
        <f t="shared" ref="F4157:G4157" si="4156">TRANSLATE(D4157,"lzh","vi")</f>
        <v>#NAME?</v>
      </c>
      <c r="G4157" s="109" t="str">
        <f t="shared" si="4156"/>
        <v>#NAME?</v>
      </c>
      <c r="X4157" s="110"/>
    </row>
    <row r="4158" ht="21.0" customHeight="1">
      <c r="A4158" s="6">
        <v>13.0</v>
      </c>
      <c r="B4158" s="6">
        <v>315.0</v>
      </c>
      <c r="C4158" s="6">
        <v>14.0</v>
      </c>
      <c r="D4158" s="151" t="s">
        <v>7077</v>
      </c>
      <c r="E4158" s="9" t="s">
        <v>7078</v>
      </c>
      <c r="F4158" s="109" t="str">
        <f t="shared" ref="F4158:G4158" si="4157">TRANSLATE(D4158,"lzh","vi")</f>
        <v>#NAME?</v>
      </c>
      <c r="G4158" s="109" t="str">
        <f t="shared" si="4157"/>
        <v>#NAME?</v>
      </c>
      <c r="X4158" s="110"/>
    </row>
    <row r="4159" ht="21.0" customHeight="1">
      <c r="A4159" s="6">
        <v>11.0</v>
      </c>
      <c r="B4159" s="6">
        <v>2005.0</v>
      </c>
      <c r="C4159" s="6">
        <v>1.0</v>
      </c>
      <c r="D4159" s="151" t="s">
        <v>7079</v>
      </c>
      <c r="E4159" s="9" t="s">
        <v>7080</v>
      </c>
      <c r="F4159" s="109" t="str">
        <f t="shared" ref="F4159:G4159" si="4158">TRANSLATE(D4159,"lzh","vi")</f>
        <v>#NAME?</v>
      </c>
      <c r="G4159" s="109" t="str">
        <f t="shared" si="4158"/>
        <v>#NAME?</v>
      </c>
      <c r="X4159" s="110"/>
    </row>
    <row r="4160" ht="21.0" customHeight="1">
      <c r="A4160" s="6">
        <v>11.0</v>
      </c>
      <c r="B4160" s="6">
        <v>2005.0</v>
      </c>
      <c r="C4160" s="6">
        <v>2.0</v>
      </c>
      <c r="D4160" s="151" t="s">
        <v>7081</v>
      </c>
      <c r="E4160" s="9" t="s">
        <v>7082</v>
      </c>
      <c r="F4160" s="109" t="str">
        <f t="shared" ref="F4160:G4160" si="4159">TRANSLATE(D4160,"lzh","vi")</f>
        <v>#NAME?</v>
      </c>
      <c r="G4160" s="109" t="str">
        <f t="shared" si="4159"/>
        <v>#NAME?</v>
      </c>
      <c r="X4160" s="110"/>
    </row>
    <row r="4161" ht="21.0" customHeight="1">
      <c r="A4161" s="6">
        <v>11.0</v>
      </c>
      <c r="B4161" s="6">
        <v>2005.0</v>
      </c>
      <c r="C4161" s="6">
        <v>3.0</v>
      </c>
      <c r="D4161" s="151" t="s">
        <v>7083</v>
      </c>
      <c r="E4161" s="9" t="s">
        <v>7084</v>
      </c>
      <c r="F4161" s="109" t="str">
        <f t="shared" ref="F4161:G4161" si="4160">TRANSLATE(D4161,"lzh","vi")</f>
        <v>#NAME?</v>
      </c>
      <c r="G4161" s="109" t="str">
        <f t="shared" si="4160"/>
        <v>#NAME?</v>
      </c>
      <c r="X4161" s="110"/>
    </row>
    <row r="4162" ht="21.0" customHeight="1">
      <c r="A4162" s="6">
        <v>11.0</v>
      </c>
      <c r="B4162" s="6">
        <v>2005.0</v>
      </c>
      <c r="C4162" s="6">
        <v>4.0</v>
      </c>
      <c r="D4162" s="151" t="s">
        <v>7085</v>
      </c>
      <c r="E4162" s="9" t="s">
        <v>7086</v>
      </c>
      <c r="F4162" s="109" t="str">
        <f t="shared" ref="F4162:G4162" si="4161">TRANSLATE(D4162,"lzh","vi")</f>
        <v>#NAME?</v>
      </c>
      <c r="G4162" s="109" t="str">
        <f t="shared" si="4161"/>
        <v>#NAME?</v>
      </c>
      <c r="X4162" s="110"/>
    </row>
    <row r="4163" ht="21.0" customHeight="1">
      <c r="A4163" s="6">
        <v>10.0</v>
      </c>
      <c r="B4163" s="6">
        <v>2005.0</v>
      </c>
      <c r="C4163" s="6">
        <v>5.0</v>
      </c>
      <c r="D4163" s="151" t="s">
        <v>7087</v>
      </c>
      <c r="E4163" s="9" t="s">
        <v>7088</v>
      </c>
      <c r="F4163" s="109" t="str">
        <f t="shared" ref="F4163:G4163" si="4162">TRANSLATE(D4163,"lzh","vi")</f>
        <v>#NAME?</v>
      </c>
      <c r="G4163" s="109" t="str">
        <f t="shared" si="4162"/>
        <v>#NAME?</v>
      </c>
      <c r="X4163" s="110"/>
    </row>
    <row r="4164" ht="21.0" customHeight="1">
      <c r="A4164" s="6">
        <v>10.0</v>
      </c>
      <c r="B4164" s="6">
        <v>2005.0</v>
      </c>
      <c r="C4164" s="6">
        <v>6.0</v>
      </c>
      <c r="D4164" s="151" t="s">
        <v>7089</v>
      </c>
      <c r="E4164" s="9" t="s">
        <v>7090</v>
      </c>
      <c r="F4164" s="109" t="str">
        <f t="shared" ref="F4164:G4164" si="4163">TRANSLATE(D4164,"lzh","vi")</f>
        <v>#NAME?</v>
      </c>
      <c r="G4164" s="109" t="str">
        <f t="shared" si="4163"/>
        <v>#NAME?</v>
      </c>
      <c r="X4164" s="110"/>
    </row>
    <row r="4165" ht="21.0" customHeight="1">
      <c r="A4165" s="6">
        <v>10.0</v>
      </c>
      <c r="B4165" s="6">
        <v>2005.0</v>
      </c>
      <c r="C4165" s="6">
        <v>7.0</v>
      </c>
      <c r="D4165" s="122" t="s">
        <v>7091</v>
      </c>
      <c r="E4165" s="9" t="s">
        <v>7092</v>
      </c>
      <c r="F4165" s="109" t="str">
        <f t="shared" ref="F4165:G4165" si="4164">TRANSLATE(D4165,"lzh","vi")</f>
        <v>#NAME?</v>
      </c>
      <c r="G4165" s="109" t="str">
        <f t="shared" si="4164"/>
        <v>#NAME?</v>
      </c>
      <c r="X4165" s="110"/>
    </row>
    <row r="4166" ht="21.0" customHeight="1">
      <c r="A4166" s="6">
        <v>10.0</v>
      </c>
      <c r="B4166" s="6">
        <v>2005.0</v>
      </c>
      <c r="C4166" s="6">
        <v>8.0</v>
      </c>
      <c r="D4166" s="151" t="s">
        <v>7093</v>
      </c>
      <c r="E4166" s="9" t="s">
        <v>7094</v>
      </c>
      <c r="F4166" s="109" t="str">
        <f t="shared" ref="F4166:G4166" si="4165">TRANSLATE(D4166,"lzh","vi")</f>
        <v>#NAME?</v>
      </c>
      <c r="G4166" s="109" t="str">
        <f t="shared" si="4165"/>
        <v>#NAME?</v>
      </c>
      <c r="X4166" s="110"/>
    </row>
    <row r="4167" ht="21.0" customHeight="1">
      <c r="A4167" s="6">
        <v>10.0</v>
      </c>
      <c r="B4167" s="6">
        <v>2005.0</v>
      </c>
      <c r="C4167" s="6">
        <v>9.0</v>
      </c>
      <c r="D4167" s="122" t="s">
        <v>7095</v>
      </c>
      <c r="E4167" s="9" t="s">
        <v>7096</v>
      </c>
      <c r="F4167" s="109" t="str">
        <f t="shared" ref="F4167:G4167" si="4166">TRANSLATE(D4167,"lzh","vi")</f>
        <v>#NAME?</v>
      </c>
      <c r="G4167" s="109" t="str">
        <f t="shared" si="4166"/>
        <v>#NAME?</v>
      </c>
      <c r="X4167" s="110"/>
    </row>
    <row r="4168" ht="21.0" customHeight="1">
      <c r="A4168" s="6">
        <v>10.0</v>
      </c>
      <c r="B4168" s="6">
        <v>2005.0</v>
      </c>
      <c r="C4168" s="6">
        <v>10.0</v>
      </c>
      <c r="D4168" s="122" t="s">
        <v>7097</v>
      </c>
      <c r="E4168" s="9" t="s">
        <v>7098</v>
      </c>
      <c r="F4168" s="109" t="str">
        <f t="shared" ref="F4168:G4168" si="4167">TRANSLATE(D4168,"lzh","vi")</f>
        <v>#NAME?</v>
      </c>
      <c r="G4168" s="109" t="str">
        <f t="shared" si="4167"/>
        <v>#NAME?</v>
      </c>
      <c r="X4168" s="110"/>
    </row>
    <row r="4169" ht="21.0" customHeight="1">
      <c r="A4169" s="6">
        <v>11.0</v>
      </c>
      <c r="B4169" s="6">
        <v>2006.0</v>
      </c>
      <c r="C4169" s="6">
        <v>1.0</v>
      </c>
      <c r="D4169" s="151" t="s">
        <v>7099</v>
      </c>
      <c r="E4169" s="9" t="s">
        <v>7100</v>
      </c>
      <c r="F4169" s="109" t="str">
        <f t="shared" ref="F4169:G4169" si="4168">TRANSLATE(D4169,"lzh","vi")</f>
        <v>#NAME?</v>
      </c>
      <c r="G4169" s="109" t="str">
        <f t="shared" si="4168"/>
        <v>#NAME?</v>
      </c>
      <c r="X4169" s="110"/>
    </row>
    <row r="4170" ht="21.0" customHeight="1">
      <c r="A4170" s="6">
        <v>11.0</v>
      </c>
      <c r="B4170" s="6">
        <v>2006.0</v>
      </c>
      <c r="C4170" s="6">
        <v>2.0</v>
      </c>
      <c r="D4170" s="151" t="s">
        <v>7101</v>
      </c>
      <c r="E4170" s="9" t="s">
        <v>7102</v>
      </c>
      <c r="F4170" s="109" t="str">
        <f t="shared" ref="F4170:G4170" si="4169">TRANSLATE(D4170,"lzh","vi")</f>
        <v>#NAME?</v>
      </c>
      <c r="G4170" s="109" t="str">
        <f t="shared" si="4169"/>
        <v>#NAME?</v>
      </c>
      <c r="X4170" s="110"/>
    </row>
    <row r="4171" ht="21.0" customHeight="1">
      <c r="A4171" s="6">
        <v>11.0</v>
      </c>
      <c r="B4171" s="6">
        <v>2006.0</v>
      </c>
      <c r="C4171" s="6">
        <v>3.0</v>
      </c>
      <c r="D4171" s="151" t="s">
        <v>7103</v>
      </c>
      <c r="E4171" s="9" t="s">
        <v>7104</v>
      </c>
      <c r="F4171" s="109" t="str">
        <f t="shared" ref="F4171:G4171" si="4170">TRANSLATE(D4171,"lzh","vi")</f>
        <v>#NAME?</v>
      </c>
      <c r="G4171" s="109" t="str">
        <f t="shared" si="4170"/>
        <v>#NAME?</v>
      </c>
      <c r="X4171" s="110"/>
    </row>
    <row r="4172" ht="21.0" customHeight="1">
      <c r="A4172" s="6">
        <v>11.0</v>
      </c>
      <c r="B4172" s="6">
        <v>2006.0</v>
      </c>
      <c r="C4172" s="6">
        <v>4.0</v>
      </c>
      <c r="D4172" s="151" t="s">
        <v>7105</v>
      </c>
      <c r="E4172" s="9" t="s">
        <v>7106</v>
      </c>
      <c r="F4172" s="109" t="str">
        <f t="shared" ref="F4172:G4172" si="4171">TRANSLATE(D4172,"lzh","vi")</f>
        <v>#NAME?</v>
      </c>
      <c r="G4172" s="109" t="str">
        <f t="shared" si="4171"/>
        <v>#NAME?</v>
      </c>
      <c r="X4172" s="110"/>
    </row>
    <row r="4173" ht="21.0" customHeight="1">
      <c r="A4173" s="6">
        <v>10.0</v>
      </c>
      <c r="B4173" s="6">
        <v>2006.0</v>
      </c>
      <c r="C4173" s="6">
        <v>5.0</v>
      </c>
      <c r="D4173" s="151" t="s">
        <v>7107</v>
      </c>
      <c r="E4173" s="9" t="s">
        <v>7108</v>
      </c>
      <c r="F4173" s="109" t="str">
        <f t="shared" ref="F4173:G4173" si="4172">TRANSLATE(D4173,"lzh","vi")</f>
        <v>#NAME?</v>
      </c>
      <c r="G4173" s="109" t="str">
        <f t="shared" si="4172"/>
        <v>#NAME?</v>
      </c>
      <c r="X4173" s="110"/>
    </row>
    <row r="4174" ht="21.0" customHeight="1">
      <c r="A4174" s="6">
        <v>10.0</v>
      </c>
      <c r="B4174" s="6">
        <v>2006.0</v>
      </c>
      <c r="C4174" s="6">
        <v>6.0</v>
      </c>
      <c r="D4174" s="151" t="s">
        <v>7109</v>
      </c>
      <c r="E4174" s="9" t="s">
        <v>7110</v>
      </c>
      <c r="F4174" s="109" t="str">
        <f t="shared" ref="F4174:G4174" si="4173">TRANSLATE(D4174,"lzh","vi")</f>
        <v>#NAME?</v>
      </c>
      <c r="G4174" s="109" t="str">
        <f t="shared" si="4173"/>
        <v>#NAME?</v>
      </c>
      <c r="X4174" s="110"/>
    </row>
    <row r="4175" ht="21.0" customHeight="1">
      <c r="A4175" s="6">
        <v>10.0</v>
      </c>
      <c r="B4175" s="6">
        <v>2006.0</v>
      </c>
      <c r="C4175" s="6">
        <v>7.0</v>
      </c>
      <c r="D4175" s="122" t="s">
        <v>7111</v>
      </c>
      <c r="E4175" s="9" t="s">
        <v>7112</v>
      </c>
      <c r="F4175" s="109" t="str">
        <f t="shared" ref="F4175:G4175" si="4174">TRANSLATE(D4175,"lzh","vi")</f>
        <v>#NAME?</v>
      </c>
      <c r="G4175" s="109" t="str">
        <f t="shared" si="4174"/>
        <v>#NAME?</v>
      </c>
      <c r="X4175" s="110"/>
    </row>
    <row r="4176" ht="21.0" customHeight="1">
      <c r="A4176" s="6">
        <v>10.0</v>
      </c>
      <c r="B4176" s="6">
        <v>2006.0</v>
      </c>
      <c r="C4176" s="6">
        <v>8.0</v>
      </c>
      <c r="D4176" s="122" t="s">
        <v>7113</v>
      </c>
      <c r="E4176" s="9" t="s">
        <v>7114</v>
      </c>
      <c r="F4176" s="109" t="str">
        <f t="shared" ref="F4176:G4176" si="4175">TRANSLATE(D4176,"lzh","vi")</f>
        <v>#NAME?</v>
      </c>
      <c r="G4176" s="109" t="str">
        <f t="shared" si="4175"/>
        <v>#NAME?</v>
      </c>
      <c r="X4176" s="110"/>
    </row>
    <row r="4177" ht="21.0" customHeight="1">
      <c r="A4177" s="6">
        <v>10.0</v>
      </c>
      <c r="B4177" s="6">
        <v>2006.0</v>
      </c>
      <c r="C4177" s="6">
        <v>9.0</v>
      </c>
      <c r="D4177" s="122" t="s">
        <v>7115</v>
      </c>
      <c r="E4177" s="9" t="s">
        <v>7116</v>
      </c>
      <c r="F4177" s="109" t="str">
        <f t="shared" ref="F4177:G4177" si="4176">TRANSLATE(D4177,"lzh","vi")</f>
        <v>#NAME?</v>
      </c>
      <c r="G4177" s="109" t="str">
        <f t="shared" si="4176"/>
        <v>#NAME?</v>
      </c>
      <c r="X4177" s="110"/>
    </row>
    <row r="4178" ht="21.0" customHeight="1">
      <c r="A4178" s="6">
        <v>10.0</v>
      </c>
      <c r="B4178" s="6">
        <v>2006.0</v>
      </c>
      <c r="C4178" s="6">
        <v>10.0</v>
      </c>
      <c r="D4178" s="151" t="s">
        <v>7117</v>
      </c>
      <c r="E4178" s="9" t="s">
        <v>7098</v>
      </c>
      <c r="F4178" s="109" t="str">
        <f t="shared" ref="F4178:G4178" si="4177">TRANSLATE(D4178,"lzh","vi")</f>
        <v>#NAME?</v>
      </c>
      <c r="G4178" s="109" t="str">
        <f t="shared" si="4177"/>
        <v>#NAME?</v>
      </c>
      <c r="X4178" s="110"/>
    </row>
    <row r="4179" ht="21.0" customHeight="1">
      <c r="A4179" s="6">
        <v>1.0</v>
      </c>
      <c r="B4179" s="6">
        <v>316.0</v>
      </c>
      <c r="C4179" s="6">
        <v>1.0</v>
      </c>
      <c r="D4179" s="151" t="s">
        <v>7118</v>
      </c>
      <c r="E4179" s="9" t="s">
        <v>7119</v>
      </c>
      <c r="F4179" s="109" t="str">
        <f t="shared" ref="F4179:G4179" si="4178">TRANSLATE(D4179,"lzh","vi")</f>
        <v>#NAME?</v>
      </c>
      <c r="G4179" s="109" t="str">
        <f t="shared" si="4178"/>
        <v>#NAME?</v>
      </c>
      <c r="X4179" s="110"/>
    </row>
    <row r="4180" ht="21.0" customHeight="1">
      <c r="A4180" s="6">
        <v>1.0</v>
      </c>
      <c r="B4180" s="6">
        <v>316.0</v>
      </c>
      <c r="C4180" s="6">
        <v>2.0</v>
      </c>
      <c r="D4180" s="151" t="s">
        <v>7120</v>
      </c>
      <c r="E4180" s="9" t="s">
        <v>7121</v>
      </c>
      <c r="F4180" s="109" t="str">
        <f t="shared" ref="F4180:G4180" si="4179">TRANSLATE(D4180,"lzh","vi")</f>
        <v>#NAME?</v>
      </c>
      <c r="G4180" s="109" t="str">
        <f t="shared" si="4179"/>
        <v>#NAME?</v>
      </c>
      <c r="X4180" s="110"/>
    </row>
    <row r="4181" ht="21.0" customHeight="1">
      <c r="A4181" s="6">
        <v>1.0</v>
      </c>
      <c r="B4181" s="6">
        <v>316.0</v>
      </c>
      <c r="C4181" s="6">
        <v>3.0</v>
      </c>
      <c r="D4181" s="151" t="s">
        <v>7122</v>
      </c>
      <c r="E4181" s="9" t="s">
        <v>7123</v>
      </c>
      <c r="F4181" s="109" t="str">
        <f t="shared" ref="F4181:G4181" si="4180">TRANSLATE(D4181,"lzh","vi")</f>
        <v>#NAME?</v>
      </c>
      <c r="G4181" s="109" t="str">
        <f t="shared" si="4180"/>
        <v>#NAME?</v>
      </c>
      <c r="X4181" s="110"/>
    </row>
    <row r="4182" ht="21.0" customHeight="1">
      <c r="A4182" s="6">
        <v>1.0</v>
      </c>
      <c r="B4182" s="6">
        <v>316.0</v>
      </c>
      <c r="C4182" s="6">
        <v>4.0</v>
      </c>
      <c r="D4182" s="151" t="s">
        <v>7124</v>
      </c>
      <c r="E4182" s="9" t="s">
        <v>7125</v>
      </c>
      <c r="F4182" s="109" t="str">
        <f t="shared" ref="F4182:G4182" si="4181">TRANSLATE(D4182,"lzh","vi")</f>
        <v>#NAME?</v>
      </c>
      <c r="G4182" s="109" t="str">
        <f t="shared" si="4181"/>
        <v>#NAME?</v>
      </c>
      <c r="X4182" s="110"/>
    </row>
    <row r="4183" ht="21.0" customHeight="1">
      <c r="A4183" s="6">
        <v>1.0</v>
      </c>
      <c r="B4183" s="6">
        <v>316.0</v>
      </c>
      <c r="C4183" s="6">
        <v>5.0</v>
      </c>
      <c r="D4183" s="151" t="s">
        <v>7126</v>
      </c>
      <c r="E4183" s="9" t="s">
        <v>7127</v>
      </c>
      <c r="F4183" s="109" t="str">
        <f t="shared" ref="F4183:G4183" si="4182">TRANSLATE(D4183,"lzh","vi")</f>
        <v>#NAME?</v>
      </c>
      <c r="G4183" s="109" t="str">
        <f t="shared" si="4182"/>
        <v>#NAME?</v>
      </c>
      <c r="X4183" s="110"/>
    </row>
    <row r="4184" ht="21.0" customHeight="1">
      <c r="A4184" s="6">
        <v>1.0</v>
      </c>
      <c r="B4184" s="6">
        <v>316.0</v>
      </c>
      <c r="C4184" s="6">
        <v>6.0</v>
      </c>
      <c r="D4184" s="151" t="s">
        <v>7128</v>
      </c>
      <c r="E4184" s="9" t="s">
        <v>7129</v>
      </c>
      <c r="F4184" s="109" t="str">
        <f t="shared" ref="F4184:G4184" si="4183">TRANSLATE(D4184,"lzh","vi")</f>
        <v>#NAME?</v>
      </c>
      <c r="G4184" s="109" t="str">
        <f t="shared" si="4183"/>
        <v>#NAME?</v>
      </c>
      <c r="X4184" s="110"/>
    </row>
    <row r="4185" ht="21.0" customHeight="1">
      <c r="A4185" s="6">
        <v>1.0</v>
      </c>
      <c r="B4185" s="6">
        <v>316.0</v>
      </c>
      <c r="C4185" s="6">
        <v>7.0</v>
      </c>
      <c r="D4185" s="151" t="s">
        <v>7130</v>
      </c>
      <c r="E4185" s="9" t="s">
        <v>7131</v>
      </c>
      <c r="F4185" s="109" t="str">
        <f t="shared" ref="F4185:G4185" si="4184">TRANSLATE(D4185,"lzh","vi")</f>
        <v>#NAME?</v>
      </c>
      <c r="G4185" s="109" t="str">
        <f t="shared" si="4184"/>
        <v>#NAME?</v>
      </c>
      <c r="X4185" s="110"/>
    </row>
    <row r="4186" ht="21.0" customHeight="1">
      <c r="A4186" s="6">
        <v>1.0</v>
      </c>
      <c r="B4186" s="6">
        <v>316.0</v>
      </c>
      <c r="C4186" s="6">
        <v>8.0</v>
      </c>
      <c r="D4186" s="151" t="s">
        <v>7132</v>
      </c>
      <c r="E4186" s="9" t="s">
        <v>7133</v>
      </c>
      <c r="F4186" s="109" t="str">
        <f t="shared" ref="F4186:G4186" si="4185">TRANSLATE(D4186,"lzh","vi")</f>
        <v>#NAME?</v>
      </c>
      <c r="G4186" s="109" t="str">
        <f t="shared" si="4185"/>
        <v>#NAME?</v>
      </c>
      <c r="X4186" s="110"/>
    </row>
    <row r="4187" ht="21.0" customHeight="1">
      <c r="A4187" s="6">
        <v>1.0</v>
      </c>
      <c r="B4187" s="6">
        <v>316.0</v>
      </c>
      <c r="C4187" s="6">
        <v>9.0</v>
      </c>
      <c r="D4187" s="151" t="s">
        <v>7134</v>
      </c>
      <c r="E4187" s="9" t="s">
        <v>7135</v>
      </c>
      <c r="F4187" s="109" t="str">
        <f t="shared" ref="F4187:G4187" si="4186">TRANSLATE(D4187,"lzh","vi")</f>
        <v>#NAME?</v>
      </c>
      <c r="G4187" s="109" t="str">
        <f t="shared" si="4186"/>
        <v>#NAME?</v>
      </c>
      <c r="X4187" s="110"/>
    </row>
    <row r="4188" ht="21.0" customHeight="1">
      <c r="A4188" s="6">
        <v>1.0</v>
      </c>
      <c r="B4188" s="6">
        <v>316.0</v>
      </c>
      <c r="C4188" s="6">
        <v>10.0</v>
      </c>
      <c r="D4188" s="151" t="s">
        <v>7136</v>
      </c>
      <c r="E4188" s="9" t="s">
        <v>7137</v>
      </c>
      <c r="F4188" s="109" t="str">
        <f t="shared" ref="F4188:G4188" si="4187">TRANSLATE(D4188,"lzh","vi")</f>
        <v>#NAME?</v>
      </c>
      <c r="G4188" s="109" t="str">
        <f t="shared" si="4187"/>
        <v>#NAME?</v>
      </c>
      <c r="X4188" s="110"/>
    </row>
    <row r="4189" ht="21.0" customHeight="1">
      <c r="A4189" s="6">
        <v>1.0</v>
      </c>
      <c r="B4189" s="6">
        <v>316.0</v>
      </c>
      <c r="C4189" s="6">
        <v>11.0</v>
      </c>
      <c r="D4189" s="151" t="s">
        <v>7138</v>
      </c>
      <c r="E4189" s="9" t="s">
        <v>7139</v>
      </c>
      <c r="F4189" s="109" t="str">
        <f t="shared" ref="F4189:G4189" si="4188">TRANSLATE(D4189,"lzh","vi")</f>
        <v>#NAME?</v>
      </c>
      <c r="G4189" s="109" t="str">
        <f t="shared" si="4188"/>
        <v>#NAME?</v>
      </c>
      <c r="X4189" s="110"/>
    </row>
    <row r="4190" ht="21.0" customHeight="1">
      <c r="A4190" s="6">
        <v>1.0</v>
      </c>
      <c r="B4190" s="6">
        <v>316.0</v>
      </c>
      <c r="C4190" s="6">
        <v>12.0</v>
      </c>
      <c r="D4190" s="151" t="s">
        <v>7140</v>
      </c>
      <c r="E4190" s="9" t="s">
        <v>7141</v>
      </c>
      <c r="F4190" s="109" t="str">
        <f t="shared" ref="F4190:G4190" si="4189">TRANSLATE(D4190,"lzh","vi")</f>
        <v>#NAME?</v>
      </c>
      <c r="G4190" s="109" t="str">
        <f t="shared" si="4189"/>
        <v>#NAME?</v>
      </c>
      <c r="X4190" s="110"/>
    </row>
    <row r="4191" ht="21.0" customHeight="1">
      <c r="A4191" s="6">
        <v>1.0</v>
      </c>
      <c r="B4191" s="6">
        <v>316.0</v>
      </c>
      <c r="C4191" s="6">
        <v>13.0</v>
      </c>
      <c r="D4191" s="151" t="s">
        <v>7142</v>
      </c>
      <c r="E4191" s="9" t="s">
        <v>7143</v>
      </c>
      <c r="F4191" s="109" t="str">
        <f t="shared" ref="F4191:G4191" si="4190">TRANSLATE(D4191,"lzh","vi")</f>
        <v>#NAME?</v>
      </c>
      <c r="G4191" s="109" t="str">
        <f t="shared" si="4190"/>
        <v>#NAME?</v>
      </c>
      <c r="X4191" s="110"/>
    </row>
    <row r="4192" ht="21.0" customHeight="1">
      <c r="A4192" s="6">
        <v>1.0</v>
      </c>
      <c r="B4192" s="6">
        <v>317.0</v>
      </c>
      <c r="C4192" s="6">
        <v>1.0</v>
      </c>
      <c r="D4192" s="151" t="s">
        <v>7144</v>
      </c>
      <c r="E4192" s="9" t="s">
        <v>7145</v>
      </c>
      <c r="F4192" s="109" t="str">
        <f t="shared" ref="F4192:G4192" si="4191">TRANSLATE(D4192,"lzh","vi")</f>
        <v>#NAME?</v>
      </c>
      <c r="G4192" s="109" t="str">
        <f t="shared" si="4191"/>
        <v>#NAME?</v>
      </c>
      <c r="X4192" s="110"/>
    </row>
    <row r="4193" ht="21.0" customHeight="1">
      <c r="A4193" s="6">
        <v>1.0</v>
      </c>
      <c r="B4193" s="6">
        <v>317.0</v>
      </c>
      <c r="C4193" s="6">
        <v>2.0</v>
      </c>
      <c r="D4193" s="151" t="s">
        <v>7146</v>
      </c>
      <c r="E4193" s="9" t="s">
        <v>7147</v>
      </c>
      <c r="F4193" s="109" t="str">
        <f t="shared" ref="F4193:G4193" si="4192">TRANSLATE(D4193,"lzh","vi")</f>
        <v>#NAME?</v>
      </c>
      <c r="G4193" s="109" t="str">
        <f t="shared" si="4192"/>
        <v>#NAME?</v>
      </c>
      <c r="X4193" s="110"/>
    </row>
    <row r="4194" ht="21.0" customHeight="1">
      <c r="A4194" s="6">
        <v>1.0</v>
      </c>
      <c r="B4194" s="6">
        <v>317.0</v>
      </c>
      <c r="C4194" s="6">
        <v>3.0</v>
      </c>
      <c r="D4194" s="151" t="s">
        <v>7148</v>
      </c>
      <c r="E4194" s="9" t="s">
        <v>7149</v>
      </c>
      <c r="F4194" s="109" t="str">
        <f t="shared" ref="F4194:G4194" si="4193">TRANSLATE(D4194,"lzh","vi")</f>
        <v>#NAME?</v>
      </c>
      <c r="G4194" s="109" t="str">
        <f t="shared" si="4193"/>
        <v>#NAME?</v>
      </c>
      <c r="X4194" s="110"/>
    </row>
    <row r="4195" ht="21.0" customHeight="1">
      <c r="A4195" s="6">
        <v>1.0</v>
      </c>
      <c r="B4195" s="6">
        <v>317.0</v>
      </c>
      <c r="C4195" s="6">
        <v>4.0</v>
      </c>
      <c r="D4195" s="151" t="s">
        <v>7150</v>
      </c>
      <c r="E4195" s="9" t="s">
        <v>7151</v>
      </c>
      <c r="F4195" s="109" t="str">
        <f t="shared" ref="F4195:G4195" si="4194">TRANSLATE(D4195,"lzh","vi")</f>
        <v>#NAME?</v>
      </c>
      <c r="G4195" s="109" t="str">
        <f t="shared" si="4194"/>
        <v>#NAME?</v>
      </c>
      <c r="X4195" s="110"/>
    </row>
    <row r="4196" ht="21.0" customHeight="1">
      <c r="A4196" s="6">
        <v>1.0</v>
      </c>
      <c r="B4196" s="6">
        <v>317.0</v>
      </c>
      <c r="C4196" s="6">
        <v>5.0</v>
      </c>
      <c r="D4196" s="151" t="s">
        <v>7152</v>
      </c>
      <c r="E4196" s="9" t="s">
        <v>7153</v>
      </c>
      <c r="F4196" s="109" t="str">
        <f t="shared" ref="F4196:G4196" si="4195">TRANSLATE(D4196,"lzh","vi")</f>
        <v>#NAME?</v>
      </c>
      <c r="G4196" s="109" t="str">
        <f t="shared" si="4195"/>
        <v>#NAME?</v>
      </c>
      <c r="X4196" s="110"/>
    </row>
    <row r="4197" ht="21.0" customHeight="1">
      <c r="A4197" s="6">
        <v>1.0</v>
      </c>
      <c r="B4197" s="6">
        <v>317.0</v>
      </c>
      <c r="C4197" s="6">
        <v>6.0</v>
      </c>
      <c r="D4197" s="151" t="s">
        <v>7154</v>
      </c>
      <c r="E4197" s="9" t="s">
        <v>7155</v>
      </c>
      <c r="F4197" s="109" t="str">
        <f t="shared" ref="F4197:G4197" si="4196">TRANSLATE(D4197,"lzh","vi")</f>
        <v>#NAME?</v>
      </c>
      <c r="G4197" s="109" t="str">
        <f t="shared" si="4196"/>
        <v>#NAME?</v>
      </c>
      <c r="X4197" s="110"/>
    </row>
    <row r="4198" ht="21.0" customHeight="1">
      <c r="A4198" s="6">
        <v>1.0</v>
      </c>
      <c r="B4198" s="6">
        <v>317.0</v>
      </c>
      <c r="C4198" s="6">
        <v>7.0</v>
      </c>
      <c r="D4198" s="151" t="s">
        <v>7156</v>
      </c>
      <c r="E4198" s="9" t="s">
        <v>7157</v>
      </c>
      <c r="F4198" s="109" t="str">
        <f t="shared" ref="F4198:G4198" si="4197">TRANSLATE(D4198,"lzh","vi")</f>
        <v>#NAME?</v>
      </c>
      <c r="G4198" s="109" t="str">
        <f t="shared" si="4197"/>
        <v>#NAME?</v>
      </c>
      <c r="X4198" s="110"/>
    </row>
    <row r="4199" ht="21.0" customHeight="1">
      <c r="A4199" s="6">
        <v>1.0</v>
      </c>
      <c r="B4199" s="6">
        <v>317.0</v>
      </c>
      <c r="C4199" s="6">
        <v>8.0</v>
      </c>
      <c r="D4199" s="151" t="s">
        <v>7158</v>
      </c>
      <c r="E4199" s="9" t="s">
        <v>7159</v>
      </c>
      <c r="F4199" s="109" t="str">
        <f t="shared" ref="F4199:G4199" si="4198">TRANSLATE(D4199,"lzh","vi")</f>
        <v>#NAME?</v>
      </c>
      <c r="G4199" s="109" t="str">
        <f t="shared" si="4198"/>
        <v>#NAME?</v>
      </c>
      <c r="X4199" s="110"/>
    </row>
    <row r="4200" ht="21.0" customHeight="1">
      <c r="A4200" s="6">
        <v>1.0</v>
      </c>
      <c r="B4200" s="6">
        <v>317.0</v>
      </c>
      <c r="C4200" s="6">
        <v>9.0</v>
      </c>
      <c r="D4200" s="151" t="s">
        <v>7160</v>
      </c>
      <c r="E4200" s="9" t="s">
        <v>7161</v>
      </c>
      <c r="F4200" s="109" t="str">
        <f t="shared" ref="F4200:G4200" si="4199">TRANSLATE(D4200,"lzh","vi")</f>
        <v>#NAME?</v>
      </c>
      <c r="G4200" s="109" t="str">
        <f t="shared" si="4199"/>
        <v>#NAME?</v>
      </c>
      <c r="X4200" s="110"/>
    </row>
    <row r="4201" ht="21.0" customHeight="1">
      <c r="A4201" s="6">
        <v>1.0</v>
      </c>
      <c r="B4201" s="6">
        <v>317.0</v>
      </c>
      <c r="C4201" s="6">
        <v>10.0</v>
      </c>
      <c r="D4201" s="151" t="s">
        <v>7162</v>
      </c>
      <c r="E4201" s="9" t="s">
        <v>7163</v>
      </c>
      <c r="F4201" s="109" t="str">
        <f t="shared" ref="F4201:G4201" si="4200">TRANSLATE(D4201,"lzh","vi")</f>
        <v>#NAME?</v>
      </c>
      <c r="G4201" s="109" t="str">
        <f t="shared" si="4200"/>
        <v>#NAME?</v>
      </c>
      <c r="X4201" s="110"/>
    </row>
    <row r="4202" ht="21.0" customHeight="1">
      <c r="A4202" s="6">
        <v>1.0</v>
      </c>
      <c r="B4202" s="6">
        <v>317.0</v>
      </c>
      <c r="C4202" s="6">
        <v>11.0</v>
      </c>
      <c r="D4202" s="151" t="s">
        <v>7164</v>
      </c>
      <c r="E4202" s="9" t="s">
        <v>7165</v>
      </c>
      <c r="F4202" s="109" t="str">
        <f t="shared" ref="F4202:G4202" si="4201">TRANSLATE(D4202,"lzh","vi")</f>
        <v>#NAME?</v>
      </c>
      <c r="G4202" s="109" t="str">
        <f t="shared" si="4201"/>
        <v>#NAME?</v>
      </c>
      <c r="X4202" s="110"/>
    </row>
    <row r="4203" ht="21.0" customHeight="1">
      <c r="A4203" s="6">
        <v>1.0</v>
      </c>
      <c r="B4203" s="6">
        <v>317.0</v>
      </c>
      <c r="C4203" s="6">
        <v>12.0</v>
      </c>
      <c r="D4203" s="122" t="s">
        <v>7166</v>
      </c>
      <c r="E4203" s="9" t="s">
        <v>7167</v>
      </c>
      <c r="F4203" s="109" t="str">
        <f t="shared" ref="F4203:G4203" si="4202">TRANSLATE(D4203,"lzh","vi")</f>
        <v>#NAME?</v>
      </c>
      <c r="G4203" s="109" t="str">
        <f t="shared" si="4202"/>
        <v>#NAME?</v>
      </c>
      <c r="X4203" s="110"/>
    </row>
    <row r="4204" ht="21.0" customHeight="1">
      <c r="A4204" s="6">
        <v>1.0</v>
      </c>
      <c r="B4204" s="6">
        <v>317.0</v>
      </c>
      <c r="C4204" s="6">
        <v>13.0</v>
      </c>
      <c r="D4204" s="151" t="s">
        <v>7168</v>
      </c>
      <c r="E4204" s="9" t="s">
        <v>7169</v>
      </c>
      <c r="F4204" s="109" t="str">
        <f t="shared" ref="F4204:G4204" si="4203">TRANSLATE(D4204,"lzh","vi")</f>
        <v>#NAME?</v>
      </c>
      <c r="G4204" s="109" t="str">
        <f t="shared" si="4203"/>
        <v>#NAME?</v>
      </c>
      <c r="X4204" s="110"/>
    </row>
    <row r="4205" ht="21.0" customHeight="1">
      <c r="A4205" s="6">
        <v>1.0</v>
      </c>
      <c r="B4205" s="6">
        <v>318.0</v>
      </c>
      <c r="C4205" s="6">
        <v>1.0</v>
      </c>
      <c r="D4205" s="151" t="s">
        <v>7170</v>
      </c>
      <c r="E4205" s="9" t="s">
        <v>7171</v>
      </c>
      <c r="F4205" s="109" t="str">
        <f t="shared" ref="F4205:G4205" si="4204">TRANSLATE(D4205,"lzh","vi")</f>
        <v>#NAME?</v>
      </c>
      <c r="G4205" s="109" t="str">
        <f t="shared" si="4204"/>
        <v>#NAME?</v>
      </c>
      <c r="X4205" s="110"/>
    </row>
    <row r="4206" ht="21.0" customHeight="1">
      <c r="A4206" s="6">
        <v>1.0</v>
      </c>
      <c r="B4206" s="6">
        <v>318.0</v>
      </c>
      <c r="C4206" s="6">
        <v>2.0</v>
      </c>
      <c r="D4206" s="151" t="s">
        <v>7172</v>
      </c>
      <c r="E4206" s="9" t="s">
        <v>7173</v>
      </c>
      <c r="F4206" s="109" t="str">
        <f t="shared" ref="F4206:G4206" si="4205">TRANSLATE(D4206,"lzh","vi")</f>
        <v>#NAME?</v>
      </c>
      <c r="G4206" s="109" t="str">
        <f t="shared" si="4205"/>
        <v>#NAME?</v>
      </c>
      <c r="X4206" s="110"/>
    </row>
    <row r="4207" ht="21.0" customHeight="1">
      <c r="A4207" s="6">
        <v>1.0</v>
      </c>
      <c r="B4207" s="6">
        <v>318.0</v>
      </c>
      <c r="C4207" s="6">
        <v>3.0</v>
      </c>
      <c r="D4207" s="151" t="s">
        <v>7174</v>
      </c>
      <c r="E4207" s="9" t="s">
        <v>7175</v>
      </c>
      <c r="F4207" s="109" t="str">
        <f t="shared" ref="F4207:G4207" si="4206">TRANSLATE(D4207,"lzh","vi")</f>
        <v>#NAME?</v>
      </c>
      <c r="G4207" s="109" t="str">
        <f t="shared" si="4206"/>
        <v>#NAME?</v>
      </c>
      <c r="X4207" s="110"/>
    </row>
    <row r="4208" ht="21.0" customHeight="1">
      <c r="A4208" s="6">
        <v>1.0</v>
      </c>
      <c r="B4208" s="6">
        <v>318.0</v>
      </c>
      <c r="C4208" s="6">
        <v>4.0</v>
      </c>
      <c r="D4208" s="151" t="s">
        <v>7176</v>
      </c>
      <c r="E4208" s="9" t="s">
        <v>7177</v>
      </c>
      <c r="F4208" s="109" t="str">
        <f t="shared" ref="F4208:G4208" si="4207">TRANSLATE(D4208,"lzh","vi")</f>
        <v>#NAME?</v>
      </c>
      <c r="G4208" s="109" t="str">
        <f t="shared" si="4207"/>
        <v>#NAME?</v>
      </c>
      <c r="X4208" s="110"/>
    </row>
    <row r="4209" ht="21.0" customHeight="1">
      <c r="A4209" s="6">
        <v>1.0</v>
      </c>
      <c r="B4209" s="6">
        <v>318.0</v>
      </c>
      <c r="C4209" s="6">
        <v>5.0</v>
      </c>
      <c r="D4209" s="151" t="s">
        <v>7178</v>
      </c>
      <c r="E4209" s="9" t="s">
        <v>7179</v>
      </c>
      <c r="F4209" s="109" t="str">
        <f t="shared" ref="F4209:G4209" si="4208">TRANSLATE(D4209,"lzh","vi")</f>
        <v>#NAME?</v>
      </c>
      <c r="G4209" s="109" t="str">
        <f t="shared" si="4208"/>
        <v>#NAME?</v>
      </c>
      <c r="X4209" s="110"/>
    </row>
    <row r="4210" ht="21.0" customHeight="1">
      <c r="A4210" s="6">
        <v>1.0</v>
      </c>
      <c r="B4210" s="6">
        <v>318.0</v>
      </c>
      <c r="C4210" s="6">
        <v>6.0</v>
      </c>
      <c r="D4210" s="151" t="s">
        <v>7180</v>
      </c>
      <c r="E4210" s="9" t="s">
        <v>7181</v>
      </c>
      <c r="F4210" s="109" t="str">
        <f t="shared" ref="F4210:G4210" si="4209">TRANSLATE(D4210,"lzh","vi")</f>
        <v>#NAME?</v>
      </c>
      <c r="G4210" s="109" t="str">
        <f t="shared" si="4209"/>
        <v>#NAME?</v>
      </c>
      <c r="X4210" s="110"/>
    </row>
    <row r="4211" ht="21.0" customHeight="1">
      <c r="A4211" s="6">
        <v>1.0</v>
      </c>
      <c r="B4211" s="6">
        <v>318.0</v>
      </c>
      <c r="C4211" s="6">
        <v>7.0</v>
      </c>
      <c r="D4211" s="151" t="s">
        <v>7182</v>
      </c>
      <c r="E4211" s="9" t="s">
        <v>7183</v>
      </c>
      <c r="F4211" s="109" t="str">
        <f t="shared" ref="F4211:G4211" si="4210">TRANSLATE(D4211,"lzh","vi")</f>
        <v>#NAME?</v>
      </c>
      <c r="G4211" s="109" t="str">
        <f t="shared" si="4210"/>
        <v>#NAME?</v>
      </c>
      <c r="X4211" s="110"/>
    </row>
    <row r="4212" ht="21.0" customHeight="1">
      <c r="A4212" s="6">
        <v>1.0</v>
      </c>
      <c r="B4212" s="6">
        <v>318.0</v>
      </c>
      <c r="C4212" s="6">
        <v>8.0</v>
      </c>
      <c r="D4212" s="151" t="s">
        <v>7184</v>
      </c>
      <c r="E4212" s="9" t="s">
        <v>7185</v>
      </c>
      <c r="F4212" s="109" t="str">
        <f t="shared" ref="F4212:G4212" si="4211">TRANSLATE(D4212,"lzh","vi")</f>
        <v>#NAME?</v>
      </c>
      <c r="G4212" s="109" t="str">
        <f t="shared" si="4211"/>
        <v>#NAME?</v>
      </c>
      <c r="X4212" s="110"/>
    </row>
    <row r="4213" ht="21.0" customHeight="1">
      <c r="A4213" s="6">
        <v>1.0</v>
      </c>
      <c r="B4213" s="6">
        <v>318.0</v>
      </c>
      <c r="C4213" s="6">
        <v>9.0</v>
      </c>
      <c r="D4213" s="151" t="s">
        <v>7186</v>
      </c>
      <c r="E4213" s="9" t="s">
        <v>7187</v>
      </c>
      <c r="F4213" s="109" t="str">
        <f t="shared" ref="F4213:G4213" si="4212">TRANSLATE(D4213,"lzh","vi")</f>
        <v>#NAME?</v>
      </c>
      <c r="G4213" s="109" t="str">
        <f t="shared" si="4212"/>
        <v>#NAME?</v>
      </c>
      <c r="X4213" s="110"/>
    </row>
    <row r="4214" ht="21.0" customHeight="1">
      <c r="A4214" s="6">
        <v>1.0</v>
      </c>
      <c r="B4214" s="6">
        <v>318.0</v>
      </c>
      <c r="C4214" s="6">
        <v>10.0</v>
      </c>
      <c r="D4214" s="151" t="s">
        <v>7188</v>
      </c>
      <c r="E4214" s="9" t="s">
        <v>7189</v>
      </c>
      <c r="F4214" s="109" t="str">
        <f t="shared" ref="F4214:G4214" si="4213">TRANSLATE(D4214,"lzh","vi")</f>
        <v>#NAME?</v>
      </c>
      <c r="G4214" s="109" t="str">
        <f t="shared" si="4213"/>
        <v>#NAME?</v>
      </c>
      <c r="X4214" s="110"/>
    </row>
    <row r="4215" ht="21.0" customHeight="1">
      <c r="A4215" s="6">
        <v>1.0</v>
      </c>
      <c r="B4215" s="6">
        <v>318.0</v>
      </c>
      <c r="C4215" s="6">
        <v>11.0</v>
      </c>
      <c r="D4215" s="151" t="s">
        <v>7190</v>
      </c>
      <c r="E4215" s="9" t="s">
        <v>7191</v>
      </c>
      <c r="F4215" s="109" t="str">
        <f t="shared" ref="F4215:G4215" si="4214">TRANSLATE(D4215,"lzh","vi")</f>
        <v>#NAME?</v>
      </c>
      <c r="G4215" s="109" t="str">
        <f t="shared" si="4214"/>
        <v>#NAME?</v>
      </c>
      <c r="X4215" s="110"/>
    </row>
    <row r="4216" ht="21.0" customHeight="1">
      <c r="A4216" s="6">
        <v>1.0</v>
      </c>
      <c r="B4216" s="6">
        <v>318.0</v>
      </c>
      <c r="C4216" s="6">
        <v>12.0</v>
      </c>
      <c r="D4216" s="151" t="s">
        <v>7192</v>
      </c>
      <c r="E4216" s="9" t="s">
        <v>7193</v>
      </c>
      <c r="F4216" s="109" t="str">
        <f t="shared" ref="F4216:G4216" si="4215">TRANSLATE(D4216,"lzh","vi")</f>
        <v>#NAME?</v>
      </c>
      <c r="G4216" s="109" t="str">
        <f t="shared" si="4215"/>
        <v>#NAME?</v>
      </c>
      <c r="X4216" s="110"/>
    </row>
    <row r="4217" ht="21.0" customHeight="1">
      <c r="A4217" s="6">
        <v>1.0</v>
      </c>
      <c r="B4217" s="6">
        <v>318.0</v>
      </c>
      <c r="C4217" s="6">
        <v>13.0</v>
      </c>
      <c r="D4217" s="151" t="s">
        <v>7194</v>
      </c>
      <c r="E4217" s="9" t="s">
        <v>7195</v>
      </c>
      <c r="F4217" s="109" t="str">
        <f t="shared" ref="F4217:G4217" si="4216">TRANSLATE(D4217,"lzh","vi")</f>
        <v>#NAME?</v>
      </c>
      <c r="G4217" s="109" t="str">
        <f t="shared" si="4216"/>
        <v>#NAME?</v>
      </c>
      <c r="X4217" s="110"/>
    </row>
    <row r="4218" ht="21.0" customHeight="1">
      <c r="A4218" s="6">
        <v>11.0</v>
      </c>
      <c r="B4218" s="6">
        <v>2007.0</v>
      </c>
      <c r="C4218" s="6">
        <v>1.0</v>
      </c>
      <c r="D4218" s="187" t="s">
        <v>7196</v>
      </c>
      <c r="E4218" s="19" t="s">
        <v>7197</v>
      </c>
      <c r="F4218" s="109" t="str">
        <f t="shared" ref="F4218:G4218" si="4217">TRANSLATE(D4218,"lzh","vi")</f>
        <v>#NAME?</v>
      </c>
      <c r="G4218" s="109" t="str">
        <f t="shared" si="4217"/>
        <v>#NAME?</v>
      </c>
      <c r="X4218" s="110"/>
    </row>
    <row r="4219" ht="21.0" customHeight="1">
      <c r="A4219" s="6">
        <v>11.0</v>
      </c>
      <c r="B4219" s="6">
        <v>2007.0</v>
      </c>
      <c r="C4219" s="6">
        <v>2.0</v>
      </c>
      <c r="D4219" s="187" t="s">
        <v>7198</v>
      </c>
      <c r="E4219" s="19" t="s">
        <v>7199</v>
      </c>
      <c r="F4219" s="109" t="str">
        <f t="shared" ref="F4219:G4219" si="4218">TRANSLATE(D4219,"lzh","vi")</f>
        <v>#NAME?</v>
      </c>
      <c r="G4219" s="109" t="str">
        <f t="shared" si="4218"/>
        <v>#NAME?</v>
      </c>
      <c r="X4219" s="110"/>
    </row>
    <row r="4220" ht="21.0" customHeight="1">
      <c r="A4220" s="6">
        <v>11.0</v>
      </c>
      <c r="B4220" s="6">
        <v>2007.0</v>
      </c>
      <c r="C4220" s="6">
        <v>3.0</v>
      </c>
      <c r="D4220" s="187" t="s">
        <v>7200</v>
      </c>
      <c r="E4220" s="19" t="s">
        <v>7201</v>
      </c>
      <c r="F4220" s="109" t="str">
        <f t="shared" ref="F4220:G4220" si="4219">TRANSLATE(D4220,"lzh","vi")</f>
        <v>#NAME?</v>
      </c>
      <c r="G4220" s="109" t="str">
        <f t="shared" si="4219"/>
        <v>#NAME?</v>
      </c>
      <c r="X4220" s="110"/>
    </row>
    <row r="4221" ht="21.0" customHeight="1">
      <c r="A4221" s="6">
        <v>11.0</v>
      </c>
      <c r="B4221" s="6">
        <v>2007.0</v>
      </c>
      <c r="C4221" s="6">
        <v>4.0</v>
      </c>
      <c r="D4221" s="187" t="s">
        <v>7202</v>
      </c>
      <c r="E4221" s="19" t="s">
        <v>7203</v>
      </c>
      <c r="F4221" s="109" t="str">
        <f t="shared" ref="F4221:G4221" si="4220">TRANSLATE(D4221,"lzh","vi")</f>
        <v>#NAME?</v>
      </c>
      <c r="G4221" s="109" t="str">
        <f t="shared" si="4220"/>
        <v>#NAME?</v>
      </c>
      <c r="X4221" s="110"/>
    </row>
    <row r="4222" ht="21.0" customHeight="1">
      <c r="A4222" s="6">
        <v>10.0</v>
      </c>
      <c r="B4222" s="6">
        <v>2007.0</v>
      </c>
      <c r="C4222" s="6">
        <v>5.0</v>
      </c>
      <c r="D4222" s="187" t="s">
        <v>7204</v>
      </c>
      <c r="E4222" s="19" t="s">
        <v>7205</v>
      </c>
      <c r="F4222" s="109" t="str">
        <f t="shared" ref="F4222:G4222" si="4221">TRANSLATE(D4222,"lzh","vi")</f>
        <v>#NAME?</v>
      </c>
      <c r="G4222" s="109" t="str">
        <f t="shared" si="4221"/>
        <v>#NAME?</v>
      </c>
      <c r="X4222" s="110"/>
    </row>
    <row r="4223" ht="21.0" customHeight="1">
      <c r="A4223" s="6">
        <v>10.0</v>
      </c>
      <c r="B4223" s="6">
        <v>2007.0</v>
      </c>
      <c r="C4223" s="6">
        <v>6.0</v>
      </c>
      <c r="D4223" s="187" t="s">
        <v>7206</v>
      </c>
      <c r="E4223" s="19" t="s">
        <v>7207</v>
      </c>
      <c r="F4223" s="109" t="str">
        <f t="shared" ref="F4223:G4223" si="4222">TRANSLATE(D4223,"lzh","vi")</f>
        <v>#NAME?</v>
      </c>
      <c r="G4223" s="109" t="str">
        <f t="shared" si="4222"/>
        <v>#NAME?</v>
      </c>
      <c r="X4223" s="110"/>
    </row>
    <row r="4224" ht="21.0" customHeight="1">
      <c r="A4224" s="6">
        <v>10.0</v>
      </c>
      <c r="B4224" s="6">
        <v>2007.0</v>
      </c>
      <c r="C4224" s="6">
        <v>7.0</v>
      </c>
      <c r="D4224" s="187" t="s">
        <v>7208</v>
      </c>
      <c r="E4224" s="19" t="s">
        <v>7209</v>
      </c>
      <c r="F4224" s="109" t="str">
        <f t="shared" ref="F4224:G4224" si="4223">TRANSLATE(D4224,"lzh","vi")</f>
        <v>#NAME?</v>
      </c>
      <c r="G4224" s="109" t="str">
        <f t="shared" si="4223"/>
        <v>#NAME?</v>
      </c>
      <c r="X4224" s="110"/>
    </row>
    <row r="4225" ht="21.0" customHeight="1">
      <c r="A4225" s="6">
        <v>10.0</v>
      </c>
      <c r="B4225" s="6">
        <v>2007.0</v>
      </c>
      <c r="C4225" s="6">
        <v>8.0</v>
      </c>
      <c r="D4225" s="187" t="s">
        <v>7210</v>
      </c>
      <c r="E4225" s="19" t="s">
        <v>7211</v>
      </c>
      <c r="F4225" s="109" t="str">
        <f t="shared" ref="F4225:G4225" si="4224">TRANSLATE(D4225,"lzh","vi")</f>
        <v>#NAME?</v>
      </c>
      <c r="G4225" s="109" t="str">
        <f t="shared" si="4224"/>
        <v>#NAME?</v>
      </c>
      <c r="X4225" s="110"/>
    </row>
    <row r="4226" ht="21.0" customHeight="1">
      <c r="A4226" s="6">
        <v>10.0</v>
      </c>
      <c r="B4226" s="6">
        <v>2007.0</v>
      </c>
      <c r="C4226" s="6">
        <v>9.0</v>
      </c>
      <c r="D4226" s="187" t="s">
        <v>7212</v>
      </c>
      <c r="E4226" s="19" t="s">
        <v>7213</v>
      </c>
      <c r="F4226" s="109" t="str">
        <f t="shared" ref="F4226:G4226" si="4225">TRANSLATE(D4226,"lzh","vi")</f>
        <v>#NAME?</v>
      </c>
      <c r="G4226" s="109" t="str">
        <f t="shared" si="4225"/>
        <v>#NAME?</v>
      </c>
      <c r="X4226" s="110"/>
    </row>
    <row r="4227" ht="21.0" customHeight="1">
      <c r="A4227" s="6">
        <v>10.0</v>
      </c>
      <c r="B4227" s="6">
        <v>2007.0</v>
      </c>
      <c r="C4227" s="6">
        <v>10.0</v>
      </c>
      <c r="D4227" s="187" t="s">
        <v>7214</v>
      </c>
      <c r="E4227" s="19" t="s">
        <v>7215</v>
      </c>
      <c r="F4227" s="109" t="str">
        <f t="shared" ref="F4227:G4227" si="4226">TRANSLATE(D4227,"lzh","vi")</f>
        <v>#NAME?</v>
      </c>
      <c r="G4227" s="109" t="str">
        <f t="shared" si="4226"/>
        <v>#NAME?</v>
      </c>
      <c r="X4227" s="110"/>
    </row>
    <row r="4228" ht="21.0" customHeight="1">
      <c r="A4228" s="6">
        <v>11.0</v>
      </c>
      <c r="B4228" s="6">
        <v>2008.0</v>
      </c>
      <c r="C4228" s="6">
        <v>1.0</v>
      </c>
      <c r="D4228" s="187" t="s">
        <v>7216</v>
      </c>
      <c r="E4228" s="19" t="s">
        <v>7217</v>
      </c>
      <c r="F4228" s="109" t="str">
        <f t="shared" ref="F4228:G4228" si="4227">TRANSLATE(D4228,"lzh","vi")</f>
        <v>#NAME?</v>
      </c>
      <c r="G4228" s="109" t="str">
        <f t="shared" si="4227"/>
        <v>#NAME?</v>
      </c>
      <c r="X4228" s="110"/>
    </row>
    <row r="4229" ht="21.0" customHeight="1">
      <c r="A4229" s="6">
        <v>11.0</v>
      </c>
      <c r="B4229" s="6">
        <v>2008.0</v>
      </c>
      <c r="C4229" s="6">
        <v>2.0</v>
      </c>
      <c r="D4229" s="187" t="s">
        <v>7218</v>
      </c>
      <c r="E4229" s="19" t="s">
        <v>7219</v>
      </c>
      <c r="F4229" s="109" t="str">
        <f t="shared" ref="F4229:G4229" si="4228">TRANSLATE(D4229,"lzh","vi")</f>
        <v>#NAME?</v>
      </c>
      <c r="G4229" s="109" t="str">
        <f t="shared" si="4228"/>
        <v>#NAME?</v>
      </c>
      <c r="X4229" s="110"/>
    </row>
    <row r="4230" ht="21.0" customHeight="1">
      <c r="A4230" s="6">
        <v>11.0</v>
      </c>
      <c r="B4230" s="6">
        <v>2008.0</v>
      </c>
      <c r="C4230" s="6">
        <v>3.0</v>
      </c>
      <c r="D4230" s="187" t="s">
        <v>7220</v>
      </c>
      <c r="E4230" s="19" t="s">
        <v>7221</v>
      </c>
      <c r="F4230" s="109" t="str">
        <f t="shared" ref="F4230:G4230" si="4229">TRANSLATE(D4230,"lzh","vi")</f>
        <v>#NAME?</v>
      </c>
      <c r="G4230" s="109" t="str">
        <f t="shared" si="4229"/>
        <v>#NAME?</v>
      </c>
      <c r="X4230" s="110"/>
    </row>
    <row r="4231" ht="21.0" customHeight="1">
      <c r="A4231" s="6">
        <v>11.0</v>
      </c>
      <c r="B4231" s="6">
        <v>2008.0</v>
      </c>
      <c r="C4231" s="6">
        <v>4.0</v>
      </c>
      <c r="D4231" s="187" t="s">
        <v>7222</v>
      </c>
      <c r="E4231" s="19" t="s">
        <v>7223</v>
      </c>
      <c r="F4231" s="109" t="str">
        <f t="shared" ref="F4231:G4231" si="4230">TRANSLATE(D4231,"lzh","vi")</f>
        <v>#NAME?</v>
      </c>
      <c r="G4231" s="109" t="str">
        <f t="shared" si="4230"/>
        <v>#NAME?</v>
      </c>
      <c r="X4231" s="110"/>
    </row>
    <row r="4232" ht="21.0" customHeight="1">
      <c r="A4232" s="6">
        <v>10.0</v>
      </c>
      <c r="B4232" s="6">
        <v>2008.0</v>
      </c>
      <c r="C4232" s="6">
        <v>5.0</v>
      </c>
      <c r="D4232" s="187" t="s">
        <v>7224</v>
      </c>
      <c r="E4232" s="19" t="s">
        <v>7225</v>
      </c>
      <c r="F4232" s="109" t="str">
        <f t="shared" ref="F4232:G4232" si="4231">TRANSLATE(D4232,"lzh","vi")</f>
        <v>#NAME?</v>
      </c>
      <c r="G4232" s="109" t="str">
        <f t="shared" si="4231"/>
        <v>#NAME?</v>
      </c>
      <c r="X4232" s="110"/>
    </row>
    <row r="4233" ht="21.0" customHeight="1">
      <c r="A4233" s="6">
        <v>10.0</v>
      </c>
      <c r="B4233" s="6">
        <v>2008.0</v>
      </c>
      <c r="C4233" s="6">
        <v>6.0</v>
      </c>
      <c r="D4233" s="187" t="s">
        <v>7226</v>
      </c>
      <c r="E4233" s="19" t="s">
        <v>7227</v>
      </c>
      <c r="F4233" s="109" t="str">
        <f t="shared" ref="F4233:G4233" si="4232">TRANSLATE(D4233,"lzh","vi")</f>
        <v>#NAME?</v>
      </c>
      <c r="G4233" s="109" t="str">
        <f t="shared" si="4232"/>
        <v>#NAME?</v>
      </c>
      <c r="X4233" s="110"/>
    </row>
    <row r="4234" ht="21.0" customHeight="1">
      <c r="A4234" s="6">
        <v>10.0</v>
      </c>
      <c r="B4234" s="6">
        <v>2008.0</v>
      </c>
      <c r="C4234" s="6">
        <v>7.0</v>
      </c>
      <c r="D4234" s="187" t="s">
        <v>7228</v>
      </c>
      <c r="E4234" s="19" t="s">
        <v>7229</v>
      </c>
      <c r="F4234" s="109" t="str">
        <f t="shared" ref="F4234:G4234" si="4233">TRANSLATE(D4234,"lzh","vi")</f>
        <v>#NAME?</v>
      </c>
      <c r="G4234" s="109" t="str">
        <f t="shared" si="4233"/>
        <v>#NAME?</v>
      </c>
      <c r="X4234" s="110"/>
    </row>
    <row r="4235" ht="21.0" customHeight="1">
      <c r="A4235" s="6">
        <v>10.0</v>
      </c>
      <c r="B4235" s="6">
        <v>2008.0</v>
      </c>
      <c r="C4235" s="6">
        <v>8.0</v>
      </c>
      <c r="D4235" s="187" t="s">
        <v>7230</v>
      </c>
      <c r="E4235" s="19" t="s">
        <v>7231</v>
      </c>
      <c r="F4235" s="109" t="str">
        <f t="shared" ref="F4235:G4235" si="4234">TRANSLATE(D4235,"lzh","vi")</f>
        <v>#NAME?</v>
      </c>
      <c r="G4235" s="109" t="str">
        <f t="shared" si="4234"/>
        <v>#NAME?</v>
      </c>
      <c r="X4235" s="110"/>
    </row>
    <row r="4236" ht="21.0" customHeight="1">
      <c r="A4236" s="6">
        <v>10.0</v>
      </c>
      <c r="B4236" s="6">
        <v>2008.0</v>
      </c>
      <c r="C4236" s="6">
        <v>9.0</v>
      </c>
      <c r="D4236" s="187" t="s">
        <v>7232</v>
      </c>
      <c r="E4236" s="19" t="s">
        <v>7233</v>
      </c>
      <c r="F4236" s="109" t="str">
        <f t="shared" ref="F4236:G4236" si="4235">TRANSLATE(D4236,"lzh","vi")</f>
        <v>#NAME?</v>
      </c>
      <c r="G4236" s="109" t="str">
        <f t="shared" si="4235"/>
        <v>#NAME?</v>
      </c>
      <c r="X4236" s="110"/>
    </row>
    <row r="4237" ht="21.0" customHeight="1">
      <c r="A4237" s="6">
        <v>10.0</v>
      </c>
      <c r="B4237" s="6">
        <v>2008.0</v>
      </c>
      <c r="C4237" s="6">
        <v>10.0</v>
      </c>
      <c r="D4237" s="187" t="s">
        <v>7234</v>
      </c>
      <c r="E4237" s="19" t="s">
        <v>7215</v>
      </c>
      <c r="F4237" s="109" t="str">
        <f t="shared" ref="F4237:G4237" si="4236">TRANSLATE(D4237,"lzh","vi")</f>
        <v>#NAME?</v>
      </c>
      <c r="G4237" s="109" t="str">
        <f t="shared" si="4236"/>
        <v>#NAME?</v>
      </c>
      <c r="X4237" s="110"/>
    </row>
    <row r="4238" ht="21.0" customHeight="1">
      <c r="A4238" s="6">
        <v>1.0</v>
      </c>
      <c r="B4238" s="6">
        <v>319.0</v>
      </c>
      <c r="C4238" s="6">
        <v>1.0</v>
      </c>
      <c r="D4238" s="188" t="s">
        <v>7235</v>
      </c>
      <c r="E4238" s="11" t="s">
        <v>7236</v>
      </c>
      <c r="F4238" s="109" t="str">
        <f t="shared" ref="F4238:G4238" si="4237">TRANSLATE(D4238,"lzh","vi")</f>
        <v>#NAME?</v>
      </c>
      <c r="G4238" s="109" t="str">
        <f t="shared" si="4237"/>
        <v>#NAME?</v>
      </c>
      <c r="X4238" s="110"/>
    </row>
    <row r="4239" ht="21.0" customHeight="1">
      <c r="A4239" s="6">
        <v>1.0</v>
      </c>
      <c r="B4239" s="6">
        <v>319.0</v>
      </c>
      <c r="C4239" s="6">
        <v>2.0</v>
      </c>
      <c r="D4239" s="188" t="s">
        <v>7237</v>
      </c>
      <c r="E4239" s="11" t="s">
        <v>7238</v>
      </c>
      <c r="F4239" s="109" t="str">
        <f t="shared" ref="F4239:G4239" si="4238">TRANSLATE(D4239,"lzh","vi")</f>
        <v>#NAME?</v>
      </c>
      <c r="G4239" s="109" t="str">
        <f t="shared" si="4238"/>
        <v>#NAME?</v>
      </c>
      <c r="X4239" s="110"/>
    </row>
    <row r="4240" ht="21.0" customHeight="1">
      <c r="A4240" s="6">
        <v>1.0</v>
      </c>
      <c r="B4240" s="6">
        <v>319.0</v>
      </c>
      <c r="C4240" s="6">
        <v>3.0</v>
      </c>
      <c r="D4240" s="188" t="s">
        <v>7239</v>
      </c>
      <c r="E4240" s="11" t="s">
        <v>7240</v>
      </c>
      <c r="F4240" s="109" t="str">
        <f t="shared" ref="F4240:G4240" si="4239">TRANSLATE(D4240,"lzh","vi")</f>
        <v>#NAME?</v>
      </c>
      <c r="G4240" s="109" t="str">
        <f t="shared" si="4239"/>
        <v>#NAME?</v>
      </c>
      <c r="X4240" s="110"/>
    </row>
    <row r="4241" ht="21.0" customHeight="1">
      <c r="A4241" s="6">
        <v>1.0</v>
      </c>
      <c r="B4241" s="6">
        <v>319.0</v>
      </c>
      <c r="C4241" s="6">
        <v>4.0</v>
      </c>
      <c r="D4241" s="188" t="s">
        <v>7241</v>
      </c>
      <c r="E4241" s="11" t="s">
        <v>7242</v>
      </c>
      <c r="F4241" s="109" t="str">
        <f t="shared" ref="F4241:G4241" si="4240">TRANSLATE(D4241,"lzh","vi")</f>
        <v>#NAME?</v>
      </c>
      <c r="G4241" s="109" t="str">
        <f t="shared" si="4240"/>
        <v>#NAME?</v>
      </c>
      <c r="X4241" s="110"/>
    </row>
    <row r="4242" ht="21.0" customHeight="1">
      <c r="A4242" s="6">
        <v>1.0</v>
      </c>
      <c r="B4242" s="6">
        <v>319.0</v>
      </c>
      <c r="C4242" s="6">
        <v>5.0</v>
      </c>
      <c r="D4242" s="188" t="s">
        <v>7243</v>
      </c>
      <c r="E4242" s="11" t="s">
        <v>7244</v>
      </c>
      <c r="F4242" s="109" t="str">
        <f t="shared" ref="F4242:G4242" si="4241">TRANSLATE(D4242,"lzh","vi")</f>
        <v>#NAME?</v>
      </c>
      <c r="G4242" s="109" t="str">
        <f t="shared" si="4241"/>
        <v>#NAME?</v>
      </c>
      <c r="X4242" s="110"/>
    </row>
    <row r="4243" ht="21.0" customHeight="1">
      <c r="A4243" s="6">
        <v>1.0</v>
      </c>
      <c r="B4243" s="6">
        <v>319.0</v>
      </c>
      <c r="C4243" s="6">
        <v>6.0</v>
      </c>
      <c r="D4243" s="188" t="s">
        <v>7245</v>
      </c>
      <c r="E4243" s="11" t="s">
        <v>7246</v>
      </c>
      <c r="F4243" s="109" t="str">
        <f t="shared" ref="F4243:G4243" si="4242">TRANSLATE(D4243,"lzh","vi")</f>
        <v>#NAME?</v>
      </c>
      <c r="G4243" s="109" t="str">
        <f t="shared" si="4242"/>
        <v>#NAME?</v>
      </c>
      <c r="X4243" s="110"/>
    </row>
    <row r="4244" ht="21.0" customHeight="1">
      <c r="A4244" s="6">
        <v>1.0</v>
      </c>
      <c r="B4244" s="6">
        <v>319.0</v>
      </c>
      <c r="C4244" s="6">
        <v>7.0</v>
      </c>
      <c r="D4244" s="188" t="s">
        <v>7247</v>
      </c>
      <c r="E4244" s="11" t="s">
        <v>7248</v>
      </c>
      <c r="F4244" s="109" t="str">
        <f t="shared" ref="F4244:G4244" si="4243">TRANSLATE(D4244,"lzh","vi")</f>
        <v>#NAME?</v>
      </c>
      <c r="G4244" s="109" t="str">
        <f t="shared" si="4243"/>
        <v>#NAME?</v>
      </c>
      <c r="X4244" s="110"/>
    </row>
    <row r="4245" ht="21.0" customHeight="1">
      <c r="A4245" s="6">
        <v>1.0</v>
      </c>
      <c r="B4245" s="6">
        <v>319.0</v>
      </c>
      <c r="C4245" s="6">
        <v>8.0</v>
      </c>
      <c r="D4245" s="188" t="s">
        <v>7249</v>
      </c>
      <c r="E4245" s="11" t="s">
        <v>7250</v>
      </c>
      <c r="F4245" s="109" t="str">
        <f t="shared" ref="F4245:G4245" si="4244">TRANSLATE(D4245,"lzh","vi")</f>
        <v>#NAME?</v>
      </c>
      <c r="G4245" s="109" t="str">
        <f t="shared" si="4244"/>
        <v>#NAME?</v>
      </c>
      <c r="X4245" s="110"/>
    </row>
    <row r="4246" ht="21.0" customHeight="1">
      <c r="A4246" s="6">
        <v>1.0</v>
      </c>
      <c r="B4246" s="6">
        <v>319.0</v>
      </c>
      <c r="C4246" s="6">
        <v>9.0</v>
      </c>
      <c r="D4246" s="188" t="s">
        <v>7251</v>
      </c>
      <c r="E4246" s="11" t="s">
        <v>7252</v>
      </c>
      <c r="F4246" s="109" t="str">
        <f t="shared" ref="F4246:G4246" si="4245">TRANSLATE(D4246,"lzh","vi")</f>
        <v>#NAME?</v>
      </c>
      <c r="G4246" s="109" t="str">
        <f t="shared" si="4245"/>
        <v>#NAME?</v>
      </c>
      <c r="X4246" s="110"/>
    </row>
    <row r="4247" ht="21.0" customHeight="1">
      <c r="A4247" s="6">
        <v>1.0</v>
      </c>
      <c r="B4247" s="6">
        <v>319.0</v>
      </c>
      <c r="C4247" s="6">
        <v>10.0</v>
      </c>
      <c r="D4247" s="188" t="s">
        <v>7253</v>
      </c>
      <c r="E4247" s="11" t="s">
        <v>7254</v>
      </c>
      <c r="F4247" s="109" t="str">
        <f t="shared" ref="F4247:G4247" si="4246">TRANSLATE(D4247,"lzh","vi")</f>
        <v>#NAME?</v>
      </c>
      <c r="G4247" s="109" t="str">
        <f t="shared" si="4246"/>
        <v>#NAME?</v>
      </c>
      <c r="X4247" s="110"/>
    </row>
    <row r="4248" ht="21.0" customHeight="1">
      <c r="A4248" s="6">
        <v>1.0</v>
      </c>
      <c r="B4248" s="6">
        <v>319.0</v>
      </c>
      <c r="C4248" s="6">
        <v>11.0</v>
      </c>
      <c r="D4248" s="188" t="s">
        <v>7255</v>
      </c>
      <c r="E4248" s="11" t="s">
        <v>7256</v>
      </c>
      <c r="F4248" s="109" t="str">
        <f t="shared" ref="F4248:G4248" si="4247">TRANSLATE(D4248,"lzh","vi")</f>
        <v>#NAME?</v>
      </c>
      <c r="G4248" s="109" t="str">
        <f t="shared" si="4247"/>
        <v>#NAME?</v>
      </c>
      <c r="X4248" s="110"/>
    </row>
    <row r="4249" ht="21.0" customHeight="1">
      <c r="A4249" s="6">
        <v>1.0</v>
      </c>
      <c r="B4249" s="6">
        <v>319.0</v>
      </c>
      <c r="C4249" s="6">
        <v>12.0</v>
      </c>
      <c r="D4249" s="188" t="s">
        <v>7257</v>
      </c>
      <c r="E4249" s="11" t="s">
        <v>7258</v>
      </c>
      <c r="F4249" s="109" t="str">
        <f t="shared" ref="F4249:G4249" si="4248">TRANSLATE(D4249,"lzh","vi")</f>
        <v>#NAME?</v>
      </c>
      <c r="G4249" s="109" t="str">
        <f t="shared" si="4248"/>
        <v>#NAME?</v>
      </c>
      <c r="X4249" s="110"/>
    </row>
    <row r="4250" ht="21.0" customHeight="1">
      <c r="A4250" s="6">
        <v>1.0</v>
      </c>
      <c r="B4250" s="6">
        <v>319.0</v>
      </c>
      <c r="C4250" s="6">
        <v>13.0</v>
      </c>
      <c r="D4250" s="188" t="s">
        <v>7259</v>
      </c>
      <c r="E4250" s="11" t="s">
        <v>7260</v>
      </c>
      <c r="F4250" s="109" t="str">
        <f t="shared" ref="F4250:G4250" si="4249">TRANSLATE(D4250,"lzh","vi")</f>
        <v>#NAME?</v>
      </c>
      <c r="G4250" s="109" t="str">
        <f t="shared" si="4249"/>
        <v>#NAME?</v>
      </c>
      <c r="X4250" s="110"/>
    </row>
    <row r="4251" ht="21.0" customHeight="1">
      <c r="A4251" s="6">
        <v>1.0</v>
      </c>
      <c r="B4251" s="6">
        <v>320.0</v>
      </c>
      <c r="C4251" s="6">
        <v>1.0</v>
      </c>
      <c r="D4251" s="188" t="s">
        <v>7261</v>
      </c>
      <c r="E4251" s="11" t="s">
        <v>7262</v>
      </c>
      <c r="F4251" s="109" t="str">
        <f t="shared" ref="F4251:G4251" si="4250">TRANSLATE(D4251,"lzh","vi")</f>
        <v>#NAME?</v>
      </c>
      <c r="G4251" s="109" t="str">
        <f t="shared" si="4250"/>
        <v>#NAME?</v>
      </c>
      <c r="X4251" s="110"/>
    </row>
    <row r="4252" ht="21.0" customHeight="1">
      <c r="A4252" s="6">
        <v>1.0</v>
      </c>
      <c r="B4252" s="6">
        <v>320.0</v>
      </c>
      <c r="C4252" s="6">
        <v>2.0</v>
      </c>
      <c r="D4252" s="188" t="s">
        <v>7263</v>
      </c>
      <c r="E4252" s="11" t="s">
        <v>7264</v>
      </c>
      <c r="F4252" s="109" t="str">
        <f t="shared" ref="F4252:G4252" si="4251">TRANSLATE(D4252,"lzh","vi")</f>
        <v>#NAME?</v>
      </c>
      <c r="G4252" s="109" t="str">
        <f t="shared" si="4251"/>
        <v>#NAME?</v>
      </c>
      <c r="X4252" s="110"/>
    </row>
    <row r="4253" ht="21.0" customHeight="1">
      <c r="A4253" s="6">
        <v>1.0</v>
      </c>
      <c r="B4253" s="6">
        <v>320.0</v>
      </c>
      <c r="C4253" s="6">
        <v>3.0</v>
      </c>
      <c r="D4253" s="188" t="s">
        <v>7265</v>
      </c>
      <c r="E4253" s="11" t="s">
        <v>7266</v>
      </c>
      <c r="F4253" s="109" t="str">
        <f t="shared" ref="F4253:G4253" si="4252">TRANSLATE(D4253,"lzh","vi")</f>
        <v>#NAME?</v>
      </c>
      <c r="G4253" s="109" t="str">
        <f t="shared" si="4252"/>
        <v>#NAME?</v>
      </c>
      <c r="X4253" s="110"/>
    </row>
    <row r="4254" ht="21.0" customHeight="1">
      <c r="A4254" s="6">
        <v>1.0</v>
      </c>
      <c r="B4254" s="6">
        <v>320.0</v>
      </c>
      <c r="C4254" s="6">
        <v>4.0</v>
      </c>
      <c r="D4254" s="188" t="s">
        <v>7267</v>
      </c>
      <c r="E4254" s="11" t="s">
        <v>7268</v>
      </c>
      <c r="F4254" s="109" t="str">
        <f t="shared" ref="F4254:G4254" si="4253">TRANSLATE(D4254,"lzh","vi")</f>
        <v>#NAME?</v>
      </c>
      <c r="G4254" s="109" t="str">
        <f t="shared" si="4253"/>
        <v>#NAME?</v>
      </c>
      <c r="X4254" s="110"/>
    </row>
    <row r="4255" ht="21.0" customHeight="1">
      <c r="A4255" s="6">
        <v>1.0</v>
      </c>
      <c r="B4255" s="6">
        <v>320.0</v>
      </c>
      <c r="C4255" s="6">
        <v>5.0</v>
      </c>
      <c r="D4255" s="188" t="s">
        <v>7269</v>
      </c>
      <c r="E4255" s="11" t="s">
        <v>7270</v>
      </c>
      <c r="F4255" s="109" t="str">
        <f t="shared" ref="F4255:G4255" si="4254">TRANSLATE(D4255,"lzh","vi")</f>
        <v>#NAME?</v>
      </c>
      <c r="G4255" s="109" t="str">
        <f t="shared" si="4254"/>
        <v>#NAME?</v>
      </c>
      <c r="X4255" s="110"/>
    </row>
    <row r="4256" ht="21.0" customHeight="1">
      <c r="A4256" s="6">
        <v>1.0</v>
      </c>
      <c r="B4256" s="6">
        <v>320.0</v>
      </c>
      <c r="C4256" s="6">
        <v>6.0</v>
      </c>
      <c r="D4256" s="188" t="s">
        <v>7271</v>
      </c>
      <c r="E4256" s="11" t="s">
        <v>7272</v>
      </c>
      <c r="F4256" s="109" t="str">
        <f t="shared" ref="F4256:G4256" si="4255">TRANSLATE(D4256,"lzh","vi")</f>
        <v>#NAME?</v>
      </c>
      <c r="G4256" s="109" t="str">
        <f t="shared" si="4255"/>
        <v>#NAME?</v>
      </c>
      <c r="X4256" s="110"/>
    </row>
    <row r="4257" ht="21.0" customHeight="1">
      <c r="A4257" s="6">
        <v>1.0</v>
      </c>
      <c r="B4257" s="6">
        <v>320.0</v>
      </c>
      <c r="C4257" s="6">
        <v>7.0</v>
      </c>
      <c r="D4257" s="188" t="s">
        <v>7273</v>
      </c>
      <c r="E4257" s="11" t="s">
        <v>7274</v>
      </c>
      <c r="F4257" s="109" t="str">
        <f t="shared" ref="F4257:G4257" si="4256">TRANSLATE(D4257,"lzh","vi")</f>
        <v>#NAME?</v>
      </c>
      <c r="G4257" s="109" t="str">
        <f t="shared" si="4256"/>
        <v>#NAME?</v>
      </c>
      <c r="X4257" s="110"/>
    </row>
    <row r="4258" ht="21.0" customHeight="1">
      <c r="A4258" s="6">
        <v>1.0</v>
      </c>
      <c r="B4258" s="6">
        <v>320.0</v>
      </c>
      <c r="C4258" s="6">
        <v>8.0</v>
      </c>
      <c r="D4258" s="188" t="s">
        <v>7275</v>
      </c>
      <c r="E4258" s="11" t="s">
        <v>7276</v>
      </c>
      <c r="F4258" s="109" t="str">
        <f t="shared" ref="F4258:G4258" si="4257">TRANSLATE(D4258,"lzh","vi")</f>
        <v>#NAME?</v>
      </c>
      <c r="G4258" s="109" t="str">
        <f t="shared" si="4257"/>
        <v>#NAME?</v>
      </c>
      <c r="X4258" s="110"/>
    </row>
    <row r="4259" ht="21.0" customHeight="1">
      <c r="A4259" s="6">
        <v>1.0</v>
      </c>
      <c r="B4259" s="6">
        <v>320.0</v>
      </c>
      <c r="C4259" s="6">
        <v>9.0</v>
      </c>
      <c r="D4259" s="188" t="s">
        <v>7277</v>
      </c>
      <c r="E4259" s="11" t="s">
        <v>7278</v>
      </c>
      <c r="F4259" s="109" t="str">
        <f t="shared" ref="F4259:G4259" si="4258">TRANSLATE(D4259,"lzh","vi")</f>
        <v>#NAME?</v>
      </c>
      <c r="G4259" s="109" t="str">
        <f t="shared" si="4258"/>
        <v>#NAME?</v>
      </c>
      <c r="X4259" s="110"/>
    </row>
    <row r="4260" ht="21.0" customHeight="1">
      <c r="A4260" s="6">
        <v>1.0</v>
      </c>
      <c r="B4260" s="6">
        <v>320.0</v>
      </c>
      <c r="C4260" s="6">
        <v>10.0</v>
      </c>
      <c r="D4260" s="188" t="s">
        <v>7279</v>
      </c>
      <c r="E4260" s="11" t="s">
        <v>7280</v>
      </c>
      <c r="F4260" s="109" t="str">
        <f t="shared" ref="F4260:G4260" si="4259">TRANSLATE(D4260,"lzh","vi")</f>
        <v>#NAME?</v>
      </c>
      <c r="G4260" s="109" t="str">
        <f t="shared" si="4259"/>
        <v>#NAME?</v>
      </c>
      <c r="X4260" s="110"/>
    </row>
    <row r="4261" ht="21.0" customHeight="1">
      <c r="A4261" s="6">
        <v>1.0</v>
      </c>
      <c r="B4261" s="6">
        <v>320.0</v>
      </c>
      <c r="C4261" s="6">
        <v>11.0</v>
      </c>
      <c r="D4261" s="188" t="s">
        <v>7281</v>
      </c>
      <c r="E4261" s="11" t="s">
        <v>7282</v>
      </c>
      <c r="F4261" s="109" t="str">
        <f t="shared" ref="F4261:G4261" si="4260">TRANSLATE(D4261,"lzh","vi")</f>
        <v>#NAME?</v>
      </c>
      <c r="G4261" s="109" t="str">
        <f t="shared" si="4260"/>
        <v>#NAME?</v>
      </c>
      <c r="X4261" s="110"/>
    </row>
    <row r="4262" ht="21.0" customHeight="1">
      <c r="A4262" s="6">
        <v>1.0</v>
      </c>
      <c r="B4262" s="6">
        <v>320.0</v>
      </c>
      <c r="C4262" s="6">
        <v>12.0</v>
      </c>
      <c r="D4262" s="188" t="s">
        <v>7283</v>
      </c>
      <c r="E4262" s="11" t="s">
        <v>7284</v>
      </c>
      <c r="F4262" s="109" t="str">
        <f t="shared" ref="F4262:G4262" si="4261">TRANSLATE(D4262,"lzh","vi")</f>
        <v>#NAME?</v>
      </c>
      <c r="G4262" s="109" t="str">
        <f t="shared" si="4261"/>
        <v>#NAME?</v>
      </c>
      <c r="X4262" s="110"/>
    </row>
    <row r="4263" ht="21.0" customHeight="1">
      <c r="A4263" s="6">
        <v>1.0</v>
      </c>
      <c r="B4263" s="6">
        <v>320.0</v>
      </c>
      <c r="C4263" s="6">
        <v>13.0</v>
      </c>
      <c r="D4263" s="188" t="s">
        <v>7285</v>
      </c>
      <c r="E4263" s="11" t="s">
        <v>7286</v>
      </c>
      <c r="F4263" s="109" t="str">
        <f t="shared" ref="F4263:G4263" si="4262">TRANSLATE(D4263,"lzh","vi")</f>
        <v>#NAME?</v>
      </c>
      <c r="G4263" s="109" t="str">
        <f t="shared" si="4262"/>
        <v>#NAME?</v>
      </c>
      <c r="X4263" s="110"/>
    </row>
    <row r="4264" ht="21.0" customHeight="1">
      <c r="A4264" s="6">
        <v>1.0</v>
      </c>
      <c r="B4264" s="6">
        <v>321.0</v>
      </c>
      <c r="C4264" s="6">
        <v>1.0</v>
      </c>
      <c r="D4264" s="188" t="s">
        <v>7287</v>
      </c>
      <c r="E4264" s="11" t="s">
        <v>7288</v>
      </c>
      <c r="F4264" s="109" t="str">
        <f t="shared" ref="F4264:G4264" si="4263">TRANSLATE(D4264,"lzh","vi")</f>
        <v>#NAME?</v>
      </c>
      <c r="G4264" s="109" t="str">
        <f t="shared" si="4263"/>
        <v>#NAME?</v>
      </c>
      <c r="X4264" s="110"/>
    </row>
    <row r="4265" ht="21.0" customHeight="1">
      <c r="A4265" s="6">
        <v>1.0</v>
      </c>
      <c r="B4265" s="6">
        <v>321.0</v>
      </c>
      <c r="C4265" s="6">
        <v>2.0</v>
      </c>
      <c r="D4265" s="188" t="s">
        <v>7289</v>
      </c>
      <c r="E4265" s="11" t="s">
        <v>7290</v>
      </c>
      <c r="F4265" s="109" t="str">
        <f t="shared" ref="F4265:G4265" si="4264">TRANSLATE(D4265,"lzh","vi")</f>
        <v>#NAME?</v>
      </c>
      <c r="G4265" s="109" t="str">
        <f t="shared" si="4264"/>
        <v>#NAME?</v>
      </c>
      <c r="X4265" s="110"/>
    </row>
    <row r="4266" ht="21.0" customHeight="1">
      <c r="A4266" s="6">
        <v>1.0</v>
      </c>
      <c r="B4266" s="6">
        <v>321.0</v>
      </c>
      <c r="C4266" s="6">
        <v>3.0</v>
      </c>
      <c r="D4266" s="188" t="s">
        <v>7291</v>
      </c>
      <c r="E4266" s="11" t="s">
        <v>7292</v>
      </c>
      <c r="F4266" s="109" t="str">
        <f t="shared" ref="F4266:G4266" si="4265">TRANSLATE(D4266,"lzh","vi")</f>
        <v>#NAME?</v>
      </c>
      <c r="G4266" s="109" t="str">
        <f t="shared" si="4265"/>
        <v>#NAME?</v>
      </c>
      <c r="X4266" s="110"/>
    </row>
    <row r="4267" ht="21.0" customHeight="1">
      <c r="A4267" s="6">
        <v>1.0</v>
      </c>
      <c r="B4267" s="6">
        <v>321.0</v>
      </c>
      <c r="C4267" s="6">
        <v>4.0</v>
      </c>
      <c r="D4267" s="188" t="s">
        <v>7293</v>
      </c>
      <c r="E4267" s="11" t="s">
        <v>7294</v>
      </c>
      <c r="F4267" s="109" t="str">
        <f t="shared" ref="F4267:G4267" si="4266">TRANSLATE(D4267,"lzh","vi")</f>
        <v>#NAME?</v>
      </c>
      <c r="G4267" s="109" t="str">
        <f t="shared" si="4266"/>
        <v>#NAME?</v>
      </c>
      <c r="X4267" s="110"/>
    </row>
    <row r="4268" ht="21.0" customHeight="1">
      <c r="A4268" s="6">
        <v>1.0</v>
      </c>
      <c r="B4268" s="6">
        <v>321.0</v>
      </c>
      <c r="C4268" s="6">
        <v>5.0</v>
      </c>
      <c r="D4268" s="188" t="s">
        <v>7295</v>
      </c>
      <c r="E4268" s="11" t="s">
        <v>7296</v>
      </c>
      <c r="F4268" s="109" t="str">
        <f t="shared" ref="F4268:G4268" si="4267">TRANSLATE(D4268,"lzh","vi")</f>
        <v>#NAME?</v>
      </c>
      <c r="G4268" s="109" t="str">
        <f t="shared" si="4267"/>
        <v>#NAME?</v>
      </c>
      <c r="X4268" s="110"/>
    </row>
    <row r="4269" ht="21.0" customHeight="1">
      <c r="A4269" s="6">
        <v>1.0</v>
      </c>
      <c r="B4269" s="6">
        <v>321.0</v>
      </c>
      <c r="C4269" s="6">
        <v>6.0</v>
      </c>
      <c r="D4269" s="188" t="s">
        <v>7297</v>
      </c>
      <c r="E4269" s="11" t="s">
        <v>7298</v>
      </c>
      <c r="F4269" s="109" t="str">
        <f t="shared" ref="F4269:G4269" si="4268">TRANSLATE(D4269,"lzh","vi")</f>
        <v>#NAME?</v>
      </c>
      <c r="G4269" s="109" t="str">
        <f t="shared" si="4268"/>
        <v>#NAME?</v>
      </c>
      <c r="X4269" s="110"/>
    </row>
    <row r="4270" ht="21.0" customHeight="1">
      <c r="A4270" s="6">
        <v>1.0</v>
      </c>
      <c r="B4270" s="6">
        <v>321.0</v>
      </c>
      <c r="C4270" s="6">
        <v>7.0</v>
      </c>
      <c r="D4270" s="188" t="s">
        <v>7299</v>
      </c>
      <c r="E4270" s="11" t="s">
        <v>7300</v>
      </c>
      <c r="F4270" s="109" t="str">
        <f t="shared" ref="F4270:G4270" si="4269">TRANSLATE(D4270,"lzh","vi")</f>
        <v>#NAME?</v>
      </c>
      <c r="G4270" s="109" t="str">
        <f t="shared" si="4269"/>
        <v>#NAME?</v>
      </c>
      <c r="X4270" s="110"/>
    </row>
    <row r="4271" ht="21.0" customHeight="1">
      <c r="A4271" s="6">
        <v>1.0</v>
      </c>
      <c r="B4271" s="6">
        <v>321.0</v>
      </c>
      <c r="C4271" s="6">
        <v>8.0</v>
      </c>
      <c r="D4271" s="188" t="s">
        <v>7301</v>
      </c>
      <c r="E4271" s="11" t="s">
        <v>7302</v>
      </c>
      <c r="F4271" s="109" t="str">
        <f t="shared" ref="F4271:G4271" si="4270">TRANSLATE(D4271,"lzh","vi")</f>
        <v>#NAME?</v>
      </c>
      <c r="G4271" s="109" t="str">
        <f t="shared" si="4270"/>
        <v>#NAME?</v>
      </c>
      <c r="X4271" s="110"/>
    </row>
    <row r="4272" ht="21.0" customHeight="1">
      <c r="A4272" s="6">
        <v>1.0</v>
      </c>
      <c r="B4272" s="6">
        <v>321.0</v>
      </c>
      <c r="C4272" s="6">
        <v>9.0</v>
      </c>
      <c r="D4272" s="188" t="s">
        <v>7303</v>
      </c>
      <c r="E4272" s="11" t="s">
        <v>7304</v>
      </c>
      <c r="F4272" s="109" t="str">
        <f t="shared" ref="F4272:G4272" si="4271">TRANSLATE(D4272,"lzh","vi")</f>
        <v>#NAME?</v>
      </c>
      <c r="G4272" s="109" t="str">
        <f t="shared" si="4271"/>
        <v>#NAME?</v>
      </c>
      <c r="X4272" s="110"/>
    </row>
    <row r="4273" ht="21.0" customHeight="1">
      <c r="A4273" s="6">
        <v>1.0</v>
      </c>
      <c r="B4273" s="6">
        <v>321.0</v>
      </c>
      <c r="C4273" s="6">
        <v>10.0</v>
      </c>
      <c r="D4273" s="188" t="s">
        <v>7305</v>
      </c>
      <c r="E4273" s="11" t="s">
        <v>7306</v>
      </c>
      <c r="F4273" s="109" t="str">
        <f t="shared" ref="F4273:G4273" si="4272">TRANSLATE(D4273,"lzh","vi")</f>
        <v>#NAME?</v>
      </c>
      <c r="G4273" s="109" t="str">
        <f t="shared" si="4272"/>
        <v>#NAME?</v>
      </c>
      <c r="X4273" s="110"/>
    </row>
    <row r="4274" ht="21.0" customHeight="1">
      <c r="A4274" s="6">
        <v>1.0</v>
      </c>
      <c r="B4274" s="6">
        <v>321.0</v>
      </c>
      <c r="C4274" s="6">
        <v>11.0</v>
      </c>
      <c r="D4274" s="188" t="s">
        <v>7307</v>
      </c>
      <c r="E4274" s="11" t="s">
        <v>7308</v>
      </c>
      <c r="F4274" s="109" t="str">
        <f t="shared" ref="F4274:G4274" si="4273">TRANSLATE(D4274,"lzh","vi")</f>
        <v>#NAME?</v>
      </c>
      <c r="G4274" s="109" t="str">
        <f t="shared" si="4273"/>
        <v>#NAME?</v>
      </c>
      <c r="X4274" s="110"/>
    </row>
    <row r="4275" ht="21.0" customHeight="1">
      <c r="A4275" s="6">
        <v>1.0</v>
      </c>
      <c r="B4275" s="6">
        <v>321.0</v>
      </c>
      <c r="C4275" s="6">
        <v>12.0</v>
      </c>
      <c r="D4275" s="188" t="s">
        <v>7309</v>
      </c>
      <c r="E4275" s="11" t="s">
        <v>7310</v>
      </c>
      <c r="F4275" s="109" t="str">
        <f t="shared" ref="F4275:G4275" si="4274">TRANSLATE(D4275,"lzh","vi")</f>
        <v>#NAME?</v>
      </c>
      <c r="G4275" s="109" t="str">
        <f t="shared" si="4274"/>
        <v>#NAME?</v>
      </c>
      <c r="X4275" s="110"/>
    </row>
    <row r="4276" ht="21.0" customHeight="1">
      <c r="A4276" s="6">
        <v>1.0</v>
      </c>
      <c r="B4276" s="6">
        <v>321.0</v>
      </c>
      <c r="C4276" s="6">
        <v>13.0</v>
      </c>
      <c r="D4276" s="188" t="s">
        <v>7311</v>
      </c>
      <c r="E4276" s="11" t="s">
        <v>7312</v>
      </c>
      <c r="F4276" s="109" t="str">
        <f t="shared" ref="F4276:G4276" si="4275">TRANSLATE(D4276,"lzh","vi")</f>
        <v>#NAME?</v>
      </c>
      <c r="G4276" s="109" t="str">
        <f t="shared" si="4275"/>
        <v>#NAME?</v>
      </c>
      <c r="X4276" s="110"/>
    </row>
    <row r="4277" ht="21.0" customHeight="1">
      <c r="A4277" s="6">
        <v>11.0</v>
      </c>
      <c r="B4277" s="6">
        <v>2009.0</v>
      </c>
      <c r="C4277" s="6">
        <v>1.0</v>
      </c>
      <c r="D4277" s="187" t="s">
        <v>7313</v>
      </c>
      <c r="E4277" s="19" t="s">
        <v>7314</v>
      </c>
      <c r="F4277" s="109" t="str">
        <f t="shared" ref="F4277:G4277" si="4276">TRANSLATE(D4277,"lzh","vi")</f>
        <v>#NAME?</v>
      </c>
      <c r="G4277" s="109" t="str">
        <f t="shared" si="4276"/>
        <v>#NAME?</v>
      </c>
      <c r="X4277" s="110"/>
    </row>
    <row r="4278" ht="21.0" customHeight="1">
      <c r="A4278" s="6">
        <v>11.0</v>
      </c>
      <c r="B4278" s="6">
        <v>2009.0</v>
      </c>
      <c r="C4278" s="6">
        <v>2.0</v>
      </c>
      <c r="D4278" s="187" t="s">
        <v>7315</v>
      </c>
      <c r="E4278" s="19" t="s">
        <v>7316</v>
      </c>
      <c r="F4278" s="109" t="str">
        <f t="shared" ref="F4278:G4278" si="4277">TRANSLATE(D4278,"lzh","vi")</f>
        <v>#NAME?</v>
      </c>
      <c r="G4278" s="109" t="str">
        <f t="shared" si="4277"/>
        <v>#NAME?</v>
      </c>
      <c r="X4278" s="110"/>
    </row>
    <row r="4279" ht="21.0" customHeight="1">
      <c r="A4279" s="6">
        <v>11.0</v>
      </c>
      <c r="B4279" s="6">
        <v>2009.0</v>
      </c>
      <c r="C4279" s="6">
        <v>3.0</v>
      </c>
      <c r="D4279" s="187" t="s">
        <v>7317</v>
      </c>
      <c r="E4279" s="19" t="s">
        <v>7318</v>
      </c>
      <c r="F4279" s="109" t="str">
        <f t="shared" ref="F4279:G4279" si="4278">TRANSLATE(D4279,"lzh","vi")</f>
        <v>#NAME?</v>
      </c>
      <c r="G4279" s="109" t="str">
        <f t="shared" si="4278"/>
        <v>#NAME?</v>
      </c>
      <c r="X4279" s="110"/>
    </row>
    <row r="4280" ht="21.0" customHeight="1">
      <c r="A4280" s="6">
        <v>11.0</v>
      </c>
      <c r="B4280" s="6">
        <v>2009.0</v>
      </c>
      <c r="C4280" s="6">
        <v>4.0</v>
      </c>
      <c r="D4280" s="187" t="s">
        <v>7319</v>
      </c>
      <c r="E4280" s="19" t="s">
        <v>7320</v>
      </c>
      <c r="F4280" s="109" t="str">
        <f t="shared" ref="F4280:G4280" si="4279">TRANSLATE(D4280,"lzh","vi")</f>
        <v>#NAME?</v>
      </c>
      <c r="G4280" s="109" t="str">
        <f t="shared" si="4279"/>
        <v>#NAME?</v>
      </c>
      <c r="X4280" s="110"/>
    </row>
    <row r="4281" ht="21.0" customHeight="1">
      <c r="A4281" s="6">
        <v>10.0</v>
      </c>
      <c r="B4281" s="6">
        <v>2009.0</v>
      </c>
      <c r="C4281" s="6">
        <v>5.0</v>
      </c>
      <c r="D4281" s="187" t="s">
        <v>7321</v>
      </c>
      <c r="E4281" s="19" t="s">
        <v>7322</v>
      </c>
      <c r="F4281" s="109" t="str">
        <f t="shared" ref="F4281:G4281" si="4280">TRANSLATE(D4281,"lzh","vi")</f>
        <v>#NAME?</v>
      </c>
      <c r="G4281" s="109" t="str">
        <f t="shared" si="4280"/>
        <v>#NAME?</v>
      </c>
      <c r="X4281" s="110"/>
    </row>
    <row r="4282" ht="21.0" customHeight="1">
      <c r="A4282" s="6">
        <v>10.0</v>
      </c>
      <c r="B4282" s="6">
        <v>2009.0</v>
      </c>
      <c r="C4282" s="6">
        <v>6.0</v>
      </c>
      <c r="D4282" s="187" t="s">
        <v>7323</v>
      </c>
      <c r="E4282" s="19" t="s">
        <v>7324</v>
      </c>
      <c r="F4282" s="109" t="str">
        <f t="shared" ref="F4282:G4282" si="4281">TRANSLATE(D4282,"lzh","vi")</f>
        <v>#NAME?</v>
      </c>
      <c r="G4282" s="109" t="str">
        <f t="shared" si="4281"/>
        <v>#NAME?</v>
      </c>
      <c r="X4282" s="110"/>
    </row>
    <row r="4283" ht="21.0" customHeight="1">
      <c r="A4283" s="6">
        <v>10.0</v>
      </c>
      <c r="B4283" s="6">
        <v>2009.0</v>
      </c>
      <c r="C4283" s="6">
        <v>7.0</v>
      </c>
      <c r="D4283" s="187" t="s">
        <v>7325</v>
      </c>
      <c r="E4283" s="19" t="s">
        <v>7326</v>
      </c>
      <c r="F4283" s="109" t="str">
        <f t="shared" ref="F4283:G4283" si="4282">TRANSLATE(D4283,"lzh","vi")</f>
        <v>#NAME?</v>
      </c>
      <c r="G4283" s="109" t="str">
        <f t="shared" si="4282"/>
        <v>#NAME?</v>
      </c>
      <c r="X4283" s="110"/>
    </row>
    <row r="4284" ht="21.0" customHeight="1">
      <c r="A4284" s="6">
        <v>10.0</v>
      </c>
      <c r="B4284" s="6">
        <v>2009.0</v>
      </c>
      <c r="C4284" s="6">
        <v>8.0</v>
      </c>
      <c r="D4284" s="187" t="s">
        <v>7327</v>
      </c>
      <c r="E4284" s="19" t="s">
        <v>7328</v>
      </c>
      <c r="F4284" s="109" t="str">
        <f t="shared" ref="F4284:G4284" si="4283">TRANSLATE(D4284,"lzh","vi")</f>
        <v>#NAME?</v>
      </c>
      <c r="G4284" s="109" t="str">
        <f t="shared" si="4283"/>
        <v>#NAME?</v>
      </c>
      <c r="X4284" s="110"/>
    </row>
    <row r="4285" ht="21.0" customHeight="1">
      <c r="A4285" s="6">
        <v>10.0</v>
      </c>
      <c r="B4285" s="6">
        <v>2009.0</v>
      </c>
      <c r="C4285" s="6">
        <v>9.0</v>
      </c>
      <c r="D4285" s="187" t="s">
        <v>7329</v>
      </c>
      <c r="E4285" s="19" t="s">
        <v>7330</v>
      </c>
      <c r="F4285" s="109" t="str">
        <f t="shared" ref="F4285:G4285" si="4284">TRANSLATE(D4285,"lzh","vi")</f>
        <v>#NAME?</v>
      </c>
      <c r="G4285" s="109" t="str">
        <f t="shared" si="4284"/>
        <v>#NAME?</v>
      </c>
      <c r="X4285" s="110"/>
    </row>
    <row r="4286" ht="21.0" customHeight="1">
      <c r="A4286" s="6">
        <v>10.0</v>
      </c>
      <c r="B4286" s="6">
        <v>2009.0</v>
      </c>
      <c r="C4286" s="6">
        <v>10.0</v>
      </c>
      <c r="D4286" s="187" t="s">
        <v>7331</v>
      </c>
      <c r="E4286" s="19" t="s">
        <v>7332</v>
      </c>
      <c r="F4286" s="109" t="str">
        <f t="shared" ref="F4286:G4286" si="4285">TRANSLATE(D4286,"lzh","vi")</f>
        <v>#NAME?</v>
      </c>
      <c r="G4286" s="109" t="str">
        <f t="shared" si="4285"/>
        <v>#NAME?</v>
      </c>
      <c r="X4286" s="110"/>
    </row>
    <row r="4287" ht="21.0" customHeight="1">
      <c r="A4287" s="6">
        <v>11.0</v>
      </c>
      <c r="B4287" s="6">
        <v>2010.0</v>
      </c>
      <c r="C4287" s="6">
        <v>1.0</v>
      </c>
      <c r="D4287" s="187" t="s">
        <v>7333</v>
      </c>
      <c r="E4287" s="19" t="s">
        <v>7334</v>
      </c>
      <c r="F4287" s="109" t="str">
        <f t="shared" ref="F4287:G4287" si="4286">TRANSLATE(D4287,"lzh","vi")</f>
        <v>#NAME?</v>
      </c>
      <c r="G4287" s="109" t="str">
        <f t="shared" si="4286"/>
        <v>#NAME?</v>
      </c>
      <c r="X4287" s="110"/>
    </row>
    <row r="4288" ht="21.0" customHeight="1">
      <c r="A4288" s="6">
        <v>11.0</v>
      </c>
      <c r="B4288" s="6">
        <v>2010.0</v>
      </c>
      <c r="C4288" s="6">
        <v>2.0</v>
      </c>
      <c r="D4288" s="187" t="s">
        <v>7335</v>
      </c>
      <c r="E4288" s="19" t="s">
        <v>7336</v>
      </c>
      <c r="F4288" s="109" t="str">
        <f t="shared" ref="F4288:G4288" si="4287">TRANSLATE(D4288,"lzh","vi")</f>
        <v>#NAME?</v>
      </c>
      <c r="G4288" s="109" t="str">
        <f t="shared" si="4287"/>
        <v>#NAME?</v>
      </c>
      <c r="X4288" s="110"/>
    </row>
    <row r="4289" ht="21.0" customHeight="1">
      <c r="A4289" s="6">
        <v>11.0</v>
      </c>
      <c r="B4289" s="6">
        <v>2010.0</v>
      </c>
      <c r="C4289" s="6">
        <v>3.0</v>
      </c>
      <c r="D4289" s="187" t="s">
        <v>7337</v>
      </c>
      <c r="E4289" s="19" t="s">
        <v>7338</v>
      </c>
      <c r="F4289" s="109" t="str">
        <f t="shared" ref="F4289:G4289" si="4288">TRANSLATE(D4289,"lzh","vi")</f>
        <v>#NAME?</v>
      </c>
      <c r="G4289" s="109" t="str">
        <f t="shared" si="4288"/>
        <v>#NAME?</v>
      </c>
      <c r="X4289" s="110"/>
    </row>
    <row r="4290" ht="21.0" customHeight="1">
      <c r="A4290" s="6">
        <v>11.0</v>
      </c>
      <c r="B4290" s="6">
        <v>2010.0</v>
      </c>
      <c r="C4290" s="6">
        <v>4.0</v>
      </c>
      <c r="D4290" s="187" t="s">
        <v>7339</v>
      </c>
      <c r="E4290" s="19" t="s">
        <v>7340</v>
      </c>
      <c r="F4290" s="109" t="str">
        <f t="shared" ref="F4290:G4290" si="4289">TRANSLATE(D4290,"lzh","vi")</f>
        <v>#NAME?</v>
      </c>
      <c r="G4290" s="109" t="str">
        <f t="shared" si="4289"/>
        <v>#NAME?</v>
      </c>
      <c r="X4290" s="110"/>
    </row>
    <row r="4291" ht="21.0" customHeight="1">
      <c r="A4291" s="6">
        <v>10.0</v>
      </c>
      <c r="B4291" s="6">
        <v>2010.0</v>
      </c>
      <c r="C4291" s="6">
        <v>5.0</v>
      </c>
      <c r="D4291" s="187" t="s">
        <v>7341</v>
      </c>
      <c r="E4291" s="19" t="s">
        <v>7342</v>
      </c>
      <c r="F4291" s="109" t="str">
        <f t="shared" ref="F4291:G4291" si="4290">TRANSLATE(D4291,"lzh","vi")</f>
        <v>#NAME?</v>
      </c>
      <c r="G4291" s="109" t="str">
        <f t="shared" si="4290"/>
        <v>#NAME?</v>
      </c>
      <c r="X4291" s="110"/>
    </row>
    <row r="4292" ht="21.0" customHeight="1">
      <c r="A4292" s="6">
        <v>10.0</v>
      </c>
      <c r="B4292" s="6">
        <v>2010.0</v>
      </c>
      <c r="C4292" s="6">
        <v>6.0</v>
      </c>
      <c r="D4292" s="187" t="s">
        <v>7343</v>
      </c>
      <c r="E4292" s="19" t="s">
        <v>7344</v>
      </c>
      <c r="F4292" s="109" t="str">
        <f t="shared" ref="F4292:G4292" si="4291">TRANSLATE(D4292,"lzh","vi")</f>
        <v>#NAME?</v>
      </c>
      <c r="G4292" s="109" t="str">
        <f t="shared" si="4291"/>
        <v>#NAME?</v>
      </c>
      <c r="X4292" s="110"/>
    </row>
    <row r="4293" ht="21.0" customHeight="1">
      <c r="A4293" s="6">
        <v>10.0</v>
      </c>
      <c r="B4293" s="6">
        <v>2010.0</v>
      </c>
      <c r="C4293" s="6">
        <v>7.0</v>
      </c>
      <c r="D4293" s="187" t="s">
        <v>7345</v>
      </c>
      <c r="E4293" s="19" t="s">
        <v>7346</v>
      </c>
      <c r="F4293" s="109" t="str">
        <f t="shared" ref="F4293:G4293" si="4292">TRANSLATE(D4293,"lzh","vi")</f>
        <v>#NAME?</v>
      </c>
      <c r="G4293" s="109" t="str">
        <f t="shared" si="4292"/>
        <v>#NAME?</v>
      </c>
      <c r="X4293" s="110"/>
    </row>
    <row r="4294" ht="21.0" customHeight="1">
      <c r="A4294" s="6">
        <v>10.0</v>
      </c>
      <c r="B4294" s="6">
        <v>2010.0</v>
      </c>
      <c r="C4294" s="6">
        <v>8.0</v>
      </c>
      <c r="D4294" s="187" t="s">
        <v>7347</v>
      </c>
      <c r="E4294" s="19" t="s">
        <v>7348</v>
      </c>
      <c r="F4294" s="109" t="str">
        <f t="shared" ref="F4294:G4294" si="4293">TRANSLATE(D4294,"lzh","vi")</f>
        <v>#NAME?</v>
      </c>
      <c r="G4294" s="109" t="str">
        <f t="shared" si="4293"/>
        <v>#NAME?</v>
      </c>
      <c r="X4294" s="110"/>
    </row>
    <row r="4295" ht="21.0" customHeight="1">
      <c r="A4295" s="6">
        <v>10.0</v>
      </c>
      <c r="B4295" s="6">
        <v>2010.0</v>
      </c>
      <c r="C4295" s="6">
        <v>9.0</v>
      </c>
      <c r="D4295" s="187" t="s">
        <v>7349</v>
      </c>
      <c r="E4295" s="19" t="s">
        <v>7350</v>
      </c>
      <c r="F4295" s="109" t="str">
        <f t="shared" ref="F4295:G4295" si="4294">TRANSLATE(D4295,"lzh","vi")</f>
        <v>#NAME?</v>
      </c>
      <c r="G4295" s="109" t="str">
        <f t="shared" si="4294"/>
        <v>#NAME?</v>
      </c>
      <c r="X4295" s="110"/>
    </row>
    <row r="4296" ht="21.0" customHeight="1">
      <c r="A4296" s="6">
        <v>10.0</v>
      </c>
      <c r="B4296" s="6">
        <v>2010.0</v>
      </c>
      <c r="C4296" s="6">
        <v>10.0</v>
      </c>
      <c r="D4296" s="187" t="s">
        <v>7351</v>
      </c>
      <c r="E4296" s="19" t="s">
        <v>7332</v>
      </c>
      <c r="F4296" s="109" t="str">
        <f t="shared" ref="F4296:G4296" si="4295">TRANSLATE(D4296,"lzh","vi")</f>
        <v>#NAME?</v>
      </c>
      <c r="G4296" s="109" t="str">
        <f t="shared" si="4295"/>
        <v>#NAME?</v>
      </c>
      <c r="X4296" s="110"/>
    </row>
    <row r="4297" ht="21.0" customHeight="1">
      <c r="A4297" s="6">
        <v>1.0</v>
      </c>
      <c r="B4297" s="6">
        <v>322.0</v>
      </c>
      <c r="C4297" s="6">
        <v>1.0</v>
      </c>
      <c r="D4297" s="189" t="s">
        <v>7352</v>
      </c>
      <c r="E4297" s="11" t="s">
        <v>7353</v>
      </c>
      <c r="F4297" s="109" t="str">
        <f t="shared" ref="F4297:G4297" si="4296">TRANSLATE(D4297,"lzh","vi")</f>
        <v>#NAME?</v>
      </c>
      <c r="G4297" s="109" t="str">
        <f t="shared" si="4296"/>
        <v>#NAME?</v>
      </c>
      <c r="X4297" s="110"/>
    </row>
    <row r="4298" ht="21.0" customHeight="1">
      <c r="A4298" s="6">
        <v>1.0</v>
      </c>
      <c r="B4298" s="6">
        <v>322.0</v>
      </c>
      <c r="C4298" s="6">
        <v>2.0</v>
      </c>
      <c r="D4298" s="189" t="s">
        <v>7354</v>
      </c>
      <c r="E4298" s="11" t="s">
        <v>7355</v>
      </c>
      <c r="F4298" s="109" t="str">
        <f t="shared" ref="F4298:G4298" si="4297">TRANSLATE(D4298,"lzh","vi")</f>
        <v>#NAME?</v>
      </c>
      <c r="G4298" s="109" t="str">
        <f t="shared" si="4297"/>
        <v>#NAME?</v>
      </c>
      <c r="X4298" s="110"/>
    </row>
    <row r="4299" ht="21.0" customHeight="1">
      <c r="A4299" s="6">
        <v>1.0</v>
      </c>
      <c r="B4299" s="6">
        <v>322.0</v>
      </c>
      <c r="C4299" s="6">
        <v>3.0</v>
      </c>
      <c r="D4299" s="190" t="s">
        <v>7356</v>
      </c>
      <c r="E4299" s="11" t="s">
        <v>7357</v>
      </c>
      <c r="F4299" s="109" t="str">
        <f t="shared" ref="F4299:G4299" si="4298">TRANSLATE(D4299,"lzh","vi")</f>
        <v>#NAME?</v>
      </c>
      <c r="G4299" s="109" t="str">
        <f t="shared" si="4298"/>
        <v>#NAME?</v>
      </c>
      <c r="X4299" s="110"/>
    </row>
    <row r="4300" ht="21.0" customHeight="1">
      <c r="A4300" s="6">
        <v>1.0</v>
      </c>
      <c r="B4300" s="6">
        <v>322.0</v>
      </c>
      <c r="C4300" s="6">
        <v>4.0</v>
      </c>
      <c r="D4300" s="173" t="s">
        <v>7358</v>
      </c>
      <c r="E4300" s="11" t="s">
        <v>7359</v>
      </c>
      <c r="F4300" s="109" t="str">
        <f t="shared" ref="F4300:G4300" si="4299">TRANSLATE(D4300,"lzh","vi")</f>
        <v>#NAME?</v>
      </c>
      <c r="G4300" s="109" t="str">
        <f t="shared" si="4299"/>
        <v>#NAME?</v>
      </c>
      <c r="X4300" s="110"/>
    </row>
    <row r="4301" ht="21.0" customHeight="1">
      <c r="A4301" s="6">
        <v>1.0</v>
      </c>
      <c r="B4301" s="6">
        <v>322.0</v>
      </c>
      <c r="C4301" s="6">
        <v>5.0</v>
      </c>
      <c r="D4301" s="173" t="s">
        <v>7360</v>
      </c>
      <c r="E4301" s="11" t="s">
        <v>7361</v>
      </c>
      <c r="F4301" s="109" t="str">
        <f t="shared" ref="F4301:G4301" si="4300">TRANSLATE(D4301,"lzh","vi")</f>
        <v>#NAME?</v>
      </c>
      <c r="G4301" s="109" t="str">
        <f t="shared" si="4300"/>
        <v>#NAME?</v>
      </c>
      <c r="X4301" s="110"/>
    </row>
    <row r="4302" ht="21.0" customHeight="1">
      <c r="A4302" s="6">
        <v>1.0</v>
      </c>
      <c r="B4302" s="6">
        <v>322.0</v>
      </c>
      <c r="C4302" s="6">
        <v>6.0</v>
      </c>
      <c r="D4302" s="173" t="s">
        <v>7362</v>
      </c>
      <c r="E4302" s="11" t="s">
        <v>7363</v>
      </c>
      <c r="F4302" s="109" t="str">
        <f t="shared" ref="F4302:G4302" si="4301">TRANSLATE(D4302,"lzh","vi")</f>
        <v>#NAME?</v>
      </c>
      <c r="G4302" s="109" t="str">
        <f t="shared" si="4301"/>
        <v>#NAME?</v>
      </c>
      <c r="X4302" s="110"/>
    </row>
    <row r="4303" ht="21.0" customHeight="1">
      <c r="A4303" s="6">
        <v>1.0</v>
      </c>
      <c r="B4303" s="6">
        <v>322.0</v>
      </c>
      <c r="C4303" s="6">
        <v>7.0</v>
      </c>
      <c r="D4303" s="173" t="s">
        <v>7364</v>
      </c>
      <c r="E4303" s="11" t="s">
        <v>7365</v>
      </c>
      <c r="F4303" s="109" t="str">
        <f t="shared" ref="F4303:G4303" si="4302">TRANSLATE(D4303,"lzh","vi")</f>
        <v>#NAME?</v>
      </c>
      <c r="G4303" s="109" t="str">
        <f t="shared" si="4302"/>
        <v>#NAME?</v>
      </c>
      <c r="X4303" s="110"/>
    </row>
    <row r="4304" ht="21.0" customHeight="1">
      <c r="A4304" s="6">
        <v>1.0</v>
      </c>
      <c r="B4304" s="6">
        <v>322.0</v>
      </c>
      <c r="C4304" s="6">
        <v>8.0</v>
      </c>
      <c r="D4304" s="173" t="s">
        <v>7366</v>
      </c>
      <c r="E4304" s="11" t="s">
        <v>7367</v>
      </c>
      <c r="F4304" s="109" t="str">
        <f t="shared" ref="F4304:G4304" si="4303">TRANSLATE(D4304,"lzh","vi")</f>
        <v>#NAME?</v>
      </c>
      <c r="G4304" s="109" t="str">
        <f t="shared" si="4303"/>
        <v>#NAME?</v>
      </c>
      <c r="X4304" s="110"/>
    </row>
    <row r="4305" ht="21.0" customHeight="1">
      <c r="A4305" s="6">
        <v>1.0</v>
      </c>
      <c r="B4305" s="6">
        <v>322.0</v>
      </c>
      <c r="C4305" s="6">
        <v>9.0</v>
      </c>
      <c r="D4305" s="173" t="s">
        <v>7368</v>
      </c>
      <c r="E4305" s="11" t="s">
        <v>7369</v>
      </c>
      <c r="F4305" s="109" t="str">
        <f t="shared" ref="F4305:G4305" si="4304">TRANSLATE(D4305,"lzh","vi")</f>
        <v>#NAME?</v>
      </c>
      <c r="G4305" s="109" t="str">
        <f t="shared" si="4304"/>
        <v>#NAME?</v>
      </c>
      <c r="X4305" s="110"/>
    </row>
    <row r="4306" ht="21.0" customHeight="1">
      <c r="A4306" s="6">
        <v>1.0</v>
      </c>
      <c r="B4306" s="6">
        <v>322.0</v>
      </c>
      <c r="C4306" s="6">
        <v>10.0</v>
      </c>
      <c r="D4306" s="173" t="s">
        <v>7370</v>
      </c>
      <c r="E4306" s="11" t="s">
        <v>7371</v>
      </c>
      <c r="F4306" s="109" t="str">
        <f t="shared" ref="F4306:G4306" si="4305">TRANSLATE(D4306,"lzh","vi")</f>
        <v>#NAME?</v>
      </c>
      <c r="G4306" s="109" t="str">
        <f t="shared" si="4305"/>
        <v>#NAME?</v>
      </c>
      <c r="X4306" s="110"/>
    </row>
    <row r="4307" ht="21.0" customHeight="1">
      <c r="A4307" s="6">
        <v>1.0</v>
      </c>
      <c r="B4307" s="6">
        <v>322.0</v>
      </c>
      <c r="C4307" s="6">
        <v>11.0</v>
      </c>
      <c r="D4307" s="173" t="s">
        <v>7372</v>
      </c>
      <c r="E4307" s="11" t="s">
        <v>7373</v>
      </c>
      <c r="F4307" s="109" t="str">
        <f t="shared" ref="F4307:G4307" si="4306">TRANSLATE(D4307,"lzh","vi")</f>
        <v>#NAME?</v>
      </c>
      <c r="G4307" s="109" t="str">
        <f t="shared" si="4306"/>
        <v>#NAME?</v>
      </c>
      <c r="X4307" s="110"/>
    </row>
    <row r="4308" ht="21.0" customHeight="1">
      <c r="A4308" s="6">
        <v>1.0</v>
      </c>
      <c r="B4308" s="6">
        <v>322.0</v>
      </c>
      <c r="C4308" s="6">
        <v>12.0</v>
      </c>
      <c r="D4308" s="173" t="s">
        <v>7374</v>
      </c>
      <c r="E4308" s="11" t="s">
        <v>7375</v>
      </c>
      <c r="F4308" s="109" t="str">
        <f t="shared" ref="F4308:G4308" si="4307">TRANSLATE(D4308,"lzh","vi")</f>
        <v>#NAME?</v>
      </c>
      <c r="G4308" s="109" t="str">
        <f t="shared" si="4307"/>
        <v>#NAME?</v>
      </c>
      <c r="X4308" s="110"/>
    </row>
    <row r="4309" ht="21.0" customHeight="1">
      <c r="A4309" s="6">
        <v>1.0</v>
      </c>
      <c r="B4309" s="6">
        <v>322.0</v>
      </c>
      <c r="C4309" s="6">
        <v>13.0</v>
      </c>
      <c r="D4309" s="173" t="s">
        <v>7376</v>
      </c>
      <c r="E4309" s="11" t="s">
        <v>7377</v>
      </c>
      <c r="F4309" s="109" t="str">
        <f t="shared" ref="F4309:G4309" si="4308">TRANSLATE(D4309,"lzh","vi")</f>
        <v>#NAME?</v>
      </c>
      <c r="G4309" s="109" t="str">
        <f t="shared" si="4308"/>
        <v>#NAME?</v>
      </c>
      <c r="X4309" s="110"/>
    </row>
    <row r="4310" ht="21.0" customHeight="1">
      <c r="A4310" s="6">
        <v>1.0</v>
      </c>
      <c r="B4310" s="6">
        <v>323.0</v>
      </c>
      <c r="C4310" s="6">
        <v>1.0</v>
      </c>
      <c r="D4310" s="188" t="s">
        <v>7378</v>
      </c>
      <c r="E4310" s="11" t="s">
        <v>7379</v>
      </c>
      <c r="F4310" s="109" t="str">
        <f t="shared" ref="F4310:G4310" si="4309">TRANSLATE(D4310,"lzh","vi")</f>
        <v>#NAME?</v>
      </c>
      <c r="G4310" s="109" t="str">
        <f t="shared" si="4309"/>
        <v>#NAME?</v>
      </c>
      <c r="X4310" s="110"/>
    </row>
    <row r="4311" ht="21.0" customHeight="1">
      <c r="A4311" s="6">
        <v>1.0</v>
      </c>
      <c r="B4311" s="6">
        <v>323.0</v>
      </c>
      <c r="C4311" s="6">
        <v>2.0</v>
      </c>
      <c r="D4311" s="188" t="s">
        <v>7380</v>
      </c>
      <c r="E4311" s="11" t="s">
        <v>7381</v>
      </c>
      <c r="F4311" s="109" t="str">
        <f t="shared" ref="F4311:G4311" si="4310">TRANSLATE(D4311,"lzh","vi")</f>
        <v>#NAME?</v>
      </c>
      <c r="G4311" s="109" t="str">
        <f t="shared" si="4310"/>
        <v>#NAME?</v>
      </c>
      <c r="X4311" s="110"/>
    </row>
    <row r="4312" ht="21.0" customHeight="1">
      <c r="A4312" s="6">
        <v>1.0</v>
      </c>
      <c r="B4312" s="6">
        <v>323.0</v>
      </c>
      <c r="C4312" s="6">
        <v>3.0</v>
      </c>
      <c r="D4312" s="188" t="s">
        <v>7382</v>
      </c>
      <c r="E4312" s="11" t="s">
        <v>7383</v>
      </c>
      <c r="F4312" s="109" t="str">
        <f t="shared" ref="F4312:G4312" si="4311">TRANSLATE(D4312,"lzh","vi")</f>
        <v>#NAME?</v>
      </c>
      <c r="G4312" s="109" t="str">
        <f t="shared" si="4311"/>
        <v>#NAME?</v>
      </c>
      <c r="X4312" s="110"/>
    </row>
    <row r="4313" ht="21.0" customHeight="1">
      <c r="A4313" s="6">
        <v>1.0</v>
      </c>
      <c r="B4313" s="6">
        <v>323.0</v>
      </c>
      <c r="C4313" s="6">
        <v>4.0</v>
      </c>
      <c r="D4313" s="188" t="s">
        <v>7384</v>
      </c>
      <c r="E4313" s="11" t="s">
        <v>7385</v>
      </c>
      <c r="F4313" s="109" t="str">
        <f t="shared" ref="F4313:G4313" si="4312">TRANSLATE(D4313,"lzh","vi")</f>
        <v>#NAME?</v>
      </c>
      <c r="G4313" s="109" t="str">
        <f t="shared" si="4312"/>
        <v>#NAME?</v>
      </c>
      <c r="X4313" s="110"/>
    </row>
    <row r="4314" ht="21.0" customHeight="1">
      <c r="A4314" s="6">
        <v>1.0</v>
      </c>
      <c r="B4314" s="6">
        <v>323.0</v>
      </c>
      <c r="C4314" s="6">
        <v>5.0</v>
      </c>
      <c r="D4314" s="188" t="s">
        <v>7386</v>
      </c>
      <c r="E4314" s="11" t="s">
        <v>7387</v>
      </c>
      <c r="F4314" s="109" t="str">
        <f t="shared" ref="F4314:G4314" si="4313">TRANSLATE(D4314,"lzh","vi")</f>
        <v>#NAME?</v>
      </c>
      <c r="G4314" s="109" t="str">
        <f t="shared" si="4313"/>
        <v>#NAME?</v>
      </c>
      <c r="X4314" s="110"/>
    </row>
    <row r="4315" ht="21.0" customHeight="1">
      <c r="A4315" s="6">
        <v>1.0</v>
      </c>
      <c r="B4315" s="6">
        <v>323.0</v>
      </c>
      <c r="C4315" s="6">
        <v>6.0</v>
      </c>
      <c r="D4315" s="188" t="s">
        <v>7388</v>
      </c>
      <c r="E4315" s="11" t="s">
        <v>7389</v>
      </c>
      <c r="F4315" s="109" t="str">
        <f t="shared" ref="F4315:G4315" si="4314">TRANSLATE(D4315,"lzh","vi")</f>
        <v>#NAME?</v>
      </c>
      <c r="G4315" s="109" t="str">
        <f t="shared" si="4314"/>
        <v>#NAME?</v>
      </c>
      <c r="X4315" s="110"/>
    </row>
    <row r="4316" ht="21.0" customHeight="1">
      <c r="A4316" s="6">
        <v>1.0</v>
      </c>
      <c r="B4316" s="6">
        <v>323.0</v>
      </c>
      <c r="C4316" s="6">
        <v>7.0</v>
      </c>
      <c r="D4316" s="188" t="s">
        <v>7390</v>
      </c>
      <c r="E4316" s="11" t="s">
        <v>7391</v>
      </c>
      <c r="F4316" s="109" t="str">
        <f t="shared" ref="F4316:G4316" si="4315">TRANSLATE(D4316,"lzh","vi")</f>
        <v>#NAME?</v>
      </c>
      <c r="G4316" s="109" t="str">
        <f t="shared" si="4315"/>
        <v>#NAME?</v>
      </c>
      <c r="X4316" s="110"/>
    </row>
    <row r="4317" ht="21.0" customHeight="1">
      <c r="A4317" s="6">
        <v>1.0</v>
      </c>
      <c r="B4317" s="6">
        <v>323.0</v>
      </c>
      <c r="C4317" s="6">
        <v>8.0</v>
      </c>
      <c r="D4317" s="188" t="s">
        <v>7392</v>
      </c>
      <c r="E4317" s="11" t="s">
        <v>7393</v>
      </c>
      <c r="F4317" s="109" t="str">
        <f t="shared" ref="F4317:G4317" si="4316">TRANSLATE(D4317,"lzh","vi")</f>
        <v>#NAME?</v>
      </c>
      <c r="G4317" s="109" t="str">
        <f t="shared" si="4316"/>
        <v>#NAME?</v>
      </c>
      <c r="X4317" s="110"/>
    </row>
    <row r="4318" ht="21.0" customHeight="1">
      <c r="A4318" s="6">
        <v>1.0</v>
      </c>
      <c r="B4318" s="6">
        <v>323.0</v>
      </c>
      <c r="C4318" s="6">
        <v>9.0</v>
      </c>
      <c r="D4318" s="188" t="s">
        <v>7394</v>
      </c>
      <c r="E4318" s="11" t="s">
        <v>7395</v>
      </c>
      <c r="F4318" s="109" t="str">
        <f t="shared" ref="F4318:G4318" si="4317">TRANSLATE(D4318,"lzh","vi")</f>
        <v>#NAME?</v>
      </c>
      <c r="G4318" s="109" t="str">
        <f t="shared" si="4317"/>
        <v>#NAME?</v>
      </c>
      <c r="X4318" s="110"/>
    </row>
    <row r="4319" ht="21.0" customHeight="1">
      <c r="A4319" s="6">
        <v>1.0</v>
      </c>
      <c r="B4319" s="6">
        <v>323.0</v>
      </c>
      <c r="C4319" s="6">
        <v>10.0</v>
      </c>
      <c r="D4319" s="188" t="s">
        <v>7396</v>
      </c>
      <c r="E4319" s="11" t="s">
        <v>7397</v>
      </c>
      <c r="F4319" s="109" t="str">
        <f t="shared" ref="F4319:G4319" si="4318">TRANSLATE(D4319,"lzh","vi")</f>
        <v>#NAME?</v>
      </c>
      <c r="G4319" s="109" t="str">
        <f t="shared" si="4318"/>
        <v>#NAME?</v>
      </c>
      <c r="X4319" s="110"/>
    </row>
    <row r="4320" ht="21.0" customHeight="1">
      <c r="A4320" s="6">
        <v>1.0</v>
      </c>
      <c r="B4320" s="6">
        <v>323.0</v>
      </c>
      <c r="C4320" s="6">
        <v>11.0</v>
      </c>
      <c r="D4320" s="188" t="s">
        <v>7398</v>
      </c>
      <c r="E4320" s="11" t="s">
        <v>7399</v>
      </c>
      <c r="F4320" s="109" t="str">
        <f t="shared" ref="F4320:G4320" si="4319">TRANSLATE(D4320,"lzh","vi")</f>
        <v>#NAME?</v>
      </c>
      <c r="G4320" s="109" t="str">
        <f t="shared" si="4319"/>
        <v>#NAME?</v>
      </c>
      <c r="X4320" s="110"/>
    </row>
    <row r="4321" ht="21.0" customHeight="1">
      <c r="A4321" s="6">
        <v>1.0</v>
      </c>
      <c r="B4321" s="6">
        <v>323.0</v>
      </c>
      <c r="C4321" s="6">
        <v>12.0</v>
      </c>
      <c r="D4321" s="188" t="s">
        <v>7400</v>
      </c>
      <c r="E4321" s="11" t="s">
        <v>7401</v>
      </c>
      <c r="F4321" s="109" t="str">
        <f t="shared" ref="F4321:G4321" si="4320">TRANSLATE(D4321,"lzh","vi")</f>
        <v>#NAME?</v>
      </c>
      <c r="G4321" s="109" t="str">
        <f t="shared" si="4320"/>
        <v>#NAME?</v>
      </c>
      <c r="X4321" s="110"/>
    </row>
    <row r="4322" ht="21.0" customHeight="1">
      <c r="A4322" s="6">
        <v>1.0</v>
      </c>
      <c r="B4322" s="6">
        <v>323.0</v>
      </c>
      <c r="C4322" s="6">
        <v>13.0</v>
      </c>
      <c r="D4322" s="188" t="s">
        <v>7402</v>
      </c>
      <c r="E4322" s="11" t="s">
        <v>7403</v>
      </c>
      <c r="F4322" s="109" t="str">
        <f t="shared" ref="F4322:G4322" si="4321">TRANSLATE(D4322,"lzh","vi")</f>
        <v>#NAME?</v>
      </c>
      <c r="G4322" s="109" t="str">
        <f t="shared" si="4321"/>
        <v>#NAME?</v>
      </c>
      <c r="X4322" s="110"/>
    </row>
    <row r="4323" ht="21.0" customHeight="1">
      <c r="A4323" s="6">
        <v>1.0</v>
      </c>
      <c r="B4323" s="6">
        <v>324.0</v>
      </c>
      <c r="C4323" s="6">
        <v>1.0</v>
      </c>
      <c r="D4323" s="188" t="s">
        <v>7404</v>
      </c>
      <c r="E4323" s="11" t="s">
        <v>7405</v>
      </c>
      <c r="F4323" s="109" t="str">
        <f t="shared" ref="F4323:G4323" si="4322">TRANSLATE(D4323,"lzh","vi")</f>
        <v>#NAME?</v>
      </c>
      <c r="G4323" s="109" t="str">
        <f t="shared" si="4322"/>
        <v>#NAME?</v>
      </c>
      <c r="X4323" s="110"/>
    </row>
    <row r="4324" ht="21.0" customHeight="1">
      <c r="A4324" s="6">
        <v>1.0</v>
      </c>
      <c r="B4324" s="6">
        <v>324.0</v>
      </c>
      <c r="C4324" s="6">
        <v>2.0</v>
      </c>
      <c r="D4324" s="188" t="s">
        <v>7406</v>
      </c>
      <c r="E4324" s="11" t="s">
        <v>7407</v>
      </c>
      <c r="F4324" s="109" t="str">
        <f t="shared" ref="F4324:G4324" si="4323">TRANSLATE(D4324,"lzh","vi")</f>
        <v>#NAME?</v>
      </c>
      <c r="G4324" s="109" t="str">
        <f t="shared" si="4323"/>
        <v>#NAME?</v>
      </c>
      <c r="X4324" s="110"/>
    </row>
    <row r="4325" ht="21.0" customHeight="1">
      <c r="A4325" s="6">
        <v>1.0</v>
      </c>
      <c r="B4325" s="6">
        <v>324.0</v>
      </c>
      <c r="C4325" s="6">
        <v>3.0</v>
      </c>
      <c r="D4325" s="188" t="s">
        <v>7408</v>
      </c>
      <c r="E4325" s="11" t="s">
        <v>7409</v>
      </c>
      <c r="F4325" s="109" t="str">
        <f t="shared" ref="F4325:G4325" si="4324">TRANSLATE(D4325,"lzh","vi")</f>
        <v>#NAME?</v>
      </c>
      <c r="G4325" s="109" t="str">
        <f t="shared" si="4324"/>
        <v>#NAME?</v>
      </c>
      <c r="X4325" s="110"/>
    </row>
    <row r="4326" ht="21.0" customHeight="1">
      <c r="A4326" s="6">
        <v>1.0</v>
      </c>
      <c r="B4326" s="6">
        <v>324.0</v>
      </c>
      <c r="C4326" s="6">
        <v>4.0</v>
      </c>
      <c r="D4326" s="188" t="s">
        <v>7410</v>
      </c>
      <c r="E4326" s="11" t="s">
        <v>7411</v>
      </c>
      <c r="F4326" s="109" t="str">
        <f t="shared" ref="F4326:G4326" si="4325">TRANSLATE(D4326,"lzh","vi")</f>
        <v>#NAME?</v>
      </c>
      <c r="G4326" s="109" t="str">
        <f t="shared" si="4325"/>
        <v>#NAME?</v>
      </c>
      <c r="X4326" s="110"/>
    </row>
    <row r="4327" ht="21.0" customHeight="1">
      <c r="A4327" s="6">
        <v>1.0</v>
      </c>
      <c r="B4327" s="6">
        <v>324.0</v>
      </c>
      <c r="C4327" s="6">
        <v>5.0</v>
      </c>
      <c r="D4327" s="188" t="s">
        <v>7412</v>
      </c>
      <c r="E4327" s="11" t="s">
        <v>7413</v>
      </c>
      <c r="F4327" s="109" t="str">
        <f t="shared" ref="F4327:G4327" si="4326">TRANSLATE(D4327,"lzh","vi")</f>
        <v>#NAME?</v>
      </c>
      <c r="G4327" s="109" t="str">
        <f t="shared" si="4326"/>
        <v>#NAME?</v>
      </c>
      <c r="X4327" s="110"/>
    </row>
    <row r="4328" ht="21.0" customHeight="1">
      <c r="A4328" s="6">
        <v>1.0</v>
      </c>
      <c r="B4328" s="6">
        <v>324.0</v>
      </c>
      <c r="C4328" s="6">
        <v>6.0</v>
      </c>
      <c r="D4328" s="188" t="s">
        <v>7414</v>
      </c>
      <c r="E4328" s="11" t="s">
        <v>7415</v>
      </c>
      <c r="F4328" s="109" t="str">
        <f t="shared" ref="F4328:G4328" si="4327">TRANSLATE(D4328,"lzh","vi")</f>
        <v>#NAME?</v>
      </c>
      <c r="G4328" s="109" t="str">
        <f t="shared" si="4327"/>
        <v>#NAME?</v>
      </c>
      <c r="X4328" s="110"/>
    </row>
    <row r="4329" ht="21.0" customHeight="1">
      <c r="A4329" s="6">
        <v>1.0</v>
      </c>
      <c r="B4329" s="6">
        <v>324.0</v>
      </c>
      <c r="C4329" s="6">
        <v>7.0</v>
      </c>
      <c r="D4329" s="188" t="s">
        <v>7416</v>
      </c>
      <c r="E4329" s="11" t="s">
        <v>7417</v>
      </c>
      <c r="F4329" s="109" t="str">
        <f t="shared" ref="F4329:G4329" si="4328">TRANSLATE(D4329,"lzh","vi")</f>
        <v>#NAME?</v>
      </c>
      <c r="G4329" s="109" t="str">
        <f t="shared" si="4328"/>
        <v>#NAME?</v>
      </c>
      <c r="X4329" s="110"/>
    </row>
    <row r="4330" ht="21.0" customHeight="1">
      <c r="A4330" s="6">
        <v>1.0</v>
      </c>
      <c r="B4330" s="6">
        <v>324.0</v>
      </c>
      <c r="C4330" s="6">
        <v>8.0</v>
      </c>
      <c r="D4330" s="188" t="s">
        <v>7418</v>
      </c>
      <c r="E4330" s="11" t="s">
        <v>7419</v>
      </c>
      <c r="F4330" s="109" t="str">
        <f t="shared" ref="F4330:G4330" si="4329">TRANSLATE(D4330,"lzh","vi")</f>
        <v>#NAME?</v>
      </c>
      <c r="G4330" s="109" t="str">
        <f t="shared" si="4329"/>
        <v>#NAME?</v>
      </c>
      <c r="X4330" s="110"/>
    </row>
    <row r="4331" ht="21.0" customHeight="1">
      <c r="A4331" s="6">
        <v>1.0</v>
      </c>
      <c r="B4331" s="6">
        <v>324.0</v>
      </c>
      <c r="C4331" s="6">
        <v>9.0</v>
      </c>
      <c r="D4331" s="188" t="s">
        <v>7420</v>
      </c>
      <c r="E4331" s="11" t="s">
        <v>7421</v>
      </c>
      <c r="F4331" s="109" t="str">
        <f t="shared" ref="F4331:G4331" si="4330">TRANSLATE(D4331,"lzh","vi")</f>
        <v>#NAME?</v>
      </c>
      <c r="G4331" s="109" t="str">
        <f t="shared" si="4330"/>
        <v>#NAME?</v>
      </c>
      <c r="X4331" s="110"/>
    </row>
    <row r="4332" ht="21.0" customHeight="1">
      <c r="A4332" s="6">
        <v>1.0</v>
      </c>
      <c r="B4332" s="6">
        <v>324.0</v>
      </c>
      <c r="C4332" s="6">
        <v>10.0</v>
      </c>
      <c r="D4332" s="188" t="s">
        <v>7422</v>
      </c>
      <c r="E4332" s="11" t="s">
        <v>7423</v>
      </c>
      <c r="F4332" s="109" t="str">
        <f t="shared" ref="F4332:G4332" si="4331">TRANSLATE(D4332,"lzh","vi")</f>
        <v>#NAME?</v>
      </c>
      <c r="G4332" s="109" t="str">
        <f t="shared" si="4331"/>
        <v>#NAME?</v>
      </c>
      <c r="X4332" s="110"/>
    </row>
    <row r="4333" ht="21.0" customHeight="1">
      <c r="A4333" s="6">
        <v>1.0</v>
      </c>
      <c r="B4333" s="6">
        <v>324.0</v>
      </c>
      <c r="C4333" s="6">
        <v>11.0</v>
      </c>
      <c r="D4333" s="188" t="s">
        <v>7424</v>
      </c>
      <c r="E4333" s="11" t="s">
        <v>7425</v>
      </c>
      <c r="F4333" s="109" t="str">
        <f t="shared" ref="F4333:G4333" si="4332">TRANSLATE(D4333,"lzh","vi")</f>
        <v>#NAME?</v>
      </c>
      <c r="G4333" s="109" t="str">
        <f t="shared" si="4332"/>
        <v>#NAME?</v>
      </c>
      <c r="X4333" s="110"/>
    </row>
    <row r="4334" ht="21.0" customHeight="1">
      <c r="A4334" s="6">
        <v>1.0</v>
      </c>
      <c r="B4334" s="6">
        <v>324.0</v>
      </c>
      <c r="C4334" s="6">
        <v>12.0</v>
      </c>
      <c r="D4334" s="188" t="s">
        <v>7426</v>
      </c>
      <c r="E4334" s="11" t="s">
        <v>7427</v>
      </c>
      <c r="F4334" s="109" t="str">
        <f t="shared" ref="F4334:G4334" si="4333">TRANSLATE(D4334,"lzh","vi")</f>
        <v>#NAME?</v>
      </c>
      <c r="G4334" s="109" t="str">
        <f t="shared" si="4333"/>
        <v>#NAME?</v>
      </c>
      <c r="X4334" s="110"/>
    </row>
    <row r="4335" ht="21.0" customHeight="1">
      <c r="A4335" s="6">
        <v>1.0</v>
      </c>
      <c r="B4335" s="6">
        <v>324.0</v>
      </c>
      <c r="C4335" s="6">
        <v>13.0</v>
      </c>
      <c r="D4335" s="188" t="s">
        <v>7428</v>
      </c>
      <c r="E4335" s="11" t="s">
        <v>7429</v>
      </c>
      <c r="F4335" s="109" t="str">
        <f t="shared" ref="F4335:G4335" si="4334">TRANSLATE(D4335,"lzh","vi")</f>
        <v>#NAME?</v>
      </c>
      <c r="G4335" s="109" t="str">
        <f t="shared" si="4334"/>
        <v>#NAME?</v>
      </c>
      <c r="X4335" s="110"/>
    </row>
    <row r="4336" ht="21.0" customHeight="1">
      <c r="A4336" s="6">
        <v>11.0</v>
      </c>
      <c r="B4336" s="6">
        <v>2011.0</v>
      </c>
      <c r="C4336" s="6">
        <v>1.0</v>
      </c>
      <c r="D4336" s="171" t="s">
        <v>7430</v>
      </c>
      <c r="E4336" s="19" t="s">
        <v>7431</v>
      </c>
      <c r="F4336" s="109" t="str">
        <f t="shared" ref="F4336:G4336" si="4335">TRANSLATE(D4336,"lzh","vi")</f>
        <v>#NAME?</v>
      </c>
      <c r="G4336" s="109" t="str">
        <f t="shared" si="4335"/>
        <v>#NAME?</v>
      </c>
      <c r="X4336" s="110"/>
    </row>
    <row r="4337" ht="21.0" customHeight="1">
      <c r="A4337" s="6">
        <v>11.0</v>
      </c>
      <c r="B4337" s="6">
        <v>2011.0</v>
      </c>
      <c r="C4337" s="6">
        <v>2.0</v>
      </c>
      <c r="D4337" s="171" t="s">
        <v>7432</v>
      </c>
      <c r="E4337" s="19" t="s">
        <v>7433</v>
      </c>
      <c r="F4337" s="109" t="str">
        <f t="shared" ref="F4337:G4337" si="4336">TRANSLATE(D4337,"lzh","vi")</f>
        <v>#NAME?</v>
      </c>
      <c r="G4337" s="109" t="str">
        <f t="shared" si="4336"/>
        <v>#NAME?</v>
      </c>
      <c r="X4337" s="110"/>
    </row>
    <row r="4338" ht="21.0" customHeight="1">
      <c r="A4338" s="6">
        <v>11.0</v>
      </c>
      <c r="B4338" s="6">
        <v>2011.0</v>
      </c>
      <c r="C4338" s="6">
        <v>3.0</v>
      </c>
      <c r="D4338" s="171" t="s">
        <v>7434</v>
      </c>
      <c r="E4338" s="19" t="s">
        <v>7435</v>
      </c>
      <c r="F4338" s="109" t="str">
        <f t="shared" ref="F4338:G4338" si="4337">TRANSLATE(D4338,"lzh","vi")</f>
        <v>#NAME?</v>
      </c>
      <c r="G4338" s="109" t="str">
        <f t="shared" si="4337"/>
        <v>#NAME?</v>
      </c>
      <c r="X4338" s="110"/>
    </row>
    <row r="4339" ht="21.0" customHeight="1">
      <c r="A4339" s="6">
        <v>11.0</v>
      </c>
      <c r="B4339" s="6">
        <v>2011.0</v>
      </c>
      <c r="C4339" s="6">
        <v>4.0</v>
      </c>
      <c r="D4339" s="174" t="s">
        <v>7436</v>
      </c>
      <c r="E4339" s="19" t="s">
        <v>7437</v>
      </c>
      <c r="F4339" s="109" t="str">
        <f t="shared" ref="F4339:G4339" si="4338">TRANSLATE(D4339,"lzh","vi")</f>
        <v>#NAME?</v>
      </c>
      <c r="G4339" s="109" t="str">
        <f t="shared" si="4338"/>
        <v>#NAME?</v>
      </c>
      <c r="X4339" s="110"/>
    </row>
    <row r="4340" ht="21.0" customHeight="1">
      <c r="A4340" s="6">
        <v>10.0</v>
      </c>
      <c r="B4340" s="6">
        <v>2011.0</v>
      </c>
      <c r="C4340" s="6">
        <v>5.0</v>
      </c>
      <c r="D4340" s="174" t="s">
        <v>7438</v>
      </c>
      <c r="E4340" s="19" t="s">
        <v>7439</v>
      </c>
      <c r="F4340" s="109" t="str">
        <f t="shared" ref="F4340:G4340" si="4339">TRANSLATE(D4340,"lzh","vi")</f>
        <v>#NAME?</v>
      </c>
      <c r="G4340" s="109" t="str">
        <f t="shared" si="4339"/>
        <v>#NAME?</v>
      </c>
      <c r="X4340" s="110"/>
    </row>
    <row r="4341" ht="21.0" customHeight="1">
      <c r="A4341" s="6">
        <v>10.0</v>
      </c>
      <c r="B4341" s="6">
        <v>2011.0</v>
      </c>
      <c r="C4341" s="6">
        <v>6.0</v>
      </c>
      <c r="D4341" s="174" t="s">
        <v>7440</v>
      </c>
      <c r="E4341" s="9" t="s">
        <v>7441</v>
      </c>
      <c r="F4341" s="109" t="str">
        <f t="shared" ref="F4341:G4341" si="4340">TRANSLATE(D4341,"lzh","vi")</f>
        <v>#NAME?</v>
      </c>
      <c r="G4341" s="109" t="str">
        <f t="shared" si="4340"/>
        <v>#NAME?</v>
      </c>
      <c r="X4341" s="110"/>
    </row>
    <row r="4342" ht="21.0" customHeight="1">
      <c r="A4342" s="6">
        <v>10.0</v>
      </c>
      <c r="B4342" s="6">
        <v>2011.0</v>
      </c>
      <c r="C4342" s="6">
        <v>7.0</v>
      </c>
      <c r="D4342" s="174" t="s">
        <v>7442</v>
      </c>
      <c r="E4342" s="9" t="s">
        <v>7443</v>
      </c>
      <c r="F4342" s="109" t="str">
        <f t="shared" ref="F4342:G4342" si="4341">TRANSLATE(D4342,"lzh","vi")</f>
        <v>#NAME?</v>
      </c>
      <c r="G4342" s="109" t="str">
        <f t="shared" si="4341"/>
        <v>#NAME?</v>
      </c>
      <c r="X4342" s="110"/>
    </row>
    <row r="4343" ht="21.0" customHeight="1">
      <c r="A4343" s="6">
        <v>10.0</v>
      </c>
      <c r="B4343" s="6">
        <v>2011.0</v>
      </c>
      <c r="C4343" s="6">
        <v>8.0</v>
      </c>
      <c r="D4343" s="174" t="s">
        <v>7444</v>
      </c>
      <c r="E4343" s="19" t="s">
        <v>7445</v>
      </c>
      <c r="F4343" s="109" t="str">
        <f t="shared" ref="F4343:G4343" si="4342">TRANSLATE(D4343,"lzh","vi")</f>
        <v>#NAME?</v>
      </c>
      <c r="G4343" s="109" t="str">
        <f t="shared" si="4342"/>
        <v>#NAME?</v>
      </c>
      <c r="X4343" s="110"/>
    </row>
    <row r="4344" ht="21.0" customHeight="1">
      <c r="A4344" s="6">
        <v>10.0</v>
      </c>
      <c r="B4344" s="6">
        <v>2011.0</v>
      </c>
      <c r="C4344" s="6">
        <v>9.0</v>
      </c>
      <c r="D4344" s="174" t="s">
        <v>7446</v>
      </c>
      <c r="E4344" s="9" t="s">
        <v>7447</v>
      </c>
      <c r="F4344" s="109" t="str">
        <f t="shared" ref="F4344:G4344" si="4343">TRANSLATE(D4344,"lzh","vi")</f>
        <v>#NAME?</v>
      </c>
      <c r="G4344" s="109" t="str">
        <f t="shared" si="4343"/>
        <v>#NAME?</v>
      </c>
      <c r="X4344" s="110"/>
    </row>
    <row r="4345" ht="21.0" customHeight="1">
      <c r="A4345" s="6">
        <v>10.0</v>
      </c>
      <c r="B4345" s="6">
        <v>2011.0</v>
      </c>
      <c r="C4345" s="6">
        <v>10.0</v>
      </c>
      <c r="D4345" s="189" t="s">
        <v>7448</v>
      </c>
      <c r="E4345" s="19" t="s">
        <v>7449</v>
      </c>
      <c r="F4345" s="109" t="str">
        <f t="shared" ref="F4345:G4345" si="4344">TRANSLATE(D4345,"lzh","vi")</f>
        <v>#NAME?</v>
      </c>
      <c r="G4345" s="109" t="str">
        <f t="shared" si="4344"/>
        <v>#NAME?</v>
      </c>
      <c r="X4345" s="110"/>
    </row>
    <row r="4346" ht="21.0" customHeight="1">
      <c r="A4346" s="6">
        <v>11.0</v>
      </c>
      <c r="B4346" s="6">
        <v>2012.0</v>
      </c>
      <c r="C4346" s="6">
        <v>1.0</v>
      </c>
      <c r="D4346" s="171" t="s">
        <v>7450</v>
      </c>
      <c r="E4346" s="19" t="s">
        <v>7451</v>
      </c>
      <c r="F4346" s="109" t="str">
        <f t="shared" ref="F4346:G4346" si="4345">TRANSLATE(D4346,"lzh","vi")</f>
        <v>#NAME?</v>
      </c>
      <c r="G4346" s="109" t="str">
        <f t="shared" si="4345"/>
        <v>#NAME?</v>
      </c>
      <c r="X4346" s="110"/>
    </row>
    <row r="4347" ht="21.0" customHeight="1">
      <c r="A4347" s="6">
        <v>11.0</v>
      </c>
      <c r="B4347" s="6">
        <v>2012.0</v>
      </c>
      <c r="C4347" s="6">
        <v>2.0</v>
      </c>
      <c r="D4347" s="171" t="s">
        <v>7452</v>
      </c>
      <c r="E4347" s="19" t="s">
        <v>7453</v>
      </c>
      <c r="F4347" s="109" t="str">
        <f t="shared" ref="F4347:G4347" si="4346">TRANSLATE(D4347,"lzh","vi")</f>
        <v>#NAME?</v>
      </c>
      <c r="G4347" s="109" t="str">
        <f t="shared" si="4346"/>
        <v>#NAME?</v>
      </c>
      <c r="X4347" s="110"/>
    </row>
    <row r="4348" ht="21.0" customHeight="1">
      <c r="A4348" s="6">
        <v>11.0</v>
      </c>
      <c r="B4348" s="6">
        <v>2012.0</v>
      </c>
      <c r="C4348" s="6">
        <v>3.0</v>
      </c>
      <c r="D4348" s="171" t="s">
        <v>7454</v>
      </c>
      <c r="E4348" s="19" t="s">
        <v>7455</v>
      </c>
      <c r="F4348" s="109" t="str">
        <f t="shared" ref="F4348:G4348" si="4347">TRANSLATE(D4348,"lzh","vi")</f>
        <v>#NAME?</v>
      </c>
      <c r="G4348" s="109" t="str">
        <f t="shared" si="4347"/>
        <v>#NAME?</v>
      </c>
      <c r="X4348" s="110"/>
    </row>
    <row r="4349" ht="21.0" customHeight="1">
      <c r="A4349" s="6">
        <v>11.0</v>
      </c>
      <c r="B4349" s="6">
        <v>2012.0</v>
      </c>
      <c r="C4349" s="6">
        <v>4.0</v>
      </c>
      <c r="D4349" s="174" t="s">
        <v>7456</v>
      </c>
      <c r="E4349" s="19" t="s">
        <v>7457</v>
      </c>
      <c r="F4349" s="109" t="str">
        <f t="shared" ref="F4349:G4349" si="4348">TRANSLATE(D4349,"lzh","vi")</f>
        <v>#NAME?</v>
      </c>
      <c r="G4349" s="109" t="str">
        <f t="shared" si="4348"/>
        <v>#NAME?</v>
      </c>
      <c r="X4349" s="110"/>
    </row>
    <row r="4350" ht="21.0" customHeight="1">
      <c r="A4350" s="6">
        <v>10.0</v>
      </c>
      <c r="B4350" s="6">
        <v>2012.0</v>
      </c>
      <c r="C4350" s="6">
        <v>5.0</v>
      </c>
      <c r="D4350" s="174" t="s">
        <v>7458</v>
      </c>
      <c r="E4350" s="19" t="s">
        <v>7459</v>
      </c>
      <c r="F4350" s="109" t="str">
        <f t="shared" ref="F4350:G4350" si="4349">TRANSLATE(D4350,"lzh","vi")</f>
        <v>#NAME?</v>
      </c>
      <c r="G4350" s="109" t="str">
        <f t="shared" si="4349"/>
        <v>#NAME?</v>
      </c>
      <c r="X4350" s="110"/>
    </row>
    <row r="4351" ht="21.0" customHeight="1">
      <c r="A4351" s="6">
        <v>10.0</v>
      </c>
      <c r="B4351" s="6">
        <v>2012.0</v>
      </c>
      <c r="C4351" s="6">
        <v>6.0</v>
      </c>
      <c r="D4351" s="174" t="s">
        <v>7460</v>
      </c>
      <c r="E4351" s="9" t="s">
        <v>7461</v>
      </c>
      <c r="F4351" s="109" t="str">
        <f t="shared" ref="F4351:G4351" si="4350">TRANSLATE(D4351,"lzh","vi")</f>
        <v>#NAME?</v>
      </c>
      <c r="G4351" s="109" t="str">
        <f t="shared" si="4350"/>
        <v>#NAME?</v>
      </c>
      <c r="X4351" s="110"/>
    </row>
    <row r="4352" ht="21.0" customHeight="1">
      <c r="A4352" s="6">
        <v>10.0</v>
      </c>
      <c r="B4352" s="6">
        <v>2012.0</v>
      </c>
      <c r="C4352" s="6">
        <v>7.0</v>
      </c>
      <c r="D4352" s="174" t="s">
        <v>7462</v>
      </c>
      <c r="E4352" s="9" t="s">
        <v>7463</v>
      </c>
      <c r="F4352" s="109" t="str">
        <f t="shared" ref="F4352:G4352" si="4351">TRANSLATE(D4352,"lzh","vi")</f>
        <v>#NAME?</v>
      </c>
      <c r="G4352" s="109" t="str">
        <f t="shared" si="4351"/>
        <v>#NAME?</v>
      </c>
      <c r="X4352" s="110"/>
    </row>
    <row r="4353" ht="21.0" customHeight="1">
      <c r="A4353" s="6">
        <v>10.0</v>
      </c>
      <c r="B4353" s="6">
        <v>2012.0</v>
      </c>
      <c r="C4353" s="6">
        <v>8.0</v>
      </c>
      <c r="D4353" s="174" t="s">
        <v>7464</v>
      </c>
      <c r="E4353" s="19" t="s">
        <v>7465</v>
      </c>
      <c r="F4353" s="109" t="str">
        <f t="shared" ref="F4353:G4353" si="4352">TRANSLATE(D4353,"lzh","vi")</f>
        <v>#NAME?</v>
      </c>
      <c r="G4353" s="109" t="str">
        <f t="shared" si="4352"/>
        <v>#NAME?</v>
      </c>
      <c r="X4353" s="110"/>
    </row>
    <row r="4354" ht="21.0" customHeight="1">
      <c r="A4354" s="6">
        <v>10.0</v>
      </c>
      <c r="B4354" s="6">
        <v>2012.0</v>
      </c>
      <c r="C4354" s="6">
        <v>9.0</v>
      </c>
      <c r="D4354" s="174" t="s">
        <v>7466</v>
      </c>
      <c r="E4354" s="9" t="s">
        <v>7467</v>
      </c>
      <c r="F4354" s="109" t="str">
        <f t="shared" ref="F4354:G4354" si="4353">TRANSLATE(D4354,"lzh","vi")</f>
        <v>#NAME?</v>
      </c>
      <c r="G4354" s="109" t="str">
        <f t="shared" si="4353"/>
        <v>#NAME?</v>
      </c>
      <c r="X4354" s="110"/>
    </row>
    <row r="4355" ht="21.0" customHeight="1">
      <c r="A4355" s="6">
        <v>10.0</v>
      </c>
      <c r="B4355" s="6">
        <v>2012.0</v>
      </c>
      <c r="C4355" s="6">
        <v>10.0</v>
      </c>
      <c r="D4355" s="189" t="s">
        <v>7468</v>
      </c>
      <c r="E4355" s="19" t="s">
        <v>7449</v>
      </c>
      <c r="F4355" s="109" t="str">
        <f t="shared" ref="F4355:G4355" si="4354">TRANSLATE(D4355,"lzh","vi")</f>
        <v>#NAME?</v>
      </c>
      <c r="G4355" s="109" t="str">
        <f t="shared" si="4354"/>
        <v>#NAME?</v>
      </c>
      <c r="X4355" s="110"/>
    </row>
    <row r="4356" ht="21.0" customHeight="1">
      <c r="A4356" s="6">
        <v>1.0</v>
      </c>
      <c r="B4356" s="6">
        <v>325.0</v>
      </c>
      <c r="C4356" s="6">
        <v>1.0</v>
      </c>
      <c r="D4356" s="174" t="s">
        <v>7469</v>
      </c>
      <c r="E4356" s="11" t="s">
        <v>7470</v>
      </c>
      <c r="F4356" s="109" t="str">
        <f t="shared" ref="F4356:G4356" si="4355">TRANSLATE(D4356,"lzh","vi")</f>
        <v>#NAME?</v>
      </c>
      <c r="G4356" s="109" t="str">
        <f t="shared" si="4355"/>
        <v>#NAME?</v>
      </c>
      <c r="X4356" s="110"/>
    </row>
    <row r="4357" ht="21.0" customHeight="1">
      <c r="A4357" s="6">
        <v>1.0</v>
      </c>
      <c r="B4357" s="6">
        <v>325.0</v>
      </c>
      <c r="C4357" s="6">
        <v>2.0</v>
      </c>
      <c r="D4357" s="174" t="s">
        <v>7471</v>
      </c>
      <c r="E4357" s="11" t="s">
        <v>7472</v>
      </c>
      <c r="F4357" s="109" t="str">
        <f t="shared" ref="F4357:G4357" si="4356">TRANSLATE(D4357,"lzh","vi")</f>
        <v>#NAME?</v>
      </c>
      <c r="G4357" s="109" t="str">
        <f t="shared" si="4356"/>
        <v>#NAME?</v>
      </c>
      <c r="X4357" s="110"/>
    </row>
    <row r="4358" ht="21.0" customHeight="1">
      <c r="A4358" s="6">
        <v>1.0</v>
      </c>
      <c r="B4358" s="6">
        <v>325.0</v>
      </c>
      <c r="C4358" s="6">
        <v>3.0</v>
      </c>
      <c r="D4358" s="182" t="s">
        <v>7473</v>
      </c>
      <c r="E4358" s="11" t="s">
        <v>7474</v>
      </c>
      <c r="F4358" s="109" t="str">
        <f t="shared" ref="F4358:G4358" si="4357">TRANSLATE(D4358,"lzh","vi")</f>
        <v>#NAME?</v>
      </c>
      <c r="G4358" s="109" t="str">
        <f t="shared" si="4357"/>
        <v>#NAME?</v>
      </c>
      <c r="X4358" s="110"/>
    </row>
    <row r="4359" ht="21.0" customHeight="1">
      <c r="A4359" s="6">
        <v>1.0</v>
      </c>
      <c r="B4359" s="6">
        <v>325.0</v>
      </c>
      <c r="C4359" s="6">
        <v>4.0</v>
      </c>
      <c r="D4359" s="174" t="s">
        <v>7475</v>
      </c>
      <c r="E4359" s="11" t="s">
        <v>7476</v>
      </c>
      <c r="F4359" s="109" t="str">
        <f t="shared" ref="F4359:G4359" si="4358">TRANSLATE(D4359,"lzh","vi")</f>
        <v>#NAME?</v>
      </c>
      <c r="G4359" s="109" t="str">
        <f t="shared" si="4358"/>
        <v>#NAME?</v>
      </c>
      <c r="X4359" s="110"/>
    </row>
    <row r="4360" ht="21.0" customHeight="1">
      <c r="A4360" s="6">
        <v>1.0</v>
      </c>
      <c r="B4360" s="6">
        <v>325.0</v>
      </c>
      <c r="C4360" s="6">
        <v>5.0</v>
      </c>
      <c r="D4360" s="174" t="s">
        <v>7477</v>
      </c>
      <c r="E4360" s="11" t="s">
        <v>7478</v>
      </c>
      <c r="F4360" s="109" t="str">
        <f t="shared" ref="F4360:G4360" si="4359">TRANSLATE(D4360,"lzh","vi")</f>
        <v>#NAME?</v>
      </c>
      <c r="G4360" s="109" t="str">
        <f t="shared" si="4359"/>
        <v>#NAME?</v>
      </c>
      <c r="X4360" s="110"/>
    </row>
    <row r="4361" ht="21.0" customHeight="1">
      <c r="A4361" s="6">
        <v>1.0</v>
      </c>
      <c r="B4361" s="6">
        <v>325.0</v>
      </c>
      <c r="C4361" s="6">
        <v>6.0</v>
      </c>
      <c r="D4361" s="174" t="s">
        <v>7479</v>
      </c>
      <c r="E4361" s="11" t="s">
        <v>7480</v>
      </c>
      <c r="F4361" s="109" t="str">
        <f t="shared" ref="F4361:G4361" si="4360">TRANSLATE(D4361,"lzh","vi")</f>
        <v>#NAME?</v>
      </c>
      <c r="G4361" s="109" t="str">
        <f t="shared" si="4360"/>
        <v>#NAME?</v>
      </c>
      <c r="X4361" s="110"/>
    </row>
    <row r="4362" ht="21.0" customHeight="1">
      <c r="A4362" s="6">
        <v>1.0</v>
      </c>
      <c r="B4362" s="6">
        <v>325.0</v>
      </c>
      <c r="C4362" s="6">
        <v>7.0</v>
      </c>
      <c r="D4362" s="171" t="s">
        <v>7481</v>
      </c>
      <c r="E4362" s="11" t="s">
        <v>7482</v>
      </c>
      <c r="F4362" s="109" t="str">
        <f t="shared" ref="F4362:G4362" si="4361">TRANSLATE(D4362,"lzh","vi")</f>
        <v>#NAME?</v>
      </c>
      <c r="G4362" s="109" t="str">
        <f t="shared" si="4361"/>
        <v>#NAME?</v>
      </c>
      <c r="X4362" s="110"/>
    </row>
    <row r="4363" ht="21.0" customHeight="1">
      <c r="A4363" s="6">
        <v>1.0</v>
      </c>
      <c r="B4363" s="6">
        <v>325.0</v>
      </c>
      <c r="C4363" s="6">
        <v>8.0</v>
      </c>
      <c r="D4363" s="171" t="s">
        <v>7483</v>
      </c>
      <c r="E4363" s="11" t="s">
        <v>7484</v>
      </c>
      <c r="F4363" s="109" t="str">
        <f t="shared" ref="F4363:G4363" si="4362">TRANSLATE(D4363,"lzh","vi")</f>
        <v>#NAME?</v>
      </c>
      <c r="G4363" s="109" t="str">
        <f t="shared" si="4362"/>
        <v>#NAME?</v>
      </c>
      <c r="X4363" s="110"/>
    </row>
    <row r="4364" ht="21.0" customHeight="1">
      <c r="A4364" s="6">
        <v>1.0</v>
      </c>
      <c r="B4364" s="6">
        <v>325.0</v>
      </c>
      <c r="C4364" s="6">
        <v>9.0</v>
      </c>
      <c r="D4364" s="171" t="s">
        <v>7485</v>
      </c>
      <c r="E4364" s="11" t="s">
        <v>7486</v>
      </c>
      <c r="F4364" s="109" t="str">
        <f t="shared" ref="F4364:G4364" si="4363">TRANSLATE(D4364,"lzh","vi")</f>
        <v>#NAME?</v>
      </c>
      <c r="G4364" s="109" t="str">
        <f t="shared" si="4363"/>
        <v>#NAME?</v>
      </c>
      <c r="X4364" s="110"/>
    </row>
    <row r="4365" ht="21.0" customHeight="1">
      <c r="A4365" s="6">
        <v>1.0</v>
      </c>
      <c r="B4365" s="6">
        <v>325.0</v>
      </c>
      <c r="C4365" s="6">
        <v>10.0</v>
      </c>
      <c r="D4365" s="171" t="s">
        <v>7487</v>
      </c>
      <c r="E4365" s="11" t="s">
        <v>7488</v>
      </c>
      <c r="F4365" s="109" t="str">
        <f t="shared" ref="F4365:G4365" si="4364">TRANSLATE(D4365,"lzh","vi")</f>
        <v>#NAME?</v>
      </c>
      <c r="G4365" s="109" t="str">
        <f t="shared" si="4364"/>
        <v>#NAME?</v>
      </c>
      <c r="X4365" s="110"/>
    </row>
    <row r="4366" ht="21.0" customHeight="1">
      <c r="A4366" s="6">
        <v>1.0</v>
      </c>
      <c r="B4366" s="6">
        <v>325.0</v>
      </c>
      <c r="C4366" s="6">
        <v>11.0</v>
      </c>
      <c r="D4366" s="171" t="s">
        <v>7489</v>
      </c>
      <c r="E4366" s="11" t="s">
        <v>7490</v>
      </c>
      <c r="F4366" s="109" t="str">
        <f t="shared" ref="F4366:G4366" si="4365">TRANSLATE(D4366,"lzh","vi")</f>
        <v>#NAME?</v>
      </c>
      <c r="G4366" s="109" t="str">
        <f t="shared" si="4365"/>
        <v>#NAME?</v>
      </c>
      <c r="X4366" s="110"/>
    </row>
    <row r="4367" ht="21.0" customHeight="1">
      <c r="A4367" s="6">
        <v>1.0</v>
      </c>
      <c r="B4367" s="6">
        <v>325.0</v>
      </c>
      <c r="C4367" s="6">
        <v>12.0</v>
      </c>
      <c r="D4367" s="174" t="s">
        <v>7491</v>
      </c>
      <c r="E4367" s="11" t="s">
        <v>7492</v>
      </c>
      <c r="F4367" s="109" t="str">
        <f t="shared" ref="F4367:G4367" si="4366">TRANSLATE(D4367,"lzh","vi")</f>
        <v>#NAME?</v>
      </c>
      <c r="G4367" s="109" t="str">
        <f t="shared" si="4366"/>
        <v>#NAME?</v>
      </c>
      <c r="X4367" s="110"/>
    </row>
    <row r="4368" ht="21.0" customHeight="1">
      <c r="A4368" s="6">
        <v>1.0</v>
      </c>
      <c r="B4368" s="6">
        <v>325.0</v>
      </c>
      <c r="C4368" s="6">
        <v>13.0</v>
      </c>
      <c r="D4368" s="174" t="s">
        <v>7493</v>
      </c>
      <c r="E4368" s="11" t="s">
        <v>7494</v>
      </c>
      <c r="F4368" s="109" t="str">
        <f t="shared" ref="F4368:G4368" si="4367">TRANSLATE(D4368,"lzh","vi")</f>
        <v>#NAME?</v>
      </c>
      <c r="G4368" s="109" t="str">
        <f t="shared" si="4367"/>
        <v>#NAME?</v>
      </c>
      <c r="X4368" s="110"/>
    </row>
    <row r="4369" ht="21.0" customHeight="1">
      <c r="A4369" s="191">
        <v>1.0</v>
      </c>
      <c r="B4369" s="6">
        <v>325.0</v>
      </c>
      <c r="C4369" s="191">
        <v>14.0</v>
      </c>
      <c r="D4369" s="174" t="s">
        <v>7495</v>
      </c>
      <c r="E4369" s="11" t="s">
        <v>7496</v>
      </c>
      <c r="F4369" s="109" t="str">
        <f t="shared" ref="F4369:G4369" si="4368">TRANSLATE(D4369,"lzh","vi")</f>
        <v>#NAME?</v>
      </c>
      <c r="G4369" s="109" t="str">
        <f t="shared" si="4368"/>
        <v>#NAME?</v>
      </c>
    </row>
    <row r="4370" ht="21.0" customHeight="1">
      <c r="A4370" s="191">
        <v>1.0</v>
      </c>
      <c r="B4370" s="6">
        <v>325.0</v>
      </c>
      <c r="C4370" s="191">
        <v>15.0</v>
      </c>
      <c r="D4370" s="174" t="s">
        <v>7497</v>
      </c>
      <c r="E4370" s="11" t="s">
        <v>7498</v>
      </c>
      <c r="F4370" s="109" t="str">
        <f t="shared" ref="F4370:G4370" si="4369">TRANSLATE(D4370,"lzh","vi")</f>
        <v>#NAME?</v>
      </c>
      <c r="G4370" s="109" t="str">
        <f t="shared" si="4369"/>
        <v>#NAME?</v>
      </c>
    </row>
    <row r="4371" ht="21.0" customHeight="1">
      <c r="A4371" s="6">
        <v>1.0</v>
      </c>
      <c r="B4371" s="6">
        <v>326.0</v>
      </c>
      <c r="C4371" s="6">
        <v>1.0</v>
      </c>
      <c r="D4371" s="174" t="s">
        <v>7499</v>
      </c>
      <c r="E4371" s="11" t="s">
        <v>7500</v>
      </c>
      <c r="F4371" s="109" t="str">
        <f t="shared" ref="F4371:G4371" si="4370">TRANSLATE(D4371,"lzh","vi")</f>
        <v>#NAME?</v>
      </c>
      <c r="G4371" s="109" t="str">
        <f t="shared" si="4370"/>
        <v>#NAME?</v>
      </c>
      <c r="X4371" s="110"/>
    </row>
    <row r="4372" ht="21.0" customHeight="1">
      <c r="A4372" s="6">
        <v>1.0</v>
      </c>
      <c r="B4372" s="6">
        <v>326.0</v>
      </c>
      <c r="C4372" s="6">
        <v>2.0</v>
      </c>
      <c r="D4372" s="174" t="s">
        <v>7501</v>
      </c>
      <c r="E4372" s="11" t="s">
        <v>7502</v>
      </c>
      <c r="F4372" s="109" t="str">
        <f t="shared" ref="F4372:G4372" si="4371">TRANSLATE(D4372,"lzh","vi")</f>
        <v>#NAME?</v>
      </c>
      <c r="G4372" s="109" t="str">
        <f t="shared" si="4371"/>
        <v>#NAME?</v>
      </c>
      <c r="X4372" s="110"/>
    </row>
    <row r="4373" ht="21.0" customHeight="1">
      <c r="A4373" s="6">
        <v>1.0</v>
      </c>
      <c r="B4373" s="6">
        <v>326.0</v>
      </c>
      <c r="C4373" s="6">
        <v>3.0</v>
      </c>
      <c r="D4373" s="174" t="s">
        <v>7503</v>
      </c>
      <c r="E4373" s="11" t="s">
        <v>7504</v>
      </c>
      <c r="F4373" s="109" t="str">
        <f t="shared" ref="F4373:G4373" si="4372">TRANSLATE(D4373,"lzh","vi")</f>
        <v>#NAME?</v>
      </c>
      <c r="G4373" s="109" t="str">
        <f t="shared" si="4372"/>
        <v>#NAME?</v>
      </c>
      <c r="X4373" s="110"/>
    </row>
    <row r="4374" ht="21.0" customHeight="1">
      <c r="A4374" s="6">
        <v>1.0</v>
      </c>
      <c r="B4374" s="6">
        <v>326.0</v>
      </c>
      <c r="C4374" s="6">
        <v>4.0</v>
      </c>
      <c r="D4374" s="171" t="s">
        <v>7505</v>
      </c>
      <c r="E4374" s="11" t="s">
        <v>7506</v>
      </c>
      <c r="F4374" s="109" t="str">
        <f t="shared" ref="F4374:G4374" si="4373">TRANSLATE(D4374,"lzh","vi")</f>
        <v>#NAME?</v>
      </c>
      <c r="G4374" s="109" t="str">
        <f t="shared" si="4373"/>
        <v>#NAME?</v>
      </c>
      <c r="X4374" s="110"/>
    </row>
    <row r="4375" ht="21.0" customHeight="1">
      <c r="A4375" s="6">
        <v>1.0</v>
      </c>
      <c r="B4375" s="6">
        <v>326.0</v>
      </c>
      <c r="C4375" s="6">
        <v>5.0</v>
      </c>
      <c r="D4375" s="174" t="s">
        <v>7507</v>
      </c>
      <c r="E4375" s="11" t="s">
        <v>7508</v>
      </c>
      <c r="F4375" s="109" t="str">
        <f t="shared" ref="F4375:G4375" si="4374">TRANSLATE(D4375,"lzh","vi")</f>
        <v>#NAME?</v>
      </c>
      <c r="G4375" s="109" t="str">
        <f t="shared" si="4374"/>
        <v>#NAME?</v>
      </c>
      <c r="X4375" s="110"/>
    </row>
    <row r="4376" ht="21.0" customHeight="1">
      <c r="A4376" s="6">
        <v>1.0</v>
      </c>
      <c r="B4376" s="6">
        <v>326.0</v>
      </c>
      <c r="C4376" s="6">
        <v>6.0</v>
      </c>
      <c r="D4376" s="182" t="s">
        <v>7509</v>
      </c>
      <c r="E4376" s="11" t="s">
        <v>7510</v>
      </c>
      <c r="F4376" s="109" t="str">
        <f t="shared" ref="F4376:G4376" si="4375">TRANSLATE(D4376,"lzh","vi")</f>
        <v>#NAME?</v>
      </c>
      <c r="G4376" s="109" t="str">
        <f t="shared" si="4375"/>
        <v>#NAME?</v>
      </c>
      <c r="X4376" s="110"/>
    </row>
    <row r="4377" ht="21.0" customHeight="1">
      <c r="A4377" s="6">
        <v>1.0</v>
      </c>
      <c r="B4377" s="6">
        <v>326.0</v>
      </c>
      <c r="C4377" s="6">
        <v>7.0</v>
      </c>
      <c r="D4377" s="174" t="s">
        <v>7511</v>
      </c>
      <c r="E4377" s="11" t="s">
        <v>7512</v>
      </c>
      <c r="F4377" s="109" t="str">
        <f t="shared" ref="F4377:G4377" si="4376">TRANSLATE(D4377,"lzh","vi")</f>
        <v>#NAME?</v>
      </c>
      <c r="G4377" s="109" t="str">
        <f t="shared" si="4376"/>
        <v>#NAME?</v>
      </c>
      <c r="X4377" s="110"/>
    </row>
    <row r="4378" ht="21.0" customHeight="1">
      <c r="A4378" s="6">
        <v>1.0</v>
      </c>
      <c r="B4378" s="6">
        <v>326.0</v>
      </c>
      <c r="C4378" s="6">
        <v>8.0</v>
      </c>
      <c r="D4378" s="174" t="s">
        <v>7513</v>
      </c>
      <c r="E4378" s="11" t="s">
        <v>7514</v>
      </c>
      <c r="F4378" s="109" t="str">
        <f t="shared" ref="F4378:G4378" si="4377">TRANSLATE(D4378,"lzh","vi")</f>
        <v>#NAME?</v>
      </c>
      <c r="G4378" s="109" t="str">
        <f t="shared" si="4377"/>
        <v>#NAME?</v>
      </c>
      <c r="X4378" s="110"/>
    </row>
    <row r="4379" ht="21.0" customHeight="1">
      <c r="A4379" s="6">
        <v>1.0</v>
      </c>
      <c r="B4379" s="6">
        <v>326.0</v>
      </c>
      <c r="C4379" s="6">
        <v>9.0</v>
      </c>
      <c r="D4379" s="182" t="s">
        <v>7515</v>
      </c>
      <c r="E4379" s="11" t="s">
        <v>7516</v>
      </c>
      <c r="F4379" s="109" t="str">
        <f t="shared" ref="F4379:G4379" si="4378">TRANSLATE(D4379,"lzh","vi")</f>
        <v>#NAME?</v>
      </c>
      <c r="G4379" s="109" t="str">
        <f t="shared" si="4378"/>
        <v>#NAME?</v>
      </c>
      <c r="X4379" s="110"/>
    </row>
    <row r="4380" ht="21.0" customHeight="1">
      <c r="A4380" s="6">
        <v>1.0</v>
      </c>
      <c r="B4380" s="6">
        <v>326.0</v>
      </c>
      <c r="C4380" s="6">
        <v>10.0</v>
      </c>
      <c r="D4380" s="174" t="s">
        <v>7517</v>
      </c>
      <c r="E4380" s="11" t="s">
        <v>7518</v>
      </c>
      <c r="F4380" s="109" t="str">
        <f t="shared" ref="F4380:G4380" si="4379">TRANSLATE(D4380,"lzh","vi")</f>
        <v>#NAME?</v>
      </c>
      <c r="G4380" s="109" t="str">
        <f t="shared" si="4379"/>
        <v>#NAME?</v>
      </c>
      <c r="X4380" s="110"/>
    </row>
    <row r="4381" ht="21.0" customHeight="1">
      <c r="A4381" s="6">
        <v>1.0</v>
      </c>
      <c r="B4381" s="6">
        <v>326.0</v>
      </c>
      <c r="C4381" s="6">
        <v>11.0</v>
      </c>
      <c r="D4381" s="171" t="s">
        <v>7519</v>
      </c>
      <c r="E4381" s="11" t="s">
        <v>7520</v>
      </c>
      <c r="F4381" s="109" t="str">
        <f t="shared" ref="F4381:G4381" si="4380">TRANSLATE(D4381,"lzh","vi")</f>
        <v>#NAME?</v>
      </c>
      <c r="G4381" s="109" t="str">
        <f t="shared" si="4380"/>
        <v>#NAME?</v>
      </c>
      <c r="X4381" s="110"/>
    </row>
    <row r="4382" ht="21.0" customHeight="1">
      <c r="A4382" s="6">
        <v>1.0</v>
      </c>
      <c r="B4382" s="6">
        <v>326.0</v>
      </c>
      <c r="C4382" s="6">
        <v>12.0</v>
      </c>
      <c r="D4382" s="190" t="s">
        <v>7521</v>
      </c>
      <c r="E4382" s="11" t="s">
        <v>7522</v>
      </c>
      <c r="F4382" s="109" t="str">
        <f t="shared" ref="F4382:G4382" si="4381">TRANSLATE(D4382,"lzh","vi")</f>
        <v>#NAME?</v>
      </c>
      <c r="G4382" s="109" t="str">
        <f t="shared" si="4381"/>
        <v>#NAME?</v>
      </c>
      <c r="X4382" s="110"/>
    </row>
    <row r="4383" ht="21.0" customHeight="1">
      <c r="A4383" s="6">
        <v>1.0</v>
      </c>
      <c r="B4383" s="6">
        <v>326.0</v>
      </c>
      <c r="C4383" s="6">
        <v>13.0</v>
      </c>
      <c r="D4383" s="173" t="s">
        <v>7523</v>
      </c>
      <c r="E4383" s="11" t="s">
        <v>7524</v>
      </c>
      <c r="F4383" s="109" t="str">
        <f t="shared" ref="F4383:G4383" si="4382">TRANSLATE(D4383,"lzh","vi")</f>
        <v>#NAME?</v>
      </c>
      <c r="G4383" s="109" t="str">
        <f t="shared" si="4382"/>
        <v>#NAME?</v>
      </c>
      <c r="X4383" s="110"/>
    </row>
    <row r="4384" ht="21.0" customHeight="1">
      <c r="A4384" s="191">
        <v>1.0</v>
      </c>
      <c r="B4384" s="6">
        <v>326.0</v>
      </c>
      <c r="C4384" s="191">
        <v>14.0</v>
      </c>
      <c r="D4384" s="171" t="s">
        <v>7525</v>
      </c>
      <c r="E4384" s="9" t="s">
        <v>7526</v>
      </c>
      <c r="F4384" s="109" t="str">
        <f t="shared" ref="F4384:G4384" si="4383">TRANSLATE(D4384,"lzh","vi")</f>
        <v>#NAME?</v>
      </c>
      <c r="G4384" s="109" t="str">
        <f t="shared" si="4383"/>
        <v>#NAME?</v>
      </c>
    </row>
    <row r="4385" ht="21.0" customHeight="1">
      <c r="A4385" s="191">
        <v>1.0</v>
      </c>
      <c r="B4385" s="6">
        <v>326.0</v>
      </c>
      <c r="C4385" s="191">
        <v>15.0</v>
      </c>
      <c r="D4385" s="171" t="s">
        <v>7527</v>
      </c>
      <c r="E4385" s="9" t="s">
        <v>7528</v>
      </c>
      <c r="F4385" s="109" t="str">
        <f t="shared" ref="F4385:G4385" si="4384">TRANSLATE(D4385,"lzh","vi")</f>
        <v>#NAME?</v>
      </c>
      <c r="G4385" s="109" t="str">
        <f t="shared" si="4384"/>
        <v>#NAME?</v>
      </c>
    </row>
    <row r="4386" ht="21.0" customHeight="1">
      <c r="A4386" s="6">
        <v>1.0</v>
      </c>
      <c r="B4386" s="6">
        <v>327.0</v>
      </c>
      <c r="C4386" s="6">
        <v>1.0</v>
      </c>
      <c r="D4386" s="174" t="s">
        <v>7529</v>
      </c>
      <c r="E4386" s="11" t="s">
        <v>7530</v>
      </c>
      <c r="F4386" s="109" t="str">
        <f t="shared" ref="F4386:G4386" si="4385">TRANSLATE(D4386,"lzh","vi")</f>
        <v>#NAME?</v>
      </c>
      <c r="G4386" s="109" t="str">
        <f t="shared" si="4385"/>
        <v>#NAME?</v>
      </c>
      <c r="X4386" s="110"/>
    </row>
    <row r="4387" ht="21.0" customHeight="1">
      <c r="A4387" s="6">
        <v>1.0</v>
      </c>
      <c r="B4387" s="6">
        <v>327.0</v>
      </c>
      <c r="C4387" s="6">
        <v>2.0</v>
      </c>
      <c r="D4387" s="174" t="s">
        <v>7531</v>
      </c>
      <c r="E4387" s="11" t="s">
        <v>7532</v>
      </c>
      <c r="F4387" s="109" t="str">
        <f t="shared" ref="F4387:G4387" si="4386">TRANSLATE(D4387,"lzh","vi")</f>
        <v>#NAME?</v>
      </c>
      <c r="G4387" s="109" t="str">
        <f t="shared" si="4386"/>
        <v>#NAME?</v>
      </c>
      <c r="X4387" s="110"/>
    </row>
    <row r="4388" ht="21.0" customHeight="1">
      <c r="A4388" s="6">
        <v>1.0</v>
      </c>
      <c r="B4388" s="6">
        <v>327.0</v>
      </c>
      <c r="C4388" s="6">
        <v>3.0</v>
      </c>
      <c r="D4388" s="174" t="s">
        <v>7533</v>
      </c>
      <c r="E4388" s="11" t="s">
        <v>7534</v>
      </c>
      <c r="F4388" s="109" t="str">
        <f t="shared" ref="F4388:G4388" si="4387">TRANSLATE(D4388,"lzh","vi")</f>
        <v>#NAME?</v>
      </c>
      <c r="G4388" s="109" t="str">
        <f t="shared" si="4387"/>
        <v>#NAME?</v>
      </c>
      <c r="X4388" s="110"/>
    </row>
    <row r="4389" ht="21.0" customHeight="1">
      <c r="A4389" s="6">
        <v>1.0</v>
      </c>
      <c r="B4389" s="6">
        <v>327.0</v>
      </c>
      <c r="C4389" s="6">
        <v>4.0</v>
      </c>
      <c r="D4389" s="192" t="s">
        <v>7535</v>
      </c>
      <c r="E4389" s="11" t="s">
        <v>7536</v>
      </c>
      <c r="F4389" s="109" t="str">
        <f t="shared" ref="F4389:G4389" si="4388">TRANSLATE(D4389,"lzh","vi")</f>
        <v>#NAME?</v>
      </c>
      <c r="G4389" s="109" t="str">
        <f t="shared" si="4388"/>
        <v>#NAME?</v>
      </c>
      <c r="X4389" s="110"/>
    </row>
    <row r="4390" ht="21.0" customHeight="1">
      <c r="A4390" s="6">
        <v>1.0</v>
      </c>
      <c r="B4390" s="6">
        <v>327.0</v>
      </c>
      <c r="C4390" s="6">
        <v>5.0</v>
      </c>
      <c r="D4390" s="174" t="s">
        <v>7537</v>
      </c>
      <c r="E4390" s="11" t="s">
        <v>7538</v>
      </c>
      <c r="F4390" s="109" t="str">
        <f t="shared" ref="F4390:G4390" si="4389">TRANSLATE(D4390,"lzh","vi")</f>
        <v>#NAME?</v>
      </c>
      <c r="G4390" s="109" t="str">
        <f t="shared" si="4389"/>
        <v>#NAME?</v>
      </c>
      <c r="X4390" s="110"/>
    </row>
    <row r="4391" ht="21.0" customHeight="1">
      <c r="A4391" s="6">
        <v>1.0</v>
      </c>
      <c r="B4391" s="6">
        <v>327.0</v>
      </c>
      <c r="C4391" s="6">
        <v>6.0</v>
      </c>
      <c r="D4391" s="174" t="s">
        <v>7539</v>
      </c>
      <c r="E4391" s="11" t="s">
        <v>7540</v>
      </c>
      <c r="F4391" s="109" t="str">
        <f t="shared" ref="F4391:G4391" si="4390">TRANSLATE(D4391,"lzh","vi")</f>
        <v>#NAME?</v>
      </c>
      <c r="G4391" s="109" t="str">
        <f t="shared" si="4390"/>
        <v>#NAME?</v>
      </c>
      <c r="X4391" s="110"/>
    </row>
    <row r="4392" ht="21.0" customHeight="1">
      <c r="A4392" s="6">
        <v>1.0</v>
      </c>
      <c r="B4392" s="6">
        <v>327.0</v>
      </c>
      <c r="C4392" s="6">
        <v>7.0</v>
      </c>
      <c r="D4392" s="174" t="s">
        <v>7541</v>
      </c>
      <c r="E4392" s="11" t="s">
        <v>7542</v>
      </c>
      <c r="F4392" s="109" t="str">
        <f t="shared" ref="F4392:G4392" si="4391">TRANSLATE(D4392,"lzh","vi")</f>
        <v>#NAME?</v>
      </c>
      <c r="G4392" s="109" t="str">
        <f t="shared" si="4391"/>
        <v>#NAME?</v>
      </c>
      <c r="X4392" s="110"/>
    </row>
    <row r="4393" ht="21.0" customHeight="1">
      <c r="A4393" s="6">
        <v>1.0</v>
      </c>
      <c r="B4393" s="6">
        <v>327.0</v>
      </c>
      <c r="C4393" s="6">
        <v>8.0</v>
      </c>
      <c r="D4393" s="174" t="s">
        <v>7543</v>
      </c>
      <c r="E4393" s="11" t="s">
        <v>7544</v>
      </c>
      <c r="F4393" s="109" t="str">
        <f t="shared" ref="F4393:G4393" si="4392">TRANSLATE(D4393,"lzh","vi")</f>
        <v>#NAME?</v>
      </c>
      <c r="G4393" s="109" t="str">
        <f t="shared" si="4392"/>
        <v>#NAME?</v>
      </c>
      <c r="X4393" s="110"/>
    </row>
    <row r="4394" ht="21.0" customHeight="1">
      <c r="A4394" s="6">
        <v>1.0</v>
      </c>
      <c r="B4394" s="6">
        <v>327.0</v>
      </c>
      <c r="C4394" s="6">
        <v>9.0</v>
      </c>
      <c r="D4394" s="171" t="s">
        <v>7545</v>
      </c>
      <c r="E4394" s="11" t="s">
        <v>7546</v>
      </c>
      <c r="F4394" s="109" t="str">
        <f t="shared" ref="F4394:G4394" si="4393">TRANSLATE(D4394,"lzh","vi")</f>
        <v>#NAME?</v>
      </c>
      <c r="G4394" s="109" t="str">
        <f t="shared" si="4393"/>
        <v>#NAME?</v>
      </c>
      <c r="X4394" s="110"/>
    </row>
    <row r="4395" ht="21.0" customHeight="1">
      <c r="A4395" s="6">
        <v>1.0</v>
      </c>
      <c r="B4395" s="6">
        <v>327.0</v>
      </c>
      <c r="C4395" s="6">
        <v>10.0</v>
      </c>
      <c r="D4395" s="171" t="s">
        <v>7547</v>
      </c>
      <c r="E4395" s="11" t="s">
        <v>7548</v>
      </c>
      <c r="F4395" s="109" t="str">
        <f t="shared" ref="F4395:G4395" si="4394">TRANSLATE(D4395,"lzh","vi")</f>
        <v>#NAME?</v>
      </c>
      <c r="G4395" s="109" t="str">
        <f t="shared" si="4394"/>
        <v>#NAME?</v>
      </c>
      <c r="X4395" s="110"/>
    </row>
    <row r="4396" ht="21.0" customHeight="1">
      <c r="A4396" s="6">
        <v>1.0</v>
      </c>
      <c r="B4396" s="6">
        <v>327.0</v>
      </c>
      <c r="C4396" s="6">
        <v>11.0</v>
      </c>
      <c r="D4396" s="174" t="s">
        <v>7549</v>
      </c>
      <c r="E4396" s="11" t="s">
        <v>7550</v>
      </c>
      <c r="F4396" s="109" t="str">
        <f t="shared" ref="F4396:G4396" si="4395">TRANSLATE(D4396,"lzh","vi")</f>
        <v>#NAME?</v>
      </c>
      <c r="G4396" s="109" t="str">
        <f t="shared" si="4395"/>
        <v>#NAME?</v>
      </c>
      <c r="X4396" s="110"/>
    </row>
    <row r="4397" ht="21.0" customHeight="1">
      <c r="A4397" s="6">
        <v>1.0</v>
      </c>
      <c r="B4397" s="6">
        <v>327.0</v>
      </c>
      <c r="C4397" s="6">
        <v>12.0</v>
      </c>
      <c r="D4397" s="171" t="s">
        <v>7551</v>
      </c>
      <c r="E4397" s="11" t="s">
        <v>7552</v>
      </c>
      <c r="F4397" s="109" t="str">
        <f t="shared" ref="F4397:G4397" si="4396">TRANSLATE(D4397,"lzh","vi")</f>
        <v>#NAME?</v>
      </c>
      <c r="G4397" s="109" t="str">
        <f t="shared" si="4396"/>
        <v>#NAME?</v>
      </c>
      <c r="X4397" s="110"/>
    </row>
    <row r="4398" ht="21.0" customHeight="1">
      <c r="A4398" s="6">
        <v>1.0</v>
      </c>
      <c r="B4398" s="6">
        <v>327.0</v>
      </c>
      <c r="C4398" s="6">
        <v>13.0</v>
      </c>
      <c r="D4398" s="174" t="s">
        <v>7553</v>
      </c>
      <c r="E4398" s="11" t="s">
        <v>7554</v>
      </c>
      <c r="F4398" s="109" t="str">
        <f t="shared" ref="F4398:G4398" si="4397">TRANSLATE(D4398,"lzh","vi")</f>
        <v>#NAME?</v>
      </c>
      <c r="G4398" s="109" t="str">
        <f t="shared" si="4397"/>
        <v>#NAME?</v>
      </c>
      <c r="X4398" s="110"/>
    </row>
    <row r="4399" ht="21.0" customHeight="1">
      <c r="A4399" s="6">
        <v>1.0</v>
      </c>
      <c r="B4399" s="6">
        <v>327.0</v>
      </c>
      <c r="C4399" s="6">
        <v>14.0</v>
      </c>
      <c r="D4399" s="171" t="s">
        <v>7555</v>
      </c>
      <c r="E4399" s="9" t="s">
        <v>7556</v>
      </c>
      <c r="F4399" s="109" t="str">
        <f t="shared" ref="F4399:G4399" si="4398">TRANSLATE(D4399,"lzh","vi")</f>
        <v>#NAME?</v>
      </c>
      <c r="G4399" s="109" t="str">
        <f t="shared" si="4398"/>
        <v>#NAME?</v>
      </c>
    </row>
    <row r="4400" ht="21.0" customHeight="1">
      <c r="A4400" s="6">
        <v>1.0</v>
      </c>
      <c r="B4400" s="6">
        <v>327.0</v>
      </c>
      <c r="C4400" s="6">
        <v>15.0</v>
      </c>
      <c r="D4400" s="171" t="s">
        <v>7557</v>
      </c>
      <c r="E4400" s="9" t="s">
        <v>7558</v>
      </c>
      <c r="F4400" s="109" t="str">
        <f t="shared" ref="F4400:G4400" si="4399">TRANSLATE(D4400,"lzh","vi")</f>
        <v>#NAME?</v>
      </c>
      <c r="G4400" s="109" t="str">
        <f t="shared" si="4399"/>
        <v>#NAME?</v>
      </c>
    </row>
    <row r="4401" ht="21.0" customHeight="1">
      <c r="A4401" s="6">
        <v>100.0</v>
      </c>
      <c r="B4401" s="6">
        <v>2000.0</v>
      </c>
      <c r="C4401" s="6">
        <v>1.0</v>
      </c>
      <c r="D4401" s="193" t="s">
        <v>7559</v>
      </c>
      <c r="E4401" s="9" t="s">
        <v>7560</v>
      </c>
      <c r="F4401" s="109" t="str">
        <f t="shared" ref="F4401:G4401" si="4400">TRANSLATE(D4401,"lzh","vi")</f>
        <v>#NAME?</v>
      </c>
      <c r="G4401" s="109" t="str">
        <f t="shared" si="4400"/>
        <v>#NAME?</v>
      </c>
    </row>
    <row r="4402" ht="21.0" customHeight="1">
      <c r="A4402" s="6">
        <v>100.0</v>
      </c>
      <c r="B4402" s="6">
        <v>2000.0</v>
      </c>
      <c r="C4402" s="6">
        <v>1.0</v>
      </c>
      <c r="D4402" s="193" t="s">
        <v>7561</v>
      </c>
      <c r="E4402" s="9"/>
      <c r="F4402" s="109" t="str">
        <f t="shared" ref="F4402:G4402" si="4401">TRANSLATE(D4402,"lzh","vi")</f>
        <v>#NAME?</v>
      </c>
      <c r="G4402" s="109" t="str">
        <f t="shared" si="4401"/>
        <v>#NAME?</v>
      </c>
    </row>
    <row r="4403" ht="21.0" customHeight="1">
      <c r="A4403" s="6">
        <v>100.0</v>
      </c>
      <c r="B4403" s="6">
        <v>2000.0</v>
      </c>
      <c r="C4403" s="6">
        <v>1.0</v>
      </c>
      <c r="D4403" s="193" t="s">
        <v>7562</v>
      </c>
      <c r="E4403" s="9"/>
      <c r="F4403" s="109" t="str">
        <f t="shared" ref="F4403:G4403" si="4402">TRANSLATE(D4403,"lzh","vi")</f>
        <v>#NAME?</v>
      </c>
      <c r="G4403" s="109" t="str">
        <f t="shared" si="4402"/>
        <v>#NAME?</v>
      </c>
    </row>
    <row r="4404" ht="21.0" customHeight="1">
      <c r="A4404" s="6">
        <v>100.0</v>
      </c>
      <c r="B4404" s="6">
        <v>2000.0</v>
      </c>
      <c r="C4404" s="6">
        <v>1.0</v>
      </c>
      <c r="D4404" s="193" t="s">
        <v>7563</v>
      </c>
      <c r="E4404" s="9"/>
      <c r="F4404" s="109" t="str">
        <f t="shared" ref="F4404:G4404" si="4403">TRANSLATE(D4404,"lzh","vi")</f>
        <v>#NAME?</v>
      </c>
      <c r="G4404" s="109" t="str">
        <f t="shared" si="4403"/>
        <v>#NAME?</v>
      </c>
    </row>
    <row r="4405" ht="21.0" customHeight="1">
      <c r="A4405" s="6">
        <v>100.0</v>
      </c>
      <c r="B4405" s="6">
        <v>2000.0</v>
      </c>
      <c r="C4405" s="6">
        <v>1.0</v>
      </c>
      <c r="D4405" s="193" t="s">
        <v>7564</v>
      </c>
      <c r="E4405" s="9"/>
      <c r="F4405" s="109" t="str">
        <f t="shared" ref="F4405:G4405" si="4404">TRANSLATE(D4405,"lzh","vi")</f>
        <v>#NAME?</v>
      </c>
      <c r="G4405" s="109" t="str">
        <f t="shared" si="4404"/>
        <v>#NAME?</v>
      </c>
    </row>
    <row r="4406" ht="21.0" customHeight="1">
      <c r="A4406" s="6">
        <v>100.0</v>
      </c>
      <c r="B4406" s="6">
        <v>2000.0</v>
      </c>
      <c r="C4406" s="6">
        <v>1.0</v>
      </c>
      <c r="D4406" s="193" t="s">
        <v>7565</v>
      </c>
      <c r="E4406" s="9" t="s">
        <v>7560</v>
      </c>
      <c r="F4406" s="109" t="str">
        <f t="shared" ref="F4406:G4406" si="4405">TRANSLATE(D4406,"lzh","vi")</f>
        <v>#NAME?</v>
      </c>
      <c r="G4406" s="109" t="str">
        <f t="shared" si="4405"/>
        <v>#NAME?</v>
      </c>
    </row>
    <row r="4407" ht="21.0" customHeight="1">
      <c r="A4407" s="6">
        <v>100.0</v>
      </c>
      <c r="B4407" s="6">
        <v>2000.0</v>
      </c>
      <c r="C4407" s="6">
        <v>1.0</v>
      </c>
      <c r="D4407" s="193" t="s">
        <v>7566</v>
      </c>
      <c r="E4407" s="9"/>
      <c r="F4407" s="109" t="str">
        <f t="shared" ref="F4407:G4407" si="4406">TRANSLATE(D4407,"lzh","vi")</f>
        <v>#NAME?</v>
      </c>
      <c r="G4407" s="109" t="str">
        <f t="shared" si="4406"/>
        <v>#NAME?</v>
      </c>
    </row>
    <row r="4408" ht="21.0" customHeight="1">
      <c r="A4408" s="6">
        <v>100.0</v>
      </c>
      <c r="B4408" s="6">
        <v>2000.0</v>
      </c>
      <c r="C4408" s="6">
        <v>1.0</v>
      </c>
      <c r="D4408" s="193" t="s">
        <v>7567</v>
      </c>
      <c r="E4408" s="9"/>
      <c r="F4408" s="109" t="str">
        <f t="shared" ref="F4408:G4408" si="4407">TRANSLATE(D4408,"lzh","vi")</f>
        <v>#NAME?</v>
      </c>
      <c r="G4408" s="109" t="str">
        <f t="shared" si="4407"/>
        <v>#NAME?</v>
      </c>
    </row>
    <row r="4409" ht="21.0" customHeight="1">
      <c r="A4409" s="6">
        <v>100.0</v>
      </c>
      <c r="B4409" s="6">
        <v>2000.0</v>
      </c>
      <c r="C4409" s="6">
        <v>1.0</v>
      </c>
      <c r="D4409" s="193" t="s">
        <v>7568</v>
      </c>
      <c r="E4409" s="9"/>
      <c r="F4409" s="109" t="str">
        <f t="shared" ref="F4409:G4409" si="4408">TRANSLATE(D4409,"lzh","vi")</f>
        <v>#NAME?</v>
      </c>
      <c r="G4409" s="109" t="str">
        <f t="shared" si="4408"/>
        <v>#NAME?</v>
      </c>
    </row>
    <row r="4410" ht="21.0" customHeight="1">
      <c r="A4410" s="6">
        <v>100.0</v>
      </c>
      <c r="B4410" s="6">
        <v>2000.0</v>
      </c>
      <c r="C4410" s="6">
        <v>1.0</v>
      </c>
      <c r="D4410" s="193" t="s">
        <v>7569</v>
      </c>
      <c r="E4410" s="9"/>
      <c r="F4410" s="109" t="str">
        <f t="shared" ref="F4410:G4410" si="4409">TRANSLATE(D4410,"lzh","vi")</f>
        <v>#NAME?</v>
      </c>
      <c r="G4410" s="109" t="str">
        <f t="shared" si="4409"/>
        <v>#NAME?</v>
      </c>
    </row>
    <row r="4411" ht="21.0" customHeight="1">
      <c r="A4411" s="6">
        <v>100.0</v>
      </c>
      <c r="B4411" s="6">
        <v>2000.0</v>
      </c>
      <c r="C4411" s="6">
        <v>1.0</v>
      </c>
      <c r="D4411" s="194" t="s">
        <v>7570</v>
      </c>
      <c r="E4411" s="9" t="s">
        <v>7560</v>
      </c>
      <c r="F4411" s="109" t="str">
        <f t="shared" ref="F4411:G4411" si="4410">TRANSLATE(D4411,"lzh","vi")</f>
        <v>#NAME?</v>
      </c>
      <c r="G4411" s="109" t="str">
        <f t="shared" si="4410"/>
        <v>#NAME?</v>
      </c>
    </row>
    <row r="4412" ht="21.0" customHeight="1">
      <c r="A4412" s="6">
        <v>100.0</v>
      </c>
      <c r="B4412" s="6">
        <v>2000.0</v>
      </c>
      <c r="C4412" s="6">
        <v>1.0</v>
      </c>
      <c r="D4412" s="194" t="s">
        <v>7571</v>
      </c>
      <c r="E4412" s="9"/>
      <c r="F4412" s="109" t="str">
        <f t="shared" ref="F4412:G4412" si="4411">TRANSLATE(D4412,"lzh","vi")</f>
        <v>#NAME?</v>
      </c>
      <c r="G4412" s="109" t="str">
        <f t="shared" si="4411"/>
        <v>#NAME?</v>
      </c>
    </row>
    <row r="4413" ht="21.0" customHeight="1">
      <c r="A4413" s="6">
        <v>100.0</v>
      </c>
      <c r="B4413" s="6">
        <v>2000.0</v>
      </c>
      <c r="C4413" s="6">
        <v>1.0</v>
      </c>
      <c r="D4413" s="194" t="s">
        <v>7572</v>
      </c>
      <c r="E4413" s="9"/>
      <c r="F4413" s="109" t="str">
        <f t="shared" ref="F4413:G4413" si="4412">TRANSLATE(D4413,"lzh","vi")</f>
        <v>#NAME?</v>
      </c>
      <c r="G4413" s="109" t="str">
        <f t="shared" si="4412"/>
        <v>#NAME?</v>
      </c>
    </row>
    <row r="4414" ht="21.0" customHeight="1">
      <c r="A4414" s="6">
        <v>100.0</v>
      </c>
      <c r="B4414" s="6">
        <v>2000.0</v>
      </c>
      <c r="C4414" s="6">
        <v>1.0</v>
      </c>
      <c r="D4414" s="194" t="s">
        <v>7573</v>
      </c>
      <c r="E4414" s="9"/>
      <c r="F4414" s="109" t="str">
        <f t="shared" ref="F4414:G4414" si="4413">TRANSLATE(D4414,"lzh","vi")</f>
        <v>#NAME?</v>
      </c>
      <c r="G4414" s="109" t="str">
        <f t="shared" si="4413"/>
        <v>#NAME?</v>
      </c>
    </row>
    <row r="4415" ht="21.0" customHeight="1">
      <c r="A4415" s="6">
        <v>100.0</v>
      </c>
      <c r="B4415" s="6">
        <v>2000.0</v>
      </c>
      <c r="C4415" s="6">
        <v>1.0</v>
      </c>
      <c r="D4415" s="194" t="s">
        <v>7574</v>
      </c>
      <c r="E4415" s="9"/>
      <c r="F4415" s="109" t="str">
        <f t="shared" ref="F4415:G4415" si="4414">TRANSLATE(D4415,"lzh","vi")</f>
        <v>#NAME?</v>
      </c>
      <c r="G4415" s="109" t="str">
        <f t="shared" si="4414"/>
        <v>#NAME?</v>
      </c>
    </row>
    <row r="4416" ht="21.0" customHeight="1">
      <c r="A4416" s="6">
        <v>100.0</v>
      </c>
      <c r="B4416" s="6">
        <v>2000.0</v>
      </c>
      <c r="C4416" s="6">
        <v>1.0</v>
      </c>
      <c r="D4416" s="194" t="s">
        <v>7575</v>
      </c>
      <c r="E4416" s="9" t="s">
        <v>7560</v>
      </c>
      <c r="F4416" s="109" t="str">
        <f t="shared" ref="F4416:G4416" si="4415">TRANSLATE(D4416,"lzh","vi")</f>
        <v>#NAME?</v>
      </c>
      <c r="G4416" s="109" t="str">
        <f t="shared" si="4415"/>
        <v>#NAME?</v>
      </c>
    </row>
    <row r="4417" ht="21.0" customHeight="1">
      <c r="A4417" s="6">
        <v>100.0</v>
      </c>
      <c r="B4417" s="6">
        <v>2000.0</v>
      </c>
      <c r="C4417" s="6">
        <v>1.0</v>
      </c>
      <c r="D4417" s="194" t="s">
        <v>7576</v>
      </c>
      <c r="E4417" s="9"/>
      <c r="F4417" s="109" t="str">
        <f t="shared" ref="F4417:G4417" si="4416">TRANSLATE(D4417,"lzh","vi")</f>
        <v>#NAME?</v>
      </c>
      <c r="G4417" s="109" t="str">
        <f t="shared" si="4416"/>
        <v>#NAME?</v>
      </c>
    </row>
    <row r="4418" ht="21.0" customHeight="1">
      <c r="A4418" s="6">
        <v>100.0</v>
      </c>
      <c r="B4418" s="6">
        <v>2000.0</v>
      </c>
      <c r="C4418" s="6">
        <v>1.0</v>
      </c>
      <c r="D4418" s="194" t="s">
        <v>7577</v>
      </c>
      <c r="E4418" s="9"/>
      <c r="F4418" s="109" t="str">
        <f t="shared" ref="F4418:G4418" si="4417">TRANSLATE(D4418,"lzh","vi")</f>
        <v>#NAME?</v>
      </c>
      <c r="G4418" s="109" t="str">
        <f t="shared" si="4417"/>
        <v>#NAME?</v>
      </c>
    </row>
    <row r="4419" ht="21.0" customHeight="1">
      <c r="A4419" s="6">
        <v>100.0</v>
      </c>
      <c r="B4419" s="6">
        <v>2000.0</v>
      </c>
      <c r="C4419" s="6">
        <v>1.0</v>
      </c>
      <c r="D4419" s="194" t="s">
        <v>7578</v>
      </c>
      <c r="E4419" s="9"/>
      <c r="F4419" s="109" t="str">
        <f t="shared" ref="F4419:G4419" si="4418">TRANSLATE(D4419,"lzh","vi")</f>
        <v>#NAME?</v>
      </c>
      <c r="G4419" s="109" t="str">
        <f t="shared" si="4418"/>
        <v>#NAME?</v>
      </c>
    </row>
    <row r="4420" ht="21.0" customHeight="1">
      <c r="A4420" s="6">
        <v>100.0</v>
      </c>
      <c r="B4420" s="6">
        <v>2000.0</v>
      </c>
      <c r="C4420" s="6">
        <v>1.0</v>
      </c>
      <c r="D4420" s="194" t="s">
        <v>7579</v>
      </c>
      <c r="E4420" s="9"/>
      <c r="F4420" s="109" t="str">
        <f t="shared" ref="F4420:G4420" si="4419">TRANSLATE(D4420,"lzh","vi")</f>
        <v>#NAME?</v>
      </c>
      <c r="G4420" s="109" t="str">
        <f t="shared" si="4419"/>
        <v>#NAME?</v>
      </c>
    </row>
    <row r="4421" ht="21.0" customHeight="1">
      <c r="A4421" s="6">
        <v>100.0</v>
      </c>
      <c r="B4421" s="6">
        <v>2000.0</v>
      </c>
      <c r="C4421" s="6">
        <v>1.0</v>
      </c>
      <c r="D4421" s="194" t="s">
        <v>7580</v>
      </c>
      <c r="E4421" s="9"/>
      <c r="F4421" s="109" t="str">
        <f t="shared" ref="F4421:G4421" si="4420">TRANSLATE(D4421,"lzh","vi")</f>
        <v>#NAME?</v>
      </c>
      <c r="G4421" s="109" t="str">
        <f t="shared" si="4420"/>
        <v>#NAME?</v>
      </c>
    </row>
    <row r="4422" ht="21.0" customHeight="1">
      <c r="A4422" s="6">
        <v>100.0</v>
      </c>
      <c r="B4422" s="6">
        <v>2000.0</v>
      </c>
      <c r="C4422" s="6">
        <v>1.0</v>
      </c>
      <c r="D4422" s="194" t="s">
        <v>7581</v>
      </c>
      <c r="E4422" s="9"/>
      <c r="F4422" s="109" t="str">
        <f t="shared" ref="F4422:G4422" si="4421">TRANSLATE(D4422,"lzh","vi")</f>
        <v>#NAME?</v>
      </c>
      <c r="G4422" s="109" t="str">
        <f t="shared" si="4421"/>
        <v>#NAME?</v>
      </c>
    </row>
    <row r="4423" ht="21.0" customHeight="1">
      <c r="A4423" s="6">
        <v>100.0</v>
      </c>
      <c r="B4423" s="6">
        <v>2000.0</v>
      </c>
      <c r="C4423" s="6">
        <v>1.0</v>
      </c>
      <c r="D4423" s="194" t="s">
        <v>7582</v>
      </c>
      <c r="E4423" s="9"/>
      <c r="F4423" s="109" t="str">
        <f t="shared" ref="F4423:G4423" si="4422">TRANSLATE(D4423,"lzh","vi")</f>
        <v>#NAME?</v>
      </c>
      <c r="G4423" s="109" t="str">
        <f t="shared" si="4422"/>
        <v>#NAME?</v>
      </c>
    </row>
    <row r="4424" ht="21.0" customHeight="1">
      <c r="A4424" s="6">
        <v>100.0</v>
      </c>
      <c r="B4424" s="6">
        <v>2000.0</v>
      </c>
      <c r="C4424" s="6">
        <v>1.0</v>
      </c>
      <c r="D4424" s="194" t="s">
        <v>7583</v>
      </c>
      <c r="E4424" s="9"/>
      <c r="F4424" s="109" t="str">
        <f t="shared" ref="F4424:G4424" si="4423">TRANSLATE(D4424,"lzh","vi")</f>
        <v>#NAME?</v>
      </c>
      <c r="G4424" s="109" t="str">
        <f t="shared" si="4423"/>
        <v>#NAME?</v>
      </c>
    </row>
    <row r="4425" ht="21.0" customHeight="1">
      <c r="A4425" s="6">
        <v>100.0</v>
      </c>
      <c r="B4425" s="6">
        <v>2000.0</v>
      </c>
      <c r="C4425" s="6">
        <v>1.0</v>
      </c>
      <c r="D4425" s="194" t="s">
        <v>7584</v>
      </c>
      <c r="E4425" s="9"/>
      <c r="F4425" s="109" t="str">
        <f t="shared" ref="F4425:G4425" si="4424">TRANSLATE(D4425,"lzh","vi")</f>
        <v>#NAME?</v>
      </c>
      <c r="G4425" s="109" t="str">
        <f t="shared" si="4424"/>
        <v>#NAME?</v>
      </c>
    </row>
    <row r="4426" ht="21.0" customHeight="1">
      <c r="A4426" s="6">
        <v>100.0</v>
      </c>
      <c r="B4426" s="6">
        <v>2000.0</v>
      </c>
      <c r="C4426" s="6">
        <v>1.0</v>
      </c>
      <c r="D4426" s="194" t="s">
        <v>7585</v>
      </c>
      <c r="E4426" s="9"/>
      <c r="F4426" s="109" t="str">
        <f t="shared" ref="F4426:G4426" si="4425">TRANSLATE(D4426,"lzh","vi")</f>
        <v>#NAME?</v>
      </c>
      <c r="G4426" s="109" t="str">
        <f t="shared" si="4425"/>
        <v>#NAME?</v>
      </c>
    </row>
    <row r="4427" ht="21.0" customHeight="1">
      <c r="A4427" s="6">
        <v>100.0</v>
      </c>
      <c r="B4427" s="6">
        <v>2000.0</v>
      </c>
      <c r="C4427" s="6">
        <v>1.0</v>
      </c>
      <c r="D4427" s="194" t="s">
        <v>7586</v>
      </c>
      <c r="E4427" s="9"/>
      <c r="F4427" s="109" t="str">
        <f t="shared" ref="F4427:G4427" si="4426">TRANSLATE(D4427,"lzh","vi")</f>
        <v>#NAME?</v>
      </c>
      <c r="G4427" s="109" t="str">
        <f t="shared" si="4426"/>
        <v>#NAME?</v>
      </c>
    </row>
    <row r="4428" ht="21.0" customHeight="1">
      <c r="A4428" s="6">
        <v>100.0</v>
      </c>
      <c r="B4428" s="6">
        <v>2000.0</v>
      </c>
      <c r="C4428" s="6">
        <v>1.0</v>
      </c>
      <c r="D4428" s="194" t="s">
        <v>7587</v>
      </c>
      <c r="E4428" s="9"/>
      <c r="F4428" s="109" t="str">
        <f t="shared" ref="F4428:G4428" si="4427">TRANSLATE(D4428,"lzh","vi")</f>
        <v>#NAME?</v>
      </c>
      <c r="G4428" s="109" t="str">
        <f t="shared" si="4427"/>
        <v>#NAME?</v>
      </c>
    </row>
    <row r="4429" ht="21.0" customHeight="1">
      <c r="A4429" s="6">
        <v>100.0</v>
      </c>
      <c r="B4429" s="6">
        <v>2000.0</v>
      </c>
      <c r="C4429" s="6">
        <v>1.0</v>
      </c>
      <c r="D4429" s="194" t="s">
        <v>7588</v>
      </c>
      <c r="E4429" s="9"/>
      <c r="F4429" s="109" t="str">
        <f t="shared" ref="F4429:G4429" si="4428">TRANSLATE(D4429,"lzh","vi")</f>
        <v>#NAME?</v>
      </c>
      <c r="G4429" s="109" t="str">
        <f t="shared" si="4428"/>
        <v>#NAME?</v>
      </c>
    </row>
    <row r="4430" ht="21.0" customHeight="1">
      <c r="A4430" s="6">
        <v>100.0</v>
      </c>
      <c r="B4430" s="6">
        <v>2000.0</v>
      </c>
      <c r="C4430" s="6">
        <v>1.0</v>
      </c>
      <c r="D4430" s="194" t="s">
        <v>7589</v>
      </c>
      <c r="E4430" s="9"/>
      <c r="F4430" s="109" t="str">
        <f t="shared" ref="F4430:G4430" si="4429">TRANSLATE(D4430,"lzh","vi")</f>
        <v>#NAME?</v>
      </c>
      <c r="G4430" s="109" t="str">
        <f t="shared" si="4429"/>
        <v>#NAME?</v>
      </c>
    </row>
    <row r="4431" ht="21.0" customHeight="1">
      <c r="A4431" s="6">
        <v>100.0</v>
      </c>
      <c r="B4431" s="6">
        <v>2000.0</v>
      </c>
      <c r="C4431" s="6">
        <v>1.0</v>
      </c>
      <c r="D4431" s="194" t="s">
        <v>7590</v>
      </c>
      <c r="E4431" s="9"/>
      <c r="F4431" s="109" t="str">
        <f t="shared" ref="F4431:G4431" si="4430">TRANSLATE(D4431,"lzh","vi")</f>
        <v>#NAME?</v>
      </c>
      <c r="G4431" s="109" t="str">
        <f t="shared" si="4430"/>
        <v>#NAME?</v>
      </c>
    </row>
    <row r="4432" ht="21.0" customHeight="1">
      <c r="A4432" s="6">
        <v>100.0</v>
      </c>
      <c r="B4432" s="6">
        <v>2000.0</v>
      </c>
      <c r="C4432" s="6">
        <v>1.0</v>
      </c>
      <c r="D4432" s="194" t="s">
        <v>7591</v>
      </c>
      <c r="E4432" s="9"/>
      <c r="F4432" s="109" t="str">
        <f t="shared" ref="F4432:G4432" si="4431">TRANSLATE(D4432,"lzh","vi")</f>
        <v>#NAME?</v>
      </c>
      <c r="G4432" s="109" t="str">
        <f t="shared" si="4431"/>
        <v>#NAME?</v>
      </c>
    </row>
    <row r="4433" ht="21.0" customHeight="1">
      <c r="A4433" s="6">
        <v>100.0</v>
      </c>
      <c r="B4433" s="6">
        <v>2000.0</v>
      </c>
      <c r="C4433" s="6">
        <v>1.0</v>
      </c>
      <c r="D4433" s="194" t="s">
        <v>7592</v>
      </c>
      <c r="E4433" s="9"/>
      <c r="F4433" s="109" t="str">
        <f t="shared" ref="F4433:G4433" si="4432">TRANSLATE(D4433,"lzh","vi")</f>
        <v>#NAME?</v>
      </c>
      <c r="G4433" s="109" t="str">
        <f t="shared" si="4432"/>
        <v>#NAME?</v>
      </c>
    </row>
    <row r="4434" ht="21.0" customHeight="1">
      <c r="A4434" s="6">
        <v>100.0</v>
      </c>
      <c r="B4434" s="6">
        <v>2000.0</v>
      </c>
      <c r="C4434" s="6">
        <v>1.0</v>
      </c>
      <c r="D4434" s="194" t="s">
        <v>7593</v>
      </c>
      <c r="E4434" s="9"/>
      <c r="F4434" s="109" t="str">
        <f t="shared" ref="F4434:G4434" si="4433">TRANSLATE(D4434,"lzh","vi")</f>
        <v>#NAME?</v>
      </c>
      <c r="G4434" s="109" t="str">
        <f t="shared" si="4433"/>
        <v>#NAME?</v>
      </c>
    </row>
    <row r="4435" ht="21.0" customHeight="1">
      <c r="A4435" s="6">
        <v>100.0</v>
      </c>
      <c r="B4435" s="6">
        <v>2000.0</v>
      </c>
      <c r="C4435" s="6">
        <v>1.0</v>
      </c>
      <c r="D4435" s="194" t="s">
        <v>7594</v>
      </c>
      <c r="E4435" s="9"/>
      <c r="F4435" s="109" t="str">
        <f t="shared" ref="F4435:G4435" si="4434">TRANSLATE(D4435,"lzh","vi")</f>
        <v>#NAME?</v>
      </c>
      <c r="G4435" s="109" t="str">
        <f t="shared" si="4434"/>
        <v>#NAME?</v>
      </c>
    </row>
    <row r="4436" ht="21.0" customHeight="1">
      <c r="A4436" s="6">
        <v>100.0</v>
      </c>
      <c r="B4436" s="6">
        <v>2000.0</v>
      </c>
      <c r="C4436" s="6">
        <v>1.0</v>
      </c>
      <c r="D4436" s="194" t="s">
        <v>7595</v>
      </c>
      <c r="E4436" s="9" t="s">
        <v>7560</v>
      </c>
      <c r="F4436" s="109" t="str">
        <f t="shared" ref="F4436:G4436" si="4435">TRANSLATE(D4436,"lzh","vi")</f>
        <v>#NAME?</v>
      </c>
      <c r="G4436" s="109" t="str">
        <f t="shared" si="4435"/>
        <v>#NAME?</v>
      </c>
    </row>
    <row r="4437" ht="21.0" customHeight="1">
      <c r="A4437" s="6">
        <v>100.0</v>
      </c>
      <c r="B4437" s="6">
        <v>2000.0</v>
      </c>
      <c r="C4437" s="6">
        <v>1.0</v>
      </c>
      <c r="D4437" s="193" t="s">
        <v>7596</v>
      </c>
      <c r="E4437" s="9" t="s">
        <v>7560</v>
      </c>
      <c r="F4437" s="109" t="str">
        <f t="shared" ref="F4437:G4437" si="4436">TRANSLATE(D4437,"lzh","vi")</f>
        <v>#NAME?</v>
      </c>
      <c r="G4437" s="109" t="str">
        <f t="shared" si="4436"/>
        <v>#NAME?</v>
      </c>
    </row>
    <row r="4438" ht="21.0" customHeight="1">
      <c r="A4438" s="6">
        <v>100.0</v>
      </c>
      <c r="B4438" s="6">
        <v>2000.0</v>
      </c>
      <c r="C4438" s="6">
        <v>1.0</v>
      </c>
      <c r="D4438" s="193" t="s">
        <v>7188</v>
      </c>
      <c r="E4438" s="9" t="s">
        <v>7560</v>
      </c>
      <c r="F4438" s="109" t="str">
        <f t="shared" ref="F4438:G4438" si="4437">TRANSLATE(D4438,"lzh","vi")</f>
        <v>#NAME?</v>
      </c>
      <c r="G4438" s="109" t="str">
        <f t="shared" si="4437"/>
        <v>#NAME?</v>
      </c>
    </row>
    <row r="4439" ht="21.0" customHeight="1">
      <c r="A4439" s="6">
        <v>100.0</v>
      </c>
      <c r="B4439" s="6">
        <v>2000.0</v>
      </c>
      <c r="C4439" s="6">
        <v>1.0</v>
      </c>
      <c r="D4439" s="194" t="s">
        <v>7597</v>
      </c>
      <c r="E4439" s="9" t="s">
        <v>7560</v>
      </c>
      <c r="F4439" s="109" t="str">
        <f t="shared" ref="F4439:G4439" si="4438">TRANSLATE(D4439,"lzh","vi")</f>
        <v>#NAME?</v>
      </c>
      <c r="G4439" s="109" t="str">
        <f t="shared" si="4438"/>
        <v>#NAME?</v>
      </c>
    </row>
    <row r="4440" ht="21.0" customHeight="1">
      <c r="A4440" s="6">
        <v>100.0</v>
      </c>
      <c r="B4440" s="6">
        <v>2000.0</v>
      </c>
      <c r="C4440" s="6">
        <v>1.0</v>
      </c>
      <c r="D4440" s="193" t="s">
        <v>7598</v>
      </c>
      <c r="E4440" s="9" t="s">
        <v>7560</v>
      </c>
      <c r="F4440" s="109" t="str">
        <f t="shared" ref="F4440:G4440" si="4439">TRANSLATE(D4440,"lzh","vi")</f>
        <v>#NAME?</v>
      </c>
      <c r="G4440" s="109" t="str">
        <f t="shared" si="4439"/>
        <v>#NAME?</v>
      </c>
    </row>
    <row r="4441" ht="21.0" customHeight="1">
      <c r="A4441" s="6">
        <v>100.0</v>
      </c>
      <c r="B4441" s="6">
        <v>2000.0</v>
      </c>
      <c r="C4441" s="6">
        <v>1.0</v>
      </c>
      <c r="D4441" s="194" t="s">
        <v>7599</v>
      </c>
      <c r="E4441" s="9" t="s">
        <v>7560</v>
      </c>
      <c r="F4441" s="109" t="str">
        <f t="shared" ref="F4441:G4441" si="4440">TRANSLATE(D4441,"lzh","vi")</f>
        <v>#NAME?</v>
      </c>
      <c r="G4441" s="109" t="str">
        <f t="shared" si="4440"/>
        <v>#NAME?</v>
      </c>
    </row>
    <row r="4442" ht="21.0" customHeight="1">
      <c r="A4442" s="6">
        <v>100.0</v>
      </c>
      <c r="B4442" s="6">
        <v>2000.0</v>
      </c>
      <c r="C4442" s="6">
        <v>1.0</v>
      </c>
      <c r="D4442" s="193" t="s">
        <v>7600</v>
      </c>
      <c r="E4442" s="9" t="s">
        <v>7560</v>
      </c>
      <c r="F4442" s="109" t="str">
        <f t="shared" ref="F4442:G4442" si="4441">TRANSLATE(D4442,"lzh","vi")</f>
        <v>#NAME?</v>
      </c>
      <c r="G4442" s="109" t="str">
        <f t="shared" si="4441"/>
        <v>#NAME?</v>
      </c>
    </row>
    <row r="4443" ht="21.0" customHeight="1">
      <c r="A4443" s="6">
        <v>100.0</v>
      </c>
      <c r="B4443" s="6">
        <v>2000.0</v>
      </c>
      <c r="C4443" s="6">
        <v>1.0</v>
      </c>
      <c r="D4443" s="194" t="s">
        <v>7601</v>
      </c>
      <c r="E4443" s="9" t="s">
        <v>7560</v>
      </c>
      <c r="F4443" s="109" t="str">
        <f t="shared" ref="F4443:G4443" si="4442">TRANSLATE(D4443,"lzh","vi")</f>
        <v>#NAME?</v>
      </c>
      <c r="G4443" s="109" t="str">
        <f t="shared" si="4442"/>
        <v>#NAME?</v>
      </c>
    </row>
    <row r="4444" ht="21.0" customHeight="1">
      <c r="A4444" s="6">
        <v>100.0</v>
      </c>
      <c r="B4444" s="6">
        <v>2000.0</v>
      </c>
      <c r="C4444" s="6">
        <v>1.0</v>
      </c>
      <c r="D4444" s="193" t="s">
        <v>7602</v>
      </c>
      <c r="E4444" s="9" t="s">
        <v>7560</v>
      </c>
      <c r="F4444" s="109" t="str">
        <f t="shared" ref="F4444:G4444" si="4443">TRANSLATE(D4444,"lzh","vi")</f>
        <v>#NAME?</v>
      </c>
      <c r="G4444" s="109" t="str">
        <f t="shared" si="4443"/>
        <v>#NAME?</v>
      </c>
    </row>
    <row r="4445" ht="21.0" customHeight="1">
      <c r="A4445" s="6">
        <v>100.0</v>
      </c>
      <c r="B4445" s="6">
        <v>2000.0</v>
      </c>
      <c r="C4445" s="6">
        <v>1.0</v>
      </c>
      <c r="D4445" s="194" t="s">
        <v>7603</v>
      </c>
      <c r="E4445" s="9" t="s">
        <v>7560</v>
      </c>
      <c r="F4445" s="109" t="str">
        <f t="shared" ref="F4445:G4445" si="4444">TRANSLATE(D4445,"lzh","vi")</f>
        <v>#NAME?</v>
      </c>
      <c r="G4445" s="109" t="str">
        <f t="shared" si="4444"/>
        <v>#NAME?</v>
      </c>
    </row>
    <row r="4446" ht="21.0" customHeight="1">
      <c r="A4446" s="6">
        <v>100.0</v>
      </c>
      <c r="B4446" s="6">
        <v>2000.0</v>
      </c>
      <c r="C4446" s="6">
        <v>1.0</v>
      </c>
      <c r="D4446" s="193" t="s">
        <v>7604</v>
      </c>
      <c r="E4446" s="9" t="s">
        <v>7560</v>
      </c>
      <c r="F4446" s="109" t="str">
        <f t="shared" ref="F4446:G4446" si="4445">TRANSLATE(D4446,"lzh","vi")</f>
        <v>#NAME?</v>
      </c>
      <c r="G4446" s="109" t="str">
        <f t="shared" si="4445"/>
        <v>#NAME?</v>
      </c>
    </row>
    <row r="4447" ht="21.0" customHeight="1">
      <c r="A4447" s="6">
        <v>100.0</v>
      </c>
      <c r="B4447" s="6">
        <v>2000.0</v>
      </c>
      <c r="C4447" s="6">
        <v>1.0</v>
      </c>
      <c r="D4447" s="194" t="s">
        <v>7605</v>
      </c>
      <c r="E4447" s="9" t="s">
        <v>7560</v>
      </c>
      <c r="F4447" s="109" t="str">
        <f t="shared" ref="F4447:G4447" si="4446">TRANSLATE(D4447,"lzh","vi")</f>
        <v>#NAME?</v>
      </c>
      <c r="G4447" s="109" t="str">
        <f t="shared" si="4446"/>
        <v>#NAME?</v>
      </c>
    </row>
    <row r="4448" ht="21.0" customHeight="1">
      <c r="A4448" s="6">
        <v>100.0</v>
      </c>
      <c r="B4448" s="6">
        <v>2000.0</v>
      </c>
      <c r="C4448" s="6">
        <v>1.0</v>
      </c>
      <c r="D4448" s="193" t="s">
        <v>7606</v>
      </c>
      <c r="E4448" s="9" t="s">
        <v>7560</v>
      </c>
      <c r="F4448" s="109" t="str">
        <f t="shared" ref="F4448:G4448" si="4447">TRANSLATE(D4448,"lzh","vi")</f>
        <v>#NAME?</v>
      </c>
      <c r="G4448" s="109" t="str">
        <f t="shared" si="4447"/>
        <v>#NAME?</v>
      </c>
    </row>
    <row r="4449" ht="21.0" customHeight="1">
      <c r="A4449" s="6">
        <v>100.0</v>
      </c>
      <c r="B4449" s="6">
        <v>2000.0</v>
      </c>
      <c r="C4449" s="6">
        <v>1.0</v>
      </c>
      <c r="D4449" s="194" t="s">
        <v>7607</v>
      </c>
      <c r="E4449" s="9" t="s">
        <v>7560</v>
      </c>
      <c r="F4449" s="109" t="str">
        <f t="shared" ref="F4449:G4449" si="4448">TRANSLATE(D4449,"lzh","vi")</f>
        <v>#NAME?</v>
      </c>
      <c r="G4449" s="109" t="str">
        <f t="shared" si="4448"/>
        <v>#NAME?</v>
      </c>
    </row>
    <row r="4450" ht="21.0" customHeight="1">
      <c r="A4450" s="6">
        <v>100.0</v>
      </c>
      <c r="B4450" s="6">
        <v>2000.0</v>
      </c>
      <c r="C4450" s="6">
        <v>1.0</v>
      </c>
      <c r="D4450" s="193" t="s">
        <v>7608</v>
      </c>
      <c r="E4450" s="9" t="s">
        <v>7560</v>
      </c>
      <c r="F4450" s="109" t="str">
        <f t="shared" ref="F4450:G4450" si="4449">TRANSLATE(D4450,"lzh","vi")</f>
        <v>#NAME?</v>
      </c>
      <c r="G4450" s="109" t="str">
        <f t="shared" si="4449"/>
        <v>#NAME?</v>
      </c>
    </row>
    <row r="4451" ht="21.0" customHeight="1">
      <c r="A4451" s="6">
        <v>100.0</v>
      </c>
      <c r="B4451" s="6">
        <v>2000.0</v>
      </c>
      <c r="C4451" s="6">
        <v>1.0</v>
      </c>
      <c r="D4451" s="194" t="s">
        <v>7609</v>
      </c>
      <c r="E4451" s="9" t="s">
        <v>7560</v>
      </c>
      <c r="F4451" s="109" t="str">
        <f t="shared" ref="F4451:G4451" si="4450">TRANSLATE(D4451,"lzh","vi")</f>
        <v>#NAME?</v>
      </c>
      <c r="G4451" s="109" t="str">
        <f t="shared" si="4450"/>
        <v>#NAME?</v>
      </c>
    </row>
    <row r="4452" ht="21.0" customHeight="1">
      <c r="A4452" s="6">
        <v>100.0</v>
      </c>
      <c r="B4452" s="6">
        <v>2000.0</v>
      </c>
      <c r="C4452" s="6">
        <v>1.0</v>
      </c>
      <c r="D4452" s="193" t="s">
        <v>7610</v>
      </c>
      <c r="E4452" s="9" t="s">
        <v>7560</v>
      </c>
      <c r="F4452" s="109" t="str">
        <f t="shared" ref="F4452:G4452" si="4451">TRANSLATE(D4452,"lzh","vi")</f>
        <v>#NAME?</v>
      </c>
      <c r="G4452" s="109" t="str">
        <f t="shared" si="4451"/>
        <v>#NAME?</v>
      </c>
    </row>
    <row r="4453" ht="21.0" customHeight="1">
      <c r="A4453" s="6">
        <v>100.0</v>
      </c>
      <c r="B4453" s="6">
        <v>2000.0</v>
      </c>
      <c r="C4453" s="6">
        <v>1.0</v>
      </c>
      <c r="D4453" s="194" t="s">
        <v>7611</v>
      </c>
      <c r="E4453" s="9" t="s">
        <v>7560</v>
      </c>
      <c r="F4453" s="109" t="str">
        <f t="shared" ref="F4453:G4453" si="4452">TRANSLATE(D4453,"lzh","vi")</f>
        <v>#NAME?</v>
      </c>
      <c r="G4453" s="109" t="str">
        <f t="shared" si="4452"/>
        <v>#NAME?</v>
      </c>
    </row>
    <row r="4454" ht="21.0" customHeight="1">
      <c r="A4454" s="6">
        <v>100.0</v>
      </c>
      <c r="B4454" s="6">
        <v>2000.0</v>
      </c>
      <c r="C4454" s="6">
        <v>1.0</v>
      </c>
      <c r="D4454" s="194" t="s">
        <v>7612</v>
      </c>
      <c r="E4454" s="9" t="s">
        <v>7560</v>
      </c>
      <c r="F4454" s="109" t="str">
        <f t="shared" ref="F4454:G4454" si="4453">TRANSLATE(D4454,"lzh","vi")</f>
        <v>#NAME?</v>
      </c>
      <c r="G4454" s="109" t="str">
        <f t="shared" si="4453"/>
        <v>#NAME?</v>
      </c>
    </row>
    <row r="4455" ht="21.0" customHeight="1">
      <c r="A4455" s="6">
        <v>100.0</v>
      </c>
      <c r="B4455" s="6">
        <v>2000.0</v>
      </c>
      <c r="C4455" s="6">
        <v>1.0</v>
      </c>
      <c r="D4455" s="194" t="s">
        <v>7613</v>
      </c>
      <c r="E4455" s="9" t="s">
        <v>7560</v>
      </c>
      <c r="F4455" s="109" t="str">
        <f t="shared" ref="F4455:G4455" si="4454">TRANSLATE(D4455,"lzh","vi")</f>
        <v>#NAME?</v>
      </c>
      <c r="G4455" s="109" t="str">
        <f t="shared" si="4454"/>
        <v>#NAME?</v>
      </c>
    </row>
    <row r="4456" ht="21.0" customHeight="1">
      <c r="A4456" s="6">
        <v>100.0</v>
      </c>
      <c r="B4456" s="6">
        <v>2000.0</v>
      </c>
      <c r="C4456" s="6">
        <v>1.0</v>
      </c>
      <c r="D4456" s="194" t="s">
        <v>7614</v>
      </c>
      <c r="E4456" s="9" t="s">
        <v>7560</v>
      </c>
      <c r="F4456" s="109" t="str">
        <f t="shared" ref="F4456:G4456" si="4455">TRANSLATE(D4456,"lzh","vi")</f>
        <v>#NAME?</v>
      </c>
      <c r="G4456" s="109" t="str">
        <f t="shared" si="4455"/>
        <v>#NAME?</v>
      </c>
    </row>
    <row r="4457" ht="21.0" customHeight="1">
      <c r="A4457" s="6">
        <v>100.0</v>
      </c>
      <c r="B4457" s="6">
        <v>2000.0</v>
      </c>
      <c r="C4457" s="6">
        <v>1.0</v>
      </c>
      <c r="D4457" s="194" t="s">
        <v>7615</v>
      </c>
      <c r="E4457" s="9" t="s">
        <v>7560</v>
      </c>
      <c r="F4457" s="109" t="str">
        <f t="shared" ref="F4457:G4457" si="4456">TRANSLATE(D4457,"lzh","vi")</f>
        <v>#NAME?</v>
      </c>
      <c r="G4457" s="109" t="str">
        <f t="shared" si="4456"/>
        <v>#NAME?</v>
      </c>
    </row>
    <row r="4458" ht="21.0" customHeight="1">
      <c r="A4458" s="6">
        <v>100.0</v>
      </c>
      <c r="B4458" s="6">
        <v>2000.0</v>
      </c>
      <c r="C4458" s="6">
        <v>1.0</v>
      </c>
      <c r="D4458" s="194" t="s">
        <v>7616</v>
      </c>
      <c r="E4458" s="9" t="s">
        <v>7560</v>
      </c>
      <c r="F4458" s="109" t="str">
        <f t="shared" ref="F4458:G4458" si="4457">TRANSLATE(D4458,"lzh","vi")</f>
        <v>#NAME?</v>
      </c>
      <c r="G4458" s="109" t="str">
        <f t="shared" si="4457"/>
        <v>#NAME?</v>
      </c>
    </row>
    <row r="4459" ht="21.0" customHeight="1">
      <c r="A4459" s="6">
        <v>100.0</v>
      </c>
      <c r="B4459" s="6">
        <v>2000.0</v>
      </c>
      <c r="C4459" s="6">
        <v>1.0</v>
      </c>
      <c r="D4459" s="194" t="s">
        <v>7617</v>
      </c>
      <c r="E4459" s="9" t="s">
        <v>7560</v>
      </c>
      <c r="F4459" s="109" t="str">
        <f t="shared" ref="F4459:G4459" si="4458">TRANSLATE(D4459,"lzh","vi")</f>
        <v>#NAME?</v>
      </c>
      <c r="G4459" s="109" t="str">
        <f t="shared" si="4458"/>
        <v>#NAME?</v>
      </c>
    </row>
    <row r="4460" ht="21.0" customHeight="1">
      <c r="A4460" s="6">
        <v>100.0</v>
      </c>
      <c r="B4460" s="6">
        <v>2000.0</v>
      </c>
      <c r="C4460" s="6">
        <v>1.0</v>
      </c>
      <c r="D4460" s="194" t="s">
        <v>7618</v>
      </c>
      <c r="E4460" s="9" t="s">
        <v>7560</v>
      </c>
      <c r="F4460" s="109" t="str">
        <f t="shared" ref="F4460:G4460" si="4459">TRANSLATE(D4460,"lzh","vi")</f>
        <v>#NAME?</v>
      </c>
      <c r="G4460" s="109" t="str">
        <f t="shared" si="4459"/>
        <v>#NAME?</v>
      </c>
    </row>
    <row r="4461" ht="21.0" customHeight="1">
      <c r="A4461" s="6">
        <v>100.0</v>
      </c>
      <c r="B4461" s="6">
        <v>2000.0</v>
      </c>
      <c r="C4461" s="6">
        <v>1.0</v>
      </c>
      <c r="D4461" s="194" t="s">
        <v>7619</v>
      </c>
      <c r="E4461" s="9" t="s">
        <v>7560</v>
      </c>
      <c r="F4461" s="109" t="str">
        <f t="shared" ref="F4461:G4461" si="4460">TRANSLATE(D4461,"lzh","vi")</f>
        <v>#NAME?</v>
      </c>
      <c r="G4461" s="109" t="str">
        <f t="shared" si="4460"/>
        <v>#NAME?</v>
      </c>
    </row>
    <row r="4462" ht="21.0" customHeight="1">
      <c r="A4462" s="6">
        <v>100.0</v>
      </c>
      <c r="B4462" s="6">
        <v>2000.0</v>
      </c>
      <c r="C4462" s="6">
        <v>1.0</v>
      </c>
      <c r="D4462" s="194" t="s">
        <v>7620</v>
      </c>
      <c r="E4462" s="9" t="s">
        <v>7560</v>
      </c>
      <c r="F4462" s="109" t="str">
        <f t="shared" ref="F4462:G4462" si="4461">TRANSLATE(D4462,"lzh","vi")</f>
        <v>#NAME?</v>
      </c>
      <c r="G4462" s="109" t="str">
        <f t="shared" si="4461"/>
        <v>#NAME?</v>
      </c>
    </row>
    <row r="4463" ht="21.0" customHeight="1">
      <c r="A4463" s="6">
        <v>100.0</v>
      </c>
      <c r="B4463" s="6">
        <v>2000.0</v>
      </c>
      <c r="C4463" s="6">
        <v>1.0</v>
      </c>
      <c r="D4463" s="194" t="s">
        <v>7621</v>
      </c>
      <c r="E4463" s="9" t="s">
        <v>7560</v>
      </c>
      <c r="F4463" s="109" t="str">
        <f t="shared" ref="F4463:G4463" si="4462">TRANSLATE(D4463,"lzh","vi")</f>
        <v>#NAME?</v>
      </c>
      <c r="G4463" s="109" t="str">
        <f t="shared" si="4462"/>
        <v>#NAME?</v>
      </c>
    </row>
    <row r="4464" ht="21.0" customHeight="1">
      <c r="A4464" s="6">
        <v>100.0</v>
      </c>
      <c r="B4464" s="6">
        <v>2000.0</v>
      </c>
      <c r="C4464" s="6">
        <v>1.0</v>
      </c>
      <c r="D4464" s="194" t="s">
        <v>7622</v>
      </c>
      <c r="E4464" s="9" t="s">
        <v>7560</v>
      </c>
      <c r="F4464" s="109" t="str">
        <f t="shared" ref="F4464:G4464" si="4463">TRANSLATE(D4464,"lzh","vi")</f>
        <v>#NAME?</v>
      </c>
      <c r="G4464" s="109" t="str">
        <f t="shared" si="4463"/>
        <v>#NAME?</v>
      </c>
    </row>
    <row r="4465" ht="21.0" customHeight="1">
      <c r="A4465" s="6">
        <v>100.0</v>
      </c>
      <c r="B4465" s="6">
        <v>2000.0</v>
      </c>
      <c r="C4465" s="6">
        <v>1.0</v>
      </c>
      <c r="D4465" s="194" t="s">
        <v>7623</v>
      </c>
      <c r="E4465" s="9" t="s">
        <v>7560</v>
      </c>
      <c r="F4465" s="109" t="str">
        <f t="shared" ref="F4465:G4465" si="4464">TRANSLATE(D4465,"lzh","vi")</f>
        <v>#NAME?</v>
      </c>
      <c r="G4465" s="109" t="str">
        <f t="shared" si="4464"/>
        <v>#NAME?</v>
      </c>
    </row>
    <row r="4466" ht="21.0" customHeight="1">
      <c r="A4466" s="6">
        <v>100.0</v>
      </c>
      <c r="B4466" s="6">
        <v>2000.0</v>
      </c>
      <c r="C4466" s="6">
        <v>1.0</v>
      </c>
      <c r="D4466" s="194" t="s">
        <v>7624</v>
      </c>
      <c r="E4466" s="9" t="s">
        <v>7560</v>
      </c>
      <c r="F4466" s="109" t="str">
        <f t="shared" ref="F4466:G4466" si="4465">TRANSLATE(D4466,"lzh","vi")</f>
        <v>#NAME?</v>
      </c>
      <c r="G4466" s="109" t="str">
        <f t="shared" si="4465"/>
        <v>#NAME?</v>
      </c>
    </row>
    <row r="4467" ht="21.0" customHeight="1">
      <c r="A4467" s="6">
        <v>100.0</v>
      </c>
      <c r="B4467" s="6">
        <v>2000.0</v>
      </c>
      <c r="C4467" s="6">
        <v>1.0</v>
      </c>
      <c r="D4467" s="194" t="s">
        <v>7625</v>
      </c>
      <c r="E4467" s="9" t="s">
        <v>7560</v>
      </c>
      <c r="F4467" s="109" t="str">
        <f t="shared" ref="F4467:G4467" si="4466">TRANSLATE(D4467,"lzh","vi")</f>
        <v>#NAME?</v>
      </c>
      <c r="G4467" s="109" t="str">
        <f t="shared" si="4466"/>
        <v>#NAME?</v>
      </c>
    </row>
    <row r="4468" ht="21.0" customHeight="1">
      <c r="A4468" s="6">
        <v>100.0</v>
      </c>
      <c r="B4468" s="6">
        <v>2000.0</v>
      </c>
      <c r="C4468" s="6">
        <v>1.0</v>
      </c>
      <c r="D4468" s="194" t="s">
        <v>7626</v>
      </c>
      <c r="E4468" s="9" t="s">
        <v>7560</v>
      </c>
      <c r="F4468" s="109" t="str">
        <f t="shared" ref="F4468:G4468" si="4467">TRANSLATE(D4468,"lzh","vi")</f>
        <v>#NAME?</v>
      </c>
      <c r="G4468" s="109" t="str">
        <f t="shared" si="4467"/>
        <v>#NAME?</v>
      </c>
    </row>
    <row r="4469" ht="21.0" customHeight="1">
      <c r="A4469" s="6">
        <v>100.0</v>
      </c>
      <c r="B4469" s="6">
        <v>2000.0</v>
      </c>
      <c r="C4469" s="6">
        <v>1.0</v>
      </c>
      <c r="D4469" s="194" t="s">
        <v>7627</v>
      </c>
      <c r="E4469" s="9" t="s">
        <v>7560</v>
      </c>
      <c r="F4469" s="109" t="str">
        <f t="shared" ref="F4469:G4469" si="4468">TRANSLATE(D4469,"lzh","vi")</f>
        <v>#NAME?</v>
      </c>
      <c r="G4469" s="109" t="str">
        <f t="shared" si="4468"/>
        <v>#NAME?</v>
      </c>
    </row>
    <row r="4470" ht="21.0" customHeight="1">
      <c r="A4470" s="6">
        <v>100.0</v>
      </c>
      <c r="B4470" s="6">
        <v>2000.0</v>
      </c>
      <c r="C4470" s="6">
        <v>1.0</v>
      </c>
      <c r="D4470" s="194" t="s">
        <v>7628</v>
      </c>
      <c r="E4470" s="9" t="s">
        <v>7560</v>
      </c>
      <c r="F4470" s="109" t="str">
        <f t="shared" ref="F4470:G4470" si="4469">TRANSLATE(D4470,"lzh","vi")</f>
        <v>#NAME?</v>
      </c>
      <c r="G4470" s="109" t="str">
        <f t="shared" si="4469"/>
        <v>#NAME?</v>
      </c>
    </row>
    <row r="4471" ht="21.0" customHeight="1">
      <c r="A4471" s="6">
        <v>100.0</v>
      </c>
      <c r="B4471" s="6">
        <v>2000.0</v>
      </c>
      <c r="C4471" s="6">
        <v>1.0</v>
      </c>
      <c r="D4471" s="194" t="s">
        <v>7629</v>
      </c>
      <c r="E4471" s="9" t="s">
        <v>7560</v>
      </c>
      <c r="F4471" s="109" t="str">
        <f t="shared" ref="F4471:G4471" si="4470">TRANSLATE(D4471,"lzh","vi")</f>
        <v>#NAME?</v>
      </c>
      <c r="G4471" s="109" t="str">
        <f t="shared" si="4470"/>
        <v>#NAME?</v>
      </c>
    </row>
    <row r="4472" ht="21.0" customHeight="1">
      <c r="A4472" s="6">
        <v>100.0</v>
      </c>
      <c r="B4472" s="6">
        <v>2000.0</v>
      </c>
      <c r="C4472" s="6">
        <v>1.0</v>
      </c>
      <c r="D4472" s="194" t="s">
        <v>7630</v>
      </c>
      <c r="E4472" s="9" t="s">
        <v>7560</v>
      </c>
      <c r="F4472" s="109" t="str">
        <f t="shared" ref="F4472:G4472" si="4471">TRANSLATE(D4472,"lzh","vi")</f>
        <v>#NAME?</v>
      </c>
      <c r="G4472" s="109" t="str">
        <f t="shared" si="4471"/>
        <v>#NAME?</v>
      </c>
    </row>
    <row r="4473" ht="21.0" customHeight="1">
      <c r="A4473" s="6">
        <v>100.0</v>
      </c>
      <c r="B4473" s="6">
        <v>2000.0</v>
      </c>
      <c r="C4473" s="6">
        <v>1.0</v>
      </c>
      <c r="D4473" s="194" t="s">
        <v>7631</v>
      </c>
      <c r="E4473" s="9" t="s">
        <v>7560</v>
      </c>
      <c r="F4473" s="109" t="str">
        <f t="shared" ref="F4473:G4473" si="4472">TRANSLATE(D4473,"lzh","vi")</f>
        <v>#NAME?</v>
      </c>
      <c r="G4473" s="109" t="str">
        <f t="shared" si="4472"/>
        <v>#NAME?</v>
      </c>
    </row>
    <row r="4474" ht="21.0" customHeight="1">
      <c r="A4474" s="6">
        <v>100.0</v>
      </c>
      <c r="B4474" s="6">
        <v>2000.0</v>
      </c>
      <c r="C4474" s="6">
        <v>1.0</v>
      </c>
      <c r="D4474" s="194" t="s">
        <v>7632</v>
      </c>
      <c r="E4474" s="9" t="s">
        <v>7560</v>
      </c>
      <c r="F4474" s="109" t="str">
        <f t="shared" ref="F4474:G4474" si="4473">TRANSLATE(D4474,"lzh","vi")</f>
        <v>#NAME?</v>
      </c>
      <c r="G4474" s="109" t="str">
        <f t="shared" si="4473"/>
        <v>#NAME?</v>
      </c>
    </row>
    <row r="4475" ht="21.0" customHeight="1">
      <c r="A4475" s="6">
        <v>100.0</v>
      </c>
      <c r="B4475" s="6">
        <v>2000.0</v>
      </c>
      <c r="C4475" s="6">
        <v>1.0</v>
      </c>
      <c r="D4475" s="194" t="s">
        <v>7633</v>
      </c>
      <c r="E4475" s="9" t="s">
        <v>7560</v>
      </c>
      <c r="F4475" s="109" t="str">
        <f t="shared" ref="F4475:G4475" si="4474">TRANSLATE(D4475,"lzh","vi")</f>
        <v>#NAME?</v>
      </c>
      <c r="G4475" s="109" t="str">
        <f t="shared" si="4474"/>
        <v>#NAME?</v>
      </c>
    </row>
    <row r="4476" ht="21.0" customHeight="1">
      <c r="A4476" s="6">
        <v>100.0</v>
      </c>
      <c r="B4476" s="6">
        <v>2000.0</v>
      </c>
      <c r="C4476" s="6">
        <v>1.0</v>
      </c>
      <c r="D4476" s="194" t="s">
        <v>7634</v>
      </c>
      <c r="E4476" s="9" t="s">
        <v>7560</v>
      </c>
      <c r="F4476" s="109" t="str">
        <f t="shared" ref="F4476:G4476" si="4475">TRANSLATE(D4476,"lzh","vi")</f>
        <v>#NAME?</v>
      </c>
      <c r="G4476" s="109" t="str">
        <f t="shared" si="4475"/>
        <v>#NAME?</v>
      </c>
    </row>
    <row r="4477" ht="21.0" customHeight="1">
      <c r="A4477" s="6">
        <v>100.0</v>
      </c>
      <c r="B4477" s="6">
        <v>2000.0</v>
      </c>
      <c r="C4477" s="6">
        <v>1.0</v>
      </c>
      <c r="D4477" s="194" t="s">
        <v>7635</v>
      </c>
      <c r="E4477" s="9" t="s">
        <v>7560</v>
      </c>
      <c r="F4477" s="109" t="str">
        <f t="shared" ref="F4477:G4477" si="4476">TRANSLATE(D4477,"lzh","vi")</f>
        <v>#NAME?</v>
      </c>
      <c r="G4477" s="109" t="str">
        <f t="shared" si="4476"/>
        <v>#NAME?</v>
      </c>
    </row>
    <row r="4478" ht="21.0" customHeight="1">
      <c r="A4478" s="6">
        <v>100.0</v>
      </c>
      <c r="B4478" s="6">
        <v>2000.0</v>
      </c>
      <c r="C4478" s="6">
        <v>1.0</v>
      </c>
      <c r="D4478" s="194" t="s">
        <v>7636</v>
      </c>
      <c r="E4478" s="9" t="s">
        <v>7560</v>
      </c>
      <c r="F4478" s="109" t="str">
        <f t="shared" ref="F4478:G4478" si="4477">TRANSLATE(D4478,"lzh","vi")</f>
        <v>#NAME?</v>
      </c>
      <c r="G4478" s="109" t="str">
        <f t="shared" si="4477"/>
        <v>#NAME?</v>
      </c>
    </row>
    <row r="4479" ht="21.0" customHeight="1">
      <c r="A4479" s="6">
        <v>100.0</v>
      </c>
      <c r="B4479" s="6">
        <v>2000.0</v>
      </c>
      <c r="C4479" s="6">
        <v>1.0</v>
      </c>
      <c r="D4479" s="194" t="s">
        <v>7637</v>
      </c>
      <c r="E4479" s="9" t="s">
        <v>7560</v>
      </c>
      <c r="F4479" s="109" t="str">
        <f t="shared" ref="F4479:G4479" si="4478">TRANSLATE(D4479,"lzh","vi")</f>
        <v>#NAME?</v>
      </c>
      <c r="G4479" s="109" t="str">
        <f t="shared" si="4478"/>
        <v>#NAME?</v>
      </c>
    </row>
    <row r="4480" ht="21.0" customHeight="1">
      <c r="A4480" s="6">
        <v>100.0</v>
      </c>
      <c r="B4480" s="6">
        <v>2000.0</v>
      </c>
      <c r="C4480" s="6">
        <v>1.0</v>
      </c>
      <c r="D4480" s="194" t="s">
        <v>7638</v>
      </c>
      <c r="E4480" s="9" t="s">
        <v>7560</v>
      </c>
      <c r="F4480" s="109" t="str">
        <f t="shared" ref="F4480:G4480" si="4479">TRANSLATE(D4480,"lzh","vi")</f>
        <v>#NAME?</v>
      </c>
      <c r="G4480" s="109" t="str">
        <f t="shared" si="4479"/>
        <v>#NAME?</v>
      </c>
    </row>
    <row r="4481" ht="21.0" customHeight="1">
      <c r="A4481" s="6">
        <v>100.0</v>
      </c>
      <c r="B4481" s="6">
        <v>2000.0</v>
      </c>
      <c r="C4481" s="6">
        <v>1.0</v>
      </c>
      <c r="D4481" s="194" t="s">
        <v>7639</v>
      </c>
      <c r="E4481" s="9" t="s">
        <v>7560</v>
      </c>
      <c r="F4481" s="109" t="str">
        <f t="shared" ref="F4481:G4481" si="4480">TRANSLATE(D4481,"lzh","vi")</f>
        <v>#NAME?</v>
      </c>
      <c r="G4481" s="109" t="str">
        <f t="shared" si="4480"/>
        <v>#NAME?</v>
      </c>
    </row>
    <row r="4482" ht="21.0" customHeight="1">
      <c r="A4482" s="6">
        <v>100.0</v>
      </c>
      <c r="B4482" s="6">
        <v>2000.0</v>
      </c>
      <c r="C4482" s="6">
        <v>1.0</v>
      </c>
      <c r="D4482" s="194" t="s">
        <v>7640</v>
      </c>
      <c r="E4482" s="9" t="s">
        <v>7560</v>
      </c>
      <c r="F4482" s="109" t="str">
        <f t="shared" ref="F4482:G4482" si="4481">TRANSLATE(D4482,"lzh","vi")</f>
        <v>#NAME?</v>
      </c>
      <c r="G4482" s="109" t="str">
        <f t="shared" si="4481"/>
        <v>#NAME?</v>
      </c>
    </row>
    <row r="4483" ht="21.0" customHeight="1">
      <c r="A4483" s="6">
        <v>100.0</v>
      </c>
      <c r="B4483" s="6">
        <v>2000.0</v>
      </c>
      <c r="C4483" s="6">
        <v>1.0</v>
      </c>
      <c r="D4483" s="194" t="s">
        <v>7641</v>
      </c>
      <c r="E4483" s="9" t="s">
        <v>7560</v>
      </c>
      <c r="F4483" s="109" t="str">
        <f t="shared" ref="F4483:G4483" si="4482">TRANSLATE(D4483,"lzh","vi")</f>
        <v>#NAME?</v>
      </c>
      <c r="G4483" s="109" t="str">
        <f t="shared" si="4482"/>
        <v>#NAME?</v>
      </c>
    </row>
    <row r="4484" ht="21.0" customHeight="1">
      <c r="A4484" s="6">
        <v>100.0</v>
      </c>
      <c r="B4484" s="6">
        <v>2000.0</v>
      </c>
      <c r="C4484" s="6">
        <v>1.0</v>
      </c>
      <c r="D4484" s="194" t="s">
        <v>7642</v>
      </c>
      <c r="E4484" s="9" t="s">
        <v>7560</v>
      </c>
      <c r="F4484" s="109" t="str">
        <f t="shared" ref="F4484:G4484" si="4483">TRANSLATE(D4484,"lzh","vi")</f>
        <v>#NAME?</v>
      </c>
      <c r="G4484" s="109" t="str">
        <f t="shared" si="4483"/>
        <v>#NAME?</v>
      </c>
    </row>
    <row r="4485" ht="21.0" customHeight="1">
      <c r="A4485" s="6">
        <v>100.0</v>
      </c>
      <c r="B4485" s="6">
        <v>2000.0</v>
      </c>
      <c r="C4485" s="6">
        <v>1.0</v>
      </c>
      <c r="D4485" s="194" t="s">
        <v>7643</v>
      </c>
      <c r="E4485" s="9" t="s">
        <v>7560</v>
      </c>
      <c r="F4485" s="109" t="str">
        <f t="shared" ref="F4485:G4485" si="4484">TRANSLATE(D4485,"lzh","vi")</f>
        <v>#NAME?</v>
      </c>
      <c r="G4485" s="109" t="str">
        <f t="shared" si="4484"/>
        <v>#NAME?</v>
      </c>
    </row>
    <row r="4486" ht="21.0" customHeight="1">
      <c r="A4486" s="6">
        <v>100.0</v>
      </c>
      <c r="B4486" s="6">
        <v>2000.0</v>
      </c>
      <c r="C4486" s="6">
        <v>1.0</v>
      </c>
      <c r="D4486" s="194" t="s">
        <v>7644</v>
      </c>
      <c r="E4486" s="9" t="s">
        <v>7560</v>
      </c>
      <c r="F4486" s="109" t="str">
        <f t="shared" ref="F4486:G4486" si="4485">TRANSLATE(D4486,"lzh","vi")</f>
        <v>#NAME?</v>
      </c>
      <c r="G4486" s="109" t="str">
        <f t="shared" si="4485"/>
        <v>#NAME?</v>
      </c>
    </row>
    <row r="4487" ht="21.0" customHeight="1">
      <c r="A4487" s="6">
        <v>100.0</v>
      </c>
      <c r="B4487" s="6">
        <v>2000.0</v>
      </c>
      <c r="C4487" s="6">
        <v>1.0</v>
      </c>
      <c r="D4487" s="194" t="s">
        <v>7645</v>
      </c>
      <c r="E4487" s="9" t="s">
        <v>7560</v>
      </c>
      <c r="F4487" s="109" t="str">
        <f t="shared" ref="F4487:G4487" si="4486">TRANSLATE(D4487,"lzh","vi")</f>
        <v>#NAME?</v>
      </c>
      <c r="G4487" s="109" t="str">
        <f t="shared" si="4486"/>
        <v>#NAME?</v>
      </c>
    </row>
    <row r="4488" ht="21.0" customHeight="1">
      <c r="A4488" s="6">
        <v>100.0</v>
      </c>
      <c r="B4488" s="6">
        <v>2000.0</v>
      </c>
      <c r="C4488" s="6">
        <v>1.0</v>
      </c>
      <c r="D4488" s="194" t="s">
        <v>7646</v>
      </c>
      <c r="E4488" s="9" t="s">
        <v>7560</v>
      </c>
      <c r="F4488" s="109" t="str">
        <f t="shared" ref="F4488:G4488" si="4487">TRANSLATE(D4488,"lzh","vi")</f>
        <v>#NAME?</v>
      </c>
      <c r="G4488" s="109" t="str">
        <f t="shared" si="4487"/>
        <v>#NAME?</v>
      </c>
    </row>
    <row r="4489" ht="21.0" customHeight="1">
      <c r="A4489" s="6">
        <v>100.0</v>
      </c>
      <c r="B4489" s="6">
        <v>2000.0</v>
      </c>
      <c r="C4489" s="6">
        <v>1.0</v>
      </c>
      <c r="D4489" s="194" t="s">
        <v>7647</v>
      </c>
      <c r="E4489" s="9" t="s">
        <v>7560</v>
      </c>
      <c r="F4489" s="109" t="str">
        <f t="shared" ref="F4489:G4489" si="4488">TRANSLATE(D4489,"lzh","vi")</f>
        <v>#NAME?</v>
      </c>
      <c r="G4489" s="109" t="str">
        <f t="shared" si="4488"/>
        <v>#NAME?</v>
      </c>
    </row>
    <row r="4490" ht="21.0" customHeight="1">
      <c r="A4490" s="6">
        <v>100.0</v>
      </c>
      <c r="B4490" s="6">
        <v>2000.0</v>
      </c>
      <c r="C4490" s="6">
        <v>1.0</v>
      </c>
      <c r="D4490" s="194" t="s">
        <v>7648</v>
      </c>
      <c r="E4490" s="9" t="s">
        <v>7560</v>
      </c>
      <c r="F4490" s="109" t="str">
        <f t="shared" ref="F4490:G4490" si="4489">TRANSLATE(D4490,"lzh","vi")</f>
        <v>#NAME?</v>
      </c>
      <c r="G4490" s="109" t="str">
        <f t="shared" si="4489"/>
        <v>#NAME?</v>
      </c>
    </row>
    <row r="4491" ht="21.0" customHeight="1">
      <c r="A4491" s="6">
        <v>100.0</v>
      </c>
      <c r="B4491" s="6">
        <v>2000.0</v>
      </c>
      <c r="C4491" s="6">
        <v>1.0</v>
      </c>
      <c r="D4491" s="194" t="s">
        <v>7649</v>
      </c>
      <c r="E4491" s="9" t="s">
        <v>7560</v>
      </c>
      <c r="F4491" s="109" t="str">
        <f t="shared" ref="F4491:G4491" si="4490">TRANSLATE(D4491,"lzh","vi")</f>
        <v>#NAME?</v>
      </c>
      <c r="G4491" s="109" t="str">
        <f t="shared" si="4490"/>
        <v>#NAME?</v>
      </c>
    </row>
    <row r="4492" ht="21.0" customHeight="1">
      <c r="A4492" s="6">
        <v>100.0</v>
      </c>
      <c r="B4492" s="6">
        <v>2000.0</v>
      </c>
      <c r="C4492" s="6">
        <v>1.0</v>
      </c>
      <c r="D4492" s="194" t="s">
        <v>7650</v>
      </c>
      <c r="E4492" s="9" t="s">
        <v>7560</v>
      </c>
      <c r="F4492" s="109" t="str">
        <f t="shared" ref="F4492:G4492" si="4491">TRANSLATE(D4492,"lzh","vi")</f>
        <v>#NAME?</v>
      </c>
      <c r="G4492" s="109" t="str">
        <f t="shared" si="4491"/>
        <v>#NAME?</v>
      </c>
    </row>
    <row r="4493" ht="21.0" customHeight="1">
      <c r="A4493" s="6">
        <v>100.0</v>
      </c>
      <c r="B4493" s="6">
        <v>2000.0</v>
      </c>
      <c r="C4493" s="6">
        <v>1.0</v>
      </c>
      <c r="D4493" s="194" t="s">
        <v>7651</v>
      </c>
      <c r="E4493" s="9" t="s">
        <v>7560</v>
      </c>
      <c r="F4493" s="109" t="str">
        <f t="shared" ref="F4493:G4493" si="4492">TRANSLATE(D4493,"lzh","vi")</f>
        <v>#NAME?</v>
      </c>
      <c r="G4493" s="109" t="str">
        <f t="shared" si="4492"/>
        <v>#NAME?</v>
      </c>
    </row>
    <row r="4494" ht="21.0" customHeight="1">
      <c r="A4494" s="6">
        <v>100.0</v>
      </c>
      <c r="B4494" s="6">
        <v>2000.0</v>
      </c>
      <c r="C4494" s="6">
        <v>1.0</v>
      </c>
      <c r="D4494" s="194" t="s">
        <v>7652</v>
      </c>
      <c r="E4494" s="9" t="s">
        <v>7560</v>
      </c>
      <c r="F4494" s="109" t="str">
        <f t="shared" ref="F4494:G4494" si="4493">TRANSLATE(D4494,"lzh","vi")</f>
        <v>#NAME?</v>
      </c>
      <c r="G4494" s="109" t="str">
        <f t="shared" si="4493"/>
        <v>#NAME?</v>
      </c>
    </row>
    <row r="4495" ht="21.0" customHeight="1">
      <c r="A4495" s="6">
        <v>100.0</v>
      </c>
      <c r="B4495" s="6">
        <v>2000.0</v>
      </c>
      <c r="C4495" s="6">
        <v>1.0</v>
      </c>
      <c r="D4495" s="194" t="s">
        <v>7653</v>
      </c>
      <c r="E4495" s="9" t="s">
        <v>7560</v>
      </c>
      <c r="F4495" s="109" t="str">
        <f t="shared" ref="F4495:G4495" si="4494">TRANSLATE(D4495,"lzh","vi")</f>
        <v>#NAME?</v>
      </c>
      <c r="G4495" s="109" t="str">
        <f t="shared" si="4494"/>
        <v>#NAME?</v>
      </c>
    </row>
    <row r="4496" ht="21.0" customHeight="1">
      <c r="A4496" s="6">
        <v>100.0</v>
      </c>
      <c r="B4496" s="6">
        <v>2000.0</v>
      </c>
      <c r="C4496" s="6">
        <v>1.0</v>
      </c>
      <c r="D4496" s="194" t="s">
        <v>7654</v>
      </c>
      <c r="E4496" s="9" t="s">
        <v>7560</v>
      </c>
      <c r="F4496" s="109" t="str">
        <f t="shared" ref="F4496:G4496" si="4495">TRANSLATE(D4496,"lzh","vi")</f>
        <v>#NAME?</v>
      </c>
      <c r="G4496" s="109" t="str">
        <f t="shared" si="4495"/>
        <v>#NAME?</v>
      </c>
    </row>
    <row r="4497" ht="21.0" customHeight="1">
      <c r="A4497" s="6">
        <v>100.0</v>
      </c>
      <c r="B4497" s="6">
        <v>2000.0</v>
      </c>
      <c r="C4497" s="6">
        <v>1.0</v>
      </c>
      <c r="D4497" s="194" t="s">
        <v>7655</v>
      </c>
      <c r="E4497" s="9" t="s">
        <v>7560</v>
      </c>
      <c r="F4497" s="109" t="str">
        <f t="shared" ref="F4497:G4497" si="4496">TRANSLATE(D4497,"lzh","vi")</f>
        <v>#NAME?</v>
      </c>
      <c r="G4497" s="109" t="str">
        <f t="shared" si="4496"/>
        <v>#NAME?</v>
      </c>
    </row>
    <row r="4498" ht="21.0" customHeight="1">
      <c r="A4498" s="6">
        <v>100.0</v>
      </c>
      <c r="B4498" s="6">
        <v>2000.0</v>
      </c>
      <c r="C4498" s="6">
        <v>1.0</v>
      </c>
      <c r="D4498" s="194" t="s">
        <v>7656</v>
      </c>
      <c r="E4498" s="9" t="s">
        <v>7560</v>
      </c>
      <c r="F4498" s="109" t="str">
        <f t="shared" ref="F4498:G4498" si="4497">TRANSLATE(D4498,"lzh","vi")</f>
        <v>#NAME?</v>
      </c>
      <c r="G4498" s="109" t="str">
        <f t="shared" si="4497"/>
        <v>#NAME?</v>
      </c>
    </row>
    <row r="4499" ht="21.0" customHeight="1">
      <c r="A4499" s="6">
        <v>100.0</v>
      </c>
      <c r="B4499" s="6">
        <v>2000.0</v>
      </c>
      <c r="C4499" s="6">
        <v>1.0</v>
      </c>
      <c r="D4499" s="194" t="s">
        <v>7657</v>
      </c>
      <c r="E4499" s="9" t="s">
        <v>7560</v>
      </c>
      <c r="F4499" s="109" t="str">
        <f t="shared" ref="F4499:G4499" si="4498">TRANSLATE(D4499,"lzh","vi")</f>
        <v>#NAME?</v>
      </c>
      <c r="G4499" s="109" t="str">
        <f t="shared" si="4498"/>
        <v>#NAME?</v>
      </c>
    </row>
    <row r="4500" ht="21.0" customHeight="1">
      <c r="A4500" s="6">
        <v>100.0</v>
      </c>
      <c r="B4500" s="6">
        <v>2000.0</v>
      </c>
      <c r="C4500" s="6">
        <v>1.0</v>
      </c>
      <c r="D4500" s="194" t="s">
        <v>7658</v>
      </c>
      <c r="E4500" s="9" t="s">
        <v>7560</v>
      </c>
      <c r="F4500" s="109" t="str">
        <f t="shared" ref="F4500:G4500" si="4499">TRANSLATE(D4500,"lzh","vi")</f>
        <v>#NAME?</v>
      </c>
      <c r="G4500" s="109" t="str">
        <f t="shared" si="4499"/>
        <v>#NAME?</v>
      </c>
    </row>
    <row r="4501" ht="21.0" customHeight="1">
      <c r="A4501" s="6">
        <v>100.0</v>
      </c>
      <c r="B4501" s="6">
        <v>2000.0</v>
      </c>
      <c r="C4501" s="6">
        <v>1.0</v>
      </c>
      <c r="D4501" s="194" t="s">
        <v>7659</v>
      </c>
      <c r="E4501" s="9" t="s">
        <v>7560</v>
      </c>
      <c r="F4501" s="109" t="str">
        <f t="shared" ref="F4501:G4501" si="4500">TRANSLATE(D4501,"lzh","vi")</f>
        <v>#NAME?</v>
      </c>
      <c r="G4501" s="109" t="str">
        <f t="shared" si="4500"/>
        <v>#NAME?</v>
      </c>
    </row>
    <row r="4502" ht="21.0" customHeight="1">
      <c r="A4502" s="6">
        <v>100.0</v>
      </c>
      <c r="B4502" s="6">
        <v>2000.0</v>
      </c>
      <c r="C4502" s="6">
        <v>1.0</v>
      </c>
      <c r="D4502" s="194" t="s">
        <v>7660</v>
      </c>
      <c r="E4502" s="9" t="s">
        <v>7560</v>
      </c>
      <c r="F4502" s="109" t="str">
        <f t="shared" ref="F4502:G4502" si="4501">TRANSLATE(D4502,"lzh","vi")</f>
        <v>#NAME?</v>
      </c>
      <c r="G4502" s="109" t="str">
        <f t="shared" si="4501"/>
        <v>#NAME?</v>
      </c>
    </row>
    <row r="4503" ht="21.0" customHeight="1">
      <c r="A4503" s="6">
        <v>100.0</v>
      </c>
      <c r="B4503" s="6">
        <v>2000.0</v>
      </c>
      <c r="C4503" s="6">
        <v>1.0</v>
      </c>
      <c r="D4503" s="194" t="s">
        <v>7661</v>
      </c>
      <c r="E4503" s="9" t="s">
        <v>7560</v>
      </c>
      <c r="F4503" s="109" t="str">
        <f t="shared" ref="F4503:G4503" si="4502">TRANSLATE(D4503,"lzh","vi")</f>
        <v>#NAME?</v>
      </c>
      <c r="G4503" s="109" t="str">
        <f t="shared" si="4502"/>
        <v>#NAME?</v>
      </c>
    </row>
    <row r="4504" ht="21.0" customHeight="1">
      <c r="A4504" s="6">
        <v>100.0</v>
      </c>
      <c r="B4504" s="6">
        <v>2000.0</v>
      </c>
      <c r="C4504" s="6">
        <v>1.0</v>
      </c>
      <c r="D4504" s="194" t="s">
        <v>7662</v>
      </c>
      <c r="E4504" s="9" t="s">
        <v>7560</v>
      </c>
      <c r="F4504" s="109" t="str">
        <f t="shared" ref="F4504:G4504" si="4503">TRANSLATE(D4504,"lzh","vi")</f>
        <v>#NAME?</v>
      </c>
      <c r="G4504" s="109" t="str">
        <f t="shared" si="4503"/>
        <v>#NAME?</v>
      </c>
    </row>
    <row r="4505" ht="21.0" customHeight="1">
      <c r="A4505" s="6">
        <v>100.0</v>
      </c>
      <c r="B4505" s="6">
        <v>2000.0</v>
      </c>
      <c r="C4505" s="6">
        <v>1.0</v>
      </c>
      <c r="D4505" s="194" t="s">
        <v>7663</v>
      </c>
      <c r="E4505" s="9" t="s">
        <v>7560</v>
      </c>
      <c r="F4505" s="109" t="str">
        <f t="shared" ref="F4505:G4505" si="4504">TRANSLATE(D4505,"lzh","vi")</f>
        <v>#NAME?</v>
      </c>
      <c r="G4505" s="109" t="str">
        <f t="shared" si="4504"/>
        <v>#NAME?</v>
      </c>
    </row>
    <row r="4506" ht="21.0" customHeight="1">
      <c r="A4506" s="6">
        <v>100.0</v>
      </c>
      <c r="B4506" s="6">
        <v>2000.0</v>
      </c>
      <c r="C4506" s="6">
        <v>1.0</v>
      </c>
      <c r="D4506" s="194" t="s">
        <v>7664</v>
      </c>
      <c r="E4506" s="9" t="s">
        <v>7560</v>
      </c>
      <c r="F4506" s="109" t="str">
        <f t="shared" ref="F4506:G4506" si="4505">TRANSLATE(D4506,"lzh","vi")</f>
        <v>#NAME?</v>
      </c>
      <c r="G4506" s="109" t="str">
        <f t="shared" si="4505"/>
        <v>#NAME?</v>
      </c>
    </row>
    <row r="4507" ht="21.0" customHeight="1">
      <c r="A4507" s="6">
        <v>100.0</v>
      </c>
      <c r="B4507" s="6">
        <v>2000.0</v>
      </c>
      <c r="C4507" s="6">
        <v>1.0</v>
      </c>
      <c r="D4507" s="194" t="s">
        <v>7665</v>
      </c>
      <c r="E4507" s="9" t="s">
        <v>7560</v>
      </c>
      <c r="F4507" s="109" t="str">
        <f t="shared" ref="F4507:G4507" si="4506">TRANSLATE(D4507,"lzh","vi")</f>
        <v>#NAME?</v>
      </c>
      <c r="G4507" s="109" t="str">
        <f t="shared" si="4506"/>
        <v>#NAME?</v>
      </c>
    </row>
    <row r="4508" ht="21.0" customHeight="1">
      <c r="A4508" s="6">
        <v>100.0</v>
      </c>
      <c r="B4508" s="6">
        <v>2000.0</v>
      </c>
      <c r="C4508" s="6">
        <v>1.0</v>
      </c>
      <c r="D4508" s="194" t="s">
        <v>7666</v>
      </c>
      <c r="E4508" s="9" t="s">
        <v>7560</v>
      </c>
      <c r="F4508" s="109" t="str">
        <f t="shared" ref="F4508:G4508" si="4507">TRANSLATE(D4508,"lzh","vi")</f>
        <v>#NAME?</v>
      </c>
      <c r="G4508" s="109" t="str">
        <f t="shared" si="4507"/>
        <v>#NAME?</v>
      </c>
    </row>
    <row r="4509" ht="21.0" customHeight="1">
      <c r="A4509" s="6">
        <v>100.0</v>
      </c>
      <c r="B4509" s="6">
        <v>2000.0</v>
      </c>
      <c r="C4509" s="6">
        <v>1.0</v>
      </c>
      <c r="D4509" s="194" t="s">
        <v>7667</v>
      </c>
      <c r="E4509" s="9" t="s">
        <v>7560</v>
      </c>
      <c r="F4509" s="109" t="str">
        <f t="shared" ref="F4509:G4509" si="4508">TRANSLATE(D4509,"lzh","vi")</f>
        <v>#NAME?</v>
      </c>
      <c r="G4509" s="109" t="str">
        <f t="shared" si="4508"/>
        <v>#NAME?</v>
      </c>
    </row>
    <row r="4510" ht="21.0" customHeight="1">
      <c r="A4510" s="6">
        <v>100.0</v>
      </c>
      <c r="B4510" s="6">
        <v>2000.0</v>
      </c>
      <c r="C4510" s="6">
        <v>1.0</v>
      </c>
      <c r="D4510" s="194" t="s">
        <v>7668</v>
      </c>
      <c r="E4510" s="9" t="s">
        <v>7560</v>
      </c>
      <c r="F4510" s="109" t="str">
        <f t="shared" ref="F4510:G4510" si="4509">TRANSLATE(D4510,"lzh","vi")</f>
        <v>#NAME?</v>
      </c>
      <c r="G4510" s="109" t="str">
        <f t="shared" si="4509"/>
        <v>#NAME?</v>
      </c>
    </row>
    <row r="4511" ht="21.0" customHeight="1">
      <c r="A4511" s="6">
        <v>100.0</v>
      </c>
      <c r="B4511" s="6">
        <v>2000.0</v>
      </c>
      <c r="C4511" s="6">
        <v>1.0</v>
      </c>
      <c r="D4511" s="194" t="s">
        <v>7669</v>
      </c>
      <c r="E4511" s="9" t="s">
        <v>7560</v>
      </c>
      <c r="F4511" s="109" t="str">
        <f t="shared" ref="F4511:G4511" si="4510">TRANSLATE(D4511,"lzh","vi")</f>
        <v>#NAME?</v>
      </c>
      <c r="G4511" s="109" t="str">
        <f t="shared" si="4510"/>
        <v>#NAME?</v>
      </c>
    </row>
    <row r="4512" ht="21.0" customHeight="1">
      <c r="A4512" s="6">
        <v>100.0</v>
      </c>
      <c r="B4512" s="6">
        <v>2000.0</v>
      </c>
      <c r="C4512" s="6">
        <v>1.0</v>
      </c>
      <c r="D4512" s="194" t="s">
        <v>7670</v>
      </c>
      <c r="E4512" s="9" t="s">
        <v>7560</v>
      </c>
      <c r="F4512" s="109" t="str">
        <f t="shared" ref="F4512:G4512" si="4511">TRANSLATE(D4512,"lzh","vi")</f>
        <v>#NAME?</v>
      </c>
      <c r="G4512" s="109" t="str">
        <f t="shared" si="4511"/>
        <v>#NAME?</v>
      </c>
    </row>
    <row r="4513" ht="21.0" customHeight="1">
      <c r="A4513" s="6">
        <v>100.0</v>
      </c>
      <c r="B4513" s="6">
        <v>2000.0</v>
      </c>
      <c r="C4513" s="6">
        <v>1.0</v>
      </c>
      <c r="D4513" s="194" t="s">
        <v>7671</v>
      </c>
      <c r="E4513" s="9" t="s">
        <v>7560</v>
      </c>
      <c r="F4513" s="109" t="str">
        <f t="shared" ref="F4513:G4513" si="4512">TRANSLATE(D4513,"lzh","vi")</f>
        <v>#NAME?</v>
      </c>
      <c r="G4513" s="109" t="str">
        <f t="shared" si="4512"/>
        <v>#NAME?</v>
      </c>
    </row>
    <row r="4514" ht="21.0" customHeight="1">
      <c r="A4514" s="6">
        <v>100.0</v>
      </c>
      <c r="B4514" s="6">
        <v>2000.0</v>
      </c>
      <c r="C4514" s="6">
        <v>1.0</v>
      </c>
      <c r="D4514" s="194" t="s">
        <v>7672</v>
      </c>
      <c r="E4514" s="9" t="s">
        <v>7560</v>
      </c>
      <c r="F4514" s="109" t="str">
        <f t="shared" ref="F4514:G4514" si="4513">TRANSLATE(D4514,"lzh","vi")</f>
        <v>#NAME?</v>
      </c>
      <c r="G4514" s="109" t="str">
        <f t="shared" si="4513"/>
        <v>#NAME?</v>
      </c>
    </row>
    <row r="4515" ht="21.0" customHeight="1">
      <c r="A4515" s="6">
        <v>100.0</v>
      </c>
      <c r="B4515" s="6">
        <v>2000.0</v>
      </c>
      <c r="C4515" s="6">
        <v>1.0</v>
      </c>
      <c r="D4515" s="194" t="s">
        <v>7673</v>
      </c>
      <c r="E4515" s="9" t="s">
        <v>7560</v>
      </c>
      <c r="F4515" s="109" t="str">
        <f t="shared" ref="F4515:G4515" si="4514">TRANSLATE(D4515,"lzh","vi")</f>
        <v>#NAME?</v>
      </c>
      <c r="G4515" s="109" t="str">
        <f t="shared" si="4514"/>
        <v>#NAME?</v>
      </c>
    </row>
    <row r="4516" ht="21.0" customHeight="1">
      <c r="A4516" s="6">
        <v>100.0</v>
      </c>
      <c r="B4516" s="6">
        <v>2000.0</v>
      </c>
      <c r="C4516" s="6">
        <v>1.0</v>
      </c>
      <c r="D4516" s="194" t="s">
        <v>7674</v>
      </c>
      <c r="E4516" s="9" t="s">
        <v>7560</v>
      </c>
      <c r="F4516" s="109" t="str">
        <f t="shared" ref="F4516:G4516" si="4515">TRANSLATE(D4516,"lzh","vi")</f>
        <v>#NAME?</v>
      </c>
      <c r="G4516" s="109" t="str">
        <f t="shared" si="4515"/>
        <v>#NAME?</v>
      </c>
    </row>
    <row r="4517" ht="21.0" customHeight="1">
      <c r="A4517" s="6">
        <v>100.0</v>
      </c>
      <c r="B4517" s="6">
        <v>2000.0</v>
      </c>
      <c r="C4517" s="6">
        <v>1.0</v>
      </c>
      <c r="D4517" s="194" t="s">
        <v>7675</v>
      </c>
      <c r="E4517" s="9" t="s">
        <v>7560</v>
      </c>
      <c r="F4517" s="109" t="str">
        <f t="shared" ref="F4517:G4517" si="4516">TRANSLATE(D4517,"lzh","vi")</f>
        <v>#NAME?</v>
      </c>
      <c r="G4517" s="109" t="str">
        <f t="shared" si="4516"/>
        <v>#NAME?</v>
      </c>
    </row>
    <row r="4518" ht="21.0" customHeight="1">
      <c r="A4518" s="6">
        <v>100.0</v>
      </c>
      <c r="B4518" s="6">
        <v>2000.0</v>
      </c>
      <c r="C4518" s="6">
        <v>1.0</v>
      </c>
      <c r="D4518" s="194" t="s">
        <v>7676</v>
      </c>
      <c r="E4518" s="9" t="s">
        <v>7560</v>
      </c>
      <c r="F4518" s="109" t="str">
        <f t="shared" ref="F4518:G4518" si="4517">TRANSLATE(D4518,"lzh","vi")</f>
        <v>#NAME?</v>
      </c>
      <c r="G4518" s="109" t="str">
        <f t="shared" si="4517"/>
        <v>#NAME?</v>
      </c>
    </row>
    <row r="4519" ht="21.0" customHeight="1">
      <c r="A4519" s="6">
        <v>100.0</v>
      </c>
      <c r="B4519" s="6">
        <v>2000.0</v>
      </c>
      <c r="C4519" s="6">
        <v>1.0</v>
      </c>
      <c r="D4519" s="194" t="s">
        <v>7677</v>
      </c>
      <c r="E4519" s="9" t="s">
        <v>7560</v>
      </c>
      <c r="F4519" s="109" t="str">
        <f t="shared" ref="F4519:G4519" si="4518">TRANSLATE(D4519,"lzh","vi")</f>
        <v>#NAME?</v>
      </c>
      <c r="G4519" s="109" t="str">
        <f t="shared" si="4518"/>
        <v>#NAME?</v>
      </c>
    </row>
    <row r="4520" ht="21.0" customHeight="1">
      <c r="A4520" s="6">
        <v>100.0</v>
      </c>
      <c r="B4520" s="6">
        <v>2000.0</v>
      </c>
      <c r="C4520" s="6">
        <v>1.0</v>
      </c>
      <c r="D4520" s="194" t="s">
        <v>7675</v>
      </c>
      <c r="E4520" s="9" t="s">
        <v>7560</v>
      </c>
      <c r="F4520" s="109" t="str">
        <f t="shared" ref="F4520:G4520" si="4519">TRANSLATE(D4520,"lzh","vi")</f>
        <v>#NAME?</v>
      </c>
      <c r="G4520" s="109" t="str">
        <f t="shared" si="4519"/>
        <v>#NAME?</v>
      </c>
    </row>
    <row r="4521" ht="21.0" customHeight="1">
      <c r="A4521" s="6">
        <v>100.0</v>
      </c>
      <c r="B4521" s="6">
        <v>2000.0</v>
      </c>
      <c r="C4521" s="6">
        <v>1.0</v>
      </c>
      <c r="D4521" s="194" t="s">
        <v>7678</v>
      </c>
      <c r="E4521" s="9" t="s">
        <v>7560</v>
      </c>
      <c r="F4521" s="109" t="str">
        <f t="shared" ref="F4521:G4521" si="4520">TRANSLATE(D4521,"lzh","vi")</f>
        <v>#NAME?</v>
      </c>
      <c r="G4521" s="109" t="str">
        <f t="shared" si="4520"/>
        <v>#NAME?</v>
      </c>
    </row>
    <row r="4522" ht="21.0" customHeight="1">
      <c r="A4522" s="6">
        <v>100.0</v>
      </c>
      <c r="B4522" s="6">
        <v>2000.0</v>
      </c>
      <c r="C4522" s="6">
        <v>1.0</v>
      </c>
      <c r="D4522" s="194" t="s">
        <v>7679</v>
      </c>
      <c r="E4522" s="9" t="s">
        <v>7560</v>
      </c>
      <c r="F4522" s="109" t="str">
        <f t="shared" ref="F4522:G4522" si="4521">TRANSLATE(D4522,"lzh","vi")</f>
        <v>#NAME?</v>
      </c>
      <c r="G4522" s="109" t="str">
        <f t="shared" si="4521"/>
        <v>#NAME?</v>
      </c>
    </row>
    <row r="4523" ht="21.0" customHeight="1">
      <c r="A4523" s="6">
        <v>100.0</v>
      </c>
      <c r="B4523" s="6">
        <v>2000.0</v>
      </c>
      <c r="C4523" s="6">
        <v>1.0</v>
      </c>
      <c r="D4523" s="194" t="s">
        <v>7680</v>
      </c>
      <c r="E4523" s="9" t="s">
        <v>7560</v>
      </c>
      <c r="F4523" s="109" t="str">
        <f t="shared" ref="F4523:G4523" si="4522">TRANSLATE(D4523,"lzh","vi")</f>
        <v>#NAME?</v>
      </c>
      <c r="G4523" s="109" t="str">
        <f t="shared" si="4522"/>
        <v>#NAME?</v>
      </c>
    </row>
    <row r="4524" ht="21.0" customHeight="1">
      <c r="A4524" s="6">
        <v>100.0</v>
      </c>
      <c r="B4524" s="6">
        <v>2000.0</v>
      </c>
      <c r="C4524" s="6">
        <v>1.0</v>
      </c>
      <c r="D4524" s="194" t="s">
        <v>7681</v>
      </c>
      <c r="E4524" s="9" t="s">
        <v>7560</v>
      </c>
      <c r="F4524" s="109" t="str">
        <f t="shared" ref="F4524:G4524" si="4523">TRANSLATE(D4524,"lzh","vi")</f>
        <v>#NAME?</v>
      </c>
      <c r="G4524" s="109" t="str">
        <f t="shared" si="4523"/>
        <v>#NAME?</v>
      </c>
    </row>
    <row r="4525" ht="21.0" customHeight="1">
      <c r="A4525" s="6">
        <v>100.0</v>
      </c>
      <c r="B4525" s="6">
        <v>2000.0</v>
      </c>
      <c r="C4525" s="6">
        <v>1.0</v>
      </c>
      <c r="D4525" s="194" t="s">
        <v>7682</v>
      </c>
      <c r="E4525" s="9" t="s">
        <v>7560</v>
      </c>
      <c r="F4525" s="109" t="str">
        <f t="shared" ref="F4525:G4525" si="4524">TRANSLATE(D4525,"lzh","vi")</f>
        <v>#NAME?</v>
      </c>
      <c r="G4525" s="109" t="str">
        <f t="shared" si="4524"/>
        <v>#NAME?</v>
      </c>
    </row>
    <row r="4526" ht="21.0" customHeight="1">
      <c r="A4526" s="6">
        <v>100.0</v>
      </c>
      <c r="B4526" s="6">
        <v>2000.0</v>
      </c>
      <c r="C4526" s="6">
        <v>1.0</v>
      </c>
      <c r="D4526" s="194" t="s">
        <v>7683</v>
      </c>
      <c r="E4526" s="9" t="s">
        <v>7560</v>
      </c>
      <c r="F4526" s="109" t="str">
        <f t="shared" ref="F4526:G4526" si="4525">TRANSLATE(D4526,"lzh","vi")</f>
        <v>#NAME?</v>
      </c>
      <c r="G4526" s="109" t="str">
        <f t="shared" si="4525"/>
        <v>#NAME?</v>
      </c>
    </row>
    <row r="4527" ht="21.0" customHeight="1">
      <c r="A4527" s="6">
        <v>100.0</v>
      </c>
      <c r="B4527" s="6">
        <v>2000.0</v>
      </c>
      <c r="C4527" s="6">
        <v>1.0</v>
      </c>
      <c r="D4527" s="194" t="s">
        <v>7684</v>
      </c>
      <c r="E4527" s="9" t="s">
        <v>7560</v>
      </c>
      <c r="F4527" s="109" t="str">
        <f t="shared" ref="F4527:G4527" si="4526">TRANSLATE(D4527,"lzh","vi")</f>
        <v>#NAME?</v>
      </c>
      <c r="G4527" s="109" t="str">
        <f t="shared" si="4526"/>
        <v>#NAME?</v>
      </c>
    </row>
    <row r="4528" ht="21.0" customHeight="1">
      <c r="A4528" s="6">
        <v>100.0</v>
      </c>
      <c r="B4528" s="6">
        <v>2000.0</v>
      </c>
      <c r="C4528" s="6">
        <v>1.0</v>
      </c>
      <c r="D4528" s="194" t="s">
        <v>7685</v>
      </c>
      <c r="E4528" s="9" t="s">
        <v>7560</v>
      </c>
      <c r="F4528" s="109" t="str">
        <f t="shared" ref="F4528:G4528" si="4527">TRANSLATE(D4528,"lzh","vi")</f>
        <v>#NAME?</v>
      </c>
      <c r="G4528" s="109" t="str">
        <f t="shared" si="4527"/>
        <v>#NAME?</v>
      </c>
    </row>
    <row r="4529" ht="21.0" customHeight="1">
      <c r="A4529" s="6">
        <v>100.0</v>
      </c>
      <c r="B4529" s="6">
        <v>2000.0</v>
      </c>
      <c r="C4529" s="6">
        <v>1.0</v>
      </c>
      <c r="D4529" s="194" t="s">
        <v>7686</v>
      </c>
      <c r="E4529" s="9" t="s">
        <v>7560</v>
      </c>
      <c r="F4529" s="109" t="str">
        <f t="shared" ref="F4529:G4529" si="4528">TRANSLATE(D4529,"lzh","vi")</f>
        <v>#NAME?</v>
      </c>
      <c r="G4529" s="109" t="str">
        <f t="shared" si="4528"/>
        <v>#NAME?</v>
      </c>
    </row>
    <row r="4530" ht="21.0" customHeight="1">
      <c r="A4530" s="6">
        <v>100.0</v>
      </c>
      <c r="B4530" s="6">
        <v>2000.0</v>
      </c>
      <c r="C4530" s="6">
        <v>1.0</v>
      </c>
      <c r="D4530" s="194" t="s">
        <v>7687</v>
      </c>
      <c r="E4530" s="9" t="s">
        <v>7560</v>
      </c>
      <c r="F4530" s="109" t="str">
        <f t="shared" ref="F4530:G4530" si="4529">TRANSLATE(D4530,"lzh","vi")</f>
        <v>#NAME?</v>
      </c>
      <c r="G4530" s="109" t="str">
        <f t="shared" si="4529"/>
        <v>#NAME?</v>
      </c>
    </row>
    <row r="4531" ht="21.0" customHeight="1">
      <c r="A4531" s="6">
        <v>100.0</v>
      </c>
      <c r="B4531" s="6">
        <v>2000.0</v>
      </c>
      <c r="C4531" s="6">
        <v>1.0</v>
      </c>
      <c r="D4531" s="194" t="s">
        <v>7688</v>
      </c>
      <c r="E4531" s="9" t="s">
        <v>7560</v>
      </c>
      <c r="F4531" s="109" t="str">
        <f t="shared" ref="F4531:G4531" si="4530">TRANSLATE(D4531,"lzh","vi")</f>
        <v>#NAME?</v>
      </c>
      <c r="G4531" s="109" t="str">
        <f t="shared" si="4530"/>
        <v>#NAME?</v>
      </c>
    </row>
    <row r="4532" ht="21.0" customHeight="1">
      <c r="A4532" s="6">
        <v>100.0</v>
      </c>
      <c r="B4532" s="6">
        <v>2000.0</v>
      </c>
      <c r="C4532" s="6">
        <v>1.0</v>
      </c>
      <c r="D4532" s="194" t="s">
        <v>7689</v>
      </c>
      <c r="E4532" s="9" t="s">
        <v>7560</v>
      </c>
      <c r="F4532" s="109" t="str">
        <f t="shared" ref="F4532:G4532" si="4531">TRANSLATE(D4532,"lzh","vi")</f>
        <v>#NAME?</v>
      </c>
      <c r="G4532" s="109" t="str">
        <f t="shared" si="4531"/>
        <v>#NAME?</v>
      </c>
    </row>
    <row r="4533" ht="21.0" customHeight="1">
      <c r="A4533" s="6">
        <v>100.0</v>
      </c>
      <c r="B4533" s="6">
        <v>2000.0</v>
      </c>
      <c r="C4533" s="6">
        <v>1.0</v>
      </c>
      <c r="D4533" s="194" t="s">
        <v>7690</v>
      </c>
      <c r="E4533" s="9" t="s">
        <v>7560</v>
      </c>
      <c r="F4533" s="109" t="str">
        <f t="shared" ref="F4533:G4533" si="4532">TRANSLATE(D4533,"lzh","vi")</f>
        <v>#NAME?</v>
      </c>
      <c r="G4533" s="109" t="str">
        <f t="shared" si="4532"/>
        <v>#NAME?</v>
      </c>
    </row>
    <row r="4534" ht="21.0" customHeight="1">
      <c r="A4534" s="6">
        <v>100.0</v>
      </c>
      <c r="B4534" s="6">
        <v>2000.0</v>
      </c>
      <c r="C4534" s="6">
        <v>1.0</v>
      </c>
      <c r="D4534" s="194" t="s">
        <v>7691</v>
      </c>
      <c r="E4534" s="9" t="s">
        <v>7560</v>
      </c>
      <c r="F4534" s="109" t="str">
        <f t="shared" ref="F4534:G4534" si="4533">TRANSLATE(D4534,"lzh","vi")</f>
        <v>#NAME?</v>
      </c>
      <c r="G4534" s="109" t="str">
        <f t="shared" si="4533"/>
        <v>#NAME?</v>
      </c>
    </row>
    <row r="4535" ht="21.0" customHeight="1">
      <c r="A4535" s="6">
        <v>100.0</v>
      </c>
      <c r="B4535" s="6">
        <v>2000.0</v>
      </c>
      <c r="C4535" s="6">
        <v>1.0</v>
      </c>
      <c r="D4535" s="194" t="s">
        <v>7692</v>
      </c>
      <c r="E4535" s="9" t="s">
        <v>7560</v>
      </c>
      <c r="F4535" s="109" t="str">
        <f t="shared" ref="F4535:G4535" si="4534">TRANSLATE(D4535,"lzh","vi")</f>
        <v>#NAME?</v>
      </c>
      <c r="G4535" s="109" t="str">
        <f t="shared" si="4534"/>
        <v>#NAME?</v>
      </c>
    </row>
    <row r="4536" ht="21.0" customHeight="1">
      <c r="A4536" s="6">
        <v>100.0</v>
      </c>
      <c r="B4536" s="6">
        <v>2000.0</v>
      </c>
      <c r="C4536" s="6">
        <v>1.0</v>
      </c>
      <c r="D4536" s="194" t="s">
        <v>7693</v>
      </c>
      <c r="E4536" s="9" t="s">
        <v>7560</v>
      </c>
      <c r="F4536" s="109" t="str">
        <f t="shared" ref="F4536:G4536" si="4535">TRANSLATE(D4536,"lzh","vi")</f>
        <v>#NAME?</v>
      </c>
      <c r="G4536" s="109" t="str">
        <f t="shared" si="4535"/>
        <v>#NAME?</v>
      </c>
    </row>
    <row r="4537" ht="21.0" customHeight="1">
      <c r="A4537" s="6">
        <v>100.0</v>
      </c>
      <c r="B4537" s="6">
        <v>2000.0</v>
      </c>
      <c r="C4537" s="6">
        <v>1.0</v>
      </c>
      <c r="D4537" s="194" t="s">
        <v>7694</v>
      </c>
      <c r="E4537" s="9" t="s">
        <v>7560</v>
      </c>
      <c r="F4537" s="109" t="str">
        <f t="shared" ref="F4537:G4537" si="4536">TRANSLATE(D4537,"lzh","vi")</f>
        <v>#NAME?</v>
      </c>
      <c r="G4537" s="109" t="str">
        <f t="shared" si="4536"/>
        <v>#NAME?</v>
      </c>
    </row>
    <row r="4538" ht="21.0" customHeight="1">
      <c r="A4538" s="6">
        <v>100.0</v>
      </c>
      <c r="B4538" s="6">
        <v>2000.0</v>
      </c>
      <c r="C4538" s="6">
        <v>1.0</v>
      </c>
      <c r="D4538" s="194" t="s">
        <v>7695</v>
      </c>
      <c r="E4538" s="9" t="s">
        <v>7560</v>
      </c>
      <c r="F4538" s="109" t="str">
        <f t="shared" ref="F4538:G4538" si="4537">TRANSLATE(D4538,"lzh","vi")</f>
        <v>#NAME?</v>
      </c>
      <c r="G4538" s="109" t="str">
        <f t="shared" si="4537"/>
        <v>#NAME?</v>
      </c>
    </row>
    <row r="4539" ht="21.0" customHeight="1">
      <c r="A4539" s="6">
        <v>100.0</v>
      </c>
      <c r="B4539" s="6">
        <v>2000.0</v>
      </c>
      <c r="C4539" s="6">
        <v>1.0</v>
      </c>
      <c r="D4539" s="194" t="s">
        <v>7696</v>
      </c>
      <c r="E4539" s="9" t="s">
        <v>7560</v>
      </c>
      <c r="F4539" s="109" t="str">
        <f t="shared" ref="F4539:G4539" si="4538">TRANSLATE(D4539,"lzh","vi")</f>
        <v>#NAME?</v>
      </c>
      <c r="G4539" s="109" t="str">
        <f t="shared" si="4538"/>
        <v>#NAME?</v>
      </c>
    </row>
    <row r="4540" ht="21.0" customHeight="1">
      <c r="A4540" s="6">
        <v>100.0</v>
      </c>
      <c r="B4540" s="6">
        <v>2000.0</v>
      </c>
      <c r="C4540" s="6">
        <v>1.0</v>
      </c>
      <c r="D4540" s="194" t="s">
        <v>7697</v>
      </c>
      <c r="E4540" s="9" t="s">
        <v>7560</v>
      </c>
      <c r="F4540" s="109" t="str">
        <f t="shared" ref="F4540:G4540" si="4539">TRANSLATE(D4540,"lzh","vi")</f>
        <v>#NAME?</v>
      </c>
      <c r="G4540" s="109" t="str">
        <f t="shared" si="4539"/>
        <v>#NAME?</v>
      </c>
    </row>
    <row r="4541" ht="21.0" customHeight="1">
      <c r="A4541" s="6">
        <v>100.0</v>
      </c>
      <c r="B4541" s="6">
        <v>2000.0</v>
      </c>
      <c r="C4541" s="6">
        <v>1.0</v>
      </c>
      <c r="D4541" s="194" t="s">
        <v>7698</v>
      </c>
      <c r="E4541" s="9" t="s">
        <v>7560</v>
      </c>
      <c r="F4541" s="109" t="str">
        <f t="shared" ref="F4541:G4541" si="4540">TRANSLATE(D4541,"lzh","vi")</f>
        <v>#NAME?</v>
      </c>
      <c r="G4541" s="109" t="str">
        <f t="shared" si="4540"/>
        <v>#NAME?</v>
      </c>
    </row>
    <row r="4542" ht="21.0" customHeight="1">
      <c r="A4542" s="6">
        <v>100.0</v>
      </c>
      <c r="B4542" s="6">
        <v>2000.0</v>
      </c>
      <c r="C4542" s="6">
        <v>1.0</v>
      </c>
      <c r="D4542" s="194" t="s">
        <v>7699</v>
      </c>
      <c r="E4542" s="9" t="s">
        <v>7560</v>
      </c>
      <c r="F4542" s="109" t="str">
        <f t="shared" ref="F4542:G4542" si="4541">TRANSLATE(D4542,"lzh","vi")</f>
        <v>#NAME?</v>
      </c>
      <c r="G4542" s="109" t="str">
        <f t="shared" si="4541"/>
        <v>#NAME?</v>
      </c>
    </row>
    <row r="4543" ht="21.0" customHeight="1">
      <c r="A4543" s="6">
        <v>100.0</v>
      </c>
      <c r="B4543" s="6">
        <v>2000.0</v>
      </c>
      <c r="C4543" s="6">
        <v>1.0</v>
      </c>
      <c r="D4543" s="194" t="s">
        <v>7700</v>
      </c>
      <c r="E4543" s="9" t="s">
        <v>7560</v>
      </c>
      <c r="F4543" s="109" t="str">
        <f t="shared" ref="F4543:G4543" si="4542">TRANSLATE(D4543,"lzh","vi")</f>
        <v>#NAME?</v>
      </c>
      <c r="G4543" s="109" t="str">
        <f t="shared" si="4542"/>
        <v>#NAME?</v>
      </c>
    </row>
    <row r="4544" ht="21.0" customHeight="1">
      <c r="A4544" s="6">
        <v>100.0</v>
      </c>
      <c r="B4544" s="6">
        <v>2000.0</v>
      </c>
      <c r="C4544" s="6">
        <v>1.0</v>
      </c>
      <c r="D4544" s="194" t="s">
        <v>7701</v>
      </c>
      <c r="E4544" s="9" t="s">
        <v>7560</v>
      </c>
      <c r="F4544" s="109" t="str">
        <f t="shared" ref="F4544:G4544" si="4543">TRANSLATE(D4544,"lzh","vi")</f>
        <v>#NAME?</v>
      </c>
      <c r="G4544" s="109" t="str">
        <f t="shared" si="4543"/>
        <v>#NAME?</v>
      </c>
    </row>
    <row r="4545" ht="21.0" customHeight="1">
      <c r="A4545" s="6">
        <v>100.0</v>
      </c>
      <c r="B4545" s="6">
        <v>2000.0</v>
      </c>
      <c r="C4545" s="6">
        <v>1.0</v>
      </c>
      <c r="D4545" s="194" t="s">
        <v>7702</v>
      </c>
      <c r="E4545" s="9" t="s">
        <v>7560</v>
      </c>
      <c r="F4545" s="109" t="str">
        <f t="shared" ref="F4545:G4545" si="4544">TRANSLATE(D4545,"lzh","vi")</f>
        <v>#NAME?</v>
      </c>
      <c r="G4545" s="109" t="str">
        <f t="shared" si="4544"/>
        <v>#NAME?</v>
      </c>
    </row>
    <row r="4546" ht="21.0" customHeight="1">
      <c r="A4546" s="6">
        <v>100.0</v>
      </c>
      <c r="B4546" s="6">
        <v>2000.0</v>
      </c>
      <c r="C4546" s="6">
        <v>1.0</v>
      </c>
      <c r="D4546" s="194" t="s">
        <v>7703</v>
      </c>
      <c r="E4546" s="9" t="s">
        <v>7560</v>
      </c>
      <c r="F4546" s="109" t="str">
        <f t="shared" ref="F4546:G4546" si="4545">TRANSLATE(D4546,"lzh","vi")</f>
        <v>#NAME?</v>
      </c>
      <c r="G4546" s="109" t="str">
        <f t="shared" si="4545"/>
        <v>#NAME?</v>
      </c>
    </row>
    <row r="4547" ht="21.0" customHeight="1">
      <c r="A4547" s="6">
        <v>100.0</v>
      </c>
      <c r="B4547" s="6">
        <v>2000.0</v>
      </c>
      <c r="C4547" s="6">
        <v>1.0</v>
      </c>
      <c r="D4547" s="194" t="s">
        <v>7704</v>
      </c>
      <c r="E4547" s="9" t="s">
        <v>7560</v>
      </c>
      <c r="F4547" s="109" t="str">
        <f t="shared" ref="F4547:G4547" si="4546">TRANSLATE(D4547,"lzh","vi")</f>
        <v>#NAME?</v>
      </c>
      <c r="G4547" s="109" t="str">
        <f t="shared" si="4546"/>
        <v>#NAME?</v>
      </c>
    </row>
    <row r="4548" ht="21.0" customHeight="1">
      <c r="A4548" s="6">
        <v>100.0</v>
      </c>
      <c r="B4548" s="6">
        <v>2000.0</v>
      </c>
      <c r="C4548" s="6">
        <v>1.0</v>
      </c>
      <c r="D4548" s="194" t="s">
        <v>7705</v>
      </c>
      <c r="E4548" s="9" t="s">
        <v>7560</v>
      </c>
      <c r="F4548" s="109" t="str">
        <f t="shared" ref="F4548:G4548" si="4547">TRANSLATE(D4548,"lzh","vi")</f>
        <v>#NAME?</v>
      </c>
      <c r="G4548" s="109" t="str">
        <f t="shared" si="4547"/>
        <v>#NAME?</v>
      </c>
    </row>
    <row r="4549" ht="21.0" customHeight="1">
      <c r="A4549" s="6">
        <v>100.0</v>
      </c>
      <c r="B4549" s="6">
        <v>2000.0</v>
      </c>
      <c r="C4549" s="6">
        <v>1.0</v>
      </c>
      <c r="D4549" s="194" t="s">
        <v>7706</v>
      </c>
      <c r="E4549" s="9" t="s">
        <v>7560</v>
      </c>
      <c r="F4549" s="109" t="str">
        <f t="shared" ref="F4549:G4549" si="4548">TRANSLATE(D4549,"lzh","vi")</f>
        <v>#NAME?</v>
      </c>
      <c r="G4549" s="109" t="str">
        <f t="shared" si="4548"/>
        <v>#NAME?</v>
      </c>
    </row>
    <row r="4550" ht="21.0" customHeight="1">
      <c r="A4550" s="6">
        <v>100.0</v>
      </c>
      <c r="B4550" s="6">
        <v>2000.0</v>
      </c>
      <c r="C4550" s="6">
        <v>1.0</v>
      </c>
      <c r="D4550" s="194" t="s">
        <v>7707</v>
      </c>
      <c r="E4550" s="9" t="s">
        <v>7560</v>
      </c>
      <c r="F4550" s="109" t="str">
        <f t="shared" ref="F4550:G4550" si="4549">TRANSLATE(D4550,"lzh","vi")</f>
        <v>#NAME?</v>
      </c>
      <c r="G4550" s="109" t="str">
        <f t="shared" si="4549"/>
        <v>#NAME?</v>
      </c>
    </row>
    <row r="4551" ht="21.0" customHeight="1">
      <c r="A4551" s="6">
        <v>100.0</v>
      </c>
      <c r="B4551" s="6">
        <v>2000.0</v>
      </c>
      <c r="C4551" s="6">
        <v>1.0</v>
      </c>
      <c r="D4551" s="194" t="s">
        <v>7708</v>
      </c>
      <c r="E4551" s="9" t="s">
        <v>7560</v>
      </c>
      <c r="F4551" s="109" t="str">
        <f t="shared" ref="F4551:G4551" si="4550">TRANSLATE(D4551,"lzh","vi")</f>
        <v>#NAME?</v>
      </c>
      <c r="G4551" s="109" t="str">
        <f t="shared" si="4550"/>
        <v>#NAME?</v>
      </c>
    </row>
    <row r="4552" ht="21.0" customHeight="1">
      <c r="A4552" s="6">
        <v>100.0</v>
      </c>
      <c r="B4552" s="6">
        <v>2000.0</v>
      </c>
      <c r="C4552" s="6">
        <v>1.0</v>
      </c>
      <c r="D4552" s="194" t="s">
        <v>7709</v>
      </c>
      <c r="E4552" s="9" t="s">
        <v>7560</v>
      </c>
      <c r="F4552" s="109" t="str">
        <f t="shared" ref="F4552:G4552" si="4551">TRANSLATE(D4552,"lzh","vi")</f>
        <v>#NAME?</v>
      </c>
      <c r="G4552" s="109" t="str">
        <f t="shared" si="4551"/>
        <v>#NAME?</v>
      </c>
    </row>
    <row r="4553" ht="21.0" customHeight="1">
      <c r="A4553" s="6">
        <v>100.0</v>
      </c>
      <c r="B4553" s="6">
        <v>2000.0</v>
      </c>
      <c r="C4553" s="6">
        <v>1.0</v>
      </c>
      <c r="D4553" s="194" t="s">
        <v>7710</v>
      </c>
      <c r="E4553" s="9" t="s">
        <v>7560</v>
      </c>
      <c r="F4553" s="109" t="str">
        <f t="shared" ref="F4553:G4553" si="4552">TRANSLATE(D4553,"lzh","vi")</f>
        <v>#NAME?</v>
      </c>
      <c r="G4553" s="109" t="str">
        <f t="shared" si="4552"/>
        <v>#NAME?</v>
      </c>
    </row>
    <row r="4554" ht="21.0" customHeight="1">
      <c r="A4554" s="6">
        <v>100.0</v>
      </c>
      <c r="B4554" s="6">
        <v>2000.0</v>
      </c>
      <c r="C4554" s="6">
        <v>1.0</v>
      </c>
      <c r="D4554" s="194" t="s">
        <v>7711</v>
      </c>
      <c r="E4554" s="9" t="s">
        <v>7560</v>
      </c>
      <c r="F4554" s="109" t="str">
        <f t="shared" ref="F4554:G4554" si="4553">TRANSLATE(D4554,"lzh","vi")</f>
        <v>#NAME?</v>
      </c>
      <c r="G4554" s="109" t="str">
        <f t="shared" si="4553"/>
        <v>#NAME?</v>
      </c>
    </row>
    <row r="4555" ht="21.0" customHeight="1">
      <c r="A4555" s="6">
        <v>100.0</v>
      </c>
      <c r="B4555" s="6">
        <v>2000.0</v>
      </c>
      <c r="C4555" s="6">
        <v>1.0</v>
      </c>
      <c r="D4555" s="194" t="s">
        <v>7712</v>
      </c>
      <c r="E4555" s="9" t="s">
        <v>7560</v>
      </c>
      <c r="F4555" s="109" t="str">
        <f t="shared" ref="F4555:G4555" si="4554">TRANSLATE(D4555,"lzh","vi")</f>
        <v>#NAME?</v>
      </c>
      <c r="G4555" s="109" t="str">
        <f t="shared" si="4554"/>
        <v>#NAME?</v>
      </c>
    </row>
    <row r="4556" ht="21.0" customHeight="1">
      <c r="A4556" s="6">
        <v>100.0</v>
      </c>
      <c r="B4556" s="6">
        <v>2000.0</v>
      </c>
      <c r="C4556" s="6">
        <v>1.0</v>
      </c>
      <c r="D4556" s="194" t="s">
        <v>7713</v>
      </c>
      <c r="E4556" s="9" t="s">
        <v>7560</v>
      </c>
      <c r="F4556" s="109" t="str">
        <f t="shared" ref="F4556:G4556" si="4555">TRANSLATE(D4556,"lzh","vi")</f>
        <v>#NAME?</v>
      </c>
      <c r="G4556" s="109" t="str">
        <f t="shared" si="4555"/>
        <v>#NAME?</v>
      </c>
    </row>
    <row r="4557" ht="21.0" customHeight="1">
      <c r="A4557" s="6">
        <v>100.0</v>
      </c>
      <c r="B4557" s="6">
        <v>2000.0</v>
      </c>
      <c r="C4557" s="6">
        <v>1.0</v>
      </c>
      <c r="D4557" s="194" t="s">
        <v>7714</v>
      </c>
      <c r="E4557" s="9" t="s">
        <v>7560</v>
      </c>
      <c r="F4557" s="109" t="str">
        <f t="shared" ref="F4557:G4557" si="4556">TRANSLATE(D4557,"lzh","vi")</f>
        <v>#NAME?</v>
      </c>
      <c r="G4557" s="109" t="str">
        <f t="shared" si="4556"/>
        <v>#NAME?</v>
      </c>
    </row>
    <row r="4558" ht="21.0" customHeight="1">
      <c r="A4558" s="6">
        <v>100.0</v>
      </c>
      <c r="B4558" s="6">
        <v>2000.0</v>
      </c>
      <c r="C4558" s="6">
        <v>1.0</v>
      </c>
      <c r="D4558" s="194" t="s">
        <v>7715</v>
      </c>
      <c r="E4558" s="9" t="s">
        <v>7560</v>
      </c>
      <c r="F4558" s="109" t="str">
        <f t="shared" ref="F4558:G4558" si="4557">TRANSLATE(D4558,"lzh","vi")</f>
        <v>#NAME?</v>
      </c>
      <c r="G4558" s="109" t="str">
        <f t="shared" si="4557"/>
        <v>#NAME?</v>
      </c>
    </row>
    <row r="4559" ht="21.0" customHeight="1">
      <c r="A4559" s="6">
        <v>100.0</v>
      </c>
      <c r="B4559" s="6">
        <v>2000.0</v>
      </c>
      <c r="C4559" s="6">
        <v>1.0</v>
      </c>
      <c r="D4559" s="194" t="s">
        <v>7716</v>
      </c>
      <c r="E4559" s="9" t="s">
        <v>7560</v>
      </c>
      <c r="F4559" s="109" t="str">
        <f t="shared" ref="F4559:G4559" si="4558">TRANSLATE(D4559,"lzh","vi")</f>
        <v>#NAME?</v>
      </c>
      <c r="G4559" s="109" t="str">
        <f t="shared" si="4558"/>
        <v>#NAME?</v>
      </c>
    </row>
    <row r="4560" ht="21.0" customHeight="1">
      <c r="A4560" s="6">
        <v>100.0</v>
      </c>
      <c r="B4560" s="6">
        <v>2000.0</v>
      </c>
      <c r="C4560" s="6">
        <v>1.0</v>
      </c>
      <c r="D4560" s="194" t="s">
        <v>7717</v>
      </c>
      <c r="E4560" s="9" t="s">
        <v>7560</v>
      </c>
      <c r="F4560" s="109" t="str">
        <f t="shared" ref="F4560:G4560" si="4559">TRANSLATE(D4560,"lzh","vi")</f>
        <v>#NAME?</v>
      </c>
      <c r="G4560" s="109" t="str">
        <f t="shared" si="4559"/>
        <v>#NAME?</v>
      </c>
    </row>
    <row r="4561" ht="21.0" customHeight="1">
      <c r="A4561" s="6">
        <v>100.0</v>
      </c>
      <c r="B4561" s="6">
        <v>2000.0</v>
      </c>
      <c r="C4561" s="6">
        <v>1.0</v>
      </c>
      <c r="D4561" s="194" t="s">
        <v>7718</v>
      </c>
      <c r="E4561" s="9" t="s">
        <v>7560</v>
      </c>
      <c r="F4561" s="109" t="str">
        <f t="shared" ref="F4561:G4561" si="4560">TRANSLATE(D4561,"lzh","vi")</f>
        <v>#NAME?</v>
      </c>
      <c r="G4561" s="109" t="str">
        <f t="shared" si="4560"/>
        <v>#NAME?</v>
      </c>
    </row>
    <row r="4562" ht="21.0" customHeight="1">
      <c r="A4562" s="6">
        <v>100.0</v>
      </c>
      <c r="B4562" s="6">
        <v>2000.0</v>
      </c>
      <c r="C4562" s="6">
        <v>1.0</v>
      </c>
      <c r="D4562" s="194" t="s">
        <v>7719</v>
      </c>
      <c r="E4562" s="9" t="s">
        <v>7560</v>
      </c>
      <c r="F4562" s="109" t="str">
        <f t="shared" ref="F4562:G4562" si="4561">TRANSLATE(D4562,"lzh","vi")</f>
        <v>#NAME?</v>
      </c>
      <c r="G4562" s="109" t="str">
        <f t="shared" si="4561"/>
        <v>#NAME?</v>
      </c>
    </row>
    <row r="4563" ht="21.0" customHeight="1">
      <c r="A4563" s="6">
        <v>100.0</v>
      </c>
      <c r="B4563" s="6">
        <v>2000.0</v>
      </c>
      <c r="C4563" s="6">
        <v>1.0</v>
      </c>
      <c r="D4563" s="194" t="s">
        <v>7720</v>
      </c>
      <c r="E4563" s="9" t="s">
        <v>7560</v>
      </c>
      <c r="F4563" s="109" t="str">
        <f t="shared" ref="F4563:G4563" si="4562">TRANSLATE(D4563,"lzh","vi")</f>
        <v>#NAME?</v>
      </c>
      <c r="G4563" s="109" t="str">
        <f t="shared" si="4562"/>
        <v>#NAME?</v>
      </c>
    </row>
    <row r="4564" ht="21.0" customHeight="1">
      <c r="A4564" s="6">
        <v>100.0</v>
      </c>
      <c r="B4564" s="6">
        <v>2000.0</v>
      </c>
      <c r="C4564" s="6">
        <v>1.0</v>
      </c>
      <c r="D4564" s="194" t="s">
        <v>7721</v>
      </c>
      <c r="E4564" s="9" t="s">
        <v>7560</v>
      </c>
      <c r="F4564" s="109" t="str">
        <f t="shared" ref="F4564:G4564" si="4563">TRANSLATE(D4564,"lzh","vi")</f>
        <v>#NAME?</v>
      </c>
      <c r="G4564" s="109" t="str">
        <f t="shared" si="4563"/>
        <v>#NAME?</v>
      </c>
    </row>
    <row r="4565" ht="21.0" customHeight="1">
      <c r="A4565" s="6">
        <v>100.0</v>
      </c>
      <c r="B4565" s="6">
        <v>2000.0</v>
      </c>
      <c r="C4565" s="6">
        <v>1.0</v>
      </c>
      <c r="D4565" s="194" t="s">
        <v>7722</v>
      </c>
      <c r="E4565" s="9" t="s">
        <v>7560</v>
      </c>
      <c r="F4565" s="109" t="str">
        <f t="shared" ref="F4565:G4565" si="4564">TRANSLATE(D4565,"lzh","vi")</f>
        <v>#NAME?</v>
      </c>
      <c r="G4565" s="109" t="str">
        <f t="shared" si="4564"/>
        <v>#NAME?</v>
      </c>
    </row>
    <row r="4566" ht="21.0" customHeight="1">
      <c r="A4566" s="6">
        <v>100.0</v>
      </c>
      <c r="B4566" s="6">
        <v>2000.0</v>
      </c>
      <c r="C4566" s="6">
        <v>1.0</v>
      </c>
      <c r="D4566" s="194" t="s">
        <v>7723</v>
      </c>
      <c r="E4566" s="9" t="s">
        <v>7560</v>
      </c>
      <c r="F4566" s="109" t="str">
        <f t="shared" ref="F4566:G4566" si="4565">TRANSLATE(D4566,"lzh","vi")</f>
        <v>#NAME?</v>
      </c>
      <c r="G4566" s="109" t="str">
        <f t="shared" si="4565"/>
        <v>#NAME?</v>
      </c>
    </row>
    <row r="4567" ht="21.0" customHeight="1">
      <c r="A4567" s="6">
        <v>100.0</v>
      </c>
      <c r="B4567" s="6">
        <v>2000.0</v>
      </c>
      <c r="C4567" s="6">
        <v>1.0</v>
      </c>
      <c r="D4567" s="194" t="s">
        <v>7724</v>
      </c>
      <c r="E4567" s="9" t="s">
        <v>7560</v>
      </c>
      <c r="F4567" s="109" t="str">
        <f t="shared" ref="F4567:G4567" si="4566">TRANSLATE(D4567,"lzh","vi")</f>
        <v>#NAME?</v>
      </c>
      <c r="G4567" s="109" t="str">
        <f t="shared" si="4566"/>
        <v>#NAME?</v>
      </c>
    </row>
    <row r="4568" ht="21.0" customHeight="1">
      <c r="A4568" s="6">
        <v>100.0</v>
      </c>
      <c r="B4568" s="6">
        <v>2000.0</v>
      </c>
      <c r="C4568" s="6">
        <v>1.0</v>
      </c>
      <c r="D4568" s="194" t="s">
        <v>7725</v>
      </c>
      <c r="E4568" s="9" t="s">
        <v>7560</v>
      </c>
      <c r="F4568" s="109" t="str">
        <f t="shared" ref="F4568:G4568" si="4567">TRANSLATE(D4568,"lzh","vi")</f>
        <v>#NAME?</v>
      </c>
      <c r="G4568" s="109" t="str">
        <f t="shared" si="4567"/>
        <v>#NAME?</v>
      </c>
    </row>
    <row r="4569" ht="21.0" customHeight="1">
      <c r="A4569" s="6">
        <v>100.0</v>
      </c>
      <c r="B4569" s="6">
        <v>2000.0</v>
      </c>
      <c r="C4569" s="6">
        <v>1.0</v>
      </c>
      <c r="D4569" s="194" t="s">
        <v>7726</v>
      </c>
      <c r="E4569" s="9" t="s">
        <v>7560</v>
      </c>
      <c r="F4569" s="109" t="str">
        <f t="shared" ref="F4569:G4569" si="4568">TRANSLATE(D4569,"lzh","vi")</f>
        <v>#NAME?</v>
      </c>
      <c r="G4569" s="109" t="str">
        <f t="shared" si="4568"/>
        <v>#NAME?</v>
      </c>
    </row>
    <row r="4570" ht="21.0" customHeight="1">
      <c r="A4570" s="6">
        <v>100.0</v>
      </c>
      <c r="B4570" s="6">
        <v>2000.0</v>
      </c>
      <c r="C4570" s="6">
        <v>1.0</v>
      </c>
      <c r="D4570" s="194" t="s">
        <v>7727</v>
      </c>
      <c r="E4570" s="9" t="s">
        <v>7560</v>
      </c>
      <c r="F4570" s="109" t="str">
        <f t="shared" ref="F4570:G4570" si="4569">TRANSLATE(D4570,"lzh","vi")</f>
        <v>#NAME?</v>
      </c>
      <c r="G4570" s="109" t="str">
        <f t="shared" si="4569"/>
        <v>#NAME?</v>
      </c>
    </row>
    <row r="4571" ht="21.0" customHeight="1">
      <c r="A4571" s="6">
        <v>100.0</v>
      </c>
      <c r="B4571" s="6">
        <v>2000.0</v>
      </c>
      <c r="C4571" s="6">
        <v>1.0</v>
      </c>
      <c r="D4571" s="194" t="s">
        <v>7728</v>
      </c>
      <c r="E4571" s="9" t="s">
        <v>7560</v>
      </c>
      <c r="F4571" s="109" t="str">
        <f t="shared" ref="F4571:G4571" si="4570">TRANSLATE(D4571,"lzh","vi")</f>
        <v>#NAME?</v>
      </c>
      <c r="G4571" s="109" t="str">
        <f t="shared" si="4570"/>
        <v>#NAME?</v>
      </c>
    </row>
    <row r="4572" ht="21.0" customHeight="1">
      <c r="A4572" s="6">
        <v>100.0</v>
      </c>
      <c r="B4572" s="6">
        <v>2000.0</v>
      </c>
      <c r="C4572" s="6">
        <v>1.0</v>
      </c>
      <c r="D4572" s="194" t="s">
        <v>7729</v>
      </c>
      <c r="E4572" s="9" t="s">
        <v>7560</v>
      </c>
      <c r="F4572" s="109" t="str">
        <f t="shared" ref="F4572:G4572" si="4571">TRANSLATE(D4572,"lzh","vi")</f>
        <v>#NAME?</v>
      </c>
      <c r="G4572" s="109" t="str">
        <f t="shared" si="4571"/>
        <v>#NAME?</v>
      </c>
    </row>
    <row r="4573" ht="21.0" customHeight="1">
      <c r="A4573" s="6">
        <v>100.0</v>
      </c>
      <c r="B4573" s="6">
        <v>2000.0</v>
      </c>
      <c r="C4573" s="6">
        <v>1.0</v>
      </c>
      <c r="D4573" s="194" t="s">
        <v>7730</v>
      </c>
      <c r="E4573" s="9" t="s">
        <v>7560</v>
      </c>
      <c r="F4573" s="109" t="str">
        <f t="shared" ref="F4573:G4573" si="4572">TRANSLATE(D4573,"lzh","vi")</f>
        <v>#NAME?</v>
      </c>
      <c r="G4573" s="109" t="str">
        <f t="shared" si="4572"/>
        <v>#NAME?</v>
      </c>
    </row>
    <row r="4574" ht="21.0" customHeight="1">
      <c r="A4574" s="6">
        <v>100.0</v>
      </c>
      <c r="B4574" s="6">
        <v>2000.0</v>
      </c>
      <c r="C4574" s="6">
        <v>1.0</v>
      </c>
      <c r="D4574" s="194" t="s">
        <v>7731</v>
      </c>
      <c r="E4574" s="9" t="s">
        <v>7560</v>
      </c>
      <c r="F4574" s="109" t="str">
        <f t="shared" ref="F4574:G4574" si="4573">TRANSLATE(D4574,"lzh","vi")</f>
        <v>#NAME?</v>
      </c>
      <c r="G4574" s="109" t="str">
        <f t="shared" si="4573"/>
        <v>#NAME?</v>
      </c>
    </row>
    <row r="4575" ht="21.0" customHeight="1">
      <c r="A4575" s="6">
        <v>100.0</v>
      </c>
      <c r="B4575" s="6">
        <v>2000.0</v>
      </c>
      <c r="C4575" s="6">
        <v>1.0</v>
      </c>
      <c r="D4575" s="122" t="s">
        <v>7732</v>
      </c>
      <c r="E4575" s="9" t="s">
        <v>7560</v>
      </c>
      <c r="F4575" s="109" t="str">
        <f t="shared" ref="F4575:G4575" si="4574">TRANSLATE(D4575,"lzh","vi")</f>
        <v>#NAME?</v>
      </c>
      <c r="G4575" s="109" t="str">
        <f t="shared" si="4574"/>
        <v>#NAME?</v>
      </c>
    </row>
    <row r="4576" ht="21.0" customHeight="1">
      <c r="A4576" s="6">
        <v>100.0</v>
      </c>
      <c r="B4576" s="6">
        <v>2000.0</v>
      </c>
      <c r="C4576" s="6">
        <v>1.0</v>
      </c>
      <c r="D4576" s="122" t="s">
        <v>7733</v>
      </c>
      <c r="E4576" s="9" t="s">
        <v>7560</v>
      </c>
      <c r="F4576" s="109" t="str">
        <f t="shared" ref="F4576:G4576" si="4575">TRANSLATE(D4576,"lzh","vi")</f>
        <v>#NAME?</v>
      </c>
      <c r="G4576" s="109" t="str">
        <f t="shared" si="4575"/>
        <v>#NAME?</v>
      </c>
    </row>
    <row r="4577" ht="21.0" customHeight="1">
      <c r="A4577" s="6">
        <v>100.0</v>
      </c>
      <c r="B4577" s="6">
        <v>2000.0</v>
      </c>
      <c r="C4577" s="6">
        <v>1.0</v>
      </c>
      <c r="D4577" s="194" t="s">
        <v>7734</v>
      </c>
      <c r="E4577" s="9" t="s">
        <v>7560</v>
      </c>
      <c r="F4577" s="109" t="str">
        <f t="shared" ref="F4577:G4577" si="4576">TRANSLATE(D4577,"lzh","vi")</f>
        <v>#NAME?</v>
      </c>
      <c r="G4577" s="109" t="str">
        <f t="shared" si="4576"/>
        <v>#NAME?</v>
      </c>
    </row>
    <row r="4578" ht="21.0" customHeight="1">
      <c r="A4578" s="6">
        <v>100.0</v>
      </c>
      <c r="B4578" s="6">
        <v>2000.0</v>
      </c>
      <c r="C4578" s="6">
        <v>1.0</v>
      </c>
      <c r="D4578" s="194" t="s">
        <v>7735</v>
      </c>
      <c r="E4578" s="9" t="s">
        <v>7560</v>
      </c>
      <c r="F4578" s="109" t="str">
        <f t="shared" ref="F4578:G4578" si="4577">TRANSLATE(D4578,"lzh","vi")</f>
        <v>#NAME?</v>
      </c>
      <c r="G4578" s="109" t="str">
        <f t="shared" si="4577"/>
        <v>#NAME?</v>
      </c>
    </row>
    <row r="4579" ht="21.0" customHeight="1">
      <c r="A4579" s="6">
        <v>100.0</v>
      </c>
      <c r="B4579" s="6">
        <v>2000.0</v>
      </c>
      <c r="C4579" s="6">
        <v>1.0</v>
      </c>
      <c r="D4579" s="194" t="s">
        <v>7736</v>
      </c>
      <c r="E4579" s="9" t="s">
        <v>7560</v>
      </c>
      <c r="F4579" s="109" t="str">
        <f t="shared" ref="F4579:G4579" si="4578">TRANSLATE(D4579,"lzh","vi")</f>
        <v>#NAME?</v>
      </c>
      <c r="G4579" s="109" t="str">
        <f t="shared" si="4578"/>
        <v>#NAME?</v>
      </c>
    </row>
    <row r="4580" ht="21.0" customHeight="1">
      <c r="A4580" s="6">
        <v>100.0</v>
      </c>
      <c r="B4580" s="6">
        <v>2000.0</v>
      </c>
      <c r="C4580" s="6">
        <v>1.0</v>
      </c>
      <c r="D4580" s="194" t="s">
        <v>7737</v>
      </c>
      <c r="E4580" s="9" t="s">
        <v>7560</v>
      </c>
      <c r="F4580" s="109" t="str">
        <f t="shared" ref="F4580:G4580" si="4579">TRANSLATE(D4580,"lzh","vi")</f>
        <v>#NAME?</v>
      </c>
      <c r="G4580" s="109" t="str">
        <f t="shared" si="4579"/>
        <v>#NAME?</v>
      </c>
    </row>
    <row r="4581" ht="21.0" customHeight="1">
      <c r="A4581" s="6">
        <v>100.0</v>
      </c>
      <c r="B4581" s="6">
        <v>2000.0</v>
      </c>
      <c r="C4581" s="6">
        <v>1.0</v>
      </c>
      <c r="D4581" s="194" t="s">
        <v>7738</v>
      </c>
      <c r="E4581" s="9" t="s">
        <v>7560</v>
      </c>
      <c r="F4581" s="109" t="str">
        <f t="shared" ref="F4581:G4581" si="4580">TRANSLATE(D4581,"lzh","vi")</f>
        <v>#NAME?</v>
      </c>
      <c r="G4581" s="109" t="str">
        <f t="shared" si="4580"/>
        <v>#NAME?</v>
      </c>
    </row>
    <row r="4582" ht="21.0" customHeight="1">
      <c r="A4582" s="6">
        <v>100.0</v>
      </c>
      <c r="B4582" s="6">
        <v>2000.0</v>
      </c>
      <c r="C4582" s="6">
        <v>1.0</v>
      </c>
      <c r="D4582" s="194" t="s">
        <v>7739</v>
      </c>
      <c r="E4582" s="9" t="s">
        <v>7560</v>
      </c>
      <c r="F4582" s="109" t="str">
        <f t="shared" ref="F4582:G4582" si="4581">TRANSLATE(D4582,"lzh","vi")</f>
        <v>#NAME?</v>
      </c>
      <c r="G4582" s="109" t="str">
        <f t="shared" si="4581"/>
        <v>#NAME?</v>
      </c>
    </row>
    <row r="4583" ht="21.0" customHeight="1">
      <c r="A4583" s="6">
        <v>100.0</v>
      </c>
      <c r="B4583" s="6">
        <v>2000.0</v>
      </c>
      <c r="C4583" s="6">
        <v>1.0</v>
      </c>
      <c r="D4583" s="194" t="s">
        <v>7740</v>
      </c>
      <c r="E4583" s="9" t="s">
        <v>7560</v>
      </c>
      <c r="F4583" s="109" t="str">
        <f t="shared" ref="F4583:G4583" si="4582">TRANSLATE(D4583,"lzh","vi")</f>
        <v>#NAME?</v>
      </c>
      <c r="G4583" s="109" t="str">
        <f t="shared" si="4582"/>
        <v>#NAME?</v>
      </c>
    </row>
    <row r="4584" ht="21.0" customHeight="1">
      <c r="A4584" s="6">
        <v>100.0</v>
      </c>
      <c r="B4584" s="6">
        <v>2000.0</v>
      </c>
      <c r="C4584" s="6">
        <v>1.0</v>
      </c>
      <c r="D4584" s="195" t="s">
        <v>7741</v>
      </c>
      <c r="E4584" s="9" t="s">
        <v>7560</v>
      </c>
      <c r="F4584" s="109" t="str">
        <f t="shared" ref="F4584:G4584" si="4583">TRANSLATE(D4584,"lzh","vi")</f>
        <v>#NAME?</v>
      </c>
      <c r="G4584" s="109" t="str">
        <f t="shared" si="4583"/>
        <v>#NAME?</v>
      </c>
    </row>
    <row r="4585" ht="21.0" customHeight="1">
      <c r="A4585" s="6">
        <v>100.0</v>
      </c>
      <c r="B4585" s="6">
        <v>2000.0</v>
      </c>
      <c r="C4585" s="6">
        <v>1.0</v>
      </c>
      <c r="D4585" s="195" t="s">
        <v>7742</v>
      </c>
      <c r="E4585" s="9" t="s">
        <v>7560</v>
      </c>
      <c r="F4585" s="109" t="str">
        <f t="shared" ref="F4585:G4585" si="4584">TRANSLATE(D4585,"lzh","vi")</f>
        <v>#NAME?</v>
      </c>
      <c r="G4585" s="109" t="str">
        <f t="shared" si="4584"/>
        <v>#NAME?</v>
      </c>
    </row>
    <row r="4586" ht="21.0" customHeight="1">
      <c r="A4586" s="6">
        <v>100.0</v>
      </c>
      <c r="B4586" s="6">
        <v>2000.0</v>
      </c>
      <c r="C4586" s="6">
        <v>1.0</v>
      </c>
      <c r="D4586" s="195" t="s">
        <v>7743</v>
      </c>
      <c r="E4586" s="9" t="s">
        <v>7560</v>
      </c>
      <c r="F4586" s="109" t="str">
        <f t="shared" ref="F4586:G4586" si="4585">TRANSLATE(D4586,"lzh","vi")</f>
        <v>#NAME?</v>
      </c>
      <c r="G4586" s="109" t="str">
        <f t="shared" si="4585"/>
        <v>#NAME?</v>
      </c>
    </row>
    <row r="4587" ht="21.0" customHeight="1">
      <c r="A4587" s="6">
        <v>100.0</v>
      </c>
      <c r="B4587" s="6">
        <v>2000.0</v>
      </c>
      <c r="C4587" s="6">
        <v>1.0</v>
      </c>
      <c r="D4587" s="195" t="s">
        <v>7744</v>
      </c>
      <c r="E4587" s="9" t="s">
        <v>7560</v>
      </c>
      <c r="F4587" s="109" t="str">
        <f t="shared" ref="F4587:G4587" si="4586">TRANSLATE(D4587,"lzh","vi")</f>
        <v>#NAME?</v>
      </c>
      <c r="G4587" s="109" t="str">
        <f t="shared" si="4586"/>
        <v>#NAME?</v>
      </c>
    </row>
    <row r="4588" ht="21.0" customHeight="1">
      <c r="A4588" s="6">
        <v>100.0</v>
      </c>
      <c r="B4588" s="6">
        <v>2000.0</v>
      </c>
      <c r="C4588" s="6">
        <v>1.0</v>
      </c>
      <c r="D4588" s="195" t="s">
        <v>7745</v>
      </c>
      <c r="E4588" s="9" t="s">
        <v>7560</v>
      </c>
      <c r="F4588" s="109" t="str">
        <f t="shared" ref="F4588:G4588" si="4587">TRANSLATE(D4588,"lzh","vi")</f>
        <v>#NAME?</v>
      </c>
      <c r="G4588" s="109" t="str">
        <f t="shared" si="4587"/>
        <v>#NAME?</v>
      </c>
    </row>
    <row r="4589" ht="21.0" customHeight="1">
      <c r="A4589" s="6">
        <v>100.0</v>
      </c>
      <c r="B4589" s="6">
        <v>2000.0</v>
      </c>
      <c r="C4589" s="6">
        <v>1.0</v>
      </c>
      <c r="D4589" s="195" t="s">
        <v>7746</v>
      </c>
      <c r="E4589" s="9" t="s">
        <v>7560</v>
      </c>
      <c r="F4589" s="109" t="str">
        <f t="shared" ref="F4589:G4589" si="4588">TRANSLATE(D4589,"lzh","vi")</f>
        <v>#NAME?</v>
      </c>
      <c r="G4589" s="109" t="str">
        <f t="shared" si="4588"/>
        <v>#NAME?</v>
      </c>
    </row>
    <row r="4590" ht="21.0" customHeight="1">
      <c r="A4590" s="6">
        <v>100.0</v>
      </c>
      <c r="B4590" s="6">
        <v>2000.0</v>
      </c>
      <c r="C4590" s="6">
        <v>1.0</v>
      </c>
      <c r="D4590" s="195" t="s">
        <v>7747</v>
      </c>
      <c r="E4590" s="9" t="s">
        <v>7560</v>
      </c>
      <c r="F4590" s="109" t="str">
        <f t="shared" ref="F4590:G4590" si="4589">TRANSLATE(D4590,"lzh","vi")</f>
        <v>#NAME?</v>
      </c>
      <c r="G4590" s="109" t="str">
        <f t="shared" si="4589"/>
        <v>#NAME?</v>
      </c>
    </row>
    <row r="4591" ht="21.0" customHeight="1">
      <c r="A4591" s="6">
        <v>100.0</v>
      </c>
      <c r="B4591" s="6">
        <v>2000.0</v>
      </c>
      <c r="C4591" s="6">
        <v>1.0</v>
      </c>
      <c r="D4591" s="195" t="s">
        <v>7748</v>
      </c>
      <c r="E4591" s="9" t="s">
        <v>7560</v>
      </c>
      <c r="F4591" s="109" t="str">
        <f t="shared" ref="F4591:G4591" si="4590">TRANSLATE(D4591,"lzh","vi")</f>
        <v>#NAME?</v>
      </c>
      <c r="G4591" s="109" t="str">
        <f t="shared" si="4590"/>
        <v>#NAME?</v>
      </c>
    </row>
    <row r="4592" ht="21.0" customHeight="1">
      <c r="A4592" s="6">
        <v>100.0</v>
      </c>
      <c r="B4592" s="6">
        <v>2000.0</v>
      </c>
      <c r="C4592" s="6">
        <v>1.0</v>
      </c>
      <c r="D4592" s="195" t="s">
        <v>7749</v>
      </c>
      <c r="E4592" s="9" t="s">
        <v>7560</v>
      </c>
      <c r="F4592" s="109" t="str">
        <f t="shared" ref="F4592:G4592" si="4591">TRANSLATE(D4592,"lzh","vi")</f>
        <v>#NAME?</v>
      </c>
      <c r="G4592" s="109" t="str">
        <f t="shared" si="4591"/>
        <v>#NAME?</v>
      </c>
    </row>
    <row r="4593" ht="21.0" customHeight="1">
      <c r="A4593" s="6">
        <v>100.0</v>
      </c>
      <c r="B4593" s="6">
        <v>2000.0</v>
      </c>
      <c r="C4593" s="6">
        <v>1.0</v>
      </c>
      <c r="D4593" s="195" t="s">
        <v>7750</v>
      </c>
      <c r="E4593" s="9" t="s">
        <v>7560</v>
      </c>
      <c r="F4593" s="109" t="str">
        <f t="shared" ref="F4593:G4593" si="4592">TRANSLATE(D4593,"lzh","vi")</f>
        <v>#NAME?</v>
      </c>
      <c r="G4593" s="109" t="str">
        <f t="shared" si="4592"/>
        <v>#NAME?</v>
      </c>
    </row>
    <row r="4594" ht="21.0" customHeight="1">
      <c r="A4594" s="6">
        <v>100.0</v>
      </c>
      <c r="B4594" s="6">
        <v>2000.0</v>
      </c>
      <c r="C4594" s="6">
        <v>1.0</v>
      </c>
      <c r="D4594" s="61" t="s">
        <v>7751</v>
      </c>
      <c r="E4594" s="9" t="s">
        <v>7560</v>
      </c>
      <c r="F4594" s="109" t="str">
        <f t="shared" ref="F4594:G4594" si="4593">TRANSLATE(D4594,"lzh","vi")</f>
        <v>#NAME?</v>
      </c>
      <c r="G4594" s="109" t="str">
        <f t="shared" si="4593"/>
        <v>#NAME?</v>
      </c>
    </row>
    <row r="4595" ht="21.0" customHeight="1">
      <c r="A4595" s="6">
        <v>100.0</v>
      </c>
      <c r="B4595" s="6">
        <v>2000.0</v>
      </c>
      <c r="C4595" s="6">
        <v>1.0</v>
      </c>
      <c r="D4595" s="61" t="s">
        <v>7752</v>
      </c>
      <c r="E4595" s="9" t="s">
        <v>7560</v>
      </c>
      <c r="F4595" s="109" t="str">
        <f t="shared" ref="F4595:G4595" si="4594">TRANSLATE(D4595,"lzh","vi")</f>
        <v>#NAME?</v>
      </c>
      <c r="G4595" s="109" t="str">
        <f t="shared" si="4594"/>
        <v>#NAME?</v>
      </c>
    </row>
    <row r="4596" ht="21.0" customHeight="1">
      <c r="A4596" s="6">
        <v>100.0</v>
      </c>
      <c r="B4596" s="6">
        <v>2000.0</v>
      </c>
      <c r="C4596" s="6">
        <v>1.0</v>
      </c>
      <c r="D4596" s="195" t="s">
        <v>7753</v>
      </c>
      <c r="E4596" s="9" t="s">
        <v>7560</v>
      </c>
      <c r="F4596" s="109" t="str">
        <f t="shared" ref="F4596:G4596" si="4595">TRANSLATE(D4596,"lzh","vi")</f>
        <v>#NAME?</v>
      </c>
      <c r="G4596" s="109" t="str">
        <f t="shared" si="4595"/>
        <v>#NAME?</v>
      </c>
    </row>
    <row r="4597" ht="21.0" customHeight="1">
      <c r="A4597" s="6">
        <v>100.0</v>
      </c>
      <c r="B4597" s="6">
        <v>2000.0</v>
      </c>
      <c r="C4597" s="6">
        <v>1.0</v>
      </c>
      <c r="D4597" s="195" t="s">
        <v>7754</v>
      </c>
      <c r="E4597" s="9" t="s">
        <v>7560</v>
      </c>
      <c r="F4597" s="109" t="str">
        <f t="shared" ref="F4597:G4597" si="4596">TRANSLATE(D4597,"lzh","vi")</f>
        <v>#NAME?</v>
      </c>
      <c r="G4597" s="109" t="str">
        <f t="shared" si="4596"/>
        <v>#NAME?</v>
      </c>
    </row>
    <row r="4598" ht="21.0" customHeight="1">
      <c r="A4598" s="6">
        <v>100.0</v>
      </c>
      <c r="B4598" s="6">
        <v>2000.0</v>
      </c>
      <c r="C4598" s="6">
        <v>1.0</v>
      </c>
      <c r="D4598" s="195" t="s">
        <v>7755</v>
      </c>
      <c r="E4598" s="9" t="s">
        <v>7560</v>
      </c>
      <c r="F4598" s="109" t="str">
        <f t="shared" ref="F4598:G4598" si="4597">TRANSLATE(D4598,"lzh","vi")</f>
        <v>#NAME?</v>
      </c>
      <c r="G4598" s="109" t="str">
        <f t="shared" si="4597"/>
        <v>#NAME?</v>
      </c>
    </row>
    <row r="4599" ht="21.0" customHeight="1">
      <c r="A4599" s="6">
        <v>100.0</v>
      </c>
      <c r="B4599" s="6">
        <v>2000.0</v>
      </c>
      <c r="C4599" s="6">
        <v>1.0</v>
      </c>
      <c r="D4599" s="195" t="s">
        <v>7756</v>
      </c>
      <c r="E4599" s="9" t="s">
        <v>7560</v>
      </c>
      <c r="F4599" s="109" t="str">
        <f t="shared" ref="F4599:G4599" si="4598">TRANSLATE(D4599,"lzh","vi")</f>
        <v>#NAME?</v>
      </c>
      <c r="G4599" s="109" t="str">
        <f t="shared" si="4598"/>
        <v>#NAME?</v>
      </c>
    </row>
    <row r="4600" ht="21.0" customHeight="1">
      <c r="A4600" s="6">
        <v>100.0</v>
      </c>
      <c r="B4600" s="6">
        <v>2000.0</v>
      </c>
      <c r="C4600" s="6">
        <v>1.0</v>
      </c>
      <c r="D4600" s="195" t="s">
        <v>7757</v>
      </c>
      <c r="E4600" s="9" t="s">
        <v>7560</v>
      </c>
      <c r="F4600" s="109" t="str">
        <f t="shared" ref="F4600:G4600" si="4599">TRANSLATE(D4600,"lzh","vi")</f>
        <v>#NAME?</v>
      </c>
      <c r="G4600" s="109" t="str">
        <f t="shared" si="4599"/>
        <v>#NAME?</v>
      </c>
    </row>
    <row r="4601" ht="21.0" customHeight="1">
      <c r="A4601" s="6">
        <v>100.0</v>
      </c>
      <c r="B4601" s="6">
        <v>2000.0</v>
      </c>
      <c r="C4601" s="6">
        <v>1.0</v>
      </c>
      <c r="D4601" s="195" t="s">
        <v>7758</v>
      </c>
      <c r="E4601" s="9" t="s">
        <v>7560</v>
      </c>
      <c r="F4601" s="109" t="str">
        <f t="shared" ref="F4601:G4601" si="4600">TRANSLATE(D4601,"lzh","vi")</f>
        <v>#NAME?</v>
      </c>
      <c r="G4601" s="109" t="str">
        <f t="shared" si="4600"/>
        <v>#NAME?</v>
      </c>
    </row>
    <row r="4602" ht="21.0" customHeight="1">
      <c r="A4602" s="6">
        <v>100.0</v>
      </c>
      <c r="B4602" s="6">
        <v>2000.0</v>
      </c>
      <c r="C4602" s="6">
        <v>1.0</v>
      </c>
      <c r="D4602" s="195" t="s">
        <v>7759</v>
      </c>
      <c r="E4602" s="9" t="s">
        <v>7560</v>
      </c>
      <c r="F4602" s="109" t="str">
        <f t="shared" ref="F4602:G4602" si="4601">TRANSLATE(D4602,"lzh","vi")</f>
        <v>#NAME?</v>
      </c>
      <c r="G4602" s="109" t="str">
        <f t="shared" si="4601"/>
        <v>#NAME?</v>
      </c>
    </row>
    <row r="4603" ht="21.0" customHeight="1">
      <c r="A4603" s="6">
        <v>100.0</v>
      </c>
      <c r="B4603" s="6">
        <v>2000.0</v>
      </c>
      <c r="C4603" s="6">
        <v>1.0</v>
      </c>
      <c r="D4603" s="195" t="s">
        <v>7760</v>
      </c>
      <c r="E4603" s="9" t="s">
        <v>7560</v>
      </c>
      <c r="F4603" s="109" t="str">
        <f t="shared" ref="F4603:G4603" si="4602">TRANSLATE(D4603,"lzh","vi")</f>
        <v>#NAME?</v>
      </c>
      <c r="G4603" s="109" t="str">
        <f t="shared" si="4602"/>
        <v>#NAME?</v>
      </c>
    </row>
    <row r="4604" ht="21.0" customHeight="1">
      <c r="A4604" s="6">
        <v>100.0</v>
      </c>
      <c r="B4604" s="6">
        <v>2000.0</v>
      </c>
      <c r="C4604" s="6">
        <v>1.0</v>
      </c>
      <c r="D4604" s="61" t="s">
        <v>7761</v>
      </c>
      <c r="E4604" s="9" t="s">
        <v>7560</v>
      </c>
      <c r="F4604" s="109" t="str">
        <f t="shared" ref="F4604:G4604" si="4603">TRANSLATE(D4604,"lzh","vi")</f>
        <v>#NAME?</v>
      </c>
      <c r="G4604" s="109" t="str">
        <f t="shared" si="4603"/>
        <v>#NAME?</v>
      </c>
    </row>
    <row r="4605" ht="21.0" customHeight="1">
      <c r="A4605" s="6">
        <v>100.0</v>
      </c>
      <c r="B4605" s="6">
        <v>2000.0</v>
      </c>
      <c r="C4605" s="6">
        <v>1.0</v>
      </c>
      <c r="D4605" s="195" t="s">
        <v>7762</v>
      </c>
      <c r="E4605" s="9" t="s">
        <v>7560</v>
      </c>
      <c r="F4605" s="109" t="str">
        <f t="shared" ref="F4605:G4605" si="4604">TRANSLATE(D4605,"lzh","vi")</f>
        <v>#NAME?</v>
      </c>
      <c r="G4605" s="109" t="str">
        <f t="shared" si="4604"/>
        <v>#NAME?</v>
      </c>
    </row>
    <row r="4606" ht="21.0" customHeight="1">
      <c r="A4606" s="6">
        <v>100.0</v>
      </c>
      <c r="B4606" s="6">
        <v>2000.0</v>
      </c>
      <c r="C4606" s="6">
        <v>1.0</v>
      </c>
      <c r="D4606" s="195" t="s">
        <v>7763</v>
      </c>
      <c r="E4606" s="9" t="s">
        <v>7560</v>
      </c>
      <c r="F4606" s="109" t="str">
        <f t="shared" ref="F4606:G4606" si="4605">TRANSLATE(D4606,"lzh","vi")</f>
        <v>#NAME?</v>
      </c>
      <c r="G4606" s="109" t="str">
        <f t="shared" si="4605"/>
        <v>#NAME?</v>
      </c>
    </row>
    <row r="4607" ht="21.0" customHeight="1">
      <c r="A4607" s="6">
        <v>100.0</v>
      </c>
      <c r="B4607" s="6">
        <v>2000.0</v>
      </c>
      <c r="C4607" s="6">
        <v>1.0</v>
      </c>
      <c r="D4607" s="195" t="s">
        <v>7764</v>
      </c>
      <c r="E4607" s="9" t="s">
        <v>7560</v>
      </c>
      <c r="F4607" s="109" t="str">
        <f t="shared" ref="F4607:G4607" si="4606">TRANSLATE(D4607,"lzh","vi")</f>
        <v>#NAME?</v>
      </c>
      <c r="G4607" s="109" t="str">
        <f t="shared" si="4606"/>
        <v>#NAME?</v>
      </c>
    </row>
    <row r="4608" ht="21.0" customHeight="1">
      <c r="A4608" s="6">
        <v>100.0</v>
      </c>
      <c r="B4608" s="6">
        <v>2000.0</v>
      </c>
      <c r="C4608" s="6">
        <v>1.0</v>
      </c>
      <c r="D4608" s="195" t="s">
        <v>7765</v>
      </c>
      <c r="E4608" s="9" t="s">
        <v>7560</v>
      </c>
      <c r="F4608" s="109" t="str">
        <f t="shared" ref="F4608:G4608" si="4607">TRANSLATE(D4608,"lzh","vi")</f>
        <v>#NAME?</v>
      </c>
      <c r="G4608" s="109" t="str">
        <f t="shared" si="4607"/>
        <v>#NAME?</v>
      </c>
    </row>
    <row r="4609" ht="21.0" customHeight="1">
      <c r="A4609" s="6">
        <v>100.0</v>
      </c>
      <c r="B4609" s="6">
        <v>2000.0</v>
      </c>
      <c r="C4609" s="6">
        <v>1.0</v>
      </c>
      <c r="D4609" s="195" t="s">
        <v>7766</v>
      </c>
      <c r="E4609" s="9" t="s">
        <v>7560</v>
      </c>
      <c r="F4609" s="109" t="str">
        <f t="shared" ref="F4609:G4609" si="4608">TRANSLATE(D4609,"lzh","vi")</f>
        <v>#NAME?</v>
      </c>
      <c r="G4609" s="109" t="str">
        <f t="shared" si="4608"/>
        <v>#NAME?</v>
      </c>
    </row>
    <row r="4610" ht="21.0" customHeight="1">
      <c r="A4610" s="6">
        <v>100.0</v>
      </c>
      <c r="B4610" s="6">
        <v>2000.0</v>
      </c>
      <c r="C4610" s="6">
        <v>1.0</v>
      </c>
      <c r="D4610" s="194" t="s">
        <v>7767</v>
      </c>
      <c r="E4610" s="9" t="s">
        <v>7560</v>
      </c>
      <c r="F4610" s="109" t="str">
        <f t="shared" ref="F4610:G4610" si="4609">TRANSLATE(D4610,"lzh","vi")</f>
        <v>#NAME?</v>
      </c>
      <c r="G4610" s="109" t="str">
        <f t="shared" si="4609"/>
        <v>#NAME?</v>
      </c>
    </row>
    <row r="4611" ht="21.0" customHeight="1">
      <c r="A4611" s="191">
        <v>100.0</v>
      </c>
      <c r="B4611" s="191">
        <v>2000.0</v>
      </c>
      <c r="C4611" s="191">
        <v>1.0</v>
      </c>
      <c r="D4611" s="4" t="s">
        <v>7768</v>
      </c>
      <c r="E4611" s="102" t="s">
        <v>7560</v>
      </c>
      <c r="F4611" s="109" t="str">
        <f t="shared" ref="F4611:G4611" si="4610">TRANSLATE(D4611,"lzh","vi")</f>
        <v>#NAME?</v>
      </c>
      <c r="G4611" s="109" t="str">
        <f t="shared" si="4610"/>
        <v>#NAME?</v>
      </c>
    </row>
    <row r="4612" ht="21.0" customHeight="1">
      <c r="A4612" s="191">
        <v>100.0</v>
      </c>
      <c r="B4612" s="191">
        <v>2000.0</v>
      </c>
      <c r="C4612" s="191">
        <v>1.0</v>
      </c>
      <c r="D4612" s="4" t="s">
        <v>7769</v>
      </c>
      <c r="E4612" s="102" t="s">
        <v>7560</v>
      </c>
      <c r="F4612" s="109" t="str">
        <f t="shared" ref="F4612:G4612" si="4611">TRANSLATE(D4612,"lzh","vi")</f>
        <v>#NAME?</v>
      </c>
      <c r="G4612" s="109" t="str">
        <f t="shared" si="4611"/>
        <v>#NAME?</v>
      </c>
    </row>
    <row r="4613" ht="21.0" customHeight="1">
      <c r="A4613" s="191">
        <v>34.0</v>
      </c>
      <c r="B4613" s="191">
        <v>3000.0</v>
      </c>
      <c r="C4613" s="191">
        <v>1.0</v>
      </c>
      <c r="D4613" s="4" t="s">
        <v>7770</v>
      </c>
      <c r="E4613" s="102" t="s">
        <v>7771</v>
      </c>
      <c r="F4613" s="109" t="str">
        <f t="shared" ref="F4613:G4613" si="4612">TRANSLATE(D4613,"lzh","vi")</f>
        <v>#NAME?</v>
      </c>
      <c r="G4613" s="109" t="str">
        <f t="shared" si="4612"/>
        <v>#NAME?</v>
      </c>
    </row>
    <row r="4614" ht="21.0" customHeight="1">
      <c r="A4614" s="191">
        <v>34.0</v>
      </c>
      <c r="B4614" s="191">
        <v>3000.0</v>
      </c>
      <c r="C4614" s="191">
        <v>1.0</v>
      </c>
      <c r="D4614" s="4" t="s">
        <v>7772</v>
      </c>
      <c r="E4614" s="102" t="s">
        <v>7773</v>
      </c>
      <c r="F4614" s="109" t="str">
        <f t="shared" ref="F4614:G4614" si="4613">TRANSLATE(D4614,"lzh","vi")</f>
        <v>#NAME?</v>
      </c>
      <c r="G4614" s="109" t="str">
        <f t="shared" si="4613"/>
        <v>#NAME?</v>
      </c>
    </row>
    <row r="4615" ht="21.0" customHeight="1">
      <c r="A4615" s="191">
        <v>34.0</v>
      </c>
      <c r="B4615" s="191">
        <v>3000.0</v>
      </c>
      <c r="C4615" s="191">
        <v>1.0</v>
      </c>
      <c r="D4615" s="196" t="s">
        <v>7249</v>
      </c>
      <c r="E4615" s="81" t="s">
        <v>7774</v>
      </c>
      <c r="F4615" s="109" t="str">
        <f t="shared" ref="F4615:G4615" si="4614">TRANSLATE(D4615,"lzh","vi")</f>
        <v>#NAME?</v>
      </c>
      <c r="G4615" s="109" t="str">
        <f t="shared" si="4614"/>
        <v>#NAME?</v>
      </c>
    </row>
    <row r="4616" ht="21.0" customHeight="1">
      <c r="A4616" s="191">
        <v>34.0</v>
      </c>
      <c r="B4616" s="191">
        <v>3000.0</v>
      </c>
      <c r="C4616" s="191">
        <v>1.0</v>
      </c>
      <c r="D4616" s="197" t="s">
        <v>7775</v>
      </c>
      <c r="E4616" s="81" t="s">
        <v>7776</v>
      </c>
      <c r="F4616" s="109" t="str">
        <f t="shared" ref="F4616:G4616" si="4615">TRANSLATE(D4616,"lzh","vi")</f>
        <v>#NAME?</v>
      </c>
      <c r="G4616" s="109" t="str">
        <f t="shared" si="4615"/>
        <v>#NAME?</v>
      </c>
    </row>
    <row r="4617" ht="21.0" customHeight="1">
      <c r="A4617" s="191">
        <v>34.0</v>
      </c>
      <c r="B4617" s="191">
        <v>3000.0</v>
      </c>
      <c r="C4617" s="191">
        <v>1.0</v>
      </c>
      <c r="D4617" s="197" t="s">
        <v>7777</v>
      </c>
      <c r="E4617" s="81" t="s">
        <v>7778</v>
      </c>
      <c r="F4617" s="109" t="str">
        <f t="shared" ref="F4617:G4617" si="4616">TRANSLATE(D4617,"lzh","vi")</f>
        <v>#NAME?</v>
      </c>
      <c r="G4617" s="109" t="str">
        <f t="shared" si="4616"/>
        <v>#NAME?</v>
      </c>
    </row>
    <row r="4618" ht="21.0" customHeight="1">
      <c r="A4618" s="191">
        <v>34.0</v>
      </c>
      <c r="B4618" s="191">
        <v>3000.0</v>
      </c>
      <c r="C4618" s="191">
        <v>1.0</v>
      </c>
      <c r="D4618" s="197" t="s">
        <v>7779</v>
      </c>
      <c r="E4618" s="81" t="s">
        <v>7780</v>
      </c>
      <c r="F4618" s="109" t="str">
        <f t="shared" ref="F4618:G4618" si="4617">TRANSLATE(D4618,"lzh","vi")</f>
        <v>#NAME?</v>
      </c>
      <c r="G4618" s="109" t="str">
        <f t="shared" si="4617"/>
        <v>#NAME?</v>
      </c>
    </row>
    <row r="4619" ht="21.0" customHeight="1">
      <c r="A4619" s="191">
        <v>34.0</v>
      </c>
      <c r="B4619" s="191">
        <v>3000.0</v>
      </c>
      <c r="C4619" s="191">
        <v>1.0</v>
      </c>
      <c r="D4619" s="197" t="s">
        <v>7781</v>
      </c>
      <c r="E4619" s="81" t="s">
        <v>7782</v>
      </c>
      <c r="F4619" s="109" t="str">
        <f t="shared" ref="F4619:G4619" si="4618">TRANSLATE(D4619,"lzh","vi")</f>
        <v>#NAME?</v>
      </c>
      <c r="G4619" s="109" t="str">
        <f t="shared" si="4618"/>
        <v>#NAME?</v>
      </c>
    </row>
    <row r="4620" ht="21.0" customHeight="1">
      <c r="A4620" s="191">
        <v>34.0</v>
      </c>
      <c r="B4620" s="191">
        <v>3000.0</v>
      </c>
      <c r="C4620" s="191">
        <v>1.0</v>
      </c>
      <c r="D4620" s="197" t="s">
        <v>7783</v>
      </c>
      <c r="E4620" s="81" t="s">
        <v>7784</v>
      </c>
      <c r="F4620" s="109" t="str">
        <f t="shared" ref="F4620:G4620" si="4619">TRANSLATE(D4620,"lzh","vi")</f>
        <v>#NAME?</v>
      </c>
      <c r="G4620" s="109" t="str">
        <f t="shared" si="4619"/>
        <v>#NAME?</v>
      </c>
    </row>
    <row r="4621" ht="21.0" customHeight="1">
      <c r="A4621" s="191">
        <v>34.0</v>
      </c>
      <c r="B4621" s="191">
        <v>3000.0</v>
      </c>
      <c r="C4621" s="191">
        <v>1.0</v>
      </c>
      <c r="D4621" s="197" t="s">
        <v>7785</v>
      </c>
      <c r="E4621" s="81" t="s">
        <v>7786</v>
      </c>
      <c r="F4621" s="109" t="str">
        <f t="shared" ref="F4621:G4621" si="4620">TRANSLATE(D4621,"lzh","vi")</f>
        <v>#NAME?</v>
      </c>
      <c r="G4621" s="109" t="str">
        <f t="shared" si="4620"/>
        <v>#NAME?</v>
      </c>
    </row>
    <row r="4622" ht="21.0" customHeight="1">
      <c r="A4622" s="191">
        <v>34.0</v>
      </c>
      <c r="B4622" s="191">
        <v>3000.0</v>
      </c>
      <c r="C4622" s="191">
        <v>1.0</v>
      </c>
      <c r="D4622" s="197" t="s">
        <v>7787</v>
      </c>
      <c r="E4622" s="81" t="s">
        <v>7788</v>
      </c>
      <c r="F4622" s="109" t="str">
        <f t="shared" ref="F4622:G4622" si="4621">TRANSLATE(D4622,"lzh","vi")</f>
        <v>#NAME?</v>
      </c>
      <c r="G4622" s="109" t="str">
        <f t="shared" si="4621"/>
        <v>#NAME?</v>
      </c>
    </row>
    <row r="4623" ht="21.0" customHeight="1">
      <c r="A4623" s="198">
        <v>48.0</v>
      </c>
      <c r="B4623" s="198">
        <v>1.0</v>
      </c>
      <c r="C4623" s="198">
        <v>1.0</v>
      </c>
      <c r="D4623" s="199" t="s">
        <v>7789</v>
      </c>
      <c r="E4623" s="11" t="s">
        <v>7790</v>
      </c>
      <c r="F4623" s="109" t="str">
        <f t="shared" ref="F4623:G4623" si="4622">TRANSLATE(D4623,"lzh","vi")</f>
        <v>#NAME?</v>
      </c>
      <c r="G4623" s="109" t="str">
        <f t="shared" si="4622"/>
        <v>#NAME?</v>
      </c>
      <c r="X4623" s="14"/>
    </row>
    <row r="4624" ht="21.0" customHeight="1">
      <c r="A4624" s="198">
        <v>48.0</v>
      </c>
      <c r="B4624" s="198">
        <v>1.0</v>
      </c>
      <c r="C4624" s="198">
        <v>1.0</v>
      </c>
      <c r="D4624" s="199" t="s">
        <v>7791</v>
      </c>
      <c r="E4624" s="11" t="s">
        <v>7790</v>
      </c>
      <c r="F4624" s="109" t="str">
        <f t="shared" ref="F4624:G4624" si="4623">TRANSLATE(D4624,"lzh","vi")</f>
        <v>#NAME?</v>
      </c>
      <c r="G4624" s="109" t="str">
        <f t="shared" si="4623"/>
        <v>#NAME?</v>
      </c>
      <c r="X4624" s="14"/>
    </row>
    <row r="4625" ht="21.0" customHeight="1">
      <c r="A4625" s="198">
        <v>48.0</v>
      </c>
      <c r="B4625" s="198">
        <v>1.0</v>
      </c>
      <c r="C4625" s="198">
        <v>1.0</v>
      </c>
      <c r="D4625" s="199" t="s">
        <v>7792</v>
      </c>
      <c r="E4625" s="11" t="s">
        <v>7790</v>
      </c>
      <c r="F4625" s="109" t="str">
        <f t="shared" ref="F4625:G4625" si="4624">TRANSLATE(D4625,"lzh","vi")</f>
        <v>#NAME?</v>
      </c>
      <c r="G4625" s="109" t="str">
        <f t="shared" si="4624"/>
        <v>#NAME?</v>
      </c>
      <c r="X4625" s="14"/>
    </row>
    <row r="4626" ht="21.0" customHeight="1">
      <c r="A4626" s="198">
        <v>48.0</v>
      </c>
      <c r="B4626" s="198">
        <v>1.0</v>
      </c>
      <c r="C4626" s="198">
        <v>1.0</v>
      </c>
      <c r="D4626" s="199" t="s">
        <v>7793</v>
      </c>
      <c r="E4626" s="11" t="s">
        <v>7794</v>
      </c>
      <c r="F4626" s="109" t="str">
        <f t="shared" ref="F4626:G4626" si="4625">TRANSLATE(D4626,"lzh","vi")</f>
        <v>#NAME?</v>
      </c>
      <c r="G4626" s="109" t="str">
        <f t="shared" si="4625"/>
        <v>#NAME?</v>
      </c>
      <c r="X4626" s="14"/>
    </row>
    <row r="4627" ht="21.0" customHeight="1">
      <c r="A4627" s="198">
        <v>48.0</v>
      </c>
      <c r="B4627" s="198">
        <v>1.0</v>
      </c>
      <c r="C4627" s="198">
        <v>1.0</v>
      </c>
      <c r="D4627" s="199" t="s">
        <v>7795</v>
      </c>
      <c r="E4627" s="11" t="s">
        <v>7794</v>
      </c>
      <c r="F4627" s="109" t="str">
        <f t="shared" ref="F4627:G4627" si="4626">TRANSLATE(D4627,"lzh","vi")</f>
        <v>#NAME?</v>
      </c>
      <c r="G4627" s="109" t="str">
        <f t="shared" si="4626"/>
        <v>#NAME?</v>
      </c>
      <c r="X4627" s="14"/>
    </row>
    <row r="4628" ht="21.0" customHeight="1">
      <c r="A4628" s="198">
        <v>48.0</v>
      </c>
      <c r="B4628" s="198">
        <v>1.0</v>
      </c>
      <c r="C4628" s="198">
        <v>1.0</v>
      </c>
      <c r="D4628" s="199" t="s">
        <v>7796</v>
      </c>
      <c r="E4628" s="11" t="s">
        <v>7797</v>
      </c>
      <c r="F4628" s="109" t="str">
        <f t="shared" ref="F4628:G4628" si="4627">TRANSLATE(D4628,"lzh","vi")</f>
        <v>#NAME?</v>
      </c>
      <c r="G4628" s="109" t="str">
        <f t="shared" si="4627"/>
        <v>#NAME?</v>
      </c>
      <c r="X4628" s="14"/>
    </row>
    <row r="4629" ht="21.0" customHeight="1">
      <c r="A4629" s="198">
        <v>48.0</v>
      </c>
      <c r="B4629" s="198">
        <v>1.0</v>
      </c>
      <c r="C4629" s="198">
        <v>1.0</v>
      </c>
      <c r="D4629" s="199" t="s">
        <v>7798</v>
      </c>
      <c r="E4629" s="11" t="s">
        <v>7797</v>
      </c>
      <c r="F4629" s="109" t="str">
        <f t="shared" ref="F4629:G4629" si="4628">TRANSLATE(D4629,"lzh","vi")</f>
        <v>#NAME?</v>
      </c>
      <c r="G4629" s="109" t="str">
        <f t="shared" si="4628"/>
        <v>#NAME?</v>
      </c>
      <c r="X4629" s="14"/>
    </row>
    <row r="4630" ht="21.0" customHeight="1">
      <c r="A4630" s="198">
        <v>48.0</v>
      </c>
      <c r="B4630" s="198">
        <v>1.0</v>
      </c>
      <c r="C4630" s="198">
        <v>1.0</v>
      </c>
      <c r="D4630" s="199" t="s">
        <v>7799</v>
      </c>
      <c r="E4630" s="11" t="s">
        <v>7800</v>
      </c>
      <c r="F4630" s="109" t="str">
        <f t="shared" ref="F4630:G4630" si="4629">TRANSLATE(D4630,"lzh","vi")</f>
        <v>#NAME?</v>
      </c>
      <c r="G4630" s="109" t="str">
        <f t="shared" si="4629"/>
        <v>#NAME?</v>
      </c>
      <c r="X4630" s="14"/>
    </row>
    <row r="4631" ht="21.0" customHeight="1">
      <c r="A4631" s="198">
        <v>48.0</v>
      </c>
      <c r="B4631" s="198">
        <v>1.0</v>
      </c>
      <c r="C4631" s="198">
        <v>1.0</v>
      </c>
      <c r="D4631" s="199" t="s">
        <v>7801</v>
      </c>
      <c r="E4631" s="11" t="s">
        <v>7800</v>
      </c>
      <c r="F4631" s="109" t="str">
        <f t="shared" ref="F4631:G4631" si="4630">TRANSLATE(D4631,"lzh","vi")</f>
        <v>#NAME?</v>
      </c>
      <c r="G4631" s="109" t="str">
        <f t="shared" si="4630"/>
        <v>#NAME?</v>
      </c>
      <c r="X4631" s="14"/>
    </row>
  </sheetData>
  <autoFilter ref="$A$1:$X$1"/>
  <printOptions/>
  <pageMargins bottom="0.75" footer="0.0" header="0.0" left="0.7" right="0.7" top="0.75"/>
  <pageSetup paperSize="9" orientation="portrait"/>
  <drawing r:id="rId2"/>
  <legacyDrawing r:id="rId3"/>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2022-03-15T02:17:00Z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D015F3A55C5D4E8F82B90D3395532164_13</vt:lpwstr>
  </property>
  <property fmtid="{D5CDD505-2E9C-101B-9397-08002B2CF9AE}" pid="3" name="KSOProductBuildVer">
    <vt:lpwstr>2052-12.1.0.24034</vt:lpwstr>
  </property>
  <property fmtid="{D5CDD505-2E9C-101B-9397-08002B2CF9AE}" pid="4" name="commondata">
    <vt:lpwstr>eyJoZGlkIjoiM2RjMzBmYTg4YzM0ZTc1OWE4MzMyZDA0MTkwODlkNGIifQ==</vt:lpwstr>
  </property>
  <property fmtid="{D5CDD505-2E9C-101B-9397-08002B2CF9AE}" pid="5" name="CalculationRule">
    <vt:i4>0</vt:i4>
  </property>
</Properties>
</file>