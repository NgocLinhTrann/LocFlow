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Personal\project2\LocFlow\Testing\gamecontent\testing use\"/>
    </mc:Choice>
  </mc:AlternateContent>
  <xr:revisionPtr revIDLastSave="0" documentId="13_ncr:1_{5BC2D2EB-E72D-4CF0-AA23-D2A33CC4622F}" xr6:coauthVersionLast="47" xr6:coauthVersionMax="47" xr10:uidLastSave="{00000000-0000-0000-0000-000000000000}"/>
  <bookViews>
    <workbookView xWindow="1500" yWindow="1500" windowWidth="17748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7" i="1" l="1"/>
  <c r="B116" i="1"/>
  <c r="B115" i="1"/>
  <c r="B114" i="1"/>
  <c r="B113" i="1"/>
  <c r="B112" i="1"/>
  <c r="B111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50" i="1"/>
  <c r="B49" i="1"/>
  <c r="B48" i="1"/>
</calcChain>
</file>

<file path=xl/sharedStrings.xml><?xml version="1.0" encoding="utf-8"?>
<sst xmlns="http://schemas.openxmlformats.org/spreadsheetml/2006/main" count="164" uniqueCount="163">
  <si>
    <t>Chinese</t>
  </si>
  <si>
    <t>Vietnamese</t>
  </si>
  <si>
    <t>收纳箱</t>
  </si>
  <si>
    <t>经验</t>
  </si>
  <si>
    <t>装扮值</t>
  </si>
  <si>
    <t>金币</t>
  </si>
  <si>
    <t>体力</t>
  </si>
  <si>
    <t>畅享卡</t>
  </si>
  <si>
    <t>尊享卡</t>
  </si>
  <si>
    <t>礼券</t>
  </si>
  <si>
    <t>能量积分</t>
  </si>
  <si>
    <t>锅炉经验</t>
  </si>
  <si>
    <t>魔法石</t>
  </si>
  <si>
    <t>精灵复制体</t>
  </si>
  <si>
    <t>普通兑换卡</t>
  </si>
  <si>
    <t>VIP兑换卡</t>
  </si>
  <si>
    <t>成长值</t>
  </si>
  <si>
    <t>悦享卡</t>
  </si>
  <si>
    <t>钥匙</t>
  </si>
  <si>
    <t>手办碎片1</t>
  </si>
  <si>
    <t>手办碎片2</t>
  </si>
  <si>
    <t>手办碎片3</t>
  </si>
  <si>
    <t>手办碎片4</t>
  </si>
  <si>
    <t>手办碎片5</t>
  </si>
  <si>
    <t>手办碎片6</t>
  </si>
  <si>
    <t>手办碎片7</t>
  </si>
  <si>
    <t>手办碎片8</t>
  </si>
  <si>
    <t>手办碎片9</t>
  </si>
  <si>
    <t>电商藏品卡-银白汤勺</t>
  </si>
  <si>
    <t>星石</t>
  </si>
  <si>
    <t>非作物展示</t>
  </si>
  <si>
    <t>祈愿币</t>
  </si>
  <si>
    <t>魔法硬币</t>
  </si>
  <si>
    <t>纸鸢</t>
  </si>
  <si>
    <t>商券</t>
  </si>
  <si>
    <t>骰子</t>
  </si>
  <si>
    <t>藏品卡-风信礼遇使</t>
  </si>
  <si>
    <t>契约之瓶</t>
  </si>
  <si>
    <t>魔法碎晶</t>
  </si>
  <si>
    <t>茶社币</t>
  </si>
  <si>
    <t>织玉扣</t>
  </si>
  <si>
    <t>琉璃羽</t>
  </si>
  <si>
    <t>赤莓翎</t>
  </si>
  <si>
    <t>桃绒团</t>
  </si>
  <si>
    <t>镭骨棒</t>
  </si>
  <si>
    <t>萝卜糖</t>
  </si>
  <si>
    <t>hộp đựng đồ</t>
  </si>
  <si>
    <t>kinh nghiệm</t>
  </si>
  <si>
    <t>Giá trị trang phục</t>
  </si>
  <si>
    <t>vàng</t>
  </si>
  <si>
    <t>sức mạnh thể chất</t>
  </si>
  <si>
    <t>Thẻ Thưởng thức</t>
  </si>
  <si>
    <t>Thẻ VIP</t>
  </si>
  <si>
    <t>Tích phân năng lượng</t>
  </si>
  <si>
    <t>Kinh nghiệm về nồi hơi</t>
  </si>
  <si>
    <t>viên đá ma thuật</t>
  </si>
  <si>
    <t>Bản sao yêu tinh</t>
  </si>
  <si>
    <t>Thẻ đổi thưởng thông thường</t>
  </si>
  <si>
    <t>Thẻ đổi quà VIP</t>
  </si>
  <si>
    <t>Giá trị tăng trưởng</t>
  </si>
  <si>
    <t>chìa khóa</t>
  </si>
  <si>
    <t>Hình ảnh mảnh 1</t>
  </si>
  <si>
    <t>Hình ảnh mảnh 2</t>
  </si>
  <si>
    <t>Hình ảnh mảnh 3</t>
  </si>
  <si>
    <t>Hình ảnh mảnh 4</t>
  </si>
  <si>
    <t>Hình ảnh đoạn 5</t>
  </si>
  <si>
    <t>Hình ảnh mảnh 6</t>
  </si>
  <si>
    <t>Hình ảnh mảnh 7</t>
  </si>
  <si>
    <t>Hình ảnh mảnh 8</t>
  </si>
  <si>
    <t>Hình ảnh mảnh 9</t>
  </si>
  <si>
    <t>Thẻ sưu tầm thương mại điện tử - thìa bạc</t>
  </si>
  <si>
    <t>Đá Sao</t>
  </si>
  <si>
    <t>Màn hình không cắt xén</t>
  </si>
  <si>
    <t>Xu ước nguyện</t>
  </si>
  <si>
    <t>Đồng xu ma thuật</t>
  </si>
  <si>
    <t>diều</t>
  </si>
  <si>
    <t>Chứng khoán thương mại</t>
  </si>
  <si>
    <t>xúc xắc</t>
  </si>
  <si>
    <t>Thẻ sưu tập - Đại sứ gió</t>
  </si>
  <si>
    <t>Chai Hợp Đồng</t>
  </si>
  <si>
    <t>Tinh thể ma thuật</t>
  </si>
  <si>
    <t>Tiền xu quán trà</t>
  </si>
  <si>
    <t>Khóa ngọc bích</t>
  </si>
  <si>
    <t>Lưu Ly Ngọc</t>
  </si>
  <si>
    <t>Lông vũ quả mâm xôi đỏ</t>
  </si>
  <si>
    <t>Quả bông đào</t>
  </si>
  <si>
    <t>thanh xương quay</t>
  </si>
  <si>
    <t>Kẹo củ cải</t>
  </si>
  <si>
    <t xml:space="preserve">Phiếu quà tặng </t>
  </si>
  <si>
    <t>珊瑚螺</t>
  </si>
  <si>
    <t>翡翠笋</t>
  </si>
  <si>
    <t>Ốc san hô</t>
  </si>
  <si>
    <t>Măng tre ngọc bích</t>
  </si>
  <si>
    <t>精力</t>
  </si>
  <si>
    <t>短途车票</t>
  </si>
  <si>
    <t>长途车票</t>
  </si>
  <si>
    <t>载客车厢</t>
  </si>
  <si>
    <t>旅行经验</t>
  </si>
  <si>
    <t>旅行点数</t>
  </si>
  <si>
    <t>1点精力</t>
  </si>
  <si>
    <t>2点精力</t>
  </si>
  <si>
    <t>4点精力</t>
  </si>
  <si>
    <t>8点精力</t>
  </si>
  <si>
    <t>2星百变卡</t>
  </si>
  <si>
    <t>3星百变卡</t>
  </si>
  <si>
    <t>4星百变卡</t>
  </si>
  <si>
    <t>5星百变卡</t>
  </si>
  <si>
    <t>圣诞之雪</t>
  </si>
  <si>
    <t>卯兔迎春</t>
  </si>
  <si>
    <t>兔头鹅脑</t>
  </si>
  <si>
    <t>圣诞赐福妖精</t>
  </si>
  <si>
    <t>兔年风信子</t>
  </si>
  <si>
    <t>童年玩具箱</t>
  </si>
  <si>
    <t>圣诞礼物盒</t>
  </si>
  <si>
    <t>圣诞精灵犬</t>
  </si>
  <si>
    <t>兔年聚宝盆</t>
  </si>
  <si>
    <t>樱粉皇妃鸟</t>
  </si>
  <si>
    <t>藏青女仆咩</t>
  </si>
  <si>
    <t>海蓝水手蟹</t>
  </si>
  <si>
    <t>都市塑形馆</t>
  </si>
  <si>
    <t>水晶葡萄喵</t>
  </si>
  <si>
    <t>巧克力公主兔</t>
  </si>
  <si>
    <t>北国城堡</t>
  </si>
  <si>
    <t>小龙藏宝室</t>
  </si>
  <si>
    <t>龙女迎春</t>
  </si>
  <si>
    <t>瑞气庆云宫</t>
  </si>
  <si>
    <t>冰淇淋糖果城堡</t>
  </si>
  <si>
    <t>五福临门汪</t>
  </si>
  <si>
    <t>招财进宝蟹</t>
  </si>
  <si>
    <t>喜洋洋大肥鸽</t>
  </si>
  <si>
    <t>甜心小精灵</t>
  </si>
  <si>
    <t>熊熊的少女心</t>
  </si>
  <si>
    <t>时计小女巫</t>
  </si>
  <si>
    <t>逐梦绿茵场</t>
  </si>
  <si>
    <t>远山龙舟竞</t>
  </si>
  <si>
    <t>夏日激凉水乐园</t>
  </si>
  <si>
    <t>在天愿做比翼鸟</t>
  </si>
  <si>
    <t>原木置物架</t>
  </si>
  <si>
    <t>萌偶百宝柜</t>
  </si>
  <si>
    <t>七十五周年国庆</t>
  </si>
  <si>
    <t>天府之国</t>
  </si>
  <si>
    <t>银白汤勺</t>
  </si>
  <si>
    <t>叶落知秋</t>
  </si>
  <si>
    <t>精灵之森</t>
  </si>
  <si>
    <t>午夜黑大帅</t>
  </si>
  <si>
    <t>丝娇白蕊鸟</t>
  </si>
  <si>
    <t>雪锦绒</t>
  </si>
  <si>
    <t>财神爷聚宝盆</t>
  </si>
  <si>
    <t>宫梅映雪</t>
  </si>
  <si>
    <t>醒狮贺岁</t>
  </si>
  <si>
    <t>芭蕾小仙子</t>
  </si>
  <si>
    <t>舞狮小财神</t>
  </si>
  <si>
    <t>幽林花屉</t>
  </si>
  <si>
    <t>冰蓝魔魅</t>
  </si>
  <si>
    <t>密林山野</t>
  </si>
  <si>
    <t>历新世界</t>
  </si>
  <si>
    <t>海底龙宫</t>
  </si>
  <si>
    <t>林氏庄园</t>
  </si>
  <si>
    <t>假面舞会</t>
  </si>
  <si>
    <t>自动贩卖机</t>
  </si>
  <si>
    <t>星之湖</t>
  </si>
  <si>
    <t>考古营地</t>
  </si>
  <si>
    <t>猎心小恶魔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</si>
</sst>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imSun"/>
    </font>
    <font>
      <sz val="11"/>
      <color theme="1"/>
      <name val="Calibri"/>
      <family val="2"/>
    </font>
    <font>
      <b/>
      <sz val="11"/>
      <color theme="1"/>
      <name val="SimSun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topLeftCell="A106" workbookViewId="0">
      <selection activeCell="A113" sqref="A113:B117"/>
    </sheetView>
  </sheetViews>
  <sheetFormatPr defaultRowHeight="14.4" x14ac:dyDescent="0.3"/>
  <cols>
    <col min="1" max="1" width="19.21875" customWidth="1"/>
    <col min="2" max="2" width="3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46</v>
      </c>
    </row>
    <row r="3" spans="1:2" x14ac:dyDescent="0.3">
      <c r="A3" t="s">
        <v>3</v>
      </c>
      <c r="B3" t="s">
        <v>47</v>
      </c>
    </row>
    <row r="4" spans="1:2" x14ac:dyDescent="0.3">
      <c r="A4" t="s">
        <v>4</v>
      </c>
      <c r="B4" t="s">
        <v>48</v>
      </c>
    </row>
    <row r="5" spans="1:2" x14ac:dyDescent="0.3">
      <c r="A5" t="s">
        <v>5</v>
      </c>
      <c r="B5" t="s">
        <v>49</v>
      </c>
    </row>
    <row r="6" spans="1:2" x14ac:dyDescent="0.3">
      <c r="A6" t="s">
        <v>6</v>
      </c>
      <c r="B6" t="s">
        <v>50</v>
      </c>
    </row>
    <row r="7" spans="1:2" x14ac:dyDescent="0.3">
      <c r="A7" t="s">
        <v>7</v>
      </c>
      <c r="B7" t="s">
        <v>51</v>
      </c>
    </row>
    <row r="8" spans="1:2" x14ac:dyDescent="0.3">
      <c r="A8" t="s">
        <v>8</v>
      </c>
      <c r="B8" t="s">
        <v>52</v>
      </c>
    </row>
    <row r="9" spans="1:2" x14ac:dyDescent="0.3">
      <c r="A9" t="s">
        <v>9</v>
      </c>
      <c r="B9" t="s">
        <v>88</v>
      </c>
    </row>
    <row r="10" spans="1:2" x14ac:dyDescent="0.3">
      <c r="A10" t="s">
        <v>10</v>
      </c>
      <c r="B10" t="s">
        <v>53</v>
      </c>
    </row>
    <row r="11" spans="1:2" x14ac:dyDescent="0.3">
      <c r="A11" t="s">
        <v>11</v>
      </c>
      <c r="B11" t="s">
        <v>54</v>
      </c>
    </row>
    <row r="12" spans="1:2" x14ac:dyDescent="0.3">
      <c r="A12" t="s">
        <v>12</v>
      </c>
      <c r="B12" t="s">
        <v>55</v>
      </c>
    </row>
    <row r="13" spans="1:2" x14ac:dyDescent="0.3">
      <c r="A13" t="s">
        <v>13</v>
      </c>
      <c r="B13" t="s">
        <v>56</v>
      </c>
    </row>
    <row r="14" spans="1:2" x14ac:dyDescent="0.3">
      <c r="A14" t="s">
        <v>14</v>
      </c>
      <c r="B14" t="s">
        <v>57</v>
      </c>
    </row>
    <row r="15" spans="1:2" x14ac:dyDescent="0.3">
      <c r="A15" t="s">
        <v>15</v>
      </c>
      <c r="B15" t="s">
        <v>58</v>
      </c>
    </row>
    <row r="16" spans="1:2" x14ac:dyDescent="0.3">
      <c r="A16" t="s">
        <v>16</v>
      </c>
      <c r="B16" t="s">
        <v>59</v>
      </c>
    </row>
    <row r="17" spans="1:2" x14ac:dyDescent="0.3">
      <c r="A17" t="s">
        <v>17</v>
      </c>
      <c r="B17" t="s">
        <v>51</v>
      </c>
    </row>
    <row r="18" spans="1:2" x14ac:dyDescent="0.3">
      <c r="A18" t="s">
        <v>18</v>
      </c>
      <c r="B18" t="s">
        <v>60</v>
      </c>
    </row>
    <row r="19" spans="1:2" x14ac:dyDescent="0.3">
      <c r="A19" t="s">
        <v>19</v>
      </c>
      <c r="B19" t="s">
        <v>61</v>
      </c>
    </row>
    <row r="20" spans="1:2" x14ac:dyDescent="0.3">
      <c r="A20" t="s">
        <v>20</v>
      </c>
      <c r="B20" t="s">
        <v>62</v>
      </c>
    </row>
    <row r="21" spans="1:2" x14ac:dyDescent="0.3">
      <c r="A21" t="s">
        <v>21</v>
      </c>
      <c r="B21" t="s">
        <v>63</v>
      </c>
    </row>
    <row r="22" spans="1:2" x14ac:dyDescent="0.3">
      <c r="A22" t="s">
        <v>22</v>
      </c>
      <c r="B22" t="s">
        <v>64</v>
      </c>
    </row>
    <row r="23" spans="1:2" x14ac:dyDescent="0.3">
      <c r="A23" t="s">
        <v>23</v>
      </c>
      <c r="B23" t="s">
        <v>65</v>
      </c>
    </row>
    <row r="24" spans="1:2" x14ac:dyDescent="0.3">
      <c r="A24" t="s">
        <v>24</v>
      </c>
      <c r="B24" t="s">
        <v>66</v>
      </c>
    </row>
    <row r="25" spans="1:2" x14ac:dyDescent="0.3">
      <c r="A25" t="s">
        <v>25</v>
      </c>
      <c r="B25" t="s">
        <v>67</v>
      </c>
    </row>
    <row r="26" spans="1:2" x14ac:dyDescent="0.3">
      <c r="A26" t="s">
        <v>26</v>
      </c>
      <c r="B26" t="s">
        <v>68</v>
      </c>
    </row>
    <row r="27" spans="1:2" x14ac:dyDescent="0.3">
      <c r="A27" t="s">
        <v>27</v>
      </c>
      <c r="B27" t="s">
        <v>69</v>
      </c>
    </row>
    <row r="28" spans="1:2" x14ac:dyDescent="0.3">
      <c r="A28" t="s">
        <v>28</v>
      </c>
      <c r="B28" t="s">
        <v>70</v>
      </c>
    </row>
    <row r="29" spans="1:2" x14ac:dyDescent="0.3">
      <c r="A29" t="s">
        <v>29</v>
      </c>
      <c r="B29" t="s">
        <v>71</v>
      </c>
    </row>
    <row r="30" spans="1:2" x14ac:dyDescent="0.3">
      <c r="A30" t="s">
        <v>30</v>
      </c>
      <c r="B30" t="s">
        <v>72</v>
      </c>
    </row>
    <row r="31" spans="1:2" x14ac:dyDescent="0.3">
      <c r="A31" t="s">
        <v>31</v>
      </c>
      <c r="B31" t="s">
        <v>73</v>
      </c>
    </row>
    <row r="32" spans="1:2" x14ac:dyDescent="0.3">
      <c r="A32" t="s">
        <v>32</v>
      </c>
      <c r="B32" t="s">
        <v>74</v>
      </c>
    </row>
    <row r="33" spans="1:2" x14ac:dyDescent="0.3">
      <c r="A33" t="s">
        <v>33</v>
      </c>
      <c r="B33" t="s">
        <v>75</v>
      </c>
    </row>
    <row r="34" spans="1:2" x14ac:dyDescent="0.3">
      <c r="A34" t="s">
        <v>34</v>
      </c>
      <c r="B34" t="s">
        <v>76</v>
      </c>
    </row>
    <row r="35" spans="1:2" x14ac:dyDescent="0.3">
      <c r="A35" t="s">
        <v>35</v>
      </c>
      <c r="B35" t="s">
        <v>77</v>
      </c>
    </row>
    <row r="36" spans="1:2" x14ac:dyDescent="0.3">
      <c r="A36" t="s">
        <v>36</v>
      </c>
      <c r="B36" t="s">
        <v>78</v>
      </c>
    </row>
    <row r="37" spans="1:2" x14ac:dyDescent="0.3">
      <c r="A37" t="s">
        <v>37</v>
      </c>
      <c r="B37" t="s">
        <v>79</v>
      </c>
    </row>
    <row r="38" spans="1:2" x14ac:dyDescent="0.3">
      <c r="A38" t="s">
        <v>38</v>
      </c>
      <c r="B38" t="s">
        <v>80</v>
      </c>
    </row>
    <row r="39" spans="1:2" x14ac:dyDescent="0.3">
      <c r="A39" t="s">
        <v>39</v>
      </c>
      <c r="B39" t="s">
        <v>81</v>
      </c>
    </row>
    <row r="40" spans="1:2" x14ac:dyDescent="0.3">
      <c r="A40" t="s">
        <v>40</v>
      </c>
      <c r="B40" t="s">
        <v>82</v>
      </c>
    </row>
    <row r="41" spans="1:2" x14ac:dyDescent="0.3">
      <c r="A41" t="s">
        <v>41</v>
      </c>
      <c r="B41" t="s">
        <v>83</v>
      </c>
    </row>
    <row r="42" spans="1:2" x14ac:dyDescent="0.3">
      <c r="A42" t="s">
        <v>42</v>
      </c>
      <c r="B42" t="s">
        <v>84</v>
      </c>
    </row>
    <row r="43" spans="1:2" x14ac:dyDescent="0.3">
      <c r="A43" t="s">
        <v>43</v>
      </c>
      <c r="B43" t="s">
        <v>85</v>
      </c>
    </row>
    <row r="44" spans="1:2" x14ac:dyDescent="0.3">
      <c r="A44" t="s">
        <v>44</v>
      </c>
      <c r="B44" t="s">
        <v>86</v>
      </c>
    </row>
    <row r="45" spans="1:2" x14ac:dyDescent="0.3">
      <c r="A45" t="s">
        <v>45</v>
      </c>
      <c r="B45" t="s">
        <v>87</v>
      </c>
    </row>
    <row r="46" spans="1:2" x14ac:dyDescent="0.3">
      <c r="A46" t="s">
        <v>89</v>
      </c>
      <c r="B46" t="s">
        <v>91</v>
      </c>
    </row>
    <row r="47" spans="1:2" x14ac:dyDescent="0.3">
      <c r="A47" t="s">
        <v>90</v>
      </c>
      <c r="B47" t="s">
        <v>92</v>
      </c>
    </row>
    <row r="48" spans="1:2" x14ac:dyDescent="0.3">
      <c r="A48" s="1" t="s">
        <v>93</v>
      </c>
      <c r="B48" s="2" t="str">
        <f ca="1">IFERROR(__xludf.DUMMYFUNCTION("GOOGLETRANSLATE(D60,""zh-CN"",""vi"")"),"năng lượng")</f>
        <v>năng lượng</v>
      </c>
    </row>
    <row r="49" spans="1:2" x14ac:dyDescent="0.3">
      <c r="A49" s="3" t="s">
        <v>94</v>
      </c>
      <c r="B49" s="2" t="str">
        <f ca="1">IFERROR(__xludf.DUMMYFUNCTION("GOOGLETRANSLATE(D61,""zh-CN"",""vi"")"),"Vé chặng ngắn")</f>
        <v>Vé chặng ngắn</v>
      </c>
    </row>
    <row r="50" spans="1:2" x14ac:dyDescent="0.3">
      <c r="A50" s="3" t="s">
        <v>95</v>
      </c>
      <c r="B50" s="2" t="str">
        <f ca="1">IFERROR(__xludf.DUMMYFUNCTION("GOOGLETRANSLATE(D62,""zh-CN"",""vi"")"),"Vé xe buýt đường dài")</f>
        <v>Vé xe buýt đường dài</v>
      </c>
    </row>
    <row r="51" spans="1:2" x14ac:dyDescent="0.3">
      <c r="A51" s="3" t="s">
        <v>96</v>
      </c>
      <c r="B51" s="2" t="str">
        <f ca="1">IFERROR(__xludf.DUMMYFUNCTION("GOOGLETRANSLATE(D63,""zh-CN"",""vi"")"),"toa hành khách")</f>
        <v>toa hành khách</v>
      </c>
    </row>
    <row r="52" spans="1:2" x14ac:dyDescent="0.3">
      <c r="A52" s="1" t="s">
        <v>97</v>
      </c>
      <c r="B52" s="2" t="str">
        <f ca="1">IFERROR(__xludf.DUMMYFUNCTION("GOOGLETRANSLATE(D64,""zh-CN"",""vi"")"),"Trải nghiệm du lịch")</f>
        <v>Trải nghiệm du lịch</v>
      </c>
    </row>
    <row r="53" spans="1:2" x14ac:dyDescent="0.3">
      <c r="A53" s="1" t="s">
        <v>98</v>
      </c>
      <c r="B53" s="2" t="str">
        <f ca="1">IFERROR(__xludf.DUMMYFUNCTION("GOOGLETRANSLATE(D65,""zh-CN"",""vi"")"),"điểm du lịch")</f>
        <v>điểm du lịch</v>
      </c>
    </row>
    <row r="54" spans="1:2" x14ac:dyDescent="0.3">
      <c r="A54" s="1" t="s">
        <v>99</v>
      </c>
      <c r="B54" s="2" t="str">
        <f ca="1">IFERROR(__xludf.DUMMYFUNCTION("GOOGLETRANSLATE(D66,""zh-CN"",""vi"")"),"1 điểm năng lượng")</f>
        <v>1 điểm năng lượng</v>
      </c>
    </row>
    <row r="55" spans="1:2" x14ac:dyDescent="0.3">
      <c r="A55" s="1" t="s">
        <v>100</v>
      </c>
      <c r="B55" s="2" t="str">
        <f ca="1">IFERROR(__xludf.DUMMYFUNCTION("GOOGLETRANSLATE(D67,""zh-CN"",""vi"")"),"2 điểm năng lượng")</f>
        <v>2 điểm năng lượng</v>
      </c>
    </row>
    <row r="56" spans="1:2" x14ac:dyDescent="0.3">
      <c r="A56" s="1" t="s">
        <v>101</v>
      </c>
      <c r="B56" s="2" t="str">
        <f ca="1">IFERROR(__xludf.DUMMYFUNCTION("GOOGLETRANSLATE(D68,""zh-CN"",""vi"")"),"4 điểm năng lượng")</f>
        <v>4 điểm năng lượng</v>
      </c>
    </row>
    <row r="57" spans="1:2" x14ac:dyDescent="0.3">
      <c r="A57" s="1" t="s">
        <v>102</v>
      </c>
      <c r="B57" s="2" t="str">
        <f ca="1">IFERROR(__xludf.DUMMYFUNCTION("GOOGLETRANSLATE(D69,""zh-CN"",""vi"")"),"8 điểm năng lượng")</f>
        <v>8 điểm năng lượng</v>
      </c>
    </row>
    <row r="58" spans="1:2" x14ac:dyDescent="0.3">
      <c r="A58" s="1" t="s">
        <v>103</v>
      </c>
      <c r="B58" s="2" t="str">
        <f ca="1">IFERROR(__xludf.DUMMYFUNCTION("GOOGLETRANSLATE(D75,""zh-CN"",""vi"")"),"Thẻ đa dạng 2 sao")</f>
        <v>Thẻ đa dạng 2 sao</v>
      </c>
    </row>
    <row r="59" spans="1:2" x14ac:dyDescent="0.3">
      <c r="A59" s="1" t="s">
        <v>104</v>
      </c>
      <c r="B59" s="2" t="str">
        <f ca="1">IFERROR(__xludf.DUMMYFUNCTION("GOOGLETRANSLATE(D76,""zh-CN"",""vi"")"),"Thẻ đa dạng 3 sao")</f>
        <v>Thẻ đa dạng 3 sao</v>
      </c>
    </row>
    <row r="60" spans="1:2" x14ac:dyDescent="0.3">
      <c r="A60" s="1" t="s">
        <v>105</v>
      </c>
      <c r="B60" s="2" t="str">
        <f ca="1">IFERROR(__xludf.DUMMYFUNCTION("GOOGLETRANSLATE(D77,""zh-CN"",""vi"")"),"Thẻ đa dạng 4 sao")</f>
        <v>Thẻ đa dạng 4 sao</v>
      </c>
    </row>
    <row r="61" spans="1:2" x14ac:dyDescent="0.3">
      <c r="A61" s="1" t="s">
        <v>106</v>
      </c>
      <c r="B61" s="2" t="str">
        <f ca="1">IFERROR(__xludf.DUMMYFUNCTION("GOOGLETRANSLATE(D78,""zh-CN"",""vi"")"),"Thẻ đa dạng 5 sao")</f>
        <v>Thẻ đa dạng 5 sao</v>
      </c>
    </row>
    <row r="62" spans="1:2" x14ac:dyDescent="0.3">
      <c r="A62" s="1" t="s">
        <v>107</v>
      </c>
      <c r="B62" s="2" t="str">
        <f ca="1">IFERROR(__xludf.DUMMYFUNCTION("GOOGLETRANSLATE(D79,""zh-CN"",""vi"")"),"Tuyết Giáng Sinh")</f>
        <v>Tuyết Giáng Sinh</v>
      </c>
    </row>
    <row r="63" spans="1:2" x14ac:dyDescent="0.3">
      <c r="A63" s="1" t="s">
        <v>108</v>
      </c>
      <c r="B63" s="2" t="str">
        <f ca="1">IFERROR(__xludf.DUMMYFUNCTION("GOOGLETRANSLATE(D80,""zh-CN"",""vi"")"),"Thỏ chào đón mùa xuân")</f>
        <v>Thỏ chào đón mùa xuân</v>
      </c>
    </row>
    <row r="64" spans="1:2" x14ac:dyDescent="0.3">
      <c r="A64" s="1" t="s">
        <v>109</v>
      </c>
      <c r="B64" s="2" t="str">
        <f ca="1">IFERROR(__xludf.DUMMYFUNCTION("GOOGLETRANSLATE(D82,""zh-CN"",""vi"")"),"Đầu thỏ và não ngỗng")</f>
        <v>Đầu thỏ và não ngỗng</v>
      </c>
    </row>
    <row r="65" spans="1:2" x14ac:dyDescent="0.3">
      <c r="A65" s="1" t="s">
        <v>110</v>
      </c>
      <c r="B65" s="2" t="str">
        <f ca="1">IFERROR(__xludf.DUMMYFUNCTION("GOOGLETRANSLATE(D83,""zh-CN"",""vi"")"),"Nàng tiên ban phước lành Giáng sinh")</f>
        <v>Nàng tiên ban phước lành Giáng sinh</v>
      </c>
    </row>
    <row r="66" spans="1:2" x14ac:dyDescent="0.3">
      <c r="A66" s="1" t="s">
        <v>111</v>
      </c>
      <c r="B66" s="2" t="str">
        <f ca="1">IFERROR(__xludf.DUMMYFUNCTION("GOOGLETRANSLATE(D84,""zh-CN"",""vi"")"),"Hoa lục bình cho năm con Thỏ")</f>
        <v>Hoa lục bình cho năm con Thỏ</v>
      </c>
    </row>
    <row r="67" spans="1:2" x14ac:dyDescent="0.3">
      <c r="A67" s="1" t="s">
        <v>112</v>
      </c>
      <c r="B67" s="2" t="str">
        <f ca="1">IFERROR(__xludf.DUMMYFUNCTION("GOOGLETRANSLATE(D85,""zh-CN"",""vi"")"),"Hộp đồ chơi thời thơ ấu")</f>
        <v>Hộp đồ chơi thời thơ ấu</v>
      </c>
    </row>
    <row r="68" spans="1:2" x14ac:dyDescent="0.3">
      <c r="A68" s="1" t="s">
        <v>113</v>
      </c>
      <c r="B68" s="2" t="str">
        <f ca="1">IFERROR(__xludf.DUMMYFUNCTION("GOOGLETRANSLATE(D86,""zh-CN"",""vi"")"),"Hộp quà Giáng sinh")</f>
        <v>Hộp quà Giáng sinh</v>
      </c>
    </row>
    <row r="69" spans="1:2" x14ac:dyDescent="0.3">
      <c r="A69" s="1" t="s">
        <v>114</v>
      </c>
      <c r="B69" s="2" t="str">
        <f ca="1">IFERROR(__xludf.DUMMYFUNCTION("GOOGLETRANSLATE(D87,""zh-CN"",""vi"")"),"Chú chó yêu tinh Giáng sinh")</f>
        <v>Chú chó yêu tinh Giáng sinh</v>
      </c>
    </row>
    <row r="70" spans="1:2" x14ac:dyDescent="0.3">
      <c r="A70" s="1" t="s">
        <v>115</v>
      </c>
      <c r="B70" s="2" t="str">
        <f ca="1">IFERROR(__xludf.DUMMYFUNCTION("GOOGLETRANSLATE(D88,""zh-CN"",""vi"")"),"Chiếc bát kho báu cho năm con Thỏ")</f>
        <v>Chiếc bát kho báu cho năm con Thỏ</v>
      </c>
    </row>
    <row r="71" spans="1:2" x14ac:dyDescent="0.3">
      <c r="A71" s="4" t="s">
        <v>116</v>
      </c>
      <c r="B71" s="2" t="str">
        <f ca="1">IFERROR(__xludf.DUMMYFUNCTION("GOOGLETRANSLATE(D89,""zh-CN"",""vi"")"),"Công chúa chim hoa anh đào")</f>
        <v>Công chúa chim hoa anh đào</v>
      </c>
    </row>
    <row r="72" spans="1:2" x14ac:dyDescent="0.3">
      <c r="A72" s="4" t="s">
        <v>117</v>
      </c>
      <c r="B72" s="2" t="str">
        <f ca="1">IFERROR(__xludf.DUMMYFUNCTION("GOOGLETRANSLATE(D90,""zh-CN"",""vi"")"),"Cô hầu gái màu xanh đậm?")</f>
        <v>Cô hầu gái màu xanh đậm?</v>
      </c>
    </row>
    <row r="73" spans="1:2" x14ac:dyDescent="0.3">
      <c r="A73" s="4" t="s">
        <v>118</v>
      </c>
      <c r="B73" s="2" t="str">
        <f ca="1">IFERROR(__xludf.DUMMYFUNCTION("GOOGLETRANSLATE(D91,""zh-CN"",""vi"")"),"Cua thủy thủ xanh")</f>
        <v>Cua thủy thủ xanh</v>
      </c>
    </row>
    <row r="74" spans="1:2" x14ac:dyDescent="0.3">
      <c r="A74" s="1" t="s">
        <v>119</v>
      </c>
      <c r="B74" s="2" t="str">
        <f ca="1">IFERROR(__xludf.DUMMYFUNCTION("GOOGLETRANSLATE(D92,""zh-CN"",""vi"")"),"Trung tâm định hình đô thị")</f>
        <v>Trung tâm định hình đô thị</v>
      </c>
    </row>
    <row r="75" spans="1:2" x14ac:dyDescent="0.3">
      <c r="A75" s="5" t="s">
        <v>120</v>
      </c>
      <c r="B75" s="2" t="str">
        <f ca="1">IFERROR(__xludf.DUMMYFUNCTION("GOOGLETRANSLATE(D94,""zh-CN"",""vi"")"),"Mèo Nho Pha Lê")</f>
        <v>Mèo Nho Pha Lê</v>
      </c>
    </row>
    <row r="76" spans="1:2" x14ac:dyDescent="0.3">
      <c r="A76" s="5" t="s">
        <v>121</v>
      </c>
      <c r="B76" s="2" t="str">
        <f ca="1">IFERROR(__xludf.DUMMYFUNCTION("GOOGLETRANSLATE(D95,""zh-CN"",""vi"")"),"Công chúa Thỏ Sô cô la")</f>
        <v>Công chúa Thỏ Sô cô la</v>
      </c>
    </row>
    <row r="77" spans="1:2" x14ac:dyDescent="0.3">
      <c r="A77" s="5" t="s">
        <v>122</v>
      </c>
      <c r="B77" s="2" t="str">
        <f ca="1">IFERROR(__xludf.DUMMYFUNCTION("GOOGLETRANSLATE(D96,""zh-CN"",""vi"")"),"Lâu đài phía Bắc")</f>
        <v>Lâu đài phía Bắc</v>
      </c>
    </row>
    <row r="78" spans="1:2" x14ac:dyDescent="0.3">
      <c r="A78" s="5" t="s">
        <v>123</v>
      </c>
      <c r="B78" s="2" t="str">
        <f ca="1">IFERROR(__xludf.DUMMYFUNCTION("GOOGLETRANSLATE(D97,""zh-CN"",""vi"")"),"Phòng Kho Báu của Tiểu Long")</f>
        <v>Phòng Kho Báu của Tiểu Long</v>
      </c>
    </row>
    <row r="79" spans="1:2" x14ac:dyDescent="0.3">
      <c r="A79" s="5" t="s">
        <v>124</v>
      </c>
      <c r="B79" s="2" t="str">
        <f ca="1">IFERROR(__xludf.DUMMYFUNCTION("GOOGLETRANSLATE(D98,""zh-CN"",""vi"")"),"Cô gái Rồng chào đón mùa xuân")</f>
        <v>Cô gái Rồng chào đón mùa xuân</v>
      </c>
    </row>
    <row r="80" spans="1:2" x14ac:dyDescent="0.3">
      <c r="A80" s="5" t="s">
        <v>125</v>
      </c>
      <c r="B80" s="2" t="str">
        <f ca="1">IFERROR(__xludf.DUMMYFUNCTION("GOOGLETRANSLATE(D99,""zh-CN"",""vi"")"),"Cung điện Thụy Kỳ Thanh Vân")</f>
        <v>Cung điện Thụy Kỳ Thanh Vân</v>
      </c>
    </row>
    <row r="81" spans="1:2" x14ac:dyDescent="0.3">
      <c r="A81" s="5" t="s">
        <v>126</v>
      </c>
      <c r="B81" s="2" t="str">
        <f ca="1">IFERROR(__xludf.DUMMYFUNCTION("GOOGLETRANSLATE(D100,""zh-CN"",""vi"")"),"Lâu đài kẹo kem")</f>
        <v>Lâu đài kẹo kem</v>
      </c>
    </row>
    <row r="82" spans="1:2" x14ac:dyDescent="0.3">
      <c r="A82" s="5" t="s">
        <v>127</v>
      </c>
      <c r="B82" s="2" t="str">
        <f ca="1">IFERROR(__xludf.DUMMYFUNCTION("GOOGLETRANSLATE(D101,""zh-CN"",""vi"")"),"Năm lời chúc phúc ở cửa")</f>
        <v>Năm lời chúc phúc ở cửa</v>
      </c>
    </row>
    <row r="83" spans="1:2" x14ac:dyDescent="0.3">
      <c r="A83" s="5" t="s">
        <v>128</v>
      </c>
      <c r="B83" s="2" t="str">
        <f ca="1">IFERROR(__xludf.DUMMYFUNCTION("GOOGLETRANSLATE(D102,""zh-CN"",""vi"")"),"Cua May Mắn và Kho Báu")</f>
        <v>Cua May Mắn và Kho Báu</v>
      </c>
    </row>
    <row r="84" spans="1:2" x14ac:dyDescent="0.3">
      <c r="A84" s="5" t="s">
        <v>129</v>
      </c>
      <c r="B84" s="2" t="str">
        <f ca="1">IFERROR(__xludf.DUMMYFUNCTION("GOOGLETRANSLATE(D103,""zh-CN"",""vi"")"),"Chim bồ câu béo ú hạnh phúc")</f>
        <v>Chim bồ câu béo ú hạnh phúc</v>
      </c>
    </row>
    <row r="85" spans="1:2" x14ac:dyDescent="0.3">
      <c r="A85" s="5" t="s">
        <v>130</v>
      </c>
      <c r="B85" s="2" t="str">
        <f ca="1">IFERROR(__xludf.DUMMYFUNCTION("GOOGLETRANSLATE(D105,""zh-CN"",""vi"")"),"Nàng tiên tình yêu")</f>
        <v>Nàng tiên tình yêu</v>
      </c>
    </row>
    <row r="86" spans="1:2" x14ac:dyDescent="0.3">
      <c r="A86" s="5" t="s">
        <v>131</v>
      </c>
      <c r="B86" s="2" t="str">
        <f ca="1">IFERROR(__xludf.DUMMYFUNCTION("GOOGLETRANSLATE(D107,""zh-CN"",""vi"")"),"Trái tim nữ tính của một chú gấu")</f>
        <v>Trái tim nữ tính của một chú gấu</v>
      </c>
    </row>
    <row r="87" spans="1:2" x14ac:dyDescent="0.3">
      <c r="A87" s="5" t="s">
        <v>132</v>
      </c>
      <c r="B87" s="2" t="str">
        <f ca="1">IFERROR(__xludf.DUMMYFUNCTION("GOOGLETRANSLATE(D108,""zh-CN"",""vi"")"),"Phù thủy nhỏ đồng hồ")</f>
        <v>Phù thủy nhỏ đồng hồ</v>
      </c>
    </row>
    <row r="88" spans="1:2" x14ac:dyDescent="0.3">
      <c r="A88" s="5" t="s">
        <v>133</v>
      </c>
      <c r="B88" s="2" t="str">
        <f ca="1">IFERROR(__xludf.DUMMYFUNCTION("GOOGLETRANSLATE(D110,""zh-CN"",""vi"")"),"Theo đuổi ước mơ trên cánh đồng xanh")</f>
        <v>Theo đuổi ước mơ trên cánh đồng xanh</v>
      </c>
    </row>
    <row r="89" spans="1:2" x14ac:dyDescent="0.3">
      <c r="A89" s="3" t="s">
        <v>134</v>
      </c>
      <c r="B89" s="2" t="str">
        <f ca="1">IFERROR(__xludf.DUMMYFUNCTION("GOOGLETRANSLATE(D111,""zh-CN"",""vi"")"),"Cuộc đua thuyền rồng trên những ngọn núi xa xôi")</f>
        <v>Cuộc đua thuyền rồng trên những ngọn núi xa xôi</v>
      </c>
    </row>
    <row r="90" spans="1:2" x14ac:dyDescent="0.3">
      <c r="A90" s="3" t="s">
        <v>135</v>
      </c>
      <c r="B90" s="2" t="str">
        <f ca="1">IFERROR(__xludf.DUMMYFUNCTION("GOOGLETRANSLATE(D112,""zh-CN"",""vi"")"),"Công viên nước mùa hè mát mẻ")</f>
        <v>Công viên nước mùa hè mát mẻ</v>
      </c>
    </row>
    <row r="91" spans="1:2" x14ac:dyDescent="0.3">
      <c r="A91" s="3" t="s">
        <v>136</v>
      </c>
      <c r="B91" s="2" t="str">
        <f ca="1">IFERROR(__xludf.DUMMYFUNCTION("GOOGLETRANSLATE(D113,""zh-CN"",""vi"")"),"Mong chúng ta sẽ mãi là một đôi tình nhân hạnh phúc trên thiên đường.")</f>
        <v>Mong chúng ta sẽ mãi là một đôi tình nhân hạnh phúc trên thiên đường.</v>
      </c>
    </row>
    <row r="92" spans="1:2" x14ac:dyDescent="0.3">
      <c r="A92" s="3" t="s">
        <v>137</v>
      </c>
      <c r="B92" s="2" t="str">
        <f ca="1">IFERROR(__xludf.DUMMYFUNCTION("GOOGLETRANSLATE(D114,""zh-CN"",""vi"")"),"giá để gỗ")</f>
        <v>giá để gỗ</v>
      </c>
    </row>
    <row r="93" spans="1:2" x14ac:dyDescent="0.3">
      <c r="A93" s="3" t="s">
        <v>138</v>
      </c>
      <c r="B93" s="2" t="str">
        <f ca="1">IFERROR(__xludf.DUMMYFUNCTION("GOOGLETRANSLATE(D115,""zh-CN"",""vi"")"),"Tủ kho báu búp bê dễ thương")</f>
        <v>Tủ kho báu búp bê dễ thương</v>
      </c>
    </row>
    <row r="94" spans="1:2" x14ac:dyDescent="0.3">
      <c r="A94" s="1" t="s">
        <v>139</v>
      </c>
      <c r="B94" s="2" t="str">
        <f ca="1">IFERROR(__xludf.DUMMYFUNCTION("GOOGLETRANSLATE(D117,""zh-CN"",""vi"")"),"Ngày Quốc Khánh lần thứ 75")</f>
        <v>Ngày Quốc Khánh lần thứ 75</v>
      </c>
    </row>
    <row r="95" spans="1:2" x14ac:dyDescent="0.3">
      <c r="A95" s="1" t="s">
        <v>140</v>
      </c>
      <c r="B95" s="2" t="str">
        <f ca="1">IFERROR(__xludf.DUMMYFUNCTION("GOOGLETRANSLATE(D118,""zh-CN"",""vi"")"),"Vùng đất trù phú")</f>
        <v>Vùng đất trù phú</v>
      </c>
    </row>
    <row r="96" spans="1:2" x14ac:dyDescent="0.3">
      <c r="A96" s="1" t="s">
        <v>141</v>
      </c>
      <c r="B96" s="2" t="str">
        <f ca="1">IFERROR(__xludf.DUMMYFUNCTION("GOOGLETRANSLATE(D119,""zh-CN"",""vi"")"),"thìa bạc")</f>
        <v>thìa bạc</v>
      </c>
    </row>
    <row r="97" spans="1:2" x14ac:dyDescent="0.3">
      <c r="A97" s="1" t="s">
        <v>142</v>
      </c>
      <c r="B97" s="2" t="str">
        <f ca="1">IFERROR(__xludf.DUMMYFUNCTION("GOOGLETRANSLATE(D120,""zh-CN"",""vi"")"),"Lá rụng báo hiệu mùa thu.")</f>
        <v>Lá rụng báo hiệu mùa thu.</v>
      </c>
    </row>
    <row r="98" spans="1:2" x14ac:dyDescent="0.3">
      <c r="A98" s="1" t="s">
        <v>143</v>
      </c>
      <c r="B98" s="2" t="str">
        <f ca="1">IFERROR(__xludf.DUMMYFUNCTION("GOOGLETRANSLATE(D121,""zh-CN"",""vi"")"),"Rừng Tiên")</f>
        <v>Rừng Tiên</v>
      </c>
    </row>
    <row r="99" spans="1:2" x14ac:dyDescent="0.3">
      <c r="A99" s="1" t="s">
        <v>144</v>
      </c>
      <c r="B99" s="2" t="str">
        <f ca="1">IFERROR(__xludf.DUMMYFUNCTION("GOOGLETRANSLATE(D122,""zh-CN"",""vi"")"),"Tướng Đen Nửa Đêm")</f>
        <v>Tướng Đen Nửa Đêm</v>
      </c>
    </row>
    <row r="100" spans="1:2" x14ac:dyDescent="0.3">
      <c r="A100" s="1" t="s">
        <v>145</v>
      </c>
      <c r="B100" s="2" t="str">
        <f ca="1">IFERROR(__xludf.DUMMYFUNCTION("GOOGLETRANSLATE(D123,""zh-CN"",""vi"")"),"Chim trắng mượt có mùi thơm")</f>
        <v>Chim trắng mượt có mùi thơm</v>
      </c>
    </row>
    <row r="101" spans="1:2" x14ac:dyDescent="0.3">
      <c r="A101" s="1" t="s">
        <v>146</v>
      </c>
      <c r="B101" s="2" t="str">
        <f ca="1">IFERROR(__xludf.DUMMYFUNCTION("GOOGLETRANSLATE(D124,""zh-CN"",""vi"")"),"Nhung tuyết")</f>
        <v>Nhung tuyết</v>
      </c>
    </row>
    <row r="102" spans="1:2" x14ac:dyDescent="0.3">
      <c r="A102" s="1" t="s">
        <v>147</v>
      </c>
      <c r="B102" s="2" t="str">
        <f ca="1">IFERROR(__xludf.DUMMYFUNCTION("GOOGLETRANSLATE(D126,""zh-CN"",""vi"")"),"Chiếc bát kho báu của Thần Tài")</f>
        <v>Chiếc bát kho báu của Thần Tài</v>
      </c>
    </row>
    <row r="103" spans="1:2" x14ac:dyDescent="0.3">
      <c r="A103" s="1" t="s">
        <v>148</v>
      </c>
      <c r="B103" s="2" t="str">
        <f ca="1">IFERROR(__xludf.DUMMYFUNCTION("GOOGLETRANSLATE(D127,""zh-CN"",""vi"")"),"Hoa mai cung điện phản chiếu tuyết")</f>
        <v>Hoa mai cung điện phản chiếu tuyết</v>
      </c>
    </row>
    <row r="104" spans="1:2" x14ac:dyDescent="0.3">
      <c r="A104" s="1" t="s">
        <v>149</v>
      </c>
      <c r="B104" s="2" t="str">
        <f ca="1">IFERROR(__xludf.DUMMYFUNCTION("GOOGLETRANSLATE(D128,""zh-CN"",""vi"")"),"Múa lân chào đón năm mới")</f>
        <v>Múa lân chào đón năm mới</v>
      </c>
    </row>
    <row r="105" spans="1:2" x14ac:dyDescent="0.3">
      <c r="A105" s="1" t="s">
        <v>150</v>
      </c>
      <c r="B105" s="2" t="str">
        <f ca="1">IFERROR(__xludf.DUMMYFUNCTION("GOOGLETRANSLATE(D129,""zh-CN"",""vi"")"),"Nàng tiên múa ba lê nhỏ")</f>
        <v>Nàng tiên múa ba lê nhỏ</v>
      </c>
    </row>
    <row r="106" spans="1:2" x14ac:dyDescent="0.3">
      <c r="A106" s="1" t="s">
        <v>151</v>
      </c>
      <c r="B106" s="2" t="str">
        <f ca="1">IFERROR(__xludf.DUMMYFUNCTION("GOOGLETRANSLATE(D130,""zh-CN"",""vi"")"),"Múa lân, Tiểu thần Tài")</f>
        <v>Múa lân, Tiểu thần Tài</v>
      </c>
    </row>
    <row r="107" spans="1:2" x14ac:dyDescent="0.3">
      <c r="A107" s="1" t="s">
        <v>152</v>
      </c>
      <c r="B107" s="2" t="str">
        <f ca="1">IFERROR(__xludf.DUMMYFUNCTION("GOOGLETRANSLATE(D132,""zh-CN"",""vi"")"),"Ngăn kéo hoa rừng bí ẩn")</f>
        <v>Ngăn kéo hoa rừng bí ẩn</v>
      </c>
    </row>
    <row r="108" spans="1:2" x14ac:dyDescent="0.3">
      <c r="A108" s="1" t="s">
        <v>153</v>
      </c>
      <c r="B108" s="2" t="str">
        <f ca="1">IFERROR(__xludf.DUMMYFUNCTION("GOOGLETRANSLATE(D133,""zh-CN"",""vi"")"),"Quỷ Xanh Băng")</f>
        <v>Quỷ Xanh Băng</v>
      </c>
    </row>
    <row r="109" spans="1:2" x14ac:dyDescent="0.3">
      <c r="A109" s="1" t="s">
        <v>154</v>
      </c>
      <c r="B109" s="2" t="str">
        <f ca="1">IFERROR(__xludf.DUMMYFUNCTION("GOOGLETRANSLATE(D134,""zh-CN"",""vi"")"),"Rừng rậm và núi non")</f>
        <v>Rừng rậm và núi non</v>
      </c>
    </row>
    <row r="110" spans="1:2" x14ac:dyDescent="0.3">
      <c r="A110" s="1" t="s">
        <v>155</v>
      </c>
      <c r="B110" s="2" t="str">
        <f ca="1">IFERROR(__xludf.DUMMYFUNCTION("GOOGLETRANSLATE(D135,""zh-CN"",""vi"")"),"Thế giới mới")</f>
        <v>Thế giới mới</v>
      </c>
    </row>
    <row r="111" spans="1:2" x14ac:dyDescent="0.3">
      <c r="A111" s="1" t="s">
        <v>156</v>
      </c>
      <c r="B111" s="6" t="str">
        <f ca="1">IFERROR(__xludf.DUMMYFUNCTION("GOOGLETRANSLATE(D136,""zh-CN"",""vi"")"),"Cung điện Rồng dưới biển")</f>
        <v>Cung điện Rồng dưới biển</v>
      </c>
    </row>
    <row r="112" spans="1:2" x14ac:dyDescent="0.3">
      <c r="A112" s="1" t="s">
        <v>157</v>
      </c>
      <c r="B112" s="6" t="str">
        <f ca="1">IFERROR(__xludf.DUMMYFUNCTION("GOOGLETRANSLATE(D137,""zh-CN"",""vi"")"),"Dinh thự gia tộc Lin")</f>
        <v>Dinh thự gia tộc Lin</v>
      </c>
    </row>
    <row r="113" spans="1:2" x14ac:dyDescent="0.3">
      <c r="A113" s="1" t="s">
        <v>158</v>
      </c>
      <c r="B113" s="6" t="str">
        <f ca="1">IFERROR(__xludf.DUMMYFUNCTION("GOOGLETRANSLATE(D142,""zh-CN"",""vi"")"),"Lễ hội hóa trang")</f>
        <v>Lễ hội hóa trang</v>
      </c>
    </row>
    <row r="114" spans="1:2" x14ac:dyDescent="0.3">
      <c r="A114" s="1" t="s">
        <v>159</v>
      </c>
      <c r="B114" s="6" t="str">
        <f ca="1">IFERROR(__xludf.DUMMYFUNCTION("GOOGLETRANSLATE(D143,""zh-CN"",""vi"")"),"máy bán hàng tự động")</f>
        <v>máy bán hàng tự động</v>
      </c>
    </row>
    <row r="115" spans="1:2" x14ac:dyDescent="0.3">
      <c r="A115" s="1" t="s">
        <v>160</v>
      </c>
      <c r="B115" s="6" t="str">
        <f ca="1">IFERROR(__xludf.DUMMYFUNCTION("GOOGLETRANSLATE(D144,""zh-CN"",""vi"")"),"Hồ Sao")</f>
        <v>Hồ Sao</v>
      </c>
    </row>
    <row r="116" spans="1:2" x14ac:dyDescent="0.3">
      <c r="A116" s="1" t="s">
        <v>161</v>
      </c>
      <c r="B116" s="6" t="str">
        <f ca="1">IFERROR(__xludf.DUMMYFUNCTION("GOOGLETRANSLATE(D145,""zh-CN"",""vi"")"),"Trại khảo cổ")</f>
        <v>Trại khảo cổ</v>
      </c>
    </row>
    <row r="117" spans="1:2" x14ac:dyDescent="0.3">
      <c r="A117" s="1" t="s">
        <v>162</v>
      </c>
      <c r="B117" s="6" t="str">
        <f ca="1">IFERROR(__xludf.DUMMYFUNCTION("GOOGLETRANSLATE(D146,""zh-CN"",""vi"")"),"Ác quỷ nhỏ săn lùng trái tim")</f>
        <v>Ác quỷ nhỏ săn lùng trái tim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2026-06-13T17:42:23Z</dcterms:modified>
</cp:coreProperties>
</file>